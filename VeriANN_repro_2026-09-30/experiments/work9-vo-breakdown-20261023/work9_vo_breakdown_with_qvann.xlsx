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comments/comment4.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comment5.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drawings/drawing1.xml" ContentType="application/vnd.openxmlformats-officedocument.drawing+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drawings/drawing2.xml" ContentType="application/vnd.openxmlformats-officedocument.drawing+xml"/>
  <Override PartName="/xl/worksheets/sheet24.xml" ContentType="application/vnd.openxmlformats-officedocument.spreadsheetml.worksheet+xml"/>
  <Override PartName="/xl/drawings/drawing3.xml" ContentType="application/vnd.openxmlformats-officedocument.drawing+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drawings/drawing4.xml" ContentType="application/vnd.openxmlformats-officedocument.drawing+xml"/>
  <Override PartName="/xl/worksheets/sheet36.xml" ContentType="application/vnd.openxmlformats-officedocument.spreadsheetml.worksheet+xml"/>
  <Override PartName="/xl/worksheets/sheet37.xml" ContentType="application/vnd.openxmlformats-officedocument.spreadsheetml.worksheet+xml"/>
  <Override PartName="/xl/comments/comment6.xml" ContentType="application/vnd.openxmlformats-officedocument.spreadsheetml.comments+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drawings/drawing5.xml" ContentType="application/vnd.openxmlformats-officedocument.drawing+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drawings/drawing6.xml" ContentType="application/vnd.openxmlformats-officedocument.drawing+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drawings/drawing7.xml" ContentType="application/vnd.openxmlformats-officedocument.drawing+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3775" windowHeight="12255" tabRatio="878" firstSheet="0" activeTab="3" autoFilterDateGrouping="1"/>
  </bookViews>
  <sheets>
    <sheet name="SIFT1M" sheetId="1" state="visible" r:id="rId1"/>
    <sheet name="NYTimes-256" sheetId="2" state="visible" r:id="rId2"/>
    <sheet name="GloVe-100" sheetId="3" state="visible" r:id="rId3"/>
    <sheet name="DEEP1M" sheetId="4" state="visible" r:id="rId4"/>
    <sheet name="DEEP V3DB K955说明" sheetId="5" state="visible" r:id="rId5"/>
    <sheet name="DEEP V3DB K955预测" sheetId="6" state="visible" r:id="rId6"/>
    <sheet name="DEEP V3DB K955修订位置" sheetId="7" state="visible" r:id="rId7"/>
    <sheet name="NYTimes ANNProof重测说明" sheetId="8" state="visible" r:id="rId8"/>
    <sheet name="NYTimes ANNProof全量重测" sheetId="9" state="visible" r:id="rId9"/>
    <sheet name="NYTimes ANNProof重测系数" sheetId="10" state="visible" r:id="rId10"/>
    <sheet name="NYTimes ANNProof重测位置" sheetId="11" state="visible" r:id="rId11"/>
    <sheet name="实验说明" sheetId="12" state="visible" r:id="rId12"/>
    <sheet name="实验配置与实测召回" sheetId="13" state="visible" r:id="rId13"/>
    <sheet name="单元格来源" sheetId="14" state="visible" r:id="rId14"/>
    <sheet name="资源与尾延迟" sheetId="15" state="visible" r:id="rId15"/>
    <sheet name="Ours实验说明" sheetId="16" state="visible" r:id="rId16"/>
    <sheet name="Ours配置与测量" sheetId="17" state="visible" r:id="rId17"/>
    <sheet name="Ours单元格来源" sheetId="18" state="visible" r:id="rId18"/>
    <sheet name="Recall99 measurements" sheetId="19" state="visible" r:id="rId19"/>
    <sheet name="新增数据实验说明" sheetId="20" state="visible" r:id="rId20"/>
    <sheet name="新增数据测量记录" sheetId="21" state="visible" r:id="rId21"/>
    <sheet name="新增数据单元格来源" sheetId="22" state="visible" r:id="rId22"/>
    <sheet name="新增数据召回曲线" sheetId="23" state="visible" r:id="rId23"/>
    <sheet name="DEEP扩展规模测量" sheetId="24" state="visible" r:id="rId24"/>
    <sheet name="消融实验说明" sheetId="25" state="visible" r:id="rId25"/>
    <sheet name="消融实测记录" sheetId="26" state="visible" r:id="rId26"/>
    <sheet name="消融单元格来源" sheetId="27" state="visible" r:id="rId27"/>
    <sheet name="V3DB实验说明" sheetId="28" state="visible" r:id="rId28"/>
    <sheet name="V3DB原表位置映射" sheetId="29" state="visible" r:id="rId29"/>
    <sheet name="V3DB调参与资源" sheetId="30" state="visible" r:id="rId30"/>
    <sheet name="V3DB测量记录" sheetId="31" state="visible" r:id="rId31"/>
    <sheet name="V3DB资源与尾延迟" sheetId="32" state="visible" r:id="rId32"/>
    <sheet name="NYTimes单元格来源" sheetId="33" state="visible" r:id="rId33"/>
    <sheet name="NYTimes实测记录" sheetId="34" state="visible" r:id="rId34"/>
    <sheet name="NYTimes召回曲线" sheetId="35" state="visible" r:id="rId35"/>
    <sheet name="NYTimes实验说明" sheetId="36" state="visible" r:id="rId36"/>
    <sheet name="索引构建实测记录" sheetId="37" state="visible" r:id="rId37"/>
    <sheet name="索引构建说明" sheetId="38" state="visible" r:id="rId38"/>
    <sheet name="V3DB单元格来源" sheetId="39" state="visible" r:id="rId39"/>
    <sheet name="V3DB预测说明" sheetId="40" state="visible" r:id="rId40"/>
    <sheet name="V3DB预测点与区间" sheetId="41" state="visible" r:id="rId41"/>
    <sheet name="V3DB预测校准样本" sheetId="42" state="visible" r:id="rId42"/>
    <sheet name="V3DB预测曲线" sheetId="43" state="visible" r:id="rId43"/>
    <sheet name="V3DB复核差异" sheetId="44" state="visible" r:id="rId44"/>
    <sheet name="V3DB新增校准" sheetId="45" state="visible" r:id="rId45"/>
    <sheet name="V3DB复核说明" sheetId="46" state="visible" r:id="rId46"/>
    <sheet name="V3DB参数备选" sheetId="47" state="visible" r:id="rId47"/>
    <sheet name="默认口径纠正" sheetId="48" state="visible" r:id="rId48"/>
    <sheet name="V3DB单次说明" sheetId="49" state="visible" r:id="rId49"/>
    <sheet name="V3DB单次记录" sheetId="50" state="visible" r:id="rId50"/>
    <sheet name="V3DB低召回实测" sheetId="51" state="visible" r:id="rId51"/>
    <sheet name="低召回曲线说明" sheetId="52" state="visible" r:id="rId52"/>
    <sheet name="V3DB低召回新增记录" sheetId="53" state="visible" r:id="rId53"/>
    <sheet name="低召回曲线单元格来源" sheetId="54" state="visible" r:id="rId54"/>
    <sheet name="低召回缺项补测说明" sheetId="55" state="visible" r:id="rId55"/>
    <sheet name="低召回缺项实测记录" sheetId="56" state="visible" r:id="rId56"/>
    <sheet name="V3DB512GiB说明" sheetId="57" state="visible" r:id="rId57"/>
    <sheet name="V3DB512GiB预测记录" sheetId="58" state="visible" r:id="rId58"/>
    <sheet name="V3DB512GiB单元格来源" sheetId="59" state="visible" r:id="rId59"/>
    <sheet name="V3DB512GiB固定预算规模" sheetId="60" state="visible" r:id="rId60"/>
    <sheet name="Chen13实验说明" sheetId="61" state="visible" r:id="rId61"/>
    <sheet name="Chen13实测记录" sheetId="62" state="visible" r:id="rId62"/>
    <sheet name="Chen13位置映射" sheetId="63" state="visible" r:id="rId63"/>
    <sheet name="Chen13单元格来源" sheetId="64" state="visible" r:id="rId64"/>
    <sheet name="Chen13召回参考" sheetId="65" state="visible" r:id="rId65"/>
    <sheet name="ANNProof调整说明" sheetId="66" state="visible" r:id="rId66"/>
    <sheet name="ANNProof原始补测" sheetId="67" state="visible" r:id="rId67"/>
    <sheet name="ANNProof调整后对比" sheetId="68" state="visible" r:id="rId68"/>
    <sheet name="ANNProof单元格变更" sheetId="69" state="visible" r:id="rId69"/>
    <sheet name="单调性复核说明" sheetId="70" state="visible" r:id="rId70"/>
    <sheet name="单调性异常复核" sheetId="71" state="visible" r:id="rId71"/>
    <sheet name="单调性修订记录" sheetId="72" state="visible" r:id="rId72"/>
    <sheet name="趋势预测修订说明" sheetId="73" state="visible" r:id="rId73"/>
    <sheet name="趋势预测修订记录" sheetId="74" state="visible" r:id="rId74"/>
    <sheet name="NYTimes低召回重新实测" sheetId="75" state="visible" r:id="rId75"/>
    <sheet name="NYTimes低召回修订位置" sheetId="76" state="visible" r:id="rId76"/>
    <sheet name="消融Recall补测说明" sheetId="77" state="visible" r:id="rId77"/>
    <sheet name="消融Recall补测记录" sheetId="78" state="visible" r:id="rId78"/>
    <sheet name="量化配置实验说明" sheetId="79" state="visible" r:id="rId79"/>
    <sheet name="量化配置实测记录" sheetId="80" state="visible" r:id="rId80"/>
    <sheet name="VO拆分实验说明" sheetId="81" state="visible" r:id="rId81"/>
    <sheet name="VO拆分原始与系数" sheetId="82" state="visible" r:id="rId82"/>
  </sheets>
  <definedNames>
    <definedName name="_xlnm._FilterDatabase" localSheetId="4" hidden="1">'DEEP V3DB K955说明'!$A$1:$B$14</definedName>
    <definedName name="_xlnm._FilterDatabase" localSheetId="5" hidden="1">'DEEP V3DB K955预测'!$A$1:$S$7</definedName>
    <definedName name="_xlnm._FilterDatabase" localSheetId="6" hidden="1">'DEEP V3DB K955修订位置'!$A$1:$G$19</definedName>
    <definedName name="_xlnm._FilterDatabase" localSheetId="7" hidden="1">'NYTimes ANNProof重测说明'!$A$1:$B$14</definedName>
    <definedName name="_xlnm._FilterDatabase" localSheetId="8" hidden="1">'NYTimes ANNProof全量重测'!$A$1:$M$27</definedName>
    <definedName name="_xlnm._FilterDatabase" localSheetId="9" hidden="1">'NYTimes ANNProof重测系数'!$A$1:$M$27</definedName>
    <definedName name="_xlnm._FilterDatabase" localSheetId="10" hidden="1">'NYTimes ANNProof重测位置'!$A$1:$E$148</definedName>
    <definedName name="_xlnm._FilterDatabase" localSheetId="12" hidden="1">'实验配置与实测召回'!$A$1:$Y$124</definedName>
    <definedName name="_xlnm._FilterDatabase" localSheetId="13" hidden="1">'单元格来源'!$A$1:$G$207</definedName>
    <definedName name="_xlnm._FilterDatabase" localSheetId="14" hidden="1">'资源与尾延迟'!$A$1:$O$124</definedName>
    <definedName name="_xlnm._FilterDatabase" localSheetId="16" hidden="1">'Ours配置与测量'!$A$1:$Z$24</definedName>
    <definedName name="_xlnm._FilterDatabase" localSheetId="17" hidden="1">'Ours单元格来源'!$A$1:$F$104</definedName>
    <definedName name="_xlnm._FilterDatabase" localSheetId="18" hidden="1">'Recall99 measurements'!$A$1:$J$34</definedName>
    <definedName name="_xlnm._FilterDatabase" localSheetId="20" hidden="1">'新增数据测量记录'!$A$1:$N$163</definedName>
    <definedName name="_xlnm._FilterDatabase" localSheetId="21" hidden="1">'新增数据单元格来源'!$A$1:$H$892</definedName>
    <definedName name="_xlnm._FilterDatabase" localSheetId="24" hidden="1">'消融实验说明'!$A$1:$B$18</definedName>
    <definedName name="_xlnm._FilterDatabase" localSheetId="25" hidden="1">'消融实测记录'!$A$1:$R$25</definedName>
    <definedName name="_xlnm._FilterDatabase" localSheetId="26" hidden="1">'消融单元格来源'!$A$1:$H$97</definedName>
    <definedName name="_xlnm._FilterDatabase" localSheetId="28" hidden="1">'V3DB原表位置映射'!$A$1:$D$1981</definedName>
    <definedName name="_xlnm._FilterDatabase" localSheetId="29" hidden="1">'V3DB调参与资源'!$A$1:$H$30</definedName>
    <definedName name="_xlnm._FilterDatabase" localSheetId="30" hidden="1">'V3DB测量记录'!$A$1:$R$48</definedName>
    <definedName name="_xlnm._FilterDatabase" localSheetId="31" hidden="1">'V3DB资源与尾延迟'!$A$1:$N$48</definedName>
    <definedName name="_xlnm._FilterDatabase" localSheetId="36" hidden="1">'索引构建实测记录'!$A$1:$Q$21</definedName>
    <definedName name="_xlnm._FilterDatabase" localSheetId="40" hidden="1">'V3DB预测点与区间'!$A$1:$AC$56</definedName>
    <definedName name="_xlnm._FilterDatabase" localSheetId="66" hidden="1">'ANNProof原始补测'!$A$1:$L$37</definedName>
    <definedName name="_xlnm._FilterDatabase" localSheetId="67" hidden="1">'ANNProof调整后对比'!$A$1:$L$37</definedName>
    <definedName name="_xlnm._FilterDatabase" localSheetId="69" hidden="1">'单调性复核说明'!$A$1:$B$10</definedName>
    <definedName name="_xlnm._FilterDatabase" localSheetId="70" hidden="1">'单调性异常复核'!$A$1:$J$95</definedName>
    <definedName name="_xlnm._FilterDatabase" localSheetId="71" hidden="1">'单调性修订记录'!$A$1:$E$94</definedName>
    <definedName name="_xlnm._FilterDatabase" localSheetId="72" hidden="1">'趋势预测修订说明'!$A$1:$B$10</definedName>
    <definedName name="_xlnm._FilterDatabase" localSheetId="73" hidden="1">'趋势预测修订记录'!$A$1:$G$300</definedName>
    <definedName name="_xlnm._FilterDatabase" localSheetId="74" hidden="1">'NYTimes低召回重新实测'!$A$1:$M$9</definedName>
    <definedName name="_xlnm._FilterDatabase" localSheetId="76" hidden="1">'消融Recall补测说明'!$A$1:$B$12</definedName>
    <definedName name="_xlnm._FilterDatabase" localSheetId="77" hidden="1">'消融Recall补测记录'!$A$1:$N$25</definedName>
    <definedName name="_xlnm._FilterDatabase" localSheetId="78" hidden="1">'量化配置实验说明'!$A$1:$B$19</definedName>
    <definedName name="_xlnm._FilterDatabase" localSheetId="79" hidden="1">'量化配置实测记录'!$A$1:$W$17</definedName>
    <definedName name="_xlnm._FilterDatabase" localSheetId="80" hidden="1">'VO拆分实验说明'!$A$1:$B$17</definedName>
    <definedName name="_xlnm._FilterDatabase" localSheetId="81" hidden="1">'VO拆分原始与系数'!$A$1:$Q$21</definedName>
  </definedNames>
  <calcPr calcId="191029" fullCalcOnLoad="1" concurrentCalc="0"/>
</workbook>
</file>

<file path=xl/styles.xml><?xml version="1.0" encoding="utf-8"?>
<styleSheet xmlns="http://schemas.openxmlformats.org/spreadsheetml/2006/main">
  <numFmts count="10">
    <numFmt numFmtId="164" formatCode="0.0%"/>
    <numFmt numFmtId="165" formatCode="0.000000"/>
    <numFmt numFmtId="166" formatCode="0.000"/>
    <numFmt numFmtId="167" formatCode="0.0&quot;†&quot;"/>
    <numFmt numFmtId="168" formatCode="0.000&quot; †预测&quot;"/>
    <numFmt numFmtId="169" formatCode="0.000&quot;*&quot;"/>
    <numFmt numFmtId="170" formatCode="0.000&quot;†预测&quot;"/>
    <numFmt numFmtId="171" formatCode="0.0000"/>
    <numFmt numFmtId="172" formatCode="_(&quot;$&quot;* #,##0.00_);_(&quot;$&quot;* \(#,##0.00\);_(&quot;$&quot;* &quot;-&quot;??_);_(@_)"/>
    <numFmt numFmtId="173" formatCode="0.0"/>
  </numFmts>
  <fonts count="36">
    <font>
      <name val="宋体"/>
      <charset val="134"/>
      <color theme="1"/>
      <sz val="11"/>
      <scheme val="minor"/>
    </font>
    <font>
      <name val="宋体"/>
      <charset val="134"/>
      <b val="1"/>
      <color rgb="FFFFFFFF"/>
      <sz val="11"/>
      <scheme val="minor"/>
    </font>
    <font>
      <name val="宋体"/>
      <charset val="134"/>
      <b val="1"/>
      <sz val="11"/>
      <scheme val="minor"/>
    </font>
    <font>
      <name val="宋体"/>
      <charset val="0"/>
      <color rgb="FF0000FF"/>
      <sz val="11"/>
      <u val="single"/>
      <scheme val="minor"/>
    </font>
    <font>
      <name val="Calibri"/>
      <charset val="134"/>
      <color rgb="FF006100"/>
      <sz val="11"/>
    </font>
    <font>
      <name val="宋体"/>
      <charset val="134"/>
      <color rgb="FF9C6500"/>
      <sz val="11"/>
    </font>
    <font>
      <name val="Arial"/>
      <charset val="134"/>
      <color rgb="FF17365D"/>
      <sz val="10"/>
    </font>
    <font>
      <name val="Arial"/>
      <charset val="134"/>
      <color rgb="FF006100"/>
      <sz val="10"/>
    </font>
    <font>
      <name val="Calibri"/>
      <charset val="134"/>
      <color rgb="FF9C5700"/>
      <sz val="11"/>
    </font>
    <font>
      <name val="宋体"/>
      <charset val="134"/>
      <color rgb="FFC00000"/>
      <sz val="11"/>
      <scheme val="minor"/>
    </font>
    <font>
      <name val="宋体"/>
      <charset val="134"/>
      <color rgb="FF000000"/>
      <sz val="11"/>
    </font>
    <font>
      <name val="宋体"/>
      <charset val="0"/>
      <color rgb="FF0000FF"/>
      <sz val="11"/>
      <u val="single"/>
    </font>
    <font>
      <name val="宋体"/>
      <charset val="134"/>
      <color rgb="FF000000"/>
      <sz val="11"/>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charset val="134"/>
      <sz val="10"/>
    </font>
    <font>
      <b val="1"/>
      <color rgb="0017365D"/>
      <sz val="12"/>
    </font>
    <font>
      <b val="1"/>
      <color rgb="00FFFFFF"/>
    </font>
    <font/>
    <font>
      <b val="1"/>
    </font>
  </fonts>
  <fills count="43">
    <fill>
      <patternFill/>
    </fill>
    <fill>
      <patternFill patternType="gray125"/>
    </fill>
    <fill>
      <patternFill patternType="solid">
        <fgColor rgb="FF305496"/>
        <bgColor indexed="64"/>
      </patternFill>
    </fill>
    <fill>
      <patternFill patternType="solid">
        <fgColor rgb="FF234E70"/>
        <bgColor indexed="64"/>
      </patternFill>
    </fill>
    <fill>
      <patternFill patternType="solid">
        <fgColor rgb="FF276749"/>
        <bgColor indexed="64"/>
      </patternFill>
    </fill>
    <fill>
      <patternFill patternType="solid">
        <fgColor theme="9"/>
        <bgColor indexed="64"/>
      </patternFill>
    </fill>
    <fill>
      <patternFill patternType="solid">
        <fgColor rgb="FFFFFF00"/>
        <bgColor indexed="64"/>
      </patternFill>
    </fill>
    <fill>
      <patternFill patternType="solid">
        <fgColor rgb="FFE2F0D9"/>
        <bgColor indexed="64"/>
      </patternFill>
    </fill>
    <fill>
      <patternFill patternType="solid">
        <fgColor rgb="FFFFF2CC"/>
        <bgColor indexed="64"/>
      </patternFill>
    </fill>
    <fill>
      <patternFill patternType="solid">
        <fgColor rgb="FFDDEBF7"/>
        <bgColor indexed="64"/>
      </patternFill>
    </fill>
    <fill>
      <patternFill patternType="solid">
        <fgColor rgb="FFFCE4D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00305496"/>
      </patternFill>
    </fill>
    <fill>
      <patternFill patternType="solid">
        <fgColor rgb="00E2EFDA"/>
      </patternFill>
    </fill>
  </fills>
  <borders count="41">
    <border>
      <left/>
      <right/>
      <top/>
      <bottom/>
      <diagonal/>
    </border>
    <border>
      <left style="medium">
        <color auto="1"/>
      </left>
      <right style="thin">
        <color auto="1"/>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thin">
        <color auto="1"/>
      </left>
      <right/>
      <top style="thin">
        <color auto="1"/>
      </top>
      <bottom style="thin">
        <color auto="1"/>
      </bottom>
      <diagonal/>
    </border>
    <border>
      <left style="thin">
        <color auto="1"/>
      </left>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medium">
        <color auto="1"/>
      </top>
      <bottom/>
      <diagonal/>
    </border>
    <border>
      <left/>
      <right style="thin">
        <color auto="1"/>
      </right>
      <top style="medium">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style="thin">
        <color auto="1"/>
      </right>
      <top/>
      <bottom/>
      <diagonal/>
    </border>
    <border>
      <bottom style="thin">
        <color rgb="00B4C6E7"/>
      </bottom>
    </border>
  </borders>
  <cellStyleXfs count="49">
    <xf numFmtId="0" fontId="0" fillId="0" borderId="0" applyAlignment="1">
      <alignment vertical="center"/>
    </xf>
    <xf numFmtId="43" fontId="0" fillId="0" borderId="0" applyAlignment="1">
      <alignment vertical="center"/>
    </xf>
    <xf numFmtId="172"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3" fillId="0" borderId="0" applyAlignment="1">
      <alignment vertical="center"/>
    </xf>
    <xf numFmtId="0" fontId="13" fillId="0" borderId="0" applyAlignment="1">
      <alignment vertical="center"/>
    </xf>
    <xf numFmtId="0" fontId="0" fillId="11" borderId="26" applyAlignment="1">
      <alignment vertical="center"/>
    </xf>
    <xf numFmtId="0" fontId="14" fillId="0" borderId="0" applyAlignment="1">
      <alignment vertical="center"/>
    </xf>
    <xf numFmtId="0" fontId="15" fillId="0" borderId="0" applyAlignment="1">
      <alignment vertical="center"/>
    </xf>
    <xf numFmtId="0" fontId="16" fillId="0" borderId="0" applyAlignment="1">
      <alignment vertical="center"/>
    </xf>
    <xf numFmtId="0" fontId="17" fillId="0" borderId="27" applyAlignment="1">
      <alignment vertical="center"/>
    </xf>
    <xf numFmtId="0" fontId="18" fillId="0" borderId="27" applyAlignment="1">
      <alignment vertical="center"/>
    </xf>
    <xf numFmtId="0" fontId="19" fillId="0" borderId="28" applyAlignment="1">
      <alignment vertical="center"/>
    </xf>
    <xf numFmtId="0" fontId="19" fillId="0" borderId="0" applyAlignment="1">
      <alignment vertical="center"/>
    </xf>
    <xf numFmtId="0" fontId="20" fillId="12" borderId="29" applyAlignment="1">
      <alignment vertical="center"/>
    </xf>
    <xf numFmtId="0" fontId="21" fillId="13" borderId="30" applyAlignment="1">
      <alignment vertical="center"/>
    </xf>
    <xf numFmtId="0" fontId="22" fillId="13" borderId="29" applyAlignment="1">
      <alignment vertical="center"/>
    </xf>
    <xf numFmtId="0" fontId="23" fillId="14" borderId="31" applyAlignment="1">
      <alignment vertical="center"/>
    </xf>
    <xf numFmtId="0" fontId="24" fillId="0" borderId="32" applyAlignment="1">
      <alignment vertical="center"/>
    </xf>
    <xf numFmtId="0" fontId="25" fillId="0" borderId="33" applyAlignment="1">
      <alignment vertical="center"/>
    </xf>
    <xf numFmtId="0" fontId="26" fillId="15" borderId="0" applyAlignment="1">
      <alignment vertical="center"/>
    </xf>
    <xf numFmtId="0" fontId="27" fillId="16" borderId="0" applyAlignment="1">
      <alignment vertical="center"/>
    </xf>
    <xf numFmtId="0" fontId="28" fillId="17" borderId="0" applyAlignment="1">
      <alignment vertical="center"/>
    </xf>
    <xf numFmtId="0" fontId="29" fillId="18" borderId="0" applyAlignment="1">
      <alignment vertical="center"/>
    </xf>
    <xf numFmtId="0" fontId="30" fillId="19" borderId="0" applyAlignment="1">
      <alignment vertical="center"/>
    </xf>
    <xf numFmtId="0" fontId="30" fillId="20" borderId="0" applyAlignment="1">
      <alignment vertical="center"/>
    </xf>
    <xf numFmtId="0" fontId="29" fillId="21" borderId="0" applyAlignment="1">
      <alignment vertical="center"/>
    </xf>
    <xf numFmtId="0" fontId="29" fillId="22" borderId="0" applyAlignment="1">
      <alignment vertical="center"/>
    </xf>
    <xf numFmtId="0" fontId="30" fillId="23" borderId="0" applyAlignment="1">
      <alignment vertical="center"/>
    </xf>
    <xf numFmtId="0" fontId="30" fillId="24" borderId="0" applyAlignment="1">
      <alignment vertical="center"/>
    </xf>
    <xf numFmtId="0" fontId="29" fillId="25" borderId="0" applyAlignment="1">
      <alignment vertical="center"/>
    </xf>
    <xf numFmtId="0" fontId="29" fillId="26" borderId="0" applyAlignment="1">
      <alignment vertical="center"/>
    </xf>
    <xf numFmtId="0" fontId="30" fillId="27" borderId="0" applyAlignment="1">
      <alignment vertical="center"/>
    </xf>
    <xf numFmtId="0" fontId="30" fillId="28" borderId="0" applyAlignment="1">
      <alignment vertical="center"/>
    </xf>
    <xf numFmtId="0" fontId="29" fillId="29" borderId="0" applyAlignment="1">
      <alignment vertical="center"/>
    </xf>
    <xf numFmtId="0" fontId="29" fillId="30" borderId="0" applyAlignment="1">
      <alignment vertical="center"/>
    </xf>
    <xf numFmtId="0" fontId="30" fillId="31" borderId="0" applyAlignment="1">
      <alignment vertical="center"/>
    </xf>
    <xf numFmtId="0" fontId="30" fillId="32" borderId="0" applyAlignment="1">
      <alignment vertical="center"/>
    </xf>
    <xf numFmtId="0" fontId="29" fillId="33" borderId="0" applyAlignment="1">
      <alignment vertical="center"/>
    </xf>
    <xf numFmtId="0" fontId="29" fillId="34" borderId="0" applyAlignment="1">
      <alignment vertical="center"/>
    </xf>
    <xf numFmtId="0" fontId="30" fillId="35" borderId="0" applyAlignment="1">
      <alignment vertical="center"/>
    </xf>
    <xf numFmtId="0" fontId="30" fillId="36" borderId="0" applyAlignment="1">
      <alignment vertical="center"/>
    </xf>
    <xf numFmtId="0" fontId="29" fillId="37" borderId="0" applyAlignment="1">
      <alignment vertical="center"/>
    </xf>
    <xf numFmtId="0" fontId="29" fillId="5" borderId="0" applyAlignment="1">
      <alignment vertical="center"/>
    </xf>
    <xf numFmtId="0" fontId="30" fillId="38" borderId="0" applyAlignment="1">
      <alignment vertical="center"/>
    </xf>
    <xf numFmtId="0" fontId="30" fillId="39" borderId="0" applyAlignment="1">
      <alignment vertical="center"/>
    </xf>
    <xf numFmtId="0" fontId="29" fillId="40" borderId="0" applyAlignment="1">
      <alignment vertical="center"/>
    </xf>
  </cellStyleXfs>
  <cellXfs count="142">
    <xf numFmtId="0" fontId="0" fillId="0" borderId="0" applyAlignment="1" pivotButton="0" quotePrefix="0" xfId="0">
      <alignment vertical="center"/>
    </xf>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164" fontId="0" fillId="0" borderId="0" applyAlignment="1" pivotButton="0" quotePrefix="0" xfId="0">
      <alignment vertical="top" wrapText="1"/>
    </xf>
    <xf numFmtId="0" fontId="2" fillId="0" borderId="0" applyAlignment="1" pivotButton="0" quotePrefix="0" xfId="0">
      <alignment vertical="top" wrapText="1"/>
    </xf>
    <xf numFmtId="164" fontId="0" fillId="0" borderId="0" pivotButton="0" quotePrefix="0" xfId="0"/>
    <xf numFmtId="0" fontId="2" fillId="0" borderId="0" pivotButton="0" quotePrefix="0" xfId="0"/>
    <xf numFmtId="0" fontId="2" fillId="0" borderId="0" applyAlignment="1" pivotButton="0" quotePrefix="0" xfId="0">
      <alignment vertical="center"/>
    </xf>
    <xf numFmtId="0" fontId="1" fillId="3" borderId="0" pivotButton="0" quotePrefix="0" xfId="0"/>
    <xf numFmtId="0" fontId="1" fillId="4" borderId="0" pivotButton="0" quotePrefix="0" xfId="0"/>
    <xf numFmtId="165" fontId="0" fillId="0" borderId="0" applyAlignment="1" pivotButton="0" quotePrefix="0" xfId="0">
      <alignment vertical="top" wrapText="1"/>
    </xf>
    <xf numFmtId="0" fontId="0" fillId="5" borderId="0" applyAlignment="1" pivotButton="0" quotePrefix="0" xfId="0">
      <alignment vertical="center"/>
    </xf>
    <xf numFmtId="0" fontId="0" fillId="0" borderId="0" applyAlignment="1" pivotButton="0" quotePrefix="0" xfId="0">
      <alignment wrapText="1"/>
    </xf>
    <xf numFmtId="0" fontId="0" fillId="0" borderId="0" applyAlignment="1" pivotButton="0" quotePrefix="0" xfId="0">
      <alignment vertical="center" wrapText="1"/>
    </xf>
    <xf numFmtId="0" fontId="0" fillId="6" borderId="0" applyAlignment="1" pivotButton="0" quotePrefix="0" xfId="0">
      <alignment horizontal="center" vertical="center"/>
    </xf>
    <xf numFmtId="0" fontId="0" fillId="0" borderId="1" applyAlignment="1" pivotButton="0" quotePrefix="0" xfId="0">
      <alignment horizontal="center" vertical="center"/>
    </xf>
    <xf numFmtId="0" fontId="0" fillId="0" borderId="2" pivotButton="0" quotePrefix="0" xfId="0"/>
    <xf numFmtId="0" fontId="0" fillId="0" borderId="3" pivotButton="0" quotePrefix="0" xfId="0"/>
    <xf numFmtId="0" fontId="0" fillId="0" borderId="4" pivotButton="0" quotePrefix="0" xfId="0"/>
    <xf numFmtId="0" fontId="0" fillId="0" borderId="5" applyAlignment="1" pivotButton="0" quotePrefix="0" xfId="0">
      <alignment vertical="center"/>
    </xf>
    <xf numFmtId="0" fontId="3" fillId="0" borderId="4" applyAlignment="1" pivotButton="0" quotePrefix="0" xfId="6">
      <alignment vertical="center"/>
    </xf>
    <xf numFmtId="0" fontId="0" fillId="0" borderId="4" applyAlignment="1" pivotButton="0" quotePrefix="0" xfId="0">
      <alignment vertical="center"/>
    </xf>
    <xf numFmtId="0" fontId="0" fillId="0" borderId="6" applyAlignment="1" pivotButton="0" quotePrefix="0" xfId="0">
      <alignment vertical="center"/>
    </xf>
    <xf numFmtId="2" fontId="0" fillId="0" borderId="4" applyAlignment="1" pivotButton="0" quotePrefix="0" xfId="0">
      <alignment vertical="center"/>
    </xf>
    <xf numFmtId="166" fontId="0" fillId="0" borderId="4" applyAlignment="1" pivotButton="0" quotePrefix="0" xfId="0">
      <alignment vertical="center"/>
    </xf>
    <xf numFmtId="166" fontId="0" fillId="0" borderId="6" applyAlignment="1" pivotButton="0" quotePrefix="0" xfId="0">
      <alignment vertical="center"/>
    </xf>
    <xf numFmtId="166" fontId="4" fillId="7" borderId="4" pivotButton="0" quotePrefix="0" xfId="0"/>
    <xf numFmtId="0" fontId="0" fillId="0" borderId="7" applyAlignment="1" pivotButton="0" quotePrefix="0" xfId="0">
      <alignment vertical="center"/>
    </xf>
    <xf numFmtId="2" fontId="0" fillId="0" borderId="8" applyAlignment="1" pivotButton="0" quotePrefix="0" xfId="0">
      <alignment vertical="center"/>
    </xf>
    <xf numFmtId="166" fontId="5" fillId="8" borderId="8" applyAlignment="1" pivotButton="0" quotePrefix="0" xfId="0">
      <alignment vertical="center"/>
    </xf>
    <xf numFmtId="166" fontId="5" fillId="8" borderId="9" applyAlignment="1" pivotButton="0" quotePrefix="0" xfId="0">
      <alignment vertical="center"/>
    </xf>
    <xf numFmtId="2" fontId="4" fillId="0" borderId="4" applyAlignment="1" pivotButton="0" quotePrefix="0" xfId="0">
      <alignment vertical="center"/>
    </xf>
    <xf numFmtId="166" fontId="4" fillId="0" borderId="4" pivotButton="0" quotePrefix="0" xfId="0"/>
    <xf numFmtId="0" fontId="6" fillId="9" borderId="4" applyAlignment="1" pivotButton="0" quotePrefix="0" xfId="0">
      <alignment vertical="center"/>
    </xf>
    <xf numFmtId="166" fontId="7" fillId="7" borderId="4" pivotButton="0" quotePrefix="0" xfId="0"/>
    <xf numFmtId="0" fontId="6" fillId="9" borderId="0" pivotButton="0" quotePrefix="0" xfId="0"/>
    <xf numFmtId="1" fontId="0" fillId="0" borderId="0" pivotButton="0" quotePrefix="0" xfId="0"/>
    <xf numFmtId="0" fontId="0" fillId="0" borderId="4" applyAlignment="1" pivotButton="0" quotePrefix="0" xfId="0">
      <alignment horizontal="center" vertical="center"/>
    </xf>
    <xf numFmtId="0" fontId="0" fillId="0" borderId="10" pivotButton="0" quotePrefix="0" xfId="0"/>
    <xf numFmtId="0" fontId="0" fillId="0" borderId="11" pivotButton="0" quotePrefix="0" xfId="0"/>
    <xf numFmtId="0" fontId="0" fillId="0" borderId="12" pivotButton="0" quotePrefix="0" xfId="0"/>
    <xf numFmtId="2" fontId="0" fillId="7" borderId="4" applyAlignment="1" pivotButton="0" quotePrefix="0" xfId="0">
      <alignment vertical="center"/>
    </xf>
    <xf numFmtId="166" fontId="5" fillId="7" borderId="4" applyAlignment="1" pivotButton="0" quotePrefix="0" xfId="0">
      <alignment vertical="center"/>
    </xf>
    <xf numFmtId="166" fontId="5" fillId="8" borderId="4" applyAlignment="1" pivotButton="0" quotePrefix="0" xfId="0">
      <alignment vertical="center"/>
    </xf>
    <xf numFmtId="2" fontId="4" fillId="0" borderId="4" pivotButton="0" quotePrefix="0" xfId="0"/>
    <xf numFmtId="167" fontId="8" fillId="8" borderId="4" pivotButton="0" quotePrefix="0" xfId="0"/>
    <xf numFmtId="168" fontId="9" fillId="10" borderId="4" pivotButton="0" quotePrefix="0" xfId="0"/>
    <xf numFmtId="169" fontId="8" fillId="8" borderId="4" pivotButton="0" quotePrefix="0" xfId="0"/>
    <xf numFmtId="0" fontId="6" fillId="9" borderId="12" pivotButton="0" quotePrefix="0" xfId="0"/>
    <xf numFmtId="166" fontId="6" fillId="9" borderId="4" pivotButton="0" quotePrefix="0" xfId="0"/>
    <xf numFmtId="0" fontId="0" fillId="0" borderId="0" applyAlignment="1" pivotButton="0" quotePrefix="0" xfId="0">
      <alignment horizontal="center" vertical="center"/>
    </xf>
    <xf numFmtId="0" fontId="0" fillId="0" borderId="4" applyAlignment="1" pivotButton="0" quotePrefix="0" xfId="0">
      <alignment horizontal="center" vertical="center" wrapText="1"/>
    </xf>
    <xf numFmtId="0" fontId="6" fillId="9" borderId="4" applyAlignment="1" pivotButton="0" quotePrefix="0" xfId="0">
      <alignment horizontal="center" vertical="center"/>
    </xf>
    <xf numFmtId="0" fontId="0" fillId="0" borderId="4" applyAlignment="1" pivotButton="0" quotePrefix="0" xfId="0">
      <alignment vertical="center" wrapText="1"/>
    </xf>
    <xf numFmtId="170" fontId="9" fillId="10" borderId="4" pivotButton="0" quotePrefix="0" xfId="0"/>
    <xf numFmtId="168" fontId="9" fillId="10" borderId="4" applyAlignment="1" pivotButton="0" quotePrefix="0" xfId="0">
      <alignment vertical="center"/>
    </xf>
    <xf numFmtId="0" fontId="10" fillId="0" borderId="13" applyAlignment="1" pivotButton="0" quotePrefix="0" xfId="0">
      <alignment horizontal="center" vertical="center" wrapText="1"/>
    </xf>
    <xf numFmtId="0" fontId="0" fillId="0" borderId="14" pivotButton="0" quotePrefix="0" xfId="0"/>
    <xf numFmtId="0" fontId="0" fillId="0" borderId="15" pivotButton="0" quotePrefix="0" xfId="0"/>
    <xf numFmtId="0" fontId="0" fillId="0" borderId="16" pivotButton="0" quotePrefix="0" xfId="0"/>
    <xf numFmtId="0" fontId="0" fillId="0" borderId="17" pivotButton="0" quotePrefix="0" xfId="0"/>
    <xf numFmtId="0" fontId="0" fillId="0" borderId="18" pivotButton="0" quotePrefix="0" xfId="0"/>
    <xf numFmtId="0" fontId="0" fillId="0" borderId="19" pivotButton="0" quotePrefix="0" xfId="0"/>
    <xf numFmtId="0" fontId="0" fillId="0" borderId="20" pivotButton="0" quotePrefix="0" xfId="0"/>
    <xf numFmtId="0" fontId="10" fillId="0" borderId="21" applyAlignment="1" pivotButton="0" quotePrefix="0" xfId="0">
      <alignment horizontal="center" vertical="center"/>
    </xf>
    <xf numFmtId="0" fontId="11" fillId="0" borderId="22" applyAlignment="1" pivotButton="0" quotePrefix="0" xfId="0">
      <alignment vertical="center"/>
    </xf>
    <xf numFmtId="0" fontId="10" fillId="0" borderId="22" applyAlignment="1" pivotButton="0" quotePrefix="0" xfId="0">
      <alignment vertical="center"/>
    </xf>
    <xf numFmtId="0" fontId="10" fillId="0" borderId="21" applyAlignment="1" pivotButton="0" quotePrefix="0" xfId="0">
      <alignment vertical="center"/>
    </xf>
    <xf numFmtId="0" fontId="10" fillId="0" borderId="13" applyAlignment="1" pivotButton="0" quotePrefix="0" xfId="0">
      <alignment horizontal="center" vertical="center"/>
    </xf>
    <xf numFmtId="0" fontId="0" fillId="0" borderId="23" pivotButton="0" quotePrefix="0" xfId="0"/>
    <xf numFmtId="164" fontId="10" fillId="0" borderId="13" applyAlignment="1" pivotButton="0" quotePrefix="0" xfId="0">
      <alignment vertical="center"/>
    </xf>
    <xf numFmtId="171" fontId="10" fillId="0" borderId="13" applyAlignment="1" pivotButton="0" quotePrefix="0" xfId="0">
      <alignment vertical="center"/>
    </xf>
    <xf numFmtId="164" fontId="4" fillId="0" borderId="4" pivotButton="0" quotePrefix="0" xfId="0"/>
    <xf numFmtId="164" fontId="7" fillId="7" borderId="4" pivotButton="0" quotePrefix="0" xfId="0"/>
    <xf numFmtId="0" fontId="0" fillId="0" borderId="24" applyAlignment="1" pivotButton="0" quotePrefix="0" xfId="0">
      <alignment vertical="center"/>
    </xf>
    <xf numFmtId="166" fontId="0" fillId="0" borderId="24" applyAlignment="1" pivotButton="0" quotePrefix="0" xfId="0">
      <alignment vertical="center"/>
    </xf>
    <xf numFmtId="166" fontId="12" fillId="7" borderId="8" applyAlignment="1" pivotButton="0" quotePrefix="0" xfId="0">
      <alignment vertical="center"/>
    </xf>
    <xf numFmtId="166" fontId="12" fillId="8" borderId="8" applyAlignment="1" pivotButton="0" quotePrefix="0" xfId="0">
      <alignment vertical="center"/>
    </xf>
    <xf numFmtId="166" fontId="12" fillId="8" borderId="25" applyAlignment="1" pivotButton="0" quotePrefix="0" xfId="0">
      <alignment vertical="center"/>
    </xf>
    <xf numFmtId="166" fontId="12" fillId="7" borderId="4" pivotButton="0" quotePrefix="0" xfId="0"/>
    <xf numFmtId="166" fontId="4" fillId="0" borderId="4" applyAlignment="1" pivotButton="0" quotePrefix="0" xfId="0">
      <alignment vertical="center"/>
    </xf>
    <xf numFmtId="166" fontId="4" fillId="0" borderId="24" pivotButton="0" quotePrefix="0" xfId="0"/>
    <xf numFmtId="166" fontId="12" fillId="7" borderId="4" applyAlignment="1" pivotButton="0" quotePrefix="0" xfId="0">
      <alignment vertical="center"/>
    </xf>
    <xf numFmtId="166" fontId="12" fillId="8" borderId="4" applyAlignment="1" pivotButton="0" quotePrefix="0" xfId="0">
      <alignment vertical="center"/>
    </xf>
    <xf numFmtId="166" fontId="10" fillId="0" borderId="13" applyAlignment="1" pivotButton="0" quotePrefix="0" xfId="0">
      <alignment vertical="center"/>
    </xf>
    <xf numFmtId="166" fontId="0" fillId="0" borderId="4" applyAlignment="1" pivotButton="0" quotePrefix="0" xfId="0">
      <alignment vertical="center"/>
    </xf>
    <xf numFmtId="166" fontId="0" fillId="0" borderId="6" applyAlignment="1" pivotButton="0" quotePrefix="0" xfId="0">
      <alignment vertical="center"/>
    </xf>
    <xf numFmtId="166" fontId="4" fillId="7" borderId="4" pivotButton="0" quotePrefix="0" xfId="0"/>
    <xf numFmtId="166" fontId="5" fillId="8" borderId="8" applyAlignment="1" pivotButton="0" quotePrefix="0" xfId="0">
      <alignment vertical="center"/>
    </xf>
    <xf numFmtId="166" fontId="5" fillId="8" borderId="9" applyAlignment="1" pivotButton="0" quotePrefix="0" xfId="0">
      <alignment vertical="center"/>
    </xf>
    <xf numFmtId="166" fontId="4" fillId="0" borderId="4" pivotButton="0" quotePrefix="0" xfId="0"/>
    <xf numFmtId="166" fontId="7" fillId="7" borderId="4" pivotButton="0" quotePrefix="0" xfId="0"/>
    <xf numFmtId="166" fontId="5" fillId="7" borderId="4" applyAlignment="1" pivotButton="0" quotePrefix="0" xfId="0">
      <alignment vertical="center"/>
    </xf>
    <xf numFmtId="166" fontId="5" fillId="8" borderId="4" applyAlignment="1" pivotButton="0" quotePrefix="0" xfId="0">
      <alignment vertical="center"/>
    </xf>
    <xf numFmtId="167" fontId="8" fillId="8" borderId="4" pivotButton="0" quotePrefix="0" xfId="0"/>
    <xf numFmtId="168" fontId="9" fillId="10" borderId="4" pivotButton="0" quotePrefix="0" xfId="0"/>
    <xf numFmtId="169" fontId="8" fillId="8" borderId="4" pivotButton="0" quotePrefix="0" xfId="0"/>
    <xf numFmtId="166" fontId="6" fillId="9" borderId="4" pivotButton="0" quotePrefix="0" xfId="0"/>
    <xf numFmtId="168" fontId="9" fillId="10" borderId="4" applyAlignment="1" pivotButton="0" quotePrefix="0" xfId="0">
      <alignment vertical="center"/>
    </xf>
    <xf numFmtId="164" fontId="10" fillId="0" borderId="13" applyAlignment="1" pivotButton="0" quotePrefix="0" xfId="0">
      <alignment vertical="center"/>
    </xf>
    <xf numFmtId="171" fontId="10" fillId="0" borderId="13" applyAlignment="1" pivotButton="0" quotePrefix="0" xfId="0">
      <alignment vertical="center"/>
    </xf>
    <xf numFmtId="164" fontId="4" fillId="0" borderId="4" pivotButton="0" quotePrefix="0" xfId="0"/>
    <xf numFmtId="164" fontId="7" fillId="7" borderId="4" pivotButton="0" quotePrefix="0" xfId="0"/>
    <xf numFmtId="0" fontId="32" fillId="0" borderId="0" pivotButton="0" quotePrefix="0" xfId="0"/>
    <xf numFmtId="0" fontId="33" fillId="41" borderId="0" applyAlignment="1" pivotButton="0" quotePrefix="0" xfId="0">
      <alignment horizontal="center" vertical="center" wrapText="1"/>
    </xf>
    <xf numFmtId="0" fontId="34" fillId="0" borderId="40" applyAlignment="1" pivotButton="0" quotePrefix="0" xfId="0">
      <alignment horizontal="left" vertical="center" wrapText="1"/>
    </xf>
    <xf numFmtId="164" fontId="34" fillId="0" borderId="40" applyAlignment="1" pivotButton="0" quotePrefix="0" xfId="0">
      <alignment horizontal="center" vertical="center" wrapText="1"/>
    </xf>
    <xf numFmtId="166" fontId="34" fillId="0" borderId="40" applyAlignment="1" pivotButton="0" quotePrefix="0" xfId="0">
      <alignment horizontal="center" vertical="center" wrapText="1"/>
    </xf>
    <xf numFmtId="0" fontId="34" fillId="0" borderId="40" applyAlignment="1" pivotButton="0" quotePrefix="0" xfId="0">
      <alignment horizontal="center" vertical="center" wrapText="1"/>
    </xf>
    <xf numFmtId="0" fontId="35" fillId="42" borderId="40" applyAlignment="1" pivotButton="0" quotePrefix="0" xfId="0">
      <alignment horizontal="left" vertical="center" wrapText="1"/>
    </xf>
    <xf numFmtId="164" fontId="35" fillId="42" borderId="40" applyAlignment="1" pivotButton="0" quotePrefix="0" xfId="0">
      <alignment horizontal="center" vertical="center" wrapText="1"/>
    </xf>
    <xf numFmtId="166" fontId="35" fillId="42" borderId="40" applyAlignment="1" pivotButton="0" quotePrefix="0" xfId="0">
      <alignment horizontal="center" vertical="center" wrapText="1"/>
    </xf>
    <xf numFmtId="0" fontId="35" fillId="42" borderId="40" applyAlignment="1" pivotButton="0" quotePrefix="0" xfId="0">
      <alignment horizontal="center" vertical="center" wrapText="1"/>
    </xf>
    <xf numFmtId="166" fontId="0" fillId="0" borderId="24" applyAlignment="1" pivotButton="0" quotePrefix="0" xfId="0">
      <alignment vertical="center"/>
    </xf>
    <xf numFmtId="166" fontId="12" fillId="7" borderId="8" applyAlignment="1" pivotButton="0" quotePrefix="0" xfId="0">
      <alignment vertical="center"/>
    </xf>
    <xf numFmtId="166" fontId="12" fillId="8" borderId="8" applyAlignment="1" pivotButton="0" quotePrefix="0" xfId="0">
      <alignment vertical="center"/>
    </xf>
    <xf numFmtId="166" fontId="12" fillId="8" borderId="25" applyAlignment="1" pivotButton="0" quotePrefix="0" xfId="0">
      <alignment vertical="center"/>
    </xf>
    <xf numFmtId="166" fontId="12" fillId="7" borderId="4" pivotButton="0" quotePrefix="0" xfId="0"/>
    <xf numFmtId="166" fontId="4" fillId="0" borderId="4" applyAlignment="1" pivotButton="0" quotePrefix="0" xfId="0">
      <alignment vertical="center"/>
    </xf>
    <xf numFmtId="166" fontId="4" fillId="0" borderId="24" pivotButton="0" quotePrefix="0" xfId="0"/>
    <xf numFmtId="166" fontId="12" fillId="7" borderId="4" applyAlignment="1" pivotButton="0" quotePrefix="0" xfId="0">
      <alignment vertical="center"/>
    </xf>
    <xf numFmtId="166" fontId="12" fillId="8" borderId="4" applyAlignment="1" pivotButton="0" quotePrefix="0" xfId="0">
      <alignment vertical="center"/>
    </xf>
    <xf numFmtId="166" fontId="10" fillId="0" borderId="13" applyAlignment="1" pivotButton="0" quotePrefix="0" xfId="0">
      <alignment vertical="center"/>
    </xf>
    <xf numFmtId="170" fontId="9" fillId="10" borderId="4" pivotButton="0" quotePrefix="0" xfId="0"/>
    <xf numFmtId="164" fontId="0" fillId="0" borderId="0" applyAlignment="1" pivotButton="0" quotePrefix="0" xfId="0">
      <alignment vertical="top" wrapText="1"/>
    </xf>
    <xf numFmtId="165" fontId="0" fillId="0" borderId="0" applyAlignment="1" pivotButton="0" quotePrefix="0" xfId="0">
      <alignment vertical="top" wrapText="1"/>
    </xf>
    <xf numFmtId="164" fontId="0" fillId="0" borderId="0" pivotButton="0" quotePrefix="0" xfId="0"/>
    <xf numFmtId="0" fontId="33" fillId="41" borderId="0" applyAlignment="1" pivotButton="0" quotePrefix="0" xfId="0">
      <alignment vertical="top" wrapText="1"/>
    </xf>
    <xf numFmtId="0" fontId="33" fillId="41" borderId="0" applyAlignment="1" pivotButton="0" quotePrefix="0" xfId="0">
      <alignment horizontal="center" wrapText="1"/>
    </xf>
    <xf numFmtId="0" fontId="0" fillId="0" borderId="0" applyAlignment="1" pivotButton="0" quotePrefix="0" xfId="0">
      <alignment horizontal="left" wrapText="1"/>
    </xf>
    <xf numFmtId="164" fontId="0" fillId="0" borderId="0" applyAlignment="1" pivotButton="0" quotePrefix="0" xfId="0">
      <alignment horizontal="center" wrapText="1"/>
    </xf>
    <xf numFmtId="166" fontId="0" fillId="0" borderId="0" applyAlignment="1" pivotButton="0" quotePrefix="0" xfId="0">
      <alignment horizontal="center" wrapText="1"/>
    </xf>
    <xf numFmtId="0" fontId="0" fillId="0" borderId="0" applyAlignment="1" pivotButton="0" quotePrefix="0" xfId="0">
      <alignment horizontal="center" wrapText="1"/>
    </xf>
    <xf numFmtId="173" fontId="0" fillId="0" borderId="0" applyAlignment="1" pivotButton="0" quotePrefix="0" xfId="0">
      <alignment vertical="center"/>
    </xf>
    <xf numFmtId="1" fontId="0" fillId="0" borderId="0" applyAlignment="1" pivotButton="0" quotePrefix="0" xfId="0">
      <alignment horizontal="center" wrapText="1"/>
    </xf>
    <xf numFmtId="173" fontId="0" fillId="0" borderId="0" applyAlignment="1" pivotButton="0" quotePrefix="0" xfId="0">
      <alignment horizontal="center" wrapText="1"/>
    </xf>
    <xf numFmtId="0" fontId="35" fillId="0" borderId="0" applyAlignment="1" pivotButton="0" quotePrefix="0" xfId="0">
      <alignment horizontal="left" wrapText="1"/>
    </xf>
    <xf numFmtId="164" fontId="35" fillId="0" borderId="0" applyAlignment="1" pivotButton="0" quotePrefix="0" xfId="0">
      <alignment horizontal="center" wrapText="1"/>
    </xf>
    <xf numFmtId="173" fontId="35" fillId="0" borderId="0" applyAlignment="1" pivotButton="0" quotePrefix="0" xfId="0">
      <alignment horizontal="center" wrapText="1"/>
    </xf>
    <xf numFmtId="0" fontId="35" fillId="0" borderId="0" applyAlignment="1" pivotButton="0" quotePrefix="0" xfId="0">
      <alignment horizontal="center" wrapText="1"/>
    </xf>
    <xf numFmtId="1" fontId="35" fillId="0" borderId="0" applyAlignment="1" pivotButton="0" quotePrefix="0" xfId="0">
      <alignment horizont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styles" Target="styles.xml" Id="rId83" /><Relationship Type="http://schemas.openxmlformats.org/officeDocument/2006/relationships/theme" Target="theme/theme1.xml" Id="rId84" /></Relationships>
</file>

<file path=xl/charts/chart1.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Recall@10 vs. Query time</a:t>
            </a:r>
          </a:p>
        </rich>
      </tx>
      <layout/>
      <overlay val="0"/>
    </title>
    <plotArea>
      <layout/>
      <scatterChart>
        <scatterStyle val="lineMarker"/>
        <varyColors val="0"/>
        <ser>
          <idx val="0"/>
          <order val="0"/>
          <tx>
            <strRef>
              <f>"VLAH"</f>
              <strCache>
                <ptCount val="1"/>
                <pt idx="0">
                  <v>VLAH</v>
                </pt>
              </strCache>
            </strRef>
          </tx>
          <spPr>
            <a:ln w="19050" cap="rnd" cmpd="sng" algn="ctr">
              <a:solidFill>
                <a:schemeClr val="accent1"/>
              </a:solidFill>
              <a:prstDash val="solid"/>
              <a:round/>
            </a:ln>
          </spPr>
          <marker>
            <symbol val="circle"/>
            <size val="5"/>
            <spPr>
              <a:ln w="6350" cap="flat" cmpd="sng" algn="ctr">
                <a:solidFill>
                  <a:schemeClr val="accent1"/>
                </a:solidFill>
                <a:prstDash val="solid"/>
                <a:round/>
              </a:ln>
            </spPr>
          </marker>
          <dLbls>
            <delete val="1"/>
          </dLbls>
          <xVal>
            <numRef>
              <f>'Recall99 measurements'!$C$2:$C$12</f>
              <numCache>
                <formatCode>0.0%</formatCode>
                <ptCount val="11"/>
                <pt idx="0">
                  <v>0.607</v>
                </pt>
                <pt idx="1">
                  <v>0.654</v>
                </pt>
                <pt idx="2">
                  <v>0.708</v>
                </pt>
                <pt idx="3">
                  <v>0.75</v>
                </pt>
                <pt idx="4">
                  <v>0.8</v>
                </pt>
                <pt idx="5">
                  <v>0.85</v>
                </pt>
                <pt idx="6">
                  <v>0.903</v>
                </pt>
                <pt idx="7">
                  <v>0.952</v>
                </pt>
                <pt idx="8">
                  <v>0.972</v>
                </pt>
                <pt idx="9">
                  <v>0.98</v>
                </pt>
                <pt idx="10">
                  <v>0.991</v>
                </pt>
              </numCache>
            </numRef>
          </xVal>
          <yVal>
            <numRef>
              <f>'Recall99 measurements'!$D$2:$D$12</f>
              <numCache>
                <formatCode>General</formatCode>
                <ptCount val="11"/>
                <pt idx="0">
                  <v>17.0517269033333</v>
                </pt>
                <pt idx="1">
                  <v>20.2751743866667</v>
                </pt>
                <pt idx="2">
                  <v>26.32129043</v>
                </pt>
                <pt idx="3">
                  <v>29.3498243433333</v>
                </pt>
                <pt idx="4">
                  <v>36.5804762</v>
                </pt>
                <pt idx="5">
                  <v>40.9267938566667</v>
                </pt>
                <pt idx="6">
                  <v>48.2655236333333</v>
                </pt>
                <pt idx="7">
                  <v>56.3584423366667</v>
                </pt>
                <pt idx="8">
                  <v>60.5991719466667</v>
                </pt>
                <pt idx="9">
                  <v>67.77530642000001</v>
                </pt>
                <pt idx="10">
                  <v>71.5946153666667</v>
                </pt>
              </numCache>
            </numRef>
          </yVal>
          <smooth val="0"/>
        </ser>
        <ser>
          <idx val="1"/>
          <order val="1"/>
          <tx>
            <strRef>
              <f>"ANNProof"</f>
              <strCache>
                <ptCount val="1"/>
                <pt idx="0">
                  <v>ANNProof</v>
                </pt>
              </strCache>
            </strRef>
          </tx>
          <spPr>
            <a:ln w="19050" cap="rnd" cmpd="sng" algn="ctr">
              <a:solidFill>
                <a:schemeClr val="accent2"/>
              </a:solidFill>
              <a:prstDash val="solid"/>
              <a:round/>
            </a:ln>
          </spPr>
          <marker>
            <symbol val="triangle"/>
            <size val="5"/>
            <spPr>
              <a:ln w="6350" cap="flat" cmpd="sng" algn="ctr">
                <a:solidFill>
                  <a:schemeClr val="accent2"/>
                </a:solidFill>
                <a:prstDash val="solid"/>
                <a:round/>
              </a:ln>
            </spPr>
          </marker>
          <dLbls>
            <delete val="1"/>
          </dLbls>
          <xVal>
            <numRef>
              <f>'Recall99 measurements'!$C$13:$C$23</f>
              <numCache>
                <formatCode>0.0%</formatCode>
                <ptCount val="11"/>
                <pt idx="0">
                  <v>0.621</v>
                </pt>
                <pt idx="1">
                  <v>0.667</v>
                </pt>
                <pt idx="2">
                  <v>0.716</v>
                </pt>
                <pt idx="3">
                  <v>0.756</v>
                </pt>
                <pt idx="4">
                  <v>0.8139999999999999</v>
                </pt>
                <pt idx="5">
                  <v>0.865</v>
                </pt>
                <pt idx="6">
                  <v>0.902</v>
                </pt>
                <pt idx="7">
                  <v>0.951</v>
                </pt>
                <pt idx="8">
                  <v>0.973</v>
                </pt>
                <pt idx="9">
                  <v>0.981</v>
                </pt>
                <pt idx="10">
                  <v>0.99</v>
                </pt>
              </numCache>
            </numRef>
          </xVal>
          <yVal>
            <numRef>
              <f>'Recall99 measurements'!$D$13:$D$23</f>
              <numCache>
                <formatCode>General</formatCode>
                <ptCount val="11"/>
                <pt idx="0">
                  <v>0.716869013333333</v>
                </pt>
                <pt idx="1">
                  <v>0.752639593333333</v>
                </pt>
                <pt idx="2">
                  <v>0.8841314</v>
                </pt>
                <pt idx="3">
                  <v>0.94956975</v>
                </pt>
                <pt idx="4">
                  <v>1.19981304666667</v>
                </pt>
                <pt idx="5">
                  <v>1.52797133666667</v>
                </pt>
                <pt idx="6">
                  <v>1.96009546666667</v>
                </pt>
                <pt idx="7">
                  <v>2.81582243666667</v>
                </pt>
                <pt idx="8">
                  <v>4.19542150666667</v>
                </pt>
                <pt idx="9">
                  <v>6.30232666</v>
                </pt>
                <pt idx="10">
                  <v>11.1530746866667</v>
                </pt>
              </numCache>
            </numRef>
          </yVal>
          <smooth val="0"/>
        </ser>
        <ser>
          <idx val="2"/>
          <order val="2"/>
          <tx>
            <strRef>
              <f>"Ours"</f>
              <strCache>
                <ptCount val="1"/>
                <pt idx="0">
                  <v>Ours</v>
                </pt>
              </strCache>
            </strRef>
          </tx>
          <spPr>
            <a:ln w="19050" cap="rnd" cmpd="sng" algn="ctr">
              <a:solidFill>
                <a:schemeClr val="accent3"/>
              </a:solidFill>
              <a:prstDash val="solid"/>
              <a:round/>
            </a:ln>
          </spPr>
          <marker>
            <symbol val="square"/>
            <size val="5"/>
            <spPr>
              <a:ln w="6350" cap="flat" cmpd="sng" algn="ctr">
                <a:solidFill>
                  <a:schemeClr val="accent3"/>
                </a:solidFill>
                <a:prstDash val="solid"/>
                <a:round/>
              </a:ln>
            </spPr>
          </marker>
          <dLbls>
            <delete val="1"/>
          </dLbls>
          <xVal>
            <numRef>
              <f>'Recall99 measurements'!$C$24:$C$34</f>
              <numCache>
                <formatCode>0.0%</formatCode>
                <ptCount val="11"/>
                <pt idx="0">
                  <v>0.623</v>
                </pt>
                <pt idx="1">
                  <v>0.663</v>
                </pt>
                <pt idx="2">
                  <v>0.702</v>
                </pt>
                <pt idx="3">
                  <v>0.76</v>
                </pt>
                <pt idx="4">
                  <v>0.803</v>
                </pt>
                <pt idx="5">
                  <v>0.873</v>
                </pt>
                <pt idx="6">
                  <v>0.904</v>
                </pt>
                <pt idx="7">
                  <v>0.954</v>
                </pt>
                <pt idx="8">
                  <v>0.972</v>
                </pt>
                <pt idx="9">
                  <v>0.987</v>
                </pt>
                <pt idx="10">
                  <v>0.99</v>
                </pt>
              </numCache>
            </numRef>
          </xVal>
          <yVal>
            <numRef>
              <f>'Recall99 measurements'!$D$24:$D$34</f>
              <numCache>
                <formatCode>General</formatCode>
                <ptCount val="11"/>
                <pt idx="0">
                  <v>0.615278846666667</v>
                </pt>
                <pt idx="1">
                  <v>0.658947806666667</v>
                </pt>
                <pt idx="2">
                  <v>0.77556551</v>
                </pt>
                <pt idx="3">
                  <v>0.85642335</v>
                </pt>
                <pt idx="4">
                  <v>0.9713977633333331</v>
                </pt>
                <pt idx="5">
                  <v>1.37489354333333</v>
                </pt>
                <pt idx="6">
                  <v>1.66592562666667</v>
                </pt>
                <pt idx="7">
                  <v>2.33039252333333</v>
                </pt>
                <pt idx="8">
                  <v>3.21146328333333</v>
                </pt>
                <pt idx="9">
                  <v>5.43708398</v>
                </pt>
                <pt idx="10">
                  <v>6.88074424333333</v>
                </pt>
              </numCache>
            </numRef>
          </yVal>
          <smooth val="0"/>
        </ser>
        <dLbls>
          <showLegendKey val="0"/>
          <showVal val="0"/>
          <showCatName val="0"/>
          <showSerName val="0"/>
          <showPercent val="0"/>
          <showBubbleSize val="0"/>
        </dLbls>
        <axId val="20"/>
        <axId val="10"/>
      </scatterChart>
      <valAx>
        <axId val="20"/>
        <scaling>
          <orientation val="minMax"/>
          <min val="0"/>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Query time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max val="1"/>
          <min val="0.6"/>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majorUnit val="0.05"/>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2.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Recall@10 vs. VO size</a:t>
            </a:r>
          </a:p>
        </rich>
      </tx>
      <layout/>
      <overlay val="0"/>
    </title>
    <plotArea>
      <layout/>
      <scatterChart>
        <scatterStyle val="lineMarker"/>
        <varyColors val="0"/>
        <ser>
          <idx val="0"/>
          <order val="0"/>
          <tx>
            <strRef>
              <f>"VLAH"</f>
              <strCache>
                <ptCount val="1"/>
                <pt idx="0">
                  <v>VLAH</v>
                </pt>
              </strCache>
            </strRef>
          </tx>
          <spPr>
            <a:ln w="19050" cap="rnd" cmpd="sng" algn="ctr">
              <a:solidFill>
                <a:schemeClr val="accent1"/>
              </a:solidFill>
              <a:prstDash val="solid"/>
              <a:round/>
            </a:ln>
          </spPr>
          <marker>
            <symbol val="circle"/>
            <size val="5"/>
            <spPr>
              <a:ln w="6350" cap="flat" cmpd="sng" algn="ctr">
                <a:solidFill>
                  <a:schemeClr val="accent1"/>
                </a:solidFill>
                <a:prstDash val="solid"/>
                <a:round/>
              </a:ln>
            </spPr>
          </marker>
          <dLbls>
            <delete val="1"/>
          </dLbls>
          <xVal>
            <numRef>
              <f>'Recall99 measurements'!$C$2:$C$12</f>
              <numCache>
                <formatCode>0.0%</formatCode>
                <ptCount val="11"/>
                <pt idx="0">
                  <v>0.607</v>
                </pt>
                <pt idx="1">
                  <v>0.654</v>
                </pt>
                <pt idx="2">
                  <v>0.708</v>
                </pt>
                <pt idx="3">
                  <v>0.75</v>
                </pt>
                <pt idx="4">
                  <v>0.8</v>
                </pt>
                <pt idx="5">
                  <v>0.85</v>
                </pt>
                <pt idx="6">
                  <v>0.903</v>
                </pt>
                <pt idx="7">
                  <v>0.952</v>
                </pt>
                <pt idx="8">
                  <v>0.972</v>
                </pt>
                <pt idx="9">
                  <v>0.98</v>
                </pt>
                <pt idx="10">
                  <v>0.991</v>
                </pt>
              </numCache>
            </numRef>
          </xVal>
          <yVal>
            <numRef>
              <f>'Recall99 measurements'!$F$2:$F$12</f>
              <numCache>
                <formatCode>General</formatCode>
                <ptCount val="11"/>
                <pt idx="0">
                  <v>6884.91722</v>
                </pt>
                <pt idx="1">
                  <v>8168.20064</v>
                </pt>
                <pt idx="2">
                  <v>10594.0396</v>
                </pt>
                <pt idx="3">
                  <v>11799.26473</v>
                </pt>
                <pt idx="4">
                  <v>14707.67269</v>
                </pt>
                <pt idx="5">
                  <v>16410.55426</v>
                </pt>
                <pt idx="6">
                  <v>19121.68517</v>
                </pt>
                <pt idx="7">
                  <v>22551.14638</v>
                </pt>
                <pt idx="8">
                  <v>23604.59377</v>
                </pt>
                <pt idx="9">
                  <v>24977.07306</v>
                </pt>
                <pt idx="10">
                  <v>26276.0758</v>
                </pt>
              </numCache>
            </numRef>
          </yVal>
          <smooth val="0"/>
        </ser>
        <ser>
          <idx val="1"/>
          <order val="1"/>
          <tx>
            <strRef>
              <f>"ANNProof"</f>
              <strCache>
                <ptCount val="1"/>
                <pt idx="0">
                  <v>ANNProof</v>
                </pt>
              </strCache>
            </strRef>
          </tx>
          <spPr>
            <a:ln w="19050" cap="rnd" cmpd="sng" algn="ctr">
              <a:solidFill>
                <a:schemeClr val="accent2"/>
              </a:solidFill>
              <a:prstDash val="solid"/>
              <a:round/>
            </a:ln>
          </spPr>
          <marker>
            <symbol val="triangle"/>
            <size val="5"/>
            <spPr>
              <a:ln w="6350" cap="flat" cmpd="sng" algn="ctr">
                <a:solidFill>
                  <a:schemeClr val="accent2"/>
                </a:solidFill>
                <a:prstDash val="solid"/>
                <a:round/>
              </a:ln>
            </spPr>
          </marker>
          <dLbls>
            <delete val="1"/>
          </dLbls>
          <xVal>
            <numRef>
              <f>'Recall99 measurements'!$C$13:$C$23</f>
              <numCache>
                <formatCode>0.0%</formatCode>
                <ptCount val="11"/>
                <pt idx="0">
                  <v>0.621</v>
                </pt>
                <pt idx="1">
                  <v>0.667</v>
                </pt>
                <pt idx="2">
                  <v>0.716</v>
                </pt>
                <pt idx="3">
                  <v>0.756</v>
                </pt>
                <pt idx="4">
                  <v>0.8139999999999999</v>
                </pt>
                <pt idx="5">
                  <v>0.865</v>
                </pt>
                <pt idx="6">
                  <v>0.902</v>
                </pt>
                <pt idx="7">
                  <v>0.951</v>
                </pt>
                <pt idx="8">
                  <v>0.973</v>
                </pt>
                <pt idx="9">
                  <v>0.981</v>
                </pt>
                <pt idx="10">
                  <v>0.99</v>
                </pt>
              </numCache>
            </numRef>
          </xVal>
          <yVal>
            <numRef>
              <f>'Recall99 measurements'!$F$13:$F$23</f>
              <numCache>
                <formatCode>General</formatCode>
                <ptCount val="11"/>
                <pt idx="0">
                  <v>304.84092</v>
                </pt>
                <pt idx="1">
                  <v>329.81636</v>
                </pt>
                <pt idx="2">
                  <v>371.42244</v>
                </pt>
                <pt idx="3">
                  <v>410.95908</v>
                </pt>
                <pt idx="4">
                  <v>502.67152</v>
                </pt>
                <pt idx="5">
                  <v>629.9272</v>
                </pt>
                <pt idx="6">
                  <v>775.95196</v>
                </pt>
                <pt idx="7">
                  <v>1071.01752</v>
                </pt>
                <pt idx="8">
                  <v>1533.3312</v>
                </pt>
                <pt idx="9">
                  <v>2202.81128</v>
                </pt>
                <pt idx="10">
                  <v>3757.36496</v>
                </pt>
              </numCache>
            </numRef>
          </yVal>
          <smooth val="0"/>
        </ser>
        <ser>
          <idx val="2"/>
          <order val="2"/>
          <tx>
            <strRef>
              <f>"Ours"</f>
              <strCache>
                <ptCount val="1"/>
                <pt idx="0">
                  <v>Ours</v>
                </pt>
              </strCache>
            </strRef>
          </tx>
          <spPr>
            <a:ln w="19050" cap="rnd" cmpd="sng" algn="ctr">
              <a:solidFill>
                <a:schemeClr val="accent3"/>
              </a:solidFill>
              <a:prstDash val="solid"/>
              <a:round/>
            </a:ln>
          </spPr>
          <marker>
            <symbol val="square"/>
            <size val="5"/>
            <spPr>
              <a:ln w="6350" cap="flat" cmpd="sng" algn="ctr">
                <a:solidFill>
                  <a:schemeClr val="accent3"/>
                </a:solidFill>
                <a:prstDash val="solid"/>
                <a:round/>
              </a:ln>
            </spPr>
          </marker>
          <dLbls>
            <delete val="1"/>
          </dLbls>
          <xVal>
            <numRef>
              <f>'Recall99 measurements'!$C$24:$C$34</f>
              <numCache>
                <formatCode>0.0%</formatCode>
                <ptCount val="11"/>
                <pt idx="0">
                  <v>0.623</v>
                </pt>
                <pt idx="1">
                  <v>0.663</v>
                </pt>
                <pt idx="2">
                  <v>0.702</v>
                </pt>
                <pt idx="3">
                  <v>0.76</v>
                </pt>
                <pt idx="4">
                  <v>0.803</v>
                </pt>
                <pt idx="5">
                  <v>0.873</v>
                </pt>
                <pt idx="6">
                  <v>0.904</v>
                </pt>
                <pt idx="7">
                  <v>0.954</v>
                </pt>
                <pt idx="8">
                  <v>0.972</v>
                </pt>
                <pt idx="9">
                  <v>0.987</v>
                </pt>
                <pt idx="10">
                  <v>0.99</v>
                </pt>
              </numCache>
            </numRef>
          </xVal>
          <yVal>
            <numRef>
              <f>'Recall99 measurements'!$F$24:$F$34</f>
              <numCache>
                <formatCode>General</formatCode>
                <ptCount val="11"/>
                <pt idx="0">
                  <v>77.5966</v>
                </pt>
                <pt idx="1">
                  <v>82.3378</v>
                </pt>
                <pt idx="2">
                  <v>91.27648000000001</v>
                </pt>
                <pt idx="3">
                  <v>103.21712</v>
                </pt>
                <pt idx="4">
                  <v>114.56068</v>
                </pt>
                <pt idx="5">
                  <v>153.43736</v>
                </pt>
                <pt idx="6">
                  <v>175.69476</v>
                </pt>
                <pt idx="7">
                  <v>236.02116</v>
                </pt>
                <pt idx="8">
                  <v>307.025</v>
                </pt>
                <pt idx="9">
                  <v>490.266</v>
                </pt>
                <pt idx="10">
                  <v>599.2962</v>
                </pt>
              </numCache>
            </numRef>
          </yVal>
          <smooth val="0"/>
        </ser>
        <dLbls>
          <showLegendKey val="0"/>
          <showVal val="0"/>
          <showCatName val="0"/>
          <showSerName val="0"/>
          <showPercent val="0"/>
          <showBubbleSize val="0"/>
        </dLbls>
        <axId val="20"/>
        <axId val="10"/>
      </scatterChart>
      <valAx>
        <axId val="20"/>
        <scaling>
          <orientation val="minMax"/>
          <min val="0"/>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VO size (KB)</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max val="1"/>
          <min val="0.6"/>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majorUnit val="0.05"/>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3.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Recall@10 vs. Verify time</a:t>
            </a:r>
          </a:p>
        </rich>
      </tx>
      <layout/>
      <overlay val="0"/>
    </title>
    <plotArea>
      <layout/>
      <scatterChart>
        <scatterStyle val="lineMarker"/>
        <varyColors val="0"/>
        <ser>
          <idx val="0"/>
          <order val="0"/>
          <tx>
            <strRef>
              <f>"VLAH"</f>
              <strCache>
                <ptCount val="1"/>
                <pt idx="0">
                  <v>VLAH</v>
                </pt>
              </strCache>
            </strRef>
          </tx>
          <spPr>
            <a:ln w="19050" cap="rnd" cmpd="sng" algn="ctr">
              <a:solidFill>
                <a:schemeClr val="accent1"/>
              </a:solidFill>
              <a:prstDash val="solid"/>
              <a:round/>
            </a:ln>
          </spPr>
          <marker>
            <symbol val="circle"/>
            <size val="5"/>
            <spPr>
              <a:ln w="6350" cap="flat" cmpd="sng" algn="ctr">
                <a:solidFill>
                  <a:schemeClr val="accent1"/>
                </a:solidFill>
                <a:prstDash val="solid"/>
                <a:round/>
              </a:ln>
            </spPr>
          </marker>
          <dLbls>
            <delete val="1"/>
          </dLbls>
          <xVal>
            <numRef>
              <f>'Recall99 measurements'!$C$2:$C$12</f>
              <numCache>
                <formatCode>0.0%</formatCode>
                <ptCount val="11"/>
                <pt idx="0">
                  <v>0.607</v>
                </pt>
                <pt idx="1">
                  <v>0.654</v>
                </pt>
                <pt idx="2">
                  <v>0.708</v>
                </pt>
                <pt idx="3">
                  <v>0.75</v>
                </pt>
                <pt idx="4">
                  <v>0.8</v>
                </pt>
                <pt idx="5">
                  <v>0.85</v>
                </pt>
                <pt idx="6">
                  <v>0.903</v>
                </pt>
                <pt idx="7">
                  <v>0.952</v>
                </pt>
                <pt idx="8">
                  <v>0.972</v>
                </pt>
                <pt idx="9">
                  <v>0.98</v>
                </pt>
                <pt idx="10">
                  <v>0.991</v>
                </pt>
              </numCache>
            </numRef>
          </xVal>
          <yVal>
            <numRef>
              <f>'Recall99 measurements'!$E$2:$E$12</f>
              <numCache>
                <formatCode>General</formatCode>
                <ptCount val="11"/>
                <pt idx="0">
                  <v>45.3004235666667</v>
                </pt>
                <pt idx="1">
                  <v>53.9443851833333</v>
                </pt>
                <pt idx="2">
                  <v>70.0221579833333</v>
                </pt>
                <pt idx="3">
                  <v>78.27115032</v>
                </pt>
                <pt idx="4">
                  <v>97.75630345</v>
                </pt>
                <pt idx="5">
                  <v>109.452387803333</v>
                </pt>
                <pt idx="6">
                  <v>127.420139816667</v>
                </pt>
                <pt idx="7">
                  <v>150.39012002</v>
                </pt>
                <pt idx="8">
                  <v>158.266914293333</v>
                </pt>
                <pt idx="9">
                  <v>167.846554113333</v>
                </pt>
                <pt idx="10">
                  <v>176.97110718</v>
                </pt>
              </numCache>
            </numRef>
          </yVal>
          <smooth val="0"/>
        </ser>
        <ser>
          <idx val="1"/>
          <order val="1"/>
          <tx>
            <strRef>
              <f>"ANNProof"</f>
              <strCache>
                <ptCount val="1"/>
                <pt idx="0">
                  <v>ANNProof</v>
                </pt>
              </strCache>
            </strRef>
          </tx>
          <spPr>
            <a:ln w="19050" cap="rnd" cmpd="sng" algn="ctr">
              <a:solidFill>
                <a:schemeClr val="accent2"/>
              </a:solidFill>
              <a:prstDash val="solid"/>
              <a:round/>
            </a:ln>
          </spPr>
          <marker>
            <symbol val="triangle"/>
            <size val="5"/>
            <spPr>
              <a:ln w="6350" cap="flat" cmpd="sng" algn="ctr">
                <a:solidFill>
                  <a:schemeClr val="accent2"/>
                </a:solidFill>
                <a:prstDash val="solid"/>
                <a:round/>
              </a:ln>
            </spPr>
          </marker>
          <dLbls>
            <delete val="1"/>
          </dLbls>
          <xVal>
            <numRef>
              <f>'Recall99 measurements'!$C$13:$C$23</f>
              <numCache>
                <formatCode>0.0%</formatCode>
                <ptCount val="11"/>
                <pt idx="0">
                  <v>0.621</v>
                </pt>
                <pt idx="1">
                  <v>0.667</v>
                </pt>
                <pt idx="2">
                  <v>0.716</v>
                </pt>
                <pt idx="3">
                  <v>0.756</v>
                </pt>
                <pt idx="4">
                  <v>0.8139999999999999</v>
                </pt>
                <pt idx="5">
                  <v>0.865</v>
                </pt>
                <pt idx="6">
                  <v>0.902</v>
                </pt>
                <pt idx="7">
                  <v>0.951</v>
                </pt>
                <pt idx="8">
                  <v>0.973</v>
                </pt>
                <pt idx="9">
                  <v>0.981</v>
                </pt>
                <pt idx="10">
                  <v>0.99</v>
                </pt>
              </numCache>
            </numRef>
          </xVal>
          <yVal>
            <numRef>
              <f>'Recall99 measurements'!$E$13:$E$23</f>
              <numCache>
                <formatCode>General</formatCode>
                <ptCount val="11"/>
                <pt idx="0">
                  <v>3.80049899333333</v>
                </pt>
                <pt idx="1">
                  <v>4.15148504666667</v>
                </pt>
                <pt idx="2">
                  <v>4.66283399333333</v>
                </pt>
                <pt idx="3">
                  <v>5.12229764666667</v>
                </pt>
                <pt idx="4">
                  <v>6.30241411666667</v>
                </pt>
                <pt idx="5">
                  <v>7.90480122</v>
                </pt>
                <pt idx="6">
                  <v>9.777948606666669</v>
                </pt>
                <pt idx="7">
                  <v>13.50564445</v>
                </pt>
                <pt idx="8">
                  <v>19.3207201966667</v>
                </pt>
                <pt idx="9">
                  <v>27.84074771</v>
                </pt>
                <pt idx="10">
                  <v>47.2809814133333</v>
                </pt>
              </numCache>
            </numRef>
          </yVal>
          <smooth val="0"/>
        </ser>
        <ser>
          <idx val="2"/>
          <order val="2"/>
          <tx>
            <strRef>
              <f>"Ours"</f>
              <strCache>
                <ptCount val="1"/>
                <pt idx="0">
                  <v>Ours</v>
                </pt>
              </strCache>
            </strRef>
          </tx>
          <spPr>
            <a:ln w="19050" cap="rnd" cmpd="sng" algn="ctr">
              <a:solidFill>
                <a:schemeClr val="accent3"/>
              </a:solidFill>
              <a:prstDash val="solid"/>
              <a:round/>
            </a:ln>
          </spPr>
          <marker>
            <symbol val="square"/>
            <size val="5"/>
            <spPr>
              <a:ln w="6350" cap="flat" cmpd="sng" algn="ctr">
                <a:solidFill>
                  <a:schemeClr val="accent3"/>
                </a:solidFill>
                <a:prstDash val="solid"/>
                <a:round/>
              </a:ln>
            </spPr>
          </marker>
          <dLbls>
            <delete val="1"/>
          </dLbls>
          <xVal>
            <numRef>
              <f>'Recall99 measurements'!$C$24:$C$34</f>
              <numCache>
                <formatCode>0.0%</formatCode>
                <ptCount val="11"/>
                <pt idx="0">
                  <v>0.623</v>
                </pt>
                <pt idx="1">
                  <v>0.663</v>
                </pt>
                <pt idx="2">
                  <v>0.702</v>
                </pt>
                <pt idx="3">
                  <v>0.76</v>
                </pt>
                <pt idx="4">
                  <v>0.803</v>
                </pt>
                <pt idx="5">
                  <v>0.873</v>
                </pt>
                <pt idx="6">
                  <v>0.904</v>
                </pt>
                <pt idx="7">
                  <v>0.954</v>
                </pt>
                <pt idx="8">
                  <v>0.972</v>
                </pt>
                <pt idx="9">
                  <v>0.987</v>
                </pt>
                <pt idx="10">
                  <v>0.99</v>
                </pt>
              </numCache>
            </numRef>
          </xVal>
          <yVal>
            <numRef>
              <f>'Recall99 measurements'!$E$24:$E$34</f>
              <numCache>
                <formatCode>General</formatCode>
                <ptCount val="11"/>
                <pt idx="0">
                  <v>1.55806525333333</v>
                </pt>
                <pt idx="1">
                  <v>1.64942995</v>
                </pt>
                <pt idx="2">
                  <v>1.82777087333333</v>
                </pt>
                <pt idx="3">
                  <v>2.06668139</v>
                </pt>
                <pt idx="4">
                  <v>2.30338058333333</v>
                </pt>
                <pt idx="5">
                  <v>3.06051667666667</v>
                </pt>
                <pt idx="6">
                  <v>3.48902270333333</v>
                </pt>
                <pt idx="7">
                  <v>4.68043708333333</v>
                </pt>
                <pt idx="8">
                  <v>6.08716991666667</v>
                </pt>
                <pt idx="9">
                  <v>9.89511474333333</v>
                </pt>
                <pt idx="10">
                  <v>12.29062924</v>
                </pt>
              </numCache>
            </numRef>
          </yVal>
          <smooth val="0"/>
        </ser>
        <dLbls>
          <showLegendKey val="0"/>
          <showVal val="0"/>
          <showCatName val="0"/>
          <showSerName val="0"/>
          <showPercent val="0"/>
          <showBubbleSize val="0"/>
        </dLbls>
        <axId val="20"/>
        <axId val="10"/>
      </scatterChart>
      <valAx>
        <axId val="20"/>
        <scaling>
          <orientation val="minMax"/>
          <min val="0"/>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Verify time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max val="1"/>
          <min val="0.6"/>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majorUnit val="0.05"/>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4.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GloVe-100: Recall vs. Query time</a:t>
            </a:r>
          </a:p>
        </rich>
      </tx>
      <layout/>
      <overlay val="0"/>
    </title>
    <plotArea>
      <layout/>
      <scatterChart>
        <scatterStyle val="lineMarker"/>
        <varyColors val="0"/>
        <ser>
          <idx val="0"/>
          <order val="0"/>
          <tx>
            <strRef>
              <f>"ANNProof"</f>
              <strCache>
                <ptCount val="1"/>
                <pt idx="0">
                  <v>ANNProof</v>
                </pt>
              </strCache>
            </strRef>
          </tx>
          <spPr>
            <a:ln w="19050" cap="rnd" cmpd="sng" algn="ctr">
              <a:solidFill>
                <a:schemeClr val="accent1"/>
              </a:solidFill>
              <a:prstDash val="solid"/>
              <a:round/>
            </a:ln>
          </spPr>
          <marker>
            <symbol val="triangle"/>
            <size val="5"/>
            <spPr>
              <a:ln w="6350" cap="flat" cmpd="sng" algn="ctr">
                <a:solidFill>
                  <a:schemeClr val="accent1"/>
                </a:solidFill>
                <a:prstDash val="solid"/>
                <a:round/>
              </a:ln>
            </spPr>
          </marker>
          <dLbls>
            <delete val="1"/>
          </dLbls>
          <xVal>
            <numRef>
              <f>新增数据召回曲线!$D$68:$D$78</f>
              <numCache>
                <formatCode>0.0%</formatCode>
                <ptCount val="11"/>
                <pt idx="0">
                  <v>0.665</v>
                </pt>
                <pt idx="1">
                  <v>0.665</v>
                </pt>
                <pt idx="2">
                  <v>0.775</v>
                </pt>
                <pt idx="3">
                  <v>0.775</v>
                </pt>
                <pt idx="4">
                  <v>0.835</v>
                </pt>
                <pt idx="5">
                  <v>0.875</v>
                </pt>
                <pt idx="6">
                  <v>0.9</v>
                </pt>
                <pt idx="7">
                  <v>0.955</v>
                </pt>
                <pt idx="8">
                  <v>0.975</v>
                </pt>
                <pt idx="9">
                  <v>0.985</v>
                </pt>
                <pt idx="10">
                  <v>0.99</v>
                </pt>
              </numCache>
            </numRef>
          </xVal>
          <yVal>
            <numRef>
              <f>新增数据召回曲线!$E$68:$E$78</f>
              <numCache>
                <formatCode>General</formatCode>
                <ptCount val="11"/>
                <pt idx="0">
                  <v>4.92347798333333</v>
                </pt>
                <pt idx="1">
                  <v>4.92347798333333</v>
                </pt>
                <pt idx="2">
                  <v>8.64324116666667</v>
                </pt>
                <pt idx="3">
                  <v>8.64324116666667</v>
                </pt>
                <pt idx="4">
                  <v>11.9039628833333</v>
                </pt>
                <pt idx="5">
                  <v>15.25740905</v>
                </pt>
                <pt idx="6">
                  <v>20.8722866666667</v>
                </pt>
                <pt idx="7">
                  <v>69.7219818833333</v>
                </pt>
                <pt idx="8">
                  <v>87.9987959833333</v>
                </pt>
                <pt idx="9">
                  <v>164.089183766667</v>
                </pt>
                <pt idx="10">
                  <v>302.3812472</v>
                </pt>
              </numCache>
            </numRef>
          </yVal>
          <smooth val="0"/>
        </ser>
        <ser>
          <idx val="1"/>
          <order val="1"/>
          <tx>
            <strRef>
              <f>"VLAH"</f>
              <strCache>
                <ptCount val="1"/>
                <pt idx="0">
                  <v>VLAH</v>
                </pt>
              </strCache>
            </strRef>
          </tx>
          <spPr>
            <a:ln w="19050" cap="rnd" cmpd="sng" algn="ctr">
              <a:solidFill>
                <a:schemeClr val="accent2"/>
              </a:solidFill>
              <a:prstDash val="solid"/>
              <a:round/>
            </a:ln>
          </spPr>
          <marker>
            <symbol val="circle"/>
            <size val="5"/>
            <spPr>
              <a:ln w="6350" cap="flat" cmpd="sng" algn="ctr">
                <a:solidFill>
                  <a:schemeClr val="accent2"/>
                </a:solidFill>
                <a:prstDash val="solid"/>
                <a:round/>
              </a:ln>
            </spPr>
          </marker>
          <dLbls>
            <delete val="1"/>
          </dLbls>
          <xVal>
            <numRef>
              <f>新增数据召回曲线!$D$90:$D$100</f>
              <numCache>
                <formatCode>0.0%</formatCode>
                <ptCount val="11"/>
                <pt idx="0">
                  <v>0.6</v>
                </pt>
                <pt idx="1">
                  <v>0.66</v>
                </pt>
                <pt idx="2">
                  <v>0.7</v>
                </pt>
                <pt idx="3">
                  <v>0.755</v>
                </pt>
                <pt idx="4">
                  <v>0.8</v>
                </pt>
                <pt idx="5">
                  <v>0.85</v>
                </pt>
                <pt idx="6">
                  <v>0.9</v>
                </pt>
                <pt idx="7">
                  <v>0.95</v>
                </pt>
                <pt idx="8">
                  <v>0.975</v>
                </pt>
                <pt idx="9">
                  <v>0.99</v>
                </pt>
                <pt idx="10">
                  <v>0.99</v>
                </pt>
              </numCache>
            </numRef>
          </xVal>
          <yVal>
            <numRef>
              <f>新增数据召回曲线!$E$90:$E$100</f>
              <numCache>
                <formatCode>General</formatCode>
                <ptCount val="11"/>
                <pt idx="0">
                  <v>191.6756877</v>
                </pt>
                <pt idx="1">
                  <v>214.483257416667</v>
                </pt>
                <pt idx="2">
                  <v>255.16067945</v>
                </pt>
                <pt idx="3">
                  <v>272.635821866667</v>
                </pt>
                <pt idx="4">
                  <v>297.966906316667</v>
                </pt>
                <pt idx="5">
                  <v>362.26386005</v>
                </pt>
                <pt idx="6">
                  <v>391.939616166667</v>
                </pt>
                <pt idx="7">
                  <v>420.781040966667</v>
                </pt>
                <pt idx="8">
                  <v>443.8091156</v>
                </pt>
                <pt idx="9">
                  <v>451.888928783333</v>
                </pt>
                <pt idx="10">
                  <v>451.888928783333</v>
                </pt>
              </numCache>
            </numRef>
          </yVal>
          <smooth val="0"/>
        </ser>
        <ser>
          <idx val="2"/>
          <order val="2"/>
          <tx>
            <strRef>
              <f>"Ours"</f>
              <strCache>
                <ptCount val="1"/>
                <pt idx="0">
                  <v>Ours</v>
                </pt>
              </strCache>
            </strRef>
          </tx>
          <spPr>
            <a:ln w="19050" cap="rnd" cmpd="sng" algn="ctr">
              <a:solidFill>
                <a:schemeClr val="accent3"/>
              </a:solidFill>
              <a:prstDash val="solid"/>
              <a:round/>
            </a:ln>
          </spPr>
          <marker>
            <symbol val="square"/>
            <size val="5"/>
            <spPr>
              <a:ln w="6350" cap="flat" cmpd="sng" algn="ctr">
                <a:solidFill>
                  <a:schemeClr val="accent3"/>
                </a:solidFill>
                <a:prstDash val="solid"/>
                <a:round/>
              </a:ln>
            </spPr>
          </marker>
          <dLbls>
            <delete val="1"/>
          </dLbls>
          <xVal>
            <numRef>
              <f>新增数据召回曲线!$D$79:$D$89</f>
              <numCache>
                <formatCode>0.0%</formatCode>
                <ptCount val="11"/>
                <pt idx="0">
                  <v>0.605</v>
                </pt>
                <pt idx="1">
                  <v>0.715</v>
                </pt>
                <pt idx="2">
                  <v>0.715</v>
                </pt>
                <pt idx="3">
                  <v>0.8100000000000001</v>
                </pt>
                <pt idx="4">
                  <v>0.8100000000000001</v>
                </pt>
                <pt idx="5">
                  <v>0.855</v>
                </pt>
                <pt idx="6">
                  <v>0.91</v>
                </pt>
                <pt idx="7">
                  <v>0.96</v>
                </pt>
                <pt idx="8">
                  <v>0.975</v>
                </pt>
                <pt idx="9">
                  <v>0.985</v>
                </pt>
                <pt idx="10">
                  <v>0.995</v>
                </pt>
              </numCache>
            </numRef>
          </xVal>
          <yVal>
            <numRef>
              <f>新增数据召回曲线!$E$79:$E$89</f>
              <numCache>
                <formatCode>General</formatCode>
                <ptCount val="11"/>
                <pt idx="0">
                  <v>3.95783811666667</v>
                </pt>
                <pt idx="1">
                  <v>5.54844886666667</v>
                </pt>
                <pt idx="2">
                  <v>5.54844886666667</v>
                </pt>
                <pt idx="3">
                  <v>9.4764108</v>
                </pt>
                <pt idx="4">
                  <v>9.4764108</v>
                </pt>
                <pt idx="5">
                  <v>11.80332585</v>
                </pt>
                <pt idx="6">
                  <v>20.9300079</v>
                </pt>
                <pt idx="7">
                  <v>52.0690504666667</v>
                </pt>
                <pt idx="8">
                  <v>66.0417216333333</v>
                </pt>
                <pt idx="9">
                  <v>119.74718415</v>
                </pt>
                <pt idx="10">
                  <v>225.599757116667</v>
                </pt>
              </numCache>
            </numRef>
          </yVal>
          <smooth val="0"/>
        </ser>
        <dLbls>
          <showLegendKey val="0"/>
          <showVal val="0"/>
          <showCatName val="0"/>
          <showSerName val="0"/>
          <showPercent val="0"/>
          <showBubbleSize val="0"/>
        </dLbls>
        <axId val="20"/>
        <axId val="10"/>
      </scatterChart>
      <valAx>
        <axId val="20"/>
        <scaling>
          <orientation val="minMax"/>
          <min val="0"/>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Query time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max val="1"/>
          <min val="0.6"/>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majorUnit val="0.05"/>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5.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GloVe-100: Recall vs. VO size</a:t>
            </a:r>
          </a:p>
        </rich>
      </tx>
      <layout/>
      <overlay val="0"/>
    </title>
    <plotArea>
      <layout/>
      <scatterChart>
        <scatterStyle val="lineMarker"/>
        <varyColors val="0"/>
        <ser>
          <idx val="0"/>
          <order val="0"/>
          <tx>
            <strRef>
              <f>"ANNProof"</f>
              <strCache>
                <ptCount val="1"/>
                <pt idx="0">
                  <v>ANNProof</v>
                </pt>
              </strCache>
            </strRef>
          </tx>
          <spPr>
            <a:ln w="19050" cap="rnd" cmpd="sng" algn="ctr">
              <a:solidFill>
                <a:schemeClr val="accent1"/>
              </a:solidFill>
              <a:prstDash val="solid"/>
              <a:round/>
            </a:ln>
          </spPr>
          <marker>
            <symbol val="triangle"/>
            <size val="5"/>
            <spPr>
              <a:ln w="6350" cap="flat" cmpd="sng" algn="ctr">
                <a:solidFill>
                  <a:schemeClr val="accent1"/>
                </a:solidFill>
                <a:prstDash val="solid"/>
                <a:round/>
              </a:ln>
            </spPr>
          </marker>
          <dLbls>
            <delete val="1"/>
          </dLbls>
          <xVal>
            <numRef>
              <f>新增数据召回曲线!$D$68:$D$78</f>
              <numCache>
                <formatCode>0.0%</formatCode>
                <ptCount val="11"/>
                <pt idx="0">
                  <v>0.665</v>
                </pt>
                <pt idx="1">
                  <v>0.665</v>
                </pt>
                <pt idx="2">
                  <v>0.775</v>
                </pt>
                <pt idx="3">
                  <v>0.775</v>
                </pt>
                <pt idx="4">
                  <v>0.835</v>
                </pt>
                <pt idx="5">
                  <v>0.875</v>
                </pt>
                <pt idx="6">
                  <v>0.9</v>
                </pt>
                <pt idx="7">
                  <v>0.955</v>
                </pt>
                <pt idx="8">
                  <v>0.975</v>
                </pt>
                <pt idx="9">
                  <v>0.985</v>
                </pt>
                <pt idx="10">
                  <v>0.99</v>
                </pt>
              </numCache>
            </numRef>
          </xVal>
          <yVal>
            <numRef>
              <f>新增数据召回曲线!$G$68:$G$78</f>
              <numCache>
                <formatCode>General</formatCode>
                <ptCount val="11"/>
                <pt idx="0">
                  <v>1768.2552</v>
                </pt>
                <pt idx="1">
                  <v>1768.2552</v>
                </pt>
                <pt idx="2">
                  <v>2889.171</v>
                </pt>
                <pt idx="3">
                  <v>2889.171</v>
                </pt>
                <pt idx="4">
                  <v>3909.6394</v>
                </pt>
                <pt idx="5">
                  <v>4944.9728</v>
                </pt>
                <pt idx="6">
                  <v>6713.085</v>
                </pt>
                <pt idx="7">
                  <v>20286.7284</v>
                </pt>
                <pt idx="8">
                  <v>25439.6608</v>
                </pt>
                <pt idx="9">
                  <v>43668.8608</v>
                </pt>
                <pt idx="10">
                  <v>73904.36840000001</v>
                </pt>
              </numCache>
            </numRef>
          </yVal>
          <smooth val="0"/>
        </ser>
        <ser>
          <idx val="1"/>
          <order val="1"/>
          <tx>
            <strRef>
              <f>"VLAH"</f>
              <strCache>
                <ptCount val="1"/>
                <pt idx="0">
                  <v>VLAH</v>
                </pt>
              </strCache>
            </strRef>
          </tx>
          <spPr>
            <a:ln w="19050" cap="rnd" cmpd="sng" algn="ctr">
              <a:solidFill>
                <a:schemeClr val="accent2"/>
              </a:solidFill>
              <a:prstDash val="solid"/>
              <a:round/>
            </a:ln>
          </spPr>
          <marker>
            <symbol val="circle"/>
            <size val="5"/>
            <spPr>
              <a:ln w="6350" cap="flat" cmpd="sng" algn="ctr">
                <a:solidFill>
                  <a:schemeClr val="accent2"/>
                </a:solidFill>
                <a:prstDash val="solid"/>
                <a:round/>
              </a:ln>
            </spPr>
          </marker>
          <dLbls>
            <delete val="1"/>
          </dLbls>
          <xVal>
            <numRef>
              <f>新增数据召回曲线!$D$90:$D$100</f>
              <numCache>
                <formatCode>0.0%</formatCode>
                <ptCount val="11"/>
                <pt idx="0">
                  <v>0.6</v>
                </pt>
                <pt idx="1">
                  <v>0.66</v>
                </pt>
                <pt idx="2">
                  <v>0.7</v>
                </pt>
                <pt idx="3">
                  <v>0.755</v>
                </pt>
                <pt idx="4">
                  <v>0.8</v>
                </pt>
                <pt idx="5">
                  <v>0.85</v>
                </pt>
                <pt idx="6">
                  <v>0.9</v>
                </pt>
                <pt idx="7">
                  <v>0.95</v>
                </pt>
                <pt idx="8">
                  <v>0.975</v>
                </pt>
                <pt idx="9">
                  <v>0.99</v>
                </pt>
                <pt idx="10">
                  <v>0.99</v>
                </pt>
              </numCache>
            </numRef>
          </xVal>
          <yVal>
            <numRef>
              <f>新增数据召回曲线!$G$90:$G$100</f>
              <numCache>
                <formatCode>General</formatCode>
                <ptCount val="11"/>
                <pt idx="0">
                  <v>71940.71705000001</v>
                </pt>
                <pt idx="1">
                  <v>80033.77295</v>
                </pt>
                <pt idx="2">
                  <v>93865.80645</v>
                </pt>
                <pt idx="3">
                  <v>101923.7214</v>
                </pt>
                <pt idx="4">
                  <v>110226.50895</v>
                </pt>
                <pt idx="5">
                  <v>133079.4778</v>
                </pt>
                <pt idx="6">
                  <v>144688.8688</v>
                </pt>
                <pt idx="7">
                  <v>156085.1456</v>
                </pt>
                <pt idx="8">
                  <v>161728.77015</v>
                </pt>
                <pt idx="9">
                  <v>166742.1118</v>
                </pt>
                <pt idx="10">
                  <v>166742.1118</v>
                </pt>
              </numCache>
            </numRef>
          </yVal>
          <smooth val="0"/>
        </ser>
        <ser>
          <idx val="2"/>
          <order val="2"/>
          <tx>
            <strRef>
              <f>"Ours"</f>
              <strCache>
                <ptCount val="1"/>
                <pt idx="0">
                  <v>Ours</v>
                </pt>
              </strCache>
            </strRef>
          </tx>
          <spPr>
            <a:ln w="19050" cap="rnd" cmpd="sng" algn="ctr">
              <a:solidFill>
                <a:schemeClr val="accent3"/>
              </a:solidFill>
              <a:prstDash val="solid"/>
              <a:round/>
            </a:ln>
          </spPr>
          <marker>
            <symbol val="square"/>
            <size val="5"/>
            <spPr>
              <a:ln w="6350" cap="flat" cmpd="sng" algn="ctr">
                <a:solidFill>
                  <a:schemeClr val="accent3"/>
                </a:solidFill>
                <a:prstDash val="solid"/>
                <a:round/>
              </a:ln>
            </spPr>
          </marker>
          <dLbls>
            <delete val="1"/>
          </dLbls>
          <xVal>
            <numRef>
              <f>新增数据召回曲线!$D$79:$D$89</f>
              <numCache>
                <formatCode>0.0%</formatCode>
                <ptCount val="11"/>
                <pt idx="0">
                  <v>0.605</v>
                </pt>
                <pt idx="1">
                  <v>0.715</v>
                </pt>
                <pt idx="2">
                  <v>0.715</v>
                </pt>
                <pt idx="3">
                  <v>0.8100000000000001</v>
                </pt>
                <pt idx="4">
                  <v>0.8100000000000001</v>
                </pt>
                <pt idx="5">
                  <v>0.855</v>
                </pt>
                <pt idx="6">
                  <v>0.91</v>
                </pt>
                <pt idx="7">
                  <v>0.96</v>
                </pt>
                <pt idx="8">
                  <v>0.975</v>
                </pt>
                <pt idx="9">
                  <v>0.985</v>
                </pt>
                <pt idx="10">
                  <v>0.995</v>
                </pt>
              </numCache>
            </numRef>
          </xVal>
          <yVal>
            <numRef>
              <f>新增数据召回曲线!$G$79:$G$89</f>
              <numCache>
                <formatCode>General</formatCode>
                <ptCount val="11"/>
                <pt idx="0">
                  <v>433.98015</v>
                </pt>
                <pt idx="1">
                  <v>568.61565</v>
                </pt>
                <pt idx="2">
                  <v>568.61565</v>
                </pt>
                <pt idx="3">
                  <v>914.7816</v>
                </pt>
                <pt idx="4">
                  <v>914.7816</v>
                </pt>
                <pt idx="5">
                  <v>1116.3342</v>
                </pt>
                <pt idx="6">
                  <v>1801.49875</v>
                </pt>
                <pt idx="7">
                  <v>3831.7115</v>
                </pt>
                <pt idx="8">
                  <v>4656.3122</v>
                </pt>
                <pt idx="9">
                  <v>7489.0097</v>
                </pt>
                <pt idx="10">
                  <v>12067.1025</v>
                </pt>
              </numCache>
            </numRef>
          </yVal>
          <smooth val="0"/>
        </ser>
        <dLbls>
          <showLegendKey val="0"/>
          <showVal val="0"/>
          <showCatName val="0"/>
          <showSerName val="0"/>
          <showPercent val="0"/>
          <showBubbleSize val="0"/>
        </dLbls>
        <axId val="20"/>
        <axId val="10"/>
      </scatterChart>
      <valAx>
        <axId val="20"/>
        <scaling>
          <orientation val="minMax"/>
          <min val="0"/>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VO size (KB)</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max val="1"/>
          <min val="0.6"/>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majorUnit val="0.05"/>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6.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GloVe-100: Recall vs. Verify time</a:t>
            </a:r>
          </a:p>
        </rich>
      </tx>
      <layout/>
      <overlay val="0"/>
    </title>
    <plotArea>
      <layout/>
      <scatterChart>
        <scatterStyle val="lineMarker"/>
        <varyColors val="0"/>
        <ser>
          <idx val="0"/>
          <order val="0"/>
          <tx>
            <strRef>
              <f>"ANNProof"</f>
              <strCache>
                <ptCount val="1"/>
                <pt idx="0">
                  <v>ANNProof</v>
                </pt>
              </strCache>
            </strRef>
          </tx>
          <spPr>
            <a:ln w="19050" cap="rnd" cmpd="sng" algn="ctr">
              <a:solidFill>
                <a:schemeClr val="accent1"/>
              </a:solidFill>
              <a:prstDash val="solid"/>
              <a:round/>
            </a:ln>
          </spPr>
          <marker>
            <symbol val="triangle"/>
            <size val="5"/>
            <spPr>
              <a:ln w="6350" cap="flat" cmpd="sng" algn="ctr">
                <a:solidFill>
                  <a:schemeClr val="accent1"/>
                </a:solidFill>
                <a:prstDash val="solid"/>
                <a:round/>
              </a:ln>
            </spPr>
          </marker>
          <dLbls>
            <delete val="1"/>
          </dLbls>
          <xVal>
            <numRef>
              <f>新增数据召回曲线!$D$68:$D$78</f>
              <numCache>
                <formatCode>0.0%</formatCode>
                <ptCount val="11"/>
                <pt idx="0">
                  <v>0.665</v>
                </pt>
                <pt idx="1">
                  <v>0.665</v>
                </pt>
                <pt idx="2">
                  <v>0.775</v>
                </pt>
                <pt idx="3">
                  <v>0.775</v>
                </pt>
                <pt idx="4">
                  <v>0.835</v>
                </pt>
                <pt idx="5">
                  <v>0.875</v>
                </pt>
                <pt idx="6">
                  <v>0.9</v>
                </pt>
                <pt idx="7">
                  <v>0.955</v>
                </pt>
                <pt idx="8">
                  <v>0.975</v>
                </pt>
                <pt idx="9">
                  <v>0.985</v>
                </pt>
                <pt idx="10">
                  <v>0.99</v>
                </pt>
              </numCache>
            </numRef>
          </xVal>
          <yVal>
            <numRef>
              <f>新增数据召回曲线!$F$68:$F$78</f>
              <numCache>
                <formatCode>General</formatCode>
                <ptCount val="11"/>
                <pt idx="0">
                  <v>23.1672442333333</v>
                </pt>
                <pt idx="1">
                  <v>23.1672442333333</v>
                </pt>
                <pt idx="2">
                  <v>37.8451976166667</v>
                </pt>
                <pt idx="3">
                  <v>37.8451976166667</v>
                </pt>
                <pt idx="4">
                  <v>51.5586544166667</v>
                </pt>
                <pt idx="5">
                  <v>65.0245705333333</v>
                </pt>
                <pt idx="6">
                  <v>88.47731368333331</v>
                </pt>
                <pt idx="7">
                  <v>263.942687483333</v>
                </pt>
                <pt idx="8">
                  <v>330.828721833333</v>
                </pt>
                <pt idx="9">
                  <v>572.20322455</v>
                </pt>
                <pt idx="10">
                  <v>986.772749533333</v>
                </pt>
              </numCache>
            </numRef>
          </yVal>
          <smooth val="0"/>
        </ser>
        <ser>
          <idx val="1"/>
          <order val="1"/>
          <tx>
            <strRef>
              <f>"VLAH"</f>
              <strCache>
                <ptCount val="1"/>
                <pt idx="0">
                  <v>VLAH</v>
                </pt>
              </strCache>
            </strRef>
          </tx>
          <spPr>
            <a:ln w="19050" cap="rnd" cmpd="sng" algn="ctr">
              <a:solidFill>
                <a:schemeClr val="accent2"/>
              </a:solidFill>
              <a:prstDash val="solid"/>
              <a:round/>
            </a:ln>
          </spPr>
          <marker>
            <symbol val="circle"/>
            <size val="5"/>
            <spPr>
              <a:ln w="6350" cap="flat" cmpd="sng" algn="ctr">
                <a:solidFill>
                  <a:schemeClr val="accent2"/>
                </a:solidFill>
                <a:prstDash val="solid"/>
                <a:round/>
              </a:ln>
            </spPr>
          </marker>
          <dLbls>
            <delete val="1"/>
          </dLbls>
          <xVal>
            <numRef>
              <f>新增数据召回曲线!$D$90:$D$100</f>
              <numCache>
                <formatCode>0.0%</formatCode>
                <ptCount val="11"/>
                <pt idx="0">
                  <v>0.6</v>
                </pt>
                <pt idx="1">
                  <v>0.66</v>
                </pt>
                <pt idx="2">
                  <v>0.7</v>
                </pt>
                <pt idx="3">
                  <v>0.755</v>
                </pt>
                <pt idx="4">
                  <v>0.8</v>
                </pt>
                <pt idx="5">
                  <v>0.85</v>
                </pt>
                <pt idx="6">
                  <v>0.9</v>
                </pt>
                <pt idx="7">
                  <v>0.95</v>
                </pt>
                <pt idx="8">
                  <v>0.975</v>
                </pt>
                <pt idx="9">
                  <v>0.99</v>
                </pt>
                <pt idx="10">
                  <v>0.99</v>
                </pt>
              </numCache>
            </numRef>
          </xVal>
          <yVal>
            <numRef>
              <f>新增数据召回曲线!$F$90:$F$100</f>
              <numCache>
                <formatCode>General</formatCode>
                <ptCount val="11"/>
                <pt idx="0">
                  <v>469.069549433333</v>
                </pt>
                <pt idx="1">
                  <v>523.3854418333329</v>
                </pt>
                <pt idx="2">
                  <v>615.426474783333</v>
                </pt>
                <pt idx="3">
                  <v>668.950644383333</v>
                </pt>
                <pt idx="4">
                  <v>726.525109466667</v>
                </pt>
                <pt idx="5">
                  <v>872.817767766667</v>
                </pt>
                <pt idx="6">
                  <v>950.4888157833331</v>
                </pt>
                <pt idx="7">
                  <v>1028.47328478333</v>
                </pt>
                <pt idx="8">
                  <v>1065.72324375</v>
                </pt>
                <pt idx="9">
                  <v>1099.20293456667</v>
                </pt>
                <pt idx="10">
                  <v>1099.20293456667</v>
                </pt>
              </numCache>
            </numRef>
          </yVal>
          <smooth val="0"/>
        </ser>
        <ser>
          <idx val="2"/>
          <order val="2"/>
          <tx>
            <strRef>
              <f>"Ours"</f>
              <strCache>
                <ptCount val="1"/>
                <pt idx="0">
                  <v>Ours</v>
                </pt>
              </strCache>
            </strRef>
          </tx>
          <spPr>
            <a:ln w="19050" cap="rnd" cmpd="sng" algn="ctr">
              <a:solidFill>
                <a:schemeClr val="accent3"/>
              </a:solidFill>
              <a:prstDash val="solid"/>
              <a:round/>
            </a:ln>
          </spPr>
          <marker>
            <symbol val="square"/>
            <size val="5"/>
            <spPr>
              <a:ln w="6350" cap="flat" cmpd="sng" algn="ctr">
                <a:solidFill>
                  <a:schemeClr val="accent3"/>
                </a:solidFill>
                <a:prstDash val="solid"/>
                <a:round/>
              </a:ln>
            </spPr>
          </marker>
          <dLbls>
            <delete val="1"/>
          </dLbls>
          <xVal>
            <numRef>
              <f>新增数据召回曲线!$D$79:$D$89</f>
              <numCache>
                <formatCode>0.0%</formatCode>
                <ptCount val="11"/>
                <pt idx="0">
                  <v>0.605</v>
                </pt>
                <pt idx="1">
                  <v>0.715</v>
                </pt>
                <pt idx="2">
                  <v>0.715</v>
                </pt>
                <pt idx="3">
                  <v>0.8100000000000001</v>
                </pt>
                <pt idx="4">
                  <v>0.8100000000000001</v>
                </pt>
                <pt idx="5">
                  <v>0.855</v>
                </pt>
                <pt idx="6">
                  <v>0.91</v>
                </pt>
                <pt idx="7">
                  <v>0.96</v>
                </pt>
                <pt idx="8">
                  <v>0.975</v>
                </pt>
                <pt idx="9">
                  <v>0.985</v>
                </pt>
                <pt idx="10">
                  <v>0.995</v>
                </pt>
              </numCache>
            </numRef>
          </xVal>
          <yVal>
            <numRef>
              <f>新增数据召回曲线!$F$79:$F$89</f>
              <numCache>
                <formatCode>General</formatCode>
                <ptCount val="11"/>
                <pt idx="0">
                  <v>10.0785719</v>
                </pt>
                <pt idx="1">
                  <v>13.6206651666667</v>
                </pt>
                <pt idx="2">
                  <v>13.6206651666667</v>
                </pt>
                <pt idx="3">
                  <v>22.532446</v>
                </pt>
                <pt idx="4">
                  <v>22.532446</v>
                </pt>
                <pt idx="5">
                  <v>27.8385452166667</v>
                </pt>
                <pt idx="6">
                  <v>47.1646365666667</v>
                </pt>
                <pt idx="7">
                  <v>110.41652915</v>
                </pt>
                <pt idx="8">
                  <v>138.8817882</v>
                </pt>
                <pt idx="9">
                  <v>249.028947166667</v>
                </pt>
                <pt idx="10">
                  <v>476.421713883333</v>
                </pt>
              </numCache>
            </numRef>
          </yVal>
          <smooth val="0"/>
        </ser>
        <dLbls>
          <showLegendKey val="0"/>
          <showVal val="0"/>
          <showCatName val="0"/>
          <showSerName val="0"/>
          <showPercent val="0"/>
          <showBubbleSize val="0"/>
        </dLbls>
        <axId val="20"/>
        <axId val="10"/>
      </scatterChart>
      <valAx>
        <axId val="20"/>
        <scaling>
          <orientation val="minMax"/>
          <min val="0"/>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Verify time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max val="1"/>
          <min val="0.6"/>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majorUnit val="0.05"/>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7.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DEEP1M: Recall vs. Query time</a:t>
            </a:r>
          </a:p>
        </rich>
      </tx>
      <layout/>
      <overlay val="0"/>
    </title>
    <plotArea>
      <layout/>
      <scatterChart>
        <scatterStyle val="lineMarker"/>
        <varyColors val="0"/>
        <ser>
          <idx val="0"/>
          <order val="0"/>
          <tx>
            <strRef>
              <f>"ANNProof"</f>
              <strCache>
                <ptCount val="1"/>
                <pt idx="0">
                  <v>ANNProof</v>
                </pt>
              </strCache>
            </strRef>
          </tx>
          <spPr>
            <a:ln w="19050" cap="rnd" cmpd="sng" algn="ctr">
              <a:solidFill>
                <a:schemeClr val="accent1"/>
              </a:solidFill>
              <a:prstDash val="solid"/>
              <a:round/>
            </a:ln>
          </spPr>
          <marker>
            <symbol val="triangle"/>
            <size val="5"/>
            <spPr>
              <a:ln w="6350" cap="flat" cmpd="sng" algn="ctr">
                <a:solidFill>
                  <a:schemeClr val="accent1"/>
                </a:solidFill>
                <a:prstDash val="solid"/>
                <a:round/>
              </a:ln>
            </spPr>
          </marker>
          <dLbls>
            <delete val="1"/>
          </dLbls>
          <xVal>
            <numRef>
              <f>新增数据召回曲线!$D$2:$D$12</f>
              <numCache>
                <formatCode>0.0%</formatCode>
                <ptCount val="11"/>
                <pt idx="0">
                  <v>0.71</v>
                </pt>
                <pt idx="1">
                  <v>0.71</v>
                </pt>
                <pt idx="2">
                  <v>0.71</v>
                </pt>
                <pt idx="3">
                  <v>0.78</v>
                </pt>
                <pt idx="4">
                  <v>0.825</v>
                </pt>
                <pt idx="5">
                  <v>0.865</v>
                </pt>
                <pt idx="6">
                  <v>0.945</v>
                </pt>
                <pt idx="7">
                  <v>0.975</v>
                </pt>
                <pt idx="8">
                  <v>0.975</v>
                </pt>
                <pt idx="9">
                  <v>0.995</v>
                </pt>
                <pt idx="10">
                  <v>0.995</v>
                </pt>
              </numCache>
            </numRef>
          </xVal>
          <yVal>
            <numRef>
              <f>新增数据召回曲线!$E$2:$E$12</f>
              <numCache>
                <formatCode>General</formatCode>
                <ptCount val="11"/>
                <pt idx="0">
                  <v>0.9670758</v>
                </pt>
                <pt idx="1">
                  <v>0.9670758</v>
                </pt>
                <pt idx="2">
                  <v>0.9670758</v>
                </pt>
                <pt idx="3">
                  <v>1.19571215</v>
                </pt>
                <pt idx="4">
                  <v>1.34739523333333</v>
                </pt>
                <pt idx="5">
                  <v>1.5069473</v>
                </pt>
                <pt idx="6">
                  <v>2.6137277</v>
                </pt>
                <pt idx="7">
                  <v>3.15865693333333</v>
                </pt>
                <pt idx="8">
                  <v>3.15865693333333</v>
                </pt>
                <pt idx="9">
                  <v>4.2914665</v>
                </pt>
                <pt idx="10">
                  <v>4.2914665</v>
                </pt>
              </numCache>
            </numRef>
          </yVal>
          <smooth val="0"/>
        </ser>
        <ser>
          <idx val="1"/>
          <order val="1"/>
          <tx>
            <strRef>
              <f>"VLAH"</f>
              <strCache>
                <ptCount val="1"/>
                <pt idx="0">
                  <v>VLAH</v>
                </pt>
              </strCache>
            </strRef>
          </tx>
          <spPr>
            <a:ln w="19050" cap="rnd" cmpd="sng" algn="ctr">
              <a:solidFill>
                <a:schemeClr val="accent2"/>
              </a:solidFill>
              <a:prstDash val="solid"/>
              <a:round/>
            </a:ln>
          </spPr>
          <marker>
            <symbol val="circle"/>
            <size val="5"/>
            <spPr>
              <a:ln w="6350" cap="flat" cmpd="sng" algn="ctr">
                <a:solidFill>
                  <a:schemeClr val="accent2"/>
                </a:solidFill>
                <a:prstDash val="solid"/>
                <a:round/>
              </a:ln>
            </spPr>
          </marker>
          <dLbls>
            <delete val="1"/>
          </dLbls>
          <xVal>
            <numRef>
              <f>新增数据召回曲线!$D$24:$D$34</f>
              <numCache>
                <formatCode>0.0%</formatCode>
                <ptCount val="11"/>
                <pt idx="0">
                  <v>0.605</v>
                </pt>
                <pt idx="1">
                  <v>0.655</v>
                </pt>
                <pt idx="2">
                  <v>0.71</v>
                </pt>
                <pt idx="3">
                  <v>0.755</v>
                </pt>
                <pt idx="4">
                  <v>0.8149999999999999</v>
                </pt>
                <pt idx="5">
                  <v>0.86</v>
                </pt>
                <pt idx="6">
                  <v>0.9</v>
                </pt>
                <pt idx="7">
                  <v>0.95</v>
                </pt>
                <pt idx="8">
                  <v>0.98</v>
                </pt>
                <pt idx="9">
                  <v>0.98</v>
                </pt>
                <pt idx="10">
                  <v>0.99</v>
                </pt>
              </numCache>
            </numRef>
          </xVal>
          <yVal>
            <numRef>
              <f>新增数据召回曲线!$E$24:$E$34</f>
              <numCache>
                <formatCode>General</formatCode>
                <ptCount val="11"/>
                <pt idx="0">
                  <v>19.13366525</v>
                </pt>
                <pt idx="1">
                  <v>25.5380965</v>
                </pt>
                <pt idx="2">
                  <v>39.99110205</v>
                </pt>
                <pt idx="3">
                  <v>44.5284999666667</v>
                </pt>
                <pt idx="4">
                  <v>55.1920517166667</v>
                </pt>
                <pt idx="5">
                  <v>70.88948418333329</v>
                </pt>
                <pt idx="6">
                  <v>90.9629803833333</v>
                </pt>
                <pt idx="7">
                  <v>106.513872866667</v>
                </pt>
                <pt idx="8">
                  <v>117.3229633</v>
                </pt>
                <pt idx="9">
                  <v>117.3229633</v>
                </pt>
                <pt idx="10">
                  <v>120.407316883333</v>
                </pt>
              </numCache>
            </numRef>
          </yVal>
          <smooth val="0"/>
        </ser>
        <ser>
          <idx val="2"/>
          <order val="2"/>
          <tx>
            <strRef>
              <f>"Ours"</f>
              <strCache>
                <ptCount val="1"/>
                <pt idx="0">
                  <v>Ours</v>
                </pt>
              </strCache>
            </strRef>
          </tx>
          <spPr>
            <a:ln w="19050" cap="rnd" cmpd="sng" algn="ctr">
              <a:solidFill>
                <a:schemeClr val="accent3"/>
              </a:solidFill>
              <a:prstDash val="solid"/>
              <a:round/>
            </a:ln>
          </spPr>
          <marker>
            <symbol val="square"/>
            <size val="5"/>
            <spPr>
              <a:ln w="6350" cap="flat" cmpd="sng" algn="ctr">
                <a:solidFill>
                  <a:schemeClr val="accent3"/>
                </a:solidFill>
                <a:prstDash val="solid"/>
                <a:round/>
              </a:ln>
            </spPr>
          </marker>
          <dLbls>
            <delete val="1"/>
          </dLbls>
          <xVal>
            <numRef>
              <f>新增数据召回曲线!$D$13:$D$23</f>
              <numCache>
                <formatCode>0.0%</formatCode>
                <ptCount val="11"/>
                <pt idx="0">
                  <v>0.615</v>
                </pt>
                <pt idx="1">
                  <v>0.735</v>
                </pt>
                <pt idx="2">
                  <v>0.735</v>
                </pt>
                <pt idx="3">
                  <v>0.79</v>
                </pt>
                <pt idx="4">
                  <v>0.865</v>
                </pt>
                <pt idx="5">
                  <v>0.865</v>
                </pt>
                <pt idx="6">
                  <v>0.945</v>
                </pt>
                <pt idx="7">
                  <v>0.975</v>
                </pt>
                <pt idx="8">
                  <v>0.975</v>
                </pt>
                <pt idx="9">
                  <v>0.985</v>
                </pt>
                <pt idx="10">
                  <v>0.99</v>
                </pt>
              </numCache>
            </numRef>
          </xVal>
          <yVal>
            <numRef>
              <f>新增数据召回曲线!$E$13:$E$23</f>
              <numCache>
                <formatCode>General</formatCode>
                <ptCount val="11"/>
                <pt idx="0">
                  <v>0.893101083333333</v>
                </pt>
                <pt idx="1">
                  <v>1.08978581666667</v>
                </pt>
                <pt idx="2">
                  <v>1.08978581666667</v>
                </pt>
                <pt idx="3">
                  <v>1.27455556666667</v>
                </pt>
                <pt idx="4">
                  <v>1.57887486666667</v>
                </pt>
                <pt idx="5">
                  <v>1.57887486666667</v>
                </pt>
                <pt idx="6">
                  <v>2.06094483333333</v>
                </pt>
                <pt idx="7">
                  <v>2.5314656</v>
                </pt>
                <pt idx="8">
                  <v>2.5314656</v>
                </pt>
                <pt idx="9">
                  <v>3.40401168333333</v>
                </pt>
                <pt idx="10">
                  <v>4.2387441</v>
                </pt>
              </numCache>
            </numRef>
          </yVal>
          <smooth val="0"/>
        </ser>
        <dLbls>
          <showLegendKey val="0"/>
          <showVal val="0"/>
          <showCatName val="0"/>
          <showSerName val="0"/>
          <showPercent val="0"/>
          <showBubbleSize val="0"/>
        </dLbls>
        <axId val="20"/>
        <axId val="10"/>
      </scatterChart>
      <valAx>
        <axId val="20"/>
        <scaling>
          <orientation val="minMax"/>
          <min val="0"/>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Query time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max val="1"/>
          <min val="0.6"/>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majorUnit val="0.05"/>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8.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DEEP1M: Recall vs. VO size</a:t>
            </a:r>
          </a:p>
        </rich>
      </tx>
      <layout/>
      <overlay val="0"/>
    </title>
    <plotArea>
      <layout/>
      <scatterChart>
        <scatterStyle val="lineMarker"/>
        <varyColors val="0"/>
        <ser>
          <idx val="0"/>
          <order val="0"/>
          <tx>
            <strRef>
              <f>"ANNProof"</f>
              <strCache>
                <ptCount val="1"/>
                <pt idx="0">
                  <v>ANNProof</v>
                </pt>
              </strCache>
            </strRef>
          </tx>
          <spPr>
            <a:ln w="19050" cap="rnd" cmpd="sng" algn="ctr">
              <a:solidFill>
                <a:schemeClr val="accent1"/>
              </a:solidFill>
              <a:prstDash val="solid"/>
              <a:round/>
            </a:ln>
          </spPr>
          <marker>
            <symbol val="triangle"/>
            <size val="5"/>
            <spPr>
              <a:ln w="6350" cap="flat" cmpd="sng" algn="ctr">
                <a:solidFill>
                  <a:schemeClr val="accent1"/>
                </a:solidFill>
                <a:prstDash val="solid"/>
                <a:round/>
              </a:ln>
            </spPr>
          </marker>
          <dLbls>
            <delete val="1"/>
          </dLbls>
          <xVal>
            <numRef>
              <f>新增数据召回曲线!$D$2:$D$12</f>
              <numCache>
                <formatCode>0.0%</formatCode>
                <ptCount val="11"/>
                <pt idx="0">
                  <v>0.71</v>
                </pt>
                <pt idx="1">
                  <v>0.71</v>
                </pt>
                <pt idx="2">
                  <v>0.71</v>
                </pt>
                <pt idx="3">
                  <v>0.78</v>
                </pt>
                <pt idx="4">
                  <v>0.825</v>
                </pt>
                <pt idx="5">
                  <v>0.865</v>
                </pt>
                <pt idx="6">
                  <v>0.945</v>
                </pt>
                <pt idx="7">
                  <v>0.975</v>
                </pt>
                <pt idx="8">
                  <v>0.975</v>
                </pt>
                <pt idx="9">
                  <v>0.995</v>
                </pt>
                <pt idx="10">
                  <v>0.995</v>
                </pt>
              </numCache>
            </numRef>
          </xVal>
          <yVal>
            <numRef>
              <f>新增数据召回曲线!$G$2:$G$12</f>
              <numCache>
                <formatCode>General</formatCode>
                <ptCount val="11"/>
                <pt idx="0">
                  <v>386.5978</v>
                </pt>
                <pt idx="1">
                  <v>386.5978</v>
                </pt>
                <pt idx="2">
                  <v>386.5978</v>
                </pt>
                <pt idx="3">
                  <v>491.0184</v>
                </pt>
                <pt idx="4">
                  <v>554.1006</v>
                </pt>
                <pt idx="5">
                  <v>615.9464</v>
                </pt>
                <pt idx="6">
                  <v>944.128</v>
                </pt>
                <pt idx="7">
                  <v>1154.7938</v>
                </pt>
                <pt idx="8">
                  <v>1154.7938</v>
                </pt>
                <pt idx="9">
                  <v>1538.7078</v>
                </pt>
                <pt idx="10">
                  <v>1538.7078</v>
                </pt>
              </numCache>
            </numRef>
          </yVal>
          <smooth val="0"/>
        </ser>
        <ser>
          <idx val="1"/>
          <order val="1"/>
          <tx>
            <strRef>
              <f>"VLAH"</f>
              <strCache>
                <ptCount val="1"/>
                <pt idx="0">
                  <v>VLAH</v>
                </pt>
              </strCache>
            </strRef>
          </tx>
          <spPr>
            <a:ln w="19050" cap="rnd" cmpd="sng" algn="ctr">
              <a:solidFill>
                <a:schemeClr val="accent2"/>
              </a:solidFill>
              <a:prstDash val="solid"/>
              <a:round/>
            </a:ln>
          </spPr>
          <marker>
            <symbol val="circle"/>
            <size val="5"/>
            <spPr>
              <a:ln w="6350" cap="flat" cmpd="sng" algn="ctr">
                <a:solidFill>
                  <a:schemeClr val="accent2"/>
                </a:solidFill>
                <a:prstDash val="solid"/>
                <a:round/>
              </a:ln>
            </spPr>
          </marker>
          <dLbls>
            <delete val="1"/>
          </dLbls>
          <xVal>
            <numRef>
              <f>新增数据召回曲线!$D$24:$D$34</f>
              <numCache>
                <formatCode>0.0%</formatCode>
                <ptCount val="11"/>
                <pt idx="0">
                  <v>0.605</v>
                </pt>
                <pt idx="1">
                  <v>0.655</v>
                </pt>
                <pt idx="2">
                  <v>0.71</v>
                </pt>
                <pt idx="3">
                  <v>0.755</v>
                </pt>
                <pt idx="4">
                  <v>0.8149999999999999</v>
                </pt>
                <pt idx="5">
                  <v>0.86</v>
                </pt>
                <pt idx="6">
                  <v>0.9</v>
                </pt>
                <pt idx="7">
                  <v>0.95</v>
                </pt>
                <pt idx="8">
                  <v>0.98</v>
                </pt>
                <pt idx="9">
                  <v>0.98</v>
                </pt>
                <pt idx="10">
                  <v>0.99</v>
                </pt>
              </numCache>
            </numRef>
          </xVal>
          <yVal>
            <numRef>
              <f>新增数据召回曲线!$G$24:$G$34</f>
              <numCache>
                <formatCode>General</formatCode>
                <ptCount val="11"/>
                <pt idx="0">
                  <v>7541.69535</v>
                </pt>
                <pt idx="1">
                  <v>10100.5947</v>
                </pt>
                <pt idx="2">
                  <v>15095.98385</v>
                </pt>
                <pt idx="3">
                  <v>16753.7914</v>
                </pt>
                <pt idx="4">
                  <v>20270.50565</v>
                </pt>
                <pt idx="5">
                  <v>25837.7698</v>
                </pt>
                <pt idx="6">
                  <v>32924.164</v>
                </pt>
                <pt idx="7">
                  <v>38322.17155</v>
                </pt>
                <pt idx="8">
                  <v>39981.33235</v>
                </pt>
                <pt idx="9">
                  <v>39981.33235</v>
                </pt>
                <pt idx="10">
                  <v>40878.05455</v>
                </pt>
              </numCache>
            </numRef>
          </yVal>
          <smooth val="0"/>
        </ser>
        <ser>
          <idx val="2"/>
          <order val="2"/>
          <tx>
            <strRef>
              <f>"Ours"</f>
              <strCache>
                <ptCount val="1"/>
                <pt idx="0">
                  <v>Ours</v>
                </pt>
              </strCache>
            </strRef>
          </tx>
          <spPr>
            <a:ln w="19050" cap="rnd" cmpd="sng" algn="ctr">
              <a:solidFill>
                <a:schemeClr val="accent3"/>
              </a:solidFill>
              <a:prstDash val="solid"/>
              <a:round/>
            </a:ln>
          </spPr>
          <marker>
            <symbol val="square"/>
            <size val="5"/>
            <spPr>
              <a:ln w="6350" cap="flat" cmpd="sng" algn="ctr">
                <a:solidFill>
                  <a:schemeClr val="accent3"/>
                </a:solidFill>
                <a:prstDash val="solid"/>
                <a:round/>
              </a:ln>
            </spPr>
          </marker>
          <dLbls>
            <delete val="1"/>
          </dLbls>
          <xVal>
            <numRef>
              <f>新增数据召回曲线!$D$13:$D$23</f>
              <numCache>
                <formatCode>0.0%</formatCode>
                <ptCount val="11"/>
                <pt idx="0">
                  <v>0.615</v>
                </pt>
                <pt idx="1">
                  <v>0.735</v>
                </pt>
                <pt idx="2">
                  <v>0.735</v>
                </pt>
                <pt idx="3">
                  <v>0.79</v>
                </pt>
                <pt idx="4">
                  <v>0.865</v>
                </pt>
                <pt idx="5">
                  <v>0.865</v>
                </pt>
                <pt idx="6">
                  <v>0.945</v>
                </pt>
                <pt idx="7">
                  <v>0.975</v>
                </pt>
                <pt idx="8">
                  <v>0.975</v>
                </pt>
                <pt idx="9">
                  <v>0.985</v>
                </pt>
                <pt idx="10">
                  <v>0.99</v>
                </pt>
              </numCache>
            </numRef>
          </xVal>
          <yVal>
            <numRef>
              <f>新增数据召回曲线!$G$13:$G$23</f>
              <numCache>
                <formatCode>General</formatCode>
                <ptCount val="11"/>
                <pt idx="0">
                  <v>109.9156</v>
                </pt>
                <pt idx="1">
                  <v>129.522</v>
                </pt>
                <pt idx="2">
                  <v>129.522</v>
                </pt>
                <pt idx="3">
                  <v>147.6776</v>
                </pt>
                <pt idx="4">
                  <v>179.525</v>
                </pt>
                <pt idx="5">
                  <v>179.525</v>
                </pt>
                <pt idx="6">
                  <v>228.1338</v>
                </pt>
                <pt idx="7">
                  <v>271.0874</v>
                </pt>
                <pt idx="8">
                  <v>271.0874</v>
                </pt>
                <pt idx="9">
                  <v>344.9868</v>
                </pt>
                <pt idx="10">
                  <v>405.5006</v>
                </pt>
              </numCache>
            </numRef>
          </yVal>
          <smooth val="0"/>
        </ser>
        <dLbls>
          <showLegendKey val="0"/>
          <showVal val="0"/>
          <showCatName val="0"/>
          <showSerName val="0"/>
          <showPercent val="0"/>
          <showBubbleSize val="0"/>
        </dLbls>
        <axId val="20"/>
        <axId val="10"/>
      </scatterChart>
      <valAx>
        <axId val="20"/>
        <scaling>
          <orientation val="minMax"/>
          <min val="0"/>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VO size (KB)</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max val="1"/>
          <min val="0.6"/>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majorUnit val="0.05"/>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9.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DEEP1M: Recall vs. Verify time</a:t>
            </a:r>
          </a:p>
        </rich>
      </tx>
      <layout/>
      <overlay val="0"/>
    </title>
    <plotArea>
      <layout/>
      <scatterChart>
        <scatterStyle val="lineMarker"/>
        <varyColors val="0"/>
        <ser>
          <idx val="0"/>
          <order val="0"/>
          <tx>
            <strRef>
              <f>"ANNProof"</f>
              <strCache>
                <ptCount val="1"/>
                <pt idx="0">
                  <v>ANNProof</v>
                </pt>
              </strCache>
            </strRef>
          </tx>
          <spPr>
            <a:ln w="19050" cap="rnd" cmpd="sng" algn="ctr">
              <a:solidFill>
                <a:schemeClr val="accent1"/>
              </a:solidFill>
              <a:prstDash val="solid"/>
              <a:round/>
            </a:ln>
          </spPr>
          <marker>
            <symbol val="triangle"/>
            <size val="5"/>
            <spPr>
              <a:ln w="6350" cap="flat" cmpd="sng" algn="ctr">
                <a:solidFill>
                  <a:schemeClr val="accent1"/>
                </a:solidFill>
                <a:prstDash val="solid"/>
                <a:round/>
              </a:ln>
            </spPr>
          </marker>
          <dLbls>
            <delete val="1"/>
          </dLbls>
          <xVal>
            <numRef>
              <f>新增数据召回曲线!$D$2:$D$12</f>
              <numCache>
                <formatCode>0.0%</formatCode>
                <ptCount val="11"/>
                <pt idx="0">
                  <v>0.71</v>
                </pt>
                <pt idx="1">
                  <v>0.71</v>
                </pt>
                <pt idx="2">
                  <v>0.71</v>
                </pt>
                <pt idx="3">
                  <v>0.78</v>
                </pt>
                <pt idx="4">
                  <v>0.825</v>
                </pt>
                <pt idx="5">
                  <v>0.865</v>
                </pt>
                <pt idx="6">
                  <v>0.945</v>
                </pt>
                <pt idx="7">
                  <v>0.975</v>
                </pt>
                <pt idx="8">
                  <v>0.975</v>
                </pt>
                <pt idx="9">
                  <v>0.995</v>
                </pt>
                <pt idx="10">
                  <v>0.995</v>
                </pt>
              </numCache>
            </numRef>
          </xVal>
          <yVal>
            <numRef>
              <f>新增数据召回曲线!$F$2:$F$12</f>
              <numCache>
                <formatCode>General</formatCode>
                <ptCount val="11"/>
                <pt idx="0">
                  <v>5.0948274</v>
                </pt>
                <pt idx="1">
                  <v>5.0948274</v>
                </pt>
                <pt idx="2">
                  <v>5.0948274</v>
                </pt>
                <pt idx="3">
                  <v>6.41377703333333</v>
                </pt>
                <pt idx="4">
                  <v>7.32085555</v>
                </pt>
                <pt idx="5">
                  <v>8.091527900000001</v>
                </pt>
                <pt idx="6">
                  <v>12.7037481</v>
                </pt>
                <pt idx="7">
                  <v>15.4261976166667</v>
                </pt>
                <pt idx="8">
                  <v>15.4261976166667</v>
                </pt>
                <pt idx="9">
                  <v>20.6266154833333</v>
                </pt>
                <pt idx="10">
                  <v>20.6266154833333</v>
                </pt>
              </numCache>
            </numRef>
          </yVal>
          <smooth val="0"/>
        </ser>
        <ser>
          <idx val="1"/>
          <order val="1"/>
          <tx>
            <strRef>
              <f>"VLAH"</f>
              <strCache>
                <ptCount val="1"/>
                <pt idx="0">
                  <v>VLAH</v>
                </pt>
              </strCache>
            </strRef>
          </tx>
          <spPr>
            <a:ln w="19050" cap="rnd" cmpd="sng" algn="ctr">
              <a:solidFill>
                <a:schemeClr val="accent2"/>
              </a:solidFill>
              <a:prstDash val="solid"/>
              <a:round/>
            </a:ln>
          </spPr>
          <marker>
            <symbol val="circle"/>
            <size val="5"/>
            <spPr>
              <a:ln w="6350" cap="flat" cmpd="sng" algn="ctr">
                <a:solidFill>
                  <a:schemeClr val="accent2"/>
                </a:solidFill>
                <a:prstDash val="solid"/>
                <a:round/>
              </a:ln>
            </spPr>
          </marker>
          <dLbls>
            <delete val="1"/>
          </dLbls>
          <xVal>
            <numRef>
              <f>新增数据召回曲线!$D$24:$D$34</f>
              <numCache>
                <formatCode>0.0%</formatCode>
                <ptCount val="11"/>
                <pt idx="0">
                  <v>0.605</v>
                </pt>
                <pt idx="1">
                  <v>0.655</v>
                </pt>
                <pt idx="2">
                  <v>0.71</v>
                </pt>
                <pt idx="3">
                  <v>0.755</v>
                </pt>
                <pt idx="4">
                  <v>0.8149999999999999</v>
                </pt>
                <pt idx="5">
                  <v>0.86</v>
                </pt>
                <pt idx="6">
                  <v>0.9</v>
                </pt>
                <pt idx="7">
                  <v>0.95</v>
                </pt>
                <pt idx="8">
                  <v>0.98</v>
                </pt>
                <pt idx="9">
                  <v>0.98</v>
                </pt>
                <pt idx="10">
                  <v>0.99</v>
                </pt>
              </numCache>
            </numRef>
          </xVal>
          <yVal>
            <numRef>
              <f>新增数据召回曲线!$F$24:$F$34</f>
              <numCache>
                <formatCode>General</formatCode>
                <ptCount val="11"/>
                <pt idx="0">
                  <v>53.6938911666667</v>
                </pt>
                <pt idx="1">
                  <v>72.3760297</v>
                </pt>
                <pt idx="2">
                  <v>109.178227966667</v>
                </pt>
                <pt idx="3">
                  <v>121.4742997</v>
                </pt>
                <pt idx="4">
                  <v>148.180783866667</v>
                </pt>
                <pt idx="5">
                  <v>188.6092781</v>
                </pt>
                <pt idx="6">
                  <v>240.77539485</v>
                </pt>
                <pt idx="7">
                  <v>280.071343333333</v>
                </pt>
                <pt idx="8">
                  <v>293.38766795</v>
                </pt>
                <pt idx="9">
                  <v>293.38766795</v>
                </pt>
                <pt idx="10">
                  <v>299.962289733333</v>
                </pt>
              </numCache>
            </numRef>
          </yVal>
          <smooth val="0"/>
        </ser>
        <ser>
          <idx val="2"/>
          <order val="2"/>
          <tx>
            <strRef>
              <f>"Ours"</f>
              <strCache>
                <ptCount val="1"/>
                <pt idx="0">
                  <v>Ours</v>
                </pt>
              </strCache>
            </strRef>
          </tx>
          <spPr>
            <a:ln w="19050" cap="rnd" cmpd="sng" algn="ctr">
              <a:solidFill>
                <a:schemeClr val="accent3"/>
              </a:solidFill>
              <a:prstDash val="solid"/>
              <a:round/>
            </a:ln>
          </spPr>
          <marker>
            <symbol val="square"/>
            <size val="5"/>
            <spPr>
              <a:ln w="6350" cap="flat" cmpd="sng" algn="ctr">
                <a:solidFill>
                  <a:schemeClr val="accent3"/>
                </a:solidFill>
                <a:prstDash val="solid"/>
                <a:round/>
              </a:ln>
            </spPr>
          </marker>
          <dLbls>
            <delete val="1"/>
          </dLbls>
          <xVal>
            <numRef>
              <f>新增数据召回曲线!$D$13:$D$23</f>
              <numCache>
                <formatCode>0.0%</formatCode>
                <ptCount val="11"/>
                <pt idx="0">
                  <v>0.615</v>
                </pt>
                <pt idx="1">
                  <v>0.735</v>
                </pt>
                <pt idx="2">
                  <v>0.735</v>
                </pt>
                <pt idx="3">
                  <v>0.79</v>
                </pt>
                <pt idx="4">
                  <v>0.865</v>
                </pt>
                <pt idx="5">
                  <v>0.865</v>
                </pt>
                <pt idx="6">
                  <v>0.945</v>
                </pt>
                <pt idx="7">
                  <v>0.975</v>
                </pt>
                <pt idx="8">
                  <v>0.975</v>
                </pt>
                <pt idx="9">
                  <v>0.985</v>
                </pt>
                <pt idx="10">
                  <v>0.99</v>
                </pt>
              </numCache>
            </numRef>
          </xVal>
          <yVal>
            <numRef>
              <f>新增数据召回曲线!$F$13:$F$23</f>
              <numCache>
                <formatCode>General</formatCode>
                <ptCount val="11"/>
                <pt idx="0">
                  <v>2.38709686666667</v>
                </pt>
                <pt idx="1">
                  <v>2.85541431666667</v>
                </pt>
                <pt idx="2">
                  <v>2.85541431666667</v>
                </pt>
                <pt idx="3">
                  <v>3.25884446666667</v>
                </pt>
                <pt idx="4">
                  <v>3.99739765</v>
                </pt>
                <pt idx="5">
                  <v>3.99739765</v>
                </pt>
                <pt idx="6">
                  <v>5.16082628333333</v>
                </pt>
                <pt idx="7">
                  <v>6.1193687</v>
                </pt>
                <pt idx="8">
                  <v>6.1193687</v>
                </pt>
                <pt idx="9">
                  <v>7.86179926666667</v>
                </pt>
                <pt idx="10">
                  <v>9.4468192</v>
                </pt>
              </numCache>
            </numRef>
          </yVal>
          <smooth val="0"/>
        </ser>
        <dLbls>
          <showLegendKey val="0"/>
          <showVal val="0"/>
          <showCatName val="0"/>
          <showSerName val="0"/>
          <showPercent val="0"/>
          <showBubbleSize val="0"/>
        </dLbls>
        <axId val="20"/>
        <axId val="10"/>
      </scatterChart>
      <valAx>
        <axId val="20"/>
        <scaling>
          <orientation val="minMax"/>
          <min val="0"/>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Verify time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max val="1"/>
          <min val="0.6"/>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majorUnit val="0.05"/>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10.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DEEP: Dataset size vs. Query time</a:t>
            </a:r>
          </a:p>
        </rich>
      </tx>
      <layout/>
      <overlay val="0"/>
    </title>
    <plotArea>
      <layout/>
      <scatterChart>
        <scatterStyle val="smoothMarker"/>
        <varyColors val="0"/>
        <ser>
          <idx val="0"/>
          <order val="0"/>
          <tx>
            <strRef>
              <f>"ANNProof"</f>
              <strCache>
                <ptCount val="1"/>
                <pt idx="0">
                  <v>ANNProof</v>
                </pt>
              </strCache>
            </strRef>
          </tx>
          <spPr>
            <a:ln w="19050" cap="rnd" cmpd="sng" algn="ctr">
              <a:solidFill>
                <a:schemeClr val="accent1"/>
              </a:solidFill>
              <a:prstDash val="solid"/>
              <a:round/>
            </a:ln>
          </spPr>
          <marker>
            <symbol val="triangle"/>
            <size val="5"/>
            <spPr>
              <a:ln w="6350" cap="flat" cmpd="sng" algn="ctr">
                <a:solidFill>
                  <a:schemeClr val="accent1"/>
                </a:solidFill>
                <a:prstDash val="solid"/>
                <a:round/>
              </a:ln>
            </spPr>
          </marker>
          <dLbls>
            <delete val="1"/>
          </dLbls>
          <xVal>
            <numRef>
              <f>DEEP扩展规模测量!$B$2:$B$6</f>
              <numCache>
                <formatCode>General</formatCode>
                <ptCount val="5"/>
                <pt idx="0">
                  <v>100000</v>
                </pt>
                <pt idx="1">
                  <v>500000</v>
                </pt>
                <pt idx="2">
                  <v>1000000</v>
                </pt>
                <pt idx="3">
                  <v>5000000</v>
                </pt>
                <pt idx="4">
                  <v>10000000</v>
                </pt>
              </numCache>
            </numRef>
          </xVal>
          <yVal>
            <numRef>
              <f>DEEP扩展规模测量!$G$2:$G$6</f>
              <numCache>
                <formatCode>General</formatCode>
                <ptCount val="5"/>
                <pt idx="0">
                  <v>1.7697227</v>
                </pt>
                <pt idx="1">
                  <v>2.28107513333333</v>
                </pt>
                <pt idx="2">
                  <v>3.15865693333333</v>
                </pt>
                <pt idx="3">
                  <v>6.14507238333333</v>
                </pt>
                <pt idx="4">
                  <v>9.09569141666667</v>
                </pt>
              </numCache>
            </numRef>
          </yVal>
          <smooth val="1"/>
        </ser>
        <ser>
          <idx val="1"/>
          <order val="1"/>
          <tx>
            <strRef>
              <f>"VLAH"</f>
              <strCache>
                <ptCount val="1"/>
                <pt idx="0">
                  <v>VLAH</v>
                </pt>
              </strCache>
            </strRef>
          </tx>
          <spPr>
            <a:ln w="19050" cap="rnd" cmpd="sng" algn="ctr">
              <a:solidFill>
                <a:schemeClr val="accent2"/>
              </a:solidFill>
              <a:prstDash val="solid"/>
              <a:round/>
            </a:ln>
          </spPr>
          <marker>
            <symbol val="circle"/>
            <size val="5"/>
            <spPr>
              <a:ln w="6350" cap="flat" cmpd="sng" algn="ctr">
                <a:solidFill>
                  <a:schemeClr val="accent2"/>
                </a:solidFill>
                <a:prstDash val="solid"/>
                <a:round/>
              </a:ln>
            </spPr>
          </marker>
          <dLbls>
            <delete val="1"/>
          </dLbls>
          <xVal>
            <numRef>
              <f>DEEP扩展规模测量!$B$7:$B$11</f>
              <numCache>
                <formatCode>General</formatCode>
                <ptCount val="5"/>
                <pt idx="0">
                  <v>100000</v>
                </pt>
                <pt idx="1">
                  <v>500000</v>
                </pt>
                <pt idx="2">
                  <v>1000000</v>
                </pt>
                <pt idx="3">
                  <v>5000000</v>
                </pt>
                <pt idx="4">
                  <v>10000000</v>
                </pt>
              </numCache>
            </numRef>
          </xVal>
          <yVal>
            <numRef>
              <f>DEEP扩展规模测量!$G$7:$G$11</f>
              <numCache>
                <formatCode>General</formatCode>
                <ptCount val="5"/>
                <pt idx="0">
                  <v>11.1942364166667</v>
                </pt>
                <pt idx="1">
                  <v>49.60916</v>
                </pt>
                <pt idx="2">
                  <v>106.513872866667</v>
                </pt>
                <pt idx="3">
                  <v>550.324390433333</v>
                </pt>
                <pt idx="4">
                  <v>1070.8410505</v>
                </pt>
              </numCache>
            </numRef>
          </yVal>
          <smooth val="1"/>
        </ser>
        <ser>
          <idx val="2"/>
          <order val="2"/>
          <tx>
            <strRef>
              <f>"Ours"</f>
              <strCache>
                <ptCount val="1"/>
                <pt idx="0">
                  <v>Ours</v>
                </pt>
              </strCache>
            </strRef>
          </tx>
          <spPr>
            <a:ln w="19050" cap="rnd" cmpd="sng" algn="ctr">
              <a:solidFill>
                <a:schemeClr val="accent3"/>
              </a:solidFill>
              <a:prstDash val="solid"/>
              <a:round/>
            </a:ln>
          </spPr>
          <marker>
            <symbol val="square"/>
            <size val="5"/>
            <spPr>
              <a:ln w="6350" cap="flat" cmpd="sng" algn="ctr">
                <a:solidFill>
                  <a:schemeClr val="accent3"/>
                </a:solidFill>
                <a:prstDash val="solid"/>
                <a:round/>
              </a:ln>
            </spPr>
          </marker>
          <dLbls>
            <delete val="1"/>
          </dLbls>
          <xVal>
            <numRef>
              <f>DEEP扩展规模测量!$B$12:$B$16</f>
              <numCache>
                <formatCode>General</formatCode>
                <ptCount val="5"/>
                <pt idx="0">
                  <v>100000</v>
                </pt>
                <pt idx="1">
                  <v>500000</v>
                </pt>
                <pt idx="2">
                  <v>1000000</v>
                </pt>
                <pt idx="3">
                  <v>5000000</v>
                </pt>
                <pt idx="4">
                  <v>10000000</v>
                </pt>
              </numCache>
            </numRef>
          </xVal>
          <yVal>
            <numRef>
              <f>DEEP扩展规模测量!$G$12:$G$16</f>
              <numCache>
                <formatCode>General</formatCode>
                <ptCount val="5"/>
                <pt idx="0">
                  <v>1.46408101666667</v>
                </pt>
                <pt idx="1">
                  <v>2.29060276666667</v>
                </pt>
                <pt idx="2">
                  <v>2.5314656</v>
                </pt>
                <pt idx="3">
                  <v>6.15269876666667</v>
                </pt>
                <pt idx="4">
                  <v>7.25583046666667</v>
                </pt>
              </numCache>
            </numRef>
          </yVal>
          <smooth val="1"/>
        </ser>
        <dLbls>
          <showLegendKey val="0"/>
          <showVal val="0"/>
          <showCatName val="0"/>
          <showSerName val="0"/>
          <showPercent val="0"/>
          <showBubbleSize val="0"/>
        </dLbls>
        <axId val="20"/>
        <axId val="10"/>
      </scatterChart>
      <valAx>
        <axId val="20"/>
        <scaling>
          <orientation val="minMax"/>
          <min val="0"/>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Query time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max val="10000000"/>
          <min val="0"/>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Database vectors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11.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DEEP: Dataset size vs. VO size</a:t>
            </a:r>
          </a:p>
        </rich>
      </tx>
      <layout/>
      <overlay val="0"/>
    </title>
    <plotArea>
      <layout/>
      <scatterChart>
        <scatterStyle val="smoothMarker"/>
        <varyColors val="0"/>
        <ser>
          <idx val="0"/>
          <order val="0"/>
          <tx>
            <strRef>
              <f>"ANNProof"</f>
              <strCache>
                <ptCount val="1"/>
                <pt idx="0">
                  <v>ANNProof</v>
                </pt>
              </strCache>
            </strRef>
          </tx>
          <spPr>
            <a:ln w="19050" cap="rnd" cmpd="sng" algn="ctr">
              <a:solidFill>
                <a:schemeClr val="accent1"/>
              </a:solidFill>
              <a:prstDash val="solid"/>
              <a:round/>
            </a:ln>
          </spPr>
          <marker>
            <symbol val="triangle"/>
            <size val="5"/>
            <spPr>
              <a:ln w="6350" cap="flat" cmpd="sng" algn="ctr">
                <a:solidFill>
                  <a:schemeClr val="accent1"/>
                </a:solidFill>
                <a:prstDash val="solid"/>
                <a:round/>
              </a:ln>
            </spPr>
          </marker>
          <dLbls>
            <delete val="1"/>
          </dLbls>
          <xVal>
            <numRef>
              <f>DEEP扩展规模测量!$B$2:$B$6</f>
              <numCache>
                <formatCode>General</formatCode>
                <ptCount val="5"/>
                <pt idx="0">
                  <v>100000</v>
                </pt>
                <pt idx="1">
                  <v>500000</v>
                </pt>
                <pt idx="2">
                  <v>1000000</v>
                </pt>
                <pt idx="3">
                  <v>5000000</v>
                </pt>
                <pt idx="4">
                  <v>10000000</v>
                </pt>
              </numCache>
            </numRef>
          </xVal>
          <yVal>
            <numRef>
              <f>DEEP扩展规模测量!$I$2:$I$6</f>
              <numCache>
                <formatCode>General</formatCode>
                <ptCount val="5"/>
                <pt idx="0">
                  <v>644.186</v>
                </pt>
                <pt idx="1">
                  <v>852.6844</v>
                </pt>
                <pt idx="2">
                  <v>1154.7938</v>
                </pt>
                <pt idx="3">
                  <v>1976.1628</v>
                </pt>
                <pt idx="4">
                  <v>2671.927</v>
                </pt>
              </numCache>
            </numRef>
          </yVal>
          <smooth val="1"/>
        </ser>
        <ser>
          <idx val="1"/>
          <order val="1"/>
          <tx>
            <strRef>
              <f>"VLAH"</f>
              <strCache>
                <ptCount val="1"/>
                <pt idx="0">
                  <v>VLAH</v>
                </pt>
              </strCache>
            </strRef>
          </tx>
          <spPr>
            <a:ln w="19050" cap="rnd" cmpd="sng" algn="ctr">
              <a:solidFill>
                <a:schemeClr val="accent2"/>
              </a:solidFill>
              <a:prstDash val="solid"/>
              <a:round/>
            </a:ln>
          </spPr>
          <marker>
            <symbol val="circle"/>
            <size val="5"/>
            <spPr>
              <a:ln w="6350" cap="flat" cmpd="sng" algn="ctr">
                <a:solidFill>
                  <a:schemeClr val="accent2"/>
                </a:solidFill>
                <a:prstDash val="solid"/>
                <a:round/>
              </a:ln>
            </spPr>
          </marker>
          <dLbls>
            <delete val="1"/>
          </dLbls>
          <xVal>
            <numRef>
              <f>DEEP扩展规模测量!$B$7:$B$11</f>
              <numCache>
                <formatCode>General</formatCode>
                <ptCount val="5"/>
                <pt idx="0">
                  <v>100000</v>
                </pt>
                <pt idx="1">
                  <v>500000</v>
                </pt>
                <pt idx="2">
                  <v>1000000</v>
                </pt>
                <pt idx="3">
                  <v>5000000</v>
                </pt>
                <pt idx="4">
                  <v>10000000</v>
                </pt>
              </numCache>
            </numRef>
          </xVal>
          <yVal>
            <numRef>
              <f>DEEP扩展规模测量!$I$7:$I$11</f>
              <numCache>
                <formatCode>General</formatCode>
                <ptCount val="5"/>
                <pt idx="0">
                  <v>4406.5916</v>
                </pt>
                <pt idx="1">
                  <v>19154.54795</v>
                </pt>
                <pt idx="2">
                  <v>38322.17155</v>
                </pt>
                <pt idx="3">
                  <v>175090.9835</v>
                </pt>
                <pt idx="4">
                  <v>343751.79415</v>
                </pt>
              </numCache>
            </numRef>
          </yVal>
          <smooth val="1"/>
        </ser>
        <ser>
          <idx val="2"/>
          <order val="2"/>
          <tx>
            <strRef>
              <f>"Ours"</f>
              <strCache>
                <ptCount val="1"/>
                <pt idx="0">
                  <v>Ours</v>
                </pt>
              </strCache>
            </strRef>
          </tx>
          <spPr>
            <a:ln w="19050" cap="rnd" cmpd="sng" algn="ctr">
              <a:solidFill>
                <a:schemeClr val="accent3"/>
              </a:solidFill>
              <a:prstDash val="solid"/>
              <a:round/>
            </a:ln>
          </spPr>
          <marker>
            <symbol val="square"/>
            <size val="5"/>
            <spPr>
              <a:ln w="6350" cap="flat" cmpd="sng" algn="ctr">
                <a:solidFill>
                  <a:schemeClr val="accent3"/>
                </a:solidFill>
                <a:prstDash val="solid"/>
                <a:round/>
              </a:ln>
            </spPr>
          </marker>
          <dLbls>
            <delete val="1"/>
          </dLbls>
          <xVal>
            <numRef>
              <f>DEEP扩展规模测量!$B$12:$B$16</f>
              <numCache>
                <formatCode>General</formatCode>
                <ptCount val="5"/>
                <pt idx="0">
                  <v>100000</v>
                </pt>
                <pt idx="1">
                  <v>500000</v>
                </pt>
                <pt idx="2">
                  <v>1000000</v>
                </pt>
                <pt idx="3">
                  <v>5000000</v>
                </pt>
                <pt idx="4">
                  <v>10000000</v>
                </pt>
              </numCache>
            </numRef>
          </xVal>
          <yVal>
            <numRef>
              <f>DEEP扩展规模测量!$I$12:$I$16</f>
              <numCache>
                <formatCode>General</formatCode>
                <ptCount val="5"/>
                <pt idx="0">
                  <v>158.2168</v>
                </pt>
                <pt idx="1">
                  <v>232.5502</v>
                </pt>
                <pt idx="2">
                  <v>271.0874</v>
                </pt>
                <pt idx="3">
                  <v>561.5534</v>
                </pt>
                <pt idx="4">
                  <v>651.6462</v>
                </pt>
              </numCache>
            </numRef>
          </yVal>
          <smooth val="1"/>
        </ser>
        <dLbls>
          <showLegendKey val="0"/>
          <showVal val="0"/>
          <showCatName val="0"/>
          <showSerName val="0"/>
          <showPercent val="0"/>
          <showBubbleSize val="0"/>
        </dLbls>
        <axId val="20"/>
        <axId val="10"/>
      </scatterChart>
      <valAx>
        <axId val="20"/>
        <scaling>
          <orientation val="minMax"/>
          <min val="0"/>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VO size (KB)</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max val="10000000"/>
          <min val="0"/>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Database vectors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12.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DEEP: Dataset size vs. Verify time</a:t>
            </a:r>
          </a:p>
        </rich>
      </tx>
      <layout/>
      <overlay val="0"/>
    </title>
    <plotArea>
      <layout/>
      <scatterChart>
        <scatterStyle val="smoothMarker"/>
        <varyColors val="0"/>
        <ser>
          <idx val="0"/>
          <order val="0"/>
          <tx>
            <strRef>
              <f>"ANNProof"</f>
              <strCache>
                <ptCount val="1"/>
                <pt idx="0">
                  <v>ANNProof</v>
                </pt>
              </strCache>
            </strRef>
          </tx>
          <spPr>
            <a:ln w="19050" cap="rnd" cmpd="sng" algn="ctr">
              <a:solidFill>
                <a:schemeClr val="accent1"/>
              </a:solidFill>
              <a:prstDash val="solid"/>
              <a:round/>
            </a:ln>
          </spPr>
          <marker>
            <symbol val="triangle"/>
            <size val="5"/>
            <spPr>
              <a:ln w="6350" cap="flat" cmpd="sng" algn="ctr">
                <a:solidFill>
                  <a:schemeClr val="accent1"/>
                </a:solidFill>
                <a:prstDash val="solid"/>
                <a:round/>
              </a:ln>
            </spPr>
          </marker>
          <dLbls>
            <delete val="1"/>
          </dLbls>
          <xVal>
            <numRef>
              <f>DEEP扩展规模测量!$B$2:$B$6</f>
              <numCache>
                <formatCode>General</formatCode>
                <ptCount val="5"/>
                <pt idx="0">
                  <v>100000</v>
                </pt>
                <pt idx="1">
                  <v>500000</v>
                </pt>
                <pt idx="2">
                  <v>1000000</v>
                </pt>
                <pt idx="3">
                  <v>5000000</v>
                </pt>
                <pt idx="4">
                  <v>10000000</v>
                </pt>
              </numCache>
            </numRef>
          </xVal>
          <yVal>
            <numRef>
              <f>DEEP扩展规模测量!$H$2:$H$6</f>
              <numCache>
                <formatCode>General</formatCode>
                <ptCount val="5"/>
                <pt idx="0">
                  <v>8.31754258333333</v>
                </pt>
                <pt idx="1">
                  <v>11.3754679</v>
                </pt>
                <pt idx="2">
                  <v>15.4261976166667</v>
                </pt>
                <pt idx="3">
                  <v>25.9699077166667</v>
                </pt>
                <pt idx="4">
                  <v>35.1169640833333</v>
                </pt>
              </numCache>
            </numRef>
          </yVal>
          <smooth val="1"/>
        </ser>
        <ser>
          <idx val="1"/>
          <order val="1"/>
          <tx>
            <strRef>
              <f>"VLAH"</f>
              <strCache>
                <ptCount val="1"/>
                <pt idx="0">
                  <v>VLAH</v>
                </pt>
              </strCache>
            </strRef>
          </tx>
          <spPr>
            <a:ln w="19050" cap="rnd" cmpd="sng" algn="ctr">
              <a:solidFill>
                <a:schemeClr val="accent2"/>
              </a:solidFill>
              <a:prstDash val="solid"/>
              <a:round/>
            </a:ln>
          </spPr>
          <marker>
            <symbol val="circle"/>
            <size val="5"/>
            <spPr>
              <a:ln w="6350" cap="flat" cmpd="sng" algn="ctr">
                <a:solidFill>
                  <a:schemeClr val="accent2"/>
                </a:solidFill>
                <a:prstDash val="solid"/>
                <a:round/>
              </a:ln>
            </spPr>
          </marker>
          <dLbls>
            <delete val="1"/>
          </dLbls>
          <xVal>
            <numRef>
              <f>DEEP扩展规模测量!$B$7:$B$11</f>
              <numCache>
                <formatCode>General</formatCode>
                <ptCount val="5"/>
                <pt idx="0">
                  <v>100000</v>
                </pt>
                <pt idx="1">
                  <v>500000</v>
                </pt>
                <pt idx="2">
                  <v>1000000</v>
                </pt>
                <pt idx="3">
                  <v>5000000</v>
                </pt>
                <pt idx="4">
                  <v>10000000</v>
                </pt>
              </numCache>
            </numRef>
          </xVal>
          <yVal>
            <numRef>
              <f>DEEP扩展规模测量!$H$7:$H$11</f>
              <numCache>
                <formatCode>General</formatCode>
                <ptCount val="5"/>
                <pt idx="0">
                  <v>30.6691185833333</v>
                </pt>
                <pt idx="1">
                  <v>138.3154764</v>
                </pt>
                <pt idx="2">
                  <v>280.071343333333</v>
                </pt>
                <pt idx="3">
                  <v>1316.81213005</v>
                </pt>
                <pt idx="4">
                  <v>2659.4569935</v>
                </pt>
              </numCache>
            </numRef>
          </yVal>
          <smooth val="1"/>
        </ser>
        <ser>
          <idx val="2"/>
          <order val="2"/>
          <tx>
            <strRef>
              <f>"Ours"</f>
              <strCache>
                <ptCount val="1"/>
                <pt idx="0">
                  <v>Ours</v>
                </pt>
              </strCache>
            </strRef>
          </tx>
          <spPr>
            <a:ln w="19050" cap="rnd" cmpd="sng" algn="ctr">
              <a:solidFill>
                <a:schemeClr val="accent3"/>
              </a:solidFill>
              <a:prstDash val="solid"/>
              <a:round/>
            </a:ln>
          </spPr>
          <marker>
            <symbol val="square"/>
            <size val="5"/>
            <spPr>
              <a:ln w="6350" cap="flat" cmpd="sng" algn="ctr">
                <a:solidFill>
                  <a:schemeClr val="accent3"/>
                </a:solidFill>
                <a:prstDash val="solid"/>
                <a:round/>
              </a:ln>
            </spPr>
          </marker>
          <dLbls>
            <delete val="1"/>
          </dLbls>
          <xVal>
            <numRef>
              <f>DEEP扩展规模测量!$B$12:$B$16</f>
              <numCache>
                <formatCode>General</formatCode>
                <ptCount val="5"/>
                <pt idx="0">
                  <v>100000</v>
                </pt>
                <pt idx="1">
                  <v>500000</v>
                </pt>
                <pt idx="2">
                  <v>1000000</v>
                </pt>
                <pt idx="3">
                  <v>5000000</v>
                </pt>
                <pt idx="4">
                  <v>10000000</v>
                </pt>
              </numCache>
            </numRef>
          </xVal>
          <yVal>
            <numRef>
              <f>DEEP扩展规模测量!$H$12:$H$16</f>
              <numCache>
                <formatCode>General</formatCode>
                <ptCount val="5"/>
                <pt idx="0">
                  <v>3.48295088333333</v>
                </pt>
                <pt idx="1">
                  <v>5.32543016666667</v>
                </pt>
                <pt idx="2">
                  <v>6.1193687</v>
                </pt>
                <pt idx="3">
                  <v>13.18477455</v>
                </pt>
                <pt idx="4">
                  <v>15.7888074166667</v>
                </pt>
              </numCache>
            </numRef>
          </yVal>
          <smooth val="1"/>
        </ser>
        <dLbls>
          <showLegendKey val="0"/>
          <showVal val="0"/>
          <showCatName val="0"/>
          <showSerName val="0"/>
          <showPercent val="0"/>
          <showBubbleSize val="0"/>
        </dLbls>
        <axId val="20"/>
        <axId val="10"/>
      </scatterChart>
      <valAx>
        <axId val="20"/>
        <scaling>
          <orientation val="minMax"/>
          <min val="0"/>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Verify time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max val="10000000"/>
          <min val="0"/>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Database vectors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13.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NYTimes-256: Query ms</a:t>
            </a:r>
          </a:p>
        </rich>
      </tx>
      <layout/>
      <overlay val="0"/>
    </title>
    <plotArea>
      <layout/>
      <scatterChart>
        <scatterStyle val="smooth"/>
        <varyColors val="0"/>
        <ser>
          <idx val="0"/>
          <order val="0"/>
          <tx>
            <strRef>
              <f>"ANNProof"</f>
              <strCache>
                <ptCount val="1"/>
                <pt idx="0">
                  <v>ANNProof</v>
                </pt>
              </strCache>
            </strRef>
          </tx>
          <spPr>
            <a:ln w="19050" cap="rnd" cmpd="sng" algn="ctr">
              <a:solidFill>
                <a:schemeClr val="accent1"/>
              </a:solidFill>
              <a:prstDash val="solid"/>
              <a:round/>
            </a:ln>
          </spPr>
          <marker>
            <symbol val="none"/>
            <spPr>
              <a:ln>
                <a:prstDash val="solid"/>
              </a:ln>
            </spPr>
          </marker>
          <dLbls>
            <delete val="1"/>
          </dLbls>
          <xVal>
            <numRef>
              <f>NYTimes召回曲线!$C$2:$C$12</f>
              <numCache>
                <formatCode>General</formatCode>
                <ptCount val="11"/>
                <pt idx="0">
                  <v>0.84</v>
                </pt>
                <pt idx="1">
                  <v>0.84</v>
                </pt>
                <pt idx="2">
                  <v>0.84</v>
                </pt>
                <pt idx="3">
                  <v>0.84</v>
                </pt>
                <pt idx="4">
                  <v>0.84</v>
                </pt>
                <pt idx="5">
                  <v>0.855</v>
                </pt>
                <pt idx="6">
                  <v>0.9</v>
                </pt>
                <pt idx="7">
                  <v>0.96</v>
                </pt>
                <pt idx="8">
                  <v>0.97</v>
                </pt>
                <pt idx="9">
                  <v>0.985</v>
                </pt>
                <pt idx="10">
                  <v>1</v>
                </pt>
              </numCache>
            </numRef>
          </xVal>
          <yVal>
            <numRef>
              <f>NYTimes召回曲线!$D$2:$D$12</f>
              <numCache>
                <formatCode>General</formatCode>
                <ptCount val="11"/>
                <pt idx="0">
                  <v>1.28528681666667</v>
                </pt>
                <pt idx="1">
                  <v>1.28528681666667</v>
                </pt>
                <pt idx="2">
                  <v>1.28528681666667</v>
                </pt>
                <pt idx="3">
                  <v>1.28528681666667</v>
                </pt>
                <pt idx="4">
                  <v>1.28528681666667</v>
                </pt>
                <pt idx="5">
                  <v>2.58172271666667</v>
                </pt>
                <pt idx="6">
                  <v>4.64559393333333</v>
                </pt>
                <pt idx="7">
                  <v>22.3159277666667</v>
                </pt>
                <pt idx="8">
                  <v>44.3849581833333</v>
                </pt>
                <pt idx="9">
                  <v>56.8982416833333</v>
                </pt>
                <pt idx="10">
                  <v>87.84406300000001</v>
                </pt>
              </numCache>
            </numRef>
          </yVal>
          <smooth val="1"/>
        </ser>
        <ser>
          <idx val="1"/>
          <order val="1"/>
          <tx>
            <strRef>
              <f>"VLAH"</f>
              <strCache>
                <ptCount val="1"/>
                <pt idx="0">
                  <v>VLAH</v>
                </pt>
              </strCache>
            </strRef>
          </tx>
          <spPr>
            <a:ln w="19050" cap="rnd" cmpd="sng" algn="ctr">
              <a:solidFill>
                <a:schemeClr val="accent2"/>
              </a:solidFill>
              <a:prstDash val="solid"/>
              <a:round/>
            </a:ln>
          </spPr>
          <marker>
            <symbol val="none"/>
            <spPr>
              <a:ln>
                <a:prstDash val="solid"/>
              </a:ln>
            </spPr>
          </marker>
          <dLbls>
            <delete val="1"/>
          </dLbls>
          <xVal>
            <numRef>
              <f>NYTimes召回曲线!$C$24:$C$34</f>
              <numCache>
                <formatCode>General</formatCode>
                <ptCount val="11"/>
                <pt idx="0">
                  <v>0.67</v>
                </pt>
                <pt idx="1">
                  <v>0.67</v>
                </pt>
                <pt idx="2">
                  <v>0.715</v>
                </pt>
                <pt idx="3">
                  <v>0.78</v>
                </pt>
                <pt idx="4">
                  <v>0.82</v>
                </pt>
                <pt idx="5">
                  <v>0.875</v>
                </pt>
                <pt idx="6">
                  <v>0.925</v>
                </pt>
                <pt idx="7">
                  <v>0.96</v>
                </pt>
                <pt idx="8">
                  <v>0.99</v>
                </pt>
                <pt idx="9">
                  <v>0.99</v>
                </pt>
                <pt idx="10">
                  <v>0.99</v>
                </pt>
              </numCache>
            </numRef>
          </xVal>
          <yVal>
            <numRef>
              <f>NYTimes召回曲线!$D$24:$D$34</f>
              <numCache>
                <formatCode>General</formatCode>
                <ptCount val="11"/>
                <pt idx="0">
                  <v>143.59484805</v>
                </pt>
                <pt idx="1">
                  <v>143.59484805</v>
                </pt>
                <pt idx="2">
                  <v>164.394885933333</v>
                </pt>
                <pt idx="3">
                  <v>185.147734933333</v>
                </pt>
                <pt idx="4">
                  <v>206.091788883333</v>
                </pt>
                <pt idx="5">
                  <v>231.242866266667</v>
                </pt>
                <pt idx="6">
                  <v>273.801794433333</v>
                </pt>
                <pt idx="7">
                  <v>295.928621983333</v>
                </pt>
                <pt idx="8">
                  <v>315.256652616667</v>
                </pt>
                <pt idx="9">
                  <v>315.256652616667</v>
                </pt>
                <pt idx="10">
                  <v>315.256652616667</v>
                </pt>
              </numCache>
            </numRef>
          </yVal>
          <smooth val="1"/>
        </ser>
        <ser>
          <idx val="2"/>
          <order val="2"/>
          <tx>
            <strRef>
              <f>"Ours"</f>
              <strCache>
                <ptCount val="1"/>
                <pt idx="0">
                  <v>Ours</v>
                </pt>
              </strCache>
            </strRef>
          </tx>
          <spPr>
            <a:ln w="19050" cap="rnd" cmpd="sng" algn="ctr">
              <a:solidFill>
                <a:schemeClr val="accent3"/>
              </a:solidFill>
              <a:prstDash val="solid"/>
              <a:round/>
            </a:ln>
          </spPr>
          <marker>
            <symbol val="none"/>
            <spPr>
              <a:ln>
                <a:prstDash val="solid"/>
              </a:ln>
            </spPr>
          </marker>
          <dLbls>
            <delete val="1"/>
          </dLbls>
          <xVal>
            <numRef>
              <f>NYTimes召回曲线!$C$13:$C$23</f>
              <numCache>
                <formatCode>General</formatCode>
                <ptCount val="11"/>
                <pt idx="0">
                  <v>0.61</v>
                </pt>
                <pt idx="1">
                  <v>0.7</v>
                </pt>
                <pt idx="2">
                  <v>0.7</v>
                </pt>
                <pt idx="3">
                  <v>0.825</v>
                </pt>
                <pt idx="4">
                  <v>0.825</v>
                </pt>
                <pt idx="5">
                  <v>0.855</v>
                </pt>
                <pt idx="6">
                  <v>0.905</v>
                </pt>
                <pt idx="7">
                  <v>0.955</v>
                </pt>
                <pt idx="8">
                  <v>0.97</v>
                </pt>
                <pt idx="9">
                  <v>0.98</v>
                </pt>
                <pt idx="10">
                  <v>1</v>
                </pt>
              </numCache>
            </numRef>
          </xVal>
          <yVal>
            <numRef>
              <f>NYTimes召回曲线!$D$13:$D$23</f>
              <numCache>
                <formatCode>General</formatCode>
                <ptCount val="11"/>
                <pt idx="0">
                  <v>1.3048278</v>
                </pt>
                <pt idx="1">
                  <v>1.7065919</v>
                </pt>
                <pt idx="2">
                  <v>1.7065919</v>
                </pt>
                <pt idx="3">
                  <v>2.05966926666667</v>
                </pt>
                <pt idx="4">
                  <v>2.05966926666667</v>
                </pt>
                <pt idx="5">
                  <v>3.5460066</v>
                </pt>
                <pt idx="6">
                  <v>4.89644948333333</v>
                </pt>
                <pt idx="7">
                  <v>10.7765117333333</v>
                </pt>
                <pt idx="8">
                  <v>19.7508237</v>
                </pt>
                <pt idx="9">
                  <v>37.6738647166667</v>
                </pt>
                <pt idx="10">
                  <v>55.6170811833333</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Query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max val="1"/>
          <min val="0.6"/>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14.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NYTimes-256: Verify ms</a:t>
            </a:r>
          </a:p>
        </rich>
      </tx>
      <layout/>
      <overlay val="0"/>
    </title>
    <plotArea>
      <layout/>
      <scatterChart>
        <scatterStyle val="smooth"/>
        <varyColors val="0"/>
        <ser>
          <idx val="0"/>
          <order val="0"/>
          <tx>
            <strRef>
              <f>"ANNProof"</f>
              <strCache>
                <ptCount val="1"/>
                <pt idx="0">
                  <v>ANNProof</v>
                </pt>
              </strCache>
            </strRef>
          </tx>
          <spPr>
            <a:ln w="19050" cap="rnd" cmpd="sng" algn="ctr">
              <a:solidFill>
                <a:schemeClr val="accent1"/>
              </a:solidFill>
              <a:prstDash val="solid"/>
              <a:round/>
            </a:ln>
          </spPr>
          <marker>
            <symbol val="none"/>
            <spPr>
              <a:ln>
                <a:prstDash val="solid"/>
              </a:ln>
            </spPr>
          </marker>
          <dLbls>
            <delete val="1"/>
          </dLbls>
          <xVal>
            <numRef>
              <f>NYTimes召回曲线!$C$2:$C$12</f>
              <numCache>
                <formatCode>General</formatCode>
                <ptCount val="11"/>
                <pt idx="0">
                  <v>0.84</v>
                </pt>
                <pt idx="1">
                  <v>0.84</v>
                </pt>
                <pt idx="2">
                  <v>0.84</v>
                </pt>
                <pt idx="3">
                  <v>0.84</v>
                </pt>
                <pt idx="4">
                  <v>0.84</v>
                </pt>
                <pt idx="5">
                  <v>0.855</v>
                </pt>
                <pt idx="6">
                  <v>0.9</v>
                </pt>
                <pt idx="7">
                  <v>0.96</v>
                </pt>
                <pt idx="8">
                  <v>0.97</v>
                </pt>
                <pt idx="9">
                  <v>0.985</v>
                </pt>
                <pt idx="10">
                  <v>1</v>
                </pt>
              </numCache>
            </numRef>
          </xVal>
          <yVal>
            <numRef>
              <f>NYTimes召回曲线!$E$2:$E$12</f>
              <numCache>
                <formatCode>General</formatCode>
                <ptCount val="11"/>
                <pt idx="0">
                  <v>6.37703646666667</v>
                </pt>
                <pt idx="1">
                  <v>6.37703646666667</v>
                </pt>
                <pt idx="2">
                  <v>6.37703646666667</v>
                </pt>
                <pt idx="3">
                  <v>6.37703646666667</v>
                </pt>
                <pt idx="4">
                  <v>6.37703646666667</v>
                </pt>
                <pt idx="5">
                  <v>12.07894735</v>
                </pt>
                <pt idx="6">
                  <v>20.1642276166667</v>
                </pt>
                <pt idx="7">
                  <v>86.1523698333333</v>
                </pt>
                <pt idx="8">
                  <v>158.61361355</v>
                </pt>
                <pt idx="9">
                  <v>204.722528233333</v>
                </pt>
                <pt idx="10">
                  <v>295.476212833333</v>
                </pt>
              </numCache>
            </numRef>
          </yVal>
          <smooth val="1"/>
        </ser>
        <ser>
          <idx val="1"/>
          <order val="1"/>
          <tx>
            <strRef>
              <f>"VLAH"</f>
              <strCache>
                <ptCount val="1"/>
                <pt idx="0">
                  <v>VLAH</v>
                </pt>
              </strCache>
            </strRef>
          </tx>
          <spPr>
            <a:ln w="19050" cap="rnd" cmpd="sng" algn="ctr">
              <a:solidFill>
                <a:schemeClr val="accent2"/>
              </a:solidFill>
              <a:prstDash val="solid"/>
              <a:round/>
            </a:ln>
          </spPr>
          <marker>
            <symbol val="none"/>
            <spPr>
              <a:ln>
                <a:prstDash val="solid"/>
              </a:ln>
            </spPr>
          </marker>
          <dLbls>
            <delete val="1"/>
          </dLbls>
          <xVal>
            <numRef>
              <f>NYTimes召回曲线!$C$24:$C$34</f>
              <numCache>
                <formatCode>General</formatCode>
                <ptCount val="11"/>
                <pt idx="0">
                  <v>0.67</v>
                </pt>
                <pt idx="1">
                  <v>0.67</v>
                </pt>
                <pt idx="2">
                  <v>0.715</v>
                </pt>
                <pt idx="3">
                  <v>0.78</v>
                </pt>
                <pt idx="4">
                  <v>0.82</v>
                </pt>
                <pt idx="5">
                  <v>0.875</v>
                </pt>
                <pt idx="6">
                  <v>0.925</v>
                </pt>
                <pt idx="7">
                  <v>0.96</v>
                </pt>
                <pt idx="8">
                  <v>0.99</v>
                </pt>
                <pt idx="9">
                  <v>0.99</v>
                </pt>
                <pt idx="10">
                  <v>0.99</v>
                </pt>
              </numCache>
            </numRef>
          </xVal>
          <yVal>
            <numRef>
              <f>NYTimes召回曲线!$E$24:$E$34</f>
              <numCache>
                <formatCode>General</formatCode>
                <ptCount val="11"/>
                <pt idx="0">
                  <v>272.33098235</v>
                </pt>
                <pt idx="1">
                  <v>272.33098235</v>
                </pt>
                <pt idx="2">
                  <v>311.96292125</v>
                </pt>
                <pt idx="3">
                  <v>351.799705383333</v>
                </pt>
                <pt idx="4">
                  <v>392.74538455</v>
                </pt>
                <pt idx="5">
                  <v>433.156968933333</v>
                </pt>
                <pt idx="6">
                  <v>515.45168045</v>
                </pt>
                <pt idx="7">
                  <v>556.644589733333</v>
                </pt>
                <pt idx="8">
                  <v>590.977314</v>
                </pt>
                <pt idx="9">
                  <v>590.977314</v>
                </pt>
                <pt idx="10">
                  <v>590.977314</v>
                </pt>
              </numCache>
            </numRef>
          </yVal>
          <smooth val="1"/>
        </ser>
        <ser>
          <idx val="2"/>
          <order val="2"/>
          <tx>
            <strRef>
              <f>"Ours"</f>
              <strCache>
                <ptCount val="1"/>
                <pt idx="0">
                  <v>Ours</v>
                </pt>
              </strCache>
            </strRef>
          </tx>
          <spPr>
            <a:ln w="19050" cap="rnd" cmpd="sng" algn="ctr">
              <a:solidFill>
                <a:schemeClr val="accent3"/>
              </a:solidFill>
              <a:prstDash val="solid"/>
              <a:round/>
            </a:ln>
          </spPr>
          <marker>
            <symbol val="none"/>
            <spPr>
              <a:ln>
                <a:prstDash val="solid"/>
              </a:ln>
            </spPr>
          </marker>
          <dLbls>
            <delete val="1"/>
          </dLbls>
          <xVal>
            <numRef>
              <f>NYTimes召回曲线!$C$13:$C$23</f>
              <numCache>
                <formatCode>General</formatCode>
                <ptCount val="11"/>
                <pt idx="0">
                  <v>0.61</v>
                </pt>
                <pt idx="1">
                  <v>0.7</v>
                </pt>
                <pt idx="2">
                  <v>0.7</v>
                </pt>
                <pt idx="3">
                  <v>0.825</v>
                </pt>
                <pt idx="4">
                  <v>0.825</v>
                </pt>
                <pt idx="5">
                  <v>0.855</v>
                </pt>
                <pt idx="6">
                  <v>0.905</v>
                </pt>
                <pt idx="7">
                  <v>0.955</v>
                </pt>
                <pt idx="8">
                  <v>0.97</v>
                </pt>
                <pt idx="9">
                  <v>0.98</v>
                </pt>
                <pt idx="10">
                  <v>1</v>
                </pt>
              </numCache>
            </numRef>
          </xVal>
          <yVal>
            <numRef>
              <f>NYTimes召回曲线!$E$13:$E$23</f>
              <numCache>
                <formatCode>General</formatCode>
                <ptCount val="11"/>
                <pt idx="0">
                  <v>3.15162981666667</v>
                </pt>
                <pt idx="1">
                  <v>4.04489688333333</v>
                </pt>
                <pt idx="2">
                  <v>4.04489688333333</v>
                </pt>
                <pt idx="3">
                  <v>4.75943038333333</v>
                </pt>
                <pt idx="4">
                  <v>4.75943038333333</v>
                </pt>
                <pt idx="5">
                  <v>7.83703861666667</v>
                </pt>
                <pt idx="6">
                  <v>10.51414495</v>
                </pt>
                <pt idx="7">
                  <v>22.1553105166667</v>
                </pt>
                <pt idx="8">
                  <v>39.7045313</v>
                </pt>
                <pt idx="9">
                  <v>74.0049278666667</v>
                </pt>
                <pt idx="10">
                  <v>108.36732445</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Verify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max val="1"/>
          <min val="0.6"/>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15.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NYTimes-256: VO KB</a:t>
            </a:r>
          </a:p>
        </rich>
      </tx>
      <layout/>
      <overlay val="0"/>
    </title>
    <plotArea>
      <layout/>
      <scatterChart>
        <scatterStyle val="smooth"/>
        <varyColors val="0"/>
        <ser>
          <idx val="0"/>
          <order val="0"/>
          <tx>
            <strRef>
              <f>"ANNProof"</f>
              <strCache>
                <ptCount val="1"/>
                <pt idx="0">
                  <v>ANNProof</v>
                </pt>
              </strCache>
            </strRef>
          </tx>
          <spPr>
            <a:ln w="19050" cap="rnd" cmpd="sng" algn="ctr">
              <a:solidFill>
                <a:schemeClr val="accent1"/>
              </a:solidFill>
              <a:prstDash val="solid"/>
              <a:round/>
            </a:ln>
          </spPr>
          <marker>
            <symbol val="none"/>
            <spPr>
              <a:ln>
                <a:prstDash val="solid"/>
              </a:ln>
            </spPr>
          </marker>
          <dLbls>
            <delete val="1"/>
          </dLbls>
          <xVal>
            <numRef>
              <f>NYTimes召回曲线!$C$2:$C$12</f>
              <numCache>
                <formatCode>General</formatCode>
                <ptCount val="11"/>
                <pt idx="0">
                  <v>0.84</v>
                </pt>
                <pt idx="1">
                  <v>0.84</v>
                </pt>
                <pt idx="2">
                  <v>0.84</v>
                </pt>
                <pt idx="3">
                  <v>0.84</v>
                </pt>
                <pt idx="4">
                  <v>0.84</v>
                </pt>
                <pt idx="5">
                  <v>0.855</v>
                </pt>
                <pt idx="6">
                  <v>0.9</v>
                </pt>
                <pt idx="7">
                  <v>0.96</v>
                </pt>
                <pt idx="8">
                  <v>0.97</v>
                </pt>
                <pt idx="9">
                  <v>0.985</v>
                </pt>
                <pt idx="10">
                  <v>1</v>
                </pt>
              </numCache>
            </numRef>
          </xVal>
          <yVal>
            <numRef>
              <f>NYTimes召回曲线!$F$2:$F$12</f>
              <numCache>
                <formatCode>General</formatCode>
                <ptCount val="11"/>
                <pt idx="0">
                  <v>651.932</v>
                </pt>
                <pt idx="1">
                  <v>651.932</v>
                </pt>
                <pt idx="2">
                  <v>651.932</v>
                </pt>
                <pt idx="3">
                  <v>651.932</v>
                </pt>
                <pt idx="4">
                  <v>651.932</v>
                </pt>
                <pt idx="5">
                  <v>1264.985</v>
                </pt>
                <pt idx="6">
                  <v>2169.0354</v>
                </pt>
                <pt idx="7">
                  <v>9647.870999999999</v>
                </pt>
                <pt idx="8">
                  <v>18191.3746</v>
                </pt>
                <pt idx="9">
                  <v>23543.0654</v>
                </pt>
                <pt idx="10">
                  <v>34273.459</v>
                </pt>
              </numCache>
            </numRef>
          </yVal>
          <smooth val="1"/>
        </ser>
        <ser>
          <idx val="1"/>
          <order val="1"/>
          <tx>
            <strRef>
              <f>"VLAH"</f>
              <strCache>
                <ptCount val="1"/>
                <pt idx="0">
                  <v>VLAH</v>
                </pt>
              </strCache>
            </strRef>
          </tx>
          <spPr>
            <a:ln w="19050" cap="rnd" cmpd="sng" algn="ctr">
              <a:solidFill>
                <a:schemeClr val="accent2"/>
              </a:solidFill>
              <a:prstDash val="solid"/>
              <a:round/>
            </a:ln>
          </spPr>
          <marker>
            <symbol val="none"/>
            <spPr>
              <a:ln>
                <a:prstDash val="solid"/>
              </a:ln>
            </spPr>
          </marker>
          <dLbls>
            <delete val="1"/>
          </dLbls>
          <xVal>
            <numRef>
              <f>NYTimes召回曲线!$C$24:$C$34</f>
              <numCache>
                <formatCode>General</formatCode>
                <ptCount val="11"/>
                <pt idx="0">
                  <v>0.67</v>
                </pt>
                <pt idx="1">
                  <v>0.67</v>
                </pt>
                <pt idx="2">
                  <v>0.715</v>
                </pt>
                <pt idx="3">
                  <v>0.78</v>
                </pt>
                <pt idx="4">
                  <v>0.82</v>
                </pt>
                <pt idx="5">
                  <v>0.875</v>
                </pt>
                <pt idx="6">
                  <v>0.925</v>
                </pt>
                <pt idx="7">
                  <v>0.96</v>
                </pt>
                <pt idx="8">
                  <v>0.99</v>
                </pt>
                <pt idx="9">
                  <v>0.99</v>
                </pt>
                <pt idx="10">
                  <v>0.99</v>
                </pt>
              </numCache>
            </numRef>
          </xVal>
          <yVal>
            <numRef>
              <f>NYTimes召回曲线!$F$24:$F$34</f>
              <numCache>
                <formatCode>General</formatCode>
                <ptCount val="11"/>
                <pt idx="0">
                  <v>67011.7597</v>
                </pt>
                <pt idx="1">
                  <v>67011.7597</v>
                </pt>
                <pt idx="2">
                  <v>76710.86625000001</v>
                </pt>
                <pt idx="3">
                  <v>86460.41185</v>
                </pt>
                <pt idx="4">
                  <v>96245.68545</v>
                </pt>
                <pt idx="5">
                  <v>105941.9646</v>
                </pt>
                <pt idx="6">
                  <v>125732.4714</v>
                </pt>
                <pt idx="7">
                  <v>135488.6228</v>
                </pt>
                <pt idx="8">
                  <v>143850.9632</v>
                </pt>
                <pt idx="9">
                  <v>143850.9632</v>
                </pt>
                <pt idx="10">
                  <v>143850.9632</v>
                </pt>
              </numCache>
            </numRef>
          </yVal>
          <smooth val="1"/>
        </ser>
        <ser>
          <idx val="2"/>
          <order val="2"/>
          <tx>
            <strRef>
              <f>"Ours"</f>
              <strCache>
                <ptCount val="1"/>
                <pt idx="0">
                  <v>Ours</v>
                </pt>
              </strCache>
            </strRef>
          </tx>
          <spPr>
            <a:ln w="19050" cap="rnd" cmpd="sng" algn="ctr">
              <a:solidFill>
                <a:schemeClr val="accent3"/>
              </a:solidFill>
              <a:prstDash val="solid"/>
              <a:round/>
            </a:ln>
          </spPr>
          <marker>
            <symbol val="none"/>
            <spPr>
              <a:ln>
                <a:prstDash val="solid"/>
              </a:ln>
            </spPr>
          </marker>
          <dLbls>
            <delete val="1"/>
          </dLbls>
          <xVal>
            <numRef>
              <f>NYTimes召回曲线!$C$13:$C$23</f>
              <numCache>
                <formatCode>General</formatCode>
                <ptCount val="11"/>
                <pt idx="0">
                  <v>0.61</v>
                </pt>
                <pt idx="1">
                  <v>0.7</v>
                </pt>
                <pt idx="2">
                  <v>0.7</v>
                </pt>
                <pt idx="3">
                  <v>0.825</v>
                </pt>
                <pt idx="4">
                  <v>0.825</v>
                </pt>
                <pt idx="5">
                  <v>0.855</v>
                </pt>
                <pt idx="6">
                  <v>0.905</v>
                </pt>
                <pt idx="7">
                  <v>0.955</v>
                </pt>
                <pt idx="8">
                  <v>0.97</v>
                </pt>
                <pt idx="9">
                  <v>0.98</v>
                </pt>
                <pt idx="10">
                  <v>1</v>
                </pt>
              </numCache>
            </numRef>
          </xVal>
          <yVal>
            <numRef>
              <f>NYTimes召回曲线!$F$13:$F$23</f>
              <numCache>
                <formatCode>General</formatCode>
                <ptCount val="11"/>
                <pt idx="0">
                  <v>188.3066</v>
                </pt>
                <pt idx="1">
                  <v>241.1502</v>
                </pt>
                <pt idx="2">
                  <v>241.1502</v>
                </pt>
                <pt idx="3">
                  <v>283.509</v>
                </pt>
                <pt idx="4">
                  <v>283.509</v>
                </pt>
                <pt idx="5">
                  <v>463.9742</v>
                </pt>
                <pt idx="6">
                  <v>616.955</v>
                </pt>
                <pt idx="7">
                  <v>1271.2486</v>
                </pt>
                <pt idx="8">
                  <v>2220.0928</v>
                </pt>
                <pt idx="9">
                  <v>3968.8662</v>
                </pt>
                <pt idx="10">
                  <v>5573.382</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VO KB</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max val="1"/>
          <min val="0.6"/>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16.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SIFT1M V3DB: measured + FORECAST Query ms</a:t>
            </a:r>
          </a:p>
        </rich>
      </tx>
      <layout/>
      <overlay val="0"/>
    </title>
    <plotArea>
      <layout/>
      <scatterChart>
        <scatterStyle val="smooth"/>
        <varyColors val="0"/>
        <ser>
          <idx val="0"/>
          <order val="0"/>
          <tx>
            <strRef>
              <f>"含预测，非纯实测"</f>
              <strCache>
                <ptCount val="1"/>
                <pt idx="0">
                  <v>含预测，非纯实测</v>
                </pt>
              </strCache>
            </strRef>
          </tx>
          <spPr>
            <a:ln w="19050" cap="rnd" cmpd="sng" algn="ctr">
              <a:solidFill>
                <a:srgbClr val="D98C00"/>
              </a:solidFill>
              <a:prstDash val="dash"/>
              <a:round/>
            </a:ln>
          </spPr>
          <marker>
            <symbol val="none"/>
            <spPr>
              <a:ln>
                <a:prstDash val="solid"/>
              </a:ln>
            </spPr>
          </marker>
          <dLbls>
            <delete val="1"/>
          </dLbls>
          <xVal>
            <numRef>
              <f>V3DB预测曲线!$C$2:$C$12</f>
              <numCache>
                <formatCode>General</formatCode>
                <ptCount val="11"/>
                <pt idx="0">
                  <v>0.705</v>
                </pt>
                <pt idx="1">
                  <v>0.705</v>
                </pt>
                <pt idx="2">
                  <v>0.705</v>
                </pt>
                <pt idx="3">
                  <v>0.85</v>
                </pt>
                <pt idx="4">
                  <v>0.85</v>
                </pt>
                <pt idx="5">
                  <v>0.85</v>
                </pt>
                <pt idx="6">
                  <v>0.9350000000000001</v>
                </pt>
                <pt idx="7">
                  <v>0.96</v>
                </pt>
                <pt idx="8">
                  <v>0.985</v>
                </pt>
                <pt idx="9">
                  <v>0.985</v>
                </pt>
                <pt idx="10">
                  <v>0.995</v>
                </pt>
              </numCache>
            </numRef>
          </xVal>
          <yVal>
            <numRef>
              <f>V3DB预测曲线!$D$2:$D$12</f>
              <numCache>
                <formatCode>General</formatCode>
                <ptCount val="11"/>
                <pt idx="0">
                  <v>498279.313743133</v>
                </pt>
                <pt idx="1">
                  <v>498279.313743133</v>
                </pt>
                <pt idx="2">
                  <v>498279.313743133</v>
                </pt>
                <pt idx="3">
                  <v>1072230.40231401</v>
                </pt>
                <pt idx="4">
                  <v>1072230.40231401</v>
                </pt>
                <pt idx="5">
                  <v>1072230.40231401</v>
                </pt>
                <pt idx="6">
                  <v>2246734.4322322</v>
                </pt>
                <pt idx="7">
                  <v>4698016.11967277</v>
                </pt>
                <pt idx="8">
                  <v>9805126.74976225</v>
                </pt>
                <pt idx="9">
                  <v>9805126.74976225</v>
                </pt>
                <pt idx="10">
                  <v>20428442.5203579</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Query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Search-calibrated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17.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SIFT1M V3DB: measured + FORECAST Verify ms</a:t>
            </a:r>
          </a:p>
        </rich>
      </tx>
      <layout/>
      <overlay val="0"/>
    </title>
    <plotArea>
      <layout/>
      <scatterChart>
        <scatterStyle val="smooth"/>
        <varyColors val="0"/>
        <ser>
          <idx val="0"/>
          <order val="0"/>
          <tx>
            <strRef>
              <f>"含预测，非纯实测"</f>
              <strCache>
                <ptCount val="1"/>
                <pt idx="0">
                  <v>含预测，非纯实测</v>
                </pt>
              </strCache>
            </strRef>
          </tx>
          <spPr>
            <a:ln w="19050" cap="rnd" cmpd="sng" algn="ctr">
              <a:solidFill>
                <a:srgbClr val="D98C00"/>
              </a:solidFill>
              <a:prstDash val="dash"/>
              <a:round/>
            </a:ln>
          </spPr>
          <marker>
            <symbol val="none"/>
            <spPr>
              <a:ln>
                <a:prstDash val="solid"/>
              </a:ln>
            </spPr>
          </marker>
          <dLbls>
            <delete val="1"/>
          </dLbls>
          <xVal>
            <numRef>
              <f>V3DB预测曲线!$C$2:$C$12</f>
              <numCache>
                <formatCode>General</formatCode>
                <ptCount val="11"/>
                <pt idx="0">
                  <v>0.705</v>
                </pt>
                <pt idx="1">
                  <v>0.705</v>
                </pt>
                <pt idx="2">
                  <v>0.705</v>
                </pt>
                <pt idx="3">
                  <v>0.85</v>
                </pt>
                <pt idx="4">
                  <v>0.85</v>
                </pt>
                <pt idx="5">
                  <v>0.85</v>
                </pt>
                <pt idx="6">
                  <v>0.9350000000000001</v>
                </pt>
                <pt idx="7">
                  <v>0.96</v>
                </pt>
                <pt idx="8">
                  <v>0.985</v>
                </pt>
                <pt idx="9">
                  <v>0.985</v>
                </pt>
                <pt idx="10">
                  <v>0.995</v>
                </pt>
              </numCache>
            </numRef>
          </xVal>
          <yVal>
            <numRef>
              <f>V3DB预测曲线!$E$2:$E$12</f>
              <numCache>
                <formatCode>General</formatCode>
                <ptCount val="11"/>
                <pt idx="0">
                  <v>29.0904766666699</v>
                </pt>
                <pt idx="1">
                  <v>29.0904766666699</v>
                </pt>
                <pt idx="2">
                  <v>29.0904766666699</v>
                </pt>
                <pt idx="3">
                  <v>31.2254287007305</v>
                </pt>
                <pt idx="4">
                  <v>31.2254287007305</v>
                </pt>
                <pt idx="5">
                  <v>31.2254287007305</v>
                </pt>
                <pt idx="6">
                  <v>34.1074646527599</v>
                </pt>
                <pt idx="7">
                  <v>38.4836684407268</v>
                </pt>
                <pt idx="8">
                  <v>45.8482079005687</v>
                </pt>
                <pt idx="9">
                  <v>45.8482079005687</v>
                </pt>
                <pt idx="10">
                  <v>59.1894187041606</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Verify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Search-calibrated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18.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SIFT1M V3DB: measured + FORECAST VO KB</a:t>
            </a:r>
          </a:p>
        </rich>
      </tx>
      <layout/>
      <overlay val="0"/>
    </title>
    <plotArea>
      <layout/>
      <scatterChart>
        <scatterStyle val="smooth"/>
        <varyColors val="0"/>
        <ser>
          <idx val="0"/>
          <order val="0"/>
          <tx>
            <strRef>
              <f>"含预测，非纯实测"</f>
              <strCache>
                <ptCount val="1"/>
                <pt idx="0">
                  <v>含预测，非纯实测</v>
                </pt>
              </strCache>
            </strRef>
          </tx>
          <spPr>
            <a:ln w="19050" cap="rnd" cmpd="sng" algn="ctr">
              <a:solidFill>
                <a:srgbClr val="D98C00"/>
              </a:solidFill>
              <a:prstDash val="dash"/>
              <a:round/>
            </a:ln>
          </spPr>
          <marker>
            <symbol val="none"/>
            <spPr>
              <a:ln>
                <a:prstDash val="solid"/>
              </a:ln>
            </spPr>
          </marker>
          <dLbls>
            <delete val="1"/>
          </dLbls>
          <xVal>
            <numRef>
              <f>V3DB预测曲线!$C$2:$C$12</f>
              <numCache>
                <formatCode>General</formatCode>
                <ptCount val="11"/>
                <pt idx="0">
                  <v>0.705</v>
                </pt>
                <pt idx="1">
                  <v>0.705</v>
                </pt>
                <pt idx="2">
                  <v>0.705</v>
                </pt>
                <pt idx="3">
                  <v>0.85</v>
                </pt>
                <pt idx="4">
                  <v>0.85</v>
                </pt>
                <pt idx="5">
                  <v>0.85</v>
                </pt>
                <pt idx="6">
                  <v>0.9350000000000001</v>
                </pt>
                <pt idx="7">
                  <v>0.96</v>
                </pt>
                <pt idx="8">
                  <v>0.985</v>
                </pt>
                <pt idx="9">
                  <v>0.985</v>
                </pt>
                <pt idx="10">
                  <v>0.995</v>
                </pt>
              </numCache>
            </numRef>
          </xVal>
          <yVal>
            <numRef>
              <f>V3DB预测曲线!$F$2:$F$12</f>
              <numCache>
                <formatCode>General</formatCode>
                <ptCount val="11"/>
                <pt idx="0">
                  <v>238.054633333333</v>
                </pt>
                <pt idx="1">
                  <v>238.054633333333</v>
                </pt>
                <pt idx="2">
                  <v>238.054633333333</v>
                </pt>
                <pt idx="3">
                  <v>279.05408</v>
                </pt>
                <pt idx="4">
                  <v>279.05408</v>
                </pt>
                <pt idx="5">
                  <v>279.05408</v>
                </pt>
                <pt idx="6">
                  <v>352.878093333333</v>
                </pt>
                <pt idx="7">
                  <v>492.238106666667</v>
                </pt>
                <pt idx="8">
                  <v>762.67012</v>
                </pt>
                <pt idx="9">
                  <v>762.67012</v>
                </pt>
                <pt idx="10">
                  <v>1295.24613333333</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VO KB</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Search-calibrated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19.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NYTimes-256 V3DB: measured + FORECAST Query ms</a:t>
            </a:r>
          </a:p>
        </rich>
      </tx>
      <layout/>
      <overlay val="0"/>
    </title>
    <plotArea>
      <layout/>
      <scatterChart>
        <scatterStyle val="smooth"/>
        <varyColors val="0"/>
        <ser>
          <idx val="0"/>
          <order val="0"/>
          <tx>
            <strRef>
              <f>"含预测，非纯实测"</f>
              <strCache>
                <ptCount val="1"/>
                <pt idx="0">
                  <v>含预测，非纯实测</v>
                </pt>
              </strCache>
            </strRef>
          </tx>
          <spPr>
            <a:ln w="19050" cap="rnd" cmpd="sng" algn="ctr">
              <a:solidFill>
                <a:srgbClr val="D98C00"/>
              </a:solidFill>
              <a:prstDash val="dash"/>
              <a:round/>
            </a:ln>
          </spPr>
          <marker>
            <symbol val="none"/>
            <spPr>
              <a:ln>
                <a:prstDash val="solid"/>
              </a:ln>
            </spPr>
          </marker>
          <dLbls>
            <delete val="1"/>
          </dLbls>
          <xVal>
            <numRef>
              <f>V3DB预测曲线!$C$13:$C$23</f>
              <numCache>
                <formatCode>General</formatCode>
                <ptCount val="11"/>
                <pt idx="0">
                  <v>0.645</v>
                </pt>
                <pt idx="1">
                  <v>0.68</v>
                </pt>
                <pt idx="2">
                  <v>0.78</v>
                </pt>
                <pt idx="3">
                  <v>0.78</v>
                </pt>
                <pt idx="4">
                  <v>0.85</v>
                </pt>
                <pt idx="5">
                  <v>0.85</v>
                </pt>
                <pt idx="6">
                  <v>0.915</v>
                </pt>
                <pt idx="7">
                  <v>0.975</v>
                </pt>
                <pt idx="8">
                  <v>0.975</v>
                </pt>
                <pt idx="9">
                  <v>1</v>
                </pt>
                <pt idx="10">
                  <v>1</v>
                </pt>
              </numCache>
            </numRef>
          </xVal>
          <yVal>
            <numRef>
              <f>V3DB预测曲线!$D$13:$D$23</f>
              <numCache>
                <formatCode>General</formatCode>
                <ptCount val="11"/>
                <pt idx="0">
                  <v>1108369.52797136</v>
                </pt>
                <pt idx="1">
                  <v>2322298.05860666</v>
                </pt>
                <pt idx="2">
                  <v>4855714.1225412</v>
                </pt>
                <pt idx="3">
                  <v>4855714.1225412</v>
                </pt>
                <pt idx="4">
                  <v>10133664.2557382</v>
                </pt>
                <pt idx="5">
                  <v>10133664.2557382</v>
                </pt>
                <pt idx="6">
                  <v>43912545.1081987</v>
                </pt>
                <pt idx="7">
                  <v>91202978.3016434</v>
                </pt>
                <pt idx="8">
                  <v>91202978.3016434</v>
                </pt>
                <pt idx="9">
                  <v>189161732.773779</v>
                </pt>
                <pt idx="10">
                  <v>189161732.773779</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Query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Search-calibrated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20.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NYTimes-256 V3DB: measured + FORECAST Verify ms</a:t>
            </a:r>
          </a:p>
        </rich>
      </tx>
      <layout/>
      <overlay val="0"/>
    </title>
    <plotArea>
      <layout/>
      <scatterChart>
        <scatterStyle val="smooth"/>
        <varyColors val="0"/>
        <ser>
          <idx val="0"/>
          <order val="0"/>
          <tx>
            <strRef>
              <f>"含预测，非纯实测"</f>
              <strCache>
                <ptCount val="1"/>
                <pt idx="0">
                  <v>含预测，非纯实测</v>
                </pt>
              </strCache>
            </strRef>
          </tx>
          <spPr>
            <a:ln w="19050" cap="rnd" cmpd="sng" algn="ctr">
              <a:solidFill>
                <a:srgbClr val="D98C00"/>
              </a:solidFill>
              <a:prstDash val="dash"/>
              <a:round/>
            </a:ln>
          </spPr>
          <marker>
            <symbol val="none"/>
            <spPr>
              <a:ln>
                <a:prstDash val="solid"/>
              </a:ln>
            </spPr>
          </marker>
          <dLbls>
            <delete val="1"/>
          </dLbls>
          <xVal>
            <numRef>
              <f>V3DB预测曲线!$C$13:$C$23</f>
              <numCache>
                <formatCode>General</formatCode>
                <ptCount val="11"/>
                <pt idx="0">
                  <v>0.645</v>
                </pt>
                <pt idx="1">
                  <v>0.68</v>
                </pt>
                <pt idx="2">
                  <v>0.78</v>
                </pt>
                <pt idx="3">
                  <v>0.78</v>
                </pt>
                <pt idx="4">
                  <v>0.85</v>
                </pt>
                <pt idx="5">
                  <v>0.85</v>
                </pt>
                <pt idx="6">
                  <v>0.915</v>
                </pt>
                <pt idx="7">
                  <v>0.975</v>
                </pt>
                <pt idx="8">
                  <v>0.975</v>
                </pt>
                <pt idx="9">
                  <v>1</v>
                </pt>
                <pt idx="10">
                  <v>1</v>
                </pt>
              </numCache>
            </numRef>
          </xVal>
          <yVal>
            <numRef>
              <f>V3DB预测曲线!$E$13:$E$23</f>
              <numCache>
                <formatCode>General</formatCode>
                <ptCount val="11"/>
                <pt idx="0">
                  <v>31.155389583421</v>
                </pt>
                <pt idx="1">
                  <v>34.0374255354504</v>
                </pt>
                <pt idx="2">
                  <v>38.4136293234172</v>
                </pt>
                <pt idx="3">
                  <v>38.4136293234172</v>
                </pt>
                <pt idx="4">
                  <v>45.7781687832591</v>
                </pt>
                <pt idx="5">
                  <v>45.7781687832591</v>
                </pt>
                <pt idx="6">
                  <v>84.4139330779429</v>
                </pt>
                <pt idx="7">
                  <v>133.615171944035</v>
                </pt>
                <pt idx="8">
                  <v>133.615171944035</v>
                </pt>
                <pt idx="9">
                  <v>230.629781560127</v>
                </pt>
                <pt idx="10">
                  <v>230.629781560127</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Verify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Search-calibrated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21.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NYTimes-256 V3DB: measured + FORECAST VO KB</a:t>
            </a:r>
          </a:p>
        </rich>
      </tx>
      <layout/>
      <overlay val="0"/>
    </title>
    <plotArea>
      <layout/>
      <scatterChart>
        <scatterStyle val="smooth"/>
        <varyColors val="0"/>
        <ser>
          <idx val="0"/>
          <order val="0"/>
          <tx>
            <strRef>
              <f>"含预测，非纯实测"</f>
              <strCache>
                <ptCount val="1"/>
                <pt idx="0">
                  <v>含预测，非纯实测</v>
                </pt>
              </strCache>
            </strRef>
          </tx>
          <spPr>
            <a:ln w="19050" cap="rnd" cmpd="sng" algn="ctr">
              <a:solidFill>
                <a:srgbClr val="D98C00"/>
              </a:solidFill>
              <a:prstDash val="dash"/>
              <a:round/>
            </a:ln>
          </spPr>
          <marker>
            <symbol val="none"/>
            <spPr>
              <a:ln>
                <a:prstDash val="solid"/>
              </a:ln>
            </spPr>
          </marker>
          <dLbls>
            <delete val="1"/>
          </dLbls>
          <xVal>
            <numRef>
              <f>V3DB预测曲线!$C$13:$C$23</f>
              <numCache>
                <formatCode>General</formatCode>
                <ptCount val="11"/>
                <pt idx="0">
                  <v>0.645</v>
                </pt>
                <pt idx="1">
                  <v>0.68</v>
                </pt>
                <pt idx="2">
                  <v>0.78</v>
                </pt>
                <pt idx="3">
                  <v>0.78</v>
                </pt>
                <pt idx="4">
                  <v>0.85</v>
                </pt>
                <pt idx="5">
                  <v>0.85</v>
                </pt>
                <pt idx="6">
                  <v>0.915</v>
                </pt>
                <pt idx="7">
                  <v>0.975</v>
                </pt>
                <pt idx="8">
                  <v>0.975</v>
                </pt>
                <pt idx="9">
                  <v>1</v>
                </pt>
                <pt idx="10">
                  <v>1</v>
                </pt>
              </numCache>
            </numRef>
          </xVal>
          <yVal>
            <numRef>
              <f>V3DB预测曲线!$F$13:$F$23</f>
              <numCache>
                <formatCode>General</formatCode>
                <ptCount val="11"/>
                <pt idx="0">
                  <v>275.98208</v>
                </pt>
                <pt idx="1">
                  <v>349.806093333333</v>
                </pt>
                <pt idx="2">
                  <v>489.166106666667</v>
                </pt>
                <pt idx="3">
                  <v>489.166106666667</v>
                </pt>
                <pt idx="4">
                  <v>759.59812</v>
                </pt>
                <pt idx="5">
                  <v>759.59812</v>
                </pt>
                <pt idx="6">
                  <v>2349.03814666667</v>
                </pt>
                <pt idx="7">
                  <v>4454.47816</v>
                </pt>
                <pt idx="8">
                  <v>4454.47816</v>
                </pt>
                <pt idx="9">
                  <v>8657.07017333333</v>
                </pt>
                <pt idx="10">
                  <v>8657.07017333333</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VO KB</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Search-calibrated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22.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GloVe-100 V3DB: measured + FORECAST Query ms</a:t>
            </a:r>
          </a:p>
        </rich>
      </tx>
      <layout/>
      <overlay val="0"/>
    </title>
    <plotArea>
      <layout/>
      <scatterChart>
        <scatterStyle val="smooth"/>
        <varyColors val="0"/>
        <ser>
          <idx val="0"/>
          <order val="0"/>
          <tx>
            <strRef>
              <f>"含预测，非纯实测"</f>
              <strCache>
                <ptCount val="1"/>
                <pt idx="0">
                  <v>含预测，非纯实测</v>
                </pt>
              </strCache>
            </strRef>
          </tx>
          <spPr>
            <a:ln w="19050" cap="rnd" cmpd="sng" algn="ctr">
              <a:solidFill>
                <a:srgbClr val="D98C00"/>
              </a:solidFill>
              <a:prstDash val="dash"/>
              <a:round/>
            </a:ln>
          </spPr>
          <marker>
            <symbol val="none"/>
            <spPr>
              <a:ln>
                <a:prstDash val="solid"/>
              </a:ln>
            </spPr>
          </marker>
          <dLbls>
            <delete val="1"/>
          </dLbls>
          <xVal>
            <numRef>
              <f>V3DB预测曲线!$C$24:$C$33</f>
              <numCache>
                <formatCode>General</formatCode>
                <ptCount val="10"/>
                <pt idx="0">
                  <v>0.6899999999999999</v>
                </pt>
                <pt idx="1">
                  <v>0.6899999999999999</v>
                </pt>
                <pt idx="2">
                  <v>0.795</v>
                </pt>
                <pt idx="3">
                  <v>0.795</v>
                </pt>
                <pt idx="4">
                  <v>0.86</v>
                </pt>
                <pt idx="5">
                  <v>0.86</v>
                </pt>
                <pt idx="6">
                  <v>0.91</v>
                </pt>
                <pt idx="7">
                  <v>0.965</v>
                </pt>
                <pt idx="8">
                  <v>0.98</v>
                </pt>
                <pt idx="9">
                  <v>0.98</v>
                </pt>
              </numCache>
            </numRef>
          </xVal>
          <yVal>
            <numRef>
              <f>V3DB预测曲线!$D$24:$D$33</f>
              <numCache>
                <formatCode>General</formatCode>
                <ptCount val="10"/>
                <pt idx="0">
                  <v>4785939.49323917</v>
                </pt>
                <pt idx="1">
                  <v>4785939.49323917</v>
                </pt>
                <pt idx="2">
                  <v>9988365.590779509</v>
                </pt>
                <pt idx="3">
                  <v>9988365.590779509</v>
                </pt>
                <pt idx="4">
                  <v>20809704.3901614</v>
                </pt>
                <pt idx="5">
                  <v>20809704.3901614</v>
                </pt>
                <pt idx="6">
                  <v>43285355.1975275</v>
                </pt>
                <pt idx="7">
                  <v>89902603.2294644</v>
                </pt>
                <pt idx="8">
                  <v>186468992.127748</v>
                </pt>
                <pt idx="9">
                  <v>186468992.127748</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Query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Search-calibrated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23.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GloVe-100 V3DB: measured + FORECAST Verify ms</a:t>
            </a:r>
          </a:p>
        </rich>
      </tx>
      <layout/>
      <overlay val="0"/>
    </title>
    <plotArea>
      <layout/>
      <scatterChart>
        <scatterStyle val="smooth"/>
        <varyColors val="0"/>
        <ser>
          <idx val="0"/>
          <order val="0"/>
          <tx>
            <strRef>
              <f>"含预测，非纯实测"</f>
              <strCache>
                <ptCount val="1"/>
                <pt idx="0">
                  <v>含预测，非纯实测</v>
                </pt>
              </strCache>
            </strRef>
          </tx>
          <spPr>
            <a:ln w="19050" cap="rnd" cmpd="sng" algn="ctr">
              <a:solidFill>
                <a:srgbClr val="D98C00"/>
              </a:solidFill>
              <a:prstDash val="dash"/>
              <a:round/>
            </a:ln>
          </spPr>
          <marker>
            <symbol val="none"/>
            <spPr>
              <a:ln>
                <a:prstDash val="solid"/>
              </a:ln>
            </spPr>
          </marker>
          <dLbls>
            <delete val="1"/>
          </dLbls>
          <xVal>
            <numRef>
              <f>V3DB预测曲线!$C$24:$C$33</f>
              <numCache>
                <formatCode>General</formatCode>
                <ptCount val="10"/>
                <pt idx="0">
                  <v>0.6899999999999999</v>
                </pt>
                <pt idx="1">
                  <v>0.6899999999999999</v>
                </pt>
                <pt idx="2">
                  <v>0.795</v>
                </pt>
                <pt idx="3">
                  <v>0.795</v>
                </pt>
                <pt idx="4">
                  <v>0.86</v>
                </pt>
                <pt idx="5">
                  <v>0.86</v>
                </pt>
                <pt idx="6">
                  <v>0.91</v>
                </pt>
                <pt idx="7">
                  <v>0.965</v>
                </pt>
                <pt idx="8">
                  <v>0.98</v>
                </pt>
                <pt idx="9">
                  <v>0.98</v>
                </pt>
              </numCache>
            </numRef>
          </xVal>
          <yVal>
            <numRef>
              <f>V3DB预测曲线!$E$24:$E$33</f>
              <numCache>
                <formatCode>General</formatCode>
                <ptCount val="10"/>
                <pt idx="0">
                  <v>44.8287747244907</v>
                </pt>
                <pt idx="1">
                  <v>44.8287747244907</v>
                </pt>
                <pt idx="2">
                  <v>58.1699855280826</v>
                </pt>
                <pt idx="3">
                  <v>58.1699855280826</v>
                </pt>
                <pt idx="4">
                  <v>83.4645390191745</v>
                </pt>
                <pt idx="5">
                  <v>83.4645390191745</v>
                </pt>
                <pt idx="6">
                  <v>132.665777885266</v>
                </pt>
                <pt idx="7">
                  <v>229.680387501358</v>
                </pt>
                <pt idx="8">
                  <v>422.32173861745</v>
                </pt>
                <pt idx="9">
                  <v>422.32173861745</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Verify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Search-calibrated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24.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GloVe-100 V3DB: measured + FORECAST VO KB</a:t>
            </a:r>
          </a:p>
        </rich>
      </tx>
      <layout/>
      <overlay val="0"/>
    </title>
    <plotArea>
      <layout/>
      <scatterChart>
        <scatterStyle val="smooth"/>
        <varyColors val="0"/>
        <ser>
          <idx val="0"/>
          <order val="0"/>
          <tx>
            <strRef>
              <f>"含预测，非纯实测"</f>
              <strCache>
                <ptCount val="1"/>
                <pt idx="0">
                  <v>含预测，非纯实测</v>
                </pt>
              </strCache>
            </strRef>
          </tx>
          <spPr>
            <a:ln w="19050" cap="rnd" cmpd="sng" algn="ctr">
              <a:solidFill>
                <a:srgbClr val="D98C00"/>
              </a:solidFill>
              <a:prstDash val="dash"/>
              <a:round/>
            </a:ln>
          </spPr>
          <marker>
            <symbol val="none"/>
            <spPr>
              <a:ln>
                <a:prstDash val="solid"/>
              </a:ln>
            </spPr>
          </marker>
          <dLbls>
            <delete val="1"/>
          </dLbls>
          <xVal>
            <numRef>
              <f>V3DB预测曲线!$C$24:$C$33</f>
              <numCache>
                <formatCode>General</formatCode>
                <ptCount val="10"/>
                <pt idx="0">
                  <v>0.6899999999999999</v>
                </pt>
                <pt idx="1">
                  <v>0.6899999999999999</v>
                </pt>
                <pt idx="2">
                  <v>0.795</v>
                </pt>
                <pt idx="3">
                  <v>0.795</v>
                </pt>
                <pt idx="4">
                  <v>0.86</v>
                </pt>
                <pt idx="5">
                  <v>0.86</v>
                </pt>
                <pt idx="6">
                  <v>0.91</v>
                </pt>
                <pt idx="7">
                  <v>0.965</v>
                </pt>
                <pt idx="8">
                  <v>0.98</v>
                </pt>
                <pt idx="9">
                  <v>0.98</v>
                </pt>
              </numCache>
            </numRef>
          </xVal>
          <yVal>
            <numRef>
              <f>V3DB预测曲线!$F$24:$F$33</f>
              <numCache>
                <formatCode>General</formatCode>
                <ptCount val="10"/>
                <pt idx="0">
                  <v>770.542106666667</v>
                </pt>
                <pt idx="1">
                  <v>770.542106666667</v>
                </pt>
                <pt idx="2">
                  <v>1303.11812</v>
                </pt>
                <pt idx="3">
                  <v>1303.11812</v>
                </pt>
                <pt idx="4">
                  <v>2359.98213333333</v>
                </pt>
                <pt idx="5">
                  <v>2359.98213333333</v>
                </pt>
                <pt idx="6">
                  <v>4465.42214666667</v>
                </pt>
                <pt idx="7">
                  <v>8668.014160000001</v>
                </pt>
                <pt idx="8">
                  <v>17064.9101733333</v>
                </pt>
                <pt idx="9">
                  <v>17064.9101733333</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VO KB</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Search-calibrated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25.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DEEP1M V3DB: measured + FORECAST Query ms</a:t>
            </a:r>
          </a:p>
        </rich>
      </tx>
      <layout/>
      <overlay val="0"/>
    </title>
    <plotArea>
      <layout/>
      <scatterChart>
        <scatterStyle val="smooth"/>
        <varyColors val="0"/>
        <ser>
          <idx val="0"/>
          <order val="0"/>
          <tx>
            <strRef>
              <f>"含预测，非纯实测"</f>
              <strCache>
                <ptCount val="1"/>
                <pt idx="0">
                  <v>含预测，非纯实测</v>
                </pt>
              </strCache>
            </strRef>
          </tx>
          <spPr>
            <a:ln w="19050" cap="rnd" cmpd="sng" algn="ctr">
              <a:solidFill>
                <a:srgbClr val="D98C00"/>
              </a:solidFill>
              <a:prstDash val="dash"/>
              <a:round/>
            </a:ln>
          </spPr>
          <marker>
            <symbol val="none"/>
            <spPr>
              <a:ln>
                <a:prstDash val="solid"/>
              </a:ln>
            </spPr>
          </marker>
          <dLbls>
            <delete val="1"/>
          </dLbls>
          <xVal>
            <numRef>
              <f>V3DB预测曲线!$C$34:$C$43</f>
              <numCache>
                <formatCode>General</formatCode>
                <ptCount val="10"/>
                <pt idx="0">
                  <v>0.78</v>
                </pt>
                <pt idx="1">
                  <v>0.78</v>
                </pt>
                <pt idx="2">
                  <v>0.78</v>
                </pt>
                <pt idx="3">
                  <v>0.78</v>
                </pt>
                <pt idx="4">
                  <v>0.9</v>
                </pt>
                <pt idx="5">
                  <v>0.9</v>
                </pt>
                <pt idx="6">
                  <v>0.9</v>
                </pt>
                <pt idx="7">
                  <v>0.955</v>
                </pt>
                <pt idx="8">
                  <v>0.98</v>
                </pt>
                <pt idx="9">
                  <v>0.98</v>
                </pt>
              </numCache>
            </numRef>
          </xVal>
          <yVal>
            <numRef>
              <f>V3DB预测曲线!$D$34:$D$43</f>
              <numCache>
                <formatCode>General</formatCode>
                <ptCount val="10"/>
                <pt idx="0">
                  <v>492311.891570983</v>
                </pt>
                <pt idx="1">
                  <v>492311.891570983</v>
                </pt>
                <pt idx="2">
                  <v>492311.891570983</v>
                </pt>
                <pt idx="3">
                  <v>492311.891570983</v>
                </pt>
                <pt idx="4">
                  <v>1090098.64352088</v>
                </pt>
                <pt idx="5">
                  <v>1090098.64352088</v>
                </pt>
                <pt idx="6">
                  <v>1090098.64352088</v>
                </pt>
                <pt idx="7">
                  <v>2284113.60217582</v>
                </pt>
                <pt idx="8">
                  <v>9967784.92977575</v>
                </pt>
                <pt idx="9">
                  <v>9967784.92977575</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Query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Search-calibrated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26.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DEEP1M V3DB: measured + FORECAST Verify ms</a:t>
            </a:r>
          </a:p>
        </rich>
      </tx>
      <layout/>
      <overlay val="0"/>
    </title>
    <plotArea>
      <layout/>
      <scatterChart>
        <scatterStyle val="smooth"/>
        <varyColors val="0"/>
        <ser>
          <idx val="0"/>
          <order val="0"/>
          <tx>
            <strRef>
              <f>"含预测，非纯实测"</f>
              <strCache>
                <ptCount val="1"/>
                <pt idx="0">
                  <v>含预测，非纯实测</v>
                </pt>
              </strCache>
            </strRef>
          </tx>
          <spPr>
            <a:ln w="19050" cap="rnd" cmpd="sng" algn="ctr">
              <a:solidFill>
                <a:srgbClr val="D98C00"/>
              </a:solidFill>
              <a:prstDash val="dash"/>
              <a:round/>
            </a:ln>
          </spPr>
          <marker>
            <symbol val="none"/>
            <spPr>
              <a:ln>
                <a:prstDash val="solid"/>
              </a:ln>
            </spPr>
          </marker>
          <dLbls>
            <delete val="1"/>
          </dLbls>
          <xVal>
            <numRef>
              <f>V3DB预测曲线!$C$34:$C$43</f>
              <numCache>
                <formatCode>General</formatCode>
                <ptCount val="10"/>
                <pt idx="0">
                  <v>0.78</v>
                </pt>
                <pt idx="1">
                  <v>0.78</v>
                </pt>
                <pt idx="2">
                  <v>0.78</v>
                </pt>
                <pt idx="3">
                  <v>0.78</v>
                </pt>
                <pt idx="4">
                  <v>0.9</v>
                </pt>
                <pt idx="5">
                  <v>0.9</v>
                </pt>
                <pt idx="6">
                  <v>0.9</v>
                </pt>
                <pt idx="7">
                  <v>0.955</v>
                </pt>
                <pt idx="8">
                  <v>0.98</v>
                </pt>
                <pt idx="9">
                  <v>0.98</v>
                </pt>
              </numCache>
            </numRef>
          </xVal>
          <yVal>
            <numRef>
              <f>V3DB预测曲线!$E$34:$E$43</f>
              <numCache>
                <formatCode>General</formatCode>
                <ptCount val="10"/>
                <pt idx="0">
                  <v>24.3807018416798</v>
                </pt>
                <pt idx="1">
                  <v>24.3807018416798</v>
                </pt>
                <pt idx="2">
                  <v>24.3807018416798</v>
                </pt>
                <pt idx="3">
                  <v>24.3807018416798</v>
                </pt>
                <pt idx="4">
                  <v>32.7137599435589</v>
                </pt>
                <pt idx="5">
                  <v>32.7137599435589</v>
                </pt>
                <pt idx="6">
                  <v>32.7137599435589</v>
                </pt>
                <pt idx="7">
                  <v>37.0899637315258</v>
                </pt>
                <pt idx="8">
                  <v>57.7957139949596</v>
                </pt>
                <pt idx="9">
                  <v>57.7957139949596</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Verify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Search-calibrated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27.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DEEP1M V3DB: measured + FORECAST VO KB</a:t>
            </a:r>
          </a:p>
        </rich>
      </tx>
      <layout/>
      <overlay val="0"/>
    </title>
    <plotArea>
      <layout/>
      <scatterChart>
        <scatterStyle val="smooth"/>
        <varyColors val="0"/>
        <ser>
          <idx val="0"/>
          <order val="0"/>
          <tx>
            <strRef>
              <f>"含预测，非纯实测"</f>
              <strCache>
                <ptCount val="1"/>
                <pt idx="0">
                  <v>含预测，非纯实测</v>
                </pt>
              </strCache>
            </strRef>
          </tx>
          <spPr>
            <a:ln w="19050" cap="rnd" cmpd="sng" algn="ctr">
              <a:solidFill>
                <a:srgbClr val="D98C00"/>
              </a:solidFill>
              <a:prstDash val="dash"/>
              <a:round/>
            </a:ln>
          </spPr>
          <marker>
            <symbol val="none"/>
            <spPr>
              <a:ln>
                <a:prstDash val="solid"/>
              </a:ln>
            </spPr>
          </marker>
          <dLbls>
            <delete val="1"/>
          </dLbls>
          <xVal>
            <numRef>
              <f>V3DB预测曲线!$C$34:$C$43</f>
              <numCache>
                <formatCode>General</formatCode>
                <ptCount val="10"/>
                <pt idx="0">
                  <v>0.78</v>
                </pt>
                <pt idx="1">
                  <v>0.78</v>
                </pt>
                <pt idx="2">
                  <v>0.78</v>
                </pt>
                <pt idx="3">
                  <v>0.78</v>
                </pt>
                <pt idx="4">
                  <v>0.9</v>
                </pt>
                <pt idx="5">
                  <v>0.9</v>
                </pt>
                <pt idx="6">
                  <v>0.9</v>
                </pt>
                <pt idx="7">
                  <v>0.955</v>
                </pt>
                <pt idx="8">
                  <v>0.98</v>
                </pt>
                <pt idx="9">
                  <v>0.98</v>
                </pt>
              </numCache>
            </numRef>
          </xVal>
          <yVal>
            <numRef>
              <f>V3DB预测曲线!$F$34:$F$43</f>
              <numCache>
                <formatCode>General</formatCode>
                <ptCount val="10"/>
                <pt idx="0">
                  <v>270.136241666667</v>
                </pt>
                <pt idx="1">
                  <v>270.136241666667</v>
                </pt>
                <pt idx="2">
                  <v>270.136241666667</v>
                </pt>
                <pt idx="3">
                  <v>270.136241666667</v>
                </pt>
                <pt idx="4">
                  <v>344.33408</v>
                </pt>
                <pt idx="5">
                  <v>344.33408</v>
                </pt>
                <pt idx="6">
                  <v>344.33408</v>
                </pt>
                <pt idx="7">
                  <v>483.694093333333</v>
                </pt>
                <pt idx="8">
                  <v>1286.70212</v>
                </pt>
                <pt idx="9">
                  <v>1286.70212</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VO KB</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Search-calibrated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28.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V3DB low recall: Query ms</a:t>
            </a:r>
          </a:p>
        </rich>
      </tx>
      <layout/>
      <overlay val="0"/>
    </title>
    <plotArea>
      <layout/>
      <scatterChart>
        <scatterStyle val="smooth"/>
        <varyColors val="0"/>
        <ser>
          <idx val="0"/>
          <order val="0"/>
          <tx>
            <strRef>
              <f>"SIFT1M"</f>
              <strCache>
                <ptCount val="1"/>
                <pt idx="0">
                  <v>SIFT1M</v>
                </pt>
              </strCache>
            </strRef>
          </tx>
          <spPr>
            <a:ln w="19050" cap="rnd" cmpd="sng" algn="ctr">
              <a:solidFill>
                <a:schemeClr val="accent1"/>
              </a:solidFill>
              <a:prstDash val="solid"/>
              <a:round/>
            </a:ln>
          </spPr>
          <marker>
            <symbol val="none"/>
            <spPr>
              <a:ln>
                <a:prstDash val="solid"/>
              </a:ln>
            </spPr>
          </marker>
          <dLbls>
            <delete val="1"/>
          </dLbls>
          <xVal>
            <numRef>
              <f>V3DB低召回新增记录!$E$21:$E$26</f>
              <numCache>
                <formatCode>General</formatCode>
                <ptCount val="6"/>
                <pt idx="0">
                  <v>0.34</v>
                </pt>
                <pt idx="1">
                  <v>0.405</v>
                </pt>
                <pt idx="2">
                  <v>0.435</v>
                </pt>
                <pt idx="3">
                  <v>0.51</v>
                </pt>
                <pt idx="4">
                  <v>0.58</v>
                </pt>
                <pt idx="5">
                  <v>0.705</v>
                </pt>
              </numCache>
            </numRef>
          </xVal>
          <yVal>
            <numRef>
              <f>V3DB低召回新增记录!$F$21:$F$26</f>
              <numCache>
                <formatCode>General</formatCode>
                <ptCount val="6"/>
                <pt idx="0">
                  <v>58010.510633</v>
                </pt>
                <pt idx="1">
                  <v>119447.081843</v>
                </pt>
                <pt idx="2">
                  <v>121384.418594</v>
                </pt>
                <pt idx="3">
                  <v>58572.755462</v>
                </pt>
                <pt idx="4">
                  <v>239944.70827</v>
                </pt>
                <pt idx="5">
                  <v>517760.920454</v>
                </pt>
              </numCache>
            </numRef>
          </yVal>
          <smooth val="1"/>
        </ser>
        <ser>
          <idx val="1"/>
          <order val="1"/>
          <tx>
            <strRef>
              <f>"NYTimes-256"</f>
              <strCache>
                <ptCount val="1"/>
                <pt idx="0">
                  <v>NYTimes-256</v>
                </pt>
              </strCache>
            </strRef>
          </tx>
          <spPr>
            <a:ln w="19050" cap="rnd" cmpd="sng" algn="ctr">
              <a:solidFill>
                <a:schemeClr val="accent2"/>
              </a:solidFill>
              <a:prstDash val="solid"/>
              <a:round/>
            </a:ln>
          </spPr>
          <marker>
            <symbol val="none"/>
            <spPr>
              <a:ln>
                <a:prstDash val="solid"/>
              </a:ln>
            </spPr>
          </marker>
          <dLbls>
            <delete val="1"/>
          </dLbls>
          <xVal>
            <numRef>
              <f>V3DB低召回新增记录!$E$15:$E$20</f>
              <numCache>
                <formatCode>General</formatCode>
                <ptCount val="6"/>
                <pt idx="0">
                  <v>0.325</v>
                </pt>
                <pt idx="1">
                  <v>0.35</v>
                </pt>
                <pt idx="2">
                  <v>0.375</v>
                </pt>
                <pt idx="3">
                  <v>0.455</v>
                </pt>
                <pt idx="4">
                  <v>0.515</v>
                </pt>
                <pt idx="5">
                  <v>0.58</v>
                </pt>
              </numCache>
            </numRef>
          </xVal>
          <yVal>
            <numRef>
              <f>V3DB低召回新增记录!$F$15:$F$20</f>
              <numCache>
                <formatCode>General</formatCode>
                <ptCount val="6"/>
                <pt idx="0">
                  <v>58004.043308</v>
                </pt>
                <pt idx="1">
                  <v>58626.753393</v>
                </pt>
                <pt idx="2">
                  <v>119660.777394</v>
                </pt>
                <pt idx="3">
                  <v>118898.04465</v>
                </pt>
                <pt idx="4">
                  <v>242087.284154</v>
                </pt>
                <pt idx="5">
                  <v>525753.569964</v>
                </pt>
              </numCache>
            </numRef>
          </yVal>
          <smooth val="1"/>
        </ser>
        <ser>
          <idx val="2"/>
          <order val="2"/>
          <tx>
            <strRef>
              <f>"GloVe-100"</f>
              <strCache>
                <ptCount val="1"/>
                <pt idx="0">
                  <v>GloVe-100</v>
                </pt>
              </strCache>
            </strRef>
          </tx>
          <spPr>
            <a:ln w="19050" cap="rnd" cmpd="sng" algn="ctr">
              <a:solidFill>
                <a:schemeClr val="accent3"/>
              </a:solidFill>
              <a:prstDash val="solid"/>
              <a:round/>
            </a:ln>
          </spPr>
          <marker>
            <symbol val="none"/>
            <spPr>
              <a:ln>
                <a:prstDash val="solid"/>
              </a:ln>
            </spPr>
          </marker>
          <dLbls>
            <delete val="1"/>
          </dLbls>
          <xVal>
            <numRef>
              <f>V3DB低召回新增记录!$E$9:$E$14</f>
              <numCache>
                <formatCode>General</formatCode>
                <ptCount val="6"/>
                <pt idx="0">
                  <v>0.165</v>
                </pt>
                <pt idx="1">
                  <v>0.2</v>
                </pt>
                <pt idx="2">
                  <v>0.22</v>
                </pt>
                <pt idx="3">
                  <v>0.235</v>
                </pt>
                <pt idx="4">
                  <v>0.285</v>
                </pt>
                <pt idx="5">
                  <v>0.405</v>
                </pt>
              </numCache>
            </numRef>
          </xVal>
          <yVal>
            <numRef>
              <f>V3DB低召回新增记录!$F$9:$F$14</f>
              <numCache>
                <formatCode>General</formatCode>
                <ptCount val="6"/>
                <pt idx="0">
                  <v>58119.444832</v>
                </pt>
                <pt idx="1">
                  <v>119464.821832</v>
                </pt>
                <pt idx="2">
                  <v>121385.582696</v>
                </pt>
                <pt idx="3">
                  <v>119502.927161</v>
                </pt>
                <pt idx="4">
                  <v>240491.804555</v>
                </pt>
                <pt idx="5">
                  <v>491486.434967</v>
                </pt>
              </numCache>
            </numRef>
          </yVal>
          <smooth val="1"/>
        </ser>
        <ser>
          <idx val="3"/>
          <order val="3"/>
          <tx>
            <strRef>
              <f>"DEEP1M"</f>
              <strCache>
                <ptCount val="1"/>
                <pt idx="0">
                  <v>DEEP1M</v>
                </pt>
              </strCache>
            </strRef>
          </tx>
          <spPr>
            <a:ln w="19050" cap="rnd" cmpd="sng" algn="ctr">
              <a:solidFill>
                <a:schemeClr val="accent4"/>
              </a:solidFill>
              <a:prstDash val="solid"/>
              <a:round/>
            </a:ln>
          </spPr>
          <marker>
            <symbol val="none"/>
            <spPr>
              <a:ln>
                <a:prstDash val="solid"/>
              </a:ln>
            </spPr>
          </marker>
          <dLbls>
            <delete val="1"/>
          </dLbls>
          <xVal>
            <numRef>
              <f>V3DB低召回新增记录!$E$2:$E$8</f>
              <numCache>
                <formatCode>General</formatCode>
                <ptCount val="7"/>
                <pt idx="0">
                  <v>0.23</v>
                </pt>
                <pt idx="1">
                  <v>0.285</v>
                </pt>
                <pt idx="2">
                  <v>0.335</v>
                </pt>
                <pt idx="3">
                  <v>0.37</v>
                </pt>
                <pt idx="4">
                  <v>0.395</v>
                </pt>
                <pt idx="5">
                  <v>0.575</v>
                </pt>
                <pt idx="6">
                  <v>0.78</v>
                </pt>
              </numCache>
            </numRef>
          </xVal>
          <yVal>
            <numRef>
              <f>V3DB低召回新增记录!$F$2:$F$8</f>
              <numCache>
                <formatCode>General</formatCode>
                <ptCount val="7"/>
                <pt idx="0">
                  <v>28708.309506</v>
                </pt>
                <pt idx="1">
                  <v>57962.631503</v>
                </pt>
                <pt idx="2">
                  <v>118780.737473</v>
                </pt>
                <pt idx="3">
                  <v>58518.980512</v>
                </pt>
                <pt idx="4">
                  <v>119745.125012</v>
                </pt>
                <pt idx="5">
                  <v>246414.936606</v>
                </pt>
                <pt idx="6">
                  <v>493189.722806004</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Query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29.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V3DB low recall: Verify ms</a:t>
            </a:r>
          </a:p>
        </rich>
      </tx>
      <layout/>
      <overlay val="0"/>
    </title>
    <plotArea>
      <layout/>
      <scatterChart>
        <scatterStyle val="smooth"/>
        <varyColors val="0"/>
        <ser>
          <idx val="0"/>
          <order val="0"/>
          <tx>
            <strRef>
              <f>"SIFT1M"</f>
              <strCache>
                <ptCount val="1"/>
                <pt idx="0">
                  <v>SIFT1M</v>
                </pt>
              </strCache>
            </strRef>
          </tx>
          <spPr>
            <a:ln w="19050" cap="rnd" cmpd="sng" algn="ctr">
              <a:solidFill>
                <a:schemeClr val="accent1"/>
              </a:solidFill>
              <a:prstDash val="solid"/>
              <a:round/>
            </a:ln>
          </spPr>
          <marker>
            <symbol val="none"/>
            <spPr>
              <a:ln>
                <a:prstDash val="solid"/>
              </a:ln>
            </spPr>
          </marker>
          <dLbls>
            <delete val="1"/>
          </dLbls>
          <xVal>
            <numRef>
              <f>V3DB低召回新增记录!$E$21:$E$26</f>
              <numCache>
                <formatCode>General</formatCode>
                <ptCount val="6"/>
                <pt idx="0">
                  <v>0.34</v>
                </pt>
                <pt idx="1">
                  <v>0.405</v>
                </pt>
                <pt idx="2">
                  <v>0.435</v>
                </pt>
                <pt idx="3">
                  <v>0.51</v>
                </pt>
                <pt idx="4">
                  <v>0.58</v>
                </pt>
                <pt idx="5">
                  <v>0.705</v>
                </pt>
              </numCache>
            </numRef>
          </xVal>
          <yVal>
            <numRef>
              <f>V3DB低召回新增记录!$G$21:$G$26</f>
              <numCache>
                <formatCode>General</formatCode>
                <ptCount val="6"/>
                <pt idx="0">
                  <v>11.1058220000047</v>
                </pt>
                <pt idx="1">
                  <v>13.1007500000067</v>
                </pt>
                <pt idx="2">
                  <v>14.5273109999948</v>
                </pt>
                <pt idx="3">
                  <v>11.1032510000086</v>
                </pt>
                <pt idx="4">
                  <v>14.4067420000056</v>
                </pt>
                <pt idx="5">
                  <v>71.0790379998798</v>
                </pt>
              </numCache>
            </numRef>
          </yVal>
          <smooth val="1"/>
        </ser>
        <ser>
          <idx val="1"/>
          <order val="1"/>
          <tx>
            <strRef>
              <f>"NYTimes-256"</f>
              <strCache>
                <ptCount val="1"/>
                <pt idx="0">
                  <v>NYTimes-256</v>
                </pt>
              </strCache>
            </strRef>
          </tx>
          <spPr>
            <a:ln w="19050" cap="rnd" cmpd="sng" algn="ctr">
              <a:solidFill>
                <a:schemeClr val="accent2"/>
              </a:solidFill>
              <a:prstDash val="solid"/>
              <a:round/>
            </a:ln>
          </spPr>
          <marker>
            <symbol val="none"/>
            <spPr>
              <a:ln>
                <a:prstDash val="solid"/>
              </a:ln>
            </spPr>
          </marker>
          <dLbls>
            <delete val="1"/>
          </dLbls>
          <xVal>
            <numRef>
              <f>V3DB低召回新增记录!$E$15:$E$20</f>
              <numCache>
                <formatCode>General</formatCode>
                <ptCount val="6"/>
                <pt idx="0">
                  <v>0.325</v>
                </pt>
                <pt idx="1">
                  <v>0.35</v>
                </pt>
                <pt idx="2">
                  <v>0.375</v>
                </pt>
                <pt idx="3">
                  <v>0.455</v>
                </pt>
                <pt idx="4">
                  <v>0.515</v>
                </pt>
                <pt idx="5">
                  <v>0.58</v>
                </pt>
              </numCache>
            </numRef>
          </xVal>
          <yVal>
            <numRef>
              <f>V3DB低召回新增记录!$G$15:$G$20</f>
              <numCache>
                <formatCode>General</formatCode>
                <ptCount val="6"/>
                <pt idx="0">
                  <v>10.7410540000501</v>
                </pt>
                <pt idx="1">
                  <v>11.4872139999989</v>
                </pt>
                <pt idx="2">
                  <v>13.5981079999965</v>
                </pt>
                <pt idx="3">
                  <v>13.1931410000448</v>
                </pt>
                <pt idx="4">
                  <v>12.7548779998961</v>
                </pt>
                <pt idx="5">
                  <v>69.6683460000713</v>
                </pt>
              </numCache>
            </numRef>
          </yVal>
          <smooth val="1"/>
        </ser>
        <ser>
          <idx val="2"/>
          <order val="2"/>
          <tx>
            <strRef>
              <f>"GloVe-100"</f>
              <strCache>
                <ptCount val="1"/>
                <pt idx="0">
                  <v>GloVe-100</v>
                </pt>
              </strCache>
            </strRef>
          </tx>
          <spPr>
            <a:ln w="19050" cap="rnd" cmpd="sng" algn="ctr">
              <a:solidFill>
                <a:schemeClr val="accent3"/>
              </a:solidFill>
              <a:prstDash val="solid"/>
              <a:round/>
            </a:ln>
          </spPr>
          <marker>
            <symbol val="none"/>
            <spPr>
              <a:ln>
                <a:prstDash val="solid"/>
              </a:ln>
            </spPr>
          </marker>
          <dLbls>
            <delete val="1"/>
          </dLbls>
          <xVal>
            <numRef>
              <f>V3DB低召回新增记录!$E$9:$E$14</f>
              <numCache>
                <formatCode>General</formatCode>
                <ptCount val="6"/>
                <pt idx="0">
                  <v>0.165</v>
                </pt>
                <pt idx="1">
                  <v>0.2</v>
                </pt>
                <pt idx="2">
                  <v>0.22</v>
                </pt>
                <pt idx="3">
                  <v>0.235</v>
                </pt>
                <pt idx="4">
                  <v>0.285</v>
                </pt>
                <pt idx="5">
                  <v>0.405</v>
                </pt>
              </numCache>
            </numRef>
          </xVal>
          <yVal>
            <numRef>
              <f>V3DB低召回新增记录!$G$9:$G$14</f>
              <numCache>
                <formatCode>General</formatCode>
                <ptCount val="6"/>
                <pt idx="0">
                  <v>11.4302449999286</v>
                </pt>
                <pt idx="1">
                  <v>14.618057000007</v>
                </pt>
                <pt idx="2">
                  <v>23.7389159999566</v>
                </pt>
                <pt idx="3">
                  <v>22.3712790000263</v>
                </pt>
                <pt idx="4">
                  <v>12.9159059999893</v>
                </pt>
                <pt idx="5">
                  <v>19.9993839999024</v>
                </pt>
              </numCache>
            </numRef>
          </yVal>
          <smooth val="1"/>
        </ser>
        <ser>
          <idx val="3"/>
          <order val="3"/>
          <tx>
            <strRef>
              <f>"DEEP1M"</f>
              <strCache>
                <ptCount val="1"/>
                <pt idx="0">
                  <v>DEEP1M</v>
                </pt>
              </strCache>
            </strRef>
          </tx>
          <spPr>
            <a:ln w="19050" cap="rnd" cmpd="sng" algn="ctr">
              <a:solidFill>
                <a:schemeClr val="accent4"/>
              </a:solidFill>
              <a:prstDash val="solid"/>
              <a:round/>
            </a:ln>
          </spPr>
          <marker>
            <symbol val="none"/>
            <spPr>
              <a:ln>
                <a:prstDash val="solid"/>
              </a:ln>
            </spPr>
          </marker>
          <dLbls>
            <delete val="1"/>
          </dLbls>
          <xVal>
            <numRef>
              <f>V3DB低召回新增记录!$E$2:$E$8</f>
              <numCache>
                <formatCode>General</formatCode>
                <ptCount val="7"/>
                <pt idx="0">
                  <v>0.23</v>
                </pt>
                <pt idx="1">
                  <v>0.285</v>
                </pt>
                <pt idx="2">
                  <v>0.335</v>
                </pt>
                <pt idx="3">
                  <v>0.37</v>
                </pt>
                <pt idx="4">
                  <v>0.395</v>
                </pt>
                <pt idx="5">
                  <v>0.575</v>
                </pt>
                <pt idx="6">
                  <v>0.78</v>
                </pt>
              </numCache>
            </numRef>
          </xVal>
          <yVal>
            <numRef>
              <f>V3DB低召回新增记录!$G$2:$G$8</f>
              <numCache>
                <formatCode>General</formatCode>
                <ptCount val="7"/>
                <pt idx="0">
                  <v>10.2888139999777</v>
                </pt>
                <pt idx="1">
                  <v>11.3529679999829</v>
                </pt>
                <pt idx="2">
                  <v>14.8218649999308</v>
                </pt>
                <pt idx="3">
                  <v>10.8529149999867</v>
                </pt>
                <pt idx="4">
                  <v>15.1672800000142</v>
                </pt>
                <pt idx="5">
                  <v>13.9031009999826</v>
                </pt>
                <pt idx="6">
                  <v>55.9675380063709</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Verify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30.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V3DB low recall: VO KB</a:t>
            </a:r>
          </a:p>
        </rich>
      </tx>
      <layout/>
      <overlay val="0"/>
    </title>
    <plotArea>
      <layout/>
      <scatterChart>
        <scatterStyle val="smooth"/>
        <varyColors val="0"/>
        <ser>
          <idx val="0"/>
          <order val="0"/>
          <tx>
            <strRef>
              <f>"SIFT1M"</f>
              <strCache>
                <ptCount val="1"/>
                <pt idx="0">
                  <v>SIFT1M</v>
                </pt>
              </strCache>
            </strRef>
          </tx>
          <spPr>
            <a:ln w="19050" cap="rnd" cmpd="sng" algn="ctr">
              <a:solidFill>
                <a:schemeClr val="accent1"/>
              </a:solidFill>
              <a:prstDash val="solid"/>
              <a:round/>
            </a:ln>
          </spPr>
          <marker>
            <symbol val="none"/>
            <spPr>
              <a:ln>
                <a:prstDash val="solid"/>
              </a:ln>
            </spPr>
          </marker>
          <dLbls>
            <delete val="1"/>
          </dLbls>
          <xVal>
            <numRef>
              <f>V3DB低召回新增记录!$E$21:$E$26</f>
              <numCache>
                <formatCode>General</formatCode>
                <ptCount val="6"/>
                <pt idx="0">
                  <v>0.34</v>
                </pt>
                <pt idx="1">
                  <v>0.405</v>
                </pt>
                <pt idx="2">
                  <v>0.435</v>
                </pt>
                <pt idx="3">
                  <v>0.51</v>
                </pt>
                <pt idx="4">
                  <v>0.58</v>
                </pt>
                <pt idx="5">
                  <v>0.705</v>
                </pt>
              </numCache>
            </numRef>
          </xVal>
          <yVal>
            <numRef>
              <f>V3DB低召回新增记录!$H$21:$H$26</f>
              <numCache>
                <formatCode>General</formatCode>
                <ptCount val="6"/>
                <pt idx="0">
                  <v>196.643</v>
                </pt>
                <pt idx="1">
                  <v>258.265</v>
                </pt>
                <pt idx="2">
                  <v>318.852</v>
                </pt>
                <pt idx="3">
                  <v>196.067</v>
                </pt>
                <pt idx="4">
                  <v>211.816</v>
                </pt>
                <pt idx="5">
                  <v>235.675</v>
                </pt>
              </numCache>
            </numRef>
          </yVal>
          <smooth val="1"/>
        </ser>
        <ser>
          <idx val="1"/>
          <order val="1"/>
          <tx>
            <strRef>
              <f>"NYTimes-256"</f>
              <strCache>
                <ptCount val="1"/>
                <pt idx="0">
                  <v>NYTimes-256</v>
                </pt>
              </strCache>
            </strRef>
          </tx>
          <spPr>
            <a:ln w="19050" cap="rnd" cmpd="sng" algn="ctr">
              <a:solidFill>
                <a:schemeClr val="accent2"/>
              </a:solidFill>
              <a:prstDash val="solid"/>
              <a:round/>
            </a:ln>
          </spPr>
          <marker>
            <symbol val="none"/>
            <spPr>
              <a:ln>
                <a:prstDash val="solid"/>
              </a:ln>
            </spPr>
          </marker>
          <dLbls>
            <delete val="1"/>
          </dLbls>
          <xVal>
            <numRef>
              <f>V3DB低召回新增记录!$E$15:$E$20</f>
              <numCache>
                <formatCode>General</formatCode>
                <ptCount val="6"/>
                <pt idx="0">
                  <v>0.325</v>
                </pt>
                <pt idx="1">
                  <v>0.35</v>
                </pt>
                <pt idx="2">
                  <v>0.375</v>
                </pt>
                <pt idx="3">
                  <v>0.455</v>
                </pt>
                <pt idx="4">
                  <v>0.515</v>
                </pt>
                <pt idx="5">
                  <v>0.58</v>
                </pt>
              </numCache>
            </numRef>
          </xVal>
          <yVal>
            <numRef>
              <f>V3DB低召回新增记录!$H$15:$H$20</f>
              <numCache>
                <formatCode>General</formatCode>
                <ptCount val="6"/>
                <pt idx="0">
                  <v>193.524</v>
                </pt>
                <pt idx="1">
                  <v>209.394</v>
                </pt>
                <pt idx="2">
                  <v>256.441</v>
                </pt>
                <pt idx="3">
                  <v>203.127</v>
                </pt>
                <pt idx="4">
                  <v>214.815</v>
                </pt>
                <pt idx="5">
                  <v>236.43</v>
                </pt>
              </numCache>
            </numRef>
          </yVal>
          <smooth val="1"/>
        </ser>
        <ser>
          <idx val="2"/>
          <order val="2"/>
          <tx>
            <strRef>
              <f>"GloVe-100"</f>
              <strCache>
                <ptCount val="1"/>
                <pt idx="0">
                  <v>GloVe-100</v>
                </pt>
              </strCache>
            </strRef>
          </tx>
          <spPr>
            <a:ln w="19050" cap="rnd" cmpd="sng" algn="ctr">
              <a:solidFill>
                <a:schemeClr val="accent3"/>
              </a:solidFill>
              <a:prstDash val="solid"/>
              <a:round/>
            </a:ln>
          </spPr>
          <marker>
            <symbol val="none"/>
            <spPr>
              <a:ln>
                <a:prstDash val="solid"/>
              </a:ln>
            </spPr>
          </marker>
          <dLbls>
            <delete val="1"/>
          </dLbls>
          <xVal>
            <numRef>
              <f>V3DB低召回新增记录!$E$9:$E$14</f>
              <numCache>
                <formatCode>General</formatCode>
                <ptCount val="6"/>
                <pt idx="0">
                  <v>0.165</v>
                </pt>
                <pt idx="1">
                  <v>0.2</v>
                </pt>
                <pt idx="2">
                  <v>0.22</v>
                </pt>
                <pt idx="3">
                  <v>0.235</v>
                </pt>
                <pt idx="4">
                  <v>0.285</v>
                </pt>
                <pt idx="5">
                  <v>0.405</v>
                </pt>
              </numCache>
            </numRef>
          </xVal>
          <yVal>
            <numRef>
              <f>V3DB低召回新增记录!$H$9:$H$14</f>
              <numCache>
                <formatCode>General</formatCode>
                <ptCount val="6"/>
                <pt idx="0">
                  <v>225.089</v>
                </pt>
                <pt idx="1">
                  <v>275.131</v>
                </pt>
                <pt idx="2">
                  <v>338.888</v>
                </pt>
                <pt idx="3">
                  <v>235.556</v>
                </pt>
                <pt idx="4">
                  <v>247.916</v>
                </pt>
                <pt idx="5">
                  <v>287.485</v>
                </pt>
              </numCache>
            </numRef>
          </yVal>
          <smooth val="1"/>
        </ser>
        <ser>
          <idx val="3"/>
          <order val="3"/>
          <tx>
            <strRef>
              <f>"DEEP1M"</f>
              <strCache>
                <ptCount val="1"/>
                <pt idx="0">
                  <v>DEEP1M</v>
                </pt>
              </strCache>
            </strRef>
          </tx>
          <spPr>
            <a:ln w="19050" cap="rnd" cmpd="sng" algn="ctr">
              <a:solidFill>
                <a:schemeClr val="accent4"/>
              </a:solidFill>
              <a:prstDash val="solid"/>
              <a:round/>
            </a:ln>
          </spPr>
          <marker>
            <symbol val="none"/>
            <spPr>
              <a:ln>
                <a:prstDash val="solid"/>
              </a:ln>
            </spPr>
          </marker>
          <dLbls>
            <delete val="1"/>
          </dLbls>
          <xVal>
            <numRef>
              <f>V3DB低召回新增记录!$E$2:$E$8</f>
              <numCache>
                <formatCode>General</formatCode>
                <ptCount val="7"/>
                <pt idx="0">
                  <v>0.23</v>
                </pt>
                <pt idx="1">
                  <v>0.285</v>
                </pt>
                <pt idx="2">
                  <v>0.335</v>
                </pt>
                <pt idx="3">
                  <v>0.37</v>
                </pt>
                <pt idx="4">
                  <v>0.395</v>
                </pt>
                <pt idx="5">
                  <v>0.575</v>
                </pt>
                <pt idx="6">
                  <v>0.78</v>
                </pt>
              </numCache>
            </numRef>
          </xVal>
          <yVal>
            <numRef>
              <f>V3DB低召回新增记录!$H$2:$H$8</f>
              <numCache>
                <formatCode>General</formatCode>
                <ptCount val="7"/>
                <pt idx="0">
                  <v>185.599</v>
                </pt>
                <pt idx="1">
                  <v>208.737</v>
                </pt>
                <pt idx="2">
                  <v>251.81</v>
                </pt>
                <pt idx="3">
                  <v>196.34</v>
                </pt>
                <pt idx="4">
                  <v>204.405</v>
                </pt>
                <pt idx="5">
                  <v>233.262</v>
                </pt>
                <pt idx="6">
                  <v>265.512</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VO KB</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31.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VO size (KB) — exact reference</a:t>
            </a:r>
          </a:p>
        </rich>
      </tx>
      <layout/>
      <overlay val="0"/>
    </title>
    <plotArea>
      <layout/>
      <scatterChart>
        <scatterStyle val="smoothMarker"/>
        <varyColors val="0"/>
        <ser>
          <idx val="0"/>
          <order val="0"/>
          <tx>
            <strRef>
              <f>"SIFT1M"</f>
              <strCache>
                <ptCount val="1"/>
                <pt idx="0">
                  <v>SIFT1M</v>
                </pt>
              </strCache>
            </strRef>
          </tx>
          <spPr>
            <a:ln w="19050" cap="rnd" cmpd="sng" algn="ctr">
              <a:noFill/>
              <a:prstDash val="solid"/>
              <a:round/>
            </a:ln>
          </spPr>
          <marker>
            <symbol val="circle"/>
            <size val="5"/>
            <spPr>
              <a:ln w="6350" cap="flat" cmpd="sng" algn="ctr">
                <a:solidFill>
                  <a:schemeClr val="accent1"/>
                </a:solidFill>
                <a:prstDash val="solid"/>
                <a:round/>
              </a:ln>
            </spPr>
          </marker>
          <dLbls>
            <delete val="1"/>
          </dLbls>
          <xVal>
            <numRef>
              <f>Chen13召回参考!$B$2</f>
              <numCache>
                <formatCode>General</formatCode>
                <ptCount val="1"/>
                <pt idx="0">
                  <v>100</v>
                </pt>
              </numCache>
            </numRef>
          </xVal>
          <yVal>
            <numRef>
              <f>Chen13召回参考!$C$2</f>
              <numCache>
                <formatCode>General</formatCode>
                <ptCount val="1"/>
                <pt idx="0">
                  <v>235214.3172</v>
                </pt>
              </numCache>
            </numRef>
          </yVal>
          <smooth val="1"/>
        </ser>
        <ser>
          <idx val="1"/>
          <order val="1"/>
          <tx>
            <strRef>
              <f>"NYTimes-256"</f>
              <strCache>
                <ptCount val="1"/>
                <pt idx="0">
                  <v>NYTimes-256</v>
                </pt>
              </strCache>
            </strRef>
          </tx>
          <spPr>
            <a:ln w="19050" cap="rnd" cmpd="sng" algn="ctr">
              <a:noFill/>
              <a:prstDash val="solid"/>
              <a:round/>
            </a:ln>
          </spPr>
          <marker>
            <symbol val="circle"/>
            <size val="5"/>
            <spPr>
              <a:ln w="6350" cap="flat" cmpd="sng" algn="ctr">
                <a:solidFill>
                  <a:schemeClr val="accent2"/>
                </a:solidFill>
                <a:prstDash val="solid"/>
                <a:round/>
              </a:ln>
            </spPr>
          </marker>
          <dLbls>
            <delete val="1"/>
          </dLbls>
          <xVal>
            <numRef>
              <f>Chen13召回参考!$B$3</f>
              <numCache>
                <formatCode>General</formatCode>
                <ptCount val="1"/>
                <pt idx="0">
                  <v>100</v>
                </pt>
              </numCache>
            </numRef>
          </xVal>
          <yVal>
            <numRef>
              <f>Chen13召回参考!$C$3</f>
              <numCache>
                <formatCode>General</formatCode>
                <ptCount val="1"/>
                <pt idx="0">
                  <v>282958.9249</v>
                </pt>
              </numCache>
            </numRef>
          </yVal>
          <smooth val="1"/>
        </ser>
        <ser>
          <idx val="2"/>
          <order val="2"/>
          <tx>
            <strRef>
              <f>"GloVe-100"</f>
              <strCache>
                <ptCount val="1"/>
                <pt idx="0">
                  <v>GloVe-100</v>
                </pt>
              </strCache>
            </strRef>
          </tx>
          <spPr>
            <a:ln w="19050" cap="rnd" cmpd="sng" algn="ctr">
              <a:noFill/>
              <a:prstDash val="solid"/>
              <a:round/>
            </a:ln>
          </spPr>
          <marker>
            <symbol val="circle"/>
            <size val="5"/>
            <spPr>
              <a:ln w="6350" cap="flat" cmpd="sng" algn="ctr">
                <a:solidFill>
                  <a:schemeClr val="accent3"/>
                </a:solidFill>
                <a:prstDash val="solid"/>
                <a:round/>
              </a:ln>
            </spPr>
          </marker>
          <dLbls>
            <delete val="1"/>
          </dLbls>
          <xVal>
            <numRef>
              <f>Chen13召回参考!$B$4</f>
              <numCache>
                <formatCode>General</formatCode>
                <ptCount val="1"/>
                <pt idx="0">
                  <v>100</v>
                </pt>
              </numCache>
            </numRef>
          </xVal>
          <yVal>
            <numRef>
              <f>Chen13召回参考!$C$4</f>
              <numCache>
                <formatCode>General</formatCode>
                <ptCount val="1"/>
                <pt idx="0">
                  <v>466932.94075</v>
                </pt>
              </numCache>
            </numRef>
          </yVal>
          <smooth val="1"/>
        </ser>
        <ser>
          <idx val="3"/>
          <order val="3"/>
          <tx>
            <strRef>
              <f>"DEEP1M"</f>
              <strCache>
                <ptCount val="1"/>
                <pt idx="0">
                  <v>DEEP1M</v>
                </pt>
              </strCache>
            </strRef>
          </tx>
          <spPr>
            <a:ln w="19050" cap="rnd" cmpd="sng" algn="ctr">
              <a:noFill/>
              <a:prstDash val="solid"/>
              <a:round/>
            </a:ln>
          </spPr>
          <marker>
            <symbol val="circle"/>
            <size val="5"/>
            <spPr>
              <a:ln w="6350" cap="flat" cmpd="sng" algn="ctr">
                <a:solidFill>
                  <a:schemeClr val="accent4"/>
                </a:solidFill>
                <a:prstDash val="solid"/>
                <a:round/>
              </a:ln>
            </spPr>
          </marker>
          <dLbls>
            <delete val="1"/>
          </dLbls>
          <xVal>
            <numRef>
              <f>Chen13召回参考!$B$5</f>
              <numCache>
                <formatCode>General</formatCode>
                <ptCount val="1"/>
                <pt idx="0">
                  <v>100</v>
                </pt>
              </numCache>
            </numRef>
          </xVal>
          <yVal>
            <numRef>
              <f>Chen13召回参考!$C$5</f>
              <numCache>
                <formatCode>General</formatCode>
                <ptCount val="1"/>
                <pt idx="0">
                  <v>373923.6996</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VO size (KB)</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 (%)</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32.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Verification (ms) — exact reference</a:t>
            </a:r>
          </a:p>
        </rich>
      </tx>
      <layout/>
      <overlay val="0"/>
    </title>
    <plotArea>
      <layout/>
      <scatterChart>
        <scatterStyle val="smoothMarker"/>
        <varyColors val="0"/>
        <ser>
          <idx val="0"/>
          <order val="0"/>
          <tx>
            <strRef>
              <f>"SIFT1M"</f>
              <strCache>
                <ptCount val="1"/>
                <pt idx="0">
                  <v>SIFT1M</v>
                </pt>
              </strCache>
            </strRef>
          </tx>
          <spPr>
            <a:ln w="19050" cap="rnd" cmpd="sng" algn="ctr">
              <a:noFill/>
              <a:prstDash val="solid"/>
              <a:round/>
            </a:ln>
          </spPr>
          <marker>
            <symbol val="circle"/>
            <size val="5"/>
            <spPr>
              <a:ln w="6350" cap="flat" cmpd="sng" algn="ctr">
                <a:solidFill>
                  <a:schemeClr val="accent1"/>
                </a:solidFill>
                <a:prstDash val="solid"/>
                <a:round/>
              </a:ln>
            </spPr>
          </marker>
          <dLbls>
            <delete val="1"/>
          </dLbls>
          <xVal>
            <numRef>
              <f>Chen13召回参考!$B$2</f>
              <numCache>
                <formatCode>General</formatCode>
                <ptCount val="1"/>
                <pt idx="0">
                  <v>100</v>
                </pt>
              </numCache>
            </numRef>
          </xVal>
          <yVal>
            <numRef>
              <f>Chen13召回参考!$D$2</f>
              <numCache>
                <formatCode>General</formatCode>
                <ptCount val="1"/>
                <pt idx="0">
                  <v>202.1477637</v>
                </pt>
              </numCache>
            </numRef>
          </yVal>
          <smooth val="1"/>
        </ser>
        <ser>
          <idx val="1"/>
          <order val="1"/>
          <tx>
            <strRef>
              <f>"NYTimes-256"</f>
              <strCache>
                <ptCount val="1"/>
                <pt idx="0">
                  <v>NYTimes-256</v>
                </pt>
              </strCache>
            </strRef>
          </tx>
          <spPr>
            <a:ln w="19050" cap="rnd" cmpd="sng" algn="ctr">
              <a:noFill/>
              <a:prstDash val="solid"/>
              <a:round/>
            </a:ln>
          </spPr>
          <marker>
            <symbol val="circle"/>
            <size val="5"/>
            <spPr>
              <a:ln w="6350" cap="flat" cmpd="sng" algn="ctr">
                <a:solidFill>
                  <a:schemeClr val="accent2"/>
                </a:solidFill>
                <a:prstDash val="solid"/>
                <a:round/>
              </a:ln>
            </spPr>
          </marker>
          <dLbls>
            <delete val="1"/>
          </dLbls>
          <xVal>
            <numRef>
              <f>Chen13召回参考!$B$3</f>
              <numCache>
                <formatCode>General</formatCode>
                <ptCount val="1"/>
                <pt idx="0">
                  <v>100</v>
                </pt>
              </numCache>
            </numRef>
          </xVal>
          <yVal>
            <numRef>
              <f>Chen13召回参考!$D$3</f>
              <numCache>
                <formatCode>General</formatCode>
                <ptCount val="1"/>
                <pt idx="0">
                  <v>243.191143033333</v>
                </pt>
              </numCache>
            </numRef>
          </yVal>
          <smooth val="1"/>
        </ser>
        <ser>
          <idx val="2"/>
          <order val="2"/>
          <tx>
            <strRef>
              <f>"GloVe-100"</f>
              <strCache>
                <ptCount val="1"/>
                <pt idx="0">
                  <v>GloVe-100</v>
                </pt>
              </strCache>
            </strRef>
          </tx>
          <spPr>
            <a:ln w="19050" cap="rnd" cmpd="sng" algn="ctr">
              <a:noFill/>
              <a:prstDash val="solid"/>
              <a:round/>
            </a:ln>
          </spPr>
          <marker>
            <symbol val="circle"/>
            <size val="5"/>
            <spPr>
              <a:ln w="6350" cap="flat" cmpd="sng" algn="ctr">
                <a:solidFill>
                  <a:schemeClr val="accent3"/>
                </a:solidFill>
                <a:prstDash val="solid"/>
                <a:round/>
              </a:ln>
            </spPr>
          </marker>
          <dLbls>
            <delete val="1"/>
          </dLbls>
          <xVal>
            <numRef>
              <f>Chen13召回参考!$B$4</f>
              <numCache>
                <formatCode>General</formatCode>
                <ptCount val="1"/>
                <pt idx="0">
                  <v>100</v>
                </pt>
              </numCache>
            </numRef>
          </xVal>
          <yVal>
            <numRef>
              <f>Chen13召回参考!$D$4</f>
              <numCache>
                <formatCode>General</formatCode>
                <ptCount val="1"/>
                <pt idx="0">
                  <v>390.349265616667</v>
                </pt>
              </numCache>
            </numRef>
          </yVal>
          <smooth val="1"/>
        </ser>
        <ser>
          <idx val="3"/>
          <order val="3"/>
          <tx>
            <strRef>
              <f>"DEEP1M"</f>
              <strCache>
                <ptCount val="1"/>
                <pt idx="0">
                  <v>DEEP1M</v>
                </pt>
              </strCache>
            </strRef>
          </tx>
          <spPr>
            <a:ln w="19050" cap="rnd" cmpd="sng" algn="ctr">
              <a:noFill/>
              <a:prstDash val="solid"/>
              <a:round/>
            </a:ln>
          </spPr>
          <marker>
            <symbol val="circle"/>
            <size val="5"/>
            <spPr>
              <a:ln w="6350" cap="flat" cmpd="sng" algn="ctr">
                <a:solidFill>
                  <a:schemeClr val="accent4"/>
                </a:solidFill>
                <a:prstDash val="solid"/>
                <a:round/>
              </a:ln>
            </spPr>
          </marker>
          <dLbls>
            <delete val="1"/>
          </dLbls>
          <xVal>
            <numRef>
              <f>Chen13召回参考!$B$5</f>
              <numCache>
                <formatCode>General</formatCode>
                <ptCount val="1"/>
                <pt idx="0">
                  <v>100</v>
                </pt>
              </numCache>
            </numRef>
          </xVal>
          <yVal>
            <numRef>
              <f>Chen13召回参考!$D$5</f>
              <numCache>
                <formatCode>General</formatCode>
                <ptCount val="1"/>
                <pt idx="0">
                  <v>398.21774055</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Verification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 (%)</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33.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Query (ms) — exact reference</a:t>
            </a:r>
          </a:p>
        </rich>
      </tx>
      <layout/>
      <overlay val="0"/>
    </title>
    <plotArea>
      <layout/>
      <scatterChart>
        <scatterStyle val="smoothMarker"/>
        <varyColors val="0"/>
        <ser>
          <idx val="0"/>
          <order val="0"/>
          <tx>
            <strRef>
              <f>"SIFT1M"</f>
              <strCache>
                <ptCount val="1"/>
                <pt idx="0">
                  <v>SIFT1M</v>
                </pt>
              </strCache>
            </strRef>
          </tx>
          <spPr>
            <a:ln w="19050" cap="rnd" cmpd="sng" algn="ctr">
              <a:noFill/>
              <a:prstDash val="solid"/>
              <a:round/>
            </a:ln>
          </spPr>
          <marker>
            <symbol val="circle"/>
            <size val="5"/>
            <spPr>
              <a:ln w="6350" cap="flat" cmpd="sng" algn="ctr">
                <a:solidFill>
                  <a:schemeClr val="accent1"/>
                </a:solidFill>
                <a:prstDash val="solid"/>
                <a:round/>
              </a:ln>
            </spPr>
          </marker>
          <dLbls>
            <delete val="1"/>
          </dLbls>
          <xVal>
            <numRef>
              <f>Chen13召回参考!$B$2</f>
              <numCache>
                <formatCode>General</formatCode>
                <ptCount val="1"/>
                <pt idx="0">
                  <v>100</v>
                </pt>
              </numCache>
            </numRef>
          </xVal>
          <yVal>
            <numRef>
              <f>Chen13召回参考!$E$2</f>
              <numCache>
                <formatCode>General</formatCode>
                <ptCount val="1"/>
                <pt idx="0">
                  <v>278.25155455</v>
                </pt>
              </numCache>
            </numRef>
          </yVal>
          <smooth val="1"/>
        </ser>
        <ser>
          <idx val="1"/>
          <order val="1"/>
          <tx>
            <strRef>
              <f>"NYTimes-256"</f>
              <strCache>
                <ptCount val="1"/>
                <pt idx="0">
                  <v>NYTimes-256</v>
                </pt>
              </strCache>
            </strRef>
          </tx>
          <spPr>
            <a:ln w="19050" cap="rnd" cmpd="sng" algn="ctr">
              <a:noFill/>
              <a:prstDash val="solid"/>
              <a:round/>
            </a:ln>
          </spPr>
          <marker>
            <symbol val="circle"/>
            <size val="5"/>
            <spPr>
              <a:ln w="6350" cap="flat" cmpd="sng" algn="ctr">
                <a:solidFill>
                  <a:schemeClr val="accent2"/>
                </a:solidFill>
                <a:prstDash val="solid"/>
                <a:round/>
              </a:ln>
            </spPr>
          </marker>
          <dLbls>
            <delete val="1"/>
          </dLbls>
          <xVal>
            <numRef>
              <f>Chen13召回参考!$B$3</f>
              <numCache>
                <formatCode>General</formatCode>
                <ptCount val="1"/>
                <pt idx="0">
                  <v>100</v>
                </pt>
              </numCache>
            </numRef>
          </xVal>
          <yVal>
            <numRef>
              <f>Chen13召回参考!$E$3</f>
              <numCache>
                <formatCode>General</formatCode>
                <ptCount val="1"/>
                <pt idx="0">
                  <v>204.621311333333</v>
                </pt>
              </numCache>
            </numRef>
          </yVal>
          <smooth val="1"/>
        </ser>
        <ser>
          <idx val="2"/>
          <order val="2"/>
          <tx>
            <strRef>
              <f>"GloVe-100"</f>
              <strCache>
                <ptCount val="1"/>
                <pt idx="0">
                  <v>GloVe-100</v>
                </pt>
              </strCache>
            </strRef>
          </tx>
          <spPr>
            <a:ln w="19050" cap="rnd" cmpd="sng" algn="ctr">
              <a:noFill/>
              <a:prstDash val="solid"/>
              <a:round/>
            </a:ln>
          </spPr>
          <marker>
            <symbol val="circle"/>
            <size val="5"/>
            <spPr>
              <a:ln w="6350" cap="flat" cmpd="sng" algn="ctr">
                <a:solidFill>
                  <a:schemeClr val="accent3"/>
                </a:solidFill>
                <a:prstDash val="solid"/>
                <a:round/>
              </a:ln>
            </spPr>
          </marker>
          <dLbls>
            <delete val="1"/>
          </dLbls>
          <xVal>
            <numRef>
              <f>Chen13召回参考!$B$4</f>
              <numCache>
                <formatCode>General</formatCode>
                <ptCount val="1"/>
                <pt idx="0">
                  <v>100</v>
                </pt>
              </numCache>
            </numRef>
          </xVal>
          <yVal>
            <numRef>
              <f>Chen13召回参考!$E$4</f>
              <numCache>
                <formatCode>General</formatCode>
                <ptCount val="1"/>
                <pt idx="0">
                  <v>468.738694633333</v>
                </pt>
              </numCache>
            </numRef>
          </yVal>
          <smooth val="1"/>
        </ser>
        <ser>
          <idx val="3"/>
          <order val="3"/>
          <tx>
            <strRef>
              <f>"DEEP1M"</f>
              <strCache>
                <ptCount val="1"/>
                <pt idx="0">
                  <v>DEEP1M</v>
                </pt>
              </strCache>
            </strRef>
          </tx>
          <spPr>
            <a:ln w="19050" cap="rnd" cmpd="sng" algn="ctr">
              <a:noFill/>
              <a:prstDash val="solid"/>
              <a:round/>
            </a:ln>
          </spPr>
          <marker>
            <symbol val="circle"/>
            <size val="5"/>
            <spPr>
              <a:ln w="6350" cap="flat" cmpd="sng" algn="ctr">
                <a:solidFill>
                  <a:schemeClr val="accent4"/>
                </a:solidFill>
                <a:prstDash val="solid"/>
                <a:round/>
              </a:ln>
            </spPr>
          </marker>
          <dLbls>
            <delete val="1"/>
          </dLbls>
          <xVal>
            <numRef>
              <f>Chen13召回参考!$B$5</f>
              <numCache>
                <formatCode>General</formatCode>
                <ptCount val="1"/>
                <pt idx="0">
                  <v>100</v>
                </pt>
              </numCache>
            </numRef>
          </xVal>
          <yVal>
            <numRef>
              <f>Chen13召回参考!$E$5</f>
              <numCache>
                <formatCode>General</formatCode>
                <ptCount val="1"/>
                <pt idx="0">
                  <v>423.303868183333</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Query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 (%)</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omments/comment1.xml><?xml version="1.0" encoding="utf-8"?>
<comments xmlns="http://schemas.openxmlformats.org/spreadsheetml/2006/main">
  <authors>
    <author>实测来源</author>
    <author>索引实测来源</author>
    <author>ANNProof 系数调整</author>
    <author>Ours 实测来源</author>
    <author>V3DB单次来源</author>
    <author>Chen13 实验来源</author>
    <author>Chen13</author>
    <author>低召回曲线来源</author>
    <author>Measured recall curve</author>
    <author>Codex</author>
    <author>V3DB低召回实测</author>
    <author>512GiB预测来源</author>
  </authors>
  <commentList>
    <comment ref="E9" authorId="0" shapeId="0">
      <text>
        <t>实测，recall_percent
方法=VLAH-25TrustCom
数据=/mnt/d/paper_source/work_9/VeriANN_repro_2026-09-30/VeriANN_repro_2026-09-30/dataset/sift1m
N=1000000, k=10, efSearch=50, probes=41
M=8, efc=100, bucket=20000, shard=10000
query_offset=100, queries=100, repeats=3
实际 Recall@K=96.3000%
原始 CSV=D:\paper_source\work_9\VeriANN_repro_2026-09-30\VeriANN_repro_2026-09-30\VLAH-25TrustCom\results\work9-20261015\sift1m-recall-curve\per_query.csv
Query Time=search+VO generation; KB=1000 bytes; integrity verification includes replay.</t>
      </text>
    </comment>
    <comment ref="F9" authorId="0" shapeId="0">
      <text>
        <t>实测，query_ms
方法=VLAH-25TrustCom
数据=/mnt/d/paper_source/work_9/VeriANN_repro_2026-09-30/VeriANN_repro_2026-09-30/dataset/sift1m
N=1000000, k=10, efSearch=50, probes=41
M=8, efc=100, bucket=20000, shard=10000
query_offset=100, queries=100, repeats=3
实际 Recall@K=96.3000%
原始 CSV=D:\paper_source\work_9\VeriANN_repro_2026-09-30\VeriANN_repro_2026-09-30\VLAH-25TrustCom\results\work9-20261015\sift1m-recall-curve\per_query.csv
Query Time=search+VO generation; KB=1000 bytes; integrity verification includes replay.</t>
      </text>
    </comment>
    <comment ref="G9" authorId="0" shapeId="0">
      <text>
        <t>实测，vo_kb
方法=VLAH-25TrustCom
数据=/mnt/d/paper_source/work_9/VeriANN_repro_2026-09-30/VeriANN_repro_2026-09-30/dataset/sift1m
N=1000000, k=10, efSearch=50, probes=41
M=8, efc=100, bucket=20000, shard=10000
query_offset=100, queries=100, repeats=3
实际 Recall@K=96.3000%
原始 CSV=D:\paper_source\work_9\VeriANN_repro_2026-09-30\VeriANN_repro_2026-09-30\VLAH-25TrustCom\results\work9-20261015\sift1m-recall-curve\per_query.csv
Query Time=search+VO generation; KB=1000 bytes; integrity verification includes replay.</t>
      </text>
    </comment>
    <comment ref="H9" authorId="0" shapeId="0">
      <text>
        <t>实测，verify_ms
方法=VLAH-25TrustCom
数据=/mnt/d/paper_source/work_9/VeriANN_repro_2026-09-30/VeriANN_repro_2026-09-30/dataset/sift1m
N=1000000, k=10, efSearch=50, probes=41
M=8, efc=100, bucket=20000, shard=10000
query_offset=100, queries=100, repeats=3
实际 Recall@K=96.3000%
原始 CSV=D:\paper_source\work_9\VeriANN_repro_2026-09-30\VeriANN_repro_2026-09-30\VLAH-25TrustCom\results\work9-20261015\sift1m-recall-curve\per_query.csv
Query Time=search+VO generation; KB=1000 bytes; integrity verification includes replay.</t>
      </text>
    </comment>
    <comment ref="I9" authorId="1" shapeId="0">
      <text>
        <t>{
  "status": "实测",
  "dataset": "sift1m",
  "method": "VLAH",
  "metric": "total_bytes",
  "unit": "MB (1,000,000 bytes)",
  "N": 1000000,
  "D": 128,
  "threads": 1,
  "build_repeats": 1,
  "search_bytes": 647023396,
  "auth_bytes": 104877065,
  "index_seconds": 67.01429392,
  "ads_seconds": 1.7783832259999994,
  "source": "/mnt/d/paper_source/work_9/VeriANN_repro_2026-09-30/VeriANN_repro_2026-09-30/results/work9-index-20261017/sift1m/VLAH/measurement.json",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8,
    "ef_construction": 100,
    "LSH_width": 256
  },
  "rebuild_caveat": "Same parameters as query table, freshly rebuilt with 1 thread. Historical graphs trained with more threads may differ in edges/tie assignments. Query results are not overwritten."
}</t>
      </text>
    </comment>
    <comment ref="J9" authorId="1" shapeId="0">
      <text>
        <t>{
  "status": "实测",
  "dataset": "sift1m",
  "method": "VLAH",
  "metric": "construct_seconds",
  "unit": "seconds",
  "N": 1000000,
  "D": 128,
  "threads": 1,
  "build_repeats": 1,
  "search_bytes": 647023396,
  "auth_bytes": 104877065,
  "index_seconds": 67.01429392,
  "ads_seconds": 1.7783832259999994,
  "source": "/mnt/d/paper_source/work_9/VeriANN_repro_2026-09-30/VeriANN_repro_2026-09-30/results/work9-index-20261017/sift1m/VLAH/measurement.json",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8,
    "ef_construction": 100,
    "LSH_width": 256
  },
  "rebuild_caveat": "Same parameters as query table, freshly rebuilt with 1 thread. Historical graphs trained with more threads may differ in edges/tie assignments. Query results are not overwritten."
}</t>
      </text>
    </comment>
    <comment ref="D10" authorId="2" shapeId="0">
      <text>
        <t xml:space="preserve">* 表示性能指标为用户指定系数调整值，不是原始实测值。配置及实际召回见原始补测附表。
原有批注（历史来源）：
</t>
      </text>
    </comment>
    <comment ref="E10" authorId="0" shapeId="0">
      <text>
        <t>实测，recall_percent
方法=ANNProof-24FGCS
数据=/mnt/d/paper_source/work_9/VeriANN_repro_2026-09-30/VeriANN_repro_2026-09-30/dataset/sift1m
N=1000000, k=10, efSearch=100, probes=1
M=8, efc=100, bucket=20000, shard=10000
query_offset=100, queries=100, repeats=3
实际 Recall@K=95.1000%
原始 CSV=D:\paper_source\work_9\VeriANN_repro_2026-09-30\VeriANN_repro_2026-09-30\ANNProof-24FGCS\results\work9-20261015\sift1m-recall-curve\per_query.csv
Query Time=search+VO generation; KB=1000 bytes; integrity verification includes replay.</t>
      </text>
    </comment>
    <comment ref="F10" authorId="2" shapeId="0">
      <text>
        <t>用户指定系数调整值；不是原始实测数值。指标=query_ms；原始值=2.7907590066666699；系数=1.2；调整值=3.3489108080000038。召回率不调整。原始CSV/附表保留。
原有批注（历史来源）：
实测，query_ms
方法=ANNProof-24FGCS
数据=/mnt/d/paper_source/work_9/VeriANN_repro_2026-09-30/VeriANN_repro_2026-09-30/dataset/sift1m
N=1000000, k=10, efSearch=100, probes=1
M=8, efc=100, bucket=20000, shard=10000
query_offset=100, queries=100, repeats=3
实际 Recall@K=95.1000%
原始 CSV=D:\paper_source\work_9\VeriANN_repro_2026-09-30\VeriANN_repro_2026-09-30\ANNProof-24FGCS\results\work9-20261015\sift1m-recall-curve\per_query.csv
Query Time=search+VO generation; KB=1000 bytes; integrity verification includes replay.</t>
      </text>
    </comment>
    <comment ref="G10" authorId="2" shapeId="0">
      <text>
        <t>用户指定系数调整值；不是原始实测数值。指标=vo_kb；原始值=1071.0175200000001；系数=2.0；调整值=2142.0350400000002。召回率不调整。原始CSV/附表保留。
原有批注（历史来源）：
实测，vo_kb
方法=ANNProof-24FGCS
数据=/mnt/d/paper_source/work_9/VeriANN_repro_2026-09-30/VeriANN_repro_2026-09-30/dataset/sift1m
N=1000000, k=10, efSearch=100, probes=1
M=8, efc=100, bucket=20000, shard=10000
query_offset=100, queries=100, repeats=3
实际 Recall@K=95.1000%
原始 CSV=D:\paper_source\work_9\VeriANN_repro_2026-09-30\VeriANN_repro_2026-09-30\ANNProof-24FGCS\results\work9-20261015\sift1m-recall-curve\per_query.csv
Query Time=search+VO generation; KB=1000 bytes; integrity verification includes replay.</t>
      </text>
    </comment>
    <comment ref="H10" authorId="2" shapeId="0">
      <text>
        <t>用户指定系数调整值；不是原始实测数值。指标=verify_ms；原始值=13.537141099999999；系数=1.5；调整值=20.305711649999999。召回率不调整。原始CSV/附表保留。
原有批注（历史来源）：
实测，verify_ms
方法=ANNProof-24FGCS
数据=/mnt/d/paper_source/work_9/VeriANN_repro_2026-09-30/VeriANN_repro_2026-09-30/dataset/sift1m
N=1000000, k=10, efSearch=100, probes=1
M=8, efc=100, bucket=20000, shard=10000
query_offset=100, queries=100, repeats=3
实际 Recall@K=95.1000%
原始 CSV=D:\paper_source\work_9\VeriANN_repro_2026-09-30\VeriANN_repro_2026-09-30\ANNProof-24FGCS\results\work9-20261015\sift1m-recall-curve\per_query.csv
Query Time=search+VO generation; KB=1000 bytes; integrity verification includes replay.</t>
      </text>
    </comment>
    <comment ref="I10" authorId="1" shapeId="0">
      <text>
        <t>{
  "status": "实测",
  "dataset": "sift1m",
  "method": "ANNProof",
  "metric": "total_bytes",
  "unit": "MB (1,000,000 bytes)",
  "N": 1000000,
  "D": 128,
  "threads": 1,
  "build_repeats": 1,
  "search_bytes": 598148104,
  "auth_bytes": 209741652,
  "index_seconds": 244.121424163,
  "ads_seconds": 7.832766812,
  "source": "/mnt/d/paper_source/work_9/VeriANN_repro_2026-09-30/VeriANN_repro_2026-09-30/results/work9-index-20261017/sift1m/ANNProof/measurement.json",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8,
    "ef_construction": 100,
    "LSH_width": 256
  },
  "rebuild_caveat": "Same parameters as query table, freshly rebuilt with 1 thread. Historical graphs trained with more threads may differ in edges/tie assignments. Query results are not overwritten."
}</t>
      </text>
    </comment>
    <comment ref="J10" authorId="1" shapeId="0">
      <text>
        <t>{
  "status": "实测",
  "dataset": "sift1m",
  "method": "ANNProof",
  "metric": "construct_seconds",
  "unit": "seconds",
  "N": 1000000,
  "D": 128,
  "threads": 1,
  "build_repeats": 1,
  "search_bytes": 598148104,
  "auth_bytes": 209741652,
  "index_seconds": 244.121424163,
  "ads_seconds": 7.832766812,
  "source": "/mnt/d/paper_source/work_9/VeriANN_repro_2026-09-30/VeriANN_repro_2026-09-30/results/work9-index-20261017/sift1m/ANNProof/measurement.json",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8,
    "ef_construction": 100,
    "LSH_width": 256
  },
  "rebuild_caveat": "Same parameters as query table, freshly rebuilt with 1 thread. Historical graphs trained with more threads may differ in edges/tie assignments. Query results are not overwritten."
}</t>
      </text>
    </comment>
    <comment ref="E11" authorId="3" shapeId="0">
      <text>
        <t>VeriANN 全部可组合优化；实测 recall_percent
N=1000000, k=10, E=128
M=8, efConstruction=100；E 为唯一 expanded-node 预算，不是 HNSW efSearch。
实际 Recall@K=95.4000%
queries=100, offset=100, repeats=3
数据=D:\paper_source\work_9\VeriANN_repro_2026-09-30\VeriANN_repro_2026-09-30\dataset\sift1m
CSV=D:\paper_source\work_9\VeriANN_repro_2026-09-30\VeriANN_repro_2026-09-30\results\work9-ours-lut-20261015\sift1m-overall\per_query.csv
Query=search+真实VO序列化/生成；Verify=解码+认证+重放+渐进top-k检查；KB=1000 bytes。
版本：VeriANN-LUT；量化查表准备成本已包含在服务器搜索和客户端验证计时内。</t>
      </text>
    </comment>
    <comment ref="F11" authorId="3" shapeId="0">
      <text>
        <t>VeriANN 全部可组合优化；实测 query_ms
N=1000000, k=10, E=128
M=8, efConstruction=100；E 为唯一 expanded-node 预算，不是 HNSW efSearch。
实际 Recall@K=95.4000%
queries=100, offset=100, repeats=3
数据=D:\paper_source\work_9\VeriANN_repro_2026-09-30\VeriANN_repro_2026-09-30\dataset\sift1m
CSV=D:\paper_source\work_9\VeriANN_repro_2026-09-30\VeriANN_repro_2026-09-30\results\work9-ours-lut-20261015\sift1m-overall\per_query.csv
Query=search+真实VO序列化/生成；Verify=解码+认证+重放+渐进top-k检查；KB=1000 bytes。
版本：VeriANN-LUT；量化查表准备成本已包含在服务器搜索和客户端验证计时内。</t>
      </text>
    </comment>
    <comment ref="G11" authorId="3" shapeId="0">
      <text>
        <t>VeriANN 全部可组合优化；实测 vo_kb
N=1000000, k=10, E=128
M=8, efConstruction=100；E 为唯一 expanded-node 预算，不是 HNSW efSearch。
实际 Recall@K=95.4000%
queries=100, offset=100, repeats=3
数据=D:\paper_source\work_9\VeriANN_repro_2026-09-30\VeriANN_repro_2026-09-30\dataset\sift1m
CSV=D:\paper_source\work_9\VeriANN_repro_2026-09-30\VeriANN_repro_2026-09-30\results\work9-ours-lut-20261015\sift1m-overall\per_query.csv
Query=search+真实VO序列化/生成；Verify=解码+认证+重放+渐进top-k检查；KB=1000 bytes。
版本：VeriANN-LUT；量化查表准备成本已包含在服务器搜索和客户端验证计时内。</t>
      </text>
    </comment>
    <comment ref="H11" authorId="3" shapeId="0">
      <text>
        <t>VeriANN 全部可组合优化；实测 verify_ms
N=1000000, k=10, E=128
M=8, efConstruction=100；E 为唯一 expanded-node 预算，不是 HNSW efSearch。
实际 Recall@K=95.4000%
queries=100, offset=100, repeats=3
数据=D:\paper_source\work_9\VeriANN_repro_2026-09-30\VeriANN_repro_2026-09-30\dataset\sift1m
CSV=D:\paper_source\work_9\VeriANN_repro_2026-09-30\VeriANN_repro_2026-09-30\results\work9-ours-lut-20261015\sift1m-overall\per_query.csv
Query=search+真实VO序列化/生成；Verify=解码+认证+重放+渐进top-k检查；KB=1000 bytes。
版本：VeriANN-LUT；量化查表准备成本已包含在服务器搜索和客户端验证计时内。</t>
      </text>
    </comment>
    <comment ref="I11" authorId="1" shapeId="0">
      <text>
        <t>{
  "status": "实测",
  "dataset": "sift1m",
  "method": "Ours",
  "metric": "total_bytes",
  "unit": "MB (1,000,000 bytes)",
  "N": 1000000,
  "D": 128,
  "threads": 1,
  "build_repeats": 1,
  "search_bytes": 688567762,
  "auth_bytes": 276436148,
  "index_seconds": 244.08602506000003,
  "ads_seconds": 8.680739421,
  "source": "/mnt/d/paper_source/work_9/VeriANN_repro_2026-09-30/VeriANN_repro_2026-09-30/results/work9-index-20261017/sift1m/Ours/measurement.json",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8,
    "ef_construction": 100,
    "LSH_width": 256
  },
  "rebuild_caveat": "Same parameters as query table, freshly rebuilt with 1 thread. Historical graphs trained with more threads may differ in edges/tie assignments. Query results are not overwritten."
}</t>
      </text>
    </comment>
    <comment ref="J11" authorId="1" shapeId="0">
      <text>
        <t>{
  "status": "实测",
  "dataset": "sift1m",
  "method": "Ours",
  "metric": "construct_seconds",
  "unit": "seconds",
  "N": 1000000,
  "D": 128,
  "threads": 1,
  "build_repeats": 1,
  "search_bytes": 688567762,
  "auth_bytes": 276436148,
  "index_seconds": 244.08602506000003,
  "ads_seconds": 8.680739421,
  "source": "/mnt/d/paper_source/work_9/VeriANN_repro_2026-09-30/VeriANN_repro_2026-09-30/results/work9-index-20261017/sift1m/Ours/measurement.json",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8,
    "ef_construction": 100,
    "LSH_width": 256
  },
  "rebuild_caveat": "Same parameters as query table, freshly rebuilt with 1 thread. Historical graphs trained with more threads may differ in edges/tie assignments. Query results are not overwritten."
}</t>
      </text>
    </comment>
    <comment ref="E12" authorId="4" shapeId="0">
      <text>
        <t>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F12" authorId="4" shapeId="0">
      <text>
        <t>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G12" authorId="4" shapeId="0">
      <text>
        <t>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H12" authorId="4" shapeId="0">
      <text>
        <t>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I12" authorId="1" shapeId="0">
      <text>
        <t>{
  "status": "实测",
  "dataset": "sift1m",
  "method": "V3DB",
  "metric": "total_bytes",
  "unit": "MB (1,000,000 bytes)",
  "N": 1000000,
  "D": 128,
  "threads": 1,
  "build_repeats": 1,
  "search_bytes": 522107170,
  "auth_bytes": 8724,
  "index_seconds": 153.26126839100016,
  "ads_seconds": 45.75259267000001,
  "source": "/mnt/d/paper_source/work_9/VeriANN_repro_2026-09-30/VeriANN_repro_2026-09-30/results/work9-index-20261017/sift1m/V3DB/measurement.json",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"dataset": "sift1m",
    "source": "sift1m",
    "N": 1000000,
    "D": 128,
    "n_list": 1024,
    "M": 128,
    "K": 1024,
    "n_iter": 25,
    "seed": 0,
    "capacity": 2048,
    "query_offset": 100,
    "query_count": 20,
    "scale": 65536,
    "rebalance": "author algorithm with identical row-chunk distances"
  },
  "rebuild_caveat": "Same parameters as query table, freshly rebuilt with 1 thread. Historical graphs trained with more threads may differ in edges/tie assignments. Query results are not overwritten."
}</t>
      </text>
    </comment>
    <comment ref="J12" authorId="1" shapeId="0">
      <text>
        <t>{
  "status": "实测",
  "dataset": "sift1m",
  "method": "V3DB",
  "metric": "construct_seconds",
  "unit": "seconds",
  "N": 1000000,
  "D": 128,
  "threads": 1,
  "build_repeats": 1,
  "search_bytes": 522107170,
  "auth_bytes": 8724,
  "index_seconds": 153.26126839100016,
  "ads_seconds": 45.75259267000001,
  "source": "/mnt/d/paper_source/work_9/VeriANN_repro_2026-09-30/VeriANN_repro_2026-09-30/results/work9-index-20261017/sift1m/V3DB/measurement.json",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"dataset": "sift1m",
    "source": "sift1m",
    "N": 1000000,
    "D": 128,
    "n_list": 1024,
    "M": 128,
    "K": 1024,
    "n_iter": 25,
    "seed": 0,
    "capacity": 2048,
    "query_offset": 100,
    "query_count": 20,
    "scale": 65536,
    "rebalance": "author algorithm with identical row-chunk distances"
  },
  "rebuild_caveat": "Same parameters as query table, freshly rebuilt with 1 thread. Historical graphs trained with more threads may differ in edges/tie assignments. Query results are not overwritten."
}</t>
      </text>
    </comment>
    <comment ref="E13" authorId="5" shapeId="0">
      <text>
        <t>四数据集默认 k=10；20条×3次，单线程实测。精确召回100%，不是95%匹配点。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F13" authorId="5" shapeId="0">
      <text>
        <t>四数据集默认 k=10；20条×3次，单线程实测。精确召回100%，不是95%匹配点。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G13" authorId="5" shapeId="0">
      <text>
        <t>四数据集默认 k=10；20条×3次，单线程实测。精确召回100%，不是95%匹配点。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H13" authorId="5" shapeId="0">
      <text>
        <t>四数据集默认 k=10；20条×3次，单线程实测。精确召回100%，不是95%匹配点。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I13" authorId="5" shapeId="0">
      <text>
        <t>一次全新单线程构建；无压缩完整服务快照；构建排除最终快照写盘、GT及输入加载。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J13" authorId="5" shapeId="0">
      <text>
        <t>一次全新单线程构建；无压缩完整服务快照；构建排除最终快照写盘、GT及输入加载。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Z17" authorId="6" shapeId="0">
      <text>
        <t>新增精确方法100%参考点；其他已有方法及原15–99%列保持原值。</t>
      </text>
    </comment>
    <comment ref="F21"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G21"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H21"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I21"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J21"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K21" authorId="7" shapeId="0">
      <text>
        <t>仅扩展曲线，不改变该方法约95%的默认配置。
{"k": 10, "ef": 100, "probes": 2, "recall": 0.425, "query_ms": 2.7165707, "verify_ms": 7.155118483333334, "vo_kb": 1128.9626, "samples": 60, "status": "passed", "output": "/mnt/d/paper_source/work_9/VeriANN_repro_2026-09-30/VeriANN_repro_2026-09-30/results/work9-resource-matched-20261020/sift1m/VLAH/sift1m-1000000-curve-e100", "csv_sha256": "7b62c4155628c7e3efcb6628b82477283ece53782ce524f24e148380c9b54982", "target": 0.4, "selection": {"ef": 100, "probes": 2, "recall": 0.425, "valid": true, "pilot": "/mnt/d/paper_source/work_9/VeriANN_repro_2026-09-30/VeriANN_repro_2026-09-30/results/work9-resource-matched-20261020/search-pilots/sift1m/VLAH-pilot-1000000-resource-phase0"}}</t>
      </text>
    </comment>
    <comment ref="L21" authorId="7" shapeId="0">
      <text>
        <t>仅扩展曲线，不改变该方法约95%的默认配置。
{"k": 10, "ef": 100, "probes": 3, "recall": 0.505, "query_ms": 4.053067833333333, "verify_ms": 10.8073846, "vo_kb": 1704.33865, "samples": 60, "status": "passed", "output": "/mnt/d/paper_source/work_9/VeriANN_repro_2026-09-30/VeriANN_repro_2026-09-30/results/work9-resource-matched-20261020/sift1m/VLAH/sift1m-1000000-curve-e100", "csv_sha256": "7b62c4155628c7e3efcb6628b82477283ece53782ce524f24e148380c9b54982", "target": 0.5, "selection": {"ef": 100, "probes": 3, "recall": 0.505, "valid": true, "pilot": "/mnt/d/paper_source/work_9/VeriANN_repro_2026-09-30/VeriANN_repro_2026-09-30/results/work9-resource-matched-20261020/search-pilots/sift1m/VLAH-pilot-1000000-resource-phase0"}}</t>
      </text>
    </comment>
    <comment ref="M21" authorId="7" shapeId="0">
      <text>
        <t>仅扩展曲线，不改变该方法约95%的默认配置。
{"k": 10, "ef": 100, "probes": 3, "recall": 0.505, "query_ms": 4.053067833333333, "verify_ms": 10.8073846, "vo_kb": 1704.33865, "samples": 60, "status": "passed", "output": "/mnt/d/paper_source/work_9/VeriANN_repro_2026-09-30/VeriANN_repro_2026-09-30/results/work9-resource-matched-20261020/sift1m/VLAH/sift1m-1000000-curve-e100", "csv_sha256": "7b62c4155628c7e3efcb6628b82477283ece53782ce524f24e148380c9b54982", "target": 0.5, "selection": {"ef": 100, "probes": 3, "recall": 0.505, "valid": true, "pilot": "/mnt/d/paper_source/work_9/VeriANN_repro_2026-09-30/VeriANN_repro_2026-09-30/results/work9-resource-matched-20261020/search-pilots/sift1m/VLAH-pilot-1000000-resource-phase0"}}</t>
      </text>
    </comment>
    <comment ref="N21" authorId="7" shapeId="0">
      <text>
        <t>仅扩展曲线，不改变该方法约95%的默认配置。
{"k": 10, "ef": 100, "probes": 5, "recall": 0.55, "query_ms": 6.9410392, "verify_ms": 18.108825333333336, "vo_kb": 2823.3977, "samples": 60, "status": "passed", "output": "/mnt/d/paper_source/work_9/VeriANN_repro_2026-09-30/VeriANN_repro_2026-09-30/results/work9-resource-matched-20261020/sift1m/VLAH/sift1m-1000000-curve-e100", "csv_sha256": "7b62c4155628c7e3efcb6628b82477283ece53782ce524f24e148380c9b54982", "target": 0.55, "selection": {"ef": 100, "probes": 5, "recall": 0.55, "valid": true, "pilot": "/mnt/d/paper_source/work_9/VeriANN_repro_2026-09-30/VeriANN_repro_2026-09-30/results/work9-resource-matched-20261020/search-pilots/sift1m/VLAH-pilot-1000000-resource-phase0"}}</t>
      </text>
    </comment>
    <comment ref="O21" authorId="8" shapeId="0">
      <text>
        <t>SIFT1M N=1000000, k=10; VLAH; efSearch=100; E=n/a; probes=11
Target Recall=60.00%; actual Recall@10=60.7000%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P21" authorId="8" shapeId="0">
      <text>
        <t>SIFT1M N=1000000, k=10; VLAH; efSearch=100; E=n/a; probes=13
Target Recall=65.00%; actual Recall@10=65.4000%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Q21" authorId="8" shapeId="0">
      <text>
        <t>SIFT1M N=1000000, k=10; VLAH; efSearch=100; E=n/a; probes=17
Target Recall=70.00%; actual Recall@10=70.8000%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R21" authorId="8" shapeId="0">
      <text>
        <t>SIFT1M N=1000000, k=10; VLAH; efSearch=100; E=n/a; probes=19
Target Recall=75.00%; actual Recall@10=75.0000%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S21" authorId="8" shapeId="0">
      <text>
        <t>SIFT1M N=1000000, k=10; VLAH; efSearch=100; E=n/a; probes=24
Target Recall=80.00%; actual Recall@10=80.0000%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T21" authorId="8" shapeId="0">
      <text>
        <t>SIFT1M N=1000000, k=10; VLAH; efSearch=100; E=n/a; probes=27
Target Recall=85.00%; actual Recall@10=85.0000%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U21" authorId="8" shapeId="0">
      <text>
        <t>SIFT1M N=1000000, k=10; VLAH; efSearch=100; E=n/a; probes=32
Target Recall=90.00%; actual Recall@10=90.3000%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V21" authorId="8" shapeId="0">
      <text>
        <t>SIFT1M N=1000000, k=10; VLAH; efSearch=100; E=n/a; probes=39
Target Recall=95.00%; actual Recall@10=95.2000%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W21" authorId="8" shapeId="0">
      <text>
        <t>SIFT1M N=1000000, k=10; VLAH; efSearch=100; E=n/a; probes=41
Target Recall=97.00%; actual Recall@10=97.2000%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X21" authorId="8" shapeId="0">
      <text>
        <t>SIFT1M N=1000000, k=10; VLAH; efSearch=100; E=n/a; probes=44
Target Recall=98.00%; actual Recall@10=98.0000%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Y21" authorId="8" shapeId="0">
      <text>
        <t>SIFT1M N=1000000, k=10; VLAH; efSearch=100; E=n/a; probes=47
Target Recall=99.00%; actual Recall@10=99.1000%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F22"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G22"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H22"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I22"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J22"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K22" authorId="7" shapeId="0">
      <text>
        <t>仅扩展曲线，不改变该方法约95%的默认配置。
{"k": 10, "ef": 100, "probes": 2, "recall": 0.425, "query_ms": 2.7165707, "verify_ms": 7.155118483333334, "vo_kb": 1128.9626, "samples": 60, "status": "passed", "output": "/mnt/d/paper_source/work_9/VeriANN_repro_2026-09-30/VeriANN_repro_2026-09-30/results/work9-resource-matched-20261020/sift1m/VLAH/sift1m-1000000-curve-e100", "csv_sha256": "7b62c4155628c7e3efcb6628b82477283ece53782ce524f24e148380c9b54982", "target": 0.4, "selection": {"ef": 100, "probes": 2, "recall": 0.425, "valid": true, "pilot": "/mnt/d/paper_source/work_9/VeriANN_repro_2026-09-30/VeriANN_repro_2026-09-30/results/work9-resource-matched-20261020/search-pilots/sift1m/VLAH-pilot-1000000-resource-phase0"}}</t>
      </text>
    </comment>
    <comment ref="L22" authorId="7" shapeId="0">
      <text>
        <t>仅扩展曲线，不改变该方法约95%的默认配置。
{"k": 10, "ef": 100, "probes": 3, "recall": 0.505, "query_ms": 4.053067833333333, "verify_ms": 10.8073846, "vo_kb": 1704.33865, "samples": 60, "status": "passed", "output": "/mnt/d/paper_source/work_9/VeriANN_repro_2026-09-30/VeriANN_repro_2026-09-30/results/work9-resource-matched-20261020/sift1m/VLAH/sift1m-1000000-curve-e100", "csv_sha256": "7b62c4155628c7e3efcb6628b82477283ece53782ce524f24e148380c9b54982", "target": 0.5, "selection": {"ef": 100, "probes": 3, "recall": 0.505, "valid": true, "pilot": "/mnt/d/paper_source/work_9/VeriANN_repro_2026-09-30/VeriANN_repro_2026-09-30/results/work9-resource-matched-20261020/search-pilots/sift1m/VLAH-pilot-1000000-resource-phase0"}}</t>
      </text>
    </comment>
    <comment ref="M22" authorId="7" shapeId="0">
      <text>
        <t>仅扩展曲线，不改变该方法约95%的默认配置。
{"k": 10, "ef": 100, "probes": 3, "recall": 0.505, "query_ms": 4.053067833333333, "verify_ms": 10.8073846, "vo_kb": 1704.33865, "samples": 60, "status": "passed", "output": "/mnt/d/paper_source/work_9/VeriANN_repro_2026-09-30/VeriANN_repro_2026-09-30/results/work9-resource-matched-20261020/sift1m/VLAH/sift1m-1000000-curve-e100", "csv_sha256": "7b62c4155628c7e3efcb6628b82477283ece53782ce524f24e148380c9b54982", "target": 0.5, "selection": {"ef": 100, "probes": 3, "recall": 0.505, "valid": true, "pilot": "/mnt/d/paper_source/work_9/VeriANN_repro_2026-09-30/VeriANN_repro_2026-09-30/results/work9-resource-matched-20261020/search-pilots/sift1m/VLAH-pilot-1000000-resource-phase0"}}</t>
      </text>
    </comment>
    <comment ref="N22" authorId="7" shapeId="0">
      <text>
        <t>仅扩展曲线，不改变该方法约95%的默认配置。
{"k": 10, "ef": 100, "probes": 5, "recall": 0.55, "query_ms": 6.9410392, "verify_ms": 18.108825333333336, "vo_kb": 2823.3977, "samples": 60, "status": "passed", "output": "/mnt/d/paper_source/work_9/VeriANN_repro_2026-09-30/VeriANN_repro_2026-09-30/results/work9-resource-matched-20261020/sift1m/VLAH/sift1m-1000000-curve-e100", "csv_sha256": "7b62c4155628c7e3efcb6628b82477283ece53782ce524f24e148380c9b54982", "target": 0.55, "selection": {"ef": 100, "probes": 5, "recall": 0.55, "valid": true, "pilot": "/mnt/d/paper_source/work_9/VeriANN_repro_2026-09-30/VeriANN_repro_2026-09-30/results/work9-resource-matched-20261020/search-pilots/sift1m/VLAH-pilot-1000000-resource-phase0"}}</t>
      </text>
    </comment>
    <comment ref="O22" authorId="8" shapeId="0">
      <text>
        <t>SIFT1M N=1000000, k=10; VLAH; efSearch=100; E=n/a; probes=11
Target Recall=60.00%; actual Recall@10=60.7000%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P22" authorId="8" shapeId="0">
      <text>
        <t>SIFT1M N=1000000, k=10; VLAH; efSearch=100; E=n/a; probes=13
Target Recall=65.00%; actual Recall@10=65.4000%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Q22" authorId="8" shapeId="0">
      <text>
        <t>SIFT1M N=1000000, k=10; VLAH; efSearch=100; E=n/a; probes=17
Target Recall=70.00%; actual Recall@10=70.8000%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R22" authorId="8" shapeId="0">
      <text>
        <t>SIFT1M N=1000000, k=10; VLAH; efSearch=100; E=n/a; probes=19
Target Recall=75.00%; actual Recall@10=75.0000%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S22" authorId="8" shapeId="0">
      <text>
        <t>SIFT1M N=1000000, k=10; VLAH; efSearch=100; E=n/a; probes=24
Target Recall=80.00%; actual Recall@10=80.0000%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T22" authorId="8" shapeId="0">
      <text>
        <t>SIFT1M N=1000000, k=10; VLAH; efSearch=100; E=n/a; probes=27
Target Recall=85.00%; actual Recall@10=85.0000%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U22" authorId="8" shapeId="0">
      <text>
        <t>SIFT1M N=1000000, k=10; VLAH; efSearch=100; E=n/a; probes=32
Target Recall=90.00%; actual Recall@10=90.3000%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V22" authorId="8" shapeId="0">
      <text>
        <t>SIFT1M N=1000000, k=10; VLAH; efSearch=100; E=n/a; probes=39
Target Recall=95.00%; actual Recall@10=95.2000%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W22" authorId="8" shapeId="0">
      <text>
        <t>SIFT1M N=1000000, k=10; VLAH; efSearch=100; E=n/a; probes=41
Target Recall=97.00%; actual Recall@10=97.2000%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X22" authorId="8" shapeId="0">
      <text>
        <t>SIFT1M N=1000000, k=10; VLAH; efSearch=100; E=n/a; probes=44
Target Recall=98.00%; actual Recall@10=98.0000%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Y22" authorId="8" shapeId="0">
      <text>
        <t>SIFT1M N=1000000, k=10; VLAH; efSearch=100; E=n/a; probes=47
Target Recall=99.00%; actual Recall@10=99.1000%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D23" authorId="2" shapeId="0">
      <text>
        <t xml:space="preserve">* 表示性能指标为用户指定系数调整值，不是原始实测值。配置及实际召回见原始补测附表。
原有批注（历史来源）：
</t>
      </text>
    </comment>
    <comment ref="F23"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"L23",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修正旧图配置召回下限与新图低召回点混用造成的倒序。目标列15%复用已测40%目标列，实际召回40%；未实测达到15%，不作为该召回率的新测量。性能沿用该点已标明的ANNProof系数调整值，未重复乘系数。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G23"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"L23",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修正旧图配置召回下限与新图低召回点混用造成的倒序。目标列20%复用已测40%目标列，实际召回40%；未实测达到20%，不作为该召回率的新测量。性能沿用该点已标明的ANNProof系数调整值，未重复乘系数。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H23"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"L23",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修正旧图配置召回下限与新图低召回点混用造成的倒序。目标列25%复用已测40%目标列，实际召回40%；未实测达到25%，不作为该召回率的新测量。性能沿用该点已标明的ANNProof系数调整值，未重复乘系数。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I23"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"L23",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修正旧图配置召回下限与新图低召回点混用造成的倒序。目标列30%复用已测40%目标列，实际召回40%；未实测达到30%，不作为该召回率的新测量。性能沿用该点已标明的ANNProof系数调整值，未重复乘系数。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J23"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"L23",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修正旧图配置召回下限与新图低召回点混用造成的倒序。目标列35%复用已测40%目标列，实际召回40%；未实测达到35%，不作为该召回率的新测量。性能沿用该点已标明的ANNProof系数调整值，未重复乘系数。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K23"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"L23",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L23" authorId="2" shapeId="0">
      <text>
        <t>本次真实补测：20条查询IDs100..119×3次，单线程；实际召回率不乘系数。
{"k":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M23" authorId="2" shapeId="0">
      <text>
        <t>本次真实补测：20条查询IDs100..119×3次，单线程；实际召回率不乘系数。
{"k": 10, "ef": 15, "probes": 1, "recall": 0.5, "query_ms": 0.4217424666666667, "verify_ms": 2.0930453166666667, "vo_kb": 159.97639999999998, "samples": 60, "status": "passed", "output": "/mnt/d/paper_source/work_9/VeriANN_repro_2026-09-30/VeriANN_repro_2026-09-30/results/work9-annproof-low-adjusted-20261021/measurements/sift1m-M4-efc40", "csv_sha256": "7f374baaff7c2ca949689134629f4e45b885a9ee5d163a15ca17744fb26e851d", "M": 4, "efc": 40, "target": 0.5, "pilot": {"M": 4, "efc": 40, "ef": 15, "recall": 0.5,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N23" authorId="2" shapeId="0">
      <text>
        <t>本次真实补测：20条查询IDs100..119×3次，单线程；实际召回率不乘系数。
{"k": 10, "ef": 18, "probes": 1, "recall": 0.56, "query_ms": 0.5018749833333334, "verify_ms": 2.4095359333333333, "vo_kb": 181.2134, "samples": 60, "status": "passed", "output": "/mnt/d/paper_source/work_9/VeriANN_repro_2026-09-30/VeriANN_repro_2026-09-30/results/work9-annproof-low-adjusted-20261021/measurements/sift1m-M4-efc40", "csv_sha256": "7f374baaff7c2ca949689134629f4e45b885a9ee5d163a15ca17744fb26e851d", "M": 4, "efc": 40, "target": 0.55, "pilot": {"M": 4, "efc": 40, "ef": 18, "recall": 0.5599999999999999,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O23" authorId="2" shapeId="0">
      <text>
        <t>本次真实补测：20条查询IDs100..119×3次，单线程；实际召回率不乘系数。
{"k": 10, "ef": 23, "probes": 1, "recall": 0.62, "query_ms": 0.5548070166666667, "verify_ms": 2.7257683333333333, "vo_kb": 209.081, "samples": 60, "status": "passed", "output": "/mnt/d/paper_source/work_9/VeriANN_repro_2026-09-30/VeriANN_repro_2026-09-30/results/work9-annproof-low-adjusted-20261021/measurements/sift1m-M4-efc40", "csv_sha256": "7f374baaff7c2ca949689134629f4e45b885a9ee5d163a15ca17744fb26e851d", "M": 4, "efc": 40, "target": 0.6, "pilot": {"M": 4, "efc": 40, "ef": 23, "recall": 0.62, "valid": true, "pilot": "/mnt/d/paper_source/work_9/VeriANN_repro_2026-09-30/VeriANN_repro_2026-09-30/results/work9-annproof-low-adjusted-20261021/pilots/sift1m-M4-efc40"}}
原有批注（历史来源）：
SIFT1M N=1000000, k=10; ANNProof; efSearch=14; E=n/a; probes=1
Target Recall=60.00%; actual Recall@10=62.1000%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P23" authorId="2" shapeId="0">
      <text>
        <t>本次真实补测：20条查询IDs100..119×3次，单线程；实际召回率不乘系数。
{"k": 10, "ef": 10, "probes": 1, "recall": 0.675, "query_ms": 0.5771487666666666, "verify_ms": 2.997377966666667, "vo_kb": 237.845, "samples": 60, "status": "passed", "output": "/mnt/d/paper_source/work_9/VeriANN_repro_2026-09-30/VeriANN_repro_2026-09-30/results/work9-annproof-low-adjusted-20261021/measurements/sift1m-M8-efc100", "csv_sha256": "09a41dfed5a1db44776998bb8fa0956eeb29806aa2f851a16d0bcd6bde4e518c", "M": 8, "efc": 100, "target": 0.65, "pilot": {"M": 8, "efc": 100, "ef": 10, "recall": 0.675, "valid": true, "pilot": "/mnt/d/paper_source/work_9/VeriANN_repro_2026-09-30/VeriANN_repro_2026-09-30/results/work9-annproof-low-adjusted-20261021/pilots/sift1m-M8-efc100"}}
原有批注（历史来源）：
SIFT1M N=1000000, k=10; ANNProof; efSearch=16; E=n/a; probes=1
Target Recall=65.00%; actual Recall@10=66.7000%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Q23" authorId="2" shapeId="0">
      <text>
        <t>本次真实补测：20条查询IDs100..119×3次，单线程；实际召回率不乘系数。
{"k": 10, "ef": 14, "probes": 1, "recall": 0.7200000000000001, "query_ms": 0.6419091333333333, "verify_ms": 3.46965375, "vo_kb": 276.837, "samples": 60, "status": "passed", "output": "/mnt/d/paper_source/work_9/VeriANN_repro_2026-09-30/VeriANN_repro_2026-09-30/results/work9-annproof-low-adjusted-20261021/measurements/sift1m-M8-efc100", "csv_sha256": "09a41dfed5a1db44776998bb8fa0956eeb29806aa2f851a16d0bcd6bde4e518c", "M": 8, "efc": 100, "target": 0.7, "pilot": {"M": 8, "efc": 100, "ef": 14, "recall": 0.72, "valid": true, "pilot": "/mnt/d/paper_source/work_9/VeriANN_repro_2026-09-30/VeriANN_repro_2026-09-30/results/work9-annproof-low-adjusted-20261021/pilots/sift1m-M8-efc100"}}
原有批注（历史来源）：
SIFT1M N=1000000, k=10; ANNProof; efSearch=20; E=n/a; probes=1
Target Recall=70.00%; actual Recall@10=71.6000%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R23" authorId="2" shapeId="0">
      <text>
        <t>本次真实补测：20条查询IDs100..119×3次，单线程；实际召回率不乘系数。
{"k": 10, "ef": 15, "probes": 1, "recall": 0.755, "query_ms": 0.6934900833333333, "verify_ms": 3.6633386166666666, "vo_kb": 293.125, "samples": 60, "status": "passed", "output": "/mnt/d/paper_source/work_9/VeriANN_repro_2026-09-30/VeriANN_repro_2026-09-30/results/work9-annproof-low-adjusted-20261021/measurements/sift1m-M8-efc100", "csv_sha256": "09a41dfed5a1db44776998bb8fa0956eeb29806aa2f851a16d0bcd6bde4e518c", "M": 8, "efc": 100, "target": 0.75, "pilot": {"M": 8, "efc": 100, "ef": 15, "recall": 0.755, "valid": true, "pilot": "/mnt/d/paper_source/work_9/VeriANN_repro_2026-09-30/VeriANN_repro_2026-09-30/results/work9-annproof-low-adjusted-20261021/pilots/sift1m-M8-efc100"}}
原有批注（历史来源）：
SIFT1M N=1000000, k=10; ANNProof; efSearch=24; E=n/a; probes=1
Target Recall=75.00%; actual Recall@10=75.6000%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S23" authorId="2" shapeId="0">
      <text>
        <t>本次真实补测：20条查询IDs100..119×3次，单线程；实际召回率不乘系数。
{"k": 10, "ef": 18, "probes": 1, "recall": 0.8, "query_ms": 0.7979016833333333, "verify_ms": 4.034608700000001, "vo_kb": 322.3252, "samples": 60, "status": "passed", "output": "/mnt/d/paper_source/work_9/VeriANN_repro_2026-09-30/VeriANN_repro_2026-09-30/results/work9-annproof-low-adjusted-20261021/measurements/sift1m-M8-efc100", "csv_sha256": "09a41dfed5a1db44776998bb8fa0956eeb29806aa2f851a16d0bcd6bde4e518c", "M": 8, "efc": 100, "target": 0.8, "pilot": {"M": 8, "efc": 100, "ef": 18, "recall": 0.8, "valid": true, "pilot": "/mnt/d/paper_source/work_9/VeriANN_repro_2026-09-30/VeriANN_repro_2026-09-30/results/work9-annproof-low-adjusted-20261021/pilots/sift1m-M8-efc100"}}
原有批注（历史来源）：
SIFT1M N=1000000, k=10; ANNProof; efSearch=34; E=n/a; probes=1
Target Recall=80.00%; actual Recall@10=81.4000%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T23" authorId="8" shapeId="0">
      <text>
        <t>SIFT1M N=1000000, k=10; ANNProof; efSearch=48; E=n/a; probes=1
Target Recall=85.00%; actual Recall@10=86.5000%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U23" authorId="8" shapeId="0">
      <text>
        <t>SIFT1M N=1000000, k=10; ANNProof; efSearch=64; E=n/a; probes=1
Target Recall=90.00%; actual Recall@10=90.2000%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V23" authorId="8" shapeId="0">
      <text>
        <t>SIFT1M N=1000000, k=10; ANNProof; efSearch=100; E=n/a; probes=1
Target Recall=95.00%; actual Recall@10=95.1000%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W23" authorId="8" shapeId="0">
      <text>
        <t>SIFT1M N=1000000, k=10; ANNProof; efSearch=160; E=n/a; probes=1
Target Recall=97.00%; actual Recall@10=97.3000%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X23" authorId="8" shapeId="0">
      <text>
        <t>SIFT1M N=1000000, k=10; ANNProof; efSearch=256; E=n/a; probes=1
Target Recall=98.00%; actual Recall@10=98.1000%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Y23" authorId="8" shapeId="0">
      <text>
        <t>SIFT1M N=1000000, k=10; ANNProof; efSearch=512; E=n/a; probes=1
Target Recall=99.00%; actual Recall@10=99.0000%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F24" authorId="9" shapeId="0">
      <text>
        <t>已有测量配置重选：原配置被已有更高/相同召回配置同时在VO、查询、验证三指标支配，整组改选原表L列。实际召回改为46.5%，并非新测量原来的低召回率；ANNProof既有系数已包含，未重复乘。
本次原值=918.3288；修订值=284.072
来源/拟合输入：{"cell": "L24", "comment": "单调性复核：低召回曲线允许切换M/efConstruction；更稠密图可用更小efSearch达到更高召回。不同图配置的VO及耗时不保证随召回率单调。 前点K24=918.3288，本点=284.072。\n\n原有来源：\n用户指定系数调整值；不是原始实测数值。指标=vo_kb；原始值=142.036；系数=2.0；调整值=284.072。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修正旧图配置召回下限与新图低召回点混用造成的倒序。目标列15%复用已测40%目标列，实际召回40%；未实测达到15%，不作为该召回率的新测量。性能沿用该点已标明的ANNProof系数调整值，未重复乘系数。
用户指定系数调整值；不是原始实测数值。指标=vo_kb；原始值=459.1644；系数=2.0；调整值=918.3288。召回率不调整。原始CSV/附表保留。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用户指定系数调整值；不是原始实测数值。指标=vo_kb；原始值=237.845；系数=2.0；调整值=475.69。召回率不调整。原始CSV/附表保留。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G24" authorId="9" shapeId="0">
      <text>
        <t>已有测量配置重选：原配置被已有更高/相同召回配置同时在VO、查询、验证三指标支配，整组改选原表L列。实际召回改为46.5%，并非新测量原来的低召回率；ANNProof既有系数已包含，未重复乘。
本次原值=918.3288；修订值=284.072
来源/拟合输入：{"cell": "L24", "comment": "单调性复核：低召回曲线允许切换M/efConstruction；更稠密图可用更小efSearch达到更高召回。不同图配置的VO及耗时不保证随召回率单调。 前点K24=918.3288，本点=284.072。\n\n原有来源：\n用户指定系数调整值；不是原始实测数值。指标=vo_kb；原始值=142.036；系数=2.0；调整值=284.072。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修正旧图配置召回下限与新图低召回点混用造成的倒序。目标列20%复用已测40%目标列，实际召回40%；未实测达到20%，不作为该召回率的新测量。性能沿用该点已标明的ANNProof系数调整值，未重复乘系数。
用户指定系数调整值；不是原始实测数值。指标=vo_kb；原始值=459.1644；系数=2.0；调整值=918.3288。召回率不调整。原始CSV/附表保留。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用户指定系数调整值；不是原始实测数值。指标=vo_kb；原始值=237.845；系数=2.0；调整值=475.69。召回率不调整。原始CSV/附表保留。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H24" authorId="9" shapeId="0">
      <text>
        <t>已有测量配置重选：原配置被已有更高/相同召回配置同时在VO、查询、验证三指标支配，整组改选原表L列。实际召回改为46.5%，并非新测量原来的低召回率；ANNProof既有系数已包含，未重复乘。
本次原值=918.3288；修订值=284.072
来源/拟合输入：{"cell": "L24", "comment": "单调性复核：低召回曲线允许切换M/efConstruction；更稠密图可用更小efSearch达到更高召回。不同图配置的VO及耗时不保证随召回率单调。 前点K24=918.3288，本点=284.072。\n\n原有来源：\n用户指定系数调整值；不是原始实测数值。指标=vo_kb；原始值=142.036；系数=2.0；调整值=284.072。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修正旧图配置召回下限与新图低召回点混用造成的倒序。目标列25%复用已测40%目标列，实际召回40%；未实测达到25%，不作为该召回率的新测量。性能沿用该点已标明的ANNProof系数调整值，未重复乘系数。
用户指定系数调整值；不是原始实测数值。指标=vo_kb；原始值=459.1644；系数=2.0；调整值=918.3288。召回率不调整。原始CSV/附表保留。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用户指定系数调整值；不是原始实测数值。指标=vo_kb；原始值=237.845；系数=2.0；调整值=475.69。召回率不调整。原始CSV/附表保留。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I24" authorId="9" shapeId="0">
      <text>
        <t>已有测量配置重选：原配置被已有更高/相同召回配置同时在VO、查询、验证三指标支配，整组改选原表L列。实际召回改为46.5%，并非新测量原来的低召回率；ANNProof既有系数已包含，未重复乘。
本次原值=918.3288；修订值=284.072
来源/拟合输入：{"cell": "L24", "comment": "单调性复核：低召回曲线允许切换M/efConstruction；更稠密图可用更小efSearch达到更高召回。不同图配置的VO及耗时不保证随召回率单调。 前点K24=918.3288，本点=284.072。\n\n原有来源：\n用户指定系数调整值；不是原始实测数值。指标=vo_kb；原始值=142.036；系数=2.0；调整值=284.072。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修正旧图配置召回下限与新图低召回点混用造成的倒序。目标列30%复用已测40%目标列，实际召回40%；未实测达到30%，不作为该召回率的新测量。性能沿用该点已标明的ANNProof系数调整值，未重复乘系数。
用户指定系数调整值；不是原始实测数值。指标=vo_kb；原始值=459.1644；系数=2.0；调整值=918.3288。召回率不调整。原始CSV/附表保留。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用户指定系数调整值；不是原始实测数值。指标=vo_kb；原始值=237.845；系数=2.0；调整值=475.69。召回率不调整。原始CSV/附表保留。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J24" authorId="9" shapeId="0">
      <text>
        <t>已有测量配置重选：原配置被已有更高/相同召回配置同时在VO、查询、验证三指标支配，整组改选原表L列。实际召回改为46.5%，并非新测量原来的低召回率；ANNProof既有系数已包含，未重复乘。
本次原值=918.3288；修订值=284.072
来源/拟合输入：{"cell": "L24", "comment": "单调性复核：低召回曲线允许切换M/efConstruction；更稠密图可用更小efSearch达到更高召回。不同图配置的VO及耗时不保证随召回率单调。 前点K24=918.3288，本点=284.072。\n\n原有来源：\n用户指定系数调整值；不是原始实测数值。指标=vo_kb；原始值=142.036；系数=2.0；调整值=284.072。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修正旧图配置召回下限与新图低召回点混用造成的倒序。目标列35%复用已测40%目标列，实际召回40%；未实测达到35%，不作为该召回率的新测量。性能沿用该点已标明的ANNProof系数调整值，未重复乘系数。
用户指定系数调整值；不是原始实测数值。指标=vo_kb；原始值=459.1644；系数=2.0；调整值=918.3288。召回率不调整。原始CSV/附表保留。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用户指定系数调整值；不是原始实测数值。指标=vo_kb；原始值=237.845；系数=2.0；调整值=475.69。召回率不调整。原始CSV/附表保留。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K24" authorId="9" shapeId="0">
      <text>
        <t>已有测量配置重选：原配置被已有更高/相同召回配置同时在VO、查询、验证三指标支配，整组改选原表L列。实际召回改为46.5%，并非新测量原来的低召回率；ANNProof既有系数已包含，未重复乘。
本次原值=918.3288；修订值=284.072
来源/拟合输入：{"cell": "L24", "comment": "单调性复核：低召回曲线允许切换M/efConstruction；更稠密图可用更小efSearch达到更高召回。不同图配置的VO及耗时不保证随召回率单调。 前点K24=918.3288，本点=284.072。\n\n原有来源：\n用户指定系数调整值；不是原始实测数值。指标=vo_kb；原始值=142.036；系数=2.0；调整值=284.072。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用户指定系数调整值；不是原始实测数值。指标=vo_kb；原始值=459.1644；系数=2.0；调整值=918.3288。召回率不调整。原始CSV/附表保留。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L24" authorId="9" shapeId="0">
      <text>
        <t>单调性复核：低召回曲线允许切换M/efConstruction；更稠密图可用更小efSearch达到更高召回。不同图配置的VO及耗时不保证随召回率单调。 前点K24=918.3288，本点=284.072。
原有来源：
用户指定系数调整值；不是原始实测数值。指标=vo_kb；原始值=142.036；系数=2.0；调整值=284.072。召回率不调整。原始CSV/附表保留。
原有批注（历史来源）：
本单元格先替换为本次原始测量，随后按统一系数调整。
{"k":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M24" authorId="2" shapeId="0">
      <text>
        <t>用户指定系数调整值；不是原始实测数值。指标=vo_kb；原始值=159.97639999999998；系数=2.0；调整值=319.95279999999997。召回率不调整。原始CSV/附表保留。
原有批注（历史来源）：
本单元格先替换为本次原始测量，随后按统一系数调整。
{"k": 10, "ef": 15, "probes": 1, "recall": 0.5, "query_ms": 0.4217424666666667, "verify_ms": 2.0930453166666667, "vo_kb": 159.97639999999998, "samples": 60, "status": "passed", "output": "/mnt/d/paper_source/work_9/VeriANN_repro_2026-09-30/VeriANN_repro_2026-09-30/results/work9-annproof-low-adjusted-20261021/measurements/sift1m-M4-efc40", "csv_sha256": "7f374baaff7c2ca949689134629f4e45b885a9ee5d163a15ca17744fb26e851d", "M": 4, "efc": 40, "target": 0.5, "pilot": {"M": 4, "efc": 40, "ef": 15, "recall": 0.5,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N24" authorId="2" shapeId="0">
      <text>
        <t>用户指定系数调整值；不是原始实测数值。指标=vo_kb；原始值=181.21340000000001；系数=2.0；调整值=362.42680000000001。召回率不调整。原始CSV/附表保留。
原有批注（历史来源）：
本单元格先替换为本次原始测量，随后按统一系数调整。
{"k": 10, "ef": 18, "probes": 1, "recall": 0.56, "query_ms": 0.5018749833333334, "verify_ms": 2.4095359333333333, "vo_kb": 181.2134, "samples": 60, "status": "passed", "output": "/mnt/d/paper_source/work_9/VeriANN_repro_2026-09-30/VeriANN_repro_2026-09-30/results/work9-annproof-low-adjusted-20261021/measurements/sift1m-M4-efc40", "csv_sha256": "7f374baaff7c2ca949689134629f4e45b885a9ee5d163a15ca17744fb26e851d", "M": 4, "efc": 40, "target": 0.55, "pilot": {"M": 4, "efc": 40, "ef": 18, "recall": 0.5599999999999999,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O24" authorId="2" shapeId="0">
      <text>
        <t>用户指定系数调整值；不是原始实测数值。指标=vo_kb；原始值=209.08099999999999；系数=2.0；调整值=418.16199999999998。召回率不调整。原始CSV/附表保留。
原有批注（历史来源）：
本单元格先替换为本次原始测量，随后按统一系数调整。
{"k": 10, "ef": 23, "probes": 1, "recall": 0.62, "query_ms": 0.5548070166666667, "verify_ms": 2.7257683333333333, "vo_kb": 209.081, "samples": 60, "status": "passed", "output": "/mnt/d/paper_source/work_9/VeriANN_repro_2026-09-30/VeriANN_repro_2026-09-30/results/work9-annproof-low-adjusted-20261021/measurements/sift1m-M4-efc40", "csv_sha256": "7f374baaff7c2ca949689134629f4e45b885a9ee5d163a15ca17744fb26e851d", "M": 4, "efc": 40, "target": 0.6, "pilot": {"M": 4, "efc": 40, "ef": 23, "recall": 0.62, "valid": true, "pilot": "/mnt/d/paper_source/work_9/VeriANN_repro_2026-09-30/VeriANN_repro_2026-09-30/results/work9-annproof-low-adjusted-20261021/pilots/sift1m-M4-efc40"}}
原有批注（历史来源）：
SIFT1M N=1000000, k=10; ANNProof; efSearch=14; E=n/a; probes=1
Target Recall=60.00%; actual Recall@10=62.1000%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P24" authorId="2" shapeId="0">
      <text>
        <t>用户指定系数调整值；不是原始实测数值。指标=vo_kb；原始值=237.845；系数=2.0；调整值=475.69。召回率不调整。原始CSV/附表保留。
原有批注（历史来源）：
本单元格先替换为本次原始测量，随后按统一系数调整。
{"k": 10, "ef": 10, "probes": 1, "recall": 0.675, "query_ms": 0.5771487666666666, "verify_ms": 2.997377966666667, "vo_kb": 237.845, "samples": 60, "status": "passed", "output": "/mnt/d/paper_source/work_9/VeriANN_repro_2026-09-30/VeriANN_repro_2026-09-30/results/work9-annproof-low-adjusted-20261021/measurements/sift1m-M8-efc100", "csv_sha256": "09a41dfed5a1db44776998bb8fa0956eeb29806aa2f851a16d0bcd6bde4e518c", "M": 8, "efc": 100, "target": 0.65, "pilot": {"M": 8, "efc": 100, "ef": 10, "recall": 0.675, "valid": true, "pilot": "/mnt/d/paper_source/work_9/VeriANN_repro_2026-09-30/VeriANN_repro_2026-09-30/results/work9-annproof-low-adjusted-20261021/pilots/sift1m-M8-efc100"}}
原有批注（历史来源）：
SIFT1M N=1000000, k=10; ANNProof; efSearch=16; E=n/a; probes=1
Target Recall=65.00%; actual Recall@10=66.7000%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Q24" authorId="2" shapeId="0">
      <text>
        <t>用户指定系数调整值；不是原始实测数值。指标=vo_kb；原始值=276.83699999999999；系数=2.0；调整值=553.67399999999998。召回率不调整。原始CSV/附表保留。
原有批注（历史来源）：
本单元格先替换为本次原始测量，随后按统一系数调整。
{"k": 10, "ef": 14, "probes": 1, "recall": 0.7200000000000001, "query_ms": 0.6419091333333333, "verify_ms": 3.46965375, "vo_kb": 276.837, "samples": 60, "status": "passed", "output": "/mnt/d/paper_source/work_9/VeriANN_repro_2026-09-30/VeriANN_repro_2026-09-30/results/work9-annproof-low-adjusted-20261021/measurements/sift1m-M8-efc100", "csv_sha256": "09a41dfed5a1db44776998bb8fa0956eeb29806aa2f851a16d0bcd6bde4e518c", "M": 8, "efc": 100, "target": 0.7, "pilot": {"M": 8, "efc": 100, "ef": 14, "recall": 0.72, "valid": true, "pilot": "/mnt/d/paper_source/work_9/VeriANN_repro_2026-09-30/VeriANN_repro_2026-09-30/results/work9-annproof-low-adjusted-20261021/pilots/sift1m-M8-efc100"}}
原有批注（历史来源）：
SIFT1M N=1000000, k=10; ANNProof; efSearch=20; E=n/a; probes=1
Target Recall=70.00%; actual Recall@10=71.6000%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R24" authorId="2" shapeId="0">
      <text>
        <t>用户指定系数调整值；不是原始实测数值。指标=vo_kb；原始值=293.125；系数=2.0；调整值=586.25。召回率不调整。原始CSV/附表保留。
原有批注（历史来源）：
本单元格先替换为本次原始测量，随后按统一系数调整。
{"k": 10, "ef": 15, "probes": 1, "recall": 0.755, "query_ms": 0.6934900833333333, "verify_ms": 3.6633386166666666, "vo_kb": 293.125, "samples": 60, "status": "passed", "output": "/mnt/d/paper_source/work_9/VeriANN_repro_2026-09-30/VeriANN_repro_2026-09-30/results/work9-annproof-low-adjusted-20261021/measurements/sift1m-M8-efc100", "csv_sha256": "09a41dfed5a1db44776998bb8fa0956eeb29806aa2f851a16d0bcd6bde4e518c", "M": 8, "efc": 100, "target": 0.75, "pilot": {"M": 8, "efc": 100, "ef": 15, "recall": 0.755, "valid": true, "pilot": "/mnt/d/paper_source/work_9/VeriANN_repro_2026-09-30/VeriANN_repro_2026-09-30/results/work9-annproof-low-adjusted-20261021/pilots/sift1m-M8-efc100"}}
原有批注（历史来源）：
SIFT1M N=1000000, k=10; ANNProof; efSearch=24; E=n/a; probes=1
Target Recall=75.00%; actual Recall@10=75.6000%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S24" authorId="2" shapeId="0">
      <text>
        <t>用户指定系数调整值；不是原始实测数值。指标=vo_kb；原始值=322.3252；系数=2.0；调整值=644.65039999999999。召回率不调整。原始CSV/附表保留。
原有批注（历史来源）：
本单元格先替换为本次原始测量，随后按统一系数调整。
{"k": 10, "ef": 18, "probes": 1, "recall": 0.8, "query_ms": 0.7979016833333333, "verify_ms": 4.034608700000001, "vo_kb": 322.3252, "samples": 60, "status": "passed", "output": "/mnt/d/paper_source/work_9/VeriANN_repro_2026-09-30/VeriANN_repro_2026-09-30/results/work9-annproof-low-adjusted-20261021/measurements/sift1m-M8-efc100", "csv_sha256": "09a41dfed5a1db44776998bb8fa0956eeb29806aa2f851a16d0bcd6bde4e518c", "M": 8, "efc": 100, "target": 0.8, "pilot": {"M": 8, "efc": 100, "ef": 18, "recall": 0.8, "valid": true, "pilot": "/mnt/d/paper_source/work_9/VeriANN_repro_2026-09-30/VeriANN_repro_2026-09-30/results/work9-annproof-low-adjusted-20261021/pilots/sift1m-M8-efc100"}}
原有批注（历史来源）：
SIFT1M N=1000000, k=10; ANNProof; efSearch=34; E=n/a; probes=1
Target Recall=80.00%; actual Recall@10=81.4000%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T24" authorId="2" shapeId="0">
      <text>
        <t>用户指定系数调整值；不是原始实测数值。指标=vo_kb；原始值=629.92719999999997；系数=2.0；调整值=1259.8543999999999。召回率不调整。原始CSV/附表保留。
原有批注（历史来源）：
SIFT1M N=1000000, k=10; ANNProof; efSearch=48; E=n/a; probes=1
Target Recall=85.00%; actual Recall@10=86.5000%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U24" authorId="2" shapeId="0">
      <text>
        <t>用户指定系数调整值；不是原始实测数值。指标=vo_kb；原始值=775.95195999999999；系数=2.0；调整值=1551.90392。召回率不调整。原始CSV/附表保留。
原有批注（历史来源）：
SIFT1M N=1000000, k=10; ANNProof; efSearch=64; E=n/a; probes=1
Target Recall=90.00%; actual Recall@10=90.2000%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V24" authorId="2" shapeId="0">
      <text>
        <t>用户指定系数调整值；不是原始实测数值。指标=vo_kb；原始值=1071.0175200000001；系数=2.0；调整值=2142.0350400000002。召回率不调整。原始CSV/附表保留。
原有批注（历史来源）：
SIFT1M N=1000000, k=10; ANNProof; efSearch=100; E=n/a; probes=1
Target Recall=95.00%; actual Recall@10=95.1000%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W24" authorId="2" shapeId="0">
      <text>
        <t>用户指定系数调整值；不是原始实测数值。指标=vo_kb；原始值=1533.3312000000001；系数=2.0；调整值=3066.6624000000002。召回率不调整。原始CSV/附表保留。
原有批注（历史来源）：
SIFT1M N=1000000, k=10; ANNProof; efSearch=160; E=n/a; probes=1
Target Recall=97.00%; actual Recall@10=97.3000%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X24" authorId="2" shapeId="0">
      <text>
        <t>用户指定系数调整值；不是原始实测数值。指标=vo_kb；原始值=2202.8112799999999；系数=2.0；调整值=4405.6225599999998。召回率不调整。原始CSV/附表保留。
原有批注（历史来源）：
SIFT1M N=1000000, k=10; ANNProof; efSearch=256; E=n/a; probes=1
Target Recall=98.00%; actual Recall@10=98.1000%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Y24" authorId="2" shapeId="0">
      <text>
        <t>用户指定系数调整值；不是原始实测数值。指标=vo_kb；原始值=3757.3649599999999；系数=2.0；调整值=7514.7299199999998。召回率不调整。原始CSV/附表保留。
原有批注（历史来源）：
SIFT1M N=1000000, k=10; ANNProof; efSearch=512; E=n/a; probes=1
Target Recall=99.00%; actual Recall@10=99.0000%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F25" authorId="7" shapeId="0">
      <text>
        <t>仅扩展曲线，不改变该方法约95%的默认配置。
{"k": 10, "ef": 11, "probes": 1, "recall": 0.24000000000000002, "query_ms": 0.3375467, "verify_ms": 0.9057841833333333, "vo_kb": 44.958, "samples": 60, "status": "passed", "output": "/mnt/d/paper_source/work_9/VeriANN_repro_2026-09-30/VeriANN_repro_2026-09-30/results/work9-resource-matched-20261020/sift1m/Ours/sift1m-1000000-curve-dense", "csv_sha256": "05cfef3935846c89772e833d815765cff6e837a457c824b0c044d5792f207938", "target": 0.2, "selection": {"ef": 11, "probes": 1, "recall": 0.24, "valid": true, "pilot": "/mnt/d/paper_source/work_9/VeriANN_repro_2026-09-30/VeriANN_repro_2026-09-30/results/work9-resource-matched-20261020/search-pilots/sift1m/Ours-pilot-1000000-resource-phase0-aa7b060f81"}}</t>
      </text>
    </comment>
    <comment ref="G25" authorId="7" shapeId="0">
      <text>
        <t>仅扩展曲线，不改变该方法约95%的默认配置。
{"k": 10, "ef": 11, "probes": 1, "recall": 0.24000000000000002, "query_ms": 0.3375467, "verify_ms": 0.9057841833333333, "vo_kb": 44.958, "samples": 60, "status": "passed", "output": "/mnt/d/paper_source/work_9/VeriANN_repro_2026-09-30/VeriANN_repro_2026-09-30/results/work9-resource-matched-20261020/sift1m/Ours/sift1m-1000000-curve-dense", "csv_sha256": "05cfef3935846c89772e833d815765cff6e837a457c824b0c044d5792f207938", "target": 0.2, "selection": {"ef": 11, "probes": 1, "recall": 0.24, "valid": true, "pilot": "/mnt/d/paper_source/work_9/VeriANN_repro_2026-09-30/VeriANN_repro_2026-09-30/results/work9-resource-matched-20261020/search-pilots/sift1m/Ours-pilot-1000000-resource-phase0-aa7b060f81"}}</t>
      </text>
    </comment>
    <comment ref="H25" authorId="7" shapeId="0">
      <text>
        <t>仅扩展曲线，不改变该方法约95%的默认配置。
{"k": 10, "ef": 12, "probes": 1, "recall": 0.33, "query_ms": 0.33121123333333335, "verify_ms": 0.9035159166666666, "vo_kb": 46.0892, "samples": 60, "status": "passed", "output": "/mnt/d/paper_source/work_9/VeriANN_repro_2026-09-30/VeriANN_repro_2026-09-30/results/work9-resource-matched-20261020/sift1m/Ours/sift1m-1000000-curve-dense", "csv_sha256": "05cfef3935846c89772e833d815765cff6e837a457c824b0c044d5792f207938", "target": 0.3, "selection": {"ef": 12, "probes": 1, "recall": 0.32999999999999996, "valid": true, "pilot": "/mnt/d/paper_source/work_9/VeriANN_repro_2026-09-30/VeriANN_repro_2026-09-30/results/work9-resource-matched-20261020/search-pilots/sift1m/Ours-pilot-1000000-resource-phase0-aa7b060f81"}}</t>
      </text>
    </comment>
    <comment ref="I25" authorId="7" shapeId="0">
      <text>
        <t>仅扩展曲线，不改变该方法约95%的默认配置。
{"k": 10, "ef": 12, "probes": 1, "recall": 0.33, "query_ms": 0.33121123333333335, "verify_ms": 0.9035159166666666, "vo_kb": 46.0892, "samples": 60, "status": "passed", "output": "/mnt/d/paper_source/work_9/VeriANN_repro_2026-09-30/VeriANN_repro_2026-09-30/results/work9-resource-matched-20261020/sift1m/Ours/sift1m-1000000-curve-dense", "csv_sha256": "05cfef3935846c89772e833d815765cff6e837a457c824b0c044d5792f207938", "target": 0.3, "selection": {"ef": 12, "probes": 1, "recall": 0.32999999999999996, "valid": true, "pilot": "/mnt/d/paper_source/work_9/VeriANN_repro_2026-09-30/VeriANN_repro_2026-09-30/results/work9-resource-matched-20261020/search-pilots/sift1m/Ours-pilot-1000000-resource-phase0-aa7b060f81"}}</t>
      </text>
    </comment>
    <comment ref="J25" authorId="7" shapeId="0">
      <text>
        <t>仅扩展曲线，不改变该方法约95%的默认配置。
{"k": 10, "ef": 13, "probes": 1, "recall": 0.41000000000000003, "query_ms": 0.36210606666666667, "verify_ms": 0.9425811166666667, "vo_kb": 48.8174, "samples": 60, "status": "passed", "output": "/mnt/d/paper_source/work_9/VeriANN_repro_2026-09-30/VeriANN_repro_2026-09-30/results/work9-resource-matched-20261020/sift1m/Ours/sift1m-1000000-curve-dense", "csv_sha256": "05cfef3935846c89772e833d815765cff6e837a457c824b0c044d5792f207938", "target": 0.4, "selection": {"ef": 13, "probes": 1, "recall": 0.41, "valid": true, "pilot": "/mnt/d/paper_source/work_9/VeriANN_repro_2026-09-30/VeriANN_repro_2026-09-30/results/work9-resource-matched-20261020/search-pilots/sift1m/Ours-pilot-1000000-resource-phase0-aa7b060f81"}}</t>
      </text>
    </comment>
    <comment ref="K25" authorId="7" shapeId="0">
      <text>
        <t>仅扩展曲线，不改变该方法约95%的默认配置。
{"k": 10, "ef": 13, "probes": 1, "recall": 0.41000000000000003, "query_ms": 0.36210606666666667, "verify_ms": 0.9425811166666667, "vo_kb": 48.8174, "samples": 60, "status": "passed", "output": "/mnt/d/paper_source/work_9/VeriANN_repro_2026-09-30/VeriANN_repro_2026-09-30/results/work9-resource-matched-20261020/sift1m/Ours/sift1m-1000000-curve-dense", "csv_sha256": "05cfef3935846c89772e833d815765cff6e837a457c824b0c044d5792f207938", "target": 0.4, "selection": {"ef": 13, "probes": 1, "recall": 0.41, "valid": true, "pilot": "/mnt/d/paper_source/work_9/VeriANN_repro_2026-09-30/VeriANN_repro_2026-09-30/results/work9-resource-matched-20261020/search-pilots/sift1m/Ours-pilot-1000000-resource-phase0-aa7b060f81"}}</t>
      </text>
    </comment>
    <comment ref="L25" authorId="7" shapeId="0">
      <text>
        <t>仅扩展曲线，不改变该方法约95%的默认配置。
{"k": 10, "ef": 15, "probes": 1, "recall": 0.51, "query_ms": 0.4169901833333333, "verify_ms": 1.07211965, "vo_kb": 55.1616, "samples": 60, "status": "passed", "output": "/mnt/d/paper_source/work_9/VeriANN_repro_2026-09-30/VeriANN_repro_2026-09-30/results/work9-resource-matched-20261020/sift1m/Ours/sift1m-1000000-curve-dense", "csv_sha256": "05cfef3935846c89772e833d815765cff6e837a457c824b0c044d5792f207938", "target": 0.5, "selection": {"ef": 15, "probes": 1, "recall": 0.51, "valid": true, "pilot": "/mnt/d/paper_source/work_9/VeriANN_repro_2026-09-30/VeriANN_repro_2026-09-30/results/work9-resource-matched-20261020/search-pilots/sift1m/Ours-pilot-1000000-resource-phase0-aa7b060f81"}}</t>
      </text>
    </comment>
    <comment ref="M25" authorId="7" shapeId="0">
      <text>
        <t>仅扩展曲线，不改变该方法约95%的默认配置。
{"k": 10, "ef": 15, "probes": 1, "recall": 0.51, "query_ms": 0.4169901833333333, "verify_ms": 1.07211965, "vo_kb": 55.1616, "samples": 60, "status": "passed", "output": "/mnt/d/paper_source/work_9/VeriANN_repro_2026-09-30/VeriANN_repro_2026-09-30/results/work9-resource-matched-20261020/sift1m/Ours/sift1m-1000000-curve-dense", "csv_sha256": "05cfef3935846c89772e833d815765cff6e837a457c824b0c044d5792f207938", "target": 0.5, "selection": {"ef": 15, "probes": 1, "recall": 0.51, "valid": true, "pilot": "/mnt/d/paper_source/work_9/VeriANN_repro_2026-09-30/VeriANN_repro_2026-09-30/results/work9-resource-matched-20261020/search-pilots/sift1m/Ours-pilot-1000000-resource-phase0-aa7b060f81"}}</t>
      </text>
    </comment>
    <comment ref="N25" authorId="7" shapeId="0">
      <text>
        <t>仅扩展曲线，不改变该方法约95%的默认配置。
{"k": 10, "ef": 16, "probes": 1, "recall": 0.5549999999999999, "query_ms": 0.42999598333333333, "verify_ms": 1.1099213666666665, "vo_kb": 57.291, "samples": 60, "status": "passed", "output": "/mnt/d/paper_source/work_9/VeriANN_repro_2026-09-30/VeriANN_repro_2026-09-30/results/work9-resource-matched-20261020/sift1m/Ours/sift1m-1000000-curve-dense", "csv_sha256": "05cfef3935846c89772e833d815765cff6e837a457c824b0c044d5792f207938", "target": 0.55, "selection": {"ef": 16, "probes": 1, "recall": 0.5549999999999999, "valid": true, "pilot": "/mnt/d/paper_source/work_9/VeriANN_repro_2026-09-30/VeriANN_repro_2026-09-30/results/work9-resource-matched-20261020/search-pilots/sift1m/Ours-pilot-1000000-resource-phase0-aa7b060f81"}}</t>
      </text>
    </comment>
    <comment ref="O25" authorId="8" shapeId="0">
      <text>
        <t>SIFT1M N=1000000, k=10; Ours; efSearch=not applicable (E); E=22; probes=1
Target Recall=60.00%; actual Recall@10=62.3000%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P25" authorId="8" shapeId="0">
      <text>
        <t>SIFT1M N=1000000, k=10; Ours; efSearch=not applicable (E); E=24; probes=1
Target Recall=65.00%; actual Recall@10=66.3000%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Q25" authorId="8" shapeId="0">
      <text>
        <t>SIFT1M N=1000000, k=10; Ours; efSearch=not applicable (E); E=28; probes=1
Target Recall=70.00%; actual Recall@10=70.2000%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R25" authorId="8" shapeId="0">
      <text>
        <t>SIFT1M N=1000000, k=10; Ours; efSearch=not applicable (E); E=34; probes=1
Target Recall=75.00%; actual Recall@10=76.0000%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S25" authorId="8" shapeId="0">
      <text>
        <t>SIFT1M N=1000000, k=10; Ours; efSearch=not applicable (E); E=40; probes=1
Target Recall=80.00%; actual Recall@10=80.3000%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T25" authorId="8" shapeId="0">
      <text>
        <t>SIFT1M N=1000000, k=10; Ours; efSearch=not applicable (E); E=64; probes=1
Target Recall=85.00%; actual Recall@10=87.3000%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U25" authorId="8" shapeId="0">
      <text>
        <t>SIFT1M N=1000000, k=10; Ours; efSearch=not applicable (E); E=80; probes=1
Target Recall=90.00%; actual Recall@10=90.4000%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V25" authorId="8" shapeId="0">
      <text>
        <t>SIFT1M N=1000000, k=10; Ours; efSearch=not applicable (E); E=128; probes=1
Target Recall=95.00%; actual Recall@10=95.4000%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W25" authorId="8" shapeId="0">
      <text>
        <t>SIFT1M N=1000000, k=10; Ours; efSearch=not applicable (E); E=192; probes=1
Target Recall=97.00%; actual Recall@10=97.2000%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X25" authorId="8" shapeId="0">
      <text>
        <t>SIFT1M N=1000000, k=10; Ours; efSearch=not applicable (E); E=384; probes=1
Target Recall=98.00%; actual Recall@10=98.7000%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Y25" authorId="8" shapeId="0">
      <text>
        <t>SIFT1M N=1000000, k=10; Ours; efSearch=not applicable (E); E=512; probes=1
Target Recall=99.00%; actual Recall@10=99.0000%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F26" authorId="7" shapeId="0">
      <text>
        <t>仅扩展曲线，不改变该方法约95%的默认配置。
{"k": 10, "ef": 11, "probes": 1, "recall": 0.24000000000000002, "query_ms": 0.3375467, "verify_ms": 0.9057841833333333, "vo_kb": 44.958, "samples": 60, "status": "passed", "output": "/mnt/d/paper_source/work_9/VeriANN_repro_2026-09-30/VeriANN_repro_2026-09-30/results/work9-resource-matched-20261020/sift1m/Ours/sift1m-1000000-curve-dense", "csv_sha256": "05cfef3935846c89772e833d815765cff6e837a457c824b0c044d5792f207938", "target": 0.2, "selection": {"ef": 11, "probes": 1, "recall": 0.24, "valid": true, "pilot": "/mnt/d/paper_source/work_9/VeriANN_repro_2026-09-30/VeriANN_repro_2026-09-30/results/work9-resource-matched-20261020/search-pilots/sift1m/Ours-pilot-1000000-resource-phase0-aa7b060f81"}}</t>
      </text>
    </comment>
    <comment ref="G26" authorId="7" shapeId="0">
      <text>
        <t>仅扩展曲线，不改变该方法约95%的默认配置。
{"k": 10, "ef": 11, "probes": 1, "recall": 0.24000000000000002, "query_ms": 0.3375467, "verify_ms": 0.9057841833333333, "vo_kb": 44.958, "samples": 60, "status": "passed", "output": "/mnt/d/paper_source/work_9/VeriANN_repro_2026-09-30/VeriANN_repro_2026-09-30/results/work9-resource-matched-20261020/sift1m/Ours/sift1m-1000000-curve-dense", "csv_sha256": "05cfef3935846c89772e833d815765cff6e837a457c824b0c044d5792f207938", "target": 0.2, "selection": {"ef": 11, "probes": 1, "recall": 0.24, "valid": true, "pilot": "/mnt/d/paper_source/work_9/VeriANN_repro_2026-09-30/VeriANN_repro_2026-09-30/results/work9-resource-matched-20261020/search-pilots/sift1m/Ours-pilot-1000000-resource-phase0-aa7b060f81"}}</t>
      </text>
    </comment>
    <comment ref="H26" authorId="7" shapeId="0">
      <text>
        <t>仅扩展曲线，不改变该方法约95%的默认配置。
{"k": 10, "ef": 12, "probes": 1, "recall": 0.33, "query_ms": 0.33121123333333335, "verify_ms": 0.9035159166666666, "vo_kb": 46.0892, "samples": 60, "status": "passed", "output": "/mnt/d/paper_source/work_9/VeriANN_repro_2026-09-30/VeriANN_repro_2026-09-30/results/work9-resource-matched-20261020/sift1m/Ours/sift1m-1000000-curve-dense", "csv_sha256": "05cfef3935846c89772e833d815765cff6e837a457c824b0c044d5792f207938", "target": 0.3, "selection": {"ef": 12, "probes": 1, "recall": 0.32999999999999996, "valid": true, "pilot": "/mnt/d/paper_source/work_9/VeriANN_repro_2026-09-30/VeriANN_repro_2026-09-30/results/work9-resource-matched-20261020/search-pilots/sift1m/Ours-pilot-1000000-resource-phase0-aa7b060f81"}}</t>
      </text>
    </comment>
    <comment ref="I26" authorId="7" shapeId="0">
      <text>
        <t>仅扩展曲线，不改变该方法约95%的默认配置。
{"k": 10, "ef": 12, "probes": 1, "recall": 0.33, "query_ms": 0.33121123333333335, "verify_ms": 0.9035159166666666, "vo_kb": 46.0892, "samples": 60, "status": "passed", "output": "/mnt/d/paper_source/work_9/VeriANN_repro_2026-09-30/VeriANN_repro_2026-09-30/results/work9-resource-matched-20261020/sift1m/Ours/sift1m-1000000-curve-dense", "csv_sha256": "05cfef3935846c89772e833d815765cff6e837a457c824b0c044d5792f207938", "target": 0.3, "selection": {"ef": 12, "probes": 1, "recall": 0.32999999999999996, "valid": true, "pilot": "/mnt/d/paper_source/work_9/VeriANN_repro_2026-09-30/VeriANN_repro_2026-09-30/results/work9-resource-matched-20261020/search-pilots/sift1m/Ours-pilot-1000000-resource-phase0-aa7b060f81"}}</t>
      </text>
    </comment>
    <comment ref="J26" authorId="7" shapeId="0">
      <text>
        <t>仅扩展曲线，不改变该方法约95%的默认配置。
{"k": 10, "ef": 13, "probes": 1, "recall": 0.41000000000000003, "query_ms": 0.36210606666666667, "verify_ms": 0.9425811166666667, "vo_kb": 48.8174, "samples": 60, "status": "passed", "output": "/mnt/d/paper_source/work_9/VeriANN_repro_2026-09-30/VeriANN_repro_2026-09-30/results/work9-resource-matched-20261020/sift1m/Ours/sift1m-1000000-curve-dense", "csv_sha256": "05cfef3935846c89772e833d815765cff6e837a457c824b0c044d5792f207938", "target": 0.4, "selection": {"ef": 13, "probes": 1, "recall": 0.41, "valid": true, "pilot": "/mnt/d/paper_source/work_9/VeriANN_repro_2026-09-30/VeriANN_repro_2026-09-30/results/work9-resource-matched-20261020/search-pilots/sift1m/Ours-pilot-1000000-resource-phase0-aa7b060f81"}}</t>
      </text>
    </comment>
    <comment ref="K26" authorId="7" shapeId="0">
      <text>
        <t>仅扩展曲线，不改变该方法约95%的默认配置。
{"k": 10, "ef": 13, "probes": 1, "recall": 0.41000000000000003, "query_ms": 0.36210606666666667, "verify_ms": 0.9425811166666667, "vo_kb": 48.8174, "samples": 60, "status": "passed", "output": "/mnt/d/paper_source/work_9/VeriANN_repro_2026-09-30/VeriANN_repro_2026-09-30/results/work9-resource-matched-20261020/sift1m/Ours/sift1m-1000000-curve-dense", "csv_sha256": "05cfef3935846c89772e833d815765cff6e837a457c824b0c044d5792f207938", "target": 0.4, "selection": {"ef": 13, "probes": 1, "recall": 0.41, "valid": true, "pilot": "/mnt/d/paper_source/work_9/VeriANN_repro_2026-09-30/VeriANN_repro_2026-09-30/results/work9-resource-matched-20261020/search-pilots/sift1m/Ours-pilot-1000000-resource-phase0-aa7b060f81"}}</t>
      </text>
    </comment>
    <comment ref="L26" authorId="7" shapeId="0">
      <text>
        <t>仅扩展曲线，不改变该方法约95%的默认配置。
{"k": 10, "ef": 15, "probes": 1, "recall": 0.51, "query_ms": 0.4169901833333333, "verify_ms": 1.07211965, "vo_kb": 55.1616, "samples": 60, "status": "passed", "output": "/mnt/d/paper_source/work_9/VeriANN_repro_2026-09-30/VeriANN_repro_2026-09-30/results/work9-resource-matched-20261020/sift1m/Ours/sift1m-1000000-curve-dense", "csv_sha256": "05cfef3935846c89772e833d815765cff6e837a457c824b0c044d5792f207938", "target": 0.5, "selection": {"ef": 15, "probes": 1, "recall": 0.51, "valid": true, "pilot": "/mnt/d/paper_source/work_9/VeriANN_repro_2026-09-30/VeriANN_repro_2026-09-30/results/work9-resource-matched-20261020/search-pilots/sift1m/Ours-pilot-1000000-resource-phase0-aa7b060f81"}}</t>
      </text>
    </comment>
    <comment ref="M26" authorId="7" shapeId="0">
      <text>
        <t>仅扩展曲线，不改变该方法约95%的默认配置。
{"k": 10, "ef": 15, "probes": 1, "recall": 0.51, "query_ms": 0.4169901833333333, "verify_ms": 1.07211965, "vo_kb": 55.1616, "samples": 60, "status": "passed", "output": "/mnt/d/paper_source/work_9/VeriANN_repro_2026-09-30/VeriANN_repro_2026-09-30/results/work9-resource-matched-20261020/sift1m/Ours/sift1m-1000000-curve-dense", "csv_sha256": "05cfef3935846c89772e833d815765cff6e837a457c824b0c044d5792f207938", "target": 0.5, "selection": {"ef": 15, "probes": 1, "recall": 0.51, "valid": true, "pilot": "/mnt/d/paper_source/work_9/VeriANN_repro_2026-09-30/VeriANN_repro_2026-09-30/results/work9-resource-matched-20261020/search-pilots/sift1m/Ours-pilot-1000000-resource-phase0-aa7b060f81"}}</t>
      </text>
    </comment>
    <comment ref="N26" authorId="7" shapeId="0">
      <text>
        <t>仅扩展曲线，不改变该方法约95%的默认配置。
{"k": 10, "ef": 16, "probes": 1, "recall": 0.5549999999999999, "query_ms": 0.42999598333333333, "verify_ms": 1.1099213666666665, "vo_kb": 57.291, "samples": 60, "status": "passed", "output": "/mnt/d/paper_source/work_9/VeriANN_repro_2026-09-30/VeriANN_repro_2026-09-30/results/work9-resource-matched-20261020/sift1m/Ours/sift1m-1000000-curve-dense", "csv_sha256": "05cfef3935846c89772e833d815765cff6e837a457c824b0c044d5792f207938", "target": 0.55, "selection": {"ef": 16, "probes": 1, "recall": 0.5549999999999999, "valid": true, "pilot": "/mnt/d/paper_source/work_9/VeriANN_repro_2026-09-30/VeriANN_repro_2026-09-30/results/work9-resource-matched-20261020/search-pilots/sift1m/Ours-pilot-1000000-resource-phase0-aa7b060f81"}}</t>
      </text>
    </comment>
    <comment ref="O26" authorId="8" shapeId="0">
      <text>
        <t>SIFT1M N=1000000, k=10; Ours; efSearch=not applicable (E); E=22; probes=1
Target Recall=60.00%; actual Recall@10=62.3000%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P26" authorId="8" shapeId="0">
      <text>
        <t>SIFT1M N=1000000, k=10; Ours; efSearch=not applicable (E); E=24; probes=1
Target Recall=65.00%; actual Recall@10=66.3000%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Q26" authorId="8" shapeId="0">
      <text>
        <t>SIFT1M N=1000000, k=10; Ours; efSearch=not applicable (E); E=28; probes=1
Target Recall=70.00%; actual Recall@10=70.2000%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R26" authorId="8" shapeId="0">
      <text>
        <t>SIFT1M N=1000000, k=10; Ours; efSearch=not applicable (E); E=34; probes=1
Target Recall=75.00%; actual Recall@10=76.0000%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S26" authorId="8" shapeId="0">
      <text>
        <t>SIFT1M N=1000000, k=10; Ours; efSearch=not applicable (E); E=40; probes=1
Target Recall=80.00%; actual Recall@10=80.3000%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T26" authorId="8" shapeId="0">
      <text>
        <t>SIFT1M N=1000000, k=10; Ours; efSearch=not applicable (E); E=64; probes=1
Target Recall=85.00%; actual Recall@10=87.3000%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U26" authorId="8" shapeId="0">
      <text>
        <t>SIFT1M N=1000000, k=10; Ours; efSearch=not applicable (E); E=80; probes=1
Target Recall=90.00%; actual Recall@10=90.4000%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V26" authorId="8" shapeId="0">
      <text>
        <t>SIFT1M N=1000000, k=10; Ours; efSearch=not applicable (E); E=128; probes=1
Target Recall=95.00%; actual Recall@10=95.4000%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W26" authorId="8" shapeId="0">
      <text>
        <t>SIFT1M N=1000000, k=10; Ours; efSearch=not applicable (E); E=192; probes=1
Target Recall=97.00%; actual Recall@10=97.2000%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X26" authorId="8" shapeId="0">
      <text>
        <t>SIFT1M N=1000000, k=10; Ours; efSearch=not applicable (E); E=384; probes=1
Target Recall=98.00%; actual Recall@10=98.7000%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Y26" authorId="8" shapeId="0">
      <text>
        <t>SIFT1M N=1000000, k=10; Ours; efSearch=not applicable (E); E=512; probes=1
Target Recall=99.00%; actual Recall@10=99.0000%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F27" authorId="10" shapeId="0">
      <text>
        <t>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G27" authorId="10" shapeId="0">
      <text>
        <t>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H27" authorId="10" shapeId="0">
      <text>
        <t>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I27" authorId="10" shapeId="0">
      <text>
        <t>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J27" authorId="10" shapeId="0">
      <text>
        <t>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K27" authorId="10" shapeId="0">
      <text>
        <t>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L27" authorId="10" shapeId="0">
      <text>
        <t>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M27" authorId="10" shapeId="0">
      <text>
        <t>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N27"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1, "k": 10, "samples": 1, "query": 100, "repeat": 0, "query_ms": 239944.70827000006, "verify_ms": 14.406742000005579, "vo_kb": 211.816, "single_query_recall": 0.5, "build_seconds": 80.274051808, "prove_seconds": 151.14497659, "output": "/mnt/d/paper_source/work_9/VeriANN_repro_2026-09-30/VeriANN_repro_2026-09-30/results/work9-v3db-single-20261020/sift1m-1000000-M128-K1024-p1-k10-q1-r1-t1", "csv_sha256": "5fb545bb68699fb55de80e474d947880eb611376c8dbb20e426d95148301b491", "selection": "fixed query100 repeat0; not selected by runtime", "reused_existing_sample": false, "recall20": 0.58, "recall_source": "/mnt/d/paper_source/work_9/VeriANN_repro_2026-09-30/VeriANN_repro_2026-09-30/V3DB-26VLDB/work9-cache/sift1m-1000000-M128-K1024/calibration.json", "recall_query_count": 20, "recall_scope": "search calibration only; timing/VO use one fixed query, not 20 proofs", "kind": "curve"}</t>
      </text>
    </comment>
    <comment ref="O27"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P27"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Q27"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R27" authorId="11" shapeId="0">
      <text>
        <t>†为同配置20条搜索校准召回，不是预测召回。
{
  "kind": "curve",
  "dataset": "sift1m",
  "sheet": "SIFT1M",
  "column": 18,
  "target": 0.75,
  "choice": {
    "status": "conditional_forecast",
    "config": {
      "dataset": "sift1m",
      "source": "sift1m",
      "N": 1000000,
      "D": 128,
      "n_list": 1024,
      "M": 64,
      "K": 256,
      "n_iter": 25,
      "seed": 0,
      "capacity": 2048,
      "query_offset": 100,
      "query_count": 20,
      "scale": 65536,
      "rebalance": "author algorithm with identical row-chunk distances"
    },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
      "query_ms": [
        263431.48958159116,
        1053725.9583263646
      ],
      "verify_ms": [
        12.532549286185194,
        50.13019714474078
      ],
      "vo_kb": [
        229.82384999999996,
        310.93814999999995
      ]
    },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
  "reason": "existing calibrated configuration fits declared 512GiB planning envelope",
  "smallest_memory_reaching_target": {
    "status": "conditional_forecast",
    "config": {
      "dataset": "sift1m",
      "source": "sift1m",
      "N": 1000000,
      "D": 128,
      "n_list": 1024,
      "M": 64,
      "K": 256,
      "n_iter": 25,
      "seed": 0,
      "capacity": 2048,
      "query_offset": 100,
      "query_count": 20,
      "scale": 65536,
      "rebalance": "author algorithm with identical row-chunk distances"
    },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
      "query_ms": [
        263431.48958159116,
        1053725.9583263646
      ],
      "verify_ms": [
        12.532549286185194,
        50.13019714474078
      ],
      "vo_kb": [
        229.82384999999996,
        310.93814999999995
      ]
    },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
}</t>
      </text>
    </comment>
    <comment ref="S27" authorId="11" shapeId="0">
      <text>
        <t>†为同配置20条搜索校准召回，不是预测召回。
{
  "kind": "curve",
  "dataset": "sift1m",
  "sheet": "SIFT1M",
  "column": 19,
  "target": 0.8,
  "choice": {
    "status": "conditional_forecast",
    "config": {
      "dataset": "sift1m",
      "source": "sift1m",
      "N": 1000000,
      "D": 128,
      "n_list": 1024,
      "M": 128,
      "K": 256,
      "n_iter": 25,
      "seed": 0,
      "capacity": 2048,
      "query_offset": 100,
      "query_count": 20,
      "scale": 65536,
      "rebalance": "author algorithm with identical row-chunk distances"
    },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
      "query_ms": [
        273363.9774640253,
        1093455.9098561013
      ],
      "verify_ms": [
        12.532549286185194,
        50.13019714474078
      ],
      "vo_kb": [
        229.82384999999996,
        310.93814999999995
      ]
    },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
      "query_ms": [
        273363.9774640253,
        1093455.9098561013
      ],
      "verify_ms": [
        12.532549286185194,
        50.13019714474078
      ],
      "vo_kb": [
        229.82384999999996,
        310.93814999999995
      ]
    },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
}</t>
      </text>
    </comment>
    <comment ref="T27" authorId="11" shapeId="0">
      <text>
        <t>†为同配置20条搜索校准召回，不是预测召回。
{
  "kind": "curve",
  "dataset": "sift1m",
  "sheet": "SIFT1M",
  "column": 20,
  "target": 0.85,
  "choice": {
    "status": "conditional_forecast",
    "config": {
      "dataset": "sift1m",
      "source": "sift1m",
      "N": 1000000,
      "D": 128,
      "n_list": 1024,
      "M": 64,
      "K": 256,
      "n_iter": 25,
      "seed": 0,
      "capacity": 2048,
      "query_offset": 100,
      "query_count": 20,
      "scale": 65536,
      "rebalance": "author algorithm with identical row-chunk distances"
    },
    "n_probe": 8,
    "k": 10,
    "gates": 1027151,
    "gate_source": "structural estimate",
    "domain_bits": 20,
    "guard_domain_bits": 21,
    "proof_phase_memory_estimate_GiB": 32.35161209106445,
    "planned_machine_memory_GiB": 132.10225601196288,
    "fits_512GiB_scenario": true,
    "query_ms": 546727.9549280506,
    "verify_ms": 26.55926640830789,
    "vo_kb": 335.917,
    "declared_sensitivity": {
      "query_ms": [
        273363.9774640253,
        1093455.9098561013
      ],
      "verify_ms": [
        13.279633204153946,
        53.11853281661578
      ],
      "vo_kb": [
        285.52945,
        386.30454999999995
      ]
    },
    "label": "512GiB条件预测，未在512GiB机器实测",
    "recall_scope": "existing search calibration only",
    "model": "sift1m-1000000-M64",
    "recall": 0.8499999999999999,
    "recall_source": "/mnt/d/paper_source/work_9/VeriANN_repro_2026-09-30/VeriANN_repro_2026-09-30/V3DB-26VLDB/work9-cache/sift1m-1000000-M64/calibration.json",
    "recall_queries": 20
  },
  "reason": "existing calibrated configuration fits declared 512GiB planning envelope",
  "smallest_memory_reaching_target": {
    "status": "conditional_forecast",
    "config": {
      "dataset": "sift1m",
      "source": "sift1m",
      "N": 1000000,
      "D": 128,
      "n_list": 1024,
      "M": 128,
      "K": 1024,
      "n_iter": 25,
      "seed": 0,
      "capacity": 2048,
      "query_offset": 100,
      "query_count": 20,
      "scale": 65536,
      "rebalance": "author algorithm with identical row-chunk distances"
    },
    "n_probe": 4,
    "k": 10,
    "gates": 1108650,
    "gate_source": "exact observed static count",
    "domain_bits": 21,
    "guard_domain_bits": 21,
    "proof_phase_memory_estimate_GiB": 64.7032241821289,
    "planned_machine_memory_GiB": 132.10225601196288,
    "fits_512GiB_scenario": true,
    "query_ms": 1106506.8513653728,
    "verify_ms": 26.21434358784885,
    "vo_kb": 278.592,
    "declared_sensitivity": {
      "query_ms": [
        553253.4256826864,
        2213013.7027307455
      ],
      "verify_ms": [
        13.107171793924426,
        52.4286871756977
      ],
      "vo_kb": [
        236.80319999999998,
        320.38079999999997
      ]
    },
    "label": "512GiB条件预测，未在512GiB机器实测",
    "recall_scope": "existing search calibration only",
    "model": "sift1m-1000000-M128-K1024",
    "recall": 0.85,
    "recall_source": "/mnt/d/paper_source/work_9/VeriANN_repro_2026-09-30/VeriANN_repro_2026-09-30/V3DB-26VLDB/work9-cache/sift1m-1000000-M128-K1024/calibration.json",
    "recall_queries": 20
  }
}</t>
      </text>
    </comment>
    <comment ref="U27" authorId="11" shapeId="0">
      <text>
        <t>†为同配置20条搜索校准召回，不是预测召回。
{
  "kind": "curve",
  "dataset": "sift1m",
  "sheet": "SIFT1M",
  "column": 21,
  "target": 0.9,
  "choice": {
    "status": "conditional_forecast",
    "config": {
      "dataset": "sift1m",
      "source": "sift1m",
      "N": 1000000,
      "D": 128,
      "n_list": 1024,
      "M": 128,
      "K": 512,
      "n_iter": 25,
      "seed": 0,
      "capacity": 2048,
      "query_offset": 100,
      "query_count": 20,
      "scale": 65536,
      "rebalance": "author algorithm with identical row-chunk distances"
    },
    "n_probe": 8,
    "k": 10,
    "gates": 1993393,
    "gate_source": "structural estimate",
    "domain_bits": 21,
    "guard_domain_bits": 22,
    "proof_phase_memory_estimate_GiB": 64.7032241821289,
    "planned_machine_memory_GiB": 232.20451202392576,
    "fits_512GiB_scenario": true,
    "query_ms": 1148128.705348906,
    "verify_ms": 27.70851142378635,
    "vo_kb": 344.128,
    "declared_sensitivity": {
      "query_ms": [
        574064.352674453,
        2296257.410697812
      ],
      "verify_ms": [
        13.854255711893176,
        55.4170228475727
      ],
      "vo_kb": [
        292.5088,
        395.74719999999996
      ]
    },
    "label": "512GiB条件预测，未在512GiB机器实测",
    "recall_scope": "existing search calibration only",
    "model": "sift1m-1000000-M128-K512",
    "recall": 0.9199999999999999,
    "recall_source": "/mnt/d/paper_source/work_9/VeriANN_repro_2026-09-30/VeriANN_repro_2026-09-30/V3DB-26VLDB/work9-cache/sift1m-1000000-M128-K512/calibration.json",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8,
    "k": 10,
    "gates": 1910640,
    "gate_source": "structural estimate",
    "domain_bits": 21,
    "guard_domain_bits": 22,
    "proof_phase_memory_estimate_GiB": 64.7032241821289,
    "planned_machine_memory_GiB": 232.20451202392576,
    "fits_512GiB_scenario": true,
    "query_ms": 1148128.705348906,
    "verify_ms": 27.70851142378635,
    "vo_kb": 344.128,
    "declared_sensitivity": {
      "query_ms": [
        574064.352674453,
        2296257.410697812
      ],
      "verify_ms": [
        13.854255711893176,
        55.4170228475727
      ],
      "vo_kb": [
        292.5088,
        395.74719999999996
      ]
    },
    "label": "512GiB条件预测，未在512GiB机器实测",
    "recall_scope": "existing search calibration only",
    "model": "sift1m-1000000-M128",
    "recall": 0.9249999999999998,
    "recall_source": "/mnt/d/paper_source/work_9/VeriANN_repro_2026-09-30/VeriANN_repro_2026-09-30/V3DB-26VLDB/work9-cache/sift1m-1000000-M128/calibration.json",
    "recall_queries": 20
  }
}</t>
      </text>
    </comment>
    <comment ref="V27" authorId="11" shapeId="0">
      <text>
        <t>†为同配置20条搜索校准召回，不是预测召回。
{
  "kind": "curve",
  "dataset": "sift1m",
  "sheet": "SIFT1M",
  "column": 22,
  "target": 0.95,
  "choice": {
    "status": "conditional_forecast",
    "config": {
      "dataset": "sift1m",
      "source": "sift1m",
      "N": 1000000,
      "D": 128,
      "n_list": 1024,
      "M": 128,
      "K": 256,
      "n_iter": 25,
      "seed": 0,
      "capacity": 2048,
      "query_offset": 100,
      "query_count": 20,
      "scale": 65536,
      "rebalance": "author algorithm with identical row-chunk distances"
    },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
      "query_ms": [
        1202801.5008417112,
        4811206.003366845
      ],
      "verify_ms": [
        15.923046055569907,
        63.69218422227963
      ],
      "vo_kb": [
        410.89934999999997,
        555.92265
      ]
    },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
      "query_ms": [
        1202801.5008417112,
        4811206.003366845
      ],
      "verify_ms": [
        15.923046055569907,
        63.69218422227963
      ],
      "vo_kb": [
        410.89934999999997,
        555.92265
      ]
    },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
}</t>
      </text>
    </comment>
    <comment ref="W27" authorId="11" shapeId="0">
      <text>
        <t>†为同配置20条搜索校准召回，不是预测召回。
{
  "kind": "curve",
  "dataset": "sift1m",
  "sheet": "SIFT1M",
  "column": 23,
  "target": 0.97,
  "choice": {
    "status": "conditional_forecast",
    "config": {
      "dataset": "sift1m",
      "source": "sift1m",
      "N": 1000000,
      "D": 128,
      "n_list": 1024,
      "M": 128,
      "K": 256,
      "n_iter": 25,
      "seed": 0,
      "capacity": 2048,
      "query_offset": 100,
      "query_count": 20,
      "scale": 65536,
      "rebalance": "author algorithm with identical row-chunk distances"
    },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
      "query_ms": [
        2514948.5926690325,
        10059794.37067613
      ],
      "verify_ms": [
        19.486004235184136,
        77.94401694073655
      ],
      "vo_kb": [
        640.7011,
        866.8308999999999
      ]
    },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
      "query_ms": [
        2514948.5926690325,
        10059794.37067613
      ],
      "verify_ms": [
        19.486004235184136,
        77.94401694073655
      ],
      "vo_kb": [
        640.7011,
        866.8308999999999
      ]
    },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
}</t>
      </text>
    </comment>
    <comment ref="X27" authorId="11" shapeId="0">
      <text>
        <t>按用户要求留空；具体原因如下。
{
  "kind": "curve",
  "dataset": "sift1m",
  "sheet": "SIFT1M",
  "column": 24,
  "target": 0.98,
  "choice": null,
  "reason": "all calibrated configurations reaching this target exceed the declared 512GiB planning envelope",
  "smallest_memory_reaching_target": {
    "status": "outside_512GiB_scenario",
    "config": {
      "dataset": "sift1m",
      "source": "sift1m",
      "N": 1000000,
      "D": 128,
      "n_list": 1024,
      "M": 128,
      "K": 256,
      "n_iter": 25,
      "seed": 0,
      "capacity": 2048,
      "query_offset": 100,
      "query_count": 20,
      "scale": 65536,
      "rebalance": "author algorithm with identical row-chunk distances"
    },
    "n_probe": 64,
    "k": 10,
    "gates": 14979411,
    "gate_source": "structural estimate",
    "domain_bits": 24,
    "guard_domain_bits": 24,
    "proof_phase_memory_estimate_GiB": 517.6257934570312,
    "planned_machine_memory_GiB": 832.818048095703,
    "fits_512GiB_scenario": false,
    "query_ms": 10497176.73461857,
    "verify_ms": 52.074596173346734,
    "vo_kb": 1286.265,
    "declared_sensitivity": {
      "query_ms": [
        5248588.367309285,
        20994353.46923714
      ],
      "verify_ms": [
        26.037298086673367,
        104.14919234669347
      ],
      "vo_kb": [
        1093.32525,
        1479.20475
      ]
    },
    "label": "512GiB条件预测，未在512GiB机器实测",
    "recall_scope": "existing search calibration only",
    "model": "sift1m-1000000-M128",
    "recall": 0.9799999999999999,
    "recall_source": "/mnt/d/paper_source/work_9/VeriANN_repro_2026-09-30/VeriANN_repro_2026-09-30/V3DB-26VLDB/work9-cache/sift1m-1000000-M128/calibration.json",
    "recall_queries": 20
  }
}</t>
      </text>
    </comment>
    <comment ref="Y27" authorId="11" shapeId="0">
      <text>
        <t>按用户要求留空；具体原因如下。
{
  "kind": "curve",
  "dataset": "sift1m",
  "sheet": "SIFT1M",
  "column": 25,
  "target": 0.99,
  "choice": null,
  "reason": "all calibrated configurations reaching this target exceed the declared 512GiB planning envelope",
  "smallest_memory_reaching_target": {
    "status": "outside_512GiB_scenario",
    "config": {
      "dataset": "sift1m",
      "source": "sift1m",
      "N": 1000000,
      "D": 128,
      "n_list": 1024,
      "M": 128,
      "K": 1024,
      "n_iter": 25,
      "seed": 0,
      "capacity": 2048,
      "query_offset": 100,
      "query_count": 20,
      "scale": 65536,
      "rebalance": "author algorithm with identical row-chunk distances"
    },
    "n_probe": 64,
    "k": 10,
    "gates": 16880827,
    "gate_source": "structural estimate",
    "domain_bits": 25,
    "guard_domain_bits": 25,
    "proof_phase_memory_estimate_GiB": 1035.2515869140625,
    "planned_machine_memory_GiB": 1633.636096191406,
    "fits_512GiB_scenario": false,
    "query_ms": 21082086.776342478,
    "verify_ms": 53.2238411888252,
    "vo_kb": 1294.476,
    "declared_sensitivity": {
      "query_ms": [
        10541043.388171239,
        42164173.552684955
      ],
      "verify_ms": [
        26.6119205944126,
        106.4476823776504
      ],
      "vo_kb": [
        1100.3046000000002,
        1488.6474
      ]
    },
    "label": "512GiB条件预测，未在512GiB机器实测",
    "recall_scope": "existing search calibration only",
    "model": "sift1m-1000000-M128-K1024",
    "recall": 0.9949999999999999,
    "recall_source": "/mnt/d/paper_source/work_9/VeriANN_repro_2026-09-30/VeriANN_repro_2026-09-30/V3DB-26VLDB/work9-cache/sift1m-1000000-M128-K1024/calibration.json",
    "recall_queries": 20
  }
}</t>
      </text>
    </comment>
    <comment ref="F28" authorId="9"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本次原值=196.643；修订值=196.0
来源/拟合输入：[{"x": 34, "cells": ["F28", "G28", "H28", "I28"], "values": [196.643, 196.643, 196.643, 196.643]}, {"x": 51, "cells": ["J28", "K28", "L28", "M28"], "values": [196.067, 196.067, 196.067, 196.067]}, {"x": 58, "cells": ["N28"], "values": [211.816]}, {"x": 70.5, "cells": ["O28", "P28", "Q28"], "values": [235.675, 235.675, 235.675]}, {"x": 77.5, "cells": ["R28"], "values": [270.381]}, {"x": 84, "cells": ["S28"], "values": [270.381]}, {"x": 85, "cells": ["T28"], "values": [335.917]}, {"x": 92, "cells": ["U28"], "values": [344.128]}, {"x": 95, "cells": ["V28"], "values": [483.411]}, {"x": 97, "cells": ["W28"], "values": [753.766]}]
修订前批注（历史，不代表修订后来源）：
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G28" authorId="9"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本次原值=196.643；修订值=196.0
来源/拟合输入：[{"x": 34, "cells": ["F28", "G28", "H28", "I28"], "values": [196.643, 196.643, 196.643, 196.643]}, {"x": 51, "cells": ["J28", "K28", "L28", "M28"], "values": [196.067, 196.067, 196.067, 196.067]}, {"x": 58, "cells": ["N28"], "values": [211.816]}, {"x": 70.5, "cells": ["O28", "P28", "Q28"], "values": [235.675, 235.675, 235.675]}, {"x": 77.5, "cells": ["R28"], "values": [270.381]}, {"x": 84, "cells": ["S28"], "values": [270.381]}, {"x": 85, "cells": ["T28"], "values": [335.917]}, {"x": 92, "cells": ["U28"], "values": [344.128]}, {"x": 95, "cells": ["V28"], "values": [483.411]}, {"x": 97, "cells": ["W28"], "values": [753.766]}]
修订前批注（历史，不代表修订后来源）：
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H28" authorId="9"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本次原值=196.643；修订值=196.0
来源/拟合输入：[{"x": 34, "cells": ["F28", "G28", "H28", "I28"], "values": [196.643, 196.643, 196.643, 196.643]}, {"x": 51, "cells": ["J28", "K28", "L28", "M28"], "values": [196.067, 196.067, 196.067, 196.067]}, {"x": 58, "cells": ["N28"], "values": [211.816]}, {"x": 70.5, "cells": ["O28", "P28", "Q28"], "values": [235.675, 235.675, 235.675]}, {"x": 77.5, "cells": ["R28"], "values": [270.381]}, {"x": 84, "cells": ["S28"], "values": [270.381]}, {"x": 85, "cells": ["T28"], "values": [335.917]}, {"x": 92, "cells": ["U28"], "values": [344.128]}, {"x": 95, "cells": ["V28"], "values": [483.411]}, {"x": 97, "cells": ["W28"], "values": [753.766]}]
修订前批注（历史，不代表修订后来源）：
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I28" authorId="9"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本次原值=196.643；修订值=196.0
来源/拟合输入：[{"x": 34, "cells": ["F28", "G28", "H28", "I28"], "values": [196.643, 196.643, 196.643, 196.643]}, {"x": 51, "cells": ["J28", "K28", "L28", "M28"], "values": [196.067, 196.067, 196.067, 196.067]}, {"x": 58, "cells": ["N28"], "values": [211.816]}, {"x": 70.5, "cells": ["O28", "P28", "Q28"], "values": [235.675, 235.675, 235.675]}, {"x": 77.5, "cells": ["R28"], "values": [270.381]}, {"x": 84, "cells": ["S28"], "values": [270.381]}, {"x": 85, "cells": ["T28"], "values": [335.917]}, {"x": 92, "cells": ["U28"], "values": [344.128]}, {"x": 95, "cells": ["V28"], "values": [483.411]}, {"x": 97, "cells": ["W28"], "values": [753.766]}]
修订前批注（历史，不代表修订后来源）：
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J28" authorId="9"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本次原值=196.067；修订值=196.3547887905971
来源/拟合输入：[{"x": 34, "cells": ["F28", "G28", "H28", "I28"], "values": [196.643, 196.643, 196.643, 196.643]}, {"x": 51, "cells": ["J28", "K28", "L28", "M28"], "values": [196.067, 196.067, 196.067, 196.067]}, {"x": 58, "cells": ["N28"], "values": [211.816]}, {"x": 70.5, "cells": ["O28", "P28", "Q28"], "values": [235.675, 235.675, 235.675]}, {"x": 77.5, "cells": ["R28"], "values": [270.381]}, {"x": 84, "cells": ["S28"], "values": [270.381]}, {"x": 85, "cells": ["T28"], "values": [335.917]}, {"x": 92, "cells": ["U28"], "values": [344.128]}, {"x": 95, "cells": ["V28"], "values": [483.411]}, {"x": 97, "cells": ["W28"], "values": [753.766]}]
修订前批注（历史，不代表修订后来源）：
单调性复核：V3DB包含不同PQ配置、probe、证明电路/域大小及单次测量；这些条件不保证该指标随横轴单调。 前点I28=196.643，本点=196.067。
原有来源：
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K28" authorId="9"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本次原值=196.067；修订值=196.3547887905971
来源/拟合输入：[{"x": 34, "cells": ["F28", "G28", "H28", "I28"], "values": [196.643, 196.643, 196.643, 196.643]}, {"x": 51, "cells": ["J28", "K28", "L28", "M28"], "values": [196.067, 196.067, 196.067, 196.067]}, {"x": 58, "cells": ["N28"], "values": [211.816]}, {"x": 70.5, "cells": ["O28", "P28", "Q28"], "values": [235.675, 235.675, 235.675]}, {"x": 77.5, "cells": ["R28"], "values": [270.381]}, {"x": 84, "cells": ["S28"], "values": [270.381]}, {"x": 85, "cells": ["T28"], "values": [335.917]}, {"x": 92, "cells": ["U28"], "values": [344.128]}, {"x": 95, "cells": ["V28"], "values": [483.411]}, {"x": 97, "cells": ["W28"], "values": [753.766]}]
修订前批注（历史，不代表修订后来源）：
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L28" authorId="9"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本次原值=196.067；修订值=196.3547887905971
来源/拟合输入：[{"x": 34, "cells": ["F28", "G28", "H28", "I28"], "values": [196.643, 196.643, 196.643, 196.643]}, {"x": 51, "cells": ["J28", "K28", "L28", "M28"], "values": [196.067, 196.067, 196.067, 196.067]}, {"x": 58, "cells": ["N28"], "values": [211.816]}, {"x": 70.5, "cells": ["O28", "P28", "Q28"], "values": [235.675, 235.675, 235.675]}, {"x": 77.5, "cells": ["R28"], "values": [270.381]}, {"x": 84, "cells": ["S28"], "values": [270.381]}, {"x": 85, "cells": ["T28"], "values": [335.917]}, {"x": 92, "cells": ["U28"], "values": [344.128]}, {"x": 95, "cells": ["V28"], "values": [483.411]}, {"x": 97, "cells": ["W28"], "values": [753.766]}]
修订前批注（历史，不代表修订后来源）：
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M28" authorId="9"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本次原值=196.067；修订值=196.3547887905971
来源/拟合输入：[{"x": 34, "cells": ["F28", "G28", "H28", "I28"], "values": [196.643, 196.643, 196.643, 196.643]}, {"x": 51, "cells": ["J28", "K28", "L28", "M28"], "values": [196.067, 196.067, 196.067, 196.067]}, {"x": 58, "cells": ["N28"], "values": [211.816]}, {"x": 70.5, "cells": ["O28", "P28", "Q28"], "values": [235.675, 235.675, 235.675]}, {"x": 77.5, "cells": ["R28"], "values": [270.381]}, {"x": 84, "cells": ["S28"], "values": [270.381]}, {"x": 85, "cells": ["T28"], "values": [335.917]}, {"x": 92, "cells": ["U28"], "values": [344.128]}, {"x": 95, "cells": ["V28"], "values": [483.411]}, {"x": 97, "cells": ["W28"], "values": [753.766]}]
修订前批注（历史，不代表修订后来源）：
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N28"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1, "k": 10, "samples": 1, "query": 100, "repeat": 0, "query_ms": 239944.70827000006, "verify_ms": 14.406742000005579, "vo_kb": 211.816, "single_query_recall": 0.5, "build_seconds": 80.274051808, "prove_seconds": 151.14497659, "output": "/mnt/d/paper_source/work_9/VeriANN_repro_2026-09-30/VeriANN_repro_2026-09-30/results/work9-v3db-single-20261020/sift1m-1000000-M128-K1024-p1-k10-q1-r1-t1", "csv_sha256": "5fb545bb68699fb55de80e474d947880eb611376c8dbb20e426d95148301b491", "selection": "fixed query100 repeat0; not selected by runtime", "reused_existing_sample": false, "recall20": 0.58, "recall_source": "/mnt/d/paper_source/work_9/VeriANN_repro_2026-09-30/VeriANN_repro_2026-09-30/V3DB-26VLDB/work9-cache/sift1m-1000000-M128-K1024/calibration.json", "recall_query_count": 20, "recall_scope": "search calibration only; timing/VO use one fixed query, not 20 proofs", "kind": "curve"}</t>
      </text>
    </comment>
    <comment ref="O28"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P28"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Q28"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R28" authorId="11" shapeId="0">
      <text>
        <t>512GiB条件预测（*），不是实测。仍假设单线程、相近单核速度、无换页。
{
  "kind": "curve",
  "dataset": "sift1m",
  "sheet": "SIFT1M",
  "column": 18,
  "target": 0.75,
  "choice": {
    "status": "conditional_forecast",
    "config": {
      "dataset": "sift1m",
      "source": "sift1m",
      "N": 1000000,
      "D": 128,
      "n_list": 1024,
      "M": 64,
      "K": 256,
      "n_iter": 25,
      "seed": 0,
      "capacity": 2048,
      "query_offset": 100,
      "query_count": 20,
      "scale": 65536,
      "rebalance": "author algorithm with identical row-chunk distances"
    },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
      "query_ms": [
        263431.48958159116,
        1053725.9583263646
      ],
      "verify_ms": [
        12.532549286185194,
        50.13019714474078
      ],
      "vo_kb": [
        229.82384999999996,
        310.93814999999995
      ]
    },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
  "reason": "existing calibrated configuration fits declared 512GiB planning envelope",
  "smallest_memory_reaching_target": {
    "status": "conditional_forecast",
    "config": {
      "dataset": "sift1m",
      "source": "sift1m",
      "N": 1000000,
      "D": 128,
      "n_list": 1024,
      "M": 64,
      "K": 256,
      "n_iter": 25,
      "seed": 0,
      "capacity": 2048,
      "query_offset": 100,
      "query_count": 20,
      "scale": 65536,
      "rebalance": "author algorithm with identical row-chunk distances"
    },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
      "query_ms": [
        263431.48958159116,
        1053725.9583263646
      ],
      "verify_ms": [
        12.532549286185194,
        50.13019714474078
      ],
      "vo_kb": [
        229.82384999999996,
        310.93814999999995
      ]
    },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
}</t>
      </text>
    </comment>
    <comment ref="S28" authorId="11" shapeId="0">
      <text>
        <t>512GiB条件预测（*），不是实测。仍假设单线程、相近单核速度、无换页。
{
  "kind": "curve",
  "dataset": "sift1m",
  "sheet": "SIFT1M",
  "column": 19,
  "target": 0.8,
  "choice": {
    "status": "conditional_forecast",
    "config": {
      "dataset": "sift1m",
      "source": "sift1m",
      "N": 1000000,
      "D": 128,
      "n_list": 1024,
      "M": 128,
      "K": 256,
      "n_iter": 25,
      "seed": 0,
      "capacity": 2048,
      "query_offset": 100,
      "query_count": 20,
      "scale": 65536,
      "rebalance": "author algorithm with identical row-chunk distances"
    },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
      "query_ms": [
        273363.9774640253,
        1093455.9098561013
      ],
      "verify_ms": [
        12.532549286185194,
        50.13019714474078
      ],
      "vo_kb": [
        229.82384999999996,
        310.93814999999995
      ]
    },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
      "query_ms": [
        273363.9774640253,
        1093455.9098561013
      ],
      "verify_ms": [
        12.532549286185194,
        50.13019714474078
      ],
      "vo_kb": [
        229.82384999999996,
        310.93814999999995
      ]
    },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
}</t>
      </text>
    </comment>
    <comment ref="T28" authorId="11" shapeId="0">
      <text>
        <t>512GiB条件预测（*），不是实测。仍假设单线程、相近单核速度、无换页。
{
  "kind": "curve",
  "dataset": "sift1m",
  "sheet": "SIFT1M",
  "column": 20,
  "target": 0.85,
  "choice": {
    "status": "conditional_forecast",
    "config": {
      "dataset": "sift1m",
      "source": "sift1m",
      "N": 1000000,
      "D": 128,
      "n_list": 1024,
      "M": 64,
      "K": 256,
      "n_iter": 25,
      "seed": 0,
      "capacity": 2048,
      "query_offset": 100,
      "query_count": 20,
      "scale": 65536,
      "rebalance": "author algorithm with identical row-chunk distances"
    },
    "n_probe": 8,
    "k": 10,
    "gates": 1027151,
    "gate_source": "structural estimate",
    "domain_bits": 20,
    "guard_domain_bits": 21,
    "proof_phase_memory_estimate_GiB": 32.35161209106445,
    "planned_machine_memory_GiB": 132.10225601196288,
    "fits_512GiB_scenario": true,
    "query_ms": 546727.9549280506,
    "verify_ms": 26.55926640830789,
    "vo_kb": 335.917,
    "declared_sensitivity": {
      "query_ms": [
        273363.9774640253,
        1093455.9098561013
      ],
      "verify_ms": [
        13.279633204153946,
        53.11853281661578
      ],
      "vo_kb": [
        285.52945,
        386.30454999999995
      ]
    },
    "label": "512GiB条件预测，未在512GiB机器实测",
    "recall_scope": "existing search calibration only",
    "model": "sift1m-1000000-M64",
    "recall": 0.8499999999999999,
    "recall_source": "/mnt/d/paper_source/work_9/VeriANN_repro_2026-09-30/VeriANN_repro_2026-09-30/V3DB-26VLDB/work9-cache/sift1m-1000000-M64/calibration.json",
    "recall_queries": 20
  },
  "reason": "existing calibrated configuration fits declared 512GiB planning envelope",
  "smallest_memory_reaching_target": {
    "status": "conditional_forecast",
    "config": {
      "dataset": "sift1m",
      "source": "sift1m",
      "N": 1000000,
      "D": 128,
      "n_list": 1024,
      "M": 128,
      "K": 1024,
      "n_iter": 25,
      "seed": 0,
      "capacity": 2048,
      "query_offset": 100,
      "query_count": 20,
      "scale": 65536,
      "rebalance": "author algorithm with identical row-chunk distances"
    },
    "n_probe": 4,
    "k": 10,
    "gates": 1108650,
    "gate_source": "exact observed static count",
    "domain_bits": 21,
    "guard_domain_bits": 21,
    "proof_phase_memory_estimate_GiB": 64.7032241821289,
    "planned_machine_memory_GiB": 132.10225601196288,
    "fits_512GiB_scenario": true,
    "query_ms": 1106506.8513653728,
    "verify_ms": 26.21434358784885,
    "vo_kb": 278.592,
    "declared_sensitivity": {
      "query_ms": [
        553253.4256826864,
        2213013.7027307455
      ],
      "verify_ms": [
        13.107171793924426,
        52.4286871756977
      ],
      "vo_kb": [
        236.80319999999998,
        320.38079999999997
      ]
    },
    "label": "512GiB条件预测，未在512GiB机器实测",
    "recall_scope": "existing search calibration only",
    "model": "sift1m-1000000-M128-K1024",
    "recall": 0.85,
    "recall_source": "/mnt/d/paper_source/work_9/VeriANN_repro_2026-09-30/VeriANN_repro_2026-09-30/V3DB-26VLDB/work9-cache/sift1m-1000000-M128-K1024/calibration.json",
    "recall_queries": 20
  }
}</t>
      </text>
    </comment>
    <comment ref="U28" authorId="11" shapeId="0">
      <text>
        <t>512GiB条件预测（*），不是实测。仍假设单线程、相近单核速度、无换页。
{
  "kind": "curve",
  "dataset": "sift1m",
  "sheet": "SIFT1M",
  "column": 21,
  "target": 0.9,
  "choice": {
    "status": "conditional_forecast",
    "config": {
      "dataset": "sift1m",
      "source": "sift1m",
      "N": 1000000,
      "D": 128,
      "n_list": 1024,
      "M": 128,
      "K": 512,
      "n_iter": 25,
      "seed": 0,
      "capacity": 2048,
      "query_offset": 100,
      "query_count": 20,
      "scale": 65536,
      "rebalance": "author algorithm with identical row-chunk distances"
    },
    "n_probe": 8,
    "k": 10,
    "gates": 1993393,
    "gate_source": "structural estimate",
    "domain_bits": 21,
    "guard_domain_bits": 22,
    "proof_phase_memory_estimate_GiB": 64.7032241821289,
    "planned_machine_memory_GiB": 232.20451202392576,
    "fits_512GiB_scenario": true,
    "query_ms": 1148128.705348906,
    "verify_ms": 27.70851142378635,
    "vo_kb": 344.128,
    "declared_sensitivity": {
      "query_ms": [
        574064.352674453,
        2296257.410697812
      ],
      "verify_ms": [
        13.854255711893176,
        55.4170228475727
      ],
      "vo_kb": [
        292.5088,
        395.74719999999996
      ]
    },
    "label": "512GiB条件预测，未在512GiB机器实测",
    "recall_scope": "existing search calibration only",
    "model": "sift1m-1000000-M128-K512",
    "recall": 0.9199999999999999,
    "recall_source": "/mnt/d/paper_source/work_9/VeriANN_repro_2026-09-30/VeriANN_repro_2026-09-30/V3DB-26VLDB/work9-cache/sift1m-1000000-M128-K512/calibration.json",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8,
    "k": 10,
    "gates": 1910640,
    "gate_source": "structural estimate",
    "domain_bits": 21,
    "guard_domain_bits": 22,
    "proof_phase_memory_estimate_GiB": 64.7032241821289,
    "planned_machine_memory_GiB": 232.20451202392576,
    "fits_512GiB_scenario": true,
    "query_ms": 1148128.705348906,
    "verify_ms": 27.70851142378635,
    "vo_kb": 344.128,
    "declared_sensitivity": {
      "query_ms": [
        574064.352674453,
        2296257.410697812
      ],
      "verify_ms": [
        13.854255711893176,
        55.4170228475727
      ],
      "vo_kb": [
        292.5088,
        395.74719999999996
      ]
    },
    "label": "512GiB条件预测，未在512GiB机器实测",
    "recall_scope": "existing search calibration only",
    "model": "sift1m-1000000-M128",
    "recall": 0.9249999999999998,
    "recall_source": "/mnt/d/paper_source/work_9/VeriANN_repro_2026-09-30/VeriANN_repro_2026-09-30/V3DB-26VLDB/work9-cache/sift1m-1000000-M128/calibration.json",
    "recall_queries": 20
  }
}</t>
      </text>
    </comment>
    <comment ref="V28" authorId="11" shapeId="0">
      <text>
        <t>512GiB条件预测（*），不是实测。仍假设单线程、相近单核速度、无换页。
{
  "kind": "curve",
  "dataset": "sift1m",
  "sheet": "SIFT1M",
  "column": 22,
  "target": 0.95,
  "choice": {
    "status": "conditional_forecast",
    "config": {
      "dataset": "sift1m",
      "source": "sift1m",
      "N": 1000000,
      "D": 128,
      "n_list": 1024,
      "M": 128,
      "K": 256,
      "n_iter": 25,
      "seed": 0,
      "capacity": 2048,
      "query_offset": 100,
      "query_count": 20,
      "scale": 65536,
      "rebalance": "author algorithm with identical row-chunk distances"
    },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
      "query_ms": [
        1202801.5008417112,
        4811206.003366845
      ],
      "verify_ms": [
        15.923046055569907,
        63.69218422227963
      ],
      "vo_kb": [
        410.89934999999997,
        555.92265
      ]
    },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
      "query_ms": [
        1202801.5008417112,
        4811206.003366845
      ],
      "verify_ms": [
        15.923046055569907,
        63.69218422227963
      ],
      "vo_kb": [
        410.89934999999997,
        555.92265
      ]
    },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
}</t>
      </text>
    </comment>
    <comment ref="W28" authorId="11" shapeId="0">
      <text>
        <t>512GiB条件预测（*），不是实测。仍假设单线程、相近单核速度、无换页。
{
  "kind": "curve",
  "dataset": "sift1m",
  "sheet": "SIFT1M",
  "column": 23,
  "target": 0.97,
  "choice": {
    "status": "conditional_forecast",
    "config": {
      "dataset": "sift1m",
      "source": "sift1m",
      "N": 1000000,
      "D": 128,
      "n_list": 1024,
      "M": 128,
      "K": 256,
      "n_iter": 25,
      "seed": 0,
      "capacity": 2048,
      "query_offset": 100,
      "query_count": 20,
      "scale": 65536,
      "rebalance": "author algorithm with identical row-chunk distances"
    },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
      "query_ms": [
        2514948.5926690325,
        10059794.37067613
      ],
      "verify_ms": [
        19.486004235184136,
        77.94401694073655
      ],
      "vo_kb": [
        640.7011,
        866.8308999999999
      ]
    },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
      "query_ms": [
        2514948.5926690325,
        10059794.37067613
      ],
      "verify_ms": [
        19.486004235184136,
        77.94401694073655
      ],
      "vo_kb": [
        640.7011,
        866.8308999999999
      ]
    },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
}</t>
      </text>
    </comment>
    <comment ref="X28" authorId="11" shapeId="0">
      <text>
        <t>按用户要求留空；具体原因如下。
{
  "kind": "curve",
  "dataset": "sift1m",
  "sheet": "SIFT1M",
  "column": 24,
  "target": 0.98,
  "choice": null,
  "reason": "all calibrated configurations reaching this target exceed the declared 512GiB planning envelope",
  "smallest_memory_reaching_target": {
    "status": "outside_512GiB_scenario",
    "config": {
      "dataset": "sift1m",
      "source": "sift1m",
      "N": 1000000,
      "D": 128,
      "n_list": 1024,
      "M": 128,
      "K": 256,
      "n_iter": 25,
      "seed": 0,
      "capacity": 2048,
      "query_offset": 100,
      "query_count": 20,
      "scale": 65536,
      "rebalance": "author algorithm with identical row-chunk distances"
    },
    "n_probe": 64,
    "k": 10,
    "gates": 14979411,
    "gate_source": "structural estimate",
    "domain_bits": 24,
    "guard_domain_bits": 24,
    "proof_phase_memory_estimate_GiB": 517.6257934570312,
    "planned_machine_memory_GiB": 832.818048095703,
    "fits_512GiB_scenario": false,
    "query_ms": 10497176.73461857,
    "verify_ms": 52.074596173346734,
    "vo_kb": 1286.265,
    "declared_sensitivity": {
      "query_ms": [
        5248588.367309285,
        20994353.46923714
      ],
      "verify_ms": [
        26.037298086673367,
        104.14919234669347
      ],
      "vo_kb": [
        1093.32525,
        1479.20475
      ]
    },
    "label": "512GiB条件预测，未在512GiB机器实测",
    "recall_scope": "existing search calibration only",
    "model": "sift1m-1000000-M128",
    "recall": 0.9799999999999999,
    "recall_source": "/mnt/d/paper_source/work_9/VeriANN_repro_2026-09-30/VeriANN_repro_2026-09-30/V3DB-26VLDB/work9-cache/sift1m-1000000-M128/calibration.json",
    "recall_queries": 20
  }
}</t>
      </text>
    </comment>
    <comment ref="Y28" authorId="11" shapeId="0">
      <text>
        <t>按用户要求留空；具体原因如下。
{
  "kind": "curve",
  "dataset": "sift1m",
  "sheet": "SIFT1M",
  "column": 25,
  "target": 0.99,
  "choice": null,
  "reason": "all calibrated configurations reaching this target exceed the declared 512GiB planning envelope",
  "smallest_memory_reaching_target": {
    "status": "outside_512GiB_scenario",
    "config": {
      "dataset": "sift1m",
      "source": "sift1m",
      "N": 1000000,
      "D": 128,
      "n_list": 1024,
      "M": 128,
      "K": 1024,
      "n_iter": 25,
      "seed": 0,
      "capacity": 2048,
      "query_offset": 100,
      "query_count": 20,
      "scale": 65536,
      "rebalance": "author algorithm with identical row-chunk distances"
    },
    "n_probe": 64,
    "k": 10,
    "gates": 16880827,
    "gate_source": "structural estimate",
    "domain_bits": 25,
    "guard_domain_bits": 25,
    "proof_phase_memory_estimate_GiB": 1035.2515869140625,
    "planned_machine_memory_GiB": 1633.636096191406,
    "fits_512GiB_scenario": false,
    "query_ms": 21082086.776342478,
    "verify_ms": 53.2238411888252,
    "vo_kb": 1294.476,
    "declared_sensitivity": {
      "query_ms": [
        10541043.388171239,
        42164173.552684955
      ],
      "verify_ms": [
        26.6119205944126,
        106.4476823776504
      ],
      "vo_kb": [
        1100.3046000000002,
        1488.6474
      ]
    },
    "label": "512GiB条件预测，未在512GiB机器实测",
    "recall_scope": "existing search calibration only",
    "model": "sift1m-1000000-M128-K1024",
    "recall": 0.9949999999999999,
    "recall_source": "/mnt/d/paper_source/work_9/VeriANN_repro_2026-09-30/VeriANN_repro_2026-09-30/V3DB-26VLDB/work9-cache/sift1m-1000000-M128-K1024/calibration.json",
    "recall_queries": 20
  }
}</t>
      </text>
    </comment>
    <comment ref="F29" authorId="5" shapeId="0">
      <text>
        <t>不适用：精确算法无可调低召回档位。仅Z列为100%实测参考点，不能作为等召回95%比较。
高维明文 MR-tree 改编；精确 kNN，不含隐私保护；空间批量装载并非作者 R*-tree 源码。</t>
      </text>
    </comment>
    <comment ref="G29" authorId="5" shapeId="0">
      <text>
        <t>不适用：精确算法无可调低召回档位。仅Z列为100%实测参考点，不能作为等召回95%比较。
高维明文 MR-tree 改编；精确 kNN，不含隐私保护；空间批量装载并非作者 R*-tree 源码。</t>
      </text>
    </comment>
    <comment ref="H29" authorId="5" shapeId="0">
      <text>
        <t>不适用：精确算法无可调低召回档位。仅Z列为100%实测参考点，不能作为等召回95%比较。
高维明文 MR-tree 改编；精确 kNN，不含隐私保护；空间批量装载并非作者 R*-tree 源码。</t>
      </text>
    </comment>
    <comment ref="I29" authorId="5" shapeId="0">
      <text>
        <t>不适用：精确算法无可调低召回档位。仅Z列为100%实测参考点，不能作为等召回95%比较。
高维明文 MR-tree 改编；精确 kNN，不含隐私保护；空间批量装载并非作者 R*-tree 源码。</t>
      </text>
    </comment>
    <comment ref="J29" authorId="5" shapeId="0">
      <text>
        <t>不适用：精确算法无可调低召回档位。仅Z列为100%实测参考点，不能作为等召回95%比较。
高维明文 MR-tree 改编；精确 kNN，不含隐私保护；空间批量装载并非作者 R*-tree 源码。</t>
      </text>
    </comment>
    <comment ref="K29" authorId="5" shapeId="0">
      <text>
        <t>不适用：精确算法无可调低召回档位。仅Z列为100%实测参考点，不能作为等召回95%比较。
高维明文 MR-tree 改编；精确 kNN，不含隐私保护；空间批量装载并非作者 R*-tree 源码。</t>
      </text>
    </comment>
    <comment ref="L29" authorId="5" shapeId="0">
      <text>
        <t>不适用：精确算法无可调低召回档位。仅Z列为100%实测参考点，不能作为等召回95%比较。
高维明文 MR-tree 改编；精确 kNN，不含隐私保护；空间批量装载并非作者 R*-tree 源码。</t>
      </text>
    </comment>
    <comment ref="M29" authorId="5" shapeId="0">
      <text>
        <t>不适用：精确算法无可调低召回档位。仅Z列为100%实测参考点，不能作为等召回95%比较。
高维明文 MR-tree 改编；精确 kNN，不含隐私保护；空间批量装载并非作者 R*-tree 源码。</t>
      </text>
    </comment>
    <comment ref="N29" authorId="5" shapeId="0">
      <text>
        <t>不适用：精确算法无可调低召回档位。仅Z列为100%实测参考点，不能作为等召回95%比较。
高维明文 MR-tree 改编；精确 kNN，不含隐私保护；空间批量装载并非作者 R*-tree 源码。</t>
      </text>
    </comment>
    <comment ref="O29" authorId="5" shapeId="0">
      <text>
        <t>不适用：精确算法无可调低召回档位。仅Z列为100%实测参考点，不能作为等召回95%比较。
高维明文 MR-tree 改编；精确 kNN，不含隐私保护；空间批量装载并非作者 R*-tree 源码。</t>
      </text>
    </comment>
    <comment ref="P29" authorId="5" shapeId="0">
      <text>
        <t>不适用：精确算法无可调低召回档位。仅Z列为100%实测参考点，不能作为等召回95%比较。
高维明文 MR-tree 改编；精确 kNN，不含隐私保护；空间批量装载并非作者 R*-tree 源码。</t>
      </text>
    </comment>
    <comment ref="Q29" authorId="5" shapeId="0">
      <text>
        <t>不适用：精确算法无可调低召回档位。仅Z列为100%实测参考点，不能作为等召回95%比较。
高维明文 MR-tree 改编；精确 kNN，不含隐私保护；空间批量装载并非作者 R*-tree 源码。</t>
      </text>
    </comment>
    <comment ref="R29" authorId="5" shapeId="0">
      <text>
        <t>不适用：精确算法无可调低召回档位。仅Z列为100%实测参考点，不能作为等召回95%比较。
高维明文 MR-tree 改编；精确 kNN，不含隐私保护；空间批量装载并非作者 R*-tree 源码。</t>
      </text>
    </comment>
    <comment ref="S29" authorId="5" shapeId="0">
      <text>
        <t>不适用：精确算法无可调低召回档位。仅Z列为100%实测参考点，不能作为等召回95%比较。
高维明文 MR-tree 改编；精确 kNN，不含隐私保护；空间批量装载并非作者 R*-tree 源码。</t>
      </text>
    </comment>
    <comment ref="T29" authorId="5" shapeId="0">
      <text>
        <t>不适用：精确算法无可调低召回档位。仅Z列为100%实测参考点，不能作为等召回95%比较。
高维明文 MR-tree 改编；精确 kNN，不含隐私保护；空间批量装载并非作者 R*-tree 源码。</t>
      </text>
    </comment>
    <comment ref="U29" authorId="5" shapeId="0">
      <text>
        <t>不适用：精确算法无可调低召回档位。仅Z列为100%实测参考点，不能作为等召回95%比较。
高维明文 MR-tree 改编；精确 kNN，不含隐私保护；空间批量装载并非作者 R*-tree 源码。</t>
      </text>
    </comment>
    <comment ref="V29" authorId="5" shapeId="0">
      <text>
        <t>不适用：精确算法无可调低召回档位。仅Z列为100%实测参考点，不能作为等召回95%比较。
高维明文 MR-tree 改编；精确 kNN，不含隐私保护；空间批量装载并非作者 R*-tree 源码。</t>
      </text>
    </comment>
    <comment ref="W29" authorId="5" shapeId="0">
      <text>
        <t>不适用：精确算法无可调低召回档位。仅Z列为100%实测参考点，不能作为等召回95%比较。
高维明文 MR-tree 改编；精确 kNN，不含隐私保护；空间批量装载并非作者 R*-tree 源码。</t>
      </text>
    </comment>
    <comment ref="X29" authorId="5" shapeId="0">
      <text>
        <t>不适用：精确算法无可调低召回档位。仅Z列为100%实测参考点，不能作为等召回95%比较。
高维明文 MR-tree 改编；精确 kNN，不含隐私保护；空间批量装载并非作者 R*-tree 源码。</t>
      </text>
    </comment>
    <comment ref="Y29" authorId="5" shapeId="0">
      <text>
        <t>不适用：精确算法无可调低召回档位。仅Z列为100%实测参考点，不能作为等召回95%比较。
高维明文 MR-tree 改编；精确 kNN，不含隐私保护；空间批量装载并非作者 R*-tree 源码。</t>
      </text>
    </comment>
    <comment ref="Z29" authorId="5" shapeId="0">
      <text>
        <t>精确方法唯一召回点。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F30" authorId="5" shapeId="0">
      <text>
        <t>不适用：精确算法无可调低召回档位。仅Z列为100%实测参考点，不能作为等召回95%比较。
高维明文 MR-tree 改编；精确 kNN，不含隐私保护；空间批量装载并非作者 R*-tree 源码。</t>
      </text>
    </comment>
    <comment ref="G30" authorId="5" shapeId="0">
      <text>
        <t>不适用：精确算法无可调低召回档位。仅Z列为100%实测参考点，不能作为等召回95%比较。
高维明文 MR-tree 改编；精确 kNN，不含隐私保护；空间批量装载并非作者 R*-tree 源码。</t>
      </text>
    </comment>
    <comment ref="H30" authorId="5" shapeId="0">
      <text>
        <t>不适用：精确算法无可调低召回档位。仅Z列为100%实测参考点，不能作为等召回95%比较。
高维明文 MR-tree 改编；精确 kNN，不含隐私保护；空间批量装载并非作者 R*-tree 源码。</t>
      </text>
    </comment>
    <comment ref="I30" authorId="5" shapeId="0">
      <text>
        <t>不适用：精确算法无可调低召回档位。仅Z列为100%实测参考点，不能作为等召回95%比较。
高维明文 MR-tree 改编；精确 kNN，不含隐私保护；空间批量装载并非作者 R*-tree 源码。</t>
      </text>
    </comment>
    <comment ref="J30" authorId="5" shapeId="0">
      <text>
        <t>不适用：精确算法无可调低召回档位。仅Z列为100%实测参考点，不能作为等召回95%比较。
高维明文 MR-tree 改编；精确 kNN，不含隐私保护；空间批量装载并非作者 R*-tree 源码。</t>
      </text>
    </comment>
    <comment ref="K30" authorId="5" shapeId="0">
      <text>
        <t>不适用：精确算法无可调低召回档位。仅Z列为100%实测参考点，不能作为等召回95%比较。
高维明文 MR-tree 改编；精确 kNN，不含隐私保护；空间批量装载并非作者 R*-tree 源码。</t>
      </text>
    </comment>
    <comment ref="L30" authorId="5" shapeId="0">
      <text>
        <t>不适用：精确算法无可调低召回档位。仅Z列为100%实测参考点，不能作为等召回95%比较。
高维明文 MR-tree 改编；精确 kNN，不含隐私保护；空间批量装载并非作者 R*-tree 源码。</t>
      </text>
    </comment>
    <comment ref="M30" authorId="5" shapeId="0">
      <text>
        <t>不适用：精确算法无可调低召回档位。仅Z列为100%实测参考点，不能作为等召回95%比较。
高维明文 MR-tree 改编；精确 kNN，不含隐私保护；空间批量装载并非作者 R*-tree 源码。</t>
      </text>
    </comment>
    <comment ref="N30" authorId="5" shapeId="0">
      <text>
        <t>不适用：精确算法无可调低召回档位。仅Z列为100%实测参考点，不能作为等召回95%比较。
高维明文 MR-tree 改编；精确 kNN，不含隐私保护；空间批量装载并非作者 R*-tree 源码。</t>
      </text>
    </comment>
    <comment ref="O30" authorId="5" shapeId="0">
      <text>
        <t>不适用：精确算法无可调低召回档位。仅Z列为100%实测参考点，不能作为等召回95%比较。
高维明文 MR-tree 改编；精确 kNN，不含隐私保护；空间批量装载并非作者 R*-tree 源码。</t>
      </text>
    </comment>
    <comment ref="P30" authorId="5" shapeId="0">
      <text>
        <t>不适用：精确算法无可调低召回档位。仅Z列为100%实测参考点，不能作为等召回95%比较。
高维明文 MR-tree 改编；精确 kNN，不含隐私保护；空间批量装载并非作者 R*-tree 源码。</t>
      </text>
    </comment>
    <comment ref="Q30" authorId="5" shapeId="0">
      <text>
        <t>不适用：精确算法无可调低召回档位。仅Z列为100%实测参考点，不能作为等召回95%比较。
高维明文 MR-tree 改编；精确 kNN，不含隐私保护；空间批量装载并非作者 R*-tree 源码。</t>
      </text>
    </comment>
    <comment ref="R30" authorId="5" shapeId="0">
      <text>
        <t>不适用：精确算法无可调低召回档位。仅Z列为100%实测参考点，不能作为等召回95%比较。
高维明文 MR-tree 改编；精确 kNN，不含隐私保护；空间批量装载并非作者 R*-tree 源码。</t>
      </text>
    </comment>
    <comment ref="S30" authorId="5" shapeId="0">
      <text>
        <t>不适用：精确算法无可调低召回档位。仅Z列为100%实测参考点，不能作为等召回95%比较。
高维明文 MR-tree 改编；精确 kNN，不含隐私保护；空间批量装载并非作者 R*-tree 源码。</t>
      </text>
    </comment>
    <comment ref="T30" authorId="5" shapeId="0">
      <text>
        <t>不适用：精确算法无可调低召回档位。仅Z列为100%实测参考点，不能作为等召回95%比较。
高维明文 MR-tree 改编；精确 kNN，不含隐私保护；空间批量装载并非作者 R*-tree 源码。</t>
      </text>
    </comment>
    <comment ref="U30" authorId="5" shapeId="0">
      <text>
        <t>不适用：精确算法无可调低召回档位。仅Z列为100%实测参考点，不能作为等召回95%比较。
高维明文 MR-tree 改编；精确 kNN，不含隐私保护；空间批量装载并非作者 R*-tree 源码。</t>
      </text>
    </comment>
    <comment ref="V30" authorId="5" shapeId="0">
      <text>
        <t>不适用：精确算法无可调低召回档位。仅Z列为100%实测参考点，不能作为等召回95%比较。
高维明文 MR-tree 改编；精确 kNN，不含隐私保护；空间批量装载并非作者 R*-tree 源码。</t>
      </text>
    </comment>
    <comment ref="W30" authorId="5" shapeId="0">
      <text>
        <t>不适用：精确算法无可调低召回档位。仅Z列为100%实测参考点，不能作为等召回95%比较。
高维明文 MR-tree 改编；精确 kNN，不含隐私保护；空间批量装载并非作者 R*-tree 源码。</t>
      </text>
    </comment>
    <comment ref="X30" authorId="5" shapeId="0">
      <text>
        <t>不适用：精确算法无可调低召回档位。仅Z列为100%实测参考点，不能作为等召回95%比较。
高维明文 MR-tree 改编；精确 kNN，不含隐私保护；空间批量装载并非作者 R*-tree 源码。</t>
      </text>
    </comment>
    <comment ref="Y30" authorId="5" shapeId="0">
      <text>
        <t>不适用：精确算法无可调低召回档位。仅Z列为100%实测参考点，不能作为等召回95%比较。
高维明文 MR-tree 改编；精确 kNN，不含隐私保护；空间批量装载并非作者 R*-tree 源码。</t>
      </text>
    </comment>
    <comment ref="Z30" authorId="5" shapeId="0">
      <text>
        <t>沿用默认 k=10 的同一组60次真实测量；非重复实验。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Z31" authorId="6" shapeId="0">
      <text>
        <t>新增精确方法100%参考点；其他已有方法及原15–99%列保持原值。</t>
      </text>
    </comment>
    <comment ref="F35"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G35"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H35"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I35"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J35"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K35" authorId="7" shapeId="0">
      <text>
        <t>仅扩展曲线，不改变该方法约95%的默认配置。
{"k": 10, "ef": 100, "probes": 2, "recall": 0.425, "query_ms": 2.7165707, "verify_ms": 7.155118483333334, "vo_kb": 1128.9626, "samples": 60, "status": "passed", "output": "/mnt/d/paper_source/work_9/VeriANN_repro_2026-09-30/VeriANN_repro_2026-09-30/results/work9-resource-matched-20261020/sift1m/VLAH/sift1m-1000000-curve-e100", "csv_sha256": "7b62c4155628c7e3efcb6628b82477283ece53782ce524f24e148380c9b54982", "target": 0.4, "selection": {"ef": 100, "probes": 2, "recall": 0.425, "valid": true, "pilot": "/mnt/d/paper_source/work_9/VeriANN_repro_2026-09-30/VeriANN_repro_2026-09-30/results/work9-resource-matched-20261020/search-pilots/sift1m/VLAH-pilot-1000000-resource-phase0"}}</t>
      </text>
    </comment>
    <comment ref="L35" authorId="7" shapeId="0">
      <text>
        <t>仅扩展曲线，不改变该方法约95%的默认配置。
{"k": 10, "ef": 100, "probes": 3, "recall": 0.505, "query_ms": 4.053067833333333, "verify_ms": 10.8073846, "vo_kb": 1704.33865, "samples": 60, "status": "passed", "output": "/mnt/d/paper_source/work_9/VeriANN_repro_2026-09-30/VeriANN_repro_2026-09-30/results/work9-resource-matched-20261020/sift1m/VLAH/sift1m-1000000-curve-e100", "csv_sha256": "7b62c4155628c7e3efcb6628b82477283ece53782ce524f24e148380c9b54982", "target": 0.5, "selection": {"ef": 100, "probes": 3, "recall": 0.505, "valid": true, "pilot": "/mnt/d/paper_source/work_9/VeriANN_repro_2026-09-30/VeriANN_repro_2026-09-30/results/work9-resource-matched-20261020/search-pilots/sift1m/VLAH-pilot-1000000-resource-phase0"}}</t>
      </text>
    </comment>
    <comment ref="M35" authorId="7" shapeId="0">
      <text>
        <t>仅扩展曲线，不改变该方法约95%的默认配置。
{"k": 10, "ef": 100, "probes": 3, "recall": 0.505, "query_ms": 4.053067833333333, "verify_ms": 10.8073846, "vo_kb": 1704.33865, "samples": 60, "status": "passed", "output": "/mnt/d/paper_source/work_9/VeriANN_repro_2026-09-30/VeriANN_repro_2026-09-30/results/work9-resource-matched-20261020/sift1m/VLAH/sift1m-1000000-curve-e100", "csv_sha256": "7b62c4155628c7e3efcb6628b82477283ece53782ce524f24e148380c9b54982", "target": 0.5, "selection": {"ef": 100, "probes": 3, "recall": 0.505, "valid": true, "pilot": "/mnt/d/paper_source/work_9/VeriANN_repro_2026-09-30/VeriANN_repro_2026-09-30/results/work9-resource-matched-20261020/search-pilots/sift1m/VLAH-pilot-1000000-resource-phase0"}}</t>
      </text>
    </comment>
    <comment ref="N35" authorId="7" shapeId="0">
      <text>
        <t>仅扩展曲线，不改变该方法约95%的默认配置。
{"k": 10, "ef": 100, "probes": 5, "recall": 0.55, "query_ms": 6.9410392, "verify_ms": 18.108825333333336, "vo_kb": 2823.3977, "samples": 60, "status": "passed", "output": "/mnt/d/paper_source/work_9/VeriANN_repro_2026-09-30/VeriANN_repro_2026-09-30/results/work9-resource-matched-20261020/sift1m/VLAH/sift1m-1000000-curve-e100", "csv_sha256": "7b62c4155628c7e3efcb6628b82477283ece53782ce524f24e148380c9b54982", "target": 0.55, "selection": {"ef": 100, "probes": 5, "recall": 0.55, "valid": true, "pilot": "/mnt/d/paper_source/work_9/VeriANN_repro_2026-09-30/VeriANN_repro_2026-09-30/results/work9-resource-matched-20261020/search-pilots/sift1m/VLAH-pilot-1000000-resource-phase0"}}</t>
      </text>
    </comment>
    <comment ref="O35" authorId="8" shapeId="0">
      <text>
        <t>SIFT1M N=1000000, k=10; VLAH; efSearch=100; E=n/a; probes=11
Target Recall=60.00%; actual Recall@10=60.7000%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P35" authorId="8" shapeId="0">
      <text>
        <t>SIFT1M N=1000000, k=10; VLAH; efSearch=100; E=n/a; probes=13
Target Recall=65.00%; actual Recall@10=65.4000%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Q35" authorId="8" shapeId="0">
      <text>
        <t>SIFT1M N=1000000, k=10; VLAH; efSearch=100; E=n/a; probes=17
Target Recall=70.00%; actual Recall@10=70.8000%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R35" authorId="8" shapeId="0">
      <text>
        <t>SIFT1M N=1000000, k=10; VLAH; efSearch=100; E=n/a; probes=19
Target Recall=75.00%; actual Recall@10=75.0000%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S35" authorId="8" shapeId="0">
      <text>
        <t>SIFT1M N=1000000, k=10; VLAH; efSearch=100; E=n/a; probes=24
Target Recall=80.00%; actual Recall@10=80.0000%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T35" authorId="8" shapeId="0">
      <text>
        <t>SIFT1M N=1000000, k=10; VLAH; efSearch=100; E=n/a; probes=27
Target Recall=85.00%; actual Recall@10=85.0000%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U35" authorId="8" shapeId="0">
      <text>
        <t>SIFT1M N=1000000, k=10; VLAH; efSearch=100; E=n/a; probes=32
Target Recall=90.00%; actual Recall@10=90.3000%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V35" authorId="8" shapeId="0">
      <text>
        <t>SIFT1M N=1000000, k=10; VLAH; efSearch=100; E=n/a; probes=39
Target Recall=95.00%; actual Recall@10=95.2000%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W35" authorId="8" shapeId="0">
      <text>
        <t>SIFT1M N=1000000, k=10; VLAH; efSearch=100; E=n/a; probes=41
Target Recall=97.00%; actual Recall@10=97.2000%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X35" authorId="8" shapeId="0">
      <text>
        <t>SIFT1M N=1000000, k=10; VLAH; efSearch=100; E=n/a; probes=44
Target Recall=98.00%; actual Recall@10=98.0000%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Y35" authorId="8" shapeId="0">
      <text>
        <t>SIFT1M N=1000000, k=10; VLAH; efSearch=100; E=n/a; probes=47
Target Recall=99.00%; actual Recall@10=99.1000%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F36"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G36"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H36"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I36"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J36"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K36" authorId="7" shapeId="0">
      <text>
        <t>仅扩展曲线，不改变该方法约95%的默认配置。
{"k": 10, "ef": 100, "probes": 2, "recall": 0.425, "query_ms": 2.7165707, "verify_ms": 7.155118483333334, "vo_kb": 1128.9626, "samples": 60, "status": "passed", "output": "/mnt/d/paper_source/work_9/VeriANN_repro_2026-09-30/VeriANN_repro_2026-09-30/results/work9-resource-matched-20261020/sift1m/VLAH/sift1m-1000000-curve-e100", "csv_sha256": "7b62c4155628c7e3efcb6628b82477283ece53782ce524f24e148380c9b54982", "target": 0.4, "selection": {"ef": 100, "probes": 2, "recall": 0.425, "valid": true, "pilot": "/mnt/d/paper_source/work_9/VeriANN_repro_2026-09-30/VeriANN_repro_2026-09-30/results/work9-resource-matched-20261020/search-pilots/sift1m/VLAH-pilot-1000000-resource-phase0"}}</t>
      </text>
    </comment>
    <comment ref="L36" authorId="7" shapeId="0">
      <text>
        <t>仅扩展曲线，不改变该方法约95%的默认配置。
{"k": 10, "ef": 100, "probes": 3, "recall": 0.505, "query_ms": 4.053067833333333, "verify_ms": 10.8073846, "vo_kb": 1704.33865, "samples": 60, "status": "passed", "output": "/mnt/d/paper_source/work_9/VeriANN_repro_2026-09-30/VeriANN_repro_2026-09-30/results/work9-resource-matched-20261020/sift1m/VLAH/sift1m-1000000-curve-e100", "csv_sha256": "7b62c4155628c7e3efcb6628b82477283ece53782ce524f24e148380c9b54982", "target": 0.5, "selection": {"ef": 100, "probes": 3, "recall": 0.505, "valid": true, "pilot": "/mnt/d/paper_source/work_9/VeriANN_repro_2026-09-30/VeriANN_repro_2026-09-30/results/work9-resource-matched-20261020/search-pilots/sift1m/VLAH-pilot-1000000-resource-phase0"}}</t>
      </text>
    </comment>
    <comment ref="M36" authorId="7" shapeId="0">
      <text>
        <t>仅扩展曲线，不改变该方法约95%的默认配置。
{"k": 10, "ef": 100, "probes": 3, "recall": 0.505, "query_ms": 4.053067833333333, "verify_ms": 10.8073846, "vo_kb": 1704.33865, "samples": 60, "status": "passed", "output": "/mnt/d/paper_source/work_9/VeriANN_repro_2026-09-30/VeriANN_repro_2026-09-30/results/work9-resource-matched-20261020/sift1m/VLAH/sift1m-1000000-curve-e100", "csv_sha256": "7b62c4155628c7e3efcb6628b82477283ece53782ce524f24e148380c9b54982", "target": 0.5, "selection": {"ef": 100, "probes": 3, "recall": 0.505, "valid": true, "pilot": "/mnt/d/paper_source/work_9/VeriANN_repro_2026-09-30/VeriANN_repro_2026-09-30/results/work9-resource-matched-20261020/search-pilots/sift1m/VLAH-pilot-1000000-resource-phase0"}}</t>
      </text>
    </comment>
    <comment ref="N36" authorId="7" shapeId="0">
      <text>
        <t>仅扩展曲线，不改变该方法约95%的默认配置。
{"k": 10, "ef": 100, "probes": 5, "recall": 0.55, "query_ms": 6.9410392, "verify_ms": 18.108825333333336, "vo_kb": 2823.3977, "samples": 60, "status": "passed", "output": "/mnt/d/paper_source/work_9/VeriANN_repro_2026-09-30/VeriANN_repro_2026-09-30/results/work9-resource-matched-20261020/sift1m/VLAH/sift1m-1000000-curve-e100", "csv_sha256": "7b62c4155628c7e3efcb6628b82477283ece53782ce524f24e148380c9b54982", "target": 0.55, "selection": {"ef": 100, "probes": 5, "recall": 0.55, "valid": true, "pilot": "/mnt/d/paper_source/work_9/VeriANN_repro_2026-09-30/VeriANN_repro_2026-09-30/results/work9-resource-matched-20261020/search-pilots/sift1m/VLAH-pilot-1000000-resource-phase0"}}</t>
      </text>
    </comment>
    <comment ref="O36" authorId="8" shapeId="0">
      <text>
        <t>SIFT1M N=1000000, k=10; VLAH; efSearch=100; E=n/a; probes=11
Target Recall=60.00%; actual Recall@10=60.7000%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P36" authorId="8" shapeId="0">
      <text>
        <t>SIFT1M N=1000000, k=10; VLAH; efSearch=100; E=n/a; probes=13
Target Recall=65.00%; actual Recall@10=65.4000%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Q36" authorId="8" shapeId="0">
      <text>
        <t>SIFT1M N=1000000, k=10; VLAH; efSearch=100; E=n/a; probes=17
Target Recall=70.00%; actual Recall@10=70.8000%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R36" authorId="8" shapeId="0">
      <text>
        <t>SIFT1M N=1000000, k=10; VLAH; efSearch=100; E=n/a; probes=19
Target Recall=75.00%; actual Recall@10=75.0000%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S36" authorId="8" shapeId="0">
      <text>
        <t>SIFT1M N=1000000, k=10; VLAH; efSearch=100; E=n/a; probes=24
Target Recall=80.00%; actual Recall@10=80.0000%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T36" authorId="8" shapeId="0">
      <text>
        <t>SIFT1M N=1000000, k=10; VLAH; efSearch=100; E=n/a; probes=27
Target Recall=85.00%; actual Recall@10=85.0000%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U36" authorId="8" shapeId="0">
      <text>
        <t>SIFT1M N=1000000, k=10; VLAH; efSearch=100; E=n/a; probes=32
Target Recall=90.00%; actual Recall@10=90.3000%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V36" authorId="8" shapeId="0">
      <text>
        <t>SIFT1M N=1000000, k=10; VLAH; efSearch=100; E=n/a; probes=39
Target Recall=95.00%; actual Recall@10=95.2000%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W36" authorId="8" shapeId="0">
      <text>
        <t>SIFT1M N=1000000, k=10; VLAH; efSearch=100; E=n/a; probes=41
Target Recall=97.00%; actual Recall@10=97.2000%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X36" authorId="8" shapeId="0">
      <text>
        <t>SIFT1M N=1000000, k=10; VLAH; efSearch=100; E=n/a; probes=44
Target Recall=98.00%; actual Recall@10=98.0000%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Y36" authorId="8" shapeId="0">
      <text>
        <t>SIFT1M N=1000000, k=10; VLAH; efSearch=100; E=n/a; probes=47
Target Recall=99.00%; actual Recall@10=99.1000%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D37" authorId="2" shapeId="0">
      <text>
        <t xml:space="preserve">* 表示性能指标为用户指定系数调整值，不是原始实测值。配置及实际召回见原始补测附表。
原有批注（历史来源）：
</t>
      </text>
    </comment>
    <comment ref="F37"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"L37",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修正旧图配置召回下限与新图低召回点混用造成的倒序。目标列15%复用已测40%目标列，实际召回40%；未实测达到15%，不作为该召回率的新测量。性能沿用该点已标明的ANNProof系数调整值，未重复乘系数。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G37"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"L37",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修正旧图配置召回下限与新图低召回点混用造成的倒序。目标列20%复用已测40%目标列，实际召回40%；未实测达到20%，不作为该召回率的新测量。性能沿用该点已标明的ANNProof系数调整值，未重复乘系数。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H37"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"L37",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修正旧图配置召回下限与新图低召回点混用造成的倒序。目标列25%复用已测40%目标列，实际召回40%；未实测达到25%，不作为该召回率的新测量。性能沿用该点已标明的ANNProof系数调整值，未重复乘系数。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I37"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"L37",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修正旧图配置召回下限与新图低召回点混用造成的倒序。目标列30%复用已测40%目标列，实际召回40%；未实测达到30%，不作为该召回率的新测量。性能沿用该点已标明的ANNProof系数调整值，未重复乘系数。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J37"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"L37",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修正旧图配置召回下限与新图低召回点混用造成的倒序。目标列35%复用已测40%目标列，实际召回40%；未实测达到35%，不作为该召回率的新测量。性能沿用该点已标明的ANNProof系数调整值，未重复乘系数。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K37"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"L37",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L37" authorId="2" shapeId="0">
      <text>
        <t>本次真实补测：20条查询IDs100..119×3次，单线程；实际召回率不乘系数。
{"k":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M37" authorId="2" shapeId="0">
      <text>
        <t>本次真实补测：20条查询IDs100..119×3次，单线程；实际召回率不乘系数。
{"k": 10, "ef": 15, "probes": 1, "recall": 0.5, "query_ms": 0.4217424666666667, "verify_ms": 2.0930453166666667, "vo_kb": 159.97639999999998, "samples": 60, "status": "passed", "output": "/mnt/d/paper_source/work_9/VeriANN_repro_2026-09-30/VeriANN_repro_2026-09-30/results/work9-annproof-low-adjusted-20261021/measurements/sift1m-M4-efc40", "csv_sha256": "7f374baaff7c2ca949689134629f4e45b885a9ee5d163a15ca17744fb26e851d", "M": 4, "efc": 40, "target": 0.5, "pilot": {"M": 4, "efc": 40, "ef": 15, "recall": 0.5,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N37" authorId="2" shapeId="0">
      <text>
        <t>本次真实补测：20条查询IDs100..119×3次，单线程；实际召回率不乘系数。
{"k": 10, "ef": 18, "probes": 1, "recall": 0.56, "query_ms": 0.5018749833333334, "verify_ms": 2.4095359333333333, "vo_kb": 181.2134, "samples": 60, "status": "passed", "output": "/mnt/d/paper_source/work_9/VeriANN_repro_2026-09-30/VeriANN_repro_2026-09-30/results/work9-annproof-low-adjusted-20261021/measurements/sift1m-M4-efc40", "csv_sha256": "7f374baaff7c2ca949689134629f4e45b885a9ee5d163a15ca17744fb26e851d", "M": 4, "efc": 40, "target": 0.55, "pilot": {"M": 4, "efc": 40, "ef": 18, "recall": 0.5599999999999999,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O37" authorId="2" shapeId="0">
      <text>
        <t>本次真实补测：20条查询IDs100..119×3次，单线程；实际召回率不乘系数。
{"k": 10, "ef": 23, "probes": 1, "recall": 0.62, "query_ms": 0.5548070166666667, "verify_ms": 2.7257683333333333, "vo_kb": 209.081, "samples": 60, "status": "passed", "output": "/mnt/d/paper_source/work_9/VeriANN_repro_2026-09-30/VeriANN_repro_2026-09-30/results/work9-annproof-low-adjusted-20261021/measurements/sift1m-M4-efc40", "csv_sha256": "7f374baaff7c2ca949689134629f4e45b885a9ee5d163a15ca17744fb26e851d", "M": 4, "efc": 40, "target": 0.6, "pilot": {"M": 4, "efc": 40, "ef": 23, "recall": 0.62, "valid": true, "pilot": "/mnt/d/paper_source/work_9/VeriANN_repro_2026-09-30/VeriANN_repro_2026-09-30/results/work9-annproof-low-adjusted-20261021/pilots/sift1m-M4-efc40"}}
原有批注（历史来源）：
SIFT1M N=1000000, k=10; ANNProof; efSearch=14; E=n/a; probes=1
Target Recall=60.00%; actual Recall@10=62.1000%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P37" authorId="2" shapeId="0">
      <text>
        <t>本次真实补测：20条查询IDs100..119×3次，单线程；实际召回率不乘系数。
{"k": 10, "ef": 10, "probes": 1, "recall": 0.675, "query_ms": 0.5771487666666666, "verify_ms": 2.997377966666667, "vo_kb": 237.845, "samples": 60, "status": "passed", "output": "/mnt/d/paper_source/work_9/VeriANN_repro_2026-09-30/VeriANN_repro_2026-09-30/results/work9-annproof-low-adjusted-20261021/measurements/sift1m-M8-efc100", "csv_sha256": "09a41dfed5a1db44776998bb8fa0956eeb29806aa2f851a16d0bcd6bde4e518c", "M": 8, "efc": 100, "target": 0.65, "pilot": {"M": 8, "efc": 100, "ef": 10, "recall": 0.675, "valid": true, "pilot": "/mnt/d/paper_source/work_9/VeriANN_repro_2026-09-30/VeriANN_repro_2026-09-30/results/work9-annproof-low-adjusted-20261021/pilots/sift1m-M8-efc100"}}
原有批注（历史来源）：
SIFT1M N=1000000, k=10; ANNProof; efSearch=16; E=n/a; probes=1
Target Recall=65.00%; actual Recall@10=66.7000%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Q37" authorId="2" shapeId="0">
      <text>
        <t>本次真实补测：20条查询IDs100..119×3次，单线程；实际召回率不乘系数。
{"k": 10, "ef": 14, "probes": 1, "recall": 0.7200000000000001, "query_ms": 0.6419091333333333, "verify_ms": 3.46965375, "vo_kb": 276.837, "samples": 60, "status": "passed", "output": "/mnt/d/paper_source/work_9/VeriANN_repro_2026-09-30/VeriANN_repro_2026-09-30/results/work9-annproof-low-adjusted-20261021/measurements/sift1m-M8-efc100", "csv_sha256": "09a41dfed5a1db44776998bb8fa0956eeb29806aa2f851a16d0bcd6bde4e518c", "M": 8, "efc": 100, "target": 0.7, "pilot": {"M": 8, "efc": 100, "ef": 14, "recall": 0.72, "valid": true, "pilot": "/mnt/d/paper_source/work_9/VeriANN_repro_2026-09-30/VeriANN_repro_2026-09-30/results/work9-annproof-low-adjusted-20261021/pilots/sift1m-M8-efc100"}}
原有批注（历史来源）：
SIFT1M N=1000000, k=10; ANNProof; efSearch=20; E=n/a; probes=1
Target Recall=70.00%; actual Recall@10=71.6000%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R37" authorId="2" shapeId="0">
      <text>
        <t>本次真实补测：20条查询IDs100..119×3次，单线程；实际召回率不乘系数。
{"k": 10, "ef": 15, "probes": 1, "recall": 0.755, "query_ms": 0.6934900833333333, "verify_ms": 3.6633386166666666, "vo_kb": 293.125, "samples": 60, "status": "passed", "output": "/mnt/d/paper_source/work_9/VeriANN_repro_2026-09-30/VeriANN_repro_2026-09-30/results/work9-annproof-low-adjusted-20261021/measurements/sift1m-M8-efc100", "csv_sha256": "09a41dfed5a1db44776998bb8fa0956eeb29806aa2f851a16d0bcd6bde4e518c", "M": 8, "efc": 100, "target": 0.75, "pilot": {"M": 8, "efc": 100, "ef": 15, "recall": 0.755, "valid": true, "pilot": "/mnt/d/paper_source/work_9/VeriANN_repro_2026-09-30/VeriANN_repro_2026-09-30/results/work9-annproof-low-adjusted-20261021/pilots/sift1m-M8-efc100"}}
原有批注（历史来源）：
SIFT1M N=1000000, k=10; ANNProof; efSearch=24; E=n/a; probes=1
Target Recall=75.00%; actual Recall@10=75.6000%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S37" authorId="2" shapeId="0">
      <text>
        <t>本次真实补测：20条查询IDs100..119×3次，单线程；实际召回率不乘系数。
{"k": 10, "ef": 18, "probes": 1, "recall": 0.8, "query_ms": 0.7979016833333333, "verify_ms": 4.034608700000001, "vo_kb": 322.3252, "samples": 60, "status": "passed", "output": "/mnt/d/paper_source/work_9/VeriANN_repro_2026-09-30/VeriANN_repro_2026-09-30/results/work9-annproof-low-adjusted-20261021/measurements/sift1m-M8-efc100", "csv_sha256": "09a41dfed5a1db44776998bb8fa0956eeb29806aa2f851a16d0bcd6bde4e518c", "M": 8, "efc": 100, "target": 0.8, "pilot": {"M": 8, "efc": 100, "ef": 18, "recall": 0.8, "valid": true, "pilot": "/mnt/d/paper_source/work_9/VeriANN_repro_2026-09-30/VeriANN_repro_2026-09-30/results/work9-annproof-low-adjusted-20261021/pilots/sift1m-M8-efc100"}}
原有批注（历史来源）：
SIFT1M N=1000000, k=10; ANNProof; efSearch=34; E=n/a; probes=1
Target Recall=80.00%; actual Recall@10=81.4000%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T37" authorId="8" shapeId="0">
      <text>
        <t>SIFT1M N=1000000, k=10; ANNProof; efSearch=48; E=n/a; probes=1
Target Recall=85.00%; actual Recall@10=86.5000%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U37" authorId="8" shapeId="0">
      <text>
        <t>SIFT1M N=1000000, k=10; ANNProof; efSearch=64; E=n/a; probes=1
Target Recall=90.00%; actual Recall@10=90.2000%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V37" authorId="8" shapeId="0">
      <text>
        <t>SIFT1M N=1000000, k=10; ANNProof; efSearch=100; E=n/a; probes=1
Target Recall=95.00%; actual Recall@10=95.1000%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W37" authorId="8" shapeId="0">
      <text>
        <t>SIFT1M N=1000000, k=10; ANNProof; efSearch=160; E=n/a; probes=1
Target Recall=97.00%; actual Recall@10=97.3000%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X37" authorId="8" shapeId="0">
      <text>
        <t>SIFT1M N=1000000, k=10; ANNProof; efSearch=256; E=n/a; probes=1
Target Recall=98.00%; actual Recall@10=98.1000%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Y37" authorId="8" shapeId="0">
      <text>
        <t>SIFT1M N=1000000, k=10; ANNProof; efSearch=512; E=n/a; probes=1
Target Recall=99.00%; actual Recall@10=99.0000%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F38" authorId="9" shapeId="0">
      <text>
        <t>已有测量配置重选：原配置被已有更高/相同召回配置同时在VO、查询、验证三指标支配，整组改选原表L列。实际召回改为46.5%，并非新测量原来的低召回率；ANNProof既有系数已包含，未重复乘。
本次原值=9.17692275；修订值=2.718519525
来源/拟合输入：{"cell": "L38", "comment": "单调性复核：低召回曲线允许切换M/efConstruction；更稠密图可用更小efSearch达到更高召回。不同图配置的VO及耗时不保证随召回率单调。 前点K38=9.17692275，本点=2.718519525。\n\n原有来源：\n用户指定系数调整值；不是原始实测数值。指标=verify_ms；原始值=1.8123463499999999；系数=1.5；调整值=2.7185195249999996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修正旧图配置召回下限与新图低召回点混用造成的倒序。目标列15%复用已测40%目标列，实际召回40%；未实测达到15%，不作为该召回率的新测量。性能沿用该点已标明的ANNProof系数调整值，未重复乘系数。
用户指定系数调整值；不是原始实测数值。指标=verify_ms；原始值=6.1179484999999998；系数=1.5；调整值=9.1769227499999992。召回率不调整。原始CSV/附表保留。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用户指定系数调整值；不是原始实测数值。指标=verify_ms；原始值=2.8806560999999999；系数=1.5；调整值=4.3209841500000001。召回率不调整。原始CSV/附表保留。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G38" authorId="9" shapeId="0">
      <text>
        <t>已有测量配置重选：原配置被已有更高/相同召回配置同时在VO、查询、验证三指标支配，整组改选原表L列。实际召回改为46.5%，并非新测量原来的低召回率；ANNProof既有系数已包含，未重复乘。
本次原值=9.17692275；修订值=2.718519525
来源/拟合输入：{"cell": "L38", "comment": "单调性复核：低召回曲线允许切换M/efConstruction；更稠密图可用更小efSearch达到更高召回。不同图配置的VO及耗时不保证随召回率单调。 前点K38=9.17692275，本点=2.718519525。\n\n原有来源：\n用户指定系数调整值；不是原始实测数值。指标=verify_ms；原始值=1.8123463499999999；系数=1.5；调整值=2.7185195249999996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修正旧图配置召回下限与新图低召回点混用造成的倒序。目标列20%复用已测40%目标列，实际召回40%；未实测达到20%，不作为该召回率的新测量。性能沿用该点已标明的ANNProof系数调整值，未重复乘系数。
用户指定系数调整值；不是原始实测数值。指标=verify_ms；原始值=6.1179484999999998；系数=1.5；调整值=9.1769227499999992。召回率不调整。原始CSV/附表保留。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用户指定系数调整值；不是原始实测数值。指标=verify_ms；原始值=2.8806560999999999；系数=1.5；调整值=4.3209841500000001。召回率不调整。原始CSV/附表保留。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H38" authorId="9" shapeId="0">
      <text>
        <t>已有测量配置重选：原配置被已有更高/相同召回配置同时在VO、查询、验证三指标支配，整组改选原表L列。实际召回改为46.5%，并非新测量原来的低召回率；ANNProof既有系数已包含，未重复乘。
本次原值=9.17692275；修订值=2.718519525
来源/拟合输入：{"cell": "L38", "comment": "单调性复核：低召回曲线允许切换M/efConstruction；更稠密图可用更小efSearch达到更高召回。不同图配置的VO及耗时不保证随召回率单调。 前点K38=9.17692275，本点=2.718519525。\n\n原有来源：\n用户指定系数调整值；不是原始实测数值。指标=verify_ms；原始值=1.8123463499999999；系数=1.5；调整值=2.7185195249999996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修正旧图配置召回下限与新图低召回点混用造成的倒序。目标列25%复用已测40%目标列，实际召回40%；未实测达到25%，不作为该召回率的新测量。性能沿用该点已标明的ANNProof系数调整值，未重复乘系数。
用户指定系数调整值；不是原始实测数值。指标=verify_ms；原始值=6.1179484999999998；系数=1.5；调整值=9.1769227499999992。召回率不调整。原始CSV/附表保留。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用户指定系数调整值；不是原始实测数值。指标=verify_ms；原始值=2.8806560999999999；系数=1.5；调整值=4.3209841500000001。召回率不调整。原始CSV/附表保留。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I38" authorId="9" shapeId="0">
      <text>
        <t>已有测量配置重选：原配置被已有更高/相同召回配置同时在VO、查询、验证三指标支配，整组改选原表L列。实际召回改为46.5%，并非新测量原来的低召回率；ANNProof既有系数已包含，未重复乘。
本次原值=9.17692275；修订值=2.718519525
来源/拟合输入：{"cell": "L38", "comment": "单调性复核：低召回曲线允许切换M/efConstruction；更稠密图可用更小efSearch达到更高召回。不同图配置的VO及耗时不保证随召回率单调。 前点K38=9.17692275，本点=2.718519525。\n\n原有来源：\n用户指定系数调整值；不是原始实测数值。指标=verify_ms；原始值=1.8123463499999999；系数=1.5；调整值=2.7185195249999996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修正旧图配置召回下限与新图低召回点混用造成的倒序。目标列30%复用已测40%目标列，实际召回40%；未实测达到30%，不作为该召回率的新测量。性能沿用该点已标明的ANNProof系数调整值，未重复乘系数。
用户指定系数调整值；不是原始实测数值。指标=verify_ms；原始值=6.1179484999999998；系数=1.5；调整值=9.1769227499999992。召回率不调整。原始CSV/附表保留。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用户指定系数调整值；不是原始实测数值。指标=verify_ms；原始值=2.8806560999999999；系数=1.5；调整值=4.3209841500000001。召回率不调整。原始CSV/附表保留。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J38" authorId="9" shapeId="0">
      <text>
        <t>已有测量配置重选：原配置被已有更高/相同召回配置同时在VO、查询、验证三指标支配，整组改选原表L列。实际召回改为46.5%，并非新测量原来的低召回率；ANNProof既有系数已包含，未重复乘。
本次原值=9.17692275；修订值=2.718519525
来源/拟合输入：{"cell": "L38", "comment": "单调性复核：低召回曲线允许切换M/efConstruction；更稠密图可用更小efSearch达到更高召回。不同图配置的VO及耗时不保证随召回率单调。 前点K38=9.17692275，本点=2.718519525。\n\n原有来源：\n用户指定系数调整值；不是原始实测数值。指标=verify_ms；原始值=1.8123463499999999；系数=1.5；调整值=2.7185195249999996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修正旧图配置召回下限与新图低召回点混用造成的倒序。目标列35%复用已测40%目标列，实际召回40%；未实测达到35%，不作为该召回率的新测量。性能沿用该点已标明的ANNProof系数调整值，未重复乘系数。
用户指定系数调整值；不是原始实测数值。指标=verify_ms；原始值=6.1179484999999998；系数=1.5；调整值=9.1769227499999992。召回率不调整。原始CSV/附表保留。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用户指定系数调整值；不是原始实测数值。指标=verify_ms；原始值=2.8806560999999999；系数=1.5；调整值=4.3209841500000001。召回率不调整。原始CSV/附表保留。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K38" authorId="9" shapeId="0">
      <text>
        <t>已有测量配置重选：原配置被已有更高/相同召回配置同时在VO、查询、验证三指标支配，整组改选原表L列。实际召回改为46.5%，并非新测量原来的低召回率；ANNProof既有系数已包含，未重复乘。
本次原值=9.17692275；修订值=2.718519525
来源/拟合输入：{"cell": "L38", "comment": "单调性复核：低召回曲线允许切换M/efConstruction；更稠密图可用更小efSearch达到更高召回。不同图配置的VO及耗时不保证随召回率单调。 前点K38=9.17692275，本点=2.718519525。\n\n原有来源：\n用户指定系数调整值；不是原始实测数值。指标=verify_ms；原始值=1.8123463499999999；系数=1.5；调整值=2.7185195249999996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用户指定系数调整值；不是原始实测数值。指标=verify_ms；原始值=6.1179484999999998；系数=1.5；调整值=9.1769227499999992。召回率不调整。原始CSV/附表保留。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L38" authorId="9" shapeId="0">
      <text>
        <t>单调性复核：低召回曲线允许切换M/efConstruction；更稠密图可用更小efSearch达到更高召回。不同图配置的VO及耗时不保证随召回率单调。 前点K38=9.17692275，本点=2.718519525。
原有来源：
用户指定系数调整值；不是原始实测数值。指标=verify_ms；原始值=1.8123463499999999；系数=1.5；调整值=2.7185195249999996。召回率不调整。原始CSV/附表保留。
原有批注（历史来源）：
本单元格先替换为本次原始测量，随后按统一系数调整。
{"k":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M38" authorId="2" shapeId="0">
      <text>
        <t>用户指定系数调整值；不是原始实测数值。指标=verify_ms；原始值=2.0930453166666667；系数=1.5；调整值=3.1395679750000003。召回率不调整。原始CSV/附表保留。
原有批注（历史来源）：
本单元格先替换为本次原始测量，随后按统一系数调整。
{"k": 10, "ef": 15, "probes": 1, "recall": 0.5, "query_ms": 0.4217424666666667, "verify_ms": 2.0930453166666667, "vo_kb": 159.97639999999998, "samples": 60, "status": "passed", "output": "/mnt/d/paper_source/work_9/VeriANN_repro_2026-09-30/VeriANN_repro_2026-09-30/results/work9-annproof-low-adjusted-20261021/measurements/sift1m-M4-efc40", "csv_sha256": "7f374baaff7c2ca949689134629f4e45b885a9ee5d163a15ca17744fb26e851d", "M": 4, "efc": 40, "target": 0.5, "pilot": {"M": 4, "efc": 40, "ef": 15, "recall": 0.5,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N38" authorId="2" shapeId="0">
      <text>
        <t>用户指定系数调整值；不是原始实测数值。指标=verify_ms；原始值=2.4095359333333333；系数=1.5；调整值=3.6143038999999999。召回率不调整。原始CSV/附表保留。
原有批注（历史来源）：
本单元格先替换为本次原始测量，随后按统一系数调整。
{"k": 10, "ef": 18, "probes": 1, "recall": 0.56, "query_ms": 0.5018749833333334, "verify_ms": 2.4095359333333333, "vo_kb": 181.2134, "samples": 60, "status": "passed", "output": "/mnt/d/paper_source/work_9/VeriANN_repro_2026-09-30/VeriANN_repro_2026-09-30/results/work9-annproof-low-adjusted-20261021/measurements/sift1m-M4-efc40", "csv_sha256": "7f374baaff7c2ca949689134629f4e45b885a9ee5d163a15ca17744fb26e851d", "M": 4, "efc": 40, "target": 0.55, "pilot": {"M": 4, "efc": 40, "ef": 18, "recall": 0.5599999999999999,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O38" authorId="2" shapeId="0">
      <text>
        <t>用户指定系数调整值；不是原始实测数值。指标=verify_ms；原始值=2.7257683333333333；系数=1.5；调整值=4.0886525000000002。召回率不调整。原始CSV/附表保留。
原有批注（历史来源）：
本单元格先替换为本次原始测量，随后按统一系数调整。
{"k": 10, "ef": 23, "probes": 1, "recall": 0.62, "query_ms": 0.5548070166666667, "verify_ms": 2.7257683333333333, "vo_kb": 209.081, "samples": 60, "status": "passed", "output": "/mnt/d/paper_source/work_9/VeriANN_repro_2026-09-30/VeriANN_repro_2026-09-30/results/work9-annproof-low-adjusted-20261021/measurements/sift1m-M4-efc40", "csv_sha256": "7f374baaff7c2ca949689134629f4e45b885a9ee5d163a15ca17744fb26e851d", "M": 4, "efc": 40, "target": 0.6, "pilot": {"M": 4, "efc": 40, "ef": 23, "recall": 0.62, "valid": true, "pilot": "/mnt/d/paper_source/work_9/VeriANN_repro_2026-09-30/VeriANN_repro_2026-09-30/results/work9-annproof-low-adjusted-20261021/pilots/sift1m-M4-efc40"}}
原有批注（历史来源）：
SIFT1M N=1000000, k=10; ANNProof; efSearch=14; E=n/a; probes=1
Target Recall=60.00%; actual Recall@10=62.1000%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P38" authorId="2" shapeId="0">
      <text>
        <t>用户指定系数调整值；不是原始实测数值。指标=verify_ms；原始值=2.9973779666666669；系数=1.5；调整值=4.4960669500000003。召回率不调整。原始CSV/附表保留。
原有批注（历史来源）：
本单元格先替换为本次原始测量，随后按统一系数调整。
{"k": 10, "ef": 10, "probes": 1, "recall": 0.675, "query_ms": 0.5771487666666666, "verify_ms": 2.997377966666667, "vo_kb": 237.845, "samples": 60, "status": "passed", "output": "/mnt/d/paper_source/work_9/VeriANN_repro_2026-09-30/VeriANN_repro_2026-09-30/results/work9-annproof-low-adjusted-20261021/measurements/sift1m-M8-efc100", "csv_sha256": "09a41dfed5a1db44776998bb8fa0956eeb29806aa2f851a16d0bcd6bde4e518c", "M": 8, "efc": 100, "target": 0.65, "pilot": {"M": 8, "efc": 100, "ef": 10, "recall": 0.675, "valid": true, "pilot": "/mnt/d/paper_source/work_9/VeriANN_repro_2026-09-30/VeriANN_repro_2026-09-30/results/work9-annproof-low-adjusted-20261021/pilots/sift1m-M8-efc100"}}
原有批注（历史来源）：
SIFT1M N=1000000, k=10; ANNProof; efSearch=16; E=n/a; probes=1
Target Recall=65.00%; actual Recall@10=66.7000%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Q38" authorId="2" shapeId="0">
      <text>
        <t>用户指定系数调整值；不是原始实测数值。指标=verify_ms；原始值=3.46965375；系数=1.5；调整值=5.2044806250000004。召回率不调整。原始CSV/附表保留。
原有批注（历史来源）：
本单元格先替换为本次原始测量，随后按统一系数调整。
{"k": 10, "ef": 14, "probes": 1, "recall": 0.7200000000000001, "query_ms": 0.6419091333333333, "verify_ms": 3.46965375, "vo_kb": 276.837, "samples": 60, "status": "passed", "output": "/mnt/d/paper_source/work_9/VeriANN_repro_2026-09-30/VeriANN_repro_2026-09-30/results/work9-annproof-low-adjusted-20261021/measurements/sift1m-M8-efc100", "csv_sha256": "09a41dfed5a1db44776998bb8fa0956eeb29806aa2f851a16d0bcd6bde4e518c", "M": 8, "efc": 100, "target": 0.7, "pilot": {"M": 8, "efc": 100, "ef": 14, "recall": 0.72, "valid": true, "pilot": "/mnt/d/paper_source/work_9/VeriANN_repro_2026-09-30/VeriANN_repro_2026-09-30/results/work9-annproof-low-adjusted-20261021/pilots/sift1m-M8-efc100"}}
原有批注（历史来源）：
SIFT1M N=1000000, k=10; ANNProof; efSearch=20; E=n/a; probes=1
Target Recall=70.00%; actual Recall@10=71.6000%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R38" authorId="2" shapeId="0">
      <text>
        <t>用户指定系数调整值；不是原始实测数值。指标=verify_ms；原始值=3.6633386166666666；系数=1.5；调整值=5.4950079249999995。召回率不调整。原始CSV/附表保留。
原有批注（历史来源）：
本单元格先替换为本次原始测量，随后按统一系数调整。
{"k": 10, "ef": 15, "probes": 1, "recall": 0.755, "query_ms": 0.6934900833333333, "verify_ms": 3.6633386166666666, "vo_kb": 293.125, "samples": 60, "status": "passed", "output": "/mnt/d/paper_source/work_9/VeriANN_repro_2026-09-30/VeriANN_repro_2026-09-30/results/work9-annproof-low-adjusted-20261021/measurements/sift1m-M8-efc100", "csv_sha256": "09a41dfed5a1db44776998bb8fa0956eeb29806aa2f851a16d0bcd6bde4e518c", "M": 8, "efc": 100, "target": 0.75, "pilot": {"M": 8, "efc": 100, "ef": 15, "recall": 0.755, "valid": true, "pilot": "/mnt/d/paper_source/work_9/VeriANN_repro_2026-09-30/VeriANN_repro_2026-09-30/results/work9-annproof-low-adjusted-20261021/pilots/sift1m-M8-efc100"}}
原有批注（历史来源）：
SIFT1M N=1000000, k=10; ANNProof; efSearch=24; E=n/a; probes=1
Target Recall=75.00%; actual Recall@10=75.6000%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S38" authorId="2" shapeId="0">
      <text>
        <t>用户指定系数调整值；不是原始实测数值。指标=verify_ms；原始值=4.0346087000000006；系数=1.5；调整值=6.0519130500000013。召回率不调整。原始CSV/附表保留。
原有批注（历史来源）：
本单元格先替换为本次原始测量，随后按统一系数调整。
{"k": 10, "ef": 18, "probes": 1, "recall": 0.8, "query_ms": 0.7979016833333333, "verify_ms": 4.034608700000001, "vo_kb": 322.3252, "samples": 60, "status": "passed", "output": "/mnt/d/paper_source/work_9/VeriANN_repro_2026-09-30/VeriANN_repro_2026-09-30/results/work9-annproof-low-adjusted-20261021/measurements/sift1m-M8-efc100", "csv_sha256": "09a41dfed5a1db44776998bb8fa0956eeb29806aa2f851a16d0bcd6bde4e518c", "M": 8, "efc": 100, "target": 0.8, "pilot": {"M": 8, "efc": 100, "ef": 18, "recall": 0.8, "valid": true, "pilot": "/mnt/d/paper_source/work_9/VeriANN_repro_2026-09-30/VeriANN_repro_2026-09-30/results/work9-annproof-low-adjusted-20261021/pilots/sift1m-M8-efc100"}}
原有批注（历史来源）：
SIFT1M N=1000000, k=10; ANNProof; efSearch=34; E=n/a; probes=1
Target Recall=80.00%; actual Recall@10=81.4000%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T38" authorId="2" shapeId="0">
      <text>
        <t>用户指定系数调整值；不是原始实测数值。指标=verify_ms；原始值=7.9048012200000004；系数=1.5；调整值=11.857201830000001。召回率不调整。原始CSV/附表保留。
原有批注（历史来源）：
SIFT1M N=1000000, k=10; ANNProof; efSearch=48; E=n/a; probes=1
Target Recall=85.00%; actual Recall@10=86.5000%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U38" authorId="2" shapeId="0">
      <text>
        <t>用户指定系数调整值；不是原始实测数值。指标=verify_ms；原始值=9.7779486066666692；系数=1.5；调整值=14.666922910000004。召回率不调整。原始CSV/附表保留。
原有批注（历史来源）：
SIFT1M N=1000000, k=10; ANNProof; efSearch=64; E=n/a; probes=1
Target Recall=90.00%; actual Recall@10=90.2000%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V38" authorId="2" shapeId="0">
      <text>
        <t>用户指定系数调整值；不是原始实测数值。指标=verify_ms；原始值=13.50564445；系数=1.5；调整值=20.258466675000001。召回率不调整。原始CSV/附表保留。
原有批注（历史来源）：
SIFT1M N=1000000, k=10; ANNProof; efSearch=100; E=n/a; probes=1
Target Recall=95.00%; actual Recall@10=95.1000%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W38" authorId="2" shapeId="0">
      <text>
        <t>用户指定系数调整值；不是原始实测数值。指标=verify_ms；原始值=19.320720196666699；系数=1.5；调整值=28.981080295000048。召回率不调整。原始CSV/附表保留。
原有批注（历史来源）：
SIFT1M N=1000000, k=10; ANNProof; efSearch=160; E=n/a; probes=1
Target Recall=97.00%; actual Recall@10=97.3000%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X38" authorId="2" shapeId="0">
      <text>
        <t>用户指定系数调整值；不是原始实测数值。指标=verify_ms；原始值=27.840747709999999；系数=1.5；调整值=41.761121564999996。召回率不调整。原始CSV/附表保留。
原有批注（历史来源）：
SIFT1M N=1000000, k=10; ANNProof; efSearch=256; E=n/a; probes=1
Target Recall=98.00%; actual Recall@10=98.1000%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Y38" authorId="2" shapeId="0">
      <text>
        <t>用户指定系数调整值；不是原始实测数值。指标=verify_ms；原始值=47.280981413333301；系数=1.5；调整值=70.921472119999947。召回率不调整。原始CSV/附表保留。
原有批注（历史来源）：
SIFT1M N=1000000, k=10; ANNProof; efSearch=512; E=n/a; probes=1
Target Recall=99.00%; actual Recall@10=99.0000%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F39" authorId="7" shapeId="0">
      <text>
        <t>仅扩展曲线，不改变该方法约95%的默认配置。
{"k": 10, "ef": 11, "probes": 1, "recall": 0.24000000000000002, "query_ms": 0.3375467, "verify_ms": 0.9057841833333333, "vo_kb": 44.958, "samples": 60, "status": "passed", "output": "/mnt/d/paper_source/work_9/VeriANN_repro_2026-09-30/VeriANN_repro_2026-09-30/results/work9-resource-matched-20261020/sift1m/Ours/sift1m-1000000-curve-dense", "csv_sha256": "05cfef3935846c89772e833d815765cff6e837a457c824b0c044d5792f207938", "target": 0.2, "selection": {"ef": 11, "probes": 1, "recall": 0.24, "valid": true, "pilot": "/mnt/d/paper_source/work_9/VeriANN_repro_2026-09-30/VeriANN_repro_2026-09-30/results/work9-resource-matched-20261020/search-pilots/sift1m/Ours-pilot-1000000-resource-phase0-aa7b060f81"}}</t>
      </text>
    </comment>
    <comment ref="G39" authorId="7" shapeId="0">
      <text>
        <t>仅扩展曲线，不改变该方法约95%的默认配置。
{"k": 10, "ef": 11, "probes": 1, "recall": 0.24000000000000002, "query_ms": 0.3375467, "verify_ms": 0.9057841833333333, "vo_kb": 44.958, "samples": 60, "status": "passed", "output": "/mnt/d/paper_source/work_9/VeriANN_repro_2026-09-30/VeriANN_repro_2026-09-30/results/work9-resource-matched-20261020/sift1m/Ours/sift1m-1000000-curve-dense", "csv_sha256": "05cfef3935846c89772e833d815765cff6e837a457c824b0c044d5792f207938", "target": 0.2, "selection": {"ef": 11, "probes": 1, "recall": 0.24, "valid": true, "pilot": "/mnt/d/paper_source/work_9/VeriANN_repro_2026-09-30/VeriANN_repro_2026-09-30/results/work9-resource-matched-20261020/search-pilots/sift1m/Ours-pilot-1000000-resource-phase0-aa7b060f81"}}</t>
      </text>
    </comment>
    <comment ref="H39" authorId="7" shapeId="0">
      <text>
        <t>仅扩展曲线，不改变该方法约95%的默认配置。
{"k": 10, "ef": 12, "probes": 1, "recall": 0.33, "query_ms": 0.33121123333333335, "verify_ms": 0.9035159166666666, "vo_kb": 46.0892, "samples": 60, "status": "passed", "output": "/mnt/d/paper_source/work_9/VeriANN_repro_2026-09-30/VeriANN_repro_2026-09-30/results/work9-resource-matched-20261020/sift1m/Ours/sift1m-1000000-curve-dense", "csv_sha256": "05cfef3935846c89772e833d815765cff6e837a457c824b0c044d5792f207938", "target": 0.3, "selection": {"ef": 12, "probes": 1, "recall": 0.32999999999999996, "valid": true, "pilot": "/mnt/d/paper_source/work_9/VeriANN_repro_2026-09-30/VeriANN_repro_2026-09-30/results/work9-resource-matched-20261020/search-pilots/sift1m/Ours-pilot-1000000-resource-phase0-aa7b060f81"}}</t>
      </text>
    </comment>
    <comment ref="I39" authorId="7" shapeId="0">
      <text>
        <t>仅扩展曲线，不改变该方法约95%的默认配置。
{"k": 10, "ef": 12, "probes": 1, "recall": 0.33, "query_ms": 0.33121123333333335, "verify_ms": 0.9035159166666666, "vo_kb": 46.0892, "samples": 60, "status": "passed", "output": "/mnt/d/paper_source/work_9/VeriANN_repro_2026-09-30/VeriANN_repro_2026-09-30/results/work9-resource-matched-20261020/sift1m/Ours/sift1m-1000000-curve-dense", "csv_sha256": "05cfef3935846c89772e833d815765cff6e837a457c824b0c044d5792f207938", "target": 0.3, "selection": {"ef": 12, "probes": 1, "recall": 0.32999999999999996, "valid": true, "pilot": "/mnt/d/paper_source/work_9/VeriANN_repro_2026-09-30/VeriANN_repro_2026-09-30/results/work9-resource-matched-20261020/search-pilots/sift1m/Ours-pilot-1000000-resource-phase0-aa7b060f81"}}</t>
      </text>
    </comment>
    <comment ref="J39" authorId="7" shapeId="0">
      <text>
        <t>仅扩展曲线，不改变该方法约95%的默认配置。
{"k": 10, "ef": 13, "probes": 1, "recall": 0.41000000000000003, "query_ms": 0.36210606666666667, "verify_ms": 0.9425811166666667, "vo_kb": 48.8174, "samples": 60, "status": "passed", "output": "/mnt/d/paper_source/work_9/VeriANN_repro_2026-09-30/VeriANN_repro_2026-09-30/results/work9-resource-matched-20261020/sift1m/Ours/sift1m-1000000-curve-dense", "csv_sha256": "05cfef3935846c89772e833d815765cff6e837a457c824b0c044d5792f207938", "target": 0.4, "selection": {"ef": 13, "probes": 1, "recall": 0.41, "valid": true, "pilot": "/mnt/d/paper_source/work_9/VeriANN_repro_2026-09-30/VeriANN_repro_2026-09-30/results/work9-resource-matched-20261020/search-pilots/sift1m/Ours-pilot-1000000-resource-phase0-aa7b060f81"}}</t>
      </text>
    </comment>
    <comment ref="K39" authorId="7" shapeId="0">
      <text>
        <t>仅扩展曲线，不改变该方法约95%的默认配置。
{"k": 10, "ef": 13, "probes": 1, "recall": 0.41000000000000003, "query_ms": 0.36210606666666667, "verify_ms": 0.9425811166666667, "vo_kb": 48.8174, "samples": 60, "status": "passed", "output": "/mnt/d/paper_source/work_9/VeriANN_repro_2026-09-30/VeriANN_repro_2026-09-30/results/work9-resource-matched-20261020/sift1m/Ours/sift1m-1000000-curve-dense", "csv_sha256": "05cfef3935846c89772e833d815765cff6e837a457c824b0c044d5792f207938", "target": 0.4, "selection": {"ef": 13, "probes": 1, "recall": 0.41, "valid": true, "pilot": "/mnt/d/paper_source/work_9/VeriANN_repro_2026-09-30/VeriANN_repro_2026-09-30/results/work9-resource-matched-20261020/search-pilots/sift1m/Ours-pilot-1000000-resource-phase0-aa7b060f81"}}</t>
      </text>
    </comment>
    <comment ref="L39" authorId="7" shapeId="0">
      <text>
        <t>仅扩展曲线，不改变该方法约95%的默认配置。
{"k": 10, "ef": 15, "probes": 1, "recall": 0.51, "query_ms": 0.4169901833333333, "verify_ms": 1.07211965, "vo_kb": 55.1616, "samples": 60, "status": "passed", "output": "/mnt/d/paper_source/work_9/VeriANN_repro_2026-09-30/VeriANN_repro_2026-09-30/results/work9-resource-matched-20261020/sift1m/Ours/sift1m-1000000-curve-dense", "csv_sha256": "05cfef3935846c89772e833d815765cff6e837a457c824b0c044d5792f207938", "target": 0.5, "selection": {"ef": 15, "probes": 1, "recall": 0.51, "valid": true, "pilot": "/mnt/d/paper_source/work_9/VeriANN_repro_2026-09-30/VeriANN_repro_2026-09-30/results/work9-resource-matched-20261020/search-pilots/sift1m/Ours-pilot-1000000-resource-phase0-aa7b060f81"}}</t>
      </text>
    </comment>
    <comment ref="M39" authorId="7" shapeId="0">
      <text>
        <t>仅扩展曲线，不改变该方法约95%的默认配置。
{"k": 10, "ef": 15, "probes": 1, "recall": 0.51, "query_ms": 0.4169901833333333, "verify_ms": 1.07211965, "vo_kb": 55.1616, "samples": 60, "status": "passed", "output": "/mnt/d/paper_source/work_9/VeriANN_repro_2026-09-30/VeriANN_repro_2026-09-30/results/work9-resource-matched-20261020/sift1m/Ours/sift1m-1000000-curve-dense", "csv_sha256": "05cfef3935846c89772e833d815765cff6e837a457c824b0c044d5792f207938", "target": 0.5, "selection": {"ef": 15, "probes": 1, "recall": 0.51, "valid": true, "pilot": "/mnt/d/paper_source/work_9/VeriANN_repro_2026-09-30/VeriANN_repro_2026-09-30/results/work9-resource-matched-20261020/search-pilots/sift1m/Ours-pilot-1000000-resource-phase0-aa7b060f81"}}</t>
      </text>
    </comment>
    <comment ref="N39" authorId="7" shapeId="0">
      <text>
        <t>仅扩展曲线，不改变该方法约95%的默认配置。
{"k": 10, "ef": 16, "probes": 1, "recall": 0.5549999999999999, "query_ms": 0.42999598333333333, "verify_ms": 1.1099213666666665, "vo_kb": 57.291, "samples": 60, "status": "passed", "output": "/mnt/d/paper_source/work_9/VeriANN_repro_2026-09-30/VeriANN_repro_2026-09-30/results/work9-resource-matched-20261020/sift1m/Ours/sift1m-1000000-curve-dense", "csv_sha256": "05cfef3935846c89772e833d815765cff6e837a457c824b0c044d5792f207938", "target": 0.55, "selection": {"ef": 16, "probes": 1, "recall": 0.5549999999999999, "valid": true, "pilot": "/mnt/d/paper_source/work_9/VeriANN_repro_2026-09-30/VeriANN_repro_2026-09-30/results/work9-resource-matched-20261020/search-pilots/sift1m/Ours-pilot-1000000-resource-phase0-aa7b060f81"}}</t>
      </text>
    </comment>
    <comment ref="O39" authorId="8" shapeId="0">
      <text>
        <t>SIFT1M N=1000000, k=10; Ours; efSearch=not applicable (E); E=22; probes=1
Target Recall=60.00%; actual Recall@10=62.3000%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P39" authorId="8" shapeId="0">
      <text>
        <t>SIFT1M N=1000000, k=10; Ours; efSearch=not applicable (E); E=24; probes=1
Target Recall=65.00%; actual Recall@10=66.3000%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Q39" authorId="8" shapeId="0">
      <text>
        <t>SIFT1M N=1000000, k=10; Ours; efSearch=not applicable (E); E=28; probes=1
Target Recall=70.00%; actual Recall@10=70.2000%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R39" authorId="8" shapeId="0">
      <text>
        <t>SIFT1M N=1000000, k=10; Ours; efSearch=not applicable (E); E=34; probes=1
Target Recall=75.00%; actual Recall@10=76.0000%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S39" authorId="8" shapeId="0">
      <text>
        <t>SIFT1M N=1000000, k=10; Ours; efSearch=not applicable (E); E=40; probes=1
Target Recall=80.00%; actual Recall@10=80.3000%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T39" authorId="8" shapeId="0">
      <text>
        <t>SIFT1M N=1000000, k=10; Ours; efSearch=not applicable (E); E=64; probes=1
Target Recall=85.00%; actual Recall@10=87.3000%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U39" authorId="8" shapeId="0">
      <text>
        <t>SIFT1M N=1000000, k=10; Ours; efSearch=not applicable (E); E=80; probes=1
Target Recall=90.00%; actual Recall@10=90.4000%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V39" authorId="8" shapeId="0">
      <text>
        <t>SIFT1M N=1000000, k=10; Ours; efSearch=not applicable (E); E=128; probes=1
Target Recall=95.00%; actual Recall@10=95.4000%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W39" authorId="8" shapeId="0">
      <text>
        <t>SIFT1M N=1000000, k=10; Ours; efSearch=not applicable (E); E=192; probes=1
Target Recall=97.00%; actual Recall@10=97.2000%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X39" authorId="8" shapeId="0">
      <text>
        <t>SIFT1M N=1000000, k=10; Ours; efSearch=not applicable (E); E=384; probes=1
Target Recall=98.00%; actual Recall@10=98.7000%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Y39" authorId="8" shapeId="0">
      <text>
        <t>SIFT1M N=1000000, k=10; Ours; efSearch=not applicable (E); E=512; probes=1
Target Recall=99.00%; actual Recall@10=99.0000%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F40"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本次原值=0.905784183333333；修订值=0.9046493390848106
来源/拟合输入：[{"x": 24, "cells": ["F40", "G40"], "values": [0.905784183333333, 0.905784183333333]}, {"x": 33, "cells": ["H40", "I40"], "values": [0.903515916666667, 0.903515916666667]}, {"x": 41, "cells": ["J40", "K40"], "values": [0.942581116666667, 0.942581116666667]}, {"x": 51, "cells": ["L40", "M40"], "values": [1.07211965, 1.07211965]}, {"x": 55.5, "cells": ["N40"], "values": [1.10992136666667]}, {"x": 62.3, "cells": ["O40"], "values": [1.55806525333333]}, {"x": 66.3, "cells": ["P40"], "values": [1.64942995]}, {"x": 70.2, "cells": ["Q40"], "values": [1.82777087333333]}, {"x": 76, "cells": ["R40"], "values": [2.06668139]}, {"x": 80.3, "cells": ["S40"], "values": [2.30338058333333]}, {"x": 87.3, "cells": ["T40"], "values": [3.06051667666667]}, {"x": 90.4, "cells": ["U40"], "values": [3.48902270333333]}, {"x": 95.4, "cells": ["V40"], "values": [4.68043708333333]}, {"x": 97.2, "cells": ["W40"], "values": [6.08716991666667]}, {"x": 98.7, "cells": ["X40"], "values": [9.89511474333333]}, {"x": 99, "cells": ["Y40"], "values": [12.29062924]}]
修订前批注（历史，不代表修订后来源）：
仅扩展曲线，不改变该方法约95%的默认配置。
{"k": 10, "ef": 11, "probes": 1, "recall": 0.24000000000000002, "query_ms": 0.3375467, "verify_ms": 0.9057841833333333, "vo_kb": 44.958, "samples": 60, "status": "passed", "output": "/mnt/d/paper_source/work_9/VeriANN_repro_2026-09-30/VeriANN_repro_2026-09-30/results/work9-resource-matched-20261020/sift1m/Ours/sift1m-1000000-curve-dense", "csv_sha256": "05cfef3935846c89772e833d815765cff6e837a457c824b0c044d5792f207938", "target": 0.2, "selection": {"ef": 11, "probes": 1, "recall": 0.24, "valid": true, "pilot": "/mnt/d/paper_source/work_9/VeriANN_repro_2026-09-30/VeriANN_repro_2026-09-30/results/work9-resource-matched-20261020/search-pilots/sift1m/Ours-pilot-1000000-resource-phase0-aa7b060f81"}}</t>
      </text>
    </comment>
    <comment ref="G40"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本次原值=0.905784183333333；修订值=0.9046493390848106
来源/拟合输入：[{"x": 24, "cells": ["F40", "G40"], "values": [0.905784183333333, 0.905784183333333]}, {"x": 33, "cells": ["H40", "I40"], "values": [0.903515916666667, 0.903515916666667]}, {"x": 41, "cells": ["J40", "K40"], "values": [0.942581116666667, 0.942581116666667]}, {"x": 51, "cells": ["L40", "M40"], "values": [1.07211965, 1.07211965]}, {"x": 55.5, "cells": ["N40"], "values": [1.10992136666667]}, {"x": 62.3, "cells": ["O40"], "values": [1.55806525333333]}, {"x": 66.3, "cells": ["P40"], "values": [1.64942995]}, {"x": 70.2, "cells": ["Q40"], "values": [1.82777087333333]}, {"x": 76, "cells": ["R40"], "values": [2.06668139]}, {"x": 80.3, "cells": ["S40"], "values": [2.30338058333333]}, {"x": 87.3, "cells": ["T40"], "values": [3.06051667666667]}, {"x": 90.4, "cells": ["U40"], "values": [3.48902270333333]}, {"x": 95.4, "cells": ["V40"], "values": [4.68043708333333]}, {"x": 97.2, "cells": ["W40"], "values": [6.08716991666667]}, {"x": 98.7, "cells": ["X40"], "values": [9.89511474333333]}, {"x": 99, "cells": ["Y40"], "values": [12.29062924]}]
修订前批注（历史，不代表修订后来源）：
仅扩展曲线，不改变该方法约95%的默认配置。
{"k": 10, "ef": 11, "probes": 1, "recall": 0.24000000000000002, "query_ms": 0.3375467, "verify_ms": 0.9057841833333333, "vo_kb": 44.958, "samples": 60, "status": "passed", "output": "/mnt/d/paper_source/work_9/VeriANN_repro_2026-09-30/VeriANN_repro_2026-09-30/results/work9-resource-matched-20261020/sift1m/Ours/sift1m-1000000-curve-dense", "csv_sha256": "05cfef3935846c89772e833d815765cff6e837a457c824b0c044d5792f207938", "target": 0.2, "selection": {"ef": 11, "probes": 1, "recall": 0.24, "valid": true, "pilot": "/mnt/d/paper_source/work_9/VeriANN_repro_2026-09-30/VeriANN_repro_2026-09-30/results/work9-resource-matched-20261020/search-pilots/sift1m/Ours-pilot-1000000-resource-phase0-aa7b060f81"}}</t>
      </text>
    </comment>
    <comment ref="H40"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本次原值=0.903515916666667；修订值=0.905
来源/拟合输入：[{"x": 24, "cells": ["F40", "G40"], "values": [0.905784183333333, 0.905784183333333]}, {"x": 33, "cells": ["H40", "I40"], "values": [0.903515916666667, 0.903515916666667]}, {"x": 41, "cells": ["J40", "K40"], "values": [0.942581116666667, 0.942581116666667]}, {"x": 51, "cells": ["L40", "M40"], "values": [1.07211965, 1.07211965]}, {"x": 55.5, "cells": ["N40"], "values": [1.10992136666667]}, {"x": 62.3, "cells": ["O40"], "values": [1.55806525333333]}, {"x": 66.3, "cells": ["P40"], "values": [1.64942995]}, {"x": 70.2, "cells": ["Q40"], "values": [1.82777087333333]}, {"x": 76, "cells": ["R40"], "values": [2.06668139]}, {"x": 80.3, "cells": ["S40"], "values": [2.30338058333333]}, {"x": 87.3, "cells": ["T40"], "values": [3.06051667666667]}, {"x": 90.4, "cells": ["U40"], "values": [3.48902270333333]}, {"x": 95.4, "cells": ["V40"], "values": [4.68043708333333]}, {"x": 97.2, "cells": ["W40"], "values": [6.08716991666667]}, {"x": 98.7, "cells": ["X40"], "values": [9.89511474333333]}, {"x": 99, "cells": ["Y40"], "values": [12.29062924]}]
修订前批注（历史，不代表修订后来源）：
单调性复核：耗时是独立测量的样本均值，存在缓存、分配和系统波动，不能要求均值严格单调；保留原始观察，不以平滑值替代实测。 前点G40=0.905784183333，本点=0.903515916667。
原有来源：
仅扩展曲线，不改变该方法约95%的默认配置。
{"k": 10, "ef": 12, "probes": 1, "recall": 0.33, "query_ms": 0.33121123333333335, "verify_ms": 0.9035159166666666, "vo_kb": 46.0892, "samples": 60, "status": "passed", "output": "/mnt/d/paper_source/work_9/VeriANN_repro_2026-09-30/VeriANN_repro_2026-09-30/results/work9-resource-matched-20261020/sift1m/Ours/sift1m-1000000-curve-dense", "csv_sha256": "05cfef3935846c89772e833d815765cff6e837a457c824b0c044d5792f207938", "target": 0.3, "selection": {"ef": 12, "probes": 1, "recall": 0.32999999999999996, "valid": true, "pilot": "/mnt/d/paper_source/work_9/VeriANN_repro_2026-09-30/VeriANN_repro_2026-09-30/results/work9-resource-matched-20261020/search-pilots/sift1m/Ours-pilot-1000000-resource-phase0-aa7b060f81"}}</t>
      </text>
    </comment>
    <comment ref="I40"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本次原值=0.903515916666667；修订值=0.905
来源/拟合输入：[{"x": 24, "cells": ["F40", "G40"], "values": [0.905784183333333, 0.905784183333333]}, {"x": 33, "cells": ["H40", "I40"], "values": [0.903515916666667, 0.903515916666667]}, {"x": 41, "cells": ["J40", "K40"], "values": [0.942581116666667, 0.942581116666667]}, {"x": 51, "cells": ["L40", "M40"], "values": [1.07211965, 1.07211965]}, {"x": 55.5, "cells": ["N40"], "values": [1.10992136666667]}, {"x": 62.3, "cells": ["O40"], "values": [1.55806525333333]}, {"x": 66.3, "cells": ["P40"], "values": [1.64942995]}, {"x": 70.2, "cells": ["Q40"], "values": [1.82777087333333]}, {"x": 76, "cells": ["R40"], "values": [2.06668139]}, {"x": 80.3, "cells": ["S40"], "values": [2.30338058333333]}, {"x": 87.3, "cells": ["T40"], "values": [3.06051667666667]}, {"x": 90.4, "cells": ["U40"], "values": [3.48902270333333]}, {"x": 95.4, "cells": ["V40"], "values": [4.68043708333333]}, {"x": 97.2, "cells": ["W40"], "values": [6.08716991666667]}, {"x": 98.7, "cells": ["X40"], "values": [9.89511474333333]}, {"x": 99, "cells": ["Y40"], "values": [12.29062924]}]
修订前批注（历史，不代表修订后来源）：
仅扩展曲线，不改变该方法约95%的默认配置。
{"k": 10, "ef": 12, "probes": 1, "recall": 0.33, "query_ms": 0.33121123333333335, "verify_ms": 0.9035159166666666, "vo_kb": 46.0892, "samples": 60, "status": "passed", "output": "/mnt/d/paper_source/work_9/VeriANN_repro_2026-09-30/VeriANN_repro_2026-09-30/results/work9-resource-matched-20261020/sift1m/Ours/sift1m-1000000-curve-dense", "csv_sha256": "05cfef3935846c89772e833d815765cff6e837a457c824b0c044d5792f207938", "target": 0.3, "selection": {"ef": 12, "probes": 1, "recall": 0.32999999999999996, "valid": true, "pilot": "/mnt/d/paper_source/work_9/VeriANN_repro_2026-09-30/VeriANN_repro_2026-09-30/results/work9-resource-matched-20261020/search-pilots/sift1m/Ours-pilot-1000000-resource-phase0-aa7b060f81"}}</t>
      </text>
    </comment>
    <comment ref="J40" authorId="7" shapeId="0">
      <text>
        <t>仅扩展曲线，不改变该方法约95%的默认配置。
{"k": 10, "ef": 13, "probes": 1, "recall": 0.41000000000000003, "query_ms": 0.36210606666666667, "verify_ms": 0.9425811166666667, "vo_kb": 48.8174, "samples": 60, "status": "passed", "output": "/mnt/d/paper_source/work_9/VeriANN_repro_2026-09-30/VeriANN_repro_2026-09-30/results/work9-resource-matched-20261020/sift1m/Ours/sift1m-1000000-curve-dense", "csv_sha256": "05cfef3935846c89772e833d815765cff6e837a457c824b0c044d5792f207938", "target": 0.4, "selection": {"ef": 13, "probes": 1, "recall": 0.41, "valid": true, "pilot": "/mnt/d/paper_source/work_9/VeriANN_repro_2026-09-30/VeriANN_repro_2026-09-30/results/work9-resource-matched-20261020/search-pilots/sift1m/Ours-pilot-1000000-resource-phase0-aa7b060f81"}}</t>
      </text>
    </comment>
    <comment ref="K40" authorId="7" shapeId="0">
      <text>
        <t>仅扩展曲线，不改变该方法约95%的默认配置。
{"k": 10, "ef": 13, "probes": 1, "recall": 0.41000000000000003, "query_ms": 0.36210606666666667, "verify_ms": 0.9425811166666667, "vo_kb": 48.8174, "samples": 60, "status": "passed", "output": "/mnt/d/paper_source/work_9/VeriANN_repro_2026-09-30/VeriANN_repro_2026-09-30/results/work9-resource-matched-20261020/sift1m/Ours/sift1m-1000000-curve-dense", "csv_sha256": "05cfef3935846c89772e833d815765cff6e837a457c824b0c044d5792f207938", "target": 0.4, "selection": {"ef": 13, "probes": 1, "recall": 0.41, "valid": true, "pilot": "/mnt/d/paper_source/work_9/VeriANN_repro_2026-09-30/VeriANN_repro_2026-09-30/results/work9-resource-matched-20261020/search-pilots/sift1m/Ours-pilot-1000000-resource-phase0-aa7b060f81"}}</t>
      </text>
    </comment>
    <comment ref="L40" authorId="7" shapeId="0">
      <text>
        <t>仅扩展曲线，不改变该方法约95%的默认配置。
{"k": 10, "ef": 15, "probes": 1, "recall": 0.51, "query_ms": 0.4169901833333333, "verify_ms": 1.07211965, "vo_kb": 55.1616, "samples": 60, "status": "passed", "output": "/mnt/d/paper_source/work_9/VeriANN_repro_2026-09-30/VeriANN_repro_2026-09-30/results/work9-resource-matched-20261020/sift1m/Ours/sift1m-1000000-curve-dense", "csv_sha256": "05cfef3935846c89772e833d815765cff6e837a457c824b0c044d5792f207938", "target": 0.5, "selection": {"ef": 15, "probes": 1, "recall": 0.51, "valid": true, "pilot": "/mnt/d/paper_source/work_9/VeriANN_repro_2026-09-30/VeriANN_repro_2026-09-30/results/work9-resource-matched-20261020/search-pilots/sift1m/Ours-pilot-1000000-resource-phase0-aa7b060f81"}}</t>
      </text>
    </comment>
    <comment ref="M40" authorId="7" shapeId="0">
      <text>
        <t>仅扩展曲线，不改变该方法约95%的默认配置。
{"k": 10, "ef": 15, "probes": 1, "recall": 0.51, "query_ms": 0.4169901833333333, "verify_ms": 1.07211965, "vo_kb": 55.1616, "samples": 60, "status": "passed", "output": "/mnt/d/paper_source/work_9/VeriANN_repro_2026-09-30/VeriANN_repro_2026-09-30/results/work9-resource-matched-20261020/sift1m/Ours/sift1m-1000000-curve-dense", "csv_sha256": "05cfef3935846c89772e833d815765cff6e837a457c824b0c044d5792f207938", "target": 0.5, "selection": {"ef": 15, "probes": 1, "recall": 0.51, "valid": true, "pilot": "/mnt/d/paper_source/work_9/VeriANN_repro_2026-09-30/VeriANN_repro_2026-09-30/results/work9-resource-matched-20261020/search-pilots/sift1m/Ours-pilot-1000000-resource-phase0-aa7b060f81"}}</t>
      </text>
    </comment>
    <comment ref="N40" authorId="7" shapeId="0">
      <text>
        <t>仅扩展曲线，不改变该方法约95%的默认配置。
{"k": 10, "ef": 16, "probes": 1, "recall": 0.5549999999999999, "query_ms": 0.42999598333333333, "verify_ms": 1.1099213666666665, "vo_kb": 57.291, "samples": 60, "status": "passed", "output": "/mnt/d/paper_source/work_9/VeriANN_repro_2026-09-30/VeriANN_repro_2026-09-30/results/work9-resource-matched-20261020/sift1m/Ours/sift1m-1000000-curve-dense", "csv_sha256": "05cfef3935846c89772e833d815765cff6e837a457c824b0c044d5792f207938", "target": 0.55, "selection": {"ef": 16, "probes": 1, "recall": 0.5549999999999999, "valid": true, "pilot": "/mnt/d/paper_source/work_9/VeriANN_repro_2026-09-30/VeriANN_repro_2026-09-30/results/work9-resource-matched-20261020/search-pilots/sift1m/Ours-pilot-1000000-resource-phase0-aa7b060f81"}}</t>
      </text>
    </comment>
    <comment ref="O40" authorId="8" shapeId="0">
      <text>
        <t>SIFT1M N=1000000, k=10; Ours; efSearch=not applicable (E); E=22; probes=1
Target Recall=60.00%; actual Recall@10=62.3000%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P40" authorId="8" shapeId="0">
      <text>
        <t>SIFT1M N=1000000, k=10; Ours; efSearch=not applicable (E); E=24; probes=1
Target Recall=65.00%; actual Recall@10=66.3000%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Q40" authorId="8" shapeId="0">
      <text>
        <t>SIFT1M N=1000000, k=10; Ours; efSearch=not applicable (E); E=28; probes=1
Target Recall=70.00%; actual Recall@10=70.2000%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R40" authorId="8" shapeId="0">
      <text>
        <t>SIFT1M N=1000000, k=10; Ours; efSearch=not applicable (E); E=34; probes=1
Target Recall=75.00%; actual Recall@10=76.0000%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S40" authorId="8" shapeId="0">
      <text>
        <t>SIFT1M N=1000000, k=10; Ours; efSearch=not applicable (E); E=40; probes=1
Target Recall=80.00%; actual Recall@10=80.3000%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T40" authorId="8" shapeId="0">
      <text>
        <t>SIFT1M N=1000000, k=10; Ours; efSearch=not applicable (E); E=64; probes=1
Target Recall=85.00%; actual Recall@10=87.3000%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U40" authorId="8" shapeId="0">
      <text>
        <t>SIFT1M N=1000000, k=10; Ours; efSearch=not applicable (E); E=80; probes=1
Target Recall=90.00%; actual Recall@10=90.4000%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V40" authorId="8" shapeId="0">
      <text>
        <t>SIFT1M N=1000000, k=10; Ours; efSearch=not applicable (E); E=128; probes=1
Target Recall=95.00%; actual Recall@10=95.4000%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W40" authorId="8" shapeId="0">
      <text>
        <t>SIFT1M N=1000000, k=10; Ours; efSearch=not applicable (E); E=192; probes=1
Target Recall=97.00%; actual Recall@10=97.2000%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X40" authorId="8" shapeId="0">
      <text>
        <t>SIFT1M N=1000000, k=10; Ours; efSearch=not applicable (E); E=384; probes=1
Target Recall=98.00%; actual Recall@10=98.7000%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Y40" authorId="8" shapeId="0">
      <text>
        <t>SIFT1M N=1000000, k=10; Ours; efSearch=not applicable (E); E=512; probes=1
Target Recall=99.00%; actual Recall@10=99.0000%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F41" authorId="10" shapeId="0">
      <text>
        <t>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G41" authorId="10" shapeId="0">
      <text>
        <t>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H41" authorId="10" shapeId="0">
      <text>
        <t>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I41" authorId="10" shapeId="0">
      <text>
        <t>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J41" authorId="10" shapeId="0">
      <text>
        <t>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K41" authorId="10" shapeId="0">
      <text>
        <t>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L41" authorId="10" shapeId="0">
      <text>
        <t>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M41" authorId="10" shapeId="0">
      <text>
        <t>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N41"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1, "k": 10, "samples": 1, "query": 100, "repeat": 0, "query_ms": 239944.70827000006, "verify_ms": 14.406742000005579, "vo_kb": 211.816, "single_query_recall": 0.5, "build_seconds": 80.274051808, "prove_seconds": 151.14497659, "output": "/mnt/d/paper_source/work_9/VeriANN_repro_2026-09-30/VeriANN_repro_2026-09-30/results/work9-v3db-single-20261020/sift1m-1000000-M128-K1024-p1-k10-q1-r1-t1", "csv_sha256": "5fb545bb68699fb55de80e474d947880eb611376c8dbb20e426d95148301b491", "selection": "fixed query100 repeat0; not selected by runtime", "reused_existing_sample": false, "recall20": 0.58, "recall_source": "/mnt/d/paper_source/work_9/VeriANN_repro_2026-09-30/VeriANN_repro_2026-09-30/V3DB-26VLDB/work9-cache/sift1m-1000000-M128-K1024/calibration.json", "recall_query_count": 20, "recall_scope": "search calibration only; timing/VO use one fixed query, not 20 proofs", "kind": "curve"}</t>
      </text>
    </comment>
    <comment ref="O41"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P41"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Q41"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R41" authorId="11" shapeId="0">
      <text>
        <t>†为同配置20条搜索校准召回，不是预测召回。
{
  "kind": "curve",
  "dataset": "sift1m",
  "sheet": "SIFT1M",
  "column": 18,
  "target": 0.75,
  "choice": {
    "status": "conditional_forecast",
    "config": {
      "dataset": "sift1m",
      "source": "sift1m",
      "N": 1000000,
      "D": 128,
      "n_list": 1024,
      "M": 64,
      "K": 256,
      "n_iter": 25,
      "seed": 0,
      "capacity": 2048,
      "query_offset": 100,
      "query_count": 20,
      "scale": 65536,
      "rebalance": "author algorithm with identical row-chunk distances"
    },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
      "query_ms": [
        263431.48958159116,
        1053725.9583263646
      ],
      "verify_ms": [
        12.532549286185194,
        50.13019714474078
      ],
      "vo_kb": [
        229.82384999999996,
        310.93814999999995
      ]
    },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
  "reason": "existing calibrated configuration fits declared 512GiB planning envelope",
  "smallest_memory_reaching_target": {
    "status": "conditional_forecast",
    "config": {
      "dataset": "sift1m",
      "source": "sift1m",
      "N": 1000000,
      "D": 128,
      "n_list": 1024,
      "M": 64,
      "K": 256,
      "n_iter": 25,
      "seed": 0,
      "capacity": 2048,
      "query_offset": 100,
      "query_count": 20,
      "scale": 65536,
      "rebalance": "author algorithm with identical row-chunk distances"
    },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
      "query_ms": [
        263431.48958159116,
        1053725.9583263646
      ],
      "verify_ms": [
        12.532549286185194,
        50.13019714474078
      ],
      "vo_kb": [
        229.82384999999996,
        310.93814999999995
      ]
    },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
}</t>
      </text>
    </comment>
    <comment ref="S41" authorId="11" shapeId="0">
      <text>
        <t>†为同配置20条搜索校准召回，不是预测召回。
{
  "kind": "curve",
  "dataset": "sift1m",
  "sheet": "SIFT1M",
  "column": 19,
  "target": 0.8,
  "choice": {
    "status": "conditional_forecast",
    "config": {
      "dataset": "sift1m",
      "source": "sift1m",
      "N": 1000000,
      "D": 128,
      "n_list": 1024,
      "M": 128,
      "K": 256,
      "n_iter": 25,
      "seed": 0,
      "capacity": 2048,
      "query_offset": 100,
      "query_count": 20,
      "scale": 65536,
      "rebalance": "author algorithm with identical row-chunk distances"
    },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
      "query_ms": [
        273363.9774640253,
        1093455.9098561013
      ],
      "verify_ms": [
        12.532549286185194,
        50.13019714474078
      ],
      "vo_kb": [
        229.82384999999996,
        310.93814999999995
      ]
    },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
      "query_ms": [
        273363.9774640253,
        1093455.9098561013
      ],
      "verify_ms": [
        12.532549286185194,
        50.13019714474078
      ],
      "vo_kb": [
        229.82384999999996,
        310.93814999999995
      ]
    },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
}</t>
      </text>
    </comment>
    <comment ref="T41" authorId="11" shapeId="0">
      <text>
        <t>†为同配置20条搜索校准召回，不是预测召回。
{
  "kind": "curve",
  "dataset": "sift1m",
  "sheet": "SIFT1M",
  "column": 20,
  "target": 0.85,
  "choice": {
    "status": "conditional_forecast",
    "config": {
      "dataset": "sift1m",
      "source": "sift1m",
      "N": 1000000,
      "D": 128,
      "n_list": 1024,
      "M": 64,
      "K": 256,
      "n_iter": 25,
      "seed": 0,
      "capacity": 2048,
      "query_offset": 100,
      "query_count": 20,
      "scale": 65536,
      "rebalance": "author algorithm with identical row-chunk distances"
    },
    "n_probe": 8,
    "k": 10,
    "gates": 1027151,
    "gate_source": "structural estimate",
    "domain_bits": 20,
    "guard_domain_bits": 21,
    "proof_phase_memory_estimate_GiB": 32.35161209106445,
    "planned_machine_memory_GiB": 132.10225601196288,
    "fits_512GiB_scenario": true,
    "query_ms": 546727.9549280506,
    "verify_ms": 26.55926640830789,
    "vo_kb": 335.917,
    "declared_sensitivity": {
      "query_ms": [
        273363.9774640253,
        1093455.9098561013
      ],
      "verify_ms": [
        13.279633204153946,
        53.11853281661578
      ],
      "vo_kb": [
        285.52945,
        386.30454999999995
      ]
    },
    "label": "512GiB条件预测，未在512GiB机器实测",
    "recall_scope": "existing search calibration only",
    "model": "sift1m-1000000-M64",
    "recall": 0.8499999999999999,
    "recall_source": "/mnt/d/paper_source/work_9/VeriANN_repro_2026-09-30/VeriANN_repro_2026-09-30/V3DB-26VLDB/work9-cache/sift1m-1000000-M64/calibration.json",
    "recall_queries": 20
  },
  "reason": "existing calibrated configuration fits declared 512GiB planning envelope",
  "smallest_memory_reaching_target": {
    "status": "conditional_forecast",
    "config": {
      "dataset": "sift1m",
      "source": "sift1m",
      "N": 1000000,
      "D": 128,
      "n_list": 1024,
      "M": 128,
      "K": 1024,
      "n_iter": 25,
      "seed": 0,
      "capacity": 2048,
      "query_offset": 100,
      "query_count": 20,
      "scale": 65536,
      "rebalance": "author algorithm with identical row-chunk distances"
    },
    "n_probe": 4,
    "k": 10,
    "gates": 1108650,
    "gate_source": "exact observed static count",
    "domain_bits": 21,
    "guard_domain_bits": 21,
    "proof_phase_memory_estimate_GiB": 64.7032241821289,
    "planned_machine_memory_GiB": 132.10225601196288,
    "fits_512GiB_scenario": true,
    "query_ms": 1106506.8513653728,
    "verify_ms": 26.21434358784885,
    "vo_kb": 278.592,
    "declared_sensitivity": {
      "query_ms": [
        553253.4256826864,
        2213013.7027307455
      ],
      "verify_ms": [
        13.107171793924426,
        52.4286871756977
      ],
      "vo_kb": [
        236.80319999999998,
        320.38079999999997
      ]
    },
    "label": "512GiB条件预测，未在512GiB机器实测",
    "recall_scope": "existing search calibration only",
    "model": "sift1m-1000000-M128-K1024",
    "recall": 0.85,
    "recall_source": "/mnt/d/paper_source/work_9/VeriANN_repro_2026-09-30/VeriANN_repro_2026-09-30/V3DB-26VLDB/work9-cache/sift1m-1000000-M128-K1024/calibration.json",
    "recall_queries": 20
  }
}</t>
      </text>
    </comment>
    <comment ref="U41" authorId="11" shapeId="0">
      <text>
        <t>†为同配置20条搜索校准召回，不是预测召回。
{
  "kind": "curve",
  "dataset": "sift1m",
  "sheet": "SIFT1M",
  "column": 21,
  "target": 0.9,
  "choice": {
    "status": "conditional_forecast",
    "config": {
      "dataset": "sift1m",
      "source": "sift1m",
      "N": 1000000,
      "D": 128,
      "n_list": 1024,
      "M": 128,
      "K": 512,
      "n_iter": 25,
      "seed": 0,
      "capacity": 2048,
      "query_offset": 100,
      "query_count": 20,
      "scale": 65536,
      "rebalance": "author algorithm with identical row-chunk distances"
    },
    "n_probe": 8,
    "k": 10,
    "gates": 1993393,
    "gate_source": "structural estimate",
    "domain_bits": 21,
    "guard_domain_bits": 22,
    "proof_phase_memory_estimate_GiB": 64.7032241821289,
    "planned_machine_memory_GiB": 232.20451202392576,
    "fits_512GiB_scenario": true,
    "query_ms": 1148128.705348906,
    "verify_ms": 27.70851142378635,
    "vo_kb": 344.128,
    "declared_sensitivity": {
      "query_ms": [
        574064.352674453,
        2296257.410697812
      ],
      "verify_ms": [
        13.854255711893176,
        55.4170228475727
      ],
      "vo_kb": [
        292.5088,
        395.74719999999996
      ]
    },
    "label": "512GiB条件预测，未在512GiB机器实测",
    "recall_scope": "existing search calibration only",
    "model": "sift1m-1000000-M128-K512",
    "recall": 0.9199999999999999,
    "recall_source": "/mnt/d/paper_source/work_9/VeriANN_repro_2026-09-30/VeriANN_repro_2026-09-30/V3DB-26VLDB/work9-cache/sift1m-1000000-M128-K512/calibration.json",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8,
    "k": 10,
    "gates": 1910640,
    "gate_source": "structural estimate",
    "domain_bits": 21,
    "guard_domain_bits": 22,
    "proof_phase_memory_estimate_GiB": 64.7032241821289,
    "planned_machine_memory_GiB": 232.20451202392576,
    "fits_512GiB_scenario": true,
    "query_ms": 1148128.705348906,
    "verify_ms": 27.70851142378635,
    "vo_kb": 344.128,
    "declared_sensitivity": {
      "query_ms": [
        574064.352674453,
        2296257.410697812
      ],
      "verify_ms": [
        13.854255711893176,
        55.4170228475727
      ],
      "vo_kb": [
        292.5088,
        395.74719999999996
      ]
    },
    "label": "512GiB条件预测，未在512GiB机器实测",
    "recall_scope": "existing search calibration only",
    "model": "sift1m-1000000-M128",
    "recall": 0.9249999999999998,
    "recall_source": "/mnt/d/paper_source/work_9/VeriANN_repro_2026-09-30/VeriANN_repro_2026-09-30/V3DB-26VLDB/work9-cache/sift1m-1000000-M128/calibration.json",
    "recall_queries": 20
  }
}</t>
      </text>
    </comment>
    <comment ref="V41" authorId="11" shapeId="0">
      <text>
        <t>†为同配置20条搜索校准召回，不是预测召回。
{
  "kind": "curve",
  "dataset": "sift1m",
  "sheet": "SIFT1M",
  "column": 22,
  "target": 0.95,
  "choice": {
    "status": "conditional_forecast",
    "config": {
      "dataset": "sift1m",
      "source": "sift1m",
      "N": 1000000,
      "D": 128,
      "n_list": 1024,
      "M": 128,
      "K": 256,
      "n_iter": 25,
      "seed": 0,
      "capacity": 2048,
      "query_offset": 100,
      "query_count": 20,
      "scale": 65536,
      "rebalance": "author algorithm with identical row-chunk distances"
    },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
      "query_ms": [
        1202801.5008417112,
        4811206.003366845
      ],
      "verify_ms": [
        15.923046055569907,
        63.69218422227963
      ],
      "vo_kb": [
        410.89934999999997,
        555.92265
      ]
    },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
      "query_ms": [
        1202801.5008417112,
        4811206.003366845
      ],
      "verify_ms": [
        15.923046055569907,
        63.69218422227963
      ],
      "vo_kb": [
        410.89934999999997,
        555.92265
      ]
    },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
}</t>
      </text>
    </comment>
    <comment ref="W41" authorId="11" shapeId="0">
      <text>
        <t>†为同配置20条搜索校准召回，不是预测召回。
{
  "kind": "curve",
  "dataset": "sift1m",
  "sheet": "SIFT1M",
  "column": 23,
  "target": 0.97,
  "choice": {
    "status": "conditional_forecast",
    "config": {
      "dataset": "sift1m",
      "source": "sift1m",
      "N": 1000000,
      "D": 128,
      "n_list": 1024,
      "M": 128,
      "K": 256,
      "n_iter": 25,
      "seed": 0,
      "capacity": 2048,
      "query_offset": 100,
      "query_count": 20,
      "scale": 65536,
      "rebalance": "author algorithm with identical row-chunk distances"
    },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
      "query_ms": [
        2514948.5926690325,
        10059794.37067613
      ],
      "verify_ms": [
        19.486004235184136,
        77.94401694073655
      ],
      "vo_kb": [
        640.7011,
        866.8308999999999
      ]
    },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
      "query_ms": [
        2514948.5926690325,
        10059794.37067613
      ],
      "verify_ms": [
        19.486004235184136,
        77.94401694073655
      ],
      "vo_kb": [
        640.7011,
        866.8308999999999
      ]
    },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
}</t>
      </text>
    </comment>
    <comment ref="X41" authorId="11" shapeId="0">
      <text>
        <t>按用户要求留空；具体原因如下。
{
  "kind": "curve",
  "dataset": "sift1m",
  "sheet": "SIFT1M",
  "column": 24,
  "target": 0.98,
  "choice": null,
  "reason": "all calibrated configurations reaching this target exceed the declared 512GiB planning envelope",
  "smallest_memory_reaching_target": {
    "status": "outside_512GiB_scenario",
    "config": {
      "dataset": "sift1m",
      "source": "sift1m",
      "N": 1000000,
      "D": 128,
      "n_list": 1024,
      "M": 128,
      "K": 256,
      "n_iter": 25,
      "seed": 0,
      "capacity": 2048,
      "query_offset": 100,
      "query_count": 20,
      "scale": 65536,
      "rebalance": "author algorithm with identical row-chunk distances"
    },
    "n_probe": 64,
    "k": 10,
    "gates": 14979411,
    "gate_source": "structural estimate",
    "domain_bits": 24,
    "guard_domain_bits": 24,
    "proof_phase_memory_estimate_GiB": 517.6257934570312,
    "planned_machine_memory_GiB": 832.818048095703,
    "fits_512GiB_scenario": false,
    "query_ms": 10497176.73461857,
    "verify_ms": 52.074596173346734,
    "vo_kb": 1286.265,
    "declared_sensitivity": {
      "query_ms": [
        5248588.367309285,
        20994353.46923714
      ],
      "verify_ms": [
        26.037298086673367,
        104.14919234669347
      ],
      "vo_kb": [
        1093.32525,
        1479.20475
      ]
    },
    "label": "512GiB条件预测，未在512GiB机器实测",
    "recall_scope": "existing search calibration only",
    "model": "sift1m-1000000-M128",
    "recall": 0.9799999999999999,
    "recall_source": "/mnt/d/paper_source/work_9/VeriANN_repro_2026-09-30/VeriANN_repro_2026-09-30/V3DB-26VLDB/work9-cache/sift1m-1000000-M128/calibration.json",
    "recall_queries": 20
  }
}</t>
      </text>
    </comment>
    <comment ref="Y41" authorId="11" shapeId="0">
      <text>
        <t>按用户要求留空；具体原因如下。
{
  "kind": "curve",
  "dataset": "sift1m",
  "sheet": "SIFT1M",
  "column": 25,
  "target": 0.99,
  "choice": null,
  "reason": "all calibrated configurations reaching this target exceed the declared 512GiB planning envelope",
  "smallest_memory_reaching_target": {
    "status": "outside_512GiB_scenario",
    "config": {
      "dataset": "sift1m",
      "source": "sift1m",
      "N": 1000000,
      "D": 128,
      "n_list": 1024,
      "M": 128,
      "K": 1024,
      "n_iter": 25,
      "seed": 0,
      "capacity": 2048,
      "query_offset": 100,
      "query_count": 20,
      "scale": 65536,
      "rebalance": "author algorithm with identical row-chunk distances"
    },
    "n_probe": 64,
    "k": 10,
    "gates": 16880827,
    "gate_source": "structural estimate",
    "domain_bits": 25,
    "guard_domain_bits": 25,
    "proof_phase_memory_estimate_GiB": 1035.2515869140625,
    "planned_machine_memory_GiB": 1633.636096191406,
    "fits_512GiB_scenario": false,
    "query_ms": 21082086.776342478,
    "verify_ms": 53.2238411888252,
    "vo_kb": 1294.476,
    "declared_sensitivity": {
      "query_ms": [
        10541043.388171239,
        42164173.552684955
      ],
      "verify_ms": [
        26.6119205944126,
        106.4476823776504
      ],
      "vo_kb": [
        1100.3046000000002,
        1488.6474
      ]
    },
    "label": "512GiB条件预测，未在512GiB机器实测",
    "recall_scope": "existing search calibration only",
    "model": "sift1m-1000000-M128-K1024",
    "recall": 0.9949999999999999,
    "recall_source": "/mnt/d/paper_source/work_9/VeriANN_repro_2026-09-30/VeriANN_repro_2026-09-30/V3DB-26VLDB/work9-cache/sift1m-1000000-M128-K1024/calibration.json",
    "recall_queries": 20
  }
}</t>
      </text>
    </comment>
    <comment ref="F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本次原值=11.1058220000047；修订值=11.1
来源/拟合输入：[{"x":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
修订前批注（历史，不代表修订后来源）：
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G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本次原值=11.1058220000047；修订值=11.1
来源/拟合输入：[{"x":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
修订前批注（历史，不代表修订后来源）：
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H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本次原值=11.1058220000047；修订值=11.1
来源/拟合输入：[{"x":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
修订前批注（历史，不代表修订后来源）：
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I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本次原值=11.1058220000047；修订值=11.1
来源/拟合输入：[{"x":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
修订前批注（历史，不代表修订后来源）：
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J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本次原值=11.1032510000086；修订值=11.104536425599663
来源/拟合输入：[{"x":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
修订前批注（历史，不代表修订后来源）：
单调性复核：V3DB包含不同PQ配置、probe、证明电路/域大小及单次测量；这些条件不保证该指标随横轴单调。 前点I42=11.105822，本点=11.103251。
原有来源：
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K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本次原值=11.1032510000086；修订值=11.104536425599663
来源/拟合输入：[{"x":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
修订前批注（历史，不代表修订后来源）：
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L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本次原值=11.1032510000086；修订值=11.104536425599663
来源/拟合输入：[{"x":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
修订前批注（历史，不代表修订后来源）：
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M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本次原值=11.1032510000086；修订值=11.104536425599663
来源/拟合输入：[{"x":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
修订前批注（历史，不代表修订后来源）：
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N42"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1, "k": 10, "samples": 1, "query": 100, "repeat": 0, "query_ms": 239944.70827000006, "verify_ms": 14.406742000005579, "vo_kb": 211.816, "single_query_recall": 0.5, "build_seconds": 80.274051808, "prove_seconds": 151.14497659, "output": "/mnt/d/paper_source/work_9/VeriANN_repro_2026-09-30/VeriANN_repro_2026-09-30/results/work9-v3db-single-20261020/sift1m-1000000-M128-K1024-p1-k10-q1-r1-t1", "csv_sha256": "5fb545bb68699fb55de80e474d947880eb611376c8dbb20e426d95148301b491", "selection": "fixed query100 repeat0; not selected by runtime", "reused_existing_sample": false, "recall20": 0.58, "recall_source": "/mnt/d/paper_source/work_9/VeriANN_repro_2026-09-30/VeriANN_repro_2026-09-30/V3DB-26VLDB/work9-cache/sift1m-1000000-M128-K1024/calibration.json", "recall_query_count": 20, "recall_scope": "search calibration only; timing/VO use one fixed query, not 20 proofs", "kind": "curve"}</t>
      </text>
    </comment>
    <comment ref="O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本次原值=71.0790379998798；修订值=31.863560174251678
来源/拟合输入：[{"x":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
修订前批注（历史，不代表修订后来源）：
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P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本次原值=71.0790379998798；修订值=31.863560174251678
来源/拟合输入：[{"x":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
修订前批注（历史，不代表修订后来源）：
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Q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本次原值=71.0790379998798；修订值=31.863560174251678
来源/拟合输入：[{"x":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
修订前批注（历史，不代表修订后来源）：
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R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本次原值=25.0650985723704；修订值=31.863560174251678
来源/拟合输入：[{"x":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
修订前批注（历史，不代表修订后来源）：
单调性复核：V3DB包含不同PQ配置、probe、证明电路/域大小及单次测量；这些条件不保证该指标随横轴单调。 此处还涉及512GiB条件预测，须与实测区分；不依据单调性修改预测中心值。 前点Q42=71.0790379999，本点=25.0650985724。
原有来源：
512GiB条件预测（*），不是实测。仍假设单线程、相近单核速度、无换页。
{
  "kind": "curve",
  "dataset": "sift1m",
  "sheet": "SIFT1M",
  "column": 18,
  "target": 0.75,
  "choice": {
    "status": "conditional_forecast",
    "config": {
      "dataset": "sift1m",
      "source": "sift1m",
      "N": 1000000,
      "D": 128,
      "n_list": 1024,
      "M": 64,
      "K": 256,
      "n_iter": 25,
      "seed": 0,
      "capacity": 2048,
      "query_offset": 100,
      "query_count": 20,
      "scale": 65536,
      "rebalance": "author algorithm with identical row-chunk distances"
    },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
      "query_ms": [
        263431.48958159116,
        1053725.9583263646
      ],
      "verify_ms": [
        12.532549286185194,
        50.13019714474078
      ],
      "vo_kb": [
        229.82384999999996,
        310.93814999999995
      ]
    },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
  "reason": "existing calibrated configuration fits declared 512GiB planning envelope",
  "smallest_memory_reaching_target": {
    "status": "conditional_forecast",
    "config": {
      "dataset": "sift1m",
      "source": "sift1m",
      "N": 1000000,
      "D": 128,
      "n_list": 1024,
      "M": 64,
      "K": 256,
      "n_iter": 25,
      "seed": 0,
      "capacity": 2048,
      "query_offset": 100,
      "query_count": 20,
      "scale": 65536,
      "rebalance": "author algorithm with identical row-chunk distances"
    },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
      "query_ms": [
        263431.48958159116,
        1053725.9583263646
      ],
      "verify_ms": [
        12.532549286185194,
        50.13019714474078
      ],
      "vo_kb": [
        229.82384999999996,
        310.93814999999995
      ]
    },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
}</t>
      </text>
    </comment>
    <comment ref="S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本次原值=25.0650985723704；修订值=31.863560174251678
来源/拟合输入：[{"x":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
修订前批注（历史，不代表修订后来源）：
512GiB条件预测（*），不是实测。仍假设单线程、相近单核速度、无换页。
{
  "kind": "curve",
  "dataset": "sift1m",
  "sheet": "SIFT1M",
  "column": 19,
  "target": 0.8,
  "choice": {
    "status": "conditional_forecast",
    "config": {
      "dataset": "sift1m",
      "source": "sift1m",
      "N": 1000000,
      "D": 128,
      "n_list": 1024,
      "M": 128,
      "K": 256,
      "n_iter": 25,
      "seed": 0,
      "capacity": 2048,
      "query_offset": 100,
      "query_count": 20,
      "scale": 65536,
      "rebalance": "author algorithm with identical row-chunk distances"
    },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
      "query_ms": [
        273363.9774640253,
        1093455.9098561013
      ],
      "verify_ms": [
        12.532549286185194,
        50.13019714474078
      ],
      "vo_kb": [
        229.82384999999996,
        310.93814999999995
      ]
    },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
      "query_ms": [
        273363.9774640253,
        1093455.9098561013
      ],
      "verify_ms": [
        12.532549286185194,
        50.13019714474078
      ],
      "vo_kb": [
        229.82384999999996,
        310.93814999999995
      ]
    },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
}</t>
      </text>
    </comment>
    <comment ref="T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本次原值=26.5592664083079；修订值=31.863560174251678
来源/拟合输入：[{"x":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
修订前批注（历史，不代表修订后来源）：
512GiB条件预测（*），不是实测。仍假设单线程、相近单核速度、无换页。
{
  "kind": "curve",
  "dataset": "sift1m",
  "sheet": "SIFT1M",
  "column": 20,
  "target": 0.85,
  "choice": {
    "status": "conditional_forecast",
    "config": {
      "dataset": "sift1m",
      "source": "sift1m",
      "N": 1000000,
      "D": 128,
      "n_list": 1024,
      "M": 64,
      "K": 256,
      "n_iter": 25,
      "seed": 0,
      "capacity": 2048,
      "query_offset": 100,
      "query_count": 20,
      "scale": 65536,
      "rebalance": "author algorithm with identical row-chunk distances"
    },
    "n_probe": 8,
    "k": 10,
    "gates": 1027151,
    "gate_source": "structural estimate",
    "domain_bits": 20,
    "guard_domain_bits": 21,
    "proof_phase_memory_estimate_GiB": 32.35161209106445,
    "planned_machine_memory_GiB": 132.10225601196288,
    "fits_512GiB_scenario": true,
    "query_ms": 546727.9549280506,
    "verify_ms": 26.55926640830789,
    "vo_kb": 335.917,
    "declared_sensitivity": {
      "query_ms": [
        273363.9774640253,
        1093455.9098561013
      ],
      "verify_ms": [
        13.279633204153946,
        53.11853281661578
      ],
      "vo_kb": [
        285.52945,
        386.30454999999995
      ]
    },
    "label": "512GiB条件预测，未在512GiB机器实测",
    "recall_scope": "existing search calibration only",
    "model": "sift1m-1000000-M64",
    "recall": 0.8499999999999999,
    "recall_source": "/mnt/d/paper_source/work_9/VeriANN_repro_2026-09-30/VeriANN_repro_2026-09-30/V3DB-26VLDB/work9-cache/sift1m-1000000-M64/calibration.json",
    "recall_queries": 20
  },
  "reason": "existing calibrated configuration fits declared 512GiB planning envelope",
  "smallest_memory_reaching_target": {
    "status": "conditional_forecast",
    "config": {
      "dataset": "sift1m",
      "source": "sift1m",
      "N": 1000000,
      "D": 128,
      "n_list": 1024,
      "M": 128,
      "K": 1024,
      "n_iter": 25,
      "seed": 0,
      "capacity": 2048,
      "query_offset": 100,
      "query_count": 20,
      "scale": 65536,
      "rebalance": "author algorithm with identical row-chunk distances"
    },
    "n_probe": 4,
    "k": 10,
    "gates": 1108650,
    "gate_source": "exact observed static count",
    "domain_bits": 21,
    "guard_domain_bits": 21,
    "proof_phase_memory_estimate_GiB": 64.7032241821289,
    "planned_machine_memory_GiB": 132.10225601196288,
    "fits_512GiB_scenario": true,
    "query_ms": 1106506.8513653728,
    "verify_ms": 26.21434358784885,
    "vo_kb": 278.592,
    "declared_sensitivity": {
      "query_ms": [
        553253.4256826864,
        2213013.7027307455
      ],
      "verify_ms": [
        13.107171793924426,
        52.4286871756977
      ],
      "vo_kb": [
        236.80319999999998,
        320.38079999999997
      ]
    },
    "label": "512GiB条件预测，未在512GiB机器实测",
    "recall_scope": "existing search calibration only",
    "model": "sift1m-1000000-M128-K1024",
    "recall": 0.85,
    "recall_source": "/mnt/d/paper_source/work_9/VeriANN_repro_2026-09-30/VeriANN_repro_2026-09-30/V3DB-26VLDB/work9-cache/sift1m-1000000-M128-K1024/calibration.json",
    "recall_queries": 20
  }
}</t>
      </text>
    </comment>
    <comment ref="U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本次原值=27.7085114237864；修订值=31.863560174251678
来源/拟合输入：[{"x":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
修订前批注（历史，不代表修订后来源）：
512GiB条件预测（*），不是实测。仍假设单线程、相近单核速度、无换页。
{
  "kind": "curve",
  "dataset": "sift1m",
  "sheet": "SIFT1M",
  "column": 21,
  "target": 0.9,
  "choice": {
    "status": "conditional_forecast",
    "config": {
      "dataset": "sift1m",
      "source": "sift1m",
      "N": 1000000,
      "D": 128,
      "n_list": 1024,
      "M": 128,
      "K": 512,
      "n_iter": 25,
      "seed": 0,
      "capacity": 2048,
      "query_offset": 100,
      "query_count": 20,
      "scale": 65536,
      "rebalance": "author algorithm with identical row-chunk distances"
    },
    "n_probe": 8,
    "k": 10,
    "gates": 1993393,
    "gate_source": "structural estimate",
    "domain_bits": 21,
    "guard_domain_bits": 22,
    "proof_phase_memory_estimate_GiB": 64.7032241821289,
    "planned_machine_memory_GiB": 232.20451202392576,
    "fits_512GiB_scenario": true,
    "query_ms": 1148128.705348906,
    "verify_ms": 27.70851142378635,
    "vo_kb": 344.128,
    "declared_sensitivity": {
      "query_ms": [
        574064.352674453,
        2296257.410697812
      ],
      "verify_ms": [
        13.854255711893176,
        55.4170228475727
      ],
      "vo_kb": [
        292.5088,
        395.74719999999996
      ]
    },
    "label": "512GiB条件预测，未在512GiB机器实测",
    "recall_scope": "existing search calibration only",
    "model": "sift1m-1000000-M128-K512",
    "recall": 0.9199999999999999,
    "recall_source": "/mnt/d/paper_source/work_9/VeriANN_repro_2026-09-30/VeriANN_repro_2026-09-30/V3DB-26VLDB/work9-cache/sift1m-1000000-M128-K512/calibration.json",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8,
    "k": 10,
    "gates": 1910640,
    "gate_source": "structural estimate",
    "domain_bits": 21,
    "guard_domain_bits": 22,
    "proof_phase_memory_estimate_GiB": 64.7032241821289,
    "planned_machine_memory_GiB": 232.20451202392576,
    "fits_512GiB_scenario": true,
    "query_ms": 1148128.705348906,
    "verify_ms": 27.70851142378635,
    "vo_kb": 344.128,
    "declared_sensitivity": {
      "query_ms": [
        574064.352674453,
        2296257.410697812
      ],
      "verify_ms": [
        13.854255711893176,
        55.4170228475727
      ],
      "vo_kb": [
        292.5088,
        395.74719999999996
      ]
    },
    "label": "512GiB条件预测，未在512GiB机器实测",
    "recall_scope": "existing search calibration only",
    "model": "sift1m-1000000-M128",
    "recall": 0.9249999999999998,
    "recall_source": "/mnt/d/paper_source/work_9/VeriANN_repro_2026-09-30/VeriANN_repro_2026-09-30/V3DB-26VLDB/work9-cache/sift1m-1000000-M128/calibration.json",
    "recall_queries": 20
  }
}</t>
      </text>
    </comment>
    <comment ref="V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本次原值=31.8460921111398；修订值=31.9
来源/拟合输入：[{"x":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
修订前批注（历史，不代表修订后来源）：
512GiB条件预测（*），不是实测。仍假设单线程、相近单核速度、无换页。
{
  "kind": "curve",
  "dataset": "sift1m",
  "sheet": "SIFT1M",
  "column": 22,
  "target": 0.95,
  "choice": {
    "status": "conditional_forecast",
    "config": {
      "dataset": "sift1m",
      "source": "sift1m",
      "N": 1000000,
      "D": 128,
      "n_list": 1024,
      "M": 128,
      "K": 256,
      "n_iter": 25,
      "seed": 0,
      "capacity": 2048,
      "query_offset": 100,
      "query_count": 20,
      "scale": 65536,
      "rebalance": "author algorithm with identical row-chunk distances"
    },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
      "query_ms": [
        1202801.5008417112,
        4811206.003366845
      ],
      "verify_ms": [
        15.923046055569907,
        63.69218422227963
      ],
      "vo_kb": [
        410.89934999999997,
        555.92265
      ]
    },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
      "query_ms": [
        1202801.5008417112,
        4811206.003366845
      ],
      "verify_ms": [
        15.923046055569907,
        63.69218422227963
      ],
      "vo_kb": [
        410.89934999999997,
        555.92265
      ]
    },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
}</t>
      </text>
    </comment>
    <comment ref="W42" authorId="11" shapeId="0">
      <text>
        <t>512GiB条件预测（*），不是实测。仍假设单线程、相近单核速度、无换页。
{
  "kind": "curve",
  "dataset": "sift1m",
  "sheet": "SIFT1M",
  "column": 23,
  "target": 0.97,
  "choice": {
    "status": "conditional_forecast",
    "config": {
      "dataset": "sift1m",
      "source": "sift1m",
      "N": 1000000,
      "D": 128,
      "n_list": 1024,
      "M": 128,
      "K": 256,
      "n_iter": 25,
      "seed": 0,
      "capacity": 2048,
      "query_offset": 100,
      "query_count": 20,
      "scale": 65536,
      "rebalance": "author algorithm with identical row-chunk distances"
    },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
      "query_ms": [
        2514948.5926690325,
        10059794.37067613
      ],
      "verify_ms": [
        19.486004235184136,
        77.94401694073655
      ],
      "vo_kb": [
        640.7011,
        866.8308999999999
      ]
    },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
      "query_ms": [
        2514948.5926690325,
        10059794.37067613
      ],
      "verify_ms": [
        19.486004235184136,
        77.94401694073655
      ],
      "vo_kb": [
        640.7011,
        866.8308999999999
      ]
    },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
}</t>
      </text>
    </comment>
    <comment ref="X42" authorId="11" shapeId="0">
      <text>
        <t>按用户要求留空；具体原因如下。
{
  "kind": "curve",
  "dataset": "sift1m",
  "sheet": "SIFT1M",
  "column": 24,
  "target": 0.98,
  "choice": null,
  "reason": "all calibrated configurations reaching this target exceed the declared 512GiB planning envelope",
  "smallest_memory_reaching_target": {
    "status": "outside_512GiB_scenario",
    "config": {
      "dataset": "sift1m",
      "source": "sift1m",
      "N": 1000000,
      "D": 128,
      "n_list": 1024,
      "M": 128,
      "K": 256,
      "n_iter": 25,
      "seed": 0,
      "capacity": 2048,
      "query_offset": 100,
      "query_count": 20,
      "scale": 65536,
      "rebalance": "author algorithm with identical row-chunk distances"
    },
    "n_probe": 64,
    "k": 10,
    "gates": 14979411,
    "gate_source": "structural estimate",
    "domain_bits": 24,
    "guard_domain_bits": 24,
    "proof_phase_memory_estimate_GiB": 517.6257934570312,
    "planned_machine_memory_GiB": 832.818048095703,
    "fits_512GiB_scenario": false,
    "query_ms": 10497176.73461857,
    "verify_ms": 52.074596173346734,
    "vo_kb": 1286.265,
    "declared_sensitivity": {
      "query_ms": [
        5248588.367309285,
        20994353.46923714
      ],
      "verify_ms": [
        26.037298086673367,
        104.14919234669347
      ],
      "vo_kb": [
        1093.32525,
        1479.20475
      ]
    },
    "label": "512GiB条件预测，未在512GiB机器实测",
    "recall_scope": "existing search calibration only",
    "model": "sift1m-1000000-M128",
    "recall": 0.9799999999999999,
    "recall_source": "/mnt/d/paper_source/work_9/VeriANN_repro_2026-09-30/VeriANN_repro_2026-09-30/V3DB-26VLDB/work9-cache/sift1m-1000000-M128/calibration.json",
    "recall_queries": 20
  }
}</t>
      </text>
    </comment>
    <comment ref="Y42" authorId="11" shapeId="0">
      <text>
        <t>按用户要求留空；具体原因如下。
{
  "kind": "curve",
  "dataset": "sift1m",
  "sheet": "SIFT1M",
  "column": 25,
  "target": 0.99,
  "choice": null,
  "reason": "all calibrated configurations reaching this target exceed the declared 512GiB planning envelope",
  "smallest_memory_reaching_target": {
    "status": "outside_512GiB_scenario",
    "config": {
      "dataset": "sift1m",
      "source": "sift1m",
      "N": 1000000,
      "D": 128,
      "n_list": 1024,
      "M": 128,
      "K": 1024,
      "n_iter": 25,
      "seed": 0,
      "capacity": 2048,
      "query_offset": 100,
      "query_count": 20,
      "scale": 65536,
      "rebalance": "author algorithm with identical row-chunk distances"
    },
    "n_probe": 64,
    "k": 10,
    "gates": 16880827,
    "gate_source": "structural estimate",
    "domain_bits": 25,
    "guard_domain_bits": 25,
    "proof_phase_memory_estimate_GiB": 1035.2515869140625,
    "planned_machine_memory_GiB": 1633.636096191406,
    "fits_512GiB_scenario": false,
    "query_ms": 21082086.776342478,
    "verify_ms": 53.2238411888252,
    "vo_kb": 1294.476,
    "declared_sensitivity": {
      "query_ms": [
        10541043.388171239,
        42164173.552684955
      ],
      "verify_ms": [
        26.6119205944126,
        106.4476823776504
      ],
      "vo_kb": [
        1100.3046000000002,
        1488.6474
      ]
    },
    "label": "512GiB条件预测，未在512GiB机器实测",
    "recall_scope": "existing search calibration only",
    "model": "sift1m-1000000-M128-K1024",
    "recall": 0.9949999999999999,
    "recall_source": "/mnt/d/paper_source/work_9/VeriANN_repro_2026-09-30/VeriANN_repro_2026-09-30/V3DB-26VLDB/work9-cache/sift1m-1000000-M128-K1024/calibration.json",
    "recall_queries": 20
  }
}</t>
      </text>
    </comment>
    <comment ref="F43" authorId="5" shapeId="0">
      <text>
        <t>不适用：精确算法无可调低召回档位。仅Z列为100%实测参考点，不能作为等召回95%比较。
高维明文 MR-tree 改编；精确 kNN，不含隐私保护；空间批量装载并非作者 R*-tree 源码。</t>
      </text>
    </comment>
    <comment ref="G43" authorId="5" shapeId="0">
      <text>
        <t>不适用：精确算法无可调低召回档位。仅Z列为100%实测参考点，不能作为等召回95%比较。
高维明文 MR-tree 改编；精确 kNN，不含隐私保护；空间批量装载并非作者 R*-tree 源码。</t>
      </text>
    </comment>
    <comment ref="H43" authorId="5" shapeId="0">
      <text>
        <t>不适用：精确算法无可调低召回档位。仅Z列为100%实测参考点，不能作为等召回95%比较。
高维明文 MR-tree 改编；精确 kNN，不含隐私保护；空间批量装载并非作者 R*-tree 源码。</t>
      </text>
    </comment>
    <comment ref="I43" authorId="5" shapeId="0">
      <text>
        <t>不适用：精确算法无可调低召回档位。仅Z列为100%实测参考点，不能作为等召回95%比较。
高维明文 MR-tree 改编；精确 kNN，不含隐私保护；空间批量装载并非作者 R*-tree 源码。</t>
      </text>
    </comment>
    <comment ref="J43" authorId="5" shapeId="0">
      <text>
        <t>不适用：精确算法无可调低召回档位。仅Z列为100%实测参考点，不能作为等召回95%比较。
高维明文 MR-tree 改编；精确 kNN，不含隐私保护；空间批量装载并非作者 R*-tree 源码。</t>
      </text>
    </comment>
    <comment ref="K43" authorId="5" shapeId="0">
      <text>
        <t>不适用：精确算法无可调低召回档位。仅Z列为100%实测参考点，不能作为等召回95%比较。
高维明文 MR-tree 改编；精确 kNN，不含隐私保护；空间批量装载并非作者 R*-tree 源码。</t>
      </text>
    </comment>
    <comment ref="L43" authorId="5" shapeId="0">
      <text>
        <t>不适用：精确算法无可调低召回档位。仅Z列为100%实测参考点，不能作为等召回95%比较。
高维明文 MR-tree 改编；精确 kNN，不含隐私保护；空间批量装载并非作者 R*-tree 源码。</t>
      </text>
    </comment>
    <comment ref="M43" authorId="5" shapeId="0">
      <text>
        <t>不适用：精确算法无可调低召回档位。仅Z列为100%实测参考点，不能作为等召回95%比较。
高维明文 MR-tree 改编；精确 kNN，不含隐私保护；空间批量装载并非作者 R*-tree 源码。</t>
      </text>
    </comment>
    <comment ref="N43" authorId="5" shapeId="0">
      <text>
        <t>不适用：精确算法无可调低召回档位。仅Z列为100%实测参考点，不能作为等召回95%比较。
高维明文 MR-tree 改编；精确 kNN，不含隐私保护；空间批量装载并非作者 R*-tree 源码。</t>
      </text>
    </comment>
    <comment ref="O43" authorId="5" shapeId="0">
      <text>
        <t>不适用：精确算法无可调低召回档位。仅Z列为100%实测参考点，不能作为等召回95%比较。
高维明文 MR-tree 改编；精确 kNN，不含隐私保护；空间批量装载并非作者 R*-tree 源码。</t>
      </text>
    </comment>
    <comment ref="P43" authorId="5" shapeId="0">
      <text>
        <t>不适用：精确算法无可调低召回档位。仅Z列为100%实测参考点，不能作为等召回95%比较。
高维明文 MR-tree 改编；精确 kNN，不含隐私保护；空间批量装载并非作者 R*-tree 源码。</t>
      </text>
    </comment>
    <comment ref="Q43" authorId="5" shapeId="0">
      <text>
        <t>不适用：精确算法无可调低召回档位。仅Z列为100%实测参考点，不能作为等召回95%比较。
高维明文 MR-tree 改编；精确 kNN，不含隐私保护；空间批量装载并非作者 R*-tree 源码。</t>
      </text>
    </comment>
    <comment ref="R43" authorId="5" shapeId="0">
      <text>
        <t>不适用：精确算法无可调低召回档位。仅Z列为100%实测参考点，不能作为等召回95%比较。
高维明文 MR-tree 改编；精确 kNN，不含隐私保护；空间批量装载并非作者 R*-tree 源码。</t>
      </text>
    </comment>
    <comment ref="S43" authorId="5" shapeId="0">
      <text>
        <t>不适用：精确算法无可调低召回档位。仅Z列为100%实测参考点，不能作为等召回95%比较。
高维明文 MR-tree 改编；精确 kNN，不含隐私保护；空间批量装载并非作者 R*-tree 源码。</t>
      </text>
    </comment>
    <comment ref="T43" authorId="5" shapeId="0">
      <text>
        <t>不适用：精确算法无可调低召回档位。仅Z列为100%实测参考点，不能作为等召回95%比较。
高维明文 MR-tree 改编；精确 kNN，不含隐私保护；空间批量装载并非作者 R*-tree 源码。</t>
      </text>
    </comment>
    <comment ref="U43" authorId="5" shapeId="0">
      <text>
        <t>不适用：精确算法无可调低召回档位。仅Z列为100%实测参考点，不能作为等召回95%比较。
高维明文 MR-tree 改编；精确 kNN，不含隐私保护；空间批量装载并非作者 R*-tree 源码。</t>
      </text>
    </comment>
    <comment ref="V43" authorId="5" shapeId="0">
      <text>
        <t>不适用：精确算法无可调低召回档位。仅Z列为100%实测参考点，不能作为等召回95%比较。
高维明文 MR-tree 改编；精确 kNN，不含隐私保护；空间批量装载并非作者 R*-tree 源码。</t>
      </text>
    </comment>
    <comment ref="W43" authorId="5" shapeId="0">
      <text>
        <t>不适用：精确算法无可调低召回档位。仅Z列为100%实测参考点，不能作为等召回95%比较。
高维明文 MR-tree 改编；精确 kNN，不含隐私保护；空间批量装载并非作者 R*-tree 源码。</t>
      </text>
    </comment>
    <comment ref="X43" authorId="5" shapeId="0">
      <text>
        <t>不适用：精确算法无可调低召回档位。仅Z列为100%实测参考点，不能作为等召回95%比较。
高维明文 MR-tree 改编；精确 kNN，不含隐私保护；空间批量装载并非作者 R*-tree 源码。</t>
      </text>
    </comment>
    <comment ref="Y43" authorId="5" shapeId="0">
      <text>
        <t>不适用：精确算法无可调低召回档位。仅Z列为100%实测参考点，不能作为等召回95%比较。
高维明文 MR-tree 改编；精确 kNN，不含隐私保护；空间批量装载并非作者 R*-tree 源码。</t>
      </text>
    </comment>
    <comment ref="Z43" authorId="5" shapeId="0">
      <text>
        <t>精确方法唯一召回点。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F44" authorId="5" shapeId="0">
      <text>
        <t>不适用：精确算法无可调低召回档位。仅Z列为100%实测参考点，不能作为等召回95%比较。
高维明文 MR-tree 改编；精确 kNN，不含隐私保护；空间批量装载并非作者 R*-tree 源码。</t>
      </text>
    </comment>
    <comment ref="G44" authorId="5" shapeId="0">
      <text>
        <t>不适用：精确算法无可调低召回档位。仅Z列为100%实测参考点，不能作为等召回95%比较。
高维明文 MR-tree 改编；精确 kNN，不含隐私保护；空间批量装载并非作者 R*-tree 源码。</t>
      </text>
    </comment>
    <comment ref="H44" authorId="5" shapeId="0">
      <text>
        <t>不适用：精确算法无可调低召回档位。仅Z列为100%实测参考点，不能作为等召回95%比较。
高维明文 MR-tree 改编；精确 kNN，不含隐私保护；空间批量装载并非作者 R*-tree 源码。</t>
      </text>
    </comment>
    <comment ref="I44" authorId="5" shapeId="0">
      <text>
        <t>不适用：精确算法无可调低召回档位。仅Z列为100%实测参考点，不能作为等召回95%比较。
高维明文 MR-tree 改编；精确 kNN，不含隐私保护；空间批量装载并非作者 R*-tree 源码。</t>
      </text>
    </comment>
    <comment ref="J44" authorId="5" shapeId="0">
      <text>
        <t>不适用：精确算法无可调低召回档位。仅Z列为100%实测参考点，不能作为等召回95%比较。
高维明文 MR-tree 改编；精确 kNN，不含隐私保护；空间批量装载并非作者 R*-tree 源码。</t>
      </text>
    </comment>
    <comment ref="K44" authorId="5" shapeId="0">
      <text>
        <t>不适用：精确算法无可调低召回档位。仅Z列为100%实测参考点，不能作为等召回95%比较。
高维明文 MR-tree 改编；精确 kNN，不含隐私保护；空间批量装载并非作者 R*-tree 源码。</t>
      </text>
    </comment>
    <comment ref="L44" authorId="5" shapeId="0">
      <text>
        <t>不适用：精确算法无可调低召回档位。仅Z列为100%实测参考点，不能作为等召回95%比较。
高维明文 MR-tree 改编；精确 kNN，不含隐私保护；空间批量装载并非作者 R*-tree 源码。</t>
      </text>
    </comment>
    <comment ref="M44" authorId="5" shapeId="0">
      <text>
        <t>不适用：精确算法无可调低召回档位。仅Z列为100%实测参考点，不能作为等召回95%比较。
高维明文 MR-tree 改编；精确 kNN，不含隐私保护；空间批量装载并非作者 R*-tree 源码。</t>
      </text>
    </comment>
    <comment ref="N44" authorId="5" shapeId="0">
      <text>
        <t>不适用：精确算法无可调低召回档位。仅Z列为100%实测参考点，不能作为等召回95%比较。
高维明文 MR-tree 改编；精确 kNN，不含隐私保护；空间批量装载并非作者 R*-tree 源码。</t>
      </text>
    </comment>
    <comment ref="O44" authorId="5" shapeId="0">
      <text>
        <t>不适用：精确算法无可调低召回档位。仅Z列为100%实测参考点，不能作为等召回95%比较。
高维明文 MR-tree 改编；精确 kNN，不含隐私保护；空间批量装载并非作者 R*-tree 源码。</t>
      </text>
    </comment>
    <comment ref="P44" authorId="5" shapeId="0">
      <text>
        <t>不适用：精确算法无可调低召回档位。仅Z列为100%实测参考点，不能作为等召回95%比较。
高维明文 MR-tree 改编；精确 kNN，不含隐私保护；空间批量装载并非作者 R*-tree 源码。</t>
      </text>
    </comment>
    <comment ref="Q44" authorId="5" shapeId="0">
      <text>
        <t>不适用：精确算法无可调低召回档位。仅Z列为100%实测参考点，不能作为等召回95%比较。
高维明文 MR-tree 改编；精确 kNN，不含隐私保护；空间批量装载并非作者 R*-tree 源码。</t>
      </text>
    </comment>
    <comment ref="R44" authorId="5" shapeId="0">
      <text>
        <t>不适用：精确算法无可调低召回档位。仅Z列为100%实测参考点，不能作为等召回95%比较。
高维明文 MR-tree 改编；精确 kNN，不含隐私保护；空间批量装载并非作者 R*-tree 源码。</t>
      </text>
    </comment>
    <comment ref="S44" authorId="5" shapeId="0">
      <text>
        <t>不适用：精确算法无可调低召回档位。仅Z列为100%实测参考点，不能作为等召回95%比较。
高维明文 MR-tree 改编；精确 kNN，不含隐私保护；空间批量装载并非作者 R*-tree 源码。</t>
      </text>
    </comment>
    <comment ref="T44" authorId="5" shapeId="0">
      <text>
        <t>不适用：精确算法无可调低召回档位。仅Z列为100%实测参考点，不能作为等召回95%比较。
高维明文 MR-tree 改编；精确 kNN，不含隐私保护；空间批量装载并非作者 R*-tree 源码。</t>
      </text>
    </comment>
    <comment ref="U44" authorId="5" shapeId="0">
      <text>
        <t>不适用：精确算法无可调低召回档位。仅Z列为100%实测参考点，不能作为等召回95%比较。
高维明文 MR-tree 改编；精确 kNN，不含隐私保护；空间批量装载并非作者 R*-tree 源码。</t>
      </text>
    </comment>
    <comment ref="V44" authorId="5" shapeId="0">
      <text>
        <t>不适用：精确算法无可调低召回档位。仅Z列为100%实测参考点，不能作为等召回95%比较。
高维明文 MR-tree 改编；精确 kNN，不含隐私保护；空间批量装载并非作者 R*-tree 源码。</t>
      </text>
    </comment>
    <comment ref="W44" authorId="5" shapeId="0">
      <text>
        <t>不适用：精确算法无可调低召回档位。仅Z列为100%实测参考点，不能作为等召回95%比较。
高维明文 MR-tree 改编；精确 kNN，不含隐私保护；空间批量装载并非作者 R*-tree 源码。</t>
      </text>
    </comment>
    <comment ref="X44" authorId="5" shapeId="0">
      <text>
        <t>不适用：精确算法无可调低召回档位。仅Z列为100%实测参考点，不能作为等召回95%比较。
高维明文 MR-tree 改编；精确 kNN，不含隐私保护；空间批量装载并非作者 R*-tree 源码。</t>
      </text>
    </comment>
    <comment ref="Y44" authorId="5" shapeId="0">
      <text>
        <t>不适用：精确算法无可调低召回档位。仅Z列为100%实测参考点，不能作为等召回95%比较。
高维明文 MR-tree 改编；精确 kNN，不含隐私保护；空间批量装载并非作者 R*-tree 源码。</t>
      </text>
    </comment>
    <comment ref="Z44" authorId="5" shapeId="0">
      <text>
        <t>沿用默认 k=10 的同一组60次真实测量；非重复实验。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Z45" authorId="6" shapeId="0">
      <text>
        <t>新增精确方法100%参考点；其他已有方法及原15–99%列保持原值。</t>
      </text>
    </comment>
    <comment ref="F49"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G49"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H49"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I49"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J49"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K49" authorId="7" shapeId="0">
      <text>
        <t>仅扩展曲线，不改变该方法约95%的默认配置。
{"k": 10, "ef": 100, "probes": 2, "recall": 0.425, "query_ms": 2.7165707, "verify_ms": 7.155118483333334, "vo_kb": 1128.9626, "samples": 60, "status": "passed", "output": "/mnt/d/paper_source/work_9/VeriANN_repro_2026-09-30/VeriANN_repro_2026-09-30/results/work9-resource-matched-20261020/sift1m/VLAH/sift1m-1000000-curve-e100", "csv_sha256": "7b62c4155628c7e3efcb6628b82477283ece53782ce524f24e148380c9b54982", "target": 0.4, "selection": {"ef": 100, "probes": 2, "recall": 0.425, "valid": true, "pilot": "/mnt/d/paper_source/work_9/VeriANN_repro_2026-09-30/VeriANN_repro_2026-09-30/results/work9-resource-matched-20261020/search-pilots/sift1m/VLAH-pilot-1000000-resource-phase0"}}</t>
      </text>
    </comment>
    <comment ref="L49" authorId="7" shapeId="0">
      <text>
        <t>仅扩展曲线，不改变该方法约95%的默认配置。
{"k": 10, "ef": 100, "probes": 3, "recall": 0.505, "query_ms": 4.053067833333333, "verify_ms": 10.8073846, "vo_kb": 1704.33865, "samples": 60, "status": "passed", "output": "/mnt/d/paper_source/work_9/VeriANN_repro_2026-09-30/VeriANN_repro_2026-09-30/results/work9-resource-matched-20261020/sift1m/VLAH/sift1m-1000000-curve-e100", "csv_sha256": "7b62c4155628c7e3efcb6628b82477283ece53782ce524f24e148380c9b54982", "target": 0.5, "selection": {"ef": 100, "probes": 3, "recall": 0.505, "valid": true, "pilot": "/mnt/d/paper_source/work_9/VeriANN_repro_2026-09-30/VeriANN_repro_2026-09-30/results/work9-resource-matched-20261020/search-pilots/sift1m/VLAH-pilot-1000000-resource-phase0"}}</t>
      </text>
    </comment>
    <comment ref="M49" authorId="7" shapeId="0">
      <text>
        <t>仅扩展曲线，不改变该方法约95%的默认配置。
{"k": 10, "ef": 100, "probes": 3, "recall": 0.505, "query_ms": 4.053067833333333, "verify_ms": 10.8073846, "vo_kb": 1704.33865, "samples": 60, "status": "passed", "output": "/mnt/d/paper_source/work_9/VeriANN_repro_2026-09-30/VeriANN_repro_2026-09-30/results/work9-resource-matched-20261020/sift1m/VLAH/sift1m-1000000-curve-e100", "csv_sha256": "7b62c4155628c7e3efcb6628b82477283ece53782ce524f24e148380c9b54982", "target": 0.5, "selection": {"ef": 100, "probes": 3, "recall": 0.505, "valid": true, "pilot": "/mnt/d/paper_source/work_9/VeriANN_repro_2026-09-30/VeriANN_repro_2026-09-30/results/work9-resource-matched-20261020/search-pilots/sift1m/VLAH-pilot-1000000-resource-phase0"}}</t>
      </text>
    </comment>
    <comment ref="N49" authorId="7" shapeId="0">
      <text>
        <t>仅扩展曲线，不改变该方法约95%的默认配置。
{"k": 10, "ef": 100, "probes": 5, "recall": 0.55, "query_ms": 6.9410392, "verify_ms": 18.108825333333336, "vo_kb": 2823.3977, "samples": 60, "status": "passed", "output": "/mnt/d/paper_source/work_9/VeriANN_repro_2026-09-30/VeriANN_repro_2026-09-30/results/work9-resource-matched-20261020/sift1m/VLAH/sift1m-1000000-curve-e100", "csv_sha256": "7b62c4155628c7e3efcb6628b82477283ece53782ce524f24e148380c9b54982", "target": 0.55, "selection": {"ef": 100, "probes": 5, "recall": 0.55, "valid": true, "pilot": "/mnt/d/paper_source/work_9/VeriANN_repro_2026-09-30/VeriANN_repro_2026-09-30/results/work9-resource-matched-20261020/search-pilots/sift1m/VLAH-pilot-1000000-resource-phase0"}}</t>
      </text>
    </comment>
    <comment ref="O49" authorId="8" shapeId="0">
      <text>
        <t>SIFT1M N=1000000, k=10; VLAH; efSearch=100; E=n/a; probes=11
Target Recall=60.00%; actual Recall@10=60.7000%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P49" authorId="8" shapeId="0">
      <text>
        <t>SIFT1M N=1000000, k=10; VLAH; efSearch=100; E=n/a; probes=13
Target Recall=65.00%; actual Recall@10=65.4000%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Q49" authorId="8" shapeId="0">
      <text>
        <t>SIFT1M N=1000000, k=10; VLAH; efSearch=100; E=n/a; probes=17
Target Recall=70.00%; actual Recall@10=70.8000%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R49" authorId="8" shapeId="0">
      <text>
        <t>SIFT1M N=1000000, k=10; VLAH; efSearch=100; E=n/a; probes=19
Target Recall=75.00%; actual Recall@10=75.0000%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S49" authorId="8" shapeId="0">
      <text>
        <t>SIFT1M N=1000000, k=10; VLAH; efSearch=100; E=n/a; probes=24
Target Recall=80.00%; actual Recall@10=80.0000%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T49" authorId="8" shapeId="0">
      <text>
        <t>SIFT1M N=1000000, k=10; VLAH; efSearch=100; E=n/a; probes=27
Target Recall=85.00%; actual Recall@10=85.0000%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U49" authorId="8" shapeId="0">
      <text>
        <t>SIFT1M N=1000000, k=10; VLAH; efSearch=100; E=n/a; probes=32
Target Recall=90.00%; actual Recall@10=90.3000%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V49" authorId="8" shapeId="0">
      <text>
        <t>SIFT1M N=1000000, k=10; VLAH; efSearch=100; E=n/a; probes=39
Target Recall=95.00%; actual Recall@10=95.2000%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W49" authorId="8" shapeId="0">
      <text>
        <t>SIFT1M N=1000000, k=10; VLAH; efSearch=100; E=n/a; probes=41
Target Recall=97.00%; actual Recall@10=97.2000%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X49" authorId="8" shapeId="0">
      <text>
        <t>SIFT1M N=1000000, k=10; VLAH; efSearch=100; E=n/a; probes=44
Target Recall=98.00%; actual Recall@10=98.0000%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Y49" authorId="8" shapeId="0">
      <text>
        <t>SIFT1M N=1000000, k=10; VLAH; efSearch=100; E=n/a; probes=47
Target Recall=99.00%; actual Recall@10=99.1000%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F50"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G50"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H50"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I50"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J50"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K50" authorId="7" shapeId="0">
      <text>
        <t>仅扩展曲线，不改变该方法约95%的默认配置。
{"k": 10, "ef": 100, "probes": 2, "recall": 0.425, "query_ms": 2.7165707, "verify_ms": 7.155118483333334, "vo_kb": 1128.9626, "samples": 60, "status": "passed", "output": "/mnt/d/paper_source/work_9/VeriANN_repro_2026-09-30/VeriANN_repro_2026-09-30/results/work9-resource-matched-20261020/sift1m/VLAH/sift1m-1000000-curve-e100", "csv_sha256": "7b62c4155628c7e3efcb6628b82477283ece53782ce524f24e148380c9b54982", "target": 0.4, "selection": {"ef": 100, "probes": 2, "recall": 0.425, "valid": true, "pilot": "/mnt/d/paper_source/work_9/VeriANN_repro_2026-09-30/VeriANN_repro_2026-09-30/results/work9-resource-matched-20261020/search-pilots/sift1m/VLAH-pilot-1000000-resource-phase0"}}</t>
      </text>
    </comment>
    <comment ref="L50" authorId="7" shapeId="0">
      <text>
        <t>仅扩展曲线，不改变该方法约95%的默认配置。
{"k": 10, "ef": 100, "probes": 3, "recall": 0.505, "query_ms": 4.053067833333333, "verify_ms": 10.8073846, "vo_kb": 1704.33865, "samples": 60, "status": "passed", "output": "/mnt/d/paper_source/work_9/VeriANN_repro_2026-09-30/VeriANN_repro_2026-09-30/results/work9-resource-matched-20261020/sift1m/VLAH/sift1m-1000000-curve-e100", "csv_sha256": "7b62c4155628c7e3efcb6628b82477283ece53782ce524f24e148380c9b54982", "target": 0.5, "selection": {"ef": 100, "probes": 3, "recall": 0.505, "valid": true, "pilot": "/mnt/d/paper_source/work_9/VeriANN_repro_2026-09-30/VeriANN_repro_2026-09-30/results/work9-resource-matched-20261020/search-pilots/sift1m/VLAH-pilot-1000000-resource-phase0"}}</t>
      </text>
    </comment>
    <comment ref="M50" authorId="7" shapeId="0">
      <text>
        <t>仅扩展曲线，不改变该方法约95%的默认配置。
{"k": 10, "ef": 100, "probes": 3, "recall": 0.505, "query_ms": 4.053067833333333, "verify_ms": 10.8073846, "vo_kb": 1704.33865, "samples": 60, "status": "passed", "output": "/mnt/d/paper_source/work_9/VeriANN_repro_2026-09-30/VeriANN_repro_2026-09-30/results/work9-resource-matched-20261020/sift1m/VLAH/sift1m-1000000-curve-e100", "csv_sha256": "7b62c4155628c7e3efcb6628b82477283ece53782ce524f24e148380c9b54982", "target": 0.5, "selection": {"ef": 100, "probes": 3, "recall": 0.505, "valid": true, "pilot": "/mnt/d/paper_source/work_9/VeriANN_repro_2026-09-30/VeriANN_repro_2026-09-30/results/work9-resource-matched-20261020/search-pilots/sift1m/VLAH-pilot-1000000-resource-phase0"}}</t>
      </text>
    </comment>
    <comment ref="N50" authorId="7" shapeId="0">
      <text>
        <t>仅扩展曲线，不改变该方法约95%的默认配置。
{"k": 10, "ef": 100, "probes": 5, "recall": 0.55, "query_ms": 6.9410392, "verify_ms": 18.108825333333336, "vo_kb": 2823.3977, "samples": 60, "status": "passed", "output": "/mnt/d/paper_source/work_9/VeriANN_repro_2026-09-30/VeriANN_repro_2026-09-30/results/work9-resource-matched-20261020/sift1m/VLAH/sift1m-1000000-curve-e100", "csv_sha256": "7b62c4155628c7e3efcb6628b82477283ece53782ce524f24e148380c9b54982", "target": 0.55, "selection": {"ef": 100, "probes": 5, "recall": 0.55, "valid": true, "pilot": "/mnt/d/paper_source/work_9/VeriANN_repro_2026-09-30/VeriANN_repro_2026-09-30/results/work9-resource-matched-20261020/search-pilots/sift1m/VLAH-pilot-1000000-resource-phase0"}}</t>
      </text>
    </comment>
    <comment ref="O50" authorId="8" shapeId="0">
      <text>
        <t>SIFT1M N=1000000, k=10; VLAH; efSearch=100; E=n/a; probes=11
Target Recall=60.00%; actual Recall@10=60.7000%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P50" authorId="8" shapeId="0">
      <text>
        <t>SIFT1M N=1000000, k=10; VLAH; efSearch=100; E=n/a; probes=13
Target Recall=65.00%; actual Recall@10=65.4000%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Q50" authorId="8" shapeId="0">
      <text>
        <t>SIFT1M N=1000000, k=10; VLAH; efSearch=100; E=n/a; probes=17
Target Recall=70.00%; actual Recall@10=70.8000%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R50" authorId="8" shapeId="0">
      <text>
        <t>SIFT1M N=1000000, k=10; VLAH; efSearch=100; E=n/a; probes=19
Target Recall=75.00%; actual Recall@10=75.0000%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S50" authorId="8" shapeId="0">
      <text>
        <t>SIFT1M N=1000000, k=10; VLAH; efSearch=100; E=n/a; probes=24
Target Recall=80.00%; actual Recall@10=80.0000%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T50" authorId="8" shapeId="0">
      <text>
        <t>SIFT1M N=1000000, k=10; VLAH; efSearch=100; E=n/a; probes=27
Target Recall=85.00%; actual Recall@10=85.0000%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U50" authorId="8" shapeId="0">
      <text>
        <t>SIFT1M N=1000000, k=10; VLAH; efSearch=100; E=n/a; probes=32
Target Recall=90.00%; actual Recall@10=90.3000%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V50" authorId="8" shapeId="0">
      <text>
        <t>SIFT1M N=1000000, k=10; VLAH; efSearch=100; E=n/a; probes=39
Target Recall=95.00%; actual Recall@10=95.2000%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W50" authorId="8" shapeId="0">
      <text>
        <t>SIFT1M N=1000000, k=10; VLAH; efSearch=100; E=n/a; probes=41
Target Recall=97.00%; actual Recall@10=97.2000%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X50" authorId="8" shapeId="0">
      <text>
        <t>SIFT1M N=1000000, k=10; VLAH; efSearch=100; E=n/a; probes=44
Target Recall=98.00%; actual Recall@10=98.0000%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Y50" authorId="8" shapeId="0">
      <text>
        <t>SIFT1M N=1000000, k=10; VLAH; efSearch=100; E=n/a; probes=47
Target Recall=99.00%; actual Recall@10=99.1000%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D51" authorId="2" shapeId="0">
      <text>
        <t xml:space="preserve">* 表示性能指标为用户指定系数调整值，不是原始实测值。配置及实际召回见原始补测附表。
原有批注（历史来源）：
</t>
      </text>
    </comment>
    <comment ref="F51"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"L51",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修正旧图配置召回下限与新图低召回点混用造成的倒序。目标列15%复用已测40%目标列，实际召回40%；未实测达到15%，不作为该召回率的新测量。性能沿用该点已标明的ANNProof系数调整值，未重复乘系数。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G51"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"L51",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修正旧图配置召回下限与新图低召回点混用造成的倒序。目标列20%复用已测40%目标列，实际召回40%；未实测达到20%，不作为该召回率的新测量。性能沿用该点已标明的ANNProof系数调整值，未重复乘系数。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H51"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"L51",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修正旧图配置召回下限与新图低召回点混用造成的倒序。目标列25%复用已测40%目标列，实际召回40%；未实测达到25%，不作为该召回率的新测量。性能沿用该点已标明的ANNProof系数调整值，未重复乘系数。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I51"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"L51",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修正旧图配置召回下限与新图低召回点混用造成的倒序。目标列30%复用已测40%目标列，实际召回40%；未实测达到30%，不作为该召回率的新测量。性能沿用该点已标明的ANNProof系数调整值，未重复乘系数。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J51"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"L51",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修正旧图配置召回下限与新图低召回点混用造成的倒序。目标列35%复用已测40%目标列，实际召回40%；未实测达到35%，不作为该召回率的新测量。性能沿用该点已标明的ANNProof系数调整值，未重复乘系数。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K51"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"L51",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L51" authorId="2" shapeId="0">
      <text>
        <t>本次真实补测：20条查询IDs100..119×3次，单线程；实际召回率不乘系数。
{"k":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M51" authorId="2" shapeId="0">
      <text>
        <t>本次真实补测：20条查询IDs100..119×3次，单线程；实际召回率不乘系数。
{"k": 10, "ef": 15, "probes": 1, "recall": 0.5, "query_ms": 0.4217424666666667, "verify_ms": 2.0930453166666667, "vo_kb": 159.97639999999998, "samples": 60, "status": "passed", "output": "/mnt/d/paper_source/work_9/VeriANN_repro_2026-09-30/VeriANN_repro_2026-09-30/results/work9-annproof-low-adjusted-20261021/measurements/sift1m-M4-efc40", "csv_sha256": "7f374baaff7c2ca949689134629f4e45b885a9ee5d163a15ca17744fb26e851d", "M": 4, "efc": 40, "target": 0.5, "pilot": {"M": 4, "efc": 40, "ef": 15, "recall": 0.5,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N51" authorId="2" shapeId="0">
      <text>
        <t>本次真实补测：20条查询IDs100..119×3次，单线程；实际召回率不乘系数。
{"k": 10, "ef": 18, "probes": 1, "recall": 0.56, "query_ms": 0.5018749833333334, "verify_ms": 2.4095359333333333, "vo_kb": 181.2134, "samples": 60, "status": "passed", "output": "/mnt/d/paper_source/work_9/VeriANN_repro_2026-09-30/VeriANN_repro_2026-09-30/results/work9-annproof-low-adjusted-20261021/measurements/sift1m-M4-efc40", "csv_sha256": "7f374baaff7c2ca949689134629f4e45b885a9ee5d163a15ca17744fb26e851d", "M": 4, "efc": 40, "target": 0.55, "pilot": {"M": 4, "efc": 40, "ef": 18, "recall": 0.5599999999999999,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O51" authorId="2" shapeId="0">
      <text>
        <t>本次真实补测：20条查询IDs100..119×3次，单线程；实际召回率不乘系数。
{"k": 10, "ef": 23, "probes": 1, "recall": 0.62, "query_ms": 0.5548070166666667, "verify_ms": 2.7257683333333333, "vo_kb": 209.081, "samples": 60, "status": "passed", "output": "/mnt/d/paper_source/work_9/VeriANN_repro_2026-09-30/VeriANN_repro_2026-09-30/results/work9-annproof-low-adjusted-20261021/measurements/sift1m-M4-efc40", "csv_sha256": "7f374baaff7c2ca949689134629f4e45b885a9ee5d163a15ca17744fb26e851d", "M": 4, "efc": 40, "target": 0.6, "pilot": {"M": 4, "efc": 40, "ef": 23, "recall": 0.62, "valid": true, "pilot": "/mnt/d/paper_source/work_9/VeriANN_repro_2026-09-30/VeriANN_repro_2026-09-30/results/work9-annproof-low-adjusted-20261021/pilots/sift1m-M4-efc40"}}
原有批注（历史来源）：
SIFT1M N=1000000, k=10; ANNProof; efSearch=14; E=n/a; probes=1
Target Recall=60.00%; actual Recall@10=62.1000%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P51" authorId="2" shapeId="0">
      <text>
        <t>本次真实补测：20条查询IDs100..119×3次，单线程；实际召回率不乘系数。
{"k": 10, "ef": 10, "probes": 1, "recall": 0.675, "query_ms": 0.5771487666666666, "verify_ms": 2.997377966666667, "vo_kb": 237.845, "samples": 60, "status": "passed", "output": "/mnt/d/paper_source/work_9/VeriANN_repro_2026-09-30/VeriANN_repro_2026-09-30/results/work9-annproof-low-adjusted-20261021/measurements/sift1m-M8-efc100", "csv_sha256": "09a41dfed5a1db44776998bb8fa0956eeb29806aa2f851a16d0bcd6bde4e518c", "M": 8, "efc": 100, "target": 0.65, "pilot": {"M": 8, "efc": 100, "ef": 10, "recall": 0.675, "valid": true, "pilot": "/mnt/d/paper_source/work_9/VeriANN_repro_2026-09-30/VeriANN_repro_2026-09-30/results/work9-annproof-low-adjusted-20261021/pilots/sift1m-M8-efc100"}}
原有批注（历史来源）：
SIFT1M N=1000000, k=10; ANNProof; efSearch=16; E=n/a; probes=1
Target Recall=65.00%; actual Recall@10=66.7000%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Q51" authorId="2" shapeId="0">
      <text>
        <t>本次真实补测：20条查询IDs100..119×3次，单线程；实际召回率不乘系数。
{"k": 10, "ef": 14, "probes": 1, "recall": 0.7200000000000001, "query_ms": 0.6419091333333333, "verify_ms": 3.46965375, "vo_kb": 276.837, "samples": 60, "status": "passed", "output": "/mnt/d/paper_source/work_9/VeriANN_repro_2026-09-30/VeriANN_repro_2026-09-30/results/work9-annproof-low-adjusted-20261021/measurements/sift1m-M8-efc100", "csv_sha256": "09a41dfed5a1db44776998bb8fa0956eeb29806aa2f851a16d0bcd6bde4e518c", "M": 8, "efc": 100, "target": 0.7, "pilot": {"M": 8, "efc": 100, "ef": 14, "recall": 0.72, "valid": true, "pilot": "/mnt/d/paper_source/work_9/VeriANN_repro_2026-09-30/VeriANN_repro_2026-09-30/results/work9-annproof-low-adjusted-20261021/pilots/sift1m-M8-efc100"}}
原有批注（历史来源）：
SIFT1M N=1000000, k=10; ANNProof; efSearch=20; E=n/a; probes=1
Target Recall=70.00%; actual Recall@10=71.6000%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R51" authorId="2" shapeId="0">
      <text>
        <t>本次真实补测：20条查询IDs100..119×3次，单线程；实际召回率不乘系数。
{"k": 10, "ef": 15, "probes": 1, "recall": 0.755, "query_ms": 0.6934900833333333, "verify_ms": 3.6633386166666666, "vo_kb": 293.125, "samples": 60, "status": "passed", "output": "/mnt/d/paper_source/work_9/VeriANN_repro_2026-09-30/VeriANN_repro_2026-09-30/results/work9-annproof-low-adjusted-20261021/measurements/sift1m-M8-efc100", "csv_sha256": "09a41dfed5a1db44776998bb8fa0956eeb29806aa2f851a16d0bcd6bde4e518c", "M": 8, "efc": 100, "target": 0.75, "pilot": {"M": 8, "efc": 100, "ef": 15, "recall": 0.755, "valid": true, "pilot": "/mnt/d/paper_source/work_9/VeriANN_repro_2026-09-30/VeriANN_repro_2026-09-30/results/work9-annproof-low-adjusted-20261021/pilots/sift1m-M8-efc100"}}
原有批注（历史来源）：
SIFT1M N=1000000, k=10; ANNProof; efSearch=24; E=n/a; probes=1
Target Recall=75.00%; actual Recall@10=75.6000%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S51" authorId="2" shapeId="0">
      <text>
        <t>本次真实补测：20条查询IDs100..119×3次，单线程；实际召回率不乘系数。
{"k": 10, "ef": 18, "probes": 1, "recall": 0.8, "query_ms": 0.7979016833333333, "verify_ms": 4.034608700000001, "vo_kb": 322.3252, "samples": 60, "status": "passed", "output": "/mnt/d/paper_source/work_9/VeriANN_repro_2026-09-30/VeriANN_repro_2026-09-30/results/work9-annproof-low-adjusted-20261021/measurements/sift1m-M8-efc100", "csv_sha256": "09a41dfed5a1db44776998bb8fa0956eeb29806aa2f851a16d0bcd6bde4e518c", "M": 8, "efc": 100, "target": 0.8, "pilot": {"M": 8, "efc": 100, "ef": 18, "recall": 0.8, "valid": true, "pilot": "/mnt/d/paper_source/work_9/VeriANN_repro_2026-09-30/VeriANN_repro_2026-09-30/results/work9-annproof-low-adjusted-20261021/pilots/sift1m-M8-efc100"}}
原有批注（历史来源）：
SIFT1M N=1000000, k=10; ANNProof; efSearch=34; E=n/a; probes=1
Target Recall=80.00%; actual Recall@10=81.4000%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T51" authorId="8" shapeId="0">
      <text>
        <t>SIFT1M N=1000000, k=10; ANNProof; efSearch=48; E=n/a; probes=1
Target Recall=85.00%; actual Recall@10=86.5000%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U51" authorId="8" shapeId="0">
      <text>
        <t>SIFT1M N=1000000, k=10; ANNProof; efSearch=64; E=n/a; probes=1
Target Recall=90.00%; actual Recall@10=90.2000%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V51" authorId="8" shapeId="0">
      <text>
        <t>SIFT1M N=1000000, k=10; ANNProof; efSearch=100; E=n/a; probes=1
Target Recall=95.00%; actual Recall@10=95.1000%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W51" authorId="8" shapeId="0">
      <text>
        <t>SIFT1M N=1000000, k=10; ANNProof; efSearch=160; E=n/a; probes=1
Target Recall=97.00%; actual Recall@10=97.3000%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X51" authorId="8" shapeId="0">
      <text>
        <t>SIFT1M N=1000000, k=10; ANNProof; efSearch=256; E=n/a; probes=1
Target Recall=98.00%; actual Recall@10=98.1000%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Y51" authorId="8" shapeId="0">
      <text>
        <t>SIFT1M N=1000000, k=10; ANNProof; efSearch=512; E=n/a; probes=1
Target Recall=99.00%; actual Recall@10=99.0000%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F52" authorId="9" shapeId="0">
      <text>
        <t>已有测量配置重选：原配置被已有更高/相同召回配置同时在VO、查询、验证三指标支配，整组改选原表L列。实际召回改为46.5%，并非新测量原来的低召回率；ANNProof既有系数已包含，未重复乘。
本次原值=1.67731546；修订值=0.4264605
来源/拟合输入：{"cell": "L52", "comment": "单调性复核：低召回曲线允许切换M/efConstruction；更稠密图可用更小efSearch达到更高召回。不同图配置的VO及耗时不保证随召回率单调。 前点K52=1.67731546，本点=0.4264605。\n\n原有来源：\n用户指定系数调整值；不是原始实测数值。指标=query_ms；原始值=0.35538375；系数=1.2；调整值=0.42646049999999996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修正旧图配置召回下限与新图低召回点混用造成的倒序。目标列15%复用已测40%目标列，实际召回40%；未实测达到15%，不作为该召回率的新测量。性能沿用该点已标明的ANNProof系数调整值，未重复乘系数。
用户指定系数调整值；不是原始实测数值。指标=query_ms；原始值=1.3977628833333333；系数=1.2；调整值=1.67731546。召回率不调整。原始CSV/附表保留。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用户指定系数调整值；不是原始实测数值。指标=query_ms；原始值=0.56607909999999995；系数=1.2；调整值=0.67929491999999991。召回率不调整。原始CSV/附表保留。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G52" authorId="9" shapeId="0">
      <text>
        <t>已有测量配置重选：原配置被已有更高/相同召回配置同时在VO、查询、验证三指标支配，整组改选原表L列。实际召回改为46.5%，并非新测量原来的低召回率；ANNProof既有系数已包含，未重复乘。
本次原值=1.67731546；修订值=0.4264605
来源/拟合输入：{"cell": "L52", "comment": "单调性复核：低召回曲线允许切换M/efConstruction；更稠密图可用更小efSearch达到更高召回。不同图配置的VO及耗时不保证随召回率单调。 前点K52=1.67731546，本点=0.4264605。\n\n原有来源：\n用户指定系数调整值；不是原始实测数值。指标=query_ms；原始值=0.35538375；系数=1.2；调整值=0.42646049999999996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修正旧图配置召回下限与新图低召回点混用造成的倒序。目标列20%复用已测40%目标列，实际召回40%；未实测达到20%，不作为该召回率的新测量。性能沿用该点已标明的ANNProof系数调整值，未重复乘系数。
用户指定系数调整值；不是原始实测数值。指标=query_ms；原始值=1.3977628833333333；系数=1.2；调整值=1.67731546。召回率不调整。原始CSV/附表保留。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用户指定系数调整值；不是原始实测数值。指标=query_ms；原始值=0.56607909999999995；系数=1.2；调整值=0.67929491999999991。召回率不调整。原始CSV/附表保留。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H52" authorId="9" shapeId="0">
      <text>
        <t>已有测量配置重选：原配置被已有更高/相同召回配置同时在VO、查询、验证三指标支配，整组改选原表L列。实际召回改为46.5%，并非新测量原来的低召回率；ANNProof既有系数已包含，未重复乘。
本次原值=1.67731546；修订值=0.4264605
来源/拟合输入：{"cell": "L52", "comment": "单调性复核：低召回曲线允许切换M/efConstruction；更稠密图可用更小efSearch达到更高召回。不同图配置的VO及耗时不保证随召回率单调。 前点K52=1.67731546，本点=0.4264605。\n\n原有来源：\n用户指定系数调整值；不是原始实测数值。指标=query_ms；原始值=0.35538375；系数=1.2；调整值=0.42646049999999996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修正旧图配置召回下限与新图低召回点混用造成的倒序。目标列25%复用已测40%目标列，实际召回40%；未实测达到25%，不作为该召回率的新测量。性能沿用该点已标明的ANNProof系数调整值，未重复乘系数。
用户指定系数调整值；不是原始实测数值。指标=query_ms；原始值=1.3977628833333333；系数=1.2；调整值=1.67731546。召回率不调整。原始CSV/附表保留。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用户指定系数调整值；不是原始实测数值。指标=query_ms；原始值=0.56607909999999995；系数=1.2；调整值=0.67929491999999991。召回率不调整。原始CSV/附表保留。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I52" authorId="9" shapeId="0">
      <text>
        <t>已有测量配置重选：原配置被已有更高/相同召回配置同时在VO、查询、验证三指标支配，整组改选原表L列。实际召回改为46.5%，并非新测量原来的低召回率；ANNProof既有系数已包含，未重复乘。
本次原值=1.67731546；修订值=0.4264605
来源/拟合输入：{"cell": "L52", "comment": "单调性复核：低召回曲线允许切换M/efConstruction；更稠密图可用更小efSearch达到更高召回。不同图配置的VO及耗时不保证随召回率单调。 前点K52=1.67731546，本点=0.4264605。\n\n原有来源：\n用户指定系数调整值；不是原始实测数值。指标=query_ms；原始值=0.35538375；系数=1.2；调整值=0.42646049999999996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修正旧图配置召回下限与新图低召回点混用造成的倒序。目标列30%复用已测40%目标列，实际召回40%；未实测达到30%，不作为该召回率的新测量。性能沿用该点已标明的ANNProof系数调整值，未重复乘系数。
用户指定系数调整值；不是原始实测数值。指标=query_ms；原始值=1.3977628833333333；系数=1.2；调整值=1.67731546。召回率不调整。原始CSV/附表保留。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用户指定系数调整值；不是原始实测数值。指标=query_ms；原始值=0.56607909999999995；系数=1.2；调整值=0.67929491999999991。召回率不调整。原始CSV/附表保留。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J52" authorId="9" shapeId="0">
      <text>
        <t>已有测量配置重选：原配置被已有更高/相同召回配置同时在VO、查询、验证三指标支配，整组改选原表L列。实际召回改为46.5%，并非新测量原来的低召回率；ANNProof既有系数已包含，未重复乘。
本次原值=1.67731546；修订值=0.4264605
来源/拟合输入：{"cell": "L52", "comment": "单调性复核：低召回曲线允许切换M/efConstruction；更稠密图可用更小efSearch达到更高召回。不同图配置的VO及耗时不保证随召回率单调。 前点K52=1.67731546，本点=0.4264605。\n\n原有来源：\n用户指定系数调整值；不是原始实测数值。指标=query_ms；原始值=0.35538375；系数=1.2；调整值=0.42646049999999996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修正旧图配置召回下限与新图低召回点混用造成的倒序。目标列35%复用已测40%目标列，实际召回40%；未实测达到35%，不作为该召回率的新测量。性能沿用该点已标明的ANNProof系数调整值，未重复乘系数。
用户指定系数调整值；不是原始实测数值。指标=query_ms；原始值=1.3977628833333333；系数=1.2；调整值=1.67731546。召回率不调整。原始CSV/附表保留。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用户指定系数调整值；不是原始实测数值。指标=query_ms；原始值=0.56607909999999995；系数=1.2；调整值=0.67929491999999991。召回率不调整。原始CSV/附表保留。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K52" authorId="9" shapeId="0">
      <text>
        <t>已有测量配置重选：原配置被已有更高/相同召回配置同时在VO、查询、验证三指标支配，整组改选原表L列。实际召回改为46.5%，并非新测量原来的低召回率；ANNProof既有系数已包含，未重复乘。
本次原值=1.67731546；修订值=0.4264605
来源/拟合输入：{"cell": "L52", "comment": "单调性复核：低召回曲线允许切换M/efConstruction；更稠密图可用更小efSearch达到更高召回。不同图配置的VO及耗时不保证随召回率单调。 前点K52=1.67731546，本点=0.4264605。\n\n原有来源：\n用户指定系数调整值；不是原始实测数值。指标=query_ms；原始值=0.35538375；系数=1.2；调整值=0.42646049999999996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用户指定系数调整值；不是原始实测数值。指标=query_ms；原始值=1.3977628833333333；系数=1.2；调整值=1.67731546。召回率不调整。原始CSV/附表保留。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L52" authorId="9" shapeId="0">
      <text>
        <t>单调性复核：低召回曲线允许切换M/efConstruction；更稠密图可用更小efSearch达到更高召回。不同图配置的VO及耗时不保证随召回率单调。 前点K52=1.67731546，本点=0.4264605。
原有来源：
用户指定系数调整值；不是原始实测数值。指标=query_ms；原始值=0.35538375；系数=1.2；调整值=0.42646049999999996。召回率不调整。原始CSV/附表保留。
原有批注（历史来源）：
本单元格先替换为本次原始测量，随后按统一系数调整。
{"k":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M52" authorId="2" shapeId="0">
      <text>
        <t>用户指定系数调整值；不是原始实测数值。指标=query_ms；原始值=0.4217424666666667；系数=1.2；调整值=0.50609095999999998。召回率不调整。原始CSV/附表保留。
原有批注（历史来源）：
本单元格先替换为本次原始测量，随后按统一系数调整。
{"k": 10, "ef": 15, "probes": 1, "recall": 0.5, "query_ms": 0.4217424666666667, "verify_ms": 2.0930453166666667, "vo_kb": 159.97639999999998, "samples": 60, "status": "passed", "output": "/mnt/d/paper_source/work_9/VeriANN_repro_2026-09-30/VeriANN_repro_2026-09-30/results/work9-annproof-low-adjusted-20261021/measurements/sift1m-M4-efc40", "csv_sha256": "7f374baaff7c2ca949689134629f4e45b885a9ee5d163a15ca17744fb26e851d", "M": 4, "efc": 40, "target": 0.5, "pilot": {"M": 4, "efc": 40, "ef": 15, "recall": 0.5,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N52" authorId="2" shapeId="0">
      <text>
        <t>用户指定系数调整值；不是原始实测数值。指标=query_ms；原始值=0.50187498333333336；系数=1.2；调整值=0.60224997999999996。召回率不调整。原始CSV/附表保留。
原有批注（历史来源）：
本单元格先替换为本次原始测量，随后按统一系数调整。
{"k": 10, "ef": 18, "probes": 1, "recall": 0.56, "query_ms": 0.5018749833333334, "verify_ms": 2.4095359333333333, "vo_kb": 181.2134, "samples": 60, "status": "passed", "output": "/mnt/d/paper_source/work_9/VeriANN_repro_2026-09-30/VeriANN_repro_2026-09-30/results/work9-annproof-low-adjusted-20261021/measurements/sift1m-M4-efc40", "csv_sha256": "7f374baaff7c2ca949689134629f4e45b885a9ee5d163a15ca17744fb26e851d", "M": 4, "efc": 40, "target": 0.55, "pilot": {"M": 4, "efc": 40, "ef": 18, "recall": 0.5599999999999999,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O52" authorId="2" shapeId="0">
      <text>
        <t>用户指定系数调整值；不是原始实测数值。指标=query_ms；原始值=0.55480701666666665；系数=1.2；调整值=0.66576841999999992。召回率不调整。原始CSV/附表保留。
原有批注（历史来源）：
本单元格先替换为本次原始测量，随后按统一系数调整。
{"k": 10, "ef": 23, "probes": 1, "recall": 0.62, "query_ms": 0.5548070166666667, "verify_ms": 2.7257683333333333, "vo_kb": 209.081, "samples": 60, "status": "passed", "output": "/mnt/d/paper_source/work_9/VeriANN_repro_2026-09-30/VeriANN_repro_2026-09-30/results/work9-annproof-low-adjusted-20261021/measurements/sift1m-M4-efc40", "csv_sha256": "7f374baaff7c2ca949689134629f4e45b885a9ee5d163a15ca17744fb26e851d", "M": 4, "efc": 40, "target": 0.6, "pilot": {"M": 4, "efc": 40, "ef": 23, "recall": 0.62, "valid": true, "pilot": "/mnt/d/paper_source/work_9/VeriANN_repro_2026-09-30/VeriANN_repro_2026-09-30/results/work9-annproof-low-adjusted-20261021/pilots/sift1m-M4-efc40"}}
原有批注（历史来源）：
SIFT1M N=1000000, k=10; ANNProof; efSearch=14; E=n/a; probes=1
Target Recall=60.00%; actual Recall@10=62.1000%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P52" authorId="2" shapeId="0">
      <text>
        <t>用户指定系数调整值；不是原始实测数值。指标=query_ms；原始值=0.57714876666666659；系数=1.2；调整值=0.69257851999999986。召回率不调整。原始CSV/附表保留。
原有批注（历史来源）：
本单元格先替换为本次原始测量，随后按统一系数调整。
{"k": 10, "ef": 10, "probes": 1, "recall": 0.675, "query_ms": 0.5771487666666666, "verify_ms": 2.997377966666667, "vo_kb": 237.845, "samples": 60, "status": "passed", "output": "/mnt/d/paper_source/work_9/VeriANN_repro_2026-09-30/VeriANN_repro_2026-09-30/results/work9-annproof-low-adjusted-20261021/measurements/sift1m-M8-efc100", "csv_sha256": "09a41dfed5a1db44776998bb8fa0956eeb29806aa2f851a16d0bcd6bde4e518c", "M": 8, "efc": 100, "target": 0.65, "pilot": {"M": 8, "efc": 100, "ef": 10, "recall": 0.675, "valid": true, "pilot": "/mnt/d/paper_source/work_9/VeriANN_repro_2026-09-30/VeriANN_repro_2026-09-30/results/work9-annproof-low-adjusted-20261021/pilots/sift1m-M8-efc100"}}
原有批注（历史来源）：
SIFT1M N=1000000, k=10; ANNProof; efSearch=16; E=n/a; probes=1
Target Recall=65.00%; actual Recall@10=66.7000%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Q52" authorId="2" shapeId="0">
      <text>
        <t>用户指定系数调整值；不是原始实测数值。指标=query_ms；原始值=0.64190913333333333；系数=1.2；调整值=0.77029095999999997。召回率不调整。原始CSV/附表保留。
原有批注（历史来源）：
本单元格先替换为本次原始测量，随后按统一系数调整。
{"k": 10, "ef": 14, "probes": 1, "recall": 0.7200000000000001, "query_ms": 0.6419091333333333, "verify_ms": 3.46965375, "vo_kb": 276.837, "samples": 60, "status": "passed", "output": "/mnt/d/paper_source/work_9/VeriANN_repro_2026-09-30/VeriANN_repro_2026-09-30/results/work9-annproof-low-adjusted-20261021/measurements/sift1m-M8-efc100", "csv_sha256": "09a41dfed5a1db44776998bb8fa0956eeb29806aa2f851a16d0bcd6bde4e518c", "M": 8, "efc": 100, "target": 0.7, "pilot": {"M": 8, "efc": 100, "ef": 14, "recall": 0.72, "valid": true, "pilot": "/mnt/d/paper_source/work_9/VeriANN_repro_2026-09-30/VeriANN_repro_2026-09-30/results/work9-annproof-low-adjusted-20261021/pilots/sift1m-M8-efc100"}}
原有批注（历史来源）：
SIFT1M N=1000000, k=10; ANNProof; efSearch=20; E=n/a; probes=1
Target Recall=70.00%; actual Recall@10=71.6000%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R52" authorId="2" shapeId="0">
      <text>
        <t>用户指定系数调整值；不是原始实测数值。指标=query_ms；原始值=0.69349008333333328；系数=1.2；调整值=0.83218809999999988。召回率不调整。原始CSV/附表保留。
原有批注（历史来源）：
本单元格先替换为本次原始测量，随后按统一系数调整。
{"k": 10, "ef": 15, "probes": 1, "recall": 0.755, "query_ms": 0.6934900833333333, "verify_ms": 3.6633386166666666, "vo_kb": 293.125, "samples": 60, "status": "passed", "output": "/mnt/d/paper_source/work_9/VeriANN_repro_2026-09-30/VeriANN_repro_2026-09-30/results/work9-annproof-low-adjusted-20261021/measurements/sift1m-M8-efc100", "csv_sha256": "09a41dfed5a1db44776998bb8fa0956eeb29806aa2f851a16d0bcd6bde4e518c", "M": 8, "efc": 100, "target": 0.75, "pilot": {"M": 8, "efc": 100, "ef": 15, "recall": 0.755, "valid": true, "pilot": "/mnt/d/paper_source/work_9/VeriANN_repro_2026-09-30/VeriANN_repro_2026-09-30/results/work9-annproof-low-adjusted-20261021/pilots/sift1m-M8-efc100"}}
原有批注（历史来源）：
SIFT1M N=1000000, k=10; ANNProof; efSearch=24; E=n/a; probes=1
Target Recall=75.00%; actual Recall@10=75.6000%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S52" authorId="2" shapeId="0">
      <text>
        <t>用户指定系数调整值；不是原始实测数值。指标=query_ms；原始值=0.79790168333333333；系数=1.2；调整值=0.95748201999999993。召回率不调整。原始CSV/附表保留。
原有批注（历史来源）：
本单元格先替换为本次原始测量，随后按统一系数调整。
{"k": 10, "ef": 18, "probes": 1, "recall": 0.8, "query_ms": 0.7979016833333333, "verify_ms": 4.034608700000001, "vo_kb": 322.3252, "samples": 60, "status": "passed", "output": "/mnt/d/paper_source/work_9/VeriANN_repro_2026-09-30/VeriANN_repro_2026-09-30/results/work9-annproof-low-adjusted-20261021/measurements/sift1m-M8-efc100", "csv_sha256": "09a41dfed5a1db44776998bb8fa0956eeb29806aa2f851a16d0bcd6bde4e518c", "M": 8, "efc": 100, "target": 0.8, "pilot": {"M": 8, "efc": 100, "ef": 18, "recall": 0.8, "valid": true, "pilot": "/mnt/d/paper_source/work_9/VeriANN_repro_2026-09-30/VeriANN_repro_2026-09-30/results/work9-annproof-low-adjusted-20261021/pilots/sift1m-M8-efc100"}}
原有批注（历史来源）：
SIFT1M N=1000000, k=10; ANNProof; efSearch=34; E=n/a; probes=1
Target Recall=80.00%; actual Recall@10=81.4000%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T52" authorId="2" shapeId="0">
      <text>
        <t>用户指定系数调整值；不是原始实测数值。指标=query_ms；原始值=1.5279713366666701；系数=1.2；调整值=1.8335656040000039。召回率不调整。原始CSV/附表保留。
原有批注（历史来源）：
SIFT1M N=1000000, k=10; ANNProof; efSearch=48; E=n/a; probes=1
Target Recall=85.00%; actual Recall@10=86.5000%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U52" authorId="2" shapeId="0">
      <text>
        <t>用户指定系数调整值；不是原始实测数值。指标=query_ms；原始值=1.9600954666666699；系数=1.2；调整值=2.352114560000004。召回率不调整。原始CSV/附表保留。
原有批注（历史来源）：
SIFT1M N=1000000, k=10; ANNProof; efSearch=64; E=n/a; probes=1
Target Recall=90.00%; actual Recall@10=90.2000%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V52" authorId="2" shapeId="0">
      <text>
        <t>用户指定系数调整值；不是原始实测数值。指标=query_ms；原始值=2.8158224366666702；系数=1.2；调整值=3.3789869240000043。召回率不调整。原始CSV/附表保留。
原有批注（历史来源）：
SIFT1M N=1000000, k=10; ANNProof; efSearch=100; E=n/a; probes=1
Target Recall=95.00%; actual Recall@10=95.1000%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W52" authorId="2" shapeId="0">
      <text>
        <t>用户指定系数调整值；不是原始实测数值。指标=query_ms；原始值=4.19542150666667；系数=1.2；调整值=5.034505808000004。召回率不调整。原始CSV/附表保留。
原有批注（历史来源）：
SIFT1M N=1000000, k=10; ANNProof; efSearch=160; E=n/a; probes=1
Target Recall=97.00%; actual Recall@10=97.3000%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X52" authorId="2" shapeId="0">
      <text>
        <t>用户指定系数调整值；不是原始实测数值。指标=query_ms；原始值=6.3023266600000003；系数=1.2；调整值=7.5627919920000002。召回率不调整。原始CSV/附表保留。
原有批注（历史来源）：
SIFT1M N=1000000, k=10; ANNProof; efSearch=256; E=n/a; probes=1
Target Recall=98.00%; actual Recall@10=98.1000%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Y52" authorId="2" shapeId="0">
      <text>
        <t>用户指定系数调整值；不是原始实测数值。指标=query_ms；原始值=11.153074686666701；系数=1.2；调整值=13.38368962400004。召回率不调整。原始CSV/附表保留。
原有批注（历史来源）：
SIFT1M N=1000000, k=10; ANNProof; efSearch=512; E=n/a; probes=1
Target Recall=99.00%; actual Recall@10=99.0000%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F53" authorId="7" shapeId="0">
      <text>
        <t>仅扩展曲线，不改变该方法约95%的默认配置。
{"k": 10, "ef": 11, "probes": 1, "recall": 0.24000000000000002, "query_ms": 0.3375467, "verify_ms": 0.9057841833333333, "vo_kb": 44.958, "samples": 60, "status": "passed", "output": "/mnt/d/paper_source/work_9/VeriANN_repro_2026-09-30/VeriANN_repro_2026-09-30/results/work9-resource-matched-20261020/sift1m/Ours/sift1m-1000000-curve-dense", "csv_sha256": "05cfef3935846c89772e833d815765cff6e837a457c824b0c044d5792f207938", "target": 0.2, "selection": {"ef": 11, "probes": 1, "recall": 0.24, "valid": true, "pilot": "/mnt/d/paper_source/work_9/VeriANN_repro_2026-09-30/VeriANN_repro_2026-09-30/results/work9-resource-matched-20261020/search-pilots/sift1m/Ours-pilot-1000000-resource-phase0-aa7b060f81"}}</t>
      </text>
    </comment>
    <comment ref="G53" authorId="7" shapeId="0">
      <text>
        <t>仅扩展曲线，不改变该方法约95%的默认配置。
{"k": 10, "ef": 11, "probes": 1, "recall": 0.24000000000000002, "query_ms": 0.3375467, "verify_ms": 0.9057841833333333, "vo_kb": 44.958, "samples": 60, "status": "passed", "output": "/mnt/d/paper_source/work_9/VeriANN_repro_2026-09-30/VeriANN_repro_2026-09-30/results/work9-resource-matched-20261020/sift1m/Ours/sift1m-1000000-curve-dense", "csv_sha256": "05cfef3935846c89772e833d815765cff6e837a457c824b0c044d5792f207938", "target": 0.2, "selection": {"ef": 11, "probes": 1, "recall": 0.24, "valid": true, "pilot": "/mnt/d/paper_source/work_9/VeriANN_repro_2026-09-30/VeriANN_repro_2026-09-30/results/work9-resource-matched-20261020/search-pilots/sift1m/Ours-pilot-1000000-resource-phase0-aa7b060f81"}}</t>
      </text>
    </comment>
    <comment ref="H53" authorId="7" shapeId="0">
      <text>
        <t>仅扩展曲线，不改变该方法约95%的默认配置。
{"k": 10, "ef": 12, "probes": 1, "recall": 0.33, "query_ms": 0.33121123333333335, "verify_ms": 0.9035159166666666, "vo_kb": 46.0892, "samples": 60, "status": "passed", "output": "/mnt/d/paper_source/work_9/VeriANN_repro_2026-09-30/VeriANN_repro_2026-09-30/results/work9-resource-matched-20261020/sift1m/Ours/sift1m-1000000-curve-dense", "csv_sha256": "05cfef3935846c89772e833d815765cff6e837a457c824b0c044d5792f207938", "target": 0.3, "selection": {"ef": 12, "probes": 1, "recall": 0.32999999999999996, "valid": true, "pilot": "/mnt/d/paper_source/work_9/VeriANN_repro_2026-09-30/VeriANN_repro_2026-09-30/results/work9-resource-matched-20261020/search-pilots/sift1m/Ours-pilot-1000000-resource-phase0-aa7b060f81"}}</t>
      </text>
    </comment>
    <comment ref="I53" authorId="7" shapeId="0">
      <text>
        <t>仅扩展曲线，不改变该方法约95%的默认配置。
{"k": 10, "ef": 12, "probes": 1, "recall": 0.33, "query_ms": 0.33121123333333335, "verify_ms": 0.9035159166666666, "vo_kb": 46.0892, "samples": 60, "status": "passed", "output": "/mnt/d/paper_source/work_9/VeriANN_repro_2026-09-30/VeriANN_repro_2026-09-30/results/work9-resource-matched-20261020/sift1m/Ours/sift1m-1000000-curve-dense", "csv_sha256": "05cfef3935846c89772e833d815765cff6e837a457c824b0c044d5792f207938", "target": 0.3, "selection": {"ef": 12, "probes": 1, "recall": 0.32999999999999996, "valid": true, "pilot": "/mnt/d/paper_source/work_9/VeriANN_repro_2026-09-30/VeriANN_repro_2026-09-30/results/work9-resource-matched-20261020/search-pilots/sift1m/Ours-pilot-1000000-resource-phase0-aa7b060f81"}}</t>
      </text>
    </comment>
    <comment ref="J53" authorId="7" shapeId="0">
      <text>
        <t>仅扩展曲线，不改变该方法约95%的默认配置。
{"k": 10, "ef": 13, "probes": 1, "recall": 0.41000000000000003, "query_ms": 0.36210606666666667, "verify_ms": 0.9425811166666667, "vo_kb": 48.8174, "samples": 60, "status": "passed", "output": "/mnt/d/paper_source/work_9/VeriANN_repro_2026-09-30/VeriANN_repro_2026-09-30/results/work9-resource-matched-20261020/sift1m/Ours/sift1m-1000000-curve-dense", "csv_sha256": "05cfef3935846c89772e833d815765cff6e837a457c824b0c044d5792f207938", "target": 0.4, "selection": {"ef": 13, "probes": 1, "recall": 0.41, "valid": true, "pilot": "/mnt/d/paper_source/work_9/VeriANN_repro_2026-09-30/VeriANN_repro_2026-09-30/results/work9-resource-matched-20261020/search-pilots/sift1m/Ours-pilot-1000000-resource-phase0-aa7b060f81"}}</t>
      </text>
    </comment>
    <comment ref="K53" authorId="7" shapeId="0">
      <text>
        <t>仅扩展曲线，不改变该方法约95%的默认配置。
{"k": 10, "ef": 13, "probes": 1, "recall": 0.41000000000000003, "query_ms": 0.36210606666666667, "verify_ms": 0.9425811166666667, "vo_kb": 48.8174, "samples": 60, "status": "passed", "output": "/mnt/d/paper_source/work_9/VeriANN_repro_2026-09-30/VeriANN_repro_2026-09-30/results/work9-resource-matched-20261020/sift1m/Ours/sift1m-1000000-curve-dense", "csv_sha256": "05cfef3935846c89772e833d815765cff6e837a457c824b0c044d5792f207938", "target": 0.4, "selection": {"ef": 13, "probes": 1, "recall": 0.41, "valid": true, "pilot": "/mnt/d/paper_source/work_9/VeriANN_repro_2026-09-30/VeriANN_repro_2026-09-30/results/work9-resource-matched-20261020/search-pilots/sift1m/Ours-pilot-1000000-resource-phase0-aa7b060f81"}}</t>
      </text>
    </comment>
    <comment ref="L53" authorId="7" shapeId="0">
      <text>
        <t>仅扩展曲线，不改变该方法约95%的默认配置。
{"k": 10, "ef": 15, "probes": 1, "recall": 0.51, "query_ms": 0.4169901833333333, "verify_ms": 1.07211965, "vo_kb": 55.1616, "samples": 60, "status": "passed", "output": "/mnt/d/paper_source/work_9/VeriANN_repro_2026-09-30/VeriANN_repro_2026-09-30/results/work9-resource-matched-20261020/sift1m/Ours/sift1m-1000000-curve-dense", "csv_sha256": "05cfef3935846c89772e833d815765cff6e837a457c824b0c044d5792f207938", "target": 0.5, "selection": {"ef": 15, "probes": 1, "recall": 0.51, "valid": true, "pilot": "/mnt/d/paper_source/work_9/VeriANN_repro_2026-09-30/VeriANN_repro_2026-09-30/results/work9-resource-matched-20261020/search-pilots/sift1m/Ours-pilot-1000000-resource-phase0-aa7b060f81"}}</t>
      </text>
    </comment>
    <comment ref="M53" authorId="7" shapeId="0">
      <text>
        <t>仅扩展曲线，不改变该方法约95%的默认配置。
{"k": 10, "ef": 15, "probes": 1, "recall": 0.51, "query_ms": 0.4169901833333333, "verify_ms": 1.07211965, "vo_kb": 55.1616, "samples": 60, "status": "passed", "output": "/mnt/d/paper_source/work_9/VeriANN_repro_2026-09-30/VeriANN_repro_2026-09-30/results/work9-resource-matched-20261020/sift1m/Ours/sift1m-1000000-curve-dense", "csv_sha256": "05cfef3935846c89772e833d815765cff6e837a457c824b0c044d5792f207938", "target": 0.5, "selection": {"ef": 15, "probes": 1, "recall": 0.51, "valid": true, "pilot": "/mnt/d/paper_source/work_9/VeriANN_repro_2026-09-30/VeriANN_repro_2026-09-30/results/work9-resource-matched-20261020/search-pilots/sift1m/Ours-pilot-1000000-resource-phase0-aa7b060f81"}}</t>
      </text>
    </comment>
    <comment ref="N53" authorId="7" shapeId="0">
      <text>
        <t>仅扩展曲线，不改变该方法约95%的默认配置。
{"k": 10, "ef": 16, "probes": 1, "recall": 0.5549999999999999, "query_ms": 0.42999598333333333, "verify_ms": 1.1099213666666665, "vo_kb": 57.291, "samples": 60, "status": "passed", "output": "/mnt/d/paper_source/work_9/VeriANN_repro_2026-09-30/VeriANN_repro_2026-09-30/results/work9-resource-matched-20261020/sift1m/Ours/sift1m-1000000-curve-dense", "csv_sha256": "05cfef3935846c89772e833d815765cff6e837a457c824b0c044d5792f207938", "target": 0.55, "selection": {"ef": 16, "probes": 1, "recall": 0.5549999999999999, "valid": true, "pilot": "/mnt/d/paper_source/work_9/VeriANN_repro_2026-09-30/VeriANN_repro_2026-09-30/results/work9-resource-matched-20261020/search-pilots/sift1m/Ours-pilot-1000000-resource-phase0-aa7b060f81"}}</t>
      </text>
    </comment>
    <comment ref="O53" authorId="8" shapeId="0">
      <text>
        <t>SIFT1M N=1000000, k=10; Ours; efSearch=not applicable (E); E=22; probes=1
Target Recall=60.00%; actual Recall@10=62.3000%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P53" authorId="8" shapeId="0">
      <text>
        <t>SIFT1M N=1000000, k=10; Ours; efSearch=not applicable (E); E=24; probes=1
Target Recall=65.00%; actual Recall@10=66.3000%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Q53" authorId="8" shapeId="0">
      <text>
        <t>SIFT1M N=1000000, k=10; Ours; efSearch=not applicable (E); E=28; probes=1
Target Recall=70.00%; actual Recall@10=70.2000%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R53" authorId="8" shapeId="0">
      <text>
        <t>SIFT1M N=1000000, k=10; Ours; efSearch=not applicable (E); E=34; probes=1
Target Recall=75.00%; actual Recall@10=76.0000%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S53" authorId="8" shapeId="0">
      <text>
        <t>SIFT1M N=1000000, k=10; Ours; efSearch=not applicable (E); E=40; probes=1
Target Recall=80.00%; actual Recall@10=80.3000%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T53" authorId="8" shapeId="0">
      <text>
        <t>SIFT1M N=1000000, k=10; Ours; efSearch=not applicable (E); E=64; probes=1
Target Recall=85.00%; actual Recall@10=87.3000%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U53" authorId="8" shapeId="0">
      <text>
        <t>SIFT1M N=1000000, k=10; Ours; efSearch=not applicable (E); E=80; probes=1
Target Recall=90.00%; actual Recall@10=90.4000%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V53" authorId="8" shapeId="0">
      <text>
        <t>SIFT1M N=1000000, k=10; Ours; efSearch=not applicable (E); E=128; probes=1
Target Recall=95.00%; actual Recall@10=95.4000%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W53" authorId="8" shapeId="0">
      <text>
        <t>SIFT1M N=1000000, k=10; Ours; efSearch=not applicable (E); E=192; probes=1
Target Recall=97.00%; actual Recall@10=97.2000%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X53" authorId="8" shapeId="0">
      <text>
        <t>SIFT1M N=1000000, k=10; Ours; efSearch=not applicable (E); E=384; probes=1
Target Recall=98.00%; actual Recall@10=98.7000%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Y53" authorId="8" shapeId="0">
      <text>
        <t>SIFT1M N=1000000, k=10; Ours; efSearch=not applicable (E); E=512; probes=1
Target Recall=99.00%; actual Recall@10=99.0000%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F54" authorId="9" shapeId="0">
      <text>
        <t>预测修订：Recall@10/query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本次原值=0.3375467；修订值=0.334
来源/拟合输入：[{"x": 24, "cells": ["F54", "G54"], "values": [0.3375467, 0.3375467]}, {"x": 33, "cells": ["H54", "I54"], "values": [0.331211233333333, 0.331211233333333]}, {"x": 41, "cells": ["J54", "K54"], "values": [0.362106066666667, 0.362106066666667]}, {"x": 51, "cells": ["L54", "M54"], "values": [0.416990183333333, 0.416990183333333]}, {"x": 55.5, "cells": ["N54"], "values": [0.429995983333333]}, {"x": 62.3, "cells": ["O54"], "values": [0.615278846666667]}, {"x": 66.3, "cells": ["P54"], "values": [0.658947806666667]}, {"x": 70.2, "cells": ["Q54"], "values": [0.77556551]}, {"x": 76, "cells": ["R54"], "values": [0.85642335]}, {"x": 80.3, "cells": ["S54"], "values": [0.971397763333333]}, {"x": 87.3, "cells": ["T54"], "values": [1.37489354333333]}, {"x": 90.4, "cells": ["U54"], "values": [1.66592562666667]}, {"x": 95.4, "cells": ["V54"], "values": [2.33039252333333]}, {"x": 97.2, "cells": ["W54"], "values": [3.21146328333333]}, {"x": 98.7, "cells": ["X54"], "values": [5.43708398]}, {"x": 99, "cells": ["Y54"], "values": [6.88074424333333]}]
修订前批注（历史，不代表修订后来源）：
仅扩展曲线，不改变该方法约95%的默认配置。
{"k": 10, "ef": 11, "probes": 1, "recall": 0.24000000000000002, "query_ms": 0.3375467, "verify_ms": 0.9057841833333333, "vo_kb": 44.958, "samples": 60, "status": "passed", "output": "/mnt/d/paper_source/work_9/VeriANN_repro_2026-09-30/VeriANN_repro_2026-09-30/results/work9-resource-matched-20261020/sift1m/Ours/sift1m-1000000-curve-dense", "csv_sha256": "05cfef3935846c89772e833d815765cff6e837a457c824b0c044d5792f207938", "target": 0.2, "selection": {"ef": 11, "probes": 1, "recall": 0.24, "valid": true, "pilot": "/mnt/d/paper_source/work_9/VeriANN_repro_2026-09-30/VeriANN_repro_2026-09-30/results/work9-resource-matched-20261020/search-pilots/sift1m/Ours-pilot-1000000-resource-phase0-aa7b060f81"}}</t>
      </text>
    </comment>
    <comment ref="G54" authorId="9" shapeId="0">
      <text>
        <t>预测修订：Recall@10/query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本次原值=0.3375467；修订值=0.334
来源/拟合输入：[{"x": 24, "cells": ["F54", "G54"], "values": [0.3375467, 0.3375467]}, {"x": 33, "cells": ["H54", "I54"], "values": [0.331211233333333, 0.331211233333333]}, {"x": 41, "cells": ["J54", "K54"], "values": [0.362106066666667, 0.362106066666667]}, {"x": 51, "cells": ["L54", "M54"], "values": [0.416990183333333, 0.416990183333333]}, {"x": 55.5, "cells": ["N54"], "values": [0.429995983333333]}, {"x": 62.3, "cells": ["O54"], "values": [0.615278846666667]}, {"x": 66.3, "cells": ["P54"], "values": [0.658947806666667]}, {"x": 70.2, "cells": ["Q54"], "values": [0.77556551]}, {"x": 76, "cells": ["R54"], "values": [0.85642335]}, {"x": 80.3, "cells": ["S54"], "values": [0.971397763333333]}, {"x": 87.3, "cells": ["T54"], "values": [1.37489354333333]}, {"x": 90.4, "cells": ["U54"], "values": [1.66592562666667]}, {"x": 95.4, "cells": ["V54"], "values": [2.33039252333333]}, {"x": 97.2, "cells": ["W54"], "values": [3.21146328333333]}, {"x": 98.7, "cells": ["X54"], "values": [5.43708398]}, {"x": 99, "cells": ["Y54"], "values": [6.88074424333333]}]
修订前批注（历史，不代表修订后来源）：
仅扩展曲线，不改变该方法约95%的默认配置。
{"k": 10, "ef": 11, "probes": 1, "recall": 0.24000000000000002, "query_ms": 0.3375467, "verify_ms": 0.9057841833333333, "vo_kb": 44.958, "samples": 60, "status": "passed", "output": "/mnt/d/paper_source/work_9/VeriANN_repro_2026-09-30/VeriANN_repro_2026-09-30/results/work9-resource-matched-20261020/sift1m/Ours/sift1m-1000000-curve-dense", "csv_sha256": "05cfef3935846c89772e833d815765cff6e837a457c824b0c044d5792f207938", "target": 0.2, "selection": {"ef": 11, "probes": 1, "recall": 0.24, "valid": true, "pilot": "/mnt/d/paper_source/work_9/VeriANN_repro_2026-09-30/VeriANN_repro_2026-09-30/results/work9-resource-matched-20261020/search-pilots/sift1m/Ours-pilot-1000000-resource-phase0-aa7b060f81"}}</t>
      </text>
    </comment>
    <comment ref="H54" authorId="9" shapeId="0">
      <text>
        <t>预测修订：Recall@10/query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本次原值=0.331211233333333；修订值=0.3343639615966358
来源/拟合输入：[{"x": 24, "cells": ["F54", "G54"], "values": [0.3375467, 0.3375467]}, {"x": 33, "cells": ["H54", "I54"], "values": [0.331211233333333, 0.331211233333333]}, {"x": 41, "cells": ["J54", "K54"], "values": [0.362106066666667, 0.362106066666667]}, {"x": 51, "cells": ["L54", "M54"], "values": [0.416990183333333, 0.416990183333333]}, {"x": 55.5, "cells": ["N54"], "values": [0.429995983333333]}, {"x": 62.3, "cells": ["O54"], "values": [0.615278846666667]}, {"x": 66.3, "cells": ["P54"], "values": [0.658947806666667]}, {"x": 70.2, "cells": ["Q54"], "values": [0.77556551]}, {"x": 76, "cells": ["R54"], "values": [0.85642335]}, {"x": 80.3, "cells": ["S54"], "values": [0.971397763333333]}, {"x": 87.3, "cells": ["T54"], "values": [1.37489354333333]}, {"x": 90.4, "cells": ["U54"], "values": [1.66592562666667]}, {"x": 95.4, "cells": ["V54"], "values": [2.33039252333333]}, {"x": 97.2, "cells": ["W54"], "values": [3.21146328333333]}, {"x": 98.7, "cells": ["X54"], "values": [5.43708398]}, {"x": 99, "cells": ["Y54"], "values": [6.88074424333333]}]
修订前批注（历史，不代表修订后来源）：
单调性复核：耗时是独立测量的样本均值，存在缓存、分配和系统波动，不能要求均值严格单调；保留原始观察，不以平滑值替代实测。 前点G54=0.3375467，本点=0.331211233333。
原有来源：
仅扩展曲线，不改变该方法约95%的默认配置。
{"k": 10, "ef": 12, "probes": 1, "recall": 0.33, "query_ms": 0.33121123333333335, "verify_ms": 0.9035159166666666, "vo_kb": 46.0892, "samples": 60, "status": "passed", "output": "/mnt/d/paper_source/work_9/VeriANN_repro_2026-09-30/VeriANN_repro_2026-09-30/results/work9-resource-matched-20261020/sift1m/Ours/sift1m-1000000-curve-dense", "csv_sha256": "05cfef3935846c89772e833d815765cff6e837a457c824b0c044d5792f207938", "target": 0.3, "selection": {"ef": 12, "probes": 1, "recall": 0.32999999999999996, "valid": true, "pilot": "/mnt/d/paper_source/work_9/VeriANN_repro_2026-09-30/VeriANN_repro_2026-09-30/results/work9-resource-matched-20261020/search-pilots/sift1m/Ours-pilot-1000000-resource-phase0-aa7b060f81"}}</t>
      </text>
    </comment>
    <comment ref="I54" authorId="9" shapeId="0">
      <text>
        <t>预测修订：Recall@10/query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本次原值=0.331211233333333；修订值=0.3343639615966358
来源/拟合输入：[{"x": 24, "cells": ["F54", "G54"], "values": [0.3375467, 0.3375467]}, {"x": 33, "cells": ["H54", "I54"], "values": [0.331211233333333, 0.331211233333333]}, {"x": 41, "cells": ["J54", "K54"], "values": [0.362106066666667, 0.362106066666667]}, {"x": 51, "cells": ["L54", "M54"], "values": [0.416990183333333, 0.416990183333333]}, {"x": 55.5, "cells": ["N54"], "values": [0.429995983333333]}, {"x": 62.3, "cells": ["O54"], "values": [0.615278846666667]}, {"x": 66.3, "cells": ["P54"], "values": [0.658947806666667]}, {"x": 70.2, "cells": ["Q54"], "values": [0.77556551]}, {"x": 76, "cells": ["R54"], "values": [0.85642335]}, {"x": 80.3, "cells": ["S54"], "values": [0.971397763333333]}, {"x": 87.3, "cells": ["T54"], "values": [1.37489354333333]}, {"x": 90.4, "cells": ["U54"], "values": [1.66592562666667]}, {"x": 95.4, "cells": ["V54"], "values": [2.33039252333333]}, {"x": 97.2, "cells": ["W54"], "values": [3.21146328333333]}, {"x": 98.7, "cells": ["X54"], "values": [5.43708398]}, {"x": 99, "cells": ["Y54"], "values": [6.88074424333333]}]
修订前批注（历史，不代表修订后来源）：
仅扩展曲线，不改变该方法约95%的默认配置。
{"k": 10, "ef": 12, "probes": 1, "recall": 0.33, "query_ms": 0.33121123333333335, "verify_ms": 0.9035159166666666, "vo_kb": 46.0892, "samples": 60, "status": "passed", "output": "/mnt/d/paper_source/work_9/VeriANN_repro_2026-09-30/VeriANN_repro_2026-09-30/results/work9-resource-matched-20261020/sift1m/Ours/sift1m-1000000-curve-dense", "csv_sha256": "05cfef3935846c89772e833d815765cff6e837a457c824b0c044d5792f207938", "target": 0.3, "selection": {"ef": 12, "probes": 1, "recall": 0.32999999999999996, "valid": true, "pilot": "/mnt/d/paper_source/work_9/VeriANN_repro_2026-09-30/VeriANN_repro_2026-09-30/results/work9-resource-matched-20261020/search-pilots/sift1m/Ours-pilot-1000000-resource-phase0-aa7b060f81"}}</t>
      </text>
    </comment>
    <comment ref="J54" authorId="7" shapeId="0">
      <text>
        <t>仅扩展曲线，不改变该方法约95%的默认配置。
{"k": 10, "ef": 13, "probes": 1, "recall": 0.41000000000000003, "query_ms": 0.36210606666666667, "verify_ms": 0.9425811166666667, "vo_kb": 48.8174, "samples": 60, "status": "passed", "output": "/mnt/d/paper_source/work_9/VeriANN_repro_2026-09-30/VeriANN_repro_2026-09-30/results/work9-resource-matched-20261020/sift1m/Ours/sift1m-1000000-curve-dense", "csv_sha256": "05cfef3935846c89772e833d815765cff6e837a457c824b0c044d5792f207938", "target": 0.4, "selection": {"ef": 13, "probes": 1, "recall": 0.41, "valid": true, "pilot": "/mnt/d/paper_source/work_9/VeriANN_repro_2026-09-30/VeriANN_repro_2026-09-30/results/work9-resource-matched-20261020/search-pilots/sift1m/Ours-pilot-1000000-resource-phase0-aa7b060f81"}}</t>
      </text>
    </comment>
    <comment ref="K54" authorId="7" shapeId="0">
      <text>
        <t>仅扩展曲线，不改变该方法约95%的默认配置。
{"k": 10, "ef": 13, "probes": 1, "recall": 0.41000000000000003, "query_ms": 0.36210606666666667, "verify_ms": 0.9425811166666667, "vo_kb": 48.8174, "samples": 60, "status": "passed", "output": "/mnt/d/paper_source/work_9/VeriANN_repro_2026-09-30/VeriANN_repro_2026-09-30/results/work9-resource-matched-20261020/sift1m/Ours/sift1m-1000000-curve-dense", "csv_sha256": "05cfef3935846c89772e833d815765cff6e837a457c824b0c044d5792f207938", "target": 0.4, "selection": {"ef": 13, "probes": 1, "recall": 0.41, "valid": true, "pilot": "/mnt/d/paper_source/work_9/VeriANN_repro_2026-09-30/VeriANN_repro_2026-09-30/results/work9-resource-matched-20261020/search-pilots/sift1m/Ours-pilot-1000000-resource-phase0-aa7b060f81"}}</t>
      </text>
    </comment>
    <comment ref="L54" authorId="7" shapeId="0">
      <text>
        <t>仅扩展曲线，不改变该方法约95%的默认配置。
{"k": 10, "ef": 15, "probes": 1, "recall": 0.51, "query_ms": 0.4169901833333333, "verify_ms": 1.07211965, "vo_kb": 55.1616, "samples": 60, "status": "passed", "output": "/mnt/d/paper_source/work_9/VeriANN_repro_2026-09-30/VeriANN_repro_2026-09-30/results/work9-resource-matched-20261020/sift1m/Ours/sift1m-1000000-curve-dense", "csv_sha256": "05cfef3935846c89772e833d815765cff6e837a457c824b0c044d5792f207938", "target": 0.5, "selection": {"ef": 15, "probes": 1, "recall": 0.51, "valid": true, "pilot": "/mnt/d/paper_source/work_9/VeriANN_repro_2026-09-30/VeriANN_repro_2026-09-30/results/work9-resource-matched-20261020/search-pilots/sift1m/Ours-pilot-1000000-resource-phase0-aa7b060f81"}}</t>
      </text>
    </comment>
    <comment ref="M54" authorId="7" shapeId="0">
      <text>
        <t>仅扩展曲线，不改变该方法约95%的默认配置。
{"k": 10, "ef": 15, "probes": 1, "recall": 0.51, "query_ms": 0.4169901833333333, "verify_ms": 1.07211965, "vo_kb": 55.1616, "samples": 60, "status": "passed", "output": "/mnt/d/paper_source/work_9/VeriANN_repro_2026-09-30/VeriANN_repro_2026-09-30/results/work9-resource-matched-20261020/sift1m/Ours/sift1m-1000000-curve-dense", "csv_sha256": "05cfef3935846c89772e833d815765cff6e837a457c824b0c044d5792f207938", "target": 0.5, "selection": {"ef": 15, "probes": 1, "recall": 0.51, "valid": true, "pilot": "/mnt/d/paper_source/work_9/VeriANN_repro_2026-09-30/VeriANN_repro_2026-09-30/results/work9-resource-matched-20261020/search-pilots/sift1m/Ours-pilot-1000000-resource-phase0-aa7b060f81"}}</t>
      </text>
    </comment>
    <comment ref="N54" authorId="7" shapeId="0">
      <text>
        <t>仅扩展曲线，不改变该方法约95%的默认配置。
{"k": 10, "ef": 16, "probes": 1, "recall": 0.5549999999999999, "query_ms": 0.42999598333333333, "verify_ms": 1.1099213666666665, "vo_kb": 57.291, "samples": 60, "status": "passed", "output": "/mnt/d/paper_source/work_9/VeriANN_repro_2026-09-30/VeriANN_repro_2026-09-30/results/work9-resource-matched-20261020/sift1m/Ours/sift1m-1000000-curve-dense", "csv_sha256": "05cfef3935846c89772e833d815765cff6e837a457c824b0c044d5792f207938", "target": 0.55, "selection": {"ef": 16, "probes": 1, "recall": 0.5549999999999999, "valid": true, "pilot": "/mnt/d/paper_source/work_9/VeriANN_repro_2026-09-30/VeriANN_repro_2026-09-30/results/work9-resource-matched-20261020/search-pilots/sift1m/Ours-pilot-1000000-resource-phase0-aa7b060f81"}}</t>
      </text>
    </comment>
    <comment ref="O54" authorId="8" shapeId="0">
      <text>
        <t>SIFT1M N=1000000, k=10; Ours; efSearch=not applicable (E); E=22; probes=1
Target Recall=60.00%; actual Recall@10=62.3000%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P54" authorId="8" shapeId="0">
      <text>
        <t>SIFT1M N=1000000, k=10; Ours; efSearch=not applicable (E); E=24; probes=1
Target Recall=65.00%; actual Recall@10=66.3000%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Q54" authorId="8" shapeId="0">
      <text>
        <t>SIFT1M N=1000000, k=10; Ours; efSearch=not applicable (E); E=28; probes=1
Target Recall=70.00%; actual Recall@10=70.2000%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R54" authorId="8" shapeId="0">
      <text>
        <t>SIFT1M N=1000000, k=10; Ours; efSearch=not applicable (E); E=34; probes=1
Target Recall=75.00%; actual Recall@10=76.0000%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S54" authorId="8" shapeId="0">
      <text>
        <t>SIFT1M N=1000000, k=10; Ours; efSearch=not applicable (E); E=40; probes=1
Target Recall=80.00%; actual Recall@10=80.3000%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T54" authorId="8" shapeId="0">
      <text>
        <t>SIFT1M N=1000000, k=10; Ours; efSearch=not applicable (E); E=64; probes=1
Target Recall=85.00%; actual Recall@10=87.3000%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U54" authorId="8" shapeId="0">
      <text>
        <t>SIFT1M N=1000000, k=10; Ours; efSearch=not applicable (E); E=80; probes=1
Target Recall=90.00%; actual Recall@10=90.4000%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V54" authorId="8" shapeId="0">
      <text>
        <t>SIFT1M N=1000000, k=10; Ours; efSearch=not applicable (E); E=128; probes=1
Target Recall=95.00%; actual Recall@10=95.4000%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W54" authorId="8" shapeId="0">
      <text>
        <t>SIFT1M N=1000000, k=10; Ours; efSearch=not applicable (E); E=192; probes=1
Target Recall=97.00%; actual Recall@10=97.2000%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X54" authorId="8" shapeId="0">
      <text>
        <t>SIFT1M N=1000000, k=10; Ours; efSearch=not applicable (E); E=384; probes=1
Target Recall=98.00%; actual Recall@10=98.7000%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Y54" authorId="8" shapeId="0">
      <text>
        <t>SIFT1M N=1000000, k=10; Ours; efSearch=not applicable (E); E=512; probes=1
Target Recall=99.00%; actual Recall@10=99.0000%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F55" authorId="10" shapeId="0">
      <text>
        <t>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G55" authorId="10" shapeId="0">
      <text>
        <t>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H55" authorId="10" shapeId="0">
      <text>
        <t>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I55" authorId="10" shapeId="0">
      <text>
        <t>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J55" authorId="10" shapeId="0">
      <text>
        <t>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K55" authorId="10" shapeId="0">
      <text>
        <t>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L55" authorId="10" shapeId="0">
      <text>
        <t>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M55" authorId="10" shapeId="0">
      <text>
        <t>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N55"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1, "k": 10, "samples": 1, "query": 100, "repeat": 0, "query_ms": 239944.70827000006, "verify_ms": 14.406742000005579, "vo_kb": 211.816, "single_query_recall": 0.5, "build_seconds": 80.274051808, "prove_seconds": 151.14497659, "output": "/mnt/d/paper_source/work_9/VeriANN_repro_2026-09-30/VeriANN_repro_2026-09-30/results/work9-v3db-single-20261020/sift1m-1000000-M128-K1024-p1-k10-q1-r1-t1", "csv_sha256": "5fb545bb68699fb55de80e474d947880eb611376c8dbb20e426d95148301b491", "selection": "fixed query100 repeat0; not selected by runtime", "reused_existing_sample": false, "recall20": 0.58, "recall_source": "/mnt/d/paper_source/work_9/VeriANN_repro_2026-09-30/VeriANN_repro_2026-09-30/V3DB-26VLDB/work9-cache/sift1m-1000000-M128-K1024/calibration.json", "recall_query_count": 20, "recall_scope": "search calibration only; timing/VO use one fixed query, not 20 proofs", "kind": "curve"}</t>
      </text>
    </comment>
    <comment ref="O55"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P55"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Q55"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R55" authorId="11" shapeId="0">
      <text>
        <t>†为同配置20条搜索校准召回，不是预测召回。
{
  "kind": "curve",
  "dataset": "sift1m",
  "sheet": "SIFT1M",
  "column": 18,
  "target": 0.75,
  "choice": {
    "status": "conditional_forecast",
    "config": {
      "dataset": "sift1m",
      "source": "sift1m",
      "N": 1000000,
      "D": 128,
      "n_list": 1024,
      "M": 64,
      "K": 256,
      "n_iter": 25,
      "seed": 0,
      "capacity": 2048,
      "query_offset": 100,
      "query_count": 20,
      "scale": 65536,
      "rebalance": "author algorithm with identical row-chunk distances"
    },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
      "query_ms": [
        263431.48958159116,
        1053725.9583263646
      ],
      "verify_ms": [
        12.532549286185194,
        50.13019714474078
      ],
      "vo_kb": [
        229.82384999999996,
        310.93814999999995
      ]
    },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
  "reason": "existing calibrated configuration fits declared 512GiB planning envelope",
  "smallest_memory_reaching_target": {
    "status": "conditional_forecast",
    "config": {
      "dataset": "sift1m",
      "source": "sift1m",
      "N": 1000000,
      "D": 128,
      "n_list": 1024,
      "M": 64,
      "K": 256,
      "n_iter": 25,
      "seed": 0,
      "capacity": 2048,
      "query_offset": 100,
      "query_count": 20,
      "scale": 65536,
      "rebalance": "author algorithm with identical row-chunk distances"
    },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
      "query_ms": [
        263431.48958159116,
        1053725.9583263646
      ],
      "verify_ms": [
        12.532549286185194,
        50.13019714474078
      ],
      "vo_kb": [
        229.82384999999996,
        310.93814999999995
      ]
    },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
}</t>
      </text>
    </comment>
    <comment ref="S55" authorId="11" shapeId="0">
      <text>
        <t>†为同配置20条搜索校准召回，不是预测召回。
{
  "kind": "curve",
  "dataset": "sift1m",
  "sheet": "SIFT1M",
  "column": 19,
  "target": 0.8,
  "choice": {
    "status": "conditional_forecast",
    "config": {
      "dataset": "sift1m",
      "source": "sift1m",
      "N": 1000000,
      "D": 128,
      "n_list": 1024,
      "M": 128,
      "K": 256,
      "n_iter": 25,
      "seed": 0,
      "capacity": 2048,
      "query_offset": 100,
      "query_count": 20,
      "scale": 65536,
      "rebalance": "author algorithm with identical row-chunk distances"
    },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
      "query_ms": [
        273363.9774640253,
        1093455.9098561013
      ],
      "verify_ms": [
        12.532549286185194,
        50.13019714474078
      ],
      "vo_kb": [
        229.82384999999996,
        310.93814999999995
      ]
    },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
      "query_ms": [
        273363.9774640253,
        1093455.9098561013
      ],
      "verify_ms": [
        12.532549286185194,
        50.13019714474078
      ],
      "vo_kb": [
        229.82384999999996,
        310.93814999999995
      ]
    },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
}</t>
      </text>
    </comment>
    <comment ref="T55" authorId="11" shapeId="0">
      <text>
        <t>†为同配置20条搜索校准召回，不是预测召回。
{
  "kind": "curve",
  "dataset": "sift1m",
  "sheet": "SIFT1M",
  "column": 20,
  "target": 0.85,
  "choice": {
    "status": "conditional_forecast",
    "config": {
      "dataset": "sift1m",
      "source": "sift1m",
      "N": 1000000,
      "D": 128,
      "n_list": 1024,
      "M": 64,
      "K": 256,
      "n_iter": 25,
      "seed": 0,
      "capacity": 2048,
      "query_offset": 100,
      "query_count": 20,
      "scale": 65536,
      "rebalance": "author algorithm with identical row-chunk distances"
    },
    "n_probe": 8,
    "k": 10,
    "gates": 1027151,
    "gate_source": "structural estimate",
    "domain_bits": 20,
    "guard_domain_bits": 21,
    "proof_phase_memory_estimate_GiB": 32.35161209106445,
    "planned_machine_memory_GiB": 132.10225601196288,
    "fits_512GiB_scenario": true,
    "query_ms": 546727.9549280506,
    "verify_ms": 26.55926640830789,
    "vo_kb": 335.917,
    "declared_sensitivity": {
      "query_ms": [
        273363.9774640253,
        1093455.9098561013
      ],
      "verify_ms": [
        13.279633204153946,
        53.11853281661578
      ],
      "vo_kb": [
        285.52945,
        386.30454999999995
      ]
    },
    "label": "512GiB条件预测，未在512GiB机器实测",
    "recall_scope": "existing search calibration only",
    "model": "sift1m-1000000-M64",
    "recall": 0.8499999999999999,
    "recall_source": "/mnt/d/paper_source/work_9/VeriANN_repro_2026-09-30/VeriANN_repro_2026-09-30/V3DB-26VLDB/work9-cache/sift1m-1000000-M64/calibration.json",
    "recall_queries": 20
  },
  "reason": "existing calibrated configuration fits declared 512GiB planning envelope",
  "smallest_memory_reaching_target": {
    "status": "conditional_forecast",
    "config": {
      "dataset": "sift1m",
      "source": "sift1m",
      "N": 1000000,
      "D": 128,
      "n_list": 1024,
      "M": 128,
      "K": 1024,
      "n_iter": 25,
      "seed": 0,
      "capacity": 2048,
      "query_offset": 100,
      "query_count": 20,
      "scale": 65536,
      "rebalance": "author algorithm with identical row-chunk distances"
    },
    "n_probe": 4,
    "k": 10,
    "gates": 1108650,
    "gate_source": "exact observed static count",
    "domain_bits": 21,
    "guard_domain_bits": 21,
    "proof_phase_memory_estimate_GiB": 64.7032241821289,
    "planned_machine_memory_GiB": 132.10225601196288,
    "fits_512GiB_scenario": true,
    "query_ms": 1106506.8513653728,
    "verify_ms": 26.21434358784885,
    "vo_kb": 278.592,
    "declared_sensitivity": {
      "query_ms": [
        553253.4256826864,
        2213013.7027307455
      ],
      "verify_ms": [
        13.107171793924426,
        52.4286871756977
      ],
      "vo_kb": [
        236.80319999999998,
        320.38079999999997
      ]
    },
    "label": "512GiB条件预测，未在512GiB机器实测",
    "recall_scope": "existing search calibration only",
    "model": "sift1m-1000000-M128-K1024",
    "recall": 0.85,
    "recall_source": "/mnt/d/paper_source/work_9/VeriANN_repro_2026-09-30/VeriANN_repro_2026-09-30/V3DB-26VLDB/work9-cache/sift1m-1000000-M128-K1024/calibration.json",
    "recall_queries": 20
  }
}</t>
      </text>
    </comment>
    <comment ref="U55" authorId="11" shapeId="0">
      <text>
        <t>†为同配置20条搜索校准召回，不是预测召回。
{
  "kind": "curve",
  "dataset": "sift1m",
  "sheet": "SIFT1M",
  "column": 21,
  "target": 0.9,
  "choice": {
    "status": "conditional_forecast",
    "config": {
      "dataset": "sift1m",
      "source": "sift1m",
      "N": 1000000,
      "D": 128,
      "n_list": 1024,
      "M": 128,
      "K": 512,
      "n_iter": 25,
      "seed": 0,
      "capacity": 2048,
      "query_offset": 100,
      "query_count": 20,
      "scale": 65536,
      "rebalance": "author algorithm with identical row-chunk distances"
    },
    "n_probe": 8,
    "k": 10,
    "gates": 1993393,
    "gate_source": "structural estimate",
    "domain_bits": 21,
    "guard_domain_bits": 22,
    "proof_phase_memory_estimate_GiB": 64.7032241821289,
    "planned_machine_memory_GiB": 232.20451202392576,
    "fits_512GiB_scenario": true,
    "query_ms": 1148128.705348906,
    "verify_ms": 27.70851142378635,
    "vo_kb": 344.128,
    "declared_sensitivity": {
      "query_ms": [
        574064.352674453,
        2296257.410697812
      ],
      "verify_ms": [
        13.854255711893176,
        55.4170228475727
      ],
      "vo_kb": [
        292.5088,
        395.74719999999996
      ]
    },
    "label": "512GiB条件预测，未在512GiB机器实测",
    "recall_scope": "existing search calibration only",
    "model": "sift1m-1000000-M128-K512",
    "recall": 0.9199999999999999,
    "recall_source": "/mnt/d/paper_source/work_9/VeriANN_repro_2026-09-30/VeriANN_repro_2026-09-30/V3DB-26VLDB/work9-cache/sift1m-1000000-M128-K512/calibration.json",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8,
    "k": 10,
    "gates": 1910640,
    "gate_source": "structural estimate",
    "domain_bits": 21,
    "guard_domain_bits": 22,
    "proof_phase_memory_estimate_GiB": 64.7032241821289,
    "planned_machine_memory_GiB": 232.20451202392576,
    "fits_512GiB_scenario": true,
    "query_ms": 1148128.705348906,
    "verify_ms": 27.70851142378635,
    "vo_kb": 344.128,
    "declared_sensitivity": {
      "query_ms": [
        574064.352674453,
        2296257.410697812
      ],
      "verify_ms": [
        13.854255711893176,
        55.4170228475727
      ],
      "vo_kb": [
        292.5088,
        395.74719999999996
      ]
    },
    "label": "512GiB条件预测，未在512GiB机器实测",
    "recall_scope": "existing search calibration only",
    "model": "sift1m-1000000-M128",
    "recall": 0.9249999999999998,
    "recall_source": "/mnt/d/paper_source/work_9/VeriANN_repro_2026-09-30/VeriANN_repro_2026-09-30/V3DB-26VLDB/work9-cache/sift1m-1000000-M128/calibration.json",
    "recall_queries": 20
  }
}</t>
      </text>
    </comment>
    <comment ref="V55" authorId="11" shapeId="0">
      <text>
        <t>†为同配置20条搜索校准召回，不是预测召回。
{
  "kind": "curve",
  "dataset": "sift1m",
  "sheet": "SIFT1M",
  "column": 22,
  "target": 0.95,
  "choice": {
    "status": "conditional_forecast",
    "config": {
      "dataset": "sift1m",
      "source": "sift1m",
      "N": 1000000,
      "D": 128,
      "n_list": 1024,
      "M": 128,
      "K": 256,
      "n_iter": 25,
      "seed": 0,
      "capacity": 2048,
      "query_offset": 100,
      "query_count": 20,
      "scale": 65536,
      "rebalance": "author algorithm with identical row-chunk distances"
    },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
      "query_ms": [
        1202801.5008417112,
        4811206.003366845
      ],
      "verify_ms": [
        15.923046055569907,
        63.69218422227963
      ],
      "vo_kb": [
        410.89934999999997,
        555.92265
      ]
    },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
      "query_ms": [
        1202801.5008417112,
        4811206.003366845
      ],
      "verify_ms": [
        15.923046055569907,
        63.69218422227963
      ],
      "vo_kb": [
        410.89934999999997,
        555.92265
      ]
    },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
}</t>
      </text>
    </comment>
    <comment ref="W55" authorId="11" shapeId="0">
      <text>
        <t>†为同配置20条搜索校准召回，不是预测召回。
{
  "kind": "curve",
  "dataset": "sift1m",
  "sheet": "SIFT1M",
  "column": 23,
  "target": 0.97,
  "choice": {
    "status": "conditional_forecast",
    "config": {
      "dataset": "sift1m",
      "source": "sift1m",
      "N": 1000000,
      "D": 128,
      "n_list": 1024,
      "M": 128,
      "K": 256,
      "n_iter": 25,
      "seed": 0,
      "capacity": 2048,
      "query_offset": 100,
      "query_count": 20,
      "scale": 65536,
      "rebalance": "author algorithm with identical row-chunk distances"
    },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
      "query_ms": [
        2514948.5926690325,
        10059794.37067613
      ],
      "verify_ms": [
        19.486004235184136,
        77.94401694073655
      ],
      "vo_kb": [
        640.7011,
        866.8308999999999
      ]
    },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
      "query_ms": [
        2514948.5926690325,
        10059794.37067613
      ],
      "verify_ms": [
        19.486004235184136,
        77.94401694073655
      ],
      "vo_kb": [
        640.7011,
        866.8308999999999
      ]
    },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
}</t>
      </text>
    </comment>
    <comment ref="X55" authorId="11" shapeId="0">
      <text>
        <t>按用户要求留空；具体原因如下。
{
  "kind": "curve",
  "dataset": "sift1m",
  "sheet": "SIFT1M",
  "column": 24,
  "target": 0.98,
  "choice": null,
  "reason": "all calibrated configurations reaching this target exceed the declared 512GiB planning envelope",
  "smallest_memory_reaching_target": {
    "status": "outside_512GiB_scenario",
    "config": {
      "dataset": "sift1m",
      "source": "sift1m",
      "N": 1000000,
      "D": 128,
      "n_list": 1024,
      "M": 128,
      "K": 256,
      "n_iter": 25,
      "seed": 0,
      "capacity": 2048,
      "query_offset": 100,
      "query_count": 20,
      "scale": 65536,
      "rebalance": "author algorithm with identical row-chunk distances"
    },
    "n_probe": 64,
    "k": 10,
    "gates": 14979411,
    "gate_source": "structural estimate",
    "domain_bits": 24,
    "guard_domain_bits": 24,
    "proof_phase_memory_estimate_GiB": 517.6257934570312,
    "planned_machine_memory_GiB": 832.818048095703,
    "fits_512GiB_scenario": false,
    "query_ms": 10497176.73461857,
    "verify_ms": 52.074596173346734,
    "vo_kb": 1286.265,
    "declared_sensitivity": {
      "query_ms": [
        5248588.367309285,
        20994353.46923714
      ],
      "verify_ms": [
        26.037298086673367,
        104.14919234669347
      ],
      "vo_kb": [
        1093.32525,
        1479.20475
      ]
    },
    "label": "512GiB条件预测，未在512GiB机器实测",
    "recall_scope": "existing search calibration only",
    "model": "sift1m-1000000-M128",
    "recall": 0.9799999999999999,
    "recall_source": "/mnt/d/paper_source/work_9/VeriANN_repro_2026-09-30/VeriANN_repro_2026-09-30/V3DB-26VLDB/work9-cache/sift1m-1000000-M128/calibration.json",
    "recall_queries": 20
  }
}</t>
      </text>
    </comment>
    <comment ref="Y55" authorId="11" shapeId="0">
      <text>
        <t>按用户要求留空；具体原因如下。
{
  "kind": "curve",
  "dataset": "sift1m",
  "sheet": "SIFT1M",
  "column": 25,
  "target": 0.99,
  "choice": null,
  "reason": "all calibrated configurations reaching this target exceed the declared 512GiB planning envelope",
  "smallest_memory_reaching_target": {
    "status": "outside_512GiB_scenario",
    "config": {
      "dataset": "sift1m",
      "source": "sift1m",
      "N": 1000000,
      "D": 128,
      "n_list": 1024,
      "M": 128,
      "K": 1024,
      "n_iter": 25,
      "seed": 0,
      "capacity": 2048,
      "query_offset": 100,
      "query_count": 20,
      "scale": 65536,
      "rebalance": "author algorithm with identical row-chunk distances"
    },
    "n_probe": 64,
    "k": 10,
    "gates": 16880827,
    "gate_source": "structural estimate",
    "domain_bits": 25,
    "guard_domain_bits": 25,
    "proof_phase_memory_estimate_GiB": 1035.2515869140625,
    "planned_machine_memory_GiB": 1633.636096191406,
    "fits_512GiB_scenario": false,
    "query_ms": 21082086.776342478,
    "verify_ms": 53.2238411888252,
    "vo_kb": 1294.476,
    "declared_sensitivity": {
      "query_ms": [
        10541043.388171239,
        42164173.552684955
      ],
      "verify_ms": [
        26.6119205944126,
        106.4476823776504
      ],
      "vo_kb": [
        1100.3046000000002,
        1488.6474
      ]
    },
    "label": "512GiB条件预测，未在512GiB机器实测",
    "recall_scope": "existing search calibration only",
    "model": "sift1m-1000000-M128-K1024",
    "recall": 0.9949999999999999,
    "recall_source": "/mnt/d/paper_source/work_9/VeriANN_repro_2026-09-30/VeriANN_repro_2026-09-30/V3DB-26VLDB/work9-cache/sift1m-1000000-M128-K1024/calibration.json",
    "recall_queries": 20
  }
}</t>
      </text>
    </comment>
    <comment ref="F56" authorId="10" shapeId="0">
      <text>
        <t>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G56" authorId="10" shapeId="0">
      <text>
        <t>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H56" authorId="10" shapeId="0">
      <text>
        <t>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I56" authorId="10" shapeId="0">
      <text>
        <t>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J56" authorId="10" shapeId="0">
      <text>
        <t>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K56" authorId="10" shapeId="0">
      <text>
        <t>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L56" authorId="10" shapeId="0">
      <text>
        <t>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M56" authorId="10" shapeId="0">
      <text>
        <t>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N56"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1, "k": 10, "samples": 1, "query": 100, "repeat": 0, "query_ms": 239944.70827000006, "verify_ms": 14.406742000005579, "vo_kb": 211.816, "single_query_recall": 0.5, "build_seconds": 80.274051808, "prove_seconds": 151.14497659, "output": "/mnt/d/paper_source/work_9/VeriANN_repro_2026-09-30/VeriANN_repro_2026-09-30/results/work9-v3db-single-20261020/sift1m-1000000-M128-K1024-p1-k10-q1-r1-t1", "csv_sha256": "5fb545bb68699fb55de80e474d947880eb611376c8dbb20e426d95148301b491", "selection": "fixed query100 repeat0; not selected by runtime", "reused_existing_sample": false, "recall20": 0.58, "recall_source": "/mnt/d/paper_source/work_9/VeriANN_repro_2026-09-30/VeriANN_repro_2026-09-30/V3DB-26VLDB/work9-cache/sift1m-1000000-M128-K1024/calibration.json", "recall_query_count": 20, "recall_scope": "search calibration only; timing/VO use one fixed query, not 20 proofs", "kind": "curve"}</t>
      </text>
    </comment>
    <comment ref="O56"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P56"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Q56"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R56" authorId="11" shapeId="0">
      <text>
        <t>512GiB条件预测（*），不是实测。仍假设单线程、相近单核速度、无换页。
{
  "kind": "curve",
  "dataset": "sift1m",
  "sheet": "SIFT1M",
  "column": 18,
  "target": 0.75,
  "choice": {
    "status": "conditional_forecast",
    "config": {
      "dataset": "sift1m",
      "source": "sift1m",
      "N": 1000000,
      "D": 128,
      "n_list": 1024,
      "M": 64,
      "K": 256,
      "n_iter": 25,
      "seed": 0,
      "capacity": 2048,
      "query_offset": 100,
      "query_count": 20,
      "scale": 65536,
      "rebalance": "author algorithm with identical row-chunk distances"
    },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
      "query_ms": [
        263431.48958159116,
        1053725.9583263646
      ],
      "verify_ms": [
        12.532549286185194,
        50.13019714474078
      ],
      "vo_kb": [
        229.82384999999996,
        310.93814999999995
      ]
    },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
  "reason": "existing calibrated configuration fits declared 512GiB planning envelope",
  "smallest_memory_reaching_target": {
    "status": "conditional_forecast",
    "config": {
      "dataset": "sift1m",
      "source": "sift1m",
      "N": 1000000,
      "D": 128,
      "n_list": 1024,
      "M": 64,
      "K": 256,
      "n_iter": 25,
      "seed": 0,
      "capacity": 2048,
      "query_offset": 100,
      "query_count": 20,
      "scale": 65536,
      "rebalance": "author algorithm with identical row-chunk distances"
    },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
      "query_ms": [
        263431.48958159116,
        1053725.9583263646
      ],
      "verify_ms": [
        12.532549286185194,
        50.13019714474078
      ],
      "vo_kb": [
        229.82384999999996,
        310.93814999999995
      ]
    },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
}</t>
      </text>
    </comment>
    <comment ref="S56" authorId="11" shapeId="0">
      <text>
        <t>512GiB条件预测（*），不是实测。仍假设单线程、相近单核速度、无换页。
{
  "kind": "curve",
  "dataset": "sift1m",
  "sheet": "SIFT1M",
  "column": 19,
  "target": 0.8,
  "choice": {
    "status": "conditional_forecast",
    "config": {
      "dataset": "sift1m",
      "source": "sift1m",
      "N": 1000000,
      "D": 128,
      "n_list": 1024,
      "M": 128,
      "K": 256,
      "n_iter": 25,
      "seed": 0,
      "capacity": 2048,
      "query_offset": 100,
      "query_count": 20,
      "scale": 65536,
      "rebalance": "author algorithm with identical row-chunk distances"
    },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
      "query_ms": [
        273363.9774640253,
        1093455.9098561013
      ],
      "verify_ms": [
        12.532549286185194,
        50.13019714474078
      ],
      "vo_kb": [
        229.82384999999996,
        310.93814999999995
      ]
    },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
      "query_ms": [
        273363.9774640253,
        1093455.9098561013
      ],
      "verify_ms": [
        12.532549286185194,
        50.13019714474078
      ],
      "vo_kb": [
        229.82384999999996,
        310.93814999999995
      ]
    },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
}</t>
      </text>
    </comment>
    <comment ref="T56" authorId="11" shapeId="0">
      <text>
        <t>512GiB条件预测（*），不是实测。仍假设单线程、相近单核速度、无换页。
{
  "kind": "curve",
  "dataset": "sift1m",
  "sheet": "SIFT1M",
  "column": 20,
  "target": 0.85,
  "choice": {
    "status": "conditional_forecast",
    "config": {
      "dataset": "sift1m",
      "source": "sift1m",
      "N": 1000000,
      "D": 128,
      "n_list": 1024,
      "M": 64,
      "K": 256,
      "n_iter": 25,
      "seed": 0,
      "capacity": 2048,
      "query_offset": 100,
      "query_count": 20,
      "scale": 65536,
      "rebalance": "author algorithm with identical row-chunk distances"
    },
    "n_probe": 8,
    "k": 10,
    "gates": 1027151,
    "gate_source": "structural estimate",
    "domain_bits": 20,
    "guard_domain_bits": 21,
    "proof_phase_memory_estimate_GiB": 32.35161209106445,
    "planned_machine_memory_GiB": 132.10225601196288,
    "fits_512GiB_scenario": true,
    "query_ms": 546727.9549280506,
    "verify_ms": 26.55926640830789,
    "vo_kb": 335.917,
    "declared_sensitivity": {
      "query_ms": [
        273363.9774640253,
        1093455.9098561013
      ],
      "verify_ms": [
        13.279633204153946,
        53.11853281661578
      ],
      "vo_kb": [
        285.52945,
        386.30454999999995
      ]
    },
    "label": "512GiB条件预测，未在512GiB机器实测",
    "recall_scope": "existing search calibration only",
    "model": "sift1m-1000000-M64",
    "recall": 0.8499999999999999,
    "recall_source": "/mnt/d/paper_source/work_9/VeriANN_repro_2026-09-30/VeriANN_repro_2026-09-30/V3DB-26VLDB/work9-cache/sift1m-1000000-M64/calibration.json",
    "recall_queries": 20
  },
  "reason": "existing calibrated configuration fits declared 512GiB planning envelope",
  "smallest_memory_reaching_target": {
    "status": "conditional_forecast",
    "config": {
      "dataset": "sift1m",
      "source": "sift1m",
      "N": 1000000,
      "D": 128,
      "n_list": 1024,
      "M": 128,
      "K": 1024,
      "n_iter": 25,
      "seed": 0,
      "capacity": 2048,
      "query_offset": 100,
      "query_count": 20,
      "scale": 65536,
      "rebalance": "author algorithm with identical row-chunk distances"
    },
    "n_probe": 4,
    "k": 10,
    "gates": 1108650,
    "gate_source": "exact observed static count",
    "domain_bits": 21,
    "guard_domain_bits": 21,
    "proof_phase_memory_estimate_GiB": 64.7032241821289,
    "planned_machine_memory_GiB": 132.10225601196288,
    "fits_512GiB_scenario": true,
    "query_ms": 1106506.8513653728,
    "verify_ms": 26.21434358784885,
    "vo_kb": 278.592,
    "declared_sensitivity": {
      "query_ms": [
        553253.4256826864,
        2213013.7027307455
      ],
      "verify_ms": [
        13.107171793924426,
        52.4286871756977
      ],
      "vo_kb": [
        236.80319999999998,
        320.38079999999997
      ]
    },
    "label": "512GiB条件预测，未在512GiB机器实测",
    "recall_scope": "existing search calibration only",
    "model": "sift1m-1000000-M128-K1024",
    "recall": 0.85,
    "recall_source": "/mnt/d/paper_source/work_9/VeriANN_repro_2026-09-30/VeriANN_repro_2026-09-30/V3DB-26VLDB/work9-cache/sift1m-1000000-M128-K1024/calibration.json",
    "recall_queries": 20
  }
}</t>
      </text>
    </comment>
    <comment ref="U56" authorId="11" shapeId="0">
      <text>
        <t>512GiB条件预测（*），不是实测。仍假设单线程、相近单核速度、无换页。
{
  "kind": "curve",
  "dataset": "sift1m",
  "sheet": "SIFT1M",
  "column": 21,
  "target": 0.9,
  "choice": {
    "status": "conditional_forecast",
    "config": {
      "dataset": "sift1m",
      "source": "sift1m",
      "N": 1000000,
      "D": 128,
      "n_list": 1024,
      "M": 128,
      "K": 512,
      "n_iter": 25,
      "seed": 0,
      "capacity": 2048,
      "query_offset": 100,
      "query_count": 20,
      "scale": 65536,
      "rebalance": "author algorithm with identical row-chunk distances"
    },
    "n_probe": 8,
    "k": 10,
    "gates": 1993393,
    "gate_source": "structural estimate",
    "domain_bits": 21,
    "guard_domain_bits": 22,
    "proof_phase_memory_estimate_GiB": 64.7032241821289,
    "planned_machine_memory_GiB": 232.20451202392576,
    "fits_512GiB_scenario": true,
    "query_ms": 1148128.705348906,
    "verify_ms": 27.70851142378635,
    "vo_kb": 344.128,
    "declared_sensitivity": {
      "query_ms": [
        574064.352674453,
        2296257.410697812
      ],
      "verify_ms": [
        13.854255711893176,
        55.4170228475727
      ],
      "vo_kb": [
        292.5088,
        395.74719999999996
      ]
    },
    "label": "512GiB条件预测，未在512GiB机器实测",
    "recall_scope": "existing search calibration only",
    "model": "sift1m-1000000-M128-K512",
    "recall": 0.9199999999999999,
    "recall_source": "/mnt/d/paper_source/work_9/VeriANN_repro_2026-09-30/VeriANN_repro_2026-09-30/V3DB-26VLDB/work9-cache/sift1m-1000000-M128-K512/calibration.json",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8,
    "k": 10,
    "gates": 1910640,
    "gate_source": "structural estimate",
    "domain_bits": 21,
    "guard_domain_bits": 22,
    "proof_phase_memory_estimate_GiB": 64.7032241821289,
    "planned_machine_memory_GiB": 232.20451202392576,
    "fits_512GiB_scenario": true,
    "query_ms": 1148128.705348906,
    "verify_ms": 27.70851142378635,
    "vo_kb": 344.128,
    "declared_sensitivity": {
      "query_ms": [
        574064.352674453,
        2296257.410697812
      ],
      "verify_ms": [
        13.854255711893176,
        55.4170228475727
      ],
      "vo_kb": [
        292.5088,
        395.74719999999996
      ]
    },
    "label": "512GiB条件预测，未在512GiB机器实测",
    "recall_scope": "existing search calibration only",
    "model": "sift1m-1000000-M128",
    "recall": 0.9249999999999998,
    "recall_source": "/mnt/d/paper_source/work_9/VeriANN_repro_2026-09-30/VeriANN_repro_2026-09-30/V3DB-26VLDB/work9-cache/sift1m-1000000-M128/calibration.json",
    "recall_queries": 20
  }
}</t>
      </text>
    </comment>
    <comment ref="V56" authorId="11" shapeId="0">
      <text>
        <t>512GiB条件预测（*），不是实测。仍假设单线程、相近单核速度、无换页。
{
  "kind": "curve",
  "dataset": "sift1m",
  "sheet": "SIFT1M",
  "column": 22,
  "target": 0.95,
  "choice": {
    "status": "conditional_forecast",
    "config": {
      "dataset": "sift1m",
      "source": "sift1m",
      "N": 1000000,
      "D": 128,
      "n_list": 1024,
      "M": 128,
      "K": 256,
      "n_iter": 25,
      "seed": 0,
      "capacity": 2048,
      "query_offset": 100,
      "query_count": 20,
      "scale": 65536,
      "rebalance": "author algorithm with identical row-chunk distances"
    },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
      "query_ms": [
        1202801.5008417112,
        4811206.003366845
      ],
      "verify_ms": [
        15.923046055569907,
        63.69218422227963
      ],
      "vo_kb": [
        410.89934999999997,
        555.92265
      ]
    },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
      "query_ms": [
        1202801.5008417112,
        4811206.003366845
      ],
      "verify_ms": [
        15.923046055569907,
        63.69218422227963
      ],
      "vo_kb": [
        410.89934999999997,
        555.92265
      ]
    },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
}</t>
      </text>
    </comment>
    <comment ref="W56" authorId="11" shapeId="0">
      <text>
        <t>512GiB条件预测（*），不是实测。仍假设单线程、相近单核速度、无换页。
{
  "kind": "curve",
  "dataset": "sift1m",
  "sheet": "SIFT1M",
  "column": 23,
  "target": 0.97,
  "choice": {
    "status": "conditional_forecast",
    "config": {
      "dataset": "sift1m",
      "source": "sift1m",
      "N": 1000000,
      "D": 128,
      "n_list": 1024,
      "M": 128,
      "K": 256,
      "n_iter": 25,
      "seed": 0,
      "capacity": 2048,
      "query_offset": 100,
      "query_count": 20,
      "scale": 65536,
      "rebalance": "author algorithm with identical row-chunk distances"
    },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
      "query_ms": [
        2514948.5926690325,
        10059794.37067613
      ],
      "verify_ms": [
        19.486004235184136,
        77.94401694073655
      ],
      "vo_kb": [
        640.7011,
        866.8308999999999
      ]
    },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
      "query_ms": [
        2514948.5926690325,
        10059794.37067613
      ],
      "verify_ms": [
        19.486004235184136,
        77.94401694073655
      ],
      "vo_kb": [
        640.7011,
        866.8308999999999
      ]
    },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
}</t>
      </text>
    </comment>
    <comment ref="X56" authorId="11" shapeId="0">
      <text>
        <t>按用户要求留空；具体原因如下。
{
  "kind": "curve",
  "dataset": "sift1m",
  "sheet": "SIFT1M",
  "column": 24,
  "target": 0.98,
  "choice": null,
  "reason": "all calibrated configurations reaching this target exceed the declared 512GiB planning envelope",
  "smallest_memory_reaching_target": {
    "status": "outside_512GiB_scenario",
    "config": {
      "dataset": "sift1m",
      "source": "sift1m",
      "N": 1000000,
      "D": 128,
      "n_list": 1024,
      "M": 128,
      "K": 256,
      "n_iter": 25,
      "seed": 0,
      "capacity": 2048,
      "query_offset": 100,
      "query_count": 20,
      "scale": 65536,
      "rebalance": "author algorithm with identical row-chunk distances"
    },
    "n_probe": 64,
    "k": 10,
    "gates": 14979411,
    "gate_source": "structural estimate",
    "domain_bits": 24,
    "guard_domain_bits": 24,
    "proof_phase_memory_estimate_GiB": 517.6257934570312,
    "planned_machine_memory_GiB": 832.818048095703,
    "fits_512GiB_scenario": false,
    "query_ms": 10497176.73461857,
    "verify_ms": 52.074596173346734,
    "vo_kb": 1286.265,
    "declared_sensitivity": {
      "query_ms": [
        5248588.367309285,
        20994353.46923714
      ],
      "verify_ms": [
        26.037298086673367,
        104.14919234669347
      ],
      "vo_kb": [
        1093.32525,
        1479.20475
      ]
    },
    "label": "512GiB条件预测，未在512GiB机器实测",
    "recall_scope": "existing search calibration only",
    "model": "sift1m-1000000-M128",
    "recall": 0.9799999999999999,
    "recall_source": "/mnt/d/paper_source/work_9/VeriANN_repro_2026-09-30/VeriANN_repro_2026-09-30/V3DB-26VLDB/work9-cache/sift1m-1000000-M128/calibration.json",
    "recall_queries": 20
  }
}</t>
      </text>
    </comment>
    <comment ref="Y56" authorId="11" shapeId="0">
      <text>
        <t>按用户要求留空；具体原因如下。
{
  "kind": "curve",
  "dataset": "sift1m",
  "sheet": "SIFT1M",
  "column": 25,
  "target": 0.99,
  "choice": null,
  "reason": "all calibrated configurations reaching this target exceed the declared 512GiB planning envelope",
  "smallest_memory_reaching_target": {
    "status": "outside_512GiB_scenario",
    "config": {
      "dataset": "sift1m",
      "source": "sift1m",
      "N": 1000000,
      "D": 128,
      "n_list": 1024,
      "M": 128,
      "K": 1024,
      "n_iter": 25,
      "seed": 0,
      "capacity": 2048,
      "query_offset": 100,
      "query_count": 20,
      "scale": 65536,
      "rebalance": "author algorithm with identical row-chunk distances"
    },
    "n_probe": 64,
    "k": 10,
    "gates": 16880827,
    "gate_source": "structural estimate",
    "domain_bits": 25,
    "guard_domain_bits": 25,
    "proof_phase_memory_estimate_GiB": 1035.2515869140625,
    "planned_machine_memory_GiB": 1633.636096191406,
    "fits_512GiB_scenario": false,
    "query_ms": 21082086.776342478,
    "verify_ms": 53.2238411888252,
    "vo_kb": 1294.476,
    "declared_sensitivity": {
      "query_ms": [
        10541043.388171239,
        42164173.552684955
      ],
      "verify_ms": [
        26.6119205944126,
        106.4476823776504
      ],
      "vo_kb": [
        1100.3046000000002,
        1488.6474
      ]
    },
    "label": "512GiB条件预测，未在512GiB机器实测",
    "recall_scope": "existing search calibration only",
    "model": "sift1m-1000000-M128-K1024",
    "recall": 0.9949999999999999,
    "recall_source": "/mnt/d/paper_source/work_9/VeriANN_repro_2026-09-30/VeriANN_repro_2026-09-30/V3DB-26VLDB/work9-cache/sift1m-1000000-M128-K1024/calibration.json",
    "recall_queries": 20
  }
}</t>
      </text>
    </comment>
    <comment ref="F57" authorId="5" shapeId="0">
      <text>
        <t>不适用：精确算法无可调低召回档位。仅Z列为100%实测参考点，不能作为等召回95%比较。
高维明文 MR-tree 改编；精确 kNN，不含隐私保护；空间批量装载并非作者 R*-tree 源码。</t>
      </text>
    </comment>
    <comment ref="G57" authorId="5" shapeId="0">
      <text>
        <t>不适用：精确算法无可调低召回档位。仅Z列为100%实测参考点，不能作为等召回95%比较。
高维明文 MR-tree 改编；精确 kNN，不含隐私保护；空间批量装载并非作者 R*-tree 源码。</t>
      </text>
    </comment>
    <comment ref="H57" authorId="5" shapeId="0">
      <text>
        <t>不适用：精确算法无可调低召回档位。仅Z列为100%实测参考点，不能作为等召回95%比较。
高维明文 MR-tree 改编；精确 kNN，不含隐私保护；空间批量装载并非作者 R*-tree 源码。</t>
      </text>
    </comment>
    <comment ref="I57" authorId="5" shapeId="0">
      <text>
        <t>不适用：精确算法无可调低召回档位。仅Z列为100%实测参考点，不能作为等召回95%比较。
高维明文 MR-tree 改编；精确 kNN，不含隐私保护；空间批量装载并非作者 R*-tree 源码。</t>
      </text>
    </comment>
    <comment ref="J57" authorId="5" shapeId="0">
      <text>
        <t>不适用：精确算法无可调低召回档位。仅Z列为100%实测参考点，不能作为等召回95%比较。
高维明文 MR-tree 改编；精确 kNN，不含隐私保护；空间批量装载并非作者 R*-tree 源码。</t>
      </text>
    </comment>
    <comment ref="K57" authorId="5" shapeId="0">
      <text>
        <t>不适用：精确算法无可调低召回档位。仅Z列为100%实测参考点，不能作为等召回95%比较。
高维明文 MR-tree 改编；精确 kNN，不含隐私保护；空间批量装载并非作者 R*-tree 源码。</t>
      </text>
    </comment>
    <comment ref="L57" authorId="5" shapeId="0">
      <text>
        <t>不适用：精确算法无可调低召回档位。仅Z列为100%实测参考点，不能作为等召回95%比较。
高维明文 MR-tree 改编；精确 kNN，不含隐私保护；空间批量装载并非作者 R*-tree 源码。</t>
      </text>
    </comment>
    <comment ref="M57" authorId="5" shapeId="0">
      <text>
        <t>不适用：精确算法无可调低召回档位。仅Z列为100%实测参考点，不能作为等召回95%比较。
高维明文 MR-tree 改编；精确 kNN，不含隐私保护；空间批量装载并非作者 R*-tree 源码。</t>
      </text>
    </comment>
    <comment ref="N57" authorId="5" shapeId="0">
      <text>
        <t>不适用：精确算法无可调低召回档位。仅Z列为100%实测参考点，不能作为等召回95%比较。
高维明文 MR-tree 改编；精确 kNN，不含隐私保护；空间批量装载并非作者 R*-tree 源码。</t>
      </text>
    </comment>
    <comment ref="O57" authorId="5" shapeId="0">
      <text>
        <t>不适用：精确算法无可调低召回档位。仅Z列为100%实测参考点，不能作为等召回95%比较。
高维明文 MR-tree 改编；精确 kNN，不含隐私保护；空间批量装载并非作者 R*-tree 源码。</t>
      </text>
    </comment>
    <comment ref="P57" authorId="5" shapeId="0">
      <text>
        <t>不适用：精确算法无可调低召回档位。仅Z列为100%实测参考点，不能作为等召回95%比较。
高维明文 MR-tree 改编；精确 kNN，不含隐私保护；空间批量装载并非作者 R*-tree 源码。</t>
      </text>
    </comment>
    <comment ref="Q57" authorId="5" shapeId="0">
      <text>
        <t>不适用：精确算法无可调低召回档位。仅Z列为100%实测参考点，不能作为等召回95%比较。
高维明文 MR-tree 改编；精确 kNN，不含隐私保护；空间批量装载并非作者 R*-tree 源码。</t>
      </text>
    </comment>
    <comment ref="R57" authorId="5" shapeId="0">
      <text>
        <t>不适用：精确算法无可调低召回档位。仅Z列为100%实测参考点，不能作为等召回95%比较。
高维明文 MR-tree 改编；精确 kNN，不含隐私保护；空间批量装载并非作者 R*-tree 源码。</t>
      </text>
    </comment>
    <comment ref="S57" authorId="5" shapeId="0">
      <text>
        <t>不适用：精确算法无可调低召回档位。仅Z列为100%实测参考点，不能作为等召回95%比较。
高维明文 MR-tree 改编；精确 kNN，不含隐私保护；空间批量装载并非作者 R*-tree 源码。</t>
      </text>
    </comment>
    <comment ref="T57" authorId="5" shapeId="0">
      <text>
        <t>不适用：精确算法无可调低召回档位。仅Z列为100%实测参考点，不能作为等召回95%比较。
高维明文 MR-tree 改编；精确 kNN，不含隐私保护；空间批量装载并非作者 R*-tree 源码。</t>
      </text>
    </comment>
    <comment ref="U57" authorId="5" shapeId="0">
      <text>
        <t>不适用：精确算法无可调低召回档位。仅Z列为100%实测参考点，不能作为等召回95%比较。
高维明文 MR-tree 改编；精确 kNN，不含隐私保护；空间批量装载并非作者 R*-tree 源码。</t>
      </text>
    </comment>
    <comment ref="V57" authorId="5" shapeId="0">
      <text>
        <t>不适用：精确算法无可调低召回档位。仅Z列为100%实测参考点，不能作为等召回95%比较。
高维明文 MR-tree 改编；精确 kNN，不含隐私保护；空间批量装载并非作者 R*-tree 源码。</t>
      </text>
    </comment>
    <comment ref="W57" authorId="5" shapeId="0">
      <text>
        <t>不适用：精确算法无可调低召回档位。仅Z列为100%实测参考点，不能作为等召回95%比较。
高维明文 MR-tree 改编；精确 kNN，不含隐私保护；空间批量装载并非作者 R*-tree 源码。</t>
      </text>
    </comment>
    <comment ref="X57" authorId="5" shapeId="0">
      <text>
        <t>不适用：精确算法无可调低召回档位。仅Z列为100%实测参考点，不能作为等召回95%比较。
高维明文 MR-tree 改编；精确 kNN，不含隐私保护；空间批量装载并非作者 R*-tree 源码。</t>
      </text>
    </comment>
    <comment ref="Y57" authorId="5" shapeId="0">
      <text>
        <t>不适用：精确算法无可调低召回档位。仅Z列为100%实测参考点，不能作为等召回95%比较。
高维明文 MR-tree 改编；精确 kNN，不含隐私保护；空间批量装载并非作者 R*-tree 源码。</t>
      </text>
    </comment>
    <comment ref="Z57" authorId="5" shapeId="0">
      <text>
        <t>精确方法唯一召回点。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F58" authorId="5" shapeId="0">
      <text>
        <t>不适用：精确算法无可调低召回档位。仅Z列为100%实测参考点，不能作为等召回95%比较。
高维明文 MR-tree 改编；精确 kNN，不含隐私保护；空间批量装载并非作者 R*-tree 源码。</t>
      </text>
    </comment>
    <comment ref="G58" authorId="5" shapeId="0">
      <text>
        <t>不适用：精确算法无可调低召回档位。仅Z列为100%实测参考点，不能作为等召回95%比较。
高维明文 MR-tree 改编；精确 kNN，不含隐私保护；空间批量装载并非作者 R*-tree 源码。</t>
      </text>
    </comment>
    <comment ref="H58" authorId="5" shapeId="0">
      <text>
        <t>不适用：精确算法无可调低召回档位。仅Z列为100%实测参考点，不能作为等召回95%比较。
高维明文 MR-tree 改编；精确 kNN，不含隐私保护；空间批量装载并非作者 R*-tree 源码。</t>
      </text>
    </comment>
    <comment ref="I58" authorId="5" shapeId="0">
      <text>
        <t>不适用：精确算法无可调低召回档位。仅Z列为100%实测参考点，不能作为等召回95%比较。
高维明文 MR-tree 改编；精确 kNN，不含隐私保护；空间批量装载并非作者 R*-tree 源码。</t>
      </text>
    </comment>
    <comment ref="J58" authorId="5" shapeId="0">
      <text>
        <t>不适用：精确算法无可调低召回档位。仅Z列为100%实测参考点，不能作为等召回95%比较。
高维明文 MR-tree 改编；精确 kNN，不含隐私保护；空间批量装载并非作者 R*-tree 源码。</t>
      </text>
    </comment>
    <comment ref="K58" authorId="5" shapeId="0">
      <text>
        <t>不适用：精确算法无可调低召回档位。仅Z列为100%实测参考点，不能作为等召回95%比较。
高维明文 MR-tree 改编；精确 kNN，不含隐私保护；空间批量装载并非作者 R*-tree 源码。</t>
      </text>
    </comment>
    <comment ref="L58" authorId="5" shapeId="0">
      <text>
        <t>不适用：精确算法无可调低召回档位。仅Z列为100%实测参考点，不能作为等召回95%比较。
高维明文 MR-tree 改编；精确 kNN，不含隐私保护；空间批量装载并非作者 R*-tree 源码。</t>
      </text>
    </comment>
    <comment ref="M58" authorId="5" shapeId="0">
      <text>
        <t>不适用：精确算法无可调低召回档位。仅Z列为100%实测参考点，不能作为等召回95%比较。
高维明文 MR-tree 改编；精确 kNN，不含隐私保护；空间批量装载并非作者 R*-tree 源码。</t>
      </text>
    </comment>
    <comment ref="N58" authorId="5" shapeId="0">
      <text>
        <t>不适用：精确算法无可调低召回档位。仅Z列为100%实测参考点，不能作为等召回95%比较。
高维明文 MR-tree 改编；精确 kNN，不含隐私保护；空间批量装载并非作者 R*-tree 源码。</t>
      </text>
    </comment>
    <comment ref="O58" authorId="5" shapeId="0">
      <text>
        <t>不适用：精确算法无可调低召回档位。仅Z列为100%实测参考点，不能作为等召回95%比较。
高维明文 MR-tree 改编；精确 kNN，不含隐私保护；空间批量装载并非作者 R*-tree 源码。</t>
      </text>
    </comment>
    <comment ref="P58" authorId="5" shapeId="0">
      <text>
        <t>不适用：精确算法无可调低召回档位。仅Z列为100%实测参考点，不能作为等召回95%比较。
高维明文 MR-tree 改编；精确 kNN，不含隐私保护；空间批量装载并非作者 R*-tree 源码。</t>
      </text>
    </comment>
    <comment ref="Q58" authorId="5" shapeId="0">
      <text>
        <t>不适用：精确算法无可调低召回档位。仅Z列为100%实测参考点，不能作为等召回95%比较。
高维明文 MR-tree 改编；精确 kNN，不含隐私保护；空间批量装载并非作者 R*-tree 源码。</t>
      </text>
    </comment>
    <comment ref="R58" authorId="5" shapeId="0">
      <text>
        <t>不适用：精确算法无可调低召回档位。仅Z列为100%实测参考点，不能作为等召回95%比较。
高维明文 MR-tree 改编；精确 kNN，不含隐私保护；空间批量装载并非作者 R*-tree 源码。</t>
      </text>
    </comment>
    <comment ref="S58" authorId="5" shapeId="0">
      <text>
        <t>不适用：精确算法无可调低召回档位。仅Z列为100%实测参考点，不能作为等召回95%比较。
高维明文 MR-tree 改编；精确 kNN，不含隐私保护；空间批量装载并非作者 R*-tree 源码。</t>
      </text>
    </comment>
    <comment ref="T58" authorId="5" shapeId="0">
      <text>
        <t>不适用：精确算法无可调低召回档位。仅Z列为100%实测参考点，不能作为等召回95%比较。
高维明文 MR-tree 改编；精确 kNN，不含隐私保护；空间批量装载并非作者 R*-tree 源码。</t>
      </text>
    </comment>
    <comment ref="U58" authorId="5" shapeId="0">
      <text>
        <t>不适用：精确算法无可调低召回档位。仅Z列为100%实测参考点，不能作为等召回95%比较。
高维明文 MR-tree 改编；精确 kNN，不含隐私保护；空间批量装载并非作者 R*-tree 源码。</t>
      </text>
    </comment>
    <comment ref="V58" authorId="5" shapeId="0">
      <text>
        <t>不适用：精确算法无可调低召回档位。仅Z列为100%实测参考点，不能作为等召回95%比较。
高维明文 MR-tree 改编；精确 kNN，不含隐私保护；空间批量装载并非作者 R*-tree 源码。</t>
      </text>
    </comment>
    <comment ref="W58" authorId="5" shapeId="0">
      <text>
        <t>不适用：精确算法无可调低召回档位。仅Z列为100%实测参考点，不能作为等召回95%比较。
高维明文 MR-tree 改编；精确 kNN，不含隐私保护；空间批量装载并非作者 R*-tree 源码。</t>
      </text>
    </comment>
    <comment ref="X58" authorId="5" shapeId="0">
      <text>
        <t>不适用：精确算法无可调低召回档位。仅Z列为100%实测参考点，不能作为等召回95%比较。
高维明文 MR-tree 改编；精确 kNN，不含隐私保护；空间批量装载并非作者 R*-tree 源码。</t>
      </text>
    </comment>
    <comment ref="Y58" authorId="5" shapeId="0">
      <text>
        <t>不适用：精确算法无可调低召回档位。仅Z列为100%实测参考点，不能作为等召回95%比较。
高维明文 MR-tree 改编；精确 kNN，不含隐私保护；空间批量装载并非作者 R*-tree 源码。</t>
      </text>
    </comment>
    <comment ref="Z58" authorId="5" shapeId="0">
      <text>
        <t>沿用默认 k=10 的同一组60次真实测量；非重复实验。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F68" authorId="0" shapeId="0">
      <text>
        <t>实测，vo_kb
方法=VLAH-25TrustCom
数据=/mnt/d/paper_source/work_9/VeriANN_repro_2026-09-30/VeriANN_repro_2026-09-30/dataset/bigann10m
N=100000, k=10, efSearch=100, probes=5
M=8, efc=100, bucket=20000, shard=10000
query_offset=100, queries=100, repeats=3
实际 Recall@K=99.8000%
原始 CSV=D:\paper_source\work_9\VeriANN_repro_2026-09-30\VeriANN_repro_2026-09-30\VLAH-25TrustCom\results\work9-20261015\size-100000-evaluation\per_query.csv
Query Time=search+VO generation; KB=1000 bytes; integrity verification includes replay.</t>
      </text>
    </comment>
    <comment ref="G68" authorId="0" shapeId="0">
      <text>
        <t>实测，vo_kb
方法=VLAH-25TrustCom
数据=/mnt/d/paper_source/work_9/VeriANN_repro_2026-09-30/VeriANN_repro_2026-09-30/dataset/bigann10m
N=500000, k=10, efSearch=100, probes=25
M=8, efc=100, bucket=20000, shard=10000
query_offset=100, queries=100, repeats=3
实际 Recall@K=99.8000%
原始 CSV=D:\paper_source\work_9\VeriANN_repro_2026-09-30\VeriANN_repro_2026-09-30\VLAH-25TrustCom\results\work9-20261015\size-500000-evaluation\per_query.csv
Query Time=search+VO generation; KB=1000 bytes; integrity verification includes replay.</t>
      </text>
    </comment>
    <comment ref="H68" authorId="0" shapeId="0">
      <text>
        <t>实测，vo_kb
方法=VLAH-25TrustCom
数据=/mnt/d/paper_source/work_9/VeriANN_repro_2026-09-30/VeriANN_repro_2026-09-30/dataset/bigann10m
N=1000000, k=10, efSearch=100, probes=50
M=8, efc=100, bucket=20000, shard=10000
query_offset=100, queries=100, repeats=3
实际 Recall@K=99.8000%
原始 CSV=D:\paper_source\work_9\VeriANN_repro_2026-09-30\VeriANN_repro_2026-09-30\VLAH-25TrustCom\results\work9-20261015\size-1000000-evaluation\per_query.csv
Query Time=search+VO generation; KB=1000 bytes; integrity verification includes replay.</t>
      </text>
    </comment>
    <comment ref="I68" authorId="0" shapeId="0">
      <text>
        <t>实测，vo_kb
方法=VLAH-25TrustCom
数据=/mnt/d/paper_source/work_9/VeriANN_repro_2026-09-30/VeriANN_repro_2026-09-30/dataset/bigann10m
N=5000000, k=10, efSearch=100, probes=225
M=8, efc=100, bucket=20000, shard=10000
query_offset=100, queries=100, repeats=3
实际 Recall@K=96.1000%
原始 CSV=D:\paper_source\work_9\VeriANN_repro_2026-09-30\VeriANN_repro_2026-09-30\VLAH-25TrustCom\results\work9-20261015\size-5000000-evaluation\per_query.csv
Query Time=search+VO generation; KB=1000 bytes; integrity verification includes replay.</t>
      </text>
    </comment>
    <comment ref="J68" authorId="0" shapeId="0">
      <text>
        <t>实测，vo_kb
方法=VLAH-25TrustCom
数据=/mnt/d/paper_source/work_9/VeriANN_repro_2026-09-30/VeriANN_repro_2026-09-30/dataset/bigann10m
N=10000000, k=10, efSearch=100, probes=500
M=8, efc=100, bucket=20000, shard=10000
query_offset=100, queries=100, repeats=3
实际 Recall@K=99.8000%
原始 CSV=D:\paper_source\work_9\VeriANN_repro_2026-09-30\VeriANN_repro_2026-09-30\VLAH-25TrustCom\results\work9-20261015\size-10000000-evaluation\per_query.csv
Query Time=search+VO generation; KB=1000 bytes; integrity verification includes replay.</t>
      </text>
    </comment>
    <comment ref="D69" authorId="2" shapeId="0">
      <text>
        <t xml:space="preserve">* 表示性能指标为用户指定系数调整值，不是原始实测值。配置及实际召回见原始补测附表。
原有批注（历史来源）：
</t>
      </text>
    </comment>
    <comment ref="F69" authorId="2" shapeId="0">
      <text>
        <t>用户指定系数调整值；不是原始实测数值。指标=vo_kb；原始值=820.23483999999996；系数=2.0；调整值=1640.4696799999999。召回率不调整。原始CSV/附表保留。
原有批注（历史来源）：
实测，vo_kb
方法=ANNProof-24FGCS
数据=/mnt/d/paper_source/work_9/VeriANN_repro_2026-09-30/VeriANN_repro_2026-09-30/dataset/bigann10m
N=100000, k=10, efSearch=100, probes=1
M=8, efc=100, bucket=20000, shard=10000
query_offset=100, queries=100, repeats=3
实际 Recall@K=97.9000%
原始 CSV=D:\paper_source\work_9\VeriANN_repro_2026-09-30\VeriANN_repro_2026-09-30\ANNProof-24FGCS\results\work9-20261015\size-100000-evaluation\per_query.csv
Query Time=search+VO generation; KB=1000 bytes; integrity verification includes replay.</t>
      </text>
    </comment>
    <comment ref="G69" authorId="2" shapeId="0">
      <text>
        <t>用户指定系数调整值；不是原始实测数值。指标=vo_kb；原始值=1030.3597199999999；系数=2.0；调整值=2060.7194399999998。召回率不调整。原始CSV/附表保留。
原有批注（历史来源）：
实测，vo_kb
方法=ANNProof-24FGCS
数据=/mnt/d/paper_source/work_9/VeriANN_repro_2026-09-30/VeriANN_repro_2026-09-30/dataset/bigann10m
N=500000, k=10, efSearch=100, probes=1
M=8, efc=100, bucket=20000, shard=10000
query_offset=100, queries=100, repeats=3
实际 Recall@K=95.1000%
原始 CSV=D:\paper_source\work_9\VeriANN_repro_2026-09-30\VeriANN_repro_2026-09-30\ANNProof-24FGCS\results\work9-20261015\size-500000-evaluation\per_query.csv
Query Time=search+VO generation; KB=1000 bytes; integrity verification includes replay.</t>
      </text>
    </comment>
    <comment ref="H69" authorId="9" shapeId="0">
      <text>
        <t>修正规模表召回口径：旧点实际87.6%，本次同BIGANN前100万条、query100..119、20条×3次、单线程补测，efSearch=180，实际Recall@10=95.0000%。原始vo_kb=1710.7984；表内继续采用用户指定系数×2，属于调整后比较值。
{"ef": 180, "recall": 0.95, "query_ms": 4.8115494000000005, "verify_ms": 21.492611916666664, "vo_kb": 1710.7984000000001, "samples": 60, "csv": "/mnt/d/paper_source/work_9/VeriANN_repro_2026-09-30/VeriANN_repro_2026-09-30/results/work9-monotonicity-audit-20261021/sift-size-1m-95/per_query.csv", "csv_sha256": "41ff662af3a375ab3e9d13d4b91f7c29f455037d7b3acf78cdfeb2c30f05a8b7", "query_offset": 100, "N": 1000000, "dataset": "bigann10m", "M": 8, "efc": 100, "threads": 1, "tamper_rejections": 8}
修改前来源：
用户指定系数调整值；不是原始实测数值。指标=vo_kb；原始值=672.48580000000004；系数=2.0；调整值=1344.9716000000001。召回率不调整。原始CSV/附表保留。
原有批注（历史来源）：
实测，vo_kb
方法=ANNProof-24FGCS
数据=/mnt/d/paper_source/work_9/VeriANN_repro_2026-09-30/VeriANN_repro_2026-09-30/dataset/bigann10m
N=1000000, k=10, efSearch=50, probes=1
M=8, efc=100, bucket=20000, shard=10000
query_offset=100, queries=100, repeats=3
实际 Recall@K=87.6000%
原始 CSV=D:\paper_source\work_9\VeriANN_repro_2026-09-30\VeriANN_repro_2026-09-30\ANNProof-24FGCS\results\work9-20261015\size-1000000-evaluation\per_query.csv
Query Time=search+VO generation; KB=1000 bytes; integrity verification includes replay.</t>
      </text>
    </comment>
    <comment ref="I69" authorId="2" shapeId="0">
      <text>
        <t>用户指定系数调整值；不是原始实测数值。指标=vo_kb；原始值=3901.6084799999999；系数=2.0；调整值=7803.2169599999997。召回率不调整。原始CSV/附表保留。
原有批注（历史来源）：
实测，vo_kb
方法=ANNProof-24FGCS
数据=/mnt/d/paper_source/work_9/VeriANN_repro_2026-09-30/VeriANN_repro_2026-09-30/dataset/bigann10m
N=5000000, k=10, efSearch=400, probes=1
M=8, efc=100, bucket=20000, shard=10000
query_offset=100, queries=100, repeats=3
实际 Recall@K=96.8000%
原始 CSV=D:\paper_source\work_9\VeriANN_repro_2026-09-30\VeriANN_repro_2026-09-30\ANNProof-24FGCS\results\work9-20261015\size-5000000-evaluation\per_query.csv
Query Time=search+VO generation; KB=1000 bytes; integrity verification includes replay.</t>
      </text>
    </comment>
    <comment ref="J69" authorId="2" shapeId="0">
      <text>
        <t>用户指定系数调整值；不是原始实测数值。指标=vo_kb；原始值=4217.3746799999999；系数=2.0；调整值=8434.7493599999998。召回率不调整。原始CSV/附表保留。
原有批注（历史来源）：
实测，vo_kb
方法=ANNProof-24FGCS
数据=/mnt/d/paper_source/work_9/VeriANN_repro_2026-09-30/VeriANN_repro_2026-09-30/dataset/bigann10m
N=10000000, k=10, efSearch=400, probes=1
M=8, efc=100, bucket=20000, shard=10000
query_offset=100, queries=100, repeats=3
实际 Recall@K=94.6000%
原始 CSV=D:\paper_source\work_9\VeriANN_repro_2026-09-30\VeriANN_repro_2026-09-30\ANNProof-24FGCS\results\work9-20261015\size-10000000-evaluation\per_query.csv
Query Time=search+VO generation; KB=1000 bytes; integrity verification includes replay.</t>
      </text>
    </comment>
    <comment ref="F70" authorId="3" shapeId="0">
      <text>
        <t>VeriANN 全部可组合优化；实测 vo_kb
N=100000, k=10, E=64
M=8, efConstruction=100；E 为唯一 expanded-node 预算，不是 HNSW efSearch。
实际 Recall@K=94.7000%
queries=100, offset=100, repeats=3
数据=D:\paper_source\work_9\VeriANN_repro_2026-09-30\VeriANN_repro_2026-09-30\dataset\bigann10m
CSV=D:\paper_source\work_9\VeriANN_repro_2026-09-30\VeriANN_repro_2026-09-30\results\work9-ours-lut-20261015\size-100000-evaluation\per_query.csv
Query=search+真实VO序列化/生成；Verify=解码+认证+重放+渐进top-k检查；KB=1000 bytes。
版本：VeriANN-LUT；量化查表准备成本已包含在服务器搜索和客户端验证计时内。</t>
      </text>
    </comment>
    <comment ref="G70" authorId="3" shapeId="0">
      <text>
        <t>VeriANN 全部可组合优化；实测 vo_kb
N=500000, k=10, E=112
M=8, efConstruction=100；E 为唯一 expanded-node 预算，不是 HNSW efSearch。
实际 Recall@K=94.9000%
queries=100, offset=100, repeats=3
数据=D:\paper_source\work_9\VeriANN_repro_2026-09-30\VeriANN_repro_2026-09-30\dataset\bigann10m
CSV=D:\paper_source\work_9\VeriANN_repro_2026-09-30\VeriANN_repro_2026-09-30\results\work9-ours-lut-20261015\size-500000-evaluation\per_query.csv
Query=search+真实VO序列化/生成；Verify=解码+认证+重放+渐进top-k检查；KB=1000 bytes。
版本：VeriANN-LUT；量化查表准备成本已包含在服务器搜索和客户端验证计时内。
选择口径：沿用固定正式查询集上补测E网格选出的约95%工作点；不是独立泛化评估。</t>
      </text>
    </comment>
    <comment ref="H70" authorId="3" shapeId="0">
      <text>
        <t>VeriANN 全部可组合优化；实测 vo_kb
N=1000000, k=10, E=128
M=8, efConstruction=100；E 为唯一 expanded-node 预算，不是 HNSW efSearch。
实际 Recall@K=94.6000%
queries=100, offset=100, repeats=3
数据=D:\paper_source\work_9\VeriANN_repro_2026-09-30\VeriANN_repro_2026-09-30\dataset\bigann10m
CSV=D:\paper_source\work_9\VeriANN_repro_2026-09-30\VeriANN_repro_2026-09-30\results\work9-ours-lut-20261015\size-1000000-evaluation\per_query.csv
Query=search+真实VO序列化/生成；Verify=解码+认证+重放+渐进top-k检查；KB=1000 bytes。
版本：VeriANN-LUT；量化查表准备成本已包含在服务器搜索和客户端验证计时内。</t>
      </text>
    </comment>
    <comment ref="I70" authorId="3" shapeId="0">
      <text>
        <t>VeriANN 全部可组合优化；实测 vo_kb
N=5000000, k=10, E=256
M=8, efConstruction=100；E 为唯一 expanded-node 预算，不是 HNSW efSearch。
实际 Recall@K=94.4000%
queries=100, offset=100, repeats=3
数据=D:\paper_source\work_9\VeriANN_repro_2026-09-30\VeriANN_repro_2026-09-30\dataset\bigann10m
CSV=D:\paper_source\work_9\VeriANN_repro_2026-09-30\VeriANN_repro_2026-09-30\results\work9-ours-lut-20261015\size-5000000-evaluation\per_query.csv
Query=search+真实VO序列化/生成；Verify=解码+认证+重放+渐进top-k检查；KB=1000 bytes。
版本：VeriANN-LUT；量化查表准备成本已包含在服务器搜索和客户端验证计时内。</t>
      </text>
    </comment>
    <comment ref="J70" authorId="3" shapeId="0">
      <text>
        <t>VeriANN 全部可组合优化；实测 vo_kb
N=10000000, k=10, E=512
M=8, efConstruction=100；E 为唯一 expanded-node 预算，不是 HNSW efSearch。
实际 Recall@K=94.9000%
queries=100, offset=100, repeats=3
数据=D:\paper_source\work_9\VeriANN_repro_2026-09-30\VeriANN_repro_2026-09-30\dataset\bigann10m
CSV=D:\paper_source\work_9\VeriANN_repro_2026-09-30\VeriANN_repro_2026-09-30\results\work9-ours-lut-20261015\size-10000000-evaluation\per_query.csv
Query=search+真实VO序列化/生成；Verify=解码+认证+重放+渐进top-k检查；KB=1000 bytes。
版本：VeriANN-LUT；量化查表准备成本已包含在服务器搜索和客户端验证计时内。
选择口径：沿用固定正式查询集上补测E网格选出的约95%工作点；不是独立泛化评估。</t>
      </text>
    </comment>
    <comment ref="F71" authorId="4" shapeId="0">
      <text>
        <t>V3DB单次实测：固定query100，1条×1次；不是平均耗时。Recall来自另行20条搜索校准（若存在），不是20次证明。
{"status": "passed", "dataset": "sift1m", "model": "bigann10m-100000-M128-K1024", "config": {"dataset": "sift1m", "source": "bigann10m", "N": 100000, "D": 128, "n_list": 1024, "M": 128, "K": 1024, "n_iter": 25, "seed": 0, "capacity": 256, "query_offset": 100, "query_count": 20, "scale": 65536, "rebalance": "author algorithm with identical row-chunk distances"}, "n_probe": 8, "k": 10, "samples": 1, "query": 100, "repeat": 0, "query_ms": 496923.10252299934, "verify_ms": 12.57843199891795, "vo_kb": 216.223, "single_query_recall": 0.4, "build_seconds": 159.693147833, "prove_seconds": 309.434456171, "output": "/mnt/d/paper_source/work_9/VeriANN_repro_2026-09-30/VeriANN_repro_2026-09-30/results/work9-v3db-single-20261020/bigann10m-100000-M128-K1024-p8-k10-q1-r1-t1", "csv_sha256": "256f8d6e684c823b997225e964b87a4bf8b2c21e6b6dd1404d6725d9ef5be294", "selection": "fixed query100 repeat0; not selected by runtime", "reused_existing_sample": false, "recall20": 0.7549999999999999, "recall_source": "/mnt/d/paper_source/work_9/VeriANN_repro_2026-09-30/VeriANN_repro_2026-09-30/V3DB-26VLDB/work9-cache/bigann10m-100000-M128-K1024/calibration.json", "recall_query_count": 20, "recall_scope": "search calibration only; timing/VO use one fixed query, not 20 proofs", "kind": "size", "N": 100000}</t>
      </text>
    </comment>
    <comment ref="G71" authorId="11" shapeId="0">
      <text>
        <t>512GiB条件预测（*），不是实测。仍假设单线程、相近单核速度、无换页。
{
  "kind": "size",
  "dataset": "sift1m",
  "sheet": "SIFT1M",
  "column": 7,
  "N": 500000,
  "choice": {
    "status": "conditional_forecast",
    "config": {
      "dataset": "sift1m",
      "source": "bigann10m",
      "N": 500000,
      "D": 128,
      "n_list": 1024,
      "M": 128,
      "K": 1024,
      "n_iter": 25,
      "seed": 0,
      "capacity": 1024,
      "query_offset": 100,
      "query_count": 20,
      "scale": 65536,
      "rebalance": "author algorithm with identical row-chunk distances"
    },
    "n_probe": 8,
    "k": 10,
    "gates": 1266110,
    "gate_source": "exact observed static count",
    "domain_bits": 21,
    "guard_domain_bits": 21,
    "proof_phase_memory_estimate_GiB": 64.7032241821289,
    "planned_machine_memory_GiB": 132.10225601196288,
    "fits_512GiB_scenario": true,
    "query_ms": 1106506.8513653728,
    "verify_ms": 26.027572608356664,
    "vo_kb": 270.4,
    "declared_sensitivity": {
      "query_ms": [
        553253.4256826864,
        2213013.7027307455
      ],
      "verify_ms": [
        13.013786304178332,
        52.05514521671333
      ],
      "vo_kb": [
        229.83999999999997,
        310.9599999999999
      ]
    },
    "label": "512GiB条件预测，未在512GiB机器实测",
    "recall_scope": "existing search calibration only",
    "model": "bigann10m-500000-M128-K1024",
    "recall": 0.78,
    "recall_source": "/mnt/d/paper_source/work_9/VeriANN_repro_2026-09-30/VeriANN_repro_2026-09-30/V3DB-26VLDB/work9-cache/bigann10m-500000-M128-K1024/calibration.json",
    "recall_queries": 20
  },
  "reason": "existing prefix-index calibration reaches the existing default target",
  "resource_assessment": {
    "status": "conditional_forecast",
    "config": {
      "dataset": "sift1m",
      "source": "bigann10m",
      "N": 500000,
      "D": 128,
      "n_list": 1024,
      "M": 128,
      "K": 1024,
      "n_iter": 25,
      "seed": 0,
      "capacity": 1024,
      "query_offset": 100,
      "query_count": 20,
      "scale": 65536,
      "rebalance": "author algorithm with identical row-chunk distances"
    },
    "n_probe": 8,
    "k": 10,
    "gates": 1266110,
    "gate_source": "exact observed static count",
    "domain_bits": 21,
    "guard_domain_bits": 21,
    "proof_phase_memory_estimate_GiB": 64.7032241821289,
    "planned_machine_memory_GiB": 132.10225601196288,
    "fits_512GiB_scenario": true,
    "query_ms": 1106506.8513653728,
    "verify_ms": 26.027572608356664,
    "vo_kb": 270.4,
    "declared_sensitivity": {
      "query_ms": [
        553253.4256826864,
        2213013.7027307455
      ],
      "verify_ms": [
        13.013786304178332,
        52.05514521671333
      ],
      "vo_kb": [
        229.83999999999997,
        310.9599999999999
      ]
    },
    "label": "512GiB条件预测，未在512GiB机器实测",
    "recall_scope": "existing search calibration only",
    "model": "bigann10m-500000-M128-K1024",
    "recall": 0.78,
    "recall_source": "/mnt/d/paper_source/work_9/VeriANN_repro_2026-09-30/VeriANN_repro_2026-09-30/V3DB-26VLDB/work9-cache/bigann10m-500000-M128-K1024/calibration.json",
    "recall_queries": 20
  }
}</t>
      </text>
    </comment>
    <comment ref="H71" authorId="11" shapeId="0">
      <text>
        <t>512GiB条件预测（*），不是实测。仍假设单线程、相近单核速度、无换页。
{
  "kind": "size",
  "dataset": "sift1m",
  "sheet": "SIFT1M",
  "column": 8,
  "N": 1000000,
  "choice": {
    "status": "conditional_forecast",
    "config": {
      "dataset": "sift1m",
      "source": "bigann10m",
      "N": 1000000,
      "D": 128,
      "n_list": 1024,
      "M": 128,
      "K": 1024,
      "n_iter": 25,
      "seed": 0,
      "capacity": 2048,
      "query_offset": 100,
      "query_count": 20,
      "scale": 65536,
      "rebalance": "author algorithm with identical row-chunk distances"
    },
    "n_probe": 8,
    "k": 10,
    "gates": 2158901,
    "gate_source": "structural estimate",
    "domain_bits": 22,
    "guard_domain_bits": 22,
    "proof_phase_memory_estimate_GiB": 129.4064483642578,
    "planned_machine_memory_GiB": 232.20451202392576,
    "fits_512GiB_scenario": true,
    "query_ms": 2318575.488808762,
    "verify_ms": 28.857756439264815,
    "vo_kb": 352.339,
    "declared_sensitivity": {
      "query_ms": [
        1159287.744404381,
        4637150.977617524
      ],
      "verify_ms": [
        14.428878219632407,
        57.71551287852963
      ],
      "vo_kb": [
        299.48815,
        405.18985
      ]
    },
    "label": "512GiB条件预测，未在512GiB机器实测",
    "recall_scope": "existing search calibration only",
    "model": "bigann10m-1000000-M128-K1024",
    "recall": 0.79,
    "recall_source": "/mnt/d/paper_source/work_9/VeriANN_repro_2026-09-30/VeriANN_repro_2026-09-30/V3DB-26VLDB/work9-cache/bigann10m-1000000-M128-K1024/calibration.json",
    "recall_queries": 20
  },
  "reason": "existing prefix-index calibration reaches the existing default target",
  "resource_assessment": {
    "status": "conditional_forecast",
    "config": {
      "dataset": "sift1m",
      "source": "bigann10m",
      "N": 1000000,
      "D": 128,
      "n_list": 1024,
      "M": 128,
      "K": 1024,
      "n_iter": 25,
      "seed": 0,
      "capacity": 2048,
      "query_offset": 100,
      "query_count": 20,
      "scale": 65536,
      "rebalance": "author algorithm with identical row-chunk distances"
    },
    "n_probe": 8,
    "k": 10,
    "gates": 2158901,
    "gate_source": "structural estimate",
    "domain_bits": 22,
    "guard_domain_bits": 22,
    "proof_phase_memory_estimate_GiB": 129.4064483642578,
    "planned_machine_memory_GiB": 232.20451202392576,
    "fits_512GiB_scenario": true,
    "query_ms": 2318575.488808762,
    "verify_ms": 28.857756439264815,
    "vo_kb": 352.339,
    "declared_sensitivity": {
      "query_ms": [
        1159287.744404381,
        4637150.977617524
      ],
      "verify_ms": [
        14.428878219632407,
        57.71551287852963
      ],
      "vo_kb": [
        299.48815,
        405.18985
      ]
    },
    "label": "512GiB条件预测，未在512GiB机器实测",
    "recall_scope": "existing search calibration only",
    "model": "bigann10m-1000000-M128-K1024",
    "recall": 0.79,
    "recall_source": "/mnt/d/paper_source/work_9/VeriANN_repro_2026-09-30/VeriANN_repro_2026-09-30/V3DB-26VLDB/work9-cache/bigann10m-1000000-M128-K1024/calibration.json",
    "recall_queries": 20
  }
}</t>
      </text>
    </comment>
    <comment ref="I71" authorId="11" shapeId="0">
      <text>
        <t>按用户要求留空；具体原因如下。
{
  "kind": "size",
  "dataset": "sift1m",
  "sheet": "SIFT1M",
  "column": 9,
  "N": 5000000,
  "choice": null,
  "reason": "no index/recall calibration; matched-recall performance is unsupported",
  "fixed_budget_hypothesis": {
    "status": "outside_512GiB_scenario",
    "config": {
      "dataset": "sift1m",
      "source": "bigann10m",
      "N": 5000000,
      "D": 128,
      "M": 128,
      "K": 1024,
      "n_list": 1024,
      "capacity": 16384
    },
    "n_probe": 8,
    "k": 10,
    "gates": 14674282,
    "gate_source": "structural estimate",
    "domain_bits": 24,
    "guard_domain_bits": 24,
    "proof_phase_memory_estimate_GiB": 517.6257934570312,
    "planned_machine_memory_GiB": 832.818048095703,
    "fits_512GiB_scenario": false,
    "query_ms": 10497176.73461857,
    "verify_ms": 54.689389886237365,
    "vo_kb": 1400.953,
    "declared_sensitivity": {
      "query_ms": [
        5248588.367309285,
        20994353.46923714
      ],
      "verify_ms": [
        27.344694943118682,
        109.37877977247473
      ],
      "vo_kb": [
        1190.81005,
        1611.09595
      ]
    },
    "label": "512GiB条件预测，未在512GiB机器实测",
    "recall_scope": "existing search calibration only",
    "parameter_assumption": true,
    "recall": null,
    "reason": "fixed query budget hypothesis only; no trained/calibrated index for this prefix. Not an equal/default-recall result."
  }
}</t>
      </text>
    </comment>
    <comment ref="J71" authorId="11" shapeId="0">
      <text>
        <t>按用户要求留空；具体原因如下。
{
  "kind": "size",
  "dataset": "sift1m",
  "sheet": "SIFT1M",
  "column": 10,
  "N": 10000000,
  "choice": null,
  "reason": "no index/recall calibration; matched-recall performance is unsupported",
  "fixed_budget_hypothesis": {
    "status": "outside_512GiB_scenario",
    "config": {
      "dataset": "sift1m",
      "source": "bigann10m",
      "N": 10000000,
      "D": 128,
      "M": 128,
      "K": 1024,
      "n_list": 1024,
      "capacity": 32768
    },
    "n_probe": 8,
    "k": 10,
    "gates": 28977576,
    "gate_source": "structural estimate",
    "domain_bits": 25,
    "guard_domain_bits": 25,
    "proof_phase_memory_estimate_GiB": 1035.2515869140625,
    "planned_machine_memory_GiB": 1633.636096191406,
    "fits_512GiB_scenario": false,
    "query_ms": 21869118.197122023,
    "verify_ms": 82.73365594859082,
    "vo_kb": 2588.812,
    "declared_sensitivity": {
      "query_ms": [
        10934559.098561011,
        43738236.394244045
      ],
      "verify_ms": [
        41.36682797429541,
        165.46731189718165
      ],
      "vo_kb": [
        2200.4901999999997,
        2977.1337999999996
      ]
    },
    "label": "512GiB条件预测，未在512GiB机器实测",
    "recall_scope": "existing search calibration only",
    "parameter_assumption": true,
    "recall": null,
    "reason": "fixed query budget hypothesis only; no trained/calibrated index for this prefix. Not an equal/default-recall result."
  }
}</t>
      </text>
    </comment>
    <comment ref="F72" authorId="5" shapeId="0">
      <text>
        <t>20条×3次、单线程、每个N重新精确GT；SIFT使用BIGANN前缀。
高维明文 MR-tree 改编；精确 kNN，不含隐私保护；空间批量装载并非作者 R*-tree 源码。
来源：/mnt/d/paper_source/work_9/VeriANN_repro_2026-09-30/VeriANN_repro_2026-09-30/results/work9-chen13-20261021/bigann10m-100000-size/measurement.json
{"N": 100000, "dataset": "bigann10m", "kind": "size", "samples": 60, "point": {"k": 10, "samples": 60, "recall": 1.0, "query_ms": 42.25860828333333, "query_ms_stdev": 14.15341985711663, "search_ms": 19.514971533333334, "search_ms_stdev": 5.752276684378734, "encode_ms": 22.74363675, "encode_ms_stdev": 9.590372684881565, "verify_ms": 39.29041848333333, "verify_ms_stdev": 11.804642213234922, "vo_bytes": 46178455.3, "examined": 89357.95, "expanded": 1853.45, "vo_kb": 46178.455299999994}, "native": {"N": 100000, "D": 128, "fanout": 16, "leaf_capacity": 64, "nodes": 2065, "build_seconds": 0.097279578, "snapshot_write_seconds": 1.735304905, "index_bytes": 53879880, "oracle_seconds": 0.12015016, "peak_rss_KiB": 217468, "max_vo_bytes": 51582665, "tamper_tests": 9, "root": "9a15314dd82d506eecc3ed7547903709c941b8c076ef3c631806624199624477", "threads": 1}}</t>
      </text>
    </comment>
    <comment ref="G72" authorId="5" shapeId="0">
      <text>
        <t>20条×3次、单线程、每个N重新精确GT；SIFT使用BIGANN前缀。
高维明文 MR-tree 改编；精确 kNN，不含隐私保护；空间批量装载并非作者 R*-tree 源码。
来源：/mnt/d/paper_source/work_9/VeriANN_repro_2026-09-30/VeriANN_repro_2026-09-30/results/work9-chen13-20261021/bigann10m-500000-size/measurement.json
{"N": 500000, "dataset": "bigann10m", "kind": "size", "samples": 60, "point": {"k": 10, "samples": 60, "recall": 1.0, "query_ms": 248.67428761666667, "query_ms_stdev": 86.97789087565003, "search_ms": 114.08088236666667, "search_ms_stdev": 36.94192650969635, "encode_ms": 134.59340525, "encode_ms_stdev": 55.92593055793992, "verify_ms": 193.01397485, "verify_ms_stdev": 62.70263336110036, "vo_bytes": 221250001.5, "examined": 427963.6, "expanded": 10880.45, "vo_kb": 221250.0015}, "native": {"N": 500000, "D": 128, "fanout": 16, "leaf_capacity": 64, "nodes": 12561, "build_seconds": 0.5114681959999999, "snapshot_write_seconds": 9.25046419, "index_bytes": 271867464, "oracle_seconds": 0.6143052229999999, "peak_rss_KiB": 1015912, "max_vo_bytes": 255612713, "tamper_tests": 9, "root": "ab3dcda51afac57896764b22ed90f5b150036e78df1f565f6f91dbbaa4eff317", "threads": 1}}</t>
      </text>
    </comment>
    <comment ref="H72" authorId="5" shapeId="0">
      <text>
        <t>20条×3次、单线程、每个N重新精确GT；SIFT使用BIGANN前缀。
高维明文 MR-tree 改编；精确 kNN，不含隐私保护；空间批量装载并非作者 R*-tree 源码。
来源：/mnt/d/paper_source/work_9/VeriANN_repro_2026-09-30/VeriANN_repro_2026-09-30/results/work9-chen13-20261021/bigann10m-1000000-size/measurement.json
{"N": 1000000, "dataset": "bigann10m", "kind": "size", "samples": 60, "point": {"k": 10, "samples": 60, "recall": 1.0, "query_ms": 543.1356677833334, "query_ms_stdev": 188.29729682391695, "search_ms": 234.93134356666667, "search_ms_stdev": 82.06227487877864, "encode_ms": 308.2043242166667, "encode_ms_stdev": 108.93256526187417, "verify_ms": 373.32752258333335, "verify_ms_stdev": 124.63000657648575, "vo_bytes": 430432625.8, "examined": 831885.45, "expanded": 17523.15, "vo_kb": 430432.62580000004}, "native": {"N": 1000000, "D": 128, "fanout": 16, "leaf_capacity": 64, "nodes": 20753, "build_seconds": 1.0668907939999999, "snapshot_write_seconds": 21.196860408, "index_bytes": 538911432, "oracle_seconds": 1.243971153, "peak_rss_KiB": 1977412, "max_vo_bytes": 507356041, "tamper_tests": 9, "root": "46110688e6b38808d0a163dbbb68b3564f4dcefcf4c7b28ad2032b57e50024b2", "threads": 1}}</t>
      </text>
    </comment>
    <comment ref="I72" authorId="5" shapeId="0">
      <text>
        <t>20条×3次、单线程、每个N重新精确GT；SIFT使用BIGANN前缀。
高维明文 MR-tree 改编；精确 kNN，不含隐私保护；空间批量装载并非作者 R*-tree 源码。
来源：/mnt/d/paper_source/work_9/VeriANN_repro_2026-09-30/VeriANN_repro_2026-09-30/results/work9-chen13-20261021/bigann10m-5000000-size/measurement.json
{"N": 5000000, "dataset": "bigann10m", "kind": "size", "samples": 60, "point": {"k": 10, "samples": 60, "recall": 1.0, "query_ms": 3453.18142985, "query_ms_stdev": 1399.8736234728692, "search_ms": 1527.123817, "search_ms_stdev": 613.1661006191335, "encode_ms": 1926.05761285, "encode_ms_stdev": 793.7827785396989, "verify_ms": 1844.40709105, "verify_ms_stdev": 728.8022732996266, "vo_bytes": 1781569548.8, "examined": 3413306.9, "expanded": 143475.15, "vo_kb": 1781569.5488}, "native": {"N": 5000000, "D": 128, "fanout": 16, "leaf_capacity": 64, "nodes": 200977, "build_seconds": 7.0433385170000005, "snapshot_write_seconds": 114.548186827, "index_bytes": 2801878728, "oracle_seconds": 5.970228541, "peak_rss_KiB": 9169224, "max_vo_bytes": 2390296217, "tamper_tests": 9, "root": "f9703716c2ed1a9d835682434621388059ea43611d1ea15166493b6c4769c663", "threads": 1}}</t>
      </text>
    </comment>
    <comment ref="J72" authorId="5" shapeId="0">
      <text>
        <t>20条×3次、单线程、每个N重新精确GT；SIFT使用BIGANN前缀。
高维明文 MR-tree 改编；精确 kNN，不含隐私保护；空间批量装载并非作者 R*-tree 源码。
来源：/mnt/d/paper_source/work_9/VeriANN_repro_2026-09-30/VeriANN_repro_2026-09-30/results/work9-chen13-20261021/bigann10m-10000000-size/measurement.json
{"N": 10000000, "dataset": "bigann10m", "kind": "size", "samples": 60, "point": {"k": 10, "samples": 60, "recall": 1.0, "query_ms": 6877.8517968333335, "query_ms_stdev": 2850.238910466041, "search_ms": 3071.8641866, "search_ms_stdev": 1253.2338912971863, "encode_ms": 3805.9876102333333, "encode_ms_stdev": 1604.8348386155615, "verify_ms": 3621.5409950499998, "verify_ms_stdev": 1477.0525302498984, "vo_bytes": 3540889014.1, "examined": 6804565.3, "expanded": 189222.05, "vo_kb": 3540889.0141}, "native": {"N": 10000000, "D": 128, "fanout": 16, "leaf_capacity": 64, "nodes": 266513, "build_seconds": 15.990118383, "snapshot_write_seconds": 227.13806518500002, "index_bytes": 5454230472, "oracle_seconds": 12.038189126999999, "peak_rss_KiB": 18297220, "max_vo_bytes": 4813438015, "tamper_tests": 9, "root": "8f20783ddb0659fa1712348f25bf8fb3a9e1f970c5180a1d6015b4bf83ca6078", "threads": 1}}</t>
      </text>
    </comment>
    <comment ref="F80" authorId="0" shapeId="0">
      <text>
        <t>实测，verify_ms
方法=VLAH-25TrustCom
数据=/mnt/d/paper_source/work_9/VeriANN_repro_2026-09-30/VeriANN_repro_2026-09-30/dataset/bigann10m
N=100000, k=10, efSearch=100, probes=5
M=8, efc=100, bucket=20000, shard=10000
query_offset=100, queries=100, repeats=3
实际 Recall@K=99.8000%
原始 CSV=D:\paper_source\work_9\VeriANN_repro_2026-09-30\VeriANN_repro_2026-09-30\VLAH-25TrustCom\results\work9-20261015\size-100000-evaluation\per_query.csv
Query Time=search+VO generation; KB=1000 bytes; integrity verification includes replay.</t>
      </text>
    </comment>
    <comment ref="G80" authorId="0" shapeId="0">
      <text>
        <t>实测，verify_ms
方法=VLAH-25TrustCom
数据=/mnt/d/paper_source/work_9/VeriANN_repro_2026-09-30/VeriANN_repro_2026-09-30/dataset/bigann10m
N=500000, k=10, efSearch=100, probes=25
M=8, efc=100, bucket=20000, shard=10000
query_offset=100, queries=100, repeats=3
实际 Recall@K=99.8000%
原始 CSV=D:\paper_source\work_9\VeriANN_repro_2026-09-30\VeriANN_repro_2026-09-30\VLAH-25TrustCom\results\work9-20261015\size-500000-evaluation\per_query.csv
Query Time=search+VO generation; KB=1000 bytes; integrity verification includes replay.</t>
      </text>
    </comment>
    <comment ref="H80" authorId="0" shapeId="0">
      <text>
        <t>实测，verify_ms
方法=VLAH-25TrustCom
数据=/mnt/d/paper_source/work_9/VeriANN_repro_2026-09-30/VeriANN_repro_2026-09-30/dataset/bigann10m
N=1000000, k=10, efSearch=100, probes=50
M=8, efc=100, bucket=20000, shard=10000
query_offset=100, queries=100, repeats=3
实际 Recall@K=99.8000%
原始 CSV=D:\paper_source\work_9\VeriANN_repro_2026-09-30\VeriANN_repro_2026-09-30\VLAH-25TrustCom\results\work9-20261015\size-1000000-evaluation\per_query.csv
Query Time=search+VO generation; KB=1000 bytes; integrity verification includes replay.</t>
      </text>
    </comment>
    <comment ref="I80" authorId="0" shapeId="0">
      <text>
        <t>实测，verify_ms
方法=VLAH-25TrustCom
数据=/mnt/d/paper_source/work_9/VeriANN_repro_2026-09-30/VeriANN_repro_2026-09-30/dataset/bigann10m
N=5000000, k=10, efSearch=100, probes=225
M=8, efc=100, bucket=20000, shard=10000
query_offset=100, queries=100, repeats=3
实际 Recall@K=96.1000%
原始 CSV=D:\paper_source\work_9\VeriANN_repro_2026-09-30\VeriANN_repro_2026-09-30\VLAH-25TrustCom\results\work9-20261015\size-5000000-evaluation\per_query.csv
Query Time=search+VO generation; KB=1000 bytes; integrity verification includes replay.</t>
      </text>
    </comment>
    <comment ref="J80" authorId="0" shapeId="0">
      <text>
        <t>实测，verify_ms
方法=VLAH-25TrustCom
数据=/mnt/d/paper_source/work_9/VeriANN_repro_2026-09-30/VeriANN_repro_2026-09-30/dataset/bigann10m
N=10000000, k=10, efSearch=100, probes=500
M=8, efc=100, bucket=20000, shard=10000
query_offset=100, queries=100, repeats=3
实际 Recall@K=99.8000%
原始 CSV=D:\paper_source\work_9\VeriANN_repro_2026-09-30\VeriANN_repro_2026-09-30\VLAH-25TrustCom\results\work9-20261015\size-10000000-evaluation\per_query.csv
Query Time=search+VO generation; KB=1000 bytes; integrity verification includes replay.</t>
      </text>
    </comment>
    <comment ref="D81" authorId="2" shapeId="0">
      <text>
        <t xml:space="preserve">* 表示性能指标为用户指定系数调整值，不是原始实测值。配置及实际召回见原始补测附表。
原有批注（历史来源）：
</t>
      </text>
    </comment>
    <comment ref="F81" authorId="2" shapeId="0">
      <text>
        <t>用户指定系数调整值；不是原始实测数值。指标=verify_ms；原始值=9.9351370166666708；系数=1.5；调整值=14.902705525000005。召回率不调整。原始CSV/附表保留。
原有批注（历史来源）：
实测，verify_ms
方法=ANNProof-24FGCS
数据=/mnt/d/paper_source/work_9/VeriANN_repro_2026-09-30/VeriANN_repro_2026-09-30/dataset/bigann10m
N=100000, k=10, efSearch=100, probes=1
M=8, efc=100, bucket=20000, shard=10000
query_offset=100, queries=100, repeats=3
实际 Recall@K=97.9000%
原始 CSV=D:\paper_source\work_9\VeriANN_repro_2026-09-30\VeriANN_repro_2026-09-30\ANNProof-24FGCS\results\work9-20261015\size-100000-evaluation\per_query.csv
Query Time=search+VO generation; KB=1000 bytes; integrity verification includes replay.</t>
      </text>
    </comment>
    <comment ref="G81" authorId="2" shapeId="0">
      <text>
        <t>用户指定系数调整值；不是原始实测数值。指标=verify_ms；原始值=13.03742486；系数=1.5；调整值=19.556137289999999。召回率不调整。原始CSV/附表保留。
原有批注（历史来源）：
实测，verify_ms
方法=ANNProof-24FGCS
数据=/mnt/d/paper_source/work_9/VeriANN_repro_2026-09-30/VeriANN_repro_2026-09-30/dataset/bigann10m
N=500000, k=10, efSearch=100, probes=1
M=8, efc=100, bucket=20000, shard=10000
query_offset=100, queries=100, repeats=3
实际 Recall@K=95.1000%
原始 CSV=D:\paper_source\work_9\VeriANN_repro_2026-09-30\VeriANN_repro_2026-09-30\ANNProof-24FGCS\results\work9-20261015\size-500000-evaluation\per_query.csv
Query Time=search+VO generation; KB=1000 bytes; integrity verification includes replay.</t>
      </text>
    </comment>
    <comment ref="H81" authorId="9" shapeId="0">
      <text>
        <t>修正规模表召回口径：旧点实际87.6%，本次同BIGANN前100万条、query100..119、20条×3次、单线程补测，efSearch=180，实际Recall@10=95.0000%。原始verify_ms=21.4926119167；表内继续采用用户指定系数×1.5，属于调整后比较值。
{"ef": 180, "recall": 0.95, "query_ms": 4.8115494000000005, "verify_ms": 21.492611916666664, "vo_kb": 1710.7984000000001, "samples": 60, "csv": "/mnt/d/paper_source/work_9/VeriANN_repro_2026-09-30/VeriANN_repro_2026-09-30/results/work9-monotonicity-audit-20261021/sift-size-1m-95/per_query.csv", "csv_sha256": "41ff662af3a375ab3e9d13d4b91f7c29f455037d7b3acf78cdfeb2c30f05a8b7", "query_offset": 100, "N": 1000000, "dataset": "bigann10m", "M": 8, "efc": 100, "threads": 1, "tamper_rejections": 8}
修改前来源：
用户指定系数调整值；不是原始实测数值。指标=verify_ms；原始值=8.4694484266666699；系数=1.5；调整值=12.704172640000005。召回率不调整。原始CSV/附表保留。
原有批注（历史来源）：
实测，verify_ms
方法=ANNProof-24FGCS
数据=/mnt/d/paper_source/work_9/VeriANN_repro_2026-09-30/VeriANN_repro_2026-09-30/dataset/bigann10m
N=1000000, k=10, efSearch=50, probes=1
M=8, efc=100, bucket=20000, shard=10000
query_offset=100, queries=100, repeats=3
实际 Recall@K=87.6000%
原始 CSV=D:\paper_source\work_9\VeriANN_repro_2026-09-30\VeriANN_repro_2026-09-30\ANNProof-24FGCS\results\work9-20261015\size-1000000-evaluation\per_query.csv
Query Time=search+VO generation; KB=1000 bytes; integrity verification includes replay.</t>
      </text>
    </comment>
    <comment ref="I81" authorId="2" shapeId="0">
      <text>
        <t>用户指定系数调整值；不是原始实测数值。指标=verify_ms；原始值=49.661808483333303；系数=1.5；调整值=74.492712724999961。召回率不调整。原始CSV/附表保留。
原有批注（历史来源）：
实测，verify_ms
方法=ANNProof-24FGCS
数据=/mnt/d/paper_source/work_9/VeriANN_repro_2026-09-30/VeriANN_repro_2026-09-30/dataset/bigann10m
N=5000000, k=10, efSearch=400, probes=1
M=8, efc=100, bucket=20000, shard=10000
query_offset=100, queries=100, repeats=3
实际 Recall@K=96.8000%
原始 CSV=D:\paper_source\work_9\VeriANN_repro_2026-09-30\VeriANN_repro_2026-09-30\ANNProof-24FGCS\results\work9-20261015\size-5000000-evaluation\per_query.csv
Query Time=search+VO generation; KB=1000 bytes; integrity verification includes replay.</t>
      </text>
    </comment>
    <comment ref="J81" authorId="2" shapeId="0">
      <text>
        <t>用户指定系数调整值；不是原始实测数值。指标=verify_ms；原始值=52.798357703333302；系数=1.5；调整值=79.197536554999957。召回率不调整。原始CSV/附表保留。
原有批注（历史来源）：
实测，verify_ms
方法=ANNProof-24FGCS
数据=/mnt/d/paper_source/work_9/VeriANN_repro_2026-09-30/VeriANN_repro_2026-09-30/dataset/bigann10m
N=10000000, k=10, efSearch=400, probes=1
M=8, efc=100, bucket=20000, shard=10000
query_offset=100, queries=100, repeats=3
实际 Recall@K=94.6000%
原始 CSV=D:\paper_source\work_9\VeriANN_repro_2026-09-30\VeriANN_repro_2026-09-30\ANNProof-24FGCS\results\work9-20261015\size-10000000-evaluation\per_query.csv
Query Time=search+VO generation; KB=1000 bytes; integrity verification includes replay.</t>
      </text>
    </comment>
    <comment ref="F82" authorId="3" shapeId="0">
      <text>
        <t>VeriANN 全部可组合优化；实测 verify_ms
N=100000, k=10, E=64
M=8, efConstruction=100；E 为唯一 expanded-node 预算，不是 HNSW efSearch。
实际 Recall@K=94.7000%
queries=100, offset=100, repeats=3
数据=D:\paper_source\work_9\VeriANN_repro_2026-09-30\VeriANN_repro_2026-09-30\dataset\bigann10m
CSV=D:\paper_source\work_9\VeriANN_repro_2026-09-30\VeriANN_repro_2026-09-30\results\work9-ours-lut-20261015\size-100000-evaluation\per_query.csv
Query=search+真实VO序列化/生成；Verify=解码+认证+重放+渐进top-k检查；KB=1000 bytes。
版本：VeriANN-LUT；量化查表准备成本已包含在服务器搜索和客户端验证计时内。</t>
      </text>
    </comment>
    <comment ref="G82" authorId="3" shapeId="0">
      <text>
        <t>VeriANN 全部可组合优化；实测 verify_ms
N=500000, k=10, E=112
M=8, efConstruction=100；E 为唯一 expanded-node 预算，不是 HNSW efSearch。
实际 Recall@K=94.9000%
queries=100, offset=100, repeats=3
数据=D:\paper_source\work_9\VeriANN_repro_2026-09-30\VeriANN_repro_2026-09-30\dataset\bigann10m
CSV=D:\paper_source\work_9\VeriANN_repro_2026-09-30\VeriANN_repro_2026-09-30\results\work9-ours-lut-20261015\size-500000-evaluation\per_query.csv
Query=search+真实VO序列化/生成；Verify=解码+认证+重放+渐进top-k检查；KB=1000 bytes。
版本：VeriANN-LUT；量化查表准备成本已包含在服务器搜索和客户端验证计时内。
选择口径：沿用固定正式查询集上补测E网格选出的约95%工作点；不是独立泛化评估。</t>
      </text>
    </comment>
    <comment ref="H82" authorId="3" shapeId="0">
      <text>
        <t>VeriANN 全部可组合优化；实测 verify_ms
N=1000000, k=10, E=128
M=8, efConstruction=100；E 为唯一 expanded-node 预算，不是 HNSW efSearch。
实际 Recall@K=94.6000%
queries=100, offset=100, repeats=3
数据=D:\paper_source\work_9\VeriANN_repro_2026-09-30\VeriANN_repro_2026-09-30\dataset\bigann10m
CSV=D:\paper_source\work_9\VeriANN_repro_2026-09-30\VeriANN_repro_2026-09-30\results\work9-ours-lut-20261015\size-1000000-evaluation\per_query.csv
Query=search+真实VO序列化/生成；Verify=解码+认证+重放+渐进top-k检查；KB=1000 bytes。
版本：VeriANN-LUT；量化查表准备成本已包含在服务器搜索和客户端验证计时内。</t>
      </text>
    </comment>
    <comment ref="I82" authorId="3" shapeId="0">
      <text>
        <t>VeriANN 全部可组合优化；实测 verify_ms
N=5000000, k=10, E=256
M=8, efConstruction=100；E 为唯一 expanded-node 预算，不是 HNSW efSearch。
实际 Recall@K=94.4000%
queries=100, offset=100, repeats=3
数据=D:\paper_source\work_9\VeriANN_repro_2026-09-30\VeriANN_repro_2026-09-30\dataset\bigann10m
CSV=D:\paper_source\work_9\VeriANN_repro_2026-09-30\VeriANN_repro_2026-09-30\results\work9-ours-lut-20261015\size-5000000-evaluation\per_query.csv
Query=search+真实VO序列化/生成；Verify=解码+认证+重放+渐进top-k检查；KB=1000 bytes。
版本：VeriANN-LUT；量化查表准备成本已包含在服务器搜索和客户端验证计时内。</t>
      </text>
    </comment>
    <comment ref="J82" authorId="3" shapeId="0">
      <text>
        <t>VeriANN 全部可组合优化；实测 verify_ms
N=10000000, k=10, E=512
M=8, efConstruction=100；E 为唯一 expanded-node 预算，不是 HNSW efSearch。
实际 Recall@K=94.9000%
queries=100, offset=100, repeats=3
数据=D:\paper_source\work_9\VeriANN_repro_2026-09-30\VeriANN_repro_2026-09-30\dataset\bigann10m
CSV=D:\paper_source\work_9\VeriANN_repro_2026-09-30\VeriANN_repro_2026-09-30\results\work9-ours-lut-20261015\size-10000000-evaluation\per_query.csv
Query=search+真实VO序列化/生成；Verify=解码+认证+重放+渐进top-k检查；KB=1000 bytes。
版本：VeriANN-LUT；量化查表准备成本已包含在服务器搜索和客户端验证计时内。
选择口径：沿用固定正式查询集上补测E网格选出的约95%工作点；不是独立泛化评估。</t>
      </text>
    </comment>
    <comment ref="F83" authorId="4" shapeId="0">
      <text>
        <t>V3DB单次实测：固定query100，1条×1次；不是平均耗时。Recall来自另行20条搜索校准（若存在），不是20次证明。
{"status": "passed", "dataset": "sift1m", "model": "bigann10m-100000-M128-K1024", "config": {"dataset": "sift1m", "source": "bigann10m", "N": 100000, "D": 128, "n_list": 1024, "M": 128, "K": 1024, "n_iter": 25, "seed": 0, "capacity": 256, "query_offset": 100, "query_count": 20, "scale": 65536, "rebalance": "author algorithm with identical row-chunk distances"}, "n_probe": 8, "k": 10, "samples": 1, "query": 100, "repeat": 0, "query_ms": 496923.10252299934, "verify_ms": 12.57843199891795, "vo_kb": 216.223, "single_query_recall": 0.4, "build_seconds": 159.693147833, "prove_seconds": 309.434456171, "output": "/mnt/d/paper_source/work_9/VeriANN_repro_2026-09-30/VeriANN_repro_2026-09-30/results/work9-v3db-single-20261020/bigann10m-100000-M128-K1024-p8-k10-q1-r1-t1", "csv_sha256": "256f8d6e684c823b997225e964b87a4bf8b2c21e6b6dd1404d6725d9ef5be294", "selection": "fixed query100 repeat0; not selected by runtime", "reused_existing_sample": false, "recall20": 0.7549999999999999, "recall_source": "/mnt/d/paper_source/work_9/VeriANN_repro_2026-09-30/VeriANN_repro_2026-09-30/V3DB-26VLDB/work9-cache/bigann10m-100000-M128-K1024/calibration.json", "recall_query_count": 20, "recall_scope": "search calibration only; timing/VO use one fixed query, not 20 proofs", "kind": "size", "N": 100000}</t>
      </text>
    </comment>
    <comment ref="G83" authorId="11" shapeId="0">
      <text>
        <t>512GiB条件预测（*），不是实测。仍假设单线程、相近单核速度、无换页。
{
  "kind": "size",
  "dataset": "sift1m",
  "sheet": "SIFT1M",
  "column": 7,
  "N": 500000,
  "choice": {
    "status": "conditional_forecast",
    "config": {
      "dataset": "sift1m",
      "source": "bigann10m",
      "N": 500000,
      "D": 128,
      "n_list": 1024,
      "M": 128,
      "K": 1024,
      "n_iter": 25,
      "seed": 0,
      "capacity": 1024,
      "query_offset": 100,
      "query_count": 20,
      "scale": 65536,
      "rebalance": "author algorithm with identical row-chunk distances"
    },
    "n_probe": 8,
    "k": 10,
    "gates": 1266110,
    "gate_source": "exact observed static count",
    "domain_bits": 21,
    "guard_domain_bits": 21,
    "proof_phase_memory_estimate_GiB": 64.7032241821289,
    "planned_machine_memory_GiB": 132.10225601196288,
    "fits_512GiB_scenario": true,
    "query_ms": 1106506.8513653728,
    "verify_ms": 26.027572608356664,
    "vo_kb": 270.4,
    "declared_sensitivity": {
      "query_ms": [
        553253.4256826864,
        2213013.7027307455
      ],
      "verify_ms": [
        13.013786304178332,
        52.05514521671333
      ],
      "vo_kb": [
        229.83999999999997,
        310.9599999999999
      ]
    },
    "label": "512GiB条件预测，未在512GiB机器实测",
    "recall_scope": "existing search calibration only",
    "model": "bigann10m-500000-M128-K1024",
    "recall": 0.78,
    "recall_source": "/mnt/d/paper_source/work_9/VeriANN_repro_2026-09-30/VeriANN_repro_2026-09-30/V3DB-26VLDB/work9-cache/bigann10m-500000-M128-K1024/calibration.json",
    "recall_queries": 20
  },
  "reason": "existing prefix-index calibration reaches the existing default target",
  "resource_assessment": {
    "status": "conditional_forecast",
    "config": {
      "dataset": "sift1m",
      "source": "bigann10m",
      "N": 500000,
      "D": 128,
      "n_list": 1024,
      "M": 128,
      "K": 1024,
      "n_iter": 25,
      "seed": 0,
      "capacity": 1024,
      "query_offset": 100,
      "query_count": 20,
      "scale": 65536,
      "rebalance": "author algorithm with identical row-chunk distances"
    },
    "n_probe": 8,
    "k": 10,
    "gates": 1266110,
    "gate_source": "exact observed static count",
    "domain_bits": 21,
    "guard_domain_bits": 21,
    "proof_phase_memory_estimate_GiB": 64.7032241821289,
    "planned_machine_memory_GiB": 132.10225601196288,
    "fits_512GiB_scenario": true,
    "query_ms": 1106506.8513653728,
    "verify_ms": 26.027572608356664,
    "vo_kb": 270.4,
    "declared_sensitivity": {
      "query_ms": [
        553253.4256826864,
        2213013.7027307455
      ],
      "verify_ms": [
        13.013786304178332,
        52.05514521671333
      ],
      "vo_kb": [
        229.83999999999997,
        310.9599999999999
      ]
    },
    "label": "512GiB条件预测，未在512GiB机器实测",
    "recall_scope": "existing search calibration only",
    "model": "bigann10m-500000-M128-K1024",
    "recall": 0.78,
    "recall_source": "/mnt/d/paper_source/work_9/VeriANN_repro_2026-09-30/VeriANN_repro_2026-09-30/V3DB-26VLDB/work9-cache/bigann10m-500000-M128-K1024/calibration.json",
    "recall_queries": 20
  }
}</t>
      </text>
    </comment>
    <comment ref="H83" authorId="11" shapeId="0">
      <text>
        <t>512GiB条件预测（*），不是实测。仍假设单线程、相近单核速度、无换页。
{
  "kind": "size",
  "dataset": "sift1m",
  "sheet": "SIFT1M",
  "column": 8,
  "N": 1000000,
  "choice": {
    "status": "conditional_forecast",
    "config": {
      "dataset": "sift1m",
      "source": "bigann10m",
      "N": 1000000,
      "D": 128,
      "n_list": 1024,
      "M": 128,
      "K": 1024,
      "n_iter": 25,
      "seed": 0,
      "capacity": 2048,
      "query_offset": 100,
      "query_count": 20,
      "scale": 65536,
      "rebalance": "author algorithm with identical row-chunk distances"
    },
    "n_probe": 8,
    "k": 10,
    "gates": 2158901,
    "gate_source": "structural estimate",
    "domain_bits": 22,
    "guard_domain_bits": 22,
    "proof_phase_memory_estimate_GiB": 129.4064483642578,
    "planned_machine_memory_GiB": 232.20451202392576,
    "fits_512GiB_scenario": true,
    "query_ms": 2318575.488808762,
    "verify_ms": 28.857756439264815,
    "vo_kb": 352.339,
    "declared_sensitivity": {
      "query_ms": [
        1159287.744404381,
        4637150.977617524
      ],
      "verify_ms": [
        14.428878219632407,
        57.71551287852963
      ],
      "vo_kb": [
        299.48815,
        405.18985
      ]
    },
    "label": "512GiB条件预测，未在512GiB机器实测",
    "recall_scope": "existing search calibration only",
    "model": "bigann10m-1000000-M128-K1024",
    "recall": 0.79,
    "recall_source": "/mnt/d/paper_source/work_9/VeriANN_repro_2026-09-30/VeriANN_repro_2026-09-30/V3DB-26VLDB/work9-cache/bigann10m-1000000-M128-K1024/calibration.json",
    "recall_queries": 20
  },
  "reason": "existing prefix-index calibration reaches the existing default target",
  "resource_assessment": {
    "status": "conditional_forecast",
    "config": {
      "dataset": "sift1m",
      "source": "bigann10m",
      "N": 1000000,
      "D": 128,
      "n_list": 1024,
      "M": 128,
      "K": 1024,
      "n_iter": 25,
      "seed": 0,
      "capacity": 2048,
      "query_offset": 100,
      "query_count": 20,
      "scale": 65536,
      "rebalance": "author algorithm with identical row-chunk distances"
    },
    "n_probe": 8,
    "k": 10,
    "gates": 2158901,
    "gate_source": "structural estimate",
    "domain_bits": 22,
    "guard_domain_bits": 22,
    "proof_phase_memory_estimate_GiB": 129.4064483642578,
    "planned_machine_memory_GiB": 232.20451202392576,
    "fits_512GiB_scenario": true,
    "query_ms": 2318575.488808762,
    "verify_ms": 28.857756439264815,
    "vo_kb": 352.339,
    "declared_sensitivity": {
      "query_ms": [
        1159287.744404381,
        4637150.977617524
      ],
      "verify_ms": [
        14.428878219632407,
        57.71551287852963
      ],
      "vo_kb": [
        299.48815,
        405.18985
      ]
    },
    "label": "512GiB条件预测，未在512GiB机器实测",
    "recall_scope": "existing search calibration only",
    "model": "bigann10m-1000000-M128-K1024",
    "recall": 0.79,
    "recall_source": "/mnt/d/paper_source/work_9/VeriANN_repro_2026-09-30/VeriANN_repro_2026-09-30/V3DB-26VLDB/work9-cache/bigann10m-1000000-M128-K1024/calibration.json",
    "recall_queries": 20
  }
}</t>
      </text>
    </comment>
    <comment ref="I83" authorId="11" shapeId="0">
      <text>
        <t>按用户要求留空；具体原因如下。
{
  "kind": "size",
  "dataset": "sift1m",
  "sheet": "SIFT1M",
  "column": 9,
  "N": 5000000,
  "choice": null,
  "reason": "no index/recall calibration; matched-recall performance is unsupported",
  "fixed_budget_hypothesis": {
    "status": "outside_512GiB_scenario",
    "config": {
      "dataset": "sift1m",
      "source": "bigann10m",
      "N": 5000000,
      "D": 128,
      "M": 128,
      "K": 1024,
      "n_list": 1024,
      "capacity": 16384
    },
    "n_probe": 8,
    "k": 10,
    "gates": 14674282,
    "gate_source": "structural estimate",
    "domain_bits": 24,
    "guard_domain_bits": 24,
    "proof_phase_memory_estimate_GiB": 517.6257934570312,
    "planned_machine_memory_GiB": 832.818048095703,
    "fits_512GiB_scenario": false,
    "query_ms": 10497176.73461857,
    "verify_ms": 54.689389886237365,
    "vo_kb": 1400.953,
    "declared_sensitivity": {
      "query_ms": [
        5248588.367309285,
        20994353.46923714
      ],
      "verify_ms": [
        27.344694943118682,
        109.37877977247473
      ],
      "vo_kb": [
        1190.81005,
        1611.09595
      ]
    },
    "label": "512GiB条件预测，未在512GiB机器实测",
    "recall_scope": "existing search calibration only",
    "parameter_assumption": true,
    "recall": null,
    "reason": "fixed query budget hypothesis only; no trained/calibrated index for this prefix. Not an equal/default-recall result."
  }
}</t>
      </text>
    </comment>
    <comment ref="J83" authorId="11" shapeId="0">
      <text>
        <t>按用户要求留空；具体原因如下。
{
  "kind": "size",
  "dataset": "sift1m",
  "sheet": "SIFT1M",
  "column": 10,
  "N": 10000000,
  "choice": null,
  "reason": "no index/recall calibration; matched-recall performance is unsupported",
  "fixed_budget_hypothesis": {
    "status": "outside_512GiB_scenario",
    "config": {
      "dataset": "sift1m",
      "source": "bigann10m",
      "N": 10000000,
      "D": 128,
      "M": 128,
      "K": 1024,
      "n_list": 1024,
      "capacity": 32768
    },
    "n_probe": 8,
    "k": 10,
    "gates": 28977576,
    "gate_source": "structural estimate",
    "domain_bits": 25,
    "guard_domain_bits": 25,
    "proof_phase_memory_estimate_GiB": 1035.2515869140625,
    "planned_machine_memory_GiB": 1633.636096191406,
    "fits_512GiB_scenario": false,
    "query_ms": 21869118.197122023,
    "verify_ms": 82.73365594859082,
    "vo_kb": 2588.812,
    "declared_sensitivity": {
      "query_ms": [
        10934559.098561011,
        43738236.394244045
      ],
      "verify_ms": [
        41.36682797429541,
        165.46731189718165
      ],
      "vo_kb": [
        2200.4901999999997,
        2977.1337999999996
      ]
    },
    "label": "512GiB条件预测，未在512GiB机器实测",
    "recall_scope": "existing search calibration only",
    "parameter_assumption": true,
    "recall": null,
    "reason": "fixed query budget hypothesis only; no trained/calibrated index for this prefix. Not an equal/default-recall result."
  }
}</t>
      </text>
    </comment>
    <comment ref="F84" authorId="5" shapeId="0">
      <text>
        <t>20条×3次、单线程、每个N重新精确GT；SIFT使用BIGANN前缀。
高维明文 MR-tree 改编；精确 kNN，不含隐私保护；空间批量装载并非作者 R*-tree 源码。
来源：/mnt/d/paper_source/work_9/VeriANN_repro_2026-09-30/VeriANN_repro_2026-09-30/results/work9-chen13-20261021/bigann10m-100000-size/measurement.json
{"N": 100000, "dataset": "bigann10m", "kind": "size", "samples": 60, "point": {"k": 10, "samples": 60, "recall": 1.0, "query_ms": 42.25860828333333, "query_ms_stdev": 14.15341985711663, "search_ms": 19.514971533333334, "search_ms_stdev": 5.752276684378734, "encode_ms": 22.74363675, "encode_ms_stdev": 9.590372684881565, "verify_ms": 39.29041848333333, "verify_ms_stdev": 11.804642213234922, "vo_bytes": 46178455.3, "examined": 89357.95, "expanded": 1853.45, "vo_kb": 46178.455299999994}, "native": {"N": 100000, "D": 128, "fanout": 16, "leaf_capacity": 64, "nodes": 2065, "build_seconds": 0.097279578, "snapshot_write_seconds": 1.735304905, "index_bytes": 53879880, "oracle_seconds": 0.12015016, "peak_rss_KiB": 217468, "max_vo_bytes": 51582665, "tamper_tests": 9, "root": "9a15314dd82d506eecc3ed7547903709c941b8c076ef3c631806624199624477", "threads": 1}}</t>
      </text>
    </comment>
    <comment ref="G84" authorId="5" shapeId="0">
      <text>
        <t>20条×3次、单线程、每个N重新精确GT；SIFT使用BIGANN前缀。
高维明文 MR-tree 改编；精确 kNN，不含隐私保护；空间批量装载并非作者 R*-tree 源码。
来源：/mnt/d/paper_source/work_9/VeriANN_repro_2026-09-30/VeriANN_repro_2026-09-30/results/work9-chen13-20261021/bigann10m-500000-size/measurement.json
{"N": 500000, "dataset": "bigann10m", "kind": "size", "samples": 60, "point": {"k": 10, "samples": 60, "recall": 1.0, "query_ms": 248.67428761666667, "query_ms_stdev": 86.97789087565003, "search_ms": 114.08088236666667, "search_ms_stdev": 36.94192650969635, "encode_ms": 134.59340525, "encode_ms_stdev": 55.92593055793992, "verify_ms": 193.01397485, "verify_ms_stdev": 62.70263336110036, "vo_bytes": 221250001.5, "examined": 427963.6, "expanded": 10880.45, "vo_kb": 221250.0015}, "native": {"N": 500000, "D": 128, "fanout": 16, "leaf_capacity": 64, "nodes": 12561, "build_seconds": 0.5114681959999999, "snapshot_write_seconds": 9.25046419, "index_bytes": 271867464, "oracle_seconds": 0.6143052229999999, "peak_rss_KiB": 1015912, "max_vo_bytes": 255612713, "tamper_tests": 9, "root": "ab3dcda51afac57896764b22ed90f5b150036e78df1f565f6f91dbbaa4eff317", "threads": 1}}</t>
      </text>
    </comment>
    <comment ref="H84" authorId="5" shapeId="0">
      <text>
        <t>20条×3次、单线程、每个N重新精确GT；SIFT使用BIGANN前缀。
高维明文 MR-tree 改编；精确 kNN，不含隐私保护；空间批量装载并非作者 R*-tree 源码。
来源：/mnt/d/paper_source/work_9/VeriANN_repro_2026-09-30/VeriANN_repro_2026-09-30/results/work9-chen13-20261021/bigann10m-1000000-size/measurement.json
{"N": 1000000, "dataset": "bigann10m", "kind": "size", "samples": 60, "point": {"k": 10, "samples": 60, "recall": 1.0, "query_ms": 543.1356677833334, "query_ms_stdev": 188.29729682391695, "search_ms": 234.93134356666667, "search_ms_stdev": 82.06227487877864, "encode_ms": 308.2043242166667, "encode_ms_stdev": 108.93256526187417, "verify_ms": 373.32752258333335, "verify_ms_stdev": 124.63000657648575, "vo_bytes": 430432625.8, "examined": 831885.45, "expanded": 17523.15, "vo_kb": 430432.62580000004}, "native": {"N": 1000000, "D": 128, "fanout": 16, "leaf_capacity": 64, "nodes": 20753, "build_seconds": 1.0668907939999999, "snapshot_write_seconds": 21.196860408, "index_bytes": 538911432, "oracle_seconds": 1.243971153, "peak_rss_KiB": 1977412, "max_vo_bytes": 507356041, "tamper_tests": 9, "root": "46110688e6b38808d0a163dbbb68b3564f4dcefcf4c7b28ad2032b57e50024b2", "threads": 1}}</t>
      </text>
    </comment>
    <comment ref="I84" authorId="5" shapeId="0">
      <text>
        <t>20条×3次、单线程、每个N重新精确GT；SIFT使用BIGANN前缀。
高维明文 MR-tree 改编；精确 kNN，不含隐私保护；空间批量装载并非作者 R*-tree 源码。
来源：/mnt/d/paper_source/work_9/VeriANN_repro_2026-09-30/VeriANN_repro_2026-09-30/results/work9-chen13-20261021/bigann10m-5000000-size/measurement.json
{"N": 5000000, "dataset": "bigann10m", "kind": "size", "samples": 60, "point": {"k": 10, "samples": 60, "recall": 1.0, "query_ms": 3453.18142985, "query_ms_stdev": 1399.8736234728692, "search_ms": 1527.123817, "search_ms_stdev": 613.1661006191335, "encode_ms": 1926.05761285, "encode_ms_stdev": 793.7827785396989, "verify_ms": 1844.40709105, "verify_ms_stdev": 728.8022732996266, "vo_bytes": 1781569548.8, "examined": 3413306.9, "expanded": 143475.15, "vo_kb": 1781569.5488}, "native": {"N": 5000000, "D": 128, "fanout": 16, "leaf_capacity": 64, "nodes": 200977, "build_seconds": 7.0433385170000005, "snapshot_write_seconds": 114.548186827, "index_bytes": 2801878728, "oracle_seconds": 5.970228541, "peak_rss_KiB": 9169224, "max_vo_bytes": 2390296217, "tamper_tests": 9, "root": "f9703716c2ed1a9d835682434621388059ea43611d1ea15166493b6c4769c663", "threads": 1}}</t>
      </text>
    </comment>
    <comment ref="J84" authorId="5" shapeId="0">
      <text>
        <t>20条×3次、单线程、每个N重新精确GT；SIFT使用BIGANN前缀。
高维明文 MR-tree 改编；精确 kNN，不含隐私保护；空间批量装载并非作者 R*-tree 源码。
来源：/mnt/d/paper_source/work_9/VeriANN_repro_2026-09-30/VeriANN_repro_2026-09-30/results/work9-chen13-20261021/bigann10m-10000000-size/measurement.json
{"N": 10000000, "dataset": "bigann10m", "kind": "size", "samples": 60, "point": {"k": 10, "samples": 60, "recall": 1.0, "query_ms": 6877.8517968333335, "query_ms_stdev": 2850.238910466041, "search_ms": 3071.8641866, "search_ms_stdev": 1253.2338912971863, "encode_ms": 3805.9876102333333, "encode_ms_stdev": 1604.8348386155615, "verify_ms": 3621.5409950499998, "verify_ms_stdev": 1477.0525302498984, "vo_bytes": 3540889014.1, "examined": 6804565.3, "expanded": 189222.05, "vo_kb": 3540889.0141}, "native": {"N": 10000000, "D": 128, "fanout": 16, "leaf_capacity": 64, "nodes": 266513, "build_seconds": 15.990118383, "snapshot_write_seconds": 227.13806518500002, "index_bytes": 5454230472, "oracle_seconds": 12.038189126999999, "peak_rss_KiB": 18297220, "max_vo_bytes": 4813438015, "tamper_tests": 9, "root": "8f20783ddb0659fa1712348f25bf8fb3a9e1f970c5180a1d6015b4bf83ca6078", "threads": 1}}</t>
      </text>
    </comment>
    <comment ref="F91" authorId="0" shapeId="0">
      <text>
        <t>实测，query_ms
方法=VLAH-25TrustCom
数据=/mnt/d/paper_source/work_9/VeriANN_repro_2026-09-30/VeriANN_repro_2026-09-30/dataset/bigann10m
N=100000, k=10, efSearch=100, probes=5
M=8, efc=100, bucket=20000, shard=10000
query_offset=100, queries=100, repeats=3
实际 Recall@K=99.8000%
原始 CSV=D:\paper_source\work_9\VeriANN_repro_2026-09-30\VeriANN_repro_2026-09-30\VLAH-25TrustCom\results\work9-20261015\size-100000-evaluation\per_query.csv
Query Time=search+VO generation; KB=1000 bytes; integrity verification includes replay.</t>
      </text>
    </comment>
    <comment ref="G91" authorId="0" shapeId="0">
      <text>
        <t>实测，query_ms
方法=VLAH-25TrustCom
数据=/mnt/d/paper_source/work_9/VeriANN_repro_2026-09-30/VeriANN_repro_2026-09-30/dataset/bigann10m
N=500000, k=10, efSearch=100, probes=25
M=8, efc=100, bucket=20000, shard=10000
query_offset=100, queries=100, repeats=3
实际 Recall@K=99.8000%
原始 CSV=D:\paper_source\work_9\VeriANN_repro_2026-09-30\VeriANN_repro_2026-09-30\VLAH-25TrustCom\results\work9-20261015\size-500000-evaluation\per_query.csv
Query Time=search+VO generation; KB=1000 bytes; integrity verification includes replay.</t>
      </text>
    </comment>
    <comment ref="H91" authorId="0" shapeId="0">
      <text>
        <t>实测，query_ms
方法=VLAH-25TrustCom
数据=/mnt/d/paper_source/work_9/VeriANN_repro_2026-09-30/VeriANN_repro_2026-09-30/dataset/bigann10m
N=1000000, k=10, efSearch=100, probes=50
M=8, efc=100, bucket=20000, shard=10000
query_offset=100, queries=100, repeats=3
实际 Recall@K=99.8000%
原始 CSV=D:\paper_source\work_9\VeriANN_repro_2026-09-30\VeriANN_repro_2026-09-30\VLAH-25TrustCom\results\work9-20261015\size-1000000-evaluation\per_query.csv
Query Time=search+VO generation; KB=1000 bytes; integrity verification includes replay.</t>
      </text>
    </comment>
    <comment ref="I91" authorId="0" shapeId="0">
      <text>
        <t>实测，query_ms
方法=VLAH-25TrustCom
数据=/mnt/d/paper_source/work_9/VeriANN_repro_2026-09-30/VeriANN_repro_2026-09-30/dataset/bigann10m
N=5000000, k=10, efSearch=100, probes=225
M=8, efc=100, bucket=20000, shard=10000
query_offset=100, queries=100, repeats=3
实际 Recall@K=96.1000%
原始 CSV=D:\paper_source\work_9\VeriANN_repro_2026-09-30\VeriANN_repro_2026-09-30\VLAH-25TrustCom\results\work9-20261015\size-5000000-evaluation\per_query.csv
Query Time=search+VO generation; KB=1000 bytes; integrity verification includes replay.</t>
      </text>
    </comment>
    <comment ref="J91" authorId="0" shapeId="0">
      <text>
        <t>实测，query_ms
方法=VLAH-25TrustCom
数据=/mnt/d/paper_source/work_9/VeriANN_repro_2026-09-30/VeriANN_repro_2026-09-30/dataset/bigann10m
N=10000000, k=10, efSearch=100, probes=500
M=8, efc=100, bucket=20000, shard=10000
query_offset=100, queries=100, repeats=3
实际 Recall@K=99.8000%
原始 CSV=D:\paper_source\work_9\VeriANN_repro_2026-09-30\VeriANN_repro_2026-09-30\VLAH-25TrustCom\results\work9-20261015\size-10000000-evaluation\per_query.csv
Query Time=search+VO generation; KB=1000 bytes; integrity verification includes replay.</t>
      </text>
    </comment>
    <comment ref="D92" authorId="2" shapeId="0">
      <text>
        <t xml:space="preserve">* 表示性能指标为用户指定系数调整值，不是原始实测值。配置及实际召回见原始补测附表。
原有批注（历史来源）：
</t>
      </text>
    </comment>
    <comment ref="F92" authorId="2" shapeId="0">
      <text>
        <t>用户指定系数调整值；不是原始实测数值。指标=query_ms；原始值=2.12258813；系数=1.2；调整值=2.5471057560000001。召回率不调整。原始CSV/附表保留。
原有批注（历史来源）：
实测，query_ms
方法=ANNProof-24FGCS
数据=/mnt/d/paper_source/work_9/VeriANN_repro_2026-09-30/VeriANN_repro_2026-09-30/dataset/bigann10m
N=100000, k=10, efSearch=100, probes=1
M=8, efc=100, bucket=20000, shard=10000
query_offset=100, queries=100, repeats=3
实际 Recall@K=97.9000%
原始 CSV=D:\paper_source\work_9\VeriANN_repro_2026-09-30\VeriANN_repro_2026-09-30\ANNProof-24FGCS\results\work9-20261015\size-100000-evaluation\per_query.csv
Query Time=search+VO generation; KB=1000 bytes; integrity verification includes replay.</t>
      </text>
    </comment>
    <comment ref="G92" authorId="2" shapeId="0">
      <text>
        <t>用户指定系数调整值；不是原始实测数值。指标=query_ms；原始值=2.7264394566666699；系数=1.2；调整值=3.2717273480000038。召回率不调整。原始CSV/附表保留。
原有批注（历史来源）：
实测，query_ms
方法=ANNProof-24FGCS
数据=/mnt/d/paper_source/work_9/VeriANN_repro_2026-09-30/VeriANN_repro_2026-09-30/dataset/bigann10m
N=500000, k=10, efSearch=100, probes=1
M=8, efc=100, bucket=20000, shard=10000
query_offset=100, queries=100, repeats=3
实际 Recall@K=95.1000%
原始 CSV=D:\paper_source\work_9\VeriANN_repro_2026-09-30\VeriANN_repro_2026-09-30\ANNProof-24FGCS\results\work9-20261015\size-500000-evaluation\per_query.csv
Query Time=search+VO generation; KB=1000 bytes; integrity verification includes replay.</t>
      </text>
    </comment>
    <comment ref="H92" authorId="9" shapeId="0">
      <text>
        <t>修正规模表召回口径：旧点实际87.6%，本次同BIGANN前100万条、query100..119、20条×3次、单线程补测，efSearch=180，实际Recall@10=95.0000%。原始query_ms=4.8115494；表内继续采用用户指定系数×1.2，属于调整后比较值。
{"ef": 180, "recall": 0.95, "query_ms": 4.8115494000000005, "verify_ms": 21.492611916666664, "vo_kb": 1710.7984000000001, "samples": 60, "csv": "/mnt/d/paper_source/work_9/VeriANN_repro_2026-09-30/VeriANN_repro_2026-09-30/results/work9-monotonicity-audit-20261021/sift-size-1m-95/per_query.csv", "csv_sha256": "41ff662af3a375ab3e9d13d4b91f7c29f455037d7b3acf78cdfeb2c30f05a8b7", "query_offset": 100, "N": 1000000, "dataset": "bigann10m", "M": 8, "efc": 100, "threads": 1, "tamper_rejections": 8}
修改前来源：
用户指定系数调整值；不是原始实测数值。指标=query_ms；原始值=1.6845372966666701；系数=1.2；调整值=2.0214447560000042。召回率不调整。原始CSV/附表保留。
原有批注（历史来源）：
实测，query_ms
方法=ANNProof-24FGCS
数据=/mnt/d/paper_source/work_9/VeriANN_repro_2026-09-30/VeriANN_repro_2026-09-30/dataset/bigann10m
N=1000000, k=10, efSearch=50, probes=1
M=8, efc=100, bucket=20000, shard=10000
query_offset=100, queries=100, repeats=3
实际 Recall@K=87.6000%
原始 CSV=D:\paper_source\work_9\VeriANN_repro_2026-09-30\VeriANN_repro_2026-09-30\ANNProof-24FGCS\results\work9-20261015\size-1000000-evaluation\per_query.csv
Query Time=search+VO generation; KB=1000 bytes; integrity verification includes replay.</t>
      </text>
    </comment>
    <comment ref="I92" authorId="2" shapeId="0">
      <text>
        <t>用户指定系数调整值；不是原始实测数值。指标=query_ms；原始值=11.3474714766667；系数=1.2；调整值=13.616965772000039。召回率不调整。原始CSV/附表保留。
原有批注（历史来源）：
实测，query_ms
方法=ANNProof-24FGCS
数据=/mnt/d/paper_source/work_9/VeriANN_repro_2026-09-30/VeriANN_repro_2026-09-30/dataset/bigann10m
N=5000000, k=10, efSearch=400, probes=1
M=8, efc=100, bucket=20000, shard=10000
query_offset=100, queries=100, repeats=3
实际 Recall@K=96.8000%
原始 CSV=D:\paper_source\work_9\VeriANN_repro_2026-09-30\VeriANN_repro_2026-09-30\ANNProof-24FGCS\results\work9-20261015\size-5000000-evaluation\per_query.csv
Query Time=search+VO generation; KB=1000 bytes; integrity verification includes replay.</t>
      </text>
    </comment>
    <comment ref="J92" authorId="2" shapeId="0">
      <text>
        <t>用户指定系数调整值；不是原始实测数值。指标=query_ms；原始值=13.0801662666667；系数=1.2；调整值=15.696199520000039。召回率不调整。原始CSV/附表保留。
原有批注（历史来源）：
实测，query_ms
方法=ANNProof-24FGCS
数据=/mnt/d/paper_source/work_9/VeriANN_repro_2026-09-30/VeriANN_repro_2026-09-30/dataset/bigann10m
N=10000000, k=10, efSearch=400, probes=1
M=8, efc=100, bucket=20000, shard=10000
query_offset=100, queries=100, repeats=3
实际 Recall@K=94.6000%
原始 CSV=D:\paper_source\work_9\VeriANN_repro_2026-09-30\VeriANN_repro_2026-09-30\ANNProof-24FGCS\results\work9-20261015\size-10000000-evaluation\per_query.csv
Query Time=search+VO generation; KB=1000 bytes; integrity verification includes replay.</t>
      </text>
    </comment>
    <comment ref="F93" authorId="3" shapeId="0">
      <text>
        <t>VeriANN 全部可组合优化；实测 query_ms
N=100000, k=10, E=64
M=8, efConstruction=100；E 为唯一 expanded-node 预算，不是 HNSW efSearch。
实际 Recall@K=94.7000%
queries=100, offset=100, repeats=3
数据=D:\paper_source\work_9\VeriANN_repro_2026-09-30\VeriANN_repro_2026-09-30\dataset\bigann10m
CSV=D:\paper_source\work_9\VeriANN_repro_2026-09-30\VeriANN_repro_2026-09-30\results\work9-ours-lut-20261015\size-100000-evaluation\per_query.csv
Query=search+真实VO序列化/生成；Verify=解码+认证+重放+渐进top-k检查；KB=1000 bytes。
版本：VeriANN-LUT；量化查表准备成本已包含在服务器搜索和客户端验证计时内。</t>
      </text>
    </comment>
    <comment ref="G93" authorId="3" shapeId="0">
      <text>
        <t>VeriANN 全部可组合优化；实测 query_ms
N=500000, k=10, E=112
M=8, efConstruction=100；E 为唯一 expanded-node 预算，不是 HNSW efSearch。
实际 Recall@K=94.9000%
queries=100, offset=100, repeats=3
数据=D:\paper_source\work_9\VeriANN_repro_2026-09-30\VeriANN_repro_2026-09-30\dataset\bigann10m
CSV=D:\paper_source\work_9\VeriANN_repro_2026-09-30\VeriANN_repro_2026-09-30\results\work9-ours-lut-20261015\size-500000-evaluation\per_query.csv
Query=search+真实VO序列化/生成；Verify=解码+认证+重放+渐进top-k检查；KB=1000 bytes。
版本：VeriANN-LUT；量化查表准备成本已包含在服务器搜索和客户端验证计时内。
选择口径：沿用固定正式查询集上补测E网格选出的约95%工作点；不是独立泛化评估。</t>
      </text>
    </comment>
    <comment ref="H93" authorId="3" shapeId="0">
      <text>
        <t>VeriANN 全部可组合优化；实测 query_ms
N=1000000, k=10, E=128
M=8, efConstruction=100；E 为唯一 expanded-node 预算，不是 HNSW efSearch。
实际 Recall@K=94.6000%
queries=100, offset=100, repeats=3
数据=D:\paper_source\work_9\VeriANN_repro_2026-09-30\VeriANN_repro_2026-09-30\dataset\bigann10m
CSV=D:\paper_source\work_9\VeriANN_repro_2026-09-30\VeriANN_repro_2026-09-30\results\work9-ours-lut-20261015\size-1000000-evaluation\per_query.csv
Query=search+真实VO序列化/生成；Verify=解码+认证+重放+渐进top-k检查；KB=1000 bytes。
版本：VeriANN-LUT；量化查表准备成本已包含在服务器搜索和客户端验证计时内。</t>
      </text>
    </comment>
    <comment ref="I93" authorId="3" shapeId="0">
      <text>
        <t>VeriANN 全部可组合优化；实测 query_ms
N=5000000, k=10, E=256
M=8, efConstruction=100；E 为唯一 expanded-node 预算，不是 HNSW efSearch。
实际 Recall@K=94.4000%
queries=100, offset=100, repeats=3
数据=D:\paper_source\work_9\VeriANN_repro_2026-09-30\VeriANN_repro_2026-09-30\dataset\bigann10m
CSV=D:\paper_source\work_9\VeriANN_repro_2026-09-30\VeriANN_repro_2026-09-30\results\work9-ours-lut-20261015\size-5000000-evaluation\per_query.csv
Query=search+真实VO序列化/生成；Verify=解码+认证+重放+渐进top-k检查；KB=1000 bytes。
版本：VeriANN-LUT；量化查表准备成本已包含在服务器搜索和客户端验证计时内。</t>
      </text>
    </comment>
    <comment ref="J93" authorId="3" shapeId="0">
      <text>
        <t>VeriANN 全部可组合优化；实测 query_ms
N=10000000, k=10, E=512
M=8, efConstruction=100；E 为唯一 expanded-node 预算，不是 HNSW efSearch。
实际 Recall@K=94.9000%
queries=100, offset=100, repeats=3
数据=D:\paper_source\work_9\VeriANN_repro_2026-09-30\VeriANN_repro_2026-09-30\dataset\bigann10m
CSV=D:\paper_source\work_9\VeriANN_repro_2026-09-30\VeriANN_repro_2026-09-30\results\work9-ours-lut-20261015\size-10000000-evaluation\per_query.csv
Query=search+真实VO序列化/生成；Verify=解码+认证+重放+渐进top-k检查；KB=1000 bytes。
版本：VeriANN-LUT；量化查表准备成本已包含在服务器搜索和客户端验证计时内。
选择口径：沿用固定正式查询集上补测E网格选出的约95%工作点；不是独立泛化评估。</t>
      </text>
    </comment>
    <comment ref="F94" authorId="4" shapeId="0">
      <text>
        <t>V3DB单次实测：固定query100，1条×1次；不是平均耗时。Recall来自另行20条搜索校准（若存在），不是20次证明。
{"status": "passed", "dataset": "sift1m", "model": "bigann10m-100000-M128-K1024", "config": {"dataset": "sift1m", "source": "bigann10m", "N": 100000, "D": 128, "n_list": 1024, "M": 128, "K": 1024, "n_iter": 25, "seed": 0, "capacity": 256, "query_offset": 100, "query_count": 20, "scale": 65536, "rebalance": "author algorithm with identical row-chunk distances"}, "n_probe": 8, "k": 10, "samples": 1, "query": 100, "repeat": 0, "query_ms": 496923.10252299934, "verify_ms": 12.57843199891795, "vo_kb": 216.223, "single_query_recall": 0.4, "build_seconds": 159.693147833, "prove_seconds": 309.434456171, "output": "/mnt/d/paper_source/work_9/VeriANN_repro_2026-09-30/VeriANN_repro_2026-09-30/results/work9-v3db-single-20261020/bigann10m-100000-M128-K1024-p8-k10-q1-r1-t1", "csv_sha256": "256f8d6e684c823b997225e964b87a4bf8b2c21e6b6dd1404d6725d9ef5be294", "selection": "fixed query100 repeat0; not selected by runtime", "reused_existing_sample": false, "recall20": 0.7549999999999999, "recall_source": "/mnt/d/paper_source/work_9/VeriANN_repro_2026-09-30/VeriANN_repro_2026-09-30/V3DB-26VLDB/work9-cache/bigann10m-100000-M128-K1024/calibration.json", "recall_query_count": 20, "recall_scope": "search calibration only; timing/VO use one fixed query, not 20 proofs", "kind": "size", "N": 100000}</t>
      </text>
    </comment>
    <comment ref="G94" authorId="11" shapeId="0">
      <text>
        <t>512GiB条件预测（*），不是实测。仍假设单线程、相近单核速度、无换页。
{
  "kind": "size",
  "dataset": "sift1m",
  "sheet": "SIFT1M",
  "column": 7,
  "N": 500000,
  "choice": {
    "status": "conditional_forecast",
    "config": {
      "dataset": "sift1m",
      "source": "bigann10m",
      "N": 500000,
      "D": 128,
      "n_list": 1024,
      "M": 128,
      "K": 1024,
      "n_iter": 25,
      "seed": 0,
      "capacity": 1024,
      "query_offset": 100,
      "query_count": 20,
      "scale": 65536,
      "rebalance": "author algorithm with identical row-chunk distances"
    },
    "n_probe": 8,
    "k": 10,
    "gates": 1266110,
    "gate_source": "exact observed static count",
    "domain_bits": 21,
    "guard_domain_bits": 21,
    "proof_phase_memory_estimate_GiB": 64.7032241821289,
    "planned_machine_memory_GiB": 132.10225601196288,
    "fits_512GiB_scenario": true,
    "query_ms": 1106506.8513653728,
    "verify_ms": 26.027572608356664,
    "vo_kb": 270.4,
    "declared_sensitivity": {
      "query_ms": [
        553253.4256826864,
        2213013.7027307455
      ],
      "verify_ms": [
        13.013786304178332,
        52.05514521671333
      ],
      "vo_kb": [
        229.83999999999997,
        310.9599999999999
      ]
    },
    "label": "512GiB条件预测，未在512GiB机器实测",
    "recall_scope": "existing search calibration only",
    "model": "bigann10m-500000-M128-K1024",
    "recall": 0.78,
    "recall_source": "/mnt/d/paper_source/work_9/VeriANN_repro_2026-09-30/VeriANN_repro_2026-09-30/V3DB-26VLDB/work9-cache/bigann10m-500000-M128-K1024/calibration.json",
    "recall_queries": 20
  },
  "reason": "existing prefix-index calibration reaches the existing default target",
  "resource_assessment": {
    "status": "conditional_forecast",
    "config": {
      "dataset": "sift1m",
      "source": "bigann10m",
      "N": 500000,
      "D": 128,
      "n_list": 1024,
      "M": 128,
      "K": 1024,
      "n_iter": 25,
      "seed": 0,
      "capacity": 1024,
      "query_offset": 100,
      "query_count": 20,
      "scale": 65536,
      "rebalance": "author algorithm with identical row-chunk distances"
    },
    "n_probe": 8,
    "k": 10,
    "gates": 1266110,
    "gate_source": "exact observed static count",
    "domain_bits": 21,
    "guard_domain_bits": 21,
    "proof_phase_memory_estimate_GiB": 64.7032241821289,
    "planned_machine_memory_GiB": 132.10225601196288,
    "fits_512GiB_scenario": true,
    "query_ms": 1106506.8513653728,
    "verify_ms": 26.027572608356664,
    "vo_kb": 270.4,
    "declared_sensitivity": {
      "query_ms": [
        553253.4256826864,
        2213013.7027307455
      ],
      "verify_ms": [
        13.013786304178332,
        52.05514521671333
      ],
      "vo_kb": [
        229.83999999999997,
        310.9599999999999
      ]
    },
    "label": "512GiB条件预测，未在512GiB机器实测",
    "recall_scope": "existing search calibration only",
    "model": "bigann10m-500000-M128-K1024",
    "recall": 0.78,
    "recall_source": "/mnt/d/paper_source/work_9/VeriANN_repro_2026-09-30/VeriANN_repro_2026-09-30/V3DB-26VLDB/work9-cache/bigann10m-500000-M128-K1024/calibration.json",
    "recall_queries": 20
  }
}</t>
      </text>
    </comment>
    <comment ref="H94" authorId="11" shapeId="0">
      <text>
        <t>512GiB条件预测（*），不是实测。仍假设单线程、相近单核速度、无换页。
{
  "kind": "size",
  "dataset": "sift1m",
  "sheet": "SIFT1M",
  "column": 8,
  "N": 1000000,
  "choice": {
    "status": "conditional_forecast",
    "config": {
      "dataset": "sift1m",
      "source": "bigann10m",
      "N": 1000000,
      "D": 128,
      "n_list": 1024,
      "M": 128,
      "K": 1024,
      "n_iter": 25,
      "seed": 0,
      "capacity": 2048,
      "query_offset": 100,
      "query_count": 20,
      "scale": 65536,
      "rebalance": "author algorithm with identical row-chunk distances"
    },
    "n_probe": 8,
    "k": 10,
    "gates": 2158901,
    "gate_source": "structural estimate",
    "domain_bits": 22,
    "guard_domain_bits": 22,
    "proof_phase_memory_estimate_GiB": 129.4064483642578,
    "planned_machine_memory_GiB": 232.20451202392576,
    "fits_512GiB_scenario": true,
    "query_ms": 2318575.488808762,
    "verify_ms": 28.857756439264815,
    "vo_kb": 352.339,
    "declared_sensitivity": {
      "query_ms": [
        1159287.744404381,
        4637150.977617524
      ],
      "verify_ms": [
        14.428878219632407,
        57.71551287852963
      ],
      "vo_kb": [
        299.48815,
        405.18985
      ]
    },
    "label": "512GiB条件预测，未在512GiB机器实测",
    "recall_scope": "existing search calibration only",
    "model": "bigann10m-1000000-M128-K1024",
    "recall": 0.79,
    "recall_source": "/mnt/d/paper_source/work_9/VeriANN_repro_2026-09-30/VeriANN_repro_2026-09-30/V3DB-26VLDB/work9-cache/bigann10m-1000000-M128-K1024/calibration.json",
    "recall_queries": 20
  },
  "reason": "existing prefix-index calibration reaches the existing default target",
  "resource_assessment": {
    "status": "conditional_forecast",
    "config": {
      "dataset": "sift1m",
      "source": "bigann10m",
      "N": 1000000,
      "D": 128,
      "n_list": 1024,
      "M": 128,
      "K": 1024,
      "n_iter": 25,
      "seed": 0,
      "capacity": 2048,
      "query_offset": 100,
      "query_count": 20,
      "scale": 65536,
      "rebalance": "author algorithm with identical row-chunk distances"
    },
    "n_probe": 8,
    "k": 10,
    "gates": 2158901,
    "gate_source": "structural estimate",
    "domain_bits": 22,
    "guard_domain_bits": 22,
    "proof_phase_memory_estimate_GiB": 129.4064483642578,
    "planned_machine_memory_GiB": 232.20451202392576,
    "fits_512GiB_scenario": true,
    "query_ms": 2318575.488808762,
    "verify_ms": 28.857756439264815,
    "vo_kb": 352.339,
    "declared_sensitivity": {
      "query_ms": [
        1159287.744404381,
        4637150.977617524
      ],
      "verify_ms": [
        14.428878219632407,
        57.71551287852963
      ],
      "vo_kb": [
        299.48815,
        405.18985
      ]
    },
    "label": "512GiB条件预测，未在512GiB机器实测",
    "recall_scope": "existing search calibration only",
    "model": "bigann10m-1000000-M128-K1024",
    "recall": 0.79,
    "recall_source": "/mnt/d/paper_source/work_9/VeriANN_repro_2026-09-30/VeriANN_repro_2026-09-30/V3DB-26VLDB/work9-cache/bigann10m-1000000-M128-K1024/calibration.json",
    "recall_queries": 20
  }
}</t>
      </text>
    </comment>
    <comment ref="I94" authorId="11" shapeId="0">
      <text>
        <t>按用户要求留空；具体原因如下。
{
  "kind": "size",
  "dataset": "sift1m",
  "sheet": "SIFT1M",
  "column": 9,
  "N": 5000000,
  "choice": null,
  "reason": "no index/recall calibration; matched-recall performance is unsupported",
  "fixed_budget_hypothesis": {
    "status": "outside_512GiB_scenario",
    "config": {
      "dataset": "sift1m",
      "source": "bigann10m",
      "N": 5000000,
      "D": 128,
      "M": 128,
      "K": 1024,
      "n_list": 1024,
      "capacity": 16384
    },
    "n_probe": 8,
    "k": 10,
    "gates": 14674282,
    "gate_source": "structural estimate",
    "domain_bits": 24,
    "guard_domain_bits": 24,
    "proof_phase_memory_estimate_GiB": 517.6257934570312,
    "planned_machine_memory_GiB": 832.818048095703,
    "fits_512GiB_scenario": false,
    "query_ms": 10497176.73461857,
    "verify_ms": 54.689389886237365,
    "vo_kb": 1400.953,
    "declared_sensitivity": {
      "query_ms": [
        5248588.367309285,
        20994353.46923714
      ],
      "verify_ms": [
        27.344694943118682,
        109.37877977247473
      ],
      "vo_kb": [
        1190.81005,
        1611.09595
      ]
    },
    "label": "512GiB条件预测，未在512GiB机器实测",
    "recall_scope": "existing search calibration only",
    "parameter_assumption": true,
    "recall": null,
    "reason": "fixed query budget hypothesis only; no trained/calibrated index for this prefix. Not an equal/default-recall result."
  }
}</t>
      </text>
    </comment>
    <comment ref="J94" authorId="11" shapeId="0">
      <text>
        <t>按用户要求留空；具体原因如下。
{
  "kind": "size",
  "dataset": "sift1m",
  "sheet": "SIFT1M",
  "column": 10,
  "N": 10000000,
  "choice": null,
  "reason": "no index/recall calibration; matched-recall performance is unsupported",
  "fixed_budget_hypothesis": {
    "status": "outside_512GiB_scenario",
    "config": {
      "dataset": "sift1m",
      "source": "bigann10m",
      "N": 10000000,
      "D": 128,
      "M": 128,
      "K": 1024,
      "n_list": 1024,
      "capacity": 32768
    },
    "n_probe": 8,
    "k": 10,
    "gates": 28977576,
    "gate_source": "structural estimate",
    "domain_bits": 25,
    "guard_domain_bits": 25,
    "proof_phase_memory_estimate_GiB": 1035.2515869140625,
    "planned_machine_memory_GiB": 1633.636096191406,
    "fits_512GiB_scenario": false,
    "query_ms": 21869118.197122023,
    "verify_ms": 82.73365594859082,
    "vo_kb": 2588.812,
    "declared_sensitivity": {
      "query_ms": [
        10934559.098561011,
        43738236.394244045
      ],
      "verify_ms": [
        41.36682797429541,
        165.46731189718165
      ],
      "vo_kb": [
        2200.4901999999997,
        2977.1337999999996
      ]
    },
    "label": "512GiB条件预测，未在512GiB机器实测",
    "recall_scope": "existing search calibration only",
    "parameter_assumption": true,
    "recall": null,
    "reason": "fixed query budget hypothesis only; no trained/calibrated index for this prefix. Not an equal/default-recall result."
  }
}</t>
      </text>
    </comment>
    <comment ref="F95" authorId="5" shapeId="0">
      <text>
        <t>20条×3次、单线程、每个N重新精确GT；SIFT使用BIGANN前缀。
高维明文 MR-tree 改编；精确 kNN，不含隐私保护；空间批量装载并非作者 R*-tree 源码。
来源：/mnt/d/paper_source/work_9/VeriANN_repro_2026-09-30/VeriANN_repro_2026-09-30/results/work9-chen13-20261021/bigann10m-100000-size/measurement.json
{"N": 100000, "dataset": "bigann10m", "kind": "size", "samples": 60, "point": {"k": 10, "samples": 60, "recall": 1.0, "query_ms": 42.25860828333333, "query_ms_stdev": 14.15341985711663, "search_ms": 19.514971533333334, "search_ms_stdev": 5.752276684378734, "encode_ms": 22.74363675, "encode_ms_stdev": 9.590372684881565, "verify_ms": 39.29041848333333, "verify_ms_stdev": 11.804642213234922, "vo_bytes": 46178455.3, "examined": 89357.95, "expanded": 1853.45, "vo_kb": 46178.455299999994}, "native": {"N": 100000, "D": 128, "fanout": 16, "leaf_capacity": 64, "nodes": 2065, "build_seconds": 0.097279578, "snapshot_write_seconds": 1.735304905, "index_bytes": 53879880, "oracle_seconds": 0.12015016, "peak_rss_KiB": 217468, "max_vo_bytes": 51582665, "tamper_tests": 9, "root": "9a15314dd82d506eecc3ed7547903709c941b8c076ef3c631806624199624477", "threads": 1}}</t>
      </text>
    </comment>
    <comment ref="G95" authorId="5" shapeId="0">
      <text>
        <t>20条×3次、单线程、每个N重新精确GT；SIFT使用BIGANN前缀。
高维明文 MR-tree 改编；精确 kNN，不含隐私保护；空间批量装载并非作者 R*-tree 源码。
来源：/mnt/d/paper_source/work_9/VeriANN_repro_2026-09-30/VeriANN_repro_2026-09-30/results/work9-chen13-20261021/bigann10m-500000-size/measurement.json
{"N": 500000, "dataset": "bigann10m", "kind": "size", "samples": 60, "point": {"k": 10, "samples": 60, "recall": 1.0, "query_ms": 248.67428761666667, "query_ms_stdev": 86.97789087565003, "search_ms": 114.08088236666667, "search_ms_stdev": 36.94192650969635, "encode_ms": 134.59340525, "encode_ms_stdev": 55.92593055793992, "verify_ms": 193.01397485, "verify_ms_stdev": 62.70263336110036, "vo_bytes": 221250001.5, "examined": 427963.6, "expanded": 10880.45, "vo_kb": 221250.0015}, "native": {"N": 500000, "D": 128, "fanout": 16, "leaf_capacity": 64, "nodes": 12561, "build_seconds": 0.5114681959999999, "snapshot_write_seconds": 9.25046419, "index_bytes": 271867464, "oracle_seconds": 0.6143052229999999, "peak_rss_KiB": 1015912, "max_vo_bytes": 255612713, "tamper_tests": 9, "root": "ab3dcda51afac57896764b22ed90f5b150036e78df1f565f6f91dbbaa4eff317", "threads": 1}}</t>
      </text>
    </comment>
    <comment ref="H95" authorId="5" shapeId="0">
      <text>
        <t>20条×3次、单线程、每个N重新精确GT；SIFT使用BIGANN前缀。
高维明文 MR-tree 改编；精确 kNN，不含隐私保护；空间批量装载并非作者 R*-tree 源码。
来源：/mnt/d/paper_source/work_9/VeriANN_repro_2026-09-30/VeriANN_repro_2026-09-30/results/work9-chen13-20261021/bigann10m-1000000-size/measurement.json
{"N": 1000000, "dataset": "bigann10m", "kind": "size", "samples": 60, "point": {"k": 10, "samples": 60, "recall": 1.0, "query_ms": 543.1356677833334, "query_ms_stdev": 188.29729682391695, "search_ms": 234.93134356666667, "search_ms_stdev": 82.06227487877864, "encode_ms": 308.2043242166667, "encode_ms_stdev": 108.93256526187417, "verify_ms": 373.32752258333335, "verify_ms_stdev": 124.63000657648575, "vo_bytes": 430432625.8, "examined": 831885.45, "expanded": 17523.15, "vo_kb": 430432.62580000004}, "native": {"N": 1000000, "D": 128, "fanout": 16, "leaf_capacity": 64, "nodes": 20753, "build_seconds": 1.0668907939999999, "snapshot_write_seconds": 21.196860408, "index_bytes": 538911432, "oracle_seconds": 1.243971153, "peak_rss_KiB": 1977412, "max_vo_bytes": 507356041, "tamper_tests": 9, "root": "46110688e6b38808d0a163dbbb68b3564f4dcefcf4c7b28ad2032b57e50024b2", "threads": 1}}</t>
      </text>
    </comment>
    <comment ref="I95" authorId="5" shapeId="0">
      <text>
        <t>20条×3次、单线程、每个N重新精确GT；SIFT使用BIGANN前缀。
高维明文 MR-tree 改编；精确 kNN，不含隐私保护；空间批量装载并非作者 R*-tree 源码。
来源：/mnt/d/paper_source/work_9/VeriANN_repro_2026-09-30/VeriANN_repro_2026-09-30/results/work9-chen13-20261021/bigann10m-5000000-size/measurement.json
{"N": 5000000, "dataset": "bigann10m", "kind": "size", "samples": 60, "point": {"k": 10, "samples": 60, "recall": 1.0, "query_ms": 3453.18142985, "query_ms_stdev": 1399.8736234728692, "search_ms": 1527.123817, "search_ms_stdev": 613.1661006191335, "encode_ms": 1926.05761285, "encode_ms_stdev": 793.7827785396989, "verify_ms": 1844.40709105, "verify_ms_stdev": 728.8022732996266, "vo_bytes": 1781569548.8, "examined": 3413306.9, "expanded": 143475.15, "vo_kb": 1781569.5488}, "native": {"N": 5000000, "D": 128, "fanout": 16, "leaf_capacity": 64, "nodes": 200977, "build_seconds": 7.0433385170000005, "snapshot_write_seconds": 114.548186827, "index_bytes": 2801878728, "oracle_seconds": 5.970228541, "peak_rss_KiB": 9169224, "max_vo_bytes": 2390296217, "tamper_tests": 9, "root": "f9703716c2ed1a9d835682434621388059ea43611d1ea15166493b6c4769c663", "threads": 1}}</t>
      </text>
    </comment>
    <comment ref="J95" authorId="5" shapeId="0">
      <text>
        <t>20条×3次、单线程、每个N重新精确GT；SIFT使用BIGANN前缀。
高维明文 MR-tree 改编；精确 kNN，不含隐私保护；空间批量装载并非作者 R*-tree 源码。
来源：/mnt/d/paper_source/work_9/VeriANN_repro_2026-09-30/VeriANN_repro_2026-09-30/results/work9-chen13-20261021/bigann10m-10000000-size/measurement.json
{"N": 10000000, "dataset": "bigann10m", "kind": "size", "samples": 60, "point": {"k": 10, "samples": 60, "recall": 1.0, "query_ms": 6877.8517968333335, "query_ms_stdev": 2850.238910466041, "search_ms": 3071.8641866, "search_ms_stdev": 1253.2338912971863, "encode_ms": 3805.9876102333333, "encode_ms_stdev": 1604.8348386155615, "verify_ms": 3621.5409950499998, "verify_ms_stdev": 1477.0525302498984, "vo_bytes": 3540889014.1, "examined": 6804565.3, "expanded": 189222.05, "vo_kb": 3540889.0141}, "native": {"N": 10000000, "D": 128, "fanout": 16, "leaf_capacity": 64, "nodes": 266513, "build_seconds": 15.990118383, "snapshot_write_seconds": 227.13806518500002, "index_bytes": 5454230472, "oracle_seconds": 12.038189126999999, "peak_rss_KiB": 18297220, "max_vo_bytes": 4813438015, "tamper_tests": 9, "root": "8f20783ddb0659fa1712348f25bf8fb3a9e1f970c5180a1d6015b4bf83ca6078", "threads": 1}}</t>
      </text>
    </comment>
    <comment ref="F104" authorId="0" shapeId="0">
      <text>
        <t>实测，vo_kb
方法=VLAH-25TrustCom
数据=/mnt/d/paper_source/work_9/VeriANN_repro_2026-09-30/VeriANN_repro_2026-09-30/dataset/sift1m
N=1000000, k=1, efSearch=100, probes=41
M=8, efc=100, bucket=20000, shard=10000
query_offset=100, queries=100, repeats=3
实际 Recall@K=98.0000%
原始 CSV=D:\paper_source\work_9\VeriANN_repro_2026-09-30\VeriANN_repro_2026-09-30\VLAH-25TrustCom\results\work9-20261015\sift1m-k-curve\per_query.csv
Query Time=search+VO generation; KB=1000 bytes; integrity verification includes replay.</t>
      </text>
    </comment>
    <comment ref="G104" authorId="0" shapeId="0">
      <text>
        <t>实测，vo_kb
方法=VLAH-25TrustCom
数据=/mnt/d/paper_source/work_9/VeriANN_repro_2026-09-30/VeriANN_repro_2026-09-30/dataset/sift1m
N=1000000, k=5, efSearch=100, probes=41
M=8, efc=100, bucket=20000, shard=10000
query_offset=100, queries=100, repeats=3
实际 Recall@K=97.8000%
原始 CSV=D:\paper_source\work_9\VeriANN_repro_2026-09-30\VeriANN_repro_2026-09-30\VLAH-25TrustCom\results\work9-20261015\sift1m-k-curve\per_query.csv
Query Time=search+VO generation; KB=1000 bytes; integrity verification includes replay.</t>
      </text>
    </comment>
    <comment ref="H104" authorId="0" shapeId="0">
      <text>
        <t>实测，vo_kb
方法=VLAH-25TrustCom
数据=/mnt/d/paper_source/work_9/VeriANN_repro_2026-09-30/VeriANN_repro_2026-09-30/dataset/sift1m
N=1000000, k=10, efSearch=100, probes=41
M=8, efc=100, bucket=20000, shard=10000
query_offset=100, queries=100, repeats=3
实际 Recall@K=97.2000%
原始 CSV=D:\paper_source\work_9\VeriANN_repro_2026-09-30\VeriANN_repro_2026-09-30\VLAH-25TrustCom\results\work9-20261015\sift1m-k-curve\per_query.csv
Query Time=search+VO generation; KB=1000 bytes; integrity verification includes replay.</t>
      </text>
    </comment>
    <comment ref="I104" authorId="0" shapeId="0">
      <text>
        <t>实测，vo_kb
方法=VLAH-25TrustCom
数据=/mnt/d/paper_source/work_9/VeriANN_repro_2026-09-30/VeriANN_repro_2026-09-30/dataset/sift1m
N=1000000, k=20, efSearch=100, probes=41
M=8, efc=100, bucket=20000, shard=10000
query_offset=100, queries=100, repeats=3
实际 Recall@K=96.7500%
原始 CSV=D:\paper_source\work_9\VeriANN_repro_2026-09-30\VeriANN_repro_2026-09-30\VLAH-25TrustCom\results\work9-20261015\sift1m-k-curve\per_query.csv
Query Time=search+VO generation; KB=1000 bytes; integrity verification includes replay.</t>
      </text>
    </comment>
    <comment ref="J104" authorId="0" shapeId="0">
      <text>
        <t>实测，vo_kb
方法=VLAH-25TrustCom
数据=/mnt/d/paper_source/work_9/VeriANN_repro_2026-09-30/VeriANN_repro_2026-09-30/dataset/sift1m
N=1000000, k=50, efSearch=100, probes=41
M=8, efc=100, bucket=20000, shard=10000
query_offset=100, queries=100, repeats=3
实际 Recall@K=96.1800%
原始 CSV=D:\paper_source\work_9\VeriANN_repro_2026-09-30\VeriANN_repro_2026-09-30\VLAH-25TrustCom\results\work9-20261015\sift1m-k-curve\per_query.csv
Query Time=search+VO generation; KB=1000 bytes; integrity verification includes replay.</t>
      </text>
    </comment>
    <comment ref="K104" authorId="0" shapeId="0">
      <text>
        <t>实测，vo_kb
方法=VLAH-25TrustCom
数据=/mnt/d/paper_source/work_9/VeriANN_repro_2026-09-30/VeriANN_repro_2026-09-30/dataset/sift1m
N=1000000, k=100, efSearch=100, probes=41
M=8, efc=100, bucket=20000, shard=10000
query_offset=100, queries=100, repeats=3
实际 Recall@K=95.9200%
原始 CSV=D:\paper_source\work_9\VeriANN_repro_2026-09-30\VeriANN_repro_2026-09-30\VLAH-25TrustCom\results\work9-20261015\sift1m-k-curve\per_query.csv
Query Time=search+VO generation; KB=1000 bytes; integrity verification includes replay.</t>
      </text>
    </comment>
    <comment ref="D105" authorId="2" shapeId="0">
      <text>
        <t xml:space="preserve">* 表示性能指标为用户指定系数调整值，不是原始实测值。配置及实际召回见原始补测附表。
原有批注（历史来源）：
</t>
      </text>
    </comment>
    <comment ref="F105" authorId="2" shapeId="0">
      <text>
        <t>用户指定系数调整值；不是原始实测数值。指标=vo_kb；原始值=1066.37392；系数=2.0；调整值=2132.74784。召回率不调整。原始CSV/附表保留。
原有批注（历史来源）：
实测，vo_kb
方法=ANNProof-24FGCS
数据=/mnt/d/paper_source/work_9/VeriANN_repro_2026-09-30/VeriANN_repro_2026-09-30/dataset/sift1m
N=1000000, k=1, efSearch=100, probes=1
M=8, efc=100, bucket=20000, shard=10000
query_offset=100, queries=100, repeats=3
实际 Recall@K=98.0000%
原始 CSV=D:\paper_source\work_9\VeriANN_repro_2026-09-30\VeriANN_repro_2026-09-30\ANNProof-24FGCS\results\work9-20261015\sift1m-k-curve-retry-040546\per_query.csv
Query Time=search+VO generation; KB=1000 bytes; integrity verification includes replay.</t>
      </text>
    </comment>
    <comment ref="G105" authorId="2" shapeId="0">
      <text>
        <t>用户指定系数调整值；不是原始实测数值。指标=vo_kb；原始值=1068.47552；系数=2.0；调整值=2136.9510399999999。召回率不调整。原始CSV/附表保留。
原有批注（历史来源）：
实测，vo_kb
方法=ANNProof-24FGCS
数据=/mnt/d/paper_source/work_9/VeriANN_repro_2026-09-30/VeriANN_repro_2026-09-30/dataset/sift1m
N=1000000, k=5, efSearch=100, probes=1
M=8, efc=100, bucket=20000, shard=10000
query_offset=100, queries=100, repeats=3
实际 Recall@K=96.0000%
原始 CSV=D:\paper_source\work_9\VeriANN_repro_2026-09-30\VeriANN_repro_2026-09-30\ANNProof-24FGCS\results\work9-20261015\sift1m-k-curve-retry-040546\per_query.csv
Query Time=search+VO generation; KB=1000 bytes; integrity verification includes replay.</t>
      </text>
    </comment>
    <comment ref="H105" authorId="2" shapeId="0">
      <text>
        <t>用户指定系数调整值；不是原始实测数值。指标=vo_kb；原始值=1071.0175200000001；系数=2.0；调整值=2142.0350400000002。召回率不调整。原始CSV/附表保留。
原有批注（历史来源）：
实测，vo_kb
方法=ANNProof-24FGCS
数据=/mnt/d/paper_source/work_9/VeriANN_repro_2026-09-30/VeriANN_repro_2026-09-30/dataset/sift1m
N=1000000, k=10, efSearch=100, probes=1
M=8, efc=100, bucket=20000, shard=10000
query_offset=100, queries=100, repeats=3
实际 Recall@K=95.1000%
原始 CSV=D:\paper_source\work_9\VeriANN_repro_2026-09-30\VeriANN_repro_2026-09-30\ANNProof-24FGCS\results\work9-20261015\sift1m-k-curve-retry-040546\per_query.csv
Query Time=search+VO generation; KB=1000 bytes; integrity verification includes replay.</t>
      </text>
    </comment>
    <comment ref="I105" authorId="2" shapeId="0">
      <text>
        <t>用户指定系数调整值；不是原始实测数值。指标=vo_kb；原始值=1075.9251200000001；系数=2.0；调整值=2151.8502400000002。召回率不调整。原始CSV/附表保留。
原有批注（历史来源）：
实测，vo_kb
方法=ANNProof-24FGCS
数据=/mnt/d/paper_source/work_9/VeriANN_repro_2026-09-30/VeriANN_repro_2026-09-30/dataset/sift1m
N=1000000, k=20, efSearch=100, probes=1
M=8, efc=100, bucket=20000, shard=10000
query_offset=100, queries=100, repeats=3
实际 Recall@K=93.1500%
原始 CSV=D:\paper_source\work_9\VeriANN_repro_2026-09-30\VeriANN_repro_2026-09-30\ANNProof-24FGCS\results\work9-20261015\sift1m-k-curve-retry-040546\per_query.csv
Query Time=search+VO generation; KB=1000 bytes; integrity verification includes replay.</t>
      </text>
    </comment>
    <comment ref="J105" authorId="2" shapeId="0">
      <text>
        <t>用户指定系数调整值；不是原始实测数值。指标=vo_kb；原始值=1089.8699200000001；系数=2.0；调整值=2179.7398400000002。召回率不调整。原始CSV/附表保留。
原有批注（历史来源）：
实测，vo_kb
方法=ANNProof-24FGCS
数据=/mnt/d/paper_source/work_9/VeriANN_repro_2026-09-30/VeriANN_repro_2026-09-30/dataset/sift1m
N=1000000, k=50, efSearch=100, probes=1
M=8, efc=100, bucket=20000, shard=10000
query_offset=100, queries=100, repeats=3
实际 Recall@K=89.4000%
原始 CSV=D:\paper_source\work_9\VeriANN_repro_2026-09-30\VeriANN_repro_2026-09-30\ANNProof-24FGCS\results\work9-20261015\sift1m-k-curve-retry-040546\per_query.csv
Query Time=search+VO generation; KB=1000 bytes; integrity verification includes replay.</t>
      </text>
    </comment>
    <comment ref="K105" authorId="2" shapeId="0">
      <text>
        <t>用户指定系数调整值；不是原始实测数值。指标=vo_kb；原始值=1111.0283199999999；系数=2.0；调整值=2222.0566399999998。召回率不调整。原始CSV/附表保留。
原有批注（历史来源）：
实测，vo_kb
方法=ANNProof-24FGCS
数据=/mnt/d/paper_source/work_9/VeriANN_repro_2026-09-30/VeriANN_repro_2026-09-30/dataset/sift1m
N=1000000, k=100, efSearch=100, probes=1
M=8, efc=100, bucket=20000, shard=10000
query_offset=100, queries=100, repeats=3
实际 Recall@K=85.1200%
原始 CSV=D:\paper_source\work_9\VeriANN_repro_2026-09-30\VeriANN_repro_2026-09-30\ANNProof-24FGCS\results\work9-20261015\sift1m-k-curve-retry-040546\per_query.csv
Query Time=search+VO generation; KB=1000 bytes; integrity verification includes replay.</t>
      </text>
    </comment>
    <comment ref="F106" authorId="3" shapeId="0">
      <text>
        <t>VeriANN 全部可组合优化；实测 vo_kb
N=1000000, k=1, E=128
M=8, efConstruction=100；E 为唯一 expanded-node 预算，不是 HNSW efSearch。
实际 Recall@K=98.0000%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G106" authorId="3" shapeId="0">
      <text>
        <t>VeriANN 全部可组合优化；实测 vo_kb
N=1000000, k=5, E=128
M=8, efConstruction=100；E 为唯一 expanded-node 预算，不是 HNSW efSearch。
实际 Recall@K=96.4000%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H106" authorId="3" shapeId="0">
      <text>
        <t>VeriANN 全部可组合优化；实测 vo_kb
N=1000000, k=10, E=128
M=8, efConstruction=100；E 为唯一 expanded-node 预算，不是 HNSW efSearch。
实际 Recall@K=95.4000%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I106" authorId="3" shapeId="0">
      <text>
        <t>VeriANN 全部可组合优化；实测 vo_kb
N=1000000, k=20, E=128
M=8, efConstruction=100；E 为唯一 expanded-node 预算，不是 HNSW efSearch。
实际 Recall@K=93.9500%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J106" authorId="3" shapeId="0">
      <text>
        <t>VeriANN 全部可组合优化；实测 vo_kb
N=1000000, k=50, E=128
M=8, efConstruction=100；E 为唯一 expanded-node 预算，不是 HNSW efSearch。
实际 Recall@K=90.7200%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K106" authorId="3" shapeId="0">
      <text>
        <t>VeriANN 全部可组合优化；实测 vo_kb
N=1000000, k=100, E=128
M=8, efConstruction=100；E 为唯一 expanded-node 预算，不是 HNSW efSearch。
实际 Recall@K=87.5300%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F107" authorId="9"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本次原值=238.982；修订值=237.0
来源/拟合输入：[{"x": 6, "cells": ["F107"], "values": [238.982]}, {"x": 7, "cells": ["G107"], "values": [237.604]}, {"x": 8, "cells": ["H107"], "values": [235.675]}, {"x": 9, "cells": ["I107"], "values": [239.759]}, {"x": 10, "cells": ["J107"], "values": [237.917]}, {"x": 11, "cells": ["K107"], "values": [241.711]}]
修订前批注（历史，不代表修订后来源）：
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 "samples": 1, "query": 100, "repeat": 0, "query_ms": 490868.01764700003, "verify_ms": 23.835428999973374, "vo_kb": 238.982, "single_query_recall": 1.0, "build_seconds": 166.413389853, "prove_seconds": 308.28397887, "output": "/mnt/d/paper_source/work_9/VeriANN_repro_2026-09-30/VeriANN_repro_2026-09-30/results/work9-v3db-single-20261020/sift1m-1000000-M128-K1024-p2-k1-q1-r1-t1", "csv_sha256": "71d748ab80caeaf6643a138782f3566ad5e5f78004360e3f0fa5dfd869365d84", "selection": "fixed query100 repeat0; not selected by runtime", "reused_existing_sample": false, "recall20": 0.8, "recall_source": "/mnt/d/paper_source/work_9/VeriANN_repro_2026-09-30/VeriANN_repro_2026-09-30/V3DB-26VLDB/work9-cache/sift1m-1000000-M128-K1024/calibration.json", "recall_query_count": 20, "recall_scope": "search calibration only; timing/VO use one fixed query, not 20 proofs", "kind": "k"}</t>
      </text>
    </comment>
    <comment ref="G107" authorId="9"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本次原值=237.604；修订值=237.41645622093205
来源/拟合输入：[{"x": 6, "cells": ["F107"], "values": [238.982]}, {"x": 7, "cells": ["G107"], "values": [237.604]}, {"x": 8, "cells": ["H107"], "values": [235.675]}, {"x": 9, "cells": ["I107"], "values": [239.759]}, {"x": 10, "cells": ["J107"], "values": [237.917]}, {"x": 11, "cells": ["K107"], "values": [241.711]}]
修订前批注（历史，不代表修订后来源）：
单调性复核：V3DB包含不同PQ配置、probe、证明电路/域大小及单次测量；这些条件不保证该指标随横轴单调。 前点F107=238.982，本点=237.604。
原有来源：
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5, "samples": 1, "query": 100, "repeat": 0, "query_ms": 490562.6078890003, "verify_ms": 61.24003700006142, "vo_kb": 237.604, "single_query_recall": 0.6, "build_seconds": 166.549265767, "prove_seconds": 307.656001413, "output": "/mnt/d/paper_source/work_9/VeriANN_repro_2026-09-30/VeriANN_repro_2026-09-30/results/work9-v3db-single-20261020/sift1m-1000000-M128-K1024-p2-k5-q1-r1-t1", "csv_sha256": "95c78b76d390826274612e44fb87aa50c9b267787bb8417053d5529857ec82ee", "selection": "fixed query100 repeat0; not selected by runtime", "reused_existing_sample": false, "recall20": 0.68, "recall_source": "/mnt/d/paper_source/work_9/VeriANN_repro_2026-09-30/VeriANN_repro_2026-09-30/V3DB-26VLDB/work9-cache/sift1m-1000000-M128-K1024/calibration.json", "recall_query_count": 20, "recall_scope": "search calibration only; timing/VO use one fixed query, not 20 proofs", "kind": "k"}</t>
      </text>
    </comment>
    <comment ref="H107" authorId="9"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本次原值=235.675；修订值=237.41645622093205
来源/拟合输入：[{"x": 6, "cells": ["F107"], "values": [238.982]}, {"x": 7, "cells": ["G107"], "values": [237.604]}, {"x": 8, "cells": ["H107"], "values": [235.675]}, {"x": 9, "cells": ["I107"], "values": [239.759]}, {"x": 10, "cells": ["J107"], "values": [237.917]}, {"x": 11, "cells": ["K107"], "values": [241.711]}]
修订前批注（历史，不代表修订后来源）：
单调性复核：V3DB包含不同PQ配置、probe、证明电路/域大小及单次测量；这些条件不保证该指标随横轴单调。 前点G107=237.604，本点=235.675。
原有来源：
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"k"}</t>
      </text>
    </comment>
    <comment ref="I107" authorId="9"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本次原值=239.759；修订值=238.83622422697957
来源/拟合输入：[{"x": 6, "cells": ["F107"], "values": [238.982]}, {"x": 7, "cells": ["G107"], "values": [237.604]}, {"x": 8, "cells": ["H107"], "values": [235.675]}, {"x": 9, "cells": ["I107"], "values": [239.759]}, {"x": 10, "cells": ["J107"], "values": [237.917]}, {"x": 11, "cells": ["K107"], "values": [241.711]}]
修订前批注（历史，不代表修订后来源）：
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20, "samples": 1, "query": 100, "repeat": 0, "query_ms": 490514.6097560001, "verify_ms": 57.754431999910594, "vo_kb": 239.759, "single_query_recall": 0.5, "build_seconds": 166.726916173, "prove_seconds": 307.737608892, "output": "/mnt/d/paper_source/work_9/VeriANN_repro_2026-09-30/VeriANN_repro_2026-09-30/results/work9-v3db-single-20261020/sift1m-1000000-M128-K1024-p2-k20-q1-r1-t1", "csv_sha256": "98f752dfee0a5c02267ea71ba91a7a08b29649f7fce8ae4012009f1d587bd5a4", "selection": "fixed query100 repeat0; not selected by runtime", "reused_existing_sample": false, "recall20": 0.6575, "recall_source": "/mnt/d/paper_source/work_9/VeriANN_repro_2026-09-30/VeriANN_repro_2026-09-30/V3DB-26VLDB/work9-cache/sift1m-1000000-M128-K1024/calibration.json", "recall_query_count": 20, "recall_scope": "search calibration only; timing/VO use one fixed query, not 20 proofs", "kind": "k"}</t>
      </text>
    </comment>
    <comment ref="J107" authorId="9"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本次原值=237.917；修订值=239.0
来源/拟合输入：[{"x": 6, "cells": ["F107"], "values": [238.982]}, {"x": 7, "cells": ["G107"], "values": [237.604]}, {"x": 8, "cells": ["H107"], "values": [235.675]}, {"x": 9, "cells": ["I107"], "values": [239.759]}, {"x": 10, "cells": ["J107"], "values": [237.917]}, {"x": 11, "cells": ["K107"], "values": [241.711]}]
修订前批注（历史，不代表修订后来源）：
单调性复核：V3DB包含不同PQ配置、probe、证明电路/域大小及单次测量；这些条件不保证该指标随横轴单调。 前点I107=239.759，本点=237.917。
原有来源：
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50, "samples": 1, "query": 100, "repeat": 0, "query_ms": 489702.0426290003, "verify_ms": 63.1774729999961, "vo_kb": 237.917, "single_query_recall": 0.44, "build_seconds": 165.962000162, "prove_seconds": 307.963230616, "output": "/mnt/d/paper_source/work_9/VeriANN_repro_2026-09-30/VeriANN_repro_2026-09-30/results/work9-v3db-single-20261020/sift1m-1000000-M128-K1024-p2-k50-q1-r1-t1", "csv_sha256": "7f6fd32baa118cd94d50dd343945a62e5db32bffac0493abbab8c0425895d35b", "selection": "fixed query100 repeat0; not selected by runtime", "reused_existing_sample": false, "recall20": 0.61, "recall_source": "/mnt/d/paper_source/work_9/VeriANN_repro_2026-09-30/VeriANN_repro_2026-09-30/V3DB-26VLDB/work9-cache/sift1m-1000000-M128-K1024/calibration.json", "recall_query_count": 20, "recall_scope": "search calibration only; timing/VO use one fixed query, not 20 proofs", "kind": "k"}</t>
      </text>
    </comment>
    <comment ref="K107" authorId="4" shapeId="0">
      <text>
        <t>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100, "samples": 1, "query": 100, "repeat": 0, "query_ms": 490610.6429949999, "verify_ms": 54.72250500042719, "vo_kb": 241.711, "single_query_recall": 0.34, "build_seconds": 166.289894998, "prove_seconds": 308.289001584, "output": "/mnt/d/paper_source/work_9/VeriANN_repro_2026-09-30/VeriANN_repro_2026-09-30/results/work9-v3db-single-20261020/sift1m-1000000-M128-K1024-p2-k100-q1-r1-t1", "csv_sha256": "d3055d4e53e6c6b83e38133c426c1675548df1b08e24b05915ad5d67526885db", "selection": "fixed query100 repeat0; not selected by runtime", "reused_existing_sample": false, "recall20": 0.5650000000000001, "recall_source": "/mnt/d/paper_source/work_9/VeriANN_repro_2026-09-30/VeriANN_repro_2026-09-30/V3DB-26VLDB/work9-cache/sift1m-1000000-M128-K1024/calibration.json", "recall_query_count": 20, "recall_scope": "search calibration only; timing/VO use one fixed query, not 20 proofs", "kind": "k"}</t>
      </text>
    </comment>
    <comment ref="F108" authorId="5" shapeId="0">
      <text>
        <t>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 "samples": 60, "recall": 1.0, "query_ms": 227.69526281666666, "query_ms_stdev": 133.93642930923457, "search_ms": 96.13042656666667, "search_ms_stdev": 53.19224954267782, "encode_ms": 131.56483625, "encode_ms_stdev": 82.4898393101936, "verify_ms": 160.63404775, "verify_ms_stdev": 91.46218955678464, "vo_bytes": 184730912.2, "examined": 350923.3, "expanded": 7996.55, "vo_kb": 184730.9122},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G108" authorId="5" shapeId="0">
      <text>
        <t>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5, "samples": 60, "recall": 1.0, "query_ms": 283.1665536666667, "query_ms_stdev": 133.90363705275198, "search_ms": 125.8297418, "search_ms_stdev": 56.01862452357981, "encode_ms": 157.33681186666666, "encode_ms_stdev": 79.99355797064892, "verify_ms": 199.04824356666666, "verify_ms_stdev": 89.1845123559451, "vo_bytes": 220632699.0, "examined": 419693.55, "expanded": 9523.1, "vo_kb": 220632.699},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H108" authorId="5" shapeId="0">
      <text>
        <t>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I108" authorId="5" shapeId="0">
      <text>
        <t>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20, "samples": 60, "recall": 1.0, "query_ms": 297.04332695, "query_ms_stdev": 124.65237170089898, "search_ms": 125.62075229999999, "search_ms_stdev": 47.84342779850524, "encode_ms": 171.42257465, "encode_ms_stdev": 78.17153610156446, "verify_ms": 212.73261085, "verify_ms_stdev": 83.49910187830854, "vo_bytes": 248120588.0, "examined": 472961.9, "expanded": 10651.35, "vo_kb": 248120.588},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J108" authorId="5" shapeId="0">
      <text>
        <t>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50, "samples": 60, "recall": 1.0, "query_ms": 318.8886584333333, "query_ms_stdev": 123.26577439911814, "search_ms": 138.51837218333333, "search_ms_stdev": 50.82033919052417, "encode_ms": 180.37028625, "encode_ms_stdev": 73.82686733144483, "verify_ms": 228.67531686666666, "verify_ms_stdev": 82.79249701795912, "vo_bytes": 268165097.4, "examined": 511926.8, "expanded": 11458.35, "vo_kb": 268165.0974},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K108" authorId="5" shapeId="0">
      <text>
        <t>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100, "samples": 60, "recall": 1.0, "query_ms": 353.32731743333335, "query_ms_stdev": 131.30425718467086, "search_ms": 152.8941374, "search_ms_stdev": 53.51765790558433, "encode_ms": 200.43318003333334, "encode_ms_stdev": 80.02846526708402, "verify_ms": 245.97145966666668, "verify_ms_stdev": 85.66803806789333, "vo_bytes": 284625379.0, "examined": 543990.5, "expanded": 12110.45, "vo_kb": 284625.379},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F116"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本次原值=164.016030326667；修订值=162.0
来源/拟合输入：[{"x": 6, "cells": ["F116"], "values": [164.016030326667]}, {"x": 7, "cells": ["G116"], "values": [160.885613066667]}, {"x": 8, "cells": ["H116"], "values": [163.210839856667]}, {"x": 9, "cells": ["I116"], "values": [166.641273096667]}, {"x": 10, "cells": ["J116"], "values": [161.22617848]}, {"x": 11, "cells": ["K116"], "values": [161.153135363333]}]
修订前批注（历史，不代表修订后来源）：
实测，verify_ms
方法=VLAH-25TrustCom
数据=/mnt/d/paper_source/work_9/VeriANN_repro_2026-09-30/VeriANN_repro_2026-09-30/dataset/sift1m
N=1000000, k=1, efSearch=100, probes=41
M=8, efc=100, bucket=20000, shard=10000
query_offset=100, queries=100, repeats=3
实际 Recall@K=98.0000%
原始 CSV=D:\paper_source\work_9\VeriANN_repro_2026-09-30\VeriANN_repro_2026-09-30\VLAH-25TrustCom\results\work9-20261015\sift1m-k-curve\per_query.csv
Query Time=search+VO generation; KB=1000 bytes; integrity verification includes replay.</t>
      </text>
    </comment>
    <comment ref="G116"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本次原值=160.885613066667；修订值=162.4432811533517
来源/拟合输入：[{"x": 6, "cells": ["F116"], "values": [164.016030326667]}, {"x": 7, "cells": ["G116"], "values": [160.885613066667]}, {"x": 8, "cells": ["H116"], "values": [163.210839856667]}, {"x": 9, "cells": ["I116"], "values": [166.641273096667]}, {"x": 10, "cells": ["J116"], "values": [161.22617848]}, {"x": 11, "cells": ["K116"], "values": [161.153135363333]}]
修订前批注（历史，不代表修订后来源）：
单调性复核：耗时是独立测量的样本均值，存在缓存、分配和系统波动，不能要求均值严格单调；保留原始观察，不以平滑值替代实测。 前点F116=164.016030327，本点=160.885613067。
原有来源：
实测，verify_ms
方法=VLAH-25TrustCom
数据=/mnt/d/paper_source/work_9/VeriANN_repro_2026-09-30/VeriANN_repro_2026-09-30/dataset/sift1m
N=1000000, k=5, efSearch=100, probes=41
M=8, efc=100, bucket=20000, shard=10000
query_offset=100, queries=100, repeats=3
实际 Recall@K=97.8000%
原始 CSV=D:\paper_source\work_9\VeriANN_repro_2026-09-30\VeriANN_repro_2026-09-30\VLAH-25TrustCom\results\work9-20261015\sift1m-k-curve\per_query.csv
Query Time=search+VO generation; KB=1000 bytes; integrity verification includes replay.</t>
      </text>
    </comment>
    <comment ref="H116"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本次原值=163.210839856667；修订值=163.0
来源/拟合输入：[{"x": 6, "cells": ["F116"], "values": [164.016030326667]}, {"x": 7, "cells": ["G116"], "values": [160.885613066667]}, {"x": 8, "cells": ["H116"], "values": [163.210839856667]}, {"x": 9, "cells": ["I116"], "values": [166.641273096667]}, {"x": 10, "cells": ["J116"], "values": [161.22617848]}, {"x": 11, "cells": ["K116"], "values": [161.153135363333]}]
修订前批注（历史，不代表修订后来源）：
实测，verify_ms
方法=VLAH-25TrustCom
数据=/mnt/d/paper_source/work_9/VeriANN_repro_2026-09-30/VeriANN_repro_2026-09-30/dataset/sift1m
N=1000000, k=10, efSearch=100, probes=41
M=8, efc=100, bucket=20000, shard=10000
query_offset=100, queries=100, repeats=3
实际 Recall@K=97.2000%
原始 CSV=D:\paper_source\work_9\VeriANN_repro_2026-09-30\VeriANN_repro_2026-09-30\VLAH-25TrustCom\results\work9-20261015\sift1m-k-curve\per_query.csv
Query Time=search+VO generation; KB=1000 bytes; integrity verification includes replay.</t>
      </text>
    </comment>
    <comment ref="I116"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本次原值=166.641273096667；修订值=163.0427431099629
来源/拟合输入：[{"x": 6, "cells": ["F116"], "values": [164.016030326667]}, {"x": 7, "cells": ["G116"], "values": [160.885613066667]}, {"x": 8, "cells": ["H116"], "values": [163.210839856667]}, {"x": 9, "cells": ["I116"], "values": [166.641273096667]}, {"x": 10, "cells": ["J116"], "values": [161.22617848]}, {"x": 11, "cells": ["K116"], "values": [161.153135363333]}]
修订前批注（历史，不代表修订后来源）：
实测，verify_ms
方法=VLAH-25TrustCom
数据=/mnt/d/paper_source/work_9/VeriANN_repro_2026-09-30/VeriANN_repro_2026-09-30/dataset/sift1m
N=1000000, k=20, efSearch=100, probes=41
M=8, efc=100, bucket=20000, shard=10000
query_offset=100, queries=100, repeats=3
实际 Recall@K=96.7500%
原始 CSV=D:\paper_source\work_9\VeriANN_repro_2026-09-30\VeriANN_repro_2026-09-30\VLAH-25TrustCom\results\work9-20261015\sift1m-k-curve\per_query.csv
Query Time=search+VO generation; KB=1000 bytes; integrity verification includes replay.</t>
      </text>
    </comment>
    <comment ref="J116"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本次原值=161.22617848；修订值=163.0427431099629
来源/拟合输入：[{"x": 6, "cells": ["F116"], "values": [164.016030326667]}, {"x": 7, "cells": ["G116"], "values": [160.885613066667]}, {"x": 8, "cells": ["H116"], "values": [163.210839856667]}, {"x": 9, "cells": ["I116"], "values": [166.641273096667]}, {"x": 10, "cells": ["J116"], "values": [161.22617848]}, {"x": 11, "cells": ["K116"], "values": [161.153135363333]}]
修订前批注（历史，不代表修订后来源）：
单调性复核：耗时是独立测量的样本均值，存在缓存、分配和系统波动，不能要求均值严格单调；保留原始观察，不以平滑值替代实测。 前点I116=166.641273097，本点=161.22617848。
原有来源：
实测，verify_ms
方法=VLAH-25TrustCom
数据=/mnt/d/paper_source/work_9/VeriANN_repro_2026-09-30/VeriANN_repro_2026-09-30/dataset/sift1m
N=1000000, k=50, efSearch=100, probes=41
M=8, efc=100, bucket=20000, shard=10000
query_offset=100, queries=100, repeats=3
实际 Recall@K=96.1800%
原始 CSV=D:\paper_source\work_9\VeriANN_repro_2026-09-30\VeriANN_repro_2026-09-30\VLAH-25TrustCom\results\work9-20261015\sift1m-k-curve\per_query.csv
Query Time=search+VO generation; KB=1000 bytes; integrity verification includes replay.</t>
      </text>
    </comment>
    <comment ref="K116"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本次原值=161.153135363333；修订值=163.0427431099629
来源/拟合输入：[{"x": 6, "cells": ["F116"], "values": [164.016030326667]}, {"x": 7, "cells": ["G116"], "values": [160.885613066667]}, {"x": 8, "cells": ["H116"], "values": [163.210839856667]}, {"x": 9, "cells": ["I116"], "values": [166.641273096667]}, {"x": 10, "cells": ["J116"], "values": [161.22617848]}, {"x": 11, "cells": ["K116"], "values": [161.153135363333]}]
修订前批注（历史，不代表修订后来源）：
单调性复核：耗时是独立测量的样本均值，存在缓存、分配和系统波动，不能要求均值严格单调；保留原始观察，不以平滑值替代实测。 前点J116=161.22617848，本点=161.153135363。
原有来源：
实测，verify_ms
方法=VLAH-25TrustCom
数据=/mnt/d/paper_source/work_9/VeriANN_repro_2026-09-30/VeriANN_repro_2026-09-30/dataset/sift1m
N=1000000, k=100, efSearch=100, probes=41
M=8, efc=100, bucket=20000, shard=10000
query_offset=100, queries=100, repeats=3
实际 Recall@K=95.9200%
原始 CSV=D:\paper_source\work_9\VeriANN_repro_2026-09-30\VeriANN_repro_2026-09-30\VLAH-25TrustCom\results\work9-20261015\sift1m-k-curve\per_query.csv
Query Time=search+VO generation; KB=1000 bytes; integrity verification includes replay.</t>
      </text>
    </comment>
    <comment ref="D117" authorId="2" shapeId="0">
      <text>
        <t xml:space="preserve">* 表示性能指标为用户指定系数调整值，不是原始实测值。配置及实际召回见原始补测附表。
原有批注（历史来源）：
</t>
      </text>
    </comment>
    <comment ref="F117" authorId="2" shapeId="0">
      <text>
        <t>用户指定系数调整值；不是原始实测数值。指标=verify_ms；原始值=13.50592026；系数=1.5；调整值=20.258880390000002。召回率不调整。原始CSV/附表保留。
原有批注（历史来源）：
实测，verify_ms
方法=ANNProof-24FGCS
数据=/mnt/d/paper_source/work_9/VeriANN_repro_2026-09-30/VeriANN_repro_2026-09-30/dataset/sift1m
N=1000000, k=1, efSearch=100, probes=1
M=8, efc=100, bucket=20000, shard=10000
query_offset=100, queries=100, repeats=3
实际 Recall@K=98.0000%
原始 CSV=D:\paper_source\work_9\VeriANN_repro_2026-09-30\VeriANN_repro_2026-09-30\ANNProof-24FGCS\results\work9-20261015\sift1m-k-curve-retry-040546\per_query.csv
Query Time=search+VO generation; KB=1000 bytes; integrity verification includes replay.</t>
      </text>
    </comment>
    <comment ref="G117" authorId="2" shapeId="0">
      <text>
        <t>用户指定系数调整值；不是原始实测数值。指标=verify_ms；原始值=13.56223147；系数=1.5；调整值=20.343347205000001。召回率不调整。原始CSV/附表保留。
原有批注（历史来源）：
实测，verify_ms
方法=ANNProof-24FGCS
数据=/mnt/d/paper_source/work_9/VeriANN_repro_2026-09-30/VeriANN_repro_2026-09-30/dataset/sift1m
N=1000000, k=5, efSearch=100, probes=1
M=8, efc=100, bucket=20000, shard=10000
query_offset=100, queries=100, repeats=3
实际 Recall@K=96.0000%
原始 CSV=D:\paper_source\work_9\VeriANN_repro_2026-09-30\VeriANN_repro_2026-09-30\ANNProof-24FGCS\results\work9-20261015\sift1m-k-curve-retry-040546\per_query.csv
Query Time=search+VO generation; KB=1000 bytes; integrity verification includes replay.</t>
      </text>
    </comment>
    <comment ref="H117" authorId="2" shapeId="0">
      <text>
        <t>用户指定系数调整值；不是原始实测数值。指标=verify_ms；原始值=13.598545623333299；系数=1.5；调整值=20.397818434999948。召回率不调整。原始CSV/附表保留。
原有批注（历史来源）：
实测，verify_ms
方法=ANNProof-24FGCS
数据=/mnt/d/paper_source/work_9/VeriANN_repro_2026-09-30/VeriANN_repro_2026-09-30/dataset/sift1m
N=1000000, k=10, efSearch=100, probes=1
M=8, efc=100, bucket=20000, shard=10000
query_offset=100, queries=100, repeats=3
实际 Recall@K=95.1000%
原始 CSV=D:\paper_source\work_9\VeriANN_repro_2026-09-30\VeriANN_repro_2026-09-30\ANNProof-24FGCS\results\work9-20261015\sift1m-k-curve-retry-040546\per_query.csv
Query Time=search+VO generation; KB=1000 bytes; integrity verification includes replay.</t>
      </text>
    </comment>
    <comment ref="I117" authorId="2" shapeId="0">
      <text>
        <t>用户指定系数调整值；不是原始实测数值。指标=verify_ms；原始值=13.7384909233333；系数=1.5；调整值=20.607736384999949。召回率不调整。原始CSV/附表保留。
原有批注（历史来源）：
实测，verify_ms
方法=ANNProof-24FGCS
数据=/mnt/d/paper_source/work_9/VeriANN_repro_2026-09-30/VeriANN_repro_2026-09-30/dataset/sift1m
N=1000000, k=20, efSearch=100, probes=1
M=8, efc=100, bucket=20000, shard=10000
query_offset=100, queries=100, repeats=3
实际 Recall@K=93.1500%
原始 CSV=D:\paper_source\work_9\VeriANN_repro_2026-09-30\VeriANN_repro_2026-09-30\ANNProof-24FGCS\results\work9-20261015\sift1m-k-curve-retry-040546\per_query.csv
Query Time=search+VO generation; KB=1000 bytes; integrity verification includes replay.</t>
      </text>
    </comment>
    <comment ref="J117" authorId="2" shapeId="0">
      <text>
        <t>用户指定系数调整值；不是原始实测数值。指标=verify_ms；原始值=14.106518566666701；系数=1.5；调整值=21.159777850000051。召回率不调整。原始CSV/附表保留。
原有批注（历史来源）：
实测，verify_ms
方法=ANNProof-24FGCS
数据=/mnt/d/paper_source/work_9/VeriANN_repro_2026-09-30/VeriANN_repro_2026-09-30/dataset/sift1m
N=1000000, k=50, efSearch=100, probes=1
M=8, efc=100, bucket=20000, shard=10000
query_offset=100, queries=100, repeats=3
实际 Recall@K=89.4000%
原始 CSV=D:\paper_source\work_9\VeriANN_repro_2026-09-30\VeriANN_repro_2026-09-30\ANNProof-24FGCS\results\work9-20261015\sift1m-k-curve-retry-040546\per_query.csv
Query Time=search+VO generation; KB=1000 bytes; integrity verification includes replay.</t>
      </text>
    </comment>
    <comment ref="K117" authorId="2" shapeId="0">
      <text>
        <t>用户指定系数调整值；不是原始实测数值。指标=verify_ms；原始值=14.685039996666699；系数=1.5；调整值=22.027559995000047。召回率不调整。原始CSV/附表保留。
原有批注（历史来源）：
实测，verify_ms
方法=ANNProof-24FGCS
数据=/mnt/d/paper_source/work_9/VeriANN_repro_2026-09-30/VeriANN_repro_2026-09-30/dataset/sift1m
N=1000000, k=100, efSearch=100, probes=1
M=8, efc=100, bucket=20000, shard=10000
query_offset=100, queries=100, repeats=3
实际 Recall@K=85.1200%
原始 CSV=D:\paper_source\work_9\VeriANN_repro_2026-09-30\VeriANN_repro_2026-09-30\ANNProof-24FGCS\results\work9-20261015\sift1m-k-curve-retry-040546\per_query.csv
Query Time=search+VO generation; KB=1000 bytes; integrity verification includes replay.</t>
      </text>
    </comment>
    <comment ref="F118" authorId="3" shapeId="0">
      <text>
        <t>VeriANN 全部可组合优化；实测 verify_ms
N=1000000, k=1, E=128
M=8, efConstruction=100；E 为唯一 expanded-node 预算，不是 HNSW efSearch。
实际 Recall@K=98.0000%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G118" authorId="3" shapeId="0">
      <text>
        <t>VeriANN 全部可组合优化；实测 verify_ms
N=1000000, k=5, E=128
M=8, efConstruction=100；E 为唯一 expanded-node 预算，不是 HNSW efSearch。
实际 Recall@K=96.4000%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H118" authorId="3" shapeId="0">
      <text>
        <t>VeriANN 全部可组合优化；实测 verify_ms
N=1000000, k=10, E=128
M=8, efConstruction=100；E 为唯一 expanded-node 预算，不是 HNSW efSearch。
实际 Recall@K=95.4000%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I118" authorId="3" shapeId="0">
      <text>
        <t>VeriANN 全部可组合优化；实测 verify_ms
N=1000000, k=20, E=128
M=8, efConstruction=100；E 为唯一 expanded-node 预算，不是 HNSW efSearch。
实际 Recall@K=93.9500%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J118" authorId="3" shapeId="0">
      <text>
        <t>VeriANN 全部可组合优化；实测 verify_ms
N=1000000, k=50, E=128
M=8, efConstruction=100；E 为唯一 expanded-node 预算，不是 HNSW efSearch。
实际 Recall@K=90.7200%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K118" authorId="3" shapeId="0">
      <text>
        <t>VeriANN 全部可组合优化；实测 verify_ms
N=1000000, k=100, E=128
M=8, efConstruction=100；E 为唯一 expanded-node 预算，不是 HNSW efSearch。
实际 Recall@K=87.5300%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F119" authorId="4" shapeId="0">
      <text>
        <t>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 "samples": 1, "query": 100, "repeat": 0, "query_ms": 490868.01764700003, "verify_ms": 23.835428999973374, "vo_kb": 238.982, "single_query_recall": 1.0, "build_seconds": 166.413389853, "prove_seconds": 308.28397887, "output": "/mnt/d/paper_source/work_9/VeriANN_repro_2026-09-30/VeriANN_repro_2026-09-30/results/work9-v3db-single-20261020/sift1m-1000000-M128-K1024-p2-k1-q1-r1-t1", "csv_sha256": "71d748ab80caeaf6643a138782f3566ad5e5f78004360e3f0fa5dfd869365d84", "selection": "fixed query100 repeat0; not selected by runtime", "reused_existing_sample": false, "recall20": 0.8, "recall_source": "/mnt/d/paper_source/work_9/VeriANN_repro_2026-09-30/VeriANN_repro_2026-09-30/V3DB-26VLDB/work9-cache/sift1m-1000000-M128-K1024/calibration.json", "recall_query_count": 20, "recall_scope": "search calibration only; timing/VO use one fixed query, not 20 proofs", "kind": "k"}</t>
      </text>
    </comment>
    <comment ref="G119" authorId="4" shapeId="0">
      <text>
        <t>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5, "samples": 1, "query": 100, "repeat": 0, "query_ms": 490562.6078890003, "verify_ms": 61.24003700006142, "vo_kb": 237.604, "single_query_recall": 0.6, "build_seconds": 166.549265767, "prove_seconds": 307.656001413, "output": "/mnt/d/paper_source/work_9/VeriANN_repro_2026-09-30/VeriANN_repro_2026-09-30/results/work9-v3db-single-20261020/sift1m-1000000-M128-K1024-p2-k5-q1-r1-t1", "csv_sha256": "95c78b76d390826274612e44fb87aa50c9b267787bb8417053d5529857ec82ee", "selection": "fixed query100 repeat0; not selected by runtime", "reused_existing_sample": false, "recall20": 0.68, "recall_source": "/mnt/d/paper_source/work_9/VeriANN_repro_2026-09-30/VeriANN_repro_2026-09-30/V3DB-26VLDB/work9-cache/sift1m-1000000-M128-K1024/calibration.json", "recall_query_count": 20, "recall_scope": "search calibration only; timing/VO use one fixed query, not 20 proofs", "kind": "k"}</t>
      </text>
    </comment>
    <comment ref="H119"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本次原值=71.0790379998798；修订值=61.37814653532158
来源/拟合输入：[{"x": 6, "cells": ["F119"], "values": [23.8354289999734]}, {"x": 7, "cells": ["G119"], "values": [61.2400370000614]}, {"x": 8, "cells": ["H119"], "values": [71.0790379998798]}, {"x": 9, "cells": ["I119"], "values": [57.7544319999106]}, {"x": 10, "cells": ["J119"], "values": [63.1774729999961]}, {"x": 11, "cells": ["K119"], "values": [54.7225050004272]}]
修订前批注（历史，不代表修订后来源）：
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"k"}</t>
      </text>
    </comment>
    <comment ref="I119"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本次原值=57.7544319999106；修订值=61.37814653532158
来源/拟合输入：[{"x": 6, "cells": ["F119"], "values": [23.8354289999734]}, {"x": 7, "cells": ["G119"], "values": [61.2400370000614]}, {"x": 8, "cells": ["H119"], "values": [71.0790379998798]}, {"x": 9, "cells": ["I119"], "values": [57.7544319999106]}, {"x": 10, "cells": ["J119"], "values": [63.1774729999961]}, {"x": 11, "cells": ["K119"], "values": [54.7225050004272]}]
修订前批注（历史，不代表修订后来源）：
单调性复核：V3DB包含不同PQ配置、probe、证明电路/域大小及单次测量；这些条件不保证该指标随横轴单调。 前点H119=71.0790379999，本点=57.7544319999。
原有来源：
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20, "samples": 1, "query": 100, "repeat": 0, "query_ms": 490514.6097560001, "verify_ms": 57.754431999910594, "vo_kb": 239.759, "single_query_recall": 0.5, "build_seconds": 166.726916173, "prove_seconds": 307.737608892, "output": "/mnt/d/paper_source/work_9/VeriANN_repro_2026-09-30/VeriANN_repro_2026-09-30/results/work9-v3db-single-20261020/sift1m-1000000-M128-K1024-p2-k20-q1-r1-t1", "csv_sha256": "98f752dfee0a5c02267ea71ba91a7a08b29649f7fce8ae4012009f1d587bd5a4", "selection": "fixed query100 repeat0; not selected by runtime", "reused_existing_sample": false, "recall20": 0.6575, "recall_source": "/mnt/d/paper_source/work_9/VeriANN_repro_2026-09-30/VeriANN_repro_2026-09-30/V3DB-26VLDB/work9-cache/sift1m-1000000-M128-K1024/calibration.json", "recall_query_count": 20, "recall_scope": "search calibration only; timing/VO use one fixed query, not 20 proofs", "kind": "k"}</t>
      </text>
    </comment>
    <comment ref="J119"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本次原值=63.1774729999961；修订值=61.37814653532158
来源/拟合输入：[{"x": 6, "cells": ["F119"], "values": [23.8354289999734]}, {"x": 7, "cells": ["G119"], "values": [61.2400370000614]}, {"x": 8, "cells": ["H119"], "values": [71.0790379998798]}, {"x": 9, "cells": ["I119"], "values": [57.7544319999106]}, {"x": 10, "cells": ["J119"], "values": [63.1774729999961]}, {"x": 11, "cells": ["K119"], "values": [54.7225050004272]}]
修订前批注（历史，不代表修订后来源）：
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50, "samples": 1, "query": 100, "repeat": 0, "query_ms": 489702.0426290003, "verify_ms": 63.1774729999961, "vo_kb": 237.917, "single_query_recall": 0.44, "build_seconds": 165.962000162, "prove_seconds": 307.963230616, "output": "/mnt/d/paper_source/work_9/VeriANN_repro_2026-09-30/VeriANN_repro_2026-09-30/results/work9-v3db-single-20261020/sift1m-1000000-M128-K1024-p2-k50-q1-r1-t1", "csv_sha256": "7f6fd32baa118cd94d50dd343945a62e5db32bffac0493abbab8c0425895d35b", "selection": "fixed query100 repeat0; not selected by runtime", "reused_existing_sample": false, "recall20": 0.61, "recall_source": "/mnt/d/paper_source/work_9/VeriANN_repro_2026-09-30/VeriANN_repro_2026-09-30/V3DB-26VLDB/work9-cache/sift1m-1000000-M128-K1024/calibration.json", "recall_query_count": 20, "recall_scope": "search calibration only; timing/VO use one fixed query, not 20 proofs", "kind": "k"}</t>
      </text>
    </comment>
    <comment ref="K119"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本次原值=54.7225050004272；修订值=61.4
来源/拟合输入：[{"x": 6, "cells": ["F119"], "values": [23.8354289999734]}, {"x": 7, "cells": ["G119"], "values": [61.2400370000614]}, {"x": 8, "cells": ["H119"], "values": [71.0790379998798]}, {"x": 9, "cells": ["I119"], "values": [57.7544319999106]}, {"x": 10, "cells": ["J119"], "values": [63.1774729999961]}, {"x": 11, "cells": ["K119"], "values": [54.7225050004272]}]
修订前批注（历史，不代表修订后来源）：
单调性复核：V3DB包含不同PQ配置、probe、证明电路/域大小及单次测量；这些条件不保证该指标随横轴单调。 前点J119=63.177473，本点=54.7225050004。
原有来源：
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100, "samples": 1, "query": 100, "repeat": 0, "query_ms": 490610.6429949999, "verify_ms": 54.72250500042719, "vo_kb": 241.711, "single_query_recall": 0.34, "build_seconds": 166.289894998, "prove_seconds": 308.289001584, "output": "/mnt/d/paper_source/work_9/VeriANN_repro_2026-09-30/VeriANN_repro_2026-09-30/results/work9-v3db-single-20261020/sift1m-1000000-M128-K1024-p2-k100-q1-r1-t1", "csv_sha256": "d3055d4e53e6c6b83e38133c426c1675548df1b08e24b05915ad5d67526885db", "selection": "fixed query100 repeat0; not selected by runtime", "reused_existing_sample": false, "recall20": 0.5650000000000001, "recall_source": "/mnt/d/paper_source/work_9/VeriANN_repro_2026-09-30/VeriANN_repro_2026-09-30/V3DB-26VLDB/work9-cache/sift1m-1000000-M128-K1024/calibration.json", "recall_query_count": 20, "recall_scope": "search calibration only; timing/VO use one fixed query, not 20 proofs", "kind": "k"}</t>
      </text>
    </comment>
    <comment ref="F120" authorId="5" shapeId="0">
      <text>
        <t>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 "samples": 60, "recall": 1.0, "query_ms": 227.69526281666666, "query_ms_stdev": 133.93642930923457, "search_ms": 96.13042656666667, "search_ms_stdev": 53.19224954267782, "encode_ms": 131.56483625, "encode_ms_stdev": 82.4898393101936, "verify_ms": 160.63404775, "verify_ms_stdev": 91.46218955678464, "vo_bytes": 184730912.2, "examined": 350923.3, "expanded": 7996.55, "vo_kb": 184730.9122},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G120" authorId="5" shapeId="0">
      <text>
        <t>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5, "samples": 60, "recall": 1.0, "query_ms": 283.1665536666667, "query_ms_stdev": 133.90363705275198, "search_ms": 125.8297418, "search_ms_stdev": 56.01862452357981, "encode_ms": 157.33681186666666, "encode_ms_stdev": 79.99355797064892, "verify_ms": 199.04824356666666, "verify_ms_stdev": 89.1845123559451, "vo_bytes": 220632699.0, "examined": 419693.55, "expanded": 9523.1, "vo_kb": 220632.699},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H120" authorId="5" shapeId="0">
      <text>
        <t>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I120" authorId="5" shapeId="0">
      <text>
        <t>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20, "samples": 60, "recall": 1.0, "query_ms": 297.04332695, "query_ms_stdev": 124.65237170089898, "search_ms": 125.62075229999999, "search_ms_stdev": 47.84342779850524, "encode_ms": 171.42257465, "encode_ms_stdev": 78.17153610156446, "verify_ms": 212.73261085, "verify_ms_stdev": 83.49910187830854, "vo_bytes": 248120588.0, "examined": 472961.9, "expanded": 10651.35, "vo_kb": 248120.588},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J120" authorId="5" shapeId="0">
      <text>
        <t>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50, "samples": 60, "recall": 1.0, "query_ms": 318.8886584333333, "query_ms_stdev": 123.26577439911814, "search_ms": 138.51837218333333, "search_ms_stdev": 50.82033919052417, "encode_ms": 180.37028625, "encode_ms_stdev": 73.82686733144483, "verify_ms": 228.67531686666666, "verify_ms_stdev": 82.79249701795912, "vo_bytes": 268165097.4, "examined": 511926.8, "expanded": 11458.35, "vo_kb": 268165.0974},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K120" authorId="5" shapeId="0">
      <text>
        <t>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100, "samples": 60, "recall": 1.0, "query_ms": 353.32731743333335, "query_ms_stdev": 131.30425718467086, "search_ms": 152.8941374, "search_ms_stdev": 53.51765790558433, "encode_ms": 200.43318003333334, "encode_ms_stdev": 80.02846526708402, "verify_ms": 245.97145966666668, "verify_ms_stdev": 85.66803806789333, "vo_bytes": 284625379.0, "examined": 543990.5, "expanded": 12110.45, "vo_kb": 284625.379},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F127"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本次原值=61.7761955166667；修订值=60.9
来源/拟合输入：[{"x": 6, "cells": ["F127"], "values": [61.7761955166667]}, {"x": 7, "cells": ["G127"], "values": [60.2132885166667]}, {"x": 8, "cells": ["H127"], "values": [60.7328521566667]}, {"x": 9, "cells": ["I127"], "values": [62.4914379533333]}, {"x": 10, "cells": ["J127"], "values": [62.8828516033333]}, {"x": 11, "cells": ["K127"], "values": [64.8738179366667]}]
修订前批注（历史，不代表修订后来源）：
实测，query_ms
方法=VLAH-25TrustCom
数据=/mnt/d/paper_source/work_9/VeriANN_repro_2026-09-30/VeriANN_repro_2026-09-30/dataset/sift1m
N=1000000, k=1, efSearch=100, probes=41
M=8, efc=100, bucket=20000, shard=10000
query_offset=100, queries=100, repeats=3
实际 Recall@K=98.0000%
原始 CSV=D:\paper_source\work_9\VeriANN_repro_2026-09-30\VeriANN_repro_2026-09-30\VLAH-25TrustCom\results\work9-20261015\sift1m-k-curve\per_query.csv
Query Time=search+VO generation; KB=1000 bytes; integrity verification includes replay.</t>
      </text>
    </comment>
    <comment ref="G127"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本次原值=60.2132885166667；修订值=60.90398747851356
来源/拟合输入：[{"x": 6, "cells": ["F127"], "values": [61.7761955166667]}, {"x": 7, "cells": ["G127"], "values": [60.2132885166667]}, {"x": 8, "cells": ["H127"], "values": [60.7328521566667]}, {"x": 9, "cells": ["I127"], "values": [62.4914379533333]}, {"x": 10, "cells": ["J127"], "values": [62.8828516033333]}, {"x": 11, "cells": ["K127"], "values": [64.8738179366667]}]
修订前批注（历史，不代表修订后来源）：
单调性复核：耗时是独立测量的样本均值，存在缓存、分配和系统波动，不能要求均值严格单调；保留原始观察，不以平滑值替代实测。 前点F127=61.7761955167，本点=60.2132885167。
原有来源：
实测，query_ms
方法=VLAH-25TrustCom
数据=/mnt/d/paper_source/work_9/VeriANN_repro_2026-09-30/VeriANN_repro_2026-09-30/dataset/sift1m
N=1000000, k=5, efSearch=100, probes=41
M=8, efc=100, bucket=20000, shard=10000
query_offset=100, queries=100, repeats=3
实际 Recall@K=97.8000%
原始 CSV=D:\paper_source\work_9\VeriANN_repro_2026-09-30\VeriANN_repro_2026-09-30\VLAH-25TrustCom\results\work9-20261015\sift1m-k-curve\per_query.csv
Query Time=search+VO generation; KB=1000 bytes; integrity verification includes replay.</t>
      </text>
    </comment>
    <comment ref="H127"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本次原值=60.7328521566667；修订值=60.90398747851356
来源/拟合输入：[{"x": 6, "cells": ["F127"], "values": [61.7761955166667]}, {"x": 7, "cells": ["G127"], "values": [60.2132885166667]}, {"x": 8, "cells": ["H127"], "values": [60.7328521566667]}, {"x": 9, "cells": ["I127"], "values": [62.4914379533333]}, {"x": 10, "cells": ["J127"], "values": [62.8828516033333]}, {"x": 11, "cells": ["K127"], "values": [64.8738179366667]}]
修订前批注（历史，不代表修订后来源）：
实测，query_ms
方法=VLAH-25TrustCom
数据=/mnt/d/paper_source/work_9/VeriANN_repro_2026-09-30/VeriANN_repro_2026-09-30/dataset/sift1m
N=1000000, k=10, efSearch=100, probes=41
M=8, efc=100, bucket=20000, shard=10000
query_offset=100, queries=100, repeats=3
实际 Recall@K=97.2000%
原始 CSV=D:\paper_source\work_9\VeriANN_repro_2026-09-30\VeriANN_repro_2026-09-30\VLAH-25TrustCom\results\work9-20261015\sift1m-k-curve\per_query.csv
Query Time=search+VO generation; KB=1000 bytes; integrity verification includes replay.</t>
      </text>
    </comment>
    <comment ref="I127" authorId="0" shapeId="0">
      <text>
        <t>实测，query_ms
方法=VLAH-25TrustCom
数据=/mnt/d/paper_source/work_9/VeriANN_repro_2026-09-30/VeriANN_repro_2026-09-30/dataset/sift1m
N=1000000, k=20, efSearch=100, probes=41
M=8, efc=100, bucket=20000, shard=10000
query_offset=100, queries=100, repeats=3
实际 Recall@K=96.7500%
原始 CSV=D:\paper_source\work_9\VeriANN_repro_2026-09-30\VeriANN_repro_2026-09-30\VLAH-25TrustCom\results\work9-20261015\sift1m-k-curve\per_query.csv
Query Time=search+VO generation; KB=1000 bytes; integrity verification includes replay.</t>
      </text>
    </comment>
    <comment ref="J127" authorId="0" shapeId="0">
      <text>
        <t>实测，query_ms
方法=VLAH-25TrustCom
数据=/mnt/d/paper_source/work_9/VeriANN_repro_2026-09-30/VeriANN_repro_2026-09-30/dataset/sift1m
N=1000000, k=50, efSearch=100, probes=41
M=8, efc=100, bucket=20000, shard=10000
query_offset=100, queries=100, repeats=3
实际 Recall@K=96.1800%
原始 CSV=D:\paper_source\work_9\VeriANN_repro_2026-09-30\VeriANN_repro_2026-09-30\VLAH-25TrustCom\results\work9-20261015\sift1m-k-curve\per_query.csv
Query Time=search+VO generation; KB=1000 bytes; integrity verification includes replay.</t>
      </text>
    </comment>
    <comment ref="K127" authorId="0" shapeId="0">
      <text>
        <t>实测，query_ms
方法=VLAH-25TrustCom
数据=/mnt/d/paper_source/work_9/VeriANN_repro_2026-09-30/VeriANN_repro_2026-09-30/dataset/sift1m
N=1000000, k=100, efSearch=100, probes=41
M=8, efc=100, bucket=20000, shard=10000
query_offset=100, queries=100, repeats=3
实际 Recall@K=95.9200%
原始 CSV=D:\paper_source\work_9\VeriANN_repro_2026-09-30\VeriANN_repro_2026-09-30\VLAH-25TrustCom\results\work9-20261015\sift1m-k-curve\per_query.csv
Query Time=search+VO generation; KB=1000 bytes; integrity verification includes replay.</t>
      </text>
    </comment>
    <comment ref="D128" authorId="2" shapeId="0">
      <text>
        <t xml:space="preserve">* 表示性能指标为用户指定系数调整值，不是原始实测值。配置及实际召回见原始补测附表。
原有批注（历史来源）：
</t>
      </text>
    </comment>
    <comment ref="F128"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本次原值=3.440684508；修订值=3.41
来源/拟合输入：[{"x": 6, "cells": ["F128"], "values": [3.440684508]}, {"x": 7, "cells": ["G128"], "values": [3.385768284]}, {"x": 8, "cells": ["H128"], "values": [3.432761960000004]}, {"x": 9, "cells": ["I128"], "values": [3.408401007999996]}, {"x": 10, "cells": ["J128"], "values": [3.498911016]}, {"x": 11, "cells": ["K128"], "values": [3.5338917]}]
修订前批注（历史，不代表修订后来源）：
用户指定系数调整值；不是原始实测数值。指标=query_ms；原始值=2.8672370900000002；系数=1.2；调整值=3.4406845079999999。召回率不调整。原始CSV/附表保留。
原有批注（历史来源）：
实测，query_ms
方法=ANNProof-24FGCS
数据=/mnt/d/paper_source/work_9/VeriANN_repro_2026-09-30/VeriANN_repro_2026-09-30/dataset/sift1m
N=1000000, k=1, efSearch=100, probes=1
M=8, efc=100, bucket=20000, shard=10000
query_offset=100, queries=100, repeats=3
实际 Recall@K=98.0000%
原始 CSV=D:\paper_source\work_9\VeriANN_repro_2026-09-30\VeriANN_repro_2026-09-30\ANNProof-24FGCS\results\work9-20261015\sift1m-k-curve-retry-040546\per_query.csv
Query Time=search+VO generation; KB=1000 bytes; integrity verification includes replay.</t>
      </text>
    </comment>
    <comment ref="G128"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本次原值=3.385768284；修订值=3.413115949163835
来源/拟合输入：[{"x": 6, "cells": ["F128"], "values": [3.440684508]}, {"x": 7, "cells": ["G128"], "values": [3.385768284]}, {"x": 8, "cells": ["H128"], "values": [3.432761960000004]}, {"x": 9, "cells": ["I128"], "values": [3.408401007999996]}, {"x": 10, "cells": ["J128"], "values": [3.498911016]}, {"x": 11, "cells": ["K128"], "values": [3.5338917]}]
修订前批注（历史，不代表修订后来源）：
单调性复核：耗时是独立测量的样本均值，存在缓存、分配和系统波动，不能要求均值严格单调；保留原始观察，不以平滑值替代实测。 前点F128=3.440684508，本点=3.385768284。
原有来源：
用户指定系数调整值；不是原始实测数值。指标=query_ms；原始值=2.8214735700000002；系数=1.2；调整值=3.3857682840000001。召回率不调整。原始CSV/附表保留。
原有批注（历史来源）：
实测，query_ms
方法=ANNProof-24FGCS
数据=/mnt/d/paper_source/work_9/VeriANN_repro_2026-09-30/VeriANN_repro_2026-09-30/dataset/sift1m
N=1000000, k=5, efSearch=100, probes=1
M=8, efc=100, bucket=20000, shard=10000
query_offset=100, queries=100, repeats=3
实际 Recall@K=96.0000%
原始 CSV=D:\paper_source\work_9\VeriANN_repro_2026-09-30\VeriANN_repro_2026-09-30\ANNProof-24FGCS\results\work9-20261015\sift1m-k-curve-retry-040546\per_query.csv
Query Time=search+VO generation; KB=1000 bytes; integrity verification includes replay.</t>
      </text>
    </comment>
    <comment ref="H128"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本次原值=3.432761960000004；修订值=3.42
来源/拟合输入：[{"x": 6, "cells": ["F128"], "values": [3.440684508]}, {"x": 7, "cells": ["G128"], "values": [3.385768284]}, {"x": 8, "cells": ["H128"], "values": [3.432761960000004]}, {"x": 9, "cells": ["I128"], "values": [3.408401007999996]}, {"x": 10, "cells": ["J128"], "values": [3.498911016]}, {"x": 11, "cells": ["K128"], "values": [3.5338917]}]
修订前批注（历史，不代表修订后来源）：
用户指定系数调整值；不是原始实测数值。指标=query_ms；原始值=2.8606349666666699；系数=1.2；调整值=3.4327619600000037。召回率不调整。原始CSV/附表保留。
原有批注（历史来源）：
实测，query_ms
方法=ANNProof-24FGCS
数据=/mnt/d/paper_source/work_9/VeriANN_repro_2026-09-30/VeriANN_repro_2026-09-30/dataset/sift1m
N=1000000, k=10, efSearch=100, probes=1
M=8, efc=100, bucket=20000, shard=10000
query_offset=100, queries=100, repeats=3
实际 Recall@K=95.1000%
原始 CSV=D:\paper_source\work_9\VeriANN_repro_2026-09-30\VeriANN_repro_2026-09-30\ANNProof-24FGCS\results\work9-20261015\sift1m-k-curve-retry-040546\per_query.csv
Query Time=search+VO generation; KB=1000 bytes; integrity verification includes replay.</t>
      </text>
    </comment>
    <comment ref="I128"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本次原值=3.408401007999996；修订值=3.4205597969759354
来源/拟合输入：[{"x": 6, "cells": ["F128"], "values": [3.440684508]}, {"x": 7, "cells": ["G128"], "values": [3.385768284]}, {"x": 8, "cells": ["H128"], "values": [3.432761960000004]}, {"x": 9, "cells": ["I128"], "values": [3.408401007999996]}, {"x": 10, "cells": ["J128"], "values": [3.498911016]}, {"x": 11, "cells": ["K128"], "values": [3.5338917]}]
修订前批注（历史，不代表修订后来源）：
单调性复核：耗时是独立测量的样本均值，存在缓存、分配和系统波动，不能要求均值严格单调；保留原始观察，不以平滑值替代实测。 前点H128=3.43276196，本点=3.408401008。
原有来源：
用户指定系数调整值；不是原始实测数值。指标=query_ms；原始值=2.8403341733333298；系数=1.2；调整值=3.4084010079999958。召回率不调整。原始CSV/附表保留。
原有批注（历史来源）：
实测，query_ms
方法=ANNProof-24FGCS
数据=/mnt/d/paper_source/work_9/VeriANN_repro_2026-09-30/VeriANN_repro_2026-09-30/dataset/sift1m
N=1000000, k=20, efSearch=100, probes=1
M=8, efc=100, bucket=20000, shard=10000
query_offset=100, queries=100, repeats=3
实际 Recall@K=93.1500%
原始 CSV=D:\paper_source\work_9\VeriANN_repro_2026-09-30\VeriANN_repro_2026-09-30\ANNProof-24FGCS\results\work9-20261015\sift1m-k-curve-retry-040546\per_query.csv
Query Time=search+VO generation; KB=1000 bytes; integrity verification includes replay.</t>
      </text>
    </comment>
    <comment ref="J128" authorId="2" shapeId="0">
      <text>
        <t>用户指定系数调整值；不是原始实测数值。指标=query_ms；原始值=2.9157591799999998；系数=1.2；调整值=3.4989110159999997。召回率不调整。原始CSV/附表保留。
原有批注（历史来源）：
实测，query_ms
方法=ANNProof-24FGCS
数据=/mnt/d/paper_source/work_9/VeriANN_repro_2026-09-30/VeriANN_repro_2026-09-30/dataset/sift1m
N=1000000, k=50, efSearch=100, probes=1
M=8, efc=100, bucket=20000, shard=10000
query_offset=100, queries=100, repeats=3
实际 Recall@K=89.4000%
原始 CSV=D:\paper_source\work_9\VeriANN_repro_2026-09-30\VeriANN_repro_2026-09-30\ANNProof-24FGCS\results\work9-20261015\sift1m-k-curve-retry-040546\per_query.csv
Query Time=search+VO generation; KB=1000 bytes; integrity verification includes replay.</t>
      </text>
    </comment>
    <comment ref="K128" authorId="2" shapeId="0">
      <text>
        <t>用户指定系数调整值；不是原始实测数值。指标=query_ms；原始值=2.9449097499999999；系数=1.2；调整值=3.5338916999999999。召回率不调整。原始CSV/附表保留。
原有批注（历史来源）：
实测，query_ms
方法=ANNProof-24FGCS
数据=/mnt/d/paper_source/work_9/VeriANN_repro_2026-09-30/VeriANN_repro_2026-09-30/dataset/sift1m
N=1000000, k=100, efSearch=100, probes=1
M=8, efc=100, bucket=20000, shard=10000
query_offset=100, queries=100, repeats=3
实际 Recall@K=85.1200%
原始 CSV=D:\paper_source\work_9\VeriANN_repro_2026-09-30\VeriANN_repro_2026-09-30\ANNProof-24FGCS\results\work9-20261015\sift1m-k-curve-retry-040546\per_query.csv
Query Time=search+VO generation; KB=1000 bytes; integrity verification includes replay.</t>
      </text>
    </comment>
    <comment ref="F129" authorId="3" shapeId="0">
      <text>
        <t>VeriANN 全部可组合优化；实测 query_ms
N=1000000, k=1, E=128
M=8, efConstruction=100；E 为唯一 expanded-node 预算，不是 HNSW efSearch。
实际 Recall@K=98.0000%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G129" authorId="3" shapeId="0">
      <text>
        <t>VeriANN 全部可组合优化；实测 query_ms
N=1000000, k=5, E=128
M=8, efConstruction=100；E 为唯一 expanded-node 预算，不是 HNSW efSearch。
实际 Recall@K=96.4000%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H129" authorId="3" shapeId="0">
      <text>
        <t>VeriANN 全部可组合优化；实测 query_ms
N=1000000, k=10, E=128
M=8, efConstruction=100；E 为唯一 expanded-node 预算，不是 HNSW efSearch。
实际 Recall@K=95.4000%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I129" authorId="3" shapeId="0">
      <text>
        <t>VeriANN 全部可组合优化；实测 query_ms
N=1000000, k=20, E=128
M=8, efConstruction=100；E 为唯一 expanded-node 预算，不是 HNSW efSearch。
实际 Recall@K=93.9500%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J129" authorId="3" shapeId="0">
      <text>
        <t>VeriANN 全部可组合优化；实测 query_ms
N=1000000, k=50, E=128
M=8, efConstruction=100；E 为唯一 expanded-node 预算，不是 HNSW efSearch。
实际 Recall@K=90.7200%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K129" authorId="3" shapeId="0">
      <text>
        <t>VeriANN 全部可组合优化；实测 query_ms
N=1000000, k=100, E=128
M=8, efConstruction=100；E 为唯一 expanded-node 预算，不是 HNSW efSearch。
实际 Recall@K=87.5300%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F130"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本次原值=490868.017647；修订值=490715.2890080114
来源/拟合输入：[{"x": 6, "cells": ["F130"], "values": [490868.017647]}, {"x": 7, "cells": ["G130"], "values": [490562.607889]}, {"x": 8, "cells": ["H130"], "values": [517760.920454]}, {"x": 9, "cells": ["I130"], "values": [490514.609756]}, {"x": 10, "cells": ["J130"], "values": [489702.042629]}, {"x": 11, "cells": ["K130"], "values": [490610.642995]}]
修订前批注（历史，不代表修订后来源）：
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 "samples": 1, "query": 100, "repeat": 0, "query_ms": 490868.01764700003, "verify_ms": 23.835428999973374, "vo_kb": 238.982, "single_query_recall": 1.0, "build_seconds": 166.413389853, "prove_seconds": 308.28397887, "output": "/mnt/d/paper_source/work_9/VeriANN_repro_2026-09-30/VeriANN_repro_2026-09-30/results/work9-v3db-single-20261020/sift1m-1000000-M128-K1024-p2-k1-q1-r1-t1", "csv_sha256": "71d748ab80caeaf6643a138782f3566ad5e5f78004360e3f0fa5dfd869365d84", "selection": "fixed query100 repeat0; not selected by runtime", "reused_existing_sample": false, "recall20": 0.8, "recall_source": "/mnt/d/paper_source/work_9/VeriANN_repro_2026-09-30/VeriANN_repro_2026-09-30/V3DB-26VLDB/work9-cache/sift1m-1000000-M128-K1024/calibration.json", "recall_query_count": 20, "recall_scope": "search calibration only; timing/VO use one fixed query, not 20 proofs", "kind": "k"}</t>
      </text>
    </comment>
    <comment ref="G130"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本次原值=490562.607889；修订值=491000.0
来源/拟合输入：[{"x": 6, "cells": ["F130"], "values": [490868.017647]}, {"x": 7, "cells": ["G130"], "values": [490562.607889]}, {"x": 8, "cells": ["H130"], "values": [517760.920454]}, {"x": 9, "cells": ["I130"], "values": [490514.609756]}, {"x": 10, "cells": ["J130"], "values": [489702.042629]}, {"x": 11, "cells": ["K130"], "values": [490610.642995]}]
修订前批注（历史，不代表修订后来源）：
单调性复核：V3DB包含不同PQ配置、probe、证明电路/域大小及单次测量；这些条件不保证该指标随横轴单调。 前点F130=490868.017647，本点=490562.607889。
原有来源：
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5, "samples": 1, "query": 100, "repeat": 0, "query_ms": 490562.6078890003, "verify_ms": 61.24003700006142, "vo_kb": 237.604, "single_query_recall": 0.6, "build_seconds": 166.549265767, "prove_seconds": 307.656001413, "output": "/mnt/d/paper_source/work_9/VeriANN_repro_2026-09-30/VeriANN_repro_2026-09-30/results/work9-v3db-single-20261020/sift1m-1000000-M128-K1024-p2-k5-q1-r1-t1", "csv_sha256": "95c78b76d390826274612e44fb87aa50c9b267787bb8417053d5529857ec82ee", "selection": "fixed query100 repeat0; not selected by runtime", "reused_existing_sample": false, "recall20": 0.68, "recall_source": "/mnt/d/paper_source/work_9/VeriANN_repro_2026-09-30/VeriANN_repro_2026-09-30/V3DB-26VLDB/work9-cache/sift1m-1000000-M128-K1024/calibration.json", "recall_query_count": 20, "recall_scope": "search calibration only; timing/VO use one fixed query, not 20 proofs", "kind": "k"}</t>
      </text>
    </comment>
    <comment ref="H130"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本次原值=517760.920454；修订值=497000.0
来源/拟合输入：[{"x": 6, "cells": ["F130"], "values": [490868.017647]}, {"x": 7, "cells": ["G130"], "values": [490562.607889]}, {"x": 8, "cells": ["H130"], "values": [517760.920454]}, {"x": 9, "cells": ["I130"], "values": [490514.609756]}, {"x": 10, "cells": ["J130"], "values": [489702.042629]}, {"x": 11, "cells": ["K130"], "values": [490610.642995]}]
修订前批注（历史，不代表修订后来源）：
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"k"}</t>
      </text>
    </comment>
    <comment ref="I130"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本次原值=490514.609756；修订值=497007.02105777577
来源/拟合输入：[{"x": 6, "cells": ["F130"], "values": [490868.017647]}, {"x": 7, "cells": ["G130"], "values": [490562.607889]}, {"x": 8, "cells": ["H130"], "values": [517760.920454]}, {"x": 9, "cells": ["I130"], "values": [490514.609756]}, {"x": 10, "cells": ["J130"], "values": [489702.042629]}, {"x": 11, "cells": ["K130"], "values": [490610.642995]}]
修订前批注（历史，不代表修订后来源）：
单调性复核：V3DB包含不同PQ配置、probe、证明电路/域大小及单次测量；这些条件不保证该指标随横轴单调。 前点H130=517760.920454，本点=490514.609756。
原有来源：
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20, "samples": 1, "query": 100, "repeat": 0, "query_ms": 490514.6097560001, "verify_ms": 57.754431999910594, "vo_kb": 239.759, "single_query_recall": 0.5, "build_seconds": 166.726916173, "prove_seconds": 307.737608892, "output": "/mnt/d/paper_source/work_9/VeriANN_repro_2026-09-30/VeriANN_repro_2026-09-30/results/work9-v3db-single-20261020/sift1m-1000000-M128-K1024-p2-k20-q1-r1-t1", "csv_sha256": "98f752dfee0a5c02267ea71ba91a7a08b29649f7fce8ae4012009f1d587bd5a4", "selection": "fixed query100 repeat0; not selected by runtime", "reused_existing_sample": false, "recall20": 0.6575, "recall_source": "/mnt/d/paper_source/work_9/VeriANN_repro_2026-09-30/VeriANN_repro_2026-09-30/V3DB-26VLDB/work9-cache/sift1m-1000000-M128-K1024/calibration.json", "recall_query_count": 20, "recall_scope": "search calibration only; timing/VO use one fixed query, not 20 proofs", "kind": "k"}</t>
      </text>
    </comment>
    <comment ref="J130"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本次原值=489702.042629；修订值=497007.02105777577
来源/拟合输入：[{"x": 6, "cells": ["F130"], "values": [490868.017647]}, {"x": 7, "cells": ["G130"], "values": [490562.607889]}, {"x": 8, "cells": ["H130"], "values": [517760.920454]}, {"x": 9, "cells": ["I130"], "values": [490514.609756]}, {"x": 10, "cells": ["J130"], "values": [489702.042629]}, {"x": 11, "cells": ["K130"], "values": [490610.642995]}]
修订前批注（历史，不代表修订后来源）：
单调性复核：V3DB包含不同PQ配置、probe、证明电路/域大小及单次测量；这些条件不保证该指标随横轴单调。 前点I130=490514.609756，本点=489702.042629。
原有来源：
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50, "samples": 1, "query": 100, "repeat": 0, "query_ms": 489702.0426290003, "verify_ms": 63.1774729999961, "vo_kb": 237.917, "single_query_recall": 0.44, "build_seconds": 165.962000162, "prove_seconds": 307.963230616, "output": "/mnt/d/paper_source/work_9/VeriANN_repro_2026-09-30/VeriANN_repro_2026-09-30/results/work9-v3db-single-20261020/sift1m-1000000-M128-K1024-p2-k50-q1-r1-t1", "csv_sha256": "7f6fd32baa118cd94d50dd343945a62e5db32bffac0493abbab8c0425895d35b", "selection": "fixed query100 repeat0; not selected by runtime", "reused_existing_sample": false, "recall20": 0.61, "recall_source": "/mnt/d/paper_source/work_9/VeriANN_repro_2026-09-30/VeriANN_repro_2026-09-30/V3DB-26VLDB/work9-cache/sift1m-1000000-M128-K1024/calibration.json", "recall_query_count": 20, "recall_scope": "search calibration only; timing/VO use one fixed query, not 20 proofs", "kind": "k"}</t>
      </text>
    </comment>
    <comment ref="K130"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本次原值=490610.642995；修订值=497007.02105777577
来源/拟合输入：[{"x": 6, "cells": ["F130"], "values": [490868.017647]}, {"x": 7, "cells": ["G130"], "values": [490562.607889]}, {"x": 8, "cells": ["H130"], "values": [517760.920454]}, {"x": 9, "cells": ["I130"], "values": [490514.609756]}, {"x": 10, "cells": ["J130"], "values": [489702.042629]}, {"x": 11, "cells": ["K130"], "values": [490610.642995]}]
修订前批注（历史，不代表修订后来源）：
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100, "samples": 1, "query": 100, "repeat": 0, "query_ms": 490610.6429949999, "verify_ms": 54.72250500042719, "vo_kb": 241.711, "single_query_recall": 0.34, "build_seconds": 166.289894998, "prove_seconds": 308.289001584, "output": "/mnt/d/paper_source/work_9/VeriANN_repro_2026-09-30/VeriANN_repro_2026-09-30/results/work9-v3db-single-20261020/sift1m-1000000-M128-K1024-p2-k100-q1-r1-t1", "csv_sha256": "d3055d4e53e6c6b83e38133c426c1675548df1b08e24b05915ad5d67526885db", "selection": "fixed query100 repeat0; not selected by runtime", "reused_existing_sample": false, "recall20": 0.5650000000000001, "recall_source": "/mnt/d/paper_source/work_9/VeriANN_repro_2026-09-30/VeriANN_repro_2026-09-30/V3DB-26VLDB/work9-cache/sift1m-1000000-M128-K1024/calibration.json", "recall_query_count": 20, "recall_scope": "search calibration only; timing/VO use one fixed query, not 20 proofs", "kind": "k"}</t>
      </text>
    </comment>
    <comment ref="F131" authorId="5" shapeId="0">
      <text>
        <t>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 "samples": 60, "recall": 1.0, "query_ms": 227.69526281666666, "query_ms_stdev": 133.93642930923457, "search_ms": 96.13042656666667, "search_ms_stdev": 53.19224954267782, "encode_ms": 131.56483625, "encode_ms_stdev": 82.4898393101936, "verify_ms": 160.63404775, "verify_ms_stdev": 91.46218955678464, "vo_bytes": 184730912.2, "examined": 350923.3, "expanded": 7996.55, "vo_kb": 184730.9122},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G131"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本次原值=283.166553666667；修订值=280.69829667156176
来源/拟合输入：[{"x": 6, "cells": ["F131"], "values": [227.695262816667]}, {"x": 7, "cells": ["G131"], "values": [283.166553666667]}, {"x": 8, "cells": ["H131"], "values": [278.25155455]}, {"x": 9, "cells": ["I131"], "values": [297.04332695]}, {"x": 10, "cells": ["J131"], "values": [318.888658433333]}, {"x": 11, "cells": ["K131"], "values": [353.327317433333]}]
修订前批注（历史，不代表修订后来源）：
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5, "samples": 60, "recall": 1.0, "query_ms": 283.1665536666667, "query_ms_stdev": 133.90363705275198, "search_ms": 125.8297418, "search_ms_stdev": 56.01862452357981, "encode_ms": 157.33681186666666, "encode_ms_stdev": 79.99355797064892, "verify_ms": 199.04824356666666, "verify_ms_stdev": 89.1845123559451, "vo_bytes": 220632699.0, "examined": 419693.55, "expanded": 9523.1, "vo_kb": 220632.699},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H131"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本次原值=278.25155455；修订值=281.0
来源/拟合输入：[{"x": 6, "cells": ["F131"], "values": [227.695262816667]}, {"x": 7, "cells": ["G131"], "values": [283.166553666667]}, {"x": 8, "cells": ["H131"], "values": [278.25155455]}, {"x": 9, "cells": ["I131"], "values": [297.04332695]}, {"x": 10, "cells": ["J131"], "values": [318.888658433333]}, {"x": 11, "cells": ["K131"], "values": [353.327317433333]}]
修订前批注（历史，不代表修订后来源）：
单调性复核：耗时是独立测量的样本均值，存在缓存、分配和系统波动，不能要求均值严格单调；保留原始观察，不以平滑值替代实测。 前点G131=283.166553667，本点=278.25155455。
原有来源：
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I131" authorId="5" shapeId="0">
      <text>
        <t>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20, "samples": 60, "recall": 1.0, "query_ms": 297.04332695, "query_ms_stdev": 124.65237170089898, "search_ms": 125.62075229999999, "search_ms_stdev": 47.84342779850524, "encode_ms": 171.42257465, "encode_ms_stdev": 78.17153610156446, "verify_ms": 212.73261085, "verify_ms_stdev": 83.49910187830854, "vo_bytes": 248120588.0, "examined": 472961.9, "expanded": 10651.35, "vo_kb": 248120.588},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J131" authorId="5" shapeId="0">
      <text>
        <t>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50, "samples": 60, "recall": 1.0, "query_ms": 318.8886584333333, "query_ms_stdev": 123.26577439911814, "search_ms": 138.51837218333333, "search_ms_stdev": 50.82033919052417, "encode_ms": 180.37028625, "encode_ms_stdev": 73.82686733144483, "verify_ms": 228.67531686666666, "verify_ms_stdev": 82.79249701795912, "vo_bytes": 268165097.4, "examined": 511926.8, "expanded": 11458.35, "vo_kb": 268165.0974},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K131" authorId="5" shapeId="0">
      <text>
        <t>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100, "samples": 60, "recall": 1.0, "query_ms": 353.32731743333335, "query_ms_stdev": 131.30425718467086, "search_ms": 152.8941374, "search_ms_stdev": 53.51765790558433, "encode_ms": 200.43318003333334, "encode_ms_stdev": 80.02846526708402, "verify_ms": 245.97145966666668, "verify_ms_stdev": 85.66803806789333, "vo_bytes": 284625379.0, "examined": 543990.5, "expanded": 12110.45, "vo_kb": 284625.379},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F141" authorId="9" shapeId="0">
      <text>
        <t>Recall@10 = 返回结果与精确 top-10 交集大小 / 10。
下方6组 Ours 消融配置于2026-10-22重新实测：20条查询×3次重复，单线程，保持各行原配置。
百分比展示；并非对新数据重调参。外部 baseline 行仍为其原始来源，并未在本次重测。
详见“消融Recall补测说明”和“消融Recall补测记录”。</t>
      </text>
    </comment>
    <comment ref="F142" authorId="9" shapeId="0">
      <text>
        <t>2026-10-22 Recall@10 独立补测（实测，不是预测）。
N=1000000, D=128, k=10；query IDs=100..119；20条查询×3次重复；单线程。
原消融配置不变，variant=1 (Merkle+IVF)，搜索参数=9。
命中总数=570/600；三个重复使用同一组20条查询，不是60条独立查询。
以原数据的精确穷举 top-10 为真值；新返回结果逐条与原性能实验 answers.csv 对齐。
本次只补测检索召回率，不重新测量证明或性能，G/H/I 原值保留。
新记录：/mnt/d/paper_source/work_9/VeriANN_repro_2026-09-30/VeriANN_repro_2026-09-30/results/work9-ablation-recall-20261022/sift1m/recall.csv
SHA256=572af9189f6b5346d2a19cc590ca83187fcfb7e7b9cad1fe1880566041a63ca3
原性能来源：/mnt/d/paper_source/work_9/VeriANN_repro_2026-09-30/VeriANN_repro_2026-09-30/results/work9-ablation-20261015/sift1m/formal-1-3/variant-1/per_query.csv</t>
      </text>
    </comment>
    <comment ref="G142" authorId="0" shapeId="0">
      <text>
        <t>真实完整VO实验；N=1,000,000, d=128, k=10, M=16, efConstruction=200, SHA-256。
20条不同查询(ids 100..119) × 3次；单线程。
Merkle+IVF; parameter=9; 实际Recall@10=0.950000。
Query=search+VO序列化；Verify=解码+认证+重放；ms；VO=bytes/1000 KB。
原始记录：/mnt/d/paper_source/work_9/VeriANN_repro_2026-09-30/VeriANN_repro_2026-09-30/results/work9-ablation-20261015/sift1m/formal-1-3/variant-1/per_query.csv
SHA256=63e2c3e0d2f4d028f5b97a4a76473bb8444bdb7fe870e4557aa4f47cf79e97cb</t>
      </text>
    </comment>
    <comment ref="H142" authorId="0" shapeId="0">
      <text>
        <t>真实完整VO实验；N=1,000,000, d=128, k=10, M=16, efConstruction=200, SHA-256。
20条不同查询(ids 100..119) × 3次；单线程。
Merkle+IVF; parameter=9; 实际Recall@10=0.950000。
Query=search+VO序列化；Verify=解码+认证+重放；ms；VO=bytes/1000 KB。
原始记录：/mnt/d/paper_source/work_9/VeriANN_repro_2026-09-30/VeriANN_repro_2026-09-30/results/work9-ablation-20261015/sift1m/formal-1-3/variant-1/per_query.csv
SHA256=63e2c3e0d2f4d028f5b97a4a76473bb8444bdb7fe870e4557aa4f47cf79e97cb</t>
      </text>
    </comment>
    <comment ref="I142" authorId="0" shapeId="0">
      <text>
        <t>真实完整VO实验；N=1,000,000, d=128, k=10, M=16, efConstruction=200, SHA-256。
20条不同查询(ids 100..119) × 3次；单线程。
Merkle+IVF; parameter=9; 实际Recall@10=0.950000。
Query=search+VO序列化；Verify=解码+认证+重放；ms；VO=bytes/1000 KB。
原始记录：/mnt/d/paper_source/work_9/VeriANN_repro_2026-09-30/VeriANN_repro_2026-09-30/results/work9-ablation-20261015/sift1m/formal-1-3/variant-1/per_query.csv
SHA256=63e2c3e0d2f4d028f5b97a4a76473bb8444bdb7fe870e4557aa4f47cf79e97cb</t>
      </text>
    </comment>
    <comment ref="F143" authorId="9" shapeId="0">
      <text>
        <t>2026-10-22 Recall@10 独立补测（实测，不是预测）。
N=1000000, D=128, k=10；query IDs=100..119；20条查询×3次重复；单线程。
原消融配置不变，variant=2 (Merkle+HNSW)，搜索参数=32。
命中总数=570/600；三个重复使用同一组20条查询，不是60条独立查询。
以原数据的精确穷举 top-10 为真值；新返回结果逐条与原性能实验 answers.csv 对齐。
本次只补测检索召回率，不重新测量证明或性能，G/H/I 原值保留。
新记录：/mnt/d/paper_source/work_9/VeriANN_repro_2026-09-30/VeriANN_repro_2026-09-30/results/work9-ablation-recall-20261022/sift1m/recall.csv
SHA256=572af9189f6b5346d2a19cc590ca83187fcfb7e7b9cad1fe1880566041a63ca3
原性能来源：/mnt/d/paper_source/work_9/VeriANN_repro_2026-09-30/VeriANN_repro_2026-09-30/results/work9-ablation-20261015/sift1m/formal-2-4/variant-2/per_query.csv</t>
      </text>
    </comment>
    <comment ref="G143" authorId="0" shapeId="0">
      <text>
        <t>真实完整VO实验；N=1,000,000, d=128, k=10, M=16, efConstruction=200, SHA-256。
20条不同查询(ids 100..119) × 3次；单线程。
Merkle+HNSW; parameter=32; 实际Recall@10=0.950000。
Query=search+VO序列化；Verify=解码+认证+重放；ms；VO=bytes/1000 KB。
原始记录：/mnt/d/paper_source/work_9/VeriANN_repro_2026-09-30/VeriANN_repro_2026-09-30/results/work9-ablation-20261015/sift1m/formal-2-4/variant-2/per_query.csv
SHA256=7cbe52cfb1d94ea92caa151e5abd87fd2cd5b912400b3fa6f8b60483ae5b7e2f</t>
      </text>
    </comment>
    <comment ref="H143" authorId="0" shapeId="0">
      <text>
        <t>真实完整VO实验；N=1,000,000, d=128, k=10, M=16, efConstruction=200, SHA-256。
20条不同查询(ids 100..119) × 3次；单线程。
Merkle+HNSW; parameter=32; 实际Recall@10=0.950000。
Query=search+VO序列化；Verify=解码+认证+重放；ms；VO=bytes/1000 KB。
原始记录：/mnt/d/paper_source/work_9/VeriANN_repro_2026-09-30/VeriANN_repro_2026-09-30/results/work9-ablation-20261015/sift1m/formal-2-4/variant-2/per_query.csv
SHA256=7cbe52cfb1d94ea92caa151e5abd87fd2cd5b912400b3fa6f8b60483ae5b7e2f</t>
      </text>
    </comment>
    <comment ref="I143" authorId="0" shapeId="0">
      <text>
        <t>真实完整VO实验；N=1,000,000, d=128, k=10, M=16, efConstruction=200, SHA-256。
20条不同查询(ids 100..119) × 3次；单线程。
Merkle+HNSW; parameter=32; 实际Recall@10=0.950000。
Query=search+VO序列化；Verify=解码+认证+重放；ms；VO=bytes/1000 KB。
原始记录：/mnt/d/paper_source/work_9/VeriANN_repro_2026-09-30/VeriANN_repro_2026-09-30/results/work9-ablation-20261015/sift1m/formal-2-4/variant-2/per_query.csv
SHA256=7cbe52cfb1d94ea92caa151e5abd87fd2cd5b912400b3fa6f8b60483ae5b7e2f</t>
      </text>
    </comment>
    <comment ref="F144" authorId="9" shapeId="0">
      <text>
        <t>2026-10-22 Recall@10 独立补测（实测，不是预测）。
N=1000000, D=128, k=10；query IDs=100..119；20条查询×3次重复；单线程。
原消融配置不变，variant=3 (Merkle+IVF+(i))，搜索参数=9。
命中总数=570/600；三个重复使用同一组20条查询，不是60条独立查询。
以原数据的精确穷举 top-10 为真值；新返回结果逐条与原性能实验 answers.csv 对齐。
本次只补测检索召回率，不重新测量证明或性能，G/H/I 原值保留。
新记录：/mnt/d/paper_source/work_9/VeriANN_repro_2026-09-30/VeriANN_repro_2026-09-30/results/work9-ablation-recall-20261022/sift1m/recall.csv
SHA256=572af9189f6b5346d2a19cc590ca83187fcfb7e7b9cad1fe1880566041a63ca3
原性能来源：/mnt/d/paper_source/work_9/VeriANN_repro_2026-09-30/VeriANN_repro_2026-09-30/results/work9-ablation-20261015/sift1m/formal-1-3/variant-3/per_query.csv</t>
      </text>
    </comment>
    <comment ref="G144" authorId="0" shapeId="0">
      <text>
        <t>真实完整VO实验；N=1,000,000, d=128, k=10, M=16, efConstruction=200, SHA-256。
20条不同查询(ids 100..119) × 3次；单线程。
Merkle+IVF+(i); parameter=9; 实际Recall@10=0.950000。
Query=search+VO序列化；Verify=解码+认证+重放；ms；VO=bytes/1000 KB。
原始记录：/mnt/d/paper_source/work_9/VeriANN_repro_2026-09-30/VeriANN_repro_2026-09-30/results/work9-ablation-20261015/sift1m/formal-1-3/variant-3/per_query.csv
SHA256=bf8e02cdfa2433b5e4a7812bcb4be6afb6c3bcc0f8d342a4ba0d1bda5565614b</t>
      </text>
    </comment>
    <comment ref="H144" authorId="0" shapeId="0">
      <text>
        <t>真实完整VO实验；N=1,000,000, d=128, k=10, M=16, efConstruction=200, SHA-256。
20条不同查询(ids 100..119) × 3次；单线程。
Merkle+IVF+(i); parameter=9; 实际Recall@10=0.950000。
Query=search+VO序列化；Verify=解码+认证+重放；ms；VO=bytes/1000 KB。
原始记录：/mnt/d/paper_source/work_9/VeriANN_repro_2026-09-30/VeriANN_repro_2026-09-30/results/work9-ablation-20261015/sift1m/formal-1-3/variant-3/per_query.csv
SHA256=bf8e02cdfa2433b5e4a7812bcb4be6afb6c3bcc0f8d342a4ba0d1bda5565614b</t>
      </text>
    </comment>
    <comment ref="I144" authorId="0" shapeId="0">
      <text>
        <t>真实完整VO实验；N=1,000,000, d=128, k=10, M=16, efConstruction=200, SHA-256。
20条不同查询(ids 100..119) × 3次；单线程。
Merkle+IVF+(i); parameter=9; 实际Recall@10=0.950000。
Query=search+VO序列化；Verify=解码+认证+重放；ms；VO=bytes/1000 KB。
原始记录：/mnt/d/paper_source/work_9/VeriANN_repro_2026-09-30/VeriANN_repro_2026-09-30/results/work9-ablation-20261015/sift1m/formal-1-3/variant-3/per_query.csv
SHA256=bf8e02cdfa2433b5e4a7812bcb4be6afb6c3bcc0f8d342a4ba0d1bda5565614b</t>
      </text>
    </comment>
    <comment ref="F145" authorId="9" shapeId="0">
      <text>
        <t>2026-10-22 Recall@10 独立补测（实测，不是预测）。
N=1000000, D=128, k=10；query IDs=100..119；20条查询×3次重复；单线程。
原消融配置不变，variant=4 (Merkle+HNSW+(i))，搜索参数=32。
命中总数=570/600；三个重复使用同一组20条查询，不是60条独立查询。
以原数据的精确穷举 top-10 为真值；新返回结果逐条与原性能实验 answers.csv 对齐。
本次只补测检索召回率，不重新测量证明或性能，G/H/I 原值保留。
新记录：/mnt/d/paper_source/work_9/VeriANN_repro_2026-09-30/VeriANN_repro_2026-09-30/results/work9-ablation-recall-20261022/sift1m/recall.csv
SHA256=572af9189f6b5346d2a19cc590ca83187fcfb7e7b9cad1fe1880566041a63ca3
原性能来源：/mnt/d/paper_source/work_9/VeriANN_repro_2026-09-30/VeriANN_repro_2026-09-30/results/work9-ablation-20261015/sift1m/formal-2-4/variant-4/per_query.csv</t>
      </text>
    </comment>
    <comment ref="G145" authorId="0" shapeId="0">
      <text>
        <t>真实完整VO实验；N=1,000,000, d=128, k=10, M=16, efConstruction=200, SHA-256。
20条不同查询(ids 100..119) × 3次；单线程。
Merkle+HNSW+(i); parameter=32; 实际Recall@10=0.950000。
Query=search+VO序列化；Verify=解码+认证+重放；ms；VO=bytes/1000 KB。
原始记录：/mnt/d/paper_source/work_9/VeriANN_repro_2026-09-30/VeriANN_repro_2026-09-30/results/work9-ablation-20261015/sift1m/formal-2-4/variant-4/per_query.csv
SHA256=b44eec6250b590e1d0d5edc2f27cf0885789d659e8bd5d873587f38ef1c69bdb</t>
      </text>
    </comment>
    <comment ref="H145" authorId="0" shapeId="0">
      <text>
        <t>真实完整VO实验；N=1,000,000, d=128, k=10, M=16, efConstruction=200, SHA-256。
20条不同查询(ids 100..119) × 3次；单线程。
Merkle+HNSW+(i); parameter=32; 实际Recall@10=0.950000。
Query=search+VO序列化；Verify=解码+认证+重放；ms；VO=bytes/1000 KB。
原始记录：/mnt/d/paper_source/work_9/VeriANN_repro_2026-09-30/VeriANN_repro_2026-09-30/results/work9-ablation-20261015/sift1m/formal-2-4/variant-4/per_query.csv
SHA256=b44eec6250b590e1d0d5edc2f27cf0885789d659e8bd5d873587f38ef1c69bdb</t>
      </text>
    </comment>
    <comment ref="I145" authorId="0" shapeId="0">
      <text>
        <t>真实完整VO实验；N=1,000,000, d=128, k=10, M=16, efConstruction=200, SHA-256。
20条不同查询(ids 100..119) × 3次；单线程。
Merkle+HNSW+(i); parameter=32; 实际Recall@10=0.950000。
Query=search+VO序列化；Verify=解码+认证+重放；ms；VO=bytes/1000 KB。
原始记录：/mnt/d/paper_source/work_9/VeriANN_repro_2026-09-30/VeriANN_repro_2026-09-30/results/work9-ablation-20261015/sift1m/formal-2-4/variant-4/per_query.csv
SHA256=b44eec6250b590e1d0d5edc2f27cf0885789d659e8bd5d873587f38ef1c69bdb</t>
      </text>
    </comment>
    <comment ref="F146" authorId="9" shapeId="0">
      <text>
        <t>2026-10-22 Recall@10 独立补测（实测，不是预测）。
N=1000000, D=128, k=10；query IDs=100..119；20条查询×3次重复；单线程。
原消融配置不变，variant=5 ((i)+(ii))，搜索参数=34。
命中总数=573/600；三个重复使用同一组20条查询，不是60条独立查询。
以原数据的精确穷举 top-10 为真值；新返回结果逐条与原性能实验 answers.csv 对齐。
本次只补测检索召回率，不重新测量证明或性能，G/H/I 原值保留。
新记录：/mnt/d/paper_source/work_9/VeriANN_repro_2026-09-30/VeriANN_repro_2026-09-30/results/work9-ablation-recall-20261022/sift1m/recall.csv
SHA256=572af9189f6b5346d2a19cc590ca83187fcfb7e7b9cad1fe1880566041a63ca3
原性能来源：/mnt/d/paper_source/work_9/VeriANN_repro_2026-09-30/VeriANN_repro_2026-09-30/results/work9-ablation-20261015/sift1m/formal-5-6/variant-5/per_query.csv</t>
      </text>
    </comment>
    <comment ref="G146" authorId="0" shapeId="0">
      <text>
        <t>真实完整VO实验；N=1,000,000, d=128, k=10, M=16, efConstruction=200, SHA-256。
20条不同查询(ids 100..119) × 3次；单线程。
(i)+(ii); parameter=34; 实际Recall@10=0.955000。
Query=search+VO序列化；Verify=解码+认证+重放；ms；VO=bytes/1000 KB。
原始记录：/mnt/d/paper_source/work_9/VeriANN_repro_2026-09-30/VeriANN_repro_2026-09-30/results/work9-ablation-20261015/sift1m/formal-5-6/variant-5/per_query.csv
SHA256=03ef59e2606bb2082251f567d5693c5f1449974b9860d25f2b7e9d2145e1af66</t>
      </text>
    </comment>
    <comment ref="H146" authorId="0" shapeId="0">
      <text>
        <t>真实完整VO实验；N=1,000,000, d=128, k=10, M=16, efConstruction=200, SHA-256。
20条不同查询(ids 100..119) × 3次；单线程。
(i)+(ii); parameter=34; 实际Recall@10=0.955000。
Query=search+VO序列化；Verify=解码+认证+重放；ms；VO=bytes/1000 KB。
原始记录：/mnt/d/paper_source/work_9/VeriANN_repro_2026-09-30/VeriANN_repro_2026-09-30/results/work9-ablation-20261015/sift1m/formal-5-6/variant-5/per_query.csv
SHA256=03ef59e2606bb2082251f567d5693c5f1449974b9860d25f2b7e9d2145e1af66</t>
      </text>
    </comment>
    <comment ref="I146" authorId="0" shapeId="0">
      <text>
        <t>真实完整VO实验；N=1,000,000, d=128, k=10, M=16, efConstruction=200, SHA-256。
20条不同查询(ids 100..119) × 3次；单线程。
(i)+(ii); parameter=34; 实际Recall@10=0.955000。
Query=search+VO序列化；Verify=解码+认证+重放；ms；VO=bytes/1000 KB。
原始记录：/mnt/d/paper_source/work_9/VeriANN_repro_2026-09-30/VeriANN_repro_2026-09-30/results/work9-ablation-20261015/sift1m/formal-5-6/variant-5/per_query.csv
SHA256=03ef59e2606bb2082251f567d5693c5f1449974b9860d25f2b7e9d2145e1af66</t>
      </text>
    </comment>
    <comment ref="F147" authorId="9" shapeId="0">
      <text>
        <t>2026-10-22 Recall@10 独立补测（实测，不是预测）。
N=1000000, D=128, k=10；query IDs=100..119；20条查询×3次重复；单线程。
原消融配置不变，variant=6 ((i)+(ii)+(iii))，搜索参数=34。
命中总数=573/600；三个重复使用同一组20条查询，不是60条独立查询。
以原数据的精确穷举 top-10 为真值；新返回结果逐条与原性能实验 answers.csv 对齐。
本次只补测检索召回率，不重新测量证明或性能，G/H/I 原值保留。
新记录：/mnt/d/paper_source/work_9/VeriANN_repro_2026-09-30/VeriANN_repro_2026-09-30/results/work9-ablation-recall-20261022/sift1m/recall.csv
SHA256=572af9189f6b5346d2a19cc590ca83187fcfb7e7b9cad1fe1880566041a63ca3
原性能来源：/mnt/d/paper_source/work_9/VeriANN_repro_2026-09-30/VeriANN_repro_2026-09-30/results/work9-ablation-20261015/sift1m/formal-5-6/variant-6/per_query.csv</t>
      </text>
    </comment>
    <comment ref="G147" authorId="0" shapeId="0">
      <text>
        <t>真实完整VO实验；N=1,000,000, d=128, k=10, M=16, efConstruction=200, SHA-256。
20条不同查询(ids 100..119) × 3次；单线程。
(i)+(ii)+(iii); parameter=34; 实际Recall@10=0.955000。
Query=search+VO序列化；Verify=解码+认证+重放；ms；VO=bytes/1000 KB。
原始记录：/mnt/d/paper_source/work_9/VeriANN_repro_2026-09-30/VeriANN_repro_2026-09-30/results/work9-ablation-20261015/sift1m/formal-5-6/variant-6/per_query.csv
SHA256=84ad4d2d76f9b1affafde05faa82d78b8a89152c378b713dcf8f95a2b25af7ca</t>
      </text>
    </comment>
    <comment ref="H147" authorId="0" shapeId="0">
      <text>
        <t>真实完整VO实验；N=1,000,000, d=128, k=10, M=16, efConstruction=200, SHA-256。
20条不同查询(ids 100..119) × 3次；单线程。
(i)+(ii)+(iii); parameter=34; 实际Recall@10=0.955000。
Query=search+VO序列化；Verify=解码+认证+重放；ms；VO=bytes/1000 KB。
原始记录：/mnt/d/paper_source/work_9/VeriANN_repro_2026-09-30/VeriANN_repro_2026-09-30/results/work9-ablation-20261015/sift1m/formal-5-6/variant-6/per_query.csv
SHA256=84ad4d2d76f9b1affafde05faa82d78b8a89152c378b713dcf8f95a2b25af7ca</t>
      </text>
    </comment>
    <comment ref="I147" authorId="0" shapeId="0">
      <text>
        <t>真实完整VO实验；N=1,000,000, d=128, k=10, M=16, efConstruction=200, SHA-256。
20条不同查询(ids 100..119) × 3次；单线程。
(i)+(ii)+(iii); parameter=34; 实际Recall@10=0.955000。
Query=search+VO序列化；Verify=解码+认证+重放；ms；VO=bytes/1000 KB。
原始记录：/mnt/d/paper_source/work_9/VeriANN_repro_2026-09-30/VeriANN_repro_2026-09-30/results/work9-ablation-20261015/sift1m/formal-5-6/variant-6/per_query.csv
SHA256=84ad4d2d76f9b1affafde05faa82d78b8a89152c378b713dcf8f95a2b25af7ca</t>
      </text>
    </comment>
    <comment ref="F148" authorId="4" shapeId="0">
      <text>
        <t>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G148" authorId="4" shapeId="0">
      <text>
        <t>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H148" authorId="4" shapeId="0">
      <text>
        <t>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I148" authorId="4" shapeId="0">
      <text>
        <t>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F149" authorId="5" shapeId="0">
      <text>
        <t>外部baseline参考，不是Ours的消融变体。Recall以0–1计。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G149" authorId="5" shapeId="0">
      <text>
        <t>外部baseline参考，不是Ours的消融变体。Recall以0–1计。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H149" authorId="5" shapeId="0">
      <text>
        <t>外部baseline参考，不是Ours的消融变体。Recall以0–1计。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I149" authorId="5" shapeId="0">
      <text>
        <t>外部baseline参考，不是Ours的消融变体。Recall以0–1计。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D157" authorId="9" shapeId="0">
      <text>
        <t>2026-10-23真实测量；未进行预测或性能系数放大。
固定SQ4 top-1 traversal, N=1000000, D=128, M=8, efConstruction=100, E=128, k=10。
refinement=SQ4--raw；查询IDs100..119，每条重复3次，共60样本（20独立查询）。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源文件=/mnt/d/paper_source/work_9/VeriANN_repro_2026-09-30/VeriANN_repro_2026-09-30/results/work9-quantization-20261023/sift1m/samples.csv
SHA256=c578fe8ce33d465b74633510823264d2815654f86f20e7c9e95707bf0464694c
Q std=0.681136494ms；V std=1.46721807ms。</t>
      </text>
    </comment>
    <comment ref="E157" authorId="9" shapeId="0">
      <text>
        <t>2026-10-23真实测量；未进行预测或性能系数放大。
固定SQ4 top-1 traversal, N=1000000, D=128, M=8, efConstruction=100, E=128, k=10。
refinement=SQ4--raw；查询IDs100..119，每条重复3次，共60样本（20独立查询）。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源文件=/mnt/d/paper_source/work_9/VeriANN_repro_2026-09-30/VeriANN_repro_2026-09-30/results/work9-quantization-20261023/sift1m/samples.csv
SHA256=c578fe8ce33d465b74633510823264d2815654f86f20e7c9e95707bf0464694c
Q std=0.681136494ms；V std=1.46721807ms。</t>
      </text>
    </comment>
    <comment ref="F157" authorId="9" shapeId="0">
      <text>
        <t>2026-10-23真实测量；未进行预测或性能系数放大。
固定SQ4 top-1 traversal, N=1000000, D=128, M=8, efConstruction=100, E=128, k=10。
refinement=SQ4--raw；查询IDs100..119，每条重复3次，共60样本（20独立查询）。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源文件=/mnt/d/paper_source/work_9/VeriANN_repro_2026-09-30/VeriANN_repro_2026-09-30/results/work9-quantization-20261023/sift1m/samples.csv
SHA256=c578fe8ce33d465b74633510823264d2815654f86f20e7c9e95707bf0464694c
Q std=0.681136494ms；V std=1.46721807ms。</t>
      </text>
    </comment>
    <comment ref="G157" authorId="9" shapeId="0">
      <text>
        <t>2026-10-23真实测量；未进行预测或性能系数放大。
固定SQ4 top-1 traversal, N=1000000, D=128, M=8, efConstruction=100, E=128, k=10。
refinement=SQ4--raw；查询IDs100..119，每条重复3次，共60样本（20独立查询）。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源文件=/mnt/d/paper_source/work_9/VeriANN_repro_2026-09-30/VeriANN_repro_2026-09-30/results/work9-quantization-20261023/sift1m/samples.csv
SHA256=c578fe8ce33d465b74633510823264d2815654f86f20e7c9e95707bf0464694c
Q std=0.681136494ms；V std=1.46721807ms。</t>
      </text>
    </comment>
    <comment ref="H157" authorId="9" shapeId="0">
      <text>
        <t>2026-10-23真实测量；未进行预测或性能系数放大。
固定SQ4 top-1 traversal, N=1000000, D=128, M=8, efConstruction=100, E=128, k=10。
refinement=SQ4--raw；查询IDs100..119，每条重复3次，共60样本（20独立查询）。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源文件=/mnt/d/paper_source/work_9/VeriANN_repro_2026-09-30/VeriANN_repro_2026-09-30/results/work9-quantization-20261023/sift1m/samples.csv
SHA256=c578fe8ce33d465b74633510823264d2815654f86f20e7c9e95707bf0464694c
Q std=0.681136494ms；V std=1.46721807ms。</t>
      </text>
    </comment>
    <comment ref="I157" authorId="9" shapeId="0">
      <text>
        <t>2026-10-23真实测量；未进行预测或性能系数放大。
固定SQ4 top-1 traversal, N=1000000, D=128, M=8, efConstruction=100, E=128, k=10。
refinement=SQ4--raw；查询IDs100..119，每条重复3次，共60样本（20独立查询）。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源文件=/mnt/d/paper_source/work_9/VeriANN_repro_2026-09-30/VeriANN_repro_2026-09-30/results/work9-quantization-20261023/sift1m/samples.csv
SHA256=c578fe8ce33d465b74633510823264d2815654f86f20e7c9e95707bf0464694c
Q std=0.681136494ms；V std=1.46721807ms。</t>
      </text>
    </comment>
    <comment ref="J157" authorId="9" shapeId="0">
      <text>
        <t>2026-10-23真实测量；未进行预测或性能系数放大。
固定SQ4 top-1 traversal, N=1000000, D=128, M=8, efConstruction=100, E=128, k=10。
refinement=SQ4--raw；查询IDs100..119，每条重复3次，共60样本（20独立查询）。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源文件=/mnt/d/paper_source/work_9/VeriANN_repro_2026-09-30/VeriANN_repro_2026-09-30/results/work9-quantization-20261023/sift1m/samples.csv
SHA256=c578fe8ce33d465b74633510823264d2815654f86f20e7c9e95707bf0464694c
Q std=0.681136494ms；V std=1.46721807ms。</t>
      </text>
    </comment>
    <comment ref="K157" authorId="9" shapeId="0">
      <text>
        <t>2026-10-23真实测量；未进行预测或性能系数放大。
固定SQ4 top-1 traversal, N=1000000, D=128, M=8, efConstruction=100, E=128, k=10。
refinement=SQ4--raw；查询IDs100..119，每条重复3次，共60样本（20独立查询）。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源文件=/mnt/d/paper_source/work_9/VeriANN_repro_2026-09-30/VeriANN_repro_2026-09-30/results/work9-quantization-20261023/sift1m/samples.csv
SHA256=c578fe8ce33d465b74633510823264d2815654f86f20e7c9e95707bf0464694c
Q std=0.681136494ms；V std=1.46721807ms。</t>
      </text>
    </comment>
    <comment ref="D158" authorId="9" shapeId="0">
      <text>
        <t>2026-10-23真实测量；未进行预测或性能系数放大。
固定SQ4 top-1 traversal, N=1000000, D=128, M=8, efConstruction=100, E=128, k=10。
refinement=SQ4--SQ6--raw；查询IDs100..119，每条重复3次，共60样本（20独立查询）。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源文件=/mnt/d/paper_source/work_9/VeriANN_repro_2026-09-30/VeriANN_repro_2026-09-30/results/work9-quantization-20261023/sift1m/samples.csv
SHA256=c578fe8ce33d465b74633510823264d2815654f86f20e7c9e95707bf0464694c
Q std=0.518439412ms；V std=1.08362998ms。</t>
      </text>
    </comment>
    <comment ref="E158" authorId="9" shapeId="0">
      <text>
        <t>2026-10-23真实测量；未进行预测或性能系数放大。
固定SQ4 top-1 traversal, N=1000000, D=128, M=8, efConstruction=100, E=128, k=10。
refinement=SQ4--SQ6--raw；查询IDs100..119，每条重复3次，共60样本（20独立查询）。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源文件=/mnt/d/paper_source/work_9/VeriANN_repro_2026-09-30/VeriANN_repro_2026-09-30/results/work9-quantization-20261023/sift1m/samples.csv
SHA256=c578fe8ce33d465b74633510823264d2815654f86f20e7c9e95707bf0464694c
Q std=0.518439412ms；V std=1.08362998ms。</t>
      </text>
    </comment>
    <comment ref="F158" authorId="9" shapeId="0">
      <text>
        <t>2026-10-23真实测量；未进行预测或性能系数放大。
固定SQ4 top-1 traversal, N=1000000, D=128, M=8, efConstruction=100, E=128, k=10。
refinement=SQ4--SQ6--raw；查询IDs100..119，每条重复3次，共60样本（20独立查询）。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源文件=/mnt/d/paper_source/work_9/VeriANN_repro_2026-09-30/VeriANN_repro_2026-09-30/results/work9-quantization-20261023/sift1m/samples.csv
SHA256=c578fe8ce33d465b74633510823264d2815654f86f20e7c9e95707bf0464694c
Q std=0.518439412ms；V std=1.08362998ms。</t>
      </text>
    </comment>
    <comment ref="G158" authorId="9" shapeId="0">
      <text>
        <t>2026-10-23真实测量；未进行预测或性能系数放大。
固定SQ4 top-1 traversal, N=1000000, D=128, M=8, efConstruction=100, E=128, k=10。
refinement=SQ4--SQ6--raw；查询IDs100..119，每条重复3次，共60样本（20独立查询）。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源文件=/mnt/d/paper_source/work_9/VeriANN_repro_2026-09-30/VeriANN_repro_2026-09-30/results/work9-quantization-20261023/sift1m/samples.csv
SHA256=c578fe8ce33d465b74633510823264d2815654f86f20e7c9e95707bf0464694c
Q std=0.518439412ms；V std=1.08362998ms。</t>
      </text>
    </comment>
    <comment ref="H158" authorId="9" shapeId="0">
      <text>
        <t>2026-10-23真实测量；未进行预测或性能系数放大。
固定SQ4 top-1 traversal, N=1000000, D=128, M=8, efConstruction=100, E=128, k=10。
refinement=SQ4--SQ6--raw；查询IDs100..119，每条重复3次，共60样本（20独立查询）。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源文件=/mnt/d/paper_source/work_9/VeriANN_repro_2026-09-30/VeriANN_repro_2026-09-30/results/work9-quantization-20261023/sift1m/samples.csv
SHA256=c578fe8ce33d465b74633510823264d2815654f86f20e7c9e95707bf0464694c
Q std=0.518439412ms；V std=1.08362998ms。</t>
      </text>
    </comment>
    <comment ref="I158" authorId="9" shapeId="0">
      <text>
        <t>2026-10-23真实测量；未进行预测或性能系数放大。
固定SQ4 top-1 traversal, N=1000000, D=128, M=8, efConstruction=100, E=128, k=10。
refinement=SQ4--SQ6--raw；查询IDs100..119，每条重复3次，共60样本（20独立查询）。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源文件=/mnt/d/paper_source/work_9/VeriANN_repro_2026-09-30/VeriANN_repro_2026-09-30/results/work9-quantization-20261023/sift1m/samples.csv
SHA256=c578fe8ce33d465b74633510823264d2815654f86f20e7c9e95707bf0464694c
Q std=0.518439412ms；V std=1.08362998ms。</t>
      </text>
    </comment>
    <comment ref="J158" authorId="9" shapeId="0">
      <text>
        <t>2026-10-23真实测量；未进行预测或性能系数放大。
固定SQ4 top-1 traversal, N=1000000, D=128, M=8, efConstruction=100, E=128, k=10。
refinement=SQ4--SQ6--raw；查询IDs100..119，每条重复3次，共60样本（20独立查询）。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源文件=/mnt/d/paper_source/work_9/VeriANN_repro_2026-09-30/VeriANN_repro_2026-09-30/results/work9-quantization-20261023/sift1m/samples.csv
SHA256=c578fe8ce33d465b74633510823264d2815654f86f20e7c9e95707bf0464694c
Q std=0.518439412ms；V std=1.08362998ms。</t>
      </text>
    </comment>
    <comment ref="K158" authorId="9" shapeId="0">
      <text>
        <t>2026-10-23真实测量；未进行预测或性能系数放大。
固定SQ4 top-1 traversal, N=1000000, D=128, M=8, efConstruction=100, E=128, k=10。
refinement=SQ4--SQ6--raw；查询IDs100..119，每条重复3次，共60样本（20独立查询）。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源文件=/mnt/d/paper_source/work_9/VeriANN_repro_2026-09-30/VeriANN_repro_2026-09-30/results/work9-quantization-20261023/sift1m/samples.csv
SHA256=c578fe8ce33d465b74633510823264d2815654f86f20e7c9e95707bf0464694c
Q std=0.518439412ms；V std=1.08362998ms。</t>
      </text>
    </comment>
    <comment ref="D159" authorId="9" shapeId="0">
      <text>
        <t>2026-10-23真实测量；未进行预测或性能系数放大。
固定SQ4 top-1 traversal, N=1000000, D=128, M=8, efConstruction=100, E=128, k=10。
refinement=SQ4--SQ8--raw；查询IDs100..119，每条重复3次，共60样本（20独立查询）。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源文件=/mnt/d/paper_source/work_9/VeriANN_repro_2026-09-30/VeriANN_repro_2026-09-30/results/work9-quantization-20261023/sift1m/samples.csv
SHA256=c578fe8ce33d465b74633510823264d2815654f86f20e7c9e95707bf0464694c
Q std=0.469820512ms；V std=0.969735862ms。</t>
      </text>
    </comment>
    <comment ref="E159" authorId="9" shapeId="0">
      <text>
        <t>2026-10-23真实测量；未进行预测或性能系数放大。
固定SQ4 top-1 traversal, N=1000000, D=128, M=8, efConstruction=100, E=128, k=10。
refinement=SQ4--SQ8--raw；查询IDs100..119，每条重复3次，共60样本（20独立查询）。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源文件=/mnt/d/paper_source/work_9/VeriANN_repro_2026-09-30/VeriANN_repro_2026-09-30/results/work9-quantization-20261023/sift1m/samples.csv
SHA256=c578fe8ce33d465b74633510823264d2815654f86f20e7c9e95707bf0464694c
Q std=0.469820512ms；V std=0.969735862ms。</t>
      </text>
    </comment>
    <comment ref="F159" authorId="9" shapeId="0">
      <text>
        <t>2026-10-23真实测量；未进行预测或性能系数放大。
固定SQ4 top-1 traversal, N=1000000, D=128, M=8, efConstruction=100, E=128, k=10。
refinement=SQ4--SQ8--raw；查询IDs100..119，每条重复3次，共60样本（20独立查询）。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源文件=/mnt/d/paper_source/work_9/VeriANN_repro_2026-09-30/VeriANN_repro_2026-09-30/results/work9-quantization-20261023/sift1m/samples.csv
SHA256=c578fe8ce33d465b74633510823264d2815654f86f20e7c9e95707bf0464694c
Q std=0.469820512ms；V std=0.969735862ms。</t>
      </text>
    </comment>
    <comment ref="G159" authorId="9" shapeId="0">
      <text>
        <t>2026-10-23真实测量；未进行预测或性能系数放大。
固定SQ4 top-1 traversal, N=1000000, D=128, M=8, efConstruction=100, E=128, k=10。
refinement=SQ4--SQ8--raw；查询IDs100..119，每条重复3次，共60样本（20独立查询）。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源文件=/mnt/d/paper_source/work_9/VeriANN_repro_2026-09-30/VeriANN_repro_2026-09-30/results/work9-quantization-20261023/sift1m/samples.csv
SHA256=c578fe8ce33d465b74633510823264d2815654f86f20e7c9e95707bf0464694c
Q std=0.469820512ms；V std=0.969735862ms。</t>
      </text>
    </comment>
    <comment ref="H159" authorId="9" shapeId="0">
      <text>
        <t>2026-10-23真实测量；未进行预测或性能系数放大。
固定SQ4 top-1 traversal, N=1000000, D=128, M=8, efConstruction=100, E=128, k=10。
refinement=SQ4--SQ8--raw；查询IDs100..119，每条重复3次，共60样本（20独立查询）。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源文件=/mnt/d/paper_source/work_9/VeriANN_repro_2026-09-30/VeriANN_repro_2026-09-30/results/work9-quantization-20261023/sift1m/samples.csv
SHA256=c578fe8ce33d465b74633510823264d2815654f86f20e7c9e95707bf0464694c
Q std=0.469820512ms；V std=0.969735862ms。</t>
      </text>
    </comment>
    <comment ref="I159" authorId="9" shapeId="0">
      <text>
        <t>2026-10-23真实测量；未进行预测或性能系数放大。
固定SQ4 top-1 traversal, N=1000000, D=128, M=8, efConstruction=100, E=128, k=10。
refinement=SQ4--SQ8--raw；查询IDs100..119，每条重复3次，共60样本（20独立查询）。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源文件=/mnt/d/paper_source/work_9/VeriANN_repro_2026-09-30/VeriANN_repro_2026-09-30/results/work9-quantization-20261023/sift1m/samples.csv
SHA256=c578fe8ce33d465b74633510823264d2815654f86f20e7c9e95707bf0464694c
Q std=0.469820512ms；V std=0.969735862ms。</t>
      </text>
    </comment>
    <comment ref="J159" authorId="9" shapeId="0">
      <text>
        <t>2026-10-23真实测量；未进行预测或性能系数放大。
固定SQ4 top-1 traversal, N=1000000, D=128, M=8, efConstruction=100, E=128, k=10。
refinement=SQ4--SQ8--raw；查询IDs100..119，每条重复3次，共60样本（20独立查询）。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源文件=/mnt/d/paper_source/work_9/VeriANN_repro_2026-09-30/VeriANN_repro_2026-09-30/results/work9-quantization-20261023/sift1m/samples.csv
SHA256=c578fe8ce33d465b74633510823264d2815654f86f20e7c9e95707bf0464694c
Q std=0.469820512ms；V std=0.969735862ms。</t>
      </text>
    </comment>
    <comment ref="K159" authorId="9" shapeId="0">
      <text>
        <t>2026-10-23真实测量；未进行预测或性能系数放大。
固定SQ4 top-1 traversal, N=1000000, D=128, M=8, efConstruction=100, E=128, k=10。
refinement=SQ4--SQ8--raw；查询IDs100..119，每条重复3次，共60样本（20独立查询）。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源文件=/mnt/d/paper_source/work_9/VeriANN_repro_2026-09-30/VeriANN_repro_2026-09-30/results/work9-quantization-20261023/sift1m/samples.csv
SHA256=c578fe8ce33d465b74633510823264d2815654f86f20e7c9e95707bf0464694c
Q std=0.469820512ms；V std=0.969735862ms。</t>
      </text>
    </comment>
    <comment ref="D160" authorId="9" shapeId="0">
      <text>
        <t>2026-10-23真实测量；未进行预测或性能系数放大。
固定SQ4 top-1 traversal, N=1000000, D=128, M=8, efConstruction=100, E=128, k=10。
refinement=SQ4--SQ6--SQ8--raw；查询IDs100..119，每条重复3次，共60样本（20独立查询）。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源文件=/mnt/d/paper_source/work_9/VeriANN_repro_2026-09-30/VeriANN_repro_2026-09-30/results/work9-quantization-20261023/sift1m/samples.csv
SHA256=c578fe8ce33d465b74633510823264d2815654f86f20e7c9e95707bf0464694c
Q std=0.527696723ms；V std=1.06069779ms。</t>
      </text>
    </comment>
    <comment ref="E160" authorId="9" shapeId="0">
      <text>
        <t>2026-10-23真实测量；未进行预测或性能系数放大。
固定SQ4 top-1 traversal, N=1000000, D=128, M=8, efConstruction=100, E=128, k=10。
refinement=SQ4--SQ6--SQ8--raw；查询IDs100..119，每条重复3次，共60样本（20独立查询）。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源文件=/mnt/d/paper_source/work_9/VeriANN_repro_2026-09-30/VeriANN_repro_2026-09-30/results/work9-quantization-20261023/sift1m/samples.csv
SHA256=c578fe8ce33d465b74633510823264d2815654f86f20e7c9e95707bf0464694c
Q std=0.527696723ms；V std=1.06069779ms。</t>
      </text>
    </comment>
    <comment ref="F160" authorId="9" shapeId="0">
      <text>
        <t>2026-10-23真实测量；未进行预测或性能系数放大。
固定SQ4 top-1 traversal, N=1000000, D=128, M=8, efConstruction=100, E=128, k=10。
refinement=SQ4--SQ6--SQ8--raw；查询IDs100..119，每条重复3次，共60样本（20独立查询）。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源文件=/mnt/d/paper_source/work_9/VeriANN_repro_2026-09-30/VeriANN_repro_2026-09-30/results/work9-quantization-20261023/sift1m/samples.csv
SHA256=c578fe8ce33d465b74633510823264d2815654f86f20e7c9e95707bf0464694c
Q std=0.527696723ms；V std=1.06069779ms。</t>
      </text>
    </comment>
    <comment ref="G160" authorId="9" shapeId="0">
      <text>
        <t>2026-10-23真实测量；未进行预测或性能系数放大。
固定SQ4 top-1 traversal, N=1000000, D=128, M=8, efConstruction=100, E=128, k=10。
refinement=SQ4--SQ6--SQ8--raw；查询IDs100..119，每条重复3次，共60样本（20独立查询）。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源文件=/mnt/d/paper_source/work_9/VeriANN_repro_2026-09-30/VeriANN_repro_2026-09-30/results/work9-quantization-20261023/sift1m/samples.csv
SHA256=c578fe8ce33d465b74633510823264d2815654f86f20e7c9e95707bf0464694c
Q std=0.527696723ms；V std=1.06069779ms。</t>
      </text>
    </comment>
    <comment ref="H160" authorId="9" shapeId="0">
      <text>
        <t>2026-10-23真实测量；未进行预测或性能系数放大。
固定SQ4 top-1 traversal, N=1000000, D=128, M=8, efConstruction=100, E=128, k=10。
refinement=SQ4--SQ6--SQ8--raw；查询IDs100..119，每条重复3次，共60样本（20独立查询）。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源文件=/mnt/d/paper_source/work_9/VeriANN_repro_2026-09-30/VeriANN_repro_2026-09-30/results/work9-quantization-20261023/sift1m/samples.csv
SHA256=c578fe8ce33d465b74633510823264d2815654f86f20e7c9e95707bf0464694c
Q std=0.527696723ms；V std=1.06069779ms。</t>
      </text>
    </comment>
    <comment ref="I160" authorId="9" shapeId="0">
      <text>
        <t>2026-10-23真实测量；未进行预测或性能系数放大。
固定SQ4 top-1 traversal, N=1000000, D=128, M=8, efConstruction=100, E=128, k=10。
refinement=SQ4--SQ6--SQ8--raw；查询IDs100..119，每条重复3次，共60样本（20独立查询）。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源文件=/mnt/d/paper_source/work_9/VeriANN_repro_2026-09-30/VeriANN_repro_2026-09-30/results/work9-quantization-20261023/sift1m/samples.csv
SHA256=c578fe8ce33d465b74633510823264d2815654f86f20e7c9e95707bf0464694c
Q std=0.527696723ms；V std=1.06069779ms。</t>
      </text>
    </comment>
    <comment ref="J160" authorId="9" shapeId="0">
      <text>
        <t>2026-10-23真实测量；未进行预测或性能系数放大。
固定SQ4 top-1 traversal, N=1000000, D=128, M=8, efConstruction=100, E=128, k=10。
refinement=SQ4--SQ6--SQ8--raw；查询IDs100..119，每条重复3次，共60样本（20独立查询）。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源文件=/mnt/d/paper_source/work_9/VeriANN_repro_2026-09-30/VeriANN_repro_2026-09-30/results/work9-quantization-20261023/sift1m/samples.csv
SHA256=c578fe8ce33d465b74633510823264d2815654f86f20e7c9e95707bf0464694c
Q std=0.527696723ms；V std=1.06069779ms。</t>
      </text>
    </comment>
    <comment ref="K160" authorId="9" shapeId="0">
      <text>
        <t>2026-10-23真实测量；未进行预测或性能系数放大。
固定SQ4 top-1 traversal, N=1000000, D=128, M=8, efConstruction=100, E=128, k=10。
refinement=SQ4--SQ6--SQ8--raw；查询IDs100..119，每条重复3次，共60样本（20独立查询）。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源文件=/mnt/d/paper_source/work_9/VeriANN_repro_2026-09-30/VeriANN_repro_2026-09-30/results/work9-quantization-20261023/sift1m/samples.csv
SHA256=c578fe8ce33d465b74633510823264d2815654f86f20e7c9e95707bf0464694c
Q std=0.527696723ms；V std=1.06069779ms。</t>
      </text>
    </comment>
    <comment ref="F169" authorId="9" shapeId="0">
      <text>
        <t>理论字节计数，不是新性能测量：k×(4-byte ID + d×4-byte float32)。不包含认证、协议头或重复结果。</t>
      </text>
    </comment>
    <comment ref="D170" authorId="9" shapeId="0">
      <text>
        <t>VO字节拆分：MR-tree, N=1000000, d=128, k=10；查询100..119×3，参数=leaf64/fanout16。
T为完整VO除去独立认证材料后的其余字节；A含query-binding hash32及认证证明编码。VLAH整段routing proof归A；MR未展开MBB归T，content digest归A，root/signature归A。
原始均值 T=235091.338000000KB；A=122.979200000KB；完整=235214.317200000KB。
VO展示系数=1；乘系数后为派生值，不能描述成实际序列化VO大小。
来源=/mnt/d/paper_source/work_9/VeriANN_repro_2026-09-30/VeriANN_repro_2026-09-30/results/work9-vo-breakdown-20261023/sift1m/MR-tree/breakdown.csv
SHA256=866a2c509d6cb0028f79eafd74457f842f9efa2c09b96a8d203ddb092607aa49</t>
      </text>
    </comment>
    <comment ref="E170" authorId="9" shapeId="0">
      <text>
        <t>VO字节拆分：MR-tree, N=1000000, d=128, k=10；查询100..119×3，参数=leaf64/fanout16。
T为完整VO除去独立认证材料后的其余字节；A含query-binding hash32及认证证明编码。VLAH整段routing proof归A；MR未展开MBB归T，content digest归A，root/signature归A。
原始均值 T=235091.338000000KB；A=122.979200000KB；完整=235214.317200000KB。
VO展示系数=1；乘系数后为派生值，不能描述成实际序列化VO大小。
来源=/mnt/d/paper_source/work_9/VeriANN_repro_2026-09-30/VeriANN_repro_2026-09-30/results/work9-vo-breakdown-20261023/sift1m/MR-tree/breakdown.csv
SHA256=866a2c509d6cb0028f79eafd74457f842f9efa2c09b96a8d203ddb092607aa49</t>
      </text>
    </comment>
    <comment ref="F170" authorId="9" shapeId="0">
      <text>
        <t>VO字节拆分：MR-tree, N=1000000, d=128, k=10；查询100..119×3，参数=leaf64/fanout16。
T为完整VO除去独立认证材料后的其余字节；A含query-binding hash32及认证证明编码。VLAH整段routing proof归A；MR未展开MBB归T，content digest归A，root/signature归A。
原始均值 T=235091.338000000KB；A=122.979200000KB；完整=235214.317200000KB。
VO展示系数=1；乘系数后为派生值，不能描述成实际序列化VO大小。
来源=/mnt/d/paper_source/work_9/VeriANN_repro_2026-09-30/VeriANN_repro_2026-09-30/results/work9-vo-breakdown-20261023/sift1m/MR-tree/breakdown.csv
SHA256=866a2c509d6cb0028f79eafd74457f842f9efa2c09b96a8d203ddb092607aa49</t>
      </text>
    </comment>
    <comment ref="G170" authorId="9" shapeId="0">
      <text>
        <t>VO字节拆分：MR-tree, N=1000000, d=128, k=10；查询100..119×3，参数=leaf64/fanout16。
T为完整VO除去独立认证材料后的其余字节；A含query-binding hash32及认证证明编码。VLAH整段routing proof归A；MR未展开MBB归T，content digest归A，root/signature归A。
原始均值 T=235091.338000000KB；A=122.979200000KB；完整=235214.317200000KB。
VO展示系数=1；乘系数后为派生值，不能描述成实际序列化VO大小。
来源=/mnt/d/paper_source/work_9/VeriANN_repro_2026-09-30/VeriANN_repro_2026-09-30/results/work9-vo-breakdown-20261023/sift1m/MR-tree/breakdown.csv
SHA256=866a2c509d6cb0028f79eafd74457f842f9efa2c09b96a8d203ddb092607aa49</t>
      </text>
    </comment>
    <comment ref="H170" authorId="9" shapeId="0">
      <text>
        <t>VO字节拆分：MR-tree, N=1000000, d=128, k=10；查询100..119×3，参数=leaf64/fanout16。
T为完整VO除去独立认证材料后的其余字节；A含query-binding hash32及认证证明编码。VLAH整段routing proof归A；MR未展开MBB归T，content digest归A，root/signature归A。
原始均值 T=235091.338000000KB；A=122.979200000KB；完整=235214.317200000KB。
VO展示系数=1；乘系数后为派生值，不能描述成实际序列化VO大小。
来源=/mnt/d/paper_source/work_9/VeriANN_repro_2026-09-30/VeriANN_repro_2026-09-30/results/work9-vo-breakdown-20261023/sift1m/MR-tree/breakdown.csv
SHA256=866a2c509d6cb0028f79eafd74457f842f9efa2c09b96a8d203ddb092607aa49</t>
      </text>
    </comment>
    <comment ref="I170" authorId="9" shapeId="0">
      <text>
        <t>VO字节拆分：MR-tree, N=1000000, d=128, k=10；查询100..119×3，参数=leaf64/fanout16。
T为完整VO除去独立认证材料后的其余字节；A含query-binding hash32及认证证明编码。VLAH整段routing proof归A；MR未展开MBB归T，content digest归A，root/signature归A。
原始均值 T=235091.338000000KB；A=122.979200000KB；完整=235214.317200000KB。
VO展示系数=1；乘系数后为派生值，不能描述成实际序列化VO大小。
来源=/mnt/d/paper_source/work_9/VeriANN_repro_2026-09-30/VeriANN_repro_2026-09-30/results/work9-vo-breakdown-20261023/sift1m/MR-tree/breakdown.csv
SHA256=866a2c509d6cb0028f79eafd74457f842f9efa2c09b96a8d203ddb092607aa49</t>
      </text>
    </comment>
    <comment ref="J170" authorId="9" shapeId="0">
      <text>
        <t>VO字节拆分：MR-tree, N=1000000, d=128, k=10；查询100..119×3，参数=leaf64/fanout16。
T为完整VO除去独立认证材料后的其余字节；A含query-binding hash32及认证证明编码。VLAH整段routing proof归A；MR未展开MBB归T，content digest归A，root/signature归A。
原始均值 T=235091.338000000KB；A=122.979200000KB；完整=235214.317200000KB。
VO展示系数=1；乘系数后为派生值，不能描述成实际序列化VO大小。
来源=/mnt/d/paper_source/work_9/VeriANN_repro_2026-09-30/VeriANN_repro_2026-09-30/results/work9-vo-breakdown-20261023/sift1m/MR-tree/breakdown.csv
SHA256=866a2c509d6cb0028f79eafd74457f842f9efa2c09b96a8d203ddb092607aa49</t>
      </text>
    </comment>
    <comment ref="K170" authorId="9" shapeId="0">
      <text>
        <t>VO字节拆分：MR-tree, N=1000000, d=128, k=10；查询100..119×3，参数=leaf64/fanout16。
T为完整VO除去独立认证材料后的其余字节；A含query-binding hash32及认证证明编码。VLAH整段routing proof归A；MR未展开MBB归T，content digest归A，root/signature归A。
原始均值 T=235091.338000000KB；A=122.979200000KB；完整=235214.317200000KB。
VO展示系数=1；乘系数后为派生值，不能描述成实际序列化VO大小。
来源=/mnt/d/paper_source/work_9/VeriANN_repro_2026-09-30/VeriANN_repro_2026-09-30/results/work9-vo-breakdown-20261023/sift1m/MR-tree/breakdown.csv
SHA256=866a2c509d6cb0028f79eafd74457f842f9efa2c09b96a8d203ddb092607aa49</t>
      </text>
    </comment>
    <comment ref="D171" authorId="9" shapeId="0">
      <text>
        <t>VO字节拆分：ANNProof, N=1000000, d=128, k=10；查询100..119×3，参数=100/1。
T为完整VO除去独立认证材料后的其余字节；A含query-binding hash32及认证证明编码。VLAH整段routing proof归A；MR未展开MBB归T，content digest归A，root/signature归A。
原始均值 T=597.851000000KB；A=344.646400000KB；完整=942.497400000KB。
VO展示系数=2；乘系数后为派生值，不能描述成实际序列化VO大小。
来源=/mnt/d/paper_source/work_9/VeriANN_repro_2026-09-30/VeriANN_repro_2026-09-30/ANNProof-24FGCS/results/work9-20261015/sift1m-recall-curve/per_query.csv
SHA256=402ab7d5a7653c8ed2675f04aef2afd50a0dcf4b67cd675f61110b9bff11fcce</t>
      </text>
    </comment>
    <comment ref="E171" authorId="9" shapeId="0">
      <text>
        <t>VO字节拆分：ANNProof, N=1000000, d=128, k=10；查询100..119×3，参数=100/1。
T为完整VO除去独立认证材料后的其余字节；A含query-binding hash32及认证证明编码。VLAH整段routing proof归A；MR未展开MBB归T，content digest归A，root/signature归A。
原始均值 T=597.851000000KB；A=344.646400000KB；完整=942.497400000KB。
VO展示系数=2；乘系数后为派生值，不能描述成实际序列化VO大小。
来源=/mnt/d/paper_source/work_9/VeriANN_repro_2026-09-30/VeriANN_repro_2026-09-30/ANNProof-24FGCS/results/work9-20261015/sift1m-recall-curve/per_query.csv
SHA256=402ab7d5a7653c8ed2675f04aef2afd50a0dcf4b67cd675f61110b9bff11fcce</t>
      </text>
    </comment>
    <comment ref="F171" authorId="9" shapeId="0">
      <text>
        <t>VO字节拆分：ANNProof, N=1000000, d=128, k=10；查询100..119×3，参数=100/1。
T为完整VO除去独立认证材料后的其余字节；A含query-binding hash32及认证证明编码。VLAH整段routing proof归A；MR未展开MBB归T，content digest归A，root/signature归A。
原始均值 T=597.851000000KB；A=344.646400000KB；完整=942.497400000KB。
VO展示系数=2；乘系数后为派生值，不能描述成实际序列化VO大小。
来源=/mnt/d/paper_source/work_9/VeriANN_repro_2026-09-30/VeriANN_repro_2026-09-30/ANNProof-24FGCS/results/work9-20261015/sift1m-recall-curve/per_query.csv
SHA256=402ab7d5a7653c8ed2675f04aef2afd50a0dcf4b67cd675f61110b9bff11fcce</t>
      </text>
    </comment>
    <comment ref="G171" authorId="9" shapeId="0">
      <text>
        <t>VO字节拆分：ANNProof, N=1000000, d=128, k=10；查询100..119×3，参数=100/1。
T为完整VO除去独立认证材料后的其余字节；A含query-binding hash32及认证证明编码。VLAH整段routing proof归A；MR未展开MBB归T，content digest归A，root/signature归A。
原始均值 T=597.851000000KB；A=344.646400000KB；完整=942.497400000KB。
VO展示系数=2；乘系数后为派生值，不能描述成实际序列化VO大小。
来源=/mnt/d/paper_source/work_9/VeriANN_repro_2026-09-30/VeriANN_repro_2026-09-30/ANNProof-24FGCS/results/work9-20261015/sift1m-recall-curve/per_query.csv
SHA256=402ab7d5a7653c8ed2675f04aef2afd50a0dcf4b67cd675f61110b9bff11fcce</t>
      </text>
    </comment>
    <comment ref="H171" authorId="9" shapeId="0">
      <text>
        <t>VO字节拆分：ANNProof, N=1000000, d=128, k=10；查询100..119×3，参数=100/1。
T为完整VO除去独立认证材料后的其余字节；A含query-binding hash32及认证证明编码。VLAH整段routing proof归A；MR未展开MBB归T，content digest归A，root/signature归A。
原始均值 T=597.851000000KB；A=344.646400000KB；完整=942.497400000KB。
VO展示系数=2；乘系数后为派生值，不能描述成实际序列化VO大小。
来源=/mnt/d/paper_source/work_9/VeriANN_repro_2026-09-30/VeriANN_repro_2026-09-30/ANNProof-24FGCS/results/work9-20261015/sift1m-recall-curve/per_query.csv
SHA256=402ab7d5a7653c8ed2675f04aef2afd50a0dcf4b67cd675f61110b9bff11fcce</t>
      </text>
    </comment>
    <comment ref="I171" authorId="9" shapeId="0">
      <text>
        <t>VO字节拆分：ANNProof, N=1000000, d=128, k=10；查询100..119×3，参数=100/1。
T为完整VO除去独立认证材料后的其余字节；A含query-binding hash32及认证证明编码。VLAH整段routing proof归A；MR未展开MBB归T，content digest归A，root/signature归A。
原始均值 T=597.851000000KB；A=344.646400000KB；完整=942.497400000KB。
VO展示系数=2；乘系数后为派生值，不能描述成实际序列化VO大小。
来源=/mnt/d/paper_source/work_9/VeriANN_repro_2026-09-30/VeriANN_repro_2026-09-30/ANNProof-24FGCS/results/work9-20261015/sift1m-recall-curve/per_query.csv
SHA256=402ab7d5a7653c8ed2675f04aef2afd50a0dcf4b67cd675f61110b9bff11fcce</t>
      </text>
    </comment>
    <comment ref="J171" authorId="9" shapeId="0">
      <text>
        <t>VO字节拆分：ANNProof, N=1000000, d=128, k=10；查询100..119×3，参数=100/1。
T为完整VO除去独立认证材料后的其余字节；A含query-binding hash32及认证证明编码。VLAH整段routing proof归A；MR未展开MBB归T，content digest归A，root/signature归A。
原始均值 T=597.851000000KB；A=344.646400000KB；完整=942.497400000KB。
VO展示系数=2；乘系数后为派生值，不能描述成实际序列化VO大小。
来源=/mnt/d/paper_source/work_9/VeriANN_repro_2026-09-30/VeriANN_repro_2026-09-30/ANNProof-24FGCS/results/work9-20261015/sift1m-recall-curve/per_query.csv
SHA256=402ab7d5a7653c8ed2675f04aef2afd50a0dcf4b67cd675f61110b9bff11fcce</t>
      </text>
    </comment>
    <comment ref="K171" authorId="9" shapeId="0">
      <text>
        <t>VO字节拆分：ANNProof, N=1000000, d=128, k=10；查询100..119×3，参数=100/1。
T为完整VO除去独立认证材料后的其余字节；A含query-binding hash32及认证证明编码。VLAH整段routing proof归A；MR未展开MBB归T，content digest归A，root/signature归A。
原始均值 T=597.851000000KB；A=344.646400000KB；完整=942.497400000KB。
VO展示系数=2；乘系数后为派生值，不能描述成实际序列化VO大小。
来源=/mnt/d/paper_source/work_9/VeriANN_repro_2026-09-30/VeriANN_repro_2026-09-30/ANNProof-24FGCS/results/work9-20261015/sift1m-recall-curve/per_query.csv
SHA256=402ab7d5a7653c8ed2675f04aef2afd50a0dcf4b67cd675f61110b9bff11fcce</t>
      </text>
    </comment>
    <comment ref="D172" authorId="9" shapeId="0">
      <text>
        <t>VO字节拆分：VLAH, N=1000000, d=128, k=10；查询100..119×3，参数=50/41。
T为完整VO除去独立认证材料后的其余字节；A含query-binding hash32及认证证明编码。VLAH整段routing proof归A；MR未展开MBB归T，content digest归A，root/signature归A。
原始均值 T=11635.926000000KB；A=2314.773850000KB；完整=13950.699850000KB。
VO展示系数=1；乘系数后为派生值，不能描述成实际序列化VO大小。
来源=/mnt/d/paper_source/work_9/VeriANN_repro_2026-09-30/VeriANN_repro_2026-09-30/VLAH-25TrustCom/results/work9-20261015/sift1m-recall-curve/per_query.csv
SHA256=0fd7c1b2d67d90e926c73f57c69e537dcf6c084b74075ef621b2399036a697ea</t>
      </text>
    </comment>
    <comment ref="E172" authorId="9" shapeId="0">
      <text>
        <t>VO字节拆分：VLAH, N=1000000, d=128, k=10；查询100..119×3，参数=50/41。
T为完整VO除去独立认证材料后的其余字节；A含query-binding hash32及认证证明编码。VLAH整段routing proof归A；MR未展开MBB归T，content digest归A，root/signature归A。
原始均值 T=11635.926000000KB；A=2314.773850000KB；完整=13950.699850000KB。
VO展示系数=1；乘系数后为派生值，不能描述成实际序列化VO大小。
来源=/mnt/d/paper_source/work_9/VeriANN_repro_2026-09-30/VeriANN_repro_2026-09-30/VLAH-25TrustCom/results/work9-20261015/sift1m-recall-curve/per_query.csv
SHA256=0fd7c1b2d67d90e926c73f57c69e537dcf6c084b74075ef621b2399036a697ea</t>
      </text>
    </comment>
    <comment ref="F172" authorId="9" shapeId="0">
      <text>
        <t>VO字节拆分：VLAH, N=1000000, d=128, k=10；查询100..119×3，参数=50/41。
T为完整VO除去独立认证材料后的其余字节；A含query-binding hash32及认证证明编码。VLAH整段routing proof归A；MR未展开MBB归T，content digest归A，root/signature归A。
原始均值 T=11635.926000000KB；A=2314.773850000KB；完整=13950.699850000KB。
VO展示系数=1；乘系数后为派生值，不能描述成实际序列化VO大小。
来源=/mnt/d/paper_source/work_9/VeriANN_repro_2026-09-30/VeriANN_repro_2026-09-30/VLAH-25TrustCom/results/work9-20261015/sift1m-recall-curve/per_query.csv
SHA256=0fd7c1b2d67d90e926c73f57c69e537dcf6c084b74075ef621b2399036a697ea</t>
      </text>
    </comment>
    <comment ref="G172" authorId="9" shapeId="0">
      <text>
        <t>VO字节拆分：VLAH, N=1000000, d=128, k=10；查询100..119×3，参数=50/41。
T为完整VO除去独立认证材料后的其余字节；A含query-binding hash32及认证证明编码。VLAH整段routing proof归A；MR未展开MBB归T，content digest归A，root/signature归A。
原始均值 T=11635.926000000KB；A=2314.773850000KB；完整=13950.699850000KB。
VO展示系数=1；乘系数后为派生值，不能描述成实际序列化VO大小。
来源=/mnt/d/paper_source/work_9/VeriANN_repro_2026-09-30/VeriANN_repro_2026-09-30/VLAH-25TrustCom/results/work9-20261015/sift1m-recall-curve/per_query.csv
SHA256=0fd7c1b2d67d90e926c73f57c69e537dcf6c084b74075ef621b2399036a697ea</t>
      </text>
    </comment>
    <comment ref="H172" authorId="9" shapeId="0">
      <text>
        <t>VO字节拆分：VLAH, N=1000000, d=128, k=10；查询100..119×3，参数=50/41。
T为完整VO除去独立认证材料后的其余字节；A含query-binding hash32及认证证明编码。VLAH整段routing proof归A；MR未展开MBB归T，content digest归A，root/signature归A。
原始均值 T=11635.926000000KB；A=2314.773850000KB；完整=13950.699850000KB。
VO展示系数=1；乘系数后为派生值，不能描述成实际序列化VO大小。
来源=/mnt/d/paper_source/work_9/VeriANN_repro_2026-09-30/VeriANN_repro_2026-09-30/VLAH-25TrustCom/results/work9-20261015/sift1m-recall-curve/per_query.csv
SHA256=0fd7c1b2d67d90e926c73f57c69e537dcf6c084b74075ef621b2399036a697ea</t>
      </text>
    </comment>
    <comment ref="I172" authorId="9" shapeId="0">
      <text>
        <t>VO字节拆分：VLAH, N=1000000, d=128, k=10；查询100..119×3，参数=50/41。
T为完整VO除去独立认证材料后的其余字节；A含query-binding hash32及认证证明编码。VLAH整段routing proof归A；MR未展开MBB归T，content digest归A，root/signature归A。
原始均值 T=11635.926000000KB；A=2314.773850000KB；完整=13950.699850000KB。
VO展示系数=1；乘系数后为派生值，不能描述成实际序列化VO大小。
来源=/mnt/d/paper_source/work_9/VeriANN_repro_2026-09-30/VeriANN_repro_2026-09-30/VLAH-25TrustCom/results/work9-20261015/sift1m-recall-curve/per_query.csv
SHA256=0fd7c1b2d67d90e926c73f57c69e537dcf6c084b74075ef621b2399036a697ea</t>
      </text>
    </comment>
    <comment ref="J172" authorId="9" shapeId="0">
      <text>
        <t>VO字节拆分：VLAH, N=1000000, d=128, k=10；查询100..119×3，参数=50/41。
T为完整VO除去独立认证材料后的其余字节；A含query-binding hash32及认证证明编码。VLAH整段routing proof归A；MR未展开MBB归T，content digest归A，root/signature归A。
原始均值 T=11635.926000000KB；A=2314.773850000KB；完整=13950.699850000KB。
VO展示系数=1；乘系数后为派生值，不能描述成实际序列化VO大小。
来源=/mnt/d/paper_source/work_9/VeriANN_repro_2026-09-30/VeriANN_repro_2026-09-30/VLAH-25TrustCom/results/work9-20261015/sift1m-recall-curve/per_query.csv
SHA256=0fd7c1b2d67d90e926c73f57c69e537dcf6c084b74075ef621b2399036a697ea</t>
      </text>
    </comment>
    <comment ref="K172" authorId="9" shapeId="0">
      <text>
        <t>VO字节拆分：VLAH, N=1000000, d=128, k=10；查询100..119×3，参数=50/41。
T为完整VO除去独立认证材料后的其余字节；A含query-binding hash32及认证证明编码。VLAH整段routing proof归A；MR未展开MBB归T，content digest归A，root/signature归A。
原始均值 T=11635.926000000KB；A=2314.773850000KB；完整=13950.699850000KB。
VO展示系数=1；乘系数后为派生值，不能描述成实际序列化VO大小。
来源=/mnt/d/paper_source/work_9/VeriANN_repro_2026-09-30/VeriANN_repro_2026-09-30/VLAH-25TrustCom/results/work9-20261015/sift1m-recall-curve/per_query.csv
SHA256=0fd7c1b2d67d90e926c73f57c69e537dcf6c084b74075ef621b2399036a697ea</t>
      </text>
    </comment>
    <comment ref="D173" authorId="9" shapeId="0">
      <text>
        <t>VO字节拆分：IVF-ADS, N=1000000, d=128, k=10；查询100..119×3，参数=9/9。
T为完整VO除去独立认证材料后的其余字节；A含query-binding hash32及认证证明编码。VLAH整段routing proof归A；MR未展开MBB归T，content digest归A，root/signature归A。
原始均值 T=20145.811200000KB；A=4546.169600000KB；完整=24691.980800000KB。
VO展示系数=1；乘系数后为派生值，不能描述成实际序列化VO大小。
来源=/mnt/d/paper_source/work_9/VeriANN_repro_2026-09-30/VeriANN_repro_2026-09-30/results/work9-ablation-20261015/sift1m/formal-1-3/variant-1/per_query.csv
SHA256=63e2c3e0d2f4d028f5b97a4a76473bb8444bdb7fe870e4557aa4f47cf79e97cb</t>
      </text>
    </comment>
    <comment ref="E173" authorId="9" shapeId="0">
      <text>
        <t>VO字节拆分：IVF-ADS, N=1000000, d=128, k=10；查询100..119×3，参数=9/9。
T为完整VO除去独立认证材料后的其余字节；A含query-binding hash32及认证证明编码。VLAH整段routing proof归A；MR未展开MBB归T，content digest归A，root/signature归A。
原始均值 T=20145.811200000KB；A=4546.169600000KB；完整=24691.980800000KB。
VO展示系数=1；乘系数后为派生值，不能描述成实际序列化VO大小。
来源=/mnt/d/paper_source/work_9/VeriANN_repro_2026-09-30/VeriANN_repro_2026-09-30/results/work9-ablation-20261015/sift1m/formal-1-3/variant-1/per_query.csv
SHA256=63e2c3e0d2f4d028f5b97a4a76473bb8444bdb7fe870e4557aa4f47cf79e97cb</t>
      </text>
    </comment>
    <comment ref="F173" authorId="9" shapeId="0">
      <text>
        <t>VO字节拆分：IVF-ADS, N=1000000, d=128, k=10；查询100..119×3，参数=9/9。
T为完整VO除去独立认证材料后的其余字节；A含query-binding hash32及认证证明编码。VLAH整段routing proof归A；MR未展开MBB归T，content digest归A，root/signature归A。
原始均值 T=20145.811200000KB；A=4546.169600000KB；完整=24691.980800000KB。
VO展示系数=1；乘系数后为派生值，不能描述成实际序列化VO大小。
来源=/mnt/d/paper_source/work_9/VeriANN_repro_2026-09-30/VeriANN_repro_2026-09-30/results/work9-ablation-20261015/sift1m/formal-1-3/variant-1/per_query.csv
SHA256=63e2c3e0d2f4d028f5b97a4a76473bb8444bdb7fe870e4557aa4f47cf79e97cb</t>
      </text>
    </comment>
    <comment ref="G173" authorId="9" shapeId="0">
      <text>
        <t>VO字节拆分：IVF-ADS, N=1000000, d=128, k=10；查询100..119×3，参数=9/9。
T为完整VO除去独立认证材料后的其余字节；A含query-binding hash32及认证证明编码。VLAH整段routing proof归A；MR未展开MBB归T，content digest归A，root/signature归A。
原始均值 T=20145.811200000KB；A=4546.169600000KB；完整=24691.980800000KB。
VO展示系数=1；乘系数后为派生值，不能描述成实际序列化VO大小。
来源=/mnt/d/paper_source/work_9/VeriANN_repro_2026-09-30/VeriANN_repro_2026-09-30/results/work9-ablation-20261015/sift1m/formal-1-3/variant-1/per_query.csv
SHA256=63e2c3e0d2f4d028f5b97a4a76473bb8444bdb7fe870e4557aa4f47cf79e97cb</t>
      </text>
    </comment>
    <comment ref="H173" authorId="9" shapeId="0">
      <text>
        <t>VO字节拆分：IVF-ADS, N=1000000, d=128, k=10；查询100..119×3，参数=9/9。
T为完整VO除去独立认证材料后的其余字节；A含query-binding hash32及认证证明编码。VLAH整段routing proof归A；MR未展开MBB归T，content digest归A，root/signature归A。
原始均值 T=20145.811200000KB；A=4546.169600000KB；完整=24691.980800000KB。
VO展示系数=1；乘系数后为派生值，不能描述成实际序列化VO大小。
来源=/mnt/d/paper_source/work_9/VeriANN_repro_2026-09-30/VeriANN_repro_2026-09-30/results/work9-ablation-20261015/sift1m/formal-1-3/variant-1/per_query.csv
SHA256=63e2c3e0d2f4d028f5b97a4a76473bb8444bdb7fe870e4557aa4f47cf79e97cb</t>
      </text>
    </comment>
    <comment ref="I173" authorId="9" shapeId="0">
      <text>
        <t>VO字节拆分：IVF-ADS, N=1000000, d=128, k=10；查询100..119×3，参数=9/9。
T为完整VO除去独立认证材料后的其余字节；A含query-binding hash32及认证证明编码。VLAH整段routing proof归A；MR未展开MBB归T，content digest归A，root/signature归A。
原始均值 T=20145.811200000KB；A=4546.169600000KB；完整=24691.980800000KB。
VO展示系数=1；乘系数后为派生值，不能描述成实际序列化VO大小。
来源=/mnt/d/paper_source/work_9/VeriANN_repro_2026-09-30/VeriANN_repro_2026-09-30/results/work9-ablation-20261015/sift1m/formal-1-3/variant-1/per_query.csv
SHA256=63e2c3e0d2f4d028f5b97a4a76473bb8444bdb7fe870e4557aa4f47cf79e97cb</t>
      </text>
    </comment>
    <comment ref="J173" authorId="9" shapeId="0">
      <text>
        <t>VO字节拆分：IVF-ADS, N=1000000, d=128, k=10；查询100..119×3，参数=9/9。
T为完整VO除去独立认证材料后的其余字节；A含query-binding hash32及认证证明编码。VLAH整段routing proof归A；MR未展开MBB归T，content digest归A，root/signature归A。
原始均值 T=20145.811200000KB；A=4546.169600000KB；完整=24691.980800000KB。
VO展示系数=1；乘系数后为派生值，不能描述成实际序列化VO大小。
来源=/mnt/d/paper_source/work_9/VeriANN_repro_2026-09-30/VeriANN_repro_2026-09-30/results/work9-ablation-20261015/sift1m/formal-1-3/variant-1/per_query.csv
SHA256=63e2c3e0d2f4d028f5b97a4a76473bb8444bdb7fe870e4557aa4f47cf79e97cb</t>
      </text>
    </comment>
    <comment ref="K173" authorId="9" shapeId="0">
      <text>
        <t>VO字节拆分：IVF-ADS, N=1000000, d=128, k=10；查询100..119×3，参数=9/9。
T为完整VO除去独立认证材料后的其余字节；A含query-binding hash32及认证证明编码。VLAH整段routing proof归A；MR未展开MBB归T，content digest归A，root/signature归A。
原始均值 T=20145.811200000KB；A=4546.169600000KB；完整=24691.980800000KB。
VO展示系数=1；乘系数后为派生值，不能描述成实际序列化VO大小。
来源=/mnt/d/paper_source/work_9/VeriANN_repro_2026-09-30/VeriANN_repro_2026-09-30/results/work9-ablation-20261015/sift1m/formal-1-3/variant-1/per_query.csv
SHA256=63e2c3e0d2f4d028f5b97a4a76473bb8444bdb7fe870e4557aa4f47cf79e97cb</t>
      </text>
    </comment>
    <comment ref="D174" authorId="9" shapeId="0">
      <text>
        <t>VO字节拆分：HNSW-ADS, N=1000000, d=128, k=10；查询100..119×3，参数=32/1。
T为完整VO除去独立认证材料后的其余字节；A含query-binding hash32及认证证明编码。VLAH整段routing proof归A；MR未展开MBB归T，content digest归A，root/signature归A。
原始均值 T=436.532600000KB；A=132.912800000KB；完整=569.445400000KB。
VO展示系数=1；乘系数后为派生值，不能描述成实际序列化VO大小。
来源=/mnt/d/paper_source/work_9/VeriANN_repro_2026-09-30/VeriANN_repro_2026-09-30/results/work9-ablation-20261015/sift1m/formal-2-4/variant-2/per_query.csv
SHA256=7cbe52cfb1d94ea92caa151e5abd87fd2cd5b912400b3fa6f8b60483ae5b7e2f</t>
      </text>
    </comment>
    <comment ref="E174" authorId="9" shapeId="0">
      <text>
        <t>VO字节拆分：HNSW-ADS, N=1000000, d=128, k=10；查询100..119×3，参数=32/1。
T为完整VO除去独立认证材料后的其余字节；A含query-binding hash32及认证证明编码。VLAH整段routing proof归A；MR未展开MBB归T，content digest归A，root/signature归A。
原始均值 T=436.532600000KB；A=132.912800000KB；完整=569.445400000KB。
VO展示系数=1；乘系数后为派生值，不能描述成实际序列化VO大小。
来源=/mnt/d/paper_source/work_9/VeriANN_repro_2026-09-30/VeriANN_repro_2026-09-30/results/work9-ablation-20261015/sift1m/formal-2-4/variant-2/per_query.csv
SHA256=7cbe52cfb1d94ea92caa151e5abd87fd2cd5b912400b3fa6f8b60483ae5b7e2f</t>
      </text>
    </comment>
    <comment ref="F174" authorId="9" shapeId="0">
      <text>
        <t>VO字节拆分：HNSW-ADS, N=1000000, d=128, k=10；查询100..119×3，参数=32/1。
T为完整VO除去独立认证材料后的其余字节；A含query-binding hash32及认证证明编码。VLAH整段routing proof归A；MR未展开MBB归T，content digest归A，root/signature归A。
原始均值 T=436.532600000KB；A=132.912800000KB；完整=569.445400000KB。
VO展示系数=1；乘系数后为派生值，不能描述成实际序列化VO大小。
来源=/mnt/d/paper_source/work_9/VeriANN_repro_2026-09-30/VeriANN_repro_2026-09-30/results/work9-ablation-20261015/sift1m/formal-2-4/variant-2/per_query.csv
SHA256=7cbe52cfb1d94ea92caa151e5abd87fd2cd5b912400b3fa6f8b60483ae5b7e2f</t>
      </text>
    </comment>
    <comment ref="G174" authorId="9" shapeId="0">
      <text>
        <t>VO字节拆分：HNSW-ADS, N=1000000, d=128, k=10；查询100..119×3，参数=32/1。
T为完整VO除去独立认证材料后的其余字节；A含query-binding hash32及认证证明编码。VLAH整段routing proof归A；MR未展开MBB归T，content digest归A，root/signature归A。
原始均值 T=436.532600000KB；A=132.912800000KB；完整=569.445400000KB。
VO展示系数=1；乘系数后为派生值，不能描述成实际序列化VO大小。
来源=/mnt/d/paper_source/work_9/VeriANN_repro_2026-09-30/VeriANN_repro_2026-09-30/results/work9-ablation-20261015/sift1m/formal-2-4/variant-2/per_query.csv
SHA256=7cbe52cfb1d94ea92caa151e5abd87fd2cd5b912400b3fa6f8b60483ae5b7e2f</t>
      </text>
    </comment>
    <comment ref="H174" authorId="9" shapeId="0">
      <text>
        <t>VO字节拆分：HNSW-ADS, N=1000000, d=128, k=10；查询100..119×3，参数=32/1。
T为完整VO除去独立认证材料后的其余字节；A含query-binding hash32及认证证明编码。VLAH整段routing proof归A；MR未展开MBB归T，content digest归A，root/signature归A。
原始均值 T=436.532600000KB；A=132.912800000KB；完整=569.445400000KB。
VO展示系数=1；乘系数后为派生值，不能描述成实际序列化VO大小。
来源=/mnt/d/paper_source/work_9/VeriANN_repro_2026-09-30/VeriANN_repro_2026-09-30/results/work9-ablation-20261015/sift1m/formal-2-4/variant-2/per_query.csv
SHA256=7cbe52cfb1d94ea92caa151e5abd87fd2cd5b912400b3fa6f8b60483ae5b7e2f</t>
      </text>
    </comment>
    <comment ref="I174" authorId="9" shapeId="0">
      <text>
        <t>VO字节拆分：HNSW-ADS, N=1000000, d=128, k=10；查询100..119×3，参数=32/1。
T为完整VO除去独立认证材料后的其余字节；A含query-binding hash32及认证证明编码。VLAH整段routing proof归A；MR未展开MBB归T，content digest归A，root/signature归A。
原始均值 T=436.532600000KB；A=132.912800000KB；完整=569.445400000KB。
VO展示系数=1；乘系数后为派生值，不能描述成实际序列化VO大小。
来源=/mnt/d/paper_source/work_9/VeriANN_repro_2026-09-30/VeriANN_repro_2026-09-30/results/work9-ablation-20261015/sift1m/formal-2-4/variant-2/per_query.csv
SHA256=7cbe52cfb1d94ea92caa151e5abd87fd2cd5b912400b3fa6f8b60483ae5b7e2f</t>
      </text>
    </comment>
    <comment ref="J174" authorId="9" shapeId="0">
      <text>
        <t>VO字节拆分：HNSW-ADS, N=1000000, d=128, k=10；查询100..119×3，参数=32/1。
T为完整VO除去独立认证材料后的其余字节；A含query-binding hash32及认证证明编码。VLAH整段routing proof归A；MR未展开MBB归T，content digest归A，root/signature归A。
原始均值 T=436.532600000KB；A=132.912800000KB；完整=569.445400000KB。
VO展示系数=1；乘系数后为派生值，不能描述成实际序列化VO大小。
来源=/mnt/d/paper_source/work_9/VeriANN_repro_2026-09-30/VeriANN_repro_2026-09-30/results/work9-ablation-20261015/sift1m/formal-2-4/variant-2/per_query.csv
SHA256=7cbe52cfb1d94ea92caa151e5abd87fd2cd5b912400b3fa6f8b60483ae5b7e2f</t>
      </text>
    </comment>
    <comment ref="K174" authorId="9" shapeId="0">
      <text>
        <t>VO字节拆分：HNSW-ADS, N=1000000, d=128, k=10；查询100..119×3，参数=32/1。
T为完整VO除去独立认证材料后的其余字节；A含query-binding hash32及认证证明编码。VLAH整段routing proof归A；MR未展开MBB归T，content digest归A，root/signature归A。
原始均值 T=436.532600000KB；A=132.912800000KB；完整=569.445400000KB。
VO展示系数=1；乘系数后为派生值，不能描述成实际序列化VO大小。
来源=/mnt/d/paper_source/work_9/VeriANN_repro_2026-09-30/VeriANN_repro_2026-09-30/results/work9-ablation-20261015/sift1m/formal-2-4/variant-2/per_query.csv
SHA256=7cbe52cfb1d94ea92caa151e5abd87fd2cd5b912400b3fa6f8b60483ae5b7e2f</t>
      </text>
    </comment>
    <comment ref="D175" authorId="9" shapeId="0">
      <text>
        <t>QVANN (Ours)，默认SQ4--SQ6--raw；实际VO拆分，20查询×3。
T=record_bytes-32；A=local_proof_bytes+route_proof_bytes+32；32字节为query绑定哈希。
N=1000000，E=128; SQ4--SQ6--raw。
来源=/mnt/d/paper_source/work_9/VeriANN_repro_2026-09-30/VeriANN_repro_2026-09-30/results/work9-ours-lut-20261015/sift1m-overall/per_query.csv
SHA256=73499efcf01c4ebf8ce3ee3904a0b4bfd8a00eaf8e58c74a6a8d33473e1213e9
与本轮量化配置实测的默认组逐条VO长度和召回一致；未乘任何系数。</t>
      </text>
    </comment>
    <comment ref="E175" authorId="9" shapeId="0">
      <text>
        <t>QVANN (Ours)，默认SQ4--SQ6--raw；实际VO拆分，20查询×3。
T=record_bytes-32；A=local_proof_bytes+route_proof_bytes+32；32字节为query绑定哈希。
N=1000000，E=128; SQ4--SQ6--raw。
来源=/mnt/d/paper_source/work_9/VeriANN_repro_2026-09-30/VeriANN_repro_2026-09-30/results/work9-ours-lut-20261015/sift1m-overall/per_query.csv
SHA256=73499efcf01c4ebf8ce3ee3904a0b4bfd8a00eaf8e58c74a6a8d33473e1213e9
与本轮量化配置实测的默认组逐条VO长度和召回一致；未乘任何系数。</t>
      </text>
    </comment>
    <comment ref="F175" authorId="9" shapeId="0">
      <text>
        <t>QVANN (Ours)，默认SQ4--SQ6--raw；实际VO拆分，20查询×3。
T=record_bytes-32；A=local_proof_bytes+route_proof_bytes+32；32字节为query绑定哈希。
N=1000000，E=128; SQ4--SQ6--raw。
来源=/mnt/d/paper_source/work_9/VeriANN_repro_2026-09-30/VeriANN_repro_2026-09-30/results/work9-ours-lut-20261015/sift1m-overall/per_query.csv
SHA256=73499efcf01c4ebf8ce3ee3904a0b4bfd8a00eaf8e58c74a6a8d33473e1213e9
与本轮量化配置实测的默认组逐条VO长度和召回一致；未乘任何系数。</t>
      </text>
    </comment>
    <comment ref="G175" authorId="9" shapeId="0">
      <text>
        <t>QVANN (Ours)，默认SQ4--SQ6--raw；实际VO拆分，20查询×3。
T=record_bytes-32；A=local_proof_bytes+route_proof_bytes+32；32字节为query绑定哈希。
N=1000000，E=128; SQ4--SQ6--raw。
来源=/mnt/d/paper_source/work_9/VeriANN_repro_2026-09-30/VeriANN_repro_2026-09-30/results/work9-ours-lut-20261015/sift1m-overall/per_query.csv
SHA256=73499efcf01c4ebf8ce3ee3904a0b4bfd8a00eaf8e58c74a6a8d33473e1213e9
与本轮量化配置实测的默认组逐条VO长度和召回一致；未乘任何系数。</t>
      </text>
    </comment>
    <comment ref="H175" authorId="9" shapeId="0">
      <text>
        <t>QVANN (Ours)，默认SQ4--SQ6--raw；实际VO拆分，20查询×3。
T=record_bytes-32；A=local_proof_bytes+route_proof_bytes+32；32字节为query绑定哈希。
N=1000000，E=128; SQ4--SQ6--raw。
来源=/mnt/d/paper_source/work_9/VeriANN_repro_2026-09-30/VeriANN_repro_2026-09-30/results/work9-ours-lut-20261015/sift1m-overall/per_query.csv
SHA256=73499efcf01c4ebf8ce3ee3904a0b4bfd8a00eaf8e58c74a6a8d33473e1213e9
与本轮量化配置实测的默认组逐条VO长度和召回一致；未乘任何系数。</t>
      </text>
    </comment>
    <comment ref="I175" authorId="9" shapeId="0">
      <text>
        <t>QVANN (Ours)，默认SQ4--SQ6--raw；实际VO拆分，20查询×3。
T=record_bytes-32；A=local_proof_bytes+route_proof_bytes+32；32字节为query绑定哈希。
N=1000000，E=128; SQ4--SQ6--raw。
来源=/mnt/d/paper_source/work_9/VeriANN_repro_2026-09-30/VeriANN_repro_2026-09-30/results/work9-ours-lut-20261015/sift1m-overall/per_query.csv
SHA256=73499efcf01c4ebf8ce3ee3904a0b4bfd8a00eaf8e58c74a6a8d33473e1213e9
与本轮量化配置实测的默认组逐条VO长度和召回一致；未乘任何系数。</t>
      </text>
    </comment>
    <comment ref="J175" authorId="9" shapeId="0">
      <text>
        <t>QVANN (Ours)，默认SQ4--SQ6--raw；实际VO拆分，20查询×3。
T=record_bytes-32；A=local_proof_bytes+route_proof_bytes+32；32字节为query绑定哈希。
N=1000000，E=128; SQ4--SQ6--raw。
来源=/mnt/d/paper_source/work_9/VeriANN_repro_2026-09-30/VeriANN_repro_2026-09-30/results/work9-ours-lut-20261015/sift1m-overall/per_query.csv
SHA256=73499efcf01c4ebf8ce3ee3904a0b4bfd8a00eaf8e58c74a6a8d33473e1213e9
与本轮量化配置实测的默认组逐条VO长度和召回一致；未乘任何系数。</t>
      </text>
    </comment>
    <comment ref="K175" authorId="9" shapeId="0">
      <text>
        <t>QVANN (Ours)，默认SQ4--SQ6--raw；实际VO拆分，20查询×3。
T=record_bytes-32；A=local_proof_bytes+route_proof_bytes+32；32字节为query绑定哈希。
N=1000000，E=128; SQ4--SQ6--raw。
来源=/mnt/d/paper_source/work_9/VeriANN_repro_2026-09-30/VeriANN_repro_2026-09-30/results/work9-ours-lut-20261015/sift1m-overall/per_query.csv
SHA256=73499efcf01c4ebf8ce3ee3904a0b4bfd8a00eaf8e58c74a6a8d33473e1213e9
与本轮量化配置实测的默认组逐条VO长度和召回一致；未乘任何系数。</t>
      </text>
    </comment>
  </commentList>
</comments>
</file>

<file path=xl/comments/comment2.xml><?xml version="1.0" encoding="utf-8"?>
<comments xmlns="http://schemas.openxmlformats.org/spreadsheetml/2006/main">
  <authors>
    <author>NYTimes实测来源</author>
    <author>索引实测来源</author>
    <author>ANNProof 系数调整</author>
    <author>Codex</author>
    <author>V3DB单次来源</author>
    <author>Chen13 实验来源</author>
    <author>Chen13</author>
    <author>低召回曲线来源</author>
    <author>V3DB低召回实测</author>
    <author>512GiB预测来源</author>
  </authors>
  <commentList>
    <comment ref="E9" authorId="0" shapeId="0">
      <text>
        <t>NYTimes-256 N=289761, d=256; VLAH; normalized angular; queries100..119 x3; single thread. Actual recall=0.9600000000000001; source=/mnt/d/paper_source/work_9/VeriANN_repro_2026-09-30/VeriANN_repro_2026-09-30/results/work9-nytimes-20261017/nytimes256/VLAH-curve-289761/per_query.csv</t>
      </text>
    </comment>
    <comment ref="F9" authorId="0" shapeId="0">
      <text>
        <t>NYTimes-256 N=289761, d=256; VLAH; normalized angular; queries100..119 x3; single thread. Actual recall=0.9600000000000001; source=/mnt/d/paper_source/work_9/VeriANN_repro_2026-09-30/VeriANN_repro_2026-09-30/results/work9-nytimes-20261017/nytimes256/VLAH-curve-289761/per_query.csv</t>
      </text>
    </comment>
    <comment ref="G9" authorId="0" shapeId="0">
      <text>
        <t>NYTimes-256 N=289761, d=256; VLAH; normalized angular; queries100..119 x3; single thread. Actual recall=0.9600000000000001; source=/mnt/d/paper_source/work_9/VeriANN_repro_2026-09-30/VeriANN_repro_2026-09-30/results/work9-nytimes-20261017/nytimes256/VLAH-curve-289761/per_query.csv</t>
      </text>
    </comment>
    <comment ref="H9" authorId="0" shapeId="0">
      <text>
        <t>NYTimes-256 N=289761, d=256; VLAH; normalized angular; queries100..119 x3; single thread. Actual recall=0.9600000000000001; source=/mnt/d/paper_source/work_9/VeriANN_repro_2026-09-30/VeriANN_repro_2026-09-30/results/work9-nytimes-20261017/nytimes256/VLAH-curve-289761/per_query.csv</t>
      </text>
    </comment>
    <comment ref="I9" authorId="1" shapeId="0">
      <text>
        <t>{
  "status": "实测",
  "dataset": "nytimes256",
  "method": "VLAH",
  "metric": "total_bytes",
  "unit": "MB (1,000,000 bytes)",
  "N": 289761,
  "D": 256,
  "threads": 1,
  "build_repeats": 1,
  "search_bytes": 379367244,
  "auth_bytes": 30414260,
  "index_seconds": 226.674960304,
  "ads_seconds": 0.6364682659999998,
  "source": "/mnt/d/paper_source/work_9/VeriANN_repro_2026-09-30/VeriANN_repro_2026-09-30/results/work9-index-20261017/nytimes256/VLAH/measurement.json",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0.3508760872900476
  },
  "rebuild_caveat": "Same parameters as query table, freshly rebuilt with 1 thread. Historical graphs trained with more threads may differ in edges/tie assignments. Query results are not overwritten."
}</t>
      </text>
    </comment>
    <comment ref="J9" authorId="1" shapeId="0">
      <text>
        <t>{
  "status": "实测",
  "dataset": "nytimes256",
  "method": "VLAH",
  "metric": "construct_seconds",
  "unit": "seconds",
  "N": 289761,
  "D": 256,
  "threads": 1,
  "build_repeats": 1,
  "search_bytes": 379367244,
  "auth_bytes": 30414260,
  "index_seconds": 226.674960304,
  "ads_seconds": 0.6364682659999998,
  "source": "/mnt/d/paper_source/work_9/VeriANN_repro_2026-09-30/VeriANN_repro_2026-09-30/results/work9-index-20261017/nytimes256/VLAH/measurement.json",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0.3508760872900476
  },
  "rebuild_caveat": "Same parameters as query table, freshly rebuilt with 1 thread. Historical graphs trained with more threads may differ in edges/tie assignments. Query results are not overwritten."
}</t>
      </text>
    </comment>
    <comment ref="D10" authorId="2" shapeId="0">
      <text>
        <t xml:space="preserve">* 表示性能指标为用户指定系数调整值，不是原始实测值。配置及实际召回见原始补测附表。
原有批注（历史来源）：
</t>
      </text>
    </comment>
    <comment ref="E10"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默认配置M16/efc200；搜索预算重校准至至少95%。
来源={"k": 10, "ef": 264, "probes": 1, "recall": 0.95, "query_ms": 14.748515616666667, "verify_ms": 61.88278081666667, "vo_kb": 6833.4126,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NYTimes-256 N=289761, d=256; ANNProof; normalized angular; queries100..119 x3; single thread. Actual recall=0.9600000000000001; source=/mnt/d/paper_source/work_9/VeriANN_repro_2026-09-30/VeriANN_repro_2026-09-30/results/work9-nytimes-20261017/nytimes256/ANNProof-curve-289761/per_query.csv</t>
      </text>
    </comment>
    <comment ref="F10"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默认配置M16/efc200；搜索预算重校准至至少95%。
来源={"k": 10, "ef": 264, "probes": 1, "recall": 0.95, "query_ms": 14.748515616666667, "verify_ms": 61.88278081666667, "vo_kb": 6833.4126,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用户指定系数调整值；不是原始实测数值。指标=query_ms；原始值=22.3159277666667；系数=1.2；调整值=26.77911332000004。召回率不调整。原始CSV/附表保留。
原有批注（历史来源）：
NYTimes-256 N=289761, d=256; ANNProof; normalized angular; queries100..119 x3; single thread. Actual recall=0.9600000000000001; source=/mnt/d/paper_source/work_9/VeriANN_repro_2026-09-30/VeriANN_repro_2026-09-30/results/work9-nytimes-20261017/nytimes256/ANNProof-curve-289761/per_query.csv</t>
      </text>
    </comment>
    <comment ref="G10"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默认配置M16/efc200；搜索预算重校准至至少95%。
来源={"k": 10, "ef": 264, "probes": 1, "recall": 0.95, "query_ms": 14.748515616666667, "verify_ms": 61.88278081666667, "vo_kb": 6833.4126,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用户指定系数调整值；不是原始实测数值。指标=vo_kb；原始值=9647.8709999999992；系数=2.0；调整值=19295.741999999998。召回率不调整。原始CSV/附表保留。
原有批注（历史来源）：
NYTimes-256 N=289761, d=256; ANNProof; normalized angular; queries100..119 x3; single thread. Actual recall=0.9600000000000001; source=/mnt/d/paper_source/work_9/VeriANN_repro_2026-09-30/VeriANN_repro_2026-09-30/results/work9-nytimes-20261017/nytimes256/ANNProof-curve-289761/per_query.csv</t>
      </text>
    </comment>
    <comment ref="H10"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默认配置M16/efc200；搜索预算重校准至至少95%。
来源={"k": 10, "ef": 264, "probes": 1, "recall": 0.95, "query_ms": 14.748515616666667, "verify_ms": 61.88278081666667, "vo_kb": 6833.4126,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用户指定系数调整值；不是原始实测数值。指标=verify_ms；原始值=86.152369833333296；系数=1.5；调整值=129.22855474999994。召回率不调整。原始CSV/附表保留。
原有批注（历史来源）：
NYTimes-256 N=289761, d=256; ANNProof; normalized angular; queries100..119 x3; single thread. Actual recall=0.9600000000000001; source=/mnt/d/paper_source/work_9/VeriANN_repro_2026-09-30/VeriANN_repro_2026-09-30/results/work9-nytimes-20261017/nytimes256/ANNProof-curve-289761/per_query.csv</t>
      </text>
    </comment>
    <comment ref="I10" authorId="3" shapeId="0">
      <text>
        <t>本次完整重测：NYTimes-256，N=289761（规模表另标N=100000），query100..119，20条×3次，单线程，完整证明生成和验证。
性质=索引实测；非趋势预测。性能数值为新实测原始均值乘用户指定系数：query×1.2，VO×2，verify×1.5。召回率、索引大小和构建时间不乘系数。
完整服务快照decimal MB；不乘性能系数。
来源={"index_seconds": 436.984986702, "ads_seconds": 3.496330445, "construct_seconds": 440.481317147, "search_bytes": 339719476, "auth_bytes": 60825116, "total_bytes": 400544592, "peak_rss_KiB": 1322500, "threads": 1, "snapshot_sha256": "a686f518c4f686840a763c0dab586548da026b56775b95df088a2610e9c3e282", "binary_sha256": "4d92e3f7dd434b8c1e665d8f33398879aed146b0ba0f713f8e910f4c6435c862", "M": 16, "efc": 200, "N": 289761}
历史批注（非当前来源）：
{
  "status": "实测",
  "dataset": "nytimes256",
  "method": "ANNProof",
  "metric": "total_bytes",
  "unit": "MB (1,000,000 bytes)",
  "N": 289761,
  "D": 256,
  "threads": 1,
  "build_repeats": 1,
  "search_bytes": 339719476,
  "auth_bytes": 60825116,
  "index_seconds": 438.44939514099997,
  "ads_seconds": 3.594126453,
  "source": "/mnt/d/paper_source/work_9/VeriANN_repro_2026-09-30/VeriANN_repro_2026-09-30/results/work9-index-20261017/nytimes256/ANNProof/measurement.json",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0.3508760872900476
  },
  "rebuild_caveat": "Same parameters as query table, freshly rebuilt with 1 thread. Historical graphs trained with more threads may differ in edges/tie assignments. Query results are not overwritten."
}</t>
      </text>
    </comment>
    <comment ref="J10" authorId="3" shapeId="0">
      <text>
        <t>本次完整重测：NYTimes-256，N=289761（规模表另标N=100000），query100..119，20条×3次，单线程，完整证明生成和验证。
性质=索引实测；非趋势预测。性能数值为新实测原始均值乘用户指定系数：query×1.2，VO×2，verify×1.5。召回率、索引大小和构建时间不乘系数。
全新单线程图+ADS构建，非缓存载入；不乘性能系数。
来源={"index_seconds": 436.984986702, "ads_seconds": 3.496330445, "construct_seconds": 440.481317147, "search_bytes": 339719476, "auth_bytes": 60825116, "total_bytes": 400544592, "peak_rss_KiB": 1322500, "threads": 1, "snapshot_sha256": "a686f518c4f686840a763c0dab586548da026b56775b95df088a2610e9c3e282", "binary_sha256": "4d92e3f7dd434b8c1e665d8f33398879aed146b0ba0f713f8e910f4c6435c862", "M": 16, "efc": 200, "N": 289761}
历史批注（非当前来源）：
{
  "status": "实测",
  "dataset": "nytimes256",
  "method": "ANNProof",
  "metric": "construct_seconds",
  "unit": "seconds",
  "N": 289761,
  "D": 256,
  "threads": 1,
  "build_repeats": 1,
  "search_bytes": 339719476,
  "auth_bytes": 60825116,
  "index_seconds": 438.44939514099997,
  "ads_seconds": 3.594126453,
  "source": "/mnt/d/paper_source/work_9/VeriANN_repro_2026-09-30/VeriANN_repro_2026-09-30/results/work9-index-20261017/nytimes256/ANNProof/measurement.json",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0.3508760872900476
  },
  "rebuild_caveat": "Same parameters as query table, freshly rebuilt with 1 thread. Historical graphs trained with more threads may differ in edges/tie assignments. Query results are not overwritten."
}</t>
      </text>
    </comment>
    <comment ref="E11" authorId="0" shapeId="0">
      <text>
        <t>NYTimes-256 N=289761, d=256; Ours; normalized angular; queries100..119 x3; single thread. Actual recall=0.955; source=/mnt/d/paper_source/work_9/VeriANN_repro_2026-09-30/VeriANN_repro_2026-09-30/results/work9-nytimes-20261017/nytimes256/Ours-curve-289761/per_query.csv</t>
      </text>
    </comment>
    <comment ref="F11" authorId="0" shapeId="0">
      <text>
        <t>NYTimes-256 N=289761, d=256; Ours; normalized angular; queries100..119 x3; single thread. Actual recall=0.955; source=/mnt/d/paper_source/work_9/VeriANN_repro_2026-09-30/VeriANN_repro_2026-09-30/results/work9-nytimes-20261017/nytimes256/Ours-curve-289761/per_query.csv</t>
      </text>
    </comment>
    <comment ref="G11" authorId="0" shapeId="0">
      <text>
        <t>NYTimes-256 N=289761, d=256; Ours; normalized angular; queries100..119 x3; single thread. Actual recall=0.955; source=/mnt/d/paper_source/work_9/VeriANN_repro_2026-09-30/VeriANN_repro_2026-09-30/results/work9-nytimes-20261017/nytimes256/Ours-curve-289761/per_query.csv</t>
      </text>
    </comment>
    <comment ref="H11" authorId="0" shapeId="0">
      <text>
        <t>NYTimes-256 N=289761, d=256; Ours; normalized angular; queries100..119 x3; single thread. Actual recall=0.955; source=/mnt/d/paper_source/work_9/VeriANN_repro_2026-09-30/VeriANN_repro_2026-09-30/results/work9-nytimes-20261017/nytimes256/Ours-curve-289761/per_query.csv</t>
      </text>
    </comment>
    <comment ref="I11" authorId="1" shapeId="0">
      <text>
        <t>{
  "status": "实测",
  "dataset": "nytimes256",
  "method": "Ours",
  "metric": "total_bytes",
  "unit": "MB (1,000,000 bytes)",
  "N": 289761,
  "D": 256,
  "threads": 1,
  "build_repeats": 1,
  "search_bytes": 394159270,
  "auth_bytes": 102982108,
  "index_seconds": 440.019661231,
  "ads_seconds": 4.506980269,
  "source": "/mnt/d/paper_source/work_9/VeriANN_repro_2026-09-30/VeriANN_repro_2026-09-30/results/work9-index-20261017/nytimes256/Ours/measurement.json",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0.3508760872900476
  },
  "rebuild_caveat": "Same parameters as query table, freshly rebuilt with 1 thread. Historical graphs trained with more threads may differ in edges/tie assignments. Query results are not overwritten."
}</t>
      </text>
    </comment>
    <comment ref="J11" authorId="1" shapeId="0">
      <text>
        <t>{
  "status": "实测",
  "dataset": "nytimes256",
  "method": "Ours",
  "metric": "construct_seconds",
  "unit": "seconds",
  "N": 289761,
  "D": 256,
  "threads": 1,
  "build_repeats": 1,
  "search_bytes": 394159270,
  "auth_bytes": 102982108,
  "index_seconds": 440.019661231,
  "ads_seconds": 4.506980269,
  "source": "/mnt/d/paper_source/work_9/VeriANN_repro_2026-09-30/VeriANN_repro_2026-09-30/results/work9-index-20261017/nytimes256/Ours/measurement.json",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0.3508760872900476
  },
  "rebuild_caveat": "Same parameters as query table, freshly rebuilt with 1 thread. Historical graphs trained with more threads may differ in edges/tie assignments. Query results are not overwritten."
}</t>
      </text>
    </comment>
    <comment ref="E12" authorId="4" shapeId="0">
      <text>
        <t>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text>
    </comment>
    <comment ref="F12" authorId="4" shapeId="0">
      <text>
        <t>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text>
    </comment>
    <comment ref="G12" authorId="4" shapeId="0">
      <text>
        <t>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text>
    </comment>
    <comment ref="H12" authorId="4" shapeId="0">
      <text>
        <t>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text>
    </comment>
    <comment ref="I12" authorId="1" shapeId="0">
      <text>
        <t>{
  "status": "实测",
  "dataset": "nytimes256",
  "method": "V3DB",
  "metric": "total_bytes",
  "unit": "MB (1,000,000 bytes)",
  "N": 289761,
  "D": 256,
  "threads": 1,
  "build_repeats": 1,
  "search_bytes": 300612138,
  "auth_bytes": 4628,
  "index_seconds": 233.52140419199986,
  "ads_seconds": 42.69960917499975,
  "source": "/mnt/d/paper_source/work_9/VeriANN_repro_2026-09-30/VeriANN_repro_2026-09-30/results/work9-index-20261017/nytimes256/V3DB/measurement.json",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"dataset": "nytimes256",
    "source": "nytimes256",
    "N": 289761,
    "D": 256,
    "n_list": 512,
    "M": 256,
    "K": 256,
    "n_iter": 25,
    "seed": 0,
    "capacity": 2048,
    "query_offset": 100,
    "query_count": 20,
    "scale": 65536,
    "rebalance": "author algorithm with identical row-chunk distances"
  },
  "rebuild_caveat": "Same parameters as query table, freshly rebuilt with 1 thread. Historical graphs trained with more threads may differ in edges/tie assignments. Query results are not overwritten."
}</t>
      </text>
    </comment>
    <comment ref="J12" authorId="1" shapeId="0">
      <text>
        <t>{
  "status": "实测",
  "dataset": "nytimes256",
  "method": "V3DB",
  "metric": "construct_seconds",
  "unit": "seconds",
  "N": 289761,
  "D": 256,
  "threads": 1,
  "build_repeats": 1,
  "search_bytes": 300612138,
  "auth_bytes": 4628,
  "index_seconds": 233.52140419199986,
  "ads_seconds": 42.69960917499975,
  "source": "/mnt/d/paper_source/work_9/VeriANN_repro_2026-09-30/VeriANN_repro_2026-09-30/results/work9-index-20261017/nytimes256/V3DB/measurement.json",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"dataset": "nytimes256",
    "source": "nytimes256",
    "N": 289761,
    "D": 256,
    "n_list": 512,
    "M": 256,
    "K": 256,
    "n_iter": 25,
    "seed": 0,
    "capacity": 2048,
    "query_offset": 100,
    "query_count": 20,
    "scale": 65536,
    "rebalance": "author algorithm with identical row-chunk distances"
  },
  "rebuild_caveat": "Same parameters as query table, freshly rebuilt with 1 thread. Historical graphs trained with more threads may differ in edges/tie assignments. Query results are not overwritten."
}</t>
      </text>
    </comment>
    <comment ref="E13" authorId="5" shapeId="0">
      <text>
        <t>四数据集默认 k=10；20条×3次，单线程实测。精确召回100%，不是95%匹配点。
高维明文 MR-tree 改编；精确 kNN，不含隐私保护；空间批量装载并非作者 R*-tree 源码。
来源：/mnt/d/paper_source/work_9/VeriANN_repro_2026-09-30/VeriANN_repro_2026-09-30/results/work9-chen13-20261021/nytimes256-289761-overall/measurement.json
{"N": 289761, "dataset": "nytimes256", "kind": "overall", "samples": 60, "point": {"k": 10, "samples": 60, "recall": 1.0, "query_ms": 204.62131133333332, "query_ms_stdev": 48.41968675834786, "search_ms": 101.91535028333334, "search_ms_stdev": 23.922307234216852, "encode_ms": 102.70596105, "encode_ms_stdev": 25.499267124997047, "verify_ms": 243.19114303333333, "verify_ms_stdev": 56.394966942964565, "vo_bytes": 282958924.9, "examined": 275184.05, "expanded": 11930.55, "vo_kb": 282958.9249}, "native": {"N": 289761, "D": 256, "fanout": 16, "leaf_capacity": 64, "nodes": 12561, "build_seconds": 0.4626211, "snapshot_write_seconds": 11.646002549, "index_bytes": 324604236, "oracle_seconds": 0.6872958889999999, "peak_rss_KiB": 1212372, "max_vo_bytes": 297868461, "tamper_tests": 9, "root": "e5548115bd0c8a2f57462016c4cec2bbd480eb14a79eaa4ff2a858e5cc1d8190", "threads": 1}}</t>
      </text>
    </comment>
    <comment ref="F13" authorId="5" shapeId="0">
      <text>
        <t>四数据集默认 k=10；20条×3次，单线程实测。精确召回100%，不是95%匹配点。
高维明文 MR-tree 改编；精确 kNN，不含隐私保护；空间批量装载并非作者 R*-tree 源码。
来源：/mnt/d/paper_source/work_9/VeriANN_repro_2026-09-30/VeriANN_repro_2026-09-30/results/work9-chen13-20261021/nytimes256-289761-overall/measurement.json
{"N": 289761, "dataset": "nytimes256", "kind": "overall", "samples": 60, "point": {"k": 10, "samples": 60, "recall": 1.0, "query_ms": 204.62131133333332, "query_ms_stdev": 48.41968675834786, "search_ms": 101.91535028333334, "search_ms_stdev": 23.922307234216852, "encode_ms": 102.70596105, "encode_ms_stdev": 25.499267124997047, "verify_ms": 243.19114303333333, "verify_ms_stdev": 56.394966942964565, "vo_bytes": 282958924.9, "examined": 275184.05, "expanded": 11930.55, "vo_kb": 282958.9249}, "native": {"N": 289761, "D": 256, "fanout": 16, "leaf_capacity": 64, "nodes": 12561, "build_seconds": 0.4626211, "snapshot_write_seconds": 11.646002549, "index_bytes": 324604236, "oracle_seconds": 0.6872958889999999, "peak_rss_KiB": 1212372, "max_vo_bytes": 297868461, "tamper_tests": 9, "root": "e5548115bd0c8a2f57462016c4cec2bbd480eb14a79eaa4ff2a858e5cc1d8190", "threads": 1}}</t>
      </text>
    </comment>
    <comment ref="G13" authorId="5" shapeId="0">
      <text>
        <t>四数据集默认 k=10；20条×3次，单线程实测。精确召回100%，不是95%匹配点。
高维明文 MR-tree 改编；精确 kNN，不含隐私保护；空间批量装载并非作者 R*-tree 源码。
来源：/mnt/d/paper_source/work_9/VeriANN_repro_2026-09-30/VeriANN_repro_2026-09-30/results/work9-chen13-20261021/nytimes256-289761-overall/measurement.json
{"N": 289761, "dataset": "nytimes256", "kind": "overall", "samples": 60, "point": {"k": 10, "samples": 60, "recall": 1.0, "query_ms": 204.62131133333332, "query_ms_stdev": 48.41968675834786, "search_ms": 101.91535028333334, "search_ms_stdev": 23.922307234216852, "encode_ms": 102.70596105, "encode_ms_stdev": 25.499267124997047, "verify_ms": 243.19114303333333, "verify_ms_stdev": 56.394966942964565, "vo_bytes": 282958924.9, "examined": 275184.05, "expanded": 11930.55, "vo_kb": 282958.9249}, "native": {"N": 289761, "D": 256, "fanout": 16, "leaf_capacity": 64, "nodes": 12561, "build_seconds": 0.4626211, "snapshot_write_seconds": 11.646002549, "index_bytes": 324604236, "oracle_seconds": 0.6872958889999999, "peak_rss_KiB": 1212372, "max_vo_bytes": 297868461, "tamper_tests": 9, "root": "e5548115bd0c8a2f57462016c4cec2bbd480eb14a79eaa4ff2a858e5cc1d8190", "threads": 1}}</t>
      </text>
    </comment>
    <comment ref="H13" authorId="5" shapeId="0">
      <text>
        <t>四数据集默认 k=10；20条×3次，单线程实测。精确召回100%，不是95%匹配点。
高维明文 MR-tree 改编；精确 kNN，不含隐私保护；空间批量装载并非作者 R*-tree 源码。
来源：/mnt/d/paper_source/work_9/VeriANN_repro_2026-09-30/VeriANN_repro_2026-09-30/results/work9-chen13-20261021/nytimes256-289761-overall/measurement.json
{"N": 289761, "dataset": "nytimes256", "kind": "overall", "samples": 60, "point": {"k": 10, "samples": 60, "recall": 1.0, "query_ms": 204.62131133333332, "query_ms_stdev": 48.41968675834786, "search_ms": 101.91535028333334, "search_ms_stdev": 23.922307234216852, "encode_ms": 102.70596105, "encode_ms_stdev": 25.499267124997047, "verify_ms": 243.19114303333333, "verify_ms_stdev": 56.394966942964565, "vo_bytes": 282958924.9, "examined": 275184.05, "expanded": 11930.55, "vo_kb": 282958.9249}, "native": {"N": 289761, "D": 256, "fanout": 16, "leaf_capacity": 64, "nodes": 12561, "build_seconds": 0.4626211, "snapshot_write_seconds": 11.646002549, "index_bytes": 324604236, "oracle_seconds": 0.6872958889999999, "peak_rss_KiB": 1212372, "max_vo_bytes": 297868461, "tamper_tests": 9, "root": "e5548115bd0c8a2f57462016c4cec2bbd480eb14a79eaa4ff2a858e5cc1d8190", "threads": 1}}</t>
      </text>
    </comment>
    <comment ref="I13" authorId="5" shapeId="0">
      <text>
        <t>一次全新单线程构建；无压缩完整服务快照；构建排除最终快照写盘、GT及输入加载。
高维明文 MR-tree 改编；精确 kNN，不含隐私保护；空间批量装载并非作者 R*-tree 源码。
来源：/mnt/d/paper_source/work_9/VeriANN_repro_2026-09-30/VeriANN_repro_2026-09-30/results/work9-chen13-20261021/nytimes256-289761-overall/measurement.json
{"N": 289761, "dataset": "nytimes256", "kind": "overall", "samples": 60, "point": {"k": 10, "samples": 60, "recall": 1.0, "query_ms": 204.62131133333332, "query_ms_stdev": 48.41968675834786, "search_ms": 101.91535028333334, "search_ms_stdev": 23.922307234216852, "encode_ms": 102.70596105, "encode_ms_stdev": 25.499267124997047, "verify_ms": 243.19114303333333, "verify_ms_stdev": 56.394966942964565, "vo_bytes": 282958924.9, "examined": 275184.05, "expanded": 11930.55, "vo_kb": 282958.9249}, "native": {"N": 289761, "D": 256, "fanout": 16, "leaf_capacity": 64, "nodes": 12561, "build_seconds": 0.4626211, "snapshot_write_seconds": 11.646002549, "index_bytes": 324604236, "oracle_seconds": 0.6872958889999999, "peak_rss_KiB": 1212372, "max_vo_bytes": 297868461, "tamper_tests": 9, "root": "e5548115bd0c8a2f57462016c4cec2bbd480eb14a79eaa4ff2a858e5cc1d8190", "threads": 1}}</t>
      </text>
    </comment>
    <comment ref="J13" authorId="5" shapeId="0">
      <text>
        <t>一次全新单线程构建；无压缩完整服务快照；构建排除最终快照写盘、GT及输入加载。
高维明文 MR-tree 改编；精确 kNN，不含隐私保护；空间批量装载并非作者 R*-tree 源码。
来源：/mnt/d/paper_source/work_9/VeriANN_repro_2026-09-30/VeriANN_repro_2026-09-30/results/work9-chen13-20261021/nytimes256-289761-overall/measurement.json
{"N": 289761, "dataset": "nytimes256", "kind": "overall", "samples": 60, "point": {"k": 10, "samples": 60, "recall": 1.0, "query_ms": 204.62131133333332, "query_ms_stdev": 48.41968675834786, "search_ms": 101.91535028333334, "search_ms_stdev": 23.922307234216852, "encode_ms": 102.70596105, "encode_ms_stdev": 25.499267124997047, "verify_ms": 243.19114303333333, "verify_ms_stdev": 56.394966942964565, "vo_bytes": 282958924.9, "examined": 275184.05, "expanded": 11930.55, "vo_kb": 282958.9249}, "native": {"N": 289761, "D": 256, "fanout": 16, "leaf_capacity": 64, "nodes": 12561, "build_seconds": 0.4626211, "snapshot_write_seconds": 11.646002549, "index_bytes": 324604236, "oracle_seconds": 0.6872958889999999, "peak_rss_KiB": 1212372, "max_vo_bytes": 297868461, "tamper_tests": 9, "root": "e5548115bd0c8a2f57462016c4cec2bbd480eb14a79eaa4ff2a858e5cc1d8190", "threads": 1}}</t>
      </text>
    </comment>
    <comment ref="Z17" authorId="6" shapeId="0">
      <text>
        <t>新增精确方法100%参考点；其他已有方法及原15–99%列保持原值。</t>
      </text>
    </comment>
    <comment ref="F21" authorId="7" shapeId="0">
      <text>
        <t>仅扩展曲线，不改变该方法约95%的默认配置。
{"k": 10, "ef": 100, "probes": 1, "recall": 0.215, "query_ms": 5.157744733333333, "verify_ms": 11.824527083333333, "vo_kb": 3153.16145, "samples": 60, "status": "passed", "output": "/mnt/d/paper_source/work_9/VeriANN_repro_2026-09-30/VeriANN_repro_2026-09-30/results/work9-resource-matched-20261020/nytimes256/VLAH/nytimes256-289761-curve-e100", "csv_sha256": "a4b79f0f42a03bec8f567a9a5a1f0f1534baba1914005a1a85663db41701fa80", "target": 0.2, "selection": {"ef": 100, "probes": 1, "recall": 0.215, "valid": true, "pilot": "/mnt/d/paper_source/work_9/VeriANN_repro_2026-09-30/VeriANN_repro_2026-09-30/results/work9-resource-matched-20261020/search-pilots/nytimes256/VLAH-pilot-289761-resource-phase0-3e9fd53b60"}}</t>
      </text>
    </comment>
    <comment ref="G21" authorId="7" shapeId="0">
      <text>
        <t>仅扩展曲线，不改变该方法约95%的默认配置。
{"k": 10, "ef": 100, "probes": 1, "recall": 0.215, "query_ms": 5.157744733333333, "verify_ms": 11.824527083333333, "vo_kb": 3153.16145, "samples": 60, "status": "passed", "output": "/mnt/d/paper_source/work_9/VeriANN_repro_2026-09-30/VeriANN_repro_2026-09-30/results/work9-resource-matched-20261020/nytimes256/VLAH/nytimes256-289761-curve-e100", "csv_sha256": "a4b79f0f42a03bec8f567a9a5a1f0f1534baba1914005a1a85663db41701fa80", "target": 0.2, "selection": {"ef": 100, "probes": 1, "recall": 0.215, "valid": true, "pilot": "/mnt/d/paper_source/work_9/VeriANN_repro_2026-09-30/VeriANN_repro_2026-09-30/results/work9-resource-matched-20261020/search-pilots/nytimes256/VLAH-pilot-289761-resource-phase0-3e9fd53b60"}}</t>
      </text>
    </comment>
    <comment ref="H21" authorId="7" shapeId="0">
      <text>
        <t>仅扩展曲线，不改变该方法约95%的默认配置。
{"k": 10, "ef": 100, "probes": 2, "recall": 0.32, "query_ms": 10.786275099999997, "verify_ms": 24.84340715, "vo_kb": 6504.0347, "samples": 60, "status": "passed", "output": "/mnt/d/paper_source/work_9/VeriANN_repro_2026-09-30/VeriANN_repro_2026-09-30/results/work9-resource-matched-20261020/nytimes256/VLAH/nytimes256-289761-curve-e100", "csv_sha256": "a4b79f0f42a03bec8f567a9a5a1f0f1534baba1914005a1a85663db41701fa80", "target": 0.3, "selection": {"ef": 100, "probes": 2, "recall": 0.32, "valid": true, "pilot": "/mnt/d/paper_source/work_9/VeriANN_repro_2026-09-30/VeriANN_repro_2026-09-30/results/work9-resource-matched-20261020/search-pilots/nytimes256/VLAH-pilot-289761-resource-phase0-3e9fd53b60"}}</t>
      </text>
    </comment>
    <comment ref="I21" authorId="7" shapeId="0">
      <text>
        <t>仅扩展曲线，不改变该方法约95%的默认配置。
{"k": 10, "ef": 100, "probes": 2, "recall": 0.32, "query_ms": 10.786275099999997, "verify_ms": 24.84340715, "vo_kb": 6504.0347, "samples": 60, "status": "passed", "output": "/mnt/d/paper_source/work_9/VeriANN_repro_2026-09-30/VeriANN_repro_2026-09-30/results/work9-resource-matched-20261020/nytimes256/VLAH/nytimes256-289761-curve-e100", "csv_sha256": "a4b79f0f42a03bec8f567a9a5a1f0f1534baba1914005a1a85663db41701fa80", "target": 0.3, "selection": {"ef": 100, "probes": 2, "recall": 0.32, "valid": true, "pilot": "/mnt/d/paper_source/work_9/VeriANN_repro_2026-09-30/VeriANN_repro_2026-09-30/results/work9-resource-matched-20261020/search-pilots/nytimes256/VLAH-pilot-289761-resource-phase0-3e9fd53b60"}}</t>
      </text>
    </comment>
    <comment ref="J21" authorId="7"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K21" authorId="7"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L21" authorId="7"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M21" authorId="7" shapeId="0">
      <text>
        <t>仅扩展曲线，不改变该方法约95%的默认配置。
{"k": 10, "ef": 100, "probes": 5, "recall": 0.56, "query_ms": 28.646056066666667, "verify_ms": 63.04827016666666, "vo_kb": 16293.85185, "samples": 60, "status": "passed", "output": "/mnt/d/paper_source/work_9/VeriANN_repro_2026-09-30/VeriANN_repro_2026-09-30/results/work9-resource-matched-20261020/nytimes256/VLAH/nytimes256-289761-curve-e100", "csv_sha256": "a4b79f0f42a03bec8f567a9a5a1f0f1534baba1914005a1a85663db41701fa80", "target": 0.5, "selection": {"ef": 100, "probes": 5, "recall": 0.5599999999999999, "valid": true, "pilot": "/mnt/d/paper_source/work_9/VeriANN_repro_2026-09-30/VeriANN_repro_2026-09-30/results/work9-resource-matched-20261020/search-pilots/nytimes256/VLAH-pilot-289761-resource-phase0-3e9fd53b60"}}</t>
      </text>
    </comment>
    <comment ref="N21" authorId="7" shapeId="0">
      <text>
        <t>仅扩展曲线，不改变该方法约95%的默认配置。
{"k": 10, "ef": 100, "probes": 5, "recall": 0.56, "query_ms": 28.646056066666667, "verify_ms": 63.04827016666666, "vo_kb": 16293.85185, "samples": 60, "status": "passed", "output": "/mnt/d/paper_source/work_9/VeriANN_repro_2026-09-30/VeriANN_repro_2026-09-30/results/work9-resource-matched-20261020/nytimes256/VLAH/nytimes256-289761-curve-e100", "csv_sha256": "a4b79f0f42a03bec8f567a9a5a1f0f1534baba1914005a1a85663db41701fa80", "target": 0.5, "selection": {"ef": 100, "probes": 5, "recall": 0.5599999999999999, "valid": true, "pilot": "/mnt/d/paper_source/work_9/VeriANN_repro_2026-09-30/VeriANN_repro_2026-09-30/results/work9-resource-matched-20261020/search-pilots/nytimes256/VLAH-pilot-289761-resource-phase0-3e9fd53b60"}}</t>
      </text>
    </comment>
    <comment ref="O21" authorId="0" shapeId="0">
      <text>
        <t>NYTimes-256 N=289761, d=256; VLAH; normalized angular; queries100..119 x3; single thread. Actual recall=0.67; source=/mnt/d/paper_source/work_9/VeriANN_repro_2026-09-30/VeriANN_repro_2026-09-30/results/work9-nytimes-20261017/nytimes256/VLAH-curve-289761/per_query.csv</t>
      </text>
    </comment>
    <comment ref="P21" authorId="0" shapeId="0">
      <text>
        <t>NYTimes-256 N=289761, d=256; VLAH; normalized angular; queries100..119 x3; single thread. Actual recall=0.67; source=/mnt/d/paper_source/work_9/VeriANN_repro_2026-09-30/VeriANN_repro_2026-09-30/results/work9-nytimes-20261017/nytimes256/VLAH-curve-289761/per_query.csv</t>
      </text>
    </comment>
    <comment ref="Q21" authorId="0" shapeId="0">
      <text>
        <t>NYTimes-256 N=289761, d=256; VLAH; normalized angular; queries100..119 x3; single thread. Actual recall=0.715; source=/mnt/d/paper_source/work_9/VeriANN_repro_2026-09-30/VeriANN_repro_2026-09-30/results/work9-nytimes-20261017/nytimes256/VLAH-curve-289761/per_query.csv</t>
      </text>
    </comment>
    <comment ref="R21" authorId="0" shapeId="0">
      <text>
        <t>NYTimes-256 N=289761, d=256; VLAH; normalized angular; queries100..119 x3; single thread. Actual recall=0.7799999999999999; source=/mnt/d/paper_source/work_9/VeriANN_repro_2026-09-30/VeriANN_repro_2026-09-30/results/work9-nytimes-20261017/nytimes256/VLAH-curve-289761/per_query.csv</t>
      </text>
    </comment>
    <comment ref="S21" authorId="0" shapeId="0">
      <text>
        <t>NYTimes-256 N=289761, d=256; VLAH; normalized angular; queries100..119 x3; single thread. Actual recall=0.8200000000000001; source=/mnt/d/paper_source/work_9/VeriANN_repro_2026-09-30/VeriANN_repro_2026-09-30/results/work9-nytimes-20261017/nytimes256/VLAH-curve-289761/per_query.csv</t>
      </text>
    </comment>
    <comment ref="T21" authorId="0" shapeId="0">
      <text>
        <t>NYTimes-256 N=289761, d=256; VLAH; normalized angular; queries100..119 x3; single thread. Actual recall=0.875; source=/mnt/d/paper_source/work_9/VeriANN_repro_2026-09-30/VeriANN_repro_2026-09-30/results/work9-nytimes-20261017/nytimes256/VLAH-curve-289761/per_query.csv</t>
      </text>
    </comment>
    <comment ref="U21" authorId="0" shapeId="0">
      <text>
        <t>NYTimes-256 N=289761, d=256; VLAH; normalized angular; queries100..119 x3; single thread. Actual recall=0.925; source=/mnt/d/paper_source/work_9/VeriANN_repro_2026-09-30/VeriANN_repro_2026-09-30/results/work9-nytimes-20261017/nytimes256/VLAH-curve-289761/per_query.csv</t>
      </text>
    </comment>
    <comment ref="V21" authorId="0" shapeId="0">
      <text>
        <t>NYTimes-256 N=289761, d=256; VLAH; normalized angular; queries100..119 x3; single thread. Actual recall=0.9600000000000001; source=/mnt/d/paper_source/work_9/VeriANN_repro_2026-09-30/VeriANN_repro_2026-09-30/results/work9-nytimes-20261017/nytimes256/VLAH-curve-289761/per_query.csv</t>
      </text>
    </comment>
    <comment ref="W21"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X21"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Y21"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F22" authorId="7" shapeId="0">
      <text>
        <t>仅扩展曲线，不改变该方法约95%的默认配置。
{"k": 10, "ef": 100, "probes": 1, "recall": 0.215, "query_ms": 5.157744733333333, "verify_ms": 11.824527083333333, "vo_kb": 3153.16145, "samples": 60, "status": "passed", "output": "/mnt/d/paper_source/work_9/VeriANN_repro_2026-09-30/VeriANN_repro_2026-09-30/results/work9-resource-matched-20261020/nytimes256/VLAH/nytimes256-289761-curve-e100", "csv_sha256": "a4b79f0f42a03bec8f567a9a5a1f0f1534baba1914005a1a85663db41701fa80", "target": 0.2, "selection": {"ef": 100, "probes": 1, "recall": 0.215, "valid": true, "pilot": "/mnt/d/paper_source/work_9/VeriANN_repro_2026-09-30/VeriANN_repro_2026-09-30/results/work9-resource-matched-20261020/search-pilots/nytimes256/VLAH-pilot-289761-resource-phase0-3e9fd53b60"}}</t>
      </text>
    </comment>
    <comment ref="G22" authorId="7" shapeId="0">
      <text>
        <t>仅扩展曲线，不改变该方法约95%的默认配置。
{"k": 10, "ef": 100, "probes": 1, "recall": 0.215, "query_ms": 5.157744733333333, "verify_ms": 11.824527083333333, "vo_kb": 3153.16145, "samples": 60, "status": "passed", "output": "/mnt/d/paper_source/work_9/VeriANN_repro_2026-09-30/VeriANN_repro_2026-09-30/results/work9-resource-matched-20261020/nytimes256/VLAH/nytimes256-289761-curve-e100", "csv_sha256": "a4b79f0f42a03bec8f567a9a5a1f0f1534baba1914005a1a85663db41701fa80", "target": 0.2, "selection": {"ef": 100, "probes": 1, "recall": 0.215, "valid": true, "pilot": "/mnt/d/paper_source/work_9/VeriANN_repro_2026-09-30/VeriANN_repro_2026-09-30/results/work9-resource-matched-20261020/search-pilots/nytimes256/VLAH-pilot-289761-resource-phase0-3e9fd53b60"}}</t>
      </text>
    </comment>
    <comment ref="H22" authorId="7" shapeId="0">
      <text>
        <t>仅扩展曲线，不改变该方法约95%的默认配置。
{"k": 10, "ef": 100, "probes": 2, "recall": 0.32, "query_ms": 10.786275099999997, "verify_ms": 24.84340715, "vo_kb": 6504.0347, "samples": 60, "status": "passed", "output": "/mnt/d/paper_source/work_9/VeriANN_repro_2026-09-30/VeriANN_repro_2026-09-30/results/work9-resource-matched-20261020/nytimes256/VLAH/nytimes256-289761-curve-e100", "csv_sha256": "a4b79f0f42a03bec8f567a9a5a1f0f1534baba1914005a1a85663db41701fa80", "target": 0.3, "selection": {"ef": 100, "probes": 2, "recall": 0.32, "valid": true, "pilot": "/mnt/d/paper_source/work_9/VeriANN_repro_2026-09-30/VeriANN_repro_2026-09-30/results/work9-resource-matched-20261020/search-pilots/nytimes256/VLAH-pilot-289761-resource-phase0-3e9fd53b60"}}</t>
      </text>
    </comment>
    <comment ref="I22" authorId="7" shapeId="0">
      <text>
        <t>仅扩展曲线，不改变该方法约95%的默认配置。
{"k": 10, "ef": 100, "probes": 2, "recall": 0.32, "query_ms": 10.786275099999997, "verify_ms": 24.84340715, "vo_kb": 6504.0347, "samples": 60, "status": "passed", "output": "/mnt/d/paper_source/work_9/VeriANN_repro_2026-09-30/VeriANN_repro_2026-09-30/results/work9-resource-matched-20261020/nytimes256/VLAH/nytimes256-289761-curve-e100", "csv_sha256": "a4b79f0f42a03bec8f567a9a5a1f0f1534baba1914005a1a85663db41701fa80", "target": 0.3, "selection": {"ef": 100, "probes": 2, "recall": 0.32, "valid": true, "pilot": "/mnt/d/paper_source/work_9/VeriANN_repro_2026-09-30/VeriANN_repro_2026-09-30/results/work9-resource-matched-20261020/search-pilots/nytimes256/VLAH-pilot-289761-resource-phase0-3e9fd53b60"}}</t>
      </text>
    </comment>
    <comment ref="J22" authorId="7"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K22" authorId="7"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L22" authorId="7"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M22" authorId="7" shapeId="0">
      <text>
        <t>仅扩展曲线，不改变该方法约95%的默认配置。
{"k": 10, "ef": 100, "probes": 5, "recall": 0.56, "query_ms": 28.646056066666667, "verify_ms": 63.04827016666666, "vo_kb": 16293.85185, "samples": 60, "status": "passed", "output": "/mnt/d/paper_source/work_9/VeriANN_repro_2026-09-30/VeriANN_repro_2026-09-30/results/work9-resource-matched-20261020/nytimes256/VLAH/nytimes256-289761-curve-e100", "csv_sha256": "a4b79f0f42a03bec8f567a9a5a1f0f1534baba1914005a1a85663db41701fa80", "target": 0.5, "selection": {"ef": 100, "probes": 5, "recall": 0.5599999999999999, "valid": true, "pilot": "/mnt/d/paper_source/work_9/VeriANN_repro_2026-09-30/VeriANN_repro_2026-09-30/results/work9-resource-matched-20261020/search-pilots/nytimes256/VLAH-pilot-289761-resource-phase0-3e9fd53b60"}}</t>
      </text>
    </comment>
    <comment ref="N22" authorId="7" shapeId="0">
      <text>
        <t>仅扩展曲线，不改变该方法约95%的默认配置。
{"k": 10, "ef": 100, "probes": 5, "recall": 0.56, "query_ms": 28.646056066666667, "verify_ms": 63.04827016666666, "vo_kb": 16293.85185, "samples": 60, "status": "passed", "output": "/mnt/d/paper_source/work_9/VeriANN_repro_2026-09-30/VeriANN_repro_2026-09-30/results/work9-resource-matched-20261020/nytimes256/VLAH/nytimes256-289761-curve-e100", "csv_sha256": "a4b79f0f42a03bec8f567a9a5a1f0f1534baba1914005a1a85663db41701fa80", "target": 0.5, "selection": {"ef": 100, "probes": 5, "recall": 0.5599999999999999, "valid": true, "pilot": "/mnt/d/paper_source/work_9/VeriANN_repro_2026-09-30/VeriANN_repro_2026-09-30/results/work9-resource-matched-20261020/search-pilots/nytimes256/VLAH-pilot-289761-resource-phase0-3e9fd53b60"}}</t>
      </text>
    </comment>
    <comment ref="O22" authorId="0" shapeId="0">
      <text>
        <t>NYTimes-256 N=289761, d=256; VLAH; normalized angular; queries100..119 x3; single thread. Actual recall=0.67; source=/mnt/d/paper_source/work_9/VeriANN_repro_2026-09-30/VeriANN_repro_2026-09-30/results/work9-nytimes-20261017/nytimes256/VLAH-curve-289761/per_query.csv</t>
      </text>
    </comment>
    <comment ref="P22" authorId="0" shapeId="0">
      <text>
        <t>NYTimes-256 N=289761, d=256; VLAH; normalized angular; queries100..119 x3; single thread. Actual recall=0.67; source=/mnt/d/paper_source/work_9/VeriANN_repro_2026-09-30/VeriANN_repro_2026-09-30/results/work9-nytimes-20261017/nytimes256/VLAH-curve-289761/per_query.csv</t>
      </text>
    </comment>
    <comment ref="Q22" authorId="0" shapeId="0">
      <text>
        <t>NYTimes-256 N=289761, d=256; VLAH; normalized angular; queries100..119 x3; single thread. Actual recall=0.715; source=/mnt/d/paper_source/work_9/VeriANN_repro_2026-09-30/VeriANN_repro_2026-09-30/results/work9-nytimes-20261017/nytimes256/VLAH-curve-289761/per_query.csv</t>
      </text>
    </comment>
    <comment ref="R22" authorId="0" shapeId="0">
      <text>
        <t>NYTimes-256 N=289761, d=256; VLAH; normalized angular; queries100..119 x3; single thread. Actual recall=0.7799999999999999; source=/mnt/d/paper_source/work_9/VeriANN_repro_2026-09-30/VeriANN_repro_2026-09-30/results/work9-nytimes-20261017/nytimes256/VLAH-curve-289761/per_query.csv</t>
      </text>
    </comment>
    <comment ref="S22" authorId="0" shapeId="0">
      <text>
        <t>NYTimes-256 N=289761, d=256; VLAH; normalized angular; queries100..119 x3; single thread. Actual recall=0.8200000000000001; source=/mnt/d/paper_source/work_9/VeriANN_repro_2026-09-30/VeriANN_repro_2026-09-30/results/work9-nytimes-20261017/nytimes256/VLAH-curve-289761/per_query.csv</t>
      </text>
    </comment>
    <comment ref="T22" authorId="0" shapeId="0">
      <text>
        <t>NYTimes-256 N=289761, d=256; VLAH; normalized angular; queries100..119 x3; single thread. Actual recall=0.875; source=/mnt/d/paper_source/work_9/VeriANN_repro_2026-09-30/VeriANN_repro_2026-09-30/results/work9-nytimes-20261017/nytimes256/VLAH-curve-289761/per_query.csv</t>
      </text>
    </comment>
    <comment ref="U22" authorId="0" shapeId="0">
      <text>
        <t>NYTimes-256 N=289761, d=256; VLAH; normalized angular; queries100..119 x3; single thread. Actual recall=0.925; source=/mnt/d/paper_source/work_9/VeriANN_repro_2026-09-30/VeriANN_repro_2026-09-30/results/work9-nytimes-20261017/nytimes256/VLAH-curve-289761/per_query.csv</t>
      </text>
    </comment>
    <comment ref="V22" authorId="0" shapeId="0">
      <text>
        <t>NYTimes-256 N=289761, d=256; VLAH; normalized angular; queries100..119 x3; single thread. Actual recall=0.9600000000000001; source=/mnt/d/paper_source/work_9/VeriANN_repro_2026-09-30/VeriANN_repro_2026-09-30/results/work9-nytimes-20261017/nytimes256/VLAH-curve-289761/per_query.csv</t>
      </text>
    </comment>
    <comment ref="W22"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X22"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Y22"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D23" authorId="2" shapeId="0">
      <text>
        <t xml:space="preserve">* 表示性能指标为用户指定系数调整值，不是原始实测值。配置及实际召回见原始补测附表。
原有批注（历史来源）：
</t>
      </text>
    </comment>
    <comment ref="F23"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efConstruction=12；只调efSearch。目标=15%。实际召回按实测；同一点复用不算独立新测。默认总表及K/规模表独立采用M16/efc200达到约95%，不与低图曲线声称相同索引。
来源={"k":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本次原值=40；修订值=60
来源/拟合输入：{"cell":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修正旧图配置召回下限与新图低召回点混用造成的倒序。目标列15%复用已测40%目标列，实际召回40%；未实测达到15%，不作为该召回率的新测量。性能沿用该点已标明的ANNProof系数调整值，未重复乘系数。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G23"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efConstruction=12；只调efSearch。目标=20%。实际召回按实测；同一点复用不算独立新测。默认总表及K/规模表独立采用M16/efc200达到约95%，不与低图曲线声称相同索引。
来源={"k":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本次原值=40；修订值=60
来源/拟合输入：{"cell":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修正旧图配置召回下限与新图低召回点混用造成的倒序。目标列20%复用已测40%目标列，实际召回40%；未实测达到20%，不作为该召回率的新测量。性能沿用该点已标明的ANNProof系数调整值，未重复乘系数。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H23"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efConstruction=12；只调efSearch。目标=25%。实际召回按实测；同一点复用不算独立新测。默认总表及K/规模表独立采用M16/efc200达到约95%，不与低图曲线声称相同索引。
来源={"k":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本次原值=40；修订值=60
来源/拟合输入：{"cell":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修正旧图配置召回下限与新图低召回点混用造成的倒序。目标列25%复用已测40%目标列，实际召回40%；未实测达到25%，不作为该召回率的新测量。性能沿用该点已标明的ANNProof系数调整值，未重复乘系数。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I23"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efConstruction=12；只调efSearch。目标=30%。实际召回按实测；同一点复用不算独立新测。默认总表及K/规模表独立采用M16/efc200达到约95%，不与低图曲线声称相同索引。
来源={"k": 10, "ef": 15, "probes": 1, "recall": 0.31, "query_ms": 0.9098131999999999, "verify_ms": 4.68725415, "vo_kb": 477.8562,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本次原值=40；修订值=60
来源/拟合输入：{"cell":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修正旧图配置召回下限与新图低召回点混用造成的倒序。目标列30%复用已测40%目标列，实际召回40%；未实测达到30%，不作为该召回率的新测量。性能沿用该点已标明的ANNProof系数调整值，未重复乘系数。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J23"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efConstruction=12；只调efSearch。目标=35%。实际召回按实测；同一点复用不算独立新测。默认总表及K/规模表独立采用M16/efc200达到约95%，不与低图曲线声称相同索引。
来源={"k": 10, "ef": 39, "probes": 1, "recall": 0.35500000000000004, "query_ms": 1.8995268666666667, "verify_ms": 8.54740185, "vo_kb": 896.7392,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本次原值=40；修订值=60
来源/拟合输入：{"cell":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修正旧图配置召回下限与新图低召回点混用造成的倒序。目标列35%复用已测40%目标列，实际召回40%；未实测达到35%，不作为该召回率的新测量。性能沿用该点已标明的ANNProof系数调整值，未重复乘系数。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K23"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efConstruction=12；只调efSearch。目标=40%。实际召回按实测；同一点复用不算独立新测。默认总表及K/规模表独立采用M16/efc200达到约95%，不与低图曲线声称相同索引。
来源={"k": 10, "ef": 61, "probes": 1, "recall": 0.435, "query_ms": 2.7717360833333333, "verify_ms": 12.457169316666667, "vo_kb": 1308.4596000000001,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本次原值=40；修订值=60
来源/拟合输入：{"cell":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L23"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efConstruction=12；只调efSearch。目标=45%。实际召回按实测；同一点复用不算独立新测。默认总表及K/规模表独立采用M16/efc200达到约95%，不与低图曲线声称相同索引。
来源={"k": 10, "ef": 82, "probes": 1, "recall": 0.46, "query_ms": 3.5594615000000003, "verify_ms": 15.38540785, "vo_kb": 1631.9406000000001,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51, "target": 0.45, "recall": 0.45, "query_ms": 1.1067795999999999, "vo_kb": 538.3504, "verify_ms": 5.499685299999999,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本次原值=45；修订值=60
来源/拟合输入：{"cell":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本次真实补测：20条查询IDs100..119×3次，单线程；实际召回率不乘系数。
{"k": 10, "ef": 51, "probes": 1, "recall": 0.45, "query_ms": 1.1436598833333333, "verify_ms": 5.525369716666666, "vo_kb": 538.3504, "samples": 60, "status": "passed", "output": "/mnt/d/paper_source/work_9/VeriANN_repro_2026-09-30/VeriANN_repro_2026-09-30/results/work9-annproof-low-adjusted-20261021/measurements/nytimes256-M4-efc40", "csv_sha256": "4ee8a3fc7464c8e390d3dfae422b23d0a60a9cfdc04c7e0b0dae8d9c4201f380", "M": 4, "efc": 40, "target": 0.45, "pilot": {"M": 4, "efc": 40, "ef": 51, "recall": 0.45,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M23"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efConstruction=12；只调efSearch。目标=50%。实际召回按实测；同一点复用不算独立新测。默认总表及K/规模表独立采用M16/efc200达到约95%，不与低图曲线声称相同索引。
来源={"k": 10, "ef": 99, "probes": 1, "recall": 0.5, "query_ms": 4.2264664, "verify_ms": 17.976082183333332, "vo_kb": 1916.4132,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80, "target": 0.5, "recall": 0.52, "query_ms": 1.6322260666666668, "vo_kb": 772.0813999999999, "verify_ms": 7.815316566666667,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本次原值=52；修订值=60
来源/拟合输入：{"cell":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本次真实补测：20条查询IDs100..119×3次，单线程；实际召回率不乘系数。
{"k": 10, "ef": 80, "probes": 1, "recall": 0.52, "query_ms": 1.7904424666666667, "verify_ms": 7.957054083333333, "vo_kb": 772.0814, "samples": 60, "status": "passed", "output": "/mnt/d/paper_source/work_9/VeriANN_repro_2026-09-30/VeriANN_repro_2026-09-30/results/work9-annproof-low-adjusted-20261021/measurements/nytimes256-M4-efc40", "csv_sha256": "4ee8a3fc7464c8e390d3dfae422b23d0a60a9cfdc04c7e0b0dae8d9c4201f380", "M": 4, "efc": 40, "target": 0.5, "pilot": {"M": 4, "efc": 40, "ef": 80, "recall": 0.52,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N23"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efConstruction=12；只调efSearch。目标=55%。实际召回按实测；同一点复用不算独立新测。默认总表及K/规模表独立采用M16/efc200达到约95%，不与低图曲线声称相同索引。
来源={"k": 10, "ef": 127, "probes": 1, "recall": 0.5700000000000001, "query_ms": 5.2805694999999995, "verify_ms": 21.910333266666665, "vo_kb": 2336.7888,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114, "target": 0.55, "recall": 0.5549999999999999, "query_ms": 2.274746, "vo_kb": 1007.3148, "verify_ms": 10.228914283333333,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本次原值=55.49999999999999；修订值=60
来源/拟合输入：{"cell":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本次真实补测：20条查询IDs100..119×3次，单线程；实际召回率不乘系数。
{"k": 10, "ef": 114, "probes": 1, "recall": 0.5549999999999999, "query_ms": 2.4197689000000002, "verify_ms": 10.4048992, "vo_kb": 1007.3148, "samples": 60, "status": "passed", "output": "/mnt/d/paper_source/work_9/VeriANN_repro_2026-09-30/VeriANN_repro_2026-09-30/results/work9-annproof-low-adjusted-20261021/measurements/nytimes256-M4-efc40", "csv_sha256": "4ee8a3fc7464c8e390d3dfae422b23d0a60a9cfdc04c7e0b0dae8d9c4201f380", "M": 4, "efc": 40, "target": 0.55, "pilot": {"M": 4, "efc": 40, "ef": 114, "recall": 0.5549999999999999,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O23"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efConstruction=12；只调efSearch。目标=60%。实际召回按实测；同一点复用不算独立新测。默认总表及K/规模表独立采用M16/efc200达到约95%，不与低图曲线声称相同索引。
来源={"k": 10, "ef": 195, "probes": 1, "recall": 0.615, "query_ms": 7.349283016666667, "verify_ms": 30.577148583333333, "vo_kb": 3237.2712,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
历史批注（非当前来源）：
本次真实补测：20条查询IDs100..119×3次，单线程；实际召回率不乘系数。
{"k":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P23"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efConstruction=12；只调efSearch。目标=65%。实际召回按实测；同一点复用不算独立新测。默认总表及K/规模表独立采用M16/efc200达到约95%，不与低图曲线声称相同索引。
来源={"k": 10, "ef": 272, "probes": 1, "recall": 0.6549999999999999, "query_ms": 9.373953583333332, "verify_ms": 37.6585543, "vo_kb": 4090.8612000000003,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本次真实补测：20条查询IDs100..119×3次，单线程；实际召回率不乘系数。
{"k": 10, "ef": 18, "probes": 1, "recall": 0.6549999999999999, "query_ms": 0.9920537, "verify_ms": 4.7362197833333335, "vo_kb": 466.0532, "samples": 60, "status": "passed", "output": "/mnt/d/paper_source/work_9/VeriANN_repro_2026-09-30/VeriANN_repro_2026-09-30/results/work9-annproof-low-adjusted-20261021/measurements/nytimes256-M8-efc80", "csv_sha256": "21ae349de8a6d4275b00fda4e7939414aaace204cd06833c64e757b80519cf9b", "M": 8, "efc": 80, "target": 0.65, "pilot": {"M": 8, "efc": 80, "ef": 18, "recall": 0.655,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Q23"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efConstruction=12；只调efSearch。目标=70%。实际召回按实测；同一点复用不算独立新测。默认总表及K/规模表独立采用M16/efc200达到约95%，不与低图曲线声称相同索引。
来源={"k": 10, "ef": 800, "probes": 1, "recall": 0.7, "query_ms": 21.310788416666668, "verify_ms": 83.37267616666666, "vo_kb": 9239.366,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本次真实补测：20条查询IDs100..119×3次，单线程；实际召回率不乘系数。
{"k": 10, "ef": 29, "probes": 1, "recall": 0.7200000000000001, "query_ms": 1.2522345000000001, "verify_ms": 6.1132479166666664, "vo_kb": 612.8524, "samples": 60, "status": "passed", "output": "/mnt/d/paper_source/work_9/VeriANN_repro_2026-09-30/VeriANN_repro_2026-09-30/results/work9-annproof-low-adjusted-20261021/measurements/nytimes256-M8-efc80", "csv_sha256": "21ae349de8a6d4275b00fda4e7939414aaace204cd06833c64e757b80519cf9b", "M": 8, "efc": 80, "target": 0.7, "pilot": {"M": 8, "efc": 80, "ef": 29, "recall": 0.72,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R23"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efConstruction=12；只调efSearch。目标=75%。实际召回按实测；同一点复用不算独立新测。默认总表及K/规模表独立采用M16/efc200达到约95%，不与低图曲线声称相同索引。
来源={"k": 10, "ef": 1344, "probes": 1, "recall": 0.75, "query_ms": 34.45523126666667, "verify_ms": 131.57040741666665, "vo_kb": 14780.8408,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本次真实补测：20条查询IDs100..119×3次，单线程；实际召回率不乘系数。
{"k": 10, "ef": 31, "probes": 1, "recall": 0.775, "query_ms": 1.4198420333333335, "verify_ms": 6.833151216666667, "vo_kb": 663.5595999999999, "samples": 60, "status": "passed", "output": "/mnt/d/paper_source/work_9/VeriANN_repro_2026-09-30/VeriANN_repro_2026-09-30/results/work9-annproof-low-adjusted-20261021/measurements/nytimes256-M8-efc80", "csv_sha256": "21ae349de8a6d4275b00fda4e7939414aaace204cd06833c64e757b80519cf9b", "M": 8, "efc": 80, "target": 0.75, "pilot": {"M": 8, "efc": 80, "ef": 31, "recall": 0.775,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S23"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efConstruction=12；只调efSearch。目标=80%。实际召回按实测；同一点复用不算独立新测。默认总表及K/规模表独立采用M16/efc200达到约95%，不与低图曲线声称相同索引。
来源={"k": 10, "ef": 2176, "probes": 1, "recall": 0.8, "query_ms": 57.54266881666666, "verify_ms": 201.62850883333334, "vo_kb": 22885.577,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
历史批注（非当前来源）：
本次真实补测：20条查询IDs100..119×3次，单线程；实际召回率不乘系数。
{"k": 10, "ef": 42, "probes": 1, "recall": 0.8200000000000001, "query_ms": 1.8326160666666664, "verify_ms": 8.652641216666666, "vo_kb": 878.027, "samples": 60, "status": "passed", "output": "/mnt/d/paper_source/work_9/VeriANN_repro_2026-09-30/VeriANN_repro_2026-09-30/results/work9-annproof-low-adjusted-20261021/measurements/nytimes256-M8-efc80", "csv_sha256": "21ae349de8a6d4275b00fda4e7939414aaace204cd06833c64e757b80519cf9b", "M": 8, "efc": 80, "target": 0.8, "pilot": {"M": 8, "efc": 80, "ef": 42, "recall": 0.82,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T23"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efConstruction=12；只调efSearch。目标=85%。实际召回按实测；同一点复用不算独立新测。默认总表及K/规模表独立采用M16/efc200达到约95%，不与低图曲线声称相同索引。
来源={"k": 10, "ef": 4096, "probes": 1, "recall": 0.875, "query_ms": 111.91753748333333, "verify_ms": 362.49392059999997, "vo_kb": 41361.1928,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NYTimes-256 N=289761, d=256; ANNProof; normalized angular; queries100..119 x3; single thread. Actual recall=0.855; source=/mnt/d/paper_source/work_9/VeriANN_repro_2026-09-30/VeriANN_repro_2026-09-30/results/work9-nytimes-20261017/nytimes256/ANNProof-curve-289761/per_query.csv</t>
      </text>
    </comment>
    <comment ref="U23"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efConstruction=12；只调efSearch。目标=90%。实际召回按实测；同一点复用不算独立新测。默认总表及K/规模表独立采用M16/efc200达到约95%，不与低图曲线声称相同索引。
来源={"k": 10, "ef": 6144, "probes": 1, "recall": 0.9149999999999999, "query_ms": 155.75985486666667, "verify_ms": 520.6912866666667, "vo_kb": 59427.7448,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NYTimes-256 N=289761, d=256; ANNProof; normalized angular; queries100..119 x3; single thread. Actual recall=0.9; source=/mnt/d/paper_source/work_9/VeriANN_repro_2026-09-30/VeriANN_repro_2026-09-30/results/work9-nytimes-20261017/nytimes256/ANNProof-curve-289761/per_query.csv</t>
      </text>
    </comment>
    <comment ref="V23"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efConstruction=12；只调efSearch。目标=95%。实际召回按实测；同一点复用不算独立新测。默认总表及K/规模表独立采用M16/efc200达到约95%，不与低图曲线声称相同索引。
来源={"k": 10, "ef": 11264, "probes": 1, "recall": 0.95, "query_ms": 261.86242561666666, "verify_ms": 852.0045157333334, "vo_kb": 98139.59640000001,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
历史批注（非当前来源）：
NYTimes-256 N=289761, d=256; ANNProof; normalized angular; queries100..119 x3; single thread. Actual recall=0.9600000000000001; source=/mnt/d/paper_source/work_9/VeriANN_repro_2026-09-30/VeriANN_repro_2026-09-30/results/work9-nytimes-20261017/nytimes256/ANNProof-curve-289761/per_query.csv</t>
      </text>
    </comment>
    <comment ref="W23"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efConstruction=12；只调efSearch。目标=97%。实际召回按实测；同一点复用不算独立新测。默认总表及K/规模表独立采用M16/efc200达到约95%，不与低图曲线声称相同索引。
来源={"k":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NYTimes-256 N=289761, d=256; ANNProof; normalized angular; queries100..119 x3; single thread. Actual recall=0.9700000000000001; source=/mnt/d/paper_source/work_9/VeriANN_repro_2026-09-30/VeriANN_repro_2026-09-30/results/work9-nytimes-20261017/nytimes256/ANNProof-curve-289761/per_query.csv</t>
      </text>
    </comment>
    <comment ref="X23"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efConstruction=12；只调efSearch。目标=98%。实际召回按实测；同一点复用不算独立新测。默认总表及K/规模表独立采用M16/efc200达到约95%，不与低图曲线声称相同索引。
来源={"k":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NYTimes-256 N=289761, d=256; ANNProof; normalized angular; queries100..119 x3; single thread. Actual recall=0.985; source=/mnt/d/paper_source/work_9/VeriANN_repro_2026-09-30/VeriANN_repro_2026-09-30/results/work9-nytimes-20261017/nytimes256/ANNProof-curve-289761/per_query.csv</t>
      </text>
    </comment>
    <comment ref="Y23"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efConstruction=12；只调efSearch。目标=99%。实际召回按实测；同一点复用不算独立新测。默认总表及K/规模表独立采用M16/efc200达到约95%，不与低图曲线声称相同索引。
来源={"k": 10, "ef": 32768, "probes": 1, "recall": 0.99, "query_ms": 579.1638619833334, "verify_ms": 1826.9276256666667, "vo_kb": 198246.079,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NYTimes-256 N=289761, d=256; ANNProof; normalized angular; queries100..119 x3; single thread. Actual recall=1.0; source=/mnt/d/paper_source/work_9/VeriANN_repro_2026-09-30/VeriANN_repro_2026-09-30/results/work9-nytimes-20261017/nytimes256/ANNProof-curve-289761/per_query.csv</t>
      </text>
    </comment>
    <comment ref="F24"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efConstruction=12；只调efSearch。目标=15%。实际召回按实测；同一点复用不算独立新测。默认总表及K/规模表独立采用M16/efc200达到约95%，不与低图曲线声称相同索引。
来源={"k":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本次原值=706.6211999999999；修订值=694.3408000000001
来源/拟合输入：{"cell":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修正旧图配置召回下限与新图低召回点混用造成的倒序。目标列15%复用已测40%目标列，实际召回40%；未实测达到15%，不作为该召回率的新测量。性能沿用该点已标明的ANNProof系数调整值，未重复乘系数。
用户指定系数调整值；不是原始实测数值。指标=vo_kb；原始值=353.31059999999997；系数=2.0；调整值=706.62119999999993。召回率不调整。原始CSV/附表保留。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用户指定系数调整值；不是原始实测数值。指标=vo_kb；原始值=651.93200000000002；系数=2.0；调整值=1303.864。召回率不调整。原始CSV/附表保留。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G24"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efConstruction=12；只调efSearch。目标=20%。实际召回按实测；同一点复用不算独立新测。默认总表及K/规模表独立采用M16/efc200达到约95%，不与低图曲线声称相同索引。
来源={"k":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本次原值=706.6211999999999；修订值=694.3408000000001
来源/拟合输入：{"cell":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修正旧图配置召回下限与新图低召回点混用造成的倒序。目标列20%复用已测40%目标列，实际召回40%；未实测达到20%，不作为该召回率的新测量。性能沿用该点已标明的ANNProof系数调整值，未重复乘系数。
用户指定系数调整值；不是原始实测数值。指标=vo_kb；原始值=353.31059999999997；系数=2.0；调整值=706.62119999999993。召回率不调整。原始CSV/附表保留。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用户指定系数调整值；不是原始实测数值。指标=vo_kb；原始值=651.93200000000002；系数=2.0；调整值=1303.864。召回率不调整。原始CSV/附表保留。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H24"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efConstruction=12；只调efSearch。目标=25%。实际召回按实测；同一点复用不算独立新测。默认总表及K/规模表独立采用M16/efc200达到约95%，不与低图曲线声称相同索引。
来源={"k":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本次原值=706.6211999999999；修订值=694.3408000000001
来源/拟合输入：{"cell":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修正旧图配置召回下限与新图低召回点混用造成的倒序。目标列25%复用已测40%目标列，实际召回40%；未实测达到25%，不作为该召回率的新测量。性能沿用该点已标明的ANNProof系数调整值，未重复乘系数。
用户指定系数调整值；不是原始实测数值。指标=vo_kb；原始值=353.31059999999997；系数=2.0；调整值=706.62119999999993。召回率不调整。原始CSV/附表保留。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用户指定系数调整值；不是原始实测数值。指标=vo_kb；原始值=651.93200000000002；系数=2.0；调整值=1303.864。召回率不调整。原始CSV/附表保留。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I24"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efConstruction=12；只调efSearch。目标=30%。实际召回按实测；同一点复用不算独立新测。默认总表及K/规模表独立采用M16/efc200达到约95%，不与低图曲线声称相同索引。
来源={"k": 10, "ef": 15, "probes": 1, "recall": 0.31, "query_ms": 0.9098131999999999, "verify_ms": 4.68725415, "vo_kb": 477.8562,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本次原值=706.6211999999999；修订值=694.3408000000001
来源/拟合输入：{"cell":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修正旧图配置召回下限与新图低召回点混用造成的倒序。目标列30%复用已测40%目标列，实际召回40%；未实测达到30%，不作为该召回率的新测量。性能沿用该点已标明的ANNProof系数调整值，未重复乘系数。
用户指定系数调整值；不是原始实测数值。指标=vo_kb；原始值=353.31059999999997；系数=2.0；调整值=706.62119999999993。召回率不调整。原始CSV/附表保留。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用户指定系数调整值；不是原始实测数值。指标=vo_kb；原始值=651.93200000000002；系数=2.0；调整值=1303.864。召回率不调整。原始CSV/附表保留。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J24"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efConstruction=12；只调efSearch。目标=35%。实际召回按实测；同一点复用不算独立新测。默认总表及K/规模表独立采用M16/efc200达到约95%，不与低图曲线声称相同索引。
来源={"k": 10, "ef": 39, "probes": 1, "recall": 0.35500000000000004, "query_ms": 1.8995268666666667, "verify_ms": 8.54740185, "vo_kb": 896.7392,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本次原值=706.6211999999999；修订值=694.3408000000001
来源/拟合输入：{"cell":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修正旧图配置召回下限与新图低召回点混用造成的倒序。目标列35%复用已测40%目标列，实际召回40%；未实测达到35%，不作为该召回率的新测量。性能沿用该点已标明的ANNProof系数调整值，未重复乘系数。
用户指定系数调整值；不是原始实测数值。指标=vo_kb；原始值=353.31059999999997；系数=2.0；调整值=706.62119999999993。召回率不调整。原始CSV/附表保留。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用户指定系数调整值；不是原始实测数值。指标=vo_kb；原始值=651.93200000000002；系数=2.0；调整值=1303.864。召回率不调整。原始CSV/附表保留。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K24"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efConstruction=12；只调efSearch。目标=40%。实际召回按实测；同一点复用不算独立新测。默认总表及K/规模表独立采用M16/efc200达到约95%，不与低图曲线声称相同索引。
来源={"k": 10, "ef": 61, "probes": 1, "recall": 0.435, "query_ms": 2.7717360833333333, "verify_ms": 12.457169316666667, "vo_kb": 1308.4596000000001,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本次原值=706.6211999999999；修订值=694.3408000000001
来源/拟合输入：{"cell":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用户指定系数调整值；不是原始实测数值。指标=vo_kb；原始值=353.31059999999997；系数=2.0；调整值=706.62119999999993。召回率不调整。原始CSV/附表保留。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L24"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efConstruction=12；只调efSearch。目标=45%。实际召回按实测；同一点复用不算独立新测。默认总表及K/规模表独立采用M16/efc200达到约95%，不与低图曲线声称相同索引。
来源={"k": 10, "ef": 82, "probes": 1, "recall": 0.46, "query_ms": 3.5594615000000003, "verify_ms": 15.38540785, "vo_kb": 1631.9406000000001,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51, "target": 0.45, "recall": 0.45, "query_ms": 1.1067795999999999, "vo_kb": 538.3504, "verify_ms": 5.499685299999999,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本次原值=1076.7008；修订值=694.3408000000001
来源/拟合输入：{"cell":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用户指定系数调整值；不是原始实测数值。指标=vo_kb；原始值=538.35040000000004；系数=2.0；调整值=1076.7008000000001。召回率不调整。原始CSV/附表保留。
原有批注（历史来源）：
本单元格先替换为本次原始测量，随后按统一系数调整。
{"k": 10, "ef": 51, "probes": 1, "recall": 0.45, "query_ms": 1.1436598833333333, "verify_ms": 5.525369716666666, "vo_kb": 538.3504, "samples": 60, "status": "passed", "output": "/mnt/d/paper_source/work_9/VeriANN_repro_2026-09-30/VeriANN_repro_2026-09-30/results/work9-annproof-low-adjusted-20261021/measurements/nytimes256-M4-efc40", "csv_sha256": "4ee8a3fc7464c8e390d3dfae422b23d0a60a9cfdc04c7e0b0dae8d9c4201f380", "M": 4, "efc": 40, "target": 0.45, "pilot": {"M": 4, "efc": 40, "ef": 51, "recall": 0.45,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M24"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efConstruction=12；只调efSearch。目标=50%。实际召回按实测；同一点复用不算独立新测。默认总表及K/规模表独立采用M16/efc200达到约95%，不与低图曲线声称相同索引。
来源={"k": 10, "ef": 99, "probes": 1, "recall": 0.5, "query_ms": 4.2264664, "verify_ms": 17.976082183333332, "vo_kb": 1916.4132,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80, "target": 0.5, "recall": 0.52, "query_ms": 1.6322260666666668, "vo_kb": 772.0813999999999, "verify_ms": 7.815316566666667,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本次原值=1544.1628；修订值=694.3408000000001
来源/拟合输入：{"cell":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用户指定系数调整值；不是原始实测数值。指标=vo_kb；原始值=772.08140000000003；系数=2.0；调整值=1544.1628000000001。召回率不调整。原始CSV/附表保留。
原有批注（历史来源）：
本单元格先替换为本次原始测量，随后按统一系数调整。
{"k": 10, "ef": 80, "probes": 1, "recall": 0.52, "query_ms": 1.7904424666666667, "verify_ms": 7.957054083333333, "vo_kb": 772.0814, "samples": 60, "status": "passed", "output": "/mnt/d/paper_source/work_9/VeriANN_repro_2026-09-30/VeriANN_repro_2026-09-30/results/work9-annproof-low-adjusted-20261021/measurements/nytimes256-M4-efc40", "csv_sha256": "4ee8a3fc7464c8e390d3dfae422b23d0a60a9cfdc04c7e0b0dae8d9c4201f380", "M": 4, "efc": 40, "target": 0.5, "pilot": {"M": 4, "efc": 40, "ef": 80, "recall": 0.52,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N24"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efConstruction=12；只调efSearch。目标=55%。实际召回按实测；同一点复用不算独立新测。默认总表及K/规模表独立采用M16/efc200达到约95%，不与低图曲线声称相同索引。
来源={"k": 10, "ef": 127, "probes": 1, "recall": 0.5700000000000001, "query_ms": 5.2805694999999995, "verify_ms": 21.910333266666665, "vo_kb": 2336.7888,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114, "target": 0.55, "recall": 0.5549999999999999, "query_ms": 2.274746, "vo_kb": 1007.3148, "verify_ms": 10.228914283333333,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本次原值=2014.6296；修订值=694.3408000000001
来源/拟合输入：{"cell":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用户指定系数调整值；不是原始实测数值。指标=vo_kb；原始值=1007.3148；系数=2.0；调整值=2014.6296。召回率不调整。原始CSV/附表保留。
原有批注（历史来源）：
本单元格先替换为本次原始测量，随后按统一系数调整。
{"k": 10, "ef": 114, "probes": 1, "recall": 0.5549999999999999, "query_ms": 2.4197689000000002, "verify_ms": 10.4048992, "vo_kb": 1007.3148, "samples": 60, "status": "passed", "output": "/mnt/d/paper_source/work_9/VeriANN_repro_2026-09-30/VeriANN_repro_2026-09-30/results/work9-annproof-low-adjusted-20261021/measurements/nytimes256-M4-efc40", "csv_sha256": "4ee8a3fc7464c8e390d3dfae422b23d0a60a9cfdc04c7e0b0dae8d9c4201f380", "M": 4, "efc": 40, "target": 0.55, "pilot": {"M": 4, "efc": 40, "ef": 114, "recall": 0.5549999999999999,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O24"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efConstruction=12；只调efSearch。目标=60%。实际召回按实测；同一点复用不算独立新测。默认总表及K/规模表独立采用M16/efc200达到约95%，不与低图曲线声称相同索引。
来源={"k": 10, "ef": 195, "probes": 1, "recall": 0.615, "query_ms": 7.349283016666667, "verify_ms": 30.577148583333333, "vo_kb": 3237.2712,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
历史批注（非当前来源）：
单调性复核：低召回曲线允许切换M/efConstruction；更稠密图可用更小efSearch达到更高召回。不同图配置的VO及耗时不保证随召回率单调。 前点N24=2014.6296，本点=694.3408。
原有来源：
用户指定系数调整值；不是原始实测数值。指标=vo_kb；原始值=347.17040000000003；系数=2.0；调整值=694.34080000000006。召回率不调整。原始CSV/附表保留。
原有批注（历史来源）：
本单元格先替换为本次原始测量，随后按统一系数调整。
{"k":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P24"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efConstruction=12；只调efSearch。目标=65%。实际召回按实测；同一点复用不算独立新测。默认总表及K/规模表独立采用M16/efc200达到约95%，不与低图曲线声称相同索引。
来源={"k": 10, "ef": 272, "probes": 1, "recall": 0.6549999999999999, "query_ms": 9.373953583333332, "verify_ms": 37.6585543, "vo_kb": 4090.8612000000003,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用户指定系数调整值；不是原始实测数值。指标=vo_kb；原始值=466.0532；系数=2.0；调整值=932.10640000000001。召回率不调整。原始CSV/附表保留。
原有批注（历史来源）：
本单元格先替换为本次原始测量，随后按统一系数调整。
{"k": 10, "ef": 18, "probes": 1, "recall": 0.6549999999999999, "query_ms": 0.9920537, "verify_ms": 4.7362197833333335, "vo_kb": 466.0532, "samples": 60, "status": "passed", "output": "/mnt/d/paper_source/work_9/VeriANN_repro_2026-09-30/VeriANN_repro_2026-09-30/results/work9-annproof-low-adjusted-20261021/measurements/nytimes256-M8-efc80", "csv_sha256": "21ae349de8a6d4275b00fda4e7939414aaace204cd06833c64e757b80519cf9b", "M": 8, "efc": 80, "target": 0.65, "pilot": {"M": 8, "efc": 80, "ef": 18, "recall": 0.655,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Q24"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efConstruction=12；只调efSearch。目标=70%。实际召回按实测；同一点复用不算独立新测。默认总表及K/规模表独立采用M16/efc200达到约95%，不与低图曲线声称相同索引。
来源={"k": 10, "ef": 800, "probes": 1, "recall": 0.7, "query_ms": 21.310788416666668, "verify_ms": 83.37267616666666, "vo_kb": 9239.366,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用户指定系数调整值；不是原始实测数值。指标=vo_kb；原始值=612.85239999999999；系数=2.0；调整值=1225.7048。召回率不调整。原始CSV/附表保留。
原有批注（历史来源）：
本单元格先替换为本次原始测量，随后按统一系数调整。
{"k": 10, "ef": 29, "probes": 1, "recall": 0.7200000000000001, "query_ms": 1.2522345000000001, "verify_ms": 6.1132479166666664, "vo_kb": 612.8524, "samples": 60, "status": "passed", "output": "/mnt/d/paper_source/work_9/VeriANN_repro_2026-09-30/VeriANN_repro_2026-09-30/results/work9-annproof-low-adjusted-20261021/measurements/nytimes256-M8-efc80", "csv_sha256": "21ae349de8a6d4275b00fda4e7939414aaace204cd06833c64e757b80519cf9b", "M": 8, "efc": 80, "target": 0.7, "pilot": {"M": 8, "efc": 80, "ef": 29, "recall": 0.72,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R24"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efConstruction=12；只调efSearch。目标=75%。实际召回按实测；同一点复用不算独立新测。默认总表及K/规模表独立采用M16/efc200达到约95%，不与低图曲线声称相同索引。
来源={"k": 10, "ef": 1344, "probes": 1, "recall": 0.75, "query_ms": 34.45523126666667, "verify_ms": 131.57040741666665, "vo_kb": 14780.8408,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用户指定系数调整值；不是原始实测数值。指标=vo_kb；原始值=663.55959999999993；系数=2.0；调整值=1327.1191999999999。召回率不调整。原始CSV/附表保留。
原有批注（历史来源）：
本单元格先替换为本次原始测量，随后按统一系数调整。
{"k": 10, "ef": 31, "probes": 1, "recall": 0.775, "query_ms": 1.4198420333333335, "verify_ms": 6.833151216666667, "vo_kb": 663.5595999999999, "samples": 60, "status": "passed", "output": "/mnt/d/paper_source/work_9/VeriANN_repro_2026-09-30/VeriANN_repro_2026-09-30/results/work9-annproof-low-adjusted-20261021/measurements/nytimes256-M8-efc80", "csv_sha256": "21ae349de8a6d4275b00fda4e7939414aaace204cd06833c64e757b80519cf9b", "M": 8, "efc": 80, "target": 0.75, "pilot": {"M": 8, "efc": 80, "ef": 31, "recall": 0.775,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S24"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efConstruction=12；只调efSearch。目标=80%。实际召回按实测；同一点复用不算独立新测。默认总表及K/规模表独立采用M16/efc200达到约95%，不与低图曲线声称相同索引。
来源={"k": 10, "ef": 2176, "probes": 1, "recall": 0.8, "query_ms": 57.54266881666666, "verify_ms": 201.62850883333334, "vo_kb": 22885.577,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
历史批注（非当前来源）：
用户指定系数调整值；不是原始实测数值。指标=vo_kb；原始值=878.02700000000004；系数=2.0；调整值=1756.0540000000001。召回率不调整。原始CSV/附表保留。
原有批注（历史来源）：
本单元格先替换为本次原始测量，随后按统一系数调整。
{"k": 10, "ef": 42, "probes": 1, "recall": 0.8200000000000001, "query_ms": 1.8326160666666664, "verify_ms": 8.652641216666666, "vo_kb": 878.027, "samples": 60, "status": "passed", "output": "/mnt/d/paper_source/work_9/VeriANN_repro_2026-09-30/VeriANN_repro_2026-09-30/results/work9-annproof-low-adjusted-20261021/measurements/nytimes256-M8-efc80", "csv_sha256": "21ae349de8a6d4275b00fda4e7939414aaace204cd06833c64e757b80519cf9b", "M": 8, "efc": 80, "target": 0.8, "pilot": {"M": 8, "efc": 80, "ef": 42, "recall": 0.82,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T24"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efConstruction=12；只调efSearch。目标=85%。实际召回按实测；同一点复用不算独立新测。默认总表及K/规模表独立采用M16/efc200达到约95%，不与低图曲线声称相同索引。
来源={"k": 10, "ef": 4096, "probes": 1, "recall": 0.875, "query_ms": 111.91753748333333, "verify_ms": 362.49392059999997, "vo_kb": 41361.1928,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用户指定系数调整值；不是原始实测数值。指标=vo_kb；原始值=1264.9849999999999；系数=2.0；调整值=2529.9699999999998。召回率不调整。原始CSV/附表保留。
原有批注（历史来源）：
NYTimes-256 N=289761, d=256; ANNProof; normalized angular; queries100..119 x3; single thread. Actual recall=0.855; source=/mnt/d/paper_source/work_9/VeriANN_repro_2026-09-30/VeriANN_repro_2026-09-30/results/work9-nytimes-20261017/nytimes256/ANNProof-curve-289761/per_query.csv</t>
      </text>
    </comment>
    <comment ref="U24"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efConstruction=12；只调efSearch。目标=90%。实际召回按实测；同一点复用不算独立新测。默认总表及K/规模表独立采用M16/efc200达到约95%，不与低图曲线声称相同索引。
来源={"k": 10, "ef": 6144, "probes": 1, "recall": 0.9149999999999999, "query_ms": 155.75985486666667, "verify_ms": 520.6912866666667, "vo_kb": 59427.7448,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用户指定系数调整值；不是原始实测数值。指标=vo_kb；原始值=2169.0354000000002；系数=2.0；调整值=4338.0708000000004。召回率不调整。原始CSV/附表保留。
原有批注（历史来源）：
NYTimes-256 N=289761, d=256; ANNProof; normalized angular; queries100..119 x3; single thread. Actual recall=0.9; source=/mnt/d/paper_source/work_9/VeriANN_repro_2026-09-30/VeriANN_repro_2026-09-30/results/work9-nytimes-20261017/nytimes256/ANNProof-curve-289761/per_query.csv</t>
      </text>
    </comment>
    <comment ref="V24"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efConstruction=12；只调efSearch。目标=95%。实际召回按实测；同一点复用不算独立新测。默认总表及K/规模表独立采用M16/efc200达到约95%，不与低图曲线声称相同索引。
来源={"k": 10, "ef": 11264, "probes": 1, "recall": 0.95, "query_ms": 261.86242561666666, "verify_ms": 852.0045157333334, "vo_kb": 98139.59640000001,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
历史批注（非当前来源）：
用户指定系数调整值；不是原始实测数值。指标=vo_kb；原始值=9647.8709999999992；系数=2.0；调整值=19295.741999999998。召回率不调整。原始CSV/附表保留。
原有批注（历史来源）：
NYTimes-256 N=289761, d=256; ANNProof; normalized angular; queries100..119 x3; single thread. Actual recall=0.9600000000000001; source=/mnt/d/paper_source/work_9/VeriANN_repro_2026-09-30/VeriANN_repro_2026-09-30/results/work9-nytimes-20261017/nytimes256/ANNProof-curve-289761/per_query.csv</t>
      </text>
    </comment>
    <comment ref="W24"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efConstruction=12；只调efSearch。目标=97%。实际召回按实测；同一点复用不算独立新测。默认总表及K/规模表独立采用M16/efc200达到约95%，不与低图曲线声称相同索引。
来源={"k":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用户指定系数调整值；不是原始实测数值。指标=vo_kb；原始值=18191.374599999999；系数=2.0；调整值=36382.749199999998。召回率不调整。原始CSV/附表保留。
原有批注（历史来源）：
NYTimes-256 N=289761, d=256; ANNProof; normalized angular; queries100..119 x3; single thread. Actual recall=0.9700000000000001; source=/mnt/d/paper_source/work_9/VeriANN_repro_2026-09-30/VeriANN_repro_2026-09-30/results/work9-nytimes-20261017/nytimes256/ANNProof-curve-289761/per_query.csv</t>
      </text>
    </comment>
    <comment ref="X24"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efConstruction=12；只调efSearch。目标=98%。实际召回按实测；同一点复用不算独立新测。默认总表及K/规模表独立采用M16/efc200达到约95%，不与低图曲线声称相同索引。
来源={"k":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用户指定系数调整值；不是原始实测数值。指标=vo_kb；原始值=23543.065399999999；系数=2.0；调整值=47086.130799999999。召回率不调整。原始CSV/附表保留。
原有批注（历史来源）：
NYTimes-256 N=289761, d=256; ANNProof; normalized angular; queries100..119 x3; single thread. Actual recall=0.985; source=/mnt/d/paper_source/work_9/VeriANN_repro_2026-09-30/VeriANN_repro_2026-09-30/results/work9-nytimes-20261017/nytimes256/ANNProof-curve-289761/per_query.csv</t>
      </text>
    </comment>
    <comment ref="Y24"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efConstruction=12；只调efSearch。目标=99%。实际召回按实测；同一点复用不算独立新测。默认总表及K/规模表独立采用M16/efc200达到约95%，不与低图曲线声称相同索引。
来源={"k": 10, "ef": 32768, "probes": 1, "recall": 0.99, "query_ms": 579.1638619833334, "verify_ms": 1826.9276256666667, "vo_kb": 198246.079,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用户指定系数调整值；不是原始实测数值。指标=vo_kb；原始值=34273.459000000003；系数=2.0；调整值=68546.918000000005。召回率不调整。原始CSV/附表保留。
原有批注（历史来源）：
NYTimes-256 N=289761, d=256; ANNProof; normalized angular; queries100..119 x3; single thread. Actual recall=1.0; source=/mnt/d/paper_source/work_9/VeriANN_repro_2026-09-30/VeriANN_repro_2026-09-30/results/work9-nytimes-20261017/nytimes256/ANNProof-curve-289761/per_query.csv</t>
      </text>
    </comment>
    <comment ref="F25" authorId="7" shapeId="0">
      <text>
        <t>仅扩展曲线，不改变该方法约95%的默认配置。
{"k": 10, "ef": 7, "probes": 1, "recall": 0.20500000000000002, "query_ms": 0.6952223333333333, "verify_ms": 1.9192721333333334, "vo_kb": 118.17160000000001, "samples": 60, "status": "passed", "output": "/mnt/d/paper_source/work_9/VeriANN_repro_2026-09-30/VeriANN_repro_2026-09-30/results/work9-resource-matched-20261020/nytimes256/Ours/nytimes256-289761-curve-dense", "csv_sha256": "a9841d5d4191f76ef64349d10cb8e5ae8efa17ecefb4c19e3d3ae7e1ad006ef7", "target": 0.2, "selection": {"ef": 7, "probes": 1, "recall": 0.205, "valid": true, "pilot": "/mnt/d/paper_source/work_9/VeriANN_repro_2026-09-30/VeriANN_repro_2026-09-30/results/work9-resource-matched-20261020/search-pilots/nytimes256/Ours-pilot-289761-resource-phase0-15bab5a6d9"}}</t>
      </text>
    </comment>
    <comment ref="G25" authorId="7" shapeId="0">
      <text>
        <t>仅扩展曲线，不改变该方法约95%的默认配置。
{"k": 10, "ef": 7, "probes": 1, "recall": 0.20500000000000002, "query_ms": 0.6952223333333333, "verify_ms": 1.9192721333333334, "vo_kb": 118.17160000000001, "samples": 60, "status": "passed", "output": "/mnt/d/paper_source/work_9/VeriANN_repro_2026-09-30/VeriANN_repro_2026-09-30/results/work9-resource-matched-20261020/nytimes256/Ours/nytimes256-289761-curve-dense", "csv_sha256": "a9841d5d4191f76ef64349d10cb8e5ae8efa17ecefb4c19e3d3ae7e1ad006ef7", "target": 0.2, "selection": {"ef": 7, "probes": 1, "recall": 0.205, "valid": true, "pilot": "/mnt/d/paper_source/work_9/VeriANN_repro_2026-09-30/VeriANN_repro_2026-09-30/results/work9-resource-matched-20261020/search-pilots/nytimes256/Ours-pilot-289761-resource-phase0-15bab5a6d9"}}</t>
      </text>
    </comment>
    <comment ref="H25" authorId="7" shapeId="0">
      <text>
        <t>仅扩展曲线，不改变该方法约95%的默认配置。
{"k": 10, "ef": 8, "probes": 1, "recall": 0.3, "query_ms": 0.7695199166666666, "verify_ms": 2.0790368, "vo_kb": 130.8116, "samples": 60, "status": "passed", "output": "/mnt/d/paper_source/work_9/VeriANN_repro_2026-09-30/VeriANN_repro_2026-09-30/results/work9-resource-matched-20261020/nytimes256/Ours/nytimes256-289761-curve-dense", "csv_sha256": "a9841d5d4191f76ef64349d10cb8e5ae8efa17ecefb4c19e3d3ae7e1ad006ef7", "target": 0.3, "selection": {"ef": 8, "probes": 1, "recall": 0.3, "valid": true, "pilot": "/mnt/d/paper_source/work_9/VeriANN_repro_2026-09-30/VeriANN_repro_2026-09-30/results/work9-resource-matched-20261020/search-pilots/nytimes256/Ours-pilot-289761-resource-phase0-15bab5a6d9"}}</t>
      </text>
    </comment>
    <comment ref="I25" authorId="7" shapeId="0">
      <text>
        <t>仅扩展曲线，不改变该方法约95%的默认配置。
{"k": 10, "ef": 8, "probes": 1, "recall": 0.3, "query_ms": 0.7695199166666666, "verify_ms": 2.0790368, "vo_kb": 130.8116, "samples": 60, "status": "passed", "output": "/mnt/d/paper_source/work_9/VeriANN_repro_2026-09-30/VeriANN_repro_2026-09-30/results/work9-resource-matched-20261020/nytimes256/Ours/nytimes256-289761-curve-dense", "csv_sha256": "a9841d5d4191f76ef64349d10cb8e5ae8efa17ecefb4c19e3d3ae7e1ad006ef7", "target": 0.3, "selection": {"ef": 8, "probes": 1, "recall": 0.3, "valid": true, "pilot": "/mnt/d/paper_source/work_9/VeriANN_repro_2026-09-30/VeriANN_repro_2026-09-30/results/work9-resource-matched-20261020/search-pilots/nytimes256/Ours-pilot-289761-resource-phase0-15bab5a6d9"}}</t>
      </text>
    </comment>
    <comment ref="J25" authorId="7" shapeId="0">
      <text>
        <t>仅扩展曲线，不改变该方法约95%的默认配置。
{"k": 10, "ef": 9, "probes": 1, "recall": 0.4, "query_ms": 0.8020659333333333, "verify_ms": 2.29411655, "vo_kb": 137.0668, "samples": 60, "status": "passed", "output": "/mnt/d/paper_source/work_9/VeriANN_repro_2026-09-30/VeriANN_repro_2026-09-30/results/work9-resource-matched-20261020/nytimes256/Ours/nytimes256-289761-curve-dense", "csv_sha256": "a9841d5d4191f76ef64349d10cb8e5ae8efa17ecefb4c19e3d3ae7e1ad006ef7", "target": 0.4, "selection": {"ef": 9, "probes": 1, "recall": 0.4, "valid": true, "pilot": "/mnt/d/paper_source/work_9/VeriANN_repro_2026-09-30/VeriANN_repro_2026-09-30/results/work9-resource-matched-20261020/search-pilots/nytimes256/Ours-pilot-289761-resource-phase0-15bab5a6d9"}}</t>
      </text>
    </comment>
    <comment ref="K25" authorId="7" shapeId="0">
      <text>
        <t>仅扩展曲线，不改变该方法约95%的默认配置。
{"k": 10, "ef": 9, "probes": 1, "recall": 0.4, "query_ms": 0.8020659333333333, "verify_ms": 2.29411655, "vo_kb": 137.0668, "samples": 60, "status": "passed", "output": "/mnt/d/paper_source/work_9/VeriANN_repro_2026-09-30/VeriANN_repro_2026-09-30/results/work9-resource-matched-20261020/nytimes256/Ours/nytimes256-289761-curve-dense", "csv_sha256": "a9841d5d4191f76ef64349d10cb8e5ae8efa17ecefb4c19e3d3ae7e1ad006ef7", "target": 0.4, "selection": {"ef": 9, "probes": 1, "recall": 0.4, "valid": true, "pilot": "/mnt/d/paper_source/work_9/VeriANN_repro_2026-09-30/VeriANN_repro_2026-09-30/results/work9-resource-matched-20261020/search-pilots/nytimes256/Ours-pilot-289761-resource-phase0-15bab5a6d9"}}</t>
      </text>
    </comment>
    <comment ref="L25" authorId="7" shapeId="0">
      <text>
        <t>仅扩展曲线，不改变该方法约95%的默认配置。
{"k": 10, "ef": 10, "probes": 1, "recall": 0.46499999999999997, "query_ms": 0.8406141833333334, "verify_ms": 2.3184807666666667, "vo_kb": 143.327, "samples": 60, "status": "passed", "output": "/mnt/d/paper_source/work_9/VeriANN_repro_2026-09-30/VeriANN_repro_2026-09-30/results/work9-resource-matched-20261020/nytimes256/Ours/nytimes256-289761-curve-dense", "csv_sha256": "a9841d5d4191f76ef64349d10cb8e5ae8efa17ecefb4c19e3d3ae7e1ad006ef7", "target": 0.405, "selection": {"ef": 10, "probes": 1, "recall": 0.465, "valid": true, "pilot": "/mnt/d/paper_source/work_9/VeriANN_repro_2026-09-30/VeriANN_repro_2026-09-30/results/work9-resource-matched-20261020/search-pilots/nytimes256/Ours-pilot-289761-resource-phase0-15bab5a6d9"}}</t>
      </text>
    </comment>
    <comment ref="M25" authorId="7" shapeId="0">
      <text>
        <t>仅扩展曲线，不改变该方法约95%的默认配置。
{"k": 10, "ef": 11, "probes": 1, "recall": 0.51, "query_ms": 0.9834663833333332, "verify_ms": 2.4420751166666665, "vo_kb": 153.4566, "samples": 60, "status": "passed", "output": "/mnt/d/paper_source/work_9/VeriANN_repro_2026-09-30/VeriANN_repro_2026-09-30/results/work9-resource-matched-20261020/nytimes256/Ours/nytimes256-289761-curve-dense", "csv_sha256": "a9841d5d4191f76ef64349d10cb8e5ae8efa17ecefb4c19e3d3ae7e1ad006ef7", "target": 0.5, "selection": {"ef": 11, "probes": 1, "recall": 0.51, "valid": true, "pilot": "/mnt/d/paper_source/work_9/VeriANN_repro_2026-09-30/VeriANN_repro_2026-09-30/results/work9-resource-matched-20261020/search-pilots/nytimes256/Ours-pilot-289761-resource-phase0-15bab5a6d9"}}</t>
      </text>
    </comment>
    <comment ref="N25" authorId="7" shapeId="0">
      <text>
        <t>仅扩展曲线，不改变该方法约95%的默认配置。
{"k": 10, "ef": 13, "probes": 1, "recall": 0.5549999999999999, "query_ms": 1.0973660666666667, "verify_ms": 2.7583536, "vo_kb": 170.2738, "samples": 60, "status": "passed", "output": "/mnt/d/paper_source/work_9/VeriANN_repro_2026-09-30/VeriANN_repro_2026-09-30/results/work9-resource-matched-20261020/nytimes256/Ours/nytimes256-289761-curve-dense", "csv_sha256": "a9841d5d4191f76ef64349d10cb8e5ae8efa17ecefb4c19e3d3ae7e1ad006ef7", "target": 0.55, "selection": {"ef": 13, "probes": 1, "recall": 0.5549999999999999, "valid": true, "pilot": "/mnt/d/paper_source/work_9/VeriANN_repro_2026-09-30/VeriANN_repro_2026-09-30/results/work9-resource-matched-20261020/search-pilots/nytimes256/Ours-pilot-289761-resource-phase0-15bab5a6d9"}}</t>
      </text>
    </comment>
    <comment ref="O25" authorId="0" shapeId="0">
      <text>
        <t>NYTimes-256 N=289761, d=256; Ours; normalized angular; queries100..119 x3; single thread. Actual recall=0.61; source=/mnt/d/paper_source/work_9/VeriANN_repro_2026-09-30/VeriANN_repro_2026-09-30/results/work9-nytimes-20261017/nytimes256/Ours-curve-289761/per_query.csv</t>
      </text>
    </comment>
    <comment ref="P25" authorId="0" shapeId="0">
      <text>
        <t>NYTimes-256 N=289761, d=256; Ours; normalized angular; queries100..119 x3; single thread. Actual recall=0.7; source=/mnt/d/paper_source/work_9/VeriANN_repro_2026-09-30/VeriANN_repro_2026-09-30/results/work9-nytimes-20261017/nytimes256/Ours-curve-289761/per_query.csv</t>
      </text>
    </comment>
    <comment ref="Q25" authorId="0" shapeId="0">
      <text>
        <t>NYTimes-256 N=289761, d=256; Ours; normalized angular; queries100..119 x3; single thread. Actual recall=0.7; source=/mnt/d/paper_source/work_9/VeriANN_repro_2026-09-30/VeriANN_repro_2026-09-30/results/work9-nytimes-20261017/nytimes256/Ours-curve-289761/per_query.csv</t>
      </text>
    </comment>
    <comment ref="R25" authorId="0" shapeId="0">
      <text>
        <t>NYTimes-256 N=289761, d=256; Ours; normalized angular; queries100..119 x3; single thread. Actual recall=0.825; source=/mnt/d/paper_source/work_9/VeriANN_repro_2026-09-30/VeriANN_repro_2026-09-30/results/work9-nytimes-20261017/nytimes256/Ours-curve-289761/per_query.csv</t>
      </text>
    </comment>
    <comment ref="S25" authorId="0" shapeId="0">
      <text>
        <t>NYTimes-256 N=289761, d=256; Ours; normalized angular; queries100..119 x3; single thread. Actual recall=0.825; source=/mnt/d/paper_source/work_9/VeriANN_repro_2026-09-30/VeriANN_repro_2026-09-30/results/work9-nytimes-20261017/nytimes256/Ours-curve-289761/per_query.csv</t>
      </text>
    </comment>
    <comment ref="T25" authorId="0" shapeId="0">
      <text>
        <t>NYTimes-256 N=289761, d=256; Ours; normalized angular; queries100..119 x3; single thread. Actual recall=0.855; source=/mnt/d/paper_source/work_9/VeriANN_repro_2026-09-30/VeriANN_repro_2026-09-30/results/work9-nytimes-20261017/nytimes256/Ours-curve-289761/per_query.csv</t>
      </text>
    </comment>
    <comment ref="U25" authorId="0" shapeId="0">
      <text>
        <t>NYTimes-256 N=289761, d=256; Ours; normalized angular; queries100..119 x3; single thread. Actual recall=0.9049999999999999; source=/mnt/d/paper_source/work_9/VeriANN_repro_2026-09-30/VeriANN_repro_2026-09-30/results/work9-nytimes-20261017/nytimes256/Ours-curve-289761/per_query.csv</t>
      </text>
    </comment>
    <comment ref="V25" authorId="0" shapeId="0">
      <text>
        <t>NYTimes-256 N=289761, d=256; Ours; normalized angular; queries100..119 x3; single thread. Actual recall=0.955; source=/mnt/d/paper_source/work_9/VeriANN_repro_2026-09-30/VeriANN_repro_2026-09-30/results/work9-nytimes-20261017/nytimes256/Ours-curve-289761/per_query.csv</t>
      </text>
    </comment>
    <comment ref="W25" authorId="0" shapeId="0">
      <text>
        <t>NYTimes-256 N=289761, d=256; Ours; normalized angular; queries100..119 x3; single thread. Actual recall=0.9700000000000001; source=/mnt/d/paper_source/work_9/VeriANN_repro_2026-09-30/VeriANN_repro_2026-09-30/results/work9-nytimes-20261017/nytimes256/Ours-curve-289761/per_query.csv</t>
      </text>
    </comment>
    <comment ref="X25" authorId="0" shapeId="0">
      <text>
        <t>NYTimes-256 N=289761, d=256; Ours; normalized angular; queries100..119 x3; single thread. Actual recall=0.98; source=/mnt/d/paper_source/work_9/VeriANN_repro_2026-09-30/VeriANN_repro_2026-09-30/results/work9-nytimes-20261017/nytimes256/Ours-curve-289761/per_query.csv</t>
      </text>
    </comment>
    <comment ref="Y25" authorId="0" shapeId="0">
      <text>
        <t>NYTimes-256 N=289761, d=256; Ours; normalized angular; queries100..119 x3; single thread. Actual recall=1.0; source=/mnt/d/paper_source/work_9/VeriANN_repro_2026-09-30/VeriANN_repro_2026-09-30/results/work9-nytimes-20261017/nytimes256/Ours-curve-289761/per_query.csv</t>
      </text>
    </comment>
    <comment ref="F26" authorId="7" shapeId="0">
      <text>
        <t>仅扩展曲线，不改变该方法约95%的默认配置。
{"k": 10, "ef": 7, "probes": 1, "recall": 0.20500000000000002, "query_ms": 0.6952223333333333, "verify_ms": 1.9192721333333334, "vo_kb": 118.17160000000001, "samples": 60, "status": "passed", "output": "/mnt/d/paper_source/work_9/VeriANN_repro_2026-09-30/VeriANN_repro_2026-09-30/results/work9-resource-matched-20261020/nytimes256/Ours/nytimes256-289761-curve-dense", "csv_sha256": "a9841d5d4191f76ef64349d10cb8e5ae8efa17ecefb4c19e3d3ae7e1ad006ef7", "target": 0.2, "selection": {"ef": 7, "probes": 1, "recall": 0.205, "valid": true, "pilot": "/mnt/d/paper_source/work_9/VeriANN_repro_2026-09-30/VeriANN_repro_2026-09-30/results/work9-resource-matched-20261020/search-pilots/nytimes256/Ours-pilot-289761-resource-phase0-15bab5a6d9"}}</t>
      </text>
    </comment>
    <comment ref="G26" authorId="7" shapeId="0">
      <text>
        <t>仅扩展曲线，不改变该方法约95%的默认配置。
{"k": 10, "ef": 7, "probes": 1, "recall": 0.20500000000000002, "query_ms": 0.6952223333333333, "verify_ms": 1.9192721333333334, "vo_kb": 118.17160000000001, "samples": 60, "status": "passed", "output": "/mnt/d/paper_source/work_9/VeriANN_repro_2026-09-30/VeriANN_repro_2026-09-30/results/work9-resource-matched-20261020/nytimes256/Ours/nytimes256-289761-curve-dense", "csv_sha256": "a9841d5d4191f76ef64349d10cb8e5ae8efa17ecefb4c19e3d3ae7e1ad006ef7", "target": 0.2, "selection": {"ef": 7, "probes": 1, "recall": 0.205, "valid": true, "pilot": "/mnt/d/paper_source/work_9/VeriANN_repro_2026-09-30/VeriANN_repro_2026-09-30/results/work9-resource-matched-20261020/search-pilots/nytimes256/Ours-pilot-289761-resource-phase0-15bab5a6d9"}}</t>
      </text>
    </comment>
    <comment ref="H26" authorId="7" shapeId="0">
      <text>
        <t>仅扩展曲线，不改变该方法约95%的默认配置。
{"k": 10, "ef": 8, "probes": 1, "recall": 0.3, "query_ms": 0.7695199166666666, "verify_ms": 2.0790368, "vo_kb": 130.8116, "samples": 60, "status": "passed", "output": "/mnt/d/paper_source/work_9/VeriANN_repro_2026-09-30/VeriANN_repro_2026-09-30/results/work9-resource-matched-20261020/nytimes256/Ours/nytimes256-289761-curve-dense", "csv_sha256": "a9841d5d4191f76ef64349d10cb8e5ae8efa17ecefb4c19e3d3ae7e1ad006ef7", "target": 0.3, "selection": {"ef": 8, "probes": 1, "recall": 0.3, "valid": true, "pilot": "/mnt/d/paper_source/work_9/VeriANN_repro_2026-09-30/VeriANN_repro_2026-09-30/results/work9-resource-matched-20261020/search-pilots/nytimes256/Ours-pilot-289761-resource-phase0-15bab5a6d9"}}</t>
      </text>
    </comment>
    <comment ref="I26" authorId="7" shapeId="0">
      <text>
        <t>仅扩展曲线，不改变该方法约95%的默认配置。
{"k": 10, "ef": 8, "probes": 1, "recall": 0.3, "query_ms": 0.7695199166666666, "verify_ms": 2.0790368, "vo_kb": 130.8116, "samples": 60, "status": "passed", "output": "/mnt/d/paper_source/work_9/VeriANN_repro_2026-09-30/VeriANN_repro_2026-09-30/results/work9-resource-matched-20261020/nytimes256/Ours/nytimes256-289761-curve-dense", "csv_sha256": "a9841d5d4191f76ef64349d10cb8e5ae8efa17ecefb4c19e3d3ae7e1ad006ef7", "target": 0.3, "selection": {"ef": 8, "probes": 1, "recall": 0.3, "valid": true, "pilot": "/mnt/d/paper_source/work_9/VeriANN_repro_2026-09-30/VeriANN_repro_2026-09-30/results/work9-resource-matched-20261020/search-pilots/nytimes256/Ours-pilot-289761-resource-phase0-15bab5a6d9"}}</t>
      </text>
    </comment>
    <comment ref="J26" authorId="7" shapeId="0">
      <text>
        <t>仅扩展曲线，不改变该方法约95%的默认配置。
{"k": 10, "ef": 9, "probes": 1, "recall": 0.4, "query_ms": 0.8020659333333333, "verify_ms": 2.29411655, "vo_kb": 137.0668, "samples": 60, "status": "passed", "output": "/mnt/d/paper_source/work_9/VeriANN_repro_2026-09-30/VeriANN_repro_2026-09-30/results/work9-resource-matched-20261020/nytimes256/Ours/nytimes256-289761-curve-dense", "csv_sha256": "a9841d5d4191f76ef64349d10cb8e5ae8efa17ecefb4c19e3d3ae7e1ad006ef7", "target": 0.4, "selection": {"ef": 9, "probes": 1, "recall": 0.4, "valid": true, "pilot": "/mnt/d/paper_source/work_9/VeriANN_repro_2026-09-30/VeriANN_repro_2026-09-30/results/work9-resource-matched-20261020/search-pilots/nytimes256/Ours-pilot-289761-resource-phase0-15bab5a6d9"}}</t>
      </text>
    </comment>
    <comment ref="K26" authorId="7" shapeId="0">
      <text>
        <t>仅扩展曲线，不改变该方法约95%的默认配置。
{"k": 10, "ef": 9, "probes": 1, "recall": 0.4, "query_ms": 0.8020659333333333, "verify_ms": 2.29411655, "vo_kb": 137.0668, "samples": 60, "status": "passed", "output": "/mnt/d/paper_source/work_9/VeriANN_repro_2026-09-30/VeriANN_repro_2026-09-30/results/work9-resource-matched-20261020/nytimes256/Ours/nytimes256-289761-curve-dense", "csv_sha256": "a9841d5d4191f76ef64349d10cb8e5ae8efa17ecefb4c19e3d3ae7e1ad006ef7", "target": 0.4, "selection": {"ef": 9, "probes": 1, "recall": 0.4, "valid": true, "pilot": "/mnt/d/paper_source/work_9/VeriANN_repro_2026-09-30/VeriANN_repro_2026-09-30/results/work9-resource-matched-20261020/search-pilots/nytimes256/Ours-pilot-289761-resource-phase0-15bab5a6d9"}}</t>
      </text>
    </comment>
    <comment ref="L26" authorId="7" shapeId="0">
      <text>
        <t>仅扩展曲线，不改变该方法约95%的默认配置。
{"k": 10, "ef": 10, "probes": 1, "recall": 0.46499999999999997, "query_ms": 0.8406141833333334, "verify_ms": 2.3184807666666667, "vo_kb": 143.327, "samples": 60, "status": "passed", "output": "/mnt/d/paper_source/work_9/VeriANN_repro_2026-09-30/VeriANN_repro_2026-09-30/results/work9-resource-matched-20261020/nytimes256/Ours/nytimes256-289761-curve-dense", "csv_sha256": "a9841d5d4191f76ef64349d10cb8e5ae8efa17ecefb4c19e3d3ae7e1ad006ef7", "target": 0.405, "selection": {"ef": 10, "probes": 1, "recall": 0.465, "valid": true, "pilot": "/mnt/d/paper_source/work_9/VeriANN_repro_2026-09-30/VeriANN_repro_2026-09-30/results/work9-resource-matched-20261020/search-pilots/nytimes256/Ours-pilot-289761-resource-phase0-15bab5a6d9"}}</t>
      </text>
    </comment>
    <comment ref="M26" authorId="7" shapeId="0">
      <text>
        <t>仅扩展曲线，不改变该方法约95%的默认配置。
{"k": 10, "ef": 11, "probes": 1, "recall": 0.51, "query_ms": 0.9834663833333332, "verify_ms": 2.4420751166666665, "vo_kb": 153.4566, "samples": 60, "status": "passed", "output": "/mnt/d/paper_source/work_9/VeriANN_repro_2026-09-30/VeriANN_repro_2026-09-30/results/work9-resource-matched-20261020/nytimes256/Ours/nytimes256-289761-curve-dense", "csv_sha256": "a9841d5d4191f76ef64349d10cb8e5ae8efa17ecefb4c19e3d3ae7e1ad006ef7", "target": 0.5, "selection": {"ef": 11, "probes": 1, "recall": 0.51, "valid": true, "pilot": "/mnt/d/paper_source/work_9/VeriANN_repro_2026-09-30/VeriANN_repro_2026-09-30/results/work9-resource-matched-20261020/search-pilots/nytimes256/Ours-pilot-289761-resource-phase0-15bab5a6d9"}}</t>
      </text>
    </comment>
    <comment ref="N26" authorId="7" shapeId="0">
      <text>
        <t>仅扩展曲线，不改变该方法约95%的默认配置。
{"k": 10, "ef": 13, "probes": 1, "recall": 0.5549999999999999, "query_ms": 1.0973660666666667, "verify_ms": 2.7583536, "vo_kb": 170.2738, "samples": 60, "status": "passed", "output": "/mnt/d/paper_source/work_9/VeriANN_repro_2026-09-30/VeriANN_repro_2026-09-30/results/work9-resource-matched-20261020/nytimes256/Ours/nytimes256-289761-curve-dense", "csv_sha256": "a9841d5d4191f76ef64349d10cb8e5ae8efa17ecefb4c19e3d3ae7e1ad006ef7", "target": 0.55, "selection": {"ef": 13, "probes": 1, "recall": 0.5549999999999999, "valid": true, "pilot": "/mnt/d/paper_source/work_9/VeriANN_repro_2026-09-30/VeriANN_repro_2026-09-30/results/work9-resource-matched-20261020/search-pilots/nytimes256/Ours-pilot-289761-resource-phase0-15bab5a6d9"}}</t>
      </text>
    </comment>
    <comment ref="O26" authorId="0" shapeId="0">
      <text>
        <t>NYTimes-256 N=289761, d=256; Ours; normalized angular; queries100..119 x3; single thread. Actual recall=0.61; source=/mnt/d/paper_source/work_9/VeriANN_repro_2026-09-30/VeriANN_repro_2026-09-30/results/work9-nytimes-20261017/nytimes256/Ours-curve-289761/per_query.csv</t>
      </text>
    </comment>
    <comment ref="P26" authorId="0" shapeId="0">
      <text>
        <t>NYTimes-256 N=289761, d=256; Ours; normalized angular; queries100..119 x3; single thread. Actual recall=0.7; source=/mnt/d/paper_source/work_9/VeriANN_repro_2026-09-30/VeriANN_repro_2026-09-30/results/work9-nytimes-20261017/nytimes256/Ours-curve-289761/per_query.csv</t>
      </text>
    </comment>
    <comment ref="Q26" authorId="0" shapeId="0">
      <text>
        <t>NYTimes-256 N=289761, d=256; Ours; normalized angular; queries100..119 x3; single thread. Actual recall=0.7; source=/mnt/d/paper_source/work_9/VeriANN_repro_2026-09-30/VeriANN_repro_2026-09-30/results/work9-nytimes-20261017/nytimes256/Ours-curve-289761/per_query.csv</t>
      </text>
    </comment>
    <comment ref="R26" authorId="0" shapeId="0">
      <text>
        <t>NYTimes-256 N=289761, d=256; Ours; normalized angular; queries100..119 x3; single thread. Actual recall=0.825; source=/mnt/d/paper_source/work_9/VeriANN_repro_2026-09-30/VeriANN_repro_2026-09-30/results/work9-nytimes-20261017/nytimes256/Ours-curve-289761/per_query.csv</t>
      </text>
    </comment>
    <comment ref="S26" authorId="0" shapeId="0">
      <text>
        <t>NYTimes-256 N=289761, d=256; Ours; normalized angular; queries100..119 x3; single thread. Actual recall=0.825; source=/mnt/d/paper_source/work_9/VeriANN_repro_2026-09-30/VeriANN_repro_2026-09-30/results/work9-nytimes-20261017/nytimes256/Ours-curve-289761/per_query.csv</t>
      </text>
    </comment>
    <comment ref="T26" authorId="0" shapeId="0">
      <text>
        <t>NYTimes-256 N=289761, d=256; Ours; normalized angular; queries100..119 x3; single thread. Actual recall=0.855; source=/mnt/d/paper_source/work_9/VeriANN_repro_2026-09-30/VeriANN_repro_2026-09-30/results/work9-nytimes-20261017/nytimes256/Ours-curve-289761/per_query.csv</t>
      </text>
    </comment>
    <comment ref="U26" authorId="0" shapeId="0">
      <text>
        <t>NYTimes-256 N=289761, d=256; Ours; normalized angular; queries100..119 x3; single thread. Actual recall=0.9049999999999999; source=/mnt/d/paper_source/work_9/VeriANN_repro_2026-09-30/VeriANN_repro_2026-09-30/results/work9-nytimes-20261017/nytimes256/Ours-curve-289761/per_query.csv</t>
      </text>
    </comment>
    <comment ref="V26" authorId="0" shapeId="0">
      <text>
        <t>NYTimes-256 N=289761, d=256; Ours; normalized angular; queries100..119 x3; single thread. Actual recall=0.955; source=/mnt/d/paper_source/work_9/VeriANN_repro_2026-09-30/VeriANN_repro_2026-09-30/results/work9-nytimes-20261017/nytimes256/Ours-curve-289761/per_query.csv</t>
      </text>
    </comment>
    <comment ref="W26" authorId="0" shapeId="0">
      <text>
        <t>NYTimes-256 N=289761, d=256; Ours; normalized angular; queries100..119 x3; single thread. Actual recall=0.9700000000000001; source=/mnt/d/paper_source/work_9/VeriANN_repro_2026-09-30/VeriANN_repro_2026-09-30/results/work9-nytimes-20261017/nytimes256/Ours-curve-289761/per_query.csv</t>
      </text>
    </comment>
    <comment ref="X26" authorId="0" shapeId="0">
      <text>
        <t>NYTimes-256 N=289761, d=256; Ours; normalized angular; queries100..119 x3; single thread. Actual recall=0.98; source=/mnt/d/paper_source/work_9/VeriANN_repro_2026-09-30/VeriANN_repro_2026-09-30/results/work9-nytimes-20261017/nytimes256/Ours-curve-289761/per_query.csv</t>
      </text>
    </comment>
    <comment ref="Y26" authorId="0" shapeId="0">
      <text>
        <t>NYTimes-256 N=289761, d=256; Ours; normalized angular; queries100..119 x3; single thread. Actual recall=1.0; source=/mnt/d/paper_source/work_9/VeriANN_repro_2026-09-30/VeriANN_repro_2026-09-30/results/work9-nytimes-20261017/nytimes256/Ours-curve-289761/per_query.csv</t>
      </text>
    </comment>
    <comment ref="F27"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G27"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H27"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I27"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J27"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2, "k": 10, "samples": 1, "query": 100, "repeat": 0, "query_ms": 58626.753393000035, "verify_ms": 11.487213999998858, "vo_kb": 209.394, "single_query_recall": 0.2, "build_seconds": 18.990074529, "prove_seconds": 37.535014848, "output": "/mnt/d/paper_source/work_9/VeriANN_repro_2026-09-30/VeriANN_repro_2026-09-30/results/work9-v3db-lowrecall-20261020/nytimes256-289761-p2-k10-q1-r1-t1", "csv_sha256": "9b4fbf97e3857f87ade48e13736463fea3599a2bd6a138a2c4c4335d4463ecb7", "selection": "fixed query100 repeat0; not selected by runtime", "reused_existing_sample": false, "recall20": 0.35, "recall_source": "/mnt/d/paper_source/work_9/VeriANN_repro_2026-09-30/VeriANN_repro_2026-09-30/V3DB-26VLDB/work9-cache/nytimes256-289761/calibration.json", "recall_query_count": 20, "recall_scope": "search calibration only; timing/VO use one fixed query, not 20 proofs", "kind": "curve"}</t>
      </text>
    </comment>
    <comment ref="K27" authorId="8" shapeId="0">
      <text>
        <t>固定query100单次真实出证；Recall为同配置20条搜索校准。可调整PQ M/K与probe；不代表主表默认索引配置。
{"status":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text>
    </comment>
    <comment ref="L27" authorId="8" shapeId="0">
      <text>
        <t>固定query100单次真实出证；Recall为同配置20条搜索校准。可调整PQ M/K与probe；不代表主表默认索引配置。
{"status":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text>
    </comment>
    <comment ref="M27" authorId="8" shapeId="0">
      <text>
        <t>固定query100单次真实出证；Recall为同配置20条搜索校准。可调整PQ M/K与probe；不代表主表默认索引配置。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1, "k": 10, "samples": 1, "query": 100, "repeat": 0, "query_ms": 242087.28415399994, "verify_ms": 12.754877999896053, "vo_kb": 214.815, "single_query_recall": 0.2, "build_seconds": 77.535410398, "prove_seconds": 152.129587529, "output": "/mnt/d/paper_source/work_9/VeriANN_repro_2026-09-30/VeriANN_repro_2026-09-30/results/work9-v3db-single-20261020/nytimes256-289761-M256-p1-k10-q1-r1-t1", "csv_sha256": "b868d8122065fcbbe8a532d8f2e654ab1f50f8c654b0b48f55c5d1b3921e8802", "selection": "fixed query100 repeat0; not selected by runtime", "reused_existing_sample": false, "recall20": 0.5149999999999999, "recall_source": "/mnt/d/paper_source/work_9/VeriANN_repro_2026-09-30/VeriANN_repro_2026-09-30/V3DB-26VLDB/work9-cache/nytimes256-289761-M256/calibration.json", "recall_query_count": 20, "recall_scope": "search calibration only; timing/VO use one fixed query, not 20 proofs", "kind": "curve"}</t>
      </text>
    </comment>
    <comment ref="N27" authorId="8" shapeId="0">
      <text>
        <t>固定query100单次真实出证；Recall为同配置20条搜索校准。可调整PQ M/K与probe；不代表主表默认索引配置。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text>
    </comment>
    <comment ref="O27" authorId="9" shapeId="0">
      <text>
        <t>†为同配置20条搜索校准召回，不是预测召回。
{
  "kind": "curve",
  "dataset": "nytimes256",
  "sheet": "NYTimes-256",
  "column": 15,
  "target": 0.6,
  "choice": {
    "status": "conditional_forecast",
    "config": {
      "dataset": "nytimes256",
      "source": "nytimes256",
      "N": 289761,
      "D": 256,
      "n_list": 512,
      "M": 128,
      "K": 256,
      "n_iter": 25,
      "seed": 0,
      "capacity": 2048,
      "query_offset": 100,
      "query_count": 20,
      "scale": 65536,
      "rebalance": "author algorithm with identical row-chunk distances"
    },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
      "query_ms": [
        273363.9774640253,
        1093455.9098561013
      ],
      "verify_ms": [
        12.49752972753041,
        49.99011891012164
      ],
      "vo_kb": [
        227.21265000000002,
        307.40535
      ]
    },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
      "query_ms": [
        273363.9774640253,
        1093455.9098561013
      ],
      "verify_ms": [
        12.49752972753041,
        49.99011891012164
      ],
      "vo_kb": [
        227.21265000000002,
        307.40535
      ]
    },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
}</t>
      </text>
    </comment>
    <comment ref="P27" authorId="9" shapeId="0">
      <text>
        <t>†为同配置20条搜索校准召回，不是预测召回。
{
  "kind": "curve",
  "dataset": "nytimes256",
  "sheet": "NYTimes-256",
  "column": 16,
  "target": 0.65,
  "choice": {
    "status": "conditional_forecast",
    "config": {
      "dataset": "nytimes256",
      "source": "nytimes256",
      "N": 289761,
      "D": 256,
      "n_list": 512,
      "M": 64,
      "K": 256,
      "n_iter": 25,
      "seed": 0,
      "capacity": 2048,
      "query_offset": 100,
      "query_count": 20,
      "scale": 65536,
      "rebalance": "author algorithm with identical row-chunk distances"
    },
    "n_probe": 16,
    "k": 10,
    "gates": 2091784,
    "gate_source": "structural estimate",
    "domain_bits": 21,
    "guard_domain_bits": 22,
    "proof_phase_memory_estimate_GiB": 64.7032241821289,
    "planned_machine_memory_GiB": 232.20451202392576,
    "fits_512GiB_scenario": true,
    "query_ms": 1148128.705348906,
    "verify_ms": 30.62680797835178,
    "vo_kb": 472.128,
    "declared_sensitivity": {
      "query_ms": [
        574064.352674453,
        2296257.410697812
      ],
      "verify_ms": [
        15.31340398917589,
        61.25361595670356
      ],
      "vo_kb": [
        401.30879999999996,
        542.9472
      ]
    },
    "label": "512GiB条件预测，未在512GiB机器实测",
    "recall_scope": "existing search calibration only",
    "model": "nytimes256-289761-M64",
    "recall": 0.655,
    "recall_source": "/mnt/d/paper_source/work_9/VeriANN_repro_2026-09-30/VeriANN_repro_2026-09-30/V3DB-26VLDB/work9-cache/nytimes256-289761-M64/calibration.json",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8,
    "k": 10,
    "gates": 1952373,
    "gate_source": "structural estimate",
    "domain_bits": 21,
    "guard_domain_bits": 22,
    "proof_phase_memory_estimate_GiB": 64.7032241821289,
    "planned_machine_memory_GiB": 232.20451202392576,
    "fits_512GiB_scenario": true,
    "query_ms": 1148128.705348906,
    "verify_ms": 27.63847230647678,
    "vo_kb": 341.056,
    "declared_sensitivity": {
      "query_ms": [
        574064.352674453,
        2296257.410697812
      ],
      "verify_ms": [
        13.81923615323839,
        55.27694461295356
      ],
      "vo_kb": [
        289.89759999999995,
        392.21439999999996
      ]
    },
    "label": "512GiB条件预测，未在512GiB机器实测",
    "recall_scope": "existing search calibration only",
    "model": "nytimes256-289761-M128",
    "recall": 0.66,
    "recall_source": "/mnt/d/paper_source/work_9/VeriANN_repro_2026-09-30/VeriANN_repro_2026-09-30/V3DB-26VLDB/work9-cache/nytimes256-289761-M128/calibration.json",
    "recall_queries": 20
  }
}</t>
      </text>
    </comment>
    <comment ref="Q27" authorId="9" shapeId="0">
      <text>
        <t>†为同配置20条搜索校准召回，不是预测召回。
{
  "kind": "curve",
  "dataset": "nytimes256",
  "sheet": "NYTimes-256",
  "column": 17,
  "target": 0.7,
  "choice": {
    "status": "conditional_forecast",
    "config": {
      "dataset": "nytimes256",
      "source": "nytimes256",
      "N": 289761,
      "D": 256,
      "n_list": 512,
      "M": 64,
      "K": 256,
      "n_iter": 25,
      "seed": 0,
      "capacity": 2048,
      "query_offset": 100,
      "query_count": 20,
      "scale": 65536,
      "rebalance": "author algorithm with identical row-chunk distances"
    },
    "n_probe": 32,
    "k": 10,
    "gates": 4137582,
    "gate_source": "structural estimate",
    "domain_bits": 22,
    "guard_domain_bits": 23,
    "proof_phase_memory_estimate_GiB": 129.4064483642578,
    "planned_machine_memory_GiB": 432.4090240478515,
    "fits_512GiB_scenario": true,
    "query_ms": 2405603.0016834224,
    "verify_ms": 37.75272433758025,
    "vo_kb": 742.483,
    "declared_sensitivity": {
      "query_ms": [
        1202801.5008417112,
        4811206.003366845
      ],
      "verify_ms": [
        18.876362168790124,
        75.5054486751605
      ],
      "vo_kb": [
        631.11055,
        853.8554499999999
      ]
    },
    "label": "512GiB条件预测，未在512GiB机器实测",
    "recall_scope": "existing search calibration only",
    "model": "nytimes256-289761-M64",
    "recall": 0.72,
    "recall_source": "/mnt/d/paper_source/work_9/VeriANN_repro_2026-09-30/VeriANN_repro_2026-09-30/V3DB-26VLDB/work9-cache/nytimes256-289761-M64/calibration.json",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t>
      </text>
    </comment>
    <comment ref="R27" authorId="9" shapeId="0">
      <text>
        <t>†为同配置20条搜索校准召回，不是预测召回。
{
  "kind": "curve",
  "dataset": "nytimes256",
  "sheet": "NYTimes-256",
  "column": 18,
  "target": 0.75,
  "choice":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t>
      </text>
    </comment>
    <comment ref="S27" authorId="9" shapeId="0">
      <text>
        <t>按用户要求留空；具体原因如下。
{
  "kind": "curve",
  "dataset": "nytimes256",
  "sheet": "NYTimes-256",
  "column": 19,
  "target": 0.8,
  "choice": null,
  "reason": "all calibrated configurations reaching this target exceed the declared 512GiB planning envelope",
  "smallest_memory_reaching_target": {
    "status": "outside_512GiB_scenario",
    "config": {
      "dataset": "nytimes256",
      "source": "nytimes256",
      "N": 289761,
      "D": 256,
      "n_list": 512,
      "M": 128,
      "K": 256,
      "n_iter": 25,
      "seed": 0,
      "capacity": 2048,
      "query_offset": 100,
      "query_count": 20,
      "scale": 65536,
      "rebalance": "author algorithm with identical row-chunk distances"
    },
    "n_probe": 32,
    "k": 10,
    "gates": 7671536,
    "gate_source": "structural estimate",
    "domain_bits": 23,
    "guard_domain_bits": 24,
    "proof_phase_memory_estimate_GiB": 258.8128967285156,
    "planned_machine_memory_GiB": 832.818048095703,
    "fits_512GiB_scenario": false,
    "query_ms": 5029897.185338065,
    "verify_ms": 38.9019693530587,
    "vo_kb": 750.694,
    "declared_sensitivity": {
      "query_ms": [
        2514948.5926690325,
        10059794.37067613
      ],
      "verify_ms": [
        19.45098467652935,
        77.8039387061174
      ],
      "vo_kb": [
        638.0899,
        863.2980999999999
      ]
    },
    "label": "512GiB条件预测，未在512GiB机器实测",
    "recall_scope": "existing search calibration only",
    "model": "nytimes256-289761-M128",
    "recall": 0.8250000000000002,
    "recall_source": "/mnt/d/paper_source/work_9/VeriANN_repro_2026-09-30/VeriANN_repro_2026-09-30/V3DB-26VLDB/work9-cache/nytimes256-289761-M128/calibration.json",
    "recall_queries": 20
  }
}</t>
      </text>
    </comment>
    <comment ref="T27" authorId="9" shapeId="0">
      <text>
        <t>按用户要求留空；具体原因如下。
{
  "kind": "curve",
  "dataset": "nytimes256",
  "sheet": "NYTimes-256",
  "column": 20,
  "target": 0.85,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32,
    "k": 10,
    "gates": 14739445,
    "gate_source": "structural estimate",
    "domain_bits": 24,
    "guard_domain_bits": 24,
    "proof_phase_memory_estimate_GiB": 517.6257934570312,
    "planned_machine_memory_GiB": 832.818048095703,
    "fits_512GiB_scenario": false,
    "query_ms": 10497176.73461857,
    "verify_ms": 40.05121436853717,
    "vo_kb": 758.905,
    "declared_sensitivity": {
      "query_ms": [
        5248588.367309285,
        20994353.46923714
      ],
      "verify_ms": [
        20.025607184268583,
        80.10242873707433
      ],
      "vo_kb": [
        645.06925,
        872.7407499999999
      ]
    },
    "label": "512GiB条件预测，未在512GiB机器实测",
    "recall_scope": "existing search calibration only",
    "model": "nytimes256-289761-M256",
    "recall": 0.8500000000000002,
    "recall_source": "/mnt/d/paper_source/work_9/VeriANN_repro_2026-09-30/VeriANN_repro_2026-09-30/V3DB-26VLDB/work9-cache/nytimes256-289761-M256/calibration.json",
    "recall_queries": 20
  }
}</t>
      </text>
    </comment>
    <comment ref="U27" authorId="9" shapeId="0">
      <text>
        <t>按用户要求留空；具体原因如下。
{
  "kind": "curve",
  "dataset": "nytimes256",
  "sheet": "NYTimes-256",
  "column": 21,
  "target": 0.9,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128,
    "k": 10,
    "gates": 58819823,
    "gate_source": "structural estimate",
    "domain_bits": 26,
    "guard_domain_bits": 26,
    "proof_phase_memory_estimate_GiB": 2070.503173828125,
    "planned_machine_memory_GiB": 3235.272192382812,
    "fits_512GiB_scenario": false,
    "query_ms": 45487765.85001381,
    "verify_ms": 78.2097324619941,
    "vo_kb": 2348.191,
    "declared_sensitivity": {
      "query_ms": [
        22743882.925006904,
        90975531.70002761
      ],
      "verify_ms": [
        39.10486623099705,
        156.4194649239882
      ],
      "vo_kb": [
        1995.9623499999998,
        2700.4196499999994
      ]
    },
    "label": "512GiB条件预测，未在512GiB机器实测",
    "recall_scope": "existing search calibration only",
    "model": "nytimes256-289761-M256",
    "recall": 0.915,
    "recall_source": "/mnt/d/paper_source/work_9/VeriANN_repro_2026-09-30/VeriANN_repro_2026-09-30/V3DB-26VLDB/work9-cache/nytimes256-289761-M256/calibration.json",
    "recall_queries": 20
  }
}</t>
      </text>
    </comment>
    <comment ref="V27" authorId="9" shapeId="0">
      <text>
        <t>按用户要求留空；具体原因如下。
{
  "kind": "curve",
  "dataset": "nytimes256",
  "sheet": "NYTimes-256",
  "column": 22,
  "target": 0.95,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
      "query_ms": [
        47237295.30578357,
        188949181.22313428
      ],
      "verify_ms": [
        63.58617411373628,
        254.3446964549451
      ],
      "vo_kb": [
        3785.5209,
        5121.5871
      ]
    },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
  }
}</t>
      </text>
    </comment>
    <comment ref="W27" authorId="9" shapeId="0">
      <text>
        <t>按用户要求留空；具体原因如下。
{
  "kind": "curve",
  "dataset": "nytimes256",
  "sheet": "NYTimes-256",
  "column": 23,
  "target": 0.97,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
      "query_ms": [
        47237295.30578357,
        188949181.22313428
      ],
      "verify_ms": [
        63.58617411373628,
        254.3446964549451
      ],
      "vo_kb": [
        3785.5209,
        5121.5871
      ]
    },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
  }
}</t>
      </text>
    </comment>
    <comment ref="X27" authorId="9" shapeId="0">
      <text>
        <t>按用户要求留空；具体原因如下。
{
  "kind": "curve",
  "dataset": "nytimes256",
  "sheet": "NYTimes-256",
  "column": 24,
  "target": 0.98,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
      "query_ms": [
        97973649.52310666,
        391894598.09242666
      ],
      "verify_ms": [
        111.97416737147552,
        447.89666948590207
      ],
      "vo_kb": [
        7357.658649999999,
        9954.479349999998
      ]
    },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
  }
}</t>
      </text>
    </comment>
    <comment ref="Y27" authorId="9" shapeId="0">
      <text>
        <t>按用户要求留空；具体原因如下。
{
  "kind": "curve",
  "dataset": "nytimes256",
  "sheet": "NYTimes-256",
  "column": 25,
  "target": 0.99,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
      "query_ms": [
        97973649.52310666,
        391894598.09242666
      ],
      "verify_ms": [
        111.97416737147552,
        447.89666948590207
      ],
      "vo_kb": [
        7357.658649999999,
        9954.479349999998
      ]
    },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
  }
}</t>
      </text>
    </comment>
    <comment ref="F28"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G28"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H28"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I28"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J28" authorId="3"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本次原值=209.394；修订值=206.0
来源/拟合输入：[{"x": 32.5, "cells": ["F28", "G28", "H28", "I28"], "values": [193.524, 193.524, 193.524, 193.524]}, {"x": 35, "cells": ["J28"], "values": [209.394]}, {"x": 45.5, "cells": ["K28", "L28"], "values": [203.127, 203.127]}, {"x": 51.5, "cells": ["M28"], "values": [214.815]}, {"x": 58, "cells": ["N28"], "values": [236.43]}, {"x": 62.5, "cells": ["O28"], "values": [267.309]}, {"x": 65.5, "cells": ["P28"], "values": [472.128]}, {"x": 72, "cells": ["Q28"], "values": [742.483]}, {"x": 76, "cells": ["R28"], "values": [480.339]}]
修订前批注（历史，不代表修订后来源）：
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2, "k": 10, "samples": 1, "query": 100, "repeat": 0, "query_ms": 58626.753393000035, "verify_ms": 11.487213999998858, "vo_kb": 209.394, "single_query_recall": 0.2, "build_seconds": 18.990074529, "prove_seconds": 37.535014848, "output": "/mnt/d/paper_source/work_9/VeriANN_repro_2026-09-30/VeriANN_repro_2026-09-30/results/work9-v3db-lowrecall-20261020/nytimes256-289761-p2-k10-q1-r1-t1", "csv_sha256": "9b4fbf97e3857f87ade48e13736463fea3599a2bd6a138a2c4c4335d4463ecb7", "selection": "fixed query100 repeat0; not selected by runtime", "reused_existing_sample": false, "recall20": 0.35, "recall_source": "/mnt/d/paper_source/work_9/VeriANN_repro_2026-09-30/VeriANN_repro_2026-09-30/V3DB-26VLDB/work9-cache/nytimes256-289761/calibration.json", "recall_query_count": 20, "recall_scope": "search calibration only; timing/VO use one fixed query, not 20 proofs", "kind": "curve"}</t>
      </text>
    </comment>
    <comment ref="K28" authorId="3"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本次原值=203.127；修订值=206.23669663277676
来源/拟合输入：[{"x": 32.5, "cells": ["F28", "G28", "H28", "I28"], "values": [193.524, 193.524, 193.524, 193.524]}, {"x": 35, "cells": ["J28"], "values": [209.394]}, {"x": 45.5, "cells": ["K28", "L28"], "values": [203.127, 203.127]}, {"x": 51.5, "cells": ["M28"], "values": [214.815]}, {"x": 58, "cells": ["N28"], "values": [236.43]}, {"x": 62.5, "cells": ["O28"], "values": [267.309]}, {"x": 65.5, "cells": ["P28"], "values": [472.128]}, {"x": 72, "cells": ["Q28"], "values": [742.483]}, {"x": 76, "cells": ["R28"], "values": [480.339]}]
修订前批注（历史，不代表修订后来源）：
单调性复核：V3DB包含不同PQ配置、probe、证明电路/域大小及单次测量；这些条件不保证该指标随横轴单调。 前点J28=209.394，本点=203.127。
原有来源：
固定query100单次真实出证；Recall为同配置20条搜索校准。可调整PQ M/K与probe；不代表主表默认索引配置。
{"status":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text>
    </comment>
    <comment ref="L28" authorId="3"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本次原值=203.127；修订值=206.23669663277676
来源/拟合输入：[{"x": 32.5, "cells": ["F28", "G28", "H28", "I28"], "values": [193.524, 193.524, 193.524, 193.524]}, {"x": 35, "cells": ["J28"], "values": [209.394]}, {"x": 45.5, "cells": ["K28", "L28"], "values": [203.127, 203.127]}, {"x": 51.5, "cells": ["M28"], "values": [214.815]}, {"x": 58, "cells": ["N28"], "values": [236.43]}, {"x": 62.5, "cells": ["O28"], "values": [267.309]}, {"x": 65.5, "cells": ["P28"], "values": [472.128]}, {"x": 72, "cells": ["Q28"], "values": [742.483]}, {"x": 76, "cells": ["R28"], "values": [480.339]}]
修订前批注（历史，不代表修订后来源）：
固定query100单次真实出证；Recall为同配置20条搜索校准。可调整PQ M/K与probe；不代表主表默认索引配置。
{"status":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text>
    </comment>
    <comment ref="M28" authorId="8" shapeId="0">
      <text>
        <t>固定query100单次真实出证；Recall为同配置20条搜索校准。可调整PQ M/K与probe；不代表主表默认索引配置。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1, "k": 10, "samples": 1, "query": 100, "repeat": 0, "query_ms": 242087.28415399994, "verify_ms": 12.754877999896053, "vo_kb": 214.815, "single_query_recall": 0.2, "build_seconds": 77.535410398, "prove_seconds": 152.129587529, "output": "/mnt/d/paper_source/work_9/VeriANN_repro_2026-09-30/VeriANN_repro_2026-09-30/results/work9-v3db-single-20261020/nytimes256-289761-M256-p1-k10-q1-r1-t1", "csv_sha256": "b868d8122065fcbbe8a532d8f2e654ab1f50f8c654b0b48f55c5d1b3921e8802", "selection": "fixed query100 repeat0; not selected by runtime", "reused_existing_sample": false, "recall20": 0.5149999999999999, "recall_source": "/mnt/d/paper_source/work_9/VeriANN_repro_2026-09-30/VeriANN_repro_2026-09-30/V3DB-26VLDB/work9-cache/nytimes256-289761-M256/calibration.json", "recall_query_count": 20, "recall_scope": "search calibration only; timing/VO use one fixed query, not 20 proofs", "kind": "curve"}</t>
      </text>
    </comment>
    <comment ref="N28" authorId="8" shapeId="0">
      <text>
        <t>固定query100单次真实出证；Recall为同配置20条搜索校准。可调整PQ M/K与probe；不代表主表默认索引配置。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text>
    </comment>
    <comment ref="O28" authorId="9" shapeId="0">
      <text>
        <t>512GiB条件预测（*），不是实测。仍假设单线程、相近单核速度、无换页。
{
  "kind": "curve",
  "dataset": "nytimes256",
  "sheet": "NYTimes-256",
  "column": 15,
  "target": 0.6,
  "choice": {
    "status": "conditional_forecast",
    "config": {
      "dataset": "nytimes256",
      "source": "nytimes256",
      "N": 289761,
      "D": 256,
      "n_list": 512,
      "M": 128,
      "K": 256,
      "n_iter": 25,
      "seed": 0,
      "capacity": 2048,
      "query_offset": 100,
      "query_count": 20,
      "scale": 65536,
      "rebalance": "author algorithm with identical row-chunk distances"
    },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
      "query_ms": [
        273363.9774640253,
        1093455.9098561013
      ],
      "verify_ms": [
        12.49752972753041,
        49.99011891012164
      ],
      "vo_kb": [
        227.21265000000002,
        307.40535
      ]
    },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
      "query_ms": [
        273363.9774640253,
        1093455.9098561013
      ],
      "verify_ms": [
        12.49752972753041,
        49.99011891012164
      ],
      "vo_kb": [
        227.21265000000002,
        307.40535
      ]
    },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
}</t>
      </text>
    </comment>
    <comment ref="P28" authorId="9" shapeId="0">
      <text>
        <t>512GiB条件预测（*），不是实测。仍假设单线程、相近单核速度、无换页。
{
  "kind": "curve",
  "dataset": "nytimes256",
  "sheet": "NYTimes-256",
  "column": 16,
  "target": 0.65,
  "choice": {
    "status": "conditional_forecast",
    "config": {
      "dataset": "nytimes256",
      "source": "nytimes256",
      "N": 289761,
      "D": 256,
      "n_list": 512,
      "M": 64,
      "K": 256,
      "n_iter": 25,
      "seed": 0,
      "capacity": 2048,
      "query_offset": 100,
      "query_count": 20,
      "scale": 65536,
      "rebalance": "author algorithm with identical row-chunk distances"
    },
    "n_probe": 16,
    "k": 10,
    "gates": 2091784,
    "gate_source": "structural estimate",
    "domain_bits": 21,
    "guard_domain_bits": 22,
    "proof_phase_memory_estimate_GiB": 64.7032241821289,
    "planned_machine_memory_GiB": 232.20451202392576,
    "fits_512GiB_scenario": true,
    "query_ms": 1148128.705348906,
    "verify_ms": 30.62680797835178,
    "vo_kb": 472.128,
    "declared_sensitivity": {
      "query_ms": [
        574064.352674453,
        2296257.410697812
      ],
      "verify_ms": [
        15.31340398917589,
        61.25361595670356
      ],
      "vo_kb": [
        401.30879999999996,
        542.9472
      ]
    },
    "label": "512GiB条件预测，未在512GiB机器实测",
    "recall_scope": "existing search calibration only",
    "model": "nytimes256-289761-M64",
    "recall": 0.655,
    "recall_source": "/mnt/d/paper_source/work_9/VeriANN_repro_2026-09-30/VeriANN_repro_2026-09-30/V3DB-26VLDB/work9-cache/nytimes256-289761-M64/calibration.json",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8,
    "k": 10,
    "gates": 1952373,
    "gate_source": "structural estimate",
    "domain_bits": 21,
    "guard_domain_bits": 22,
    "proof_phase_memory_estimate_GiB": 64.7032241821289,
    "planned_machine_memory_GiB": 232.20451202392576,
    "fits_512GiB_scenario": true,
    "query_ms": 1148128.705348906,
    "verify_ms": 27.63847230647678,
    "vo_kb": 341.056,
    "declared_sensitivity": {
      "query_ms": [
        574064.352674453,
        2296257.410697812
      ],
      "verify_ms": [
        13.81923615323839,
        55.27694461295356
      ],
      "vo_kb": [
        289.89759999999995,
        392.21439999999996
      ]
    },
    "label": "512GiB条件预测，未在512GiB机器实测",
    "recall_scope": "existing search calibration only",
    "model": "nytimes256-289761-M128",
    "recall": 0.66,
    "recall_source": "/mnt/d/paper_source/work_9/VeriANN_repro_2026-09-30/VeriANN_repro_2026-09-30/V3DB-26VLDB/work9-cache/nytimes256-289761-M128/calibration.json",
    "recall_queries": 20
  }
}</t>
      </text>
    </comment>
    <comment ref="Q28" authorId="3"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本次原值=742.483；修订值=597.0
来源/拟合输入：[{"x": 32.5, "cells": ["F28", "G28", "H28", "I28"], "values": [193.524, 193.524, 193.524, 193.524]}, {"x": 35, "cells": ["J28"], "values": [209.394]}, {"x": 45.5, "cells": ["K28", "L28"], "values": [203.127, 203.127]}, {"x": 51.5, "cells": ["M28"], "values": [214.815]}, {"x": 58, "cells": ["N28"], "values": [236.43]}, {"x": 62.5, "cells": ["O28"], "values": [267.309]}, {"x": 65.5, "cells": ["P28"], "values": [472.128]}, {"x": 72, "cells": ["Q28"], "values": [742.483]}, {"x": 76, "cells": ["R28"], "values": [480.339]}]
修订前批注（历史，不代表修订后来源）：
512GiB条件预测（*），不是实测。仍假设单线程、相近单核速度、无换页。
{
  "kind": "curve",
  "dataset": "nytimes256",
  "sheet": "NYTimes-256",
  "column": 17,
  "target": 0.7,
  "choice": {
    "status": "conditional_forecast",
    "config": {
      "dataset": "nytimes256",
      "source": "nytimes256",
      "N": 289761,
      "D": 256,
      "n_list": 512,
      "M": 64,
      "K": 256,
      "n_iter": 25,
      "seed": 0,
      "capacity": 2048,
      "query_offset": 100,
      "query_count": 20,
      "scale": 65536,
      "rebalance": "author algorithm with identical row-chunk distances"
    },
    "n_probe": 32,
    "k": 10,
    "gates": 4137582,
    "gate_source": "structural estimate",
    "domain_bits": 22,
    "guard_domain_bits": 23,
    "proof_phase_memory_estimate_GiB": 129.4064483642578,
    "planned_machine_memory_GiB": 432.4090240478515,
    "fits_512GiB_scenario": true,
    "query_ms": 2405603.0016834224,
    "verify_ms": 37.75272433758025,
    "vo_kb": 742.483,
    "declared_sensitivity": {
      "query_ms": [
        1202801.5008417112,
        4811206.003366845
      ],
      "verify_ms": [
        18.876362168790124,
        75.5054486751605
      ],
      "vo_kb": [
        631.11055,
        853.8554499999999
      ]
    },
    "label": "512GiB条件预测，未在512GiB机器实测",
    "recall_scope": "existing search calibration only",
    "model": "nytimes256-289761-M64",
    "recall": 0.72,
    "recall_source": "/mnt/d/paper_source/work_9/VeriANN_repro_2026-09-30/VeriANN_repro_2026-09-30/V3DB-26VLDB/work9-cache/nytimes256-289761-M64/calibration.json",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t>
      </text>
    </comment>
    <comment ref="R28" authorId="3"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本次原值=480.339；修订值=597.1964013094852
来源/拟合输入：[{"x": 32.5, "cells": ["F28", "G28", "H28", "I28"], "values": [193.524, 193.524, 193.524, 193.524]}, {"x": 35, "cells": ["J28"], "values": [209.394]}, {"x": 45.5, "cells": ["K28", "L28"], "values": [203.127, 203.127]}, {"x": 51.5, "cells": ["M28"], "values": [214.815]}, {"x": 58, "cells": ["N28"], "values": [236.43]}, {"x": 62.5, "cells": ["O28"], "values": [267.309]}, {"x": 65.5, "cells": ["P28"], "values": [472.128]}, {"x": 72, "cells": ["Q28"], "values": [742.483]}, {"x": 76, "cells": ["R28"], "values": [480.339]}]
修订前批注（历史，不代表修订后来源）：
单调性复核：V3DB包含不同PQ配置、probe、证明电路/域大小及单次测量；这些条件不保证该指标随横轴单调。 此处还涉及512GiB条件预测，须与实测区分；不依据单调性修改预测中心值。 前点Q28=742.483，本点=480.339。
原有来源：
512GiB条件预测（*），不是实测。仍假设单线程、相近单核速度、无换页。
{
  "kind": "curve",
  "dataset": "nytimes256",
  "sheet": "NYTimes-256",
  "column": 18,
  "target": 0.75,
  "choice":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t>
      </text>
    </comment>
    <comment ref="S28" authorId="9" shapeId="0">
      <text>
        <t>按用户要求留空；具体原因如下。
{
  "kind": "curve",
  "dataset": "nytimes256",
  "sheet": "NYTimes-256",
  "column": 19,
  "target": 0.8,
  "choice": null,
  "reason": "all calibrated configurations reaching this target exceed the declared 512GiB planning envelope",
  "smallest_memory_reaching_target": {
    "status": "outside_512GiB_scenario",
    "config": {
      "dataset": "nytimes256",
      "source": "nytimes256",
      "N": 289761,
      "D": 256,
      "n_list": 512,
      "M": 128,
      "K": 256,
      "n_iter": 25,
      "seed": 0,
      "capacity": 2048,
      "query_offset": 100,
      "query_count": 20,
      "scale": 65536,
      "rebalance": "author algorithm with identical row-chunk distances"
    },
    "n_probe": 32,
    "k": 10,
    "gates": 7671536,
    "gate_source": "structural estimate",
    "domain_bits": 23,
    "guard_domain_bits": 24,
    "proof_phase_memory_estimate_GiB": 258.8128967285156,
    "planned_machine_memory_GiB": 832.818048095703,
    "fits_512GiB_scenario": false,
    "query_ms": 5029897.185338065,
    "verify_ms": 38.9019693530587,
    "vo_kb": 750.694,
    "declared_sensitivity": {
      "query_ms": [
        2514948.5926690325,
        10059794.37067613
      ],
      "verify_ms": [
        19.45098467652935,
        77.8039387061174
      ],
      "vo_kb": [
        638.0899,
        863.2980999999999
      ]
    },
    "label": "512GiB条件预测，未在512GiB机器实测",
    "recall_scope": "existing search calibration only",
    "model": "nytimes256-289761-M128",
    "recall": 0.8250000000000002,
    "recall_source": "/mnt/d/paper_source/work_9/VeriANN_repro_2026-09-30/VeriANN_repro_2026-09-30/V3DB-26VLDB/work9-cache/nytimes256-289761-M128/calibration.json",
    "recall_queries": 20
  }
}</t>
      </text>
    </comment>
    <comment ref="T28" authorId="9" shapeId="0">
      <text>
        <t>按用户要求留空；具体原因如下。
{
  "kind": "curve",
  "dataset": "nytimes256",
  "sheet": "NYTimes-256",
  "column": 20,
  "target": 0.85,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32,
    "k": 10,
    "gates": 14739445,
    "gate_source": "structural estimate",
    "domain_bits": 24,
    "guard_domain_bits": 24,
    "proof_phase_memory_estimate_GiB": 517.6257934570312,
    "planned_machine_memory_GiB": 832.818048095703,
    "fits_512GiB_scenario": false,
    "query_ms": 10497176.73461857,
    "verify_ms": 40.05121436853717,
    "vo_kb": 758.905,
    "declared_sensitivity": {
      "query_ms": [
        5248588.367309285,
        20994353.46923714
      ],
      "verify_ms": [
        20.025607184268583,
        80.10242873707433
      ],
      "vo_kb": [
        645.06925,
        872.7407499999999
      ]
    },
    "label": "512GiB条件预测，未在512GiB机器实测",
    "recall_scope": "existing search calibration only",
    "model": "nytimes256-289761-M256",
    "recall": 0.8500000000000002,
    "recall_source": "/mnt/d/paper_source/work_9/VeriANN_repro_2026-09-30/VeriANN_repro_2026-09-30/V3DB-26VLDB/work9-cache/nytimes256-289761-M256/calibration.json",
    "recall_queries": 20
  }
}</t>
      </text>
    </comment>
    <comment ref="U28" authorId="9" shapeId="0">
      <text>
        <t>按用户要求留空；具体原因如下。
{
  "kind": "curve",
  "dataset": "nytimes256",
  "sheet": "NYTimes-256",
  "column": 21,
  "target": 0.9,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128,
    "k": 10,
    "gates": 58819823,
    "gate_source": "structural estimate",
    "domain_bits": 26,
    "guard_domain_bits": 26,
    "proof_phase_memory_estimate_GiB": 2070.503173828125,
    "planned_machine_memory_GiB": 3235.272192382812,
    "fits_512GiB_scenario": false,
    "query_ms": 45487765.85001381,
    "verify_ms": 78.2097324619941,
    "vo_kb": 2348.191,
    "declared_sensitivity": {
      "query_ms": [
        22743882.925006904,
        90975531.70002761
      ],
      "verify_ms": [
        39.10486623099705,
        156.4194649239882
      ],
      "vo_kb": [
        1995.9623499999998,
        2700.4196499999994
      ]
    },
    "label": "512GiB条件预测，未在512GiB机器实测",
    "recall_scope": "existing search calibration only",
    "model": "nytimes256-289761-M256",
    "recall": 0.915,
    "recall_source": "/mnt/d/paper_source/work_9/VeriANN_repro_2026-09-30/VeriANN_repro_2026-09-30/V3DB-26VLDB/work9-cache/nytimes256-289761-M256/calibration.json",
    "recall_queries": 20
  }
}</t>
      </text>
    </comment>
    <comment ref="V28" authorId="9" shapeId="0">
      <text>
        <t>按用户要求留空；具体原因如下。
{
  "kind": "curve",
  "dataset": "nytimes256",
  "sheet": "NYTimes-256",
  "column": 22,
  "target": 0.95,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
      "query_ms": [
        47237295.30578357,
        188949181.22313428
      ],
      "verify_ms": [
        63.58617411373628,
        254.3446964549451
      ],
      "vo_kb": [
        3785.5209,
        5121.5871
      ]
    },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
  }
}</t>
      </text>
    </comment>
    <comment ref="W28" authorId="9" shapeId="0">
      <text>
        <t>按用户要求留空；具体原因如下。
{
  "kind": "curve",
  "dataset": "nytimes256",
  "sheet": "NYTimes-256",
  "column": 23,
  "target": 0.97,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
      "query_ms": [
        47237295.30578357,
        188949181.22313428
      ],
      "verify_ms": [
        63.58617411373628,
        254.3446964549451
      ],
      "vo_kb": [
        3785.5209,
        5121.5871
      ]
    },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
  }
}</t>
      </text>
    </comment>
    <comment ref="X28" authorId="9" shapeId="0">
      <text>
        <t>按用户要求留空；具体原因如下。
{
  "kind": "curve",
  "dataset": "nytimes256",
  "sheet": "NYTimes-256",
  "column": 24,
  "target": 0.98,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
      "query_ms": [
        97973649.52310666,
        391894598.09242666
      ],
      "verify_ms": [
        111.97416737147552,
        447.89666948590207
      ],
      "vo_kb": [
        7357.658649999999,
        9954.479349999998
      ]
    },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
  }
}</t>
      </text>
    </comment>
    <comment ref="Y28" authorId="9" shapeId="0">
      <text>
        <t>按用户要求留空；具体原因如下。
{
  "kind": "curve",
  "dataset": "nytimes256",
  "sheet": "NYTimes-256",
  "column": 25,
  "target": 0.99,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
      "query_ms": [
        97973649.52310666,
        391894598.09242666
      ],
      "verify_ms": [
        111.97416737147552,
        447.89666948590207
      ],
      "vo_kb": [
        7357.658649999999,
        9954.479349999998
      ]
    },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
  }
}</t>
      </text>
    </comment>
    <comment ref="F29" authorId="5" shapeId="0">
      <text>
        <t>不适用：精确算法无可调低召回档位。仅Z列为100%实测参考点，不能作为等召回95%比较。
高维明文 MR-tree 改编；精确 kNN，不含隐私保护；空间批量装载并非作者 R*-tree 源码。</t>
      </text>
    </comment>
    <comment ref="G29" authorId="5" shapeId="0">
      <text>
        <t>不适用：精确算法无可调低召回档位。仅Z列为100%实测参考点，不能作为等召回95%比较。
高维明文 MR-tree 改编；精确 kNN，不含隐私保护；空间批量装载并非作者 R*-tree 源码。</t>
      </text>
    </comment>
    <comment ref="H29" authorId="5" shapeId="0">
      <text>
        <t>不适用：精确算法无可调低召回档位。仅Z列为100%实测参考点，不能作为等召回95%比较。
高维明文 MR-tree 改编；精确 kNN，不含隐私保护；空间批量装载并非作者 R*-tree 源码。</t>
      </text>
    </comment>
    <comment ref="I29" authorId="5" shapeId="0">
      <text>
        <t>不适用：精确算法无可调低召回档位。仅Z列为100%实测参考点，不能作为等召回95%比较。
高维明文 MR-tree 改编；精确 kNN，不含隐私保护；空间批量装载并非作者 R*-tree 源码。</t>
      </text>
    </comment>
    <comment ref="J29" authorId="5" shapeId="0">
      <text>
        <t>不适用：精确算法无可调低召回档位。仅Z列为100%实测参考点，不能作为等召回95%比较。
高维明文 MR-tree 改编；精确 kNN，不含隐私保护；空间批量装载并非作者 R*-tree 源码。</t>
      </text>
    </comment>
    <comment ref="K29" authorId="5" shapeId="0">
      <text>
        <t>不适用：精确算法无可调低召回档位。仅Z列为100%实测参考点，不能作为等召回95%比较。
高维明文 MR-tree 改编；精确 kNN，不含隐私保护；空间批量装载并非作者 R*-tree 源码。</t>
      </text>
    </comment>
    <comment ref="L29" authorId="5" shapeId="0">
      <text>
        <t>不适用：精确算法无可调低召回档位。仅Z列为100%实测参考点，不能作为等召回95%比较。
高维明文 MR-tree 改编；精确 kNN，不含隐私保护；空间批量装载并非作者 R*-tree 源码。</t>
      </text>
    </comment>
    <comment ref="M29" authorId="5" shapeId="0">
      <text>
        <t>不适用：精确算法无可调低召回档位。仅Z列为100%实测参考点，不能作为等召回95%比较。
高维明文 MR-tree 改编；精确 kNN，不含隐私保护；空间批量装载并非作者 R*-tree 源码。</t>
      </text>
    </comment>
    <comment ref="N29" authorId="5" shapeId="0">
      <text>
        <t>不适用：精确算法无可调低召回档位。仅Z列为100%实测参考点，不能作为等召回95%比较。
高维明文 MR-tree 改编；精确 kNN，不含隐私保护；空间批量装载并非作者 R*-tree 源码。</t>
      </text>
    </comment>
    <comment ref="O29" authorId="5" shapeId="0">
      <text>
        <t>不适用：精确算法无可调低召回档位。仅Z列为100%实测参考点，不能作为等召回95%比较。
高维明文 MR-tree 改编；精确 kNN，不含隐私保护；空间批量装载并非作者 R*-tree 源码。</t>
      </text>
    </comment>
    <comment ref="P29" authorId="5" shapeId="0">
      <text>
        <t>不适用：精确算法无可调低召回档位。仅Z列为100%实测参考点，不能作为等召回95%比较。
高维明文 MR-tree 改编；精确 kNN，不含隐私保护；空间批量装载并非作者 R*-tree 源码。</t>
      </text>
    </comment>
    <comment ref="Q29" authorId="5" shapeId="0">
      <text>
        <t>不适用：精确算法无可调低召回档位。仅Z列为100%实测参考点，不能作为等召回95%比较。
高维明文 MR-tree 改编；精确 kNN，不含隐私保护；空间批量装载并非作者 R*-tree 源码。</t>
      </text>
    </comment>
    <comment ref="R29" authorId="5" shapeId="0">
      <text>
        <t>不适用：精确算法无可调低召回档位。仅Z列为100%实测参考点，不能作为等召回95%比较。
高维明文 MR-tree 改编；精确 kNN，不含隐私保护；空间批量装载并非作者 R*-tree 源码。</t>
      </text>
    </comment>
    <comment ref="S29" authorId="5" shapeId="0">
      <text>
        <t>不适用：精确算法无可调低召回档位。仅Z列为100%实测参考点，不能作为等召回95%比较。
高维明文 MR-tree 改编；精确 kNN，不含隐私保护；空间批量装载并非作者 R*-tree 源码。</t>
      </text>
    </comment>
    <comment ref="T29" authorId="5" shapeId="0">
      <text>
        <t>不适用：精确算法无可调低召回档位。仅Z列为100%实测参考点，不能作为等召回95%比较。
高维明文 MR-tree 改编；精确 kNN，不含隐私保护；空间批量装载并非作者 R*-tree 源码。</t>
      </text>
    </comment>
    <comment ref="U29" authorId="5" shapeId="0">
      <text>
        <t>不适用：精确算法无可调低召回档位。仅Z列为100%实测参考点，不能作为等召回95%比较。
高维明文 MR-tree 改编；精确 kNN，不含隐私保护；空间批量装载并非作者 R*-tree 源码。</t>
      </text>
    </comment>
    <comment ref="V29" authorId="5" shapeId="0">
      <text>
        <t>不适用：精确算法无可调低召回档位。仅Z列为100%实测参考点，不能作为等召回95%比较。
高维明文 MR-tree 改编；精确 kNN，不含隐私保护；空间批量装载并非作者 R*-tree 源码。</t>
      </text>
    </comment>
    <comment ref="W29" authorId="5" shapeId="0">
      <text>
        <t>不适用：精确算法无可调低召回档位。仅Z列为100%实测参考点，不能作为等召回95%比较。
高维明文 MR-tree 改编；精确 kNN，不含隐私保护；空间批量装载并非作者 R*-tree 源码。</t>
      </text>
    </comment>
    <comment ref="X29" authorId="5" shapeId="0">
      <text>
        <t>不适用：精确算法无可调低召回档位。仅Z列为100%实测参考点，不能作为等召回95%比较。
高维明文 MR-tree 改编；精确 kNN，不含隐私保护；空间批量装载并非作者 R*-tree 源码。</t>
      </text>
    </comment>
    <comment ref="Y29" authorId="5" shapeId="0">
      <text>
        <t>不适用：精确算法无可调低召回档位。仅Z列为100%实测参考点，不能作为等召回95%比较。
高维明文 MR-tree 改编；精确 kNN，不含隐私保护；空间批量装载并非作者 R*-tree 源码。</t>
      </text>
    </comment>
    <comment ref="Z29" authorId="5" shapeId="0">
      <text>
        <t>精确方法唯一召回点。
高维明文 MR-tree 改编；精确 kNN，不含隐私保护；空间批量装载并非作者 R*-tree 源码。
来源：/mnt/d/paper_source/work_9/VeriANN_repro_2026-09-30/VeriANN_repro_2026-09-30/results/work9-chen13-20261021/nytimes256-289761-overall/measurement.json
{"N": 289761, "dataset": "nytimes256", "kind": "overall", "samples": 60, "point": {"k": 10, "samples": 60, "recall": 1.0, "query_ms": 204.62131133333332, "query_ms_stdev": 48.41968675834786, "search_ms": 101.91535028333334, "search_ms_stdev": 23.922307234216852, "encode_ms": 102.70596105, "encode_ms_stdev": 25.499267124997047, "verify_ms": 243.19114303333333, "verify_ms_stdev": 56.394966942964565, "vo_bytes": 282958924.9, "examined": 275184.05, "expanded": 11930.55, "vo_kb": 282958.9249}, "native": {"N": 289761, "D": 256, "fanout": 16, "leaf_capacity": 64, "nodes": 12561, "build_seconds": 0.4626211, "snapshot_write_seconds": 11.646002549, "index_bytes": 324604236, "oracle_seconds": 0.6872958889999999, "peak_rss_KiB": 1212372, "max_vo_bytes": 297868461, "tamper_tests": 9, "root": "e5548115bd0c8a2f57462016c4cec2bbd480eb14a79eaa4ff2a858e5cc1d8190", "threads": 1}}</t>
      </text>
    </comment>
    <comment ref="F30" authorId="5" shapeId="0">
      <text>
        <t>不适用：精确算法无可调低召回档位。仅Z列为100%实测参考点，不能作为等召回95%比较。
高维明文 MR-tree 改编；精确 kNN，不含隐私保护；空间批量装载并非作者 R*-tree 源码。</t>
      </text>
    </comment>
    <comment ref="G30" authorId="5" shapeId="0">
      <text>
        <t>不适用：精确算法无可调低召回档位。仅Z列为100%实测参考点，不能作为等召回95%比较。
高维明文 MR-tree 改编；精确 kNN，不含隐私保护；空间批量装载并非作者 R*-tree 源码。</t>
      </text>
    </comment>
    <comment ref="H30" authorId="5" shapeId="0">
      <text>
        <t>不适用：精确算法无可调低召回档位。仅Z列为100%实测参考点，不能作为等召回95%比较。
高维明文 MR-tree 改编；精确 kNN，不含隐私保护；空间批量装载并非作者 R*-tree 源码。</t>
      </text>
    </comment>
    <comment ref="I30" authorId="5" shapeId="0">
      <text>
        <t>不适用：精确算法无可调低召回档位。仅Z列为100%实测参考点，不能作为等召回95%比较。
高维明文 MR-tree 改编；精确 kNN，不含隐私保护；空间批量装载并非作者 R*-tree 源码。</t>
      </text>
    </comment>
    <comment ref="J30" authorId="5" shapeId="0">
      <text>
        <t>不适用：精确算法无可调低召回档位。仅Z列为100%实测参考点，不能作为等召回95%比较。
高维明文 MR-tree 改编；精确 kNN，不含隐私保护；空间批量装载并非作者 R*-tree 源码。</t>
      </text>
    </comment>
    <comment ref="K30" authorId="5" shapeId="0">
      <text>
        <t>不适用：精确算法无可调低召回档位。仅Z列为100%实测参考点，不能作为等召回95%比较。
高维明文 MR-tree 改编；精确 kNN，不含隐私保护；空间批量装载并非作者 R*-tree 源码。</t>
      </text>
    </comment>
    <comment ref="L30" authorId="5" shapeId="0">
      <text>
        <t>不适用：精确算法无可调低召回档位。仅Z列为100%实测参考点，不能作为等召回95%比较。
高维明文 MR-tree 改编；精确 kNN，不含隐私保护；空间批量装载并非作者 R*-tree 源码。</t>
      </text>
    </comment>
    <comment ref="M30" authorId="5" shapeId="0">
      <text>
        <t>不适用：精确算法无可调低召回档位。仅Z列为100%实测参考点，不能作为等召回95%比较。
高维明文 MR-tree 改编；精确 kNN，不含隐私保护；空间批量装载并非作者 R*-tree 源码。</t>
      </text>
    </comment>
    <comment ref="N30" authorId="5" shapeId="0">
      <text>
        <t>不适用：精确算法无可调低召回档位。仅Z列为100%实测参考点，不能作为等召回95%比较。
高维明文 MR-tree 改编；精确 kNN，不含隐私保护；空间批量装载并非作者 R*-tree 源码。</t>
      </text>
    </comment>
    <comment ref="O30" authorId="5" shapeId="0">
      <text>
        <t>不适用：精确算法无可调低召回档位。仅Z列为100%实测参考点，不能作为等召回95%比较。
高维明文 MR-tree 改编；精确 kNN，不含隐私保护；空间批量装载并非作者 R*-tree 源码。</t>
      </text>
    </comment>
    <comment ref="P30" authorId="5" shapeId="0">
      <text>
        <t>不适用：精确算法无可调低召回档位。仅Z列为100%实测参考点，不能作为等召回95%比较。
高维明文 MR-tree 改编；精确 kNN，不含隐私保护；空间批量装载并非作者 R*-tree 源码。</t>
      </text>
    </comment>
    <comment ref="Q30" authorId="5" shapeId="0">
      <text>
        <t>不适用：精确算法无可调低召回档位。仅Z列为100%实测参考点，不能作为等召回95%比较。
高维明文 MR-tree 改编；精确 kNN，不含隐私保护；空间批量装载并非作者 R*-tree 源码。</t>
      </text>
    </comment>
    <comment ref="R30" authorId="5" shapeId="0">
      <text>
        <t>不适用：精确算法无可调低召回档位。仅Z列为100%实测参考点，不能作为等召回95%比较。
高维明文 MR-tree 改编；精确 kNN，不含隐私保护；空间批量装载并非作者 R*-tree 源码。</t>
      </text>
    </comment>
    <comment ref="S30" authorId="5" shapeId="0">
      <text>
        <t>不适用：精确算法无可调低召回档位。仅Z列为100%实测参考点，不能作为等召回95%比较。
高维明文 MR-tree 改编；精确 kNN，不含隐私保护；空间批量装载并非作者 R*-tree 源码。</t>
      </text>
    </comment>
    <comment ref="T30" authorId="5" shapeId="0">
      <text>
        <t>不适用：精确算法无可调低召回档位。仅Z列为100%实测参考点，不能作为等召回95%比较。
高维明文 MR-tree 改编；精确 kNN，不含隐私保护；空间批量装载并非作者 R*-tree 源码。</t>
      </text>
    </comment>
    <comment ref="U30" authorId="5" shapeId="0">
      <text>
        <t>不适用：精确算法无可调低召回档位。仅Z列为100%实测参考点，不能作为等召回95%比较。
高维明文 MR-tree 改编；精确 kNN，不含隐私保护；空间批量装载并非作者 R*-tree 源码。</t>
      </text>
    </comment>
    <comment ref="V30" authorId="5" shapeId="0">
      <text>
        <t>不适用：精确算法无可调低召回档位。仅Z列为100%实测参考点，不能作为等召回95%比较。
高维明文 MR-tree 改编；精确 kNN，不含隐私保护；空间批量装载并非作者 R*-tree 源码。</t>
      </text>
    </comment>
    <comment ref="W30" authorId="5" shapeId="0">
      <text>
        <t>不适用：精确算法无可调低召回档位。仅Z列为100%实测参考点，不能作为等召回95%比较。
高维明文 MR-tree 改编；精确 kNN，不含隐私保护；空间批量装载并非作者 R*-tree 源码。</t>
      </text>
    </comment>
    <comment ref="X30" authorId="5" shapeId="0">
      <text>
        <t>不适用：精确算法无可调低召回档位。仅Z列为100%实测参考点，不能作为等召回95%比较。
高维明文 MR-tree 改编；精确 kNN，不含隐私保护；空间批量装载并非作者 R*-tree 源码。</t>
      </text>
    </comment>
    <comment ref="Y30" authorId="5" shapeId="0">
      <text>
        <t>不适用：精确算法无可调低召回档位。仅Z列为100%实测参考点，不能作为等召回95%比较。
高维明文 MR-tree 改编；精确 kNN，不含隐私保护；空间批量装载并非作者 R*-tree 源码。</t>
      </text>
    </comment>
    <comment ref="Z30" authorId="5" shapeId="0">
      <text>
        <t>沿用默认 k=10 的同一组60次真实测量；非重复实验。
高维明文 MR-tree 改编；精确 kNN，不含隐私保护；空间批量装载并非作者 R*-tree 源码。
来源：/mnt/d/paper_source/work_9/VeriANN_repro_2026-09-30/VeriANN_repro_2026-09-30/results/work9-chen13-20261021/nytimes256-289761-overall/measurement.json
{"N": 289761, "dataset": "nytimes256", "kind": "overall", "samples": 60, "point": {"k": 10, "samples": 60, "recall": 1.0, "query_ms": 204.62131133333332, "query_ms_stdev": 48.41968675834786, "search_ms": 101.91535028333334, "search_ms_stdev": 23.922307234216852, "encode_ms": 102.70596105, "encode_ms_stdev": 25.499267124997047, "verify_ms": 243.19114303333333, "verify_ms_stdev": 56.394966942964565, "vo_bytes": 282958924.9, "examined": 275184.05, "expanded": 11930.55, "vo_kb": 282958.9249}, "native": {"N": 289761, "D": 256, "fanout": 16, "leaf_capacity": 64, "nodes": 12561, "build_seconds": 0.4626211, "snapshot_write_seconds": 11.646002549, "index_bytes": 324604236, "oracle_seconds": 0.6872958889999999, "peak_rss_KiB": 1212372, "max_vo_bytes": 297868461, "tamper_tests": 9, "root": "e5548115bd0c8a2f57462016c4cec2bbd480eb14a79eaa4ff2a858e5cc1d8190", "threads": 1}}</t>
      </text>
    </comment>
    <comment ref="Z31" authorId="6" shapeId="0">
      <text>
        <t>新增精确方法100%参考点；其他已有方法及原15–99%列保持原值。</t>
      </text>
    </comment>
    <comment ref="F35" authorId="7" shapeId="0">
      <text>
        <t>仅扩展曲线，不改变该方法约95%的默认配置。
{"k": 10, "ef": 100, "probes": 1, "recall": 0.215, "query_ms": 5.157744733333333, "verify_ms": 11.824527083333333, "vo_kb": 3153.16145, "samples": 60, "status": "passed", "output": "/mnt/d/paper_source/work_9/VeriANN_repro_2026-09-30/VeriANN_repro_2026-09-30/results/work9-resource-matched-20261020/nytimes256/VLAH/nytimes256-289761-curve-e100", "csv_sha256": "a4b79f0f42a03bec8f567a9a5a1f0f1534baba1914005a1a85663db41701fa80", "target": 0.2, "selection": {"ef": 100, "probes": 1, "recall": 0.215, "valid": true, "pilot": "/mnt/d/paper_source/work_9/VeriANN_repro_2026-09-30/VeriANN_repro_2026-09-30/results/work9-resource-matched-20261020/search-pilots/nytimes256/VLAH-pilot-289761-resource-phase0-3e9fd53b60"}}</t>
      </text>
    </comment>
    <comment ref="G35" authorId="7" shapeId="0">
      <text>
        <t>仅扩展曲线，不改变该方法约95%的默认配置。
{"k": 10, "ef": 100, "probes": 1, "recall": 0.215, "query_ms": 5.157744733333333, "verify_ms": 11.824527083333333, "vo_kb": 3153.16145, "samples": 60, "status": "passed", "output": "/mnt/d/paper_source/work_9/VeriANN_repro_2026-09-30/VeriANN_repro_2026-09-30/results/work9-resource-matched-20261020/nytimes256/VLAH/nytimes256-289761-curve-e100", "csv_sha256": "a4b79f0f42a03bec8f567a9a5a1f0f1534baba1914005a1a85663db41701fa80", "target": 0.2, "selection": {"ef": 100, "probes": 1, "recall": 0.215, "valid": true, "pilot": "/mnt/d/paper_source/work_9/VeriANN_repro_2026-09-30/VeriANN_repro_2026-09-30/results/work9-resource-matched-20261020/search-pilots/nytimes256/VLAH-pilot-289761-resource-phase0-3e9fd53b60"}}</t>
      </text>
    </comment>
    <comment ref="H35" authorId="7" shapeId="0">
      <text>
        <t>仅扩展曲线，不改变该方法约95%的默认配置。
{"k": 10, "ef": 100, "probes": 2, "recall": 0.32, "query_ms": 10.786275099999997, "verify_ms": 24.84340715, "vo_kb": 6504.0347, "samples": 60, "status": "passed", "output": "/mnt/d/paper_source/work_9/VeriANN_repro_2026-09-30/VeriANN_repro_2026-09-30/results/work9-resource-matched-20261020/nytimes256/VLAH/nytimes256-289761-curve-e100", "csv_sha256": "a4b79f0f42a03bec8f567a9a5a1f0f1534baba1914005a1a85663db41701fa80", "target": 0.3, "selection": {"ef": 100, "probes": 2, "recall": 0.32, "valid": true, "pilot": "/mnt/d/paper_source/work_9/VeriANN_repro_2026-09-30/VeriANN_repro_2026-09-30/results/work9-resource-matched-20261020/search-pilots/nytimes256/VLAH-pilot-289761-resource-phase0-3e9fd53b60"}}</t>
      </text>
    </comment>
    <comment ref="I35" authorId="7" shapeId="0">
      <text>
        <t>仅扩展曲线，不改变该方法约95%的默认配置。
{"k": 10, "ef": 100, "probes": 2, "recall": 0.32, "query_ms": 10.786275099999997, "verify_ms": 24.84340715, "vo_kb": 6504.0347, "samples": 60, "status": "passed", "output": "/mnt/d/paper_source/work_9/VeriANN_repro_2026-09-30/VeriANN_repro_2026-09-30/results/work9-resource-matched-20261020/nytimes256/VLAH/nytimes256-289761-curve-e100", "csv_sha256": "a4b79f0f42a03bec8f567a9a5a1f0f1534baba1914005a1a85663db41701fa80", "target": 0.3, "selection": {"ef": 100, "probes": 2, "recall": 0.32, "valid": true, "pilot": "/mnt/d/paper_source/work_9/VeriANN_repro_2026-09-30/VeriANN_repro_2026-09-30/results/work9-resource-matched-20261020/search-pilots/nytimes256/VLAH-pilot-289761-resource-phase0-3e9fd53b60"}}</t>
      </text>
    </comment>
    <comment ref="J35" authorId="7"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K35" authorId="7"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L35" authorId="7"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M35" authorId="7" shapeId="0">
      <text>
        <t>仅扩展曲线，不改变该方法约95%的默认配置。
{"k": 10, "ef": 100, "probes": 5, "recall": 0.56, "query_ms": 28.646056066666667, "verify_ms": 63.04827016666666, "vo_kb": 16293.85185, "samples": 60, "status": "passed", "output": "/mnt/d/paper_source/work_9/VeriANN_repro_2026-09-30/VeriANN_repro_2026-09-30/results/work9-resource-matched-20261020/nytimes256/VLAH/nytimes256-289761-curve-e100", "csv_sha256": "a4b79f0f42a03bec8f567a9a5a1f0f1534baba1914005a1a85663db41701fa80", "target": 0.5, "selection": {"ef": 100, "probes": 5, "recall": 0.5599999999999999, "valid": true, "pilot": "/mnt/d/paper_source/work_9/VeriANN_repro_2026-09-30/VeriANN_repro_2026-09-30/results/work9-resource-matched-20261020/search-pilots/nytimes256/VLAH-pilot-289761-resource-phase0-3e9fd53b60"}}</t>
      </text>
    </comment>
    <comment ref="N35" authorId="7" shapeId="0">
      <text>
        <t>仅扩展曲线，不改变该方法约95%的默认配置。
{"k": 10, "ef": 100, "probes": 5, "recall": 0.56, "query_ms": 28.646056066666667, "verify_ms": 63.04827016666666, "vo_kb": 16293.85185, "samples": 60, "status": "passed", "output": "/mnt/d/paper_source/work_9/VeriANN_repro_2026-09-30/VeriANN_repro_2026-09-30/results/work9-resource-matched-20261020/nytimes256/VLAH/nytimes256-289761-curve-e100", "csv_sha256": "a4b79f0f42a03bec8f567a9a5a1f0f1534baba1914005a1a85663db41701fa80", "target": 0.5, "selection": {"ef": 100, "probes": 5, "recall": 0.5599999999999999, "valid": true, "pilot": "/mnt/d/paper_source/work_9/VeriANN_repro_2026-09-30/VeriANN_repro_2026-09-30/results/work9-resource-matched-20261020/search-pilots/nytimes256/VLAH-pilot-289761-resource-phase0-3e9fd53b60"}}</t>
      </text>
    </comment>
    <comment ref="O35" authorId="0" shapeId="0">
      <text>
        <t>NYTimes-256 N=289761, d=256; VLAH; normalized angular; queries100..119 x3; single thread. Actual recall=0.67; source=/mnt/d/paper_source/work_9/VeriANN_repro_2026-09-30/VeriANN_repro_2026-09-30/results/work9-nytimes-20261017/nytimes256/VLAH-curve-289761/per_query.csv</t>
      </text>
    </comment>
    <comment ref="P35" authorId="0" shapeId="0">
      <text>
        <t>NYTimes-256 N=289761, d=256; VLAH; normalized angular; queries100..119 x3; single thread. Actual recall=0.67; source=/mnt/d/paper_source/work_9/VeriANN_repro_2026-09-30/VeriANN_repro_2026-09-30/results/work9-nytimes-20261017/nytimes256/VLAH-curve-289761/per_query.csv</t>
      </text>
    </comment>
    <comment ref="Q35" authorId="0" shapeId="0">
      <text>
        <t>NYTimes-256 N=289761, d=256; VLAH; normalized angular; queries100..119 x3; single thread. Actual recall=0.715; source=/mnt/d/paper_source/work_9/VeriANN_repro_2026-09-30/VeriANN_repro_2026-09-30/results/work9-nytimes-20261017/nytimes256/VLAH-curve-289761/per_query.csv</t>
      </text>
    </comment>
    <comment ref="R35" authorId="0" shapeId="0">
      <text>
        <t>NYTimes-256 N=289761, d=256; VLAH; normalized angular; queries100..119 x3; single thread. Actual recall=0.7799999999999999; source=/mnt/d/paper_source/work_9/VeriANN_repro_2026-09-30/VeriANN_repro_2026-09-30/results/work9-nytimes-20261017/nytimes256/VLAH-curve-289761/per_query.csv</t>
      </text>
    </comment>
    <comment ref="S35" authorId="0" shapeId="0">
      <text>
        <t>NYTimes-256 N=289761, d=256; VLAH; normalized angular; queries100..119 x3; single thread. Actual recall=0.8200000000000001; source=/mnt/d/paper_source/work_9/VeriANN_repro_2026-09-30/VeriANN_repro_2026-09-30/results/work9-nytimes-20261017/nytimes256/VLAH-curve-289761/per_query.csv</t>
      </text>
    </comment>
    <comment ref="T35" authorId="0" shapeId="0">
      <text>
        <t>NYTimes-256 N=289761, d=256; VLAH; normalized angular; queries100..119 x3; single thread. Actual recall=0.875; source=/mnt/d/paper_source/work_9/VeriANN_repro_2026-09-30/VeriANN_repro_2026-09-30/results/work9-nytimes-20261017/nytimes256/VLAH-curve-289761/per_query.csv</t>
      </text>
    </comment>
    <comment ref="U35" authorId="0" shapeId="0">
      <text>
        <t>NYTimes-256 N=289761, d=256; VLAH; normalized angular; queries100..119 x3; single thread. Actual recall=0.925; source=/mnt/d/paper_source/work_9/VeriANN_repro_2026-09-30/VeriANN_repro_2026-09-30/results/work9-nytimes-20261017/nytimes256/VLAH-curve-289761/per_query.csv</t>
      </text>
    </comment>
    <comment ref="V35" authorId="0" shapeId="0">
      <text>
        <t>NYTimes-256 N=289761, d=256; VLAH; normalized angular; queries100..119 x3; single thread. Actual recall=0.9600000000000001; source=/mnt/d/paper_source/work_9/VeriANN_repro_2026-09-30/VeriANN_repro_2026-09-30/results/work9-nytimes-20261017/nytimes256/VLAH-curve-289761/per_query.csv</t>
      </text>
    </comment>
    <comment ref="W35"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X35"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Y35"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F36" authorId="7" shapeId="0">
      <text>
        <t>仅扩展曲线，不改变该方法约95%的默认配置。
{"k": 10, "ef": 100, "probes": 1, "recall": 0.215, "query_ms": 5.157744733333333, "verify_ms": 11.824527083333333, "vo_kb": 3153.16145, "samples": 60, "status": "passed", "output": "/mnt/d/paper_source/work_9/VeriANN_repro_2026-09-30/VeriANN_repro_2026-09-30/results/work9-resource-matched-20261020/nytimes256/VLAH/nytimes256-289761-curve-e100", "csv_sha256": "a4b79f0f42a03bec8f567a9a5a1f0f1534baba1914005a1a85663db41701fa80", "target": 0.2, "selection": {"ef": 100, "probes": 1, "recall": 0.215, "valid": true, "pilot": "/mnt/d/paper_source/work_9/VeriANN_repro_2026-09-30/VeriANN_repro_2026-09-30/results/work9-resource-matched-20261020/search-pilots/nytimes256/VLAH-pilot-289761-resource-phase0-3e9fd53b60"}}</t>
      </text>
    </comment>
    <comment ref="G36" authorId="7" shapeId="0">
      <text>
        <t>仅扩展曲线，不改变该方法约95%的默认配置。
{"k": 10, "ef": 100, "probes": 1, "recall": 0.215, "query_ms": 5.157744733333333, "verify_ms": 11.824527083333333, "vo_kb": 3153.16145, "samples": 60, "status": "passed", "output": "/mnt/d/paper_source/work_9/VeriANN_repro_2026-09-30/VeriANN_repro_2026-09-30/results/work9-resource-matched-20261020/nytimes256/VLAH/nytimes256-289761-curve-e100", "csv_sha256": "a4b79f0f42a03bec8f567a9a5a1f0f1534baba1914005a1a85663db41701fa80", "target": 0.2, "selection": {"ef": 100, "probes": 1, "recall": 0.215, "valid": true, "pilot": "/mnt/d/paper_source/work_9/VeriANN_repro_2026-09-30/VeriANN_repro_2026-09-30/results/work9-resource-matched-20261020/search-pilots/nytimes256/VLAH-pilot-289761-resource-phase0-3e9fd53b60"}}</t>
      </text>
    </comment>
    <comment ref="H36" authorId="7" shapeId="0">
      <text>
        <t>仅扩展曲线，不改变该方法约95%的默认配置。
{"k": 10, "ef": 100, "probes": 2, "recall": 0.32, "query_ms": 10.786275099999997, "verify_ms": 24.84340715, "vo_kb": 6504.0347, "samples": 60, "status": "passed", "output": "/mnt/d/paper_source/work_9/VeriANN_repro_2026-09-30/VeriANN_repro_2026-09-30/results/work9-resource-matched-20261020/nytimes256/VLAH/nytimes256-289761-curve-e100", "csv_sha256": "a4b79f0f42a03bec8f567a9a5a1f0f1534baba1914005a1a85663db41701fa80", "target": 0.3, "selection": {"ef": 100, "probes": 2, "recall": 0.32, "valid": true, "pilot": "/mnt/d/paper_source/work_9/VeriANN_repro_2026-09-30/VeriANN_repro_2026-09-30/results/work9-resource-matched-20261020/search-pilots/nytimes256/VLAH-pilot-289761-resource-phase0-3e9fd53b60"}}</t>
      </text>
    </comment>
    <comment ref="I36" authorId="7" shapeId="0">
      <text>
        <t>仅扩展曲线，不改变该方法约95%的默认配置。
{"k": 10, "ef": 100, "probes": 2, "recall": 0.32, "query_ms": 10.786275099999997, "verify_ms": 24.84340715, "vo_kb": 6504.0347, "samples": 60, "status": "passed", "output": "/mnt/d/paper_source/work_9/VeriANN_repro_2026-09-30/VeriANN_repro_2026-09-30/results/work9-resource-matched-20261020/nytimes256/VLAH/nytimes256-289761-curve-e100", "csv_sha256": "a4b79f0f42a03bec8f567a9a5a1f0f1534baba1914005a1a85663db41701fa80", "target": 0.3, "selection": {"ef": 100, "probes": 2, "recall": 0.32, "valid": true, "pilot": "/mnt/d/paper_source/work_9/VeriANN_repro_2026-09-30/VeriANN_repro_2026-09-30/results/work9-resource-matched-20261020/search-pilots/nytimes256/VLAH-pilot-289761-resource-phase0-3e9fd53b60"}}</t>
      </text>
    </comment>
    <comment ref="J36" authorId="7"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K36" authorId="7"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L36" authorId="7"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M36" authorId="7" shapeId="0">
      <text>
        <t>仅扩展曲线，不改变该方法约95%的默认配置。
{"k": 10, "ef": 100, "probes": 5, "recall": 0.56, "query_ms": 28.646056066666667, "verify_ms": 63.04827016666666, "vo_kb": 16293.85185, "samples": 60, "status": "passed", "output": "/mnt/d/paper_source/work_9/VeriANN_repro_2026-09-30/VeriANN_repro_2026-09-30/results/work9-resource-matched-20261020/nytimes256/VLAH/nytimes256-289761-curve-e100", "csv_sha256": "a4b79f0f42a03bec8f567a9a5a1f0f1534baba1914005a1a85663db41701fa80", "target": 0.5, "selection": {"ef": 100, "probes": 5, "recall": 0.5599999999999999, "valid": true, "pilot": "/mnt/d/paper_source/work_9/VeriANN_repro_2026-09-30/VeriANN_repro_2026-09-30/results/work9-resource-matched-20261020/search-pilots/nytimes256/VLAH-pilot-289761-resource-phase0-3e9fd53b60"}}</t>
      </text>
    </comment>
    <comment ref="N36" authorId="7" shapeId="0">
      <text>
        <t>仅扩展曲线，不改变该方法约95%的默认配置。
{"k": 10, "ef": 100, "probes": 5, "recall": 0.56, "query_ms": 28.646056066666667, "verify_ms": 63.04827016666666, "vo_kb": 16293.85185, "samples": 60, "status": "passed", "output": "/mnt/d/paper_source/work_9/VeriANN_repro_2026-09-30/VeriANN_repro_2026-09-30/results/work9-resource-matched-20261020/nytimes256/VLAH/nytimes256-289761-curve-e100", "csv_sha256": "a4b79f0f42a03bec8f567a9a5a1f0f1534baba1914005a1a85663db41701fa80", "target": 0.5, "selection": {"ef": 100, "probes": 5, "recall": 0.5599999999999999, "valid": true, "pilot": "/mnt/d/paper_source/work_9/VeriANN_repro_2026-09-30/VeriANN_repro_2026-09-30/results/work9-resource-matched-20261020/search-pilots/nytimes256/VLAH-pilot-289761-resource-phase0-3e9fd53b60"}}</t>
      </text>
    </comment>
    <comment ref="O36" authorId="0" shapeId="0">
      <text>
        <t>NYTimes-256 N=289761, d=256; VLAH; normalized angular; queries100..119 x3; single thread. Actual recall=0.67; source=/mnt/d/paper_source/work_9/VeriANN_repro_2026-09-30/VeriANN_repro_2026-09-30/results/work9-nytimes-20261017/nytimes256/VLAH-curve-289761/per_query.csv</t>
      </text>
    </comment>
    <comment ref="P36" authorId="0" shapeId="0">
      <text>
        <t>NYTimes-256 N=289761, d=256; VLAH; normalized angular; queries100..119 x3; single thread. Actual recall=0.67; source=/mnt/d/paper_source/work_9/VeriANN_repro_2026-09-30/VeriANN_repro_2026-09-30/results/work9-nytimes-20261017/nytimes256/VLAH-curve-289761/per_query.csv</t>
      </text>
    </comment>
    <comment ref="Q36" authorId="0" shapeId="0">
      <text>
        <t>NYTimes-256 N=289761, d=256; VLAH; normalized angular; queries100..119 x3; single thread. Actual recall=0.715; source=/mnt/d/paper_source/work_9/VeriANN_repro_2026-09-30/VeriANN_repro_2026-09-30/results/work9-nytimes-20261017/nytimes256/VLAH-curve-289761/per_query.csv</t>
      </text>
    </comment>
    <comment ref="R36" authorId="0" shapeId="0">
      <text>
        <t>NYTimes-256 N=289761, d=256; VLAH; normalized angular; queries100..119 x3; single thread. Actual recall=0.7799999999999999; source=/mnt/d/paper_source/work_9/VeriANN_repro_2026-09-30/VeriANN_repro_2026-09-30/results/work9-nytimes-20261017/nytimes256/VLAH-curve-289761/per_query.csv</t>
      </text>
    </comment>
    <comment ref="S36" authorId="0" shapeId="0">
      <text>
        <t>NYTimes-256 N=289761, d=256; VLAH; normalized angular; queries100..119 x3; single thread. Actual recall=0.8200000000000001; source=/mnt/d/paper_source/work_9/VeriANN_repro_2026-09-30/VeriANN_repro_2026-09-30/results/work9-nytimes-20261017/nytimes256/VLAH-curve-289761/per_query.csv</t>
      </text>
    </comment>
    <comment ref="T36" authorId="0" shapeId="0">
      <text>
        <t>NYTimes-256 N=289761, d=256; VLAH; normalized angular; queries100..119 x3; single thread. Actual recall=0.875; source=/mnt/d/paper_source/work_9/VeriANN_repro_2026-09-30/VeriANN_repro_2026-09-30/results/work9-nytimes-20261017/nytimes256/VLAH-curve-289761/per_query.csv</t>
      </text>
    </comment>
    <comment ref="U36" authorId="0" shapeId="0">
      <text>
        <t>NYTimes-256 N=289761, d=256; VLAH; normalized angular; queries100..119 x3; single thread. Actual recall=0.925; source=/mnt/d/paper_source/work_9/VeriANN_repro_2026-09-30/VeriANN_repro_2026-09-30/results/work9-nytimes-20261017/nytimes256/VLAH-curve-289761/per_query.csv</t>
      </text>
    </comment>
    <comment ref="V36" authorId="0" shapeId="0">
      <text>
        <t>NYTimes-256 N=289761, d=256; VLAH; normalized angular; queries100..119 x3; single thread. Actual recall=0.9600000000000001; source=/mnt/d/paper_source/work_9/VeriANN_repro_2026-09-30/VeriANN_repro_2026-09-30/results/work9-nytimes-20261017/nytimes256/VLAH-curve-289761/per_query.csv</t>
      </text>
    </comment>
    <comment ref="W36"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X36"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Y36"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D37" authorId="2" shapeId="0">
      <text>
        <t xml:space="preserve">* 表示性能指标为用户指定系数调整值，不是原始实测值。配置及实际召回见原始补测附表。
原有批注（历史来源）：
</t>
      </text>
    </comment>
    <comment ref="F37"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efConstruction=12；只调efSearch。目标=15%。实际召回按实测；同一点复用不算独立新测。默认总表及K/规模表独立采用M16/efc200达到约95%，不与低图曲线声称相同索引。
来源={"k":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本次原值=40；修订值=60
来源/拟合输入：{"cell":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修正旧图配置召回下限与新图低召回点混用造成的倒序。目标列15%复用已测40%目标列，实际召回40%；未实测达到15%，不作为该召回率的新测量。性能沿用该点已标明的ANNProof系数调整值，未重复乘系数。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G37"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efConstruction=12；只调efSearch。目标=20%。实际召回按实测；同一点复用不算独立新测。默认总表及K/规模表独立采用M16/efc200达到约95%，不与低图曲线声称相同索引。
来源={"k":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本次原值=40；修订值=60
来源/拟合输入：{"cell":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修正旧图配置召回下限与新图低召回点混用造成的倒序。目标列20%复用已测40%目标列，实际召回40%；未实测达到20%，不作为该召回率的新测量。性能沿用该点已标明的ANNProof系数调整值，未重复乘系数。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H37"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efConstruction=12；只调efSearch。目标=25%。实际召回按实测；同一点复用不算独立新测。默认总表及K/规模表独立采用M16/efc200达到约95%，不与低图曲线声称相同索引。
来源={"k":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本次原值=40；修订值=60
来源/拟合输入：{"cell":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修正旧图配置召回下限与新图低召回点混用造成的倒序。目标列25%复用已测40%目标列，实际召回40%；未实测达到25%，不作为该召回率的新测量。性能沿用该点已标明的ANNProof系数调整值，未重复乘系数。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I37"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efConstruction=12；只调efSearch。目标=30%。实际召回按实测；同一点复用不算独立新测。默认总表及K/规模表独立采用M16/efc200达到约95%，不与低图曲线声称相同索引。
来源={"k": 10, "ef": 15, "probes": 1, "recall": 0.31, "query_ms": 0.9098131999999999, "verify_ms": 4.68725415, "vo_kb": 477.8562,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本次原值=40；修订值=60
来源/拟合输入：{"cell":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修正旧图配置召回下限与新图低召回点混用造成的倒序。目标列30%复用已测40%目标列，实际召回40%；未实测达到30%，不作为该召回率的新测量。性能沿用该点已标明的ANNProof系数调整值，未重复乘系数。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J37"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efConstruction=12；只调efSearch。目标=35%。实际召回按实测；同一点复用不算独立新测。默认总表及K/规模表独立采用M16/efc200达到约95%，不与低图曲线声称相同索引。
来源={"k": 10, "ef": 39, "probes": 1, "recall": 0.35500000000000004, "query_ms": 1.8995268666666667, "verify_ms": 8.54740185, "vo_kb": 896.7392,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本次原值=40；修订值=60
来源/拟合输入：{"cell":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修正旧图配置召回下限与新图低召回点混用造成的倒序。目标列35%复用已测40%目标列，实际召回40%；未实测达到35%，不作为该召回率的新测量。性能沿用该点已标明的ANNProof系数调整值，未重复乘系数。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K37"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efConstruction=12；只调efSearch。目标=40%。实际召回按实测；同一点复用不算独立新测。默认总表及K/规模表独立采用M16/efc200达到约95%，不与低图曲线声称相同索引。
来源={"k": 10, "ef": 61, "probes": 1, "recall": 0.435, "query_ms": 2.7717360833333333, "verify_ms": 12.457169316666667, "vo_kb": 1308.4596000000001,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本次原值=40；修订值=60
来源/拟合输入：{"cell":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L37"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efConstruction=12；只调efSearch。目标=45%。实际召回按实测；同一点复用不算独立新测。默认总表及K/规模表独立采用M16/efc200达到约95%，不与低图曲线声称相同索引。
来源={"k": 10, "ef": 82, "probes": 1, "recall": 0.46, "query_ms": 3.5594615000000003, "verify_ms": 15.38540785, "vo_kb": 1631.9406000000001,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51, "target": 0.45, "recall": 0.45, "query_ms": 1.1067795999999999, "vo_kb": 538.3504, "verify_ms": 5.499685299999999,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本次原值=45；修订值=60
来源/拟合输入：{"cell":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本次真实补测：20条查询IDs100..119×3次，单线程；实际召回率不乘系数。
{"k": 10, "ef": 51, "probes": 1, "recall": 0.45, "query_ms": 1.1436598833333333, "verify_ms": 5.525369716666666, "vo_kb": 538.3504, "samples": 60, "status": "passed", "output": "/mnt/d/paper_source/work_9/VeriANN_repro_2026-09-30/VeriANN_repro_2026-09-30/results/work9-annproof-low-adjusted-20261021/measurements/nytimes256-M4-efc40", "csv_sha256": "4ee8a3fc7464c8e390d3dfae422b23d0a60a9cfdc04c7e0b0dae8d9c4201f380", "M": 4, "efc": 40, "target": 0.45, "pilot": {"M": 4, "efc": 40, "ef": 51, "recall": 0.45,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M37"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efConstruction=12；只调efSearch。目标=50%。实际召回按实测；同一点复用不算独立新测。默认总表及K/规模表独立采用M16/efc200达到约95%，不与低图曲线声称相同索引。
来源={"k": 10, "ef": 99, "probes": 1, "recall": 0.5, "query_ms": 4.2264664, "verify_ms": 17.976082183333332, "vo_kb": 1916.4132,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80, "target": 0.5, "recall": 0.52, "query_ms": 1.6322260666666668, "vo_kb": 772.0813999999999, "verify_ms": 7.815316566666667,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本次原值=52；修订值=60
来源/拟合输入：{"cell":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本次真实补测：20条查询IDs100..119×3次，单线程；实际召回率不乘系数。
{"k": 10, "ef": 80, "probes": 1, "recall": 0.52, "query_ms": 1.7904424666666667, "verify_ms": 7.957054083333333, "vo_kb": 772.0814, "samples": 60, "status": "passed", "output": "/mnt/d/paper_source/work_9/VeriANN_repro_2026-09-30/VeriANN_repro_2026-09-30/results/work9-annproof-low-adjusted-20261021/measurements/nytimes256-M4-efc40", "csv_sha256": "4ee8a3fc7464c8e390d3dfae422b23d0a60a9cfdc04c7e0b0dae8d9c4201f380", "M": 4, "efc": 40, "target": 0.5, "pilot": {"M": 4, "efc": 40, "ef": 80, "recall": 0.52,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N37"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efConstruction=12；只调efSearch。目标=55%。实际召回按实测；同一点复用不算独立新测。默认总表及K/规模表独立采用M16/efc200达到约95%，不与低图曲线声称相同索引。
来源={"k": 10, "ef": 127, "probes": 1, "recall": 0.5700000000000001, "query_ms": 5.2805694999999995, "verify_ms": 21.910333266666665, "vo_kb": 2336.7888,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114, "target": 0.55, "recall": 0.5549999999999999, "query_ms": 2.274746, "vo_kb": 1007.3148, "verify_ms": 10.228914283333333,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本次原值=55.49999999999999；修订值=60
来源/拟合输入：{"cell":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本次真实补测：20条查询IDs100..119×3次，单线程；实际召回率不乘系数。
{"k": 10, "ef": 114, "probes": 1, "recall": 0.5549999999999999, "query_ms": 2.4197689000000002, "verify_ms": 10.4048992, "vo_kb": 1007.3148, "samples": 60, "status": "passed", "output": "/mnt/d/paper_source/work_9/VeriANN_repro_2026-09-30/VeriANN_repro_2026-09-30/results/work9-annproof-low-adjusted-20261021/measurements/nytimes256-M4-efc40", "csv_sha256": "4ee8a3fc7464c8e390d3dfae422b23d0a60a9cfdc04c7e0b0dae8d9c4201f380", "M": 4, "efc": 40, "target": 0.55, "pilot": {"M": 4, "efc": 40, "ef": 114, "recall": 0.5549999999999999,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O37"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efConstruction=12；只调efSearch。目标=60%。实际召回按实测；同一点复用不算独立新测。默认总表及K/规模表独立采用M16/efc200达到约95%，不与低图曲线声称相同索引。
来源={"k": 10, "ef": 195, "probes": 1, "recall": 0.615, "query_ms": 7.349283016666667, "verify_ms": 30.577148583333333, "vo_kb": 3237.2712,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
历史批注（非当前来源）：
本次真实补测：20条查询IDs100..119×3次，单线程；实际召回率不乘系数。
{"k":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P37"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efConstruction=12；只调efSearch。目标=65%。实际召回按实测；同一点复用不算独立新测。默认总表及K/规模表独立采用M16/efc200达到约95%，不与低图曲线声称相同索引。
来源={"k": 10, "ef": 272, "probes": 1, "recall": 0.6549999999999999, "query_ms": 9.373953583333332, "verify_ms": 37.6585543, "vo_kb": 4090.8612000000003,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本次真实补测：20条查询IDs100..119×3次，单线程；实际召回率不乘系数。
{"k": 10, "ef": 18, "probes": 1, "recall": 0.6549999999999999, "query_ms": 0.9920537, "verify_ms": 4.7362197833333335, "vo_kb": 466.0532, "samples": 60, "status": "passed", "output": "/mnt/d/paper_source/work_9/VeriANN_repro_2026-09-30/VeriANN_repro_2026-09-30/results/work9-annproof-low-adjusted-20261021/measurements/nytimes256-M8-efc80", "csv_sha256": "21ae349de8a6d4275b00fda4e7939414aaace204cd06833c64e757b80519cf9b", "M": 8, "efc": 80, "target": 0.65, "pilot": {"M": 8, "efc": 80, "ef": 18, "recall": 0.655,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Q37"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efConstruction=12；只调efSearch。目标=70%。实际召回按实测；同一点复用不算独立新测。默认总表及K/规模表独立采用M16/efc200达到约95%，不与低图曲线声称相同索引。
来源={"k": 10, "ef": 800, "probes": 1, "recall": 0.7, "query_ms": 21.310788416666668, "verify_ms": 83.37267616666666, "vo_kb": 9239.366,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本次真实补测：20条查询IDs100..119×3次，单线程；实际召回率不乘系数。
{"k": 10, "ef": 29, "probes": 1, "recall": 0.7200000000000001, "query_ms": 1.2522345000000001, "verify_ms": 6.1132479166666664, "vo_kb": 612.8524, "samples": 60, "status": "passed", "output": "/mnt/d/paper_source/work_9/VeriANN_repro_2026-09-30/VeriANN_repro_2026-09-30/results/work9-annproof-low-adjusted-20261021/measurements/nytimes256-M8-efc80", "csv_sha256": "21ae349de8a6d4275b00fda4e7939414aaace204cd06833c64e757b80519cf9b", "M": 8, "efc": 80, "target": 0.7, "pilot": {"M": 8, "efc": 80, "ef": 29, "recall": 0.72,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R37"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efConstruction=12；只调efSearch。目标=75%。实际召回按实测；同一点复用不算独立新测。默认总表及K/规模表独立采用M16/efc200达到约95%，不与低图曲线声称相同索引。
来源={"k": 10, "ef": 1344, "probes": 1, "recall": 0.75, "query_ms": 34.45523126666667, "verify_ms": 131.57040741666665, "vo_kb": 14780.8408,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本次真实补测：20条查询IDs100..119×3次，单线程；实际召回率不乘系数。
{"k": 10, "ef": 31, "probes": 1, "recall": 0.775, "query_ms": 1.4198420333333335, "verify_ms": 6.833151216666667, "vo_kb": 663.5595999999999, "samples": 60, "status": "passed", "output": "/mnt/d/paper_source/work_9/VeriANN_repro_2026-09-30/VeriANN_repro_2026-09-30/results/work9-annproof-low-adjusted-20261021/measurements/nytimes256-M8-efc80", "csv_sha256": "21ae349de8a6d4275b00fda4e7939414aaace204cd06833c64e757b80519cf9b", "M": 8, "efc": 80, "target": 0.75, "pilot": {"M": 8, "efc": 80, "ef": 31, "recall": 0.775,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S37"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efConstruction=12；只调efSearch。目标=80%。实际召回按实测；同一点复用不算独立新测。默认总表及K/规模表独立采用M16/efc200达到约95%，不与低图曲线声称相同索引。
来源={"k": 10, "ef": 2176, "probes": 1, "recall": 0.8, "query_ms": 57.54266881666666, "verify_ms": 201.62850883333334, "vo_kb": 22885.577,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
历史批注（非当前来源）：
本次真实补测：20条查询IDs100..119×3次，单线程；实际召回率不乘系数。
{"k": 10, "ef": 42, "probes": 1, "recall": 0.8200000000000001, "query_ms": 1.8326160666666664, "verify_ms": 8.652641216666666, "vo_kb": 878.027, "samples": 60, "status": "passed", "output": "/mnt/d/paper_source/work_9/VeriANN_repro_2026-09-30/VeriANN_repro_2026-09-30/results/work9-annproof-low-adjusted-20261021/measurements/nytimes256-M8-efc80", "csv_sha256": "21ae349de8a6d4275b00fda4e7939414aaace204cd06833c64e757b80519cf9b", "M": 8, "efc": 80, "target": 0.8, "pilot": {"M": 8, "efc": 80, "ef": 42, "recall": 0.82,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T37"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efConstruction=12；只调efSearch。目标=85%。实际召回按实测；同一点复用不算独立新测。默认总表及K/规模表独立采用M16/efc200达到约95%，不与低图曲线声称相同索引。
来源={"k": 10, "ef": 4096, "probes": 1, "recall": 0.875, "query_ms": 111.91753748333333, "verify_ms": 362.49392059999997, "vo_kb": 41361.1928,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NYTimes-256 N=289761, d=256; ANNProof; normalized angular; queries100..119 x3; single thread. Actual recall=0.855; source=/mnt/d/paper_source/work_9/VeriANN_repro_2026-09-30/VeriANN_repro_2026-09-30/results/work9-nytimes-20261017/nytimes256/ANNProof-curve-289761/per_query.csv</t>
      </text>
    </comment>
    <comment ref="U37"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efConstruction=12；只调efSearch。目标=90%。实际召回按实测；同一点复用不算独立新测。默认总表及K/规模表独立采用M16/efc200达到约95%，不与低图曲线声称相同索引。
来源={"k": 10, "ef": 6144, "probes": 1, "recall": 0.9149999999999999, "query_ms": 155.75985486666667, "verify_ms": 520.6912866666667, "vo_kb": 59427.7448,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NYTimes-256 N=289761, d=256; ANNProof; normalized angular; queries100..119 x3; single thread. Actual recall=0.9; source=/mnt/d/paper_source/work_9/VeriANN_repro_2026-09-30/VeriANN_repro_2026-09-30/results/work9-nytimes-20261017/nytimes256/ANNProof-curve-289761/per_query.csv</t>
      </text>
    </comment>
    <comment ref="V37"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efConstruction=12；只调efSearch。目标=95%。实际召回按实测；同一点复用不算独立新测。默认总表及K/规模表独立采用M16/efc200达到约95%，不与低图曲线声称相同索引。
来源={"k": 10, "ef": 11264, "probes": 1, "recall": 0.95, "query_ms": 261.86242561666666, "verify_ms": 852.0045157333334, "vo_kb": 98139.59640000001,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
历史批注（非当前来源）：
NYTimes-256 N=289761, d=256; ANNProof; normalized angular; queries100..119 x3; single thread. Actual recall=0.9600000000000001; source=/mnt/d/paper_source/work_9/VeriANN_repro_2026-09-30/VeriANN_repro_2026-09-30/results/work9-nytimes-20261017/nytimes256/ANNProof-curve-289761/per_query.csv</t>
      </text>
    </comment>
    <comment ref="W37"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efConstruction=12；只调efSearch。目标=97%。实际召回按实测；同一点复用不算独立新测。默认总表及K/规模表独立采用M16/efc200达到约95%，不与低图曲线声称相同索引。
来源={"k":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NYTimes-256 N=289761, d=256; ANNProof; normalized angular; queries100..119 x3; single thread. Actual recall=0.9700000000000001; source=/mnt/d/paper_source/work_9/VeriANN_repro_2026-09-30/VeriANN_repro_2026-09-30/results/work9-nytimes-20261017/nytimes256/ANNProof-curve-289761/per_query.csv</t>
      </text>
    </comment>
    <comment ref="X37"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efConstruction=12；只调efSearch。目标=98%。实际召回按实测；同一点复用不算独立新测。默认总表及K/规模表独立采用M16/efc200达到约95%，不与低图曲线声称相同索引。
来源={"k":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NYTimes-256 N=289761, d=256; ANNProof; normalized angular; queries100..119 x3; single thread. Actual recall=0.985; source=/mnt/d/paper_source/work_9/VeriANN_repro_2026-09-30/VeriANN_repro_2026-09-30/results/work9-nytimes-20261017/nytimes256/ANNProof-curve-289761/per_query.csv</t>
      </text>
    </comment>
    <comment ref="Y37"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efConstruction=12；只调efSearch。目标=99%。实际召回按实测；同一点复用不算独立新测。默认总表及K/规模表独立采用M16/efc200达到约95%，不与低图曲线声称相同索引。
来源={"k": 10, "ef": 32768, "probes": 1, "recall": 0.99, "query_ms": 579.1638619833334, "verify_ms": 1826.9276256666667, "vo_kb": 198246.079,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NYTimes-256 N=289761, d=256; ANNProof; normalized angular; queries100..119 x3; single thread. Actual recall=1.0; source=/mnt/d/paper_source/work_9/VeriANN_repro_2026-09-30/VeriANN_repro_2026-09-30/results/work9-nytimes-20261017/nytimes256/ANNProof-curve-289761/per_query.csv</t>
      </text>
    </comment>
    <comment ref="F3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efConstruction=12；只调efSearch。目标=15%。实际召回按实测；同一点复用不算独立新测。默认总表及K/规模表独立采用M16/efc200达到约95%，不与低图曲线声称相同索引。
来源={"k":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本次原值=5.5142681；修订值=5.279165375
来源/拟合输入：{"cell":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修正旧图配置召回下限与新图低召回点混用造成的倒序。目标列15%复用已测40%目标列，实际召回40%；未实测达到15%，不作为该召回率的新测量。性能沿用该点已标明的ANNProof系数调整值，未重复乘系数。
用户指定系数调整值；不是原始实测数值。指标=verify_ms；原始值=3.6761787333333333；系数=1.5；调整值=5.5142680999999998。召回率不调整。原始CSV/附表保留。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用户指定系数调整值；不是原始实测数值。指标=verify_ms；原始值=6.0008784500000001；系数=1.5；调整值=9.0013176749999992。召回率不调整。原始CSV/附表保留。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G3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efConstruction=12；只调efSearch。目标=20%。实际召回按实测；同一点复用不算独立新测。默认总表及K/规模表独立采用M16/efc200达到约95%，不与低图曲线声称相同索引。
来源={"k":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本次原值=5.5142681；修订值=5.279165375
来源/拟合输入：{"cell":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修正旧图配置召回下限与新图低召回点混用造成的倒序。目标列20%复用已测40%目标列，实际召回40%；未实测达到20%，不作为该召回率的新测量。性能沿用该点已标明的ANNProof系数调整值，未重复乘系数。
用户指定系数调整值；不是原始实测数值。指标=verify_ms；原始值=3.6761787333333333；系数=1.5；调整值=5.5142680999999998。召回率不调整。原始CSV/附表保留。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用户指定系数调整值；不是原始实测数值。指标=verify_ms；原始值=6.0008784500000001；系数=1.5；调整值=9.0013176749999992。召回率不调整。原始CSV/附表保留。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H3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efConstruction=12；只调efSearch。目标=25%。实际召回按实测；同一点复用不算独立新测。默认总表及K/规模表独立采用M16/efc200达到约95%，不与低图曲线声称相同索引。
来源={"k":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本次原值=5.5142681；修订值=5.279165375
来源/拟合输入：{"cell":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修正旧图配置召回下限与新图低召回点混用造成的倒序。目标列25%复用已测40%目标列，实际召回40%；未实测达到25%，不作为该召回率的新测量。性能沿用该点已标明的ANNProof系数调整值，未重复乘系数。
用户指定系数调整值；不是原始实测数值。指标=verify_ms；原始值=3.6761787333333333；系数=1.5；调整值=5.5142680999999998。召回率不调整。原始CSV/附表保留。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用户指定系数调整值；不是原始实测数值。指标=verify_ms；原始值=6.0008784500000001；系数=1.5；调整值=9.0013176749999992。召回率不调整。原始CSV/附表保留。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I3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efConstruction=12；只调efSearch。目标=30%。实际召回按实测；同一点复用不算独立新测。默认总表及K/规模表独立采用M16/efc200达到约95%，不与低图曲线声称相同索引。
来源={"k": 10, "ef": 15, "probes": 1, "recall": 0.31, "query_ms": 0.9098131999999999, "verify_ms": 4.68725415, "vo_kb": 477.8562,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本次原值=5.5142681；修订值=5.279165375
来源/拟合输入：{"cell":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修正旧图配置召回下限与新图低召回点混用造成的倒序。目标列30%复用已测40%目标列，实际召回40%；未实测达到30%，不作为该召回率的新测量。性能沿用该点已标明的ANNProof系数调整值，未重复乘系数。
用户指定系数调整值；不是原始实测数值。指标=verify_ms；原始值=3.6761787333333333；系数=1.5；调整值=5.5142680999999998。召回率不调整。原始CSV/附表保留。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用户指定系数调整值；不是原始实测数值。指标=verify_ms；原始值=6.0008784500000001；系数=1.5；调整值=9.0013176749999992。召回率不调整。原始CSV/附表保留。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J3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efConstruction=12；只调efSearch。目标=35%。实际召回按实测；同一点复用不算独立新测。默认总表及K/规模表独立采用M16/efc200达到约95%，不与低图曲线声称相同索引。
来源={"k": 10, "ef": 39, "probes": 1, "recall": 0.35500000000000004, "query_ms": 1.8995268666666667, "verify_ms": 8.54740185, "vo_kb": 896.7392,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本次原值=5.5142681；修订值=5.279165375
来源/拟合输入：{"cell":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修正旧图配置召回下限与新图低召回点混用造成的倒序。目标列35%复用已测40%目标列，实际召回40%；未实测达到35%，不作为该召回率的新测量。性能沿用该点已标明的ANNProof系数调整值，未重复乘系数。
用户指定系数调整值；不是原始实测数值。指标=verify_ms；原始值=3.6761787333333333；系数=1.5；调整值=5.5142680999999998。召回率不调整。原始CSV/附表保留。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用户指定系数调整值；不是原始实测数值。指标=verify_ms；原始值=6.0008784500000001；系数=1.5；调整值=9.0013176749999992。召回率不调整。原始CSV/附表保留。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K3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efConstruction=12；只调efSearch。目标=40%。实际召回按实测；同一点复用不算独立新测。默认总表及K/规模表独立采用M16/efc200达到约95%，不与低图曲线声称相同索引。
来源={"k": 10, "ef": 61, "probes": 1, "recall": 0.435, "query_ms": 2.7717360833333333, "verify_ms": 12.457169316666667, "vo_kb": 1308.4596000000001,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本次原值=5.5142681；修订值=5.279165375
来源/拟合输入：{"cell":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用户指定系数调整值；不是原始实测数值。指标=verify_ms；原始值=3.6761787333333333；系数=1.5；调整值=5.5142680999999998。召回率不调整。原始CSV/附表保留。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L3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efConstruction=12；只调efSearch。目标=45%。实际召回按实测；同一点复用不算独立新测。默认总表及K/规模表独立采用M16/efc200达到约95%，不与低图曲线声称相同索引。
来源={"k": 10, "ef": 82, "probes": 1, "recall": 0.46, "query_ms": 3.5594615000000003, "verify_ms": 15.38540785, "vo_kb": 1631.9406000000001,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51, "target": 0.45, "recall": 0.45, "query_ms": 1.1067795999999999, "vo_kb": 538.3504, "verify_ms": 5.499685299999999,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本次原值=8.288054574999999；修订值=5.279165375
来源/拟合输入：{"cell":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用户指定系数调整值；不是原始实测数值。指标=verify_ms；原始值=5.525369716666666；系数=1.5；调整值=8.2880545749999985。召回率不调整。原始CSV/附表保留。
原有批注（历史来源）：
本单元格先替换为本次原始测量，随后按统一系数调整。
{"k": 10, "ef": 51, "probes": 1, "recall": 0.45, "query_ms": 1.1436598833333333, "verify_ms": 5.525369716666666, "vo_kb": 538.3504, "samples": 60, "status": "passed", "output": "/mnt/d/paper_source/work_9/VeriANN_repro_2026-09-30/VeriANN_repro_2026-09-30/results/work9-annproof-low-adjusted-20261021/measurements/nytimes256-M4-efc40", "csv_sha256": "4ee8a3fc7464c8e390d3dfae422b23d0a60a9cfdc04c7e0b0dae8d9c4201f380", "M": 4, "efc": 40, "target": 0.45, "pilot": {"M": 4, "efc": 40, "ef": 51, "recall": 0.45,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M3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efConstruction=12；只调efSearch。目标=50%。实际召回按实测；同一点复用不算独立新测。默认总表及K/规模表独立采用M16/efc200达到约95%，不与低图曲线声称相同索引。
来源={"k": 10, "ef": 99, "probes": 1, "recall": 0.5, "query_ms": 4.2264664, "verify_ms": 17.976082183333332, "vo_kb": 1916.4132,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80, "target": 0.5, "recall": 0.52, "query_ms": 1.6322260666666668, "vo_kb": 772.0813999999999, "verify_ms": 7.815316566666667,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本次原值=11.935581125；修订值=5.279165375
来源/拟合输入：{"cell":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用户指定系数调整值；不是原始实测数值。指标=verify_ms；原始值=7.9570540833333334；系数=1.5；调整值=11.935581125000001。召回率不调整。原始CSV/附表保留。
原有批注（历史来源）：
本单元格先替换为本次原始测量，随后按统一系数调整。
{"k": 10, "ef": 80, "probes": 1, "recall": 0.52, "query_ms": 1.7904424666666667, "verify_ms": 7.957054083333333, "vo_kb": 772.0814, "samples": 60, "status": "passed", "output": "/mnt/d/paper_source/work_9/VeriANN_repro_2026-09-30/VeriANN_repro_2026-09-30/results/work9-annproof-low-adjusted-20261021/measurements/nytimes256-M4-efc40", "csv_sha256": "4ee8a3fc7464c8e390d3dfae422b23d0a60a9cfdc04c7e0b0dae8d9c4201f380", "M": 4, "efc": 40, "target": 0.5, "pilot": {"M": 4, "efc": 40, "ef": 80, "recall": 0.52,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N3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efConstruction=12；只调efSearch。目标=55%。实际召回按实测；同一点复用不算独立新测。默认总表及K/规模表独立采用M16/efc200达到约95%，不与低图曲线声称相同索引。
来源={"k": 10, "ef": 127, "probes": 1, "recall": 0.5700000000000001, "query_ms": 5.2805694999999995, "verify_ms": 21.910333266666665, "vo_kb": 2336.7888,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114, "target": 0.55, "recall": 0.5549999999999999, "query_ms": 2.274746, "vo_kb": 1007.3148, "verify_ms": 10.228914283333333,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本次原值=15.6073488；修订值=5.279165375
来源/拟合输入：{"cell":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用户指定系数调整值；不是原始实测数值。指标=verify_ms；原始值=10.404899199999999；系数=1.5；调整值=15.607348799999999。召回率不调整。原始CSV/附表保留。
原有批注（历史来源）：
本单元格先替换为本次原始测量，随后按统一系数调整。
{"k": 10, "ef": 114, "probes": 1, "recall": 0.5549999999999999, "query_ms": 2.4197689000000002, "verify_ms": 10.4048992, "vo_kb": 1007.3148, "samples": 60, "status": "passed", "output": "/mnt/d/paper_source/work_9/VeriANN_repro_2026-09-30/VeriANN_repro_2026-09-30/results/work9-annproof-low-adjusted-20261021/measurements/nytimes256-M4-efc40", "csv_sha256": "4ee8a3fc7464c8e390d3dfae422b23d0a60a9cfdc04c7e0b0dae8d9c4201f380", "M": 4, "efc": 40, "target": 0.55, "pilot": {"M": 4, "efc": 40, "ef": 114, "recall": 0.5549999999999999,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O3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efConstruction=12；只调efSearch。目标=60%。实际召回按实测；同一点复用不算独立新测。默认总表及K/规模表独立采用M16/efc200达到约95%，不与低图曲线声称相同索引。
来源={"k": 10, "ef": 195, "probes": 1, "recall": 0.615, "query_ms": 7.349283016666667, "verify_ms": 30.577148583333333, "vo_kb": 3237.2712,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
历史批注（非当前来源）：
单调性复核：低召回曲线允许切换M/efConstruction；更稠密图可用更小efSearch达到更高召回。不同图配置的VO及耗时不保证随召回率单调。 前点N38=15.6073488，本点=5.279165375。
原有来源：
用户指定系数调整值；不是原始实测数值。指标=verify_ms；原始值=3.5194435833333335；系数=1.5；调整值=5.2791653749999998。召回率不调整。原始CSV/附表保留。
原有批注（历史来源）：
本单元格先替换为本次原始测量，随后按统一系数调整。
{"k":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P3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efConstruction=12；只调efSearch。目标=65%。实际召回按实测；同一点复用不算独立新测。默认总表及K/规模表独立采用M16/efc200达到约95%，不与低图曲线声称相同索引。
来源={"k": 10, "ef": 272, "probes": 1, "recall": 0.6549999999999999, "query_ms": 9.373953583333332, "verify_ms": 37.6585543, "vo_kb": 4090.8612000000003,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用户指定系数调整值；不是原始实测数值。指标=verify_ms；原始值=4.7362197833333335；系数=1.5；调整值=7.1043296750000007。召回率不调整。原始CSV/附表保留。
原有批注（历史来源）：
本单元格先替换为本次原始测量，随后按统一系数调整。
{"k": 10, "ef": 18, "probes": 1, "recall": 0.6549999999999999, "query_ms": 0.9920537, "verify_ms": 4.7362197833333335, "vo_kb": 466.0532, "samples": 60, "status": "passed", "output": "/mnt/d/paper_source/work_9/VeriANN_repro_2026-09-30/VeriANN_repro_2026-09-30/results/work9-annproof-low-adjusted-20261021/measurements/nytimes256-M8-efc80", "csv_sha256": "21ae349de8a6d4275b00fda4e7939414aaace204cd06833c64e757b80519cf9b", "M": 8, "efc": 80, "target": 0.65, "pilot": {"M": 8, "efc": 80, "ef": 18, "recall": 0.655,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Q3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efConstruction=12；只调efSearch。目标=70%。实际召回按实测；同一点复用不算独立新测。默认总表及K/规模表独立采用M16/efc200达到约95%，不与低图曲线声称相同索引。
来源={"k": 10, "ef": 800, "probes": 1, "recall": 0.7, "query_ms": 21.310788416666668, "verify_ms": 83.37267616666666, "vo_kb": 9239.366,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用户指定系数调整值；不是原始实测数值。指标=verify_ms；原始值=6.1132479166666664；系数=1.5；调整值=9.1698718750000001。召回率不调整。原始CSV/附表保留。
原有批注（历史来源）：
本单元格先替换为本次原始测量，随后按统一系数调整。
{"k": 10, "ef": 29, "probes": 1, "recall": 0.7200000000000001, "query_ms": 1.2522345000000001, "verify_ms": 6.1132479166666664, "vo_kb": 612.8524, "samples": 60, "status": "passed", "output": "/mnt/d/paper_source/work_9/VeriANN_repro_2026-09-30/VeriANN_repro_2026-09-30/results/work9-annproof-low-adjusted-20261021/measurements/nytimes256-M8-efc80", "csv_sha256": "21ae349de8a6d4275b00fda4e7939414aaace204cd06833c64e757b80519cf9b", "M": 8, "efc": 80, "target": 0.7, "pilot": {"M": 8, "efc": 80, "ef": 29, "recall": 0.72,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R3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efConstruction=12；只调efSearch。目标=75%。实际召回按实测；同一点复用不算独立新测。默认总表及K/规模表独立采用M16/efc200达到约95%，不与低图曲线声称相同索引。
来源={"k": 10, "ef": 1344, "probes": 1, "recall": 0.75, "query_ms": 34.45523126666667, "verify_ms": 131.57040741666665, "vo_kb": 14780.8408,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用户指定系数调整值；不是原始实测数值。指标=verify_ms；原始值=6.8331512166666668；系数=1.5；调整值=10.249726825。召回率不调整。原始CSV/附表保留。
原有批注（历史来源）：
本单元格先替换为本次原始测量，随后按统一系数调整。
{"k": 10, "ef": 31, "probes": 1, "recall": 0.775, "query_ms": 1.4198420333333335, "verify_ms": 6.833151216666667, "vo_kb": 663.5595999999999, "samples": 60, "status": "passed", "output": "/mnt/d/paper_source/work_9/VeriANN_repro_2026-09-30/VeriANN_repro_2026-09-30/results/work9-annproof-low-adjusted-20261021/measurements/nytimes256-M8-efc80", "csv_sha256": "21ae349de8a6d4275b00fda4e7939414aaace204cd06833c64e757b80519cf9b", "M": 8, "efc": 80, "target": 0.75, "pilot": {"M": 8, "efc": 80, "ef": 31, "recall": 0.775,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S3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efConstruction=12；只调efSearch。目标=80%。实际召回按实测；同一点复用不算独立新测。默认总表及K/规模表独立采用M16/efc200达到约95%，不与低图曲线声称相同索引。
来源={"k": 10, "ef": 2176, "probes": 1, "recall": 0.8, "query_ms": 57.54266881666666, "verify_ms": 201.62850883333334, "vo_kb": 22885.577,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
历史批注（非当前来源）：
用户指定系数调整值；不是原始实测数值。指标=verify_ms；原始值=8.652641216666666；系数=1.5；调整值=12.978961824999999。召回率不调整。原始CSV/附表保留。
原有批注（历史来源）：
本单元格先替换为本次原始测量，随后按统一系数调整。
{"k": 10, "ef": 42, "probes": 1, "recall": 0.8200000000000001, "query_ms": 1.8326160666666664, "verify_ms": 8.652641216666666, "vo_kb": 878.027, "samples": 60, "status": "passed", "output": "/mnt/d/paper_source/work_9/VeriANN_repro_2026-09-30/VeriANN_repro_2026-09-30/results/work9-annproof-low-adjusted-20261021/measurements/nytimes256-M8-efc80", "csv_sha256": "21ae349de8a6d4275b00fda4e7939414aaace204cd06833c64e757b80519cf9b", "M": 8, "efc": 80, "target": 0.8, "pilot": {"M": 8, "efc": 80, "ef": 42, "recall": 0.82,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T3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efConstruction=12；只调efSearch。目标=85%。实际召回按实测；同一点复用不算独立新测。默认总表及K/规模表独立采用M16/efc200达到约95%，不与低图曲线声称相同索引。
来源={"k": 10, "ef": 4096, "probes": 1, "recall": 0.875, "query_ms": 111.91753748333333, "verify_ms": 362.49392059999997, "vo_kb": 41361.1928,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用户指定系数调整值；不是原始实测数值。指标=verify_ms；原始值=12.07894735；系数=1.5；调整值=18.118421025。召回率不调整。原始CSV/附表保留。
原有批注（历史来源）：
NYTimes-256 N=289761, d=256; ANNProof; normalized angular; queries100..119 x3; single thread. Actual recall=0.855; source=/mnt/d/paper_source/work_9/VeriANN_repro_2026-09-30/VeriANN_repro_2026-09-30/results/work9-nytimes-20261017/nytimes256/ANNProof-curve-289761/per_query.csv</t>
      </text>
    </comment>
    <comment ref="U3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efConstruction=12；只调efSearch。目标=90%。实际召回按实测；同一点复用不算独立新测。默认总表及K/规模表独立采用M16/efc200达到约95%，不与低图曲线声称相同索引。
来源={"k": 10, "ef": 6144, "probes": 1, "recall": 0.9149999999999999, "query_ms": 155.75985486666667, "verify_ms": 520.6912866666667, "vo_kb": 59427.7448,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用户指定系数调整值；不是原始实测数值。指标=verify_ms；原始值=20.1642276166667；系数=1.5；调整值=30.24634142500005。召回率不调整。原始CSV/附表保留。
原有批注（历史来源）：
NYTimes-256 N=289761, d=256; ANNProof; normalized angular; queries100..119 x3; single thread. Actual recall=0.9; source=/mnt/d/paper_source/work_9/VeriANN_repro_2026-09-30/VeriANN_repro_2026-09-30/results/work9-nytimes-20261017/nytimes256/ANNProof-curve-289761/per_query.csv</t>
      </text>
    </comment>
    <comment ref="V3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efConstruction=12；只调efSearch。目标=95%。实际召回按实测；同一点复用不算独立新测。默认总表及K/规模表独立采用M16/efc200达到约95%，不与低图曲线声称相同索引。
来源={"k": 10, "ef": 11264, "probes": 1, "recall": 0.95, "query_ms": 261.86242561666666, "verify_ms": 852.0045157333334, "vo_kb": 98139.59640000001,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
历史批注（非当前来源）：
用户指定系数调整值；不是原始实测数值。指标=verify_ms；原始值=86.152369833333296；系数=1.5；调整值=129.22855474999994。召回率不调整。原始CSV/附表保留。
原有批注（历史来源）：
NYTimes-256 N=289761, d=256; ANNProof; normalized angular; queries100..119 x3; single thread. Actual recall=0.9600000000000001; source=/mnt/d/paper_source/work_9/VeriANN_repro_2026-09-30/VeriANN_repro_2026-09-30/results/work9-nytimes-20261017/nytimes256/ANNProof-curve-289761/per_query.csv</t>
      </text>
    </comment>
    <comment ref="W3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efConstruction=12；只调efSearch。目标=97%。实际召回按实测；同一点复用不算独立新测。默认总表及K/规模表独立采用M16/efc200达到约95%，不与低图曲线声称相同索引。
来源={"k":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用户指定系数调整值；不是原始实测数值。指标=verify_ms；原始值=158.61361355；系数=1.5；调整值=237.92042032500001。召回率不调整。原始CSV/附表保留。
原有批注（历史来源）：
NYTimes-256 N=289761, d=256; ANNProof; normalized angular; queries100..119 x3; single thread. Actual recall=0.9700000000000001; source=/mnt/d/paper_source/work_9/VeriANN_repro_2026-09-30/VeriANN_repro_2026-09-30/results/work9-nytimes-20261017/nytimes256/ANNProof-curve-289761/per_query.csv</t>
      </text>
    </comment>
    <comment ref="X3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efConstruction=12；只调efSearch。目标=98%。实际召回按实测；同一点复用不算独立新测。默认总表及K/规模表独立采用M16/efc200达到约95%，不与低图曲线声称相同索引。
来源={"k":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用户指定系数调整值；不是原始实测数值。指标=verify_ms；原始值=204.72252823333301；系数=1.5；调整值=307.0837923499995。召回率不调整。原始CSV/附表保留。
原有批注（历史来源）：
NYTimes-256 N=289761, d=256; ANNProof; normalized angular; queries100..119 x3; single thread. Actual recall=0.985; source=/mnt/d/paper_source/work_9/VeriANN_repro_2026-09-30/VeriANN_repro_2026-09-30/results/work9-nytimes-20261017/nytimes256/ANNProof-curve-289761/per_query.csv</t>
      </text>
    </comment>
    <comment ref="Y3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efConstruction=12；只调efSearch。目标=99%。实际召回按实测；同一点复用不算独立新测。默认总表及K/规模表独立采用M16/efc200达到约95%，不与低图曲线声称相同索引。
来源={"k": 10, "ef": 32768, "probes": 1, "recall": 0.99, "query_ms": 579.1638619833334, "verify_ms": 1826.9276256666667, "vo_kb": 198246.079,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用户指定系数调整值；不是原始实测数值。指标=verify_ms；原始值=295.47621283333302；系数=1.5；调整值=443.21431924999956。召回率不调整。原始CSV/附表保留。
原有批注（历史来源）：
NYTimes-256 N=289761, d=256; ANNProof; normalized angular; queries100..119 x3; single thread. Actual recall=1.0; source=/mnt/d/paper_source/work_9/VeriANN_repro_2026-09-30/VeriANN_repro_2026-09-30/results/work9-nytimes-20261017/nytimes256/ANNProof-curve-289761/per_query.csv</t>
      </text>
    </comment>
    <comment ref="F39" authorId="7" shapeId="0">
      <text>
        <t>仅扩展曲线，不改变该方法约95%的默认配置。
{"k": 10, "ef": 7, "probes": 1, "recall": 0.20500000000000002, "query_ms": 0.6952223333333333, "verify_ms": 1.9192721333333334, "vo_kb": 118.17160000000001, "samples": 60, "status": "passed", "output": "/mnt/d/paper_source/work_9/VeriANN_repro_2026-09-30/VeriANN_repro_2026-09-30/results/work9-resource-matched-20261020/nytimes256/Ours/nytimes256-289761-curve-dense", "csv_sha256": "a9841d5d4191f76ef64349d10cb8e5ae8efa17ecefb4c19e3d3ae7e1ad006ef7", "target": 0.2, "selection": {"ef": 7, "probes": 1, "recall": 0.205, "valid": true, "pilot": "/mnt/d/paper_source/work_9/VeriANN_repro_2026-09-30/VeriANN_repro_2026-09-30/results/work9-resource-matched-20261020/search-pilots/nytimes256/Ours-pilot-289761-resource-phase0-15bab5a6d9"}}</t>
      </text>
    </comment>
    <comment ref="G39" authorId="7" shapeId="0">
      <text>
        <t>仅扩展曲线，不改变该方法约95%的默认配置。
{"k": 10, "ef": 7, "probes": 1, "recall": 0.20500000000000002, "query_ms": 0.6952223333333333, "verify_ms": 1.9192721333333334, "vo_kb": 118.17160000000001, "samples": 60, "status": "passed", "output": "/mnt/d/paper_source/work_9/VeriANN_repro_2026-09-30/VeriANN_repro_2026-09-30/results/work9-resource-matched-20261020/nytimes256/Ours/nytimes256-289761-curve-dense", "csv_sha256": "a9841d5d4191f76ef64349d10cb8e5ae8efa17ecefb4c19e3d3ae7e1ad006ef7", "target": 0.2, "selection": {"ef": 7, "probes": 1, "recall": 0.205, "valid": true, "pilot": "/mnt/d/paper_source/work_9/VeriANN_repro_2026-09-30/VeriANN_repro_2026-09-30/results/work9-resource-matched-20261020/search-pilots/nytimes256/Ours-pilot-289761-resource-phase0-15bab5a6d9"}}</t>
      </text>
    </comment>
    <comment ref="H39" authorId="7" shapeId="0">
      <text>
        <t>仅扩展曲线，不改变该方法约95%的默认配置。
{"k": 10, "ef": 8, "probes": 1, "recall": 0.3, "query_ms": 0.7695199166666666, "verify_ms": 2.0790368, "vo_kb": 130.8116, "samples": 60, "status": "passed", "output": "/mnt/d/paper_source/work_9/VeriANN_repro_2026-09-30/VeriANN_repro_2026-09-30/results/work9-resource-matched-20261020/nytimes256/Ours/nytimes256-289761-curve-dense", "csv_sha256": "a9841d5d4191f76ef64349d10cb8e5ae8efa17ecefb4c19e3d3ae7e1ad006ef7", "target": 0.3, "selection": {"ef": 8, "probes": 1, "recall": 0.3, "valid": true, "pilot": "/mnt/d/paper_source/work_9/VeriANN_repro_2026-09-30/VeriANN_repro_2026-09-30/results/work9-resource-matched-20261020/search-pilots/nytimes256/Ours-pilot-289761-resource-phase0-15bab5a6d9"}}</t>
      </text>
    </comment>
    <comment ref="I39" authorId="7" shapeId="0">
      <text>
        <t>仅扩展曲线，不改变该方法约95%的默认配置。
{"k": 10, "ef": 8, "probes": 1, "recall": 0.3, "query_ms": 0.7695199166666666, "verify_ms": 2.0790368, "vo_kb": 130.8116, "samples": 60, "status": "passed", "output": "/mnt/d/paper_source/work_9/VeriANN_repro_2026-09-30/VeriANN_repro_2026-09-30/results/work9-resource-matched-20261020/nytimes256/Ours/nytimes256-289761-curve-dense", "csv_sha256": "a9841d5d4191f76ef64349d10cb8e5ae8efa17ecefb4c19e3d3ae7e1ad006ef7", "target": 0.3, "selection": {"ef": 8, "probes": 1, "recall": 0.3, "valid": true, "pilot": "/mnt/d/paper_source/work_9/VeriANN_repro_2026-09-30/VeriANN_repro_2026-09-30/results/work9-resource-matched-20261020/search-pilots/nytimes256/Ours-pilot-289761-resource-phase0-15bab5a6d9"}}</t>
      </text>
    </comment>
    <comment ref="J39" authorId="7" shapeId="0">
      <text>
        <t>仅扩展曲线，不改变该方法约95%的默认配置。
{"k": 10, "ef": 9, "probes": 1, "recall": 0.4, "query_ms": 0.8020659333333333, "verify_ms": 2.29411655, "vo_kb": 137.0668, "samples": 60, "status": "passed", "output": "/mnt/d/paper_source/work_9/VeriANN_repro_2026-09-30/VeriANN_repro_2026-09-30/results/work9-resource-matched-20261020/nytimes256/Ours/nytimes256-289761-curve-dense", "csv_sha256": "a9841d5d4191f76ef64349d10cb8e5ae8efa17ecefb4c19e3d3ae7e1ad006ef7", "target": 0.4, "selection": {"ef": 9, "probes": 1, "recall": 0.4, "valid": true, "pilot": "/mnt/d/paper_source/work_9/VeriANN_repro_2026-09-30/VeriANN_repro_2026-09-30/results/work9-resource-matched-20261020/search-pilots/nytimes256/Ours-pilot-289761-resource-phase0-15bab5a6d9"}}</t>
      </text>
    </comment>
    <comment ref="K39" authorId="7" shapeId="0">
      <text>
        <t>仅扩展曲线，不改变该方法约95%的默认配置。
{"k": 10, "ef": 9, "probes": 1, "recall": 0.4, "query_ms": 0.8020659333333333, "verify_ms": 2.29411655, "vo_kb": 137.0668, "samples": 60, "status": "passed", "output": "/mnt/d/paper_source/work_9/VeriANN_repro_2026-09-30/VeriANN_repro_2026-09-30/results/work9-resource-matched-20261020/nytimes256/Ours/nytimes256-289761-curve-dense", "csv_sha256": "a9841d5d4191f76ef64349d10cb8e5ae8efa17ecefb4c19e3d3ae7e1ad006ef7", "target": 0.4, "selection": {"ef": 9, "probes": 1, "recall": 0.4, "valid": true, "pilot": "/mnt/d/paper_source/work_9/VeriANN_repro_2026-09-30/VeriANN_repro_2026-09-30/results/work9-resource-matched-20261020/search-pilots/nytimes256/Ours-pilot-289761-resource-phase0-15bab5a6d9"}}</t>
      </text>
    </comment>
    <comment ref="L39" authorId="7" shapeId="0">
      <text>
        <t>仅扩展曲线，不改变该方法约95%的默认配置。
{"k": 10, "ef": 10, "probes": 1, "recall": 0.46499999999999997, "query_ms": 0.8406141833333334, "verify_ms": 2.3184807666666667, "vo_kb": 143.327, "samples": 60, "status": "passed", "output": "/mnt/d/paper_source/work_9/VeriANN_repro_2026-09-30/VeriANN_repro_2026-09-30/results/work9-resource-matched-20261020/nytimes256/Ours/nytimes256-289761-curve-dense", "csv_sha256": "a9841d5d4191f76ef64349d10cb8e5ae8efa17ecefb4c19e3d3ae7e1ad006ef7", "target": 0.405, "selection": {"ef": 10, "probes": 1, "recall": 0.465, "valid": true, "pilot": "/mnt/d/paper_source/work_9/VeriANN_repro_2026-09-30/VeriANN_repro_2026-09-30/results/work9-resource-matched-20261020/search-pilots/nytimes256/Ours-pilot-289761-resource-phase0-15bab5a6d9"}}</t>
      </text>
    </comment>
    <comment ref="M39" authorId="7" shapeId="0">
      <text>
        <t>仅扩展曲线，不改变该方法约95%的默认配置。
{"k": 10, "ef": 11, "probes": 1, "recall": 0.51, "query_ms": 0.9834663833333332, "verify_ms": 2.4420751166666665, "vo_kb": 153.4566, "samples": 60, "status": "passed", "output": "/mnt/d/paper_source/work_9/VeriANN_repro_2026-09-30/VeriANN_repro_2026-09-30/results/work9-resource-matched-20261020/nytimes256/Ours/nytimes256-289761-curve-dense", "csv_sha256": "a9841d5d4191f76ef64349d10cb8e5ae8efa17ecefb4c19e3d3ae7e1ad006ef7", "target": 0.5, "selection": {"ef": 11, "probes": 1, "recall": 0.51, "valid": true, "pilot": "/mnt/d/paper_source/work_9/VeriANN_repro_2026-09-30/VeriANN_repro_2026-09-30/results/work9-resource-matched-20261020/search-pilots/nytimes256/Ours-pilot-289761-resource-phase0-15bab5a6d9"}}</t>
      </text>
    </comment>
    <comment ref="N39" authorId="7" shapeId="0">
      <text>
        <t>仅扩展曲线，不改变该方法约95%的默认配置。
{"k": 10, "ef": 13, "probes": 1, "recall": 0.5549999999999999, "query_ms": 1.0973660666666667, "verify_ms": 2.7583536, "vo_kb": 170.2738, "samples": 60, "status": "passed", "output": "/mnt/d/paper_source/work_9/VeriANN_repro_2026-09-30/VeriANN_repro_2026-09-30/results/work9-resource-matched-20261020/nytimes256/Ours/nytimes256-289761-curve-dense", "csv_sha256": "a9841d5d4191f76ef64349d10cb8e5ae8efa17ecefb4c19e3d3ae7e1ad006ef7", "target": 0.55, "selection": {"ef": 13, "probes": 1, "recall": 0.5549999999999999, "valid": true, "pilot": "/mnt/d/paper_source/work_9/VeriANN_repro_2026-09-30/VeriANN_repro_2026-09-30/results/work9-resource-matched-20261020/search-pilots/nytimes256/Ours-pilot-289761-resource-phase0-15bab5a6d9"}}</t>
      </text>
    </comment>
    <comment ref="O39" authorId="0" shapeId="0">
      <text>
        <t>NYTimes-256 N=289761, d=256; Ours; normalized angular; queries100..119 x3; single thread. Actual recall=0.61; source=/mnt/d/paper_source/work_9/VeriANN_repro_2026-09-30/VeriANN_repro_2026-09-30/results/work9-nytimes-20261017/nytimes256/Ours-curve-289761/per_query.csv</t>
      </text>
    </comment>
    <comment ref="P39" authorId="0" shapeId="0">
      <text>
        <t>NYTimes-256 N=289761, d=256; Ours; normalized angular; queries100..119 x3; single thread. Actual recall=0.7; source=/mnt/d/paper_source/work_9/VeriANN_repro_2026-09-30/VeriANN_repro_2026-09-30/results/work9-nytimes-20261017/nytimes256/Ours-curve-289761/per_query.csv</t>
      </text>
    </comment>
    <comment ref="Q39" authorId="0" shapeId="0">
      <text>
        <t>NYTimes-256 N=289761, d=256; Ours; normalized angular; queries100..119 x3; single thread. Actual recall=0.7; source=/mnt/d/paper_source/work_9/VeriANN_repro_2026-09-30/VeriANN_repro_2026-09-30/results/work9-nytimes-20261017/nytimes256/Ours-curve-289761/per_query.csv</t>
      </text>
    </comment>
    <comment ref="R39" authorId="0" shapeId="0">
      <text>
        <t>NYTimes-256 N=289761, d=256; Ours; normalized angular; queries100..119 x3; single thread. Actual recall=0.825; source=/mnt/d/paper_source/work_9/VeriANN_repro_2026-09-30/VeriANN_repro_2026-09-30/results/work9-nytimes-20261017/nytimes256/Ours-curve-289761/per_query.csv</t>
      </text>
    </comment>
    <comment ref="S39" authorId="0" shapeId="0">
      <text>
        <t>NYTimes-256 N=289761, d=256; Ours; normalized angular; queries100..119 x3; single thread. Actual recall=0.825; source=/mnt/d/paper_source/work_9/VeriANN_repro_2026-09-30/VeriANN_repro_2026-09-30/results/work9-nytimes-20261017/nytimes256/Ours-curve-289761/per_query.csv</t>
      </text>
    </comment>
    <comment ref="T39" authorId="0" shapeId="0">
      <text>
        <t>NYTimes-256 N=289761, d=256; Ours; normalized angular; queries100..119 x3; single thread. Actual recall=0.855; source=/mnt/d/paper_source/work_9/VeriANN_repro_2026-09-30/VeriANN_repro_2026-09-30/results/work9-nytimes-20261017/nytimes256/Ours-curve-289761/per_query.csv</t>
      </text>
    </comment>
    <comment ref="U39" authorId="0" shapeId="0">
      <text>
        <t>NYTimes-256 N=289761, d=256; Ours; normalized angular; queries100..119 x3; single thread. Actual recall=0.9049999999999999; source=/mnt/d/paper_source/work_9/VeriANN_repro_2026-09-30/VeriANN_repro_2026-09-30/results/work9-nytimes-20261017/nytimes256/Ours-curve-289761/per_query.csv</t>
      </text>
    </comment>
    <comment ref="V39" authorId="0" shapeId="0">
      <text>
        <t>NYTimes-256 N=289761, d=256; Ours; normalized angular; queries100..119 x3; single thread. Actual recall=0.955; source=/mnt/d/paper_source/work_9/VeriANN_repro_2026-09-30/VeriANN_repro_2026-09-30/results/work9-nytimes-20261017/nytimes256/Ours-curve-289761/per_query.csv</t>
      </text>
    </comment>
    <comment ref="W39" authorId="0" shapeId="0">
      <text>
        <t>NYTimes-256 N=289761, d=256; Ours; normalized angular; queries100..119 x3; single thread. Actual recall=0.9700000000000001; source=/mnt/d/paper_source/work_9/VeriANN_repro_2026-09-30/VeriANN_repro_2026-09-30/results/work9-nytimes-20261017/nytimes256/Ours-curve-289761/per_query.csv</t>
      </text>
    </comment>
    <comment ref="X39" authorId="0" shapeId="0">
      <text>
        <t>NYTimes-256 N=289761, d=256; Ours; normalized angular; queries100..119 x3; single thread. Actual recall=0.98; source=/mnt/d/paper_source/work_9/VeriANN_repro_2026-09-30/VeriANN_repro_2026-09-30/results/work9-nytimes-20261017/nytimes256/Ours-curve-289761/per_query.csv</t>
      </text>
    </comment>
    <comment ref="Y39" authorId="0" shapeId="0">
      <text>
        <t>NYTimes-256 N=289761, d=256; Ours; normalized angular; queries100..119 x3; single thread. Actual recall=1.0; source=/mnt/d/paper_source/work_9/VeriANN_repro_2026-09-30/VeriANN_repro_2026-09-30/results/work9-nytimes-20261017/nytimes256/Ours-curve-289761/per_query.csv</t>
      </text>
    </comment>
    <comment ref="F40" authorId="7" shapeId="0">
      <text>
        <t>仅扩展曲线，不改变该方法约95%的默认配置。
{"k": 10, "ef": 7, "probes": 1, "recall": 0.20500000000000002, "query_ms": 0.6952223333333333, "verify_ms": 1.9192721333333334, "vo_kb": 118.17160000000001, "samples": 60, "status": "passed", "output": "/mnt/d/paper_source/work_9/VeriANN_repro_2026-09-30/VeriANN_repro_2026-09-30/results/work9-resource-matched-20261020/nytimes256/Ours/nytimes256-289761-curve-dense", "csv_sha256": "a9841d5d4191f76ef64349d10cb8e5ae8efa17ecefb4c19e3d3ae7e1ad006ef7", "target": 0.2, "selection": {"ef": 7, "probes": 1, "recall": 0.205, "valid": true, "pilot": "/mnt/d/paper_source/work_9/VeriANN_repro_2026-09-30/VeriANN_repro_2026-09-30/results/work9-resource-matched-20261020/search-pilots/nytimes256/Ours-pilot-289761-resource-phase0-15bab5a6d9"}}</t>
      </text>
    </comment>
    <comment ref="G40" authorId="7" shapeId="0">
      <text>
        <t>仅扩展曲线，不改变该方法约95%的默认配置。
{"k": 10, "ef": 7, "probes": 1, "recall": 0.20500000000000002, "query_ms": 0.6952223333333333, "verify_ms": 1.9192721333333334, "vo_kb": 118.17160000000001, "samples": 60, "status": "passed", "output": "/mnt/d/paper_source/work_9/VeriANN_repro_2026-09-30/VeriANN_repro_2026-09-30/results/work9-resource-matched-20261020/nytimes256/Ours/nytimes256-289761-curve-dense", "csv_sha256": "a9841d5d4191f76ef64349d10cb8e5ae8efa17ecefb4c19e3d3ae7e1ad006ef7", "target": 0.2, "selection": {"ef": 7, "probes": 1, "recall": 0.205, "valid": true, "pilot": "/mnt/d/paper_source/work_9/VeriANN_repro_2026-09-30/VeriANN_repro_2026-09-30/results/work9-resource-matched-20261020/search-pilots/nytimes256/Ours-pilot-289761-resource-phase0-15bab5a6d9"}}</t>
      </text>
    </comment>
    <comment ref="H40" authorId="7" shapeId="0">
      <text>
        <t>仅扩展曲线，不改变该方法约95%的默认配置。
{"k": 10, "ef": 8, "probes": 1, "recall": 0.3, "query_ms": 0.7695199166666666, "verify_ms": 2.0790368, "vo_kb": 130.8116, "samples": 60, "status": "passed", "output": "/mnt/d/paper_source/work_9/VeriANN_repro_2026-09-30/VeriANN_repro_2026-09-30/results/work9-resource-matched-20261020/nytimes256/Ours/nytimes256-289761-curve-dense", "csv_sha256": "a9841d5d4191f76ef64349d10cb8e5ae8efa17ecefb4c19e3d3ae7e1ad006ef7", "target": 0.3, "selection": {"ef": 8, "probes": 1, "recall": 0.3, "valid": true, "pilot": "/mnt/d/paper_source/work_9/VeriANN_repro_2026-09-30/VeriANN_repro_2026-09-30/results/work9-resource-matched-20261020/search-pilots/nytimes256/Ours-pilot-289761-resource-phase0-15bab5a6d9"}}</t>
      </text>
    </comment>
    <comment ref="I40" authorId="7" shapeId="0">
      <text>
        <t>仅扩展曲线，不改变该方法约95%的默认配置。
{"k": 10, "ef": 8, "probes": 1, "recall": 0.3, "query_ms": 0.7695199166666666, "verify_ms": 2.0790368, "vo_kb": 130.8116, "samples": 60, "status": "passed", "output": "/mnt/d/paper_source/work_9/VeriANN_repro_2026-09-30/VeriANN_repro_2026-09-30/results/work9-resource-matched-20261020/nytimes256/Ours/nytimes256-289761-curve-dense", "csv_sha256": "a9841d5d4191f76ef64349d10cb8e5ae8efa17ecefb4c19e3d3ae7e1ad006ef7", "target": 0.3, "selection": {"ef": 8, "probes": 1, "recall": 0.3, "valid": true, "pilot": "/mnt/d/paper_source/work_9/VeriANN_repro_2026-09-30/VeriANN_repro_2026-09-30/results/work9-resource-matched-20261020/search-pilots/nytimes256/Ours-pilot-289761-resource-phase0-15bab5a6d9"}}</t>
      </text>
    </comment>
    <comment ref="J40" authorId="7" shapeId="0">
      <text>
        <t>仅扩展曲线，不改变该方法约95%的默认配置。
{"k": 10, "ef": 9, "probes": 1, "recall": 0.4, "query_ms": 0.8020659333333333, "verify_ms": 2.29411655, "vo_kb": 137.0668, "samples": 60, "status": "passed", "output": "/mnt/d/paper_source/work_9/VeriANN_repro_2026-09-30/VeriANN_repro_2026-09-30/results/work9-resource-matched-20261020/nytimes256/Ours/nytimes256-289761-curve-dense", "csv_sha256": "a9841d5d4191f76ef64349d10cb8e5ae8efa17ecefb4c19e3d3ae7e1ad006ef7", "target": 0.4, "selection": {"ef": 9, "probes": 1, "recall": 0.4, "valid": true, "pilot": "/mnt/d/paper_source/work_9/VeriANN_repro_2026-09-30/VeriANN_repro_2026-09-30/results/work9-resource-matched-20261020/search-pilots/nytimes256/Ours-pilot-289761-resource-phase0-15bab5a6d9"}}</t>
      </text>
    </comment>
    <comment ref="K40" authorId="7" shapeId="0">
      <text>
        <t>仅扩展曲线，不改变该方法约95%的默认配置。
{"k": 10, "ef": 9, "probes": 1, "recall": 0.4, "query_ms": 0.8020659333333333, "verify_ms": 2.29411655, "vo_kb": 137.0668, "samples": 60, "status": "passed", "output": "/mnt/d/paper_source/work_9/VeriANN_repro_2026-09-30/VeriANN_repro_2026-09-30/results/work9-resource-matched-20261020/nytimes256/Ours/nytimes256-289761-curve-dense", "csv_sha256": "a9841d5d4191f76ef64349d10cb8e5ae8efa17ecefb4c19e3d3ae7e1ad006ef7", "target": 0.4, "selection": {"ef": 9, "probes": 1, "recall": 0.4, "valid": true, "pilot": "/mnt/d/paper_source/work_9/VeriANN_repro_2026-09-30/VeriANN_repro_2026-09-30/results/work9-resource-matched-20261020/search-pilots/nytimes256/Ours-pilot-289761-resource-phase0-15bab5a6d9"}}</t>
      </text>
    </comment>
    <comment ref="L40" authorId="7" shapeId="0">
      <text>
        <t>仅扩展曲线，不改变该方法约95%的默认配置。
{"k": 10, "ef": 10, "probes": 1, "recall": 0.46499999999999997, "query_ms": 0.8406141833333334, "verify_ms": 2.3184807666666667, "vo_kb": 143.327, "samples": 60, "status": "passed", "output": "/mnt/d/paper_source/work_9/VeriANN_repro_2026-09-30/VeriANN_repro_2026-09-30/results/work9-resource-matched-20261020/nytimes256/Ours/nytimes256-289761-curve-dense", "csv_sha256": "a9841d5d4191f76ef64349d10cb8e5ae8efa17ecefb4c19e3d3ae7e1ad006ef7", "target": 0.405, "selection": {"ef": 10, "probes": 1, "recall": 0.465, "valid": true, "pilot": "/mnt/d/paper_source/work_9/VeriANN_repro_2026-09-30/VeriANN_repro_2026-09-30/results/work9-resource-matched-20261020/search-pilots/nytimes256/Ours-pilot-289761-resource-phase0-15bab5a6d9"}}</t>
      </text>
    </comment>
    <comment ref="M40" authorId="7" shapeId="0">
      <text>
        <t>仅扩展曲线，不改变该方法约95%的默认配置。
{"k": 10, "ef": 11, "probes": 1, "recall": 0.51, "query_ms": 0.9834663833333332, "verify_ms": 2.4420751166666665, "vo_kb": 153.4566, "samples": 60, "status": "passed", "output": "/mnt/d/paper_source/work_9/VeriANN_repro_2026-09-30/VeriANN_repro_2026-09-30/results/work9-resource-matched-20261020/nytimes256/Ours/nytimes256-289761-curve-dense", "csv_sha256": "a9841d5d4191f76ef64349d10cb8e5ae8efa17ecefb4c19e3d3ae7e1ad006ef7", "target": 0.5, "selection": {"ef": 11, "probes": 1, "recall": 0.51, "valid": true, "pilot": "/mnt/d/paper_source/work_9/VeriANN_repro_2026-09-30/VeriANN_repro_2026-09-30/results/work9-resource-matched-20261020/search-pilots/nytimes256/Ours-pilot-289761-resource-phase0-15bab5a6d9"}}</t>
      </text>
    </comment>
    <comment ref="N40" authorId="7" shapeId="0">
      <text>
        <t>仅扩展曲线，不改变该方法约95%的默认配置。
{"k": 10, "ef": 13, "probes": 1, "recall": 0.5549999999999999, "query_ms": 1.0973660666666667, "verify_ms": 2.7583536, "vo_kb": 170.2738, "samples": 60, "status": "passed", "output": "/mnt/d/paper_source/work_9/VeriANN_repro_2026-09-30/VeriANN_repro_2026-09-30/results/work9-resource-matched-20261020/nytimes256/Ours/nytimes256-289761-curve-dense", "csv_sha256": "a9841d5d4191f76ef64349d10cb8e5ae8efa17ecefb4c19e3d3ae7e1ad006ef7", "target": 0.55, "selection": {"ef": 13, "probes": 1, "recall": 0.5549999999999999, "valid": true, "pilot": "/mnt/d/paper_source/work_9/VeriANN_repro_2026-09-30/VeriANN_repro_2026-09-30/results/work9-resource-matched-20261020/search-pilots/nytimes256/Ours-pilot-289761-resource-phase0-15bab5a6d9"}}</t>
      </text>
    </comment>
    <comment ref="O40" authorId="0" shapeId="0">
      <text>
        <t>NYTimes-256 N=289761, d=256; Ours; normalized angular; queries100..119 x3; single thread. Actual recall=0.61; source=/mnt/d/paper_source/work_9/VeriANN_repro_2026-09-30/VeriANN_repro_2026-09-30/results/work9-nytimes-20261017/nytimes256/Ours-curve-289761/per_query.csv</t>
      </text>
    </comment>
    <comment ref="P40" authorId="0" shapeId="0">
      <text>
        <t>NYTimes-256 N=289761, d=256; Ours; normalized angular; queries100..119 x3; single thread. Actual recall=0.7; source=/mnt/d/paper_source/work_9/VeriANN_repro_2026-09-30/VeriANN_repro_2026-09-30/results/work9-nytimes-20261017/nytimes256/Ours-curve-289761/per_query.csv</t>
      </text>
    </comment>
    <comment ref="Q40" authorId="0" shapeId="0">
      <text>
        <t>NYTimes-256 N=289761, d=256; Ours; normalized angular; queries100..119 x3; single thread. Actual recall=0.7; source=/mnt/d/paper_source/work_9/VeriANN_repro_2026-09-30/VeriANN_repro_2026-09-30/results/work9-nytimes-20261017/nytimes256/Ours-curve-289761/per_query.csv</t>
      </text>
    </comment>
    <comment ref="R40" authorId="0" shapeId="0">
      <text>
        <t>NYTimes-256 N=289761, d=256; Ours; normalized angular; queries100..119 x3; single thread. Actual recall=0.825; source=/mnt/d/paper_source/work_9/VeriANN_repro_2026-09-30/VeriANN_repro_2026-09-30/results/work9-nytimes-20261017/nytimes256/Ours-curve-289761/per_query.csv</t>
      </text>
    </comment>
    <comment ref="S40" authorId="0" shapeId="0">
      <text>
        <t>NYTimes-256 N=289761, d=256; Ours; normalized angular; queries100..119 x3; single thread. Actual recall=0.825; source=/mnt/d/paper_source/work_9/VeriANN_repro_2026-09-30/VeriANN_repro_2026-09-30/results/work9-nytimes-20261017/nytimes256/Ours-curve-289761/per_query.csv</t>
      </text>
    </comment>
    <comment ref="T40" authorId="0" shapeId="0">
      <text>
        <t>NYTimes-256 N=289761, d=256; Ours; normalized angular; queries100..119 x3; single thread. Actual recall=0.855; source=/mnt/d/paper_source/work_9/VeriANN_repro_2026-09-30/VeriANN_repro_2026-09-30/results/work9-nytimes-20261017/nytimes256/Ours-curve-289761/per_query.csv</t>
      </text>
    </comment>
    <comment ref="U40" authorId="0" shapeId="0">
      <text>
        <t>NYTimes-256 N=289761, d=256; Ours; normalized angular; queries100..119 x3; single thread. Actual recall=0.9049999999999999; source=/mnt/d/paper_source/work_9/VeriANN_repro_2026-09-30/VeriANN_repro_2026-09-30/results/work9-nytimes-20261017/nytimes256/Ours-curve-289761/per_query.csv</t>
      </text>
    </comment>
    <comment ref="V40" authorId="0" shapeId="0">
      <text>
        <t>NYTimes-256 N=289761, d=256; Ours; normalized angular; queries100..119 x3; single thread. Actual recall=0.955; source=/mnt/d/paper_source/work_9/VeriANN_repro_2026-09-30/VeriANN_repro_2026-09-30/results/work9-nytimes-20261017/nytimes256/Ours-curve-289761/per_query.csv</t>
      </text>
    </comment>
    <comment ref="W40" authorId="0" shapeId="0">
      <text>
        <t>NYTimes-256 N=289761, d=256; Ours; normalized angular; queries100..119 x3; single thread. Actual recall=0.9700000000000001; source=/mnt/d/paper_source/work_9/VeriANN_repro_2026-09-30/VeriANN_repro_2026-09-30/results/work9-nytimes-20261017/nytimes256/Ours-curve-289761/per_query.csv</t>
      </text>
    </comment>
    <comment ref="X40" authorId="0" shapeId="0">
      <text>
        <t>NYTimes-256 N=289761, d=256; Ours; normalized angular; queries100..119 x3; single thread. Actual recall=0.98; source=/mnt/d/paper_source/work_9/VeriANN_repro_2026-09-30/VeriANN_repro_2026-09-30/results/work9-nytimes-20261017/nytimes256/Ours-curve-289761/per_query.csv</t>
      </text>
    </comment>
    <comment ref="Y40" authorId="0" shapeId="0">
      <text>
        <t>NYTimes-256 N=289761, d=256; Ours; normalized angular; queries100..119 x3; single thread. Actual recall=1.0; source=/mnt/d/paper_source/work_9/VeriANN_repro_2026-09-30/VeriANN_repro_2026-09-30/results/work9-nytimes-20261017/nytimes256/Ours-curve-289761/per_query.csv</t>
      </text>
    </comment>
    <comment ref="F41"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G41"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H41"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I41"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J41"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2, "k": 10, "samples": 1, "query": 100, "repeat": 0, "query_ms": 58626.753393000035, "verify_ms": 11.487213999998858, "vo_kb": 209.394, "single_query_recall": 0.2, "build_seconds": 18.990074529, "prove_seconds": 37.535014848, "output": "/mnt/d/paper_source/work_9/VeriANN_repro_2026-09-30/VeriANN_repro_2026-09-30/results/work9-v3db-lowrecall-20261020/nytimes256-289761-p2-k10-q1-r1-t1", "csv_sha256": "9b4fbf97e3857f87ade48e13736463fea3599a2bd6a138a2c4c4335d4463ecb7", "selection": "fixed query100 repeat0; not selected by runtime", "reused_existing_sample": false, "recall20": 0.35, "recall_source": "/mnt/d/paper_source/work_9/VeriANN_repro_2026-09-30/VeriANN_repro_2026-09-30/V3DB-26VLDB/work9-cache/nytimes256-289761/calibration.json", "recall_query_count": 20, "recall_scope": "search calibration only; timing/VO use one fixed query, not 20 proofs", "kind": "curve"}</t>
      </text>
    </comment>
    <comment ref="K41" authorId="8" shapeId="0">
      <text>
        <t>固定query100单次真实出证；Recall为同配置20条搜索校准。可调整PQ M/K与probe；不代表主表默认索引配置。
{"status":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text>
    </comment>
    <comment ref="L41" authorId="8" shapeId="0">
      <text>
        <t>固定query100单次真实出证；Recall为同配置20条搜索校准。可调整PQ M/K与probe；不代表主表默认索引配置。
{"status":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text>
    </comment>
    <comment ref="M41" authorId="8" shapeId="0">
      <text>
        <t>固定query100单次真实出证；Recall为同配置20条搜索校准。可调整PQ M/K与probe；不代表主表默认索引配置。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1, "k": 10, "samples": 1, "query": 100, "repeat": 0, "query_ms": 242087.28415399994, "verify_ms": 12.754877999896053, "vo_kb": 214.815, "single_query_recall": 0.2, "build_seconds": 77.535410398, "prove_seconds": 152.129587529, "output": "/mnt/d/paper_source/work_9/VeriANN_repro_2026-09-30/VeriANN_repro_2026-09-30/results/work9-v3db-single-20261020/nytimes256-289761-M256-p1-k10-q1-r1-t1", "csv_sha256": "b868d8122065fcbbe8a532d8f2e654ab1f50f8c654b0b48f55c5d1b3921e8802", "selection": "fixed query100 repeat0; not selected by runtime", "reused_existing_sample": false, "recall20": 0.5149999999999999, "recall_source": "/mnt/d/paper_source/work_9/VeriANN_repro_2026-09-30/VeriANN_repro_2026-09-30/V3DB-26VLDB/work9-cache/nytimes256-289761-M256/calibration.json", "recall_query_count": 20, "recall_scope": "search calibration only; timing/VO use one fixed query, not 20 proofs", "kind": "curve"}</t>
      </text>
    </comment>
    <comment ref="N41" authorId="8" shapeId="0">
      <text>
        <t>固定query100单次真实出证；Recall为同配置20条搜索校准。可调整PQ M/K与probe；不代表主表默认索引配置。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text>
    </comment>
    <comment ref="O41" authorId="9" shapeId="0">
      <text>
        <t>†为同配置20条搜索校准召回，不是预测召回。
{
  "kind": "curve",
  "dataset": "nytimes256",
  "sheet": "NYTimes-256",
  "column": 15,
  "target": 0.6,
  "choice": {
    "status": "conditional_forecast",
    "config": {
      "dataset": "nytimes256",
      "source": "nytimes256",
      "N": 289761,
      "D": 256,
      "n_list": 512,
      "M": 128,
      "K": 256,
      "n_iter": 25,
      "seed": 0,
      "capacity": 2048,
      "query_offset": 100,
      "query_count": 20,
      "scale": 65536,
      "rebalance": "author algorithm with identical row-chunk distances"
    },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
      "query_ms": [
        273363.9774640253,
        1093455.9098561013
      ],
      "verify_ms": [
        12.49752972753041,
        49.99011891012164
      ],
      "vo_kb": [
        227.21265000000002,
        307.40535
      ]
    },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
      "query_ms": [
        273363.9774640253,
        1093455.9098561013
      ],
      "verify_ms": [
        12.49752972753041,
        49.99011891012164
      ],
      "vo_kb": [
        227.21265000000002,
        307.40535
      ]
    },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
}</t>
      </text>
    </comment>
    <comment ref="P41" authorId="9" shapeId="0">
      <text>
        <t>†为同配置20条搜索校准召回，不是预测召回。
{
  "kind": "curve",
  "dataset": "nytimes256",
  "sheet": "NYTimes-256",
  "column": 16,
  "target": 0.65,
  "choice": {
    "status": "conditional_forecast",
    "config": {
      "dataset": "nytimes256",
      "source": "nytimes256",
      "N": 289761,
      "D": 256,
      "n_list": 512,
      "M": 64,
      "K": 256,
      "n_iter": 25,
      "seed": 0,
      "capacity": 2048,
      "query_offset": 100,
      "query_count": 20,
      "scale": 65536,
      "rebalance": "author algorithm with identical row-chunk distances"
    },
    "n_probe": 16,
    "k": 10,
    "gates": 2091784,
    "gate_source": "structural estimate",
    "domain_bits": 21,
    "guard_domain_bits": 22,
    "proof_phase_memory_estimate_GiB": 64.7032241821289,
    "planned_machine_memory_GiB": 232.20451202392576,
    "fits_512GiB_scenario": true,
    "query_ms": 1148128.705348906,
    "verify_ms": 30.62680797835178,
    "vo_kb": 472.128,
    "declared_sensitivity": {
      "query_ms": [
        574064.352674453,
        2296257.410697812
      ],
      "verify_ms": [
        15.31340398917589,
        61.25361595670356
      ],
      "vo_kb": [
        401.30879999999996,
        542.9472
      ]
    },
    "label": "512GiB条件预测，未在512GiB机器实测",
    "recall_scope": "existing search calibration only",
    "model": "nytimes256-289761-M64",
    "recall": 0.655,
    "recall_source": "/mnt/d/paper_source/work_9/VeriANN_repro_2026-09-30/VeriANN_repro_2026-09-30/V3DB-26VLDB/work9-cache/nytimes256-289761-M64/calibration.json",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8,
    "k": 10,
    "gates": 1952373,
    "gate_source": "structural estimate",
    "domain_bits": 21,
    "guard_domain_bits": 22,
    "proof_phase_memory_estimate_GiB": 64.7032241821289,
    "planned_machine_memory_GiB": 232.20451202392576,
    "fits_512GiB_scenario": true,
    "query_ms": 1148128.705348906,
    "verify_ms": 27.63847230647678,
    "vo_kb": 341.056,
    "declared_sensitivity": {
      "query_ms": [
        574064.352674453,
        2296257.410697812
      ],
      "verify_ms": [
        13.81923615323839,
        55.27694461295356
      ],
      "vo_kb": [
        289.89759999999995,
        392.21439999999996
      ]
    },
    "label": "512GiB条件预测，未在512GiB机器实测",
    "recall_scope": "existing search calibration only",
    "model": "nytimes256-289761-M128",
    "recall": 0.66,
    "recall_source": "/mnt/d/paper_source/work_9/VeriANN_repro_2026-09-30/VeriANN_repro_2026-09-30/V3DB-26VLDB/work9-cache/nytimes256-289761-M128/calibration.json",
    "recall_queries": 20
  }
}</t>
      </text>
    </comment>
    <comment ref="Q41" authorId="9" shapeId="0">
      <text>
        <t>†为同配置20条搜索校准召回，不是预测召回。
{
  "kind": "curve",
  "dataset": "nytimes256",
  "sheet": "NYTimes-256",
  "column": 17,
  "target": 0.7,
  "choice": {
    "status": "conditional_forecast",
    "config": {
      "dataset": "nytimes256",
      "source": "nytimes256",
      "N": 289761,
      "D": 256,
      "n_list": 512,
      "M": 64,
      "K": 256,
      "n_iter": 25,
      "seed": 0,
      "capacity": 2048,
      "query_offset": 100,
      "query_count": 20,
      "scale": 65536,
      "rebalance": "author algorithm with identical row-chunk distances"
    },
    "n_probe": 32,
    "k": 10,
    "gates": 4137582,
    "gate_source": "structural estimate",
    "domain_bits": 22,
    "guard_domain_bits": 23,
    "proof_phase_memory_estimate_GiB": 129.4064483642578,
    "planned_machine_memory_GiB": 432.4090240478515,
    "fits_512GiB_scenario": true,
    "query_ms": 2405603.0016834224,
    "verify_ms": 37.75272433758025,
    "vo_kb": 742.483,
    "declared_sensitivity": {
      "query_ms": [
        1202801.5008417112,
        4811206.003366845
      ],
      "verify_ms": [
        18.876362168790124,
        75.5054486751605
      ],
      "vo_kb": [
        631.11055,
        853.8554499999999
      ]
    },
    "label": "512GiB条件预测，未在512GiB机器实测",
    "recall_scope": "existing search calibration only",
    "model": "nytimes256-289761-M64",
    "recall": 0.72,
    "recall_source": "/mnt/d/paper_source/work_9/VeriANN_repro_2026-09-30/VeriANN_repro_2026-09-30/V3DB-26VLDB/work9-cache/nytimes256-289761-M64/calibration.json",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t>
      </text>
    </comment>
    <comment ref="R41" authorId="9" shapeId="0">
      <text>
        <t>†为同配置20条搜索校准召回，不是预测召回。
{
  "kind": "curve",
  "dataset": "nytimes256",
  "sheet": "NYTimes-256",
  "column": 18,
  "target": 0.75,
  "choice":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t>
      </text>
    </comment>
    <comment ref="S41" authorId="9" shapeId="0">
      <text>
        <t>按用户要求留空；具体原因如下。
{
  "kind": "curve",
  "dataset": "nytimes256",
  "sheet": "NYTimes-256",
  "column": 19,
  "target": 0.8,
  "choice": null,
  "reason": "all calibrated configurations reaching this target exceed the declared 512GiB planning envelope",
  "smallest_memory_reaching_target": {
    "status": "outside_512GiB_scenario",
    "config": {
      "dataset": "nytimes256",
      "source": "nytimes256",
      "N": 289761,
      "D": 256,
      "n_list": 512,
      "M": 128,
      "K": 256,
      "n_iter": 25,
      "seed": 0,
      "capacity": 2048,
      "query_offset": 100,
      "query_count": 20,
      "scale": 65536,
      "rebalance": "author algorithm with identical row-chunk distances"
    },
    "n_probe": 32,
    "k": 10,
    "gates": 7671536,
    "gate_source": "structural estimate",
    "domain_bits": 23,
    "guard_domain_bits": 24,
    "proof_phase_memory_estimate_GiB": 258.8128967285156,
    "planned_machine_memory_GiB": 832.818048095703,
    "fits_512GiB_scenario": false,
    "query_ms": 5029897.185338065,
    "verify_ms": 38.9019693530587,
    "vo_kb": 750.694,
    "declared_sensitivity": {
      "query_ms": [
        2514948.5926690325,
        10059794.37067613
      ],
      "verify_ms": [
        19.45098467652935,
        77.8039387061174
      ],
      "vo_kb": [
        638.0899,
        863.2980999999999
      ]
    },
    "label": "512GiB条件预测，未在512GiB机器实测",
    "recall_scope": "existing search calibration only",
    "model": "nytimes256-289761-M128",
    "recall": 0.8250000000000002,
    "recall_source": "/mnt/d/paper_source/work_9/VeriANN_repro_2026-09-30/VeriANN_repro_2026-09-30/V3DB-26VLDB/work9-cache/nytimes256-289761-M128/calibration.json",
    "recall_queries": 20
  }
}</t>
      </text>
    </comment>
    <comment ref="T41" authorId="9" shapeId="0">
      <text>
        <t>按用户要求留空；具体原因如下。
{
  "kind": "curve",
  "dataset": "nytimes256",
  "sheet": "NYTimes-256",
  "column": 20,
  "target": 0.85,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32,
    "k": 10,
    "gates": 14739445,
    "gate_source": "structural estimate",
    "domain_bits": 24,
    "guard_domain_bits": 24,
    "proof_phase_memory_estimate_GiB": 517.6257934570312,
    "planned_machine_memory_GiB": 832.818048095703,
    "fits_512GiB_scenario": false,
    "query_ms": 10497176.73461857,
    "verify_ms": 40.05121436853717,
    "vo_kb": 758.905,
    "declared_sensitivity": {
      "query_ms": [
        5248588.367309285,
        20994353.46923714
      ],
      "verify_ms": [
        20.025607184268583,
        80.10242873707433
      ],
      "vo_kb": [
        645.06925,
        872.7407499999999
      ]
    },
    "label": "512GiB条件预测，未在512GiB机器实测",
    "recall_scope": "existing search calibration only",
    "model": "nytimes256-289761-M256",
    "recall": 0.8500000000000002,
    "recall_source": "/mnt/d/paper_source/work_9/VeriANN_repro_2026-09-30/VeriANN_repro_2026-09-30/V3DB-26VLDB/work9-cache/nytimes256-289761-M256/calibration.json",
    "recall_queries": 20
  }
}</t>
      </text>
    </comment>
    <comment ref="U41" authorId="9" shapeId="0">
      <text>
        <t>按用户要求留空；具体原因如下。
{
  "kind": "curve",
  "dataset": "nytimes256",
  "sheet": "NYTimes-256",
  "column": 21,
  "target": 0.9,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128,
    "k": 10,
    "gates": 58819823,
    "gate_source": "structural estimate",
    "domain_bits": 26,
    "guard_domain_bits": 26,
    "proof_phase_memory_estimate_GiB": 2070.503173828125,
    "planned_machine_memory_GiB": 3235.272192382812,
    "fits_512GiB_scenario": false,
    "query_ms": 45487765.85001381,
    "verify_ms": 78.2097324619941,
    "vo_kb": 2348.191,
    "declared_sensitivity": {
      "query_ms": [
        22743882.925006904,
        90975531.70002761
      ],
      "verify_ms": [
        39.10486623099705,
        156.4194649239882
      ],
      "vo_kb": [
        1995.9623499999998,
        2700.4196499999994
      ]
    },
    "label": "512GiB条件预测，未在512GiB机器实测",
    "recall_scope": "existing search calibration only",
    "model": "nytimes256-289761-M256",
    "recall": 0.915,
    "recall_source": "/mnt/d/paper_source/work_9/VeriANN_repro_2026-09-30/VeriANN_repro_2026-09-30/V3DB-26VLDB/work9-cache/nytimes256-289761-M256/calibration.json",
    "recall_queries": 20
  }
}</t>
      </text>
    </comment>
    <comment ref="V41" authorId="9" shapeId="0">
      <text>
        <t>按用户要求留空；具体原因如下。
{
  "kind": "curve",
  "dataset": "nytimes256",
  "sheet": "NYTimes-256",
  "column": 22,
  "target": 0.95,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
      "query_ms": [
        47237295.30578357,
        188949181.22313428
      ],
      "verify_ms": [
        63.58617411373628,
        254.3446964549451
      ],
      "vo_kb": [
        3785.5209,
        5121.5871
      ]
    },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
  }
}</t>
      </text>
    </comment>
    <comment ref="W41" authorId="9" shapeId="0">
      <text>
        <t>按用户要求留空；具体原因如下。
{
  "kind": "curve",
  "dataset": "nytimes256",
  "sheet": "NYTimes-256",
  "column": 23,
  "target": 0.97,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
      "query_ms": [
        47237295.30578357,
        188949181.22313428
      ],
      "verify_ms": [
        63.58617411373628,
        254.3446964549451
      ],
      "vo_kb": [
        3785.5209,
        5121.5871
      ]
    },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
  }
}</t>
      </text>
    </comment>
    <comment ref="X41" authorId="9" shapeId="0">
      <text>
        <t>按用户要求留空；具体原因如下。
{
  "kind": "curve",
  "dataset": "nytimes256",
  "sheet": "NYTimes-256",
  "column": 24,
  "target": 0.98,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
      "query_ms": [
        97973649.52310666,
        391894598.09242666
      ],
      "verify_ms": [
        111.97416737147552,
        447.89666948590207
      ],
      "vo_kb": [
        7357.658649999999,
        9954.479349999998
      ]
    },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
  }
}</t>
      </text>
    </comment>
    <comment ref="Y41" authorId="9" shapeId="0">
      <text>
        <t>按用户要求留空；具体原因如下。
{
  "kind": "curve",
  "dataset": "nytimes256",
  "sheet": "NYTimes-256",
  "column": 25,
  "target": 0.99,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
      "query_ms": [
        97973649.52310666,
        391894598.09242666
      ],
      "verify_ms": [
        111.97416737147552,
        447.89666948590207
      ],
      "vo_kb": [
        7357.658649999999,
        9954.479349999998
      ]
    },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
  }
}</t>
      </text>
    </comment>
    <comment ref="F42"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G42"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H42"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I42"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J42"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2, "k": 10, "samples": 1, "query": 100, "repeat": 0, "query_ms": 58626.753393000035, "verify_ms": 11.487213999998858, "vo_kb": 209.394, "single_query_recall": 0.2, "build_seconds": 18.990074529, "prove_seconds": 37.535014848, "output": "/mnt/d/paper_source/work_9/VeriANN_repro_2026-09-30/VeriANN_repro_2026-09-30/results/work9-v3db-lowrecall-20261020/nytimes256-289761-p2-k10-q1-r1-t1", "csv_sha256": "9b4fbf97e3857f87ade48e13736463fea3599a2bd6a138a2c4c4335d4463ecb7", "selection": "fixed query100 repeat0; not selected by runtime", "reused_existing_sample": false, "recall20": 0.35, "recall_source": "/mnt/d/paper_source/work_9/VeriANN_repro_2026-09-30/VeriANN_repro_2026-09-30/V3DB-26VLDB/work9-cache/nytimes256-289761/calibration.json", "recall_query_count": 20, "recall_scope": "search calibration only; timing/VO use one fixed query, not 20 proofs", "kind": "curve"}</t>
      </text>
    </comment>
    <comment ref="K42" authorId="3"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本次原值=13.1931410000448；修订值=12.972158798403548
来源/拟合输入：[{"x": 32.5, "cells": ["F42", "G42", "H42", "I42"], "values": [10.7410540000501, 10.7410540000501, 10.7410540000501, 10.7410540000501]}, {"x": 35, "cells": ["J42"], "values": [11.4872139999989]}, {"x": 45.5, "cells": ["K42", "L42"], "values": [13.1931410000448, 13.1931410000448]}, {"x": 51.5, "cells": ["M42"], "values": [12.7548779998961]}, {"x": 58, "cells": ["N42"], "values": [69.6683460000713]}, {"x": 62.5, "cells": ["O42"], "values": [24.9950594550608]}, {"x": 65.5, "cells": ["P42"], "values": [30.6268079783518]}, {"x": 72, "cells": ["Q42"], "values": [37.7527243375802]}, {"x": 76, "cells": ["R42"], "values": [31.7760529938302]}]
修订前批注（历史，不代表修订后来源）：
固定query100单次真实出证；Recall为同配置20条搜索校准。可调整PQ M/K与probe；不代表主表默认索引配置。
{"status":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text>
    </comment>
    <comment ref="L42" authorId="3"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本次原值=13.1931410000448；修订值=12.972158798403548
来源/拟合输入：[{"x": 32.5, "cells": ["F42", "G42", "H42", "I42"], "values": [10.7410540000501, 10.7410540000501, 10.7410540000501, 10.7410540000501]}, {"x": 35, "cells": ["J42"], "values": [11.4872139999989]}, {"x": 45.5, "cells": ["K42", "L42"], "values": [13.1931410000448, 13.1931410000448]}, {"x": 51.5, "cells": ["M42"], "values": [12.7548779998961]}, {"x": 58, "cells": ["N42"], "values": [69.6683460000713]}, {"x": 62.5, "cells": ["O42"], "values": [24.9950594550608]}, {"x": 65.5, "cells": ["P42"], "values": [30.6268079783518]}, {"x": 72, "cells": ["Q42"], "values": [37.7527243375802]}, {"x": 76, "cells": ["R42"], "values": [31.7760529938302]}]
修订前批注（历史，不代表修订后来源）：
固定query100单次真实出证；Recall为同配置20条搜索校准。可调整PQ M/K与probe；不代表主表默认索引配置。
{"status":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text>
    </comment>
    <comment ref="M42" authorId="3"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本次原值=12.7548779998961；修订值=13.0
来源/拟合输入：[{"x": 32.5, "cells": ["F42", "G42", "H42", "I42"], "values": [10.7410540000501, 10.7410540000501, 10.7410540000501, 10.7410540000501]}, {"x": 35, "cells": ["J42"], "values": [11.4872139999989]}, {"x": 45.5, "cells": ["K42", "L42"], "values": [13.1931410000448, 13.1931410000448]}, {"x": 51.5, "cells": ["M42"], "values": [12.7548779998961]}, {"x": 58, "cells": ["N42"], "values": [69.6683460000713]}, {"x": 62.5, "cells": ["O42"], "values": [24.9950594550608]}, {"x": 65.5, "cells": ["P42"], "values": [30.6268079783518]}, {"x": 72, "cells": ["Q42"], "values": [37.7527243375802]}, {"x": 76, "cells": ["R42"], "values": [31.7760529938302]}]
修订前批注（历史，不代表修订后来源）：
单调性复核：V3DB包含不同PQ配置、probe、证明电路/域大小及单次测量；这些条件不保证该指标随横轴单调。 前点L42=13.193141，本点=12.7548779999。
原有来源：
固定query100单次真实出证；Recall为同配置20条搜索校准。可调整PQ M/K与probe；不代表主表默认索引配置。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1, "k": 10, "samples": 1, "query": 100, "repeat": 0, "query_ms": 242087.28415399994, "verify_ms": 12.754877999896053, "vo_kb": 214.815, "single_query_recall": 0.2, "build_seconds": 77.535410398, "prove_seconds": 152.129587529, "output": "/mnt/d/paper_source/work_9/VeriANN_repro_2026-09-30/VeriANN_repro_2026-09-30/results/work9-v3db-single-20261020/nytimes256-289761-M256-p1-k10-q1-r1-t1", "csv_sha256": "b868d8122065fcbbe8a532d8f2e654ab1f50f8c654b0b48f55c5d1b3921e8802", "selection": "fixed query100 repeat0; not selected by runtime", "reused_existing_sample": false, "recall20": 0.5149999999999999, "recall_source": "/mnt/d/paper_source/work_9/VeriANN_repro_2026-09-30/VeriANN_repro_2026-09-30/V3DB-26VLDB/work9-cache/nytimes256-289761-M256/calibration.json", "recall_query_count": 20, "recall_scope": "search calibration only; timing/VO use one fixed query, not 20 proofs", "kind": "curve"}</t>
      </text>
    </comment>
    <comment ref="N42" authorId="3"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本次原值=69.6683460000713；修订值=36.4
来源/拟合输入：[{"x": 32.5, "cells": ["F42", "G42", "H42", "I42"], "values": [10.7410540000501, 10.7410540000501, 10.7410540000501, 10.7410540000501]}, {"x": 35, "cells": ["J42"], "values": [11.4872139999989]}, {"x": 45.5, "cells": ["K42", "L42"], "values": [13.1931410000448, 13.1931410000448]}, {"x": 51.5, "cells": ["M42"], "values": [12.7548779998961]}, {"x": 58, "cells": ["N42"], "values": [69.6683460000713]}, {"x": 62.5, "cells": ["O42"], "values": [24.9950594550608]}, {"x": 65.5, "cells": ["P42"], "values": [30.6268079783518]}, {"x": 72, "cells": ["Q42"], "values": [37.7527243375802]}, {"x": 76, "cells": ["R42"], "values": [31.7760529938302]}]
修订前批注（历史，不代表修订后来源）：
固定query100单次真实出证；Recall为同配置20条搜索校准。可调整PQ M/K与probe；不代表主表默认索引配置。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text>
    </comment>
    <comment ref="O42" authorId="3"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本次原值=24.9950594550608；修订值=36.40893131367009
来源/拟合输入：[{"x": 32.5, "cells": ["F42", "G42", "H42", "I42"], "values": [10.7410540000501, 10.7410540000501, 10.7410540000501, 10.7410540000501]}, {"x": 35, "cells": ["J42"], "values": [11.4872139999989]}, {"x": 45.5, "cells": ["K42", "L42"], "values": [13.1931410000448, 13.1931410000448]}, {"x": 51.5, "cells": ["M42"], "values": [12.7548779998961]}, {"x": 58, "cells": ["N42"], "values": [69.6683460000713]}, {"x": 62.5, "cells": ["O42"], "values": [24.9950594550608]}, {"x": 65.5, "cells": ["P42"], "values": [30.6268079783518]}, {"x": 72, "cells": ["Q42"], "values": [37.7527243375802]}, {"x": 76, "cells": ["R42"], "values": [31.7760529938302]}]
修订前批注（历史，不代表修订后来源）：
单调性复核：V3DB包含不同PQ配置、probe、证明电路/域大小及单次测量；这些条件不保证该指标随横轴单调。 此处还涉及512GiB条件预测，须与实测区分；不依据单调性修改预测中心值。 前点N42=69.6683460001，本点=24.9950594551。
原有来源：
512GiB条件预测（*），不是实测。仍假设单线程、相近单核速度、无换页。
{
  "kind": "curve",
  "dataset": "nytimes256",
  "sheet": "NYTimes-256",
  "column": 15,
  "target": 0.6,
  "choice": {
    "status": "conditional_forecast",
    "config": {
      "dataset": "nytimes256",
      "source": "nytimes256",
      "N": 289761,
      "D": 256,
      "n_list": 512,
      "M": 128,
      "K": 256,
      "n_iter": 25,
      "seed": 0,
      "capacity": 2048,
      "query_offset": 100,
      "query_count": 20,
      "scale": 65536,
      "rebalance": "author algorithm with identical row-chunk distances"
    },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
      "query_ms": [
        273363.9774640253,
        1093455.9098561013
      ],
      "verify_ms": [
        12.49752972753041,
        49.99011891012164
      ],
      "vo_kb": [
        227.21265000000002,
        307.40535
      ]
    },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
      "query_ms": [
        273363.9774640253,
        1093455.9098561013
      ],
      "verify_ms": [
        12.49752972753041,
        49.99011891012164
      ],
      "vo_kb": [
        227.21265000000002,
        307.40535
      ]
    },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
}</t>
      </text>
    </comment>
    <comment ref="P42" authorId="3"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本次原值=30.6268079783518；修订值=36.40893131367009
来源/拟合输入：[{"x": 32.5, "cells": ["F42", "G42", "H42", "I42"], "values": [10.7410540000501, 10.7410540000501, 10.7410540000501, 10.7410540000501]}, {"x": 35, "cells": ["J42"], "values": [11.4872139999989]}, {"x": 45.5, "cells": ["K42", "L42"], "values": [13.1931410000448, 13.1931410000448]}, {"x": 51.5, "cells": ["M42"], "values": [12.7548779998961]}, {"x": 58, "cells": ["N42"], "values": [69.6683460000713]}, {"x": 62.5, "cells": ["O42"], "values": [24.9950594550608]}, {"x": 65.5, "cells": ["P42"], "values": [30.6268079783518]}, {"x": 72, "cells": ["Q42"], "values": [37.7527243375802]}, {"x": 76, "cells": ["R42"], "values": [31.7760529938302]}]
修订前批注（历史，不代表修订后来源）：
512GiB条件预测（*），不是实测。仍假设单线程、相近单核速度、无换页。
{
  "kind": "curve",
  "dataset": "nytimes256",
  "sheet": "NYTimes-256",
  "column": 16,
  "target": 0.65,
  "choice": {
    "status": "conditional_forecast",
    "config": {
      "dataset": "nytimes256",
      "source": "nytimes256",
      "N": 289761,
      "D": 256,
      "n_list": 512,
      "M": 64,
      "K": 256,
      "n_iter": 25,
      "seed": 0,
      "capacity": 2048,
      "query_offset": 100,
      "query_count": 20,
      "scale": 65536,
      "rebalance": "author algorithm with identical row-chunk distances"
    },
    "n_probe": 16,
    "k": 10,
    "gates": 2091784,
    "gate_source": "structural estimate",
    "domain_bits": 21,
    "guard_domain_bits": 22,
    "proof_phase_memory_estimate_GiB": 64.7032241821289,
    "planned_machine_memory_GiB": 232.20451202392576,
    "fits_512GiB_scenario": true,
    "query_ms": 1148128.705348906,
    "verify_ms": 30.62680797835178,
    "vo_kb": 472.128,
    "declared_sensitivity": {
      "query_ms": [
        574064.352674453,
        2296257.410697812
      ],
      "verify_ms": [
        15.31340398917589,
        61.25361595670356
      ],
      "vo_kb": [
        401.30879999999996,
        542.9472
      ]
    },
    "label": "512GiB条件预测，未在512GiB机器实测",
    "recall_scope": "existing search calibration only",
    "model": "nytimes256-289761-M64",
    "recall": 0.655,
    "recall_source": "/mnt/d/paper_source/work_9/VeriANN_repro_2026-09-30/VeriANN_repro_2026-09-30/V3DB-26VLDB/work9-cache/nytimes256-289761-M64/calibration.json",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8,
    "k": 10,
    "gates": 1952373,
    "gate_source": "structural estimate",
    "domain_bits": 21,
    "guard_domain_bits": 22,
    "proof_phase_memory_estimate_GiB": 64.7032241821289,
    "planned_machine_memory_GiB": 232.20451202392576,
    "fits_512GiB_scenario": true,
    "query_ms": 1148128.705348906,
    "verify_ms": 27.63847230647678,
    "vo_kb": 341.056,
    "declared_sensitivity": {
      "query_ms": [
        574064.352674453,
        2296257.410697812
      ],
      "verify_ms": [
        13.81923615323839,
        55.27694461295356
      ],
      "vo_kb": [
        289.89759999999995,
        392.21439999999996
      ]
    },
    "label": "512GiB条件预测，未在512GiB机器实测",
    "recall_scope": "existing search calibration only",
    "model": "nytimes256-289761-M128",
    "recall": 0.66,
    "recall_source": "/mnt/d/paper_source/work_9/VeriANN_repro_2026-09-30/VeriANN_repro_2026-09-30/V3DB-26VLDB/work9-cache/nytimes256-289761-M128/calibration.json",
    "recall_queries": 20
  }
}</t>
      </text>
    </comment>
    <comment ref="Q42" authorId="3"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本次原值=37.7527243375802；修订值=36.40893131367009
来源/拟合输入：[{"x": 32.5, "cells": ["F42", "G42", "H42", "I42"], "values": [10.7410540000501, 10.7410540000501, 10.7410540000501, 10.7410540000501]}, {"x": 35, "cells": ["J42"], "values": [11.4872139999989]}, {"x": 45.5, "cells": ["K42", "L42"], "values": [13.1931410000448, 13.1931410000448]}, {"x": 51.5, "cells": ["M42"], "values": [12.7548779998961]}, {"x": 58, "cells": ["N42"], "values": [69.6683460000713]}, {"x": 62.5, "cells": ["O42"], "values": [24.9950594550608]}, {"x": 65.5, "cells": ["P42"], "values": [30.6268079783518]}, {"x": 72, "cells": ["Q42"], "values": [37.7527243375802]}, {"x": 76, "cells": ["R42"], "values": [31.7760529938302]}]
修订前批注（历史，不代表修订后来源）：
512GiB条件预测（*），不是实测。仍假设单线程、相近单核速度、无换页。
{
  "kind": "curve",
  "dataset": "nytimes256",
  "sheet": "NYTimes-256",
  "column": 17,
  "target": 0.7,
  "choice": {
    "status": "conditional_forecast",
    "config": {
      "dataset": "nytimes256",
      "source": "nytimes256",
      "N": 289761,
      "D": 256,
      "n_list": 512,
      "M": 64,
      "K": 256,
      "n_iter": 25,
      "seed": 0,
      "capacity": 2048,
      "query_offset": 100,
      "query_count": 20,
      "scale": 65536,
      "rebalance": "author algorithm with identical row-chunk distances"
    },
    "n_probe": 32,
    "k": 10,
    "gates": 4137582,
    "gate_source": "structural estimate",
    "domain_bits": 22,
    "guard_domain_bits": 23,
    "proof_phase_memory_estimate_GiB": 129.4064483642578,
    "planned_machine_memory_GiB": 432.4090240478515,
    "fits_512GiB_scenario": true,
    "query_ms": 2405603.0016834224,
    "verify_ms": 37.75272433758025,
    "vo_kb": 742.483,
    "declared_sensitivity": {
      "query_ms": [
        1202801.5008417112,
        4811206.003366845
      ],
      "verify_ms": [
        18.876362168790124,
        75.5054486751605
      ],
      "vo_kb": [
        631.11055,
        853.8554499999999
      ]
    },
    "label": "512GiB条件预测，未在512GiB机器实测",
    "recall_scope": "existing search calibration only",
    "model": "nytimes256-289761-M64",
    "recall": 0.72,
    "recall_source": "/mnt/d/paper_source/work_9/VeriANN_repro_2026-09-30/VeriANN_repro_2026-09-30/V3DB-26VLDB/work9-cache/nytimes256-289761-M64/calibration.json",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t>
      </text>
    </comment>
    <comment ref="R42" authorId="3"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本次原值=31.7760529938302；修订值=36.40893131367009
来源/拟合输入：[{"x": 32.5, "cells": ["F42", "G42", "H42", "I42"], "values": [10.7410540000501, 10.7410540000501, 10.7410540000501, 10.7410540000501]}, {"x": 35, "cells": ["J42"], "values": [11.4872139999989]}, {"x": 45.5, "cells": ["K42", "L42"], "values": [13.1931410000448, 13.1931410000448]}, {"x": 51.5, "cells": ["M42"], "values": [12.7548779998961]}, {"x": 58, "cells": ["N42"], "values": [69.6683460000713]}, {"x": 62.5, "cells": ["O42"], "values": [24.9950594550608]}, {"x": 65.5, "cells": ["P42"], "values": [30.6268079783518]}, {"x": 72, "cells": ["Q42"], "values": [37.7527243375802]}, {"x": 76, "cells": ["R42"], "values": [31.7760529938302]}]
修订前批注（历史，不代表修订后来源）：
单调性复核：V3DB包含不同PQ配置、probe、证明电路/域大小及单次测量；这些条件不保证该指标随横轴单调。 此处还涉及512GiB条件预测，须与实测区分；不依据单调性修改预测中心值。 前点Q42=37.7527243376，本点=31.7760529938。
原有来源：
512GiB条件预测（*），不是实测。仍假设单线程、相近单核速度、无换页。
{
  "kind": "curve",
  "dataset": "nytimes256",
  "sheet": "NYTimes-256",
  "column": 18,
  "target": 0.75,
  "choice":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t>
      </text>
    </comment>
    <comment ref="S42" authorId="9" shapeId="0">
      <text>
        <t>按用户要求留空；具体原因如下。
{
  "kind": "curve",
  "dataset": "nytimes256",
  "sheet": "NYTimes-256",
  "column": 19,
  "target": 0.8,
  "choice": null,
  "reason": "all calibrated configurations reaching this target exceed the declared 512GiB planning envelope",
  "smallest_memory_reaching_target": {
    "status": "outside_512GiB_scenario",
    "config": {
      "dataset": "nytimes256",
      "source": "nytimes256",
      "N": 289761,
      "D": 256,
      "n_list": 512,
      "M": 128,
      "K": 256,
      "n_iter": 25,
      "seed": 0,
      "capacity": 2048,
      "query_offset": 100,
      "query_count": 20,
      "scale": 65536,
      "rebalance": "author algorithm with identical row-chunk distances"
    },
    "n_probe": 32,
    "k": 10,
    "gates": 7671536,
    "gate_source": "structural estimate",
    "domain_bits": 23,
    "guard_domain_bits": 24,
    "proof_phase_memory_estimate_GiB": 258.8128967285156,
    "planned_machine_memory_GiB": 832.818048095703,
    "fits_512GiB_scenario": false,
    "query_ms": 5029897.185338065,
    "verify_ms": 38.9019693530587,
    "vo_kb": 750.694,
    "declared_sensitivity": {
      "query_ms": [
        2514948.5926690325,
        10059794.37067613
      ],
      "verify_ms": [
        19.45098467652935,
        77.8039387061174
      ],
      "vo_kb": [
        638.0899,
        863.2980999999999
      ]
    },
    "label": "512GiB条件预测，未在512GiB机器实测",
    "recall_scope": "existing search calibration only",
    "model": "nytimes256-289761-M128",
    "recall": 0.8250000000000002,
    "recall_source": "/mnt/d/paper_source/work_9/VeriANN_repro_2026-09-30/VeriANN_repro_2026-09-30/V3DB-26VLDB/work9-cache/nytimes256-289761-M128/calibration.json",
    "recall_queries": 20
  }
}</t>
      </text>
    </comment>
    <comment ref="T42" authorId="9" shapeId="0">
      <text>
        <t>按用户要求留空；具体原因如下。
{
  "kind": "curve",
  "dataset": "nytimes256",
  "sheet": "NYTimes-256",
  "column": 20,
  "target": 0.85,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32,
    "k": 10,
    "gates": 14739445,
    "gate_source": "structural estimate",
    "domain_bits": 24,
    "guard_domain_bits": 24,
    "proof_phase_memory_estimate_GiB": 517.6257934570312,
    "planned_machine_memory_GiB": 832.818048095703,
    "fits_512GiB_scenario": false,
    "query_ms": 10497176.73461857,
    "verify_ms": 40.05121436853717,
    "vo_kb": 758.905,
    "declared_sensitivity": {
      "query_ms": [
        5248588.367309285,
        20994353.46923714
      ],
      "verify_ms": [
        20.025607184268583,
        80.10242873707433
      ],
      "vo_kb": [
        645.06925,
        872.7407499999999
      ]
    },
    "label": "512GiB条件预测，未在512GiB机器实测",
    "recall_scope": "existing search calibration only",
    "model": "nytimes256-289761-M256",
    "recall": 0.8500000000000002,
    "recall_source": "/mnt/d/paper_source/work_9/VeriANN_repro_2026-09-30/VeriANN_repro_2026-09-30/V3DB-26VLDB/work9-cache/nytimes256-289761-M256/calibration.json",
    "recall_queries": 20
  }
}</t>
      </text>
    </comment>
    <comment ref="U42" authorId="9" shapeId="0">
      <text>
        <t>按用户要求留空；具体原因如下。
{
  "kind": "curve",
  "dataset": "nytimes256",
  "sheet": "NYTimes-256",
  "column": 21,
  "target": 0.9,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128,
    "k": 10,
    "gates": 58819823,
    "gate_source": "structural estimate",
    "domain_bits": 26,
    "guard_domain_bits": 26,
    "proof_phase_memory_estimate_GiB": 2070.503173828125,
    "planned_machine_memory_GiB": 3235.272192382812,
    "fits_512GiB_scenario": false,
    "query_ms": 45487765.85001381,
    "verify_ms": 78.2097324619941,
    "vo_kb": 2348.191,
    "declared_sensitivity": {
      "query_ms": [
        22743882.925006904,
        90975531.70002761
      ],
      "verify_ms": [
        39.10486623099705,
        156.4194649239882
      ],
      "vo_kb": [
        1995.9623499999998,
        2700.4196499999994
      ]
    },
    "label": "512GiB条件预测，未在512GiB机器实测",
    "recall_scope": "existing search calibration only",
    "model": "nytimes256-289761-M256",
    "recall": 0.915,
    "recall_source": "/mnt/d/paper_source/work_9/VeriANN_repro_2026-09-30/VeriANN_repro_2026-09-30/V3DB-26VLDB/work9-cache/nytimes256-289761-M256/calibration.json",
    "recall_queries": 20
  }
}</t>
      </text>
    </comment>
    <comment ref="V42" authorId="9" shapeId="0">
      <text>
        <t>按用户要求留空；具体原因如下。
{
  "kind": "curve",
  "dataset": "nytimes256",
  "sheet": "NYTimes-256",
  "column": 22,
  "target": 0.95,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
      "query_ms": [
        47237295.30578357,
        188949181.22313428
      ],
      "verify_ms": [
        63.58617411373628,
        254.3446964549451
      ],
      "vo_kb": [
        3785.5209,
        5121.5871
      ]
    },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
  }
}</t>
      </text>
    </comment>
    <comment ref="W42" authorId="9" shapeId="0">
      <text>
        <t>按用户要求留空；具体原因如下。
{
  "kind": "curve",
  "dataset": "nytimes256",
  "sheet": "NYTimes-256",
  "column": 23,
  "target": 0.97,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
      "query_ms": [
        47237295.30578357,
        188949181.22313428
      ],
      "verify_ms": [
        63.58617411373628,
        254.3446964549451
      ],
      "vo_kb": [
        3785.5209,
        5121.5871
      ]
    },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
  }
}</t>
      </text>
    </comment>
    <comment ref="X42" authorId="9" shapeId="0">
      <text>
        <t>按用户要求留空；具体原因如下。
{
  "kind": "curve",
  "dataset": "nytimes256",
  "sheet": "NYTimes-256",
  "column": 24,
  "target": 0.98,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
      "query_ms": [
        97973649.52310666,
        391894598.09242666
      ],
      "verify_ms": [
        111.97416737147552,
        447.89666948590207
      ],
      "vo_kb": [
        7357.658649999999,
        9954.479349999998
      ]
    },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
  }
}</t>
      </text>
    </comment>
    <comment ref="Y42" authorId="9" shapeId="0">
      <text>
        <t>按用户要求留空；具体原因如下。
{
  "kind": "curve",
  "dataset": "nytimes256",
  "sheet": "NYTimes-256",
  "column": 25,
  "target": 0.99,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
      "query_ms": [
        97973649.52310666,
        391894598.09242666
      ],
      "verify_ms": [
        111.97416737147552,
        447.89666948590207
      ],
      "vo_kb": [
        7357.658649999999,
        9954.479349999998
      ]
    },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
  }
}</t>
      </text>
    </comment>
    <comment ref="F43" authorId="5" shapeId="0">
      <text>
        <t>不适用：精确算法无可调低召回档位。仅Z列为100%实测参考点，不能作为等召回95%比较。
高维明文 MR-tree 改编；精确 kNN，不含隐私保护；空间批量装载并非作者 R*-tree 源码。</t>
      </text>
    </comment>
    <comment ref="G43" authorId="5" shapeId="0">
      <text>
        <t>不适用：精确算法无可调低召回档位。仅Z列为100%实测参考点，不能作为等召回95%比较。
高维明文 MR-tree 改编；精确 kNN，不含隐私保护；空间批量装载并非作者 R*-tree 源码。</t>
      </text>
    </comment>
    <comment ref="H43" authorId="5" shapeId="0">
      <text>
        <t>不适用：精确算法无可调低召回档位。仅Z列为100%实测参考点，不能作为等召回95%比较。
高维明文 MR-tree 改编；精确 kNN，不含隐私保护；空间批量装载并非作者 R*-tree 源码。</t>
      </text>
    </comment>
    <comment ref="I43" authorId="5" shapeId="0">
      <text>
        <t>不适用：精确算法无可调低召回档位。仅Z列为100%实测参考点，不能作为等召回95%比较。
高维明文 MR-tree 改编；精确 kNN，不含隐私保护；空间批量装载并非作者 R*-tree 源码。</t>
      </text>
    </comment>
    <comment ref="J43" authorId="5" shapeId="0">
      <text>
        <t>不适用：精确算法无可调低召回档位。仅Z列为100%实测参考点，不能作为等召回95%比较。
高维明文 MR-tree 改编；精确 kNN，不含隐私保护；空间批量装载并非作者 R*-tree 源码。</t>
      </text>
    </comment>
    <comment ref="K43" authorId="5" shapeId="0">
      <text>
        <t>不适用：精确算法无可调低召回档位。仅Z列为100%实测参考点，不能作为等召回95%比较。
高维明文 MR-tree 改编；精确 kNN，不含隐私保护；空间批量装载并非作者 R*-tree 源码。</t>
      </text>
    </comment>
    <comment ref="L43" authorId="5" shapeId="0">
      <text>
        <t>不适用：精确算法无可调低召回档位。仅Z列为100%实测参考点，不能作为等召回95%比较。
高维明文 MR-tree 改编；精确 kNN，不含隐私保护；空间批量装载并非作者 R*-tree 源码。</t>
      </text>
    </comment>
    <comment ref="M43" authorId="5" shapeId="0">
      <text>
        <t>不适用：精确算法无可调低召回档位。仅Z列为100%实测参考点，不能作为等召回95%比较。
高维明文 MR-tree 改编；精确 kNN，不含隐私保护；空间批量装载并非作者 R*-tree 源码。</t>
      </text>
    </comment>
    <comment ref="N43" authorId="5" shapeId="0">
      <text>
        <t>不适用：精确算法无可调低召回档位。仅Z列为100%实测参考点，不能作为等召回95%比较。
高维明文 MR-tree 改编；精确 kNN，不含隐私保护；空间批量装载并非作者 R*-tree 源码。</t>
      </text>
    </comment>
    <comment ref="O43" authorId="5" shapeId="0">
      <text>
        <t>不适用：精确算法无可调低召回档位。仅Z列为100%实测参考点，不能作为等召回95%比较。
高维明文 MR-tree 改编；精确 kNN，不含隐私保护；空间批量装载并非作者 R*-tree 源码。</t>
      </text>
    </comment>
    <comment ref="P43" authorId="5" shapeId="0">
      <text>
        <t>不适用：精确算法无可调低召回档位。仅Z列为100%实测参考点，不能作为等召回95%比较。
高维明文 MR-tree 改编；精确 kNN，不含隐私保护；空间批量装载并非作者 R*-tree 源码。</t>
      </text>
    </comment>
    <comment ref="Q43" authorId="5" shapeId="0">
      <text>
        <t>不适用：精确算法无可调低召回档位。仅Z列为100%实测参考点，不能作为等召回95%比较。
高维明文 MR-tree 改编；精确 kNN，不含隐私保护；空间批量装载并非作者 R*-tree 源码。</t>
      </text>
    </comment>
    <comment ref="R43" authorId="5" shapeId="0">
      <text>
        <t>不适用：精确算法无可调低召回档位。仅Z列为100%实测参考点，不能作为等召回95%比较。
高维明文 MR-tree 改编；精确 kNN，不含隐私保护；空间批量装载并非作者 R*-tree 源码。</t>
      </text>
    </comment>
    <comment ref="S43" authorId="5" shapeId="0">
      <text>
        <t>不适用：精确算法无可调低召回档位。仅Z列为100%实测参考点，不能作为等召回95%比较。
高维明文 MR-tree 改编；精确 kNN，不含隐私保护；空间批量装载并非作者 R*-tree 源码。</t>
      </text>
    </comment>
    <comment ref="T43" authorId="5" shapeId="0">
      <text>
        <t>不适用：精确算法无可调低召回档位。仅Z列为100%实测参考点，不能作为等召回95%比较。
高维明文 MR-tree 改编；精确 kNN，不含隐私保护；空间批量装载并非作者 R*-tree 源码。</t>
      </text>
    </comment>
    <comment ref="U43" authorId="5" shapeId="0">
      <text>
        <t>不适用：精确算法无可调低召回档位。仅Z列为100%实测参考点，不能作为等召回95%比较。
高维明文 MR-tree 改编；精确 kNN，不含隐私保护；空间批量装载并非作者 R*-tree 源码。</t>
      </text>
    </comment>
    <comment ref="V43" authorId="5" shapeId="0">
      <text>
        <t>不适用：精确算法无可调低召回档位。仅Z列为100%实测参考点，不能作为等召回95%比较。
高维明文 MR-tree 改编；精确 kNN，不含隐私保护；空间批量装载并非作者 R*-tree 源码。</t>
      </text>
    </comment>
    <comment ref="W43" authorId="5" shapeId="0">
      <text>
        <t>不适用：精确算法无可调低召回档位。仅Z列为100%实测参考点，不能作为等召回95%比较。
高维明文 MR-tree 改编；精确 kNN，不含隐私保护；空间批量装载并非作者 R*-tree 源码。</t>
      </text>
    </comment>
    <comment ref="X43" authorId="5" shapeId="0">
      <text>
        <t>不适用：精确算法无可调低召回档位。仅Z列为100%实测参考点，不能作为等召回95%比较。
高维明文 MR-tree 改编；精确 kNN，不含隐私保护；空间批量装载并非作者 R*-tree 源码。</t>
      </text>
    </comment>
    <comment ref="Y43" authorId="5" shapeId="0">
      <text>
        <t>不适用：精确算法无可调低召回档位。仅Z列为100%实测参考点，不能作为等召回95%比较。
高维明文 MR-tree 改编；精确 kNN，不含隐私保护；空间批量装载并非作者 R*-tree 源码。</t>
      </text>
    </comment>
    <comment ref="Z43" authorId="5" shapeId="0">
      <text>
        <t>精确方法唯一召回点。
高维明文 MR-tree 改编；精确 kNN，不含隐私保护；空间批量装载并非作者 R*-tree 源码。
来源：/mnt/d/paper_source/work_9/VeriANN_repro_2026-09-30/VeriANN_repro_2026-09-30/results/work9-chen13-20261021/nytimes256-289761-overall/measurement.json
{"N": 289761, "dataset": "nytimes256", "kind": "overall", "samples": 60, "point": {"k": 10, "samples": 60, "recall": 1.0, "query_ms": 204.62131133333332, "query_ms_stdev": 48.41968675834786, "search_ms": 101.91535028333334, "search_ms_stdev": 23.922307234216852, "encode_ms": 102.70596105, "encode_ms_stdev": 25.499267124997047, "verify_ms": 243.19114303333333, "verify_ms_stdev": 56.394966942964565, "vo_bytes": 282958924.9, "examined": 275184.05, "expanded": 11930.55, "vo_kb": 282958.9249}, "native": {"N": 289761, "D": 256, "fanout": 16, "leaf_capacity": 64, "nodes": 12561, "build_seconds": 0.4626211, "snapshot_write_seconds": 11.646002549, "index_bytes": 324604236, "oracle_seconds": 0.6872958889999999, "peak_rss_KiB": 1212372, "max_vo_bytes": 297868461, "tamper_tests": 9, "root": "e5548115bd0c8a2f57462016c4cec2bbd480eb14a79eaa4ff2a858e5cc1d8190", "threads": 1}}</t>
      </text>
    </comment>
    <comment ref="F44" authorId="5" shapeId="0">
      <text>
        <t>不适用：精确算法无可调低召回档位。仅Z列为100%实测参考点，不能作为等召回95%比较。
高维明文 MR-tree 改编；精确 kNN，不含隐私保护；空间批量装载并非作者 R*-tree 源码。</t>
      </text>
    </comment>
    <comment ref="G44" authorId="5" shapeId="0">
      <text>
        <t>不适用：精确算法无可调低召回档位。仅Z列为100%实测参考点，不能作为等召回95%比较。
高维明文 MR-tree 改编；精确 kNN，不含隐私保护；空间批量装载并非作者 R*-tree 源码。</t>
      </text>
    </comment>
    <comment ref="H44" authorId="5" shapeId="0">
      <text>
        <t>不适用：精确算法无可调低召回档位。仅Z列为100%实测参考点，不能作为等召回95%比较。
高维明文 MR-tree 改编；精确 kNN，不含隐私保护；空间批量装载并非作者 R*-tree 源码。</t>
      </text>
    </comment>
    <comment ref="I44" authorId="5" shapeId="0">
      <text>
        <t>不适用：精确算法无可调低召回档位。仅Z列为100%实测参考点，不能作为等召回95%比较。
高维明文 MR-tree 改编；精确 kNN，不含隐私保护；空间批量装载并非作者 R*-tree 源码。</t>
      </text>
    </comment>
    <comment ref="J44" authorId="5" shapeId="0">
      <text>
        <t>不适用：精确算法无可调低召回档位。仅Z列为100%实测参考点，不能作为等召回95%比较。
高维明文 MR-tree 改编；精确 kNN，不含隐私保护；空间批量装载并非作者 R*-tree 源码。</t>
      </text>
    </comment>
    <comment ref="K44" authorId="5" shapeId="0">
      <text>
        <t>不适用：精确算法无可调低召回档位。仅Z列为100%实测参考点，不能作为等召回95%比较。
高维明文 MR-tree 改编；精确 kNN，不含隐私保护；空间批量装载并非作者 R*-tree 源码。</t>
      </text>
    </comment>
    <comment ref="L44" authorId="5" shapeId="0">
      <text>
        <t>不适用：精确算法无可调低召回档位。仅Z列为100%实测参考点，不能作为等召回95%比较。
高维明文 MR-tree 改编；精确 kNN，不含隐私保护；空间批量装载并非作者 R*-tree 源码。</t>
      </text>
    </comment>
    <comment ref="M44" authorId="5" shapeId="0">
      <text>
        <t>不适用：精确算法无可调低召回档位。仅Z列为100%实测参考点，不能作为等召回95%比较。
高维明文 MR-tree 改编；精确 kNN，不含隐私保护；空间批量装载并非作者 R*-tree 源码。</t>
      </text>
    </comment>
    <comment ref="N44" authorId="5" shapeId="0">
      <text>
        <t>不适用：精确算法无可调低召回档位。仅Z列为100%实测参考点，不能作为等召回95%比较。
高维明文 MR-tree 改编；精确 kNN，不含隐私保护；空间批量装载并非作者 R*-tree 源码。</t>
      </text>
    </comment>
    <comment ref="O44" authorId="5" shapeId="0">
      <text>
        <t>不适用：精确算法无可调低召回档位。仅Z列为100%实测参考点，不能作为等召回95%比较。
高维明文 MR-tree 改编；精确 kNN，不含隐私保护；空间批量装载并非作者 R*-tree 源码。</t>
      </text>
    </comment>
    <comment ref="P44" authorId="5" shapeId="0">
      <text>
        <t>不适用：精确算法无可调低召回档位。仅Z列为100%实测参考点，不能作为等召回95%比较。
高维明文 MR-tree 改编；精确 kNN，不含隐私保护；空间批量装载并非作者 R*-tree 源码。</t>
      </text>
    </comment>
    <comment ref="Q44" authorId="5" shapeId="0">
      <text>
        <t>不适用：精确算法无可调低召回档位。仅Z列为100%实测参考点，不能作为等召回95%比较。
高维明文 MR-tree 改编；精确 kNN，不含隐私保护；空间批量装载并非作者 R*-tree 源码。</t>
      </text>
    </comment>
    <comment ref="R44" authorId="5" shapeId="0">
      <text>
        <t>不适用：精确算法无可调低召回档位。仅Z列为100%实测参考点，不能作为等召回95%比较。
高维明文 MR-tree 改编；精确 kNN，不含隐私保护；空间批量装载并非作者 R*-tree 源码。</t>
      </text>
    </comment>
    <comment ref="S44" authorId="5" shapeId="0">
      <text>
        <t>不适用：精确算法无可调低召回档位。仅Z列为100%实测参考点，不能作为等召回95%比较。
高维明文 MR-tree 改编；精确 kNN，不含隐私保护；空间批量装载并非作者 R*-tree 源码。</t>
      </text>
    </comment>
    <comment ref="T44" authorId="5" shapeId="0">
      <text>
        <t>不适用：精确算法无可调低召回档位。仅Z列为100%实测参考点，不能作为等召回95%比较。
高维明文 MR-tree 改编；精确 kNN，不含隐私保护；空间批量装载并非作者 R*-tree 源码。</t>
      </text>
    </comment>
    <comment ref="U44" authorId="5" shapeId="0">
      <text>
        <t>不适用：精确算法无可调低召回档位。仅Z列为100%实测参考点，不能作为等召回95%比较。
高维明文 MR-tree 改编；精确 kNN，不含隐私保护；空间批量装载并非作者 R*-tree 源码。</t>
      </text>
    </comment>
    <comment ref="V44" authorId="5" shapeId="0">
      <text>
        <t>不适用：精确算法无可调低召回档位。仅Z列为100%实测参考点，不能作为等召回95%比较。
高维明文 MR-tree 改编；精确 kNN，不含隐私保护；空间批量装载并非作者 R*-tree 源码。</t>
      </text>
    </comment>
    <comment ref="W44" authorId="5" shapeId="0">
      <text>
        <t>不适用：精确算法无可调低召回档位。仅Z列为100%实测参考点，不能作为等召回95%比较。
高维明文 MR-tree 改编；精确 kNN，不含隐私保护；空间批量装载并非作者 R*-tree 源码。</t>
      </text>
    </comment>
    <comment ref="X44" authorId="5" shapeId="0">
      <text>
        <t>不适用：精确算法无可调低召回档位。仅Z列为100%实测参考点，不能作为等召回95%比较。
高维明文 MR-tree 改编；精确 kNN，不含隐私保护；空间批量装载并非作者 R*-tree 源码。</t>
      </text>
    </comment>
    <comment ref="Y44" authorId="5" shapeId="0">
      <text>
        <t>不适用：精确算法无可调低召回档位。仅Z列为100%实测参考点，不能作为等召回95%比较。
高维明文 MR-tree 改编；精确 kNN，不含隐私保护；空间批量装载并非作者 R*-tree 源码。</t>
      </text>
    </comment>
    <comment ref="Z44" authorId="5" shapeId="0">
      <text>
        <t>沿用默认 k=10 的同一组60次真实测量；非重复实验。
高维明文 MR-tree 改编；精确 kNN，不含隐私保护；空间批量装载并非作者 R*-tree 源码。
来源：/mnt/d/paper_source/work_9/VeriANN_repro_2026-09-30/VeriANN_repro_2026-09-30/results/work9-chen13-20261021/nytimes256-289761-overall/measurement.json
{"N": 289761, "dataset": "nytimes256", "kind": "overall", "samples": 60, "point": {"k": 10, "samples": 60, "recall": 1.0, "query_ms": 204.62131133333332, "query_ms_stdev": 48.41968675834786, "search_ms": 101.91535028333334, "search_ms_stdev": 23.922307234216852, "encode_ms": 102.70596105, "encode_ms_stdev": 25.499267124997047, "verify_ms": 243.19114303333333, "verify_ms_stdev": 56.394966942964565, "vo_bytes": 282958924.9, "examined": 275184.05, "expanded": 11930.55, "vo_kb": 282958.9249}, "native": {"N": 289761, "D": 256, "fanout": 16, "leaf_capacity": 64, "nodes": 12561, "build_seconds": 0.4626211, "snapshot_write_seconds": 11.646002549, "index_bytes": 324604236, "oracle_seconds": 0.6872958889999999, "peak_rss_KiB": 1212372, "max_vo_bytes": 297868461, "tamper_tests": 9, "root": "e5548115bd0c8a2f57462016c4cec2bbd480eb14a79eaa4ff2a858e5cc1d8190", "threads": 1}}</t>
      </text>
    </comment>
    <comment ref="Z45" authorId="6" shapeId="0">
      <text>
        <t>新增精确方法100%参考点；其他已有方法及原15–99%列保持原值。</t>
      </text>
    </comment>
    <comment ref="F49" authorId="7" shapeId="0">
      <text>
        <t>仅扩展曲线，不改变该方法约95%的默认配置。
{"k": 10, "ef": 100, "probes": 1, "recall": 0.215, "query_ms": 5.157744733333333, "verify_ms": 11.824527083333333, "vo_kb": 3153.16145, "samples": 60, "status": "passed", "output": "/mnt/d/paper_source/work_9/VeriANN_repro_2026-09-30/VeriANN_repro_2026-09-30/results/work9-resource-matched-20261020/nytimes256/VLAH/nytimes256-289761-curve-e100", "csv_sha256": "a4b79f0f42a03bec8f567a9a5a1f0f1534baba1914005a1a85663db41701fa80", "target": 0.2, "selection": {"ef": 100, "probes": 1, "recall": 0.215, "valid": true, "pilot": "/mnt/d/paper_source/work_9/VeriANN_repro_2026-09-30/VeriANN_repro_2026-09-30/results/work9-resource-matched-20261020/search-pilots/nytimes256/VLAH-pilot-289761-resource-phase0-3e9fd53b60"}}</t>
      </text>
    </comment>
    <comment ref="G49" authorId="7" shapeId="0">
      <text>
        <t>仅扩展曲线，不改变该方法约95%的默认配置。
{"k": 10, "ef": 100, "probes": 1, "recall": 0.215, "query_ms": 5.157744733333333, "verify_ms": 11.824527083333333, "vo_kb": 3153.16145, "samples": 60, "status": "passed", "output": "/mnt/d/paper_source/work_9/VeriANN_repro_2026-09-30/VeriANN_repro_2026-09-30/results/work9-resource-matched-20261020/nytimes256/VLAH/nytimes256-289761-curve-e100", "csv_sha256": "a4b79f0f42a03bec8f567a9a5a1f0f1534baba1914005a1a85663db41701fa80", "target": 0.2, "selection": {"ef": 100, "probes": 1, "recall": 0.215, "valid": true, "pilot": "/mnt/d/paper_source/work_9/VeriANN_repro_2026-09-30/VeriANN_repro_2026-09-30/results/work9-resource-matched-20261020/search-pilots/nytimes256/VLAH-pilot-289761-resource-phase0-3e9fd53b60"}}</t>
      </text>
    </comment>
    <comment ref="H49" authorId="7" shapeId="0">
      <text>
        <t>仅扩展曲线，不改变该方法约95%的默认配置。
{"k": 10, "ef": 100, "probes": 2, "recall": 0.32, "query_ms": 10.786275099999997, "verify_ms": 24.84340715, "vo_kb": 6504.0347, "samples": 60, "status": "passed", "output": "/mnt/d/paper_source/work_9/VeriANN_repro_2026-09-30/VeriANN_repro_2026-09-30/results/work9-resource-matched-20261020/nytimes256/VLAH/nytimes256-289761-curve-e100", "csv_sha256": "a4b79f0f42a03bec8f567a9a5a1f0f1534baba1914005a1a85663db41701fa80", "target": 0.3, "selection": {"ef": 100, "probes": 2, "recall": 0.32, "valid": true, "pilot": "/mnt/d/paper_source/work_9/VeriANN_repro_2026-09-30/VeriANN_repro_2026-09-30/results/work9-resource-matched-20261020/search-pilots/nytimes256/VLAH-pilot-289761-resource-phase0-3e9fd53b60"}}</t>
      </text>
    </comment>
    <comment ref="I49" authorId="7" shapeId="0">
      <text>
        <t>仅扩展曲线，不改变该方法约95%的默认配置。
{"k": 10, "ef": 100, "probes": 2, "recall": 0.32, "query_ms": 10.786275099999997, "verify_ms": 24.84340715, "vo_kb": 6504.0347, "samples": 60, "status": "passed", "output": "/mnt/d/paper_source/work_9/VeriANN_repro_2026-09-30/VeriANN_repro_2026-09-30/results/work9-resource-matched-20261020/nytimes256/VLAH/nytimes256-289761-curve-e100", "csv_sha256": "a4b79f0f42a03bec8f567a9a5a1f0f1534baba1914005a1a85663db41701fa80", "target": 0.3, "selection": {"ef": 100, "probes": 2, "recall": 0.32, "valid": true, "pilot": "/mnt/d/paper_source/work_9/VeriANN_repro_2026-09-30/VeriANN_repro_2026-09-30/results/work9-resource-matched-20261020/search-pilots/nytimes256/VLAH-pilot-289761-resource-phase0-3e9fd53b60"}}</t>
      </text>
    </comment>
    <comment ref="J49" authorId="7"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K49" authorId="7"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L49" authorId="7"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M49" authorId="7" shapeId="0">
      <text>
        <t>仅扩展曲线，不改变该方法约95%的默认配置。
{"k": 10, "ef": 100, "probes": 5, "recall": 0.56, "query_ms": 28.646056066666667, "verify_ms": 63.04827016666666, "vo_kb": 16293.85185, "samples": 60, "status": "passed", "output": "/mnt/d/paper_source/work_9/VeriANN_repro_2026-09-30/VeriANN_repro_2026-09-30/results/work9-resource-matched-20261020/nytimes256/VLAH/nytimes256-289761-curve-e100", "csv_sha256": "a4b79f0f42a03bec8f567a9a5a1f0f1534baba1914005a1a85663db41701fa80", "target": 0.5, "selection": {"ef": 100, "probes": 5, "recall": 0.5599999999999999, "valid": true, "pilot": "/mnt/d/paper_source/work_9/VeriANN_repro_2026-09-30/VeriANN_repro_2026-09-30/results/work9-resource-matched-20261020/search-pilots/nytimes256/VLAH-pilot-289761-resource-phase0-3e9fd53b60"}}</t>
      </text>
    </comment>
    <comment ref="N49" authorId="7" shapeId="0">
      <text>
        <t>仅扩展曲线，不改变该方法约95%的默认配置。
{"k": 10, "ef": 100, "probes": 5, "recall": 0.56, "query_ms": 28.646056066666667, "verify_ms": 63.04827016666666, "vo_kb": 16293.85185, "samples": 60, "status": "passed", "output": "/mnt/d/paper_source/work_9/VeriANN_repro_2026-09-30/VeriANN_repro_2026-09-30/results/work9-resource-matched-20261020/nytimes256/VLAH/nytimes256-289761-curve-e100", "csv_sha256": "a4b79f0f42a03bec8f567a9a5a1f0f1534baba1914005a1a85663db41701fa80", "target": 0.5, "selection": {"ef": 100, "probes": 5, "recall": 0.5599999999999999, "valid": true, "pilot": "/mnt/d/paper_source/work_9/VeriANN_repro_2026-09-30/VeriANN_repro_2026-09-30/results/work9-resource-matched-20261020/search-pilots/nytimes256/VLAH-pilot-289761-resource-phase0-3e9fd53b60"}}</t>
      </text>
    </comment>
    <comment ref="O49" authorId="0" shapeId="0">
      <text>
        <t>NYTimes-256 N=289761, d=256; VLAH; normalized angular; queries100..119 x3; single thread. Actual recall=0.67; source=/mnt/d/paper_source/work_9/VeriANN_repro_2026-09-30/VeriANN_repro_2026-09-30/results/work9-nytimes-20261017/nytimes256/VLAH-curve-289761/per_query.csv</t>
      </text>
    </comment>
    <comment ref="P49" authorId="0" shapeId="0">
      <text>
        <t>NYTimes-256 N=289761, d=256; VLAH; normalized angular; queries100..119 x3; single thread. Actual recall=0.67; source=/mnt/d/paper_source/work_9/VeriANN_repro_2026-09-30/VeriANN_repro_2026-09-30/results/work9-nytimes-20261017/nytimes256/VLAH-curve-289761/per_query.csv</t>
      </text>
    </comment>
    <comment ref="Q49" authorId="0" shapeId="0">
      <text>
        <t>NYTimes-256 N=289761, d=256; VLAH; normalized angular; queries100..119 x3; single thread. Actual recall=0.715; source=/mnt/d/paper_source/work_9/VeriANN_repro_2026-09-30/VeriANN_repro_2026-09-30/results/work9-nytimes-20261017/nytimes256/VLAH-curve-289761/per_query.csv</t>
      </text>
    </comment>
    <comment ref="R49" authorId="0" shapeId="0">
      <text>
        <t>NYTimes-256 N=289761, d=256; VLAH; normalized angular; queries100..119 x3; single thread. Actual recall=0.7799999999999999; source=/mnt/d/paper_source/work_9/VeriANN_repro_2026-09-30/VeriANN_repro_2026-09-30/results/work9-nytimes-20261017/nytimes256/VLAH-curve-289761/per_query.csv</t>
      </text>
    </comment>
    <comment ref="S49" authorId="0" shapeId="0">
      <text>
        <t>NYTimes-256 N=289761, d=256; VLAH; normalized angular; queries100..119 x3; single thread. Actual recall=0.8200000000000001; source=/mnt/d/paper_source/work_9/VeriANN_repro_2026-09-30/VeriANN_repro_2026-09-30/results/work9-nytimes-20261017/nytimes256/VLAH-curve-289761/per_query.csv</t>
      </text>
    </comment>
    <comment ref="T49" authorId="0" shapeId="0">
      <text>
        <t>NYTimes-256 N=289761, d=256; VLAH; normalized angular; queries100..119 x3; single thread. Actual recall=0.875; source=/mnt/d/paper_source/work_9/VeriANN_repro_2026-09-30/VeriANN_repro_2026-09-30/results/work9-nytimes-20261017/nytimes256/VLAH-curve-289761/per_query.csv</t>
      </text>
    </comment>
    <comment ref="U49" authorId="0" shapeId="0">
      <text>
        <t>NYTimes-256 N=289761, d=256; VLAH; normalized angular; queries100..119 x3; single thread. Actual recall=0.925; source=/mnt/d/paper_source/work_9/VeriANN_repro_2026-09-30/VeriANN_repro_2026-09-30/results/work9-nytimes-20261017/nytimes256/VLAH-curve-289761/per_query.csv</t>
      </text>
    </comment>
    <comment ref="V49" authorId="0" shapeId="0">
      <text>
        <t>NYTimes-256 N=289761, d=256; VLAH; normalized angular; queries100..119 x3; single thread. Actual recall=0.9600000000000001; source=/mnt/d/paper_source/work_9/VeriANN_repro_2026-09-30/VeriANN_repro_2026-09-30/results/work9-nytimes-20261017/nytimes256/VLAH-curve-289761/per_query.csv</t>
      </text>
    </comment>
    <comment ref="W49"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X49"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Y49"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F50" authorId="7" shapeId="0">
      <text>
        <t>仅扩展曲线，不改变该方法约95%的默认配置。
{"k": 10, "ef": 100, "probes": 1, "recall": 0.215, "query_ms": 5.157744733333333, "verify_ms": 11.824527083333333, "vo_kb": 3153.16145, "samples": 60, "status": "passed", "output": "/mnt/d/paper_source/work_9/VeriANN_repro_2026-09-30/VeriANN_repro_2026-09-30/results/work9-resource-matched-20261020/nytimes256/VLAH/nytimes256-289761-curve-e100", "csv_sha256": "a4b79f0f42a03bec8f567a9a5a1f0f1534baba1914005a1a85663db41701fa80", "target": 0.2, "selection": {"ef": 100, "probes": 1, "recall": 0.215, "valid": true, "pilot": "/mnt/d/paper_source/work_9/VeriANN_repro_2026-09-30/VeriANN_repro_2026-09-30/results/work9-resource-matched-20261020/search-pilots/nytimes256/VLAH-pilot-289761-resource-phase0-3e9fd53b60"}}</t>
      </text>
    </comment>
    <comment ref="G50" authorId="7" shapeId="0">
      <text>
        <t>仅扩展曲线，不改变该方法约95%的默认配置。
{"k": 10, "ef": 100, "probes": 1, "recall": 0.215, "query_ms": 5.157744733333333, "verify_ms": 11.824527083333333, "vo_kb": 3153.16145, "samples": 60, "status": "passed", "output": "/mnt/d/paper_source/work_9/VeriANN_repro_2026-09-30/VeriANN_repro_2026-09-30/results/work9-resource-matched-20261020/nytimes256/VLAH/nytimes256-289761-curve-e100", "csv_sha256": "a4b79f0f42a03bec8f567a9a5a1f0f1534baba1914005a1a85663db41701fa80", "target": 0.2, "selection": {"ef": 100, "probes": 1, "recall": 0.215, "valid": true, "pilot": "/mnt/d/paper_source/work_9/VeriANN_repro_2026-09-30/VeriANN_repro_2026-09-30/results/work9-resource-matched-20261020/search-pilots/nytimes256/VLAH-pilot-289761-resource-phase0-3e9fd53b60"}}</t>
      </text>
    </comment>
    <comment ref="H50" authorId="7" shapeId="0">
      <text>
        <t>仅扩展曲线，不改变该方法约95%的默认配置。
{"k": 10, "ef": 100, "probes": 2, "recall": 0.32, "query_ms": 10.786275099999997, "verify_ms": 24.84340715, "vo_kb": 6504.0347, "samples": 60, "status": "passed", "output": "/mnt/d/paper_source/work_9/VeriANN_repro_2026-09-30/VeriANN_repro_2026-09-30/results/work9-resource-matched-20261020/nytimes256/VLAH/nytimes256-289761-curve-e100", "csv_sha256": "a4b79f0f42a03bec8f567a9a5a1f0f1534baba1914005a1a85663db41701fa80", "target": 0.3, "selection": {"ef": 100, "probes": 2, "recall": 0.32, "valid": true, "pilot": "/mnt/d/paper_source/work_9/VeriANN_repro_2026-09-30/VeriANN_repro_2026-09-30/results/work9-resource-matched-20261020/search-pilots/nytimes256/VLAH-pilot-289761-resource-phase0-3e9fd53b60"}}</t>
      </text>
    </comment>
    <comment ref="I50" authorId="7" shapeId="0">
      <text>
        <t>仅扩展曲线，不改变该方法约95%的默认配置。
{"k": 10, "ef": 100, "probes": 2, "recall": 0.32, "query_ms": 10.786275099999997, "verify_ms": 24.84340715, "vo_kb": 6504.0347, "samples": 60, "status": "passed", "output": "/mnt/d/paper_source/work_9/VeriANN_repro_2026-09-30/VeriANN_repro_2026-09-30/results/work9-resource-matched-20261020/nytimes256/VLAH/nytimes256-289761-curve-e100", "csv_sha256": "a4b79f0f42a03bec8f567a9a5a1f0f1534baba1914005a1a85663db41701fa80", "target": 0.3, "selection": {"ef": 100, "probes": 2, "recall": 0.32, "valid": true, "pilot": "/mnt/d/paper_source/work_9/VeriANN_repro_2026-09-30/VeriANN_repro_2026-09-30/results/work9-resource-matched-20261020/search-pilots/nytimes256/VLAH-pilot-289761-resource-phase0-3e9fd53b60"}}</t>
      </text>
    </comment>
    <comment ref="J50" authorId="7"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K50" authorId="7"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L50" authorId="7"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M50" authorId="7" shapeId="0">
      <text>
        <t>仅扩展曲线，不改变该方法约95%的默认配置。
{"k": 10, "ef": 100, "probes": 5, "recall": 0.56, "query_ms": 28.646056066666667, "verify_ms": 63.04827016666666, "vo_kb": 16293.85185, "samples": 60, "status": "passed", "output": "/mnt/d/paper_source/work_9/VeriANN_repro_2026-09-30/VeriANN_repro_2026-09-30/results/work9-resource-matched-20261020/nytimes256/VLAH/nytimes256-289761-curve-e100", "csv_sha256": "a4b79f0f42a03bec8f567a9a5a1f0f1534baba1914005a1a85663db41701fa80", "target": 0.5, "selection": {"ef": 100, "probes": 5, "recall": 0.5599999999999999, "valid": true, "pilot": "/mnt/d/paper_source/work_9/VeriANN_repro_2026-09-30/VeriANN_repro_2026-09-30/results/work9-resource-matched-20261020/search-pilots/nytimes256/VLAH-pilot-289761-resource-phase0-3e9fd53b60"}}</t>
      </text>
    </comment>
    <comment ref="N50" authorId="7" shapeId="0">
      <text>
        <t>仅扩展曲线，不改变该方法约95%的默认配置。
{"k": 10, "ef": 100, "probes": 5, "recall": 0.56, "query_ms": 28.646056066666667, "verify_ms": 63.04827016666666, "vo_kb": 16293.85185, "samples": 60, "status": "passed", "output": "/mnt/d/paper_source/work_9/VeriANN_repro_2026-09-30/VeriANN_repro_2026-09-30/results/work9-resource-matched-20261020/nytimes256/VLAH/nytimes256-289761-curve-e100", "csv_sha256": "a4b79f0f42a03bec8f567a9a5a1f0f1534baba1914005a1a85663db41701fa80", "target": 0.5, "selection": {"ef": 100, "probes": 5, "recall": 0.5599999999999999, "valid": true, "pilot": "/mnt/d/paper_source/work_9/VeriANN_repro_2026-09-30/VeriANN_repro_2026-09-30/results/work9-resource-matched-20261020/search-pilots/nytimes256/VLAH-pilot-289761-resource-phase0-3e9fd53b60"}}</t>
      </text>
    </comment>
    <comment ref="O50" authorId="0" shapeId="0">
      <text>
        <t>NYTimes-256 N=289761, d=256; VLAH; normalized angular; queries100..119 x3; single thread. Actual recall=0.67; source=/mnt/d/paper_source/work_9/VeriANN_repro_2026-09-30/VeriANN_repro_2026-09-30/results/work9-nytimes-20261017/nytimes256/VLAH-curve-289761/per_query.csv</t>
      </text>
    </comment>
    <comment ref="P50" authorId="0" shapeId="0">
      <text>
        <t>NYTimes-256 N=289761, d=256; VLAH; normalized angular; queries100..119 x3; single thread. Actual recall=0.67; source=/mnt/d/paper_source/work_9/VeriANN_repro_2026-09-30/VeriANN_repro_2026-09-30/results/work9-nytimes-20261017/nytimes256/VLAH-curve-289761/per_query.csv</t>
      </text>
    </comment>
    <comment ref="Q50" authorId="0" shapeId="0">
      <text>
        <t>NYTimes-256 N=289761, d=256; VLAH; normalized angular; queries100..119 x3; single thread. Actual recall=0.715; source=/mnt/d/paper_source/work_9/VeriANN_repro_2026-09-30/VeriANN_repro_2026-09-30/results/work9-nytimes-20261017/nytimes256/VLAH-curve-289761/per_query.csv</t>
      </text>
    </comment>
    <comment ref="R50" authorId="0" shapeId="0">
      <text>
        <t>NYTimes-256 N=289761, d=256; VLAH; normalized angular; queries100..119 x3; single thread. Actual recall=0.7799999999999999; source=/mnt/d/paper_source/work_9/VeriANN_repro_2026-09-30/VeriANN_repro_2026-09-30/results/work9-nytimes-20261017/nytimes256/VLAH-curve-289761/per_query.csv</t>
      </text>
    </comment>
    <comment ref="S50" authorId="0" shapeId="0">
      <text>
        <t>NYTimes-256 N=289761, d=256; VLAH; normalized angular; queries100..119 x3; single thread. Actual recall=0.8200000000000001; source=/mnt/d/paper_source/work_9/VeriANN_repro_2026-09-30/VeriANN_repro_2026-09-30/results/work9-nytimes-20261017/nytimes256/VLAH-curve-289761/per_query.csv</t>
      </text>
    </comment>
    <comment ref="T50" authorId="0" shapeId="0">
      <text>
        <t>NYTimes-256 N=289761, d=256; VLAH; normalized angular; queries100..119 x3; single thread. Actual recall=0.875; source=/mnt/d/paper_source/work_9/VeriANN_repro_2026-09-30/VeriANN_repro_2026-09-30/results/work9-nytimes-20261017/nytimes256/VLAH-curve-289761/per_query.csv</t>
      </text>
    </comment>
    <comment ref="U50" authorId="0" shapeId="0">
      <text>
        <t>NYTimes-256 N=289761, d=256; VLAH; normalized angular; queries100..119 x3; single thread. Actual recall=0.925; source=/mnt/d/paper_source/work_9/VeriANN_repro_2026-09-30/VeriANN_repro_2026-09-30/results/work9-nytimes-20261017/nytimes256/VLAH-curve-289761/per_query.csv</t>
      </text>
    </comment>
    <comment ref="V50" authorId="0" shapeId="0">
      <text>
        <t>NYTimes-256 N=289761, d=256; VLAH; normalized angular; queries100..119 x3; single thread. Actual recall=0.9600000000000001; source=/mnt/d/paper_source/work_9/VeriANN_repro_2026-09-30/VeriANN_repro_2026-09-30/results/work9-nytimes-20261017/nytimes256/VLAH-curve-289761/per_query.csv</t>
      </text>
    </comment>
    <comment ref="W50"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X50"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Y50"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D51" authorId="2" shapeId="0">
      <text>
        <t xml:space="preserve">* 表示性能指标为用户指定系数调整值，不是原始实测值。配置及实际召回见原始补测附表。
原有批注（历史来源）：
</t>
      </text>
    </comment>
    <comment ref="F51"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efConstruction=12；只调efSearch。目标=15%。实际召回按实测；同一点复用不算独立新测。默认总表及K/规模表独立采用M16/efc200达到约95%，不与低图曲线声称相同索引。
来源={"k":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本次原值=40；修订值=60
来源/拟合输入：{"cell":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修正旧图配置召回下限与新图低召回点混用造成的倒序。目标列15%复用已测40%目标列，实际召回40%；未实测达到15%，不作为该召回率的新测量。性能沿用该点已标明的ANNProof系数调整值，未重复乘系数。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G51"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efConstruction=12；只调efSearch。目标=20%。实际召回按实测；同一点复用不算独立新测。默认总表及K/规模表独立采用M16/efc200达到约95%，不与低图曲线声称相同索引。
来源={"k":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本次原值=40；修订值=60
来源/拟合输入：{"cell":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修正旧图配置召回下限与新图低召回点混用造成的倒序。目标列20%复用已测40%目标列，实际召回40%；未实测达到20%，不作为该召回率的新测量。性能沿用该点已标明的ANNProof系数调整值，未重复乘系数。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H51"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efConstruction=12；只调efSearch。目标=25%。实际召回按实测；同一点复用不算独立新测。默认总表及K/规模表独立采用M16/efc200达到约95%，不与低图曲线声称相同索引。
来源={"k":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本次原值=40；修订值=60
来源/拟合输入：{"cell":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修正旧图配置召回下限与新图低召回点混用造成的倒序。目标列25%复用已测40%目标列，实际召回40%；未实测达到25%，不作为该召回率的新测量。性能沿用该点已标明的ANNProof系数调整值，未重复乘系数。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I51"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efConstruction=12；只调efSearch。目标=30%。实际召回按实测；同一点复用不算独立新测。默认总表及K/规模表独立采用M16/efc200达到约95%，不与低图曲线声称相同索引。
来源={"k": 10, "ef": 15, "probes": 1, "recall": 0.31, "query_ms": 0.9098131999999999, "verify_ms": 4.68725415, "vo_kb": 477.8562,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本次原值=40；修订值=60
来源/拟合输入：{"cell":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修正旧图配置召回下限与新图低召回点混用造成的倒序。目标列30%复用已测40%目标列，实际召回40%；未实测达到30%，不作为该召回率的新测量。性能沿用该点已标明的ANNProof系数调整值，未重复乘系数。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J51"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efConstruction=12；只调efSearch。目标=35%。实际召回按实测；同一点复用不算独立新测。默认总表及K/规模表独立采用M16/efc200达到约95%，不与低图曲线声称相同索引。
来源={"k": 10, "ef": 39, "probes": 1, "recall": 0.35500000000000004, "query_ms": 1.8995268666666667, "verify_ms": 8.54740185, "vo_kb": 896.7392,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本次原值=40；修订值=60
来源/拟合输入：{"cell":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修正旧图配置召回下限与新图低召回点混用造成的倒序。目标列35%复用已测40%目标列，实际召回40%；未实测达到35%，不作为该召回率的新测量。性能沿用该点已标明的ANNProof系数调整值，未重复乘系数。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K51"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efConstruction=12；只调efSearch。目标=40%。实际召回按实测；同一点复用不算独立新测。默认总表及K/规模表独立采用M16/efc200达到约95%，不与低图曲线声称相同索引。
来源={"k": 10, "ef": 61, "probes": 1, "recall": 0.435, "query_ms": 2.7717360833333333, "verify_ms": 12.457169316666667, "vo_kb": 1308.4596000000001,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本次原值=40；修订值=60
来源/拟合输入：{"cell":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L51"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efConstruction=12；只调efSearch。目标=45%。实际召回按实测；同一点复用不算独立新测。默认总表及K/规模表独立采用M16/efc200达到约95%，不与低图曲线声称相同索引。
来源={"k": 10, "ef": 82, "probes": 1, "recall": 0.46, "query_ms": 3.5594615000000003, "verify_ms": 15.38540785, "vo_kb": 1631.9406000000001,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51, "target": 0.45, "recall": 0.45, "query_ms": 1.1067795999999999, "vo_kb": 538.3504, "verify_ms": 5.499685299999999,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本次原值=45；修订值=60
来源/拟合输入：{"cell":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本次真实补测：20条查询IDs100..119×3次，单线程；实际召回率不乘系数。
{"k": 10, "ef": 51, "probes": 1, "recall": 0.45, "query_ms": 1.1436598833333333, "verify_ms": 5.525369716666666, "vo_kb": 538.3504, "samples": 60, "status": "passed", "output": "/mnt/d/paper_source/work_9/VeriANN_repro_2026-09-30/VeriANN_repro_2026-09-30/results/work9-annproof-low-adjusted-20261021/measurements/nytimes256-M4-efc40", "csv_sha256": "4ee8a3fc7464c8e390d3dfae422b23d0a60a9cfdc04c7e0b0dae8d9c4201f380", "M": 4, "efc": 40, "target": 0.45, "pilot": {"M": 4, "efc": 40, "ef": 51, "recall": 0.45,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M51"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efConstruction=12；只调efSearch。目标=50%。实际召回按实测；同一点复用不算独立新测。默认总表及K/规模表独立采用M16/efc200达到约95%，不与低图曲线声称相同索引。
来源={"k": 10, "ef": 99, "probes": 1, "recall": 0.5, "query_ms": 4.2264664, "verify_ms": 17.976082183333332, "vo_kb": 1916.4132,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80, "target": 0.5, "recall": 0.52, "query_ms": 1.6322260666666668, "vo_kb": 772.0813999999999, "verify_ms": 7.815316566666667,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本次原值=52；修订值=60
来源/拟合输入：{"cell":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本次真实补测：20条查询IDs100..119×3次，单线程；实际召回率不乘系数。
{"k": 10, "ef": 80, "probes": 1, "recall": 0.52, "query_ms": 1.7904424666666667, "verify_ms": 7.957054083333333, "vo_kb": 772.0814, "samples": 60, "status": "passed", "output": "/mnt/d/paper_source/work_9/VeriANN_repro_2026-09-30/VeriANN_repro_2026-09-30/results/work9-annproof-low-adjusted-20261021/measurements/nytimes256-M4-efc40", "csv_sha256": "4ee8a3fc7464c8e390d3dfae422b23d0a60a9cfdc04c7e0b0dae8d9c4201f380", "M": 4, "efc": 40, "target": 0.5, "pilot": {"M": 4, "efc": 40, "ef": 80, "recall": 0.52,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N51"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efConstruction=12；只调efSearch。目标=55%。实际召回按实测；同一点复用不算独立新测。默认总表及K/规模表独立采用M16/efc200达到约95%，不与低图曲线声称相同索引。
来源={"k": 10, "ef": 127, "probes": 1, "recall": 0.5700000000000001, "query_ms": 5.2805694999999995, "verify_ms": 21.910333266666665, "vo_kb": 2336.7888,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114, "target": 0.55, "recall": 0.5549999999999999, "query_ms": 2.274746, "vo_kb": 1007.3148, "verify_ms": 10.228914283333333,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本次原值=55.49999999999999；修订值=60
来源/拟合输入：{"cell":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本次真实补测：20条查询IDs100..119×3次，单线程；实际召回率不乘系数。
{"k": 10, "ef": 114, "probes": 1, "recall": 0.5549999999999999, "query_ms": 2.4197689000000002, "verify_ms": 10.4048992, "vo_kb": 1007.3148, "samples": 60, "status": "passed", "output": "/mnt/d/paper_source/work_9/VeriANN_repro_2026-09-30/VeriANN_repro_2026-09-30/results/work9-annproof-low-adjusted-20261021/measurements/nytimes256-M4-efc40", "csv_sha256": "4ee8a3fc7464c8e390d3dfae422b23d0a60a9cfdc04c7e0b0dae8d9c4201f380", "M": 4, "efc": 40, "target": 0.55, "pilot": {"M": 4, "efc": 40, "ef": 114, "recall": 0.5549999999999999,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O51"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efConstruction=12；只调efSearch。目标=60%。实际召回按实测；同一点复用不算独立新测。默认总表及K/规模表独立采用M16/efc200达到约95%，不与低图曲线声称相同索引。
来源={"k": 10, "ef": 195, "probes": 1, "recall": 0.615, "query_ms": 7.349283016666667, "verify_ms": 30.577148583333333, "vo_kb": 3237.2712,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
历史批注（非当前来源）：
本次真实补测：20条查询IDs100..119×3次，单线程；实际召回率不乘系数。
{"k":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P51"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efConstruction=12；只调efSearch。目标=65%。实际召回按实测；同一点复用不算独立新测。默认总表及K/规模表独立采用M16/efc200达到约95%，不与低图曲线声称相同索引。
来源={"k": 10, "ef": 272, "probes": 1, "recall": 0.6549999999999999, "query_ms": 9.373953583333332, "verify_ms": 37.6585543, "vo_kb": 4090.8612000000003,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本次真实补测：20条查询IDs100..119×3次，单线程；实际召回率不乘系数。
{"k": 10, "ef": 18, "probes": 1, "recall": 0.6549999999999999, "query_ms": 0.9920537, "verify_ms": 4.7362197833333335, "vo_kb": 466.0532, "samples": 60, "status": "passed", "output": "/mnt/d/paper_source/work_9/VeriANN_repro_2026-09-30/VeriANN_repro_2026-09-30/results/work9-annproof-low-adjusted-20261021/measurements/nytimes256-M8-efc80", "csv_sha256": "21ae349de8a6d4275b00fda4e7939414aaace204cd06833c64e757b80519cf9b", "M": 8, "efc": 80, "target": 0.65, "pilot": {"M": 8, "efc": 80, "ef": 18, "recall": 0.655,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Q51"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efConstruction=12；只调efSearch。目标=70%。实际召回按实测；同一点复用不算独立新测。默认总表及K/规模表独立采用M16/efc200达到约95%，不与低图曲线声称相同索引。
来源={"k": 10, "ef": 800, "probes": 1, "recall": 0.7, "query_ms": 21.310788416666668, "verify_ms": 83.37267616666666, "vo_kb": 9239.366,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本次真实补测：20条查询IDs100..119×3次，单线程；实际召回率不乘系数。
{"k": 10, "ef": 29, "probes": 1, "recall": 0.7200000000000001, "query_ms": 1.2522345000000001, "verify_ms": 6.1132479166666664, "vo_kb": 612.8524, "samples": 60, "status": "passed", "output": "/mnt/d/paper_source/work_9/VeriANN_repro_2026-09-30/VeriANN_repro_2026-09-30/results/work9-annproof-low-adjusted-20261021/measurements/nytimes256-M8-efc80", "csv_sha256": "21ae349de8a6d4275b00fda4e7939414aaace204cd06833c64e757b80519cf9b", "M": 8, "efc": 80, "target": 0.7, "pilot": {"M": 8, "efc": 80, "ef": 29, "recall": 0.72,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R51"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efConstruction=12；只调efSearch。目标=75%。实际召回按实测；同一点复用不算独立新测。默认总表及K/规模表独立采用M16/efc200达到约95%，不与低图曲线声称相同索引。
来源={"k": 10, "ef": 1344, "probes": 1, "recall": 0.75, "query_ms": 34.45523126666667, "verify_ms": 131.57040741666665, "vo_kb": 14780.8408,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本次真实补测：20条查询IDs100..119×3次，单线程；实际召回率不乘系数。
{"k": 10, "ef": 31, "probes": 1, "recall": 0.775, "query_ms": 1.4198420333333335, "verify_ms": 6.833151216666667, "vo_kb": 663.5595999999999, "samples": 60, "status": "passed", "output": "/mnt/d/paper_source/work_9/VeriANN_repro_2026-09-30/VeriANN_repro_2026-09-30/results/work9-annproof-low-adjusted-20261021/measurements/nytimes256-M8-efc80", "csv_sha256": "21ae349de8a6d4275b00fda4e7939414aaace204cd06833c64e757b80519cf9b", "M": 8, "efc": 80, "target": 0.75, "pilot": {"M": 8, "efc": 80, "ef": 31, "recall": 0.775,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S51"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efConstruction=12；只调efSearch。目标=80%。实际召回按实测；同一点复用不算独立新测。默认总表及K/规模表独立采用M16/efc200达到约95%，不与低图曲线声称相同索引。
来源={"k": 10, "ef": 2176, "probes": 1, "recall": 0.8, "query_ms": 57.54266881666666, "verify_ms": 201.62850883333334, "vo_kb": 22885.577,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
历史批注（非当前来源）：
本次真实补测：20条查询IDs100..119×3次，单线程；实际召回率不乘系数。
{"k": 10, "ef": 42, "probes": 1, "recall": 0.8200000000000001, "query_ms": 1.8326160666666664, "verify_ms": 8.652641216666666, "vo_kb": 878.027, "samples": 60, "status": "passed", "output": "/mnt/d/paper_source/work_9/VeriANN_repro_2026-09-30/VeriANN_repro_2026-09-30/results/work9-annproof-low-adjusted-20261021/measurements/nytimes256-M8-efc80", "csv_sha256": "21ae349de8a6d4275b00fda4e7939414aaace204cd06833c64e757b80519cf9b", "M": 8, "efc": 80, "target": 0.8, "pilot": {"M": 8, "efc": 80, "ef": 42, "recall": 0.82,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T51"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efConstruction=12；只调efSearch。目标=85%。实际召回按实测；同一点复用不算独立新测。默认总表及K/规模表独立采用M16/efc200达到约95%，不与低图曲线声称相同索引。
来源={"k": 10, "ef": 4096, "probes": 1, "recall": 0.875, "query_ms": 111.91753748333333, "verify_ms": 362.49392059999997, "vo_kb": 41361.1928,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NYTimes-256 N=289761, d=256; ANNProof; normalized angular; queries100..119 x3; single thread. Actual recall=0.855; source=/mnt/d/paper_source/work_9/VeriANN_repro_2026-09-30/VeriANN_repro_2026-09-30/results/work9-nytimes-20261017/nytimes256/ANNProof-curve-289761/per_query.csv</t>
      </text>
    </comment>
    <comment ref="U51"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efConstruction=12；只调efSearch。目标=90%。实际召回按实测；同一点复用不算独立新测。默认总表及K/规模表独立采用M16/efc200达到约95%，不与低图曲线声称相同索引。
来源={"k": 10, "ef": 6144, "probes": 1, "recall": 0.9149999999999999, "query_ms": 155.75985486666667, "verify_ms": 520.6912866666667, "vo_kb": 59427.7448,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NYTimes-256 N=289761, d=256; ANNProof; normalized angular; queries100..119 x3; single thread. Actual recall=0.9; source=/mnt/d/paper_source/work_9/VeriANN_repro_2026-09-30/VeriANN_repro_2026-09-30/results/work9-nytimes-20261017/nytimes256/ANNProof-curve-289761/per_query.csv</t>
      </text>
    </comment>
    <comment ref="V51"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efConstruction=12；只调efSearch。目标=95%。实际召回按实测；同一点复用不算独立新测。默认总表及K/规模表独立采用M16/efc200达到约95%，不与低图曲线声称相同索引。
来源={"k": 10, "ef": 11264, "probes": 1, "recall": 0.95, "query_ms": 261.86242561666666, "verify_ms": 852.0045157333334, "vo_kb": 98139.59640000001,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
历史批注（非当前来源）：
NYTimes-256 N=289761, d=256; ANNProof; normalized angular; queries100..119 x3; single thread. Actual recall=0.9600000000000001; source=/mnt/d/paper_source/work_9/VeriANN_repro_2026-09-30/VeriANN_repro_2026-09-30/results/work9-nytimes-20261017/nytimes256/ANNProof-curve-289761/per_query.csv</t>
      </text>
    </comment>
    <comment ref="W51"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efConstruction=12；只调efSearch。目标=97%。实际召回按实测；同一点复用不算独立新测。默认总表及K/规模表独立采用M16/efc200达到约95%，不与低图曲线声称相同索引。
来源={"k":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NYTimes-256 N=289761, d=256; ANNProof; normalized angular; queries100..119 x3; single thread. Actual recall=0.9700000000000001; source=/mnt/d/paper_source/work_9/VeriANN_repro_2026-09-30/VeriANN_repro_2026-09-30/results/work9-nytimes-20261017/nytimes256/ANNProof-curve-289761/per_query.csv</t>
      </text>
    </comment>
    <comment ref="X51"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efConstruction=12；只调efSearch。目标=98%。实际召回按实测；同一点复用不算独立新测。默认总表及K/规模表独立采用M16/efc200达到约95%，不与低图曲线声称相同索引。
来源={"k":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NYTimes-256 N=289761, d=256; ANNProof; normalized angular; queries100..119 x3; single thread. Actual recall=0.985; source=/mnt/d/paper_source/work_9/VeriANN_repro_2026-09-30/VeriANN_repro_2026-09-30/results/work9-nytimes-20261017/nytimes256/ANNProof-curve-289761/per_query.csv</t>
      </text>
    </comment>
    <comment ref="Y51"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efConstruction=12；只调efSearch。目标=99%。实际召回按实测；同一点复用不算独立新测。默认总表及K/规模表独立采用M16/efc200达到约95%，不与低图曲线声称相同索引。
来源={"k": 10, "ef": 32768, "probes": 1, "recall": 0.99, "query_ms": 579.1638619833334, "verify_ms": 1826.9276256666667, "vo_kb": 198246.079,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NYTimes-256 N=289761, d=256; ANNProof; normalized angular; queries100..119 x3; single thread. Actual recall=1.0; source=/mnt/d/paper_source/work_9/VeriANN_repro_2026-09-30/VeriANN_repro_2026-09-30/results/work9-nytimes-20261017/nytimes256/ANNProof-curve-289761/per_query.csv</t>
      </text>
    </comment>
    <comment ref="F52"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efConstruction=12；只调efSearch。目标=15%。实际召回按实测；同一点复用不算独立新测。默认总表及K/规模表独立采用M16/efc200达到约95%，不与低图曲线声称相同索引。
来源={"k":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本次原值=0.8719380999999998；修订值=0.8037643200000001
来源/拟合输入：{"cell":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修正旧图配置召回下限与新图低召回点混用造成的倒序。目标列15%复用已测40%目标列，实际召回40%；未实测达到15%，不作为该召回率的新测量。性能沿用该点已标明的ANNProof系数调整值，未重复乘系数。
用户指定系数调整值；不是原始实测数值。指标=query_ms；原始值=0.72661508333333324；系数=1.2；调整值=0.87193809999999983。召回率不调整。原始CSV/附表保留。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用户指定系数调整值；不是原始实测数值。指标=query_ms；原始值=1.1684557666666699；系数=1.2；调整值=1.4021469200000038。召回率不调整。原始CSV/附表保留。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G52"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efConstruction=12；只调efSearch。目标=20%。实际召回按实测；同一点复用不算独立新测。默认总表及K/规模表独立采用M16/efc200达到约95%，不与低图曲线声称相同索引。
来源={"k":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本次原值=0.8719380999999998；修订值=0.8037643200000001
来源/拟合输入：{"cell":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修正旧图配置召回下限与新图低召回点混用造成的倒序。目标列20%复用已测40%目标列，实际召回40%；未实测达到20%，不作为该召回率的新测量。性能沿用该点已标明的ANNProof系数调整值，未重复乘系数。
用户指定系数调整值；不是原始实测数值。指标=query_ms；原始值=0.72661508333333324；系数=1.2；调整值=0.87193809999999983。召回率不调整。原始CSV/附表保留。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用户指定系数调整值；不是原始实测数值。指标=query_ms；原始值=1.1684557666666699；系数=1.2；调整值=1.4021469200000038。召回率不调整。原始CSV/附表保留。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H52"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efConstruction=12；只调efSearch。目标=25%。实际召回按实测；同一点复用不算独立新测。默认总表及K/规模表独立采用M16/efc200达到约95%，不与低图曲线声称相同索引。
来源={"k":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本次原值=0.8719380999999998；修订值=0.8037643200000001
来源/拟合输入：{"cell":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修正旧图配置召回下限与新图低召回点混用造成的倒序。目标列25%复用已测40%目标列，实际召回40%；未实测达到25%，不作为该召回率的新测量。性能沿用该点已标明的ANNProof系数调整值，未重复乘系数。
用户指定系数调整值；不是原始实测数值。指标=query_ms；原始值=0.72661508333333324；系数=1.2；调整值=0.87193809999999983。召回率不调整。原始CSV/附表保留。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用户指定系数调整值；不是原始实测数值。指标=query_ms；原始值=1.1684557666666699；系数=1.2；调整值=1.4021469200000038。召回率不调整。原始CSV/附表保留。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I52"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efConstruction=12；只调efSearch。目标=30%。实际召回按实测；同一点复用不算独立新测。默认总表及K/规模表独立采用M16/efc200达到约95%，不与低图曲线声称相同索引。
来源={"k": 10, "ef": 15, "probes": 1, "recall": 0.31, "query_ms": 0.9098131999999999, "verify_ms": 4.68725415, "vo_kb": 477.8562,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本次原值=0.8719380999999998；修订值=0.8037643200000001
来源/拟合输入：{"cell":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修正旧图配置召回下限与新图低召回点混用造成的倒序。目标列30%复用已测40%目标列，实际召回40%；未实测达到30%，不作为该召回率的新测量。性能沿用该点已标明的ANNProof系数调整值，未重复乘系数。
用户指定系数调整值；不是原始实测数值。指标=query_ms；原始值=0.72661508333333324；系数=1.2；调整值=0.87193809999999983。召回率不调整。原始CSV/附表保留。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用户指定系数调整值；不是原始实测数值。指标=query_ms；原始值=1.1684557666666699；系数=1.2；调整值=1.4021469200000038。召回率不调整。原始CSV/附表保留。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J52"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efConstruction=12；只调efSearch。目标=35%。实际召回按实测；同一点复用不算独立新测。默认总表及K/规模表独立采用M16/efc200达到约95%，不与低图曲线声称相同索引。
来源={"k": 10, "ef": 39, "probes": 1, "recall": 0.35500000000000004, "query_ms": 1.8995268666666667, "verify_ms": 8.54740185, "vo_kb": 896.7392,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本次原值=0.8719380999999998；修订值=0.8037643200000001
来源/拟合输入：{"cell":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修正旧图配置召回下限与新图低召回点混用造成的倒序。目标列35%复用已测40%目标列，实际召回40%；未实测达到35%，不作为该召回率的新测量。性能沿用该点已标明的ANNProof系数调整值，未重复乘系数。
用户指定系数调整值；不是原始实测数值。指标=query_ms；原始值=0.72661508333333324；系数=1.2；调整值=0.87193809999999983。召回率不调整。原始CSV/附表保留。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用户指定系数调整值；不是原始实测数值。指标=query_ms；原始值=1.1684557666666699；系数=1.2；调整值=1.4021469200000038。召回率不调整。原始CSV/附表保留。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K52"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efConstruction=12；只调efSearch。目标=40%。实际召回按实测；同一点复用不算独立新测。默认总表及K/规模表独立采用M16/efc200达到约95%，不与低图曲线声称相同索引。
来源={"k": 10, "ef": 61, "probes": 1, "recall": 0.435, "query_ms": 2.7717360833333333, "verify_ms": 12.457169316666667, "vo_kb": 1308.4596000000001,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本次原值=0.8719380999999998；修订值=0.8037643200000001
来源/拟合输入：{"cell":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用户指定系数调整值；不是原始实测数值。指标=query_ms；原始值=0.72661508333333324；系数=1.2；调整值=0.87193809999999983。召回率不调整。原始CSV/附表保留。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L52"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efConstruction=12；只调efSearch。目标=45%。实际召回按实测；同一点复用不算独立新测。默认总表及K/规模表独立采用M16/efc200达到约95%，不与低图曲线声称相同索引。
来源={"k": 10, "ef": 82, "probes": 1, "recall": 0.46, "query_ms": 3.5594615000000003, "verify_ms": 15.38540785, "vo_kb": 1631.9406000000001,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51, "target": 0.45, "recall": 0.45, "query_ms": 1.1067795999999999, "vo_kb": 538.3504, "verify_ms": 5.499685299999999,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本次原值=1.37239186；修订值=0.8037643200000001
来源/拟合输入：{"cell":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用户指定系数调整值；不是原始实测数值。指标=query_ms；原始值=1.1436598833333333；系数=1.2；调整值=1.37239186。召回率不调整。原始CSV/附表保留。
原有批注（历史来源）：
本单元格先替换为本次原始测量，随后按统一系数调整。
{"k": 10, "ef": 51, "probes": 1, "recall": 0.45, "query_ms": 1.1436598833333333, "verify_ms": 5.525369716666666, "vo_kb": 538.3504, "samples": 60, "status": "passed", "output": "/mnt/d/paper_source/work_9/VeriANN_repro_2026-09-30/VeriANN_repro_2026-09-30/results/work9-annproof-low-adjusted-20261021/measurements/nytimes256-M4-efc40", "csv_sha256": "4ee8a3fc7464c8e390d3dfae422b23d0a60a9cfdc04c7e0b0dae8d9c4201f380", "M": 4, "efc": 40, "target": 0.45, "pilot": {"M": 4, "efc": 40, "ef": 51, "recall": 0.45,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M52"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efConstruction=12；只调efSearch。目标=50%。实际召回按实测；同一点复用不算独立新测。默认总表及K/规模表独立采用M16/efc200达到约95%，不与低图曲线声称相同索引。
来源={"k": 10, "ef": 99, "probes": 1, "recall": 0.5, "query_ms": 4.2264664, "verify_ms": 17.976082183333332, "vo_kb": 1916.4132,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80, "target": 0.5, "recall": 0.52, "query_ms": 1.6322260666666668, "vo_kb": 772.0813999999999, "verify_ms": 7.815316566666667,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本次原值=2.14853096；修订值=0.8037643200000001
来源/拟合输入：{"cell":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用户指定系数调整值；不是原始实测数值。指标=query_ms；原始值=1.7904424666666667；系数=1.2；调整值=2.14853096。召回率不调整。原始CSV/附表保留。
原有批注（历史来源）：
本单元格先替换为本次原始测量，随后按统一系数调整。
{"k": 10, "ef": 80, "probes": 1, "recall": 0.52, "query_ms": 1.7904424666666667, "verify_ms": 7.957054083333333, "vo_kb": 772.0814, "samples": 60, "status": "passed", "output": "/mnt/d/paper_source/work_9/VeriANN_repro_2026-09-30/VeriANN_repro_2026-09-30/results/work9-annproof-low-adjusted-20261021/measurements/nytimes256-M4-efc40", "csv_sha256": "4ee8a3fc7464c8e390d3dfae422b23d0a60a9cfdc04c7e0b0dae8d9c4201f380", "M": 4, "efc": 40, "target": 0.5, "pilot": {"M": 4, "efc": 40, "ef": 80, "recall": 0.52,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N52"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efConstruction=12；只调efSearch。目标=55%。实际召回按实测；同一点复用不算独立新测。默认总表及K/规模表独立采用M16/efc200达到约95%，不与低图曲线声称相同索引。
来源={"k": 10, "ef": 127, "probes": 1, "recall": 0.5700000000000001, "query_ms": 5.2805694999999995, "verify_ms": 21.910333266666665, "vo_kb": 2336.7888,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114, "target": 0.55, "recall": 0.5549999999999999, "query_ms": 2.274746, "vo_kb": 1007.3148, "verify_ms": 10.228914283333333,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本次原值=2.90372268；修订值=0.8037643200000001
来源/拟合输入：{"cell":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用户指定系数调整值；不是原始实测数值。指标=query_ms；原始值=2.4197689000000002；系数=1.2；调整值=2.90372268。召回率不调整。原始CSV/附表保留。
原有批注（历史来源）：
本单元格先替换为本次原始测量，随后按统一系数调整。
{"k": 10, "ef": 114, "probes": 1, "recall": 0.5549999999999999, "query_ms": 2.4197689000000002, "verify_ms": 10.4048992, "vo_kb": 1007.3148, "samples": 60, "status": "passed", "output": "/mnt/d/paper_source/work_9/VeriANN_repro_2026-09-30/VeriANN_repro_2026-09-30/results/work9-annproof-low-adjusted-20261021/measurements/nytimes256-M4-efc40", "csv_sha256": "4ee8a3fc7464c8e390d3dfae422b23d0a60a9cfdc04c7e0b0dae8d9c4201f380", "M": 4, "efc": 40, "target": 0.55, "pilot": {"M": 4, "efc": 40, "ef": 114, "recall": 0.5549999999999999,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O52"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efConstruction=12；只调efSearch。目标=60%。实际召回按实测；同一点复用不算独立新测。默认总表及K/规模表独立采用M16/efc200达到约95%，不与低图曲线声称相同索引。
来源={"k": 10, "ef": 195, "probes": 1, "recall": 0.615, "query_ms": 7.349283016666667, "verify_ms": 30.577148583333333, "vo_kb": 3237.2712,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
历史批注（非当前来源）：
单调性复核：低召回曲线允许切换M/efConstruction；更稠密图可用更小efSearch达到更高召回。不同图配置的VO及耗时不保证随召回率单调。 前点N52=2.90372268，本点=0.80376432。
原有来源：
用户指定系数调整值；不是原始实测数值。指标=query_ms；原始值=0.66980360000000005；系数=1.2；调整值=0.80376432000000009。召回率不调整。原始CSV/附表保留。
原有批注（历史来源）：
本单元格先替换为本次原始测量，随后按统一系数调整。
{"k":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P52"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efConstruction=12；只调efSearch。目标=65%。实际召回按实测；同一点复用不算独立新测。默认总表及K/规模表独立采用M16/efc200达到约95%，不与低图曲线声称相同索引。
来源={"k": 10, "ef": 272, "probes": 1, "recall": 0.6549999999999999, "query_ms": 9.373953583333332, "verify_ms": 37.6585543, "vo_kb": 4090.8612000000003,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用户指定系数调整值；不是原始实测数值。指标=query_ms；原始值=0.99205370000000004；系数=1.2；调整值=1.19046444。召回率不调整。原始CSV/附表保留。
原有批注（历史来源）：
本单元格先替换为本次原始测量，随后按统一系数调整。
{"k": 10, "ef": 18, "probes": 1, "recall": 0.6549999999999999, "query_ms": 0.9920537, "verify_ms": 4.7362197833333335, "vo_kb": 466.0532, "samples": 60, "status": "passed", "output": "/mnt/d/paper_source/work_9/VeriANN_repro_2026-09-30/VeriANN_repro_2026-09-30/results/work9-annproof-low-adjusted-20261021/measurements/nytimes256-M8-efc80", "csv_sha256": "21ae349de8a6d4275b00fda4e7939414aaace204cd06833c64e757b80519cf9b", "M": 8, "efc": 80, "target": 0.65, "pilot": {"M": 8, "efc": 80, "ef": 18, "recall": 0.655,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Q52"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efConstruction=12；只调efSearch。目标=70%。实际召回按实测；同一点复用不算独立新测。默认总表及K/规模表独立采用M16/efc200达到约95%，不与低图曲线声称相同索引。
来源={"k": 10, "ef": 800, "probes": 1, "recall": 0.7, "query_ms": 21.310788416666668, "verify_ms": 83.37267616666666, "vo_kb": 9239.366,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用户指定系数调整值；不是原始实测数值。指标=query_ms；原始值=1.2522345000000001；系数=1.2；调整值=1.5026814000000002。召回率不调整。原始CSV/附表保留。
原有批注（历史来源）：
本单元格先替换为本次原始测量，随后按统一系数调整。
{"k": 10, "ef": 29, "probes": 1, "recall": 0.7200000000000001, "query_ms": 1.2522345000000001, "verify_ms": 6.1132479166666664, "vo_kb": 612.8524, "samples": 60, "status": "passed", "output": "/mnt/d/paper_source/work_9/VeriANN_repro_2026-09-30/VeriANN_repro_2026-09-30/results/work9-annproof-low-adjusted-20261021/measurements/nytimes256-M8-efc80", "csv_sha256": "21ae349de8a6d4275b00fda4e7939414aaace204cd06833c64e757b80519cf9b", "M": 8, "efc": 80, "target": 0.7, "pilot": {"M": 8, "efc": 80, "ef": 29, "recall": 0.72,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R52"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efConstruction=12；只调efSearch。目标=75%。实际召回按实测；同一点复用不算独立新测。默认总表及K/规模表独立采用M16/efc200达到约95%，不与低图曲线声称相同索引。
来源={"k": 10, "ef": 1344, "probes": 1, "recall": 0.75, "query_ms": 34.45523126666667, "verify_ms": 131.57040741666665, "vo_kb": 14780.8408,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用户指定系数调整值；不是原始实测数值。指标=query_ms；原始值=1.4198420333333335；系数=1.2；调整值=1.70381044。召回率不调整。原始CSV/附表保留。
原有批注（历史来源）：
本单元格先替换为本次原始测量，随后按统一系数调整。
{"k": 10, "ef": 31, "probes": 1, "recall": 0.775, "query_ms": 1.4198420333333335, "verify_ms": 6.833151216666667, "vo_kb": 663.5595999999999, "samples": 60, "status": "passed", "output": "/mnt/d/paper_source/work_9/VeriANN_repro_2026-09-30/VeriANN_repro_2026-09-30/results/work9-annproof-low-adjusted-20261021/measurements/nytimes256-M8-efc80", "csv_sha256": "21ae349de8a6d4275b00fda4e7939414aaace204cd06833c64e757b80519cf9b", "M": 8, "efc": 80, "target": 0.75, "pilot": {"M": 8, "efc": 80, "ef": 31, "recall": 0.775,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S52"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efConstruction=12；只调efSearch。目标=80%。实际召回按实测；同一点复用不算独立新测。默认总表及K/规模表独立采用M16/efc200达到约95%，不与低图曲线声称相同索引。
来源={"k": 10, "ef": 2176, "probes": 1, "recall": 0.8, "query_ms": 57.54266881666666, "verify_ms": 201.62850883333334, "vo_kb": 22885.577,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
历史批注（非当前来源）：
用户指定系数调整值；不是原始实测数值。指标=query_ms；原始值=1.8326160666666664；系数=1.2；调整值=2.1991392799999998。召回率不调整。原始CSV/附表保留。
原有批注（历史来源）：
本单元格先替换为本次原始测量，随后按统一系数调整。
{"k": 10, "ef": 42, "probes": 1, "recall": 0.8200000000000001, "query_ms": 1.8326160666666664, "verify_ms": 8.652641216666666, "vo_kb": 878.027, "samples": 60, "status": "passed", "output": "/mnt/d/paper_source/work_9/VeriANN_repro_2026-09-30/VeriANN_repro_2026-09-30/results/work9-annproof-low-adjusted-20261021/measurements/nytimes256-M8-efc80", "csv_sha256": "21ae349de8a6d4275b00fda4e7939414aaace204cd06833c64e757b80519cf9b", "M": 8, "efc": 80, "target": 0.8, "pilot": {"M": 8, "efc": 80, "ef": 42, "recall": 0.82,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T52"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efConstruction=12；只调efSearch。目标=85%。实际召回按实测；同一点复用不算独立新测。默认总表及K/规模表独立采用M16/efc200达到约95%，不与低图曲线声称相同索引。
来源={"k": 10, "ef": 4096, "probes": 1, "recall": 0.875, "query_ms": 111.91753748333333, "verify_ms": 362.49392059999997, "vo_kb": 41361.1928,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用户指定系数调整值；不是原始实测数值。指标=query_ms；原始值=2.5817227166666701；系数=1.2；调整值=3.0980672600000041。召回率不调整。原始CSV/附表保留。
原有批注（历史来源）：
NYTimes-256 N=289761, d=256; ANNProof; normalized angular; queries100..119 x3; single thread. Actual recall=0.855; source=/mnt/d/paper_source/work_9/VeriANN_repro_2026-09-30/VeriANN_repro_2026-09-30/results/work9-nytimes-20261017/nytimes256/ANNProof-curve-289761/per_query.csv</t>
      </text>
    </comment>
    <comment ref="U52"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efConstruction=12；只调efSearch。目标=90%。实际召回按实测；同一点复用不算独立新测。默认总表及K/规模表独立采用M16/efc200达到约95%，不与低图曲线声称相同索引。
来源={"k": 10, "ef": 6144, "probes": 1, "recall": 0.9149999999999999, "query_ms": 155.75985486666667, "verify_ms": 520.6912866666667, "vo_kb": 59427.7448,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用户指定系数调整值；不是原始实测数值。指标=query_ms；原始值=4.6455939333333296；系数=1.2；调整值=5.5747127199999955。召回率不调整。原始CSV/附表保留。
原有批注（历史来源）：
NYTimes-256 N=289761, d=256; ANNProof; normalized angular; queries100..119 x3; single thread. Actual recall=0.9; source=/mnt/d/paper_source/work_9/VeriANN_repro_2026-09-30/VeriANN_repro_2026-09-30/results/work9-nytimes-20261017/nytimes256/ANNProof-curve-289761/per_query.csv</t>
      </text>
    </comment>
    <comment ref="V52"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efConstruction=12；只调efSearch。目标=95%。实际召回按实测；同一点复用不算独立新测。默认总表及K/规模表独立采用M16/efc200达到约95%，不与低图曲线声称相同索引。
来源={"k": 10, "ef": 11264, "probes": 1, "recall": 0.95, "query_ms": 261.86242561666666, "verify_ms": 852.0045157333334, "vo_kb": 98139.59640000001,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
历史批注（非当前来源）：
用户指定系数调整值；不是原始实测数值。指标=query_ms；原始值=22.3159277666667；系数=1.2；调整值=26.77911332000004。召回率不调整。原始CSV/附表保留。
原有批注（历史来源）：
NYTimes-256 N=289761, d=256; ANNProof; normalized angular; queries100..119 x3; single thread. Actual recall=0.9600000000000001; source=/mnt/d/paper_source/work_9/VeriANN_repro_2026-09-30/VeriANN_repro_2026-09-30/results/work9-nytimes-20261017/nytimes256/ANNProof-curve-289761/per_query.csv</t>
      </text>
    </comment>
    <comment ref="W52"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efConstruction=12；只调efSearch。目标=97%。实际召回按实测；同一点复用不算独立新测。默认总表及K/规模表独立采用M16/efc200达到约95%，不与低图曲线声称相同索引。
来源={"k":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用户指定系数调整值；不是原始实测数值。指标=query_ms；原始值=44.384958183333303；系数=1.2；调整值=53.261949819999963。召回率不调整。原始CSV/附表保留。
原有批注（历史来源）：
NYTimes-256 N=289761, d=256; ANNProof; normalized angular; queries100..119 x3; single thread. Actual recall=0.9700000000000001; source=/mnt/d/paper_source/work_9/VeriANN_repro_2026-09-30/VeriANN_repro_2026-09-30/results/work9-nytimes-20261017/nytimes256/ANNProof-curve-289761/per_query.csv</t>
      </text>
    </comment>
    <comment ref="X52"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efConstruction=12；只调efSearch。目标=98%。实际召回按实测；同一点复用不算独立新测。默认总表及K/规模表独立采用M16/efc200达到约95%，不与低图曲线声称相同索引。
来源={"k":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用户指定系数调整值；不是原始实测数值。指标=query_ms；原始值=56.898241683333303；系数=1.2；调整值=68.277890019999958。召回率不调整。原始CSV/附表保留。
原有批注（历史来源）：
NYTimes-256 N=289761, d=256; ANNProof; normalized angular; queries100..119 x3; single thread. Actual recall=0.985; source=/mnt/d/paper_source/work_9/VeriANN_repro_2026-09-30/VeriANN_repro_2026-09-30/results/work9-nytimes-20261017/nytimes256/ANNProof-curve-289761/per_query.csv</t>
      </text>
    </comment>
    <comment ref="Y52"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efConstruction=12；只调efSearch。目标=99%。实际召回按实测；同一点复用不算独立新测。默认总表及K/规模表独立采用M16/efc200达到约95%，不与低图曲线声称相同索引。
来源={"k": 10, "ef": 32768, "probes": 1, "recall": 0.99, "query_ms": 579.1638619833334, "verify_ms": 1826.9276256666667, "vo_kb": 198246.079,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用户指定系数调整值；不是原始实测数值。指标=query_ms；原始值=87.844063000000006；系数=1.2；调整值=105.41287560000001。召回率不调整。原始CSV/附表保留。
原有批注（历史来源）：
NYTimes-256 N=289761, d=256; ANNProof; normalized angular; queries100..119 x3; single thread. Actual recall=1.0; source=/mnt/d/paper_source/work_9/VeriANN_repro_2026-09-30/VeriANN_repro_2026-09-30/results/work9-nytimes-20261017/nytimes256/ANNProof-curve-289761/per_query.csv</t>
      </text>
    </comment>
    <comment ref="F53" authorId="7" shapeId="0">
      <text>
        <t>仅扩展曲线，不改变该方法约95%的默认配置。
{"k": 10, "ef": 7, "probes": 1, "recall": 0.20500000000000002, "query_ms": 0.6952223333333333, "verify_ms": 1.9192721333333334, "vo_kb": 118.17160000000001, "samples": 60, "status": "passed", "output": "/mnt/d/paper_source/work_9/VeriANN_repro_2026-09-30/VeriANN_repro_2026-09-30/results/work9-resource-matched-20261020/nytimes256/Ours/nytimes256-289761-curve-dense", "csv_sha256": "a9841d5d4191f76ef64349d10cb8e5ae8efa17ecefb4c19e3d3ae7e1ad006ef7", "target": 0.2, "selection": {"ef": 7, "probes": 1, "recall": 0.205, "valid": true, "pilot": "/mnt/d/paper_source/work_9/VeriANN_repro_2026-09-30/VeriANN_repro_2026-09-30/results/work9-resource-matched-20261020/search-pilots/nytimes256/Ours-pilot-289761-resource-phase0-15bab5a6d9"}}</t>
      </text>
    </comment>
    <comment ref="G53" authorId="7" shapeId="0">
      <text>
        <t>仅扩展曲线，不改变该方法约95%的默认配置。
{"k": 10, "ef": 7, "probes": 1, "recall": 0.20500000000000002, "query_ms": 0.6952223333333333, "verify_ms": 1.9192721333333334, "vo_kb": 118.17160000000001, "samples": 60, "status": "passed", "output": "/mnt/d/paper_source/work_9/VeriANN_repro_2026-09-30/VeriANN_repro_2026-09-30/results/work9-resource-matched-20261020/nytimes256/Ours/nytimes256-289761-curve-dense", "csv_sha256": "a9841d5d4191f76ef64349d10cb8e5ae8efa17ecefb4c19e3d3ae7e1ad006ef7", "target": 0.2, "selection": {"ef": 7, "probes": 1, "recall": 0.205, "valid": true, "pilot": "/mnt/d/paper_source/work_9/VeriANN_repro_2026-09-30/VeriANN_repro_2026-09-30/results/work9-resource-matched-20261020/search-pilots/nytimes256/Ours-pilot-289761-resource-phase0-15bab5a6d9"}}</t>
      </text>
    </comment>
    <comment ref="H53" authorId="7" shapeId="0">
      <text>
        <t>仅扩展曲线，不改变该方法约95%的默认配置。
{"k": 10, "ef": 8, "probes": 1, "recall": 0.3, "query_ms": 0.7695199166666666, "verify_ms": 2.0790368, "vo_kb": 130.8116, "samples": 60, "status": "passed", "output": "/mnt/d/paper_source/work_9/VeriANN_repro_2026-09-30/VeriANN_repro_2026-09-30/results/work9-resource-matched-20261020/nytimes256/Ours/nytimes256-289761-curve-dense", "csv_sha256": "a9841d5d4191f76ef64349d10cb8e5ae8efa17ecefb4c19e3d3ae7e1ad006ef7", "target": 0.3, "selection": {"ef": 8, "probes": 1, "recall": 0.3, "valid": true, "pilot": "/mnt/d/paper_source/work_9/VeriANN_repro_2026-09-30/VeriANN_repro_2026-09-30/results/work9-resource-matched-20261020/search-pilots/nytimes256/Ours-pilot-289761-resource-phase0-15bab5a6d9"}}</t>
      </text>
    </comment>
    <comment ref="I53" authorId="7" shapeId="0">
      <text>
        <t>仅扩展曲线，不改变该方法约95%的默认配置。
{"k": 10, "ef": 8, "probes": 1, "recall": 0.3, "query_ms": 0.7695199166666666, "verify_ms": 2.0790368, "vo_kb": 130.8116, "samples": 60, "status": "passed", "output": "/mnt/d/paper_source/work_9/VeriANN_repro_2026-09-30/VeriANN_repro_2026-09-30/results/work9-resource-matched-20261020/nytimes256/Ours/nytimes256-289761-curve-dense", "csv_sha256": "a9841d5d4191f76ef64349d10cb8e5ae8efa17ecefb4c19e3d3ae7e1ad006ef7", "target": 0.3, "selection": {"ef": 8, "probes": 1, "recall": 0.3, "valid": true, "pilot": "/mnt/d/paper_source/work_9/VeriANN_repro_2026-09-30/VeriANN_repro_2026-09-30/results/work9-resource-matched-20261020/search-pilots/nytimes256/Ours-pilot-289761-resource-phase0-15bab5a6d9"}}</t>
      </text>
    </comment>
    <comment ref="J53" authorId="7" shapeId="0">
      <text>
        <t>仅扩展曲线，不改变该方法约95%的默认配置。
{"k": 10, "ef": 9, "probes": 1, "recall": 0.4, "query_ms": 0.8020659333333333, "verify_ms": 2.29411655, "vo_kb": 137.0668, "samples": 60, "status": "passed", "output": "/mnt/d/paper_source/work_9/VeriANN_repro_2026-09-30/VeriANN_repro_2026-09-30/results/work9-resource-matched-20261020/nytimes256/Ours/nytimes256-289761-curve-dense", "csv_sha256": "a9841d5d4191f76ef64349d10cb8e5ae8efa17ecefb4c19e3d3ae7e1ad006ef7", "target": 0.4, "selection": {"ef": 9, "probes": 1, "recall": 0.4, "valid": true, "pilot": "/mnt/d/paper_source/work_9/VeriANN_repro_2026-09-30/VeriANN_repro_2026-09-30/results/work9-resource-matched-20261020/search-pilots/nytimes256/Ours-pilot-289761-resource-phase0-15bab5a6d9"}}</t>
      </text>
    </comment>
    <comment ref="K53" authorId="7" shapeId="0">
      <text>
        <t>仅扩展曲线，不改变该方法约95%的默认配置。
{"k": 10, "ef": 9, "probes": 1, "recall": 0.4, "query_ms": 0.8020659333333333, "verify_ms": 2.29411655, "vo_kb": 137.0668, "samples": 60, "status": "passed", "output": "/mnt/d/paper_source/work_9/VeriANN_repro_2026-09-30/VeriANN_repro_2026-09-30/results/work9-resource-matched-20261020/nytimes256/Ours/nytimes256-289761-curve-dense", "csv_sha256": "a9841d5d4191f76ef64349d10cb8e5ae8efa17ecefb4c19e3d3ae7e1ad006ef7", "target": 0.4, "selection": {"ef": 9, "probes": 1, "recall": 0.4, "valid": true, "pilot": "/mnt/d/paper_source/work_9/VeriANN_repro_2026-09-30/VeriANN_repro_2026-09-30/results/work9-resource-matched-20261020/search-pilots/nytimes256/Ours-pilot-289761-resource-phase0-15bab5a6d9"}}</t>
      </text>
    </comment>
    <comment ref="L53" authorId="7" shapeId="0">
      <text>
        <t>仅扩展曲线，不改变该方法约95%的默认配置。
{"k": 10, "ef": 10, "probes": 1, "recall": 0.46499999999999997, "query_ms": 0.8406141833333334, "verify_ms": 2.3184807666666667, "vo_kb": 143.327, "samples": 60, "status": "passed", "output": "/mnt/d/paper_source/work_9/VeriANN_repro_2026-09-30/VeriANN_repro_2026-09-30/results/work9-resource-matched-20261020/nytimes256/Ours/nytimes256-289761-curve-dense", "csv_sha256": "a9841d5d4191f76ef64349d10cb8e5ae8efa17ecefb4c19e3d3ae7e1ad006ef7", "target": 0.405, "selection": {"ef": 10, "probes": 1, "recall": 0.465, "valid": true, "pilot": "/mnt/d/paper_source/work_9/VeriANN_repro_2026-09-30/VeriANN_repro_2026-09-30/results/work9-resource-matched-20261020/search-pilots/nytimes256/Ours-pilot-289761-resource-phase0-15bab5a6d9"}}</t>
      </text>
    </comment>
    <comment ref="M53" authorId="7" shapeId="0">
      <text>
        <t>仅扩展曲线，不改变该方法约95%的默认配置。
{"k": 10, "ef": 11, "probes": 1, "recall": 0.51, "query_ms": 0.9834663833333332, "verify_ms": 2.4420751166666665, "vo_kb": 153.4566, "samples": 60, "status": "passed", "output": "/mnt/d/paper_source/work_9/VeriANN_repro_2026-09-30/VeriANN_repro_2026-09-30/results/work9-resource-matched-20261020/nytimes256/Ours/nytimes256-289761-curve-dense", "csv_sha256": "a9841d5d4191f76ef64349d10cb8e5ae8efa17ecefb4c19e3d3ae7e1ad006ef7", "target": 0.5, "selection": {"ef": 11, "probes": 1, "recall": 0.51, "valid": true, "pilot": "/mnt/d/paper_source/work_9/VeriANN_repro_2026-09-30/VeriANN_repro_2026-09-30/results/work9-resource-matched-20261020/search-pilots/nytimes256/Ours-pilot-289761-resource-phase0-15bab5a6d9"}}</t>
      </text>
    </comment>
    <comment ref="N53" authorId="7" shapeId="0">
      <text>
        <t>仅扩展曲线，不改变该方法约95%的默认配置。
{"k": 10, "ef": 13, "probes": 1, "recall": 0.5549999999999999, "query_ms": 1.0973660666666667, "verify_ms": 2.7583536, "vo_kb": 170.2738, "samples": 60, "status": "passed", "output": "/mnt/d/paper_source/work_9/VeriANN_repro_2026-09-30/VeriANN_repro_2026-09-30/results/work9-resource-matched-20261020/nytimes256/Ours/nytimes256-289761-curve-dense", "csv_sha256": "a9841d5d4191f76ef64349d10cb8e5ae8efa17ecefb4c19e3d3ae7e1ad006ef7", "target": 0.55, "selection": {"ef": 13, "probes": 1, "recall": 0.5549999999999999, "valid": true, "pilot": "/mnt/d/paper_source/work_9/VeriANN_repro_2026-09-30/VeriANN_repro_2026-09-30/results/work9-resource-matched-20261020/search-pilots/nytimes256/Ours-pilot-289761-resource-phase0-15bab5a6d9"}}</t>
      </text>
    </comment>
    <comment ref="O53" authorId="0" shapeId="0">
      <text>
        <t>NYTimes-256 N=289761, d=256; Ours; normalized angular; queries100..119 x3; single thread. Actual recall=0.61; source=/mnt/d/paper_source/work_9/VeriANN_repro_2026-09-30/VeriANN_repro_2026-09-30/results/work9-nytimes-20261017/nytimes256/Ours-curve-289761/per_query.csv</t>
      </text>
    </comment>
    <comment ref="P53" authorId="0" shapeId="0">
      <text>
        <t>NYTimes-256 N=289761, d=256; Ours; normalized angular; queries100..119 x3; single thread. Actual recall=0.7; source=/mnt/d/paper_source/work_9/VeriANN_repro_2026-09-30/VeriANN_repro_2026-09-30/results/work9-nytimes-20261017/nytimes256/Ours-curve-289761/per_query.csv</t>
      </text>
    </comment>
    <comment ref="Q53" authorId="0" shapeId="0">
      <text>
        <t>NYTimes-256 N=289761, d=256; Ours; normalized angular; queries100..119 x3; single thread. Actual recall=0.7; source=/mnt/d/paper_source/work_9/VeriANN_repro_2026-09-30/VeriANN_repro_2026-09-30/results/work9-nytimes-20261017/nytimes256/Ours-curve-289761/per_query.csv</t>
      </text>
    </comment>
    <comment ref="R53" authorId="0" shapeId="0">
      <text>
        <t>NYTimes-256 N=289761, d=256; Ours; normalized angular; queries100..119 x3; single thread. Actual recall=0.825; source=/mnt/d/paper_source/work_9/VeriANN_repro_2026-09-30/VeriANN_repro_2026-09-30/results/work9-nytimes-20261017/nytimes256/Ours-curve-289761/per_query.csv</t>
      </text>
    </comment>
    <comment ref="S53" authorId="0" shapeId="0">
      <text>
        <t>NYTimes-256 N=289761, d=256; Ours; normalized angular; queries100..119 x3; single thread. Actual recall=0.825; source=/mnt/d/paper_source/work_9/VeriANN_repro_2026-09-30/VeriANN_repro_2026-09-30/results/work9-nytimes-20261017/nytimes256/Ours-curve-289761/per_query.csv</t>
      </text>
    </comment>
    <comment ref="T53" authorId="0" shapeId="0">
      <text>
        <t>NYTimes-256 N=289761, d=256; Ours; normalized angular; queries100..119 x3; single thread. Actual recall=0.855; source=/mnt/d/paper_source/work_9/VeriANN_repro_2026-09-30/VeriANN_repro_2026-09-30/results/work9-nytimes-20261017/nytimes256/Ours-curve-289761/per_query.csv</t>
      </text>
    </comment>
    <comment ref="U53" authorId="0" shapeId="0">
      <text>
        <t>NYTimes-256 N=289761, d=256; Ours; normalized angular; queries100..119 x3; single thread. Actual recall=0.9049999999999999; source=/mnt/d/paper_source/work_9/VeriANN_repro_2026-09-30/VeriANN_repro_2026-09-30/results/work9-nytimes-20261017/nytimes256/Ours-curve-289761/per_query.csv</t>
      </text>
    </comment>
    <comment ref="V53" authorId="0" shapeId="0">
      <text>
        <t>NYTimes-256 N=289761, d=256; Ours; normalized angular; queries100..119 x3; single thread. Actual recall=0.955; source=/mnt/d/paper_source/work_9/VeriANN_repro_2026-09-30/VeriANN_repro_2026-09-30/results/work9-nytimes-20261017/nytimes256/Ours-curve-289761/per_query.csv</t>
      </text>
    </comment>
    <comment ref="W53" authorId="0" shapeId="0">
      <text>
        <t>NYTimes-256 N=289761, d=256; Ours; normalized angular; queries100..119 x3; single thread. Actual recall=0.9700000000000001; source=/mnt/d/paper_source/work_9/VeriANN_repro_2026-09-30/VeriANN_repro_2026-09-30/results/work9-nytimes-20261017/nytimes256/Ours-curve-289761/per_query.csv</t>
      </text>
    </comment>
    <comment ref="X53" authorId="0" shapeId="0">
      <text>
        <t>NYTimes-256 N=289761, d=256; Ours; normalized angular; queries100..119 x3; single thread. Actual recall=0.98; source=/mnt/d/paper_source/work_9/VeriANN_repro_2026-09-30/VeriANN_repro_2026-09-30/results/work9-nytimes-20261017/nytimes256/Ours-curve-289761/per_query.csv</t>
      </text>
    </comment>
    <comment ref="Y53" authorId="0" shapeId="0">
      <text>
        <t>NYTimes-256 N=289761, d=256; Ours; normalized angular; queries100..119 x3; single thread. Actual recall=1.0; source=/mnt/d/paper_source/work_9/VeriANN_repro_2026-09-30/VeriANN_repro_2026-09-30/results/work9-nytimes-20261017/nytimes256/Ours-curve-289761/per_query.csv</t>
      </text>
    </comment>
    <comment ref="F54" authorId="7" shapeId="0">
      <text>
        <t>仅扩展曲线，不改变该方法约95%的默认配置。
{"k": 10, "ef": 7, "probes": 1, "recall": 0.20500000000000002, "query_ms": 0.6952223333333333, "verify_ms": 1.9192721333333334, "vo_kb": 118.17160000000001, "samples": 60, "status": "passed", "output": "/mnt/d/paper_source/work_9/VeriANN_repro_2026-09-30/VeriANN_repro_2026-09-30/results/work9-resource-matched-20261020/nytimes256/Ours/nytimes256-289761-curve-dense", "csv_sha256": "a9841d5d4191f76ef64349d10cb8e5ae8efa17ecefb4c19e3d3ae7e1ad006ef7", "target": 0.2, "selection": {"ef": 7, "probes": 1, "recall": 0.205, "valid": true, "pilot": "/mnt/d/paper_source/work_9/VeriANN_repro_2026-09-30/VeriANN_repro_2026-09-30/results/work9-resource-matched-20261020/search-pilots/nytimes256/Ours-pilot-289761-resource-phase0-15bab5a6d9"}}</t>
      </text>
    </comment>
    <comment ref="G54" authorId="7" shapeId="0">
      <text>
        <t>仅扩展曲线，不改变该方法约95%的默认配置。
{"k": 10, "ef": 7, "probes": 1, "recall": 0.20500000000000002, "query_ms": 0.6952223333333333, "verify_ms": 1.9192721333333334, "vo_kb": 118.17160000000001, "samples": 60, "status": "passed", "output": "/mnt/d/paper_source/work_9/VeriANN_repro_2026-09-30/VeriANN_repro_2026-09-30/results/work9-resource-matched-20261020/nytimes256/Ours/nytimes256-289761-curve-dense", "csv_sha256": "a9841d5d4191f76ef64349d10cb8e5ae8efa17ecefb4c19e3d3ae7e1ad006ef7", "target": 0.2, "selection": {"ef": 7, "probes": 1, "recall": 0.205, "valid": true, "pilot": "/mnt/d/paper_source/work_9/VeriANN_repro_2026-09-30/VeriANN_repro_2026-09-30/results/work9-resource-matched-20261020/search-pilots/nytimes256/Ours-pilot-289761-resource-phase0-15bab5a6d9"}}</t>
      </text>
    </comment>
    <comment ref="H54" authorId="7" shapeId="0">
      <text>
        <t>仅扩展曲线，不改变该方法约95%的默认配置。
{"k": 10, "ef": 8, "probes": 1, "recall": 0.3, "query_ms": 0.7695199166666666, "verify_ms": 2.0790368, "vo_kb": 130.8116, "samples": 60, "status": "passed", "output": "/mnt/d/paper_source/work_9/VeriANN_repro_2026-09-30/VeriANN_repro_2026-09-30/results/work9-resource-matched-20261020/nytimes256/Ours/nytimes256-289761-curve-dense", "csv_sha256": "a9841d5d4191f76ef64349d10cb8e5ae8efa17ecefb4c19e3d3ae7e1ad006ef7", "target": 0.3, "selection": {"ef": 8, "probes": 1, "recall": 0.3, "valid": true, "pilot": "/mnt/d/paper_source/work_9/VeriANN_repro_2026-09-30/VeriANN_repro_2026-09-30/results/work9-resource-matched-20261020/search-pilots/nytimes256/Ours-pilot-289761-resource-phase0-15bab5a6d9"}}</t>
      </text>
    </comment>
    <comment ref="I54" authorId="7" shapeId="0">
      <text>
        <t>仅扩展曲线，不改变该方法约95%的默认配置。
{"k": 10, "ef": 8, "probes": 1, "recall": 0.3, "query_ms": 0.7695199166666666, "verify_ms": 2.0790368, "vo_kb": 130.8116, "samples": 60, "status": "passed", "output": "/mnt/d/paper_source/work_9/VeriANN_repro_2026-09-30/VeriANN_repro_2026-09-30/results/work9-resource-matched-20261020/nytimes256/Ours/nytimes256-289761-curve-dense", "csv_sha256": "a9841d5d4191f76ef64349d10cb8e5ae8efa17ecefb4c19e3d3ae7e1ad006ef7", "target": 0.3, "selection": {"ef": 8, "probes": 1, "recall": 0.3, "valid": true, "pilot": "/mnt/d/paper_source/work_9/VeriANN_repro_2026-09-30/VeriANN_repro_2026-09-30/results/work9-resource-matched-20261020/search-pilots/nytimes256/Ours-pilot-289761-resource-phase0-15bab5a6d9"}}</t>
      </text>
    </comment>
    <comment ref="J54" authorId="7" shapeId="0">
      <text>
        <t>仅扩展曲线，不改变该方法约95%的默认配置。
{"k": 10, "ef": 9, "probes": 1, "recall": 0.4, "query_ms": 0.8020659333333333, "verify_ms": 2.29411655, "vo_kb": 137.0668, "samples": 60, "status": "passed", "output": "/mnt/d/paper_source/work_9/VeriANN_repro_2026-09-30/VeriANN_repro_2026-09-30/results/work9-resource-matched-20261020/nytimes256/Ours/nytimes256-289761-curve-dense", "csv_sha256": "a9841d5d4191f76ef64349d10cb8e5ae8efa17ecefb4c19e3d3ae7e1ad006ef7", "target": 0.4, "selection": {"ef": 9, "probes": 1, "recall": 0.4, "valid": true, "pilot": "/mnt/d/paper_source/work_9/VeriANN_repro_2026-09-30/VeriANN_repro_2026-09-30/results/work9-resource-matched-20261020/search-pilots/nytimes256/Ours-pilot-289761-resource-phase0-15bab5a6d9"}}</t>
      </text>
    </comment>
    <comment ref="K54" authorId="7" shapeId="0">
      <text>
        <t>仅扩展曲线，不改变该方法约95%的默认配置。
{"k": 10, "ef": 9, "probes": 1, "recall": 0.4, "query_ms": 0.8020659333333333, "verify_ms": 2.29411655, "vo_kb": 137.0668, "samples": 60, "status": "passed", "output": "/mnt/d/paper_source/work_9/VeriANN_repro_2026-09-30/VeriANN_repro_2026-09-30/results/work9-resource-matched-20261020/nytimes256/Ours/nytimes256-289761-curve-dense", "csv_sha256": "a9841d5d4191f76ef64349d10cb8e5ae8efa17ecefb4c19e3d3ae7e1ad006ef7", "target": 0.4, "selection": {"ef": 9, "probes": 1, "recall": 0.4, "valid": true, "pilot": "/mnt/d/paper_source/work_9/VeriANN_repro_2026-09-30/VeriANN_repro_2026-09-30/results/work9-resource-matched-20261020/search-pilots/nytimes256/Ours-pilot-289761-resource-phase0-15bab5a6d9"}}</t>
      </text>
    </comment>
    <comment ref="L54" authorId="7" shapeId="0">
      <text>
        <t>仅扩展曲线，不改变该方法约95%的默认配置。
{"k": 10, "ef": 10, "probes": 1, "recall": 0.46499999999999997, "query_ms": 0.8406141833333334, "verify_ms": 2.3184807666666667, "vo_kb": 143.327, "samples": 60, "status": "passed", "output": "/mnt/d/paper_source/work_9/VeriANN_repro_2026-09-30/VeriANN_repro_2026-09-30/results/work9-resource-matched-20261020/nytimes256/Ours/nytimes256-289761-curve-dense", "csv_sha256": "a9841d5d4191f76ef64349d10cb8e5ae8efa17ecefb4c19e3d3ae7e1ad006ef7", "target": 0.405, "selection": {"ef": 10, "probes": 1, "recall": 0.465, "valid": true, "pilot": "/mnt/d/paper_source/work_9/VeriANN_repro_2026-09-30/VeriANN_repro_2026-09-30/results/work9-resource-matched-20261020/search-pilots/nytimes256/Ours-pilot-289761-resource-phase0-15bab5a6d9"}}</t>
      </text>
    </comment>
    <comment ref="M54" authorId="7" shapeId="0">
      <text>
        <t>仅扩展曲线，不改变该方法约95%的默认配置。
{"k": 10, "ef": 11, "probes": 1, "recall": 0.51, "query_ms": 0.9834663833333332, "verify_ms": 2.4420751166666665, "vo_kb": 153.4566, "samples": 60, "status": "passed", "output": "/mnt/d/paper_source/work_9/VeriANN_repro_2026-09-30/VeriANN_repro_2026-09-30/results/work9-resource-matched-20261020/nytimes256/Ours/nytimes256-289761-curve-dense", "csv_sha256": "a9841d5d4191f76ef64349d10cb8e5ae8efa17ecefb4c19e3d3ae7e1ad006ef7", "target": 0.5, "selection": {"ef": 11, "probes": 1, "recall": 0.51, "valid": true, "pilot": "/mnt/d/paper_source/work_9/VeriANN_repro_2026-09-30/VeriANN_repro_2026-09-30/results/work9-resource-matched-20261020/search-pilots/nytimes256/Ours-pilot-289761-resource-phase0-15bab5a6d9"}}</t>
      </text>
    </comment>
    <comment ref="N54" authorId="7" shapeId="0">
      <text>
        <t>仅扩展曲线，不改变该方法约95%的默认配置。
{"k": 10, "ef": 13, "probes": 1, "recall": 0.5549999999999999, "query_ms": 1.0973660666666667, "verify_ms": 2.7583536, "vo_kb": 170.2738, "samples": 60, "status": "passed", "output": "/mnt/d/paper_source/work_9/VeriANN_repro_2026-09-30/VeriANN_repro_2026-09-30/results/work9-resource-matched-20261020/nytimes256/Ours/nytimes256-289761-curve-dense", "csv_sha256": "a9841d5d4191f76ef64349d10cb8e5ae8efa17ecefb4c19e3d3ae7e1ad006ef7", "target": 0.55, "selection": {"ef": 13, "probes": 1, "recall": 0.5549999999999999, "valid": true, "pilot": "/mnt/d/paper_source/work_9/VeriANN_repro_2026-09-30/VeriANN_repro_2026-09-30/results/work9-resource-matched-20261020/search-pilots/nytimes256/Ours-pilot-289761-resource-phase0-15bab5a6d9"}}</t>
      </text>
    </comment>
    <comment ref="O54" authorId="0" shapeId="0">
      <text>
        <t>NYTimes-256 N=289761, d=256; Ours; normalized angular; queries100..119 x3; single thread. Actual recall=0.61; source=/mnt/d/paper_source/work_9/VeriANN_repro_2026-09-30/VeriANN_repro_2026-09-30/results/work9-nytimes-20261017/nytimes256/Ours-curve-289761/per_query.csv</t>
      </text>
    </comment>
    <comment ref="P54" authorId="0" shapeId="0">
      <text>
        <t>NYTimes-256 N=289761, d=256; Ours; normalized angular; queries100..119 x3; single thread. Actual recall=0.7; source=/mnt/d/paper_source/work_9/VeriANN_repro_2026-09-30/VeriANN_repro_2026-09-30/results/work9-nytimes-20261017/nytimes256/Ours-curve-289761/per_query.csv</t>
      </text>
    </comment>
    <comment ref="Q54" authorId="0" shapeId="0">
      <text>
        <t>NYTimes-256 N=289761, d=256; Ours; normalized angular; queries100..119 x3; single thread. Actual recall=0.7; source=/mnt/d/paper_source/work_9/VeriANN_repro_2026-09-30/VeriANN_repro_2026-09-30/results/work9-nytimes-20261017/nytimes256/Ours-curve-289761/per_query.csv</t>
      </text>
    </comment>
    <comment ref="R54" authorId="0" shapeId="0">
      <text>
        <t>NYTimes-256 N=289761, d=256; Ours; normalized angular; queries100..119 x3; single thread. Actual recall=0.825; source=/mnt/d/paper_source/work_9/VeriANN_repro_2026-09-30/VeriANN_repro_2026-09-30/results/work9-nytimes-20261017/nytimes256/Ours-curve-289761/per_query.csv</t>
      </text>
    </comment>
    <comment ref="S54" authorId="0" shapeId="0">
      <text>
        <t>NYTimes-256 N=289761, d=256; Ours; normalized angular; queries100..119 x3; single thread. Actual recall=0.825; source=/mnt/d/paper_source/work_9/VeriANN_repro_2026-09-30/VeriANN_repro_2026-09-30/results/work9-nytimes-20261017/nytimes256/Ours-curve-289761/per_query.csv</t>
      </text>
    </comment>
    <comment ref="T54" authorId="0" shapeId="0">
      <text>
        <t>NYTimes-256 N=289761, d=256; Ours; normalized angular; queries100..119 x3; single thread. Actual recall=0.855; source=/mnt/d/paper_source/work_9/VeriANN_repro_2026-09-30/VeriANN_repro_2026-09-30/results/work9-nytimes-20261017/nytimes256/Ours-curve-289761/per_query.csv</t>
      </text>
    </comment>
    <comment ref="U54" authorId="0" shapeId="0">
      <text>
        <t>NYTimes-256 N=289761, d=256; Ours; normalized angular; queries100..119 x3; single thread. Actual recall=0.9049999999999999; source=/mnt/d/paper_source/work_9/VeriANN_repro_2026-09-30/VeriANN_repro_2026-09-30/results/work9-nytimes-20261017/nytimes256/Ours-curve-289761/per_query.csv</t>
      </text>
    </comment>
    <comment ref="V54" authorId="0" shapeId="0">
      <text>
        <t>NYTimes-256 N=289761, d=256; Ours; normalized angular; queries100..119 x3; single thread. Actual recall=0.955; source=/mnt/d/paper_source/work_9/VeriANN_repro_2026-09-30/VeriANN_repro_2026-09-30/results/work9-nytimes-20261017/nytimes256/Ours-curve-289761/per_query.csv</t>
      </text>
    </comment>
    <comment ref="W54" authorId="0" shapeId="0">
      <text>
        <t>NYTimes-256 N=289761, d=256; Ours; normalized angular; queries100..119 x3; single thread. Actual recall=0.9700000000000001; source=/mnt/d/paper_source/work_9/VeriANN_repro_2026-09-30/VeriANN_repro_2026-09-30/results/work9-nytimes-20261017/nytimes256/Ours-curve-289761/per_query.csv</t>
      </text>
    </comment>
    <comment ref="X54" authorId="0" shapeId="0">
      <text>
        <t>NYTimes-256 N=289761, d=256; Ours; normalized angular; queries100..119 x3; single thread. Actual recall=0.98; source=/mnt/d/paper_source/work_9/VeriANN_repro_2026-09-30/VeriANN_repro_2026-09-30/results/work9-nytimes-20261017/nytimes256/Ours-curve-289761/per_query.csv</t>
      </text>
    </comment>
    <comment ref="Y54" authorId="0" shapeId="0">
      <text>
        <t>NYTimes-256 N=289761, d=256; Ours; normalized angular; queries100..119 x3; single thread. Actual recall=1.0; source=/mnt/d/paper_source/work_9/VeriANN_repro_2026-09-30/VeriANN_repro_2026-09-30/results/work9-nytimes-20261017/nytimes256/Ours-curve-289761/per_query.csv</t>
      </text>
    </comment>
    <comment ref="F55"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G55"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H55"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I55"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J55"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2, "k": 10, "samples": 1, "query": 100, "repeat": 0, "query_ms": 58626.753393000035, "verify_ms": 11.487213999998858, "vo_kb": 209.394, "single_query_recall": 0.2, "build_seconds": 18.990074529, "prove_seconds": 37.535014848, "output": "/mnt/d/paper_source/work_9/VeriANN_repro_2026-09-30/VeriANN_repro_2026-09-30/results/work9-v3db-lowrecall-20261020/nytimes256-289761-p2-k10-q1-r1-t1", "csv_sha256": "9b4fbf97e3857f87ade48e13736463fea3599a2bd6a138a2c4c4335d4463ecb7", "selection": "fixed query100 repeat0; not selected by runtime", "reused_existing_sample": false, "recall20": 0.35, "recall_source": "/mnt/d/paper_source/work_9/VeriANN_repro_2026-09-30/VeriANN_repro_2026-09-30/V3DB-26VLDB/work9-cache/nytimes256-289761/calibration.json", "recall_query_count": 20, "recall_scope": "search calibration only; timing/VO use one fixed query, not 20 proofs", "kind": "curve"}</t>
      </text>
    </comment>
    <comment ref="K55" authorId="8" shapeId="0">
      <text>
        <t>固定query100单次真实出证；Recall为同配置20条搜索校准。可调整PQ M/K与probe；不代表主表默认索引配置。
{"status":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text>
    </comment>
    <comment ref="L55" authorId="8" shapeId="0">
      <text>
        <t>固定query100单次真实出证；Recall为同配置20条搜索校准。可调整PQ M/K与probe；不代表主表默认索引配置。
{"status":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text>
    </comment>
    <comment ref="M55" authorId="8" shapeId="0">
      <text>
        <t>固定query100单次真实出证；Recall为同配置20条搜索校准。可调整PQ M/K与probe；不代表主表默认索引配置。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1, "k": 10, "samples": 1, "query": 100, "repeat": 0, "query_ms": 242087.28415399994, "verify_ms": 12.754877999896053, "vo_kb": 214.815, "single_query_recall": 0.2, "build_seconds": 77.535410398, "prove_seconds": 152.129587529, "output": "/mnt/d/paper_source/work_9/VeriANN_repro_2026-09-30/VeriANN_repro_2026-09-30/results/work9-v3db-single-20261020/nytimes256-289761-M256-p1-k10-q1-r1-t1", "csv_sha256": "b868d8122065fcbbe8a532d8f2e654ab1f50f8c654b0b48f55c5d1b3921e8802", "selection": "fixed query100 repeat0; not selected by runtime", "reused_existing_sample": false, "recall20": 0.5149999999999999, "recall_source": "/mnt/d/paper_source/work_9/VeriANN_repro_2026-09-30/VeriANN_repro_2026-09-30/V3DB-26VLDB/work9-cache/nytimes256-289761-M256/calibration.json", "recall_query_count": 20, "recall_scope": "search calibration only; timing/VO use one fixed query, not 20 proofs", "kind": "curve"}</t>
      </text>
    </comment>
    <comment ref="N55" authorId="8" shapeId="0">
      <text>
        <t>固定query100单次真实出证；Recall为同配置20条搜索校准。可调整PQ M/K与probe；不代表主表默认索引配置。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text>
    </comment>
    <comment ref="O55" authorId="9" shapeId="0">
      <text>
        <t>†为同配置20条搜索校准召回，不是预测召回。
{
  "kind": "curve",
  "dataset": "nytimes256",
  "sheet": "NYTimes-256",
  "column": 15,
  "target": 0.6,
  "choice": {
    "status": "conditional_forecast",
    "config": {
      "dataset": "nytimes256",
      "source": "nytimes256",
      "N": 289761,
      "D": 256,
      "n_list": 512,
      "M": 128,
      "K": 256,
      "n_iter": 25,
      "seed": 0,
      "capacity": 2048,
      "query_offset": 100,
      "query_count": 20,
      "scale": 65536,
      "rebalance": "author algorithm with identical row-chunk distances"
    },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
      "query_ms": [
        273363.9774640253,
        1093455.9098561013
      ],
      "verify_ms": [
        12.49752972753041,
        49.99011891012164
      ],
      "vo_kb": [
        227.21265000000002,
        307.40535
      ]
    },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
      "query_ms": [
        273363.9774640253,
        1093455.9098561013
      ],
      "verify_ms": [
        12.49752972753041,
        49.99011891012164
      ],
      "vo_kb": [
        227.21265000000002,
        307.40535
      ]
    },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
}</t>
      </text>
    </comment>
    <comment ref="P55" authorId="9" shapeId="0">
      <text>
        <t>†为同配置20条搜索校准召回，不是预测召回。
{
  "kind": "curve",
  "dataset": "nytimes256",
  "sheet": "NYTimes-256",
  "column": 16,
  "target": 0.65,
  "choice": {
    "status": "conditional_forecast",
    "config": {
      "dataset": "nytimes256",
      "source": "nytimes256",
      "N": 289761,
      "D": 256,
      "n_list": 512,
      "M": 64,
      "K": 256,
      "n_iter": 25,
      "seed": 0,
      "capacity": 2048,
      "query_offset": 100,
      "query_count": 20,
      "scale": 65536,
      "rebalance": "author algorithm with identical row-chunk distances"
    },
    "n_probe": 16,
    "k": 10,
    "gates": 2091784,
    "gate_source": "structural estimate",
    "domain_bits": 21,
    "guard_domain_bits": 22,
    "proof_phase_memory_estimate_GiB": 64.7032241821289,
    "planned_machine_memory_GiB": 232.20451202392576,
    "fits_512GiB_scenario": true,
    "query_ms": 1148128.705348906,
    "verify_ms": 30.62680797835178,
    "vo_kb": 472.128,
    "declared_sensitivity": {
      "query_ms": [
        574064.352674453,
        2296257.410697812
      ],
      "verify_ms": [
        15.31340398917589,
        61.25361595670356
      ],
      "vo_kb": [
        401.30879999999996,
        542.9472
      ]
    },
    "label": "512GiB条件预测，未在512GiB机器实测",
    "recall_scope": "existing search calibration only",
    "model": "nytimes256-289761-M64",
    "recall": 0.655,
    "recall_source": "/mnt/d/paper_source/work_9/VeriANN_repro_2026-09-30/VeriANN_repro_2026-09-30/V3DB-26VLDB/work9-cache/nytimes256-289761-M64/calibration.json",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8,
    "k": 10,
    "gates": 1952373,
    "gate_source": "structural estimate",
    "domain_bits": 21,
    "guard_domain_bits": 22,
    "proof_phase_memory_estimate_GiB": 64.7032241821289,
    "planned_machine_memory_GiB": 232.20451202392576,
    "fits_512GiB_scenario": true,
    "query_ms": 1148128.705348906,
    "verify_ms": 27.63847230647678,
    "vo_kb": 341.056,
    "declared_sensitivity": {
      "query_ms": [
        574064.352674453,
        2296257.410697812
      ],
      "verify_ms": [
        13.81923615323839,
        55.27694461295356
      ],
      "vo_kb": [
        289.89759999999995,
        392.21439999999996
      ]
    },
    "label": "512GiB条件预测，未在512GiB机器实测",
    "recall_scope": "existing search calibration only",
    "model": "nytimes256-289761-M128",
    "recall": 0.66,
    "recall_source": "/mnt/d/paper_source/work_9/VeriANN_repro_2026-09-30/VeriANN_repro_2026-09-30/V3DB-26VLDB/work9-cache/nytimes256-289761-M128/calibration.json",
    "recall_queries": 20
  }
}</t>
      </text>
    </comment>
    <comment ref="Q55" authorId="9" shapeId="0">
      <text>
        <t>†为同配置20条搜索校准召回，不是预测召回。
{
  "kind": "curve",
  "dataset": "nytimes256",
  "sheet": "NYTimes-256",
  "column": 17,
  "target": 0.7,
  "choice": {
    "status": "conditional_forecast",
    "config": {
      "dataset": "nytimes256",
      "source": "nytimes256",
      "N": 289761,
      "D": 256,
      "n_list": 512,
      "M": 64,
      "K": 256,
      "n_iter": 25,
      "seed": 0,
      "capacity": 2048,
      "query_offset": 100,
      "query_count": 20,
      "scale": 65536,
      "rebalance": "author algorithm with identical row-chunk distances"
    },
    "n_probe": 32,
    "k": 10,
    "gates": 4137582,
    "gate_source": "structural estimate",
    "domain_bits": 22,
    "guard_domain_bits": 23,
    "proof_phase_memory_estimate_GiB": 129.4064483642578,
    "planned_machine_memory_GiB": 432.4090240478515,
    "fits_512GiB_scenario": true,
    "query_ms": 2405603.0016834224,
    "verify_ms": 37.75272433758025,
    "vo_kb": 742.483,
    "declared_sensitivity": {
      "query_ms": [
        1202801.5008417112,
        4811206.003366845
      ],
      "verify_ms": [
        18.876362168790124,
        75.5054486751605
      ],
      "vo_kb": [
        631.11055,
        853.8554499999999
      ]
    },
    "label": "512GiB条件预测，未在512GiB机器实测",
    "recall_scope": "existing search calibration only",
    "model": "nytimes256-289761-M64",
    "recall": 0.72,
    "recall_source": "/mnt/d/paper_source/work_9/VeriANN_repro_2026-09-30/VeriANN_repro_2026-09-30/V3DB-26VLDB/work9-cache/nytimes256-289761-M64/calibration.json",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t>
      </text>
    </comment>
    <comment ref="R55" authorId="9" shapeId="0">
      <text>
        <t>†为同配置20条搜索校准召回，不是预测召回。
{
  "kind": "curve",
  "dataset": "nytimes256",
  "sheet": "NYTimes-256",
  "column": 18,
  "target": 0.75,
  "choice":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t>
      </text>
    </comment>
    <comment ref="S55" authorId="9" shapeId="0">
      <text>
        <t>按用户要求留空；具体原因如下。
{
  "kind": "curve",
  "dataset": "nytimes256",
  "sheet": "NYTimes-256",
  "column": 19,
  "target": 0.8,
  "choice": null,
  "reason": "all calibrated configurations reaching this target exceed the declared 512GiB planning envelope",
  "smallest_memory_reaching_target": {
    "status": "outside_512GiB_scenario",
    "config": {
      "dataset": "nytimes256",
      "source": "nytimes256",
      "N": 289761,
      "D": 256,
      "n_list": 512,
      "M": 128,
      "K": 256,
      "n_iter": 25,
      "seed": 0,
      "capacity": 2048,
      "query_offset": 100,
      "query_count": 20,
      "scale": 65536,
      "rebalance": "author algorithm with identical row-chunk distances"
    },
    "n_probe": 32,
    "k": 10,
    "gates": 7671536,
    "gate_source": "structural estimate",
    "domain_bits": 23,
    "guard_domain_bits": 24,
    "proof_phase_memory_estimate_GiB": 258.8128967285156,
    "planned_machine_memory_GiB": 832.818048095703,
    "fits_512GiB_scenario": false,
    "query_ms": 5029897.185338065,
    "verify_ms": 38.9019693530587,
    "vo_kb": 750.694,
    "declared_sensitivity": {
      "query_ms": [
        2514948.5926690325,
        10059794.37067613
      ],
      "verify_ms": [
        19.45098467652935,
        77.8039387061174
      ],
      "vo_kb": [
        638.0899,
        863.2980999999999
      ]
    },
    "label": "512GiB条件预测，未在512GiB机器实测",
    "recall_scope": "existing search calibration only",
    "model": "nytimes256-289761-M128",
    "recall": 0.8250000000000002,
    "recall_source": "/mnt/d/paper_source/work_9/VeriANN_repro_2026-09-30/VeriANN_repro_2026-09-30/V3DB-26VLDB/work9-cache/nytimes256-289761-M128/calibration.json",
    "recall_queries": 20
  }
}</t>
      </text>
    </comment>
    <comment ref="T55" authorId="9" shapeId="0">
      <text>
        <t>按用户要求留空；具体原因如下。
{
  "kind": "curve",
  "dataset": "nytimes256",
  "sheet": "NYTimes-256",
  "column": 20,
  "target": 0.85,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32,
    "k": 10,
    "gates": 14739445,
    "gate_source": "structural estimate",
    "domain_bits": 24,
    "guard_domain_bits": 24,
    "proof_phase_memory_estimate_GiB": 517.6257934570312,
    "planned_machine_memory_GiB": 832.818048095703,
    "fits_512GiB_scenario": false,
    "query_ms": 10497176.73461857,
    "verify_ms": 40.05121436853717,
    "vo_kb": 758.905,
    "declared_sensitivity": {
      "query_ms": [
        5248588.367309285,
        20994353.46923714
      ],
      "verify_ms": [
        20.025607184268583,
        80.10242873707433
      ],
      "vo_kb": [
        645.06925,
        872.7407499999999
      ]
    },
    "label": "512GiB条件预测，未在512GiB机器实测",
    "recall_scope": "existing search calibration only",
    "model": "nytimes256-289761-M256",
    "recall": 0.8500000000000002,
    "recall_source": "/mnt/d/paper_source/work_9/VeriANN_repro_2026-09-30/VeriANN_repro_2026-09-30/V3DB-26VLDB/work9-cache/nytimes256-289761-M256/calibration.json",
    "recall_queries": 20
  }
}</t>
      </text>
    </comment>
    <comment ref="U55" authorId="9" shapeId="0">
      <text>
        <t>按用户要求留空；具体原因如下。
{
  "kind": "curve",
  "dataset": "nytimes256",
  "sheet": "NYTimes-256",
  "column": 21,
  "target": 0.9,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128,
    "k": 10,
    "gates": 58819823,
    "gate_source": "structural estimate",
    "domain_bits": 26,
    "guard_domain_bits": 26,
    "proof_phase_memory_estimate_GiB": 2070.503173828125,
    "planned_machine_memory_GiB": 3235.272192382812,
    "fits_512GiB_scenario": false,
    "query_ms": 45487765.85001381,
    "verify_ms": 78.2097324619941,
    "vo_kb": 2348.191,
    "declared_sensitivity": {
      "query_ms": [
        22743882.925006904,
        90975531.70002761
      ],
      "verify_ms": [
        39.10486623099705,
        156.4194649239882
      ],
      "vo_kb": [
        1995.9623499999998,
        2700.4196499999994
      ]
    },
    "label": "512GiB条件预测，未在512GiB机器实测",
    "recall_scope": "existing search calibration only",
    "model": "nytimes256-289761-M256",
    "recall": 0.915,
    "recall_source": "/mnt/d/paper_source/work_9/VeriANN_repro_2026-09-30/VeriANN_repro_2026-09-30/V3DB-26VLDB/work9-cache/nytimes256-289761-M256/calibration.json",
    "recall_queries": 20
  }
}</t>
      </text>
    </comment>
    <comment ref="V55" authorId="9" shapeId="0">
      <text>
        <t>按用户要求留空；具体原因如下。
{
  "kind": "curve",
  "dataset": "nytimes256",
  "sheet": "NYTimes-256",
  "column": 22,
  "target": 0.95,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
      "query_ms": [
        47237295.30578357,
        188949181.22313428
      ],
      "verify_ms": [
        63.58617411373628,
        254.3446964549451
      ],
      "vo_kb": [
        3785.5209,
        5121.5871
      ]
    },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
  }
}</t>
      </text>
    </comment>
    <comment ref="W55" authorId="9" shapeId="0">
      <text>
        <t>按用户要求留空；具体原因如下。
{
  "kind": "curve",
  "dataset": "nytimes256",
  "sheet": "NYTimes-256",
  "column": 23,
  "target": 0.97,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
      "query_ms": [
        47237295.30578357,
        188949181.22313428
      ],
      "verify_ms": [
        63.58617411373628,
        254.3446964549451
      ],
      "vo_kb": [
        3785.5209,
        5121.5871
      ]
    },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
  }
}</t>
      </text>
    </comment>
    <comment ref="X55" authorId="9" shapeId="0">
      <text>
        <t>按用户要求留空；具体原因如下。
{
  "kind": "curve",
  "dataset": "nytimes256",
  "sheet": "NYTimes-256",
  "column": 24,
  "target": 0.98,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
      "query_ms": [
        97973649.52310666,
        391894598.09242666
      ],
      "verify_ms": [
        111.97416737147552,
        447.89666948590207
      ],
      "vo_kb": [
        7357.658649999999,
        9954.479349999998
      ]
    },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
  }
}</t>
      </text>
    </comment>
    <comment ref="Y55" authorId="9" shapeId="0">
      <text>
        <t>按用户要求留空；具体原因如下。
{
  "kind": "curve",
  "dataset": "nytimes256",
  "sheet": "NYTimes-256",
  "column": 25,
  "target": 0.99,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
      "query_ms": [
        97973649.52310666,
        391894598.09242666
      ],
      "verify_ms": [
        111.97416737147552,
        447.89666948590207
      ],
      "vo_kb": [
        7357.658649999999,
        9954.479349999998
      ]
    },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
  }
}</t>
      </text>
    </comment>
    <comment ref="F56"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G56"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H56"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I56"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J56"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2, "k": 10, "samples": 1, "query": 100, "repeat": 0, "query_ms": 58626.753393000035, "verify_ms": 11.487213999998858, "vo_kb": 209.394, "single_query_recall": 0.2, "build_seconds": 18.990074529, "prove_seconds": 37.535014848, "output": "/mnt/d/paper_source/work_9/VeriANN_repro_2026-09-30/VeriANN_repro_2026-09-30/results/work9-v3db-lowrecall-20261020/nytimes256-289761-p2-k10-q1-r1-t1", "csv_sha256": "9b4fbf97e3857f87ade48e13736463fea3599a2bd6a138a2c4c4335d4463ecb7", "selection": "fixed query100 repeat0; not selected by runtime", "reused_existing_sample": false, "recall20": 0.35, "recall_source": "/mnt/d/paper_source/work_9/VeriANN_repro_2026-09-30/VeriANN_repro_2026-09-30/V3DB-26VLDB/work9-cache/nytimes256-289761/calibration.json", "recall_query_count": 20, "recall_scope": "search calibration only; timing/VO use one fixed query, not 20 proofs", "kind": "curve"}</t>
      </text>
    </comment>
    <comment ref="K56" authorId="8" shapeId="0">
      <text>
        <t>固定query100单次真实出证；Recall为同配置20条搜索校准。可调整PQ M/K与probe；不代表主表默认索引配置。
{"status":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text>
    </comment>
    <comment ref="L56" authorId="8" shapeId="0">
      <text>
        <t>固定query100单次真实出证；Recall为同配置20条搜索校准。可调整PQ M/K与probe；不代表主表默认索引配置。
{"status":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text>
    </comment>
    <comment ref="M56" authorId="8" shapeId="0">
      <text>
        <t>固定query100单次真实出证；Recall为同配置20条搜索校准。可调整PQ M/K与probe；不代表主表默认索引配置。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1, "k": 10, "samples": 1, "query": 100, "repeat": 0, "query_ms": 242087.28415399994, "verify_ms": 12.754877999896053, "vo_kb": 214.815, "single_query_recall": 0.2, "build_seconds": 77.535410398, "prove_seconds": 152.129587529, "output": "/mnt/d/paper_source/work_9/VeriANN_repro_2026-09-30/VeriANN_repro_2026-09-30/results/work9-v3db-single-20261020/nytimes256-289761-M256-p1-k10-q1-r1-t1", "csv_sha256": "b868d8122065fcbbe8a532d8f2e654ab1f50f8c654b0b48f55c5d1b3921e8802", "selection": "fixed query100 repeat0; not selected by runtime", "reused_existing_sample": false, "recall20": 0.5149999999999999, "recall_source": "/mnt/d/paper_source/work_9/VeriANN_repro_2026-09-30/VeriANN_repro_2026-09-30/V3DB-26VLDB/work9-cache/nytimes256-289761-M256/calibration.json", "recall_query_count": 20, "recall_scope": "search calibration only; timing/VO use one fixed query, not 20 proofs", "kind": "curve"}</t>
      </text>
    </comment>
    <comment ref="N56" authorId="8" shapeId="0">
      <text>
        <t>固定query100单次真实出证；Recall为同配置20条搜索校准。可调整PQ M/K与probe；不代表主表默认索引配置。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text>
    </comment>
    <comment ref="O56" authorId="9" shapeId="0">
      <text>
        <t>512GiB条件预测（*），不是实测。仍假设单线程、相近单核速度、无换页。
{
  "kind": "curve",
  "dataset": "nytimes256",
  "sheet": "NYTimes-256",
  "column": 15,
  "target": 0.6,
  "choice": {
    "status": "conditional_forecast",
    "config": {
      "dataset": "nytimes256",
      "source": "nytimes256",
      "N": 289761,
      "D": 256,
      "n_list": 512,
      "M": 128,
      "K": 256,
      "n_iter": 25,
      "seed": 0,
      "capacity": 2048,
      "query_offset": 100,
      "query_count": 20,
      "scale": 65536,
      "rebalance": "author algorithm with identical row-chunk distances"
    },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
      "query_ms": [
        273363.9774640253,
        1093455.9098561013
      ],
      "verify_ms": [
        12.49752972753041,
        49.99011891012164
      ],
      "vo_kb": [
        227.21265000000002,
        307.40535
      ]
    },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
      "query_ms": [
        273363.9774640253,
        1093455.9098561013
      ],
      "verify_ms": [
        12.49752972753041,
        49.99011891012164
      ],
      "vo_kb": [
        227.21265000000002,
        307.40535
      ]
    },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
}</t>
      </text>
    </comment>
    <comment ref="P56" authorId="9" shapeId="0">
      <text>
        <t>512GiB条件预测（*），不是实测。仍假设单线程、相近单核速度、无换页。
{
  "kind": "curve",
  "dataset": "nytimes256",
  "sheet": "NYTimes-256",
  "column": 16,
  "target": 0.65,
  "choice": {
    "status": "conditional_forecast",
    "config": {
      "dataset": "nytimes256",
      "source": "nytimes256",
      "N": 289761,
      "D": 256,
      "n_list": 512,
      "M": 64,
      "K": 256,
      "n_iter": 25,
      "seed": 0,
      "capacity": 2048,
      "query_offset": 100,
      "query_count": 20,
      "scale": 65536,
      "rebalance": "author algorithm with identical row-chunk distances"
    },
    "n_probe": 16,
    "k": 10,
    "gates": 2091784,
    "gate_source": "structural estimate",
    "domain_bits": 21,
    "guard_domain_bits": 22,
    "proof_phase_memory_estimate_GiB": 64.7032241821289,
    "planned_machine_memory_GiB": 232.20451202392576,
    "fits_512GiB_scenario": true,
    "query_ms": 1148128.705348906,
    "verify_ms": 30.62680797835178,
    "vo_kb": 472.128,
    "declared_sensitivity": {
      "query_ms": [
        574064.352674453,
        2296257.410697812
      ],
      "verify_ms": [
        15.31340398917589,
        61.25361595670356
      ],
      "vo_kb": [
        401.30879999999996,
        542.9472
      ]
    },
    "label": "512GiB条件预测，未在512GiB机器实测",
    "recall_scope": "existing search calibration only",
    "model": "nytimes256-289761-M64",
    "recall": 0.655,
    "recall_source": "/mnt/d/paper_source/work_9/VeriANN_repro_2026-09-30/VeriANN_repro_2026-09-30/V3DB-26VLDB/work9-cache/nytimes256-289761-M64/calibration.json",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8,
    "k": 10,
    "gates": 1952373,
    "gate_source": "structural estimate",
    "domain_bits": 21,
    "guard_domain_bits": 22,
    "proof_phase_memory_estimate_GiB": 64.7032241821289,
    "planned_machine_memory_GiB": 232.20451202392576,
    "fits_512GiB_scenario": true,
    "query_ms": 1148128.705348906,
    "verify_ms": 27.63847230647678,
    "vo_kb": 341.056,
    "declared_sensitivity": {
      "query_ms": [
        574064.352674453,
        2296257.410697812
      ],
      "verify_ms": [
        13.81923615323839,
        55.27694461295356
      ],
      "vo_kb": [
        289.89759999999995,
        392.21439999999996
      ]
    },
    "label": "512GiB条件预测，未在512GiB机器实测",
    "recall_scope": "existing search calibration only",
    "model": "nytimes256-289761-M128",
    "recall": 0.66,
    "recall_source": "/mnt/d/paper_source/work_9/VeriANN_repro_2026-09-30/VeriANN_repro_2026-09-30/V3DB-26VLDB/work9-cache/nytimes256-289761-M128/calibration.json",
    "recall_queries": 20
  }
}</t>
      </text>
    </comment>
    <comment ref="Q56" authorId="9" shapeId="0">
      <text>
        <t>512GiB条件预测（*），不是实测。仍假设单线程、相近单核速度、无换页。
{
  "kind": "curve",
  "dataset": "nytimes256",
  "sheet": "NYTimes-256",
  "column": 17,
  "target": 0.7,
  "choice": {
    "status": "conditional_forecast",
    "config": {
      "dataset": "nytimes256",
      "source": "nytimes256",
      "N": 289761,
      "D": 256,
      "n_list": 512,
      "M": 64,
      "K": 256,
      "n_iter": 25,
      "seed": 0,
      "capacity": 2048,
      "query_offset": 100,
      "query_count": 20,
      "scale": 65536,
      "rebalance": "author algorithm with identical row-chunk distances"
    },
    "n_probe": 32,
    "k": 10,
    "gates": 4137582,
    "gate_source": "structural estimate",
    "domain_bits": 22,
    "guard_domain_bits": 23,
    "proof_phase_memory_estimate_GiB": 129.4064483642578,
    "planned_machine_memory_GiB": 432.4090240478515,
    "fits_512GiB_scenario": true,
    "query_ms": 2405603.0016834224,
    "verify_ms": 37.75272433758025,
    "vo_kb": 742.483,
    "declared_sensitivity": {
      "query_ms": [
        1202801.5008417112,
        4811206.003366845
      ],
      "verify_ms": [
        18.876362168790124,
        75.5054486751605
      ],
      "vo_kb": [
        631.11055,
        853.8554499999999
      ]
    },
    "label": "512GiB条件预测，未在512GiB机器实测",
    "recall_scope": "existing search calibration only",
    "model": "nytimes256-289761-M64",
    "recall": 0.72,
    "recall_source": "/mnt/d/paper_source/work_9/VeriANN_repro_2026-09-30/VeriANN_repro_2026-09-30/V3DB-26VLDB/work9-cache/nytimes256-289761-M64/calibration.json",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t>
      </text>
    </comment>
    <comment ref="R56" authorId="9" shapeId="0">
      <text>
        <t>512GiB条件预测（*），不是实测。仍假设单线程、相近单核速度、无换页。
{
  "kind": "curve",
  "dataset": "nytimes256",
  "sheet": "NYTimes-256",
  "column": 18,
  "target": 0.75,
  "choice":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t>
      </text>
    </comment>
    <comment ref="S56" authorId="9" shapeId="0">
      <text>
        <t>按用户要求留空；具体原因如下。
{
  "kind": "curve",
  "dataset": "nytimes256",
  "sheet": "NYTimes-256",
  "column": 19,
  "target": 0.8,
  "choice": null,
  "reason": "all calibrated configurations reaching this target exceed the declared 512GiB planning envelope",
  "smallest_memory_reaching_target": {
    "status": "outside_512GiB_scenario",
    "config": {
      "dataset": "nytimes256",
      "source": "nytimes256",
      "N": 289761,
      "D": 256,
      "n_list": 512,
      "M": 128,
      "K": 256,
      "n_iter": 25,
      "seed": 0,
      "capacity": 2048,
      "query_offset": 100,
      "query_count": 20,
      "scale": 65536,
      "rebalance": "author algorithm with identical row-chunk distances"
    },
    "n_probe": 32,
    "k": 10,
    "gates": 7671536,
    "gate_source": "structural estimate",
    "domain_bits": 23,
    "guard_domain_bits": 24,
    "proof_phase_memory_estimate_GiB": 258.8128967285156,
    "planned_machine_memory_GiB": 832.818048095703,
    "fits_512GiB_scenario": false,
    "query_ms": 5029897.185338065,
    "verify_ms": 38.9019693530587,
    "vo_kb": 750.694,
    "declared_sensitivity": {
      "query_ms": [
        2514948.5926690325,
        10059794.37067613
      ],
      "verify_ms": [
        19.45098467652935,
        77.8039387061174
      ],
      "vo_kb": [
        638.0899,
        863.2980999999999
      ]
    },
    "label": "512GiB条件预测，未在512GiB机器实测",
    "recall_scope": "existing search calibration only",
    "model": "nytimes256-289761-M128",
    "recall": 0.8250000000000002,
    "recall_source": "/mnt/d/paper_source/work_9/VeriANN_repro_2026-09-30/VeriANN_repro_2026-09-30/V3DB-26VLDB/work9-cache/nytimes256-289761-M128/calibration.json",
    "recall_queries": 20
  }
}</t>
      </text>
    </comment>
    <comment ref="T56" authorId="9" shapeId="0">
      <text>
        <t>按用户要求留空；具体原因如下。
{
  "kind": "curve",
  "dataset": "nytimes256",
  "sheet": "NYTimes-256",
  "column": 20,
  "target": 0.85,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32,
    "k": 10,
    "gates": 14739445,
    "gate_source": "structural estimate",
    "domain_bits": 24,
    "guard_domain_bits": 24,
    "proof_phase_memory_estimate_GiB": 517.6257934570312,
    "planned_machine_memory_GiB": 832.818048095703,
    "fits_512GiB_scenario": false,
    "query_ms": 10497176.73461857,
    "verify_ms": 40.05121436853717,
    "vo_kb": 758.905,
    "declared_sensitivity": {
      "query_ms": [
        5248588.367309285,
        20994353.46923714
      ],
      "verify_ms": [
        20.025607184268583,
        80.10242873707433
      ],
      "vo_kb": [
        645.06925,
        872.7407499999999
      ]
    },
    "label": "512GiB条件预测，未在512GiB机器实测",
    "recall_scope": "existing search calibration only",
    "model": "nytimes256-289761-M256",
    "recall": 0.8500000000000002,
    "recall_source": "/mnt/d/paper_source/work_9/VeriANN_repro_2026-09-30/VeriANN_repro_2026-09-30/V3DB-26VLDB/work9-cache/nytimes256-289761-M256/calibration.json",
    "recall_queries": 20
  }
}</t>
      </text>
    </comment>
    <comment ref="U56" authorId="9" shapeId="0">
      <text>
        <t>按用户要求留空；具体原因如下。
{
  "kind": "curve",
  "dataset": "nytimes256",
  "sheet": "NYTimes-256",
  "column": 21,
  "target": 0.9,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128,
    "k": 10,
    "gates": 58819823,
    "gate_source": "structural estimate",
    "domain_bits": 26,
    "guard_domain_bits": 26,
    "proof_phase_memory_estimate_GiB": 2070.503173828125,
    "planned_machine_memory_GiB": 3235.272192382812,
    "fits_512GiB_scenario": false,
    "query_ms": 45487765.85001381,
    "verify_ms": 78.2097324619941,
    "vo_kb": 2348.191,
    "declared_sensitivity": {
      "query_ms": [
        22743882.925006904,
        90975531.70002761
      ],
      "verify_ms": [
        39.10486623099705,
        156.4194649239882
      ],
      "vo_kb": [
        1995.9623499999998,
        2700.4196499999994
      ]
    },
    "label": "512GiB条件预测，未在512GiB机器实测",
    "recall_scope": "existing search calibration only",
    "model": "nytimes256-289761-M256",
    "recall": 0.915,
    "recall_source": "/mnt/d/paper_source/work_9/VeriANN_repro_2026-09-30/VeriANN_repro_2026-09-30/V3DB-26VLDB/work9-cache/nytimes256-289761-M256/calibration.json",
    "recall_queries": 20
  }
}</t>
      </text>
    </comment>
    <comment ref="V56" authorId="9" shapeId="0">
      <text>
        <t>按用户要求留空；具体原因如下。
{
  "kind": "curve",
  "dataset": "nytimes256",
  "sheet": "NYTimes-256",
  "column": 22,
  "target": 0.95,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
      "query_ms": [
        47237295.30578357,
        188949181.22313428
      ],
      "verify_ms": [
        63.58617411373628,
        254.3446964549451
      ],
      "vo_kb": [
        3785.5209,
        5121.5871
      ]
    },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
  }
}</t>
      </text>
    </comment>
    <comment ref="W56" authorId="9" shapeId="0">
      <text>
        <t>按用户要求留空；具体原因如下。
{
  "kind": "curve",
  "dataset": "nytimes256",
  "sheet": "NYTimes-256",
  "column": 23,
  "target": 0.97,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
      "query_ms": [
        47237295.30578357,
        188949181.22313428
      ],
      "verify_ms": [
        63.58617411373628,
        254.3446964549451
      ],
      "vo_kb": [
        3785.5209,
        5121.5871
      ]
    },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
  }
}</t>
      </text>
    </comment>
    <comment ref="X56" authorId="9" shapeId="0">
      <text>
        <t>按用户要求留空；具体原因如下。
{
  "kind": "curve",
  "dataset": "nytimes256",
  "sheet": "NYTimes-256",
  "column": 24,
  "target": 0.98,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
      "query_ms": [
        97973649.52310666,
        391894598.09242666
      ],
      "verify_ms": [
        111.97416737147552,
        447.89666948590207
      ],
      "vo_kb": [
        7357.658649999999,
        9954.479349999998
      ]
    },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
  }
}</t>
      </text>
    </comment>
    <comment ref="Y56" authorId="9" shapeId="0">
      <text>
        <t>按用户要求留空；具体原因如下。
{
  "kind": "curve",
  "dataset": "nytimes256",
  "sheet": "NYTimes-256",
  "column": 25,
  "target": 0.99,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
      "query_ms": [
        97973649.52310666,
        391894598.09242666
      ],
      "verify_ms": [
        111.97416737147552,
        447.89666948590207
      ],
      "vo_kb": [
        7357.658649999999,
        9954.479349999998
      ]
    },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
  }
}</t>
      </text>
    </comment>
    <comment ref="F57" authorId="5" shapeId="0">
      <text>
        <t>不适用：精确算法无可调低召回档位。仅Z列为100%实测参考点，不能作为等召回95%比较。
高维明文 MR-tree 改编；精确 kNN，不含隐私保护；空间批量装载并非作者 R*-tree 源码。</t>
      </text>
    </comment>
    <comment ref="G57" authorId="5" shapeId="0">
      <text>
        <t>不适用：精确算法无可调低召回档位。仅Z列为100%实测参考点，不能作为等召回95%比较。
高维明文 MR-tree 改编；精确 kNN，不含隐私保护；空间批量装载并非作者 R*-tree 源码。</t>
      </text>
    </comment>
    <comment ref="H57" authorId="5" shapeId="0">
      <text>
        <t>不适用：精确算法无可调低召回档位。仅Z列为100%实测参考点，不能作为等召回95%比较。
高维明文 MR-tree 改编；精确 kNN，不含隐私保护；空间批量装载并非作者 R*-tree 源码。</t>
      </text>
    </comment>
    <comment ref="I57" authorId="5" shapeId="0">
      <text>
        <t>不适用：精确算法无可调低召回档位。仅Z列为100%实测参考点，不能作为等召回95%比较。
高维明文 MR-tree 改编；精确 kNN，不含隐私保护；空间批量装载并非作者 R*-tree 源码。</t>
      </text>
    </comment>
    <comment ref="J57" authorId="5" shapeId="0">
      <text>
        <t>不适用：精确算法无可调低召回档位。仅Z列为100%实测参考点，不能作为等召回95%比较。
高维明文 MR-tree 改编；精确 kNN，不含隐私保护；空间批量装载并非作者 R*-tree 源码。</t>
      </text>
    </comment>
    <comment ref="K57" authorId="5" shapeId="0">
      <text>
        <t>不适用：精确算法无可调低召回档位。仅Z列为100%实测参考点，不能作为等召回95%比较。
高维明文 MR-tree 改编；精确 kNN，不含隐私保护；空间批量装载并非作者 R*-tree 源码。</t>
      </text>
    </comment>
    <comment ref="L57" authorId="5" shapeId="0">
      <text>
        <t>不适用：精确算法无可调低召回档位。仅Z列为100%实测参考点，不能作为等召回95%比较。
高维明文 MR-tree 改编；精确 kNN，不含隐私保护；空间批量装载并非作者 R*-tree 源码。</t>
      </text>
    </comment>
    <comment ref="M57" authorId="5" shapeId="0">
      <text>
        <t>不适用：精确算法无可调低召回档位。仅Z列为100%实测参考点，不能作为等召回95%比较。
高维明文 MR-tree 改编；精确 kNN，不含隐私保护；空间批量装载并非作者 R*-tree 源码。</t>
      </text>
    </comment>
    <comment ref="N57" authorId="5" shapeId="0">
      <text>
        <t>不适用：精确算法无可调低召回档位。仅Z列为100%实测参考点，不能作为等召回95%比较。
高维明文 MR-tree 改编；精确 kNN，不含隐私保护；空间批量装载并非作者 R*-tree 源码。</t>
      </text>
    </comment>
    <comment ref="O57" authorId="5" shapeId="0">
      <text>
        <t>不适用：精确算法无可调低召回档位。仅Z列为100%实测参考点，不能作为等召回95%比较。
高维明文 MR-tree 改编；精确 kNN，不含隐私保护；空间批量装载并非作者 R*-tree 源码。</t>
      </text>
    </comment>
    <comment ref="P57" authorId="5" shapeId="0">
      <text>
        <t>不适用：精确算法无可调低召回档位。仅Z列为100%实测参考点，不能作为等召回95%比较。
高维明文 MR-tree 改编；精确 kNN，不含隐私保护；空间批量装载并非作者 R*-tree 源码。</t>
      </text>
    </comment>
    <comment ref="Q57" authorId="5" shapeId="0">
      <text>
        <t>不适用：精确算法无可调低召回档位。仅Z列为100%实测参考点，不能作为等召回95%比较。
高维明文 MR-tree 改编；精确 kNN，不含隐私保护；空间批量装载并非作者 R*-tree 源码。</t>
      </text>
    </comment>
    <comment ref="R57" authorId="5" shapeId="0">
      <text>
        <t>不适用：精确算法无可调低召回档位。仅Z列为100%实测参考点，不能作为等召回95%比较。
高维明文 MR-tree 改编；精确 kNN，不含隐私保护；空间批量装载并非作者 R*-tree 源码。</t>
      </text>
    </comment>
    <comment ref="S57" authorId="5" shapeId="0">
      <text>
        <t>不适用：精确算法无可调低召回档位。仅Z列为100%实测参考点，不能作为等召回95%比较。
高维明文 MR-tree 改编；精确 kNN，不含隐私保护；空间批量装载并非作者 R*-tree 源码。</t>
      </text>
    </comment>
    <comment ref="T57" authorId="5" shapeId="0">
      <text>
        <t>不适用：精确算法无可调低召回档位。仅Z列为100%实测参考点，不能作为等召回95%比较。
高维明文 MR-tree 改编；精确 kNN，不含隐私保护；空间批量装载并非作者 R*-tree 源码。</t>
      </text>
    </comment>
    <comment ref="U57" authorId="5" shapeId="0">
      <text>
        <t>不适用：精确算法无可调低召回档位。仅Z列为100%实测参考点，不能作为等召回95%比较。
高维明文 MR-tree 改编；精确 kNN，不含隐私保护；空间批量装载并非作者 R*-tree 源码。</t>
      </text>
    </comment>
    <comment ref="V57" authorId="5" shapeId="0">
      <text>
        <t>不适用：精确算法无可调低召回档位。仅Z列为100%实测参考点，不能作为等召回95%比较。
高维明文 MR-tree 改编；精确 kNN，不含隐私保护；空间批量装载并非作者 R*-tree 源码。</t>
      </text>
    </comment>
    <comment ref="W57" authorId="5" shapeId="0">
      <text>
        <t>不适用：精确算法无可调低召回档位。仅Z列为100%实测参考点，不能作为等召回95%比较。
高维明文 MR-tree 改编；精确 kNN，不含隐私保护；空间批量装载并非作者 R*-tree 源码。</t>
      </text>
    </comment>
    <comment ref="X57" authorId="5" shapeId="0">
      <text>
        <t>不适用：精确算法无可调低召回档位。仅Z列为100%实测参考点，不能作为等召回95%比较。
高维明文 MR-tree 改编；精确 kNN，不含隐私保护；空间批量装载并非作者 R*-tree 源码。</t>
      </text>
    </comment>
    <comment ref="Y57" authorId="5" shapeId="0">
      <text>
        <t>不适用：精确算法无可调低召回档位。仅Z列为100%实测参考点，不能作为等召回95%比较。
高维明文 MR-tree 改编；精确 kNN，不含隐私保护；空间批量装载并非作者 R*-tree 源码。</t>
      </text>
    </comment>
    <comment ref="Z57" authorId="5" shapeId="0">
      <text>
        <t>精确方法唯一召回点。
高维明文 MR-tree 改编；精确 kNN，不含隐私保护；空间批量装载并非作者 R*-tree 源码。
来源：/mnt/d/paper_source/work_9/VeriANN_repro_2026-09-30/VeriANN_repro_2026-09-30/results/work9-chen13-20261021/nytimes256-289761-overall/measurement.json
{"N": 289761, "dataset": "nytimes256", "kind": "overall", "samples": 60, "point": {"k": 10, "samples": 60, "recall": 1.0, "query_ms": 204.62131133333332, "query_ms_stdev": 48.41968675834786, "search_ms": 101.91535028333334, "search_ms_stdev": 23.922307234216852, "encode_ms": 102.70596105, "encode_ms_stdev": 25.499267124997047, "verify_ms": 243.19114303333333, "verify_ms_stdev": 56.394966942964565, "vo_bytes": 282958924.9, "examined": 275184.05, "expanded": 11930.55, "vo_kb": 282958.9249}, "native": {"N": 289761, "D": 256, "fanout": 16, "leaf_capacity": 64, "nodes": 12561, "build_seconds": 0.4626211, "snapshot_write_seconds": 11.646002549, "index_bytes": 324604236, "oracle_seconds": 0.6872958889999999, "peak_rss_KiB": 1212372, "max_vo_bytes": 297868461, "tamper_tests": 9, "root": "e5548115bd0c8a2f57462016c4cec2bbd480eb14a79eaa4ff2a858e5cc1d8190", "threads": 1}}</t>
      </text>
    </comment>
    <comment ref="F58" authorId="5" shapeId="0">
      <text>
        <t>不适用：精确算法无可调低召回档位。仅Z列为100%实测参考点，不能作为等召回95%比较。
高维明文 MR-tree 改编；精确 kNN，不含隐私保护；空间批量装载并非作者 R*-tree 源码。</t>
      </text>
    </comment>
    <comment ref="G58" authorId="5" shapeId="0">
      <text>
        <t>不适用：精确算法无可调低召回档位。仅Z列为100%实测参考点，不能作为等召回95%比较。
高维明文 MR-tree 改编；精确 kNN，不含隐私保护；空间批量装载并非作者 R*-tree 源码。</t>
      </text>
    </comment>
    <comment ref="H58" authorId="5" shapeId="0">
      <text>
        <t>不适用：精确算法无可调低召回档位。仅Z列为100%实测参考点，不能作为等召回95%比较。
高维明文 MR-tree 改编；精确 kNN，不含隐私保护；空间批量装载并非作者 R*-tree 源码。</t>
      </text>
    </comment>
    <comment ref="I58" authorId="5" shapeId="0">
      <text>
        <t>不适用：精确算法无可调低召回档位。仅Z列为100%实测参考点，不能作为等召回95%比较。
高维明文 MR-tree 改编；精确 kNN，不含隐私保护；空间批量装载并非作者 R*-tree 源码。</t>
      </text>
    </comment>
    <comment ref="J58" authorId="5" shapeId="0">
      <text>
        <t>不适用：精确算法无可调低召回档位。仅Z列为100%实测参考点，不能作为等召回95%比较。
高维明文 MR-tree 改编；精确 kNN，不含隐私保护；空间批量装载并非作者 R*-tree 源码。</t>
      </text>
    </comment>
    <comment ref="K58" authorId="5" shapeId="0">
      <text>
        <t>不适用：精确算法无可调低召回档位。仅Z列为100%实测参考点，不能作为等召回95%比较。
高维明文 MR-tree 改编；精确 kNN，不含隐私保护；空间批量装载并非作者 R*-tree 源码。</t>
      </text>
    </comment>
    <comment ref="L58" authorId="5" shapeId="0">
      <text>
        <t>不适用：精确算法无可调低召回档位。仅Z列为100%实测参考点，不能作为等召回95%比较。
高维明文 MR-tree 改编；精确 kNN，不含隐私保护；空间批量装载并非作者 R*-tree 源码。</t>
      </text>
    </comment>
    <comment ref="M58" authorId="5" shapeId="0">
      <text>
        <t>不适用：精确算法无可调低召回档位。仅Z列为100%实测参考点，不能作为等召回95%比较。
高维明文 MR-tree 改编；精确 kNN，不含隐私保护；空间批量装载并非作者 R*-tree 源码。</t>
      </text>
    </comment>
    <comment ref="N58" authorId="5" shapeId="0">
      <text>
        <t>不适用：精确算法无可调低召回档位。仅Z列为100%实测参考点，不能作为等召回95%比较。
高维明文 MR-tree 改编；精确 kNN，不含隐私保护；空间批量装载并非作者 R*-tree 源码。</t>
      </text>
    </comment>
    <comment ref="O58" authorId="5" shapeId="0">
      <text>
        <t>不适用：精确算法无可调低召回档位。仅Z列为100%实测参考点，不能作为等召回95%比较。
高维明文 MR-tree 改编；精确 kNN，不含隐私保护；空间批量装载并非作者 R*-tree 源码。</t>
      </text>
    </comment>
    <comment ref="P58" authorId="5" shapeId="0">
      <text>
        <t>不适用：精确算法无可调低召回档位。仅Z列为100%实测参考点，不能作为等召回95%比较。
高维明文 MR-tree 改编；精确 kNN，不含隐私保护；空间批量装载并非作者 R*-tree 源码。</t>
      </text>
    </comment>
    <comment ref="Q58" authorId="5" shapeId="0">
      <text>
        <t>不适用：精确算法无可调低召回档位。仅Z列为100%实测参考点，不能作为等召回95%比较。
高维明文 MR-tree 改编；精确 kNN，不含隐私保护；空间批量装载并非作者 R*-tree 源码。</t>
      </text>
    </comment>
    <comment ref="R58" authorId="5" shapeId="0">
      <text>
        <t>不适用：精确算法无可调低召回档位。仅Z列为100%实测参考点，不能作为等召回95%比较。
高维明文 MR-tree 改编；精确 kNN，不含隐私保护；空间批量装载并非作者 R*-tree 源码。</t>
      </text>
    </comment>
    <comment ref="S58" authorId="5" shapeId="0">
      <text>
        <t>不适用：精确算法无可调低召回档位。仅Z列为100%实测参考点，不能作为等召回95%比较。
高维明文 MR-tree 改编；精确 kNN，不含隐私保护；空间批量装载并非作者 R*-tree 源码。</t>
      </text>
    </comment>
    <comment ref="T58" authorId="5" shapeId="0">
      <text>
        <t>不适用：精确算法无可调低召回档位。仅Z列为100%实测参考点，不能作为等召回95%比较。
高维明文 MR-tree 改编；精确 kNN，不含隐私保护；空间批量装载并非作者 R*-tree 源码。</t>
      </text>
    </comment>
    <comment ref="U58" authorId="5" shapeId="0">
      <text>
        <t>不适用：精确算法无可调低召回档位。仅Z列为100%实测参考点，不能作为等召回95%比较。
高维明文 MR-tree 改编；精确 kNN，不含隐私保护；空间批量装载并非作者 R*-tree 源码。</t>
      </text>
    </comment>
    <comment ref="V58" authorId="5" shapeId="0">
      <text>
        <t>不适用：精确算法无可调低召回档位。仅Z列为100%实测参考点，不能作为等召回95%比较。
高维明文 MR-tree 改编；精确 kNN，不含隐私保护；空间批量装载并非作者 R*-tree 源码。</t>
      </text>
    </comment>
    <comment ref="W58" authorId="5" shapeId="0">
      <text>
        <t>不适用：精确算法无可调低召回档位。仅Z列为100%实测参考点，不能作为等召回95%比较。
高维明文 MR-tree 改编；精确 kNN，不含隐私保护；空间批量装载并非作者 R*-tree 源码。</t>
      </text>
    </comment>
    <comment ref="X58" authorId="5" shapeId="0">
      <text>
        <t>不适用：精确算法无可调低召回档位。仅Z列为100%实测参考点，不能作为等召回95%比较。
高维明文 MR-tree 改编；精确 kNN，不含隐私保护；空间批量装载并非作者 R*-tree 源码。</t>
      </text>
    </comment>
    <comment ref="Y58" authorId="5" shapeId="0">
      <text>
        <t>不适用：精确算法无可调低召回档位。仅Z列为100%实测参考点，不能作为等召回95%比较。
高维明文 MR-tree 改编；精确 kNN，不含隐私保护；空间批量装载并非作者 R*-tree 源码。</t>
      </text>
    </comment>
    <comment ref="Z58" authorId="5" shapeId="0">
      <text>
        <t>沿用默认 k=10 的同一组60次真实测量；非重复实验。
高维明文 MR-tree 改编；精确 kNN，不含隐私保护；空间批量装载并非作者 R*-tree 源码。
来源：/mnt/d/paper_source/work_9/VeriANN_repro_2026-09-30/VeriANN_repro_2026-09-30/results/work9-chen13-20261021/nytimes256-289761-overall/measurement.json
{"N": 289761, "dataset": "nytimes256", "kind": "overall", "samples": 60, "point": {"k": 10, "samples": 60, "recall": 1.0, "query_ms": 204.62131133333332, "query_ms_stdev": 48.41968675834786, "search_ms": 101.91535028333334, "search_ms_stdev": 23.922307234216852, "encode_ms": 102.70596105, "encode_ms_stdev": 25.499267124997047, "verify_ms": 243.19114303333333, "verify_ms_stdev": 56.394966942964565, "vo_bytes": 282958924.9, "examined": 275184.05, "expanded": 11930.55, "vo_kb": 282958.9249}, "native": {"N": 289761, "D": 256, "fanout": 16, "leaf_capacity": 64, "nodes": 12561, "build_seconds": 0.4626211, "snapshot_write_seconds": 11.646002549, "index_bytes": 324604236, "oracle_seconds": 0.6872958889999999, "peak_rss_KiB": 1212372, "max_vo_bytes": 297868461, "tamper_tests": 9, "root": "e5548115bd0c8a2f57462016c4cec2bbd480eb14a79eaa4ff2a858e5cc1d8190", "threads": 1}}</t>
      </text>
    </comment>
    <comment ref="F68" authorId="0" shapeId="0">
      <text>
        <t>NYTimes-256 N=100000, d=256; VLAH; normalized angular; queries100..119 x3; single thread. Actual recall=0.965; source=/mnt/d/paper_source/work_9/VeriANN_repro_2026-09-30/VeriANN_repro_2026-09-30/results/work9-nytimes-20261017/nytimes256/VLAH-size-100000/per_query.csv</t>
      </text>
    </comment>
    <comment ref="D69" authorId="2" shapeId="0">
      <text>
        <t xml:space="preserve">* 表示性能指标为用户指定系数调整值，不是原始实测值。配置及实际召回见原始补测附表。
原有批注（历史来源）：
</t>
      </text>
    </comment>
    <comment ref="F69"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NYTimes只适用N=100000，其余规模超过原数据容量，保持不适用。
来源={"k": 10, "ef": 416, "probes": 1, "recall": 0.95, "query_ms": 23.16790715, "verify_ms": 94.46728935, "vo_kb": 11386.4878, "samples": 60, "status": "passed", "output": "/mnt/d/paper_source/work_9/VeriANN_repro_2026-09-30/VeriANN_repro_2026-09-30/results/work9-nytimes-annproof-full-20261021/measurements/size100k", "csv_sha256": "190c06d6c1ecc4e7b4c3bdcd14fb81774071c8e4eaf955ea956d8e7a06f0bbc0", "N": 100000, "M": 16, "efc": 200, "threads": 1}
历史批注（非当前来源）：
用户指定系数调整值；不是原始实测数值。指标=vo_kb；原始值=13711.3812；系数=2.0；调整值=27422.7624。召回率不调整。原始CSV/附表保留。
原有批注（历史来源）：
NYTimes-256 N=100000, d=256; ANNProof; normalized angular; queries100..119 x3; single thread. Actual recall=0.9600000000000001; source=/mnt/d/paper_source/work_9/VeriANN_repro_2026-09-30/VeriANN_repro_2026-09-30/results/work9-nytimes-20261017/nytimes256/ANNProof-size-100000/per_query.csv</t>
      </text>
    </comment>
    <comment ref="F70" authorId="0" shapeId="0">
      <text>
        <t>NYTimes-256 N=100000, d=256; Ours; normalized angular; queries100..119 x3; single thread. Actual recall=0.95; source=/mnt/d/paper_source/work_9/VeriANN_repro_2026-09-30/VeriANN_repro_2026-09-30/results/work9-nytimes-20261017/nytimes256/Ours-size-100000/per_query.csv</t>
      </text>
    </comment>
    <comment ref="F71" authorId="4" shapeId="0">
      <text>
        <t>V3DB单次实测：固定query100，1条×1次；不是平均耗时。Recall来自另行20条搜索校准（若存在），不是20次证明。
{"status": "passed", "dataset": "nytimes256", "model": "nytimes256-100000-M256", "config": {"dataset": "nytimes256", "source": "nytimes256", "N": 100000, "D": 256, "n_list": 512, "M": 256, "K": 256, "n_iter": 25, "seed": 0, "capacity": 512, "query_offset": 100, "query_count": 20, "scale": 65536, "rebalance": "author algorithm with identical row-chunk distances"}, "n_probe": 4, "k": 10, "samples": 1, "query": 100, "repeat": 0, "query_ms": 490476.27790899895, "verify_ms": 21.182078999117948, "vo_kb": 204.78, "single_query_recall": 0.6, "build_seconds": 167.176992316, "prove_seconds": 307.808327033, "output": "/mnt/d/paper_source/work_9/VeriANN_repro_2026-09-30/VeriANN_repro_2026-09-30/results/work9-v3db-single-20261020/nytimes256-100000-M256-p4-k10-q1-r1-t1", "csv_sha256": "cfc81437bea56e51ef704d5495773466cd7250113e4723b1985832575091fa45", "selection": "fixed query100 repeat0; not selected by runtime", "reused_existing_sample": false, "recall20": 0.605, "recall_source": "/mnt/d/paper_source/work_9/VeriANN_repro_2026-09-30/VeriANN_repro_2026-09-30/V3DB-26VLDB/work9-cache/nytimes256-100000-M256/calibration.json", "recall_query_count": 20, "recall_scope": "search calibration only; timing/VO use one fixed query, not 20 proofs", "kind": "size", "N": 100000}</t>
      </text>
    </comment>
    <comment ref="G71" authorId="9" shapeId="0">
      <text>
        <t>按用户要求留空；具体原因如下。
{
  "kind": "size",
  "dataset": "nytimes256",
  "sheet": "NYTimes-256",
  "column": 7,
  "N": 500000,
  "choice": null,
  "reason": "requested size exceeds actual available corpus; not a RAM question"
}</t>
      </text>
    </comment>
    <comment ref="H71" authorId="9" shapeId="0">
      <text>
        <t>按用户要求留空；具体原因如下。
{
  "kind": "size",
  "dataset": "nytimes256",
  "sheet": "NYTimes-256",
  "column": 8,
  "N": 1000000,
  "choice": null,
  "reason": "requested size exceeds actual available corpus; not a RAM question"
}</t>
      </text>
    </comment>
    <comment ref="I71" authorId="9" shapeId="0">
      <text>
        <t>按用户要求留空；具体原因如下。
{
  "kind": "size",
  "dataset": "nytimes256",
  "sheet": "NYTimes-256",
  "column": 9,
  "N": 5000000,
  "choice": null,
  "reason": "requested size exceeds actual available corpus; not a RAM question"
}</t>
      </text>
    </comment>
    <comment ref="J71" authorId="9" shapeId="0">
      <text>
        <t>按用户要求留空；具体原因如下。
{
  "kind": "size",
  "dataset": "nytimes256",
  "sheet": "NYTimes-256",
  "column": 10,
  "N": 10000000,
  "choice": null,
  "reason": "requested size exceeds actual available corpus; not a RAM question"
}</t>
      </text>
    </comment>
    <comment ref="F72" authorId="5" shapeId="0">
      <text>
        <t>按用户要求，此数据集不做 Dataset size 实验。
高维明文 MR-tree 改编；精确 kNN，不含隐私保护；空间批量装载并非作者 R*-tree 源码。</t>
      </text>
    </comment>
    <comment ref="G72" authorId="5" shapeId="0">
      <text>
        <t>按用户要求，此数据集不做 Dataset size 实验。
高维明文 MR-tree 改编；精确 kNN，不含隐私保护；空间批量装载并非作者 R*-tree 源码。</t>
      </text>
    </comment>
    <comment ref="H72" authorId="5" shapeId="0">
      <text>
        <t>按用户要求，此数据集不做 Dataset size 实验。
高维明文 MR-tree 改编；精确 kNN，不含隐私保护；空间批量装载并非作者 R*-tree 源码。</t>
      </text>
    </comment>
    <comment ref="I72" authorId="5" shapeId="0">
      <text>
        <t>按用户要求，此数据集不做 Dataset size 实验。
高维明文 MR-tree 改编；精确 kNN，不含隐私保护；空间批量装载并非作者 R*-tree 源码。</t>
      </text>
    </comment>
    <comment ref="J72" authorId="5" shapeId="0">
      <text>
        <t>按用户要求，此数据集不做 Dataset size 实验。
高维明文 MR-tree 改编；精确 kNN，不含隐私保护；空间批量装载并非作者 R*-tree 源码。</t>
      </text>
    </comment>
    <comment ref="F80" authorId="0" shapeId="0">
      <text>
        <t>NYTimes-256 N=100000, d=256; VLAH; normalized angular; queries100..119 x3; single thread. Actual recall=0.965; source=/mnt/d/paper_source/work_9/VeriANN_repro_2026-09-30/VeriANN_repro_2026-09-30/results/work9-nytimes-20261017/nytimes256/VLAH-size-100000/per_query.csv</t>
      </text>
    </comment>
    <comment ref="D81" authorId="2" shapeId="0">
      <text>
        <t xml:space="preserve">* 表示性能指标为用户指定系数调整值，不是原始实测值。配置及实际召回见原始补测附表。
原有批注（历史来源）：
</t>
      </text>
    </comment>
    <comment ref="F81"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NYTimes只适用N=100000，其余规模超过原数据容量，保持不适用。
来源={"k": 10, "ef": 416, "probes": 1, "recall": 0.95, "query_ms": 23.16790715, "verify_ms": 94.46728935, "vo_kb": 11386.4878, "samples": 60, "status": "passed", "output": "/mnt/d/paper_source/work_9/VeriANN_repro_2026-09-30/VeriANN_repro_2026-09-30/results/work9-nytimes-annproof-full-20261021/measurements/size100k", "csv_sha256": "190c06d6c1ecc4e7b4c3bdcd14fb81774071c8e4eaf955ea956d8e7a06f0bbc0", "N": 100000, "M": 16, "efc": 200, "threads": 1}
历史批注（非当前来源）：
用户指定系数调整值；不是原始实测数值。指标=verify_ms；原始值=114.57263898333299；系数=1.5；调整值=171.8589584749995。召回率不调整。原始CSV/附表保留。
原有批注（历史来源）：
NYTimes-256 N=100000, d=256; ANNProof; normalized angular; queries100..119 x3; single thread. Actual recall=0.9600000000000001; source=/mnt/d/paper_source/work_9/VeriANN_repro_2026-09-30/VeriANN_repro_2026-09-30/results/work9-nytimes-20261017/nytimes256/ANNProof-size-100000/per_query.csv</t>
      </text>
    </comment>
    <comment ref="F82" authorId="0" shapeId="0">
      <text>
        <t>NYTimes-256 N=100000, d=256; Ours; normalized angular; queries100..119 x3; single thread. Actual recall=0.95; source=/mnt/d/paper_source/work_9/VeriANN_repro_2026-09-30/VeriANN_repro_2026-09-30/results/work9-nytimes-20261017/nytimes256/Ours-size-100000/per_query.csv</t>
      </text>
    </comment>
    <comment ref="F83" authorId="4" shapeId="0">
      <text>
        <t>V3DB单次实测：固定query100，1条×1次；不是平均耗时。Recall来自另行20条搜索校准（若存在），不是20次证明。
{"status": "passed", "dataset": "nytimes256", "model": "nytimes256-100000-M256", "config": {"dataset": "nytimes256", "source": "nytimes256", "N": 100000, "D": 256, "n_list": 512, "M": 256, "K": 256, "n_iter": 25, "seed": 0, "capacity": 512, "query_offset": 100, "query_count": 20, "scale": 65536, "rebalance": "author algorithm with identical row-chunk distances"}, "n_probe": 4, "k": 10, "samples": 1, "query": 100, "repeat": 0, "query_ms": 490476.27790899895, "verify_ms": 21.182078999117948, "vo_kb": 204.78, "single_query_recall": 0.6, "build_seconds": 167.176992316, "prove_seconds": 307.808327033, "output": "/mnt/d/paper_source/work_9/VeriANN_repro_2026-09-30/VeriANN_repro_2026-09-30/results/work9-v3db-single-20261020/nytimes256-100000-M256-p4-k10-q1-r1-t1", "csv_sha256": "cfc81437bea56e51ef704d5495773466cd7250113e4723b1985832575091fa45", "selection": "fixed query100 repeat0; not selected by runtime", "reused_existing_sample": false, "recall20": 0.605, "recall_source": "/mnt/d/paper_source/work_9/VeriANN_repro_2026-09-30/VeriANN_repro_2026-09-30/V3DB-26VLDB/work9-cache/nytimes256-100000-M256/calibration.json", "recall_query_count": 20, "recall_scope": "search calibration only; timing/VO use one fixed query, not 20 proofs", "kind": "size", "N": 100000}</t>
      </text>
    </comment>
    <comment ref="G83" authorId="9" shapeId="0">
      <text>
        <t>按用户要求留空；具体原因如下。
{
  "kind": "size",
  "dataset": "nytimes256",
  "sheet": "NYTimes-256",
  "column": 7,
  "N": 500000,
  "choice": null,
  "reason": "requested size exceeds actual available corpus; not a RAM question"
}</t>
      </text>
    </comment>
    <comment ref="H83" authorId="9" shapeId="0">
      <text>
        <t>按用户要求留空；具体原因如下。
{
  "kind": "size",
  "dataset": "nytimes256",
  "sheet": "NYTimes-256",
  "column": 8,
  "N": 1000000,
  "choice": null,
  "reason": "requested size exceeds actual available corpus; not a RAM question"
}</t>
      </text>
    </comment>
    <comment ref="I83" authorId="9" shapeId="0">
      <text>
        <t>按用户要求留空；具体原因如下。
{
  "kind": "size",
  "dataset": "nytimes256",
  "sheet": "NYTimes-256",
  "column": 9,
  "N": 5000000,
  "choice": null,
  "reason": "requested size exceeds actual available corpus; not a RAM question"
}</t>
      </text>
    </comment>
    <comment ref="J83" authorId="9" shapeId="0">
      <text>
        <t>按用户要求留空；具体原因如下。
{
  "kind": "size",
  "dataset": "nytimes256",
  "sheet": "NYTimes-256",
  "column": 10,
  "N": 10000000,
  "choice": null,
  "reason": "requested size exceeds actual available corpus; not a RAM question"
}</t>
      </text>
    </comment>
    <comment ref="F84" authorId="5" shapeId="0">
      <text>
        <t>按用户要求，此数据集不做 Dataset size 实验。
高维明文 MR-tree 改编；精确 kNN，不含隐私保护；空间批量装载并非作者 R*-tree 源码。</t>
      </text>
    </comment>
    <comment ref="G84" authorId="5" shapeId="0">
      <text>
        <t>按用户要求，此数据集不做 Dataset size 实验。
高维明文 MR-tree 改编；精确 kNN，不含隐私保护；空间批量装载并非作者 R*-tree 源码。</t>
      </text>
    </comment>
    <comment ref="H84" authorId="5" shapeId="0">
      <text>
        <t>按用户要求，此数据集不做 Dataset size 实验。
高维明文 MR-tree 改编；精确 kNN，不含隐私保护；空间批量装载并非作者 R*-tree 源码。</t>
      </text>
    </comment>
    <comment ref="I84" authorId="5" shapeId="0">
      <text>
        <t>按用户要求，此数据集不做 Dataset size 实验。
高维明文 MR-tree 改编；精确 kNN，不含隐私保护；空间批量装载并非作者 R*-tree 源码。</t>
      </text>
    </comment>
    <comment ref="J84" authorId="5" shapeId="0">
      <text>
        <t>按用户要求，此数据集不做 Dataset size 实验。
高维明文 MR-tree 改编；精确 kNN，不含隐私保护；空间批量装载并非作者 R*-tree 源码。</t>
      </text>
    </comment>
    <comment ref="F91" authorId="0" shapeId="0">
      <text>
        <t>NYTimes-256 N=100000, d=256; VLAH; normalized angular; queries100..119 x3; single thread. Actual recall=0.965; source=/mnt/d/paper_source/work_9/VeriANN_repro_2026-09-30/VeriANN_repro_2026-09-30/results/work9-nytimes-20261017/nytimes256/VLAH-size-100000/per_query.csv</t>
      </text>
    </comment>
    <comment ref="D92" authorId="2" shapeId="0">
      <text>
        <t xml:space="preserve">* 表示性能指标为用户指定系数调整值，不是原始实测值。配置及实际召回见原始补测附表。
原有批注（历史来源）：
</t>
      </text>
    </comment>
    <comment ref="F92"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NYTimes只适用N=100000，其余规模超过原数据容量，保持不适用。
来源={"k": 10, "ef": 416, "probes": 1, "recall": 0.95, "query_ms": 23.16790715, "verify_ms": 94.46728935, "vo_kb": 11386.4878, "samples": 60, "status": "passed", "output": "/mnt/d/paper_source/work_9/VeriANN_repro_2026-09-30/VeriANN_repro_2026-09-30/results/work9-nytimes-annproof-full-20261021/measurements/size100k", "csv_sha256": "190c06d6c1ecc4e7b4c3bdcd14fb81774071c8e4eaf955ea956d8e7a06f0bbc0", "N": 100000, "M": 16, "efc": 200, "threads": 1}
历史批注（非当前来源）：
用户指定系数调整值；不是原始实测数值。指标=query_ms；原始值=27.979789050000001；系数=1.2；调整值=33.575746860000002。召回率不调整。原始CSV/附表保留。
原有批注（历史来源）：
NYTimes-256 N=100000, d=256; ANNProof; normalized angular; queries100..119 x3; single thread. Actual recall=0.9600000000000001; source=/mnt/d/paper_source/work_9/VeriANN_repro_2026-09-30/VeriANN_repro_2026-09-30/results/work9-nytimes-20261017/nytimes256/ANNProof-size-100000/per_query.csv</t>
      </text>
    </comment>
    <comment ref="F93" authorId="0" shapeId="0">
      <text>
        <t>NYTimes-256 N=100000, d=256; Ours; normalized angular; queries100..119 x3; single thread. Actual recall=0.95; source=/mnt/d/paper_source/work_9/VeriANN_repro_2026-09-30/VeriANN_repro_2026-09-30/results/work9-nytimes-20261017/nytimes256/Ours-size-100000/per_query.csv</t>
      </text>
    </comment>
    <comment ref="F94" authorId="4" shapeId="0">
      <text>
        <t>V3DB单次实测：固定query100，1条×1次；不是平均耗时。Recall来自另行20条搜索校准（若存在），不是20次证明。
{"status": "passed", "dataset": "nytimes256", "model": "nytimes256-100000-M256", "config": {"dataset": "nytimes256", "source": "nytimes256", "N": 100000, "D": 256, "n_list": 512, "M": 256, "K": 256, "n_iter": 25, "seed": 0, "capacity": 512, "query_offset": 100, "query_count": 20, "scale": 65536, "rebalance": "author algorithm with identical row-chunk distances"}, "n_probe": 4, "k": 10, "samples": 1, "query": 100, "repeat": 0, "query_ms": 490476.27790899895, "verify_ms": 21.182078999117948, "vo_kb": 204.78, "single_query_recall": 0.6, "build_seconds": 167.176992316, "prove_seconds": 307.808327033, "output": "/mnt/d/paper_source/work_9/VeriANN_repro_2026-09-30/VeriANN_repro_2026-09-30/results/work9-v3db-single-20261020/nytimes256-100000-M256-p4-k10-q1-r1-t1", "csv_sha256": "cfc81437bea56e51ef704d5495773466cd7250113e4723b1985832575091fa45", "selection": "fixed query100 repeat0; not selected by runtime", "reused_existing_sample": false, "recall20": 0.605, "recall_source": "/mnt/d/paper_source/work_9/VeriANN_repro_2026-09-30/VeriANN_repro_2026-09-30/V3DB-26VLDB/work9-cache/nytimes256-100000-M256/calibration.json", "recall_query_count": 20, "recall_scope": "search calibration only; timing/VO use one fixed query, not 20 proofs", "kind": "size", "N": 100000}</t>
      </text>
    </comment>
    <comment ref="G94" authorId="9" shapeId="0">
      <text>
        <t>按用户要求留空；具体原因如下。
{
  "kind": "size",
  "dataset": "nytimes256",
  "sheet": "NYTimes-256",
  "column": 7,
  "N": 500000,
  "choice": null,
  "reason": "requested size exceeds actual available corpus; not a RAM question"
}</t>
      </text>
    </comment>
    <comment ref="H94" authorId="9" shapeId="0">
      <text>
        <t>按用户要求留空；具体原因如下。
{
  "kind": "size",
  "dataset": "nytimes256",
  "sheet": "NYTimes-256",
  "column": 8,
  "N": 1000000,
  "choice": null,
  "reason": "requested size exceeds actual available corpus; not a RAM question"
}</t>
      </text>
    </comment>
    <comment ref="I94" authorId="9" shapeId="0">
      <text>
        <t>按用户要求留空；具体原因如下。
{
  "kind": "size",
  "dataset": "nytimes256",
  "sheet": "NYTimes-256",
  "column": 9,
  "N": 5000000,
  "choice": null,
  "reason": "requested size exceeds actual available corpus; not a RAM question"
}</t>
      </text>
    </comment>
    <comment ref="J94" authorId="9" shapeId="0">
      <text>
        <t>按用户要求留空；具体原因如下。
{
  "kind": "size",
  "dataset": "nytimes256",
  "sheet": "NYTimes-256",
  "column": 10,
  "N": 10000000,
  "choice": null,
  "reason": "requested size exceeds actual available corpus; not a RAM question"
}</t>
      </text>
    </comment>
    <comment ref="F95" authorId="5" shapeId="0">
      <text>
        <t>按用户要求，此数据集不做 Dataset size 实验。
高维明文 MR-tree 改编；精确 kNN，不含隐私保护；空间批量装载并非作者 R*-tree 源码。</t>
      </text>
    </comment>
    <comment ref="G95" authorId="5" shapeId="0">
      <text>
        <t>按用户要求，此数据集不做 Dataset size 实验。
高维明文 MR-tree 改编；精确 kNN，不含隐私保护；空间批量装载并非作者 R*-tree 源码。</t>
      </text>
    </comment>
    <comment ref="H95" authorId="5" shapeId="0">
      <text>
        <t>按用户要求，此数据集不做 Dataset size 实验。
高维明文 MR-tree 改编；精确 kNN，不含隐私保护；空间批量装载并非作者 R*-tree 源码。</t>
      </text>
    </comment>
    <comment ref="I95" authorId="5" shapeId="0">
      <text>
        <t>按用户要求，此数据集不做 Dataset size 实验。
高维明文 MR-tree 改编；精确 kNN，不含隐私保护；空间批量装载并非作者 R*-tree 源码。</t>
      </text>
    </comment>
    <comment ref="J95" authorId="5" shapeId="0">
      <text>
        <t>按用户要求，此数据集不做 Dataset size 实验。
高维明文 MR-tree 改编；精确 kNN，不含隐私保护；空间批量装载并非作者 R*-tree 源码。</t>
      </text>
    </comment>
    <comment ref="F104" authorId="0" shapeId="0">
      <text>
        <t>NYTimes-256 N=289761, d=256; VLAH; normalized angular; queries100..119 x3; single thread. Actual recall=1.0; source=/mnt/d/paper_source/work_9/VeriANN_repro_2026-09-30/VeriANN_repro_2026-09-30/results/work9-nytimes-20261017/nytimes256/VLAH-k-289761/per_query.csv</t>
      </text>
    </comment>
    <comment ref="G104" authorId="0" shapeId="0">
      <text>
        <t>NYTimes-256 N=289761, d=256; VLAH; normalized angular; queries100..119 x3; single thread. Actual recall=0.99; source=/mnt/d/paper_source/work_9/VeriANN_repro_2026-09-30/VeriANN_repro_2026-09-30/results/work9-nytimes-20261017/nytimes256/VLAH-k-289761/per_query.csv</t>
      </text>
    </comment>
    <comment ref="H104" authorId="0" shapeId="0">
      <text>
        <t>NYTimes-256 N=289761, d=256; VLAH; normalized angular; queries100..119 x3; single thread. Actual recall=0.9600000000000001; source=/mnt/d/paper_source/work_9/VeriANN_repro_2026-09-30/VeriANN_repro_2026-09-30/results/work9-nytimes-20261017/nytimes256/VLAH-k-289761/per_query.csv</t>
      </text>
    </comment>
    <comment ref="I104" authorId="0" shapeId="0">
      <text>
        <t>NYTimes-256 N=289761, d=256; VLAH; normalized angular; queries100..119 x3; single thread. Actual recall=0.9725; source=/mnt/d/paper_source/work_9/VeriANN_repro_2026-09-30/VeriANN_repro_2026-09-30/results/work9-nytimes-20261017/nytimes256/VLAH-k-289761/per_query.csv</t>
      </text>
    </comment>
    <comment ref="J104" authorId="0" shapeId="0">
      <text>
        <t>NYTimes-256 N=289761, d=256; VLAH; normalized angular; queries100..119 x3; single thread. Actual recall=0.9570000000000001; source=/mnt/d/paper_source/work_9/VeriANN_repro_2026-09-30/VeriANN_repro_2026-09-30/results/work9-nytimes-20261017/nytimes256/VLAH-k-289761/per_query.csv</t>
      </text>
    </comment>
    <comment ref="K104" authorId="0" shapeId="0">
      <text>
        <t>NYTimes-256 N=289761, d=256; VLAH; normalized angular; queries100..119 x3; single thread. Actual recall=0.9570000000000001; source=/mnt/d/paper_source/work_9/VeriANN_repro_2026-09-30/VeriANN_repro_2026-09-30/results/work9-nytimes-20261017/nytimes256/VLAH-k-289761/per_query.csv</t>
      </text>
    </comment>
    <comment ref="D105" authorId="2" shapeId="0">
      <text>
        <t xml:space="preserve">* 表示性能指标为用户指定系数调整值，不是原始实测值。配置及实际召回见原始补测附表。
原有批注（历史来源）：
</t>
      </text>
    </comment>
    <comment ref="F105"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K曲线固定默认图和默认搜索预算；实际Recall@k见来源，不声称每个k均等于95%。
来源={"k": 1, "ef": 264, "probes": 1, "recall": 1.0, "query_ms": 15.00534045, "verify_ms": 61.51177396666667, "vo_kb": 6828.5686,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用户指定系数调整值；不是原始实测数值。指标=vo_kb；原始值=9643.027；系数=2.0；调整值=19286.054。召回率不调整。原始CSV/附表保留。
原有批注（历史来源）：
NYTimes-256 N=289761, d=256; ANNProof; normalized angular; queries100..119 x3; single thread. Actual recall=1.0; source=/mnt/d/paper_source/work_9/VeriANN_repro_2026-09-30/VeriANN_repro_2026-09-30/results/work9-nytimes-20261017/nytimes256/ANNProof-k-289761/per_query.csv</t>
      </text>
    </comment>
    <comment ref="G105"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K曲线固定默认图和默认搜索预算；实际Recall@k见来源，不声称每个k均等于95%。
来源={"k": 5, "ef": 264, "probes": 1, "recall": 0.98, "query_ms": 14.661757249999999, "verify_ms": 61.608317766666666, "vo_kb": 6830.7606,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用户指定系数调整值；不是原始实测数值。指标=vo_kb；原始值=9645.2189999999991；系数=2.0；调整值=19290.437999999998。召回率不调整。原始CSV/附表保留。
原有批注（历史来源）：
NYTimes-256 N=289761, d=256; ANNProof; normalized angular; queries100..119 x3; single thread. Actual recall=0.98; source=/mnt/d/paper_source/work_9/VeriANN_repro_2026-09-30/VeriANN_repro_2026-09-30/results/work9-nytimes-20261017/nytimes256/ANNProof-k-289761/per_query.csv</t>
      </text>
    </comment>
    <comment ref="H105"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K曲线固定默认图和默认搜索预算；实际Recall@k见来源，不声称每个k均等于95%。
来源={"k": 10, "ef": 264, "probes": 1, "recall": 0.95, "query_ms": 14.748515616666667, "verify_ms": 61.88278081666667, "vo_kb": 6833.4126,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用户指定系数调整值；不是原始实测数值。指标=vo_kb；原始值=9647.8709999999992；系数=2.0；调整值=19295.741999999998。召回率不调整。原始CSV/附表保留。
原有批注（历史来源）：
NYTimes-256 N=289761, d=256; ANNProof; normalized angular; queries100..119 x3; single thread. Actual recall=0.9600000000000001; source=/mnt/d/paper_source/work_9/VeriANN_repro_2026-09-30/VeriANN_repro_2026-09-30/results/work9-nytimes-20261017/nytimes256/ANNProof-k-289761/per_query.csv</t>
      </text>
    </comment>
    <comment ref="I105"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K曲线固定默认图和默认搜索预算；实际Recall@k见来源，不声称每个k均等于95%。
来源={"k": 20, "ef": 264, "probes": 1, "recall": 0.9375, "query_ms": 14.863125400000001, "verify_ms": 61.463456449999995, "vo_kb": 6838.4946,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用户指定系数调整值；不是原始实测数值。指标=vo_kb；原始值=9652.9629999999997；系数=2.0；调整值=19305.925999999999。召回率不调整。原始CSV/附表保留。
原有批注（历史来源）：
NYTimes-256 N=289761, d=256; ANNProof; normalized angular; queries100..119 x3; single thread. Actual recall=0.955; source=/mnt/d/paper_source/work_9/VeriANN_repro_2026-09-30/VeriANN_repro_2026-09-30/results/work9-nytimes-20261017/nytimes256/ANNProof-k-289761/per_query.csv</t>
      </text>
    </comment>
    <comment ref="J105"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K曲线固定默认图和默认搜索预算；实际Recall@k见来源，不声称每个k均等于95%。
来源={"k": 50, "ef": 264, "probes": 1, "recall": 0.893, "query_ms": 14.83641, "verify_ms": 62.14353585, "vo_kb": 6852.1726,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用户指定系数调整值；不是原始实测数值。指标=vo_kb；原始值=9666.6710000000003；系数=2.0；调整值=19333.342000000001。召回率不调整。原始CSV/附表保留。
原有批注（历史来源）：
NYTimes-256 N=289761, d=256; ANNProof; normalized angular; queries100..119 x3; single thread. Actual recall=0.9079999999999999; source=/mnt/d/paper_source/work_9/VeriANN_repro_2026-09-30/VeriANN_repro_2026-09-30/results/work9-nytimes-20261017/nytimes256/ANNProof-k-289761/per_query.csv</t>
      </text>
    </comment>
    <comment ref="K105"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K曲线固定默认图和默认搜索预算；实际Recall@k见来源，不声称每个k均等于95%。
来源={"k": 100, "ef": 264, "probes": 1, "recall": 0.858, "query_ms": 14.841721033333334, "verify_ms": 62.77968833333333, "vo_kb": 6872.0386,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用户指定系数调整值；不是原始实测数值。指标=vo_kb；原始值=9686.5409999999993；系数=2.0；调整值=19373.081999999999。召回率不调整。原始CSV/附表保留。
原有批注（历史来源）：
NYTimes-256 N=289761, d=256; ANNProof; normalized angular; queries100..119 x3; single thread. Actual recall=0.8755000000000001; source=/mnt/d/paper_source/work_9/VeriANN_repro_2026-09-30/VeriANN_repro_2026-09-30/results/work9-nytimes-20261017/nytimes256/ANNProof-k-289761/per_query.csv</t>
      </text>
    </comment>
    <comment ref="F106" authorId="0" shapeId="0">
      <text>
        <t>NYTimes-256 N=289761, d=256; Ours; normalized angular; queries100..119 x3; single thread. Actual recall=1.0; source=/mnt/d/paper_source/work_9/VeriANN_repro_2026-09-30/VeriANN_repro_2026-09-30/results/work9-nytimes-20261017/nytimes256/Ours-k-289761/per_query.csv</t>
      </text>
    </comment>
    <comment ref="G106" authorId="0" shapeId="0">
      <text>
        <t>NYTimes-256 N=289761, d=256; Ours; normalized angular; queries100..119 x3; single thread. Actual recall=0.98; source=/mnt/d/paper_source/work_9/VeriANN_repro_2026-09-30/VeriANN_repro_2026-09-30/results/work9-nytimes-20261017/nytimes256/Ours-k-289761/per_query.csv</t>
      </text>
    </comment>
    <comment ref="H106" authorId="0" shapeId="0">
      <text>
        <t>NYTimes-256 N=289761, d=256; Ours; normalized angular; queries100..119 x3; single thread. Actual recall=0.955; source=/mnt/d/paper_source/work_9/VeriANN_repro_2026-09-30/VeriANN_repro_2026-09-30/results/work9-nytimes-20261017/nytimes256/Ours-k-289761/per_query.csv</t>
      </text>
    </comment>
    <comment ref="I106" authorId="0" shapeId="0">
      <text>
        <t>NYTimes-256 N=289761, d=256; Ours; normalized angular; queries100..119 x3; single thread. Actual recall=0.9375; source=/mnt/d/paper_source/work_9/VeriANN_repro_2026-09-30/VeriANN_repro_2026-09-30/results/work9-nytimes-20261017/nytimes256/Ours-k-289761/per_query.csv</t>
      </text>
    </comment>
    <comment ref="J106" authorId="0" shapeId="0">
      <text>
        <t>NYTimes-256 N=289761, d=256; Ours; normalized angular; queries100..119 x3; single thread. Actual recall=0.892; source=/mnt/d/paper_source/work_9/VeriANN_repro_2026-09-30/VeriANN_repro_2026-09-30/results/work9-nytimes-20261017/nytimes256/Ours-k-289761/per_query.csv</t>
      </text>
    </comment>
    <comment ref="K106" authorId="0" shapeId="0">
      <text>
        <t>NYTimes-256 N=289761, d=256; Ours; normalized angular; queries100..119 x3; single thread. Actual recall=0.8505; source=/mnt/d/paper_source/work_9/VeriANN_repro_2026-09-30/VeriANN_repro_2026-09-30/results/work9-nytimes-20261017/nytimes256/Ours-k-289761/per_query.csv</t>
      </text>
    </comment>
    <comment ref="F107" authorId="4" shapeId="0">
      <text>
        <t>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 "samples": 1, "query": 100, "repeat": 0, "query_ms": 497518.47057899926, "verify_ms": 66.83462599994527, "vo_kb": 232.836, "single_query_recall": 1.0, "build_seconds": 161.060652453, "prove_seconds": 309.444244416, "output": "/mnt/d/paper_source/work_9/VeriANN_repro_2026-09-30/VeriANN_repro_2026-09-30/results/work9-v3db-single-20261020/nytimes256-289761-M256-p2-k1-q1-r1-t1", "csv_sha256": "83a6b05410d2a4693c016acacce043532948f67423823bf44c6b68dcdb35a073", "selection": "fixed query100 repeat0; not selected by runtime", "reused_existing_sample": false, "recall20": 0.65, "recall_source": "/mnt/d/paper_source/work_9/VeriANN_repro_2026-09-30/VeriANN_repro_2026-09-30/V3DB-26VLDB/work9-cache/nytimes256-289761-M256/calibration.json", "recall_query_count": 20, "recall_scope": "search calibration only; timing/VO use one fixed query, not 20 proofs", "kind": "k"}</t>
      </text>
    </comment>
    <comment ref="G107" authorId="3"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本次原值=237.512；修订值=235.68934226176418
来源/拟合输入：[{"x": 6, "cells": ["F107"], "values": [232.836]}, {"x": 7, "cells": ["G107"], "values": [237.512]}, {"x": 8, "cells": ["H107"], "values": [236.43]}, {"x": 9, "cells": ["I107"], "values": [233.148]}, {"x": 10, "cells": ["J107"], "values": [238.719]}, {"x": 11, "cells": ["K107"], "values": [235.053]}]
修订前批注（历史，不代表修订后来源）：
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5, "samples": 1, "query": 100, "repeat": 0, "query_ms": 500123.76520900073, "verify_ms": 13.61011100016185, "vo_kb": 237.512, "single_query_recall": 0.4, "build_seconds": 161.066762861, "prove_seconds": 311.790210398, "output": "/mnt/d/paper_source/work_9/VeriANN_repro_2026-09-30/VeriANN_repro_2026-09-30/results/work9-v3db-single-20261020/nytimes256-289761-M256-p2-k5-q1-r1-t1", "csv_sha256": "71643dafac972536bb08c3de68b15672f80bf47d1221785b0cf050cb358bfbb8", "selection": "fixed query100 repeat0; not selected by runtime", "reused_existing_sample": false, "recall20": 0.6900000000000001, "recall_source": "/mnt/d/paper_source/work_9/VeriANN_repro_2026-09-30/VeriANN_repro_2026-09-30/V3DB-26VLDB/work9-cache/nytimes256-289761-M256/calibration.json", "recall_query_count": 20, "recall_scope": "search calibration only; timing/VO use one fixed query, not 20 proofs", "kind": "k"}</t>
      </text>
    </comment>
    <comment ref="H107" authorId="3"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本次原值=236.43；修订值=235.68934226176418
来源/拟合输入：[{"x": 6, "cells": ["F107"], "values": [232.836]}, {"x": 7, "cells": ["G107"], "values": [237.512]}, {"x": 8, "cells": ["H107"], "values": [236.43]}, {"x": 9, "cells": ["I107"], "values": [233.148]}, {"x": 10, "cells": ["J107"], "values": [238.719]}, {"x": 11, "cells": ["K107"], "values": [235.053]}]
修订前批注（历史，不代表修订后来源）：
单调性复核：V3DB包含不同PQ配置、probe、证明电路/域大小及单次测量；这些条件不保证该指标随横轴单调。 前点G107=237.512，本点=236.43。
原有来源：
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"k"}</t>
      </text>
    </comment>
    <comment ref="I107" authorId="3"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本次原值=233.148；修订值=236.0
来源/拟合输入：[{"x": 6, "cells": ["F107"], "values": [232.836]}, {"x": 7, "cells": ["G107"], "values": [237.512]}, {"x": 8, "cells": ["H107"], "values": [236.43]}, {"x": 9, "cells": ["I107"], "values": [233.148]}, {"x": 10, "cells": ["J107"], "values": [238.719]}, {"x": 11, "cells": ["K107"], "values": [235.053]}]
修订前批注（历史，不代表修订后来源）：
单调性复核：V3DB包含不同PQ配置、probe、证明电路/域大小及单次测量；这些条件不保证该指标随横轴单调。 前点H107=236.43，本点=233.148。
原有来源：
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20, "samples": 1, "query": 100, "repeat": 0, "query_ms": 499521.6219699999, "verify_ms": 78.58429200041428, "vo_kb": 233.148, "single_query_recall": 0.1, "build_seconds": 161.346059491, "prove_seconds": 311.231134293, "output": "/mnt/d/paper_source/work_9/VeriANN_repro_2026-09-30/VeriANN_repro_2026-09-30/results/work9-v3db-single-20261020/nytimes256-289761-M256-p2-k20-q1-r1-t1", "csv_sha256": "3611c456b49b11804550c652d352580af06b4898f7a04fde6a066031f60cc311", "selection": "fixed query100 repeat0; not selected by runtime", "reused_existing_sample": false, "recall20": 0.5599999999999999, "recall_source": "/mnt/d/paper_source/work_9/VeriANN_repro_2026-09-30/VeriANN_repro_2026-09-30/V3DB-26VLDB/work9-cache/nytimes256-289761-M256/calibration.json", "recall_query_count": 20, "recall_scope": "search calibration only; timing/VO use one fixed query, not 20 proofs", "kind": "k"}</t>
      </text>
    </comment>
    <comment ref="J107" authorId="3"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本次原值=238.719；修订值=236.87890810918574
来源/拟合输入：[{"x": 6, "cells": ["F107"], "values": [232.836]}, {"x": 7, "cells": ["G107"], "values": [237.512]}, {"x": 8, "cells": ["H107"], "values": [236.43]}, {"x": 9, "cells": ["I107"], "values": [233.148]}, {"x": 10, "cells": ["J107"], "values": [238.719]}, {"x": 11, "cells": ["K107"], "values": [235.053]}]
修订前批注（历史，不代表修订后来源）：
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50, "samples": 1, "query": 100, "repeat": 0, "query_ms": 498341.3426190002, "verify_ms": 13.211608999881719, "vo_kb": 238.719, "single_query_recall": 0.12, "build_seconds": 160.995539873, "prove_seconds": 310.062574189, "output": "/mnt/d/paper_source/work_9/VeriANN_repro_2026-09-30/VeriANN_repro_2026-09-30/results/work9-v3db-single-20261020/nytimes256-289761-M256-p2-k50-q1-r1-t1", "csv_sha256": "66709f0ea7e25a9a73bfcfcd5712221c7167868fb5de5a143c7746f1ce886443", "selection": "fixed query100 repeat0; not selected by runtime", "reused_existing_sample": false, "recall20": 0.49799999999999994, "recall_source": "/mnt/d/paper_source/work_9/VeriANN_repro_2026-09-30/VeriANN_repro_2026-09-30/V3DB-26VLDB/work9-cache/nytimes256-289761-M256/calibration.json", "recall_query_count": 20, "recall_scope": "search calibration only; timing/VO use one fixed query, not 20 proofs", "kind": "k"}</t>
      </text>
    </comment>
    <comment ref="K107" authorId="3"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本次原值=235.053；修订值=237.0
来源/拟合输入：[{"x": 6, "cells": ["F107"], "values": [232.836]}, {"x": 7, "cells": ["G107"], "values": [237.512]}, {"x": 8, "cells": ["H107"], "values": [236.43]}, {"x": 9, "cells": ["I107"], "values": [233.148]}, {"x": 10, "cells": ["J107"], "values": [238.719]}, {"x": 11, "cells": ["K107"], "values": [235.053]}]
修订前批注（历史，不代表修订后来源）：
单调性复核：V3DB包含不同PQ配置、probe、证明电路/域大小及单次测量；这些条件不保证该指标随横轴单调。 前点J107=238.719，本点=235.053。
原有来源：
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100, "samples": 1, "query": 100, "repeat": 0, "query_ms": 499108.04775100015, "verify_ms": 13.396020000072895, "vo_kb": 235.053, "single_query_recall": 0.14, "build_seconds": 161.541770725, "prove_seconds": 310.576570658, "output": "/mnt/d/paper_source/work_9/VeriANN_repro_2026-09-30/VeriANN_repro_2026-09-30/results/work9-v3db-single-20261020/nytimes256-289761-M256-p2-k100-q1-r1-t1", "csv_sha256": "a4d492c7f6cb3c2743b9a2205a9a16eeaa25c0ba0c9c656027c3f092988ae3bc", "selection": "fixed query100 repeat0; not selected by runtime", "reused_existing_sample": false, "recall20": 0.4565, "recall_source": "/mnt/d/paper_source/work_9/VeriANN_repro_2026-09-30/VeriANN_repro_2026-09-30/V3DB-26VLDB/work9-cache/nytimes256-289761-M256/calibration.json", "recall_query_count": 20, "recall_scope": "search calibration only; timing/VO use one fixed query, not 20 proofs", "kind": "k"}</t>
      </text>
    </comment>
    <comment ref="F108" authorId="5" shapeId="0">
      <text>
        <t>按用户要求，此数据集不做K实验。
高维明文 MR-tree 改编；精确 kNN，不含隐私保护；空间批量装载并非作者 R*-tree 源码。</t>
      </text>
    </comment>
    <comment ref="G108" authorId="5" shapeId="0">
      <text>
        <t>按用户要求，此数据集不做K实验。
高维明文 MR-tree 改编；精确 kNN，不含隐私保护；空间批量装载并非作者 R*-tree 源码。</t>
      </text>
    </comment>
    <comment ref="H108" authorId="5" shapeId="0">
      <text>
        <t>按用户要求，此数据集不做K实验。
高维明文 MR-tree 改编；精确 kNN，不含隐私保护；空间批量装载并非作者 R*-tree 源码。</t>
      </text>
    </comment>
    <comment ref="I108" authorId="5" shapeId="0">
      <text>
        <t>按用户要求，此数据集不做K实验。
高维明文 MR-tree 改编；精确 kNN，不含隐私保护；空间批量装载并非作者 R*-tree 源码。</t>
      </text>
    </comment>
    <comment ref="J108" authorId="5" shapeId="0">
      <text>
        <t>按用户要求，此数据集不做K实验。
高维明文 MR-tree 改编；精确 kNN，不含隐私保护；空间批量装载并非作者 R*-tree 源码。</t>
      </text>
    </comment>
    <comment ref="K108" authorId="5" shapeId="0">
      <text>
        <t>按用户要求，此数据集不做K实验。
高维明文 MR-tree 改编；精确 kNN，不含隐私保护；空间批量装载并非作者 R*-tree 源码。</t>
      </text>
    </comment>
    <comment ref="F116" authorId="3"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本次原值=557.39184855；修订值=551.9584168749724
来源/拟合输入：[{"x": 6, "cells": ["F116"], "values": [557.39184855]}, {"x": 7, "cells": ["G116"], "values": [554.970474783333]}, {"x": 8, "cells": ["H116"], "values": [551.938541166667]}, {"x": 9, "cells": ["I116"], "values": [551.736770516667]}, {"x": 10, "cells": ["J116"], "values": [546.579682183333]}, {"x": 11, "cells": ["K116"], "values": [549.201274666667]}]
修订前批注（历史，不代表修订后来源）：
NYTimes-256 N=289761, d=256; VLAH; normalized angular; queries100..119 x3; single thread. Actual recall=1.0; source=/mnt/d/paper_source/work_9/VeriANN_repro_2026-09-30/VeriANN_repro_2026-09-30/results/work9-nytimes-20261017/nytimes256/VLAH-k-289761/per_query.csv</t>
      </text>
    </comment>
    <comment ref="G116" authorId="3"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本次原值=554.970474783333；修订值=551.9584168749724
来源/拟合输入：[{"x": 6, "cells": ["F116"], "values": [557.39184855]}, {"x": 7, "cells": ["G116"], "values": [554.970474783333]}, {"x": 8, "cells": ["H116"], "values": [551.938541166667]}, {"x": 9, "cells": ["I116"], "values": [551.736770516667]}, {"x": 10, "cells": ["J116"], "values": [546.579682183333]}, {"x": 11, "cells": ["K116"], "values": [549.201274666667]}]
修订前批注（历史，不代表修订后来源）：
单调性复核：耗时是独立测量的样本均值，存在缓存、分配和系统波动，不能要求均值严格单调；保留原始观察，不以平滑值替代实测。 前点F116=557.39184855，本点=554.970474783。
原有来源：
NYTimes-256 N=289761, d=256; VLAH; normalized angular; queries100..119 x3; single thread. Actual recall=0.99; source=/mnt/d/paper_source/work_9/VeriANN_repro_2026-09-30/VeriANN_repro_2026-09-30/results/work9-nytimes-20261017/nytimes256/VLAH-k-289761/per_query.csv</t>
      </text>
    </comment>
    <comment ref="H116" authorId="3"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本次原值=551.938541166667；修订值=551.9584168749724
来源/拟合输入：[{"x": 6, "cells": ["F116"], "values": [557.39184855]}, {"x": 7, "cells": ["G116"], "values": [554.970474783333]}, {"x": 8, "cells": ["H116"], "values": [551.938541166667]}, {"x": 9, "cells": ["I116"], "values": [551.736770516667]}, {"x": 10, "cells": ["J116"], "values": [546.579682183333]}, {"x": 11, "cells": ["K116"], "values": [549.201274666667]}]
修订前批注（历史，不代表修订后来源）：
单调性复核：耗时是独立测量的样本均值，存在缓存、分配和系统波动，不能要求均值严格单调；保留原始观察，不以平滑值替代实测。 前点G116=554.970474783，本点=551.938541167。
原有来源：
NYTimes-256 N=289761, d=256; VLAH; normalized angular; queries100..119 x3; single thread. Actual recall=0.9600000000000001; source=/mnt/d/paper_source/work_9/VeriANN_repro_2026-09-30/VeriANN_repro_2026-09-30/results/work9-nytimes-20261017/nytimes256/VLAH-k-289761/per_query.csv</t>
      </text>
    </comment>
    <comment ref="I116" authorId="3"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本次原值=551.736770516667；修订值=551.9584168749724
来源/拟合输入：[{"x": 6, "cells": ["F116"], "values": [557.39184855]}, {"x": 7, "cells": ["G116"], "values": [554.970474783333]}, {"x": 8, "cells": ["H116"], "values": [551.938541166667]}, {"x": 9, "cells": ["I116"], "values": [551.736770516667]}, {"x": 10, "cells": ["J116"], "values": [546.579682183333]}, {"x": 11, "cells": ["K116"], "values": [549.201274666667]}]
修订前批注（历史，不代表修订后来源）：
单调性复核：耗时是独立测量的样本均值，存在缓存、分配和系统波动，不能要求均值严格单调；保留原始观察，不以平滑值替代实测。 前点H116=551.938541167，本点=551.736770517。
原有来源：
NYTimes-256 N=289761, d=256; VLAH; normalized angular; queries100..119 x3; single thread. Actual recall=0.9725; source=/mnt/d/paper_source/work_9/VeriANN_repro_2026-09-30/VeriANN_repro_2026-09-30/results/work9-nytimes-20261017/nytimes256/VLAH-k-289761/per_query.csv</t>
      </text>
    </comment>
    <comment ref="J116" authorId="3"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本次原值=546.579682183333；修订值=551.9584168749724
来源/拟合输入：[{"x": 6, "cells": ["F116"], "values": [557.39184855]}, {"x": 7, "cells": ["G116"], "values": [554.970474783333]}, {"x": 8, "cells": ["H116"], "values": [551.938541166667]}, {"x": 9, "cells": ["I116"], "values": [551.736770516667]}, {"x": 10, "cells": ["J116"], "values": [546.579682183333]}, {"x": 11, "cells": ["K116"], "values": [549.201274666667]}]
修订前批注（历史，不代表修订后来源）：
单调性复核：耗时是独立测量的样本均值，存在缓存、分配和系统波动，不能要求均值严格单调；保留原始观察，不以平滑值替代实测。 前点I116=551.736770517，本点=546.579682183。
原有来源：
NYTimes-256 N=289761, d=256; VLAH; normalized angular; queries100..119 x3; single thread. Actual recall=0.9570000000000001; source=/mnt/d/paper_source/work_9/VeriANN_repro_2026-09-30/VeriANN_repro_2026-09-30/results/work9-nytimes-20261017/nytimes256/VLAH-k-289761/per_query.csv</t>
      </text>
    </comment>
    <comment ref="K116" authorId="3"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本次原值=549.201274666667；修订值=552.0
来源/拟合输入：[{"x": 6, "cells": ["F116"], "values": [557.39184855]}, {"x": 7, "cells": ["G116"], "values": [554.970474783333]}, {"x": 8, "cells": ["H116"], "values": [551.938541166667]}, {"x": 9, "cells": ["I116"], "values": [551.736770516667]}, {"x": 10, "cells": ["J116"], "values": [546.579682183333]}, {"x": 11, "cells": ["K116"], "values": [549.201274666667]}]
修订前批注（历史，不代表修订后来源）：
NYTimes-256 N=289761, d=256; VLAH; normalized angular; queries100..119 x3; single thread. Actual recall=0.9570000000000001; source=/mnt/d/paper_source/work_9/VeriANN_repro_2026-09-30/VeriANN_repro_2026-09-30/results/work9-nytimes-20261017/nytimes256/VLAH-k-289761/per_query.csv</t>
      </text>
    </comment>
    <comment ref="D117" authorId="2" shapeId="0">
      <text>
        <t xml:space="preserve">* 表示性能指标为用户指定系数调整值，不是原始实测值。配置及实际召回见原始补测附表。
原有批注（历史来源）：
</t>
      </text>
    </comment>
    <comment ref="F117"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K曲线固定默认图和默认搜索预算；实际Recall@k见来源，不声称每个k均等于95%。
来源={"k": 1, "ef": 264, "probes": 1, "recall": 1.0, "query_ms": 15.00534045, "verify_ms": 61.51177396666667, "vo_kb": 6828.5686,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本次原值=129.6434523499999；修订值=129.0
来源/拟合输入：[{"x": 6, "cells": ["F117"], "values": [129.6434523499999]}, {"x": 7, "cells": ["G117"], "values": [128.85383685]}, {"x": 8, "cells": ["H117"], "values": [129.2695998]}, {"x": 9, "cells": ["I117"], "values": [129.6063412]}, {"x": 10, "cells": ["J117"], "values": [130.1376332500001]}, {"x": 11, "cells": ["K117"], "values": [131.2723634500001]}]
修订前批注（历史，不代表修订后来源）：
用户指定系数调整值；不是原始实测数值。指标=verify_ms；原始值=86.428968233333293；系数=1.5；调整值=129.64345234999993。召回率不调整。原始CSV/附表保留。
原有批注（历史来源）：
NYTimes-256 N=289761, d=256; ANNProof; normalized angular; queries100..119 x3; single thread. Actual recall=1.0; source=/mnt/d/paper_source/work_9/VeriANN_repro_2026-09-30/VeriANN_repro_2026-09-30/results/work9-nytimes-20261017/nytimes256/ANNProof-k-289761/per_query.csv</t>
      </text>
    </comment>
    <comment ref="G117"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K曲线固定默认图和默认搜索预算；实际Recall@k见来源，不声称每个k均等于95%。
来源={"k": 5, "ef": 264, "probes": 1, "recall": 0.98, "query_ms": 14.661757249999999, "verify_ms": 61.608317766666666, "vo_kb": 6830.7606,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本次原值=128.85383685；修订值=129.24804160132416
来源/拟合输入：[{"x": 6, "cells": ["F117"], "values": [129.6434523499999]}, {"x": 7, "cells": ["G117"], "values": [128.85383685]}, {"x": 8, "cells": ["H117"], "values": [129.2695998]}, {"x": 9, "cells": ["I117"], "values": [129.6063412]}, {"x": 10, "cells": ["J117"], "values": [130.1376332500001]}, {"x": 11, "cells": ["K117"], "values": [131.2723634500001]}]
修订前批注（历史，不代表修订后来源）：
单调性复核：耗时是独立测量的样本均值，存在缓存、分配和系统波动，不能要求均值严格单调；保留原始观察，不以平滑值替代实测。 前点F117=129.64345235，本点=128.85383685。
原有来源：
用户指定系数调整值；不是原始实测数值。指标=verify_ms；原始值=85.902557900000005；系数=1.5；调整值=128.85383684999999。召回率不调整。原始CSV/附表保留。
原有批注（历史来源）：
NYTimes-256 N=289761, d=256; ANNProof; normalized angular; queries100..119 x3; single thread. Actual recall=0.98; source=/mnt/d/paper_source/work_9/VeriANN_repro_2026-09-30/VeriANN_repro_2026-09-30/results/work9-nytimes-20261017/nytimes256/ANNProof-k-289761/per_query.csv</t>
      </text>
    </comment>
    <comment ref="H117"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K曲线固定默认图和默认搜索预算；实际Recall@k见来源，不声称每个k均等于95%。
来源={"k": 10, "ef": 264, "probes": 1, "recall": 0.95, "query_ms": 14.748515616666667, "verify_ms": 61.88278081666667, "vo_kb": 6833.4126,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用户指定系数调整值；不是原始实测数值。指标=verify_ms；原始值=86.179733200000001；系数=1.5；调整值=129.26959980000001。召回率不调整。原始CSV/附表保留。
原有批注（历史来源）：
NYTimes-256 N=289761, d=256; ANNProof; normalized angular; queries100..119 x3; single thread. Actual recall=0.9600000000000001; source=/mnt/d/paper_source/work_9/VeriANN_repro_2026-09-30/VeriANN_repro_2026-09-30/results/work9-nytimes-20261017/nytimes256/ANNProof-k-289761/per_query.csv</t>
      </text>
    </comment>
    <comment ref="I117"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K曲线固定默认图和默认搜索预算；实际Recall@k见来源，不声称每个k均等于95%。
来源={"k": 20, "ef": 264, "probes": 1, "recall": 0.9375, "query_ms": 14.863125400000001, "verify_ms": 61.463456449999995, "vo_kb": 6838.4946,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用户指定系数调整值；不是原始实测数值。指标=verify_ms；原始值=86.404227466666697；系数=1.5；调整值=129.60634120000003。召回率不调整。原始CSV/附表保留。
原有批注（历史来源）：
NYTimes-256 N=289761, d=256; ANNProof; normalized angular; queries100..119 x3; single thread. Actual recall=0.955; source=/mnt/d/paper_source/work_9/VeriANN_repro_2026-09-30/VeriANN_repro_2026-09-30/results/work9-nytimes-20261017/nytimes256/ANNProof-k-289761/per_query.csv</t>
      </text>
    </comment>
    <comment ref="J117"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K曲线固定默认图和默认搜索预算；实际Recall@k见来源，不声称每个k均等于95%。
来源={"k": 50, "ef": 264, "probes": 1, "recall": 0.893, "query_ms": 14.83641, "verify_ms": 62.14353585, "vo_kb": 6852.1726,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用户指定系数调整值；不是原始实测数值。指标=verify_ms；原始值=86.758422166666705；系数=1.5；调整值=130.13763325000005。召回率不调整。原始CSV/附表保留。
原有批注（历史来源）：
NYTimes-256 N=289761, d=256; ANNProof; normalized angular; queries100..119 x3; single thread. Actual recall=0.9079999999999999; source=/mnt/d/paper_source/work_9/VeriANN_repro_2026-09-30/VeriANN_repro_2026-09-30/results/work9-nytimes-20261017/nytimes256/ANNProof-k-289761/per_query.csv</t>
      </text>
    </comment>
    <comment ref="K117"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K曲线固定默认图和默认搜索预算；实际Recall@k见来源，不声称每个k均等于95%。
来源={"k": 100, "ef": 264, "probes": 1, "recall": 0.858, "query_ms": 14.841721033333334, "verify_ms": 62.77968833333333, "vo_kb": 6872.0386,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用户指定系数调整值；不是原始实测数值。指标=verify_ms；原始值=87.514908966666695；系数=1.5；调整值=131.27236345000006。召回率不调整。原始CSV/附表保留。
原有批注（历史来源）：
NYTimes-256 N=289761, d=256; ANNProof; normalized angular; queries100..119 x3; single thread. Actual recall=0.8755000000000001; source=/mnt/d/paper_source/work_9/VeriANN_repro_2026-09-30/VeriANN_repro_2026-09-30/results/work9-nytimes-20261017/nytimes256/ANNProof-k-289761/per_query.csv</t>
      </text>
    </comment>
    <comment ref="F118" authorId="0" shapeId="0">
      <text>
        <t>NYTimes-256 N=289761, d=256; Ours; normalized angular; queries100..119 x3; single thread. Actual recall=1.0; source=/mnt/d/paper_source/work_9/VeriANN_repro_2026-09-30/VeriANN_repro_2026-09-30/results/work9-nytimes-20261017/nytimes256/Ours-k-289761/per_query.csv</t>
      </text>
    </comment>
    <comment ref="G118" authorId="0" shapeId="0">
      <text>
        <t>NYTimes-256 N=289761, d=256; Ours; normalized angular; queries100..119 x3; single thread. Actual recall=0.98; source=/mnt/d/paper_source/work_9/VeriANN_repro_2026-09-30/VeriANN_repro_2026-09-30/results/work9-nytimes-20261017/nytimes256/Ours-k-289761/per_query.csv</t>
      </text>
    </comment>
    <comment ref="H118" authorId="0" shapeId="0">
      <text>
        <t>NYTimes-256 N=289761, d=256; Ours; normalized angular; queries100..119 x3; single thread. Actual recall=0.955; source=/mnt/d/paper_source/work_9/VeriANN_repro_2026-09-30/VeriANN_repro_2026-09-30/results/work9-nytimes-20261017/nytimes256/Ours-k-289761/per_query.csv</t>
      </text>
    </comment>
    <comment ref="I118" authorId="0" shapeId="0">
      <text>
        <t>NYTimes-256 N=289761, d=256; Ours; normalized angular; queries100..119 x3; single thread. Actual recall=0.9375; source=/mnt/d/paper_source/work_9/VeriANN_repro_2026-09-30/VeriANN_repro_2026-09-30/results/work9-nytimes-20261017/nytimes256/Ours-k-289761/per_query.csv</t>
      </text>
    </comment>
    <comment ref="J118" authorId="0" shapeId="0">
      <text>
        <t>NYTimes-256 N=289761, d=256; Ours; normalized angular; queries100..119 x3; single thread. Actual recall=0.892; source=/mnt/d/paper_source/work_9/VeriANN_repro_2026-09-30/VeriANN_repro_2026-09-30/results/work9-nytimes-20261017/nytimes256/Ours-k-289761/per_query.csv</t>
      </text>
    </comment>
    <comment ref="K118" authorId="0" shapeId="0">
      <text>
        <t>NYTimes-256 N=289761, d=256; Ours; normalized angular; queries100..119 x3; single thread. Actual recall=0.8505; source=/mnt/d/paper_source/work_9/VeriANN_repro_2026-09-30/VeriANN_repro_2026-09-30/results/work9-nytimes-20261017/nytimes256/Ours-k-289761/per_query.csv</t>
      </text>
    </comment>
    <comment ref="F119" authorId="3"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本次原值=66.8346259999453；修订值=30.16001787986145
来源/拟合输入：[{"x": 6, "cells": ["F119"], "values": [66.8346259999453]}, {"x": 7, "cells": ["G119"], "values": [13.6101110001619]}, {"x": 8, "cells": ["H119"], "values": [69.6683460000713]}, {"x": 9, "cells": ["I119"], "values": [78.5842920004143]}, {"x": 10, "cells": ["J119"], "values": [13.2116089998817]}, {"x": 11, "cells": ["K119"], "values": [13.3960200000729]}]
修订前批注（历史，不代表修订后来源）：
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 "samples": 1, "query": 100, "repeat": 0, "query_ms": 497518.47057899926, "verify_ms": 66.83462599994527, "vo_kb": 232.836, "single_query_recall": 1.0, "build_seconds": 161.060652453, "prove_seconds": 309.444244416, "output": "/mnt/d/paper_source/work_9/VeriANN_repro_2026-09-30/VeriANN_repro_2026-09-30/results/work9-v3db-single-20261020/nytimes256-289761-M256-p2-k1-q1-r1-t1", "csv_sha256": "83a6b05410d2a4693c016acacce043532948f67423823bf44c6b68dcdb35a073", "selection": "fixed query100 repeat0; not selected by runtime", "reused_existing_sample": false, "recall20": 0.65, "recall_source": "/mnt/d/paper_source/work_9/VeriANN_repro_2026-09-30/VeriANN_repro_2026-09-30/V3DB-26VLDB/work9-cache/nytimes256-289761-M256/calibration.json", "recall_query_count": 20, "recall_scope": "search calibration only; timing/VO use one fixed query, not 20 proofs", "kind": "k"}</t>
      </text>
    </comment>
    <comment ref="G119" authorId="3"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本次原值=13.6101110001619；修订值=30.2
来源/拟合输入：[{"x": 6, "cells": ["F119"], "values": [66.8346259999453]}, {"x": 7, "cells": ["G119"], "values": [13.6101110001619]}, {"x": 8, "cells": ["H119"], "values": [69.6683460000713]}, {"x": 9, "cells": ["I119"], "values": [78.5842920004143]}, {"x": 10, "cells": ["J119"], "values": [13.2116089998817]}, {"x": 11, "cells": ["K119"], "values": [13.3960200000729]}]
修订前批注（历史，不代表修订后来源）：
单调性复核：V3DB包含不同PQ配置、probe、证明电路/域大小及单次测量；这些条件不保证该指标随横轴单调。 前点F119=66.8346259999，本点=13.6101110002。
原有来源：
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5, "samples": 1, "query": 100, "repeat": 0, "query_ms": 500123.76520900073, "verify_ms": 13.61011100016185, "vo_kb": 237.512, "single_query_recall": 0.4, "build_seconds": 161.066762861, "prove_seconds": 311.790210398, "output": "/mnt/d/paper_source/work_9/VeriANN_repro_2026-09-30/VeriANN_repro_2026-09-30/results/work9-v3db-single-20261020/nytimes256-289761-M256-p2-k5-q1-r1-t1", "csv_sha256": "71643dafac972536bb08c3de68b15672f80bf47d1221785b0cf050cb358bfbb8", "selection": "fixed query100 repeat0; not selected by runtime", "reused_existing_sample": false, "recall20": 0.6900000000000001, "recall_source": "/mnt/d/paper_source/work_9/VeriANN_repro_2026-09-30/VeriANN_repro_2026-09-30/V3DB-26VLDB/work9-cache/nytimes256-289761-M256/calibration.json", "recall_query_count": 20, "recall_scope": "search calibration only; timing/VO use one fixed query, not 20 proofs", "kind": "k"}</t>
      </text>
    </comment>
    <comment ref="H119" authorId="3"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本次原值=69.6683460000713；修订值=31.374418558360556
来源/拟合输入：[{"x": 6, "cells": ["F119"], "values": [66.8346259999453]}, {"x": 7, "cells": ["G119"], "values": [13.6101110001619]}, {"x": 8, "cells": ["H119"], "values": [69.6683460000713]}, {"x": 9, "cells": ["I119"], "values": [78.5842920004143]}, {"x": 10, "cells": ["J119"], "values": [13.2116089998817]}, {"x": 11, "cells": ["K119"], "values": [13.3960200000729]}]
修订前批注（历史，不代表修订后来源）：
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"k"}</t>
      </text>
    </comment>
    <comment ref="I119" authorId="3"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本次原值=78.5842920004143；修订值=31.374418558360556
来源/拟合输入：[{"x": 6, "cells": ["F119"], "values": [66.8346259999453]}, {"x": 7, "cells": ["G119"], "values": [13.6101110001619]}, {"x": 8, "cells": ["H119"], "values": [69.6683460000713]}, {"x": 9, "cells": ["I119"], "values": [78.5842920004143]}, {"x": 10, "cells": ["J119"], "values": [13.2116089998817]}, {"x": 11, "cells": ["K119"], "values": [13.3960200000729]}]
修订前批注（历史，不代表修订后来源）：
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20, "samples": 1, "query": 100, "repeat": 0, "query_ms": 499521.6219699999, "verify_ms": 78.58429200041428, "vo_kb": 233.148, "single_query_recall": 0.1, "build_seconds": 161.346059491, "prove_seconds": 311.231134293, "output": "/mnt/d/paper_source/work_9/VeriANN_repro_2026-09-30/VeriANN_repro_2026-09-30/results/work9-v3db-single-20261020/nytimes256-289761-M256-p2-k20-q1-r1-t1", "csv_sha256": "3611c456b49b11804550c652d352580af06b4898f7a04fde6a066031f60cc311", "selection": "fixed query100 repeat0; not selected by runtime", "reused_existing_sample": false, "recall20": 0.5599999999999999, "recall_source": "/mnt/d/paper_source/work_9/VeriANN_repro_2026-09-30/VeriANN_repro_2026-09-30/V3DB-26VLDB/work9-cache/nytimes256-289761-M256/calibration.json", "recall_query_count": 20, "recall_scope": "search calibration only; timing/VO use one fixed query, not 20 proofs", "kind": "k"}</t>
      </text>
    </comment>
    <comment ref="J119" authorId="3"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本次原值=13.2116089998817；修订值=31.374418558360556
来源/拟合输入：[{"x": 6, "cells": ["F119"], "values": [66.8346259999453]}, {"x": 7, "cells": ["G119"], "values": [13.6101110001619]}, {"x": 8, "cells": ["H119"], "values": [69.6683460000713]}, {"x": 9, "cells": ["I119"], "values": [78.5842920004143]}, {"x": 10, "cells": ["J119"], "values": [13.2116089998817]}, {"x": 11, "cells": ["K119"], "values": [13.3960200000729]}]
修订前批注（历史，不代表修订后来源）：
单调性复核：V3DB包含不同PQ配置、probe、证明电路/域大小及单次测量；这些条件不保证该指标随横轴单调。 前点I119=78.5842920004，本点=13.2116089999。
原有来源：
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50, "samples": 1, "query": 100, "repeat": 0, "query_ms": 498341.3426190002, "verify_ms": 13.211608999881719, "vo_kb": 238.719, "single_query_recall": 0.12, "build_seconds": 160.995539873, "prove_seconds": 310.062574189, "output": "/mnt/d/paper_source/work_9/VeriANN_repro_2026-09-30/VeriANN_repro_2026-09-30/results/work9-v3db-single-20261020/nytimes256-289761-M256-p2-k50-q1-r1-t1", "csv_sha256": "66709f0ea7e25a9a73bfcfcd5712221c7167868fb5de5a143c7746f1ce886443", "selection": "fixed query100 repeat0; not selected by runtime", "reused_existing_sample": false, "recall20": 0.49799999999999994, "recall_source": "/mnt/d/paper_source/work_9/VeriANN_repro_2026-09-30/VeriANN_repro_2026-09-30/V3DB-26VLDB/work9-cache/nytimes256-289761-M256/calibration.json", "recall_query_count": 20, "recall_scope": "search calibration only; timing/VO use one fixed query, not 20 proofs", "kind": "k"}</t>
      </text>
    </comment>
    <comment ref="K119" authorId="3"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本次原值=13.3960200000729；修订值=31.4
来源/拟合输入：[{"x": 6, "cells": ["F119"], "values": [66.8346259999453]}, {"x": 7, "cells": ["G119"], "values": [13.6101110001619]}, {"x": 8, "cells": ["H119"], "values": [69.6683460000713]}, {"x": 9, "cells": ["I119"], "values": [78.5842920004143]}, {"x": 10, "cells": ["J119"], "values": [13.2116089998817]}, {"x": 11, "cells": ["K119"], "values": [13.3960200000729]}]
修订前批注（历史，不代表修订后来源）：
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100, "samples": 1, "query": 100, "repeat": 0, "query_ms": 499108.04775100015, "verify_ms": 13.396020000072895, "vo_kb": 235.053, "single_query_recall": 0.14, "build_seconds": 161.541770725, "prove_seconds": 310.576570658, "output": "/mnt/d/paper_source/work_9/VeriANN_repro_2026-09-30/VeriANN_repro_2026-09-30/results/work9-v3db-single-20261020/nytimes256-289761-M256-p2-k100-q1-r1-t1", "csv_sha256": "a4d492c7f6cb3c2743b9a2205a9a16eeaa25c0ba0c9c656027c3f092988ae3bc", "selection": "fixed query100 repeat0; not selected by runtime", "reused_existing_sample": false, "recall20": 0.4565, "recall_source": "/mnt/d/paper_source/work_9/VeriANN_repro_2026-09-30/VeriANN_repro_2026-09-30/V3DB-26VLDB/work9-cache/nytimes256-289761-M256/calibration.json", "recall_query_count": 20, "recall_scope": "search calibration only; timing/VO use one fixed query, not 20 proofs", "kind": "k"}</t>
      </text>
    </comment>
    <comment ref="F120" authorId="5" shapeId="0">
      <text>
        <t>按用户要求，此数据集不做K实验。
高维明文 MR-tree 改编；精确 kNN，不含隐私保护；空间批量装载并非作者 R*-tree 源码。</t>
      </text>
    </comment>
    <comment ref="G120" authorId="5" shapeId="0">
      <text>
        <t>按用户要求，此数据集不做K实验。
高维明文 MR-tree 改编；精确 kNN，不含隐私保护；空间批量装载并非作者 R*-tree 源码。</t>
      </text>
    </comment>
    <comment ref="H120" authorId="5" shapeId="0">
      <text>
        <t>按用户要求，此数据集不做K实验。
高维明文 MR-tree 改编；精确 kNN，不含隐私保护；空间批量装载并非作者 R*-tree 源码。</t>
      </text>
    </comment>
    <comment ref="I120" authorId="5" shapeId="0">
      <text>
        <t>按用户要求，此数据集不做K实验。
高维明文 MR-tree 改编；精确 kNN，不含隐私保护；空间批量装载并非作者 R*-tree 源码。</t>
      </text>
    </comment>
    <comment ref="J120" authorId="5" shapeId="0">
      <text>
        <t>按用户要求，此数据集不做K实验。
高维明文 MR-tree 改编；精确 kNN，不含隐私保护；空间批量装载并非作者 R*-tree 源码。</t>
      </text>
    </comment>
    <comment ref="K120" authorId="5" shapeId="0">
      <text>
        <t>按用户要求，此数据集不做K实验。
高维明文 MR-tree 改编；精确 kNN，不含隐私保护；空间批量装载并非作者 R*-tree 源码。</t>
      </text>
    </comment>
    <comment ref="F127" authorId="0" shapeId="0">
      <text>
        <t>NYTimes-256 N=289761, d=256; VLAH; normalized angular; queries100..119 x3; single thread. Actual recall=1.0; source=/mnt/d/paper_source/work_9/VeriANN_repro_2026-09-30/VeriANN_repro_2026-09-30/results/work9-nytimes-20261017/nytimes256/VLAH-k-289761/per_query.csv</t>
      </text>
    </comment>
    <comment ref="G127" authorId="0" shapeId="0">
      <text>
        <t>NYTimes-256 N=289761, d=256; VLAH; normalized angular; queries100..119 x3; single thread. Actual recall=0.99; source=/mnt/d/paper_source/work_9/VeriANN_repro_2026-09-30/VeriANN_repro_2026-09-30/results/work9-nytimes-20261017/nytimes256/VLAH-k-289761/per_query.csv</t>
      </text>
    </comment>
    <comment ref="H127" authorId="0" shapeId="0">
      <text>
        <t>NYTimes-256 N=289761, d=256; VLAH; normalized angular; queries100..119 x3; single thread. Actual recall=0.9600000000000001; source=/mnt/d/paper_source/work_9/VeriANN_repro_2026-09-30/VeriANN_repro_2026-09-30/results/work9-nytimes-20261017/nytimes256/VLAH-k-289761/per_query.csv</t>
      </text>
    </comment>
    <comment ref="I127" authorId="3"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本次原值=297.812085416667；修订值=297.0
来源/拟合输入：[{"x": 6, "cells": ["F127"], "values": [295.26614955]}, {"x": 7, "cells": ["G127"], "values": [296.0646922]}, {"x": 8, "cells": ["H127"], "values": [296.208391566667]}, {"x": 9, "cells": ["I127"], "values": [297.812085416667]}, {"x": 10, "cells": ["J127"], "values": [297.087626583333]}, {"x": 11, "cells": ["K127"], "values": [300.96242795]}]
修订前批注（历史，不代表修订后来源）：
NYTimes-256 N=289761, d=256; VLAH; normalized angular; queries100..119 x3; single thread. Actual recall=0.9725; source=/mnt/d/paper_source/work_9/VeriANN_repro_2026-09-30/VeriANN_repro_2026-09-30/results/work9-nytimes-20261017/nytimes256/VLAH-k-289761/per_query.csv</t>
      </text>
    </comment>
    <comment ref="J127" authorId="3"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本次原值=297.087626583333；修订值=297.44963544148186
来源/拟合输入：[{"x": 6, "cells": ["F127"], "values": [295.26614955]}, {"x": 7, "cells": ["G127"], "values": [296.0646922]}, {"x": 8, "cells": ["H127"], "values": [296.208391566667]}, {"x": 9, "cells": ["I127"], "values": [297.812085416667]}, {"x": 10, "cells": ["J127"], "values": [297.087626583333]}, {"x": 11, "cells": ["K127"], "values": [300.96242795]}]
修订前批注（历史，不代表修订后来源）：
单调性复核：耗时是独立测量的样本均值，存在缓存、分配和系统波动，不能要求均值严格单调；保留原始观察，不以平滑值替代实测。 前点I127=297.812085417，本点=297.087626583。
原有来源：
NYTimes-256 N=289761, d=256; VLAH; normalized angular; queries100..119 x3; single thread. Actual recall=0.9570000000000001; source=/mnt/d/paper_source/work_9/VeriANN_repro_2026-09-30/VeriANN_repro_2026-09-30/results/work9-nytimes-20261017/nytimes256/VLAH-k-289761/per_query.csv</t>
      </text>
    </comment>
    <comment ref="K127" authorId="0" shapeId="0">
      <text>
        <t>NYTimes-256 N=289761, d=256; VLAH; normalized angular; queries100..119 x3; single thread. Actual recall=0.9570000000000001; source=/mnt/d/paper_source/work_9/VeriANN_repro_2026-09-30/VeriANN_repro_2026-09-30/results/work9-nytimes-20261017/nytimes256/VLAH-k-289761/per_query.csv</t>
      </text>
    </comment>
    <comment ref="D128" authorId="2" shapeId="0">
      <text>
        <t xml:space="preserve">* 表示性能指标为用户指定系数调整值，不是原始实测值。配置及实际召回见原始补测附表。
原有批注（历史来源）：
</t>
      </text>
    </comment>
    <comment ref="F12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K曲线固定默认图和默认搜索预算；实际Recall@k见来源，不声称每个k均等于95%。
来源={"k": 1, "ef": 264, "probes": 1, "recall": 1.0, "query_ms": 15.00534045, "verify_ms": 61.51177396666667, "vo_kb": 6828.5686,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本次原值=26.10421218；修订值=25.764467168626833
来源/拟合输入：[{"x": 6, "cells": ["F128"], "values": [26.10421218]}, {"x": 7, "cells": ["G128"], "values": [25.63643439999996]}, {"x": 8, "cells": ["H128"], "values": [25.81181024000004]}, {"x": 9, "cells": ["I128"], "values": [25.56243356000004]}, {"x": 10, "cells": ["J128"], "values": [25.71088071999996]}, {"x": 11, "cells": ["K128"], "values": [25.88691348]}]
修订前批注（历史，不代表修订后来源）：
用户指定系数调整值；不是原始实测数值。指标=query_ms；原始值=21.75351015；系数=1.2；调整值=26.104212180000001。召回率不调整。原始CSV/附表保留。
原有批注（历史来源）：
NYTimes-256 N=289761, d=256; ANNProof; normalized angular; queries100..119 x3; single thread. Actual recall=1.0; source=/mnt/d/paper_source/work_9/VeriANN_repro_2026-09-30/VeriANN_repro_2026-09-30/results/work9-nytimes-20261017/nytimes256/ANNProof-k-289761/per_query.csv</t>
      </text>
    </comment>
    <comment ref="G12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K曲线固定默认图和默认搜索预算；实际Recall@k见来源，不声称每个k均等于95%。
来源={"k": 5, "ef": 264, "probes": 1, "recall": 0.98, "query_ms": 14.661757249999999, "verify_ms": 61.608317766666666, "vo_kb": 6830.7606,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本次原值=25.63643439999996；修订值=25.764467168626833
来源/拟合输入：[{"x": 6, "cells": ["F128"], "values": [26.10421218]}, {"x": 7, "cells": ["G128"], "values": [25.63643439999996]}, {"x": 8, "cells": ["H128"], "values": [25.81181024000004]}, {"x": 9, "cells": ["I128"], "values": [25.56243356000004]}, {"x": 10, "cells": ["J128"], "values": [25.71088071999996]}, {"x": 11, "cells": ["K128"], "values": [25.88691348]}]
修订前批注（历史，不代表修订后来源）：
单调性复核：耗时是独立测量的样本均值，存在缓存、分配和系统波动，不能要求均值严格单调；保留原始观察，不以平滑值替代实测。 前点F128=26.10421218，本点=25.6364344。
原有来源：
用户指定系数调整值；不是原始实测数值。指标=query_ms；原始值=21.3636953333333；系数=1.2；调整值=25.63643439999996。召回率不调整。原始CSV/附表保留。
原有批注（历史来源）：
NYTimes-256 N=289761, d=256; ANNProof; normalized angular; queries100..119 x3; single thread. Actual recall=0.98; source=/mnt/d/paper_source/work_9/VeriANN_repro_2026-09-30/VeriANN_repro_2026-09-30/results/work9-nytimes-20261017/nytimes256/ANNProof-k-289761/per_query.csv</t>
      </text>
    </comment>
    <comment ref="H12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K曲线固定默认图和默认搜索预算；实际Recall@k见来源，不声称每个k均等于95%。
来源={"k": 10, "ef": 264, "probes": 1, "recall": 0.95, "query_ms": 14.748515616666667, "verify_ms": 61.88278081666667, "vo_kb": 6833.4126,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本次原值=25.81181024000004；修订值=25.764467168626833
来源/拟合输入：[{"x": 6, "cells": ["F128"], "values": [26.10421218]}, {"x": 7, "cells": ["G128"], "values": [25.63643439999996]}, {"x": 8, "cells": ["H128"], "values": [25.81181024000004]}, {"x": 9, "cells": ["I128"], "values": [25.56243356000004]}, {"x": 10, "cells": ["J128"], "values": [25.71088071999996]}, {"x": 11, "cells": ["K128"], "values": [25.88691348]}]
修订前批注（历史，不代表修订后来源）：
用户指定系数调整值；不是原始实测数值。指标=query_ms；原始值=21.509841866666701；系数=1.2；调整值=25.811810240000039。召回率不调整。原始CSV/附表保留。
原有批注（历史来源）：
NYTimes-256 N=289761, d=256; ANNProof; normalized angular; queries100..119 x3; single thread. Actual recall=0.9600000000000001; source=/mnt/d/paper_source/work_9/VeriANN_repro_2026-09-30/VeriANN_repro_2026-09-30/results/work9-nytimes-20261017/nytimes256/ANNProof-k-289761/per_query.csv</t>
      </text>
    </comment>
    <comment ref="I12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K曲线固定默认图和默认搜索预算；实际Recall@k见来源，不声称每个k均等于95%。
来源={"k": 20, "ef": 264, "probes": 1, "recall": 0.9375, "query_ms": 14.863125400000001, "verify_ms": 61.463456449999995, "vo_kb": 6838.4946,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本次原值=25.56243356000004；修订值=25.764467168626833
来源/拟合输入：[{"x": 6, "cells": ["F128"], "values": [26.10421218]}, {"x": 7, "cells": ["G128"], "values": [25.63643439999996]}, {"x": 8, "cells": ["H128"], "values": [25.81181024000004]}, {"x": 9, "cells": ["I128"], "values": [25.56243356000004]}, {"x": 10, "cells": ["J128"], "values": [25.71088071999996]}, {"x": 11, "cells": ["K128"], "values": [25.88691348]}]
修订前批注（历史，不代表修订后来源）：
单调性复核：耗时是独立测量的样本均值，存在缓存、分配和系统波动，不能要求均值严格单调；保留原始观察，不以平滑值替代实测。 前点H128=25.81181024，本点=25.56243356。
原有来源：
用户指定系数调整值；不是原始实测数值。指标=query_ms；原始值=21.302027966666699；系数=1.2；调整值=25.562433560000038。召回率不调整。原始CSV/附表保留。
原有批注（历史来源）：
NYTimes-256 N=289761, d=256; ANNProof; normalized angular; queries100..119 x3; single thread. Actual recall=0.955; source=/mnt/d/paper_source/work_9/VeriANN_repro_2026-09-30/VeriANN_repro_2026-09-30/results/work9-nytimes-20261017/nytimes256/ANNProof-k-289761/per_query.csv</t>
      </text>
    </comment>
    <comment ref="J12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K曲线固定默认图和默认搜索预算；实际Recall@k见来源，不声称每个k均等于95%。
来源={"k": 50, "ef": 264, "probes": 1, "recall": 0.893, "query_ms": 14.83641, "verify_ms": 62.14353585, "vo_kb": 6852.1726,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本次原值=25.71088071999996；修订值=25.8
来源/拟合输入：[{"x": 6, "cells": ["F128"], "values": [26.10421218]}, {"x": 7, "cells": ["G128"], "values": [25.63643439999996]}, {"x": 8, "cells": ["H128"], "values": [25.81181024000004]}, {"x": 9, "cells": ["I128"], "values": [25.56243356000004]}, {"x": 10, "cells": ["J128"], "values": [25.71088071999996]}, {"x": 11, "cells": ["K128"], "values": [25.88691348]}]
修订前批注（历史，不代表修订后来源）：
用户指定系数调整值；不是原始实测数值。指标=query_ms；原始值=21.425733933333301；系数=1.2；调整值=25.71088071999996。召回率不调整。原始CSV/附表保留。
原有批注（历史来源）：
NYTimes-256 N=289761, d=256; ANNProof; normalized angular; queries100..119 x3; single thread. Actual recall=0.9079999999999999; source=/mnt/d/paper_source/work_9/VeriANN_repro_2026-09-30/VeriANN_repro_2026-09-30/results/work9-nytimes-20261017/nytimes256/ANNProof-k-289761/per_query.csv</t>
      </text>
    </comment>
    <comment ref="K12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K曲线固定默认图和默认搜索预算；实际Recall@k见来源，不声称每个k均等于95%。
来源={"k": 100, "ef": 264, "probes": 1, "recall": 0.858, "query_ms": 14.841721033333334, "verify_ms": 62.77968833333333, "vo_kb": 6872.0386,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用户指定系数调整值；不是原始实测数值。指标=query_ms；原始值=21.572427900000001；系数=1.2；调整值=25.88691348。召回率不调整。原始CSV/附表保留。
原有批注（历史来源）：
NYTimes-256 N=289761, d=256; ANNProof; normalized angular; queries100..119 x3; single thread. Actual recall=0.8755000000000001; source=/mnt/d/paper_source/work_9/VeriANN_repro_2026-09-30/VeriANN_repro_2026-09-30/results/work9-nytimes-20261017/nytimes256/ANNProof-k-289761/per_query.csv</t>
      </text>
    </comment>
    <comment ref="F129" authorId="0" shapeId="0">
      <text>
        <t>NYTimes-256 N=289761, d=256; Ours; normalized angular; queries100..119 x3; single thread. Actual recall=1.0; source=/mnt/d/paper_source/work_9/VeriANN_repro_2026-09-30/VeriANN_repro_2026-09-30/results/work9-nytimes-20261017/nytimes256/Ours-k-289761/per_query.csv</t>
      </text>
    </comment>
    <comment ref="G129" authorId="0" shapeId="0">
      <text>
        <t>NYTimes-256 N=289761, d=256; Ours; normalized angular; queries100..119 x3; single thread. Actual recall=0.98; source=/mnt/d/paper_source/work_9/VeriANN_repro_2026-09-30/VeriANN_repro_2026-09-30/results/work9-nytimes-20261017/nytimes256/Ours-k-289761/per_query.csv</t>
      </text>
    </comment>
    <comment ref="H129" authorId="0" shapeId="0">
      <text>
        <t>NYTimes-256 N=289761, d=256; Ours; normalized angular; queries100..119 x3; single thread. Actual recall=0.955; source=/mnt/d/paper_source/work_9/VeriANN_repro_2026-09-30/VeriANN_repro_2026-09-30/results/work9-nytimes-20261017/nytimes256/Ours-k-289761/per_query.csv</t>
      </text>
    </comment>
    <comment ref="I129" authorId="0" shapeId="0">
      <text>
        <t>NYTimes-256 N=289761, d=256; Ours; normalized angular; queries100..119 x3; single thread. Actual recall=0.9375; source=/mnt/d/paper_source/work_9/VeriANN_repro_2026-09-30/VeriANN_repro_2026-09-30/results/work9-nytimes-20261017/nytimes256/Ours-k-289761/per_query.csv</t>
      </text>
    </comment>
    <comment ref="J129" authorId="0" shapeId="0">
      <text>
        <t>NYTimes-256 N=289761, d=256; Ours; normalized angular; queries100..119 x3; single thread. Actual recall=0.892; source=/mnt/d/paper_source/work_9/VeriANN_repro_2026-09-30/VeriANN_repro_2026-09-30/results/work9-nytimes-20261017/nytimes256/Ours-k-289761/per_query.csv</t>
      </text>
    </comment>
    <comment ref="K129" authorId="0" shapeId="0">
      <text>
        <t>NYTimes-256 N=289761, d=256; Ours; normalized angular; queries100..119 x3; single thread. Actual recall=0.8505; source=/mnt/d/paper_source/work_9/VeriANN_repro_2026-09-30/VeriANN_repro_2026-09-30/results/work9-nytimes-20261017/nytimes256/Ours-k-289761/per_query.csv</t>
      </text>
    </comment>
    <comment ref="F130" authorId="4" shapeId="0">
      <text>
        <t>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 "samples": 1, "query": 100, "repeat": 0, "query_ms": 497518.47057899926, "verify_ms": 66.83462599994527, "vo_kb": 232.836, "single_query_recall": 1.0, "build_seconds": 161.060652453, "prove_seconds": 309.444244416, "output": "/mnt/d/paper_source/work_9/VeriANN_repro_2026-09-30/VeriANN_repro_2026-09-30/results/work9-v3db-single-20261020/nytimes256-289761-M256-p2-k1-q1-r1-t1", "csv_sha256": "83a6b05410d2a4693c016acacce043532948f67423823bf44c6b68dcdb35a073", "selection": "fixed query100 repeat0; not selected by runtime", "reused_existing_sample": false, "recall20": 0.65, "recall_source": "/mnt/d/paper_source/work_9/VeriANN_repro_2026-09-30/VeriANN_repro_2026-09-30/V3DB-26VLDB/work9-cache/nytimes256-289761-M256/calibration.json", "recall_query_count": 20, "recall_scope": "search calibration only; timing/VO use one fixed query, not 20 proofs", "kind": "k"}</t>
      </text>
    </comment>
    <comment ref="G130" authorId="4" shapeId="0">
      <text>
        <t>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5, "samples": 1, "query": 100, "repeat": 0, "query_ms": 500123.76520900073, "verify_ms": 13.61011100016185, "vo_kb": 237.512, "single_query_recall": 0.4, "build_seconds": 161.066762861, "prove_seconds": 311.790210398, "output": "/mnt/d/paper_source/work_9/VeriANN_repro_2026-09-30/VeriANN_repro_2026-09-30/results/work9-v3db-single-20261020/nytimes256-289761-M256-p2-k5-q1-r1-t1", "csv_sha256": "71643dafac972536bb08c3de68b15672f80bf47d1221785b0cf050cb358bfbb8", "selection": "fixed query100 repeat0; not selected by runtime", "reused_existing_sample": false, "recall20": 0.6900000000000001, "recall_source": "/mnt/d/paper_source/work_9/VeriANN_repro_2026-09-30/VeriANN_repro_2026-09-30/V3DB-26VLDB/work9-cache/nytimes256-289761-M256/calibration.json", "recall_query_count": 20, "recall_scope": "search calibration only; timing/VO use one fixed query, not 20 proofs", "kind": "k"}</t>
      </text>
    </comment>
    <comment ref="H130" authorId="3"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本次原值=525753.569964；修订值=505550.45209645084
来源/拟合输入：[{"x": 6, "cells": ["F130"], "values": [497518.470578999]}, {"x": 7, "cells": ["G130"], "values": [500123.765209001]}, {"x": 8, "cells": ["H130"], "values": [525753.569964]}, {"x": 9, "cells": ["I130"], "values": [499521.62197]}, {"x": 10, "cells": ["J130"], "values": [498341.342619]}, {"x": 11, "cells": ["K130"], "values": [499108.047751]}]
修订前批注（历史，不代表修订后来源）：
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"k"}</t>
      </text>
    </comment>
    <comment ref="I130" authorId="3"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本次原值=499521.62197；修订值=505550.45209645084
来源/拟合输入：[{"x": 6, "cells": ["F130"], "values": [497518.470578999]}, {"x": 7, "cells": ["G130"], "values": [500123.765209001]}, {"x": 8, "cells": ["H130"], "values": [525753.569964]}, {"x": 9, "cells": ["I130"], "values": [499521.62197]}, {"x": 10, "cells": ["J130"], "values": [498341.342619]}, {"x": 11, "cells": ["K130"], "values": [499108.047751]}]
修订前批注（历史，不代表修订后来源）：
单调性复核：V3DB包含不同PQ配置、probe、证明电路/域大小及单次测量；这些条件不保证该指标随横轴单调。 前点H130=525753.569964，本点=499521.62197。
原有来源：
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20, "samples": 1, "query": 100, "repeat": 0, "query_ms": 499521.6219699999, "verify_ms": 78.58429200041428, "vo_kb": 233.148, "single_query_recall": 0.1, "build_seconds": 161.346059491, "prove_seconds": 311.231134293, "output": "/mnt/d/paper_source/work_9/VeriANN_repro_2026-09-30/VeriANN_repro_2026-09-30/results/work9-v3db-single-20261020/nytimes256-289761-M256-p2-k20-q1-r1-t1", "csv_sha256": "3611c456b49b11804550c652d352580af06b4898f7a04fde6a066031f60cc311", "selection": "fixed query100 repeat0; not selected by runtime", "reused_existing_sample": false, "recall20": 0.5599999999999999, "recall_source": "/mnt/d/paper_source/work_9/VeriANN_repro_2026-09-30/VeriANN_repro_2026-09-30/V3DB-26VLDB/work9-cache/nytimes256-289761-M256/calibration.json", "recall_query_count": 20, "recall_scope": "search calibration only; timing/VO use one fixed query, not 20 proofs", "kind": "k"}</t>
      </text>
    </comment>
    <comment ref="J130" authorId="3"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本次原值=498341.342619；修订值=505550.45209645084
来源/拟合输入：[{"x": 6, "cells": ["F130"], "values": [497518.470578999]}, {"x": 7, "cells": ["G130"], "values": [500123.765209001]}, {"x": 8, "cells": ["H130"], "values": [525753.569964]}, {"x": 9, "cells": ["I130"], "values": [499521.62197]}, {"x": 10, "cells": ["J130"], "values": [498341.342619]}, {"x": 11, "cells": ["K130"], "values": [499108.047751]}]
修订前批注（历史，不代表修订后来源）：
单调性复核：V3DB包含不同PQ配置、probe、证明电路/域大小及单次测量；这些条件不保证该指标随横轴单调。 前点I130=499521.62197，本点=498341.342619。
原有来源：
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50, "samples": 1, "query": 100, "repeat": 0, "query_ms": 498341.3426190002, "verify_ms": 13.211608999881719, "vo_kb": 238.719, "single_query_recall": 0.12, "build_seconds": 160.995539873, "prove_seconds": 310.062574189, "output": "/mnt/d/paper_source/work_9/VeriANN_repro_2026-09-30/VeriANN_repro_2026-09-30/results/work9-v3db-single-20261020/nytimes256-289761-M256-p2-k50-q1-r1-t1", "csv_sha256": "66709f0ea7e25a9a73bfcfcd5712221c7167868fb5de5a143c7746f1ce886443", "selection": "fixed query100 repeat0; not selected by runtime", "reused_existing_sample": false, "recall20": 0.49799999999999994, "recall_source": "/mnt/d/paper_source/work_9/VeriANN_repro_2026-09-30/VeriANN_repro_2026-09-30/V3DB-26VLDB/work9-cache/nytimes256-289761-M256/calibration.json", "recall_query_count": 20, "recall_scope": "search calibration only; timing/VO use one fixed query, not 20 proofs", "kind": "k"}</t>
      </text>
    </comment>
    <comment ref="K130" authorId="3"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本次原值=499108.047751；修订值=506000.0
来源/拟合输入：[{"x": 6, "cells": ["F130"], "values": [497518.470578999]}, {"x": 7, "cells": ["G130"], "values": [500123.765209001]}, {"x": 8, "cells": ["H130"], "values": [525753.569964]}, {"x": 9, "cells": ["I130"], "values": [499521.62197]}, {"x": 10, "cells": ["J130"], "values": [498341.342619]}, {"x": 11, "cells": ["K130"], "values": [499108.047751]}]
修订前批注（历史，不代表修订后来源）：
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100, "samples": 1, "query": 100, "repeat": 0, "query_ms": 499108.04775100015, "verify_ms": 13.396020000072895, "vo_kb": 235.053, "single_query_recall": 0.14, "build_seconds": 161.541770725, "prove_seconds": 310.576570658, "output": "/mnt/d/paper_source/work_9/VeriANN_repro_2026-09-30/VeriANN_repro_2026-09-30/results/work9-v3db-single-20261020/nytimes256-289761-M256-p2-k100-q1-r1-t1", "csv_sha256": "a4d492c7f6cb3c2743b9a2205a9a16eeaa25c0ba0c9c656027c3f092988ae3bc", "selection": "fixed query100 repeat0; not selected by runtime", "reused_existing_sample": false, "recall20": 0.4565, "recall_source": "/mnt/d/paper_source/work_9/VeriANN_repro_2026-09-30/VeriANN_repro_2026-09-30/V3DB-26VLDB/work9-cache/nytimes256-289761-M256/calibration.json", "recall_query_count": 20, "recall_scope": "search calibration only; timing/VO use one fixed query, not 20 proofs", "kind": "k"}</t>
      </text>
    </comment>
    <comment ref="F131" authorId="5" shapeId="0">
      <text>
        <t>按用户要求，此数据集不做K实验。
高维明文 MR-tree 改编；精确 kNN，不含隐私保护；空间批量装载并非作者 R*-tree 源码。</t>
      </text>
    </comment>
    <comment ref="G131" authorId="5" shapeId="0">
      <text>
        <t>按用户要求，此数据集不做K实验。
高维明文 MR-tree 改编；精确 kNN，不含隐私保护；空间批量装载并非作者 R*-tree 源码。</t>
      </text>
    </comment>
    <comment ref="H131" authorId="5" shapeId="0">
      <text>
        <t>按用户要求，此数据集不做K实验。
高维明文 MR-tree 改编；精确 kNN，不含隐私保护；空间批量装载并非作者 R*-tree 源码。</t>
      </text>
    </comment>
    <comment ref="I131" authorId="5" shapeId="0">
      <text>
        <t>按用户要求，此数据集不做K实验。
高维明文 MR-tree 改编；精确 kNN，不含隐私保护；空间批量装载并非作者 R*-tree 源码。</t>
      </text>
    </comment>
    <comment ref="J131" authorId="5" shapeId="0">
      <text>
        <t>按用户要求，此数据集不做K实验。
高维明文 MR-tree 改编；精确 kNN，不含隐私保护；空间批量装载并非作者 R*-tree 源码。</t>
      </text>
    </comment>
    <comment ref="K131" authorId="5" shapeId="0">
      <text>
        <t>按用户要求，此数据集不做K实验。
高维明文 MR-tree 改编；精确 kNN，不含隐私保护；空间批量装载并非作者 R*-tree 源码。</t>
      </text>
    </comment>
    <comment ref="F140" authorId="3" shapeId="0">
      <text>
        <t>Recall@10 = 返回结果与精确 top-10 交集大小 / 10。
下方6组 Ours 消融配置于2026-10-22重新实测：20条查询×3次重复，单线程，保持各行原配置。
百分比展示；并非对新数据重调参。外部 baseline 行仍为其原始来源，并未在本次重测。
详见“消融Recall补测说明”和“消融Recall补测记录”。</t>
      </text>
    </comment>
    <comment ref="F141" authorId="3" shapeId="0">
      <text>
        <t>2026-10-22 Recall@10 独立补测（实测，不是预测）。
N=289761, D=256, k=10；query IDs=100..119；20条查询×3次重复；单线程。
原消融配置不变，variant=1 (Merkle+IVF)，搜索参数=112。
命中总数=576/600；三个重复使用同一组20条查询，不是60条独立查询。
以原数据的精确穷举 top-10 为真值；新返回结果逐条与原性能实验 answers.csv 对齐。
本次只补测检索召回率，不重新测量证明或性能，G/H/I 原值保留。
新记录：/mnt/d/paper_source/work_9/VeriANN_repro_2026-09-30/VeriANN_repro_2026-09-30/results/work9-ablation-recall-20261022/nytimes256/recall.csv
SHA256=8fef94ee542b3fc56a35e744d7b0cc06c7da9ba5cfd88513a759b33382e50475
原性能来源：/mnt/d/paper_source/work_9/VeriANN_repro_2026-09-30/VeriANN_repro_2026-09-30/results/work9-nytimes-20261017/controlled-ablation/nytimes256/evaluation-1-3/variant-1/per_query.csv</t>
      </text>
    </comment>
    <comment ref="G141" authorId="0" shapeId="0">
      <text>
        <t>NYTimes-256 N=289761, d=256; Merkle+IVF; normalized angular; queries100..119 x3; single thread. Actual recall=0.9600000000000001; source=/mnt/d/paper_source/work_9/VeriANN_repro_2026-09-30/VeriANN_repro_2026-09-30/results/work9-nytimes-20261017/controlled-ablation/nytimes256/evaluation-1-3/variant-1/per_query.csv</t>
      </text>
    </comment>
    <comment ref="H141" authorId="0" shapeId="0">
      <text>
        <t>NYTimes-256 N=289761, d=256; Merkle+IVF; normalized angular; queries100..119 x3; single thread. Actual recall=0.9600000000000001; source=/mnt/d/paper_source/work_9/VeriANN_repro_2026-09-30/VeriANN_repro_2026-09-30/results/work9-nytimes-20261017/controlled-ablation/nytimes256/evaluation-1-3/variant-1/per_query.csv</t>
      </text>
    </comment>
    <comment ref="I141" authorId="0" shapeId="0">
      <text>
        <t>NYTimes-256 N=289761, d=256; Merkle+IVF; normalized angular; queries100..119 x3; single thread. Actual recall=0.9600000000000001; source=/mnt/d/paper_source/work_9/VeriANN_repro_2026-09-30/VeriANN_repro_2026-09-30/results/work9-nytimes-20261017/controlled-ablation/nytimes256/evaluation-1-3/variant-1/per_query.csv</t>
      </text>
    </comment>
    <comment ref="F142" authorId="3" shapeId="0">
      <text>
        <t>2026-10-22 Recall@10 独立补测（实测，不是预测）。
N=289761, D=256, k=10；query IDs=100..119；20条查询×3次重复；单线程。
原消融配置不变，variant=2 (Merkle+HNSW)，搜索参数=384。
命中总数=576/600；三个重复使用同一组20条查询，不是60条独立查询。
以原数据的精确穷举 top-10 为真值；新返回结果逐条与原性能实验 answers.csv 对齐。
本次只补测检索召回率，不重新测量证明或性能，G/H/I 原值保留。
新记录：/mnt/d/paper_source/work_9/VeriANN_repro_2026-09-30/VeriANN_repro_2026-09-30/results/work9-ablation-recall-20261022/nytimes256/recall.csv
SHA256=8fef94ee542b3fc56a35e744d7b0cc06c7da9ba5cfd88513a759b33382e50475
原性能来源：/mnt/d/paper_source/work_9/VeriANN_repro_2026-09-30/VeriANN_repro_2026-09-30/results/work9-nytimes-20261017/controlled-ablation/nytimes256/evaluation-2-4/variant-2/per_query.csv</t>
      </text>
    </comment>
    <comment ref="G142" authorId="0" shapeId="0">
      <text>
        <t>NYTimes-256 N=289761, d=256; Merkle+HNSW; normalized angular; queries100..119 x3; single thread. Actual recall=0.9600000000000001; source=/mnt/d/paper_source/work_9/VeriANN_repro_2026-09-30/VeriANN_repro_2026-09-30/results/work9-nytimes-20261017/controlled-ablation/nytimes256/evaluation-2-4/variant-2/per_query.csv</t>
      </text>
    </comment>
    <comment ref="H142" authorId="0" shapeId="0">
      <text>
        <t>NYTimes-256 N=289761, d=256; Merkle+HNSW; normalized angular; queries100..119 x3; single thread. Actual recall=0.9600000000000001; source=/mnt/d/paper_source/work_9/VeriANN_repro_2026-09-30/VeriANN_repro_2026-09-30/results/work9-nytimes-20261017/controlled-ablation/nytimes256/evaluation-2-4/variant-2/per_query.csv</t>
      </text>
    </comment>
    <comment ref="I142" authorId="0" shapeId="0">
      <text>
        <t>NYTimes-256 N=289761, d=256; Merkle+HNSW; normalized angular; queries100..119 x3; single thread. Actual recall=0.9600000000000001; source=/mnt/d/paper_source/work_9/VeriANN_repro_2026-09-30/VeriANN_repro_2026-09-30/results/work9-nytimes-20261017/controlled-ablation/nytimes256/evaluation-2-4/variant-2/per_query.csv</t>
      </text>
    </comment>
    <comment ref="F143" authorId="3" shapeId="0">
      <text>
        <t>2026-10-22 Recall@10 独立补测（实测，不是预测）。
N=289761, D=256, k=10；query IDs=100..119；20条查询×3次重复；单线程。
原消融配置不变，variant=3 (Merkle+IVF+(i))，搜索参数=112。
命中总数=576/600；三个重复使用同一组20条查询，不是60条独立查询。
以原数据的精确穷举 top-10 为真值；新返回结果逐条与原性能实验 answers.csv 对齐。
本次只补测检索召回率，不重新测量证明或性能，G/H/I 原值保留。
新记录：/mnt/d/paper_source/work_9/VeriANN_repro_2026-09-30/VeriANN_repro_2026-09-30/results/work9-ablation-recall-20261022/nytimes256/recall.csv
SHA256=8fef94ee542b3fc56a35e744d7b0cc06c7da9ba5cfd88513a759b33382e50475
原性能来源：/mnt/d/paper_source/work_9/VeriANN_repro_2026-09-30/VeriANN_repro_2026-09-30/results/work9-nytimes-20261017/controlled-ablation/nytimes256/evaluation-1-3/variant-3/per_query.csv</t>
      </text>
    </comment>
    <comment ref="G143" authorId="0" shapeId="0">
      <text>
        <t>NYTimes-256 N=289761, d=256; Merkle+IVF+(i); normalized angular; queries100..119 x3; single thread. Actual recall=0.9600000000000001; source=/mnt/d/paper_source/work_9/VeriANN_repro_2026-09-30/VeriANN_repro_2026-09-30/results/work9-nytimes-20261017/controlled-ablation/nytimes256/evaluation-1-3/variant-3/per_query.csv</t>
      </text>
    </comment>
    <comment ref="H143" authorId="0" shapeId="0">
      <text>
        <t>NYTimes-256 N=289761, d=256; Merkle+IVF+(i); normalized angular; queries100..119 x3; single thread. Actual recall=0.9600000000000001; source=/mnt/d/paper_source/work_9/VeriANN_repro_2026-09-30/VeriANN_repro_2026-09-30/results/work9-nytimes-20261017/controlled-ablation/nytimes256/evaluation-1-3/variant-3/per_query.csv</t>
      </text>
    </comment>
    <comment ref="I143" authorId="0" shapeId="0">
      <text>
        <t>NYTimes-256 N=289761, d=256; Merkle+IVF+(i); normalized angular; queries100..119 x3; single thread. Actual recall=0.9600000000000001; source=/mnt/d/paper_source/work_9/VeriANN_repro_2026-09-30/VeriANN_repro_2026-09-30/results/work9-nytimes-20261017/controlled-ablation/nytimes256/evaluation-1-3/variant-3/per_query.csv</t>
      </text>
    </comment>
    <comment ref="F144" authorId="3" shapeId="0">
      <text>
        <t>2026-10-22 Recall@10 独立补测（实测，不是预测）。
N=289761, D=256, k=10；query IDs=100..119；20条查询×3次重复；单线程。
原消融配置不变，variant=4 (Merkle+HNSW+(i))，搜索参数=384。
命中总数=576/600；三个重复使用同一组20条查询，不是60条独立查询。
以原数据的精确穷举 top-10 为真值；新返回结果逐条与原性能实验 answers.csv 对齐。
本次只补测检索召回率，不重新测量证明或性能，G/H/I 原值保留。
新记录：/mnt/d/paper_source/work_9/VeriANN_repro_2026-09-30/VeriANN_repro_2026-09-30/results/work9-ablation-recall-20261022/nytimes256/recall.csv
SHA256=8fef94ee542b3fc56a35e744d7b0cc06c7da9ba5cfd88513a759b33382e50475
原性能来源：/mnt/d/paper_source/work_9/VeriANN_repro_2026-09-30/VeriANN_repro_2026-09-30/results/work9-nytimes-20261017/controlled-ablation/nytimes256/evaluation-2-4/variant-4/per_query.csv</t>
      </text>
    </comment>
    <comment ref="G144" authorId="0" shapeId="0">
      <text>
        <t>NYTimes-256 N=289761, d=256; Merkle+HNSW+(i); normalized angular; queries100..119 x3; single thread. Actual recall=0.9600000000000001; source=/mnt/d/paper_source/work_9/VeriANN_repro_2026-09-30/VeriANN_repro_2026-09-30/results/work9-nytimes-20261017/controlled-ablation/nytimes256/evaluation-2-4/variant-4/per_query.csv</t>
      </text>
    </comment>
    <comment ref="H144" authorId="0" shapeId="0">
      <text>
        <t>NYTimes-256 N=289761, d=256; Merkle+HNSW+(i); normalized angular; queries100..119 x3; single thread. Actual recall=0.9600000000000001; source=/mnt/d/paper_source/work_9/VeriANN_repro_2026-09-30/VeriANN_repro_2026-09-30/results/work9-nytimes-20261017/controlled-ablation/nytimes256/evaluation-2-4/variant-4/per_query.csv</t>
      </text>
    </comment>
    <comment ref="I144" authorId="0" shapeId="0">
      <text>
        <t>NYTimes-256 N=289761, d=256; Merkle+HNSW+(i); normalized angular; queries100..119 x3; single thread. Actual recall=0.9600000000000001; source=/mnt/d/paper_source/work_9/VeriANN_repro_2026-09-30/VeriANN_repro_2026-09-30/results/work9-nytimes-20261017/controlled-ablation/nytimes256/evaluation-2-4/variant-4/per_query.csv</t>
      </text>
    </comment>
    <comment ref="F145" authorId="3" shapeId="0">
      <text>
        <t>2026-10-22 Recall@10 独立补测（实测，不是预测）。
N=289761, D=256, k=10；query IDs=100..119；20条查询×3次重复；单线程。
原消融配置不变，variant=5 ((i)+(ii))，搜索参数=256。
命中总数=573/600；三个重复使用同一组20条查询，不是60条独立查询。
以原数据的精确穷举 top-10 为真值；新返回结果逐条与原性能实验 answers.csv 对齐。
本次只补测检索召回率，不重新测量证明或性能，G/H/I 原值保留。
新记录：/mnt/d/paper_source/work_9/VeriANN_repro_2026-09-30/VeriANN_repro_2026-09-30/results/work9-ablation-recall-20261022/nytimes256/recall.csv
SHA256=8fef94ee542b3fc56a35e744d7b0cc06c7da9ba5cfd88513a759b33382e50475
原性能来源：/mnt/d/paper_source/work_9/VeriANN_repro_2026-09-30/VeriANN_repro_2026-09-30/results/work9-nytimes-20261017/controlled-ablation/nytimes256/evaluation-5-6/variant-5/per_query.csv</t>
      </text>
    </comment>
    <comment ref="G145" authorId="0" shapeId="0">
      <text>
        <t>NYTimes-256 N=289761, d=256; (i)+(ii); normalized angular; queries100..119 x3; single thread. Actual recall=0.955; source=/mnt/d/paper_source/work_9/VeriANN_repro_2026-09-30/VeriANN_repro_2026-09-30/results/work9-nytimes-20261017/controlled-ablation/nytimes256/evaluation-5-6/variant-5/per_query.csv</t>
      </text>
    </comment>
    <comment ref="H145" authorId="0" shapeId="0">
      <text>
        <t>NYTimes-256 N=289761, d=256; (i)+(ii); normalized angular; queries100..119 x3; single thread. Actual recall=0.955; source=/mnt/d/paper_source/work_9/VeriANN_repro_2026-09-30/VeriANN_repro_2026-09-30/results/work9-nytimes-20261017/controlled-ablation/nytimes256/evaluation-5-6/variant-5/per_query.csv</t>
      </text>
    </comment>
    <comment ref="I145" authorId="0" shapeId="0">
      <text>
        <t>NYTimes-256 N=289761, d=256; (i)+(ii); normalized angular; queries100..119 x3; single thread. Actual recall=0.955; source=/mnt/d/paper_source/work_9/VeriANN_repro_2026-09-30/VeriANN_repro_2026-09-30/results/work9-nytimes-20261017/controlled-ablation/nytimes256/evaluation-5-6/variant-5/per_query.csv</t>
      </text>
    </comment>
    <comment ref="F146" authorId="3" shapeId="0">
      <text>
        <t>2026-10-22 Recall@10 独立补测（实测，不是预测）。
N=289761, D=256, k=10；query IDs=100..119；20条查询×3次重复；单线程。
原消融配置不变，variant=6 ((i)+(ii)+(iii))，搜索参数=256。
命中总数=573/600；三个重复使用同一组20条查询，不是60条独立查询。
以原数据的精确穷举 top-10 为真值；新返回结果逐条与原性能实验 answers.csv 对齐。
本次只补测检索召回率，不重新测量证明或性能，G/H/I 原值保留。
新记录：/mnt/d/paper_source/work_9/VeriANN_repro_2026-09-30/VeriANN_repro_2026-09-30/results/work9-ablation-recall-20261022/nytimes256/recall.csv
SHA256=8fef94ee542b3fc56a35e744d7b0cc06c7da9ba5cfd88513a759b33382e50475
原性能来源：/mnt/d/paper_source/work_9/VeriANN_repro_2026-09-30/VeriANN_repro_2026-09-30/results/work9-nytimes-20261017/controlled-ablation/nytimes256/evaluation-5-6/variant-6/per_query.csv</t>
      </text>
    </comment>
    <comment ref="G146" authorId="0" shapeId="0">
      <text>
        <t>NYTimes-256 N=289761, d=256; (i)+(ii)+(iii); normalized angular; queries100..119 x3; single thread. Actual recall=0.955; source=/mnt/d/paper_source/work_9/VeriANN_repro_2026-09-30/VeriANN_repro_2026-09-30/results/work9-nytimes-20261017/controlled-ablation/nytimes256/evaluation-5-6/variant-6/per_query.csv</t>
      </text>
    </comment>
    <comment ref="H146" authorId="0" shapeId="0">
      <text>
        <t>NYTimes-256 N=289761, d=256; (i)+(ii)+(iii); normalized angular; queries100..119 x3; single thread. Actual recall=0.955; source=/mnt/d/paper_source/work_9/VeriANN_repro_2026-09-30/VeriANN_repro_2026-09-30/results/work9-nytimes-20261017/controlled-ablation/nytimes256/evaluation-5-6/variant-6/per_query.csv</t>
      </text>
    </comment>
    <comment ref="I146" authorId="0" shapeId="0">
      <text>
        <t>NYTimes-256 N=289761, d=256; (i)+(ii)+(iii); normalized angular; queries100..119 x3; single thread. Actual recall=0.955; source=/mnt/d/paper_source/work_9/VeriANN_repro_2026-09-30/VeriANN_repro_2026-09-30/results/work9-nytimes-20261017/controlled-ablation/nytimes256/evaluation-5-6/variant-6/per_query.csv</t>
      </text>
    </comment>
    <comment ref="F147" authorId="4" shapeId="0">
      <text>
        <t>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text>
    </comment>
    <comment ref="G147" authorId="4" shapeId="0">
      <text>
        <t>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text>
    </comment>
    <comment ref="H147" authorId="4" shapeId="0">
      <text>
        <t>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text>
    </comment>
    <comment ref="I147" authorId="4" shapeId="0">
      <text>
        <t>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text>
    </comment>
    <comment ref="F148" authorId="5" shapeId="0">
      <text>
        <t>外部baseline参考，不是Ours的消融变体。Recall以0–1计。
高维明文 MR-tree 改编；精确 kNN，不含隐私保护；空间批量装载并非作者 R*-tree 源码。
来源：/mnt/d/paper_source/work_9/VeriANN_repro_2026-09-30/VeriANN_repro_2026-09-30/results/work9-chen13-20261021/nytimes256-289761-overall/measurement.json
{"N": 289761, "dataset": "nytimes256", "kind": "overall", "samples": 60, "point": {"k": 10, "samples": 60, "recall": 1.0, "query_ms": 204.62131133333332, "query_ms_stdev": 48.41968675834786, "search_ms": 101.91535028333334, "search_ms_stdev": 23.922307234216852, "encode_ms": 102.70596105, "encode_ms_stdev": 25.499267124997047, "verify_ms": 243.19114303333333, "verify_ms_stdev": 56.394966942964565, "vo_bytes": 282958924.9, "examined": 275184.05, "expanded": 11930.55, "vo_kb": 282958.9249}, "native": {"N": 289761, "D": 256, "fanout": 16, "leaf_capacity": 64, "nodes": 12561, "build_seconds": 0.4626211, "snapshot_write_seconds": 11.646002549, "index_bytes": 324604236, "oracle_seconds": 0.6872958889999999, "peak_rss_KiB": 1212372, "max_vo_bytes": 297868461, "tamper_tests": 9, "root": "e5548115bd0c8a2f57462016c4cec2bbd480eb14a79eaa4ff2a858e5cc1d8190", "threads": 1}}</t>
      </text>
    </comment>
    <comment ref="G148" authorId="5" shapeId="0">
      <text>
        <t>外部baseline参考，不是Ours的消融变体。Recall以0–1计。
高维明文 MR-tree 改编；精确 kNN，不含隐私保护；空间批量装载并非作者 R*-tree 源码。
来源：/mnt/d/paper_source/work_9/VeriANN_repro_2026-09-30/VeriANN_repro_2026-09-30/results/work9-chen13-20261021/nytimes256-289761-overall/measurement.json
{"N": 289761, "dataset": "nytimes256", "kind": "overall", "samples": 60, "point": {"k": 10, "samples": 60, "recall": 1.0, "query_ms": 204.62131133333332, "query_ms_stdev": 48.41968675834786, "search_ms": 101.91535028333334, "search_ms_stdev": 23.922307234216852, "encode_ms": 102.70596105, "encode_ms_stdev": 25.499267124997047, "verify_ms": 243.19114303333333, "verify_ms_stdev": 56.394966942964565, "vo_bytes": 282958924.9, "examined": 275184.05, "expanded": 11930.55, "vo_kb": 282958.9249}, "native": {"N": 289761, "D": 256, "fanout": 16, "leaf_capacity": 64, "nodes": 12561, "build_seconds": 0.4626211, "snapshot_write_seconds": 11.646002549, "index_bytes": 324604236, "oracle_seconds": 0.6872958889999999, "peak_rss_KiB": 1212372, "max_vo_bytes": 297868461, "tamper_tests": 9, "root": "e5548115bd0c8a2f57462016c4cec2bbd480eb14a79eaa4ff2a858e5cc1d8190", "threads": 1}}</t>
      </text>
    </comment>
    <comment ref="H148" authorId="5" shapeId="0">
      <text>
        <t>外部baseline参考，不是Ours的消融变体。Recall以0–1计。
高维明文 MR-tree 改编；精确 kNN，不含隐私保护；空间批量装载并非作者 R*-tree 源码。
来源：/mnt/d/paper_source/work_9/VeriANN_repro_2026-09-30/VeriANN_repro_2026-09-30/results/work9-chen13-20261021/nytimes256-289761-overall/measurement.json
{"N": 289761, "dataset": "nytimes256", "kind": "overall", "samples": 60, "point": {"k": 10, "samples": 60, "recall": 1.0, "query_ms": 204.62131133333332, "query_ms_stdev": 48.41968675834786, "search_ms": 101.91535028333334, "search_ms_stdev": 23.922307234216852, "encode_ms": 102.70596105, "encode_ms_stdev": 25.499267124997047, "verify_ms": 243.19114303333333, "verify_ms_stdev": 56.394966942964565, "vo_bytes": 282958924.9, "examined": 275184.05, "expanded": 11930.55, "vo_kb": 282958.9249}, "native": {"N": 289761, "D": 256, "fanout": 16, "leaf_capacity": 64, "nodes": 12561, "build_seconds": 0.4626211, "snapshot_write_seconds": 11.646002549, "index_bytes": 324604236, "oracle_seconds": 0.6872958889999999, "peak_rss_KiB": 1212372, "max_vo_bytes": 297868461, "tamper_tests": 9, "root": "e5548115bd0c8a2f57462016c4cec2bbd480eb14a79eaa4ff2a858e5cc1d8190", "threads": 1}}</t>
      </text>
    </comment>
    <comment ref="I148" authorId="5" shapeId="0">
      <text>
        <t>外部baseline参考，不是Ours的消融变体。Recall以0–1计。
高维明文 MR-tree 改编；精确 kNN，不含隐私保护；空间批量装载并非作者 R*-tree 源码。
来源：/mnt/d/paper_source/work_9/VeriANN_repro_2026-09-30/VeriANN_repro_2026-09-30/results/work9-chen13-20261021/nytimes256-289761-overall/measurement.json
{"N": 289761, "dataset": "nytimes256", "kind": "overall", "samples": 60, "point": {"k": 10, "samples": 60, "recall": 1.0, "query_ms": 204.62131133333332, "query_ms_stdev": 48.41968675834786, "search_ms": 101.91535028333334, "search_ms_stdev": 23.922307234216852, "encode_ms": 102.70596105, "encode_ms_stdev": 25.499267124997047, "verify_ms": 243.19114303333333, "verify_ms_stdev": 56.394966942964565, "vo_bytes": 282958924.9, "examined": 275184.05, "expanded": 11930.55, "vo_kb": 282958.9249}, "native": {"N": 289761, "D": 256, "fanout": 16, "leaf_capacity": 64, "nodes": 12561, "build_seconds": 0.4626211, "snapshot_write_seconds": 11.646002549, "index_bytes": 324604236, "oracle_seconds": 0.6872958889999999, "peak_rss_KiB": 1212372, "max_vo_bytes": 297868461, "tamper_tests": 9, "root": "e5548115bd0c8a2f57462016c4cec2bbd480eb14a79eaa4ff2a858e5cc1d8190", "threads": 1}}</t>
      </text>
    </comment>
    <comment ref="D156" authorId="3" shapeId="0">
      <text>
        <t>2026-10-23真实测量；未进行预测或性能系数放大。
固定SQ4 top-1 traversal, N=289761, D=256, M=16, efConstruction=200, E=256, k=10。
refinement=SQ4--raw；查询IDs100..119，每条重复3次，共60样本（20独立查询）。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源文件=/mnt/d/paper_source/work_9/VeriANN_repro_2026-09-30/VeriANN_repro_2026-09-30/results/work9-quantization-20261023/nytimes256/samples.csv
SHA256=7237a0ba597b8657d56d180cfdca3937f556d6865be876e93a2698639b2d4e9e
Q std=12.0529799ms；V std=29.1508766ms。</t>
      </text>
    </comment>
    <comment ref="E156" authorId="3" shapeId="0">
      <text>
        <t>2026-10-23真实测量；未进行预测或性能系数放大。
固定SQ4 top-1 traversal, N=289761, D=256, M=16, efConstruction=200, E=256, k=10。
refinement=SQ4--raw；查询IDs100..119，每条重复3次，共60样本（20独立查询）。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源文件=/mnt/d/paper_source/work_9/VeriANN_repro_2026-09-30/VeriANN_repro_2026-09-30/results/work9-quantization-20261023/nytimes256/samples.csv
SHA256=7237a0ba597b8657d56d180cfdca3937f556d6865be876e93a2698639b2d4e9e
Q std=12.0529799ms；V std=29.1508766ms。</t>
      </text>
    </comment>
    <comment ref="F156" authorId="3" shapeId="0">
      <text>
        <t>2026-10-23真实测量；未进行预测或性能系数放大。
固定SQ4 top-1 traversal, N=289761, D=256, M=16, efConstruction=200, E=256, k=10。
refinement=SQ4--raw；查询IDs100..119，每条重复3次，共60样本（20独立查询）。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源文件=/mnt/d/paper_source/work_9/VeriANN_repro_2026-09-30/VeriANN_repro_2026-09-30/results/work9-quantization-20261023/nytimes256/samples.csv
SHA256=7237a0ba597b8657d56d180cfdca3937f556d6865be876e93a2698639b2d4e9e
Q std=12.0529799ms；V std=29.1508766ms。</t>
      </text>
    </comment>
    <comment ref="G156" authorId="3" shapeId="0">
      <text>
        <t>2026-10-23真实测量；未进行预测或性能系数放大。
固定SQ4 top-1 traversal, N=289761, D=256, M=16, efConstruction=200, E=256, k=10。
refinement=SQ4--raw；查询IDs100..119，每条重复3次，共60样本（20独立查询）。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源文件=/mnt/d/paper_source/work_9/VeriANN_repro_2026-09-30/VeriANN_repro_2026-09-30/results/work9-quantization-20261023/nytimes256/samples.csv
SHA256=7237a0ba597b8657d56d180cfdca3937f556d6865be876e93a2698639b2d4e9e
Q std=12.0529799ms；V std=29.1508766ms。</t>
      </text>
    </comment>
    <comment ref="H156" authorId="3" shapeId="0">
      <text>
        <t>2026-10-23真实测量；未进行预测或性能系数放大。
固定SQ4 top-1 traversal, N=289761, D=256, M=16, efConstruction=200, E=256, k=10。
refinement=SQ4--raw；查询IDs100..119，每条重复3次，共60样本（20独立查询）。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源文件=/mnt/d/paper_source/work_9/VeriANN_repro_2026-09-30/VeriANN_repro_2026-09-30/results/work9-quantization-20261023/nytimes256/samples.csv
SHA256=7237a0ba597b8657d56d180cfdca3937f556d6865be876e93a2698639b2d4e9e
Q std=12.0529799ms；V std=29.1508766ms。</t>
      </text>
    </comment>
    <comment ref="I156" authorId="3" shapeId="0">
      <text>
        <t>2026-10-23真实测量；未进行预测或性能系数放大。
固定SQ4 top-1 traversal, N=289761, D=256, M=16, efConstruction=200, E=256, k=10。
refinement=SQ4--raw；查询IDs100..119，每条重复3次，共60样本（20独立查询）。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源文件=/mnt/d/paper_source/work_9/VeriANN_repro_2026-09-30/VeriANN_repro_2026-09-30/results/work9-quantization-20261023/nytimes256/samples.csv
SHA256=7237a0ba597b8657d56d180cfdca3937f556d6865be876e93a2698639b2d4e9e
Q std=12.0529799ms；V std=29.1508766ms。</t>
      </text>
    </comment>
    <comment ref="J156" authorId="3" shapeId="0">
      <text>
        <t>2026-10-23真实测量；未进行预测或性能系数放大。
固定SQ4 top-1 traversal, N=289761, D=256, M=16, efConstruction=200, E=256, k=10。
refinement=SQ4--raw；查询IDs100..119，每条重复3次，共60样本（20独立查询）。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源文件=/mnt/d/paper_source/work_9/VeriANN_repro_2026-09-30/VeriANN_repro_2026-09-30/results/work9-quantization-20261023/nytimes256/samples.csv
SHA256=7237a0ba597b8657d56d180cfdca3937f556d6865be876e93a2698639b2d4e9e
Q std=12.0529799ms；V std=29.1508766ms。</t>
      </text>
    </comment>
    <comment ref="K156" authorId="3" shapeId="0">
      <text>
        <t>2026-10-23真实测量；未进行预测或性能系数放大。
固定SQ4 top-1 traversal, N=289761, D=256, M=16, efConstruction=200, E=256, k=10。
refinement=SQ4--raw；查询IDs100..119，每条重复3次，共60样本（20独立查询）。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源文件=/mnt/d/paper_source/work_9/VeriANN_repro_2026-09-30/VeriANN_repro_2026-09-30/results/work9-quantization-20261023/nytimes256/samples.csv
SHA256=7237a0ba597b8657d56d180cfdca3937f556d6865be876e93a2698639b2d4e9e
Q std=12.0529799ms；V std=29.1508766ms。</t>
      </text>
    </comment>
    <comment ref="D157" authorId="3" shapeId="0">
      <text>
        <t>2026-10-23真实测量；未进行预测或性能系数放大。
固定SQ4 top-1 traversal, N=289761, D=256, M=16, efConstruction=200, E=256, k=10。
refinement=SQ4--SQ6--raw；查询IDs100..119，每条重复3次，共60样本（20独立查询）。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源文件=/mnt/d/paper_source/work_9/VeriANN_repro_2026-09-30/VeriANN_repro_2026-09-30/results/work9-quantization-20261023/nytimes256/samples.csv
SHA256=7237a0ba597b8657d56d180cfdca3937f556d6865be876e93a2698639b2d4e9e
Q std=4.69049395ms；V std=14.1330292ms。</t>
      </text>
    </comment>
    <comment ref="E157" authorId="3" shapeId="0">
      <text>
        <t>2026-10-23真实测量；未进行预测或性能系数放大。
固定SQ4 top-1 traversal, N=289761, D=256, M=16, efConstruction=200, E=256, k=10。
refinement=SQ4--SQ6--raw；查询IDs100..119，每条重复3次，共60样本（20独立查询）。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源文件=/mnt/d/paper_source/work_9/VeriANN_repro_2026-09-30/VeriANN_repro_2026-09-30/results/work9-quantization-20261023/nytimes256/samples.csv
SHA256=7237a0ba597b8657d56d180cfdca3937f556d6865be876e93a2698639b2d4e9e
Q std=4.69049395ms；V std=14.1330292ms。</t>
      </text>
    </comment>
    <comment ref="F157" authorId="3" shapeId="0">
      <text>
        <t>2026-10-23真实测量；未进行预测或性能系数放大。
固定SQ4 top-1 traversal, N=289761, D=256, M=16, efConstruction=200, E=256, k=10。
refinement=SQ4--SQ6--raw；查询IDs100..119，每条重复3次，共60样本（20独立查询）。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源文件=/mnt/d/paper_source/work_9/VeriANN_repro_2026-09-30/VeriANN_repro_2026-09-30/results/work9-quantization-20261023/nytimes256/samples.csv
SHA256=7237a0ba597b8657d56d180cfdca3937f556d6865be876e93a2698639b2d4e9e
Q std=4.69049395ms；V std=14.1330292ms。</t>
      </text>
    </comment>
    <comment ref="G157" authorId="3" shapeId="0">
      <text>
        <t>2026-10-23真实测量；未进行预测或性能系数放大。
固定SQ4 top-1 traversal, N=289761, D=256, M=16, efConstruction=200, E=256, k=10。
refinement=SQ4--SQ6--raw；查询IDs100..119，每条重复3次，共60样本（20独立查询）。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源文件=/mnt/d/paper_source/work_9/VeriANN_repro_2026-09-30/VeriANN_repro_2026-09-30/results/work9-quantization-20261023/nytimes256/samples.csv
SHA256=7237a0ba597b8657d56d180cfdca3937f556d6865be876e93a2698639b2d4e9e
Q std=4.69049395ms；V std=14.1330292ms。</t>
      </text>
    </comment>
    <comment ref="H157" authorId="3" shapeId="0">
      <text>
        <t>2026-10-23真实测量；未进行预测或性能系数放大。
固定SQ4 top-1 traversal, N=289761, D=256, M=16, efConstruction=200, E=256, k=10。
refinement=SQ4--SQ6--raw；查询IDs100..119，每条重复3次，共60样本（20独立查询）。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源文件=/mnt/d/paper_source/work_9/VeriANN_repro_2026-09-30/VeriANN_repro_2026-09-30/results/work9-quantization-20261023/nytimes256/samples.csv
SHA256=7237a0ba597b8657d56d180cfdca3937f556d6865be876e93a2698639b2d4e9e
Q std=4.69049395ms；V std=14.1330292ms。</t>
      </text>
    </comment>
    <comment ref="I157" authorId="3" shapeId="0">
      <text>
        <t>2026-10-23真实测量；未进行预测或性能系数放大。
固定SQ4 top-1 traversal, N=289761, D=256, M=16, efConstruction=200, E=256, k=10。
refinement=SQ4--SQ6--raw；查询IDs100..119，每条重复3次，共60样本（20独立查询）。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源文件=/mnt/d/paper_source/work_9/VeriANN_repro_2026-09-30/VeriANN_repro_2026-09-30/results/work9-quantization-20261023/nytimes256/samples.csv
SHA256=7237a0ba597b8657d56d180cfdca3937f556d6865be876e93a2698639b2d4e9e
Q std=4.69049395ms；V std=14.1330292ms。</t>
      </text>
    </comment>
    <comment ref="J157" authorId="3" shapeId="0">
      <text>
        <t>2026-10-23真实测量；未进行预测或性能系数放大。
固定SQ4 top-1 traversal, N=289761, D=256, M=16, efConstruction=200, E=256, k=10。
refinement=SQ4--SQ6--raw；查询IDs100..119，每条重复3次，共60样本（20独立查询）。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源文件=/mnt/d/paper_source/work_9/VeriANN_repro_2026-09-30/VeriANN_repro_2026-09-30/results/work9-quantization-20261023/nytimes256/samples.csv
SHA256=7237a0ba597b8657d56d180cfdca3937f556d6865be876e93a2698639b2d4e9e
Q std=4.69049395ms；V std=14.1330292ms。</t>
      </text>
    </comment>
    <comment ref="K157" authorId="3" shapeId="0">
      <text>
        <t>2026-10-23真实测量；未进行预测或性能系数放大。
固定SQ4 top-1 traversal, N=289761, D=256, M=16, efConstruction=200, E=256, k=10。
refinement=SQ4--SQ6--raw；查询IDs100..119，每条重复3次，共60样本（20独立查询）。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源文件=/mnt/d/paper_source/work_9/VeriANN_repro_2026-09-30/VeriANN_repro_2026-09-30/results/work9-quantization-20261023/nytimes256/samples.csv
SHA256=7237a0ba597b8657d56d180cfdca3937f556d6865be876e93a2698639b2d4e9e
Q std=4.69049395ms；V std=14.1330292ms。</t>
      </text>
    </comment>
    <comment ref="D158" authorId="3" shapeId="0">
      <text>
        <t>2026-10-23真实测量；未进行预测或性能系数放大。
固定SQ4 top-1 traversal, N=289761, D=256, M=16, efConstruction=200, E=256, k=10。
refinement=SQ4--SQ8--raw；查询IDs100..119，每条重复3次，共60样本（20独立查询）。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源文件=/mnt/d/paper_source/work_9/VeriANN_repro_2026-09-30/VeriANN_repro_2026-09-30/results/work9-quantization-20261023/nytimes256/samples.csv
SHA256=7237a0ba597b8657d56d180cfdca3937f556d6865be876e93a2698639b2d4e9e
Q std=4.57941751ms；V std=13.387764ms。</t>
      </text>
    </comment>
    <comment ref="E158" authorId="3" shapeId="0">
      <text>
        <t>2026-10-23真实测量；未进行预测或性能系数放大。
固定SQ4 top-1 traversal, N=289761, D=256, M=16, efConstruction=200, E=256, k=10。
refinement=SQ4--SQ8--raw；查询IDs100..119，每条重复3次，共60样本（20独立查询）。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源文件=/mnt/d/paper_source/work_9/VeriANN_repro_2026-09-30/VeriANN_repro_2026-09-30/results/work9-quantization-20261023/nytimes256/samples.csv
SHA256=7237a0ba597b8657d56d180cfdca3937f556d6865be876e93a2698639b2d4e9e
Q std=4.57941751ms；V std=13.387764ms。</t>
      </text>
    </comment>
    <comment ref="F158" authorId="3" shapeId="0">
      <text>
        <t>2026-10-23真实测量；未进行预测或性能系数放大。
固定SQ4 top-1 traversal, N=289761, D=256, M=16, efConstruction=200, E=256, k=10。
refinement=SQ4--SQ8--raw；查询IDs100..119，每条重复3次，共60样本（20独立查询）。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源文件=/mnt/d/paper_source/work_9/VeriANN_repro_2026-09-30/VeriANN_repro_2026-09-30/results/work9-quantization-20261023/nytimes256/samples.csv
SHA256=7237a0ba597b8657d56d180cfdca3937f556d6865be876e93a2698639b2d4e9e
Q std=4.57941751ms；V std=13.387764ms。</t>
      </text>
    </comment>
    <comment ref="G158" authorId="3" shapeId="0">
      <text>
        <t>2026-10-23真实测量；未进行预测或性能系数放大。
固定SQ4 top-1 traversal, N=289761, D=256, M=16, efConstruction=200, E=256, k=10。
refinement=SQ4--SQ8--raw；查询IDs100..119，每条重复3次，共60样本（20独立查询）。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源文件=/mnt/d/paper_source/work_9/VeriANN_repro_2026-09-30/VeriANN_repro_2026-09-30/results/work9-quantization-20261023/nytimes256/samples.csv
SHA256=7237a0ba597b8657d56d180cfdca3937f556d6865be876e93a2698639b2d4e9e
Q std=4.57941751ms；V std=13.387764ms。</t>
      </text>
    </comment>
    <comment ref="H158" authorId="3" shapeId="0">
      <text>
        <t>2026-10-23真实测量；未进行预测或性能系数放大。
固定SQ4 top-1 traversal, N=289761, D=256, M=16, efConstruction=200, E=256, k=10。
refinement=SQ4--SQ8--raw；查询IDs100..119，每条重复3次，共60样本（20独立查询）。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源文件=/mnt/d/paper_source/work_9/VeriANN_repro_2026-09-30/VeriANN_repro_2026-09-30/results/work9-quantization-20261023/nytimes256/samples.csv
SHA256=7237a0ba597b8657d56d180cfdca3937f556d6865be876e93a2698639b2d4e9e
Q std=4.57941751ms；V std=13.387764ms。</t>
      </text>
    </comment>
    <comment ref="I158" authorId="3" shapeId="0">
      <text>
        <t>2026-10-23真实测量；未进行预测或性能系数放大。
固定SQ4 top-1 traversal, N=289761, D=256, M=16, efConstruction=200, E=256, k=10。
refinement=SQ4--SQ8--raw；查询IDs100..119，每条重复3次，共60样本（20独立查询）。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源文件=/mnt/d/paper_source/work_9/VeriANN_repro_2026-09-30/VeriANN_repro_2026-09-30/results/work9-quantization-20261023/nytimes256/samples.csv
SHA256=7237a0ba597b8657d56d180cfdca3937f556d6865be876e93a2698639b2d4e9e
Q std=4.57941751ms；V std=13.387764ms。</t>
      </text>
    </comment>
    <comment ref="J158" authorId="3" shapeId="0">
      <text>
        <t>2026-10-23真实测量；未进行预测或性能系数放大。
固定SQ4 top-1 traversal, N=289761, D=256, M=16, efConstruction=200, E=256, k=10。
refinement=SQ4--SQ8--raw；查询IDs100..119，每条重复3次，共60样本（20独立查询）。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源文件=/mnt/d/paper_source/work_9/VeriANN_repro_2026-09-30/VeriANN_repro_2026-09-30/results/work9-quantization-20261023/nytimes256/samples.csv
SHA256=7237a0ba597b8657d56d180cfdca3937f556d6865be876e93a2698639b2d4e9e
Q std=4.57941751ms；V std=13.387764ms。</t>
      </text>
    </comment>
    <comment ref="K158" authorId="3" shapeId="0">
      <text>
        <t>2026-10-23真实测量；未进行预测或性能系数放大。
固定SQ4 top-1 traversal, N=289761, D=256, M=16, efConstruction=200, E=256, k=10。
refinement=SQ4--SQ8--raw；查询IDs100..119，每条重复3次，共60样本（20独立查询）。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源文件=/mnt/d/paper_source/work_9/VeriANN_repro_2026-09-30/VeriANN_repro_2026-09-30/results/work9-quantization-20261023/nytimes256/samples.csv
SHA256=7237a0ba597b8657d56d180cfdca3937f556d6865be876e93a2698639b2d4e9e
Q std=4.57941751ms；V std=13.387764ms。</t>
      </text>
    </comment>
    <comment ref="D159" authorId="3" shapeId="0">
      <text>
        <t>2026-10-23真实测量；未进行预测或性能系数放大。
固定SQ4 top-1 traversal, N=289761, D=256, M=16, efConstruction=200, E=256, k=10。
refinement=SQ4--SQ6--SQ8--raw；查询IDs100..119，每条重复3次，共60样本（20独立查询）。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源文件=/mnt/d/paper_source/work_9/VeriANN_repro_2026-09-30/VeriANN_repro_2026-09-30/results/work9-quantization-20261023/nytimes256/samples.csv
SHA256=7237a0ba597b8657d56d180cfdca3937f556d6865be876e93a2698639b2d4e9e
Q std=4.61514194ms；V std=13.6829324ms。</t>
      </text>
    </comment>
    <comment ref="E159" authorId="3" shapeId="0">
      <text>
        <t>2026-10-23真实测量；未进行预测或性能系数放大。
固定SQ4 top-1 traversal, N=289761, D=256, M=16, efConstruction=200, E=256, k=10。
refinement=SQ4--SQ6--SQ8--raw；查询IDs100..119，每条重复3次，共60样本（20独立查询）。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源文件=/mnt/d/paper_source/work_9/VeriANN_repro_2026-09-30/VeriANN_repro_2026-09-30/results/work9-quantization-20261023/nytimes256/samples.csv
SHA256=7237a0ba597b8657d56d180cfdca3937f556d6865be876e93a2698639b2d4e9e
Q std=4.61514194ms；V std=13.6829324ms。</t>
      </text>
    </comment>
    <comment ref="F159" authorId="3" shapeId="0">
      <text>
        <t>2026-10-23真实测量；未进行预测或性能系数放大。
固定SQ4 top-1 traversal, N=289761, D=256, M=16, efConstruction=200, E=256, k=10。
refinement=SQ4--SQ6--SQ8--raw；查询IDs100..119，每条重复3次，共60样本（20独立查询）。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源文件=/mnt/d/paper_source/work_9/VeriANN_repro_2026-09-30/VeriANN_repro_2026-09-30/results/work9-quantization-20261023/nytimes256/samples.csv
SHA256=7237a0ba597b8657d56d180cfdca3937f556d6865be876e93a2698639b2d4e9e
Q std=4.61514194ms；V std=13.6829324ms。</t>
      </text>
    </comment>
    <comment ref="G159" authorId="3" shapeId="0">
      <text>
        <t>2026-10-23真实测量；未进行预测或性能系数放大。
固定SQ4 top-1 traversal, N=289761, D=256, M=16, efConstruction=200, E=256, k=10。
refinement=SQ4--SQ6--SQ8--raw；查询IDs100..119，每条重复3次，共60样本（20独立查询）。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源文件=/mnt/d/paper_source/work_9/VeriANN_repro_2026-09-30/VeriANN_repro_2026-09-30/results/work9-quantization-20261023/nytimes256/samples.csv
SHA256=7237a0ba597b8657d56d180cfdca3937f556d6865be876e93a2698639b2d4e9e
Q std=4.61514194ms；V std=13.6829324ms。</t>
      </text>
    </comment>
    <comment ref="H159" authorId="3" shapeId="0">
      <text>
        <t>2026-10-23真实测量；未进行预测或性能系数放大。
固定SQ4 top-1 traversal, N=289761, D=256, M=16, efConstruction=200, E=256, k=10。
refinement=SQ4--SQ6--SQ8--raw；查询IDs100..119，每条重复3次，共60样本（20独立查询）。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源文件=/mnt/d/paper_source/work_9/VeriANN_repro_2026-09-30/VeriANN_repro_2026-09-30/results/work9-quantization-20261023/nytimes256/samples.csv
SHA256=7237a0ba597b8657d56d180cfdca3937f556d6865be876e93a2698639b2d4e9e
Q std=4.61514194ms；V std=13.6829324ms。</t>
      </text>
    </comment>
    <comment ref="I159" authorId="3" shapeId="0">
      <text>
        <t>2026-10-23真实测量；未进行预测或性能系数放大。
固定SQ4 top-1 traversal, N=289761, D=256, M=16, efConstruction=200, E=256, k=10。
refinement=SQ4--SQ6--SQ8--raw；查询IDs100..119，每条重复3次，共60样本（20独立查询）。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源文件=/mnt/d/paper_source/work_9/VeriANN_repro_2026-09-30/VeriANN_repro_2026-09-30/results/work9-quantization-20261023/nytimes256/samples.csv
SHA256=7237a0ba597b8657d56d180cfdca3937f556d6865be876e93a2698639b2d4e9e
Q std=4.61514194ms；V std=13.6829324ms。</t>
      </text>
    </comment>
    <comment ref="J159" authorId="3" shapeId="0">
      <text>
        <t>2026-10-23真实测量；未进行预测或性能系数放大。
固定SQ4 top-1 traversal, N=289761, D=256, M=16, efConstruction=200, E=256, k=10。
refinement=SQ4--SQ6--SQ8--raw；查询IDs100..119，每条重复3次，共60样本（20独立查询）。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源文件=/mnt/d/paper_source/work_9/VeriANN_repro_2026-09-30/VeriANN_repro_2026-09-30/results/work9-quantization-20261023/nytimes256/samples.csv
SHA256=7237a0ba597b8657d56d180cfdca3937f556d6865be876e93a2698639b2d4e9e
Q std=4.61514194ms；V std=13.6829324ms。</t>
      </text>
    </comment>
    <comment ref="K159" authorId="3" shapeId="0">
      <text>
        <t>2026-10-23真实测量；未进行预测或性能系数放大。
固定SQ4 top-1 traversal, N=289761, D=256, M=16, efConstruction=200, E=256, k=10。
refinement=SQ4--SQ6--SQ8--raw；查询IDs100..119，每条重复3次，共60样本（20独立查询）。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源文件=/mnt/d/paper_source/work_9/VeriANN_repro_2026-09-30/VeriANN_repro_2026-09-30/results/work9-quantization-20261023/nytimes256/samples.csv
SHA256=7237a0ba597b8657d56d180cfdca3937f556d6865be876e93a2698639b2d4e9e
Q std=4.61514194ms；V std=13.6829324ms。</t>
      </text>
    </comment>
    <comment ref="F168" authorId="3" shapeId="0">
      <text>
        <t>理论字节计数，不是新性能测量：k×(4-byte ID + d×4-byte float32)。不包含认证、协议头或重复结果。</t>
      </text>
    </comment>
    <comment ref="D169" authorId="3" shapeId="0">
      <text>
        <t>VO字节拆分：MR-tree, N=289761, d=256, k=10；查询100..119×3，参数=leaf64/fanout16。
T为完整VO除去独立认证材料后的其余字节；A含query-binding hash32及认证证明编码。VLAH整段routing proof归A；MR未展开MBB归T，content digest归A，root/signature归A。
原始均值 T=282958.644900000KB；A=0.280000000KB；完整=282958.924900000KB。
VO展示系数=1；乘系数后为派生值，不能描述成实际序列化VO大小。
来源=/mnt/d/paper_source/work_9/VeriANN_repro_2026-09-30/VeriANN_repro_2026-09-30/results/work9-vo-breakdown-20261023/nytimes256/MR-tree/breakdown.csv
SHA256=8f3b2a0f0ce266c57a01d883f0423e8cfea3b294ebb697df38e2a5b395123acb</t>
      </text>
    </comment>
    <comment ref="E169" authorId="3" shapeId="0">
      <text>
        <t>VO字节拆分：MR-tree, N=289761, d=256, k=10；查询100..119×3，参数=leaf64/fanout16。
T为完整VO除去独立认证材料后的其余字节；A含query-binding hash32及认证证明编码。VLAH整段routing proof归A；MR未展开MBB归T，content digest归A，root/signature归A。
原始均值 T=282958.644900000KB；A=0.280000000KB；完整=282958.924900000KB。
VO展示系数=1；乘系数后为派生值，不能描述成实际序列化VO大小。
来源=/mnt/d/paper_source/work_9/VeriANN_repro_2026-09-30/VeriANN_repro_2026-09-30/results/work9-vo-breakdown-20261023/nytimes256/MR-tree/breakdown.csv
SHA256=8f3b2a0f0ce266c57a01d883f0423e8cfea3b294ebb697df38e2a5b395123acb</t>
      </text>
    </comment>
    <comment ref="F169" authorId="3" shapeId="0">
      <text>
        <t>VO字节拆分：MR-tree, N=289761, d=256, k=10；查询100..119×3，参数=leaf64/fanout16。
T为完整VO除去独立认证材料后的其余字节；A含query-binding hash32及认证证明编码。VLAH整段routing proof归A；MR未展开MBB归T，content digest归A，root/signature归A。
原始均值 T=282958.644900000KB；A=0.280000000KB；完整=282958.924900000KB。
VO展示系数=1；乘系数后为派生值，不能描述成实际序列化VO大小。
来源=/mnt/d/paper_source/work_9/VeriANN_repro_2026-09-30/VeriANN_repro_2026-09-30/results/work9-vo-breakdown-20261023/nytimes256/MR-tree/breakdown.csv
SHA256=8f3b2a0f0ce266c57a01d883f0423e8cfea3b294ebb697df38e2a5b395123acb</t>
      </text>
    </comment>
    <comment ref="G169" authorId="3" shapeId="0">
      <text>
        <t>VO字节拆分：MR-tree, N=289761, d=256, k=10；查询100..119×3，参数=leaf64/fanout16。
T为完整VO除去独立认证材料后的其余字节；A含query-binding hash32及认证证明编码。VLAH整段routing proof归A；MR未展开MBB归T，content digest归A，root/signature归A。
原始均值 T=282958.644900000KB；A=0.280000000KB；完整=282958.924900000KB。
VO展示系数=1；乘系数后为派生值，不能描述成实际序列化VO大小。
来源=/mnt/d/paper_source/work_9/VeriANN_repro_2026-09-30/VeriANN_repro_2026-09-30/results/work9-vo-breakdown-20261023/nytimes256/MR-tree/breakdown.csv
SHA256=8f3b2a0f0ce266c57a01d883f0423e8cfea3b294ebb697df38e2a5b395123acb</t>
      </text>
    </comment>
    <comment ref="H169" authorId="3" shapeId="0">
      <text>
        <t>VO字节拆分：MR-tree, N=289761, d=256, k=10；查询100..119×3，参数=leaf64/fanout16。
T为完整VO除去独立认证材料后的其余字节；A含query-binding hash32及认证证明编码。VLAH整段routing proof归A；MR未展开MBB归T，content digest归A，root/signature归A。
原始均值 T=282958.644900000KB；A=0.280000000KB；完整=282958.924900000KB。
VO展示系数=1；乘系数后为派生值，不能描述成实际序列化VO大小。
来源=/mnt/d/paper_source/work_9/VeriANN_repro_2026-09-30/VeriANN_repro_2026-09-30/results/work9-vo-breakdown-20261023/nytimes256/MR-tree/breakdown.csv
SHA256=8f3b2a0f0ce266c57a01d883f0423e8cfea3b294ebb697df38e2a5b395123acb</t>
      </text>
    </comment>
    <comment ref="I169" authorId="3" shapeId="0">
      <text>
        <t>VO字节拆分：MR-tree, N=289761, d=256, k=10；查询100..119×3，参数=leaf64/fanout16。
T为完整VO除去独立认证材料后的其余字节；A含query-binding hash32及认证证明编码。VLAH整段routing proof归A；MR未展开MBB归T，content digest归A，root/signature归A。
原始均值 T=282958.644900000KB；A=0.280000000KB；完整=282958.924900000KB。
VO展示系数=1；乘系数后为派生值，不能描述成实际序列化VO大小。
来源=/mnt/d/paper_source/work_9/VeriANN_repro_2026-09-30/VeriANN_repro_2026-09-30/results/work9-vo-breakdown-20261023/nytimes256/MR-tree/breakdown.csv
SHA256=8f3b2a0f0ce266c57a01d883f0423e8cfea3b294ebb697df38e2a5b395123acb</t>
      </text>
    </comment>
    <comment ref="J169" authorId="3" shapeId="0">
      <text>
        <t>VO字节拆分：MR-tree, N=289761, d=256, k=10；查询100..119×3，参数=leaf64/fanout16。
T为完整VO除去独立认证材料后的其余字节；A含query-binding hash32及认证证明编码。VLAH整段routing proof归A；MR未展开MBB归T，content digest归A，root/signature归A。
原始均值 T=282958.644900000KB；A=0.280000000KB；完整=282958.924900000KB。
VO展示系数=1；乘系数后为派生值，不能描述成实际序列化VO大小。
来源=/mnt/d/paper_source/work_9/VeriANN_repro_2026-09-30/VeriANN_repro_2026-09-30/results/work9-vo-breakdown-20261023/nytimes256/MR-tree/breakdown.csv
SHA256=8f3b2a0f0ce266c57a01d883f0423e8cfea3b294ebb697df38e2a5b395123acb</t>
      </text>
    </comment>
    <comment ref="K169" authorId="3" shapeId="0">
      <text>
        <t>VO字节拆分：MR-tree, N=289761, d=256, k=10；查询100..119×3，参数=leaf64/fanout16。
T为完整VO除去独立认证材料后的其余字节；A含query-binding hash32及认证证明编码。VLAH整段routing proof归A；MR未展开MBB归T，content digest归A，root/signature归A。
原始均值 T=282958.644900000KB；A=0.280000000KB；完整=282958.924900000KB。
VO展示系数=1；乘系数后为派生值，不能描述成实际序列化VO大小。
来源=/mnt/d/paper_source/work_9/VeriANN_repro_2026-09-30/VeriANN_repro_2026-09-30/results/work9-vo-breakdown-20261023/nytimes256/MR-tree/breakdown.csv
SHA256=8f3b2a0f0ce266c57a01d883f0423e8cfea3b294ebb697df38e2a5b395123acb</t>
      </text>
    </comment>
    <comment ref="D170" authorId="3" shapeId="0">
      <text>
        <t>VO字节拆分：ANNProof, N=289761, d=256, k=10；查询100..119×3，参数=264/1。
T为完整VO除去独立认证材料后的其余字节；A含query-binding hash32及认证证明编码。VLAH整段routing proof归A；MR未展开MBB归T，content digest归A，root/signature归A。
原始均值 T=5835.176600000KB；A=998.236000000KB；完整=6833.412600000KB。
VO展示系数=2；乘系数后为派生值，不能描述成实际序列化VO大小。
来源=/mnt/d/paper_source/work_9/VeriANN_repro_2026-09-30/VeriANN_repro_2026-09-30/results/work9-nytimes-annproof-full-20261021/measurements/default-and-k/per_query.csv
SHA256=5e9a6852feaf38d90e3acf84c3846b9eb5d49b4741c69062c8e0bf2f251674d4</t>
      </text>
    </comment>
    <comment ref="E170" authorId="3" shapeId="0">
      <text>
        <t>VO字节拆分：ANNProof, N=289761, d=256, k=10；查询100..119×3，参数=264/1。
T为完整VO除去独立认证材料后的其余字节；A含query-binding hash32及认证证明编码。VLAH整段routing proof归A；MR未展开MBB归T，content digest归A，root/signature归A。
原始均值 T=5835.176600000KB；A=998.236000000KB；完整=6833.412600000KB。
VO展示系数=2；乘系数后为派生值，不能描述成实际序列化VO大小。
来源=/mnt/d/paper_source/work_9/VeriANN_repro_2026-09-30/VeriANN_repro_2026-09-30/results/work9-nytimes-annproof-full-20261021/measurements/default-and-k/per_query.csv
SHA256=5e9a6852feaf38d90e3acf84c3846b9eb5d49b4741c69062c8e0bf2f251674d4</t>
      </text>
    </comment>
    <comment ref="F170" authorId="3" shapeId="0">
      <text>
        <t>VO字节拆分：ANNProof, N=289761, d=256, k=10；查询100..119×3，参数=264/1。
T为完整VO除去独立认证材料后的其余字节；A含query-binding hash32及认证证明编码。VLAH整段routing proof归A；MR未展开MBB归T，content digest归A，root/signature归A。
原始均值 T=5835.176600000KB；A=998.236000000KB；完整=6833.412600000KB。
VO展示系数=2；乘系数后为派生值，不能描述成实际序列化VO大小。
来源=/mnt/d/paper_source/work_9/VeriANN_repro_2026-09-30/VeriANN_repro_2026-09-30/results/work9-nytimes-annproof-full-20261021/measurements/default-and-k/per_query.csv
SHA256=5e9a6852feaf38d90e3acf84c3846b9eb5d49b4741c69062c8e0bf2f251674d4</t>
      </text>
    </comment>
    <comment ref="G170" authorId="3" shapeId="0">
      <text>
        <t>VO字节拆分：ANNProof, N=289761, d=256, k=10；查询100..119×3，参数=264/1。
T为完整VO除去独立认证材料后的其余字节；A含query-binding hash32及认证证明编码。VLAH整段routing proof归A；MR未展开MBB归T，content digest归A，root/signature归A。
原始均值 T=5835.176600000KB；A=998.236000000KB；完整=6833.412600000KB。
VO展示系数=2；乘系数后为派生值，不能描述成实际序列化VO大小。
来源=/mnt/d/paper_source/work_9/VeriANN_repro_2026-09-30/VeriANN_repro_2026-09-30/results/work9-nytimes-annproof-full-20261021/measurements/default-and-k/per_query.csv
SHA256=5e9a6852feaf38d90e3acf84c3846b9eb5d49b4741c69062c8e0bf2f251674d4</t>
      </text>
    </comment>
    <comment ref="H170" authorId="3" shapeId="0">
      <text>
        <t>VO字节拆分：ANNProof, N=289761, d=256, k=10；查询100..119×3，参数=264/1。
T为完整VO除去独立认证材料后的其余字节；A含query-binding hash32及认证证明编码。VLAH整段routing proof归A；MR未展开MBB归T，content digest归A，root/signature归A。
原始均值 T=5835.176600000KB；A=998.236000000KB；完整=6833.412600000KB。
VO展示系数=2；乘系数后为派生值，不能描述成实际序列化VO大小。
来源=/mnt/d/paper_source/work_9/VeriANN_repro_2026-09-30/VeriANN_repro_2026-09-30/results/work9-nytimes-annproof-full-20261021/measurements/default-and-k/per_query.csv
SHA256=5e9a6852feaf38d90e3acf84c3846b9eb5d49b4741c69062c8e0bf2f251674d4</t>
      </text>
    </comment>
    <comment ref="I170" authorId="3" shapeId="0">
      <text>
        <t>VO字节拆分：ANNProof, N=289761, d=256, k=10；查询100..119×3，参数=264/1。
T为完整VO除去独立认证材料后的其余字节；A含query-binding hash32及认证证明编码。VLAH整段routing proof归A；MR未展开MBB归T，content digest归A，root/signature归A。
原始均值 T=5835.176600000KB；A=998.236000000KB；完整=6833.412600000KB。
VO展示系数=2；乘系数后为派生值，不能描述成实际序列化VO大小。
来源=/mnt/d/paper_source/work_9/VeriANN_repro_2026-09-30/VeriANN_repro_2026-09-30/results/work9-nytimes-annproof-full-20261021/measurements/default-and-k/per_query.csv
SHA256=5e9a6852feaf38d90e3acf84c3846b9eb5d49b4741c69062c8e0bf2f251674d4</t>
      </text>
    </comment>
    <comment ref="J170" authorId="3" shapeId="0">
      <text>
        <t>VO字节拆分：ANNProof, N=289761, d=256, k=10；查询100..119×3，参数=264/1。
T为完整VO除去独立认证材料后的其余字节；A含query-binding hash32及认证证明编码。VLAH整段routing proof归A；MR未展开MBB归T，content digest归A，root/signature归A。
原始均值 T=5835.176600000KB；A=998.236000000KB；完整=6833.412600000KB。
VO展示系数=2；乘系数后为派生值，不能描述成实际序列化VO大小。
来源=/mnt/d/paper_source/work_9/VeriANN_repro_2026-09-30/VeriANN_repro_2026-09-30/results/work9-nytimes-annproof-full-20261021/measurements/default-and-k/per_query.csv
SHA256=5e9a6852feaf38d90e3acf84c3846b9eb5d49b4741c69062c8e0bf2f251674d4</t>
      </text>
    </comment>
    <comment ref="K170" authorId="3" shapeId="0">
      <text>
        <t>VO字节拆分：ANNProof, N=289761, d=256, k=10；查询100..119×3，参数=264/1。
T为完整VO除去独立认证材料后的其余字节；A含query-binding hash32及认证证明编码。VLAH整段routing proof归A；MR未展开MBB归T，content digest归A，root/signature归A。
原始均值 T=5835.176600000KB；A=998.236000000KB；完整=6833.412600000KB。
VO展示系数=2；乘系数后为派生值，不能描述成实际序列化VO大小。
来源=/mnt/d/paper_source/work_9/VeriANN_repro_2026-09-30/VeriANN_repro_2026-09-30/results/work9-nytimes-annproof-full-20261021/measurements/default-and-k/per_query.csv
SHA256=5e9a6852feaf38d90e3acf84c3846b9eb5d49b4741c69062c8e0bf2f251674d4</t>
      </text>
    </comment>
    <comment ref="D171" authorId="3" shapeId="0">
      <text>
        <t>VO字节拆分：VLAH, N=289761, d=256, k=10；查询100..119×3，参数=400/14。
T为完整VO除去独立认证材料后的其余字节；A含query-binding hash32及认证证明编码。VLAH整段routing proof归A；MR未展开MBB归T，content digest归A，root/signature归A。
原始均值 T=131354.516800000KB；A=4134.106000000KB；完整=135488.622800000KB。
VO展示系数=1；乘系数后为派生值，不能描述成实际序列化VO大小。
来源=/mnt/d/paper_source/work_9/VeriANN_repro_2026-09-30/VeriANN_repro_2026-09-30/results/work9-nytimes-20261017/nytimes256/VLAH-curve-289761/per_query.csv
SHA256=8312b5fe64afeed1e4db8221b280e5f45f700935f558f5d90b362ed5a7726c25</t>
      </text>
    </comment>
    <comment ref="E171" authorId="3" shapeId="0">
      <text>
        <t>VO字节拆分：VLAH, N=289761, d=256, k=10；查询100..119×3，参数=400/14。
T为完整VO除去独立认证材料后的其余字节；A含query-binding hash32及认证证明编码。VLAH整段routing proof归A；MR未展开MBB归T，content digest归A，root/signature归A。
原始均值 T=131354.516800000KB；A=4134.106000000KB；完整=135488.622800000KB。
VO展示系数=1；乘系数后为派生值，不能描述成实际序列化VO大小。
来源=/mnt/d/paper_source/work_9/VeriANN_repro_2026-09-30/VeriANN_repro_2026-09-30/results/work9-nytimes-20261017/nytimes256/VLAH-curve-289761/per_query.csv
SHA256=8312b5fe64afeed1e4db8221b280e5f45f700935f558f5d90b362ed5a7726c25</t>
      </text>
    </comment>
    <comment ref="F171" authorId="3" shapeId="0">
      <text>
        <t>VO字节拆分：VLAH, N=289761, d=256, k=10；查询100..119×3，参数=400/14。
T为完整VO除去独立认证材料后的其余字节；A含query-binding hash32及认证证明编码。VLAH整段routing proof归A；MR未展开MBB归T，content digest归A，root/signature归A。
原始均值 T=131354.516800000KB；A=4134.106000000KB；完整=135488.622800000KB。
VO展示系数=1；乘系数后为派生值，不能描述成实际序列化VO大小。
来源=/mnt/d/paper_source/work_9/VeriANN_repro_2026-09-30/VeriANN_repro_2026-09-30/results/work9-nytimes-20261017/nytimes256/VLAH-curve-289761/per_query.csv
SHA256=8312b5fe64afeed1e4db8221b280e5f45f700935f558f5d90b362ed5a7726c25</t>
      </text>
    </comment>
    <comment ref="G171" authorId="3" shapeId="0">
      <text>
        <t>VO字节拆分：VLAH, N=289761, d=256, k=10；查询100..119×3，参数=400/14。
T为完整VO除去独立认证材料后的其余字节；A含query-binding hash32及认证证明编码。VLAH整段routing proof归A；MR未展开MBB归T，content digest归A，root/signature归A。
原始均值 T=131354.516800000KB；A=4134.106000000KB；完整=135488.622800000KB。
VO展示系数=1；乘系数后为派生值，不能描述成实际序列化VO大小。
来源=/mnt/d/paper_source/work_9/VeriANN_repro_2026-09-30/VeriANN_repro_2026-09-30/results/work9-nytimes-20261017/nytimes256/VLAH-curve-289761/per_query.csv
SHA256=8312b5fe64afeed1e4db8221b280e5f45f700935f558f5d90b362ed5a7726c25</t>
      </text>
    </comment>
    <comment ref="H171" authorId="3" shapeId="0">
      <text>
        <t>VO字节拆分：VLAH, N=289761, d=256, k=10；查询100..119×3，参数=400/14。
T为完整VO除去独立认证材料后的其余字节；A含query-binding hash32及认证证明编码。VLAH整段routing proof归A；MR未展开MBB归T，content digest归A，root/signature归A。
原始均值 T=131354.516800000KB；A=4134.106000000KB；完整=135488.622800000KB。
VO展示系数=1；乘系数后为派生值，不能描述成实际序列化VO大小。
来源=/mnt/d/paper_source/work_9/VeriANN_repro_2026-09-30/VeriANN_repro_2026-09-30/results/work9-nytimes-20261017/nytimes256/VLAH-curve-289761/per_query.csv
SHA256=8312b5fe64afeed1e4db8221b280e5f45f700935f558f5d90b362ed5a7726c25</t>
      </text>
    </comment>
    <comment ref="I171" authorId="3" shapeId="0">
      <text>
        <t>VO字节拆分：VLAH, N=289761, d=256, k=10；查询100..119×3，参数=400/14。
T为完整VO除去独立认证材料后的其余字节；A含query-binding hash32及认证证明编码。VLAH整段routing proof归A；MR未展开MBB归T，content digest归A，root/signature归A。
原始均值 T=131354.516800000KB；A=4134.106000000KB；完整=135488.622800000KB。
VO展示系数=1；乘系数后为派生值，不能描述成实际序列化VO大小。
来源=/mnt/d/paper_source/work_9/VeriANN_repro_2026-09-30/VeriANN_repro_2026-09-30/results/work9-nytimes-20261017/nytimes256/VLAH-curve-289761/per_query.csv
SHA256=8312b5fe64afeed1e4db8221b280e5f45f700935f558f5d90b362ed5a7726c25</t>
      </text>
    </comment>
    <comment ref="J171" authorId="3" shapeId="0">
      <text>
        <t>VO字节拆分：VLAH, N=289761, d=256, k=10；查询100..119×3，参数=400/14。
T为完整VO除去独立认证材料后的其余字节；A含query-binding hash32及认证证明编码。VLAH整段routing proof归A；MR未展开MBB归T，content digest归A，root/signature归A。
原始均值 T=131354.516800000KB；A=4134.106000000KB；完整=135488.622800000KB。
VO展示系数=1；乘系数后为派生值，不能描述成实际序列化VO大小。
来源=/mnt/d/paper_source/work_9/VeriANN_repro_2026-09-30/VeriANN_repro_2026-09-30/results/work9-nytimes-20261017/nytimes256/VLAH-curve-289761/per_query.csv
SHA256=8312b5fe64afeed1e4db8221b280e5f45f700935f558f5d90b362ed5a7726c25</t>
      </text>
    </comment>
    <comment ref="K171" authorId="3" shapeId="0">
      <text>
        <t>VO字节拆分：VLAH, N=289761, d=256, k=10；查询100..119×3，参数=400/14。
T为完整VO除去独立认证材料后的其余字节；A含query-binding hash32及认证证明编码。VLAH整段routing proof归A；MR未展开MBB归T，content digest归A，root/signature归A。
原始均值 T=131354.516800000KB；A=4134.106000000KB；完整=135488.622800000KB。
VO展示系数=1；乘系数后为派生值，不能描述成实际序列化VO大小。
来源=/mnt/d/paper_source/work_9/VeriANN_repro_2026-09-30/VeriANN_repro_2026-09-30/results/work9-nytimes-20261017/nytimes256/VLAH-curve-289761/per_query.csv
SHA256=8312b5fe64afeed1e4db8221b280e5f45f700935f558f5d90b362ed5a7726c25</t>
      </text>
    </comment>
    <comment ref="D172" authorId="3" shapeId="0">
      <text>
        <t>VO字节拆分：IVF-ADS, N=289761, d=256, k=10；查询100..119×3，参数=112/112。
T为完整VO除去独立认证材料后的其余字节；A含query-binding hash32及认证证明编码。VLAH整段routing proof归A；MR未展开MBB归T，content digest归A，root/signature归A。
原始均值 T=168055.895400000KB；A=3100.259200000KB；完整=171156.154600000KB。
VO展示系数=1；乘系数后为派生值，不能描述成实际序列化VO大小。
来源=/mnt/d/paper_source/work_9/VeriANN_repro_2026-09-30/VeriANN_repro_2026-09-30/results/work9-nytimes-20261017/controlled-ablation/nytimes256/evaluation-1-3/variant-1/per_query.csv
SHA256=a2c7f1bb221f64bc53484324a43db58b2b9cd2764119618701567d58370a17ce</t>
      </text>
    </comment>
    <comment ref="E172" authorId="3" shapeId="0">
      <text>
        <t>VO字节拆分：IVF-ADS, N=289761, d=256, k=10；查询100..119×3，参数=112/112。
T为完整VO除去独立认证材料后的其余字节；A含query-binding hash32及认证证明编码。VLAH整段routing proof归A；MR未展开MBB归T，content digest归A，root/signature归A。
原始均值 T=168055.895400000KB；A=3100.259200000KB；完整=171156.154600000KB。
VO展示系数=1；乘系数后为派生值，不能描述成实际序列化VO大小。
来源=/mnt/d/paper_source/work_9/VeriANN_repro_2026-09-30/VeriANN_repro_2026-09-30/results/work9-nytimes-20261017/controlled-ablation/nytimes256/evaluation-1-3/variant-1/per_query.csv
SHA256=a2c7f1bb221f64bc53484324a43db58b2b9cd2764119618701567d58370a17ce</t>
      </text>
    </comment>
    <comment ref="F172" authorId="3" shapeId="0">
      <text>
        <t>VO字节拆分：IVF-ADS, N=289761, d=256, k=10；查询100..119×3，参数=112/112。
T为完整VO除去独立认证材料后的其余字节；A含query-binding hash32及认证证明编码。VLAH整段routing proof归A；MR未展开MBB归T，content digest归A，root/signature归A。
原始均值 T=168055.895400000KB；A=3100.259200000KB；完整=171156.154600000KB。
VO展示系数=1；乘系数后为派生值，不能描述成实际序列化VO大小。
来源=/mnt/d/paper_source/work_9/VeriANN_repro_2026-09-30/VeriANN_repro_2026-09-30/results/work9-nytimes-20261017/controlled-ablation/nytimes256/evaluation-1-3/variant-1/per_query.csv
SHA256=a2c7f1bb221f64bc53484324a43db58b2b9cd2764119618701567d58370a17ce</t>
      </text>
    </comment>
    <comment ref="G172" authorId="3" shapeId="0">
      <text>
        <t>VO字节拆分：IVF-ADS, N=289761, d=256, k=10；查询100..119×3，参数=112/112。
T为完整VO除去独立认证材料后的其余字节；A含query-binding hash32及认证证明编码。VLAH整段routing proof归A；MR未展开MBB归T，content digest归A，root/signature归A。
原始均值 T=168055.895400000KB；A=3100.259200000KB；完整=171156.154600000KB。
VO展示系数=1；乘系数后为派生值，不能描述成实际序列化VO大小。
来源=/mnt/d/paper_source/work_9/VeriANN_repro_2026-09-30/VeriANN_repro_2026-09-30/results/work9-nytimes-20261017/controlled-ablation/nytimes256/evaluation-1-3/variant-1/per_query.csv
SHA256=a2c7f1bb221f64bc53484324a43db58b2b9cd2764119618701567d58370a17ce</t>
      </text>
    </comment>
    <comment ref="H172" authorId="3" shapeId="0">
      <text>
        <t>VO字节拆分：IVF-ADS, N=289761, d=256, k=10；查询100..119×3，参数=112/112。
T为完整VO除去独立认证材料后的其余字节；A含query-binding hash32及认证证明编码。VLAH整段routing proof归A；MR未展开MBB归T，content digest归A，root/signature归A。
原始均值 T=168055.895400000KB；A=3100.259200000KB；完整=171156.154600000KB。
VO展示系数=1；乘系数后为派生值，不能描述成实际序列化VO大小。
来源=/mnt/d/paper_source/work_9/VeriANN_repro_2026-09-30/VeriANN_repro_2026-09-30/results/work9-nytimes-20261017/controlled-ablation/nytimes256/evaluation-1-3/variant-1/per_query.csv
SHA256=a2c7f1bb221f64bc53484324a43db58b2b9cd2764119618701567d58370a17ce</t>
      </text>
    </comment>
    <comment ref="I172" authorId="3" shapeId="0">
      <text>
        <t>VO字节拆分：IVF-ADS, N=289761, d=256, k=10；查询100..119×3，参数=112/112。
T为完整VO除去独立认证材料后的其余字节；A含query-binding hash32及认证证明编码。VLAH整段routing proof归A；MR未展开MBB归T，content digest归A，root/signature归A。
原始均值 T=168055.895400000KB；A=3100.259200000KB；完整=171156.154600000KB。
VO展示系数=1；乘系数后为派生值，不能描述成实际序列化VO大小。
来源=/mnt/d/paper_source/work_9/VeriANN_repro_2026-09-30/VeriANN_repro_2026-09-30/results/work9-nytimes-20261017/controlled-ablation/nytimes256/evaluation-1-3/variant-1/per_query.csv
SHA256=a2c7f1bb221f64bc53484324a43db58b2b9cd2764119618701567d58370a17ce</t>
      </text>
    </comment>
    <comment ref="J172" authorId="3" shapeId="0">
      <text>
        <t>VO字节拆分：IVF-ADS, N=289761, d=256, k=10；查询100..119×3，参数=112/112。
T为完整VO除去独立认证材料后的其余字节；A含query-binding hash32及认证证明编码。VLAH整段routing proof归A；MR未展开MBB归T，content digest归A，root/signature归A。
原始均值 T=168055.895400000KB；A=3100.259200000KB；完整=171156.154600000KB。
VO展示系数=1；乘系数后为派生值，不能描述成实际序列化VO大小。
来源=/mnt/d/paper_source/work_9/VeriANN_repro_2026-09-30/VeriANN_repro_2026-09-30/results/work9-nytimes-20261017/controlled-ablation/nytimes256/evaluation-1-3/variant-1/per_query.csv
SHA256=a2c7f1bb221f64bc53484324a43db58b2b9cd2764119618701567d58370a17ce</t>
      </text>
    </comment>
    <comment ref="K172" authorId="3" shapeId="0">
      <text>
        <t>VO字节拆分：IVF-ADS, N=289761, d=256, k=10；查询100..119×3，参数=112/112。
T为完整VO除去独立认证材料后的其余字节；A含query-binding hash32及认证证明编码。VLAH整段routing proof归A；MR未展开MBB归T，content digest归A，root/signature归A。
原始均值 T=168055.895400000KB；A=3100.259200000KB；完整=171156.154600000KB。
VO展示系数=1；乘系数后为派生值，不能描述成实际序列化VO大小。
来源=/mnt/d/paper_source/work_9/VeriANN_repro_2026-09-30/VeriANN_repro_2026-09-30/results/work9-nytimes-20261017/controlled-ablation/nytimes256/evaluation-1-3/variant-1/per_query.csv
SHA256=a2c7f1bb221f64bc53484324a43db58b2b9cd2764119618701567d58370a17ce</t>
      </text>
    </comment>
    <comment ref="D173" authorId="3" shapeId="0">
      <text>
        <t>VO字节拆分：HNSW-ADS, N=289761, d=256, k=10；查询100..119×3，参数=384/1。
T为完整VO除去独立认证材料后的其余字节；A含query-binding hash32及认证证明编码。VLAH整段routing proof归A；MR未展开MBB归T，content digest归A，root/signature归A。
原始均值 T=8331.885400000KB；A=901.341600000KB；完整=9233.227000000KB。
VO展示系数=1；乘系数后为派生值，不能描述成实际序列化VO大小。
来源=/mnt/d/paper_source/work_9/VeriANN_repro_2026-09-30/VeriANN_repro_2026-09-30/results/work9-nytimes-20261017/controlled-ablation/nytimes256/evaluation-2-4/variant-2/per_query.csv
SHA256=982c774504c5c74c25b798795dba9db9e58d7e9879c26a0a098dd861034df446</t>
      </text>
    </comment>
    <comment ref="E173" authorId="3" shapeId="0">
      <text>
        <t>VO字节拆分：HNSW-ADS, N=289761, d=256, k=10；查询100..119×3，参数=384/1。
T为完整VO除去独立认证材料后的其余字节；A含query-binding hash32及认证证明编码。VLAH整段routing proof归A；MR未展开MBB归T，content digest归A，root/signature归A。
原始均值 T=8331.885400000KB；A=901.341600000KB；完整=9233.227000000KB。
VO展示系数=1；乘系数后为派生值，不能描述成实际序列化VO大小。
来源=/mnt/d/paper_source/work_9/VeriANN_repro_2026-09-30/VeriANN_repro_2026-09-30/results/work9-nytimes-20261017/controlled-ablation/nytimes256/evaluation-2-4/variant-2/per_query.csv
SHA256=982c774504c5c74c25b798795dba9db9e58d7e9879c26a0a098dd861034df446</t>
      </text>
    </comment>
    <comment ref="F173" authorId="3" shapeId="0">
      <text>
        <t>VO字节拆分：HNSW-ADS, N=289761, d=256, k=10；查询100..119×3，参数=384/1。
T为完整VO除去独立认证材料后的其余字节；A含query-binding hash32及认证证明编码。VLAH整段routing proof归A；MR未展开MBB归T，content digest归A，root/signature归A。
原始均值 T=8331.885400000KB；A=901.341600000KB；完整=9233.227000000KB。
VO展示系数=1；乘系数后为派生值，不能描述成实际序列化VO大小。
来源=/mnt/d/paper_source/work_9/VeriANN_repro_2026-09-30/VeriANN_repro_2026-09-30/results/work9-nytimes-20261017/controlled-ablation/nytimes256/evaluation-2-4/variant-2/per_query.csv
SHA256=982c774504c5c74c25b798795dba9db9e58d7e9879c26a0a098dd861034df446</t>
      </text>
    </comment>
    <comment ref="G173" authorId="3" shapeId="0">
      <text>
        <t>VO字节拆分：HNSW-ADS, N=289761, d=256, k=10；查询100..119×3，参数=384/1。
T为完整VO除去独立认证材料后的其余字节；A含query-binding hash32及认证证明编码。VLAH整段routing proof归A；MR未展开MBB归T，content digest归A，root/signature归A。
原始均值 T=8331.885400000KB；A=901.341600000KB；完整=9233.227000000KB。
VO展示系数=1；乘系数后为派生值，不能描述成实际序列化VO大小。
来源=/mnt/d/paper_source/work_9/VeriANN_repro_2026-09-30/VeriANN_repro_2026-09-30/results/work9-nytimes-20261017/controlled-ablation/nytimes256/evaluation-2-4/variant-2/per_query.csv
SHA256=982c774504c5c74c25b798795dba9db9e58d7e9879c26a0a098dd861034df446</t>
      </text>
    </comment>
    <comment ref="H173" authorId="3" shapeId="0">
      <text>
        <t>VO字节拆分：HNSW-ADS, N=289761, d=256, k=10；查询100..119×3，参数=384/1。
T为完整VO除去独立认证材料后的其余字节；A含query-binding hash32及认证证明编码。VLAH整段routing proof归A；MR未展开MBB归T，content digest归A，root/signature归A。
原始均值 T=8331.885400000KB；A=901.341600000KB；完整=9233.227000000KB。
VO展示系数=1；乘系数后为派生值，不能描述成实际序列化VO大小。
来源=/mnt/d/paper_source/work_9/VeriANN_repro_2026-09-30/VeriANN_repro_2026-09-30/results/work9-nytimes-20261017/controlled-ablation/nytimes256/evaluation-2-4/variant-2/per_query.csv
SHA256=982c774504c5c74c25b798795dba9db9e58d7e9879c26a0a098dd861034df446</t>
      </text>
    </comment>
    <comment ref="I173" authorId="3" shapeId="0">
      <text>
        <t>VO字节拆分：HNSW-ADS, N=289761, d=256, k=10；查询100..119×3，参数=384/1。
T为完整VO除去独立认证材料后的其余字节；A含query-binding hash32及认证证明编码。VLAH整段routing proof归A；MR未展开MBB归T，content digest归A，root/signature归A。
原始均值 T=8331.885400000KB；A=901.341600000KB；完整=9233.227000000KB。
VO展示系数=1；乘系数后为派生值，不能描述成实际序列化VO大小。
来源=/mnt/d/paper_source/work_9/VeriANN_repro_2026-09-30/VeriANN_repro_2026-09-30/results/work9-nytimes-20261017/controlled-ablation/nytimes256/evaluation-2-4/variant-2/per_query.csv
SHA256=982c774504c5c74c25b798795dba9db9e58d7e9879c26a0a098dd861034df446</t>
      </text>
    </comment>
    <comment ref="J173" authorId="3" shapeId="0">
      <text>
        <t>VO字节拆分：HNSW-ADS, N=289761, d=256, k=10；查询100..119×3，参数=384/1。
T为完整VO除去独立认证材料后的其余字节；A含query-binding hash32及认证证明编码。VLAH整段routing proof归A；MR未展开MBB归T，content digest归A，root/signature归A。
原始均值 T=8331.885400000KB；A=901.341600000KB；完整=9233.227000000KB。
VO展示系数=1；乘系数后为派生值，不能描述成实际序列化VO大小。
来源=/mnt/d/paper_source/work_9/VeriANN_repro_2026-09-30/VeriANN_repro_2026-09-30/results/work9-nytimes-20261017/controlled-ablation/nytimes256/evaluation-2-4/variant-2/per_query.csv
SHA256=982c774504c5c74c25b798795dba9db9e58d7e9879c26a0a098dd861034df446</t>
      </text>
    </comment>
    <comment ref="K173" authorId="3" shapeId="0">
      <text>
        <t>VO字节拆分：HNSW-ADS, N=289761, d=256, k=10；查询100..119×3，参数=384/1。
T为完整VO除去独立认证材料后的其余字节；A含query-binding hash32及认证证明编码。VLAH整段routing proof归A；MR未展开MBB归T，content digest归A，root/signature归A。
原始均值 T=8331.885400000KB；A=901.341600000KB；完整=9233.227000000KB。
VO展示系数=1；乘系数后为派生值，不能描述成实际序列化VO大小。
来源=/mnt/d/paper_source/work_9/VeriANN_repro_2026-09-30/VeriANN_repro_2026-09-30/results/work9-nytimes-20261017/controlled-ablation/nytimes256/evaluation-2-4/variant-2/per_query.csv
SHA256=982c774504c5c74c25b798795dba9db9e58d7e9879c26a0a098dd861034df446</t>
      </text>
    </comment>
    <comment ref="D174" authorId="3" shapeId="0">
      <text>
        <t>QVANN (Ours)，默认SQ4--SQ6--raw；实际VO拆分，20查询×3。
T=record_bytes-32；A=local_proof_bytes+route_proof_bytes+32；32字节为query绑定哈希。
N=289761，E=256; SQ4--SQ6--raw。
来源=/mnt/d/paper_source/work_9/VeriANN_repro_2026-09-30/VeriANN_repro_2026-09-30/results/work9-nytimes-20261017/nytimes256/Ours-curve-289761/per_query.csv
SHA256=47aaa5dcc059b0fbb1cf4d6de341071e61345949f251a69c7927e9d193e83871
与本轮量化配置实测的默认组逐条VO长度和召回一致；未乘任何系数。</t>
      </text>
    </comment>
    <comment ref="E174" authorId="3" shapeId="0">
      <text>
        <t>QVANN (Ours)，默认SQ4--SQ6--raw；实际VO拆分，20查询×3。
T=record_bytes-32；A=local_proof_bytes+route_proof_bytes+32；32字节为query绑定哈希。
N=289761，E=256; SQ4--SQ6--raw。
来源=/mnt/d/paper_source/work_9/VeriANN_repro_2026-09-30/VeriANN_repro_2026-09-30/results/work9-nytimes-20261017/nytimes256/Ours-curve-289761/per_query.csv
SHA256=47aaa5dcc059b0fbb1cf4d6de341071e61345949f251a69c7927e9d193e83871
与本轮量化配置实测的默认组逐条VO长度和召回一致；未乘任何系数。</t>
      </text>
    </comment>
    <comment ref="F174" authorId="3" shapeId="0">
      <text>
        <t>QVANN (Ours)，默认SQ4--SQ6--raw；实际VO拆分，20查询×3。
T=record_bytes-32；A=local_proof_bytes+route_proof_bytes+32；32字节为query绑定哈希。
N=289761，E=256; SQ4--SQ6--raw。
来源=/mnt/d/paper_source/work_9/VeriANN_repro_2026-09-30/VeriANN_repro_2026-09-30/results/work9-nytimes-20261017/nytimes256/Ours-curve-289761/per_query.csv
SHA256=47aaa5dcc059b0fbb1cf4d6de341071e61345949f251a69c7927e9d193e83871
与本轮量化配置实测的默认组逐条VO长度和召回一致；未乘任何系数。</t>
      </text>
    </comment>
    <comment ref="G174" authorId="3" shapeId="0">
      <text>
        <t>QVANN (Ours)，默认SQ4--SQ6--raw；实际VO拆分，20查询×3。
T=record_bytes-32；A=local_proof_bytes+route_proof_bytes+32；32字节为query绑定哈希。
N=289761，E=256; SQ4--SQ6--raw。
来源=/mnt/d/paper_source/work_9/VeriANN_repro_2026-09-30/VeriANN_repro_2026-09-30/results/work9-nytimes-20261017/nytimes256/Ours-curve-289761/per_query.csv
SHA256=47aaa5dcc059b0fbb1cf4d6de341071e61345949f251a69c7927e9d193e83871
与本轮量化配置实测的默认组逐条VO长度和召回一致；未乘任何系数。</t>
      </text>
    </comment>
    <comment ref="H174" authorId="3" shapeId="0">
      <text>
        <t>QVANN (Ours)，默认SQ4--SQ6--raw；实际VO拆分，20查询×3。
T=record_bytes-32；A=local_proof_bytes+route_proof_bytes+32；32字节为query绑定哈希。
N=289761，E=256; SQ4--SQ6--raw。
来源=/mnt/d/paper_source/work_9/VeriANN_repro_2026-09-30/VeriANN_repro_2026-09-30/results/work9-nytimes-20261017/nytimes256/Ours-curve-289761/per_query.csv
SHA256=47aaa5dcc059b0fbb1cf4d6de341071e61345949f251a69c7927e9d193e83871
与本轮量化配置实测的默认组逐条VO长度和召回一致；未乘任何系数。</t>
      </text>
    </comment>
    <comment ref="I174" authorId="3" shapeId="0">
      <text>
        <t>QVANN (Ours)，默认SQ4--SQ6--raw；实际VO拆分，20查询×3。
T=record_bytes-32；A=local_proof_bytes+route_proof_bytes+32；32字节为query绑定哈希。
N=289761，E=256; SQ4--SQ6--raw。
来源=/mnt/d/paper_source/work_9/VeriANN_repro_2026-09-30/VeriANN_repro_2026-09-30/results/work9-nytimes-20261017/nytimes256/Ours-curve-289761/per_query.csv
SHA256=47aaa5dcc059b0fbb1cf4d6de341071e61345949f251a69c7927e9d193e83871
与本轮量化配置实测的默认组逐条VO长度和召回一致；未乘任何系数。</t>
      </text>
    </comment>
    <comment ref="J174" authorId="3" shapeId="0">
      <text>
        <t>QVANN (Ours)，默认SQ4--SQ6--raw；实际VO拆分，20查询×3。
T=record_bytes-32；A=local_proof_bytes+route_proof_bytes+32；32字节为query绑定哈希。
N=289761，E=256; SQ4--SQ6--raw。
来源=/mnt/d/paper_source/work_9/VeriANN_repro_2026-09-30/VeriANN_repro_2026-09-30/results/work9-nytimes-20261017/nytimes256/Ours-curve-289761/per_query.csv
SHA256=47aaa5dcc059b0fbb1cf4d6de341071e61345949f251a69c7927e9d193e83871
与本轮量化配置实测的默认组逐条VO长度和召回一致；未乘任何系数。</t>
      </text>
    </comment>
    <comment ref="K174" authorId="3" shapeId="0">
      <text>
        <t>QVANN (Ours)，默认SQ4--SQ6--raw；实际VO拆分，20查询×3。
T=record_bytes-32；A=local_proof_bytes+route_proof_bytes+32；32字节为query绑定哈希。
N=289761，E=256; SQ4--SQ6--raw。
来源=/mnt/d/paper_source/work_9/VeriANN_repro_2026-09-30/VeriANN_repro_2026-09-30/results/work9-nytimes-20261017/nytimes256/Ours-curve-289761/per_query.csv
SHA256=47aaa5dcc059b0fbb1cf4d6de341071e61345949f251a69c7927e9d193e83871
与本轮量化配置实测的默认组逐条VO长度和召回一致；未乘任何系数。</t>
      </text>
    </comment>
  </commentList>
</comments>
</file>

<file path=xl/comments/comment3.xml><?xml version="1.0" encoding="utf-8"?>
<comments xmlns="http://schemas.openxmlformats.org/spreadsheetml/2006/main">
  <authors>
    <author>实测来源</author>
    <author>索引实测来源</author>
    <author>ANNProof 系数调整</author>
    <author>V3DB单次来源</author>
    <author>Chen13 实验来源</author>
    <author>Chen13</author>
    <author>低召回补测来源</author>
    <author>V3DB低召回实测</author>
    <author>512GiB预测来源</author>
    <author>Codex</author>
    <author>实验范围</author>
  </authors>
  <commentList>
    <comment ref="E9" authorId="0" shapeId="0">
      <text>
        <t>GloVe-100; VLAH; N=1183514; M=16; efConstruction=200; k=10;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F9" authorId="0" shapeId="0">
      <text>
        <t>GloVe-100; VLAH; N=1183514; M=16; efConstruction=200; k=10;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G9" authorId="0" shapeId="0">
      <text>
        <t>GloVe-100; VLAH; N=1183514; M=16; efConstruction=200; k=10;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H9" authorId="0" shapeId="0">
      <text>
        <t>GloVe-100; VLAH; N=1183514; M=16; efConstruction=200; k=10;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I9" authorId="1" shapeId="0">
      <text>
        <t>{
  "status": "实测",
  "dataset": "glove100",
  "method": "VLAH",
  "metric": "total_bytes",
  "unit": "MB (1,000,000 bytes)",
  "N": 1183514,
  "D": 100,
  "threads": 1,
  "build_repeats": 1,
  "search_bytes": 774054840,
  "auth_bytes": 124016886,
  "index_seconds": 229.420942392,
  "ads_seconds": 2.028265993,
  "source": "/mnt/d/paper_source/work_9/VeriANN_repro_2026-09-30/VeriANN_repro_2026-09-30/results/work9-index-20261017/glove100/VLAH/measurement.json",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0.33011345496943795
  },
  "rebuild_caveat": "Same parameters as query table, freshly rebuilt with 1 thread. Historical graphs trained with more threads may differ in edges/tie assignments. Query results are not overwritten."
}</t>
      </text>
    </comment>
    <comment ref="J9" authorId="1" shapeId="0">
      <text>
        <t>{
  "status": "实测",
  "dataset": "glove100",
  "method": "VLAH",
  "metric": "construct_seconds",
  "unit": "seconds",
  "N": 1183514,
  "D": 100,
  "threads": 1,
  "build_repeats": 1,
  "search_bytes": 774054840,
  "auth_bytes": 124016886,
  "index_seconds": 229.420942392,
  "ads_seconds": 2.028265993,
  "source": "/mnt/d/paper_source/work_9/VeriANN_repro_2026-09-30/VeriANN_repro_2026-09-30/results/work9-index-20261017/glove100/VLAH/measurement.json",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0.33011345496943795
  },
  "rebuild_caveat": "Same parameters as query table, freshly rebuilt with 1 thread. Historical graphs trained with more threads may differ in edges/tie assignments. Query results are not overwritten."
}</t>
      </text>
    </comment>
    <comment ref="D10" authorId="2" shapeId="0">
      <text>
        <t xml:space="preserve">* 表示性能指标为用户指定系数调整值，不是原始实测值。配置及实际召回见原始补测附表。
原有批注（历史来源）：
</t>
      </text>
    </comment>
    <comment ref="E10" authorId="0" shapeId="0">
      <text>
        <t>GloVe-100; ANNProof; N=1183514; M=16; efConstruction=200; k=10; efSearch/E=1536; probes=1; LSH width=not used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F10" authorId="2" shapeId="0">
      <text>
        <t>用户指定系数调整值；不是原始实测数值。指标=query_ms；原始值=69.721981883333299；系数=1.2；调整值=83.666378259999959。召回率不调整。原始CSV/附表保留。
原有批注（历史来源）：
GloVe-100; ANNProof; N=1183514; M=16; efConstruction=200; k=10; efSearch/E=1536; probes=1; LSH width=not used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G10" authorId="2" shapeId="0">
      <text>
        <t>用户指定系数调整值；不是原始实测数值。指标=vo_kb；原始值=20286.7284；系数=2.0；调整值=40573.4568。召回率不调整。原始CSV/附表保留。
原有批注（历史来源）：
GloVe-100; ANNProof; N=1183514; M=16; efConstruction=200; k=10; efSearch/E=1536; probes=1; LSH width=not used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H10" authorId="2" shapeId="0">
      <text>
        <t>用户指定系数调整值；不是原始实测数值。指标=verify_ms；原始值=263.94268748333297；系数=1.5；调整值=395.91403122499946。召回率不调整。原始CSV/附表保留。
原有批注（历史来源）：
GloVe-100; ANNProof; N=1183514; M=16; efConstruction=200; k=10; efSearch/E=1536; probes=1; LSH width=not used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I10" authorId="1" shapeId="0">
      <text>
        <t>{
  "status": "实测",
  "dataset": "glove100",
  "method": "ANNProof",
  "metric": "total_bytes",
  "unit": "MB (1,000,000 bytes)",
  "N": 1183514,
  "D": 100,
  "threads": 1,
  "build_repeats": 1,
  "search_bytes": 639335280,
  "auth_bytes": 248019660,
  "index_seconds": 841.6403515559999,
  "ads_seconds": 8.202001677,
  "source": "/mnt/d/paper_source/work_9/VeriANN_repro_2026-09-30/VeriANN_repro_2026-09-30/results/work9-index-20261017/glove100/ANNProof/measurement.json",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0.33011345496943795
  },
  "rebuild_caveat": "Same parameters as query table, freshly rebuilt with 1 thread. Historical graphs trained with more threads may differ in edges/tie assignments. Query results are not overwritten."
}</t>
      </text>
    </comment>
    <comment ref="J10" authorId="1" shapeId="0">
      <text>
        <t>{
  "status": "实测",
  "dataset": "glove100",
  "method": "ANNProof",
  "metric": "construct_seconds",
  "unit": "seconds",
  "N": 1183514,
  "D": 100,
  "threads": 1,
  "build_repeats": 1,
  "search_bytes": 639335280,
  "auth_bytes": 248019660,
  "index_seconds": 841.6403515559999,
  "ads_seconds": 8.202001677,
  "source": "/mnt/d/paper_source/work_9/VeriANN_repro_2026-09-30/VeriANN_repro_2026-09-30/results/work9-index-20261017/glove100/ANNProof/measurement.json",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0.33011345496943795
  },
  "rebuild_caveat": "Same parameters as query table, freshly rebuilt with 1 thread. Historical graphs trained with more threads may differ in edges/tie assignments. Query results are not overwritten."
}</t>
      </text>
    </comment>
    <comment ref="E11" authorId="0" shapeId="0">
      <text>
        <t>GloVe-100; Ours; N=1183514; M=16; efConstruction=200; k=10;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F11" authorId="0" shapeId="0">
      <text>
        <t>GloVe-100; Ours; N=1183514; M=16; efConstruction=200; k=10;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G11" authorId="0" shapeId="0">
      <text>
        <t>GloVe-100; Ours; N=1183514; M=16; efConstruction=200; k=10;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H11" authorId="0" shapeId="0">
      <text>
        <t>GloVe-100; Ours; N=1183514; M=16; efConstruction=200; k=10;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I11" authorId="1" shapeId="0">
      <text>
        <t>{
  "status": "实测",
  "dataset": "glove100",
  "method": "Ours",
  "metric": "total_bytes",
  "unit": "MB (1,000,000 bytes)",
  "N": 1183514,
  "D": 100,
  "threads": 1,
  "build_repeats": 1,
  "search_bytes": 732918256,
  "auth_bytes": 412121990,
  "index_seconds": 849.397876894,
  "ads_seconds": 10.459899836,
  "source": "/mnt/d/paper_source/work_9/VeriANN_repro_2026-09-30/VeriANN_repro_2026-09-30/results/work9-index-20261017/glove100/Ours/measurement.json",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0.33011345496943795
  },
  "rebuild_caveat": "Same parameters as query table, freshly rebuilt with 1 thread. Historical graphs trained with more threads may differ in edges/tie assignments. Query results are not overwritten."
}</t>
      </text>
    </comment>
    <comment ref="J11" authorId="1" shapeId="0">
      <text>
        <t>{
  "status": "实测",
  "dataset": "glove100",
  "method": "Ours",
  "metric": "construct_seconds",
  "unit": "seconds",
  "N": 1183514,
  "D": 100,
  "threads": 1,
  "build_repeats": 1,
  "search_bytes": 732918256,
  "auth_bytes": 412121990,
  "index_seconds": 849.397876894,
  "ads_seconds": 10.459899836,
  "source": "/mnt/d/paper_source/work_9/VeriANN_repro_2026-09-30/VeriANN_repro_2026-09-30/results/work9-index-20261017/glove100/Ours/measurement.json",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0.33011345496943795
  },
  "rebuild_caveat": "Same parameters as query table, freshly rebuilt with 1 thread. Historical graphs trained with more threads may differ in edges/tie assignments. Query results are not overwritten."
}</t>
      </text>
    </comment>
    <comment ref="E12" authorId="3" shapeId="0">
      <text>
        <t>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F12" authorId="3" shapeId="0">
      <text>
        <t>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G12" authorId="3" shapeId="0">
      <text>
        <t>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H12" authorId="3" shapeId="0">
      <text>
        <t>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I12" authorId="1" shapeId="0">
      <text>
        <t>{
  "status": "实测",
  "dataset": "glove100",
  "method": "V3DB",
  "metric": "total_bytes",
  "unit": "MB (1,000,000 bytes)",
  "N": 1183514,
  "D": 100,
  "threads": 1,
  "build_repeats": 1,
  "search_bytes": 484522130,
  "auth_bytes": 8724,
  "index_seconds": 131.0231023289998,
  "ads_seconds": 71.04968835399995,
  "source": "/mnt/d/paper_source/work_9/VeriANN_repro_2026-09-30/VeriANN_repro_2026-09-30/results/work9-index-20261017/glove100/V3DB/measurement.json",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"dataset": "glove100",
    "source": "glove100",
    "N": 1183514,
    "D": 100,
    "n_list": 1024,
    "M": 100,
    "K": 1024,
    "n_iter": 25,
    "seed": 0,
    "capacity": 4096,
    "query_offset": 100,
    "query_count": 20,
    "scale": 65536,
    "rebalance": "author algorithm with identical row-chunk distances"
  },
  "rebuild_caveat": "Same parameters as query table, freshly rebuilt with 1 thread. Historical graphs trained with more threads may differ in edges/tie assignments. Query results are not overwritten."
}</t>
      </text>
    </comment>
    <comment ref="J12" authorId="1" shapeId="0">
      <text>
        <t>{
  "status": "实测",
  "dataset": "glove100",
  "method": "V3DB",
  "metric": "construct_seconds",
  "unit": "seconds",
  "N": 1183514,
  "D": 100,
  "threads": 1,
  "build_repeats": 1,
  "search_bytes": 484522130,
  "auth_bytes": 8724,
  "index_seconds": 131.0231023289998,
  "ads_seconds": 71.04968835399995,
  "source": "/mnt/d/paper_source/work_9/VeriANN_repro_2026-09-30/VeriANN_repro_2026-09-30/results/work9-index-20261017/glove100/V3DB/measurement.json",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"dataset": "glove100",
    "source": "glove100",
    "N": 1183514,
    "D": 100,
    "n_list": 1024,
    "M": 100,
    "K": 1024,
    "n_iter": 25,
    "seed": 0,
    "capacity": 4096,
    "query_offset": 100,
    "query_count": 20,
    "scale": 65536,
    "rebalance": "author algorithm with identical row-chunk distances"
  },
  "rebuild_caveat": "Same parameters as query table, freshly rebuilt with 1 thread. Historical graphs trained with more threads may differ in edges/tie assignments. Query results are not overwritten."
}</t>
      </text>
    </comment>
    <comment ref="E13" authorId="4" shapeId="0">
      <text>
        <t>四数据集默认 k=10；20条×3次，单线程实测。精确召回100%，不是95%匹配点。
高维明文 MR-tree 改编；精确 kNN，不含隐私保护；空间批量装载并非作者 R*-tree 源码。
来源：/mnt/d/paper_source/work_9/VeriANN_repro_2026-09-30/VeriANN_repro_2026-09-30/results/work9-chen13-20261021/glove100-1183514-overall/measurement.json
{"N": 1183514, "dataset": "glove100", "kind": "overall", "samples": 60, "point": {"k": 10, "samples": 60, "recall": 1.0, "query_ms": 468.73869463333335, "query_ms_stdev": 51.19104281789076, "search_ms": 269.09793421666666, "search_ms_stdev": 33.756033587405, "encode_ms": 199.64076041666667, "encode_ms_stdev": 29.23873315220724, "verify_ms": 390.3492656166667, "verify_ms_stdev": 45.53343707476649, "vo_bytes": 466932940.75, "examined": 1155242.25, "expanded": 24276.7, "vo_kb": 466932.94075}, "native": {"N": 1183514, "D": 100, "fanout": 16, "leaf_capacity": 64, "nodes": 24849, "build_seconds": 1.067556071, "snapshot_write_seconds": 17.396116707, "index_bytes": 500006896, "oracle_seconds": 1.089475347, "peak_rss_KiB": 1912108, "max_vo_bytes": 478264085, "tamper_tests": 9, "root": "466177f5ae7c9b9272de465c576908b833f1834050bb715714768e81d443642c", "threads": 1}}</t>
      </text>
    </comment>
    <comment ref="F13" authorId="4" shapeId="0">
      <text>
        <t>四数据集默认 k=10；20条×3次，单线程实测。精确召回100%，不是95%匹配点。
高维明文 MR-tree 改编；精确 kNN，不含隐私保护；空间批量装载并非作者 R*-tree 源码。
来源：/mnt/d/paper_source/work_9/VeriANN_repro_2026-09-30/VeriANN_repro_2026-09-30/results/work9-chen13-20261021/glove100-1183514-overall/measurement.json
{"N": 1183514, "dataset": "glove100", "kind": "overall", "samples": 60, "point": {"k": 10, "samples": 60, "recall": 1.0, "query_ms": 468.73869463333335, "query_ms_stdev": 51.19104281789076, "search_ms": 269.09793421666666, "search_ms_stdev": 33.756033587405, "encode_ms": 199.64076041666667, "encode_ms_stdev": 29.23873315220724, "verify_ms": 390.3492656166667, "verify_ms_stdev": 45.53343707476649, "vo_bytes": 466932940.75, "examined": 1155242.25, "expanded": 24276.7, "vo_kb": 466932.94075}, "native": {"N": 1183514, "D": 100, "fanout": 16, "leaf_capacity": 64, "nodes": 24849, "build_seconds": 1.067556071, "snapshot_write_seconds": 17.396116707, "index_bytes": 500006896, "oracle_seconds": 1.089475347, "peak_rss_KiB": 1912108, "max_vo_bytes": 478264085, "tamper_tests": 9, "root": "466177f5ae7c9b9272de465c576908b833f1834050bb715714768e81d443642c", "threads": 1}}</t>
      </text>
    </comment>
    <comment ref="G13" authorId="4" shapeId="0">
      <text>
        <t>四数据集默认 k=10；20条×3次，单线程实测。精确召回100%，不是95%匹配点。
高维明文 MR-tree 改编；精确 kNN，不含隐私保护；空间批量装载并非作者 R*-tree 源码。
来源：/mnt/d/paper_source/work_9/VeriANN_repro_2026-09-30/VeriANN_repro_2026-09-30/results/work9-chen13-20261021/glove100-1183514-overall/measurement.json
{"N": 1183514, "dataset": "glove100", "kind": "overall", "samples": 60, "point": {"k": 10, "samples": 60, "recall": 1.0, "query_ms": 468.73869463333335, "query_ms_stdev": 51.19104281789076, "search_ms": 269.09793421666666, "search_ms_stdev": 33.756033587405, "encode_ms": 199.64076041666667, "encode_ms_stdev": 29.23873315220724, "verify_ms": 390.3492656166667, "verify_ms_stdev": 45.53343707476649, "vo_bytes": 466932940.75, "examined": 1155242.25, "expanded": 24276.7, "vo_kb": 466932.94075}, "native": {"N": 1183514, "D": 100, "fanout": 16, "leaf_capacity": 64, "nodes": 24849, "build_seconds": 1.067556071, "snapshot_write_seconds": 17.396116707, "index_bytes": 500006896, "oracle_seconds": 1.089475347, "peak_rss_KiB": 1912108, "max_vo_bytes": 478264085, "tamper_tests": 9, "root": "466177f5ae7c9b9272de465c576908b833f1834050bb715714768e81d443642c", "threads": 1}}</t>
      </text>
    </comment>
    <comment ref="H13" authorId="4" shapeId="0">
      <text>
        <t>四数据集默认 k=10；20条×3次，单线程实测。精确召回100%，不是95%匹配点。
高维明文 MR-tree 改编；精确 kNN，不含隐私保护；空间批量装载并非作者 R*-tree 源码。
来源：/mnt/d/paper_source/work_9/VeriANN_repro_2026-09-30/VeriANN_repro_2026-09-30/results/work9-chen13-20261021/glove100-1183514-overall/measurement.json
{"N": 1183514, "dataset": "glove100", "kind": "overall", "samples": 60, "point": {"k": 10, "samples": 60, "recall": 1.0, "query_ms": 468.73869463333335, "query_ms_stdev": 51.19104281789076, "search_ms": 269.09793421666666, "search_ms_stdev": 33.756033587405, "encode_ms": 199.64076041666667, "encode_ms_stdev": 29.23873315220724, "verify_ms": 390.3492656166667, "verify_ms_stdev": 45.53343707476649, "vo_bytes": 466932940.75, "examined": 1155242.25, "expanded": 24276.7, "vo_kb": 466932.94075}, "native": {"N": 1183514, "D": 100, "fanout": 16, "leaf_capacity": 64, "nodes": 24849, "build_seconds": 1.067556071, "snapshot_write_seconds": 17.396116707, "index_bytes": 500006896, "oracle_seconds": 1.089475347, "peak_rss_KiB": 1912108, "max_vo_bytes": 478264085, "tamper_tests": 9, "root": "466177f5ae7c9b9272de465c576908b833f1834050bb715714768e81d443642c", "threads": 1}}</t>
      </text>
    </comment>
    <comment ref="I13" authorId="4" shapeId="0">
      <text>
        <t>一次全新单线程构建；无压缩完整服务快照；构建排除最终快照写盘、GT及输入加载。
高维明文 MR-tree 改编；精确 kNN，不含隐私保护；空间批量装载并非作者 R*-tree 源码。
来源：/mnt/d/paper_source/work_9/VeriANN_repro_2026-09-30/VeriANN_repro_2026-09-30/results/work9-chen13-20261021/glove100-1183514-overall/measurement.json
{"N": 1183514, "dataset": "glove100", "kind": "overall", "samples": 60, "point": {"k": 10, "samples": 60, "recall": 1.0, "query_ms": 468.73869463333335, "query_ms_stdev": 51.19104281789076, "search_ms": 269.09793421666666, "search_ms_stdev": 33.756033587405, "encode_ms": 199.64076041666667, "encode_ms_stdev": 29.23873315220724, "verify_ms": 390.3492656166667, "verify_ms_stdev": 45.53343707476649, "vo_bytes": 466932940.75, "examined": 1155242.25, "expanded": 24276.7, "vo_kb": 466932.94075}, "native": {"N": 1183514, "D": 100, "fanout": 16, "leaf_capacity": 64, "nodes": 24849, "build_seconds": 1.067556071, "snapshot_write_seconds": 17.396116707, "index_bytes": 500006896, "oracle_seconds": 1.089475347, "peak_rss_KiB": 1912108, "max_vo_bytes": 478264085, "tamper_tests": 9, "root": "466177f5ae7c9b9272de465c576908b833f1834050bb715714768e81d443642c", "threads": 1}}</t>
      </text>
    </comment>
    <comment ref="J13" authorId="4" shapeId="0">
      <text>
        <t>一次全新单线程构建；无压缩完整服务快照；构建排除最终快照写盘、GT及输入加载。
高维明文 MR-tree 改编；精确 kNN，不含隐私保护；空间批量装载并非作者 R*-tree 源码。
来源：/mnt/d/paper_source/work_9/VeriANN_repro_2026-09-30/VeriANN_repro_2026-09-30/results/work9-chen13-20261021/glove100-1183514-overall/measurement.json
{"N": 1183514, "dataset": "glove100", "kind": "overall", "samples": 60, "point": {"k": 10, "samples": 60, "recall": 1.0, "query_ms": 468.73869463333335, "query_ms_stdev": 51.19104281789076, "search_ms": 269.09793421666666, "search_ms_stdev": 33.756033587405, "encode_ms": 199.64076041666667, "encode_ms_stdev": 29.23873315220724, "verify_ms": 390.3492656166667, "verify_ms_stdev": 45.53343707476649, "vo_bytes": 466932940.75, "examined": 1155242.25, "expanded": 24276.7, "vo_kb": 466932.94075}, "native": {"N": 1183514, "D": 100, "fanout": 16, "leaf_capacity": 64, "nodes": 24849, "build_seconds": 1.067556071, "snapshot_write_seconds": 17.396116707, "index_bytes": 500006896, "oracle_seconds": 1.089475347, "peak_rss_KiB": 1912108, "max_vo_bytes": 478264085, "tamper_tests": 9, "root": "466177f5ae7c9b9272de465c576908b833f1834050bb715714768e81d443642c", "threads": 1}}</t>
      </text>
    </comment>
    <comment ref="Z17" authorId="5" shapeId="0">
      <text>
        <t>新增精确方法100%参考点；其他已有方法及原15–99%列保持原值。</t>
      </text>
    </comment>
    <comment ref="F21" authorId="6" shapeId="0">
      <text>
        <t>仅补充低召回率曲线；默认约95%配置及其数据保持不变。20条查询IDs100..119×3次，单线程，完整VO生成与验证。目标和实际召回不同，填实际值。
{"k": 10, "ef": 100, "probes": 2, "recall": 0.16, "query_ms": 7.3318917, "verify_ms": 20.843654216666668, "vo_kb": 3340.40705, "samples": 60, "status": "passed", "output": "/mnt/d/paper_source/work_9/VeriANN_repro_2026-09-30/VeriANN_repro_2026-09-30/results/work9-low-baselines-20261021/glove100/VLAH/glove100-1183514-low-e100", "csv_sha256": "b811fcca183b70ec987eb7a3c394554c5afa93d87416ca1e47f78a5f3ddb5ff5", "target": 0.15, "selection": {"ef": 100, "probes": 2, "recall": 0.16, "valid": true, "pilot": "/mnt/d/paper_source/work_9/VeriANN_repro_2026-09-30/VeriANN_repro_2026-09-30/results/work9-low-baselines-20261021/search-pilots/glove100/VLAH-pilot-1183514-resource-phase0-ea8772e968"}}</t>
      </text>
    </comment>
    <comment ref="G21" authorId="6" shapeId="0">
      <text>
        <t>仅补充低召回率曲线；默认约95%配置及其数据保持不变。20条查询IDs100..119×3次，单线程，完整VO生成与验证。目标和实际召回不同，填实际值。
{"k": 10, "ef": 100, "probes": 4, "recall": 0.21, "query_ms": 15.247649233333332, "verify_ms": 43.27356721666667, "vo_kb": 6706.90815, "samples": 60, "status": "passed", "output": "/mnt/d/paper_source/work_9/VeriANN_repro_2026-09-30/VeriANN_repro_2026-09-30/results/work9-low-baselines-20261021/glove100/VLAH/glove100-1183514-low-e100", "csv_sha256": "b811fcca183b70ec987eb7a3c394554c5afa93d87416ca1e47f78a5f3ddb5ff5", "target": 0.2, "selection": {"ef": 100, "probes": 4, "recall": 0.21000000000000002, "valid": true, "pilot": "/mnt/d/paper_source/work_9/VeriANN_repro_2026-09-30/VeriANN_repro_2026-09-30/results/work9-low-baselines-20261021/search-pilots/glove100/VLAH-pilot-1183514-resource-phase0-ea8772e968"}}</t>
      </text>
    </comment>
    <comment ref="H21" authorId="6" shapeId="0">
      <text>
        <t>仅补充低召回率曲线；默认约95%配置及其数据保持不变。20条查询IDs100..119×3次，单线程，完整VO生成与验证。目标和实际召回不同，填实际值。
{"k": 10, "ef": 100, "probes": 5, "recall": 0.265, "query_ms": 19.975985016666666, "verify_ms": 56.788586083333335, "vo_kb": 8406.96125, "samples": 60, "status": "passed", "output": "/mnt/d/paper_source/work_9/VeriANN_repro_2026-09-30/VeriANN_repro_2026-09-30/results/work9-low-baselines-20261021/glove100/VLAH/glove100-1183514-low-e100", "csv_sha256": "b811fcca183b70ec987eb7a3c394554c5afa93d87416ca1e47f78a5f3ddb5ff5", "target": 0.25, "selection": {"ef": 100, "probes": 5, "recall": 0.265, "valid": true, "pilot": "/mnt/d/paper_source/work_9/VeriANN_repro_2026-09-30/VeriANN_repro_2026-09-30/results/work9-low-baselines-20261021/search-pilots/glove100/VLAH-pilot-1183514-resource-phase0-ea8772e968"}}</t>
      </text>
    </comment>
    <comment ref="I21" authorId="6" shapeId="0">
      <text>
        <t>仅补充低召回率曲线；默认约95%配置及其数据保持不变。20条查询IDs100..119×3次，单线程，完整VO生成与验证。目标和实际召回不同，填实际值。
{"k": 10, "ef": 100, "probes": 7, "recall": 0.315, "query_ms": 27.80805708333333, "verify_ms": 80.16261456666666, "vo_kb": 11749.45825, "samples": 60, "status": "passed", "output": "/mnt/d/paper_source/work_9/VeriANN_repro_2026-09-30/VeriANN_repro_2026-09-30/results/work9-low-baselines-20261021/glove100/VLAH/glove100-1183514-low-e100", "csv_sha256": "b811fcca183b70ec987eb7a3c394554c5afa93d87416ca1e47f78a5f3ddb5ff5", "target": 0.3, "selection": {"ef": 100, "probes": 7, "recall": 0.315, "valid": true, "pilot": "/mnt/d/paper_source/work_9/VeriANN_repro_2026-09-30/VeriANN_repro_2026-09-30/results/work9-low-baselines-20261021/search-pilots/glove100/VLAH-pilot-1183514-resource-phase0-ea8772e968"}}</t>
      </text>
    </comment>
    <comment ref="J21" authorId="6" shapeId="0">
      <text>
        <t>仅补充低召回率曲线；默认约95%配置及其数据保持不变。20条查询IDs100..119×3次，单线程，完整VO生成与验证。目标和实际召回不同，填实际值。
{"k": 10, "ef": 100, "probes": 11, "recall": 0.365, "query_ms": 46.37682319999999, "verify_ms": 126.2832732, "vo_kb": 18520.25115, "samples": 60, "status": "passed", "output": "/mnt/d/paper_source/work_9/VeriANN_repro_2026-09-30/VeriANN_repro_2026-09-30/results/work9-low-baselines-20261021/glove100/VLAH/glove100-1183514-low-e100", "csv_sha256": "b811fcca183b70ec987eb7a3c394554c5afa93d87416ca1e47f78a5f3ddb5ff5", "target": 0.35, "selection": {"ef": 100, "probes": 11, "recall": 0.365, "valid": true, "pilot": "/mnt/d/paper_source/work_9/VeriANN_repro_2026-09-30/VeriANN_repro_2026-09-30/results/work9-low-baselines-20261021/search-pilots/glove100/VLAH-pilot-1183514-resource-phase0-ea8772e968"}}</t>
      </text>
    </comment>
    <comment ref="K21" authorId="6" shapeId="0">
      <text>
        <t>仅补充低召回率曲线；默认约95%配置及其数据保持不变。20条查询IDs100..119×3次，单线程，完整VO生成与验证。目标和实际召回不同，填实际值。
{"k": 10, "ef": 100, "probes": 14, "recall": 0.41000000000000003, "query_ms": 60.56633123333333, "verify_ms": 162.54243325000002, "vo_kb": 23529.4354, "samples": 60, "status": "passed", "output": "/mnt/d/paper_source/work_9/VeriANN_repro_2026-09-30/VeriANN_repro_2026-09-30/results/work9-low-baselines-20261021/glove100/VLAH/glove100-1183514-low-e100", "csv_sha256": "b811fcca183b70ec987eb7a3c394554c5afa93d87416ca1e47f78a5f3ddb5ff5", "target": 0.4, "selection": {"ef": 100, "probes": 14, "recall": 0.41, "valid": true, "pilot": "/mnt/d/paper_source/work_9/VeriANN_repro_2026-09-30/VeriANN_repro_2026-09-30/results/work9-low-baselines-20261021/search-pilots/glove100/VLAH-pilot-1183514-resource-phase0-ea8772e968"}}</t>
      </text>
    </comment>
    <comment ref="L21" authorId="6" shapeId="0">
      <text>
        <t>仅补充低召回率曲线；默认约95%配置及其数据保持不变。20条查询IDs100..119×3次，单线程，完整VO生成与验证。目标和实际召回不同，填实际值。
{"k": 10, "ef": 100, "probes": 17, "recall": 0.45, "query_ms": 73.60962283333333, "verify_ms": 196.11805404999998, "vo_kb": 28612.079149999998, "samples": 60, "status": "passed", "output": "/mnt/d/paper_source/work_9/VeriANN_repro_2026-09-30/VeriANN_repro_2026-09-30/results/work9-low-baselines-20261021/glove100/VLAH/glove100-1183514-low-e100", "csv_sha256": "b811fcca183b70ec987eb7a3c394554c5afa93d87416ca1e47f78a5f3ddb5ff5", "target": 0.45, "selection": {"ef": 100, "probes": 17, "recall": 0.45, "valid": true, "pilot": "/mnt/d/paper_source/work_9/VeriANN_repro_2026-09-30/VeriANN_repro_2026-09-30/results/work9-low-baselines-20261021/search-pilots/glove100/VLAH-pilot-1183514-resource-phase0-ea8772e968"}}</t>
      </text>
    </comment>
    <comment ref="M21" authorId="6" shapeId="0">
      <text>
        <t>仅补充低召回率曲线；默认约95%配置及其数据保持不变。20条查询IDs100..119×3次，单线程，完整VO生成与验证。目标和实际召回不同，填实际值。
{"k": 10, "ef": 100, "probes": 21, "recall": 0.525, "query_ms": 94.38046846666666, "verify_ms": 241.9402729, "vo_kb": 35285.3301, "samples": 60, "status": "passed", "output": "/mnt/d/paper_source/work_9/VeriANN_repro_2026-09-30/VeriANN_repro_2026-09-30/results/work9-low-baselines-20261021/glove100/VLAH/glove100-1183514-low-e100", "csv_sha256": "b811fcca183b70ec987eb7a3c394554c5afa93d87416ca1e47f78a5f3ddb5ff5", "target": 0.5, "selection": {"ef": 100, "probes": 21, "recall": 0.525, "valid": true, "pilot": "/mnt/d/paper_source/work_9/VeriANN_repro_2026-09-30/VeriANN_repro_2026-09-30/results/work9-low-baselines-20261021/search-pilots/glove100/VLAH-pilot-1183514-resource-phase0-ea8772e968"}}</t>
      </text>
    </comment>
    <comment ref="N21" authorId="6" shapeId="0">
      <text>
        <t>仅补充低召回率曲线；默认约95%配置及其数据保持不变。20条查询IDs100..119×3次，单线程，完整VO生成与验证。目标和实际召回不同，填实际值。
{"k": 10, "ef": 100, "probes": 23, "recall": 0.5549999999999999, "query_ms": 107.98516335000001, "verify_ms": 267.0983323333333, "vo_kb": 38604.66135, "samples": 60, "status": "passed", "output": "/mnt/d/paper_source/work_9/VeriANN_repro_2026-09-30/VeriANN_repro_2026-09-30/results/work9-low-baselines-20261021/glove100/VLAH/glove100-1183514-low-e100", "csv_sha256": "b811fcca183b70ec987eb7a3c394554c5afa93d87416ca1e47f78a5f3ddb5ff5", "target": 0.55, "selection": {"ef": 100, "probes": 23, "recall": 0.5549999999999999, "valid": true, "pilot": "/mnt/d/paper_source/work_9/VeriANN_repro_2026-09-30/VeriANN_repro_2026-09-30/results/work9-low-baselines-20261021/search-pilots/glove100/VLAH-pilot-1183514-resource-phase0-ea8772e968"}}</t>
      </text>
    </comment>
    <comment ref="O21" authorId="0" shapeId="0">
      <text>
        <t>GloVe-100; VLAH; N=1183514; M=16; efConstruction=200; k=10; efSearch/E=200; probes=26; LSH width=0.33011345496943795
Actual recall=60.0000%;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P21" authorId="0" shapeId="0">
      <text>
        <t>GloVe-100; VLAH; N=1183514; M=16; efConstruction=200; k=10; efSearch/E=200; probes=29; LSH width=0.33011345496943795
Actual recall=66.0000%;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Q21" authorId="0" shapeId="0">
      <text>
        <t>GloVe-100; VLAH; N=1183514; M=16; efConstruction=200; k=10; efSearch/E=200; probes=34; LSH width=0.33011345496943795
Actual recall=70.0000%;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R21" authorId="0" shapeId="0">
      <text>
        <t>GloVe-100; VLAH; N=1183514; M=16; efConstruction=200; k=10; efSearch/E=200; probes=37; LSH width=0.33011345496943795
Actual recall=75.5000%;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S21" authorId="0" shapeId="0">
      <text>
        <t>GloVe-100; VLAH; N=1183514; M=16; efConstruction=200; k=10; efSearch/E=200; probes=40; LSH width=0.33011345496943795
Actual recall=80.0000%;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T21" authorId="0" shapeId="0">
      <text>
        <t>GloVe-100; VLAH; N=1183514; M=16; efConstruction=200; k=10; efSearch/E=200; probes=48; LSH width=0.33011345496943795
Actual recall=85.0000%;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U21" authorId="0" shapeId="0">
      <text>
        <t>GloVe-100; VLAH; N=1183514; M=16; efConstruction=200; k=10; efSearch/E=200; probes=52; LSH width=0.33011345496943795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V21" authorId="0" shapeId="0">
      <text>
        <t>GloVe-100; VLAH; N=1183514; M=16; efConstruction=200; k=10;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W21" authorId="0" shapeId="0">
      <text>
        <t>GloVe-100; VLAH; N=1183514; M=16; efConstruction=200; k=10; efSearch/E=200; probes=58; LSH width=0.33011345496943795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X21" authorId="0" shapeId="0">
      <text>
        <t>GloVe-100; VLAH; N=1183514; M=16; efConstruction=200; k=10; efSearch/E=200; probes=60; LSH width=0.33011345496943795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Y21" authorId="0" shapeId="0">
      <text>
        <t>GloVe-100; VLAH; N=1183514; M=16; efConstruction=200; k=10; efSearch/E=200; probes=60; LSH width=0.33011345496943795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F22" authorId="6" shapeId="0">
      <text>
        <t>仅补充低召回率曲线；默认约95%配置及其数据保持不变。20条查询IDs100..119×3次，单线程，完整VO生成与验证。目标和实际召回不同，填实际值。
{"k": 10, "ef": 100, "probes": 2, "recall": 0.16, "query_ms": 7.3318917, "verify_ms": 20.843654216666668, "vo_kb": 3340.40705, "samples": 60, "status": "passed", "output": "/mnt/d/paper_source/work_9/VeriANN_repro_2026-09-30/VeriANN_repro_2026-09-30/results/work9-low-baselines-20261021/glove100/VLAH/glove100-1183514-low-e100", "csv_sha256": "b811fcca183b70ec987eb7a3c394554c5afa93d87416ca1e47f78a5f3ddb5ff5", "target": 0.15, "selection": {"ef": 100, "probes": 2, "recall": 0.16, "valid": true, "pilot": "/mnt/d/paper_source/work_9/VeriANN_repro_2026-09-30/VeriANN_repro_2026-09-30/results/work9-low-baselines-20261021/search-pilots/glove100/VLAH-pilot-1183514-resource-phase0-ea8772e968"}}</t>
      </text>
    </comment>
    <comment ref="G22" authorId="6" shapeId="0">
      <text>
        <t>仅补充低召回率曲线；默认约95%配置及其数据保持不变。20条查询IDs100..119×3次，单线程，完整VO生成与验证。目标和实际召回不同，填实际值。
{"k": 10, "ef": 100, "probes": 4, "recall": 0.21, "query_ms": 15.247649233333332, "verify_ms": 43.27356721666667, "vo_kb": 6706.90815, "samples": 60, "status": "passed", "output": "/mnt/d/paper_source/work_9/VeriANN_repro_2026-09-30/VeriANN_repro_2026-09-30/results/work9-low-baselines-20261021/glove100/VLAH/glove100-1183514-low-e100", "csv_sha256": "b811fcca183b70ec987eb7a3c394554c5afa93d87416ca1e47f78a5f3ddb5ff5", "target": 0.2, "selection": {"ef": 100, "probes": 4, "recall": 0.21000000000000002, "valid": true, "pilot": "/mnt/d/paper_source/work_9/VeriANN_repro_2026-09-30/VeriANN_repro_2026-09-30/results/work9-low-baselines-20261021/search-pilots/glove100/VLAH-pilot-1183514-resource-phase0-ea8772e968"}}</t>
      </text>
    </comment>
    <comment ref="H22" authorId="6" shapeId="0">
      <text>
        <t>仅补充低召回率曲线；默认约95%配置及其数据保持不变。20条查询IDs100..119×3次，单线程，完整VO生成与验证。目标和实际召回不同，填实际值。
{"k": 10, "ef": 100, "probes": 5, "recall": 0.265, "query_ms": 19.975985016666666, "verify_ms": 56.788586083333335, "vo_kb": 8406.96125, "samples": 60, "status": "passed", "output": "/mnt/d/paper_source/work_9/VeriANN_repro_2026-09-30/VeriANN_repro_2026-09-30/results/work9-low-baselines-20261021/glove100/VLAH/glove100-1183514-low-e100", "csv_sha256": "b811fcca183b70ec987eb7a3c394554c5afa93d87416ca1e47f78a5f3ddb5ff5", "target": 0.25, "selection": {"ef": 100, "probes": 5, "recall": 0.265, "valid": true, "pilot": "/mnt/d/paper_source/work_9/VeriANN_repro_2026-09-30/VeriANN_repro_2026-09-30/results/work9-low-baselines-20261021/search-pilots/glove100/VLAH-pilot-1183514-resource-phase0-ea8772e968"}}</t>
      </text>
    </comment>
    <comment ref="I22" authorId="6" shapeId="0">
      <text>
        <t>仅补充低召回率曲线；默认约95%配置及其数据保持不变。20条查询IDs100..119×3次，单线程，完整VO生成与验证。目标和实际召回不同，填实际值。
{"k": 10, "ef": 100, "probes": 7, "recall": 0.315, "query_ms": 27.80805708333333, "verify_ms": 80.16261456666666, "vo_kb": 11749.45825, "samples": 60, "status": "passed", "output": "/mnt/d/paper_source/work_9/VeriANN_repro_2026-09-30/VeriANN_repro_2026-09-30/results/work9-low-baselines-20261021/glove100/VLAH/glove100-1183514-low-e100", "csv_sha256": "b811fcca183b70ec987eb7a3c394554c5afa93d87416ca1e47f78a5f3ddb5ff5", "target": 0.3, "selection": {"ef": 100, "probes": 7, "recall": 0.315, "valid": true, "pilot": "/mnt/d/paper_source/work_9/VeriANN_repro_2026-09-30/VeriANN_repro_2026-09-30/results/work9-low-baselines-20261021/search-pilots/glove100/VLAH-pilot-1183514-resource-phase0-ea8772e968"}}</t>
      </text>
    </comment>
    <comment ref="J22" authorId="6" shapeId="0">
      <text>
        <t>仅补充低召回率曲线；默认约95%配置及其数据保持不变。20条查询IDs100..119×3次，单线程，完整VO生成与验证。目标和实际召回不同，填实际值。
{"k": 10, "ef": 100, "probes": 11, "recall": 0.365, "query_ms": 46.37682319999999, "verify_ms": 126.2832732, "vo_kb": 18520.25115, "samples": 60, "status": "passed", "output": "/mnt/d/paper_source/work_9/VeriANN_repro_2026-09-30/VeriANN_repro_2026-09-30/results/work9-low-baselines-20261021/glove100/VLAH/glove100-1183514-low-e100", "csv_sha256": "b811fcca183b70ec987eb7a3c394554c5afa93d87416ca1e47f78a5f3ddb5ff5", "target": 0.35, "selection": {"ef": 100, "probes": 11, "recall": 0.365, "valid": true, "pilot": "/mnt/d/paper_source/work_9/VeriANN_repro_2026-09-30/VeriANN_repro_2026-09-30/results/work9-low-baselines-20261021/search-pilots/glove100/VLAH-pilot-1183514-resource-phase0-ea8772e968"}}</t>
      </text>
    </comment>
    <comment ref="K22" authorId="6" shapeId="0">
      <text>
        <t>仅补充低召回率曲线；默认约95%配置及其数据保持不变。20条查询IDs100..119×3次，单线程，完整VO生成与验证。目标和实际召回不同，填实际值。
{"k": 10, "ef": 100, "probes": 14, "recall": 0.41000000000000003, "query_ms": 60.56633123333333, "verify_ms": 162.54243325000002, "vo_kb": 23529.4354, "samples": 60, "status": "passed", "output": "/mnt/d/paper_source/work_9/VeriANN_repro_2026-09-30/VeriANN_repro_2026-09-30/results/work9-low-baselines-20261021/glove100/VLAH/glove100-1183514-low-e100", "csv_sha256": "b811fcca183b70ec987eb7a3c394554c5afa93d87416ca1e47f78a5f3ddb5ff5", "target": 0.4, "selection": {"ef": 100, "probes": 14, "recall": 0.41, "valid": true, "pilot": "/mnt/d/paper_source/work_9/VeriANN_repro_2026-09-30/VeriANN_repro_2026-09-30/results/work9-low-baselines-20261021/search-pilots/glove100/VLAH-pilot-1183514-resource-phase0-ea8772e968"}}</t>
      </text>
    </comment>
    <comment ref="L22" authorId="6" shapeId="0">
      <text>
        <t>仅补充低召回率曲线；默认约95%配置及其数据保持不变。20条查询IDs100..119×3次，单线程，完整VO生成与验证。目标和实际召回不同，填实际值。
{"k": 10, "ef": 100, "probes": 17, "recall": 0.45, "query_ms": 73.60962283333333, "verify_ms": 196.11805404999998, "vo_kb": 28612.079149999998, "samples": 60, "status": "passed", "output": "/mnt/d/paper_source/work_9/VeriANN_repro_2026-09-30/VeriANN_repro_2026-09-30/results/work9-low-baselines-20261021/glove100/VLAH/glove100-1183514-low-e100", "csv_sha256": "b811fcca183b70ec987eb7a3c394554c5afa93d87416ca1e47f78a5f3ddb5ff5", "target": 0.45, "selection": {"ef": 100, "probes": 17, "recall": 0.45, "valid": true, "pilot": "/mnt/d/paper_source/work_9/VeriANN_repro_2026-09-30/VeriANN_repro_2026-09-30/results/work9-low-baselines-20261021/search-pilots/glove100/VLAH-pilot-1183514-resource-phase0-ea8772e968"}}</t>
      </text>
    </comment>
    <comment ref="M22" authorId="6" shapeId="0">
      <text>
        <t>仅补充低召回率曲线；默认约95%配置及其数据保持不变。20条查询IDs100..119×3次，单线程，完整VO生成与验证。目标和实际召回不同，填实际值。
{"k": 10, "ef": 100, "probes": 21, "recall": 0.525, "query_ms": 94.38046846666666, "verify_ms": 241.9402729, "vo_kb": 35285.3301, "samples": 60, "status": "passed", "output": "/mnt/d/paper_source/work_9/VeriANN_repro_2026-09-30/VeriANN_repro_2026-09-30/results/work9-low-baselines-20261021/glove100/VLAH/glove100-1183514-low-e100", "csv_sha256": "b811fcca183b70ec987eb7a3c394554c5afa93d87416ca1e47f78a5f3ddb5ff5", "target": 0.5, "selection": {"ef": 100, "probes": 21, "recall": 0.525, "valid": true, "pilot": "/mnt/d/paper_source/work_9/VeriANN_repro_2026-09-30/VeriANN_repro_2026-09-30/results/work9-low-baselines-20261021/search-pilots/glove100/VLAH-pilot-1183514-resource-phase0-ea8772e968"}}</t>
      </text>
    </comment>
    <comment ref="N22" authorId="6" shapeId="0">
      <text>
        <t>仅补充低召回率曲线；默认约95%配置及其数据保持不变。20条查询IDs100..119×3次，单线程，完整VO生成与验证。目标和实际召回不同，填实际值。
{"k": 10, "ef": 100, "probes": 23, "recall": 0.5549999999999999, "query_ms": 107.98516335000001, "verify_ms": 267.0983323333333, "vo_kb": 38604.66135, "samples": 60, "status": "passed", "output": "/mnt/d/paper_source/work_9/VeriANN_repro_2026-09-30/VeriANN_repro_2026-09-30/results/work9-low-baselines-20261021/glove100/VLAH/glove100-1183514-low-e100", "csv_sha256": "b811fcca183b70ec987eb7a3c394554c5afa93d87416ca1e47f78a5f3ddb5ff5", "target": 0.55, "selection": {"ef": 100, "probes": 23, "recall": 0.5549999999999999, "valid": true, "pilot": "/mnt/d/paper_source/work_9/VeriANN_repro_2026-09-30/VeriANN_repro_2026-09-30/results/work9-low-baselines-20261021/search-pilots/glove100/VLAH-pilot-1183514-resource-phase0-ea8772e968"}}</t>
      </text>
    </comment>
    <comment ref="O22" authorId="0" shapeId="0">
      <text>
        <t>GloVe-100; VLAH; N=1183514; M=16; efConstruction=200; k=10; efSearch/E=200; probes=26; LSH width=0.33011345496943795
Actual recall=60.0000%;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P22" authorId="0" shapeId="0">
      <text>
        <t>GloVe-100; VLAH; N=1183514; M=16; efConstruction=200; k=10; efSearch/E=200; probes=29; LSH width=0.33011345496943795
Actual recall=66.0000%;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Q22" authorId="0" shapeId="0">
      <text>
        <t>GloVe-100; VLAH; N=1183514; M=16; efConstruction=200; k=10; efSearch/E=200; probes=34; LSH width=0.33011345496943795
Actual recall=70.0000%;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R22" authorId="0" shapeId="0">
      <text>
        <t>GloVe-100; VLAH; N=1183514; M=16; efConstruction=200; k=10; efSearch/E=200; probes=37; LSH width=0.33011345496943795
Actual recall=75.5000%;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S22" authorId="0" shapeId="0">
      <text>
        <t>GloVe-100; VLAH; N=1183514; M=16; efConstruction=200; k=10; efSearch/E=200; probes=40; LSH width=0.33011345496943795
Actual recall=80.0000%;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T22" authorId="0" shapeId="0">
      <text>
        <t>GloVe-100; VLAH; N=1183514; M=16; efConstruction=200; k=10; efSearch/E=200; probes=48; LSH width=0.33011345496943795
Actual recall=85.0000%;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U22" authorId="0" shapeId="0">
      <text>
        <t>GloVe-100; VLAH; N=1183514; M=16; efConstruction=200; k=10; efSearch/E=200; probes=52; LSH width=0.33011345496943795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V22" authorId="0" shapeId="0">
      <text>
        <t>GloVe-100; VLAH; N=1183514; M=16; efConstruction=200; k=10;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W22" authorId="0" shapeId="0">
      <text>
        <t>GloVe-100; VLAH; N=1183514; M=16; efConstruction=200; k=10; efSearch/E=200; probes=58; LSH width=0.33011345496943795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X22" authorId="0" shapeId="0">
      <text>
        <t>GloVe-100; VLAH; N=1183514; M=16; efConstruction=200; k=10; efSearch/E=200; probes=60; LSH width=0.33011345496943795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Y22" authorId="0" shapeId="0">
      <text>
        <t>GloVe-100; VLAH; N=1183514; M=16; efConstruction=200; k=10; efSearch/E=200; probes=60; LSH width=0.33011345496943795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D23" authorId="2" shapeId="0">
      <text>
        <t xml:space="preserve">* 表示性能指标为用户指定系数调整值，不是原始实测值。配置及实际召回见原始补测附表。
原有批注（历史来源）：
</t>
      </text>
    </comment>
    <comment ref="F23" authorId="6" shapeId="0">
      <text>
        <t>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0.15, "selection": {"ef": 10, "probes": 1, "recall": 0.36, "valid": true, "pilot": "/mnt/d/paper_source/work_9/VeriANN_repro_2026-09-30/VeriANN_repro_2026-09-30/results/work9-low-baselines-20261021/search-pilots/glove100/ANNProof-pilot-1183514-resource-phase0-a7e2488e41"}}</t>
      </text>
    </comment>
    <comment ref="G23" authorId="6" shapeId="0">
      <text>
        <t>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0.2, "selection": {"ef": 10, "probes": 1, "recall": 0.36, "valid": true, "pilot": "/mnt/d/paper_source/work_9/VeriANN_repro_2026-09-30/VeriANN_repro_2026-09-30/results/work9-low-baselines-20261021/search-pilots/glove100/ANNProof-pilot-1183514-resource-phase0-a7e2488e41"}}</t>
      </text>
    </comment>
    <comment ref="H23" authorId="6" shapeId="0">
      <text>
        <t>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0.25, "selection": {"ef": 10, "probes": 1, "recall": 0.36, "valid": true, "pilot": "/mnt/d/paper_source/work_9/VeriANN_repro_2026-09-30/VeriANN_repro_2026-09-30/results/work9-low-baselines-20261021/search-pilots/glove100/ANNProof-pilot-1183514-resource-phase0-a7e2488e41"}}</t>
      </text>
    </comment>
    <comment ref="I23" authorId="6" shapeId="0">
      <text>
        <t>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0.3, "selection": {"ef": 10, "probes": 1, "recall": 0.36, "valid": true, "pilot": "/mnt/d/paper_source/work_9/VeriANN_repro_2026-09-30/VeriANN_repro_2026-09-30/results/work9-low-baselines-20261021/search-pilots/glove100/ANNProof-pilot-1183514-resource-phase0-a7e2488e41"}}</t>
      </text>
    </comment>
    <comment ref="J23" authorId="6" shapeId="0">
      <text>
        <t>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0.35, "selection": {"ef": 10, "probes": 1, "recall": 0.36, "valid": true, "pilot": "/mnt/d/paper_source/work_9/VeriANN_repro_2026-09-30/VeriANN_repro_2026-09-30/results/work9-low-baselines-20261021/search-pilots/glove100/ANNProof-pilot-1183514-resource-phase0-a7e2488e41"}}</t>
      </text>
    </comment>
    <comment ref="K23" authorId="2" shapeId="0">
      <text>
        <t>本次真实补测：20条查询IDs100..119×3次，单线程；实际召回率不乘系数。
{"k": 10, "ef": 14, "probes": 1, "recall": 0.4, "query_ms": 1.8456097333333334, "verify_ms": 9.01886395, "vo_kb": 693.6684, "samples": 60, "status": "passed", "output": "/mnt/d/paper_source/work_9/VeriANN_repro_2026-09-30/VeriANN_repro_2026-09-30/results/work9-annproof-low-adjusted-20261021/measurements/glove100-M16-efc200", "csv_sha256": "0cab08c521bfec0c11d139ba60ae053e763ec24f73d160066ca2f6547738db32", "M": 16, "efc": 200, "target": 0.4, "pilot": {"M": 16, "efc": 200, "ef": 14, "recall": 0.4,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14, "probes": 1, "recall": 0.4, "query_ms": 1.87985775, "verify_ms": 9.1337694, "vo_kb": 693.6684, "samples": 60, "status": "passed", "output": "/mnt/d/paper_source/work_9/VeriANN_repro_2026-09-30/VeriANN_repro_2026-09-30/results/work9-low-baselines-20261021/glove100/ANNProof/glove100-1183514-low-all", "csv_sha256": "e4a92b533b99e11d8dc792b4a97af8bb20b1496953c56b3515c76a4ab2167db1", "target": 0.4, "selection": {"ef": 14, "probes": 1, "recall": 0.4, "valid": true, "pilot": "/mnt/d/paper_source/work_9/VeriANN_repro_2026-09-30/VeriANN_repro_2026-09-30/results/work9-low-baselines-20261021/search-pilots/glove100/ANNProof-pilot-1183514-resource-phase0-a7e2488e41"}}</t>
      </text>
    </comment>
    <comment ref="L23" authorId="2" shapeId="0">
      <text>
        <t>本次真实补测：20条查询IDs100..119×3次，单线程；实际召回率不乘系数。
{"k": 10, "ef": 19, "probes": 1, "recall": 0.455, "query_ms": 2.1463292166666665, "verify_ms": 10.753225516666667, "vo_kb": 830.1814, "samples": 60, "status": "passed", "output": "/mnt/d/paper_source/work_9/VeriANN_repro_2026-09-30/VeriANN_repro_2026-09-30/results/work9-annproof-low-adjusted-20261021/measurements/glove100-M16-efc200", "csv_sha256": "0cab08c521bfec0c11d139ba60ae053e763ec24f73d160066ca2f6547738db32", "M": 16, "efc": 200, "target": 0.45, "pilot": {"M": 16, "efc": 200, "ef": 19, "recall": 0.45499999999999996,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19, "probes": 1, "recall": 0.455, "query_ms": 2.1073542833333336, "verify_ms": 10.878128933333333, "vo_kb": 830.1814, "samples": 60, "status": "passed", "output": "/mnt/d/paper_source/work_9/VeriANN_repro_2026-09-30/VeriANN_repro_2026-09-30/results/work9-low-baselines-20261021/glove100/ANNProof/glove100-1183514-low-all", "csv_sha256": "e4a92b533b99e11d8dc792b4a97af8bb20b1496953c56b3515c76a4ab2167db1", "target": 0.45, "selection": {"ef": 19, "probes": 1, "recall": 0.45499999999999996, "valid": true, "pilot": "/mnt/d/paper_source/work_9/VeriANN_repro_2026-09-30/VeriANN_repro_2026-09-30/results/work9-low-baselines-20261021/search-pilots/glove100/ANNProof-pilot-1183514-resource-phase0-a7e2488e41"}}</t>
      </text>
    </comment>
    <comment ref="M23" authorId="2" shapeId="0">
      <text>
        <t>本次真实补测：20条查询IDs100..119×3次，单线程；实际召回率不乘系数。
{"k": 10, "ef": 29, "probes": 1, "recall": 0.505, "query_ms": 2.9589326, "verify_ms": 13.854632, "vo_kb": 1026.1096, "samples": 60, "status": "passed", "output": "/mnt/d/paper_source/work_9/VeriANN_repro_2026-09-30/VeriANN_repro_2026-09-30/results/work9-annproof-low-adjusted-20261021/measurements/glove100-M16-efc200", "csv_sha256": "0cab08c521bfec0c11d139ba60ae053e763ec24f73d160066ca2f6547738db32", "M": 16, "efc": 200, "target": 0.5, "pilot": {"M": 16, "efc": 200, "ef": 29, "recall": 0.505,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29, "probes": 1, "recall": 0.505, "query_ms": 2.662615833333333, "verify_ms": 13.302716199999999, "vo_kb": 1026.1096, "samples": 60, "status": "passed", "output": "/mnt/d/paper_source/work_9/VeriANN_repro_2026-09-30/VeriANN_repro_2026-09-30/results/work9-low-baselines-20261021/glove100/ANNProof/glove100-1183514-low-all", "csv_sha256": "e4a92b533b99e11d8dc792b4a97af8bb20b1496953c56b3515c76a4ab2167db1", "target": 0.5, "selection": {"ef": 29, "probes": 1, "recall": 0.505, "valid": true, "pilot": "/mnt/d/paper_source/work_9/VeriANN_repro_2026-09-30/VeriANN_repro_2026-09-30/results/work9-low-baselines-20261021/search-pilots/glove100/ANNProof-pilot-1183514-resource-phase0-a7e2488e41"}}</t>
      </text>
    </comment>
    <comment ref="N23" authorId="2" shapeId="0">
      <text>
        <t>本次真实补测：20条查询IDs100..119×3次，单线程；实际召回率不乘系数。
{"k": 10, "ef": 38, "probes": 1, "recall": 0.565, "query_ms": 3.5463415666666664, "verify_ms": 16.505657483333334, "vo_kb": 1245.8634, "samples": 60, "status": "passed", "output": "/mnt/d/paper_source/work_9/VeriANN_repro_2026-09-30/VeriANN_repro_2026-09-30/results/work9-annproof-low-adjusted-20261021/measurements/glove100-M16-efc200", "csv_sha256": "0cab08c521bfec0c11d139ba60ae053e763ec24f73d160066ca2f6547738db32", "M": 16, "efc": 200, "target": 0.55, "pilot": {"M": 16, "efc": 200, "ef": 38, "recall": 0.5650000000000001,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38, "probes": 1, "recall": 0.565, "query_ms": 3.3035124500000004, "verify_ms": 16.078620033333333, "vo_kb": 1245.8634, "samples": 60, "status": "passed", "output": "/mnt/d/paper_source/work_9/VeriANN_repro_2026-09-30/VeriANN_repro_2026-09-30/results/work9-low-baselines-20261021/glove100/ANNProof/glove100-1183514-low-all", "csv_sha256": "e4a92b533b99e11d8dc792b4a97af8bb20b1496953c56b3515c76a4ab2167db1", "target": 0.55, "selection": {"ef": 38, "probes": 1, "recall": 0.5650000000000001, "valid": true, "pilot": "/mnt/d/paper_source/work_9/VeriANN_repro_2026-09-30/VeriANN_repro_2026-09-30/results/work9-low-baselines-20261021/search-pilots/glove100/ANNProof-pilot-1183514-resource-phase0-a7e2488e41"}}</t>
      </text>
    </comment>
    <comment ref="O23" authorId="2" shapeId="0">
      <text>
        <t>本次真实补测：20条查询IDs100..119×3次，单线程；实际召回率不乘系数。
{"k": 10, "ef": 49, "probes": 1, "recall": 0.6, "query_ms": 4.002683916666667, "verify_ms": 18.9798409, "vo_kb": 1440.1246, "samples": 60, "status": "passed", "output": "/mnt/d/paper_source/work_9/VeriANN_repro_2026-09-30/VeriANN_repro_2026-09-30/results/work9-annproof-low-adjusted-20261021/measurements/glove100-M16-efc200", "csv_sha256": "0cab08c521bfec0c11d139ba60ae053e763ec24f73d160066ca2f6547738db32", "M": 16, "efc": 200, "target": 0.6, "pilot": {"M": 16, "efc": 200, "ef": 49, "recall": 0.6, "valid": true, "pilot": "/mnt/d/paper_source/work_9/VeriANN_repro_2026-09-30/VeriANN_repro_2026-09-30/results/work9-annproof-low-adjusted-20261021/pilots/glove100-M16-efc200"}}
原有批注（历史来源）：
GloVe-100; ANNProof; N=1183514; M=16; efConstruction=200; k=10; efSearch/E=64; probes=1; LSH width=not used
Actual recall=66.5000%;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P23" authorId="2" shapeId="0">
      <text>
        <t>本次真实补测：20条查询IDs100..119×3次，单线程；实际召回率不乘系数。
{"k": 10, "ef": 64, "probes": 1, "recall": 0.6649999999999999, "query_ms": 5.100157533333333, "verify_ms": 23.386725333333334, "vo_kb": 1768.2552, "samples": 60, "status": "passed", "output": "/mnt/d/paper_source/work_9/VeriANN_repro_2026-09-30/VeriANN_repro_2026-09-30/results/work9-annproof-low-adjusted-20261021/measurements/glove100-M16-efc200", "csv_sha256": "0cab08c521bfec0c11d139ba60ae053e763ec24f73d160066ca2f6547738db32", "M": 16, "efc": 200, "target": 0.65, "pilot": {"M": 16, "efc": 200, "ef": 64, "recall": 0.665, "valid": true, "pilot": "/mnt/d/paper_source/work_9/VeriANN_repro_2026-09-30/VeriANN_repro_2026-09-30/results/work9-annproof-low-adjusted-20261021/pilots/glove100-M16-efc200"}}
原有批注（历史来源）：
GloVe-100; ANNProof; N=1183514; M=16; efConstruction=200; k=10; efSearch/E=64; probes=1; LSH width=not used
Actual recall=66.5000%;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Q23" authorId="2" shapeId="0">
      <text>
        <t>本次真实补测：20条查询IDs100..119×3次，单线程；实际召回率不乘系数。
{"k": 10, "ef": 109, "probes": 1, "recall": 0.7, "query_ms": 7.6252956, "verify_ms": 33.70188528333333, "vo_kb": 2517.2104, "samples": 60, "status": "passed", "output": "/mnt/d/paper_source/work_9/VeriANN_repro_2026-09-30/VeriANN_repro_2026-09-30/results/work9-annproof-low-adjusted-20261021/measurements/glove100-M16-efc200", "csv_sha256": "0cab08c521bfec0c11d139ba60ae053e763ec24f73d160066ca2f6547738db32", "M": 16, "efc": 200, "target": 0.7, "pilot": {"M": 16, "efc": 200, "ef": 109, "recall": 0.7, "valid": true, "pilot": "/mnt/d/paper_source/work_9/VeriANN_repro_2026-09-30/VeriANN_repro_2026-09-30/results/work9-annproof-low-adjusted-20261021/pilots/glove100-M16-efc200"}}
原有批注（历史来源）：
GloVe-100; ANNProof; N=1183514; M=16; efConstruction=200; k=10; efSearch/E=128; probes=1; LSH width=not used
Actual recall=77.5000%;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R23" authorId="2" shapeId="0">
      <text>
        <t>本次真实补测：20条查询IDs100..119×3次，单线程；实际召回率不乘系数。
{"k": 10, "ef": 111, "probes": 1, "recall": 0.76, "query_ms": 7.825042366666667, "verify_ms": 35.01635556666667, "vo_kb": 2621.0818, "samples": 60, "status": "passed", "output": "/mnt/d/paper_source/work_9/VeriANN_repro_2026-09-30/VeriANN_repro_2026-09-30/results/work9-annproof-low-adjusted-20261021/measurements/glove100-M16-efc200", "csv_sha256": "0cab08c521bfec0c11d139ba60ae053e763ec24f73d160066ca2f6547738db32", "M": 16, "efc": 200, "target": 0.75, "pilot": {"M": 16, "efc": 200, "ef": 111, "recall": 0.76, "valid": true, "pilot": "/mnt/d/paper_source/work_9/VeriANN_repro_2026-09-30/VeriANN_repro_2026-09-30/results/work9-annproof-low-adjusted-20261021/pilots/glove100-M16-efc200"}}
原有批注（历史来源）：
GloVe-100; ANNProof; N=1183514; M=16; efConstruction=200; k=10; efSearch/E=128; probes=1; LSH width=not used
Actual recall=77.5000%;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S23" authorId="2" shapeId="0">
      <text>
        <t>本次真实补测：20条查询IDs100..119×3次，单线程；实际召回率不乘系数。
{"k": 10, "ef": 147, "probes": 1, "recall": 0.8049999999999999, "query_ms": 9.670231033333334, "verify_ms": 42.93240513333333, "vo_kb": 3202.7554, "samples": 60, "status": "passed", "output": "/mnt/d/paper_source/work_9/VeriANN_repro_2026-09-30/VeriANN_repro_2026-09-30/results/work9-annproof-low-adjusted-20261021/measurements/glove100-M16-efc200", "csv_sha256": "0cab08c521bfec0c11d139ba60ae053e763ec24f73d160066ca2f6547738db32", "M": 16, "efc": 200, "target": 0.8, "pilot": {"M": 16, "efc": 200, "ef": 147, "recall": 0.805, "valid": true, "pilot": "/mnt/d/paper_source/work_9/VeriANN_repro_2026-09-30/VeriANN_repro_2026-09-30/results/work9-annproof-low-adjusted-20261021/pilots/glove100-M16-efc200"}}
原有批注（历史来源）：
GloVe-100; ANNProof; N=1183514; M=16; efConstruction=200; k=10; efSearch/E=192; probes=1; LSH width=not used
Actual recall=83.5000%;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T23" authorId="0" shapeId="0">
      <text>
        <t>GloVe-100; ANNProof; N=1183514; M=16; efConstruction=200; k=10; efSearch/E=256; probes=1; LSH width=not used
Actual recall=87.5000%;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U23" authorId="0" shapeId="0">
      <text>
        <t>GloVe-100; ANNProof; N=1183514; M=16; efConstruction=200; k=10; efSearch/E=384; probes=1; LSH width=not used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V23" authorId="0" shapeId="0">
      <text>
        <t>GloVe-100; ANNProof; N=1183514; M=16; efConstruction=200; k=10; efSearch/E=1536; probes=1; LSH width=not used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W23" authorId="0" shapeId="0">
      <text>
        <t>GloVe-100; ANNProof; N=1183514; M=16; efConstruction=200; k=10; efSearch/E=2048;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X23" authorId="0" shapeId="0">
      <text>
        <t>GloVe-100; ANNProof; N=1183514; M=16; efConstruction=200; k=10; efSearch/E=4096;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Y23" authorId="0" shapeId="0">
      <text>
        <t>GloVe-100; ANNProof; N=1183514; M=16; efConstruction=200; k=10; efSearch/E=8192; probes=1; LSH width=not used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F24" authorId="2" shapeId="0">
      <text>
        <t>用户指定系数调整值；不是原始实测数值。指标=vo_kb；原始值=515.54920000000004；系数=2.0；调整值=1031.0984000000001。召回率不调整。原始CSV/附表保留。
原有批注（历史来源）：
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0.15, "selection": {"ef": 10, "probes": 1, "recall": 0.36, "valid": true, "pilot": "/mnt/d/paper_source/work_9/VeriANN_repro_2026-09-30/VeriANN_repro_2026-09-30/results/work9-low-baselines-20261021/search-pilots/glove100/ANNProof-pilot-1183514-resource-phase0-a7e2488e41"}}</t>
      </text>
    </comment>
    <comment ref="G24" authorId="2" shapeId="0">
      <text>
        <t>用户指定系数调整值；不是原始实测数值。指标=vo_kb；原始值=515.54920000000004；系数=2.0；调整值=1031.0984000000001。召回率不调整。原始CSV/附表保留。
原有批注（历史来源）：
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0.2, "selection": {"ef": 10, "probes": 1, "recall": 0.36, "valid": true, "pilot": "/mnt/d/paper_source/work_9/VeriANN_repro_2026-09-30/VeriANN_repro_2026-09-30/results/work9-low-baselines-20261021/search-pilots/glove100/ANNProof-pilot-1183514-resource-phase0-a7e2488e41"}}</t>
      </text>
    </comment>
    <comment ref="H24" authorId="2" shapeId="0">
      <text>
        <t>用户指定系数调整值；不是原始实测数值。指标=vo_kb；原始值=515.54920000000004；系数=2.0；调整值=1031.0984000000001。召回率不调整。原始CSV/附表保留。
原有批注（历史来源）：
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0.25, "selection": {"ef": 10, "probes": 1, "recall": 0.36, "valid": true, "pilot": "/mnt/d/paper_source/work_9/VeriANN_repro_2026-09-30/VeriANN_repro_2026-09-30/results/work9-low-baselines-20261021/search-pilots/glove100/ANNProof-pilot-1183514-resource-phase0-a7e2488e41"}}</t>
      </text>
    </comment>
    <comment ref="I24" authorId="2" shapeId="0">
      <text>
        <t>用户指定系数调整值；不是原始实测数值。指标=vo_kb；原始值=515.54920000000004；系数=2.0；调整值=1031.0984000000001。召回率不调整。原始CSV/附表保留。
原有批注（历史来源）：
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0.3, "selection": {"ef": 10, "probes": 1, "recall": 0.36, "valid": true, "pilot": "/mnt/d/paper_source/work_9/VeriANN_repro_2026-09-30/VeriANN_repro_2026-09-30/results/work9-low-baselines-20261021/search-pilots/glove100/ANNProof-pilot-1183514-resource-phase0-a7e2488e41"}}</t>
      </text>
    </comment>
    <comment ref="J24" authorId="2" shapeId="0">
      <text>
        <t>用户指定系数调整值；不是原始实测数值。指标=vo_kb；原始值=515.54920000000004；系数=2.0；调整值=1031.0984000000001。召回率不调整。原始CSV/附表保留。
原有批注（历史来源）：
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0.35, "selection": {"ef": 10, "probes": 1, "recall": 0.36, "valid": true, "pilot": "/mnt/d/paper_source/work_9/VeriANN_repro_2026-09-30/VeriANN_repro_2026-09-30/results/work9-low-baselines-20261021/search-pilots/glove100/ANNProof-pilot-1183514-resource-phase0-a7e2488e41"}}</t>
      </text>
    </comment>
    <comment ref="K24" authorId="2" shapeId="0">
      <text>
        <t>用户指定系数调整值；不是原始实测数值。指标=vo_kb；原始值=693.66840000000002；系数=2.0；调整值=1387.3368。召回率不调整。原始CSV/附表保留。
原有批注（历史来源）：
本单元格先替换为本次原始测量，随后按统一系数调整。
{"k": 10, "ef": 14, "probes": 1, "recall": 0.4, "query_ms": 1.8456097333333334, "verify_ms": 9.01886395, "vo_kb": 693.6684, "samples": 60, "status": "passed", "output": "/mnt/d/paper_source/work_9/VeriANN_repro_2026-09-30/VeriANN_repro_2026-09-30/results/work9-annproof-low-adjusted-20261021/measurements/glove100-M16-efc200", "csv_sha256": "0cab08c521bfec0c11d139ba60ae053e763ec24f73d160066ca2f6547738db32", "M": 16, "efc": 200, "target": 0.4, "pilot": {"M": 16, "efc": 200, "ef": 14, "recall": 0.4,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14, "probes": 1, "recall": 0.4, "query_ms": 1.87985775, "verify_ms": 9.1337694, "vo_kb": 693.6684, "samples": 60, "status": "passed", "output": "/mnt/d/paper_source/work_9/VeriANN_repro_2026-09-30/VeriANN_repro_2026-09-30/results/work9-low-baselines-20261021/glove100/ANNProof/glove100-1183514-low-all", "csv_sha256": "e4a92b533b99e11d8dc792b4a97af8bb20b1496953c56b3515c76a4ab2167db1", "target": 0.4, "selection": {"ef": 14, "probes": 1, "recall": 0.4, "valid": true, "pilot": "/mnt/d/paper_source/work_9/VeriANN_repro_2026-09-30/VeriANN_repro_2026-09-30/results/work9-low-baselines-20261021/search-pilots/glove100/ANNProof-pilot-1183514-resource-phase0-a7e2488e41"}}</t>
      </text>
    </comment>
    <comment ref="L24" authorId="2" shapeId="0">
      <text>
        <t>用户指定系数调整值；不是原始实测数值。指标=vo_kb；原始值=830.18140000000005；系数=2.0；调整值=1660.3628000000001。召回率不调整。原始CSV/附表保留。
原有批注（历史来源）：
本单元格先替换为本次原始测量，随后按统一系数调整。
{"k": 10, "ef": 19, "probes": 1, "recall": 0.455, "query_ms": 2.1463292166666665, "verify_ms": 10.753225516666667, "vo_kb": 830.1814, "samples": 60, "status": "passed", "output": "/mnt/d/paper_source/work_9/VeriANN_repro_2026-09-30/VeriANN_repro_2026-09-30/results/work9-annproof-low-adjusted-20261021/measurements/glove100-M16-efc200", "csv_sha256": "0cab08c521bfec0c11d139ba60ae053e763ec24f73d160066ca2f6547738db32", "M": 16, "efc": 200, "target": 0.45, "pilot": {"M": 16, "efc": 200, "ef": 19, "recall": 0.45499999999999996,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19, "probes": 1, "recall": 0.455, "query_ms": 2.1073542833333336, "verify_ms": 10.878128933333333, "vo_kb": 830.1814, "samples": 60, "status": "passed", "output": "/mnt/d/paper_source/work_9/VeriANN_repro_2026-09-30/VeriANN_repro_2026-09-30/results/work9-low-baselines-20261021/glove100/ANNProof/glove100-1183514-low-all", "csv_sha256": "e4a92b533b99e11d8dc792b4a97af8bb20b1496953c56b3515c76a4ab2167db1", "target": 0.45, "selection": {"ef": 19, "probes": 1, "recall": 0.45499999999999996, "valid": true, "pilot": "/mnt/d/paper_source/work_9/VeriANN_repro_2026-09-30/VeriANN_repro_2026-09-30/results/work9-low-baselines-20261021/search-pilots/glove100/ANNProof-pilot-1183514-resource-phase0-a7e2488e41"}}</t>
      </text>
    </comment>
    <comment ref="M24" authorId="2" shapeId="0">
      <text>
        <t>用户指定系数调整值；不是原始实测数值。指标=vo_kb；原始值=1026.1096；系数=2.0；调整值=2052.2192。召回率不调整。原始CSV/附表保留。
原有批注（历史来源）：
本单元格先替换为本次原始测量，随后按统一系数调整。
{"k": 10, "ef": 29, "probes": 1, "recall": 0.505, "query_ms": 2.9589326, "verify_ms": 13.854632, "vo_kb": 1026.1096, "samples": 60, "status": "passed", "output": "/mnt/d/paper_source/work_9/VeriANN_repro_2026-09-30/VeriANN_repro_2026-09-30/results/work9-annproof-low-adjusted-20261021/measurements/glove100-M16-efc200", "csv_sha256": "0cab08c521bfec0c11d139ba60ae053e763ec24f73d160066ca2f6547738db32", "M": 16, "efc": 200, "target": 0.5, "pilot": {"M": 16, "efc": 200, "ef": 29, "recall": 0.505,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29, "probes": 1, "recall": 0.505, "query_ms": 2.662615833333333, "verify_ms": 13.302716199999999, "vo_kb": 1026.1096, "samples": 60, "status": "passed", "output": "/mnt/d/paper_source/work_9/VeriANN_repro_2026-09-30/VeriANN_repro_2026-09-30/results/work9-low-baselines-20261021/glove100/ANNProof/glove100-1183514-low-all", "csv_sha256": "e4a92b533b99e11d8dc792b4a97af8bb20b1496953c56b3515c76a4ab2167db1", "target": 0.5, "selection": {"ef": 29, "probes": 1, "recall": 0.505, "valid": true, "pilot": "/mnt/d/paper_source/work_9/VeriANN_repro_2026-09-30/VeriANN_repro_2026-09-30/results/work9-low-baselines-20261021/search-pilots/glove100/ANNProof-pilot-1183514-resource-phase0-a7e2488e41"}}</t>
      </text>
    </comment>
    <comment ref="N24" authorId="2" shapeId="0">
      <text>
        <t>用户指定系数调整值；不是原始实测数值。指标=vo_kb；原始值=1245.8634；系数=2.0；调整值=2491.7267999999999。召回率不调整。原始CSV/附表保留。
原有批注（历史来源）：
本单元格先替换为本次原始测量，随后按统一系数调整。
{"k": 10, "ef": 38, "probes": 1, "recall": 0.565, "query_ms": 3.5463415666666664, "verify_ms": 16.505657483333334, "vo_kb": 1245.8634, "samples": 60, "status": "passed", "output": "/mnt/d/paper_source/work_9/VeriANN_repro_2026-09-30/VeriANN_repro_2026-09-30/results/work9-annproof-low-adjusted-20261021/measurements/glove100-M16-efc200", "csv_sha256": "0cab08c521bfec0c11d139ba60ae053e763ec24f73d160066ca2f6547738db32", "M": 16, "efc": 200, "target": 0.55, "pilot": {"M": 16, "efc": 200, "ef": 38, "recall": 0.5650000000000001,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38, "probes": 1, "recall": 0.565, "query_ms": 3.3035124500000004, "verify_ms": 16.078620033333333, "vo_kb": 1245.8634, "samples": 60, "status": "passed", "output": "/mnt/d/paper_source/work_9/VeriANN_repro_2026-09-30/VeriANN_repro_2026-09-30/results/work9-low-baselines-20261021/glove100/ANNProof/glove100-1183514-low-all", "csv_sha256": "e4a92b533b99e11d8dc792b4a97af8bb20b1496953c56b3515c76a4ab2167db1", "target": 0.55, "selection": {"ef": 38, "probes": 1, "recall": 0.5650000000000001, "valid": true, "pilot": "/mnt/d/paper_source/work_9/VeriANN_repro_2026-09-30/VeriANN_repro_2026-09-30/results/work9-low-baselines-20261021/search-pilots/glove100/ANNProof-pilot-1183514-resource-phase0-a7e2488e41"}}</t>
      </text>
    </comment>
    <comment ref="O24" authorId="2" shapeId="0">
      <text>
        <t>用户指定系数调整值；不是原始实测数值。指标=vo_kb；原始值=1440.1246000000001；系数=2.0；调整值=2880.2492000000002。召回率不调整。原始CSV/附表保留。
原有批注（历史来源）：
本单元格先替换为本次原始测量，随后按统一系数调整。
{"k": 10, "ef": 49, "probes": 1, "recall": 0.6, "query_ms": 4.002683916666667, "verify_ms": 18.9798409, "vo_kb": 1440.1246, "samples": 60, "status": "passed", "output": "/mnt/d/paper_source/work_9/VeriANN_repro_2026-09-30/VeriANN_repro_2026-09-30/results/work9-annproof-low-adjusted-20261021/measurements/glove100-M16-efc200", "csv_sha256": "0cab08c521bfec0c11d139ba60ae053e763ec24f73d160066ca2f6547738db32", "M": 16, "efc": 200, "target": 0.6, "pilot": {"M": 16, "efc": 200, "ef": 49, "recall": 0.6, "valid": true, "pilot": "/mnt/d/paper_source/work_9/VeriANN_repro_2026-09-30/VeriANN_repro_2026-09-30/results/work9-annproof-low-adjusted-20261021/pilots/glove100-M16-efc200"}}
原有批注（历史来源）：
GloVe-100; ANNProof; N=1183514; M=16; efConstruction=200; k=10; efSearch/E=64; probes=1; LSH width=not used
Actual recall=66.5000%;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P24" authorId="2" shapeId="0">
      <text>
        <t>用户指定系数调整值；不是原始实测数值。指标=vo_kb；原始值=1768.2552000000001；系数=2.0；调整值=3536.5104000000001。召回率不调整。原始CSV/附表保留。
原有批注（历史来源）：
本单元格先替换为本次原始测量，随后按统一系数调整。
{"k": 10, "ef": 64, "probes": 1, "recall": 0.6649999999999999, "query_ms": 5.100157533333333, "verify_ms": 23.386725333333334, "vo_kb": 1768.2552, "samples": 60, "status": "passed", "output": "/mnt/d/paper_source/work_9/VeriANN_repro_2026-09-30/VeriANN_repro_2026-09-30/results/work9-annproof-low-adjusted-20261021/measurements/glove100-M16-efc200", "csv_sha256": "0cab08c521bfec0c11d139ba60ae053e763ec24f73d160066ca2f6547738db32", "M": 16, "efc": 200, "target": 0.65, "pilot": {"M": 16, "efc": 200, "ef": 64, "recall": 0.665, "valid": true, "pilot": "/mnt/d/paper_source/work_9/VeriANN_repro_2026-09-30/VeriANN_repro_2026-09-30/results/work9-annproof-low-adjusted-20261021/pilots/glove100-M16-efc200"}}
原有批注（历史来源）：
GloVe-100; ANNProof; N=1183514; M=16; efConstruction=200; k=10; efSearch/E=64; probes=1; LSH width=not used
Actual recall=66.5000%;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Q24" authorId="2" shapeId="0">
      <text>
        <t>用户指定系数调整值；不是原始实测数值。指标=vo_kb；原始值=2517.2103999999999；系数=2.0；调整值=5034.4207999999999。召回率不调整。原始CSV/附表保留。
原有批注（历史来源）：
本单元格先替换为本次原始测量，随后按统一系数调整。
{"k": 10, "ef": 109, "probes": 1, "recall": 0.7, "query_ms": 7.6252956, "verify_ms": 33.70188528333333, "vo_kb": 2517.2104, "samples": 60, "status": "passed", "output": "/mnt/d/paper_source/work_9/VeriANN_repro_2026-09-30/VeriANN_repro_2026-09-30/results/work9-annproof-low-adjusted-20261021/measurements/glove100-M16-efc200", "csv_sha256": "0cab08c521bfec0c11d139ba60ae053e763ec24f73d160066ca2f6547738db32", "M": 16, "efc": 200, "target": 0.7, "pilot": {"M": 16, "efc": 200, "ef": 109, "recall": 0.7, "valid": true, "pilot": "/mnt/d/paper_source/work_9/VeriANN_repro_2026-09-30/VeriANN_repro_2026-09-30/results/work9-annproof-low-adjusted-20261021/pilots/glove100-M16-efc200"}}
原有批注（历史来源）：
GloVe-100; ANNProof; N=1183514; M=16; efConstruction=200; k=10; efSearch/E=128; probes=1; LSH width=not used
Actual recall=77.5000%;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R24" authorId="2" shapeId="0">
      <text>
        <t>用户指定系数调整值；不是原始实测数值。指标=vo_kb；原始值=2621.0817999999999；系数=2.0；调整值=5242.1635999999999。召回率不调整。原始CSV/附表保留。
原有批注（历史来源）：
本单元格先替换为本次原始测量，随后按统一系数调整。
{"k": 10, "ef": 111, "probes": 1, "recall": 0.76, "query_ms": 7.825042366666667, "verify_ms": 35.01635556666667, "vo_kb": 2621.0818, "samples": 60, "status": "passed", "output": "/mnt/d/paper_source/work_9/VeriANN_repro_2026-09-30/VeriANN_repro_2026-09-30/results/work9-annproof-low-adjusted-20261021/measurements/glove100-M16-efc200", "csv_sha256": "0cab08c521bfec0c11d139ba60ae053e763ec24f73d160066ca2f6547738db32", "M": 16, "efc": 200, "target": 0.75, "pilot": {"M": 16, "efc": 200, "ef": 111, "recall": 0.76, "valid": true, "pilot": "/mnt/d/paper_source/work_9/VeriANN_repro_2026-09-30/VeriANN_repro_2026-09-30/results/work9-annproof-low-adjusted-20261021/pilots/glove100-M16-efc200"}}
原有批注（历史来源）：
GloVe-100; ANNProof; N=1183514; M=16; efConstruction=200; k=10; efSearch/E=128; probes=1; LSH width=not used
Actual recall=77.5000%;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S24" authorId="2" shapeId="0">
      <text>
        <t>用户指定系数调整值；不是原始实测数值。指标=vo_kb；原始值=3202.7554；系数=2.0；调整值=6405.5108。召回率不调整。原始CSV/附表保留。
原有批注（历史来源）：
本单元格先替换为本次原始测量，随后按统一系数调整。
{"k": 10, "ef": 147, "probes": 1, "recall": 0.8049999999999999, "query_ms": 9.670231033333334, "verify_ms": 42.93240513333333, "vo_kb": 3202.7554, "samples": 60, "status": "passed", "output": "/mnt/d/paper_source/work_9/VeriANN_repro_2026-09-30/VeriANN_repro_2026-09-30/results/work9-annproof-low-adjusted-20261021/measurements/glove100-M16-efc200", "csv_sha256": "0cab08c521bfec0c11d139ba60ae053e763ec24f73d160066ca2f6547738db32", "M": 16, "efc": 200, "target": 0.8, "pilot": {"M": 16, "efc": 200, "ef": 147, "recall": 0.805, "valid": true, "pilot": "/mnt/d/paper_source/work_9/VeriANN_repro_2026-09-30/VeriANN_repro_2026-09-30/results/work9-annproof-low-adjusted-20261021/pilots/glove100-M16-efc200"}}
原有批注（历史来源）：
GloVe-100; ANNProof; N=1183514; M=16; efConstruction=200; k=10; efSearch/E=192; probes=1; LSH width=not used
Actual recall=83.5000%;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T24" authorId="2" shapeId="0">
      <text>
        <t>用户指定系数调整值；不是原始实测数值。指标=vo_kb；原始值=4944.9727999999996；系数=2.0；调整值=9889.9455999999991。召回率不调整。原始CSV/附表保留。
原有批注（历史来源）：
GloVe-100; ANNProof; N=1183514; M=16; efConstruction=200; k=10; efSearch/E=256; probes=1; LSH width=not used
Actual recall=87.5000%;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U24" authorId="2" shapeId="0">
      <text>
        <t>用户指定系数调整值；不是原始实测数值。指标=vo_kb；原始值=6713.085；系数=2.0；调整值=13426.17。召回率不调整。原始CSV/附表保留。
原有批注（历史来源）：
GloVe-100; ANNProof; N=1183514; M=16; efConstruction=200; k=10; efSearch/E=384; probes=1; LSH width=not used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V24" authorId="2" shapeId="0">
      <text>
        <t>用户指定系数调整值；不是原始实测数值。指标=vo_kb；原始值=20286.7284；系数=2.0；调整值=40573.4568。召回率不调整。原始CSV/附表保留。
原有批注（历史来源）：
GloVe-100; ANNProof; N=1183514; M=16; efConstruction=200; k=10; efSearch/E=1536; probes=1; LSH width=not used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W24" authorId="2" shapeId="0">
      <text>
        <t>用户指定系数调整值；不是原始实测数值。指标=vo_kb；原始值=25439.660800000001；系数=2.0；调整值=50879.321600000003。召回率不调整。原始CSV/附表保留。
原有批注（历史来源）：
GloVe-100; ANNProof; N=1183514; M=16; efConstruction=200; k=10; efSearch/E=2048;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X24" authorId="2" shapeId="0">
      <text>
        <t>用户指定系数调整值；不是原始实测数值。指标=vo_kb；原始值=43668.860800000002；系数=2.0；调整值=87337.721600000004。召回率不调整。原始CSV/附表保留。
原有批注（历史来源）：
GloVe-100; ANNProof; N=1183514; M=16; efConstruction=200; k=10; efSearch/E=4096;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Y24" authorId="2" shapeId="0">
      <text>
        <t>用户指定系数调整值；不是原始实测数值。指标=vo_kb；原始值=73904.368400000007；系数=2.0；调整值=147808.73680000001。召回率不调整。原始CSV/附表保留。
原有批注（历史来源）：
GloVe-100; ANNProof; N=1183514; M=16; efConstruction=200; k=10; efSearch/E=8192; probes=1; LSH width=not used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F25" authorId="6" shapeId="0">
      <text>
        <t>仅补充低召回率曲线；默认约95%配置及其数据保持不变。20条查询IDs100..119×3次，单线程，完整VO生成与验证。目标和实际召回不同，填实际值。
{"k": 10, "ef": 10, "probes": 1, "recall": 0.155, "query_ms": 0.9345852166666666, "verify_ms": 2.6532569666666665, "vo_kb": 120.20935, "samples": 60, "status": "passed", "output": "/mnt/d/paper_source/work_9/VeriANN_repro_2026-09-30/VeriANN_repro_2026-09-30/results/work9-low-baselines-20261021/glove100/Ours/glove100-1183514-low-all", "csv_sha256": "a6c7afd53d6e417bfc3cb3ab8c2ddb1029daa079d4885db368a9324475e5256e", "target": 0.15, "selection": {"ef": 10, "probes": 1, "recall": 0.155, "valid": true, "pilot": "/mnt/d/paper_source/work_9/VeriANN_repro_2026-09-30/VeriANN_repro_2026-09-30/results/work9-low-baselines-20261021/search-pilots/glove100/Ours-pilot-1183514-resource-phase0-15bab5a6d9"}}</t>
      </text>
    </comment>
    <comment ref="G25" authorId="6" shapeId="0">
      <text>
        <t>仅补充低召回率曲线；默认约95%配置及其数据保持不变。20条查询IDs100..119×3次，单线程，完整VO生成与验证。目标和实际召回不同，填实际值。
{"k": 10, "ef": 13, "probes": 1, "recall": 0.22999999999999998, "query_ms": 1.13263135, "verify_ms": 3.192501866666667, "vo_kb": 146.55395000000001, "samples": 60, "status": "passed", "output": "/mnt/d/paper_source/work_9/VeriANN_repro_2026-09-30/VeriANN_repro_2026-09-30/results/work9-low-baselines-20261021/glove100/Ours/glove100-1183514-low-all", "csv_sha256": "a6c7afd53d6e417bfc3cb3ab8c2ddb1029daa079d4885db368a9324475e5256e", "target": 0.2, "selection": {"ef": 13, "probes": 1, "recall": 0.22999999999999998, "valid": true, "pilot": "/mnt/d/paper_source/work_9/VeriANN_repro_2026-09-30/VeriANN_repro_2026-09-30/results/work9-low-baselines-20261021/search-pilots/glove100/Ours-pilot-1183514-resource-phase0-15bab5a6d9"}}</t>
      </text>
    </comment>
    <comment ref="H25" authorId="6" shapeId="0">
      <text>
        <t>仅补充低召回率曲线；默认约95%配置及其数据保持不变。20条查询IDs100..119×3次，单线程，完整VO生成与验证。目标和实际召回不同，填实际值。
{"k": 10, "ef": 15, "probes": 1, "recall": 0.255, "query_ms": 1.289878, "verify_ms": 3.580268916666667, "vo_kb": 162.74970000000002, "samples": 60, "status": "passed", "output": "/mnt/d/paper_source/work_9/VeriANN_repro_2026-09-30/VeriANN_repro_2026-09-30/results/work9-low-baselines-20261021/glove100/Ours/glove100-1183514-low-all", "csv_sha256": "a6c7afd53d6e417bfc3cb3ab8c2ddb1029daa079d4885db368a9324475e5256e", "target": 0.25, "selection": {"ef": 15, "probes": 1, "recall": 0.255, "valid": true, "pilot": "/mnt/d/paper_source/work_9/VeriANN_repro_2026-09-30/VeriANN_repro_2026-09-30/results/work9-low-baselines-20261021/search-pilots/glove100/Ours-pilot-1183514-resource-phase0-15bab5a6d9"}}</t>
      </text>
    </comment>
    <comment ref="I25" authorId="6" shapeId="0">
      <text>
        <t>仅补充低召回率曲线；默认约95%配置及其数据保持不变。20条查询IDs100..119×3次，单线程，完整VO生成与验证。目标和实际召回不同，填实际值。
{"k": 10, "ef": 18, "probes": 1, "recall": 0.3, "query_ms": 1.5245383499999998, "verify_ms": 4.140651433333334, "vo_kb": 182.30214999999998, "samples": 60, "status": "passed", "output": "/mnt/d/paper_source/work_9/VeriANN_repro_2026-09-30/VeriANN_repro_2026-09-30/results/work9-low-baselines-20261021/glove100/Ours/glove100-1183514-low-all", "csv_sha256": "a6c7afd53d6e417bfc3cb3ab8c2ddb1029daa079d4885db368a9324475e5256e", "target": 0.3, "selection": {"ef": 18, "probes": 1, "recall": 0.3, "valid": true, "pilot": "/mnt/d/paper_source/work_9/VeriANN_repro_2026-09-30/VeriANN_repro_2026-09-30/results/work9-low-baselines-20261021/search-pilots/glove100/Ours-pilot-1183514-resource-phase0-15bab5a6d9"}}</t>
      </text>
    </comment>
    <comment ref="J25" authorId="6" shapeId="0">
      <text>
        <t>仅补充低召回率曲线；默认约95%配置及其数据保持不变。20条查询IDs100..119×3次，单线程，完整VO生成与验证。目标和实际召回不同，填实际值。
{"k": 10, "ef": 23, "probes": 1, "recall": 0.35, "query_ms": 1.82872335, "verify_ms": 4.868134666666666, "vo_kb": 213.8622, "samples": 60, "status": "passed", "output": "/mnt/d/paper_source/work_9/VeriANN_repro_2026-09-30/VeriANN_repro_2026-09-30/results/work9-low-baselines-20261021/glove100/Ours/glove100-1183514-low-all", "csv_sha256": "a6c7afd53d6e417bfc3cb3ab8c2ddb1029daa079d4885db368a9324475e5256e", "target": 0.35, "selection": {"ef": 23, "probes": 1, "recall": 0.35, "valid": true, "pilot": "/mnt/d/paper_source/work_9/VeriANN_repro_2026-09-30/VeriANN_repro_2026-09-30/results/work9-low-baselines-20261021/search-pilots/glove100/Ours-pilot-1183514-resource-phase0-15bab5a6d9"}}</t>
      </text>
    </comment>
    <comment ref="K25" authorId="6" shapeId="0">
      <text>
        <t>仅补充低召回率曲线；默认约95%配置及其数据保持不变。20条查询IDs100..119×3次，单线程，完整VO生成与验证。目标和实际召回不同，填实际值。
{"k": 10, "ef": 31, "probes": 1, "recall": 0.41500000000000004, "query_ms": 2.337819066666667, "verify_ms": 6.173332133333333, "vo_kb": 263.86515, "samples": 60, "status": "passed", "output": "/mnt/d/paper_source/work_9/VeriANN_repro_2026-09-30/VeriANN_repro_2026-09-30/results/work9-low-baselines-20261021/glove100/Ours/glove100-1183514-low-all", "csv_sha256": "a6c7afd53d6e417bfc3cb3ab8c2ddb1029daa079d4885db368a9324475e5256e", "target": 0.4, "selection": {"ef": 31, "probes": 1, "recall": 0.41500000000000004, "valid": true, "pilot": "/mnt/d/paper_source/work_9/VeriANN_repro_2026-09-30/VeriANN_repro_2026-09-30/results/work9-low-baselines-20261021/search-pilots/glove100/Ours-pilot-1183514-resource-phase0-15bab5a6d9"}}</t>
      </text>
    </comment>
    <comment ref="L25" authorId="6" shapeId="0">
      <text>
        <t>仅补充低召回率曲线；默认约95%配置及其数据保持不变。20条查询IDs100..119×3次，单线程，完整VO生成与验证。目标和实际召回不同，填实际值。
{"k": 10, "ef": 33, "probes": 1, "recall": 0.455, "query_ms": 2.362290783333333, "verify_ms": 6.216995033333333, "vo_kb": 274.05425, "samples": 60, "status": "passed", "output": "/mnt/d/paper_source/work_9/VeriANN_repro_2026-09-30/VeriANN_repro_2026-09-30/results/work9-low-baselines-20261021/glove100/Ours/glove100-1183514-low-all", "csv_sha256": "a6c7afd53d6e417bfc3cb3ab8c2ddb1029daa079d4885db368a9324475e5256e", "target": 0.45, "selection": {"ef": 33, "probes": 1, "recall": 0.45499999999999996, "valid": true, "pilot": "/mnt/d/paper_source/work_9/VeriANN_repro_2026-09-30/VeriANN_repro_2026-09-30/results/work9-low-baselines-20261021/search-pilots/glove100/Ours-pilot-1183514-resource-phase0-15bab5a6d9"}}</t>
      </text>
    </comment>
    <comment ref="M25" authorId="6" shapeId="0">
      <text>
        <t>仅补充低召回率曲线；默认约95%配置及其数据保持不变。20条查询IDs100..119×3次，单线程，完整VO生成与验证。目标和实际召回不同，填实际值。
{"k": 10, "ef": 41, "probes": 1, "recall": 0.505, "query_ms": 2.873539216666667, "verify_ms": 7.257134, "vo_kb": 319.727, "samples": 60, "status": "passed", "output": "/mnt/d/paper_source/work_9/VeriANN_repro_2026-09-30/VeriANN_repro_2026-09-30/results/work9-low-baselines-20261021/glove100/Ours/glove100-1183514-low-all", "csv_sha256": "a6c7afd53d6e417bfc3cb3ab8c2ddb1029daa079d4885db368a9324475e5256e", "target": 0.5, "selection": {"ef": 41, "probes": 1, "recall": 0.505, "valid": true, "pilot": "/mnt/d/paper_source/work_9/VeriANN_repro_2026-09-30/VeriANN_repro_2026-09-30/results/work9-low-baselines-20261021/search-pilots/glove100/Ours-pilot-1183514-resource-phase0-15bab5a6d9"}}</t>
      </text>
    </comment>
    <comment ref="N25" authorId="6" shapeId="0">
      <text>
        <t>仅补充低召回率曲线；默认约95%配置及其数据保持不变。20条查询IDs100..119×3次，单线程，完整VO生成与验证。目标和实际召回不同，填实际值。
{"k": 10, "ef": 49, "probes": 1, "recall": 0.55, "query_ms": 3.3037708166666664, "verify_ms": 8.477765999999999, "vo_kb": 363.04355, "samples": 60, "status": "passed", "output": "/mnt/d/paper_source/work_9/VeriANN_repro_2026-09-30/VeriANN_repro_2026-09-30/results/work9-low-baselines-20261021/glove100/Ours/glove100-1183514-low-all", "csv_sha256": "a6c7afd53d6e417bfc3cb3ab8c2ddb1029daa079d4885db368a9324475e5256e", "target": 0.55, "selection": {"ef": 49, "probes": 1, "recall": 0.55, "valid": true, "pilot": "/mnt/d/paper_source/work_9/VeriANN_repro_2026-09-30/VeriANN_repro_2026-09-30/results/work9-low-baselines-20261021/search-pilots/glove100/Ours-pilot-1183514-resource-phase0-15bab5a6d9"}}</t>
      </text>
    </comment>
    <comment ref="O25" authorId="0" shapeId="0">
      <text>
        <t>GloVe-100; Ours; N=1183514; M=16; efConstruction=200; k=10; efSearch/E=64; probes=1; LSH width=not used
Actual recall=60.5000%;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P25" authorId="0" shapeId="0">
      <text>
        <t>GloVe-100; Ours; N=1183514; M=16; efConstruction=200; k=10; efSearch/E=96; probes=1; LSH width=not used
Actual recall=71.5000%;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Q25" authorId="0" shapeId="0">
      <text>
        <t>GloVe-100; Ours; N=1183514; M=16; efConstruction=200; k=10; efSearch/E=96; probes=1; LSH width=not used
Actual recall=71.5000%;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R25" authorId="0" shapeId="0">
      <text>
        <t>GloVe-100; Ours; N=1183514; M=16; efConstruction=200; k=10; efSearch/E=192; probes=1; LSH width=not used
Actual recall=81.0000%;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S25" authorId="0" shapeId="0">
      <text>
        <t>GloVe-100; Ours; N=1183514; M=16; efConstruction=200; k=10; efSearch/E=192; probes=1; LSH width=not used
Actual recall=81.0000%;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T25" authorId="0" shapeId="0">
      <text>
        <t>GloVe-100; Ours; N=1183514; M=16; efConstruction=200; k=10; efSearch/E=256; probes=1; LSH width=not used
Actual recall=85.5000%;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U25" authorId="0" shapeId="0">
      <text>
        <t>GloVe-100; Ours; N=1183514; M=16; efConstruction=200; k=10; efSearch/E=512; probes=1; LSH width=not used
Actual recall=91.0000%;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V25" authorId="0" shapeId="0">
      <text>
        <t>GloVe-100; Ours; N=1183514; M=16; efConstruction=200; k=10;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W25" authorId="0" shapeId="0">
      <text>
        <t>GloVe-100; Ours; N=1183514; M=16; efConstruction=200; k=10; efSearch/E=2048;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X25" authorId="0" shapeId="0">
      <text>
        <t>GloVe-100; Ours; N=1183514; M=16; efConstruction=200; k=10; efSearch/E=4096;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Y25" authorId="0" shapeId="0">
      <text>
        <t>GloVe-100; Ours; N=1183514; M=16; efConstruction=200; k=10; efSearch/E=8192;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F26" authorId="6" shapeId="0">
      <text>
        <t>仅补充低召回率曲线；默认约95%配置及其数据保持不变。20条查询IDs100..119×3次，单线程，完整VO生成与验证。目标和实际召回不同，填实际值。
{"k": 10, "ef": 10, "probes": 1, "recall": 0.155, "query_ms": 0.9345852166666666, "verify_ms": 2.6532569666666665, "vo_kb": 120.20935, "samples": 60, "status": "passed", "output": "/mnt/d/paper_source/work_9/VeriANN_repro_2026-09-30/VeriANN_repro_2026-09-30/results/work9-low-baselines-20261021/glove100/Ours/glove100-1183514-low-all", "csv_sha256": "a6c7afd53d6e417bfc3cb3ab8c2ddb1029daa079d4885db368a9324475e5256e", "target": 0.15, "selection": {"ef": 10, "probes": 1, "recall": 0.155, "valid": true, "pilot": "/mnt/d/paper_source/work_9/VeriANN_repro_2026-09-30/VeriANN_repro_2026-09-30/results/work9-low-baselines-20261021/search-pilots/glove100/Ours-pilot-1183514-resource-phase0-15bab5a6d9"}}</t>
      </text>
    </comment>
    <comment ref="G26" authorId="6" shapeId="0">
      <text>
        <t>仅补充低召回率曲线；默认约95%配置及其数据保持不变。20条查询IDs100..119×3次，单线程，完整VO生成与验证。目标和实际召回不同，填实际值。
{"k": 10, "ef": 13, "probes": 1, "recall": 0.22999999999999998, "query_ms": 1.13263135, "verify_ms": 3.192501866666667, "vo_kb": 146.55395000000001, "samples": 60, "status": "passed", "output": "/mnt/d/paper_source/work_9/VeriANN_repro_2026-09-30/VeriANN_repro_2026-09-30/results/work9-low-baselines-20261021/glove100/Ours/glove100-1183514-low-all", "csv_sha256": "a6c7afd53d6e417bfc3cb3ab8c2ddb1029daa079d4885db368a9324475e5256e", "target": 0.2, "selection": {"ef": 13, "probes": 1, "recall": 0.22999999999999998, "valid": true, "pilot": "/mnt/d/paper_source/work_9/VeriANN_repro_2026-09-30/VeriANN_repro_2026-09-30/results/work9-low-baselines-20261021/search-pilots/glove100/Ours-pilot-1183514-resource-phase0-15bab5a6d9"}}</t>
      </text>
    </comment>
    <comment ref="H26" authorId="6" shapeId="0">
      <text>
        <t>仅补充低召回率曲线；默认约95%配置及其数据保持不变。20条查询IDs100..119×3次，单线程，完整VO生成与验证。目标和实际召回不同，填实际值。
{"k": 10, "ef": 15, "probes": 1, "recall": 0.255, "query_ms": 1.289878, "verify_ms": 3.580268916666667, "vo_kb": 162.74970000000002, "samples": 60, "status": "passed", "output": "/mnt/d/paper_source/work_9/VeriANN_repro_2026-09-30/VeriANN_repro_2026-09-30/results/work9-low-baselines-20261021/glove100/Ours/glove100-1183514-low-all", "csv_sha256": "a6c7afd53d6e417bfc3cb3ab8c2ddb1029daa079d4885db368a9324475e5256e", "target": 0.25, "selection": {"ef": 15, "probes": 1, "recall": 0.255, "valid": true, "pilot": "/mnt/d/paper_source/work_9/VeriANN_repro_2026-09-30/VeriANN_repro_2026-09-30/results/work9-low-baselines-20261021/search-pilots/glove100/Ours-pilot-1183514-resource-phase0-15bab5a6d9"}}</t>
      </text>
    </comment>
    <comment ref="I26" authorId="6" shapeId="0">
      <text>
        <t>仅补充低召回率曲线；默认约95%配置及其数据保持不变。20条查询IDs100..119×3次，单线程，完整VO生成与验证。目标和实际召回不同，填实际值。
{"k": 10, "ef": 18, "probes": 1, "recall": 0.3, "query_ms": 1.5245383499999998, "verify_ms": 4.140651433333334, "vo_kb": 182.30214999999998, "samples": 60, "status": "passed", "output": "/mnt/d/paper_source/work_9/VeriANN_repro_2026-09-30/VeriANN_repro_2026-09-30/results/work9-low-baselines-20261021/glove100/Ours/glove100-1183514-low-all", "csv_sha256": "a6c7afd53d6e417bfc3cb3ab8c2ddb1029daa079d4885db368a9324475e5256e", "target": 0.3, "selection": {"ef": 18, "probes": 1, "recall": 0.3, "valid": true, "pilot": "/mnt/d/paper_source/work_9/VeriANN_repro_2026-09-30/VeriANN_repro_2026-09-30/results/work9-low-baselines-20261021/search-pilots/glove100/Ours-pilot-1183514-resource-phase0-15bab5a6d9"}}</t>
      </text>
    </comment>
    <comment ref="J26" authorId="6" shapeId="0">
      <text>
        <t>仅补充低召回率曲线；默认约95%配置及其数据保持不变。20条查询IDs100..119×3次，单线程，完整VO生成与验证。目标和实际召回不同，填实际值。
{"k": 10, "ef": 23, "probes": 1, "recall": 0.35, "query_ms": 1.82872335, "verify_ms": 4.868134666666666, "vo_kb": 213.8622, "samples": 60, "status": "passed", "output": "/mnt/d/paper_source/work_9/VeriANN_repro_2026-09-30/VeriANN_repro_2026-09-30/results/work9-low-baselines-20261021/glove100/Ours/glove100-1183514-low-all", "csv_sha256": "a6c7afd53d6e417bfc3cb3ab8c2ddb1029daa079d4885db368a9324475e5256e", "target": 0.35, "selection": {"ef": 23, "probes": 1, "recall": 0.35, "valid": true, "pilot": "/mnt/d/paper_source/work_9/VeriANN_repro_2026-09-30/VeriANN_repro_2026-09-30/results/work9-low-baselines-20261021/search-pilots/glove100/Ours-pilot-1183514-resource-phase0-15bab5a6d9"}}</t>
      </text>
    </comment>
    <comment ref="K26" authorId="6" shapeId="0">
      <text>
        <t>仅补充低召回率曲线；默认约95%配置及其数据保持不变。20条查询IDs100..119×3次，单线程，完整VO生成与验证。目标和实际召回不同，填实际值。
{"k": 10, "ef": 31, "probes": 1, "recall": 0.41500000000000004, "query_ms": 2.337819066666667, "verify_ms": 6.173332133333333, "vo_kb": 263.86515, "samples": 60, "status": "passed", "output": "/mnt/d/paper_source/work_9/VeriANN_repro_2026-09-30/VeriANN_repro_2026-09-30/results/work9-low-baselines-20261021/glove100/Ours/glove100-1183514-low-all", "csv_sha256": "a6c7afd53d6e417bfc3cb3ab8c2ddb1029daa079d4885db368a9324475e5256e", "target": 0.4, "selection": {"ef": 31, "probes": 1, "recall": 0.41500000000000004, "valid": true, "pilot": "/mnt/d/paper_source/work_9/VeriANN_repro_2026-09-30/VeriANN_repro_2026-09-30/results/work9-low-baselines-20261021/search-pilots/glove100/Ours-pilot-1183514-resource-phase0-15bab5a6d9"}}</t>
      </text>
    </comment>
    <comment ref="L26" authorId="6" shapeId="0">
      <text>
        <t>仅补充低召回率曲线；默认约95%配置及其数据保持不变。20条查询IDs100..119×3次，单线程，完整VO生成与验证。目标和实际召回不同，填实际值。
{"k": 10, "ef": 33, "probes": 1, "recall": 0.455, "query_ms": 2.362290783333333, "verify_ms": 6.216995033333333, "vo_kb": 274.05425, "samples": 60, "status": "passed", "output": "/mnt/d/paper_source/work_9/VeriANN_repro_2026-09-30/VeriANN_repro_2026-09-30/results/work9-low-baselines-20261021/glove100/Ours/glove100-1183514-low-all", "csv_sha256": "a6c7afd53d6e417bfc3cb3ab8c2ddb1029daa079d4885db368a9324475e5256e", "target": 0.45, "selection": {"ef": 33, "probes": 1, "recall": 0.45499999999999996, "valid": true, "pilot": "/mnt/d/paper_source/work_9/VeriANN_repro_2026-09-30/VeriANN_repro_2026-09-30/results/work9-low-baselines-20261021/search-pilots/glove100/Ours-pilot-1183514-resource-phase0-15bab5a6d9"}}</t>
      </text>
    </comment>
    <comment ref="M26" authorId="6" shapeId="0">
      <text>
        <t>仅补充低召回率曲线；默认约95%配置及其数据保持不变。20条查询IDs100..119×3次，单线程，完整VO生成与验证。目标和实际召回不同，填实际值。
{"k": 10, "ef": 41, "probes": 1, "recall": 0.505, "query_ms": 2.873539216666667, "verify_ms": 7.257134, "vo_kb": 319.727, "samples": 60, "status": "passed", "output": "/mnt/d/paper_source/work_9/VeriANN_repro_2026-09-30/VeriANN_repro_2026-09-30/results/work9-low-baselines-20261021/glove100/Ours/glove100-1183514-low-all", "csv_sha256": "a6c7afd53d6e417bfc3cb3ab8c2ddb1029daa079d4885db368a9324475e5256e", "target": 0.5, "selection": {"ef": 41, "probes": 1, "recall": 0.505, "valid": true, "pilot": "/mnt/d/paper_source/work_9/VeriANN_repro_2026-09-30/VeriANN_repro_2026-09-30/results/work9-low-baselines-20261021/search-pilots/glove100/Ours-pilot-1183514-resource-phase0-15bab5a6d9"}}</t>
      </text>
    </comment>
    <comment ref="N26" authorId="6" shapeId="0">
      <text>
        <t>仅补充低召回率曲线；默认约95%配置及其数据保持不变。20条查询IDs100..119×3次，单线程，完整VO生成与验证。目标和实际召回不同，填实际值。
{"k": 10, "ef": 49, "probes": 1, "recall": 0.55, "query_ms": 3.3037708166666664, "verify_ms": 8.477765999999999, "vo_kb": 363.04355, "samples": 60, "status": "passed", "output": "/mnt/d/paper_source/work_9/VeriANN_repro_2026-09-30/VeriANN_repro_2026-09-30/results/work9-low-baselines-20261021/glove100/Ours/glove100-1183514-low-all", "csv_sha256": "a6c7afd53d6e417bfc3cb3ab8c2ddb1029daa079d4885db368a9324475e5256e", "target": 0.55, "selection": {"ef": 49, "probes": 1, "recall": 0.55, "valid": true, "pilot": "/mnt/d/paper_source/work_9/VeriANN_repro_2026-09-30/VeriANN_repro_2026-09-30/results/work9-low-baselines-20261021/search-pilots/glove100/Ours-pilot-1183514-resource-phase0-15bab5a6d9"}}</t>
      </text>
    </comment>
    <comment ref="O26" authorId="0" shapeId="0">
      <text>
        <t>GloVe-100; Ours; N=1183514; M=16; efConstruction=200; k=10; efSearch/E=64; probes=1; LSH width=not used
Actual recall=60.5000%;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P26" authorId="0" shapeId="0">
      <text>
        <t>GloVe-100; Ours; N=1183514; M=16; efConstruction=200; k=10; efSearch/E=96; probes=1; LSH width=not used
Actual recall=71.5000%;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Q26" authorId="0" shapeId="0">
      <text>
        <t>GloVe-100; Ours; N=1183514; M=16; efConstruction=200; k=10; efSearch/E=96; probes=1; LSH width=not used
Actual recall=71.5000%;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R26" authorId="0" shapeId="0">
      <text>
        <t>GloVe-100; Ours; N=1183514; M=16; efConstruction=200; k=10; efSearch/E=192; probes=1; LSH width=not used
Actual recall=81.0000%;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S26" authorId="0" shapeId="0">
      <text>
        <t>GloVe-100; Ours; N=1183514; M=16; efConstruction=200; k=10; efSearch/E=192; probes=1; LSH width=not used
Actual recall=81.0000%;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T26" authorId="0" shapeId="0">
      <text>
        <t>GloVe-100; Ours; N=1183514; M=16; efConstruction=200; k=10; efSearch/E=256; probes=1; LSH width=not used
Actual recall=85.5000%;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U26" authorId="0" shapeId="0">
      <text>
        <t>GloVe-100; Ours; N=1183514; M=16; efConstruction=200; k=10; efSearch/E=512; probes=1; LSH width=not used
Actual recall=91.0000%;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V26" authorId="0" shapeId="0">
      <text>
        <t>GloVe-100; Ours; N=1183514; M=16; efConstruction=200; k=10;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W26" authorId="0" shapeId="0">
      <text>
        <t>GloVe-100; Ours; N=1183514; M=16; efConstruction=200; k=10; efSearch/E=2048;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X26" authorId="0" shapeId="0">
      <text>
        <t>GloVe-100; Ours; N=1183514; M=16; efConstruction=200; k=10; efSearch/E=4096;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Y26" authorId="0" shapeId="0">
      <text>
        <t>GloVe-100; Ours; N=1183514; M=16; efConstruction=200; k=10; efSearch/E=8192;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F27" authorId="7" shapeId="0">
      <text>
        <t>固定query100单次真实出证；Recall为同配置20条搜索校准。可调整PQ M/K与probe；不代表主表默认索引配置。
{"status": "passed", "dataset": "glove100", "model": "glove100-1183514", "config": {"dataset": "glove100", "source": "glove100", "N": 1183514, "D": 100, "n_list": 1024, "M": 10, "K": 256, "n_iter": 25, "seed": 0, "capacity": 4096, "query_offset": 100, "query_count": 20, "scale": 65536, "rebalance": "author algorithm with identical row-chunk distances"}, "n_probe": 1, "k": 10, "samples": 1, "query": 100, "repeat": 0, "query_ms": 58119.444832000016, "verify_ms": 11.430244999928618, "vo_kb": 225.089, "single_query_recall": 0.0, "build_seconds": 19.015157319, "prove_seconds": 37.463503513, "output": "/mnt/d/paper_source/work_9/VeriANN_repro_2026-09-30/VeriANN_repro_2026-09-30/results/work9-v3db-lowrecall-20261020/glove100-1183514-p1-k10-q1-r1-t1", "csv_sha256": "2c45e19746222db6162b63c50949c48788e638763c1e3d10f685ae2f76a340bf", "selection": "fixed query100 repeat0; not selected by runtime", "reused_existing_sample": false, "recall20": 0.165, "recall_source": "/mnt/d/paper_source/work_9/VeriANN_repro_2026-09-30/VeriANN_repro_2026-09-30/V3DB-26VLDB/work9-cache/glove100-1183514/calibration.json", "recall_query_count": 20, "recall_scope": "search calibration only; timing/VO use one fixed query, not 20 proofs", "kind": "curve"}</t>
      </text>
    </comment>
    <comment ref="G27" authorId="7" shapeId="0">
      <text>
        <t>固定query100单次真实出证；Recall为同配置20条搜索校准。可调整PQ M/K与probe；不代表主表默认索引配置。
{"status": "passed", "dataset": "glove100", "model": "glove100-1183514", "config": {"dataset": "glove100", "source": "glove100", "N": 1183514, "D": 100, "n_list": 1024, "M": 10, "K": 256, "n_iter": 25, "seed": 0, "capacity": 4096, "query_offset": 100, "query_count": 20, "scale": 65536, "rebalance": "author algorithm with identical row-chunk distances"}, "n_probe": 2, "k": 10, "samples": 1, "query": 100, "repeat": 0, "query_ms": 119464.82183200005, "verify_ms": 14.618057000006957, "vo_kb": 275.131, "single_query_recall": 0.0, "build_seconds": 40.393343418, "prove_seconds": 76.149597641, "output": "/mnt/d/paper_source/work_9/VeriANN_repro_2026-09-30/VeriANN_repro_2026-09-30/results/work9-v3db-lowrecall-20261020/glove100-1183514-p2-k10-q1-r1-t1", "csv_sha256": "22d31f7f344f4450cf2f78a42fbdac0f9a65de7c056fb3e4f65624a0eade0b6e", "selection": "fixed query100 repeat0; not selected by runtime", "reused_existing_sample": false, "recall20": 0.2, "recall_source": "/mnt/d/paper_source/work_9/VeriANN_repro_2026-09-30/VeriANN_repro_2026-09-30/V3DB-26VLDB/work9-cache/glove100-1183514/calibration.json", "recall_query_count": 20, "recall_scope": "search calibration only; timing/VO use one fixed query, not 20 proofs", "kind": "curve"}</t>
      </text>
    </comment>
    <comment ref="H27"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1, "k": 10, "samples": 1, "query": 100, "repeat": 0, "query_ms": 240491.80455499986, "verify_ms": 12.915905999989263, "vo_kb": 247.916, "single_query_recall": 0.0, "build_seconds": 78.673836929, "prove_seconds": 151.446472523, "output": "/mnt/d/paper_source/work_9/VeriANN_repro_2026-09-30/VeriANN_repro_2026-09-30/results/work9-v3db-single-20261020/glove100-1183514-M100-K1024-p1-k10-q1-r1-t1", "csv_sha256": "186cfd050b943866ae42e298afff276e2af5ad7e9fc863e1e240509ff093054f", "selection": "fixed query100 repeat0; not selected by runtime", "reused_existing_sample": false, "recall20": 0.28500000000000003, "recall_source": "/mnt/d/paper_source/work_9/VeriANN_repro_2026-09-30/VeriANN_repro_2026-09-30/V3DB-26VLDB/work9-cache/glove100-1183514-M100-K1024/calibration.json", "recall_query_count": 20, "recall_scope": "search calibration only; timing/VO use one fixed query, not 20 proofs", "kind": "curve"}</t>
      </text>
    </comment>
    <comment ref="I27"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J27"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K27"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L27" authorId="8" shapeId="0">
      <text>
        <t>†为同配置20条搜索校准召回，不是预测召回。
{
  "kind": "curve",
  "dataset": "glove100",
  "sheet": "GloVe-100",
  "column": 12,
  "target": 0.45,
  "choice": {
    "status": "conditional_forecast",
    "config": {
      "dataset": "glove100",
      "source": "glove100",
      "N": 1183514,
      "D": 100,
      "n_list": 1024,
      "M": 50,
      "K": 256,
      "n_iter": 25,
      "seed": 0,
      "capacity": 4096,
      "query_offset": 100,
      "query_count": 20,
      "scale": 65536,
      "rebalance": "author algorithm with identical row-chunk distances"
    },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
      "query_ms": [
        268962.2418820984,
        1075848.9675283935
      ],
      "verify_ms": [
        13.463850674160888,
        53.85540269664355
      ],
      "vo_kb": [
        299.26545,
        404.88854999999995
      ]
    },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
      "query_ms": [
        268962.2418820984,
        1075848.9675283935
      ],
      "verify_ms": [
        13.463850674160888,
        53.85540269664355
      ],
      "vo_kb": [
        299.26545,
        404.88854999999995
      ]
    },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
}</t>
      </text>
    </comment>
    <comment ref="M27" authorId="8" shapeId="0">
      <text>
        <t>†为同配置20条搜索校准召回，不是预测召回。
{
  "kind": "curve",
  "dataset": "glove100",
  "sheet": "GloVe-100",
  "column": 13,
  "target": 0.5,
  "choice":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t>
      </text>
    </comment>
    <comment ref="N27" authorId="8" shapeId="0">
      <text>
        <t>†为同配置20条搜索校准召回，不是预测召回。
{
  "kind": "curve",
  "dataset": "glove100",
  "sheet": "GloVe-100",
  "column": 14,
  "target": 0.55,
  "choice":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t>
      </text>
    </comment>
    <comment ref="O27" authorId="8" shapeId="0">
      <text>
        <t>†为同配置20条搜索校准召回，不是预测召回。
{
  "kind": "curve",
  "dataset": "glove100",
  "sheet": "GloVe-100",
  "column": 15,
  "target": 0.6,
  "choice": {
    "status": "conditional_forecast",
    "config": {
      "dataset": "glove100",
      "source": "glove100",
      "N": 1183514,
      "D": 100,
      "n_list": 1024,
      "M": 50,
      "K": 256,
      "n_iter": 25,
      "seed": 0,
      "capacity": 4096,
      "query_offset": 100,
      "query_count": 20,
      "scale": 65536,
      "rebalance": "author algorithm with identical row-chunk distances"
    },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
      "query_ms": [
        1183539.1438669313,
        4734156.575467725
      ],
      "verify_ms": [
        19.09559919745185,
        76.3823967898074
      ],
      "vo_kb": [
        647.45775,
        875.9722499999999
      ]
    },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
      "query_ms": [
        1183539.1438669313,
        4734156.575467725
      ],
      "verify_ms": [
        19.09559919745185,
        76.3823967898074
      ],
      "vo_kb": [
        647.45775,
        875.9722499999999
      ]
    },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
}</t>
      </text>
    </comment>
    <comment ref="P27" authorId="8" shapeId="0">
      <text>
        <t>†为同配置20条搜索校准召回，不是预测召回。
{
  "kind": "curve",
  "dataset": "glove100",
  "sheet": "GloVe-100",
  "column": 16,
  "target": 0.65,
  "choice": {
    "status": "conditional_forecast",
    "config": {
      "dataset": "glove100",
      "source": "glove100",
      "N": 1183514,
      "D": 100,
      "n_list": 1024,
      "M": 100,
      "K": 256,
      "n_iter": 25,
      "seed": 0,
      "capacity": 4096,
      "query_offset": 100,
      "query_count": 20,
      "scale": 65536,
      "rebalance": "author algorithm with identical row-chunk distances"
    },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
      "query_ms": [
        2474768.4640724007,
        9899073.856289603
      ],
      "verify_ms": [
        19.670221705191082,
        78.68088682076433
      ],
      "vo_kb": [
        654.4371,
        885.4149
      ]
    },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
  "reason": "existing calibrated configuration fits declared 512GiB planning envelope",
  "smallest_memory_reaching_target": {
    "status": "conditional_forecast",
    "config": {
      "dataset": "glove100",
      "source": "glove100",
      "N": 1183514,
      "D": 100,
      "n_list": 1024,
      "M": 100,
      "K": 256,
      "n_iter": 25,
      "seed": 0,
      "capacity": 4096,
      "query_offset": 100,
      "query_count": 20,
      "scale": 65536,
      "rebalance": "author algorithm with identical row-chunk distances"
    },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
      "query_ms": [
        2474768.4640724007,
        9899073.856289603
      ],
      "verify_ms": [
        19.670221705191082,
        78.68088682076433
      ],
      "vo_kb": [
        654.4371,
        885.4149
      ]
    },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
}</t>
      </text>
    </comment>
    <comment ref="Q27" authorId="8" shapeId="0">
      <text>
        <t>†为同配置20条搜索校准召回，不是预测召回。
{
  "kind": "curve",
  "dataset": "glove100",
  "sheet": "GloVe-100",
  "column": 17,
  "target": 0.7,
  "choice": {
    "status": "conditional_forecast",
    "config": {
      "dataset": "glove100",
      "source": "glove100",
      "N": 1183514,
      "D": 100,
      "n_list": 1024,
      "M": 50,
      "K": 256,
      "n_iter": 25,
      "seed": 0,
      "capacity": 4096,
      "query_offset": 100,
      "query_count": 20,
      "scale": 65536,
      "rebalance": "author algorithm with identical row-chunk distances"
    },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
      "query_ms": [
        2474768.4640724007,
        9899073.856289603
      ],
      "verify_ms": [
        25.64689304894108,
        102.58757219576432
      ],
      "vo_kb": [
        1100.0819,
        1488.3460999999998
      ]
    },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
      "query_ms": [
        2474768.4640724007,
        9899073.856289603
      ],
      "verify_ms": [
        25.64689304894108,
        102.58757219576432
      ],
      "vo_kb": [
        1100.0819,
        1488.3460999999998
      ]
    },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
}</t>
      </text>
    </comment>
    <comment ref="R27" authorId="8" shapeId="0">
      <text>
        <t>按用户要求留空；具体原因如下。
{
  "kind": "curve",
  "dataset": "glove100",
  "sheet": "GloVe-100",
  "column": 18,
  "target": 0.75,
  "choice": null,
  "reason": "all calibrated configurations reaching this target exceed the declared 512GiB planning envelope",
  "smallest_memory_reaching_target": {
    "status": "outside_512GiB_scenario",
    "config": {
      "dataset": "glove100",
      "source": "glove100",
      "N": 1183514,
      "D": 100,
      "n_list": 1024,
      "M": 100,
      "K": 256,
      "n_iter": 25,
      "seed": 0,
      "capacity": 4096,
      "query_offset": 100,
      "query_count": 20,
      "scale": 65536,
      "rebalance": "author algorithm with identical row-chunk distances"
    },
    "n_probe": 32,
    "k": 10,
    "gates": 11562258,
    "gate_source": "structural estimate",
    "domain_bits": 24,
    "guard_domain_bits": 24,
    "proof_phase_memory_estimate_GiB": 517.6257934570312,
    "planned_machine_memory_GiB": 832.818048095703,
    "fits_512GiB_scenario": false,
    "query_ms": 10329834.561643753,
    "verify_ms": 52.443031113360625,
    "vo_kb": 1302.425,
    "declared_sensitivity": {
      "query_ms": [
        5164917.280821877,
        20659669.123287506
      ],
      "verify_ms": [
        26.221515556680313,
        104.88606222672125
      ],
      "vo_kb": [
        1107.06125,
        1497.78875
      ]
    },
    "label": "512GiB条件预测，未在512GiB机器实测",
    "recall_scope": "existing search calibration only",
    "model": "glove100-1183514-M100",
    "recall": 0.78,
    "recall_source": "/mnt/d/paper_source/work_9/VeriANN_repro_2026-09-30/VeriANN_repro_2026-09-30/V3DB-26VLDB/work9-cache/glove100-1183514-M100/calibration.json",
    "recall_queries": 20
  }
}</t>
      </text>
    </comment>
    <comment ref="S27" authorId="8" shapeId="0">
      <text>
        <t>按用户要求留空；具体原因如下。
{
  "kind": "curve",
  "dataset": "glove100",
  "sheet": "GloVe-100",
  "column": 19,
  "target": 0.8,
  "choice": null,
  "reason": "all calibrated configurations reaching this target exceed the declared 512GiB planning envelope",
  "smallest_memory_reaching_target": {
    "status": "outside_512GiB_scenario",
    "config": {
      "dataset": "glove100",
      "source": "glove100",
      "N": 1183514,
      "D": 100,
      "n_list": 1024,
      "M": 100,
      "K": 512,
      "n_iter": 25,
      "seed": 0,
      "capacity": 4096,
      "query_offset": 100,
      "query_count": 20,
      "scale": 65536,
      "rebalance": "author algorithm with identical row-chunk distances"
    },
    "n_probe": 32,
    "k": 10,
    "gates": 11811413,
    "gate_source": "structural estimate",
    "domain_bits": 24,
    "guard_domain_bits": 24,
    "proof_phase_memory_estimate_GiB": 517.6257934570312,
    "planned_machine_memory_GiB": 832.818048095703,
    "fits_512GiB_scenario": false,
    "query_ms": 10329834.561643753,
    "verify_ms": 52.443031113360625,
    "vo_kb": 1302.425,
    "declared_sensitivity": {
      "query_ms": [
        5164917.280821877,
        20659669.123287506
      ],
      "verify_ms": [
        26.221515556680313,
        104.88606222672125
      ],
      "vo_kb": [
        1107.06125,
        1497.78875
      ]
    },
    "label": "512GiB条件预测，未在512GiB机器实测",
    "recall_scope": "existing search calibration only",
    "model": "glove100-1183514-M100-K512",
    "recall": 0.8,
    "recall_source": "/mnt/d/paper_source/work_9/VeriANN_repro_2026-09-30/VeriANN_repro_2026-09-30/V3DB-26VLDB/work9-cache/glove100-1183514-M100-K512/calibration.json",
    "recall_queries": 20
  }
}</t>
      </text>
    </comment>
    <comment ref="T27" authorId="8" shapeId="0">
      <text>
        <t>按用户要求留空；具体原因如下。
{
  "kind": "curve",
  "dataset": "glove100",
  "sheet": "GloVe-100",
  "column": 20,
  "target": 0.85,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64,
    "k": 10,
    "gates": 24575116,
    "gate_source": "structural estimate",
    "domain_bits": 25,
    "guard_domain_bits": 25,
    "proof_phase_memory_estimate_GiB": 1035.2515869140625,
    "planned_machine_memory_GiB": 1633.636096191406,
    "fits_512GiB_scenario": false,
    "query_ms": 21521190.533995807,
    "verify_ms": 77.49896150383908,
    "vo_kb": 2359.212,
    "declared_sensitivity": {
      "query_ms": [
        10760595.266997904,
        43042381.067991614
      ],
      "verify_ms": [
        38.74948075191954,
        154.99792300767817
      ],
      "vo_kb": [
        2005.3301999999999,
        2713.0937999999996
      ]
    },
    "label": "512GiB条件预测，未在512GiB机器实测",
    "recall_scope": "existing search calibration only",
    "model": "glove100-1183514-M100-K1024",
    "recall": 0.86,
    "recall_source": "/mnt/d/paper_source/work_9/VeriANN_repro_2026-09-30/VeriANN_repro_2026-09-30/V3DB-26VLDB/work9-cache/glove100-1183514-M100-K1024/calibration.json",
    "recall_queries": 20
  }
}</t>
      </text>
    </comment>
    <comment ref="U27" authorId="8" shapeId="0">
      <text>
        <t>按用户要求留空；具体原因如下。
{
  "kind": "curve",
  "dataset": "glove100",
  "sheet": "GloVe-100",
  "column": 21,
  "target": 0.9,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128,
    "k": 10,
    "gates": 49105901,
    "gate_source": "structural estimate",
    "domain_bits": 26,
    "guard_domain_bits": 26,
    "proof_phase_memory_estimate_GiB": 2070.503173828125,
    "planned_machine_memory_GiB": 3235.272192382812,
    "fits_512GiB_scenario": false,
    "query_ms": 44765423.889408216,
    "verify_ms": 126.46157726931756,
    "vo_kb": 4464.575,
    "declared_sensitivity": {
      "query_ms": [
        22382711.944704108,
        89530847.77881643
      ],
      "verify_ms": [
        63.23078863465878,
        252.92315453863512
      ],
      "vo_kb": [
        3794.8887499999996,
        5134.26125
      ]
    },
    "label": "512GiB条件预测，未在512GiB机器实测",
    "recall_scope": "existing search calibration only",
    "model": "glove100-1183514-M100-K1024",
    "recall": 0.9100000000000001,
    "recall_source": "/mnt/d/paper_source/work_9/VeriANN_repro_2026-09-30/VeriANN_repro_2026-09-30/V3DB-26VLDB/work9-cache/glove100-1183514-M100-K1024/calibration.json",
    "recall_queries": 20
  }
}</t>
      </text>
    </comment>
    <comment ref="V27" authorId="8" shapeId="0">
      <text>
        <t>按用户要求留空；具体原因如下。
{
  "kind": "curve",
  "dataset": "glove100",
  "sheet": "GloVe-100",
  "column": 22,
  "target": 0.95,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256,
    "k": 10,
    "gates": 98167471,
    "gate_source": "structural estimate",
    "domain_bits": 27,
    "guard_domain_bits": 27,
    "proof_phase_memory_estimate_GiB": 4141.00634765625,
    "planned_machine_memory_GiB": 6438.544384765624,
    "fits_512GiB_scenario": false,
    "query_ms": 92976933.42164965,
    "verify_ms": 223.237563784796,
    "vo_kb": 8667.09,
    "declared_sensitivity": {
      "query_ms": [
        46488466.710824825,
        185953866.8432993
      ],
      "verify_ms": [
        111.618781892398,
        446.475127569592
      ],
      "vo_kb": [
        7367.0265,
        9967.153499999999
      ]
    },
    "label": "512GiB条件预测，未在512GiB机器实测",
    "recall_scope": "existing search calibration only",
    "model": "glove100-1183514-M100-K1024",
    "recall": 0.9650000000000001,
    "recall_source": "/mnt/d/paper_source/work_9/VeriANN_repro_2026-09-30/VeriANN_repro_2026-09-30/V3DB-26VLDB/work9-cache/glove100-1183514-M100-K1024/calibration.json",
    "recall_queries": 20
  }
}</t>
      </text>
    </comment>
    <comment ref="W27" authorId="8" shapeId="0">
      <text>
        <t>按用户要求留空；具体原因如下。
{
  "kind": "curve",
  "dataset": "glove100",
  "sheet": "GloVe-100",
  "column": 23,
  "target": 0.97,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
      "query_ms": [
        96423019.06448285,
        385692076.2579314
      ],
      "verify_ms": [
        207.82014590013725,
        831.280583600549
      ],
      "vo_kb": [
        14504.32265,
        19623.495349999997
      ]
    },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
  }
}</t>
      </text>
    </comment>
    <comment ref="X27" authorId="8" shapeId="0">
      <text>
        <t>按用户要求留空；具体原因如下。
{
  "kind": "curve",
  "dataset": "glove100",
  "sheet": "GloVe-100",
  "column": 24,
  "target": 0.98,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
      "query_ms": [
        96423019.06448285,
        385692076.2579314
      ],
      "verify_ms": [
        207.82014590013725,
        831.280583600549
      ],
      "vo_kb": [
        14504.32265,
        19623.495349999997
      ]
    },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
  }
}</t>
      </text>
    </comment>
    <comment ref="Y27" authorId="8" shapeId="0">
      <text>
        <t>按用户要求留空；具体原因如下。
{
  "kind": "curve",
  "dataset": "glove100",
  "sheet": "GloVe-100",
  "column": 25,
  "target": 0.99,
  "choice": null,
  "reason": "no existing calibrated configuration reaches target; recall cannot be invented",
  "smallest_memory_reaching_target": null
}</t>
      </text>
    </comment>
    <comment ref="F28" authorId="7" shapeId="0">
      <text>
        <t>固定query100单次真实出证；Recall为同配置20条搜索校准。可调整PQ M/K与probe；不代表主表默认索引配置。
{"status": "passed", "dataset": "glove100", "model": "glove100-1183514", "config": {"dataset": "glove100", "source": "glove100", "N": 1183514, "D": 100, "n_list": 1024, "M": 10, "K": 256, "n_iter": 25, "seed": 0, "capacity": 4096, "query_offset": 100, "query_count": 20, "scale": 65536, "rebalance": "author algorithm with identical row-chunk distances"}, "n_probe": 1, "k": 10, "samples": 1, "query": 100, "repeat": 0, "query_ms": 58119.444832000016, "verify_ms": 11.430244999928618, "vo_kb": 225.089, "single_query_recall": 0.0, "build_seconds": 19.015157319, "prove_seconds": 37.463503513, "output": "/mnt/d/paper_source/work_9/VeriANN_repro_2026-09-30/VeriANN_repro_2026-09-30/results/work9-v3db-lowrecall-20261020/glove100-1183514-p1-k10-q1-r1-t1", "csv_sha256": "2c45e19746222db6162b63c50949c48788e638763c1e3d10f685ae2f76a340bf", "selection": "fixed query100 repeat0; not selected by runtime", "reused_existing_sample": false, "recall20": 0.165, "recall_source": "/mnt/d/paper_source/work_9/VeriANN_repro_2026-09-30/VeriANN_repro_2026-09-30/V3DB-26VLDB/work9-cache/glove100-1183514/calibration.json", "recall_query_count": 20, "recall_scope": "search calibration only; timing/VO use one fixed query, not 20 proofs", "kind": "curve"}</t>
      </text>
    </comment>
    <comment ref="G28" authorId="9"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本次原值=275.131；修订值=261.0
来源/拟合输入：[{"x": 16.5, "cells": ["F28"], "values": [225.089]}, {"x": 20, "cells": ["G28"], "values": [275.131]}, {"x": 28.5, "cells": ["H28"], "values": [247.916]}, {"x": 40.5, "cells": ["I28", "J28", "K28"], "values": [287.485, 287.485, 287.485]}, {"x": 47, "cells": ["L28"], "values": [352.077]}, {"x": 55, "cells": ["M28", "N28"], "values": [491.36, 491.36]}, {"x": 64.5, "cells": ["O28"], "values": [761.715]}, {"x": 68, "cells": ["P28"], "values": [769.926]}, {"x": 71.5, "cells": ["Q28"], "values": [1294.214]}]
修订前批注（历史，不代表修订后来源）：
固定query100单次真实出证；Recall为同配置20条搜索校准。可调整PQ M/K与probe；不代表主表默认索引配置。
{"status": "passed", "dataset": "glove100", "model": "glove100-1183514", "config": {"dataset": "glove100", "source": "glove100", "N": 1183514, "D": 100, "n_list": 1024, "M": 10, "K": 256, "n_iter": 25, "seed": 0, "capacity": 4096, "query_offset": 100, "query_count": 20, "scale": 65536, "rebalance": "author algorithm with identical row-chunk distances"}, "n_probe": 2, "k": 10, "samples": 1, "query": 100, "repeat": 0, "query_ms": 119464.82183200005, "verify_ms": 14.618057000006957, "vo_kb": 275.131, "single_query_recall": 0.0, "build_seconds": 40.393343418, "prove_seconds": 76.149597641, "output": "/mnt/d/paper_source/work_9/VeriANN_repro_2026-09-30/VeriANN_repro_2026-09-30/results/work9-v3db-lowrecall-20261020/glove100-1183514-p2-k10-q1-r1-t1", "csv_sha256": "22d31f7f344f4450cf2f78a42fbdac0f9a65de7c056fb3e4f65624a0eade0b6e", "selection": "fixed query100 repeat0; not selected by runtime", "reused_existing_sample": false, "recall20": 0.2, "recall_source": "/mnt/d/paper_source/work_9/VeriANN_repro_2026-09-30/VeriANN_repro_2026-09-30/V3DB-26VLDB/work9-cache/glove100-1183514/calibration.json", "recall_query_count": 20, "recall_scope": "search calibration only; timing/VO use one fixed query, not 20 proofs", "kind": "curve"}</t>
      </text>
    </comment>
    <comment ref="H28" authorId="9"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本次原值=247.916；修订值=261.1692497136676
来源/拟合输入：[{"x": 16.5, "cells": ["F28"], "values": [225.089]}, {"x": 20, "cells": ["G28"], "values": [275.131]}, {"x": 28.5, "cells": ["H28"], "values": [247.916]}, {"x": 40.5, "cells": ["I28", "J28", "K28"], "values": [287.485, 287.485, 287.485]}, {"x": 47, "cells": ["L28"], "values": [352.077]}, {"x": 55, "cells": ["M28", "N28"], "values": [491.36, 491.36]}, {"x": 64.5, "cells": ["O28"], "values": [761.715]}, {"x": 68, "cells": ["P28"], "values": [769.926]}, {"x": 71.5, "cells": ["Q28"], "values": [1294.214]}]
修订前批注（历史，不代表修订后来源）：
单调性复核：V3DB包含不同PQ配置、probe、证明电路/域大小及单次测量；这些条件不保证该指标随横轴单调。 前点G28=275.131，本点=247.916。
原有来源：
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1, "k": 10, "samples": 1, "query": 100, "repeat": 0, "query_ms": 240491.80455499986, "verify_ms": 12.915905999989263, "vo_kb": 247.916, "single_query_recall": 0.0, "build_seconds": 78.673836929, "prove_seconds": 151.446472523, "output": "/mnt/d/paper_source/work_9/VeriANN_repro_2026-09-30/VeriANN_repro_2026-09-30/results/work9-v3db-single-20261020/glove100-1183514-M100-K1024-p1-k10-q1-r1-t1", "csv_sha256": "186cfd050b943866ae42e298afff276e2af5ad7e9fc863e1e240509ff093054f", "selection": "fixed query100 repeat0; not selected by runtime", "reused_existing_sample": false, "recall20": 0.28500000000000003, "recall_source": "/mnt/d/paper_source/work_9/VeriANN_repro_2026-09-30/VeriANN_repro_2026-09-30/V3DB-26VLDB/work9-cache/glove100-1183514-M100-K1024/calibration.json", "recall_query_count": 20, "recall_scope": "search calibration only; timing/VO use one fixed query, not 20 proofs", "kind": "curve"}</t>
      </text>
    </comment>
    <comment ref="I28"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J28"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K28"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L28" authorId="8" shapeId="0">
      <text>
        <t>512GiB条件预测（*），不是实测。仍假设单线程、相近单核速度、无换页。
{
  "kind": "curve",
  "dataset": "glove100",
  "sheet": "GloVe-100",
  "column": 12,
  "target": 0.45,
  "choice": {
    "status": "conditional_forecast",
    "config": {
      "dataset": "glove100",
      "source": "glove100",
      "N": 1183514,
      "D": 100,
      "n_list": 1024,
      "M": 50,
      "K": 256,
      "n_iter": 25,
      "seed": 0,
      "capacity": 4096,
      "query_offset": 100,
      "query_count": 20,
      "scale": 65536,
      "rebalance": "author algorithm with identical row-chunk distances"
    },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
      "query_ms": [
        268962.2418820984,
        1075848.9675283935
      ],
      "verify_ms": [
        13.463850674160888,
        53.85540269664355
      ],
      "vo_kb": [
        299.26545,
        404.88854999999995
      ]
    },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
      "query_ms": [
        268962.2418820984,
        1075848.9675283935
      ],
      "verify_ms": [
        13.463850674160888,
        53.85540269664355
      ],
      "vo_kb": [
        299.26545,
        404.88854999999995
      ]
    },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
}</t>
      </text>
    </comment>
    <comment ref="M28" authorId="8" shapeId="0">
      <text>
        <t>512GiB条件预测（*），不是实测。仍假设单线程、相近单核速度、无换页。
{
  "kind": "curve",
  "dataset": "glove100",
  "sheet": "GloVe-100",
  "column": 13,
  "target": 0.5,
  "choice":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t>
      </text>
    </comment>
    <comment ref="N28" authorId="8" shapeId="0">
      <text>
        <t>512GiB条件预测（*），不是实测。仍假设单线程、相近单核速度、无换页。
{
  "kind": "curve",
  "dataset": "glove100",
  "sheet": "GloVe-100",
  "column": 14,
  "target": 0.55,
  "choice":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t>
      </text>
    </comment>
    <comment ref="O28" authorId="8" shapeId="0">
      <text>
        <t>512GiB条件预测（*），不是实测。仍假设单线程、相近单核速度、无换页。
{
  "kind": "curve",
  "dataset": "glove100",
  "sheet": "GloVe-100",
  "column": 15,
  "target": 0.6,
  "choice": {
    "status": "conditional_forecast",
    "config": {
      "dataset": "glove100",
      "source": "glove100",
      "N": 1183514,
      "D": 100,
      "n_list": 1024,
      "M": 50,
      "K": 256,
      "n_iter": 25,
      "seed": 0,
      "capacity": 4096,
      "query_offset": 100,
      "query_count": 20,
      "scale": 65536,
      "rebalance": "author algorithm with identical row-chunk distances"
    },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
      "query_ms": [
        1183539.1438669313,
        4734156.575467725
      ],
      "verify_ms": [
        19.09559919745185,
        76.3823967898074
      ],
      "vo_kb": [
        647.45775,
        875.9722499999999
      ]
    },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
      "query_ms": [
        1183539.1438669313,
        4734156.575467725
      ],
      "verify_ms": [
        19.09559919745185,
        76.3823967898074
      ],
      "vo_kb": [
        647.45775,
        875.9722499999999
      ]
    },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
}</t>
      </text>
    </comment>
    <comment ref="P28" authorId="8" shapeId="0">
      <text>
        <t>512GiB条件预测（*），不是实测。仍假设单线程、相近单核速度、无换页。
{
  "kind": "curve",
  "dataset": "glove100",
  "sheet": "GloVe-100",
  "column": 16,
  "target": 0.65,
  "choice": {
    "status": "conditional_forecast",
    "config": {
      "dataset": "glove100",
      "source": "glove100",
      "N": 1183514,
      "D": 100,
      "n_list": 1024,
      "M": 100,
      "K": 256,
      "n_iter": 25,
      "seed": 0,
      "capacity": 4096,
      "query_offset": 100,
      "query_count": 20,
      "scale": 65536,
      "rebalance": "author algorithm with identical row-chunk distances"
    },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
      "query_ms": [
        2474768.4640724007,
        9899073.856289603
      ],
      "verify_ms": [
        19.670221705191082,
        78.68088682076433
      ],
      "vo_kb": [
        654.4371,
        885.4149
      ]
    },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
  "reason": "existing calibrated configuration fits declared 512GiB planning envelope",
  "smallest_memory_reaching_target": {
    "status": "conditional_forecast",
    "config": {
      "dataset": "glove100",
      "source": "glove100",
      "N": 1183514,
      "D": 100,
      "n_list": 1024,
      "M": 100,
      "K": 256,
      "n_iter": 25,
      "seed": 0,
      "capacity": 4096,
      "query_offset": 100,
      "query_count": 20,
      "scale": 65536,
      "rebalance": "author algorithm with identical row-chunk distances"
    },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
      "query_ms": [
        2474768.4640724007,
        9899073.856289603
      ],
      "verify_ms": [
        19.670221705191082,
        78.68088682076433
      ],
      "vo_kb": [
        654.4371,
        885.4149
      ]
    },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
}</t>
      </text>
    </comment>
    <comment ref="Q28" authorId="8" shapeId="0">
      <text>
        <t>512GiB条件预测（*），不是实测。仍假设单线程、相近单核速度、无换页。
{
  "kind": "curve",
  "dataset": "glove100",
  "sheet": "GloVe-100",
  "column": 17,
  "target": 0.7,
  "choice": {
    "status": "conditional_forecast",
    "config": {
      "dataset": "glove100",
      "source": "glove100",
      "N": 1183514,
      "D": 100,
      "n_list": 1024,
      "M": 50,
      "K": 256,
      "n_iter": 25,
      "seed": 0,
      "capacity": 4096,
      "query_offset": 100,
      "query_count": 20,
      "scale": 65536,
      "rebalance": "author algorithm with identical row-chunk distances"
    },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
      "query_ms": [
        2474768.4640724007,
        9899073.856289603
      ],
      "verify_ms": [
        25.64689304894108,
        102.58757219576432
      ],
      "vo_kb": [
        1100.0819,
        1488.3460999999998
      ]
    },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
      "query_ms": [
        2474768.4640724007,
        9899073.856289603
      ],
      "verify_ms": [
        25.64689304894108,
        102.58757219576432
      ],
      "vo_kb": [
        1100.0819,
        1488.3460999999998
      ]
    },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
}</t>
      </text>
    </comment>
    <comment ref="R28" authorId="8" shapeId="0">
      <text>
        <t>按用户要求留空；具体原因如下。
{
  "kind": "curve",
  "dataset": "glove100",
  "sheet": "GloVe-100",
  "column": 18,
  "target": 0.75,
  "choice": null,
  "reason": "all calibrated configurations reaching this target exceed the declared 512GiB planning envelope",
  "smallest_memory_reaching_target": {
    "status": "outside_512GiB_scenario",
    "config": {
      "dataset": "glove100",
      "source": "glove100",
      "N": 1183514,
      "D": 100,
      "n_list": 1024,
      "M": 100,
      "K": 256,
      "n_iter": 25,
      "seed": 0,
      "capacity": 4096,
      "query_offset": 100,
      "query_count": 20,
      "scale": 65536,
      "rebalance": "author algorithm with identical row-chunk distances"
    },
    "n_probe": 32,
    "k": 10,
    "gates": 11562258,
    "gate_source": "structural estimate",
    "domain_bits": 24,
    "guard_domain_bits": 24,
    "proof_phase_memory_estimate_GiB": 517.6257934570312,
    "planned_machine_memory_GiB": 832.818048095703,
    "fits_512GiB_scenario": false,
    "query_ms": 10329834.561643753,
    "verify_ms": 52.443031113360625,
    "vo_kb": 1302.425,
    "declared_sensitivity": {
      "query_ms": [
        5164917.280821877,
        20659669.123287506
      ],
      "verify_ms": [
        26.221515556680313,
        104.88606222672125
      ],
      "vo_kb": [
        1107.06125,
        1497.78875
      ]
    },
    "label": "512GiB条件预测，未在512GiB机器实测",
    "recall_scope": "existing search calibration only",
    "model": "glove100-1183514-M100",
    "recall": 0.78,
    "recall_source": "/mnt/d/paper_source/work_9/VeriANN_repro_2026-09-30/VeriANN_repro_2026-09-30/V3DB-26VLDB/work9-cache/glove100-1183514-M100/calibration.json",
    "recall_queries": 20
  }
}</t>
      </text>
    </comment>
    <comment ref="S28" authorId="8" shapeId="0">
      <text>
        <t>按用户要求留空；具体原因如下。
{
  "kind": "curve",
  "dataset": "glove100",
  "sheet": "GloVe-100",
  "column": 19,
  "target": 0.8,
  "choice": null,
  "reason": "all calibrated configurations reaching this target exceed the declared 512GiB planning envelope",
  "smallest_memory_reaching_target": {
    "status": "outside_512GiB_scenario",
    "config": {
      "dataset": "glove100",
      "source": "glove100",
      "N": 1183514,
      "D": 100,
      "n_list": 1024,
      "M": 100,
      "K": 512,
      "n_iter": 25,
      "seed": 0,
      "capacity": 4096,
      "query_offset": 100,
      "query_count": 20,
      "scale": 65536,
      "rebalance": "author algorithm with identical row-chunk distances"
    },
    "n_probe": 32,
    "k": 10,
    "gates": 11811413,
    "gate_source": "structural estimate",
    "domain_bits": 24,
    "guard_domain_bits": 24,
    "proof_phase_memory_estimate_GiB": 517.6257934570312,
    "planned_machine_memory_GiB": 832.818048095703,
    "fits_512GiB_scenario": false,
    "query_ms": 10329834.561643753,
    "verify_ms": 52.443031113360625,
    "vo_kb": 1302.425,
    "declared_sensitivity": {
      "query_ms": [
        5164917.280821877,
        20659669.123287506
      ],
      "verify_ms": [
        26.221515556680313,
        104.88606222672125
      ],
      "vo_kb": [
        1107.06125,
        1497.78875
      ]
    },
    "label": "512GiB条件预测，未在512GiB机器实测",
    "recall_scope": "existing search calibration only",
    "model": "glove100-1183514-M100-K512",
    "recall": 0.8,
    "recall_source": "/mnt/d/paper_source/work_9/VeriANN_repro_2026-09-30/VeriANN_repro_2026-09-30/V3DB-26VLDB/work9-cache/glove100-1183514-M100-K512/calibration.json",
    "recall_queries": 20
  }
}</t>
      </text>
    </comment>
    <comment ref="T28" authorId="8" shapeId="0">
      <text>
        <t>按用户要求留空；具体原因如下。
{
  "kind": "curve",
  "dataset": "glove100",
  "sheet": "GloVe-100",
  "column": 20,
  "target": 0.85,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64,
    "k": 10,
    "gates": 24575116,
    "gate_source": "structural estimate",
    "domain_bits": 25,
    "guard_domain_bits": 25,
    "proof_phase_memory_estimate_GiB": 1035.2515869140625,
    "planned_machine_memory_GiB": 1633.636096191406,
    "fits_512GiB_scenario": false,
    "query_ms": 21521190.533995807,
    "verify_ms": 77.49896150383908,
    "vo_kb": 2359.212,
    "declared_sensitivity": {
      "query_ms": [
        10760595.266997904,
        43042381.067991614
      ],
      "verify_ms": [
        38.74948075191954,
        154.99792300767817
      ],
      "vo_kb": [
        2005.3301999999999,
        2713.0937999999996
      ]
    },
    "label": "512GiB条件预测，未在512GiB机器实测",
    "recall_scope": "existing search calibration only",
    "model": "glove100-1183514-M100-K1024",
    "recall": 0.86,
    "recall_source": "/mnt/d/paper_source/work_9/VeriANN_repro_2026-09-30/VeriANN_repro_2026-09-30/V3DB-26VLDB/work9-cache/glove100-1183514-M100-K1024/calibration.json",
    "recall_queries": 20
  }
}</t>
      </text>
    </comment>
    <comment ref="U28" authorId="8" shapeId="0">
      <text>
        <t>按用户要求留空；具体原因如下。
{
  "kind": "curve",
  "dataset": "glove100",
  "sheet": "GloVe-100",
  "column": 21,
  "target": 0.9,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128,
    "k": 10,
    "gates": 49105901,
    "gate_source": "structural estimate",
    "domain_bits": 26,
    "guard_domain_bits": 26,
    "proof_phase_memory_estimate_GiB": 2070.503173828125,
    "planned_machine_memory_GiB": 3235.272192382812,
    "fits_512GiB_scenario": false,
    "query_ms": 44765423.889408216,
    "verify_ms": 126.46157726931756,
    "vo_kb": 4464.575,
    "declared_sensitivity": {
      "query_ms": [
        22382711.944704108,
        89530847.77881643
      ],
      "verify_ms": [
        63.23078863465878,
        252.92315453863512
      ],
      "vo_kb": [
        3794.8887499999996,
        5134.26125
      ]
    },
    "label": "512GiB条件预测，未在512GiB机器实测",
    "recall_scope": "existing search calibration only",
    "model": "glove100-1183514-M100-K1024",
    "recall": 0.9100000000000001,
    "recall_source": "/mnt/d/paper_source/work_9/VeriANN_repro_2026-09-30/VeriANN_repro_2026-09-30/V3DB-26VLDB/work9-cache/glove100-1183514-M100-K1024/calibration.json",
    "recall_queries": 20
  }
}</t>
      </text>
    </comment>
    <comment ref="V28" authorId="8" shapeId="0">
      <text>
        <t>按用户要求留空；具体原因如下。
{
  "kind": "curve",
  "dataset": "glove100",
  "sheet": "GloVe-100",
  "column": 22,
  "target": 0.95,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256,
    "k": 10,
    "gates": 98167471,
    "gate_source": "structural estimate",
    "domain_bits": 27,
    "guard_domain_bits": 27,
    "proof_phase_memory_estimate_GiB": 4141.00634765625,
    "planned_machine_memory_GiB": 6438.544384765624,
    "fits_512GiB_scenario": false,
    "query_ms": 92976933.42164965,
    "verify_ms": 223.237563784796,
    "vo_kb": 8667.09,
    "declared_sensitivity": {
      "query_ms": [
        46488466.710824825,
        185953866.8432993
      ],
      "verify_ms": [
        111.618781892398,
        446.475127569592
      ],
      "vo_kb": [
        7367.0265,
        9967.153499999999
      ]
    },
    "label": "512GiB条件预测，未在512GiB机器实测",
    "recall_scope": "existing search calibration only",
    "model": "glove100-1183514-M100-K1024",
    "recall": 0.9650000000000001,
    "recall_source": "/mnt/d/paper_source/work_9/VeriANN_repro_2026-09-30/VeriANN_repro_2026-09-30/V3DB-26VLDB/work9-cache/glove100-1183514-M100-K1024/calibration.json",
    "recall_queries": 20
  }
}</t>
      </text>
    </comment>
    <comment ref="W28" authorId="8" shapeId="0">
      <text>
        <t>按用户要求留空；具体原因如下。
{
  "kind": "curve",
  "dataset": "glove100",
  "sheet": "GloVe-100",
  "column": 23,
  "target": 0.97,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
      "query_ms": [
        96423019.06448285,
        385692076.2579314
      ],
      "verify_ms": [
        207.82014590013725,
        831.280583600549
      ],
      "vo_kb": [
        14504.32265,
        19623.495349999997
      ]
    },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
  }
}</t>
      </text>
    </comment>
    <comment ref="X28" authorId="8" shapeId="0">
      <text>
        <t>按用户要求留空；具体原因如下。
{
  "kind": "curve",
  "dataset": "glove100",
  "sheet": "GloVe-100",
  "column": 24,
  "target": 0.98,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
      "query_ms": [
        96423019.06448285,
        385692076.2579314
      ],
      "verify_ms": [
        207.82014590013725,
        831.280583600549
      ],
      "vo_kb": [
        14504.32265,
        19623.495349999997
      ]
    },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
  }
}</t>
      </text>
    </comment>
    <comment ref="Y28" authorId="8" shapeId="0">
      <text>
        <t>按用户要求留空；具体原因如下。
{
  "kind": "curve",
  "dataset": "glove100",
  "sheet": "GloVe-100",
  "column": 25,
  "target": 0.99,
  "choice": null,
  "reason": "no existing calibrated configuration reaches target; recall cannot be invented",
  "smallest_memory_reaching_target": null
}</t>
      </text>
    </comment>
    <comment ref="F29" authorId="4" shapeId="0">
      <text>
        <t>不适用：精确算法无可调低召回档位。仅Z列为100%实测参考点，不能作为等召回95%比较。
高维明文 MR-tree 改编；精确 kNN，不含隐私保护；空间批量装载并非作者 R*-tree 源码。</t>
      </text>
    </comment>
    <comment ref="G29" authorId="4" shapeId="0">
      <text>
        <t>不适用：精确算法无可调低召回档位。仅Z列为100%实测参考点，不能作为等召回95%比较。
高维明文 MR-tree 改编；精确 kNN，不含隐私保护；空间批量装载并非作者 R*-tree 源码。</t>
      </text>
    </comment>
    <comment ref="H29" authorId="4" shapeId="0">
      <text>
        <t>不适用：精确算法无可调低召回档位。仅Z列为100%实测参考点，不能作为等召回95%比较。
高维明文 MR-tree 改编；精确 kNN，不含隐私保护；空间批量装载并非作者 R*-tree 源码。</t>
      </text>
    </comment>
    <comment ref="I29" authorId="4" shapeId="0">
      <text>
        <t>不适用：精确算法无可调低召回档位。仅Z列为100%实测参考点，不能作为等召回95%比较。
高维明文 MR-tree 改编；精确 kNN，不含隐私保护；空间批量装载并非作者 R*-tree 源码。</t>
      </text>
    </comment>
    <comment ref="J29" authorId="4" shapeId="0">
      <text>
        <t>不适用：精确算法无可调低召回档位。仅Z列为100%实测参考点，不能作为等召回95%比较。
高维明文 MR-tree 改编；精确 kNN，不含隐私保护；空间批量装载并非作者 R*-tree 源码。</t>
      </text>
    </comment>
    <comment ref="K29" authorId="4" shapeId="0">
      <text>
        <t>不适用：精确算法无可调低召回档位。仅Z列为100%实测参考点，不能作为等召回95%比较。
高维明文 MR-tree 改编；精确 kNN，不含隐私保护；空间批量装载并非作者 R*-tree 源码。</t>
      </text>
    </comment>
    <comment ref="L29" authorId="4" shapeId="0">
      <text>
        <t>不适用：精确算法无可调低召回档位。仅Z列为100%实测参考点，不能作为等召回95%比较。
高维明文 MR-tree 改编；精确 kNN，不含隐私保护；空间批量装载并非作者 R*-tree 源码。</t>
      </text>
    </comment>
    <comment ref="M29" authorId="4" shapeId="0">
      <text>
        <t>不适用：精确算法无可调低召回档位。仅Z列为100%实测参考点，不能作为等召回95%比较。
高维明文 MR-tree 改编；精确 kNN，不含隐私保护；空间批量装载并非作者 R*-tree 源码。</t>
      </text>
    </comment>
    <comment ref="N29" authorId="4" shapeId="0">
      <text>
        <t>不适用：精确算法无可调低召回档位。仅Z列为100%实测参考点，不能作为等召回95%比较。
高维明文 MR-tree 改编；精确 kNN，不含隐私保护；空间批量装载并非作者 R*-tree 源码。</t>
      </text>
    </comment>
    <comment ref="O29" authorId="4" shapeId="0">
      <text>
        <t>不适用：精确算法无可调低召回档位。仅Z列为100%实测参考点，不能作为等召回95%比较。
高维明文 MR-tree 改编；精确 kNN，不含隐私保护；空间批量装载并非作者 R*-tree 源码。</t>
      </text>
    </comment>
    <comment ref="P29" authorId="4" shapeId="0">
      <text>
        <t>不适用：精确算法无可调低召回档位。仅Z列为100%实测参考点，不能作为等召回95%比较。
高维明文 MR-tree 改编；精确 kNN，不含隐私保护；空间批量装载并非作者 R*-tree 源码。</t>
      </text>
    </comment>
    <comment ref="Q29" authorId="4" shapeId="0">
      <text>
        <t>不适用：精确算法无可调低召回档位。仅Z列为100%实测参考点，不能作为等召回95%比较。
高维明文 MR-tree 改编；精确 kNN，不含隐私保护；空间批量装载并非作者 R*-tree 源码。</t>
      </text>
    </comment>
    <comment ref="R29" authorId="4" shapeId="0">
      <text>
        <t>不适用：精确算法无可调低召回档位。仅Z列为100%实测参考点，不能作为等召回95%比较。
高维明文 MR-tree 改编；精确 kNN，不含隐私保护；空间批量装载并非作者 R*-tree 源码。</t>
      </text>
    </comment>
    <comment ref="S29" authorId="4" shapeId="0">
      <text>
        <t>不适用：精确算法无可调低召回档位。仅Z列为100%实测参考点，不能作为等召回95%比较。
高维明文 MR-tree 改编；精确 kNN，不含隐私保护；空间批量装载并非作者 R*-tree 源码。</t>
      </text>
    </comment>
    <comment ref="T29" authorId="4" shapeId="0">
      <text>
        <t>不适用：精确算法无可调低召回档位。仅Z列为100%实测参考点，不能作为等召回95%比较。
高维明文 MR-tree 改编；精确 kNN，不含隐私保护；空间批量装载并非作者 R*-tree 源码。</t>
      </text>
    </comment>
    <comment ref="U29" authorId="4" shapeId="0">
      <text>
        <t>不适用：精确算法无可调低召回档位。仅Z列为100%实测参考点，不能作为等召回95%比较。
高维明文 MR-tree 改编；精确 kNN，不含隐私保护；空间批量装载并非作者 R*-tree 源码。</t>
      </text>
    </comment>
    <comment ref="V29" authorId="4" shapeId="0">
      <text>
        <t>不适用：精确算法无可调低召回档位。仅Z列为100%实测参考点，不能作为等召回95%比较。
高维明文 MR-tree 改编；精确 kNN，不含隐私保护；空间批量装载并非作者 R*-tree 源码。</t>
      </text>
    </comment>
    <comment ref="W29" authorId="4" shapeId="0">
      <text>
        <t>不适用：精确算法无可调低召回档位。仅Z列为100%实测参考点，不能作为等召回95%比较。
高维明文 MR-tree 改编；精确 kNN，不含隐私保护；空间批量装载并非作者 R*-tree 源码。</t>
      </text>
    </comment>
    <comment ref="X29" authorId="4" shapeId="0">
      <text>
        <t>不适用：精确算法无可调低召回档位。仅Z列为100%实测参考点，不能作为等召回95%比较。
高维明文 MR-tree 改编；精确 kNN，不含隐私保护；空间批量装载并非作者 R*-tree 源码。</t>
      </text>
    </comment>
    <comment ref="Y29" authorId="4" shapeId="0">
      <text>
        <t>不适用：精确算法无可调低召回档位。仅Z列为100%实测参考点，不能作为等召回95%比较。
高维明文 MR-tree 改编；精确 kNN，不含隐私保护；空间批量装载并非作者 R*-tree 源码。</t>
      </text>
    </comment>
    <comment ref="Z29" authorId="4" shapeId="0">
      <text>
        <t>精确方法唯一召回点。
高维明文 MR-tree 改编；精确 kNN，不含隐私保护；空间批量装载并非作者 R*-tree 源码。
来源：/mnt/d/paper_source/work_9/VeriANN_repro_2026-09-30/VeriANN_repro_2026-09-30/results/work9-chen13-20261021/glove100-1183514-overall/measurement.json
{"N": 1183514, "dataset": "glove100", "kind": "overall", "samples": 60, "point": {"k": 10, "samples": 60, "recall": 1.0, "query_ms": 468.73869463333335, "query_ms_stdev": 51.19104281789076, "search_ms": 269.09793421666666, "search_ms_stdev": 33.756033587405, "encode_ms": 199.64076041666667, "encode_ms_stdev": 29.23873315220724, "verify_ms": 390.3492656166667, "verify_ms_stdev": 45.53343707476649, "vo_bytes": 466932940.75, "examined": 1155242.25, "expanded": 24276.7, "vo_kb": 466932.94075}, "native": {"N": 1183514, "D": 100, "fanout": 16, "leaf_capacity": 64, "nodes": 24849, "build_seconds": 1.067556071, "snapshot_write_seconds": 17.396116707, "index_bytes": 500006896, "oracle_seconds": 1.089475347, "peak_rss_KiB": 1912108, "max_vo_bytes": 478264085, "tamper_tests": 9, "root": "466177f5ae7c9b9272de465c576908b833f1834050bb715714768e81d443642c", "threads": 1}}</t>
      </text>
    </comment>
    <comment ref="F30" authorId="4" shapeId="0">
      <text>
        <t>不适用：精确算法无可调低召回档位。仅Z列为100%实测参考点，不能作为等召回95%比较。
高维明文 MR-tree 改编；精确 kNN，不含隐私保护；空间批量装载并非作者 R*-tree 源码。</t>
      </text>
    </comment>
    <comment ref="G30" authorId="4" shapeId="0">
      <text>
        <t>不适用：精确算法无可调低召回档位。仅Z列为100%实测参考点，不能作为等召回95%比较。
高维明文 MR-tree 改编；精确 kNN，不含隐私保护；空间批量装载并非作者 R*-tree 源码。</t>
      </text>
    </comment>
    <comment ref="H30" authorId="4" shapeId="0">
      <text>
        <t>不适用：精确算法无可调低召回档位。仅Z列为100%实测参考点，不能作为等召回95%比较。
高维明文 MR-tree 改编；精确 kNN，不含隐私保护；空间批量装载并非作者 R*-tree 源码。</t>
      </text>
    </comment>
    <comment ref="I30" authorId="4" shapeId="0">
      <text>
        <t>不适用：精确算法无可调低召回档位。仅Z列为100%实测参考点，不能作为等召回95%比较。
高维明文 MR-tree 改编；精确 kNN，不含隐私保护；空间批量装载并非作者 R*-tree 源码。</t>
      </text>
    </comment>
    <comment ref="J30" authorId="4" shapeId="0">
      <text>
        <t>不适用：精确算法无可调低召回档位。仅Z列为100%实测参考点，不能作为等召回95%比较。
高维明文 MR-tree 改编；精确 kNN，不含隐私保护；空间批量装载并非作者 R*-tree 源码。</t>
      </text>
    </comment>
    <comment ref="K30" authorId="4" shapeId="0">
      <text>
        <t>不适用：精确算法无可调低召回档位。仅Z列为100%实测参考点，不能作为等召回95%比较。
高维明文 MR-tree 改编；精确 kNN，不含隐私保护；空间批量装载并非作者 R*-tree 源码。</t>
      </text>
    </comment>
    <comment ref="L30" authorId="4" shapeId="0">
      <text>
        <t>不适用：精确算法无可调低召回档位。仅Z列为100%实测参考点，不能作为等召回95%比较。
高维明文 MR-tree 改编；精确 kNN，不含隐私保护；空间批量装载并非作者 R*-tree 源码。</t>
      </text>
    </comment>
    <comment ref="M30" authorId="4" shapeId="0">
      <text>
        <t>不适用：精确算法无可调低召回档位。仅Z列为100%实测参考点，不能作为等召回95%比较。
高维明文 MR-tree 改编；精确 kNN，不含隐私保护；空间批量装载并非作者 R*-tree 源码。</t>
      </text>
    </comment>
    <comment ref="N30" authorId="4" shapeId="0">
      <text>
        <t>不适用：精确算法无可调低召回档位。仅Z列为100%实测参考点，不能作为等召回95%比较。
高维明文 MR-tree 改编；精确 kNN，不含隐私保护；空间批量装载并非作者 R*-tree 源码。</t>
      </text>
    </comment>
    <comment ref="O30" authorId="4" shapeId="0">
      <text>
        <t>不适用：精确算法无可调低召回档位。仅Z列为100%实测参考点，不能作为等召回95%比较。
高维明文 MR-tree 改编；精确 kNN，不含隐私保护；空间批量装载并非作者 R*-tree 源码。</t>
      </text>
    </comment>
    <comment ref="P30" authorId="4" shapeId="0">
      <text>
        <t>不适用：精确算法无可调低召回档位。仅Z列为100%实测参考点，不能作为等召回95%比较。
高维明文 MR-tree 改编；精确 kNN，不含隐私保护；空间批量装载并非作者 R*-tree 源码。</t>
      </text>
    </comment>
    <comment ref="Q30" authorId="4" shapeId="0">
      <text>
        <t>不适用：精确算法无可调低召回档位。仅Z列为100%实测参考点，不能作为等召回95%比较。
高维明文 MR-tree 改编；精确 kNN，不含隐私保护；空间批量装载并非作者 R*-tree 源码。</t>
      </text>
    </comment>
    <comment ref="R30" authorId="4" shapeId="0">
      <text>
        <t>不适用：精确算法无可调低召回档位。仅Z列为100%实测参考点，不能作为等召回95%比较。
高维明文 MR-tree 改编；精确 kNN，不含隐私保护；空间批量装载并非作者 R*-tree 源码。</t>
      </text>
    </comment>
    <comment ref="S30" authorId="4" shapeId="0">
      <text>
        <t>不适用：精确算法无可调低召回档位。仅Z列为100%实测参考点，不能作为等召回95%比较。
高维明文 MR-tree 改编；精确 kNN，不含隐私保护；空间批量装载并非作者 R*-tree 源码。</t>
      </text>
    </comment>
    <comment ref="T30" authorId="4" shapeId="0">
      <text>
        <t>不适用：精确算法无可调低召回档位。仅Z列为100%实测参考点，不能作为等召回95%比较。
高维明文 MR-tree 改编；精确 kNN，不含隐私保护；空间批量装载并非作者 R*-tree 源码。</t>
      </text>
    </comment>
    <comment ref="U30" authorId="4" shapeId="0">
      <text>
        <t>不适用：精确算法无可调低召回档位。仅Z列为100%实测参考点，不能作为等召回95%比较。
高维明文 MR-tree 改编；精确 kNN，不含隐私保护；空间批量装载并非作者 R*-tree 源码。</t>
      </text>
    </comment>
    <comment ref="V30" authorId="4" shapeId="0">
      <text>
        <t>不适用：精确算法无可调低召回档位。仅Z列为100%实测参考点，不能作为等召回95%比较。
高维明文 MR-tree 改编；精确 kNN，不含隐私保护；空间批量装载并非作者 R*-tree 源码。</t>
      </text>
    </comment>
    <comment ref="W30" authorId="4" shapeId="0">
      <text>
        <t>不适用：精确算法无可调低召回档位。仅Z列为100%实测参考点，不能作为等召回95%比较。
高维明文 MR-tree 改编；精确 kNN，不含隐私保护；空间批量装载并非作者 R*-tree 源码。</t>
      </text>
    </comment>
    <comment ref="X30" authorId="4" shapeId="0">
      <text>
        <t>不适用：精确算法无可调低召回档位。仅Z列为100%实测参考点，不能作为等召回95%比较。
高维明文 MR-tree 改编；精确 kNN，不含隐私保护；空间批量装载并非作者 R*-tree 源码。</t>
      </text>
    </comment>
    <comment ref="Y30" authorId="4" shapeId="0">
      <text>
        <t>不适用：精确算法无可调低召回档位。仅Z列为100%实测参考点，不能作为等召回95%比较。
高维明文 MR-tree 改编；精确 kNN，不含隐私保护；空间批量装载并非作者 R*-tree 源码。</t>
      </text>
    </comment>
    <comment ref="Z30" authorId="4" shapeId="0">
      <text>
        <t>沿用默认 k=10 的同一组60次真实测量；非重复实验。
高维明文 MR-tree 改编；精确 kNN，不含隐私保护；空间批量装载并非作者 R*-tree 源码。
来源：/mnt/d/paper_source/work_9/VeriANN_repro_2026-09-30/VeriANN_repro_2026-09-30/results/work9-chen13-20261021/glove100-1183514-overall/measurement.json
{"N": 1183514, "dataset": "glove100", "kind": "overall", "samples": 60, "point": {"k": 10, "samples": 60, "recall": 1.0, "query_ms": 468.73869463333335, "query_ms_stdev": 51.19104281789076, "search_ms": 269.09793421666666, "search_ms_stdev": 33.756033587405, "encode_ms": 199.64076041666667, "encode_ms_stdev": 29.23873315220724, "verify_ms": 390.3492656166667, "verify_ms_stdev": 45.53343707476649, "vo_bytes": 466932940.75, "examined": 1155242.25, "expanded": 24276.7, "vo_kb": 466932.94075}, "native": {"N": 1183514, "D": 100, "fanout": 16, "leaf_capacity": 64, "nodes": 24849, "build_seconds": 1.067556071, "snapshot_write_seconds": 17.396116707, "index_bytes": 500006896, "oracle_seconds": 1.089475347, "peak_rss_KiB": 1912108, "max_vo_bytes": 478264085, "tamper_tests": 9, "root": "466177f5ae7c9b9272de465c576908b833f1834050bb715714768e81d443642c", "threads": 1}}</t>
      </text>
    </comment>
    <comment ref="Z31" authorId="5" shapeId="0">
      <text>
        <t>新增精确方法100%参考点；其他已有方法及原15–99%列保持原值。</t>
      </text>
    </comment>
    <comment ref="F35" authorId="6" shapeId="0">
      <text>
        <t>仅补充低召回率曲线；默认约95%配置及其数据保持不变。20条查询IDs100..119×3次，单线程，完整VO生成与验证。目标和实际召回不同，填实际值。
{"k": 10, "ef": 100, "probes": 2, "recall": 0.16, "query_ms": 7.3318917, "verify_ms": 20.843654216666668, "vo_kb": 3340.40705, "samples": 60, "status": "passed", "output": "/mnt/d/paper_source/work_9/VeriANN_repro_2026-09-30/VeriANN_repro_2026-09-30/results/work9-low-baselines-20261021/glove100/VLAH/glove100-1183514-low-e100", "csv_sha256": "b811fcca183b70ec987eb7a3c394554c5afa93d87416ca1e47f78a5f3ddb5ff5", "target": 0.15, "selection": {"ef": 100, "probes": 2, "recall": 0.16, "valid": true, "pilot": "/mnt/d/paper_source/work_9/VeriANN_repro_2026-09-30/VeriANN_repro_2026-09-30/results/work9-low-baselines-20261021/search-pilots/glove100/VLAH-pilot-1183514-resource-phase0-ea8772e968"}}</t>
      </text>
    </comment>
    <comment ref="G35" authorId="6" shapeId="0">
      <text>
        <t>仅补充低召回率曲线；默认约95%配置及其数据保持不变。20条查询IDs100..119×3次，单线程，完整VO生成与验证。目标和实际召回不同，填实际值。
{"k": 10, "ef": 100, "probes": 4, "recall": 0.21, "query_ms": 15.247649233333332, "verify_ms": 43.27356721666667, "vo_kb": 6706.90815, "samples": 60, "status": "passed", "output": "/mnt/d/paper_source/work_9/VeriANN_repro_2026-09-30/VeriANN_repro_2026-09-30/results/work9-low-baselines-20261021/glove100/VLAH/glove100-1183514-low-e100", "csv_sha256": "b811fcca183b70ec987eb7a3c394554c5afa93d87416ca1e47f78a5f3ddb5ff5", "target": 0.2, "selection": {"ef": 100, "probes": 4, "recall": 0.21000000000000002, "valid": true, "pilot": "/mnt/d/paper_source/work_9/VeriANN_repro_2026-09-30/VeriANN_repro_2026-09-30/results/work9-low-baselines-20261021/search-pilots/glove100/VLAH-pilot-1183514-resource-phase0-ea8772e968"}}</t>
      </text>
    </comment>
    <comment ref="H35" authorId="6" shapeId="0">
      <text>
        <t>仅补充低召回率曲线；默认约95%配置及其数据保持不变。20条查询IDs100..119×3次，单线程，完整VO生成与验证。目标和实际召回不同，填实际值。
{"k": 10, "ef": 100, "probes": 5, "recall": 0.265, "query_ms": 19.975985016666666, "verify_ms": 56.788586083333335, "vo_kb": 8406.96125, "samples": 60, "status": "passed", "output": "/mnt/d/paper_source/work_9/VeriANN_repro_2026-09-30/VeriANN_repro_2026-09-30/results/work9-low-baselines-20261021/glove100/VLAH/glove100-1183514-low-e100", "csv_sha256": "b811fcca183b70ec987eb7a3c394554c5afa93d87416ca1e47f78a5f3ddb5ff5", "target": 0.25, "selection": {"ef": 100, "probes": 5, "recall": 0.265, "valid": true, "pilot": "/mnt/d/paper_source/work_9/VeriANN_repro_2026-09-30/VeriANN_repro_2026-09-30/results/work9-low-baselines-20261021/search-pilots/glove100/VLAH-pilot-1183514-resource-phase0-ea8772e968"}}</t>
      </text>
    </comment>
    <comment ref="I35" authorId="6" shapeId="0">
      <text>
        <t>仅补充低召回率曲线；默认约95%配置及其数据保持不变。20条查询IDs100..119×3次，单线程，完整VO生成与验证。目标和实际召回不同，填实际值。
{"k": 10, "ef": 100, "probes": 7, "recall": 0.315, "query_ms": 27.80805708333333, "verify_ms": 80.16261456666666, "vo_kb": 11749.45825, "samples": 60, "status": "passed", "output": "/mnt/d/paper_source/work_9/VeriANN_repro_2026-09-30/VeriANN_repro_2026-09-30/results/work9-low-baselines-20261021/glove100/VLAH/glove100-1183514-low-e100", "csv_sha256": "b811fcca183b70ec987eb7a3c394554c5afa93d87416ca1e47f78a5f3ddb5ff5", "target": 0.3, "selection": {"ef": 100, "probes": 7, "recall": 0.315, "valid": true, "pilot": "/mnt/d/paper_source/work_9/VeriANN_repro_2026-09-30/VeriANN_repro_2026-09-30/results/work9-low-baselines-20261021/search-pilots/glove100/VLAH-pilot-1183514-resource-phase0-ea8772e968"}}</t>
      </text>
    </comment>
    <comment ref="J35" authorId="6" shapeId="0">
      <text>
        <t>仅补充低召回率曲线；默认约95%配置及其数据保持不变。20条查询IDs100..119×3次，单线程，完整VO生成与验证。目标和实际召回不同，填实际值。
{"k": 10, "ef": 100, "probes": 11, "recall": 0.365, "query_ms": 46.37682319999999, "verify_ms": 126.2832732, "vo_kb": 18520.25115, "samples": 60, "status": "passed", "output": "/mnt/d/paper_source/work_9/VeriANN_repro_2026-09-30/VeriANN_repro_2026-09-30/results/work9-low-baselines-20261021/glove100/VLAH/glove100-1183514-low-e100", "csv_sha256": "b811fcca183b70ec987eb7a3c394554c5afa93d87416ca1e47f78a5f3ddb5ff5", "target": 0.35, "selection": {"ef": 100, "probes": 11, "recall": 0.365, "valid": true, "pilot": "/mnt/d/paper_source/work_9/VeriANN_repro_2026-09-30/VeriANN_repro_2026-09-30/results/work9-low-baselines-20261021/search-pilots/glove100/VLAH-pilot-1183514-resource-phase0-ea8772e968"}}</t>
      </text>
    </comment>
    <comment ref="K35" authorId="6" shapeId="0">
      <text>
        <t>仅补充低召回率曲线；默认约95%配置及其数据保持不变。20条查询IDs100..119×3次，单线程，完整VO生成与验证。目标和实际召回不同，填实际值。
{"k": 10, "ef": 100, "probes": 14, "recall": 0.41000000000000003, "query_ms": 60.56633123333333, "verify_ms": 162.54243325000002, "vo_kb": 23529.4354, "samples": 60, "status": "passed", "output": "/mnt/d/paper_source/work_9/VeriANN_repro_2026-09-30/VeriANN_repro_2026-09-30/results/work9-low-baselines-20261021/glove100/VLAH/glove100-1183514-low-e100", "csv_sha256": "b811fcca183b70ec987eb7a3c394554c5afa93d87416ca1e47f78a5f3ddb5ff5", "target": 0.4, "selection": {"ef": 100, "probes": 14, "recall": 0.41, "valid": true, "pilot": "/mnt/d/paper_source/work_9/VeriANN_repro_2026-09-30/VeriANN_repro_2026-09-30/results/work9-low-baselines-20261021/search-pilots/glove100/VLAH-pilot-1183514-resource-phase0-ea8772e968"}}</t>
      </text>
    </comment>
    <comment ref="L35" authorId="6" shapeId="0">
      <text>
        <t>仅补充低召回率曲线；默认约95%配置及其数据保持不变。20条查询IDs100..119×3次，单线程，完整VO生成与验证。目标和实际召回不同，填实际值。
{"k": 10, "ef": 100, "probes": 17, "recall": 0.45, "query_ms": 73.60962283333333, "verify_ms": 196.11805404999998, "vo_kb": 28612.079149999998, "samples": 60, "status": "passed", "output": "/mnt/d/paper_source/work_9/VeriANN_repro_2026-09-30/VeriANN_repro_2026-09-30/results/work9-low-baselines-20261021/glove100/VLAH/glove100-1183514-low-e100", "csv_sha256": "b811fcca183b70ec987eb7a3c394554c5afa93d87416ca1e47f78a5f3ddb5ff5", "target": 0.45, "selection": {"ef": 100, "probes": 17, "recall": 0.45, "valid": true, "pilot": "/mnt/d/paper_source/work_9/VeriANN_repro_2026-09-30/VeriANN_repro_2026-09-30/results/work9-low-baselines-20261021/search-pilots/glove100/VLAH-pilot-1183514-resource-phase0-ea8772e968"}}</t>
      </text>
    </comment>
    <comment ref="M35" authorId="6" shapeId="0">
      <text>
        <t>仅补充低召回率曲线；默认约95%配置及其数据保持不变。20条查询IDs100..119×3次，单线程，完整VO生成与验证。目标和实际召回不同，填实际值。
{"k": 10, "ef": 100, "probes": 21, "recall": 0.525, "query_ms": 94.38046846666666, "verify_ms": 241.9402729, "vo_kb": 35285.3301, "samples": 60, "status": "passed", "output": "/mnt/d/paper_source/work_9/VeriANN_repro_2026-09-30/VeriANN_repro_2026-09-30/results/work9-low-baselines-20261021/glove100/VLAH/glove100-1183514-low-e100", "csv_sha256": "b811fcca183b70ec987eb7a3c394554c5afa93d87416ca1e47f78a5f3ddb5ff5", "target": 0.5, "selection": {"ef": 100, "probes": 21, "recall": 0.525, "valid": true, "pilot": "/mnt/d/paper_source/work_9/VeriANN_repro_2026-09-30/VeriANN_repro_2026-09-30/results/work9-low-baselines-20261021/search-pilots/glove100/VLAH-pilot-1183514-resource-phase0-ea8772e968"}}</t>
      </text>
    </comment>
    <comment ref="N35" authorId="6" shapeId="0">
      <text>
        <t>仅补充低召回率曲线；默认约95%配置及其数据保持不变。20条查询IDs100..119×3次，单线程，完整VO生成与验证。目标和实际召回不同，填实际值。
{"k": 10, "ef": 100, "probes": 23, "recall": 0.5549999999999999, "query_ms": 107.98516335000001, "verify_ms": 267.0983323333333, "vo_kb": 38604.66135, "samples": 60, "status": "passed", "output": "/mnt/d/paper_source/work_9/VeriANN_repro_2026-09-30/VeriANN_repro_2026-09-30/results/work9-low-baselines-20261021/glove100/VLAH/glove100-1183514-low-e100", "csv_sha256": "b811fcca183b70ec987eb7a3c394554c5afa93d87416ca1e47f78a5f3ddb5ff5", "target": 0.55, "selection": {"ef": 100, "probes": 23, "recall": 0.5549999999999999, "valid": true, "pilot": "/mnt/d/paper_source/work_9/VeriANN_repro_2026-09-30/VeriANN_repro_2026-09-30/results/work9-low-baselines-20261021/search-pilots/glove100/VLAH-pilot-1183514-resource-phase0-ea8772e968"}}</t>
      </text>
    </comment>
    <comment ref="O35" authorId="0" shapeId="0">
      <text>
        <t>GloVe-100; VLAH; N=1183514; M=16; efConstruction=200; k=10; efSearch/E=200; probes=26; LSH width=0.33011345496943795
Actual recall=60.0000%;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P35" authorId="0" shapeId="0">
      <text>
        <t>GloVe-100; VLAH; N=1183514; M=16; efConstruction=200; k=10; efSearch/E=200; probes=29; LSH width=0.33011345496943795
Actual recall=66.0000%;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Q35" authorId="0" shapeId="0">
      <text>
        <t>GloVe-100; VLAH; N=1183514; M=16; efConstruction=200; k=10; efSearch/E=200; probes=34; LSH width=0.33011345496943795
Actual recall=70.0000%;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R35" authorId="0" shapeId="0">
      <text>
        <t>GloVe-100; VLAH; N=1183514; M=16; efConstruction=200; k=10; efSearch/E=200; probes=37; LSH width=0.33011345496943795
Actual recall=75.5000%;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S35" authorId="0" shapeId="0">
      <text>
        <t>GloVe-100; VLAH; N=1183514; M=16; efConstruction=200; k=10; efSearch/E=200; probes=40; LSH width=0.33011345496943795
Actual recall=80.0000%;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T35" authorId="0" shapeId="0">
      <text>
        <t>GloVe-100; VLAH; N=1183514; M=16; efConstruction=200; k=10; efSearch/E=200; probes=48; LSH width=0.33011345496943795
Actual recall=85.0000%;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U35" authorId="0" shapeId="0">
      <text>
        <t>GloVe-100; VLAH; N=1183514; M=16; efConstruction=200; k=10; efSearch/E=200; probes=52; LSH width=0.33011345496943795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V35" authorId="0" shapeId="0">
      <text>
        <t>GloVe-100; VLAH; N=1183514; M=16; efConstruction=200; k=10;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W35" authorId="0" shapeId="0">
      <text>
        <t>GloVe-100; VLAH; N=1183514; M=16; efConstruction=200; k=10; efSearch/E=200; probes=58; LSH width=0.33011345496943795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X35" authorId="0" shapeId="0">
      <text>
        <t>GloVe-100; VLAH; N=1183514; M=16; efConstruction=200; k=10; efSearch/E=200; probes=60; LSH width=0.33011345496943795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Y35" authorId="0" shapeId="0">
      <text>
        <t>GloVe-100; VLAH; N=1183514; M=16; efConstruction=200; k=10; efSearch/E=200; probes=60; LSH width=0.33011345496943795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F36" authorId="6" shapeId="0">
      <text>
        <t>仅补充低召回率曲线；默认约95%配置及其数据保持不变。20条查询IDs100..119×3次，单线程，完整VO生成与验证。目标和实际召回不同，填实际值。
{"k": 10, "ef": 100, "probes": 2, "recall": 0.16, "query_ms": 7.3318917, "verify_ms": 20.843654216666668, "vo_kb": 3340.40705, "samples": 60, "status": "passed", "output": "/mnt/d/paper_source/work_9/VeriANN_repro_2026-09-30/VeriANN_repro_2026-09-30/results/work9-low-baselines-20261021/glove100/VLAH/glove100-1183514-low-e100", "csv_sha256": "b811fcca183b70ec987eb7a3c394554c5afa93d87416ca1e47f78a5f3ddb5ff5", "target": 0.15, "selection": {"ef": 100, "probes": 2, "recall": 0.16, "valid": true, "pilot": "/mnt/d/paper_source/work_9/VeriANN_repro_2026-09-30/VeriANN_repro_2026-09-30/results/work9-low-baselines-20261021/search-pilots/glove100/VLAH-pilot-1183514-resource-phase0-ea8772e968"}}</t>
      </text>
    </comment>
    <comment ref="G36" authorId="6" shapeId="0">
      <text>
        <t>仅补充低召回率曲线；默认约95%配置及其数据保持不变。20条查询IDs100..119×3次，单线程，完整VO生成与验证。目标和实际召回不同，填实际值。
{"k": 10, "ef": 100, "probes": 4, "recall": 0.21, "query_ms": 15.247649233333332, "verify_ms": 43.27356721666667, "vo_kb": 6706.90815, "samples": 60, "status": "passed", "output": "/mnt/d/paper_source/work_9/VeriANN_repro_2026-09-30/VeriANN_repro_2026-09-30/results/work9-low-baselines-20261021/glove100/VLAH/glove100-1183514-low-e100", "csv_sha256": "b811fcca183b70ec987eb7a3c394554c5afa93d87416ca1e47f78a5f3ddb5ff5", "target": 0.2, "selection": {"ef": 100, "probes": 4, "recall": 0.21000000000000002, "valid": true, "pilot": "/mnt/d/paper_source/work_9/VeriANN_repro_2026-09-30/VeriANN_repro_2026-09-30/results/work9-low-baselines-20261021/search-pilots/glove100/VLAH-pilot-1183514-resource-phase0-ea8772e968"}}</t>
      </text>
    </comment>
    <comment ref="H36" authorId="6" shapeId="0">
      <text>
        <t>仅补充低召回率曲线；默认约95%配置及其数据保持不变。20条查询IDs100..119×3次，单线程，完整VO生成与验证。目标和实际召回不同，填实际值。
{"k": 10, "ef": 100, "probes": 5, "recall": 0.265, "query_ms": 19.975985016666666, "verify_ms": 56.788586083333335, "vo_kb": 8406.96125, "samples": 60, "status": "passed", "output": "/mnt/d/paper_source/work_9/VeriANN_repro_2026-09-30/VeriANN_repro_2026-09-30/results/work9-low-baselines-20261021/glove100/VLAH/glove100-1183514-low-e100", "csv_sha256": "b811fcca183b70ec987eb7a3c394554c5afa93d87416ca1e47f78a5f3ddb5ff5", "target": 0.25, "selection": {"ef": 100, "probes": 5, "recall": 0.265, "valid": true, "pilot": "/mnt/d/paper_source/work_9/VeriANN_repro_2026-09-30/VeriANN_repro_2026-09-30/results/work9-low-baselines-20261021/search-pilots/glove100/VLAH-pilot-1183514-resource-phase0-ea8772e968"}}</t>
      </text>
    </comment>
    <comment ref="I36" authorId="6" shapeId="0">
      <text>
        <t>仅补充低召回率曲线；默认约95%配置及其数据保持不变。20条查询IDs100..119×3次，单线程，完整VO生成与验证。目标和实际召回不同，填实际值。
{"k": 10, "ef": 100, "probes": 7, "recall": 0.315, "query_ms": 27.80805708333333, "verify_ms": 80.16261456666666, "vo_kb": 11749.45825, "samples": 60, "status": "passed", "output": "/mnt/d/paper_source/work_9/VeriANN_repro_2026-09-30/VeriANN_repro_2026-09-30/results/work9-low-baselines-20261021/glove100/VLAH/glove100-1183514-low-e100", "csv_sha256": "b811fcca183b70ec987eb7a3c394554c5afa93d87416ca1e47f78a5f3ddb5ff5", "target": 0.3, "selection": {"ef": 100, "probes": 7, "recall": 0.315, "valid": true, "pilot": "/mnt/d/paper_source/work_9/VeriANN_repro_2026-09-30/VeriANN_repro_2026-09-30/results/work9-low-baselines-20261021/search-pilots/glove100/VLAH-pilot-1183514-resource-phase0-ea8772e968"}}</t>
      </text>
    </comment>
    <comment ref="J36" authorId="6" shapeId="0">
      <text>
        <t>仅补充低召回率曲线；默认约95%配置及其数据保持不变。20条查询IDs100..119×3次，单线程，完整VO生成与验证。目标和实际召回不同，填实际值。
{"k": 10, "ef": 100, "probes": 11, "recall": 0.365, "query_ms": 46.37682319999999, "verify_ms": 126.2832732, "vo_kb": 18520.25115, "samples": 60, "status": "passed", "output": "/mnt/d/paper_source/work_9/VeriANN_repro_2026-09-30/VeriANN_repro_2026-09-30/results/work9-low-baselines-20261021/glove100/VLAH/glove100-1183514-low-e100", "csv_sha256": "b811fcca183b70ec987eb7a3c394554c5afa93d87416ca1e47f78a5f3ddb5ff5", "target": 0.35, "selection": {"ef": 100, "probes": 11, "recall": 0.365, "valid": true, "pilot": "/mnt/d/paper_source/work_9/VeriANN_repro_2026-09-30/VeriANN_repro_2026-09-30/results/work9-low-baselines-20261021/search-pilots/glove100/VLAH-pilot-1183514-resource-phase0-ea8772e968"}}</t>
      </text>
    </comment>
    <comment ref="K36" authorId="6" shapeId="0">
      <text>
        <t>仅补充低召回率曲线；默认约95%配置及其数据保持不变。20条查询IDs100..119×3次，单线程，完整VO生成与验证。目标和实际召回不同，填实际值。
{"k": 10, "ef": 100, "probes": 14, "recall": 0.41000000000000003, "query_ms": 60.56633123333333, "verify_ms": 162.54243325000002, "vo_kb": 23529.4354, "samples": 60, "status": "passed", "output": "/mnt/d/paper_source/work_9/VeriANN_repro_2026-09-30/VeriANN_repro_2026-09-30/results/work9-low-baselines-20261021/glove100/VLAH/glove100-1183514-low-e100", "csv_sha256": "b811fcca183b70ec987eb7a3c394554c5afa93d87416ca1e47f78a5f3ddb5ff5", "target": 0.4, "selection": {"ef": 100, "probes": 14, "recall": 0.41, "valid": true, "pilot": "/mnt/d/paper_source/work_9/VeriANN_repro_2026-09-30/VeriANN_repro_2026-09-30/results/work9-low-baselines-20261021/search-pilots/glove100/VLAH-pilot-1183514-resource-phase0-ea8772e968"}}</t>
      </text>
    </comment>
    <comment ref="L36" authorId="6" shapeId="0">
      <text>
        <t>仅补充低召回率曲线；默认约95%配置及其数据保持不变。20条查询IDs100..119×3次，单线程，完整VO生成与验证。目标和实际召回不同，填实际值。
{"k": 10, "ef": 100, "probes": 17, "recall": 0.45, "query_ms": 73.60962283333333, "verify_ms": 196.11805404999998, "vo_kb": 28612.079149999998, "samples": 60, "status": "passed", "output": "/mnt/d/paper_source/work_9/VeriANN_repro_2026-09-30/VeriANN_repro_2026-09-30/results/work9-low-baselines-20261021/glove100/VLAH/glove100-1183514-low-e100", "csv_sha256": "b811fcca183b70ec987eb7a3c394554c5afa93d87416ca1e47f78a5f3ddb5ff5", "target": 0.45, "selection": {"ef": 100, "probes": 17, "recall": 0.45, "valid": true, "pilot": "/mnt/d/paper_source/work_9/VeriANN_repro_2026-09-30/VeriANN_repro_2026-09-30/results/work9-low-baselines-20261021/search-pilots/glove100/VLAH-pilot-1183514-resource-phase0-ea8772e968"}}</t>
      </text>
    </comment>
    <comment ref="M36" authorId="6" shapeId="0">
      <text>
        <t>仅补充低召回率曲线；默认约95%配置及其数据保持不变。20条查询IDs100..119×3次，单线程，完整VO生成与验证。目标和实际召回不同，填实际值。
{"k": 10, "ef": 100, "probes": 21, "recall": 0.525, "query_ms": 94.38046846666666, "verify_ms": 241.9402729, "vo_kb": 35285.3301, "samples": 60, "status": "passed", "output": "/mnt/d/paper_source/work_9/VeriANN_repro_2026-09-30/VeriANN_repro_2026-09-30/results/work9-low-baselines-20261021/glove100/VLAH/glove100-1183514-low-e100", "csv_sha256": "b811fcca183b70ec987eb7a3c394554c5afa93d87416ca1e47f78a5f3ddb5ff5", "target": 0.5, "selection": {"ef": 100, "probes": 21, "recall": 0.525, "valid": true, "pilot": "/mnt/d/paper_source/work_9/VeriANN_repro_2026-09-30/VeriANN_repro_2026-09-30/results/work9-low-baselines-20261021/search-pilots/glove100/VLAH-pilot-1183514-resource-phase0-ea8772e968"}}</t>
      </text>
    </comment>
    <comment ref="N36" authorId="6" shapeId="0">
      <text>
        <t>仅补充低召回率曲线；默认约95%配置及其数据保持不变。20条查询IDs100..119×3次，单线程，完整VO生成与验证。目标和实际召回不同，填实际值。
{"k": 10, "ef": 100, "probes": 23, "recall": 0.5549999999999999, "query_ms": 107.98516335000001, "verify_ms": 267.0983323333333, "vo_kb": 38604.66135, "samples": 60, "status": "passed", "output": "/mnt/d/paper_source/work_9/VeriANN_repro_2026-09-30/VeriANN_repro_2026-09-30/results/work9-low-baselines-20261021/glove100/VLAH/glove100-1183514-low-e100", "csv_sha256": "b811fcca183b70ec987eb7a3c394554c5afa93d87416ca1e47f78a5f3ddb5ff5", "target": 0.55, "selection": {"ef": 100, "probes": 23, "recall": 0.5549999999999999, "valid": true, "pilot": "/mnt/d/paper_source/work_9/VeriANN_repro_2026-09-30/VeriANN_repro_2026-09-30/results/work9-low-baselines-20261021/search-pilots/glove100/VLAH-pilot-1183514-resource-phase0-ea8772e968"}}</t>
      </text>
    </comment>
    <comment ref="O36" authorId="0" shapeId="0">
      <text>
        <t>GloVe-100; VLAH; N=1183514; M=16; efConstruction=200; k=10; efSearch/E=200; probes=26; LSH width=0.33011345496943795
Actual recall=60.0000%;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P36" authorId="0" shapeId="0">
      <text>
        <t>GloVe-100; VLAH; N=1183514; M=16; efConstruction=200; k=10; efSearch/E=200; probes=29; LSH width=0.33011345496943795
Actual recall=66.0000%;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Q36" authorId="0" shapeId="0">
      <text>
        <t>GloVe-100; VLAH; N=1183514; M=16; efConstruction=200; k=10; efSearch/E=200; probes=34; LSH width=0.33011345496943795
Actual recall=70.0000%;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R36" authorId="0" shapeId="0">
      <text>
        <t>GloVe-100; VLAH; N=1183514; M=16; efConstruction=200; k=10; efSearch/E=200; probes=37; LSH width=0.33011345496943795
Actual recall=75.5000%;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S36" authorId="0" shapeId="0">
      <text>
        <t>GloVe-100; VLAH; N=1183514; M=16; efConstruction=200; k=10; efSearch/E=200; probes=40; LSH width=0.33011345496943795
Actual recall=80.0000%;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T36" authorId="0" shapeId="0">
      <text>
        <t>GloVe-100; VLAH; N=1183514; M=16; efConstruction=200; k=10; efSearch/E=200; probes=48; LSH width=0.33011345496943795
Actual recall=85.0000%;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U36" authorId="0" shapeId="0">
      <text>
        <t>GloVe-100; VLAH; N=1183514; M=16; efConstruction=200; k=10; efSearch/E=200; probes=52; LSH width=0.33011345496943795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V36" authorId="0" shapeId="0">
      <text>
        <t>GloVe-100; VLAH; N=1183514; M=16; efConstruction=200; k=10;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W36" authorId="0" shapeId="0">
      <text>
        <t>GloVe-100; VLAH; N=1183514; M=16; efConstruction=200; k=10; efSearch/E=200; probes=58; LSH width=0.33011345496943795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X36" authorId="0" shapeId="0">
      <text>
        <t>GloVe-100; VLAH; N=1183514; M=16; efConstruction=200; k=10; efSearch/E=200; probes=60; LSH width=0.33011345496943795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Y36" authorId="0" shapeId="0">
      <text>
        <t>GloVe-100; VLAH; N=1183514; M=16; efConstruction=200; k=10; efSearch/E=200; probes=60; LSH width=0.33011345496943795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D37" authorId="2" shapeId="0">
      <text>
        <t xml:space="preserve">* 表示性能指标为用户指定系数调整值，不是原始实测值。配置及实际召回见原始补测附表。
原有批注（历史来源）：
</t>
      </text>
    </comment>
    <comment ref="F37" authorId="6" shapeId="0">
      <text>
        <t>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0.15, "selection": {"ef": 10, "probes": 1, "recall": 0.36, "valid": true, "pilot": "/mnt/d/paper_source/work_9/VeriANN_repro_2026-09-30/VeriANN_repro_2026-09-30/results/work9-low-baselines-20261021/search-pilots/glove100/ANNProof-pilot-1183514-resource-phase0-a7e2488e41"}}</t>
      </text>
    </comment>
    <comment ref="G37" authorId="6" shapeId="0">
      <text>
        <t>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0.2, "selection": {"ef": 10, "probes": 1, "recall": 0.36, "valid": true, "pilot": "/mnt/d/paper_source/work_9/VeriANN_repro_2026-09-30/VeriANN_repro_2026-09-30/results/work9-low-baselines-20261021/search-pilots/glove100/ANNProof-pilot-1183514-resource-phase0-a7e2488e41"}}</t>
      </text>
    </comment>
    <comment ref="H37" authorId="6" shapeId="0">
      <text>
        <t>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0.25, "selection": {"ef": 10, "probes": 1, "recall": 0.36, "valid": true, "pilot": "/mnt/d/paper_source/work_9/VeriANN_repro_2026-09-30/VeriANN_repro_2026-09-30/results/work9-low-baselines-20261021/search-pilots/glove100/ANNProof-pilot-1183514-resource-phase0-a7e2488e41"}}</t>
      </text>
    </comment>
    <comment ref="I37" authorId="6" shapeId="0">
      <text>
        <t>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0.3, "selection": {"ef": 10, "probes": 1, "recall": 0.36, "valid": true, "pilot": "/mnt/d/paper_source/work_9/VeriANN_repro_2026-09-30/VeriANN_repro_2026-09-30/results/work9-low-baselines-20261021/search-pilots/glove100/ANNProof-pilot-1183514-resource-phase0-a7e2488e41"}}</t>
      </text>
    </comment>
    <comment ref="J37" authorId="6" shapeId="0">
      <text>
        <t>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0.35, "selection": {"ef": 10, "probes": 1, "recall": 0.36, "valid": true, "pilot": "/mnt/d/paper_source/work_9/VeriANN_repro_2026-09-30/VeriANN_repro_2026-09-30/results/work9-low-baselines-20261021/search-pilots/glove100/ANNProof-pilot-1183514-resource-phase0-a7e2488e41"}}</t>
      </text>
    </comment>
    <comment ref="K37" authorId="2" shapeId="0">
      <text>
        <t>本次真实补测：20条查询IDs100..119×3次，单线程；实际召回率不乘系数。
{"k": 10, "ef": 14, "probes": 1, "recall": 0.4, "query_ms": 1.8456097333333334, "verify_ms": 9.01886395, "vo_kb": 693.6684, "samples": 60, "status": "passed", "output": "/mnt/d/paper_source/work_9/VeriANN_repro_2026-09-30/VeriANN_repro_2026-09-30/results/work9-annproof-low-adjusted-20261021/measurements/glove100-M16-efc200", "csv_sha256": "0cab08c521bfec0c11d139ba60ae053e763ec24f73d160066ca2f6547738db32", "M": 16, "efc": 200, "target": 0.4, "pilot": {"M": 16, "efc": 200, "ef": 14, "recall": 0.4,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14, "probes": 1, "recall": 0.4, "query_ms": 1.87985775, "verify_ms": 9.1337694, "vo_kb": 693.6684, "samples": 60, "status": "passed", "output": "/mnt/d/paper_source/work_9/VeriANN_repro_2026-09-30/VeriANN_repro_2026-09-30/results/work9-low-baselines-20261021/glove100/ANNProof/glove100-1183514-low-all", "csv_sha256": "e4a92b533b99e11d8dc792b4a97af8bb20b1496953c56b3515c76a4ab2167db1", "target": 0.4, "selection": {"ef": 14, "probes": 1, "recall": 0.4, "valid": true, "pilot": "/mnt/d/paper_source/work_9/VeriANN_repro_2026-09-30/VeriANN_repro_2026-09-30/results/work9-low-baselines-20261021/search-pilots/glove100/ANNProof-pilot-1183514-resource-phase0-a7e2488e41"}}</t>
      </text>
    </comment>
    <comment ref="L37" authorId="2" shapeId="0">
      <text>
        <t>本次真实补测：20条查询IDs100..119×3次，单线程；实际召回率不乘系数。
{"k": 10, "ef": 19, "probes": 1, "recall": 0.455, "query_ms": 2.1463292166666665, "verify_ms": 10.753225516666667, "vo_kb": 830.1814, "samples": 60, "status": "passed", "output": "/mnt/d/paper_source/work_9/VeriANN_repro_2026-09-30/VeriANN_repro_2026-09-30/results/work9-annproof-low-adjusted-20261021/measurements/glove100-M16-efc200", "csv_sha256": "0cab08c521bfec0c11d139ba60ae053e763ec24f73d160066ca2f6547738db32", "M": 16, "efc": 200, "target": 0.45, "pilot": {"M": 16, "efc": 200, "ef": 19, "recall": 0.45499999999999996,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19, "probes": 1, "recall": 0.455, "query_ms": 2.1073542833333336, "verify_ms": 10.878128933333333, "vo_kb": 830.1814, "samples": 60, "status": "passed", "output": "/mnt/d/paper_source/work_9/VeriANN_repro_2026-09-30/VeriANN_repro_2026-09-30/results/work9-low-baselines-20261021/glove100/ANNProof/glove100-1183514-low-all", "csv_sha256": "e4a92b533b99e11d8dc792b4a97af8bb20b1496953c56b3515c76a4ab2167db1", "target": 0.45, "selection": {"ef": 19, "probes": 1, "recall": 0.45499999999999996, "valid": true, "pilot": "/mnt/d/paper_source/work_9/VeriANN_repro_2026-09-30/VeriANN_repro_2026-09-30/results/work9-low-baselines-20261021/search-pilots/glove100/ANNProof-pilot-1183514-resource-phase0-a7e2488e41"}}</t>
      </text>
    </comment>
    <comment ref="M37" authorId="2" shapeId="0">
      <text>
        <t>本次真实补测：20条查询IDs100..119×3次，单线程；实际召回率不乘系数。
{"k": 10, "ef": 29, "probes": 1, "recall": 0.505, "query_ms": 2.9589326, "verify_ms": 13.854632, "vo_kb": 1026.1096, "samples": 60, "status": "passed", "output": "/mnt/d/paper_source/work_9/VeriANN_repro_2026-09-30/VeriANN_repro_2026-09-30/results/work9-annproof-low-adjusted-20261021/measurements/glove100-M16-efc200", "csv_sha256": "0cab08c521bfec0c11d139ba60ae053e763ec24f73d160066ca2f6547738db32", "M": 16, "efc": 200, "target": 0.5, "pilot": {"M": 16, "efc": 200, "ef": 29, "recall": 0.505,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29, "probes": 1, "recall": 0.505, "query_ms": 2.662615833333333, "verify_ms": 13.302716199999999, "vo_kb": 1026.1096, "samples": 60, "status": "passed", "output": "/mnt/d/paper_source/work_9/VeriANN_repro_2026-09-30/VeriANN_repro_2026-09-30/results/work9-low-baselines-20261021/glove100/ANNProof/glove100-1183514-low-all", "csv_sha256": "e4a92b533b99e11d8dc792b4a97af8bb20b1496953c56b3515c76a4ab2167db1", "target": 0.5, "selection": {"ef": 29, "probes": 1, "recall": 0.505, "valid": true, "pilot": "/mnt/d/paper_source/work_9/VeriANN_repro_2026-09-30/VeriANN_repro_2026-09-30/results/work9-low-baselines-20261021/search-pilots/glove100/ANNProof-pilot-1183514-resource-phase0-a7e2488e41"}}</t>
      </text>
    </comment>
    <comment ref="N37" authorId="2" shapeId="0">
      <text>
        <t>本次真实补测：20条查询IDs100..119×3次，单线程；实际召回率不乘系数。
{"k": 10, "ef": 38, "probes": 1, "recall": 0.565, "query_ms": 3.5463415666666664, "verify_ms": 16.505657483333334, "vo_kb": 1245.8634, "samples": 60, "status": "passed", "output": "/mnt/d/paper_source/work_9/VeriANN_repro_2026-09-30/VeriANN_repro_2026-09-30/results/work9-annproof-low-adjusted-20261021/measurements/glove100-M16-efc200", "csv_sha256": "0cab08c521bfec0c11d139ba60ae053e763ec24f73d160066ca2f6547738db32", "M": 16, "efc": 200, "target": 0.55, "pilot": {"M": 16, "efc": 200, "ef": 38, "recall": 0.5650000000000001,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38, "probes": 1, "recall": 0.565, "query_ms": 3.3035124500000004, "verify_ms": 16.078620033333333, "vo_kb": 1245.8634, "samples": 60, "status": "passed", "output": "/mnt/d/paper_source/work_9/VeriANN_repro_2026-09-30/VeriANN_repro_2026-09-30/results/work9-low-baselines-20261021/glove100/ANNProof/glove100-1183514-low-all", "csv_sha256": "e4a92b533b99e11d8dc792b4a97af8bb20b1496953c56b3515c76a4ab2167db1", "target": 0.55, "selection": {"ef": 38, "probes": 1, "recall": 0.5650000000000001, "valid": true, "pilot": "/mnt/d/paper_source/work_9/VeriANN_repro_2026-09-30/VeriANN_repro_2026-09-30/results/work9-low-baselines-20261021/search-pilots/glove100/ANNProof-pilot-1183514-resource-phase0-a7e2488e41"}}</t>
      </text>
    </comment>
    <comment ref="O37" authorId="2" shapeId="0">
      <text>
        <t>本次真实补测：20条查询IDs100..119×3次，单线程；实际召回率不乘系数。
{"k": 10, "ef": 49, "probes": 1, "recall": 0.6, "query_ms": 4.002683916666667, "verify_ms": 18.9798409, "vo_kb": 1440.1246, "samples": 60, "status": "passed", "output": "/mnt/d/paper_source/work_9/VeriANN_repro_2026-09-30/VeriANN_repro_2026-09-30/results/work9-annproof-low-adjusted-20261021/measurements/glove100-M16-efc200", "csv_sha256": "0cab08c521bfec0c11d139ba60ae053e763ec24f73d160066ca2f6547738db32", "M": 16, "efc": 200, "target": 0.6, "pilot": {"M": 16, "efc": 200, "ef": 49, "recall": 0.6, "valid": true, "pilot": "/mnt/d/paper_source/work_9/VeriANN_repro_2026-09-30/VeriANN_repro_2026-09-30/results/work9-annproof-low-adjusted-20261021/pilots/glove100-M16-efc200"}}
原有批注（历史来源）：
GloVe-100; ANNProof; N=1183514; M=16; efConstruction=200; k=10; efSearch/E=64; probes=1; LSH width=not used
Actual recall=66.5000%;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P37" authorId="2" shapeId="0">
      <text>
        <t>本次真实补测：20条查询IDs100..119×3次，单线程；实际召回率不乘系数。
{"k": 10, "ef": 64, "probes": 1, "recall": 0.6649999999999999, "query_ms": 5.100157533333333, "verify_ms": 23.386725333333334, "vo_kb": 1768.2552, "samples": 60, "status": "passed", "output": "/mnt/d/paper_source/work_9/VeriANN_repro_2026-09-30/VeriANN_repro_2026-09-30/results/work9-annproof-low-adjusted-20261021/measurements/glove100-M16-efc200", "csv_sha256": "0cab08c521bfec0c11d139ba60ae053e763ec24f73d160066ca2f6547738db32", "M": 16, "efc": 200, "target": 0.65, "pilot": {"M": 16, "efc": 200, "ef": 64, "recall": 0.665, "valid": true, "pilot": "/mnt/d/paper_source/work_9/VeriANN_repro_2026-09-30/VeriANN_repro_2026-09-30/results/work9-annproof-low-adjusted-20261021/pilots/glove100-M16-efc200"}}
原有批注（历史来源）：
GloVe-100; ANNProof; N=1183514; M=16; efConstruction=200; k=10; efSearch/E=64; probes=1; LSH width=not used
Actual recall=66.5000%;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Q37" authorId="2" shapeId="0">
      <text>
        <t>本次真实补测：20条查询IDs100..119×3次，单线程；实际召回率不乘系数。
{"k": 10, "ef": 109, "probes": 1, "recall": 0.7, "query_ms": 7.6252956, "verify_ms": 33.70188528333333, "vo_kb": 2517.2104, "samples": 60, "status": "passed", "output": "/mnt/d/paper_source/work_9/VeriANN_repro_2026-09-30/VeriANN_repro_2026-09-30/results/work9-annproof-low-adjusted-20261021/measurements/glove100-M16-efc200", "csv_sha256": "0cab08c521bfec0c11d139ba60ae053e763ec24f73d160066ca2f6547738db32", "M": 16, "efc": 200, "target": 0.7, "pilot": {"M": 16, "efc": 200, "ef": 109, "recall": 0.7, "valid": true, "pilot": "/mnt/d/paper_source/work_9/VeriANN_repro_2026-09-30/VeriANN_repro_2026-09-30/results/work9-annproof-low-adjusted-20261021/pilots/glove100-M16-efc200"}}
原有批注（历史来源）：
GloVe-100; ANNProof; N=1183514; M=16; efConstruction=200; k=10; efSearch/E=128; probes=1; LSH width=not used
Actual recall=77.5000%;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R37" authorId="2" shapeId="0">
      <text>
        <t>本次真实补测：20条查询IDs100..119×3次，单线程；实际召回率不乘系数。
{"k": 10, "ef": 111, "probes": 1, "recall": 0.76, "query_ms": 7.825042366666667, "verify_ms": 35.01635556666667, "vo_kb": 2621.0818, "samples": 60, "status": "passed", "output": "/mnt/d/paper_source/work_9/VeriANN_repro_2026-09-30/VeriANN_repro_2026-09-30/results/work9-annproof-low-adjusted-20261021/measurements/glove100-M16-efc200", "csv_sha256": "0cab08c521bfec0c11d139ba60ae053e763ec24f73d160066ca2f6547738db32", "M": 16, "efc": 200, "target": 0.75, "pilot": {"M": 16, "efc": 200, "ef": 111, "recall": 0.76, "valid": true, "pilot": "/mnt/d/paper_source/work_9/VeriANN_repro_2026-09-30/VeriANN_repro_2026-09-30/results/work9-annproof-low-adjusted-20261021/pilots/glove100-M16-efc200"}}
原有批注（历史来源）：
GloVe-100; ANNProof; N=1183514; M=16; efConstruction=200; k=10; efSearch/E=128; probes=1; LSH width=not used
Actual recall=77.5000%;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S37" authorId="2" shapeId="0">
      <text>
        <t>本次真实补测：20条查询IDs100..119×3次，单线程；实际召回率不乘系数。
{"k": 10, "ef": 147, "probes": 1, "recall": 0.8049999999999999, "query_ms": 9.670231033333334, "verify_ms": 42.93240513333333, "vo_kb": 3202.7554, "samples": 60, "status": "passed", "output": "/mnt/d/paper_source/work_9/VeriANN_repro_2026-09-30/VeriANN_repro_2026-09-30/results/work9-annproof-low-adjusted-20261021/measurements/glove100-M16-efc200", "csv_sha256": "0cab08c521bfec0c11d139ba60ae053e763ec24f73d160066ca2f6547738db32", "M": 16, "efc": 200, "target": 0.8, "pilot": {"M": 16, "efc": 200, "ef": 147, "recall": 0.805, "valid": true, "pilot": "/mnt/d/paper_source/work_9/VeriANN_repro_2026-09-30/VeriANN_repro_2026-09-30/results/work9-annproof-low-adjusted-20261021/pilots/glove100-M16-efc200"}}
原有批注（历史来源）：
GloVe-100; ANNProof; N=1183514; M=16; efConstruction=200; k=10; efSearch/E=192; probes=1; LSH width=not used
Actual recall=83.5000%;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T37" authorId="0" shapeId="0">
      <text>
        <t>GloVe-100; ANNProof; N=1183514; M=16; efConstruction=200; k=10; efSearch/E=256; probes=1; LSH width=not used
Actual recall=87.5000%;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U37" authorId="0" shapeId="0">
      <text>
        <t>GloVe-100; ANNProof; N=1183514; M=16; efConstruction=200; k=10; efSearch/E=384; probes=1; LSH width=not used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V37" authorId="0" shapeId="0">
      <text>
        <t>GloVe-100; ANNProof; N=1183514; M=16; efConstruction=200; k=10; efSearch/E=1536; probes=1; LSH width=not used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W37" authorId="0" shapeId="0">
      <text>
        <t>GloVe-100; ANNProof; N=1183514; M=16; efConstruction=200; k=10; efSearch/E=2048;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X37" authorId="0" shapeId="0">
      <text>
        <t>GloVe-100; ANNProof; N=1183514; M=16; efConstruction=200; k=10; efSearch/E=4096;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Y37" authorId="0" shapeId="0">
      <text>
        <t>GloVe-100; ANNProof; N=1183514; M=16; efConstruction=200; k=10; efSearch/E=8192; probes=1; LSH width=not used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F38" authorId="2" shapeId="0">
      <text>
        <t>用户指定系数调整值；不是原始实测数值。指标=verify_ms；原始值=6.7090336500000003；系数=1.5；调整值=10.063550475。召回率不调整。原始CSV/附表保留。
原有批注（历史来源）：
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0.15, "selection": {"ef": 10, "probes": 1, "recall": 0.36, "valid": true, "pilot": "/mnt/d/paper_source/work_9/VeriANN_repro_2026-09-30/VeriANN_repro_2026-09-30/results/work9-low-baselines-20261021/search-pilots/glove100/ANNProof-pilot-1183514-resource-phase0-a7e2488e41"}}</t>
      </text>
    </comment>
    <comment ref="G38" authorId="2" shapeId="0">
      <text>
        <t>用户指定系数调整值；不是原始实测数值。指标=verify_ms；原始值=6.7090336500000003；系数=1.5；调整值=10.063550475。召回率不调整。原始CSV/附表保留。
原有批注（历史来源）：
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0.2, "selection": {"ef": 10, "probes": 1, "recall": 0.36, "valid": true, "pilot": "/mnt/d/paper_source/work_9/VeriANN_repro_2026-09-30/VeriANN_repro_2026-09-30/results/work9-low-baselines-20261021/search-pilots/glove100/ANNProof-pilot-1183514-resource-phase0-a7e2488e41"}}</t>
      </text>
    </comment>
    <comment ref="H38" authorId="2" shapeId="0">
      <text>
        <t>用户指定系数调整值；不是原始实测数值。指标=verify_ms；原始值=6.7090336500000003；系数=1.5；调整值=10.063550475。召回率不调整。原始CSV/附表保留。
原有批注（历史来源）：
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0.25, "selection": {"ef": 10, "probes": 1, "recall": 0.36, "valid": true, "pilot": "/mnt/d/paper_source/work_9/VeriANN_repro_2026-09-30/VeriANN_repro_2026-09-30/results/work9-low-baselines-20261021/search-pilots/glove100/ANNProof-pilot-1183514-resource-phase0-a7e2488e41"}}</t>
      </text>
    </comment>
    <comment ref="I38" authorId="2" shapeId="0">
      <text>
        <t>用户指定系数调整值；不是原始实测数值。指标=verify_ms；原始值=6.7090336500000003；系数=1.5；调整值=10.063550475。召回率不调整。原始CSV/附表保留。
原有批注（历史来源）：
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0.3, "selection": {"ef": 10, "probes": 1, "recall": 0.36, "valid": true, "pilot": "/mnt/d/paper_source/work_9/VeriANN_repro_2026-09-30/VeriANN_repro_2026-09-30/results/work9-low-baselines-20261021/search-pilots/glove100/ANNProof-pilot-1183514-resource-phase0-a7e2488e41"}}</t>
      </text>
    </comment>
    <comment ref="J38" authorId="2" shapeId="0">
      <text>
        <t>用户指定系数调整值；不是原始实测数值。指标=verify_ms；原始值=6.7090336500000003；系数=1.5；调整值=10.063550475。召回率不调整。原始CSV/附表保留。
原有批注（历史来源）：
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0.35, "selection": {"ef": 10, "probes": 1, "recall": 0.36, "valid": true, "pilot": "/mnt/d/paper_source/work_9/VeriANN_repro_2026-09-30/VeriANN_repro_2026-09-30/results/work9-low-baselines-20261021/search-pilots/glove100/ANNProof-pilot-1183514-resource-phase0-a7e2488e41"}}</t>
      </text>
    </comment>
    <comment ref="K38" authorId="2" shapeId="0">
      <text>
        <t>用户指定系数调整值；不是原始实测数值。指标=verify_ms；原始值=9.0188639500000001；系数=1.5；调整值=13.528295925。召回率不调整。原始CSV/附表保留。
原有批注（历史来源）：
本单元格先替换为本次原始测量，随后按统一系数调整。
{"k": 10, "ef": 14, "probes": 1, "recall": 0.4, "query_ms": 1.8456097333333334, "verify_ms": 9.01886395, "vo_kb": 693.6684, "samples": 60, "status": "passed", "output": "/mnt/d/paper_source/work_9/VeriANN_repro_2026-09-30/VeriANN_repro_2026-09-30/results/work9-annproof-low-adjusted-20261021/measurements/glove100-M16-efc200", "csv_sha256": "0cab08c521bfec0c11d139ba60ae053e763ec24f73d160066ca2f6547738db32", "M": 16, "efc": 200, "target": 0.4, "pilot": {"M": 16, "efc": 200, "ef": 14, "recall": 0.4,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14, "probes": 1, "recall": 0.4, "query_ms": 1.87985775, "verify_ms": 9.1337694, "vo_kb": 693.6684, "samples": 60, "status": "passed", "output": "/mnt/d/paper_source/work_9/VeriANN_repro_2026-09-30/VeriANN_repro_2026-09-30/results/work9-low-baselines-20261021/glove100/ANNProof/glove100-1183514-low-all", "csv_sha256": "e4a92b533b99e11d8dc792b4a97af8bb20b1496953c56b3515c76a4ab2167db1", "target": 0.4, "selection": {"ef": 14, "probes": 1, "recall": 0.4, "valid": true, "pilot": "/mnt/d/paper_source/work_9/VeriANN_repro_2026-09-30/VeriANN_repro_2026-09-30/results/work9-low-baselines-20261021/search-pilots/glove100/ANNProof-pilot-1183514-resource-phase0-a7e2488e41"}}</t>
      </text>
    </comment>
    <comment ref="L38" authorId="2" shapeId="0">
      <text>
        <t>用户指定系数调整值；不是原始实测数值。指标=verify_ms；原始值=10.753225516666667；系数=1.5；调整值=16.129838275000001。召回率不调整。原始CSV/附表保留。
原有批注（历史来源）：
本单元格先替换为本次原始测量，随后按统一系数调整。
{"k": 10, "ef": 19, "probes": 1, "recall": 0.455, "query_ms": 2.1463292166666665, "verify_ms": 10.753225516666667, "vo_kb": 830.1814, "samples": 60, "status": "passed", "output": "/mnt/d/paper_source/work_9/VeriANN_repro_2026-09-30/VeriANN_repro_2026-09-30/results/work9-annproof-low-adjusted-20261021/measurements/glove100-M16-efc200", "csv_sha256": "0cab08c521bfec0c11d139ba60ae053e763ec24f73d160066ca2f6547738db32", "M": 16, "efc": 200, "target": 0.45, "pilot": {"M": 16, "efc": 200, "ef": 19, "recall": 0.45499999999999996,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19, "probes": 1, "recall": 0.455, "query_ms": 2.1073542833333336, "verify_ms": 10.878128933333333, "vo_kb": 830.1814, "samples": 60, "status": "passed", "output": "/mnt/d/paper_source/work_9/VeriANN_repro_2026-09-30/VeriANN_repro_2026-09-30/results/work9-low-baselines-20261021/glove100/ANNProof/glove100-1183514-low-all", "csv_sha256": "e4a92b533b99e11d8dc792b4a97af8bb20b1496953c56b3515c76a4ab2167db1", "target": 0.45, "selection": {"ef": 19, "probes": 1, "recall": 0.45499999999999996, "valid": true, "pilot": "/mnt/d/paper_source/work_9/VeriANN_repro_2026-09-30/VeriANN_repro_2026-09-30/results/work9-low-baselines-20261021/search-pilots/glove100/ANNProof-pilot-1183514-resource-phase0-a7e2488e41"}}</t>
      </text>
    </comment>
    <comment ref="M38" authorId="2" shapeId="0">
      <text>
        <t>用户指定系数调整值；不是原始实测数值。指标=verify_ms；原始值=13.854632000000001；系数=1.5；调整值=20.781948。召回率不调整。原始CSV/附表保留。
原有批注（历史来源）：
本单元格先替换为本次原始测量，随后按统一系数调整。
{"k": 10, "ef": 29, "probes": 1, "recall": 0.505, "query_ms": 2.9589326, "verify_ms": 13.854632, "vo_kb": 1026.1096, "samples": 60, "status": "passed", "output": "/mnt/d/paper_source/work_9/VeriANN_repro_2026-09-30/VeriANN_repro_2026-09-30/results/work9-annproof-low-adjusted-20261021/measurements/glove100-M16-efc200", "csv_sha256": "0cab08c521bfec0c11d139ba60ae053e763ec24f73d160066ca2f6547738db32", "M": 16, "efc": 200, "target": 0.5, "pilot": {"M": 16, "efc": 200, "ef": 29, "recall": 0.505,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29, "probes": 1, "recall": 0.505, "query_ms": 2.662615833333333, "verify_ms": 13.302716199999999, "vo_kb": 1026.1096, "samples": 60, "status": "passed", "output": "/mnt/d/paper_source/work_9/VeriANN_repro_2026-09-30/VeriANN_repro_2026-09-30/results/work9-low-baselines-20261021/glove100/ANNProof/glove100-1183514-low-all", "csv_sha256": "e4a92b533b99e11d8dc792b4a97af8bb20b1496953c56b3515c76a4ab2167db1", "target": 0.5, "selection": {"ef": 29, "probes": 1, "recall": 0.505, "valid": true, "pilot": "/mnt/d/paper_source/work_9/VeriANN_repro_2026-09-30/VeriANN_repro_2026-09-30/results/work9-low-baselines-20261021/search-pilots/glove100/ANNProof-pilot-1183514-resource-phase0-a7e2488e41"}}</t>
      </text>
    </comment>
    <comment ref="N38" authorId="2" shapeId="0">
      <text>
        <t>用户指定系数调整值；不是原始实测数值。指标=verify_ms；原始值=16.505657483333334；系数=1.5；调整值=24.758486224999999。召回率不调整。原始CSV/附表保留。
原有批注（历史来源）：
本单元格先替换为本次原始测量，随后按统一系数调整。
{"k": 10, "ef": 38, "probes": 1, "recall": 0.565, "query_ms": 3.5463415666666664, "verify_ms": 16.505657483333334, "vo_kb": 1245.8634, "samples": 60, "status": "passed", "output": "/mnt/d/paper_source/work_9/VeriANN_repro_2026-09-30/VeriANN_repro_2026-09-30/results/work9-annproof-low-adjusted-20261021/measurements/glove100-M16-efc200", "csv_sha256": "0cab08c521bfec0c11d139ba60ae053e763ec24f73d160066ca2f6547738db32", "M": 16, "efc": 200, "target": 0.55, "pilot": {"M": 16, "efc": 200, "ef": 38, "recall": 0.5650000000000001,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38, "probes": 1, "recall": 0.565, "query_ms": 3.3035124500000004, "verify_ms": 16.078620033333333, "vo_kb": 1245.8634, "samples": 60, "status": "passed", "output": "/mnt/d/paper_source/work_9/VeriANN_repro_2026-09-30/VeriANN_repro_2026-09-30/results/work9-low-baselines-20261021/glove100/ANNProof/glove100-1183514-low-all", "csv_sha256": "e4a92b533b99e11d8dc792b4a97af8bb20b1496953c56b3515c76a4ab2167db1", "target": 0.55, "selection": {"ef": 38, "probes": 1, "recall": 0.5650000000000001, "valid": true, "pilot": "/mnt/d/paper_source/work_9/VeriANN_repro_2026-09-30/VeriANN_repro_2026-09-30/results/work9-low-baselines-20261021/search-pilots/glove100/ANNProof-pilot-1183514-resource-phase0-a7e2488e41"}}</t>
      </text>
    </comment>
    <comment ref="O38" authorId="2" shapeId="0">
      <text>
        <t>用户指定系数调整值；不是原始实测数值。指标=verify_ms；原始值=18.979840899999999；系数=1.5；调整值=28.469761349999999。召回率不调整。原始CSV/附表保留。
原有批注（历史来源）：
本单元格先替换为本次原始测量，随后按统一系数调整。
{"k": 10, "ef": 49, "probes": 1, "recall": 0.6, "query_ms": 4.002683916666667, "verify_ms": 18.9798409, "vo_kb": 1440.1246, "samples": 60, "status": "passed", "output": "/mnt/d/paper_source/work_9/VeriANN_repro_2026-09-30/VeriANN_repro_2026-09-30/results/work9-annproof-low-adjusted-20261021/measurements/glove100-M16-efc200", "csv_sha256": "0cab08c521bfec0c11d139ba60ae053e763ec24f73d160066ca2f6547738db32", "M": 16, "efc": 200, "target": 0.6, "pilot": {"M": 16, "efc": 200, "ef": 49, "recall": 0.6, "valid": true, "pilot": "/mnt/d/paper_source/work_9/VeriANN_repro_2026-09-30/VeriANN_repro_2026-09-30/results/work9-annproof-low-adjusted-20261021/pilots/glove100-M16-efc200"}}
原有批注（历史来源）：
GloVe-100; ANNProof; N=1183514; M=16; efConstruction=200; k=10; efSearch/E=64; probes=1; LSH width=not used
Actual recall=66.5000%;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P38" authorId="2" shapeId="0">
      <text>
        <t>用户指定系数调整值；不是原始实测数值。指标=verify_ms；原始值=23.386725333333334；系数=1.5；调整值=35.080088000000003。召回率不调整。原始CSV/附表保留。
原有批注（历史来源）：
本单元格先替换为本次原始测量，随后按统一系数调整。
{"k": 10, "ef": 64, "probes": 1, "recall": 0.6649999999999999, "query_ms": 5.100157533333333, "verify_ms": 23.386725333333334, "vo_kb": 1768.2552, "samples": 60, "status": "passed", "output": "/mnt/d/paper_source/work_9/VeriANN_repro_2026-09-30/VeriANN_repro_2026-09-30/results/work9-annproof-low-adjusted-20261021/measurements/glove100-M16-efc200", "csv_sha256": "0cab08c521bfec0c11d139ba60ae053e763ec24f73d160066ca2f6547738db32", "M": 16, "efc": 200, "target": 0.65, "pilot": {"M": 16, "efc": 200, "ef": 64, "recall": 0.665, "valid": true, "pilot": "/mnt/d/paper_source/work_9/VeriANN_repro_2026-09-30/VeriANN_repro_2026-09-30/results/work9-annproof-low-adjusted-20261021/pilots/glove100-M16-efc200"}}
原有批注（历史来源）：
GloVe-100; ANNProof; N=1183514; M=16; efConstruction=200; k=10; efSearch/E=64; probes=1; LSH width=not used
Actual recall=66.5000%;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Q38" authorId="2" shapeId="0">
      <text>
        <t>用户指定系数调整值；不是原始实测数值。指标=verify_ms；原始值=33.701885283333333；系数=1.5；调整值=50.552827925000003。召回率不调整。原始CSV/附表保留。
原有批注（历史来源）：
本单元格先替换为本次原始测量，随后按统一系数调整。
{"k": 10, "ef": 109, "probes": 1, "recall": 0.7, "query_ms": 7.6252956, "verify_ms": 33.70188528333333, "vo_kb": 2517.2104, "samples": 60, "status": "passed", "output": "/mnt/d/paper_source/work_9/VeriANN_repro_2026-09-30/VeriANN_repro_2026-09-30/results/work9-annproof-low-adjusted-20261021/measurements/glove100-M16-efc200", "csv_sha256": "0cab08c521bfec0c11d139ba60ae053e763ec24f73d160066ca2f6547738db32", "M": 16, "efc": 200, "target": 0.7, "pilot": {"M": 16, "efc": 200, "ef": 109, "recall": 0.7, "valid": true, "pilot": "/mnt/d/paper_source/work_9/VeriANN_repro_2026-09-30/VeriANN_repro_2026-09-30/results/work9-annproof-low-adjusted-20261021/pilots/glove100-M16-efc200"}}
原有批注（历史来源）：
GloVe-100; ANNProof; N=1183514; M=16; efConstruction=200; k=10; efSearch/E=128; probes=1; LSH width=not used
Actual recall=77.5000%;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R38" authorId="2" shapeId="0">
      <text>
        <t>用户指定系数调整值；不是原始实测数值。指标=verify_ms；原始值=35.016355566666668；系数=1.5；调整值=52.524533349999999。召回率不调整。原始CSV/附表保留。
原有批注（历史来源）：
本单元格先替换为本次原始测量，随后按统一系数调整。
{"k": 10, "ef": 111, "probes": 1, "recall": 0.76, "query_ms": 7.825042366666667, "verify_ms": 35.01635556666667, "vo_kb": 2621.0818, "samples": 60, "status": "passed", "output": "/mnt/d/paper_source/work_9/VeriANN_repro_2026-09-30/VeriANN_repro_2026-09-30/results/work9-annproof-low-adjusted-20261021/measurements/glove100-M16-efc200", "csv_sha256": "0cab08c521bfec0c11d139ba60ae053e763ec24f73d160066ca2f6547738db32", "M": 16, "efc": 200, "target": 0.75, "pilot": {"M": 16, "efc": 200, "ef": 111, "recall": 0.76, "valid": true, "pilot": "/mnt/d/paper_source/work_9/VeriANN_repro_2026-09-30/VeriANN_repro_2026-09-30/results/work9-annproof-low-adjusted-20261021/pilots/glove100-M16-efc200"}}
原有批注（历史来源）：
GloVe-100; ANNProof; N=1183514; M=16; efConstruction=200; k=10; efSearch/E=128; probes=1; LSH width=not used
Actual recall=77.5000%;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S38" authorId="2" shapeId="0">
      <text>
        <t>用户指定系数调整值；不是原始实测数值。指标=verify_ms；原始值=42.932405133333333；系数=1.5；调整值=64.398607699999999。召回率不调整。原始CSV/附表保留。
原有批注（历史来源）：
本单元格先替换为本次原始测量，随后按统一系数调整。
{"k": 10, "ef": 147, "probes": 1, "recall": 0.8049999999999999, "query_ms": 9.670231033333334, "verify_ms": 42.93240513333333, "vo_kb": 3202.7554, "samples": 60, "status": "passed", "output": "/mnt/d/paper_source/work_9/VeriANN_repro_2026-09-30/VeriANN_repro_2026-09-30/results/work9-annproof-low-adjusted-20261021/measurements/glove100-M16-efc200", "csv_sha256": "0cab08c521bfec0c11d139ba60ae053e763ec24f73d160066ca2f6547738db32", "M": 16, "efc": 200, "target": 0.8, "pilot": {"M": 16, "efc": 200, "ef": 147, "recall": 0.805, "valid": true, "pilot": "/mnt/d/paper_source/work_9/VeriANN_repro_2026-09-30/VeriANN_repro_2026-09-30/results/work9-annproof-low-adjusted-20261021/pilots/glove100-M16-efc200"}}
原有批注（历史来源）：
GloVe-100; ANNProof; N=1183514; M=16; efConstruction=200; k=10; efSearch/E=192; probes=1; LSH width=not used
Actual recall=83.5000%;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T38" authorId="2" shapeId="0">
      <text>
        <t>用户指定系数调整值；不是原始实测数值。指标=verify_ms；原始值=65.024570533333304；系数=1.5；调整值=97.536855799999955。召回率不调整。原始CSV/附表保留。
原有批注（历史来源）：
GloVe-100; ANNProof; N=1183514; M=16; efConstruction=200; k=10; efSearch/E=256; probes=1; LSH width=not used
Actual recall=87.5000%;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U38" authorId="2" shapeId="0">
      <text>
        <t>用户指定系数调整值；不是原始实测数值。指标=verify_ms；原始值=88.477313683333307；系数=1.5；调整值=132.71597052499996。召回率不调整。原始CSV/附表保留。
原有批注（历史来源）：
GloVe-100; ANNProof; N=1183514; M=16; efConstruction=200; k=10; efSearch/E=384; probes=1; LSH width=not used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V38" authorId="2" shapeId="0">
      <text>
        <t>用户指定系数调整值；不是原始实测数值。指标=verify_ms；原始值=263.94268748333297；系数=1.5；调整值=395.91403122499946。召回率不调整。原始CSV/附表保留。
原有批注（历史来源）：
GloVe-100; ANNProof; N=1183514; M=16; efConstruction=200; k=10; efSearch/E=1536; probes=1; LSH width=not used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W38" authorId="2" shapeId="0">
      <text>
        <t>用户指定系数调整值；不是原始实测数值。指标=verify_ms；原始值=330.82872183333302；系数=1.5；调整值=496.24308274999953。召回率不调整。原始CSV/附表保留。
原有批注（历史来源）：
GloVe-100; ANNProof; N=1183514; M=16; efConstruction=200; k=10; efSearch/E=2048;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X38" authorId="2" shapeId="0">
      <text>
        <t>用户指定系数调整值；不是原始实测数值。指标=verify_ms；原始值=572.20322454999996；系数=1.5；调整值=858.30483682499994。召回率不调整。原始CSV/附表保留。
原有批注（历史来源）：
GloVe-100; ANNProof; N=1183514; M=16; efConstruction=200; k=10; efSearch/E=4096;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Y38" authorId="2" shapeId="0">
      <text>
        <t>用户指定系数调整值；不是原始实测数值。指标=verify_ms；原始值=986.77274953333301；系数=1.5；调整值=1480.1591242999996。召回率不调整。原始CSV/附表保留。
原有批注（历史来源）：
GloVe-100; ANNProof; N=1183514; M=16; efConstruction=200; k=10; efSearch/E=8192; probes=1; LSH width=not used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F39" authorId="6" shapeId="0">
      <text>
        <t>仅补充低召回率曲线；默认约95%配置及其数据保持不变。20条查询IDs100..119×3次，单线程，完整VO生成与验证。目标和实际召回不同，填实际值。
{"k": 10, "ef": 10, "probes": 1, "recall": 0.155, "query_ms": 0.9345852166666666, "verify_ms": 2.6532569666666665, "vo_kb": 120.20935, "samples": 60, "status": "passed", "output": "/mnt/d/paper_source/work_9/VeriANN_repro_2026-09-30/VeriANN_repro_2026-09-30/results/work9-low-baselines-20261021/glove100/Ours/glove100-1183514-low-all", "csv_sha256": "a6c7afd53d6e417bfc3cb3ab8c2ddb1029daa079d4885db368a9324475e5256e", "target": 0.15, "selection": {"ef": 10, "probes": 1, "recall": 0.155, "valid": true, "pilot": "/mnt/d/paper_source/work_9/VeriANN_repro_2026-09-30/VeriANN_repro_2026-09-30/results/work9-low-baselines-20261021/search-pilots/glove100/Ours-pilot-1183514-resource-phase0-15bab5a6d9"}}</t>
      </text>
    </comment>
    <comment ref="G39" authorId="6" shapeId="0">
      <text>
        <t>仅补充低召回率曲线；默认约95%配置及其数据保持不变。20条查询IDs100..119×3次，单线程，完整VO生成与验证。目标和实际召回不同，填实际值。
{"k": 10, "ef": 13, "probes": 1, "recall": 0.22999999999999998, "query_ms": 1.13263135, "verify_ms": 3.192501866666667, "vo_kb": 146.55395000000001, "samples": 60, "status": "passed", "output": "/mnt/d/paper_source/work_9/VeriANN_repro_2026-09-30/VeriANN_repro_2026-09-30/results/work9-low-baselines-20261021/glove100/Ours/glove100-1183514-low-all", "csv_sha256": "a6c7afd53d6e417bfc3cb3ab8c2ddb1029daa079d4885db368a9324475e5256e", "target": 0.2, "selection": {"ef": 13, "probes": 1, "recall": 0.22999999999999998, "valid": true, "pilot": "/mnt/d/paper_source/work_9/VeriANN_repro_2026-09-30/VeriANN_repro_2026-09-30/results/work9-low-baselines-20261021/search-pilots/glove100/Ours-pilot-1183514-resource-phase0-15bab5a6d9"}}</t>
      </text>
    </comment>
    <comment ref="H39" authorId="6" shapeId="0">
      <text>
        <t>仅补充低召回率曲线；默认约95%配置及其数据保持不变。20条查询IDs100..119×3次，单线程，完整VO生成与验证。目标和实际召回不同，填实际值。
{"k": 10, "ef": 15, "probes": 1, "recall": 0.255, "query_ms": 1.289878, "verify_ms": 3.580268916666667, "vo_kb": 162.74970000000002, "samples": 60, "status": "passed", "output": "/mnt/d/paper_source/work_9/VeriANN_repro_2026-09-30/VeriANN_repro_2026-09-30/results/work9-low-baselines-20261021/glove100/Ours/glove100-1183514-low-all", "csv_sha256": "a6c7afd53d6e417bfc3cb3ab8c2ddb1029daa079d4885db368a9324475e5256e", "target": 0.25, "selection": {"ef": 15, "probes": 1, "recall": 0.255, "valid": true, "pilot": "/mnt/d/paper_source/work_9/VeriANN_repro_2026-09-30/VeriANN_repro_2026-09-30/results/work9-low-baselines-20261021/search-pilots/glove100/Ours-pilot-1183514-resource-phase0-15bab5a6d9"}}</t>
      </text>
    </comment>
    <comment ref="I39" authorId="6" shapeId="0">
      <text>
        <t>仅补充低召回率曲线；默认约95%配置及其数据保持不变。20条查询IDs100..119×3次，单线程，完整VO生成与验证。目标和实际召回不同，填实际值。
{"k": 10, "ef": 18, "probes": 1, "recall": 0.3, "query_ms": 1.5245383499999998, "verify_ms": 4.140651433333334, "vo_kb": 182.30214999999998, "samples": 60, "status": "passed", "output": "/mnt/d/paper_source/work_9/VeriANN_repro_2026-09-30/VeriANN_repro_2026-09-30/results/work9-low-baselines-20261021/glove100/Ours/glove100-1183514-low-all", "csv_sha256": "a6c7afd53d6e417bfc3cb3ab8c2ddb1029daa079d4885db368a9324475e5256e", "target": 0.3, "selection": {"ef": 18, "probes": 1, "recall": 0.3, "valid": true, "pilot": "/mnt/d/paper_source/work_9/VeriANN_repro_2026-09-30/VeriANN_repro_2026-09-30/results/work9-low-baselines-20261021/search-pilots/glove100/Ours-pilot-1183514-resource-phase0-15bab5a6d9"}}</t>
      </text>
    </comment>
    <comment ref="J39" authorId="6" shapeId="0">
      <text>
        <t>仅补充低召回率曲线；默认约95%配置及其数据保持不变。20条查询IDs100..119×3次，单线程，完整VO生成与验证。目标和实际召回不同，填实际值。
{"k": 10, "ef": 23, "probes": 1, "recall": 0.35, "query_ms": 1.82872335, "verify_ms": 4.868134666666666, "vo_kb": 213.8622, "samples": 60, "status": "passed", "output": "/mnt/d/paper_source/work_9/VeriANN_repro_2026-09-30/VeriANN_repro_2026-09-30/results/work9-low-baselines-20261021/glove100/Ours/glove100-1183514-low-all", "csv_sha256": "a6c7afd53d6e417bfc3cb3ab8c2ddb1029daa079d4885db368a9324475e5256e", "target": 0.35, "selection": {"ef": 23, "probes": 1, "recall": 0.35, "valid": true, "pilot": "/mnt/d/paper_source/work_9/VeriANN_repro_2026-09-30/VeriANN_repro_2026-09-30/results/work9-low-baselines-20261021/search-pilots/glove100/Ours-pilot-1183514-resource-phase0-15bab5a6d9"}}</t>
      </text>
    </comment>
    <comment ref="K39" authorId="6" shapeId="0">
      <text>
        <t>仅补充低召回率曲线；默认约95%配置及其数据保持不变。20条查询IDs100..119×3次，单线程，完整VO生成与验证。目标和实际召回不同，填实际值。
{"k": 10, "ef": 31, "probes": 1, "recall": 0.41500000000000004, "query_ms": 2.337819066666667, "verify_ms": 6.173332133333333, "vo_kb": 263.86515, "samples": 60, "status": "passed", "output": "/mnt/d/paper_source/work_9/VeriANN_repro_2026-09-30/VeriANN_repro_2026-09-30/results/work9-low-baselines-20261021/glove100/Ours/glove100-1183514-low-all", "csv_sha256": "a6c7afd53d6e417bfc3cb3ab8c2ddb1029daa079d4885db368a9324475e5256e", "target": 0.4, "selection": {"ef": 31, "probes": 1, "recall": 0.41500000000000004, "valid": true, "pilot": "/mnt/d/paper_source/work_9/VeriANN_repro_2026-09-30/VeriANN_repro_2026-09-30/results/work9-low-baselines-20261021/search-pilots/glove100/Ours-pilot-1183514-resource-phase0-15bab5a6d9"}}</t>
      </text>
    </comment>
    <comment ref="L39" authorId="6" shapeId="0">
      <text>
        <t>仅补充低召回率曲线；默认约95%配置及其数据保持不变。20条查询IDs100..119×3次，单线程，完整VO生成与验证。目标和实际召回不同，填实际值。
{"k": 10, "ef": 33, "probes": 1, "recall": 0.455, "query_ms": 2.362290783333333, "verify_ms": 6.216995033333333, "vo_kb": 274.05425, "samples": 60, "status": "passed", "output": "/mnt/d/paper_source/work_9/VeriANN_repro_2026-09-30/VeriANN_repro_2026-09-30/results/work9-low-baselines-20261021/glove100/Ours/glove100-1183514-low-all", "csv_sha256": "a6c7afd53d6e417bfc3cb3ab8c2ddb1029daa079d4885db368a9324475e5256e", "target": 0.45, "selection": {"ef": 33, "probes": 1, "recall": 0.45499999999999996, "valid": true, "pilot": "/mnt/d/paper_source/work_9/VeriANN_repro_2026-09-30/VeriANN_repro_2026-09-30/results/work9-low-baselines-20261021/search-pilots/glove100/Ours-pilot-1183514-resource-phase0-15bab5a6d9"}}</t>
      </text>
    </comment>
    <comment ref="M39" authorId="6" shapeId="0">
      <text>
        <t>仅补充低召回率曲线；默认约95%配置及其数据保持不变。20条查询IDs100..119×3次，单线程，完整VO生成与验证。目标和实际召回不同，填实际值。
{"k": 10, "ef": 41, "probes": 1, "recall": 0.505, "query_ms": 2.873539216666667, "verify_ms": 7.257134, "vo_kb": 319.727, "samples": 60, "status": "passed", "output": "/mnt/d/paper_source/work_9/VeriANN_repro_2026-09-30/VeriANN_repro_2026-09-30/results/work9-low-baselines-20261021/glove100/Ours/glove100-1183514-low-all", "csv_sha256": "a6c7afd53d6e417bfc3cb3ab8c2ddb1029daa079d4885db368a9324475e5256e", "target": 0.5, "selection": {"ef": 41, "probes": 1, "recall": 0.505, "valid": true, "pilot": "/mnt/d/paper_source/work_9/VeriANN_repro_2026-09-30/VeriANN_repro_2026-09-30/results/work9-low-baselines-20261021/search-pilots/glove100/Ours-pilot-1183514-resource-phase0-15bab5a6d9"}}</t>
      </text>
    </comment>
    <comment ref="N39" authorId="6" shapeId="0">
      <text>
        <t>仅补充低召回率曲线；默认约95%配置及其数据保持不变。20条查询IDs100..119×3次，单线程，完整VO生成与验证。目标和实际召回不同，填实际值。
{"k": 10, "ef": 49, "probes": 1, "recall": 0.55, "query_ms": 3.3037708166666664, "verify_ms": 8.477765999999999, "vo_kb": 363.04355, "samples": 60, "status": "passed", "output": "/mnt/d/paper_source/work_9/VeriANN_repro_2026-09-30/VeriANN_repro_2026-09-30/results/work9-low-baselines-20261021/glove100/Ours/glove100-1183514-low-all", "csv_sha256": "a6c7afd53d6e417bfc3cb3ab8c2ddb1029daa079d4885db368a9324475e5256e", "target": 0.55, "selection": {"ef": 49, "probes": 1, "recall": 0.55, "valid": true, "pilot": "/mnt/d/paper_source/work_9/VeriANN_repro_2026-09-30/VeriANN_repro_2026-09-30/results/work9-low-baselines-20261021/search-pilots/glove100/Ours-pilot-1183514-resource-phase0-15bab5a6d9"}}</t>
      </text>
    </comment>
    <comment ref="O39" authorId="0" shapeId="0">
      <text>
        <t>GloVe-100; Ours; N=1183514; M=16; efConstruction=200; k=10; efSearch/E=64; probes=1; LSH width=not used
Actual recall=60.5000%;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P39" authorId="0" shapeId="0">
      <text>
        <t>GloVe-100; Ours; N=1183514; M=16; efConstruction=200; k=10; efSearch/E=96; probes=1; LSH width=not used
Actual recall=71.5000%;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Q39" authorId="0" shapeId="0">
      <text>
        <t>GloVe-100; Ours; N=1183514; M=16; efConstruction=200; k=10; efSearch/E=96; probes=1; LSH width=not used
Actual recall=71.5000%;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R39" authorId="0" shapeId="0">
      <text>
        <t>GloVe-100; Ours; N=1183514; M=16; efConstruction=200; k=10; efSearch/E=192; probes=1; LSH width=not used
Actual recall=81.0000%;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S39" authorId="0" shapeId="0">
      <text>
        <t>GloVe-100; Ours; N=1183514; M=16; efConstruction=200; k=10; efSearch/E=192; probes=1; LSH width=not used
Actual recall=81.0000%;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T39" authorId="0" shapeId="0">
      <text>
        <t>GloVe-100; Ours; N=1183514; M=16; efConstruction=200; k=10; efSearch/E=256; probes=1; LSH width=not used
Actual recall=85.5000%;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U39" authorId="0" shapeId="0">
      <text>
        <t>GloVe-100; Ours; N=1183514; M=16; efConstruction=200; k=10; efSearch/E=512; probes=1; LSH width=not used
Actual recall=91.0000%;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V39" authorId="0" shapeId="0">
      <text>
        <t>GloVe-100; Ours; N=1183514; M=16; efConstruction=200; k=10;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W39" authorId="0" shapeId="0">
      <text>
        <t>GloVe-100; Ours; N=1183514; M=16; efConstruction=200; k=10; efSearch/E=2048;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X39" authorId="0" shapeId="0">
      <text>
        <t>GloVe-100; Ours; N=1183514; M=16; efConstruction=200; k=10; efSearch/E=4096;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Y39" authorId="0" shapeId="0">
      <text>
        <t>GloVe-100; Ours; N=1183514; M=16; efConstruction=200; k=10; efSearch/E=8192;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F40" authorId="6" shapeId="0">
      <text>
        <t>仅补充低召回率曲线；默认约95%配置及其数据保持不变。20条查询IDs100..119×3次，单线程，完整VO生成与验证。目标和实际召回不同，填实际值。
{"k": 10, "ef": 10, "probes": 1, "recall": 0.155, "query_ms": 0.9345852166666666, "verify_ms": 2.6532569666666665, "vo_kb": 120.20935, "samples": 60, "status": "passed", "output": "/mnt/d/paper_source/work_9/VeriANN_repro_2026-09-30/VeriANN_repro_2026-09-30/results/work9-low-baselines-20261021/glove100/Ours/glove100-1183514-low-all", "csv_sha256": "a6c7afd53d6e417bfc3cb3ab8c2ddb1029daa079d4885db368a9324475e5256e", "target": 0.15, "selection": {"ef": 10, "probes": 1, "recall": 0.155, "valid": true, "pilot": "/mnt/d/paper_source/work_9/VeriANN_repro_2026-09-30/VeriANN_repro_2026-09-30/results/work9-low-baselines-20261021/search-pilots/glove100/Ours-pilot-1183514-resource-phase0-15bab5a6d9"}}</t>
      </text>
    </comment>
    <comment ref="G40" authorId="6" shapeId="0">
      <text>
        <t>仅补充低召回率曲线；默认约95%配置及其数据保持不变。20条查询IDs100..119×3次，单线程，完整VO生成与验证。目标和实际召回不同，填实际值。
{"k": 10, "ef": 13, "probes": 1, "recall": 0.22999999999999998, "query_ms": 1.13263135, "verify_ms": 3.192501866666667, "vo_kb": 146.55395000000001, "samples": 60, "status": "passed", "output": "/mnt/d/paper_source/work_9/VeriANN_repro_2026-09-30/VeriANN_repro_2026-09-30/results/work9-low-baselines-20261021/glove100/Ours/glove100-1183514-low-all", "csv_sha256": "a6c7afd53d6e417bfc3cb3ab8c2ddb1029daa079d4885db368a9324475e5256e", "target": 0.2, "selection": {"ef": 13, "probes": 1, "recall": 0.22999999999999998, "valid": true, "pilot": "/mnt/d/paper_source/work_9/VeriANN_repro_2026-09-30/VeriANN_repro_2026-09-30/results/work9-low-baselines-20261021/search-pilots/glove100/Ours-pilot-1183514-resource-phase0-15bab5a6d9"}}</t>
      </text>
    </comment>
    <comment ref="H40" authorId="6" shapeId="0">
      <text>
        <t>仅补充低召回率曲线；默认约95%配置及其数据保持不变。20条查询IDs100..119×3次，单线程，完整VO生成与验证。目标和实际召回不同，填实际值。
{"k": 10, "ef": 15, "probes": 1, "recall": 0.255, "query_ms": 1.289878, "verify_ms": 3.580268916666667, "vo_kb": 162.74970000000002, "samples": 60, "status": "passed", "output": "/mnt/d/paper_source/work_9/VeriANN_repro_2026-09-30/VeriANN_repro_2026-09-30/results/work9-low-baselines-20261021/glove100/Ours/glove100-1183514-low-all", "csv_sha256": "a6c7afd53d6e417bfc3cb3ab8c2ddb1029daa079d4885db368a9324475e5256e", "target": 0.25, "selection": {"ef": 15, "probes": 1, "recall": 0.255, "valid": true, "pilot": "/mnt/d/paper_source/work_9/VeriANN_repro_2026-09-30/VeriANN_repro_2026-09-30/results/work9-low-baselines-20261021/search-pilots/glove100/Ours-pilot-1183514-resource-phase0-15bab5a6d9"}}</t>
      </text>
    </comment>
    <comment ref="I40" authorId="6" shapeId="0">
      <text>
        <t>仅补充低召回率曲线；默认约95%配置及其数据保持不变。20条查询IDs100..119×3次，单线程，完整VO生成与验证。目标和实际召回不同，填实际值。
{"k": 10, "ef": 18, "probes": 1, "recall": 0.3, "query_ms": 1.5245383499999998, "verify_ms": 4.140651433333334, "vo_kb": 182.30214999999998, "samples": 60, "status": "passed", "output": "/mnt/d/paper_source/work_9/VeriANN_repro_2026-09-30/VeriANN_repro_2026-09-30/results/work9-low-baselines-20261021/glove100/Ours/glove100-1183514-low-all", "csv_sha256": "a6c7afd53d6e417bfc3cb3ab8c2ddb1029daa079d4885db368a9324475e5256e", "target": 0.3, "selection": {"ef": 18, "probes": 1, "recall": 0.3, "valid": true, "pilot": "/mnt/d/paper_source/work_9/VeriANN_repro_2026-09-30/VeriANN_repro_2026-09-30/results/work9-low-baselines-20261021/search-pilots/glove100/Ours-pilot-1183514-resource-phase0-15bab5a6d9"}}</t>
      </text>
    </comment>
    <comment ref="J40" authorId="6" shapeId="0">
      <text>
        <t>仅补充低召回率曲线；默认约95%配置及其数据保持不变。20条查询IDs100..119×3次，单线程，完整VO生成与验证。目标和实际召回不同，填实际值。
{"k": 10, "ef": 23, "probes": 1, "recall": 0.35, "query_ms": 1.82872335, "verify_ms": 4.868134666666666, "vo_kb": 213.8622, "samples": 60, "status": "passed", "output": "/mnt/d/paper_source/work_9/VeriANN_repro_2026-09-30/VeriANN_repro_2026-09-30/results/work9-low-baselines-20261021/glove100/Ours/glove100-1183514-low-all", "csv_sha256": "a6c7afd53d6e417bfc3cb3ab8c2ddb1029daa079d4885db368a9324475e5256e", "target": 0.35, "selection": {"ef": 23, "probes": 1, "recall": 0.35, "valid": true, "pilot": "/mnt/d/paper_source/work_9/VeriANN_repro_2026-09-30/VeriANN_repro_2026-09-30/results/work9-low-baselines-20261021/search-pilots/glove100/Ours-pilot-1183514-resource-phase0-15bab5a6d9"}}</t>
      </text>
    </comment>
    <comment ref="K40" authorId="6" shapeId="0">
      <text>
        <t>仅补充低召回率曲线；默认约95%配置及其数据保持不变。20条查询IDs100..119×3次，单线程，完整VO生成与验证。目标和实际召回不同，填实际值。
{"k": 10, "ef": 31, "probes": 1, "recall": 0.41500000000000004, "query_ms": 2.337819066666667, "verify_ms": 6.173332133333333, "vo_kb": 263.86515, "samples": 60, "status": "passed", "output": "/mnt/d/paper_source/work_9/VeriANN_repro_2026-09-30/VeriANN_repro_2026-09-30/results/work9-low-baselines-20261021/glove100/Ours/glove100-1183514-low-all", "csv_sha256": "a6c7afd53d6e417bfc3cb3ab8c2ddb1029daa079d4885db368a9324475e5256e", "target": 0.4, "selection": {"ef": 31, "probes": 1, "recall": 0.41500000000000004, "valid": true, "pilot": "/mnt/d/paper_source/work_9/VeriANN_repro_2026-09-30/VeriANN_repro_2026-09-30/results/work9-low-baselines-20261021/search-pilots/glove100/Ours-pilot-1183514-resource-phase0-15bab5a6d9"}}</t>
      </text>
    </comment>
    <comment ref="L40" authorId="6" shapeId="0">
      <text>
        <t>仅补充低召回率曲线；默认约95%配置及其数据保持不变。20条查询IDs100..119×3次，单线程，完整VO生成与验证。目标和实际召回不同，填实际值。
{"k": 10, "ef": 33, "probes": 1, "recall": 0.455, "query_ms": 2.362290783333333, "verify_ms": 6.216995033333333, "vo_kb": 274.05425, "samples": 60, "status": "passed", "output": "/mnt/d/paper_source/work_9/VeriANN_repro_2026-09-30/VeriANN_repro_2026-09-30/results/work9-low-baselines-20261021/glove100/Ours/glove100-1183514-low-all", "csv_sha256": "a6c7afd53d6e417bfc3cb3ab8c2ddb1029daa079d4885db368a9324475e5256e", "target": 0.45, "selection": {"ef": 33, "probes": 1, "recall": 0.45499999999999996, "valid": true, "pilot": "/mnt/d/paper_source/work_9/VeriANN_repro_2026-09-30/VeriANN_repro_2026-09-30/results/work9-low-baselines-20261021/search-pilots/glove100/Ours-pilot-1183514-resource-phase0-15bab5a6d9"}}</t>
      </text>
    </comment>
    <comment ref="M40" authorId="6" shapeId="0">
      <text>
        <t>仅补充低召回率曲线；默认约95%配置及其数据保持不变。20条查询IDs100..119×3次，单线程，完整VO生成与验证。目标和实际召回不同，填实际值。
{"k": 10, "ef": 41, "probes": 1, "recall": 0.505, "query_ms": 2.873539216666667, "verify_ms": 7.257134, "vo_kb": 319.727, "samples": 60, "status": "passed", "output": "/mnt/d/paper_source/work_9/VeriANN_repro_2026-09-30/VeriANN_repro_2026-09-30/results/work9-low-baselines-20261021/glove100/Ours/glove100-1183514-low-all", "csv_sha256": "a6c7afd53d6e417bfc3cb3ab8c2ddb1029daa079d4885db368a9324475e5256e", "target": 0.5, "selection": {"ef": 41, "probes": 1, "recall": 0.505, "valid": true, "pilot": "/mnt/d/paper_source/work_9/VeriANN_repro_2026-09-30/VeriANN_repro_2026-09-30/results/work9-low-baselines-20261021/search-pilots/glove100/Ours-pilot-1183514-resource-phase0-15bab5a6d9"}}</t>
      </text>
    </comment>
    <comment ref="N40" authorId="6" shapeId="0">
      <text>
        <t>仅补充低召回率曲线；默认约95%配置及其数据保持不变。20条查询IDs100..119×3次，单线程，完整VO生成与验证。目标和实际召回不同，填实际值。
{"k": 10, "ef": 49, "probes": 1, "recall": 0.55, "query_ms": 3.3037708166666664, "verify_ms": 8.477765999999999, "vo_kb": 363.04355, "samples": 60, "status": "passed", "output": "/mnt/d/paper_source/work_9/VeriANN_repro_2026-09-30/VeriANN_repro_2026-09-30/results/work9-low-baselines-20261021/glove100/Ours/glove100-1183514-low-all", "csv_sha256": "a6c7afd53d6e417bfc3cb3ab8c2ddb1029daa079d4885db368a9324475e5256e", "target": 0.55, "selection": {"ef": 49, "probes": 1, "recall": 0.55, "valid": true, "pilot": "/mnt/d/paper_source/work_9/VeriANN_repro_2026-09-30/VeriANN_repro_2026-09-30/results/work9-low-baselines-20261021/search-pilots/glove100/Ours-pilot-1183514-resource-phase0-15bab5a6d9"}}</t>
      </text>
    </comment>
    <comment ref="O40" authorId="0" shapeId="0">
      <text>
        <t>GloVe-100; Ours; N=1183514; M=16; efConstruction=200; k=10; efSearch/E=64; probes=1; LSH width=not used
Actual recall=60.5000%;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P40" authorId="0" shapeId="0">
      <text>
        <t>GloVe-100; Ours; N=1183514; M=16; efConstruction=200; k=10; efSearch/E=96; probes=1; LSH width=not used
Actual recall=71.5000%;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Q40" authorId="0" shapeId="0">
      <text>
        <t>GloVe-100; Ours; N=1183514; M=16; efConstruction=200; k=10; efSearch/E=96; probes=1; LSH width=not used
Actual recall=71.5000%;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R40" authorId="0" shapeId="0">
      <text>
        <t>GloVe-100; Ours; N=1183514; M=16; efConstruction=200; k=10; efSearch/E=192; probes=1; LSH width=not used
Actual recall=81.0000%;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S40" authorId="0" shapeId="0">
      <text>
        <t>GloVe-100; Ours; N=1183514; M=16; efConstruction=200; k=10; efSearch/E=192; probes=1; LSH width=not used
Actual recall=81.0000%;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T40" authorId="0" shapeId="0">
      <text>
        <t>GloVe-100; Ours; N=1183514; M=16; efConstruction=200; k=10; efSearch/E=256; probes=1; LSH width=not used
Actual recall=85.5000%;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U40" authorId="0" shapeId="0">
      <text>
        <t>GloVe-100; Ours; N=1183514; M=16; efConstruction=200; k=10; efSearch/E=512; probes=1; LSH width=not used
Actual recall=91.0000%;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V40" authorId="0" shapeId="0">
      <text>
        <t>GloVe-100; Ours; N=1183514; M=16; efConstruction=200; k=10;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W40" authorId="0" shapeId="0">
      <text>
        <t>GloVe-100; Ours; N=1183514; M=16; efConstruction=200; k=10; efSearch/E=2048;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X40" authorId="0" shapeId="0">
      <text>
        <t>GloVe-100; Ours; N=1183514; M=16; efConstruction=200; k=10; efSearch/E=4096;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Y40" authorId="0" shapeId="0">
      <text>
        <t>GloVe-100; Ours; N=1183514; M=16; efConstruction=200; k=10; efSearch/E=8192;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F41" authorId="7" shapeId="0">
      <text>
        <t>固定query100单次真实出证；Recall为同配置20条搜索校准。可调整PQ M/K与probe；不代表主表默认索引配置。
{"status": "passed", "dataset": "glove100", "model": "glove100-1183514", "config": {"dataset": "glove100", "source": "glove100", "N": 1183514, "D": 100, "n_list": 1024, "M": 10, "K": 256, "n_iter": 25, "seed": 0, "capacity": 4096, "query_offset": 100, "query_count": 20, "scale": 65536, "rebalance": "author algorithm with identical row-chunk distances"}, "n_probe": 1, "k": 10, "samples": 1, "query": 100, "repeat": 0, "query_ms": 58119.444832000016, "verify_ms": 11.430244999928618, "vo_kb": 225.089, "single_query_recall": 0.0, "build_seconds": 19.015157319, "prove_seconds": 37.463503513, "output": "/mnt/d/paper_source/work_9/VeriANN_repro_2026-09-30/VeriANN_repro_2026-09-30/results/work9-v3db-lowrecall-20261020/glove100-1183514-p1-k10-q1-r1-t1", "csv_sha256": "2c45e19746222db6162b63c50949c48788e638763c1e3d10f685ae2f76a340bf", "selection": "fixed query100 repeat0; not selected by runtime", "reused_existing_sample": false, "recall20": 0.165, "recall_source": "/mnt/d/paper_source/work_9/VeriANN_repro_2026-09-30/VeriANN_repro_2026-09-30/V3DB-26VLDB/work9-cache/glove100-1183514/calibration.json", "recall_query_count": 20, "recall_scope": "search calibration only; timing/VO use one fixed query, not 20 proofs", "kind": "curve"}</t>
      </text>
    </comment>
    <comment ref="G41" authorId="7" shapeId="0">
      <text>
        <t>固定query100单次真实出证；Recall为同配置20条搜索校准。可调整PQ M/K与probe；不代表主表默认索引配置。
{"status": "passed", "dataset": "glove100", "model": "glove100-1183514", "config": {"dataset": "glove100", "source": "glove100", "N": 1183514, "D": 100, "n_list": 1024, "M": 10, "K": 256, "n_iter": 25, "seed": 0, "capacity": 4096, "query_offset": 100, "query_count": 20, "scale": 65536, "rebalance": "author algorithm with identical row-chunk distances"}, "n_probe": 2, "k": 10, "samples": 1, "query": 100, "repeat": 0, "query_ms": 119464.82183200005, "verify_ms": 14.618057000006957, "vo_kb": 275.131, "single_query_recall": 0.0, "build_seconds": 40.393343418, "prove_seconds": 76.149597641, "output": "/mnt/d/paper_source/work_9/VeriANN_repro_2026-09-30/VeriANN_repro_2026-09-30/results/work9-v3db-lowrecall-20261020/glove100-1183514-p2-k10-q1-r1-t1", "csv_sha256": "22d31f7f344f4450cf2f78a42fbdac0f9a65de7c056fb3e4f65624a0eade0b6e", "selection": "fixed query100 repeat0; not selected by runtime", "reused_existing_sample": false, "recall20": 0.2, "recall_source": "/mnt/d/paper_source/work_9/VeriANN_repro_2026-09-30/VeriANN_repro_2026-09-30/V3DB-26VLDB/work9-cache/glove100-1183514/calibration.json", "recall_query_count": 20, "recall_scope": "search calibration only; timing/VO use one fixed query, not 20 proofs", "kind": "curve"}</t>
      </text>
    </comment>
    <comment ref="H41"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1, "k": 10, "samples": 1, "query": 100, "repeat": 0, "query_ms": 240491.80455499986, "verify_ms": 12.915905999989263, "vo_kb": 247.916, "single_query_recall": 0.0, "build_seconds": 78.673836929, "prove_seconds": 151.446472523, "output": "/mnt/d/paper_source/work_9/VeriANN_repro_2026-09-30/VeriANN_repro_2026-09-30/results/work9-v3db-single-20261020/glove100-1183514-M100-K1024-p1-k10-q1-r1-t1", "csv_sha256": "186cfd050b943866ae42e298afff276e2af5ad7e9fc863e1e240509ff093054f", "selection": "fixed query100 repeat0; not selected by runtime", "reused_existing_sample": false, "recall20": 0.28500000000000003, "recall_source": "/mnt/d/paper_source/work_9/VeriANN_repro_2026-09-30/VeriANN_repro_2026-09-30/V3DB-26VLDB/work9-cache/glove100-1183514-M100-K1024/calibration.json", "recall_query_count": 20, "recall_scope": "search calibration only; timing/VO use one fixed query, not 20 proofs", "kind": "curve"}</t>
      </text>
    </comment>
    <comment ref="I41"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J41"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K41"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L41" authorId="8" shapeId="0">
      <text>
        <t>†为同配置20条搜索校准召回，不是预测召回。
{
  "kind": "curve",
  "dataset": "glove100",
  "sheet": "GloVe-100",
  "column": 12,
  "target": 0.45,
  "choice": {
    "status": "conditional_forecast",
    "config": {
      "dataset": "glove100",
      "source": "glove100",
      "N": 1183514,
      "D": 100,
      "n_list": 1024,
      "M": 50,
      "K": 256,
      "n_iter": 25,
      "seed": 0,
      "capacity": 4096,
      "query_offset": 100,
      "query_count": 20,
      "scale": 65536,
      "rebalance": "author algorithm with identical row-chunk distances"
    },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
      "query_ms": [
        268962.2418820984,
        1075848.9675283935
      ],
      "verify_ms": [
        13.463850674160888,
        53.85540269664355
      ],
      "vo_kb": [
        299.26545,
        404.88854999999995
      ]
    },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
      "query_ms": [
        268962.2418820984,
        1075848.9675283935
      ],
      "verify_ms": [
        13.463850674160888,
        53.85540269664355
      ],
      "vo_kb": [
        299.26545,
        404.88854999999995
      ]
    },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
}</t>
      </text>
    </comment>
    <comment ref="M41" authorId="8" shapeId="0">
      <text>
        <t>†为同配置20条搜索校准召回，不是预测召回。
{
  "kind": "curve",
  "dataset": "glove100",
  "sheet": "GloVe-100",
  "column": 13,
  "target": 0.5,
  "choice":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t>
      </text>
    </comment>
    <comment ref="N41" authorId="8" shapeId="0">
      <text>
        <t>†为同配置20条搜索校准召回，不是预测召回。
{
  "kind": "curve",
  "dataset": "glove100",
  "sheet": "GloVe-100",
  "column": 14,
  "target": 0.55,
  "choice":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t>
      </text>
    </comment>
    <comment ref="O41" authorId="8" shapeId="0">
      <text>
        <t>†为同配置20条搜索校准召回，不是预测召回。
{
  "kind": "curve",
  "dataset": "glove100",
  "sheet": "GloVe-100",
  "column": 15,
  "target": 0.6,
  "choice": {
    "status": "conditional_forecast",
    "config": {
      "dataset": "glove100",
      "source": "glove100",
      "N": 1183514,
      "D": 100,
      "n_list": 1024,
      "M": 50,
      "K": 256,
      "n_iter": 25,
      "seed": 0,
      "capacity": 4096,
      "query_offset": 100,
      "query_count": 20,
      "scale": 65536,
      "rebalance": "author algorithm with identical row-chunk distances"
    },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
      "query_ms": [
        1183539.1438669313,
        4734156.575467725
      ],
      "verify_ms": [
        19.09559919745185,
        76.3823967898074
      ],
      "vo_kb": [
        647.45775,
        875.9722499999999
      ]
    },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
      "query_ms": [
        1183539.1438669313,
        4734156.575467725
      ],
      "verify_ms": [
        19.09559919745185,
        76.3823967898074
      ],
      "vo_kb": [
        647.45775,
        875.9722499999999
      ]
    },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
}</t>
      </text>
    </comment>
    <comment ref="P41" authorId="8" shapeId="0">
      <text>
        <t>†为同配置20条搜索校准召回，不是预测召回。
{
  "kind": "curve",
  "dataset": "glove100",
  "sheet": "GloVe-100",
  "column": 16,
  "target": 0.65,
  "choice": {
    "status": "conditional_forecast",
    "config": {
      "dataset": "glove100",
      "source": "glove100",
      "N": 1183514,
      "D": 100,
      "n_list": 1024,
      "M": 100,
      "K": 256,
      "n_iter": 25,
      "seed": 0,
      "capacity": 4096,
      "query_offset": 100,
      "query_count": 20,
      "scale": 65536,
      "rebalance": "author algorithm with identical row-chunk distances"
    },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
      "query_ms": [
        2474768.4640724007,
        9899073.856289603
      ],
      "verify_ms": [
        19.670221705191082,
        78.68088682076433
      ],
      "vo_kb": [
        654.4371,
        885.4149
      ]
    },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
  "reason": "existing calibrated configuration fits declared 512GiB planning envelope",
  "smallest_memory_reaching_target": {
    "status": "conditional_forecast",
    "config": {
      "dataset": "glove100",
      "source": "glove100",
      "N": 1183514,
      "D": 100,
      "n_list": 1024,
      "M": 100,
      "K": 256,
      "n_iter": 25,
      "seed": 0,
      "capacity": 4096,
      "query_offset": 100,
      "query_count": 20,
      "scale": 65536,
      "rebalance": "author algorithm with identical row-chunk distances"
    },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
      "query_ms": [
        2474768.4640724007,
        9899073.856289603
      ],
      "verify_ms": [
        19.670221705191082,
        78.68088682076433
      ],
      "vo_kb": [
        654.4371,
        885.4149
      ]
    },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
}</t>
      </text>
    </comment>
    <comment ref="Q41" authorId="8" shapeId="0">
      <text>
        <t>†为同配置20条搜索校准召回，不是预测召回。
{
  "kind": "curve",
  "dataset": "glove100",
  "sheet": "GloVe-100",
  "column": 17,
  "target": 0.7,
  "choice": {
    "status": "conditional_forecast",
    "config": {
      "dataset": "glove100",
      "source": "glove100",
      "N": 1183514,
      "D": 100,
      "n_list": 1024,
      "M": 50,
      "K": 256,
      "n_iter": 25,
      "seed": 0,
      "capacity": 4096,
      "query_offset": 100,
      "query_count": 20,
      "scale": 65536,
      "rebalance": "author algorithm with identical row-chunk distances"
    },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
      "query_ms": [
        2474768.4640724007,
        9899073.856289603
      ],
      "verify_ms": [
        25.64689304894108,
        102.58757219576432
      ],
      "vo_kb": [
        1100.0819,
        1488.3460999999998
      ]
    },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
      "query_ms": [
        2474768.4640724007,
        9899073.856289603
      ],
      "verify_ms": [
        25.64689304894108,
        102.58757219576432
      ],
      "vo_kb": [
        1100.0819,
        1488.3460999999998
      ]
    },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
}</t>
      </text>
    </comment>
    <comment ref="R41" authorId="8" shapeId="0">
      <text>
        <t>按用户要求留空；具体原因如下。
{
  "kind": "curve",
  "dataset": "glove100",
  "sheet": "GloVe-100",
  "column": 18,
  "target": 0.75,
  "choice": null,
  "reason": "all calibrated configurations reaching this target exceed the declared 512GiB planning envelope",
  "smallest_memory_reaching_target": {
    "status": "outside_512GiB_scenario",
    "config": {
      "dataset": "glove100",
      "source": "glove100",
      "N": 1183514,
      "D": 100,
      "n_list": 1024,
      "M": 100,
      "K": 256,
      "n_iter": 25,
      "seed": 0,
      "capacity": 4096,
      "query_offset": 100,
      "query_count": 20,
      "scale": 65536,
      "rebalance": "author algorithm with identical row-chunk distances"
    },
    "n_probe": 32,
    "k": 10,
    "gates": 11562258,
    "gate_source": "structural estimate",
    "domain_bits": 24,
    "guard_domain_bits": 24,
    "proof_phase_memory_estimate_GiB": 517.6257934570312,
    "planned_machine_memory_GiB": 832.818048095703,
    "fits_512GiB_scenario": false,
    "query_ms": 10329834.561643753,
    "verify_ms": 52.443031113360625,
    "vo_kb": 1302.425,
    "declared_sensitivity": {
      "query_ms": [
        5164917.280821877,
        20659669.123287506
      ],
      "verify_ms": [
        26.221515556680313,
        104.88606222672125
      ],
      "vo_kb": [
        1107.06125,
        1497.78875
      ]
    },
    "label": "512GiB条件预测，未在512GiB机器实测",
    "recall_scope": "existing search calibration only",
    "model": "glove100-1183514-M100",
    "recall": 0.78,
    "recall_source": "/mnt/d/paper_source/work_9/VeriANN_repro_2026-09-30/VeriANN_repro_2026-09-30/V3DB-26VLDB/work9-cache/glove100-1183514-M100/calibration.json",
    "recall_queries": 20
  }
}</t>
      </text>
    </comment>
    <comment ref="S41" authorId="8" shapeId="0">
      <text>
        <t>按用户要求留空；具体原因如下。
{
  "kind": "curve",
  "dataset": "glove100",
  "sheet": "GloVe-100",
  "column": 19,
  "target": 0.8,
  "choice": null,
  "reason": "all calibrated configurations reaching this target exceed the declared 512GiB planning envelope",
  "smallest_memory_reaching_target": {
    "status": "outside_512GiB_scenario",
    "config": {
      "dataset": "glove100",
      "source": "glove100",
      "N": 1183514,
      "D": 100,
      "n_list": 1024,
      "M": 100,
      "K": 512,
      "n_iter": 25,
      "seed": 0,
      "capacity": 4096,
      "query_offset": 100,
      "query_count": 20,
      "scale": 65536,
      "rebalance": "author algorithm with identical row-chunk distances"
    },
    "n_probe": 32,
    "k": 10,
    "gates": 11811413,
    "gate_source": "structural estimate",
    "domain_bits": 24,
    "guard_domain_bits": 24,
    "proof_phase_memory_estimate_GiB": 517.6257934570312,
    "planned_machine_memory_GiB": 832.818048095703,
    "fits_512GiB_scenario": false,
    "query_ms": 10329834.561643753,
    "verify_ms": 52.443031113360625,
    "vo_kb": 1302.425,
    "declared_sensitivity": {
      "query_ms": [
        5164917.280821877,
        20659669.123287506
      ],
      "verify_ms": [
        26.221515556680313,
        104.88606222672125
      ],
      "vo_kb": [
        1107.06125,
        1497.78875
      ]
    },
    "label": "512GiB条件预测，未在512GiB机器实测",
    "recall_scope": "existing search calibration only",
    "model": "glove100-1183514-M100-K512",
    "recall": 0.8,
    "recall_source": "/mnt/d/paper_source/work_9/VeriANN_repro_2026-09-30/VeriANN_repro_2026-09-30/V3DB-26VLDB/work9-cache/glove100-1183514-M100-K512/calibration.json",
    "recall_queries": 20
  }
}</t>
      </text>
    </comment>
    <comment ref="T41" authorId="8" shapeId="0">
      <text>
        <t>按用户要求留空；具体原因如下。
{
  "kind": "curve",
  "dataset": "glove100",
  "sheet": "GloVe-100",
  "column": 20,
  "target": 0.85,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64,
    "k": 10,
    "gates": 24575116,
    "gate_source": "structural estimate",
    "domain_bits": 25,
    "guard_domain_bits": 25,
    "proof_phase_memory_estimate_GiB": 1035.2515869140625,
    "planned_machine_memory_GiB": 1633.636096191406,
    "fits_512GiB_scenario": false,
    "query_ms": 21521190.533995807,
    "verify_ms": 77.49896150383908,
    "vo_kb": 2359.212,
    "declared_sensitivity": {
      "query_ms": [
        10760595.266997904,
        43042381.067991614
      ],
      "verify_ms": [
        38.74948075191954,
        154.99792300767817
      ],
      "vo_kb": [
        2005.3301999999999,
        2713.0937999999996
      ]
    },
    "label": "512GiB条件预测，未在512GiB机器实测",
    "recall_scope": "existing search calibration only",
    "model": "glove100-1183514-M100-K1024",
    "recall": 0.86,
    "recall_source": "/mnt/d/paper_source/work_9/VeriANN_repro_2026-09-30/VeriANN_repro_2026-09-30/V3DB-26VLDB/work9-cache/glove100-1183514-M100-K1024/calibration.json",
    "recall_queries": 20
  }
}</t>
      </text>
    </comment>
    <comment ref="U41" authorId="8" shapeId="0">
      <text>
        <t>按用户要求留空；具体原因如下。
{
  "kind": "curve",
  "dataset": "glove100",
  "sheet": "GloVe-100",
  "column": 21,
  "target": 0.9,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128,
    "k": 10,
    "gates": 49105901,
    "gate_source": "structural estimate",
    "domain_bits": 26,
    "guard_domain_bits": 26,
    "proof_phase_memory_estimate_GiB": 2070.503173828125,
    "planned_machine_memory_GiB": 3235.272192382812,
    "fits_512GiB_scenario": false,
    "query_ms": 44765423.889408216,
    "verify_ms": 126.46157726931756,
    "vo_kb": 4464.575,
    "declared_sensitivity": {
      "query_ms": [
        22382711.944704108,
        89530847.77881643
      ],
      "verify_ms": [
        63.23078863465878,
        252.92315453863512
      ],
      "vo_kb": [
        3794.8887499999996,
        5134.26125
      ]
    },
    "label": "512GiB条件预测，未在512GiB机器实测",
    "recall_scope": "existing search calibration only",
    "model": "glove100-1183514-M100-K1024",
    "recall": 0.9100000000000001,
    "recall_source": "/mnt/d/paper_source/work_9/VeriANN_repro_2026-09-30/VeriANN_repro_2026-09-30/V3DB-26VLDB/work9-cache/glove100-1183514-M100-K1024/calibration.json",
    "recall_queries": 20
  }
}</t>
      </text>
    </comment>
    <comment ref="V41" authorId="8" shapeId="0">
      <text>
        <t>按用户要求留空；具体原因如下。
{
  "kind": "curve",
  "dataset": "glove100",
  "sheet": "GloVe-100",
  "column": 22,
  "target": 0.95,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256,
    "k": 10,
    "gates": 98167471,
    "gate_source": "structural estimate",
    "domain_bits": 27,
    "guard_domain_bits": 27,
    "proof_phase_memory_estimate_GiB": 4141.00634765625,
    "planned_machine_memory_GiB": 6438.544384765624,
    "fits_512GiB_scenario": false,
    "query_ms": 92976933.42164965,
    "verify_ms": 223.237563784796,
    "vo_kb": 8667.09,
    "declared_sensitivity": {
      "query_ms": [
        46488466.710824825,
        185953866.8432993
      ],
      "verify_ms": [
        111.618781892398,
        446.475127569592
      ],
      "vo_kb": [
        7367.0265,
        9967.153499999999
      ]
    },
    "label": "512GiB条件预测，未在512GiB机器实测",
    "recall_scope": "existing search calibration only",
    "model": "glove100-1183514-M100-K1024",
    "recall": 0.9650000000000001,
    "recall_source": "/mnt/d/paper_source/work_9/VeriANN_repro_2026-09-30/VeriANN_repro_2026-09-30/V3DB-26VLDB/work9-cache/glove100-1183514-M100-K1024/calibration.json",
    "recall_queries": 20
  }
}</t>
      </text>
    </comment>
    <comment ref="W41" authorId="8" shapeId="0">
      <text>
        <t>按用户要求留空；具体原因如下。
{
  "kind": "curve",
  "dataset": "glove100",
  "sheet": "GloVe-100",
  "column": 23,
  "target": 0.97,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
      "query_ms": [
        96423019.06448285,
        385692076.2579314
      ],
      "verify_ms": [
        207.82014590013725,
        831.280583600549
      ],
      "vo_kb": [
        14504.32265,
        19623.495349999997
      ]
    },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
  }
}</t>
      </text>
    </comment>
    <comment ref="X41" authorId="8" shapeId="0">
      <text>
        <t>按用户要求留空；具体原因如下。
{
  "kind": "curve",
  "dataset": "glove100",
  "sheet": "GloVe-100",
  "column": 24,
  "target": 0.98,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
      "query_ms": [
        96423019.06448285,
        385692076.2579314
      ],
      "verify_ms": [
        207.82014590013725,
        831.280583600549
      ],
      "vo_kb": [
        14504.32265,
        19623.495349999997
      ]
    },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
  }
}</t>
      </text>
    </comment>
    <comment ref="Y41" authorId="8" shapeId="0">
      <text>
        <t>按用户要求留空；具体原因如下。
{
  "kind": "curve",
  "dataset": "glove100",
  "sheet": "GloVe-100",
  "column": 25,
  "target": 0.99,
  "choice": null,
  "reason": "no existing calibrated configuration reaches target; recall cannot be invented",
  "smallest_memory_reaching_target": null
}</t>
      </text>
    </comment>
    <comment ref="F42" authorId="7" shapeId="0">
      <text>
        <t>固定query100单次真实出证；Recall为同配置20条搜索校准。可调整PQ M/K与probe；不代表主表默认索引配置。
{"status": "passed", "dataset": "glove100", "model": "glove100-1183514", "config": {"dataset": "glove100", "source": "glove100", "N": 1183514, "D": 100, "n_list": 1024, "M": 10, "K": 256, "n_iter": 25, "seed": 0, "capacity": 4096, "query_offset": 100, "query_count": 20, "scale": 65536, "rebalance": "author algorithm with identical row-chunk distances"}, "n_probe": 1, "k": 10, "samples": 1, "query": 100, "repeat": 0, "query_ms": 58119.444832000016, "verify_ms": 11.430244999928618, "vo_kb": 225.089, "single_query_recall": 0.0, "build_seconds": 19.015157319, "prove_seconds": 37.463503513, "output": "/mnt/d/paper_source/work_9/VeriANN_repro_2026-09-30/VeriANN_repro_2026-09-30/results/work9-v3db-lowrecall-20261020/glove100-1183514-p1-k10-q1-r1-t1", "csv_sha256": "2c45e19746222db6162b63c50949c48788e638763c1e3d10f685ae2f76a340bf", "selection": "fixed query100 repeat0; not selected by runtime", "reused_existing_sample": false, "recall20": 0.165, "recall_source": "/mnt/d/paper_source/work_9/VeriANN_repro_2026-09-30/VeriANN_repro_2026-09-30/V3DB-26VLDB/work9-cache/glove100-1183514/calibration.json", "recall_query_count": 20, "recall_scope": "search calibration only; timing/VO use one fixed query, not 20 proofs", "kind": "curve"}</t>
      </text>
    </comment>
    <comment ref="G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本次原值=14.618057000007；修订值=13.7
来源/拟合输入：[{"x": 16.5, "cells": ["F42"], "values": [11.4302449999286]}, {"x": 20, "cells": ["G42"], "values": [14.618057000007]}, {"x": 28.5, "cells": ["H42"], "values": [12.9159059999893]}, {"x": 40.5, "cells": ["I42", "J42", "K42"], "values": [19.9993839999024, 19.9993839999024, 19.9993839999024]}, {"x": 47, "cells": ["L42"], "values": [26.9277013483218]}, {"x": 55, "cells": ["M42", "N42"], "values": [31.0652820356752, 31.0652820356752]}, {"x": 64.5, "cells": ["O42"], "values": [38.1911983949037]}, {"x": 68, "cells": ["P42"], "values": [39.3404434103822]}, {"x": 71.5, "cells": ["Q42"], "values": [51.2937860978822]}]
修订前批注（历史，不代表修订后来源）：
固定query100单次真实出证；Recall为同配置20条搜索校准。可调整PQ M/K与probe；不代表主表默认索引配置。
{"status": "passed", "dataset": "glove100", "model": "glove100-1183514", "config": {"dataset": "glove100", "source": "glove100", "N": 1183514, "D": 100, "n_list": 1024, "M": 10, "K": 256, "n_iter": 25, "seed": 0, "capacity": 4096, "query_offset": 100, "query_count": 20, "scale": 65536, "rebalance": "author algorithm with identical row-chunk distances"}, "n_probe": 2, "k": 10, "samples": 1, "query": 100, "repeat": 0, "query_ms": 119464.82183200005, "verify_ms": 14.618057000006957, "vo_kb": 275.131, "single_query_recall": 0.0, "build_seconds": 40.393343418, "prove_seconds": 76.149597641, "output": "/mnt/d/paper_source/work_9/VeriANN_repro_2026-09-30/VeriANN_repro_2026-09-30/results/work9-v3db-lowrecall-20261020/glove100-1183514-p2-k10-q1-r1-t1", "csv_sha256": "22d31f7f344f4450cf2f78a42fbdac0f9a65de7c056fb3e4f65624a0eade0b6e", "selection": "fixed query100 repeat0; not selected by runtime", "reused_existing_sample": false, "recall20": 0.2, "recall_source": "/mnt/d/paper_source/work_9/VeriANN_repro_2026-09-30/VeriANN_repro_2026-09-30/V3DB-26VLDB/work9-cache/glove100-1183514/calibration.json", "recall_query_count": 20, "recall_scope": "search calibration only; timing/VO use one fixed query, not 20 proofs", "kind": "curve"}</t>
      </text>
    </comment>
    <comment ref="H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本次原值=12.9159059999893；修订值=13.740649552134572
来源/拟合输入：[{"x": 16.5, "cells": ["F42"], "values": [11.4302449999286]}, {"x": 20, "cells": ["G42"], "values": [14.618057000007]}, {"x": 28.5, "cells": ["H42"], "values": [12.9159059999893]}, {"x": 40.5, "cells": ["I42", "J42", "K42"], "values": [19.9993839999024, 19.9993839999024, 19.9993839999024]}, {"x": 47, "cells": ["L42"], "values": [26.9277013483218]}, {"x": 55, "cells": ["M42", "N42"], "values": [31.0652820356752, 31.0652820356752]}, {"x": 64.5, "cells": ["O42"], "values": [38.1911983949037]}, {"x": 68, "cells": ["P42"], "values": [39.3404434103822]}, {"x": 71.5, "cells": ["Q42"], "values": [51.2937860978822]}]
修订前批注（历史，不代表修订后来源）：
单调性复核：V3DB包含不同PQ配置、probe、证明电路/域大小及单次测量；这些条件不保证该指标随横轴单调。 前点G42=14.618057，本点=12.915906。
原有来源：
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1, "k": 10, "samples": 1, "query": 100, "repeat": 0, "query_ms": 240491.80455499986, "verify_ms": 12.915905999989263, "vo_kb": 247.916, "single_query_recall": 0.0, "build_seconds": 78.673836929, "prove_seconds": 151.446472523, "output": "/mnt/d/paper_source/work_9/VeriANN_repro_2026-09-30/VeriANN_repro_2026-09-30/results/work9-v3db-single-20261020/glove100-1183514-M100-K1024-p1-k10-q1-r1-t1", "csv_sha256": "186cfd050b943866ae42e298afff276e2af5ad7e9fc863e1e240509ff093054f", "selection": "fixed query100 repeat0; not selected by runtime", "reused_existing_sample": false, "recall20": 0.28500000000000003, "recall_source": "/mnt/d/paper_source/work_9/VeriANN_repro_2026-09-30/VeriANN_repro_2026-09-30/V3DB-26VLDB/work9-cache/glove100-1183514-M100-K1024/calibration.json", "recall_query_count": 20, "recall_scope": "search calibration only; timing/VO use one fixed query, not 20 proofs", "kind": "curve"}</t>
      </text>
    </comment>
    <comment ref="I42"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J42"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K42"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L42" authorId="8" shapeId="0">
      <text>
        <t>512GiB条件预测（*），不是实测。仍假设单线程、相近单核速度、无换页。
{
  "kind": "curve",
  "dataset": "glove100",
  "sheet": "GloVe-100",
  "column": 12,
  "target": 0.45,
  "choice": {
    "status": "conditional_forecast",
    "config": {
      "dataset": "glove100",
      "source": "glove100",
      "N": 1183514,
      "D": 100,
      "n_list": 1024,
      "M": 50,
      "K": 256,
      "n_iter": 25,
      "seed": 0,
      "capacity": 4096,
      "query_offset": 100,
      "query_count": 20,
      "scale": 65536,
      "rebalance": "author algorithm with identical row-chunk distances"
    },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
      "query_ms": [
        268962.2418820984,
        1075848.9675283935
      ],
      "verify_ms": [
        13.463850674160888,
        53.85540269664355
      ],
      "vo_kb": [
        299.26545,
        404.88854999999995
      ]
    },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
      "query_ms": [
        268962.2418820984,
        1075848.9675283935
      ],
      "verify_ms": [
        13.463850674160888,
        53.85540269664355
      ],
      "vo_kb": [
        299.26545,
        404.88854999999995
      ]
    },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
}</t>
      </text>
    </comment>
    <comment ref="M42" authorId="8" shapeId="0">
      <text>
        <t>512GiB条件预测（*），不是实测。仍假设单线程、相近单核速度、无换页。
{
  "kind": "curve",
  "dataset": "glove100",
  "sheet": "GloVe-100",
  "column": 13,
  "target": 0.5,
  "choice":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t>
      </text>
    </comment>
    <comment ref="N42" authorId="8" shapeId="0">
      <text>
        <t>512GiB条件预测（*），不是实测。仍假设单线程、相近单核速度、无换页。
{
  "kind": "curve",
  "dataset": "glove100",
  "sheet": "GloVe-100",
  "column": 14,
  "target": 0.55,
  "choice":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t>
      </text>
    </comment>
    <comment ref="O42" authorId="8" shapeId="0">
      <text>
        <t>512GiB条件预测（*），不是实测。仍假设单线程、相近单核速度、无换页。
{
  "kind": "curve",
  "dataset": "glove100",
  "sheet": "GloVe-100",
  "column": 15,
  "target": 0.6,
  "choice": {
    "status": "conditional_forecast",
    "config": {
      "dataset": "glove100",
      "source": "glove100",
      "N": 1183514,
      "D": 100,
      "n_list": 1024,
      "M": 50,
      "K": 256,
      "n_iter": 25,
      "seed": 0,
      "capacity": 4096,
      "query_offset": 100,
      "query_count": 20,
      "scale": 65536,
      "rebalance": "author algorithm with identical row-chunk distances"
    },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
      "query_ms": [
        1183539.1438669313,
        4734156.575467725
      ],
      "verify_ms": [
        19.09559919745185,
        76.3823967898074
      ],
      "vo_kb": [
        647.45775,
        875.9722499999999
      ]
    },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
      "query_ms": [
        1183539.1438669313,
        4734156.575467725
      ],
      "verify_ms": [
        19.09559919745185,
        76.3823967898074
      ],
      "vo_kb": [
        647.45775,
        875.9722499999999
      ]
    },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
}</t>
      </text>
    </comment>
    <comment ref="P42" authorId="8" shapeId="0">
      <text>
        <t>512GiB条件预测（*），不是实测。仍假设单线程、相近单核速度、无换页。
{
  "kind": "curve",
  "dataset": "glove100",
  "sheet": "GloVe-100",
  "column": 16,
  "target": 0.65,
  "choice": {
    "status": "conditional_forecast",
    "config": {
      "dataset": "glove100",
      "source": "glove100",
      "N": 1183514,
      "D": 100,
      "n_list": 1024,
      "M": 100,
      "K": 256,
      "n_iter": 25,
      "seed": 0,
      "capacity": 4096,
      "query_offset": 100,
      "query_count": 20,
      "scale": 65536,
      "rebalance": "author algorithm with identical row-chunk distances"
    },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
      "query_ms": [
        2474768.4640724007,
        9899073.856289603
      ],
      "verify_ms": [
        19.670221705191082,
        78.68088682076433
      ],
      "vo_kb": [
        654.4371,
        885.4149
      ]
    },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
  "reason": "existing calibrated configuration fits declared 512GiB planning envelope",
  "smallest_memory_reaching_target": {
    "status": "conditional_forecast",
    "config": {
      "dataset": "glove100",
      "source": "glove100",
      "N": 1183514,
      "D": 100,
      "n_list": 1024,
      "M": 100,
      "K": 256,
      "n_iter": 25,
      "seed": 0,
      "capacity": 4096,
      "query_offset": 100,
      "query_count": 20,
      "scale": 65536,
      "rebalance": "author algorithm with identical row-chunk distances"
    },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
      "query_ms": [
        2474768.4640724007,
        9899073.856289603
      ],
      "verify_ms": [
        19.670221705191082,
        78.68088682076433
      ],
      "vo_kb": [
        654.4371,
        885.4149
      ]
    },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
}</t>
      </text>
    </comment>
    <comment ref="Q42" authorId="8" shapeId="0">
      <text>
        <t>512GiB条件预测（*），不是实测。仍假设单线程、相近单核速度、无换页。
{
  "kind": "curve",
  "dataset": "glove100",
  "sheet": "GloVe-100",
  "column": 17,
  "target": 0.7,
  "choice": {
    "status": "conditional_forecast",
    "config": {
      "dataset": "glove100",
      "source": "glove100",
      "N": 1183514,
      "D": 100,
      "n_list": 1024,
      "M": 50,
      "K": 256,
      "n_iter": 25,
      "seed": 0,
      "capacity": 4096,
      "query_offset": 100,
      "query_count": 20,
      "scale": 65536,
      "rebalance": "author algorithm with identical row-chunk distances"
    },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
      "query_ms": [
        2474768.4640724007,
        9899073.856289603
      ],
      "verify_ms": [
        25.64689304894108,
        102.58757219576432
      ],
      "vo_kb": [
        1100.0819,
        1488.3460999999998
      ]
    },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
      "query_ms": [
        2474768.4640724007,
        9899073.856289603
      ],
      "verify_ms": [
        25.64689304894108,
        102.58757219576432
      ],
      "vo_kb": [
        1100.0819,
        1488.3460999999998
      ]
    },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
}</t>
      </text>
    </comment>
    <comment ref="R42" authorId="8" shapeId="0">
      <text>
        <t>按用户要求留空；具体原因如下。
{
  "kind": "curve",
  "dataset": "glove100",
  "sheet": "GloVe-100",
  "column": 18,
  "target": 0.75,
  "choice": null,
  "reason": "all calibrated configurations reaching this target exceed the declared 512GiB planning envelope",
  "smallest_memory_reaching_target": {
    "status": "outside_512GiB_scenario",
    "config": {
      "dataset": "glove100",
      "source": "glove100",
      "N": 1183514,
      "D": 100,
      "n_list": 1024,
      "M": 100,
      "K": 256,
      "n_iter": 25,
      "seed": 0,
      "capacity": 4096,
      "query_offset": 100,
      "query_count": 20,
      "scale": 65536,
      "rebalance": "author algorithm with identical row-chunk distances"
    },
    "n_probe": 32,
    "k": 10,
    "gates": 11562258,
    "gate_source": "structural estimate",
    "domain_bits": 24,
    "guard_domain_bits": 24,
    "proof_phase_memory_estimate_GiB": 517.6257934570312,
    "planned_machine_memory_GiB": 832.818048095703,
    "fits_512GiB_scenario": false,
    "query_ms": 10329834.561643753,
    "verify_ms": 52.443031113360625,
    "vo_kb": 1302.425,
    "declared_sensitivity": {
      "query_ms": [
        5164917.280821877,
        20659669.123287506
      ],
      "verify_ms": [
        26.221515556680313,
        104.88606222672125
      ],
      "vo_kb": [
        1107.06125,
        1497.78875
      ]
    },
    "label": "512GiB条件预测，未在512GiB机器实测",
    "recall_scope": "existing search calibration only",
    "model": "glove100-1183514-M100",
    "recall": 0.78,
    "recall_source": "/mnt/d/paper_source/work_9/VeriANN_repro_2026-09-30/VeriANN_repro_2026-09-30/V3DB-26VLDB/work9-cache/glove100-1183514-M100/calibration.json",
    "recall_queries": 20
  }
}</t>
      </text>
    </comment>
    <comment ref="S42" authorId="8" shapeId="0">
      <text>
        <t>按用户要求留空；具体原因如下。
{
  "kind": "curve",
  "dataset": "glove100",
  "sheet": "GloVe-100",
  "column": 19,
  "target": 0.8,
  "choice": null,
  "reason": "all calibrated configurations reaching this target exceed the declared 512GiB planning envelope",
  "smallest_memory_reaching_target": {
    "status": "outside_512GiB_scenario",
    "config": {
      "dataset": "glove100",
      "source": "glove100",
      "N": 1183514,
      "D": 100,
      "n_list": 1024,
      "M": 100,
      "K": 512,
      "n_iter": 25,
      "seed": 0,
      "capacity": 4096,
      "query_offset": 100,
      "query_count": 20,
      "scale": 65536,
      "rebalance": "author algorithm with identical row-chunk distances"
    },
    "n_probe": 32,
    "k": 10,
    "gates": 11811413,
    "gate_source": "structural estimate",
    "domain_bits": 24,
    "guard_domain_bits": 24,
    "proof_phase_memory_estimate_GiB": 517.6257934570312,
    "planned_machine_memory_GiB": 832.818048095703,
    "fits_512GiB_scenario": false,
    "query_ms": 10329834.561643753,
    "verify_ms": 52.443031113360625,
    "vo_kb": 1302.425,
    "declared_sensitivity": {
      "query_ms": [
        5164917.280821877,
        20659669.123287506
      ],
      "verify_ms": [
        26.221515556680313,
        104.88606222672125
      ],
      "vo_kb": [
        1107.06125,
        1497.78875
      ]
    },
    "label": "512GiB条件预测，未在512GiB机器实测",
    "recall_scope": "existing search calibration only",
    "model": "glove100-1183514-M100-K512",
    "recall": 0.8,
    "recall_source": "/mnt/d/paper_source/work_9/VeriANN_repro_2026-09-30/VeriANN_repro_2026-09-30/V3DB-26VLDB/work9-cache/glove100-1183514-M100-K512/calibration.json",
    "recall_queries": 20
  }
}</t>
      </text>
    </comment>
    <comment ref="T42" authorId="8" shapeId="0">
      <text>
        <t>按用户要求留空；具体原因如下。
{
  "kind": "curve",
  "dataset": "glove100",
  "sheet": "GloVe-100",
  "column": 20,
  "target": 0.85,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64,
    "k": 10,
    "gates": 24575116,
    "gate_source": "structural estimate",
    "domain_bits": 25,
    "guard_domain_bits": 25,
    "proof_phase_memory_estimate_GiB": 1035.2515869140625,
    "planned_machine_memory_GiB": 1633.636096191406,
    "fits_512GiB_scenario": false,
    "query_ms": 21521190.533995807,
    "verify_ms": 77.49896150383908,
    "vo_kb": 2359.212,
    "declared_sensitivity": {
      "query_ms": [
        10760595.266997904,
        43042381.067991614
      ],
      "verify_ms": [
        38.74948075191954,
        154.99792300767817
      ],
      "vo_kb": [
        2005.3301999999999,
        2713.0937999999996
      ]
    },
    "label": "512GiB条件预测，未在512GiB机器实测",
    "recall_scope": "existing search calibration only",
    "model": "glove100-1183514-M100-K1024",
    "recall": 0.86,
    "recall_source": "/mnt/d/paper_source/work_9/VeriANN_repro_2026-09-30/VeriANN_repro_2026-09-30/V3DB-26VLDB/work9-cache/glove100-1183514-M100-K1024/calibration.json",
    "recall_queries": 20
  }
}</t>
      </text>
    </comment>
    <comment ref="U42" authorId="8" shapeId="0">
      <text>
        <t>按用户要求留空；具体原因如下。
{
  "kind": "curve",
  "dataset": "glove100",
  "sheet": "GloVe-100",
  "column": 21,
  "target": 0.9,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128,
    "k": 10,
    "gates": 49105901,
    "gate_source": "structural estimate",
    "domain_bits": 26,
    "guard_domain_bits": 26,
    "proof_phase_memory_estimate_GiB": 2070.503173828125,
    "planned_machine_memory_GiB": 3235.272192382812,
    "fits_512GiB_scenario": false,
    "query_ms": 44765423.889408216,
    "verify_ms": 126.46157726931756,
    "vo_kb": 4464.575,
    "declared_sensitivity": {
      "query_ms": [
        22382711.944704108,
        89530847.77881643
      ],
      "verify_ms": [
        63.23078863465878,
        252.92315453863512
      ],
      "vo_kb": [
        3794.8887499999996,
        5134.26125
      ]
    },
    "label": "512GiB条件预测，未在512GiB机器实测",
    "recall_scope": "existing search calibration only",
    "model": "glove100-1183514-M100-K1024",
    "recall": 0.9100000000000001,
    "recall_source": "/mnt/d/paper_source/work_9/VeriANN_repro_2026-09-30/VeriANN_repro_2026-09-30/V3DB-26VLDB/work9-cache/glove100-1183514-M100-K1024/calibration.json",
    "recall_queries": 20
  }
}</t>
      </text>
    </comment>
    <comment ref="V42" authorId="8" shapeId="0">
      <text>
        <t>按用户要求留空；具体原因如下。
{
  "kind": "curve",
  "dataset": "glove100",
  "sheet": "GloVe-100",
  "column": 22,
  "target": 0.95,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256,
    "k": 10,
    "gates": 98167471,
    "gate_source": "structural estimate",
    "domain_bits": 27,
    "guard_domain_bits": 27,
    "proof_phase_memory_estimate_GiB": 4141.00634765625,
    "planned_machine_memory_GiB": 6438.544384765624,
    "fits_512GiB_scenario": false,
    "query_ms": 92976933.42164965,
    "verify_ms": 223.237563784796,
    "vo_kb": 8667.09,
    "declared_sensitivity": {
      "query_ms": [
        46488466.710824825,
        185953866.8432993
      ],
      "verify_ms": [
        111.618781892398,
        446.475127569592
      ],
      "vo_kb": [
        7367.0265,
        9967.153499999999
      ]
    },
    "label": "512GiB条件预测，未在512GiB机器实测",
    "recall_scope": "existing search calibration only",
    "model": "glove100-1183514-M100-K1024",
    "recall": 0.9650000000000001,
    "recall_source": "/mnt/d/paper_source/work_9/VeriANN_repro_2026-09-30/VeriANN_repro_2026-09-30/V3DB-26VLDB/work9-cache/glove100-1183514-M100-K1024/calibration.json",
    "recall_queries": 20
  }
}</t>
      </text>
    </comment>
    <comment ref="W42" authorId="8" shapeId="0">
      <text>
        <t>按用户要求留空；具体原因如下。
{
  "kind": "curve",
  "dataset": "glove100",
  "sheet": "GloVe-100",
  "column": 23,
  "target": 0.97,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
      "query_ms": [
        96423019.06448285,
        385692076.2579314
      ],
      "verify_ms": [
        207.82014590013725,
        831.280583600549
      ],
      "vo_kb": [
        14504.32265,
        19623.495349999997
      ]
    },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
  }
}</t>
      </text>
    </comment>
    <comment ref="X42" authorId="8" shapeId="0">
      <text>
        <t>按用户要求留空；具体原因如下。
{
  "kind": "curve",
  "dataset": "glove100",
  "sheet": "GloVe-100",
  "column": 24,
  "target": 0.98,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
      "query_ms": [
        96423019.06448285,
        385692076.2579314
      ],
      "verify_ms": [
        207.82014590013725,
        831.280583600549
      ],
      "vo_kb": [
        14504.32265,
        19623.495349999997
      ]
    },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
  }
}</t>
      </text>
    </comment>
    <comment ref="Y42" authorId="8" shapeId="0">
      <text>
        <t>按用户要求留空；具体原因如下。
{
  "kind": "curve",
  "dataset": "glove100",
  "sheet": "GloVe-100",
  "column": 25,
  "target": 0.99,
  "choice": null,
  "reason": "no existing calibrated configuration reaches target; recall cannot be invented",
  "smallest_memory_reaching_target": null
}</t>
      </text>
    </comment>
    <comment ref="F43" authorId="4" shapeId="0">
      <text>
        <t>不适用：精确算法无可调低召回档位。仅Z列为100%实测参考点，不能作为等召回95%比较。
高维明文 MR-tree 改编；精确 kNN，不含隐私保护；空间批量装载并非作者 R*-tree 源码。</t>
      </text>
    </comment>
    <comment ref="G43" authorId="4" shapeId="0">
      <text>
        <t>不适用：精确算法无可调低召回档位。仅Z列为100%实测参考点，不能作为等召回95%比较。
高维明文 MR-tree 改编；精确 kNN，不含隐私保护；空间批量装载并非作者 R*-tree 源码。</t>
      </text>
    </comment>
    <comment ref="H43" authorId="4" shapeId="0">
      <text>
        <t>不适用：精确算法无可调低召回档位。仅Z列为100%实测参考点，不能作为等召回95%比较。
高维明文 MR-tree 改编；精确 kNN，不含隐私保护；空间批量装载并非作者 R*-tree 源码。</t>
      </text>
    </comment>
    <comment ref="I43" authorId="4" shapeId="0">
      <text>
        <t>不适用：精确算法无可调低召回档位。仅Z列为100%实测参考点，不能作为等召回95%比较。
高维明文 MR-tree 改编；精确 kNN，不含隐私保护；空间批量装载并非作者 R*-tree 源码。</t>
      </text>
    </comment>
    <comment ref="J43" authorId="4" shapeId="0">
      <text>
        <t>不适用：精确算法无可调低召回档位。仅Z列为100%实测参考点，不能作为等召回95%比较。
高维明文 MR-tree 改编；精确 kNN，不含隐私保护；空间批量装载并非作者 R*-tree 源码。</t>
      </text>
    </comment>
    <comment ref="K43" authorId="4" shapeId="0">
      <text>
        <t>不适用：精确算法无可调低召回档位。仅Z列为100%实测参考点，不能作为等召回95%比较。
高维明文 MR-tree 改编；精确 kNN，不含隐私保护；空间批量装载并非作者 R*-tree 源码。</t>
      </text>
    </comment>
    <comment ref="L43" authorId="4" shapeId="0">
      <text>
        <t>不适用：精确算法无可调低召回档位。仅Z列为100%实测参考点，不能作为等召回95%比较。
高维明文 MR-tree 改编；精确 kNN，不含隐私保护；空间批量装载并非作者 R*-tree 源码。</t>
      </text>
    </comment>
    <comment ref="M43" authorId="4" shapeId="0">
      <text>
        <t>不适用：精确算法无可调低召回档位。仅Z列为100%实测参考点，不能作为等召回95%比较。
高维明文 MR-tree 改编；精确 kNN，不含隐私保护；空间批量装载并非作者 R*-tree 源码。</t>
      </text>
    </comment>
    <comment ref="N43" authorId="4" shapeId="0">
      <text>
        <t>不适用：精确算法无可调低召回档位。仅Z列为100%实测参考点，不能作为等召回95%比较。
高维明文 MR-tree 改编；精确 kNN，不含隐私保护；空间批量装载并非作者 R*-tree 源码。</t>
      </text>
    </comment>
    <comment ref="O43" authorId="4" shapeId="0">
      <text>
        <t>不适用：精确算法无可调低召回档位。仅Z列为100%实测参考点，不能作为等召回95%比较。
高维明文 MR-tree 改编；精确 kNN，不含隐私保护；空间批量装载并非作者 R*-tree 源码。</t>
      </text>
    </comment>
    <comment ref="P43" authorId="4" shapeId="0">
      <text>
        <t>不适用：精确算法无可调低召回档位。仅Z列为100%实测参考点，不能作为等召回95%比较。
高维明文 MR-tree 改编；精确 kNN，不含隐私保护；空间批量装载并非作者 R*-tree 源码。</t>
      </text>
    </comment>
    <comment ref="Q43" authorId="4" shapeId="0">
      <text>
        <t>不适用：精确算法无可调低召回档位。仅Z列为100%实测参考点，不能作为等召回95%比较。
高维明文 MR-tree 改编；精确 kNN，不含隐私保护；空间批量装载并非作者 R*-tree 源码。</t>
      </text>
    </comment>
    <comment ref="R43" authorId="4" shapeId="0">
      <text>
        <t>不适用：精确算法无可调低召回档位。仅Z列为100%实测参考点，不能作为等召回95%比较。
高维明文 MR-tree 改编；精确 kNN，不含隐私保护；空间批量装载并非作者 R*-tree 源码。</t>
      </text>
    </comment>
    <comment ref="S43" authorId="4" shapeId="0">
      <text>
        <t>不适用：精确算法无可调低召回档位。仅Z列为100%实测参考点，不能作为等召回95%比较。
高维明文 MR-tree 改编；精确 kNN，不含隐私保护；空间批量装载并非作者 R*-tree 源码。</t>
      </text>
    </comment>
    <comment ref="T43" authorId="4" shapeId="0">
      <text>
        <t>不适用：精确算法无可调低召回档位。仅Z列为100%实测参考点，不能作为等召回95%比较。
高维明文 MR-tree 改编；精确 kNN，不含隐私保护；空间批量装载并非作者 R*-tree 源码。</t>
      </text>
    </comment>
    <comment ref="U43" authorId="4" shapeId="0">
      <text>
        <t>不适用：精确算法无可调低召回档位。仅Z列为100%实测参考点，不能作为等召回95%比较。
高维明文 MR-tree 改编；精确 kNN，不含隐私保护；空间批量装载并非作者 R*-tree 源码。</t>
      </text>
    </comment>
    <comment ref="V43" authorId="4" shapeId="0">
      <text>
        <t>不适用：精确算法无可调低召回档位。仅Z列为100%实测参考点，不能作为等召回95%比较。
高维明文 MR-tree 改编；精确 kNN，不含隐私保护；空间批量装载并非作者 R*-tree 源码。</t>
      </text>
    </comment>
    <comment ref="W43" authorId="4" shapeId="0">
      <text>
        <t>不适用：精确算法无可调低召回档位。仅Z列为100%实测参考点，不能作为等召回95%比较。
高维明文 MR-tree 改编；精确 kNN，不含隐私保护；空间批量装载并非作者 R*-tree 源码。</t>
      </text>
    </comment>
    <comment ref="X43" authorId="4" shapeId="0">
      <text>
        <t>不适用：精确算法无可调低召回档位。仅Z列为100%实测参考点，不能作为等召回95%比较。
高维明文 MR-tree 改编；精确 kNN，不含隐私保护；空间批量装载并非作者 R*-tree 源码。</t>
      </text>
    </comment>
    <comment ref="Y43" authorId="4" shapeId="0">
      <text>
        <t>不适用：精确算法无可调低召回档位。仅Z列为100%实测参考点，不能作为等召回95%比较。
高维明文 MR-tree 改编；精确 kNN，不含隐私保护；空间批量装载并非作者 R*-tree 源码。</t>
      </text>
    </comment>
    <comment ref="Z43" authorId="4" shapeId="0">
      <text>
        <t>精确方法唯一召回点。
高维明文 MR-tree 改编；精确 kNN，不含隐私保护；空间批量装载并非作者 R*-tree 源码。
来源：/mnt/d/paper_source/work_9/VeriANN_repro_2026-09-30/VeriANN_repro_2026-09-30/results/work9-chen13-20261021/glove100-1183514-overall/measurement.json
{"N": 1183514, "dataset": "glove100", "kind": "overall", "samples": 60, "point": {"k": 10, "samples": 60, "recall": 1.0, "query_ms": 468.73869463333335, "query_ms_stdev": 51.19104281789076, "search_ms": 269.09793421666666, "search_ms_stdev": 33.756033587405, "encode_ms": 199.64076041666667, "encode_ms_stdev": 29.23873315220724, "verify_ms": 390.3492656166667, "verify_ms_stdev": 45.53343707476649, "vo_bytes": 466932940.75, "examined": 1155242.25, "expanded": 24276.7, "vo_kb": 466932.94075}, "native": {"N": 1183514, "D": 100, "fanout": 16, "leaf_capacity": 64, "nodes": 24849, "build_seconds": 1.067556071, "snapshot_write_seconds": 17.396116707, "index_bytes": 500006896, "oracle_seconds": 1.089475347, "peak_rss_KiB": 1912108, "max_vo_bytes": 478264085, "tamper_tests": 9, "root": "466177f5ae7c9b9272de465c576908b833f1834050bb715714768e81d443642c", "threads": 1}}</t>
      </text>
    </comment>
    <comment ref="F44" authorId="4" shapeId="0">
      <text>
        <t>不适用：精确算法无可调低召回档位。仅Z列为100%实测参考点，不能作为等召回95%比较。
高维明文 MR-tree 改编；精确 kNN，不含隐私保护；空间批量装载并非作者 R*-tree 源码。</t>
      </text>
    </comment>
    <comment ref="G44" authorId="4" shapeId="0">
      <text>
        <t>不适用：精确算法无可调低召回档位。仅Z列为100%实测参考点，不能作为等召回95%比较。
高维明文 MR-tree 改编；精确 kNN，不含隐私保护；空间批量装载并非作者 R*-tree 源码。</t>
      </text>
    </comment>
    <comment ref="H44" authorId="4" shapeId="0">
      <text>
        <t>不适用：精确算法无可调低召回档位。仅Z列为100%实测参考点，不能作为等召回95%比较。
高维明文 MR-tree 改编；精确 kNN，不含隐私保护；空间批量装载并非作者 R*-tree 源码。</t>
      </text>
    </comment>
    <comment ref="I44" authorId="4" shapeId="0">
      <text>
        <t>不适用：精确算法无可调低召回档位。仅Z列为100%实测参考点，不能作为等召回95%比较。
高维明文 MR-tree 改编；精确 kNN，不含隐私保护；空间批量装载并非作者 R*-tree 源码。</t>
      </text>
    </comment>
    <comment ref="J44" authorId="4" shapeId="0">
      <text>
        <t>不适用：精确算法无可调低召回档位。仅Z列为100%实测参考点，不能作为等召回95%比较。
高维明文 MR-tree 改编；精确 kNN，不含隐私保护；空间批量装载并非作者 R*-tree 源码。</t>
      </text>
    </comment>
    <comment ref="K44" authorId="4" shapeId="0">
      <text>
        <t>不适用：精确算法无可调低召回档位。仅Z列为100%实测参考点，不能作为等召回95%比较。
高维明文 MR-tree 改编；精确 kNN，不含隐私保护；空间批量装载并非作者 R*-tree 源码。</t>
      </text>
    </comment>
    <comment ref="L44" authorId="4" shapeId="0">
      <text>
        <t>不适用：精确算法无可调低召回档位。仅Z列为100%实测参考点，不能作为等召回95%比较。
高维明文 MR-tree 改编；精确 kNN，不含隐私保护；空间批量装载并非作者 R*-tree 源码。</t>
      </text>
    </comment>
    <comment ref="M44" authorId="4" shapeId="0">
      <text>
        <t>不适用：精确算法无可调低召回档位。仅Z列为100%实测参考点，不能作为等召回95%比较。
高维明文 MR-tree 改编；精确 kNN，不含隐私保护；空间批量装载并非作者 R*-tree 源码。</t>
      </text>
    </comment>
    <comment ref="N44" authorId="4" shapeId="0">
      <text>
        <t>不适用：精确算法无可调低召回档位。仅Z列为100%实测参考点，不能作为等召回95%比较。
高维明文 MR-tree 改编；精确 kNN，不含隐私保护；空间批量装载并非作者 R*-tree 源码。</t>
      </text>
    </comment>
    <comment ref="O44" authorId="4" shapeId="0">
      <text>
        <t>不适用：精确算法无可调低召回档位。仅Z列为100%实测参考点，不能作为等召回95%比较。
高维明文 MR-tree 改编；精确 kNN，不含隐私保护；空间批量装载并非作者 R*-tree 源码。</t>
      </text>
    </comment>
    <comment ref="P44" authorId="4" shapeId="0">
      <text>
        <t>不适用：精确算法无可调低召回档位。仅Z列为100%实测参考点，不能作为等召回95%比较。
高维明文 MR-tree 改编；精确 kNN，不含隐私保护；空间批量装载并非作者 R*-tree 源码。</t>
      </text>
    </comment>
    <comment ref="Q44" authorId="4" shapeId="0">
      <text>
        <t>不适用：精确算法无可调低召回档位。仅Z列为100%实测参考点，不能作为等召回95%比较。
高维明文 MR-tree 改编；精确 kNN，不含隐私保护；空间批量装载并非作者 R*-tree 源码。</t>
      </text>
    </comment>
    <comment ref="R44" authorId="4" shapeId="0">
      <text>
        <t>不适用：精确算法无可调低召回档位。仅Z列为100%实测参考点，不能作为等召回95%比较。
高维明文 MR-tree 改编；精确 kNN，不含隐私保护；空间批量装载并非作者 R*-tree 源码。</t>
      </text>
    </comment>
    <comment ref="S44" authorId="4" shapeId="0">
      <text>
        <t>不适用：精确算法无可调低召回档位。仅Z列为100%实测参考点，不能作为等召回95%比较。
高维明文 MR-tree 改编；精确 kNN，不含隐私保护；空间批量装载并非作者 R*-tree 源码。</t>
      </text>
    </comment>
    <comment ref="T44" authorId="4" shapeId="0">
      <text>
        <t>不适用：精确算法无可调低召回档位。仅Z列为100%实测参考点，不能作为等召回95%比较。
高维明文 MR-tree 改编；精确 kNN，不含隐私保护；空间批量装载并非作者 R*-tree 源码。</t>
      </text>
    </comment>
    <comment ref="U44" authorId="4" shapeId="0">
      <text>
        <t>不适用：精确算法无可调低召回档位。仅Z列为100%实测参考点，不能作为等召回95%比较。
高维明文 MR-tree 改编；精确 kNN，不含隐私保护；空间批量装载并非作者 R*-tree 源码。</t>
      </text>
    </comment>
    <comment ref="V44" authorId="4" shapeId="0">
      <text>
        <t>不适用：精确算法无可调低召回档位。仅Z列为100%实测参考点，不能作为等召回95%比较。
高维明文 MR-tree 改编；精确 kNN，不含隐私保护；空间批量装载并非作者 R*-tree 源码。</t>
      </text>
    </comment>
    <comment ref="W44" authorId="4" shapeId="0">
      <text>
        <t>不适用：精确算法无可调低召回档位。仅Z列为100%实测参考点，不能作为等召回95%比较。
高维明文 MR-tree 改编；精确 kNN，不含隐私保护；空间批量装载并非作者 R*-tree 源码。</t>
      </text>
    </comment>
    <comment ref="X44" authorId="4" shapeId="0">
      <text>
        <t>不适用：精确算法无可调低召回档位。仅Z列为100%实测参考点，不能作为等召回95%比较。
高维明文 MR-tree 改编；精确 kNN，不含隐私保护；空间批量装载并非作者 R*-tree 源码。</t>
      </text>
    </comment>
    <comment ref="Y44" authorId="4" shapeId="0">
      <text>
        <t>不适用：精确算法无可调低召回档位。仅Z列为100%实测参考点，不能作为等召回95%比较。
高维明文 MR-tree 改编；精确 kNN，不含隐私保护；空间批量装载并非作者 R*-tree 源码。</t>
      </text>
    </comment>
    <comment ref="Z44" authorId="4" shapeId="0">
      <text>
        <t>沿用默认 k=10 的同一组60次真实测量；非重复实验。
高维明文 MR-tree 改编；精确 kNN，不含隐私保护；空间批量装载并非作者 R*-tree 源码。
来源：/mnt/d/paper_source/work_9/VeriANN_repro_2026-09-30/VeriANN_repro_2026-09-30/results/work9-chen13-20261021/glove100-1183514-overall/measurement.json
{"N": 1183514, "dataset": "glove100", "kind": "overall", "samples": 60, "point": {"k": 10, "samples": 60, "recall": 1.0, "query_ms": 468.73869463333335, "query_ms_stdev": 51.19104281789076, "search_ms": 269.09793421666666, "search_ms_stdev": 33.756033587405, "encode_ms": 199.64076041666667, "encode_ms_stdev": 29.23873315220724, "verify_ms": 390.3492656166667, "verify_ms_stdev": 45.53343707476649, "vo_bytes": 466932940.75, "examined": 1155242.25, "expanded": 24276.7, "vo_kb": 466932.94075}, "native": {"N": 1183514, "D": 100, "fanout": 16, "leaf_capacity": 64, "nodes": 24849, "build_seconds": 1.067556071, "snapshot_write_seconds": 17.396116707, "index_bytes": 500006896, "oracle_seconds": 1.089475347, "peak_rss_KiB": 1912108, "max_vo_bytes": 478264085, "tamper_tests": 9, "root": "466177f5ae7c9b9272de465c576908b833f1834050bb715714768e81d443642c", "threads": 1}}</t>
      </text>
    </comment>
    <comment ref="Z45" authorId="5" shapeId="0">
      <text>
        <t>新增精确方法100%参考点；其他已有方法及原15–99%列保持原值。</t>
      </text>
    </comment>
    <comment ref="F49" authorId="6" shapeId="0">
      <text>
        <t>仅补充低召回率曲线；默认约95%配置及其数据保持不变。20条查询IDs100..119×3次，单线程，完整VO生成与验证。目标和实际召回不同，填实际值。
{"k": 10, "ef": 100, "probes": 2, "recall": 0.16, "query_ms": 7.3318917, "verify_ms": 20.843654216666668, "vo_kb": 3340.40705, "samples": 60, "status": "passed", "output": "/mnt/d/paper_source/work_9/VeriANN_repro_2026-09-30/VeriANN_repro_2026-09-30/results/work9-low-baselines-20261021/glove100/VLAH/glove100-1183514-low-e100", "csv_sha256": "b811fcca183b70ec987eb7a3c394554c5afa93d87416ca1e47f78a5f3ddb5ff5", "target": 0.15, "selection": {"ef": 100, "probes": 2, "recall": 0.16, "valid": true, "pilot": "/mnt/d/paper_source/work_9/VeriANN_repro_2026-09-30/VeriANN_repro_2026-09-30/results/work9-low-baselines-20261021/search-pilots/glove100/VLAH-pilot-1183514-resource-phase0-ea8772e968"}}</t>
      </text>
    </comment>
    <comment ref="G49" authorId="6" shapeId="0">
      <text>
        <t>仅补充低召回率曲线；默认约95%配置及其数据保持不变。20条查询IDs100..119×3次，单线程，完整VO生成与验证。目标和实际召回不同，填实际值。
{"k": 10, "ef": 100, "probes": 4, "recall": 0.21, "query_ms": 15.247649233333332, "verify_ms": 43.27356721666667, "vo_kb": 6706.90815, "samples": 60, "status": "passed", "output": "/mnt/d/paper_source/work_9/VeriANN_repro_2026-09-30/VeriANN_repro_2026-09-30/results/work9-low-baselines-20261021/glove100/VLAH/glove100-1183514-low-e100", "csv_sha256": "b811fcca183b70ec987eb7a3c394554c5afa93d87416ca1e47f78a5f3ddb5ff5", "target": 0.2, "selection": {"ef": 100, "probes": 4, "recall": 0.21000000000000002, "valid": true, "pilot": "/mnt/d/paper_source/work_9/VeriANN_repro_2026-09-30/VeriANN_repro_2026-09-30/results/work9-low-baselines-20261021/search-pilots/glove100/VLAH-pilot-1183514-resource-phase0-ea8772e968"}}</t>
      </text>
    </comment>
    <comment ref="H49" authorId="6" shapeId="0">
      <text>
        <t>仅补充低召回率曲线；默认约95%配置及其数据保持不变。20条查询IDs100..119×3次，单线程，完整VO生成与验证。目标和实际召回不同，填实际值。
{"k": 10, "ef": 100, "probes": 5, "recall": 0.265, "query_ms": 19.975985016666666, "verify_ms": 56.788586083333335, "vo_kb": 8406.96125, "samples": 60, "status": "passed", "output": "/mnt/d/paper_source/work_9/VeriANN_repro_2026-09-30/VeriANN_repro_2026-09-30/results/work9-low-baselines-20261021/glove100/VLAH/glove100-1183514-low-e100", "csv_sha256": "b811fcca183b70ec987eb7a3c394554c5afa93d87416ca1e47f78a5f3ddb5ff5", "target": 0.25, "selection": {"ef": 100, "probes": 5, "recall": 0.265, "valid": true, "pilot": "/mnt/d/paper_source/work_9/VeriANN_repro_2026-09-30/VeriANN_repro_2026-09-30/results/work9-low-baselines-20261021/search-pilots/glove100/VLAH-pilot-1183514-resource-phase0-ea8772e968"}}</t>
      </text>
    </comment>
    <comment ref="I49" authorId="6" shapeId="0">
      <text>
        <t>仅补充低召回率曲线；默认约95%配置及其数据保持不变。20条查询IDs100..119×3次，单线程，完整VO生成与验证。目标和实际召回不同，填实际值。
{"k": 10, "ef": 100, "probes": 7, "recall": 0.315, "query_ms": 27.80805708333333, "verify_ms": 80.16261456666666, "vo_kb": 11749.45825, "samples": 60, "status": "passed", "output": "/mnt/d/paper_source/work_9/VeriANN_repro_2026-09-30/VeriANN_repro_2026-09-30/results/work9-low-baselines-20261021/glove100/VLAH/glove100-1183514-low-e100", "csv_sha256": "b811fcca183b70ec987eb7a3c394554c5afa93d87416ca1e47f78a5f3ddb5ff5", "target": 0.3, "selection": {"ef": 100, "probes": 7, "recall": 0.315, "valid": true, "pilot": "/mnt/d/paper_source/work_9/VeriANN_repro_2026-09-30/VeriANN_repro_2026-09-30/results/work9-low-baselines-20261021/search-pilots/glove100/VLAH-pilot-1183514-resource-phase0-ea8772e968"}}</t>
      </text>
    </comment>
    <comment ref="J49" authorId="6" shapeId="0">
      <text>
        <t>仅补充低召回率曲线；默认约95%配置及其数据保持不变。20条查询IDs100..119×3次，单线程，完整VO生成与验证。目标和实际召回不同，填实际值。
{"k": 10, "ef": 100, "probes": 11, "recall": 0.365, "query_ms": 46.37682319999999, "verify_ms": 126.2832732, "vo_kb": 18520.25115, "samples": 60, "status": "passed", "output": "/mnt/d/paper_source/work_9/VeriANN_repro_2026-09-30/VeriANN_repro_2026-09-30/results/work9-low-baselines-20261021/glove100/VLAH/glove100-1183514-low-e100", "csv_sha256": "b811fcca183b70ec987eb7a3c394554c5afa93d87416ca1e47f78a5f3ddb5ff5", "target": 0.35, "selection": {"ef": 100, "probes": 11, "recall": 0.365, "valid": true, "pilot": "/mnt/d/paper_source/work_9/VeriANN_repro_2026-09-30/VeriANN_repro_2026-09-30/results/work9-low-baselines-20261021/search-pilots/glove100/VLAH-pilot-1183514-resource-phase0-ea8772e968"}}</t>
      </text>
    </comment>
    <comment ref="K49" authorId="6" shapeId="0">
      <text>
        <t>仅补充低召回率曲线；默认约95%配置及其数据保持不变。20条查询IDs100..119×3次，单线程，完整VO生成与验证。目标和实际召回不同，填实际值。
{"k": 10, "ef": 100, "probes": 14, "recall": 0.41000000000000003, "query_ms": 60.56633123333333, "verify_ms": 162.54243325000002, "vo_kb": 23529.4354, "samples": 60, "status": "passed", "output": "/mnt/d/paper_source/work_9/VeriANN_repro_2026-09-30/VeriANN_repro_2026-09-30/results/work9-low-baselines-20261021/glove100/VLAH/glove100-1183514-low-e100", "csv_sha256": "b811fcca183b70ec987eb7a3c394554c5afa93d87416ca1e47f78a5f3ddb5ff5", "target": 0.4, "selection": {"ef": 100, "probes": 14, "recall": 0.41, "valid": true, "pilot": "/mnt/d/paper_source/work_9/VeriANN_repro_2026-09-30/VeriANN_repro_2026-09-30/results/work9-low-baselines-20261021/search-pilots/glove100/VLAH-pilot-1183514-resource-phase0-ea8772e968"}}</t>
      </text>
    </comment>
    <comment ref="L49" authorId="6" shapeId="0">
      <text>
        <t>仅补充低召回率曲线；默认约95%配置及其数据保持不变。20条查询IDs100..119×3次，单线程，完整VO生成与验证。目标和实际召回不同，填实际值。
{"k": 10, "ef": 100, "probes": 17, "recall": 0.45, "query_ms": 73.60962283333333, "verify_ms": 196.11805404999998, "vo_kb": 28612.079149999998, "samples": 60, "status": "passed", "output": "/mnt/d/paper_source/work_9/VeriANN_repro_2026-09-30/VeriANN_repro_2026-09-30/results/work9-low-baselines-20261021/glove100/VLAH/glove100-1183514-low-e100", "csv_sha256": "b811fcca183b70ec987eb7a3c394554c5afa93d87416ca1e47f78a5f3ddb5ff5", "target": 0.45, "selection": {"ef": 100, "probes": 17, "recall": 0.45, "valid": true, "pilot": "/mnt/d/paper_source/work_9/VeriANN_repro_2026-09-30/VeriANN_repro_2026-09-30/results/work9-low-baselines-20261021/search-pilots/glove100/VLAH-pilot-1183514-resource-phase0-ea8772e968"}}</t>
      </text>
    </comment>
    <comment ref="M49" authorId="6" shapeId="0">
      <text>
        <t>仅补充低召回率曲线；默认约95%配置及其数据保持不变。20条查询IDs100..119×3次，单线程，完整VO生成与验证。目标和实际召回不同，填实际值。
{"k": 10, "ef": 100, "probes": 21, "recall": 0.525, "query_ms": 94.38046846666666, "verify_ms": 241.9402729, "vo_kb": 35285.3301, "samples": 60, "status": "passed", "output": "/mnt/d/paper_source/work_9/VeriANN_repro_2026-09-30/VeriANN_repro_2026-09-30/results/work9-low-baselines-20261021/glove100/VLAH/glove100-1183514-low-e100", "csv_sha256": "b811fcca183b70ec987eb7a3c394554c5afa93d87416ca1e47f78a5f3ddb5ff5", "target": 0.5, "selection": {"ef": 100, "probes": 21, "recall": 0.525, "valid": true, "pilot": "/mnt/d/paper_source/work_9/VeriANN_repro_2026-09-30/VeriANN_repro_2026-09-30/results/work9-low-baselines-20261021/search-pilots/glove100/VLAH-pilot-1183514-resource-phase0-ea8772e968"}}</t>
      </text>
    </comment>
    <comment ref="N49" authorId="6" shapeId="0">
      <text>
        <t>仅补充低召回率曲线；默认约95%配置及其数据保持不变。20条查询IDs100..119×3次，单线程，完整VO生成与验证。目标和实际召回不同，填实际值。
{"k": 10, "ef": 100, "probes": 23, "recall": 0.5549999999999999, "query_ms": 107.98516335000001, "verify_ms": 267.0983323333333, "vo_kb": 38604.66135, "samples": 60, "status": "passed", "output": "/mnt/d/paper_source/work_9/VeriANN_repro_2026-09-30/VeriANN_repro_2026-09-30/results/work9-low-baselines-20261021/glove100/VLAH/glove100-1183514-low-e100", "csv_sha256": "b811fcca183b70ec987eb7a3c394554c5afa93d87416ca1e47f78a5f3ddb5ff5", "target": 0.55, "selection": {"ef": 100, "probes": 23, "recall": 0.5549999999999999, "valid": true, "pilot": "/mnt/d/paper_source/work_9/VeriANN_repro_2026-09-30/VeriANN_repro_2026-09-30/results/work9-low-baselines-20261021/search-pilots/glove100/VLAH-pilot-1183514-resource-phase0-ea8772e968"}}</t>
      </text>
    </comment>
    <comment ref="O49" authorId="0" shapeId="0">
      <text>
        <t>GloVe-100; VLAH; N=1183514; M=16; efConstruction=200; k=10; efSearch/E=200; probes=26; LSH width=0.33011345496943795
Actual recall=60.0000%;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P49" authorId="0" shapeId="0">
      <text>
        <t>GloVe-100; VLAH; N=1183514; M=16; efConstruction=200; k=10; efSearch/E=200; probes=29; LSH width=0.33011345496943795
Actual recall=66.0000%;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Q49" authorId="0" shapeId="0">
      <text>
        <t>GloVe-100; VLAH; N=1183514; M=16; efConstruction=200; k=10; efSearch/E=200; probes=34; LSH width=0.33011345496943795
Actual recall=70.0000%;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R49" authorId="0" shapeId="0">
      <text>
        <t>GloVe-100; VLAH; N=1183514; M=16; efConstruction=200; k=10; efSearch/E=200; probes=37; LSH width=0.33011345496943795
Actual recall=75.5000%;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S49" authorId="0" shapeId="0">
      <text>
        <t>GloVe-100; VLAH; N=1183514; M=16; efConstruction=200; k=10; efSearch/E=200; probes=40; LSH width=0.33011345496943795
Actual recall=80.0000%;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T49" authorId="0" shapeId="0">
      <text>
        <t>GloVe-100; VLAH; N=1183514; M=16; efConstruction=200; k=10; efSearch/E=200; probes=48; LSH width=0.33011345496943795
Actual recall=85.0000%;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U49" authorId="0" shapeId="0">
      <text>
        <t>GloVe-100; VLAH; N=1183514; M=16; efConstruction=200; k=10; efSearch/E=200; probes=52; LSH width=0.33011345496943795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V49" authorId="0" shapeId="0">
      <text>
        <t>GloVe-100; VLAH; N=1183514; M=16; efConstruction=200; k=10;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W49" authorId="0" shapeId="0">
      <text>
        <t>GloVe-100; VLAH; N=1183514; M=16; efConstruction=200; k=10; efSearch/E=200; probes=58; LSH width=0.33011345496943795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X49" authorId="0" shapeId="0">
      <text>
        <t>GloVe-100; VLAH; N=1183514; M=16; efConstruction=200; k=10; efSearch/E=200; probes=60; LSH width=0.33011345496943795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Y49" authorId="0" shapeId="0">
      <text>
        <t>GloVe-100; VLAH; N=1183514; M=16; efConstruction=200; k=10; efSearch/E=200; probes=60; LSH width=0.33011345496943795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F50" authorId="6" shapeId="0">
      <text>
        <t>仅补充低召回率曲线；默认约95%配置及其数据保持不变。20条查询IDs100..119×3次，单线程，完整VO生成与验证。目标和实际召回不同，填实际值。
{"k": 10, "ef": 100, "probes": 2, "recall": 0.16, "query_ms": 7.3318917, "verify_ms": 20.843654216666668, "vo_kb": 3340.40705, "samples": 60, "status": "passed", "output": "/mnt/d/paper_source/work_9/VeriANN_repro_2026-09-30/VeriANN_repro_2026-09-30/results/work9-low-baselines-20261021/glove100/VLAH/glove100-1183514-low-e100", "csv_sha256": "b811fcca183b70ec987eb7a3c394554c5afa93d87416ca1e47f78a5f3ddb5ff5", "target": 0.15, "selection": {"ef": 100, "probes": 2, "recall": 0.16, "valid": true, "pilot": "/mnt/d/paper_source/work_9/VeriANN_repro_2026-09-30/VeriANN_repro_2026-09-30/results/work9-low-baselines-20261021/search-pilots/glove100/VLAH-pilot-1183514-resource-phase0-ea8772e968"}}</t>
      </text>
    </comment>
    <comment ref="G50" authorId="6" shapeId="0">
      <text>
        <t>仅补充低召回率曲线；默认约95%配置及其数据保持不变。20条查询IDs100..119×3次，单线程，完整VO生成与验证。目标和实际召回不同，填实际值。
{"k": 10, "ef": 100, "probes": 4, "recall": 0.21, "query_ms": 15.247649233333332, "verify_ms": 43.27356721666667, "vo_kb": 6706.90815, "samples": 60, "status": "passed", "output": "/mnt/d/paper_source/work_9/VeriANN_repro_2026-09-30/VeriANN_repro_2026-09-30/results/work9-low-baselines-20261021/glove100/VLAH/glove100-1183514-low-e100", "csv_sha256": "b811fcca183b70ec987eb7a3c394554c5afa93d87416ca1e47f78a5f3ddb5ff5", "target": 0.2, "selection": {"ef": 100, "probes": 4, "recall": 0.21000000000000002, "valid": true, "pilot": "/mnt/d/paper_source/work_9/VeriANN_repro_2026-09-30/VeriANN_repro_2026-09-30/results/work9-low-baselines-20261021/search-pilots/glove100/VLAH-pilot-1183514-resource-phase0-ea8772e968"}}</t>
      </text>
    </comment>
    <comment ref="H50" authorId="6" shapeId="0">
      <text>
        <t>仅补充低召回率曲线；默认约95%配置及其数据保持不变。20条查询IDs100..119×3次，单线程，完整VO生成与验证。目标和实际召回不同，填实际值。
{"k": 10, "ef": 100, "probes": 5, "recall": 0.265, "query_ms": 19.975985016666666, "verify_ms": 56.788586083333335, "vo_kb": 8406.96125, "samples": 60, "status": "passed", "output": "/mnt/d/paper_source/work_9/VeriANN_repro_2026-09-30/VeriANN_repro_2026-09-30/results/work9-low-baselines-20261021/glove100/VLAH/glove100-1183514-low-e100", "csv_sha256": "b811fcca183b70ec987eb7a3c394554c5afa93d87416ca1e47f78a5f3ddb5ff5", "target": 0.25, "selection": {"ef": 100, "probes": 5, "recall": 0.265, "valid": true, "pilot": "/mnt/d/paper_source/work_9/VeriANN_repro_2026-09-30/VeriANN_repro_2026-09-30/results/work9-low-baselines-20261021/search-pilots/glove100/VLAH-pilot-1183514-resource-phase0-ea8772e968"}}</t>
      </text>
    </comment>
    <comment ref="I50" authorId="6" shapeId="0">
      <text>
        <t>仅补充低召回率曲线；默认约95%配置及其数据保持不变。20条查询IDs100..119×3次，单线程，完整VO生成与验证。目标和实际召回不同，填实际值。
{"k": 10, "ef": 100, "probes": 7, "recall": 0.315, "query_ms": 27.80805708333333, "verify_ms": 80.16261456666666, "vo_kb": 11749.45825, "samples": 60, "status": "passed", "output": "/mnt/d/paper_source/work_9/VeriANN_repro_2026-09-30/VeriANN_repro_2026-09-30/results/work9-low-baselines-20261021/glove100/VLAH/glove100-1183514-low-e100", "csv_sha256": "b811fcca183b70ec987eb7a3c394554c5afa93d87416ca1e47f78a5f3ddb5ff5", "target": 0.3, "selection": {"ef": 100, "probes": 7, "recall": 0.315, "valid": true, "pilot": "/mnt/d/paper_source/work_9/VeriANN_repro_2026-09-30/VeriANN_repro_2026-09-30/results/work9-low-baselines-20261021/search-pilots/glove100/VLAH-pilot-1183514-resource-phase0-ea8772e968"}}</t>
      </text>
    </comment>
    <comment ref="J50" authorId="6" shapeId="0">
      <text>
        <t>仅补充低召回率曲线；默认约95%配置及其数据保持不变。20条查询IDs100..119×3次，单线程，完整VO生成与验证。目标和实际召回不同，填实际值。
{"k": 10, "ef": 100, "probes": 11, "recall": 0.365, "query_ms": 46.37682319999999, "verify_ms": 126.2832732, "vo_kb": 18520.25115, "samples": 60, "status": "passed", "output": "/mnt/d/paper_source/work_9/VeriANN_repro_2026-09-30/VeriANN_repro_2026-09-30/results/work9-low-baselines-20261021/glove100/VLAH/glove100-1183514-low-e100", "csv_sha256": "b811fcca183b70ec987eb7a3c394554c5afa93d87416ca1e47f78a5f3ddb5ff5", "target": 0.35, "selection": {"ef": 100, "probes": 11, "recall": 0.365, "valid": true, "pilot": "/mnt/d/paper_source/work_9/VeriANN_repro_2026-09-30/VeriANN_repro_2026-09-30/results/work9-low-baselines-20261021/search-pilots/glove100/VLAH-pilot-1183514-resource-phase0-ea8772e968"}}</t>
      </text>
    </comment>
    <comment ref="K50" authorId="6" shapeId="0">
      <text>
        <t>仅补充低召回率曲线；默认约95%配置及其数据保持不变。20条查询IDs100..119×3次，单线程，完整VO生成与验证。目标和实际召回不同，填实际值。
{"k": 10, "ef": 100, "probes": 14, "recall": 0.41000000000000003, "query_ms": 60.56633123333333, "verify_ms": 162.54243325000002, "vo_kb": 23529.4354, "samples": 60, "status": "passed", "output": "/mnt/d/paper_source/work_9/VeriANN_repro_2026-09-30/VeriANN_repro_2026-09-30/results/work9-low-baselines-20261021/glove100/VLAH/glove100-1183514-low-e100", "csv_sha256": "b811fcca183b70ec987eb7a3c394554c5afa93d87416ca1e47f78a5f3ddb5ff5", "target": 0.4, "selection": {"ef": 100, "probes": 14, "recall": 0.41, "valid": true, "pilot": "/mnt/d/paper_source/work_9/VeriANN_repro_2026-09-30/VeriANN_repro_2026-09-30/results/work9-low-baselines-20261021/search-pilots/glove100/VLAH-pilot-1183514-resource-phase0-ea8772e968"}}</t>
      </text>
    </comment>
    <comment ref="L50" authorId="6" shapeId="0">
      <text>
        <t>仅补充低召回率曲线；默认约95%配置及其数据保持不变。20条查询IDs100..119×3次，单线程，完整VO生成与验证。目标和实际召回不同，填实际值。
{"k": 10, "ef": 100, "probes": 17, "recall": 0.45, "query_ms": 73.60962283333333, "verify_ms": 196.11805404999998, "vo_kb": 28612.079149999998, "samples": 60, "status": "passed", "output": "/mnt/d/paper_source/work_9/VeriANN_repro_2026-09-30/VeriANN_repro_2026-09-30/results/work9-low-baselines-20261021/glove100/VLAH/glove100-1183514-low-e100", "csv_sha256": "b811fcca183b70ec987eb7a3c394554c5afa93d87416ca1e47f78a5f3ddb5ff5", "target": 0.45, "selection": {"ef": 100, "probes": 17, "recall": 0.45, "valid": true, "pilot": "/mnt/d/paper_source/work_9/VeriANN_repro_2026-09-30/VeriANN_repro_2026-09-30/results/work9-low-baselines-20261021/search-pilots/glove100/VLAH-pilot-1183514-resource-phase0-ea8772e968"}}</t>
      </text>
    </comment>
    <comment ref="M50" authorId="6" shapeId="0">
      <text>
        <t>仅补充低召回率曲线；默认约95%配置及其数据保持不变。20条查询IDs100..119×3次，单线程，完整VO生成与验证。目标和实际召回不同，填实际值。
{"k": 10, "ef": 100, "probes": 21, "recall": 0.525, "query_ms": 94.38046846666666, "verify_ms": 241.9402729, "vo_kb": 35285.3301, "samples": 60, "status": "passed", "output": "/mnt/d/paper_source/work_9/VeriANN_repro_2026-09-30/VeriANN_repro_2026-09-30/results/work9-low-baselines-20261021/glove100/VLAH/glove100-1183514-low-e100", "csv_sha256": "b811fcca183b70ec987eb7a3c394554c5afa93d87416ca1e47f78a5f3ddb5ff5", "target": 0.5, "selection": {"ef": 100, "probes": 21, "recall": 0.525, "valid": true, "pilot": "/mnt/d/paper_source/work_9/VeriANN_repro_2026-09-30/VeriANN_repro_2026-09-30/results/work9-low-baselines-20261021/search-pilots/glove100/VLAH-pilot-1183514-resource-phase0-ea8772e968"}}</t>
      </text>
    </comment>
    <comment ref="N50" authorId="6" shapeId="0">
      <text>
        <t>仅补充低召回率曲线；默认约95%配置及其数据保持不变。20条查询IDs100..119×3次，单线程，完整VO生成与验证。目标和实际召回不同，填实际值。
{"k": 10, "ef": 100, "probes": 23, "recall": 0.5549999999999999, "query_ms": 107.98516335000001, "verify_ms": 267.0983323333333, "vo_kb": 38604.66135, "samples": 60, "status": "passed", "output": "/mnt/d/paper_source/work_9/VeriANN_repro_2026-09-30/VeriANN_repro_2026-09-30/results/work9-low-baselines-20261021/glove100/VLAH/glove100-1183514-low-e100", "csv_sha256": "b811fcca183b70ec987eb7a3c394554c5afa93d87416ca1e47f78a5f3ddb5ff5", "target": 0.55, "selection": {"ef": 100, "probes": 23, "recall": 0.5549999999999999, "valid": true, "pilot": "/mnt/d/paper_source/work_9/VeriANN_repro_2026-09-30/VeriANN_repro_2026-09-30/results/work9-low-baselines-20261021/search-pilots/glove100/VLAH-pilot-1183514-resource-phase0-ea8772e968"}}</t>
      </text>
    </comment>
    <comment ref="O50" authorId="0" shapeId="0">
      <text>
        <t>GloVe-100; VLAH; N=1183514; M=16; efConstruction=200; k=10; efSearch/E=200; probes=26; LSH width=0.33011345496943795
Actual recall=60.0000%;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P50" authorId="0" shapeId="0">
      <text>
        <t>GloVe-100; VLAH; N=1183514; M=16; efConstruction=200; k=10; efSearch/E=200; probes=29; LSH width=0.33011345496943795
Actual recall=66.0000%;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Q50" authorId="0" shapeId="0">
      <text>
        <t>GloVe-100; VLAH; N=1183514; M=16; efConstruction=200; k=10; efSearch/E=200; probes=34; LSH width=0.33011345496943795
Actual recall=70.0000%;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R50" authorId="0" shapeId="0">
      <text>
        <t>GloVe-100; VLAH; N=1183514; M=16; efConstruction=200; k=10; efSearch/E=200; probes=37; LSH width=0.33011345496943795
Actual recall=75.5000%;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S50" authorId="0" shapeId="0">
      <text>
        <t>GloVe-100; VLAH; N=1183514; M=16; efConstruction=200; k=10; efSearch/E=200; probes=40; LSH width=0.33011345496943795
Actual recall=80.0000%;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T50" authorId="0" shapeId="0">
      <text>
        <t>GloVe-100; VLAH; N=1183514; M=16; efConstruction=200; k=10; efSearch/E=200; probes=48; LSH width=0.33011345496943795
Actual recall=85.0000%;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U50" authorId="0" shapeId="0">
      <text>
        <t>GloVe-100; VLAH; N=1183514; M=16; efConstruction=200; k=10; efSearch/E=200; probes=52; LSH width=0.33011345496943795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V50" authorId="0" shapeId="0">
      <text>
        <t>GloVe-100; VLAH; N=1183514; M=16; efConstruction=200; k=10;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W50" authorId="0" shapeId="0">
      <text>
        <t>GloVe-100; VLAH; N=1183514; M=16; efConstruction=200; k=10; efSearch/E=200; probes=58; LSH width=0.33011345496943795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X50" authorId="0" shapeId="0">
      <text>
        <t>GloVe-100; VLAH; N=1183514; M=16; efConstruction=200; k=10; efSearch/E=200; probes=60; LSH width=0.33011345496943795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Y50" authorId="0" shapeId="0">
      <text>
        <t>GloVe-100; VLAH; N=1183514; M=16; efConstruction=200; k=10; efSearch/E=200; probes=60; LSH width=0.33011345496943795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D51" authorId="2" shapeId="0">
      <text>
        <t xml:space="preserve">* 表示性能指标为用户指定系数调整值，不是原始实测值。配置及实际召回见原始补测附表。
原有批注（历史来源）：
</t>
      </text>
    </comment>
    <comment ref="F51" authorId="6" shapeId="0">
      <text>
        <t>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0.15, "selection": {"ef": 10, "probes": 1, "recall": 0.36, "valid": true, "pilot": "/mnt/d/paper_source/work_9/VeriANN_repro_2026-09-30/VeriANN_repro_2026-09-30/results/work9-low-baselines-20261021/search-pilots/glove100/ANNProof-pilot-1183514-resource-phase0-a7e2488e41"}}</t>
      </text>
    </comment>
    <comment ref="G51" authorId="6" shapeId="0">
      <text>
        <t>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0.2, "selection": {"ef": 10, "probes": 1, "recall": 0.36, "valid": true, "pilot": "/mnt/d/paper_source/work_9/VeriANN_repro_2026-09-30/VeriANN_repro_2026-09-30/results/work9-low-baselines-20261021/search-pilots/glove100/ANNProof-pilot-1183514-resource-phase0-a7e2488e41"}}</t>
      </text>
    </comment>
    <comment ref="H51" authorId="6" shapeId="0">
      <text>
        <t>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0.25, "selection": {"ef": 10, "probes": 1, "recall": 0.36, "valid": true, "pilot": "/mnt/d/paper_source/work_9/VeriANN_repro_2026-09-30/VeriANN_repro_2026-09-30/results/work9-low-baselines-20261021/search-pilots/glove100/ANNProof-pilot-1183514-resource-phase0-a7e2488e41"}}</t>
      </text>
    </comment>
    <comment ref="I51" authorId="6" shapeId="0">
      <text>
        <t>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0.3, "selection": {"ef": 10, "probes": 1, "recall": 0.36, "valid": true, "pilot": "/mnt/d/paper_source/work_9/VeriANN_repro_2026-09-30/VeriANN_repro_2026-09-30/results/work9-low-baselines-20261021/search-pilots/glove100/ANNProof-pilot-1183514-resource-phase0-a7e2488e41"}}</t>
      </text>
    </comment>
    <comment ref="J51" authorId="6" shapeId="0">
      <text>
        <t>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0.35, "selection": {"ef": 10, "probes": 1, "recall": 0.36, "valid": true, "pilot": "/mnt/d/paper_source/work_9/VeriANN_repro_2026-09-30/VeriANN_repro_2026-09-30/results/work9-low-baselines-20261021/search-pilots/glove100/ANNProof-pilot-1183514-resource-phase0-a7e2488e41"}}</t>
      </text>
    </comment>
    <comment ref="K51" authorId="2" shapeId="0">
      <text>
        <t>本次真实补测：20条查询IDs100..119×3次，单线程；实际召回率不乘系数。
{"k": 10, "ef": 14, "probes": 1, "recall": 0.4, "query_ms": 1.8456097333333334, "verify_ms": 9.01886395, "vo_kb": 693.6684, "samples": 60, "status": "passed", "output": "/mnt/d/paper_source/work_9/VeriANN_repro_2026-09-30/VeriANN_repro_2026-09-30/results/work9-annproof-low-adjusted-20261021/measurements/glove100-M16-efc200", "csv_sha256": "0cab08c521bfec0c11d139ba60ae053e763ec24f73d160066ca2f6547738db32", "M": 16, "efc": 200, "target": 0.4, "pilot": {"M": 16, "efc": 200, "ef": 14, "recall": 0.4,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14, "probes": 1, "recall": 0.4, "query_ms": 1.87985775, "verify_ms": 9.1337694, "vo_kb": 693.6684, "samples": 60, "status": "passed", "output": "/mnt/d/paper_source/work_9/VeriANN_repro_2026-09-30/VeriANN_repro_2026-09-30/results/work9-low-baselines-20261021/glove100/ANNProof/glove100-1183514-low-all", "csv_sha256": "e4a92b533b99e11d8dc792b4a97af8bb20b1496953c56b3515c76a4ab2167db1", "target": 0.4, "selection": {"ef": 14, "probes": 1, "recall": 0.4, "valid": true, "pilot": "/mnt/d/paper_source/work_9/VeriANN_repro_2026-09-30/VeriANN_repro_2026-09-30/results/work9-low-baselines-20261021/search-pilots/glove100/ANNProof-pilot-1183514-resource-phase0-a7e2488e41"}}</t>
      </text>
    </comment>
    <comment ref="L51" authorId="2" shapeId="0">
      <text>
        <t>本次真实补测：20条查询IDs100..119×3次，单线程；实际召回率不乘系数。
{"k": 10, "ef": 19, "probes": 1, "recall": 0.455, "query_ms": 2.1463292166666665, "verify_ms": 10.753225516666667, "vo_kb": 830.1814, "samples": 60, "status": "passed", "output": "/mnt/d/paper_source/work_9/VeriANN_repro_2026-09-30/VeriANN_repro_2026-09-30/results/work9-annproof-low-adjusted-20261021/measurements/glove100-M16-efc200", "csv_sha256": "0cab08c521bfec0c11d139ba60ae053e763ec24f73d160066ca2f6547738db32", "M": 16, "efc": 200, "target": 0.45, "pilot": {"M": 16, "efc": 200, "ef": 19, "recall": 0.45499999999999996,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19, "probes": 1, "recall": 0.455, "query_ms": 2.1073542833333336, "verify_ms": 10.878128933333333, "vo_kb": 830.1814, "samples": 60, "status": "passed", "output": "/mnt/d/paper_source/work_9/VeriANN_repro_2026-09-30/VeriANN_repro_2026-09-30/results/work9-low-baselines-20261021/glove100/ANNProof/glove100-1183514-low-all", "csv_sha256": "e4a92b533b99e11d8dc792b4a97af8bb20b1496953c56b3515c76a4ab2167db1", "target": 0.45, "selection": {"ef": 19, "probes": 1, "recall": 0.45499999999999996, "valid": true, "pilot": "/mnt/d/paper_source/work_9/VeriANN_repro_2026-09-30/VeriANN_repro_2026-09-30/results/work9-low-baselines-20261021/search-pilots/glove100/ANNProof-pilot-1183514-resource-phase0-a7e2488e41"}}</t>
      </text>
    </comment>
    <comment ref="M51" authorId="2" shapeId="0">
      <text>
        <t>本次真实补测：20条查询IDs100..119×3次，单线程；实际召回率不乘系数。
{"k": 10, "ef": 29, "probes": 1, "recall": 0.505, "query_ms": 2.9589326, "verify_ms": 13.854632, "vo_kb": 1026.1096, "samples": 60, "status": "passed", "output": "/mnt/d/paper_source/work_9/VeriANN_repro_2026-09-30/VeriANN_repro_2026-09-30/results/work9-annproof-low-adjusted-20261021/measurements/glove100-M16-efc200", "csv_sha256": "0cab08c521bfec0c11d139ba60ae053e763ec24f73d160066ca2f6547738db32", "M": 16, "efc": 200, "target": 0.5, "pilot": {"M": 16, "efc": 200, "ef": 29, "recall": 0.505,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29, "probes": 1, "recall": 0.505, "query_ms": 2.662615833333333, "verify_ms": 13.302716199999999, "vo_kb": 1026.1096, "samples": 60, "status": "passed", "output": "/mnt/d/paper_source/work_9/VeriANN_repro_2026-09-30/VeriANN_repro_2026-09-30/results/work9-low-baselines-20261021/glove100/ANNProof/glove100-1183514-low-all", "csv_sha256": "e4a92b533b99e11d8dc792b4a97af8bb20b1496953c56b3515c76a4ab2167db1", "target": 0.5, "selection": {"ef": 29, "probes": 1, "recall": 0.505, "valid": true, "pilot": "/mnt/d/paper_source/work_9/VeriANN_repro_2026-09-30/VeriANN_repro_2026-09-30/results/work9-low-baselines-20261021/search-pilots/glove100/ANNProof-pilot-1183514-resource-phase0-a7e2488e41"}}</t>
      </text>
    </comment>
    <comment ref="N51" authorId="2" shapeId="0">
      <text>
        <t>本次真实补测：20条查询IDs100..119×3次，单线程；实际召回率不乘系数。
{"k": 10, "ef": 38, "probes": 1, "recall": 0.565, "query_ms": 3.5463415666666664, "verify_ms": 16.505657483333334, "vo_kb": 1245.8634, "samples": 60, "status": "passed", "output": "/mnt/d/paper_source/work_9/VeriANN_repro_2026-09-30/VeriANN_repro_2026-09-30/results/work9-annproof-low-adjusted-20261021/measurements/glove100-M16-efc200", "csv_sha256": "0cab08c521bfec0c11d139ba60ae053e763ec24f73d160066ca2f6547738db32", "M": 16, "efc": 200, "target": 0.55, "pilot": {"M": 16, "efc": 200, "ef": 38, "recall": 0.5650000000000001,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38, "probes": 1, "recall": 0.565, "query_ms": 3.3035124500000004, "verify_ms": 16.078620033333333, "vo_kb": 1245.8634, "samples": 60, "status": "passed", "output": "/mnt/d/paper_source/work_9/VeriANN_repro_2026-09-30/VeriANN_repro_2026-09-30/results/work9-low-baselines-20261021/glove100/ANNProof/glove100-1183514-low-all", "csv_sha256": "e4a92b533b99e11d8dc792b4a97af8bb20b1496953c56b3515c76a4ab2167db1", "target": 0.55, "selection": {"ef": 38, "probes": 1, "recall": 0.5650000000000001, "valid": true, "pilot": "/mnt/d/paper_source/work_9/VeriANN_repro_2026-09-30/VeriANN_repro_2026-09-30/results/work9-low-baselines-20261021/search-pilots/glove100/ANNProof-pilot-1183514-resource-phase0-a7e2488e41"}}</t>
      </text>
    </comment>
    <comment ref="O51" authorId="2" shapeId="0">
      <text>
        <t>本次真实补测：20条查询IDs100..119×3次，单线程；实际召回率不乘系数。
{"k": 10, "ef": 49, "probes": 1, "recall": 0.6, "query_ms": 4.002683916666667, "verify_ms": 18.9798409, "vo_kb": 1440.1246, "samples": 60, "status": "passed", "output": "/mnt/d/paper_source/work_9/VeriANN_repro_2026-09-30/VeriANN_repro_2026-09-30/results/work9-annproof-low-adjusted-20261021/measurements/glove100-M16-efc200", "csv_sha256": "0cab08c521bfec0c11d139ba60ae053e763ec24f73d160066ca2f6547738db32", "M": 16, "efc": 200, "target": 0.6, "pilot": {"M": 16, "efc": 200, "ef": 49, "recall": 0.6, "valid": true, "pilot": "/mnt/d/paper_source/work_9/VeriANN_repro_2026-09-30/VeriANN_repro_2026-09-30/results/work9-annproof-low-adjusted-20261021/pilots/glove100-M16-efc200"}}
原有批注（历史来源）：
GloVe-100; ANNProof; N=1183514; M=16; efConstruction=200; k=10; efSearch/E=64; probes=1; LSH width=not used
Actual recall=66.5000%;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P51" authorId="2" shapeId="0">
      <text>
        <t>本次真实补测：20条查询IDs100..119×3次，单线程；实际召回率不乘系数。
{"k": 10, "ef": 64, "probes": 1, "recall": 0.6649999999999999, "query_ms": 5.100157533333333, "verify_ms": 23.386725333333334, "vo_kb": 1768.2552, "samples": 60, "status": "passed", "output": "/mnt/d/paper_source/work_9/VeriANN_repro_2026-09-30/VeriANN_repro_2026-09-30/results/work9-annproof-low-adjusted-20261021/measurements/glove100-M16-efc200", "csv_sha256": "0cab08c521bfec0c11d139ba60ae053e763ec24f73d160066ca2f6547738db32", "M": 16, "efc": 200, "target": 0.65, "pilot": {"M": 16, "efc": 200, "ef": 64, "recall": 0.665, "valid": true, "pilot": "/mnt/d/paper_source/work_9/VeriANN_repro_2026-09-30/VeriANN_repro_2026-09-30/results/work9-annproof-low-adjusted-20261021/pilots/glove100-M16-efc200"}}
原有批注（历史来源）：
GloVe-100; ANNProof; N=1183514; M=16; efConstruction=200; k=10; efSearch/E=64; probes=1; LSH width=not used
Actual recall=66.5000%;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Q51" authorId="2" shapeId="0">
      <text>
        <t>本次真实补测：20条查询IDs100..119×3次，单线程；实际召回率不乘系数。
{"k": 10, "ef": 109, "probes": 1, "recall": 0.7, "query_ms": 7.6252956, "verify_ms": 33.70188528333333, "vo_kb": 2517.2104, "samples": 60, "status": "passed", "output": "/mnt/d/paper_source/work_9/VeriANN_repro_2026-09-30/VeriANN_repro_2026-09-30/results/work9-annproof-low-adjusted-20261021/measurements/glove100-M16-efc200", "csv_sha256": "0cab08c521bfec0c11d139ba60ae053e763ec24f73d160066ca2f6547738db32", "M": 16, "efc": 200, "target": 0.7, "pilot": {"M": 16, "efc": 200, "ef": 109, "recall": 0.7, "valid": true, "pilot": "/mnt/d/paper_source/work_9/VeriANN_repro_2026-09-30/VeriANN_repro_2026-09-30/results/work9-annproof-low-adjusted-20261021/pilots/glove100-M16-efc200"}}
原有批注（历史来源）：
GloVe-100; ANNProof; N=1183514; M=16; efConstruction=200; k=10; efSearch/E=128; probes=1; LSH width=not used
Actual recall=77.5000%;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R51" authorId="2" shapeId="0">
      <text>
        <t>本次真实补测：20条查询IDs100..119×3次，单线程；实际召回率不乘系数。
{"k": 10, "ef": 111, "probes": 1, "recall": 0.76, "query_ms": 7.825042366666667, "verify_ms": 35.01635556666667, "vo_kb": 2621.0818, "samples": 60, "status": "passed", "output": "/mnt/d/paper_source/work_9/VeriANN_repro_2026-09-30/VeriANN_repro_2026-09-30/results/work9-annproof-low-adjusted-20261021/measurements/glove100-M16-efc200", "csv_sha256": "0cab08c521bfec0c11d139ba60ae053e763ec24f73d160066ca2f6547738db32", "M": 16, "efc": 200, "target": 0.75, "pilot": {"M": 16, "efc": 200, "ef": 111, "recall": 0.76, "valid": true, "pilot": "/mnt/d/paper_source/work_9/VeriANN_repro_2026-09-30/VeriANN_repro_2026-09-30/results/work9-annproof-low-adjusted-20261021/pilots/glove100-M16-efc200"}}
原有批注（历史来源）：
GloVe-100; ANNProof; N=1183514; M=16; efConstruction=200; k=10; efSearch/E=128; probes=1; LSH width=not used
Actual recall=77.5000%;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S51" authorId="2" shapeId="0">
      <text>
        <t>本次真实补测：20条查询IDs100..119×3次，单线程；实际召回率不乘系数。
{"k": 10, "ef": 147, "probes": 1, "recall": 0.8049999999999999, "query_ms": 9.670231033333334, "verify_ms": 42.93240513333333, "vo_kb": 3202.7554, "samples": 60, "status": "passed", "output": "/mnt/d/paper_source/work_9/VeriANN_repro_2026-09-30/VeriANN_repro_2026-09-30/results/work9-annproof-low-adjusted-20261021/measurements/glove100-M16-efc200", "csv_sha256": "0cab08c521bfec0c11d139ba60ae053e763ec24f73d160066ca2f6547738db32", "M": 16, "efc": 200, "target": 0.8, "pilot": {"M": 16, "efc": 200, "ef": 147, "recall": 0.805, "valid": true, "pilot": "/mnt/d/paper_source/work_9/VeriANN_repro_2026-09-30/VeriANN_repro_2026-09-30/results/work9-annproof-low-adjusted-20261021/pilots/glove100-M16-efc200"}}
原有批注（历史来源）：
GloVe-100; ANNProof; N=1183514; M=16; efConstruction=200; k=10; efSearch/E=192; probes=1; LSH width=not used
Actual recall=83.5000%;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T51" authorId="0" shapeId="0">
      <text>
        <t>GloVe-100; ANNProof; N=1183514; M=16; efConstruction=200; k=10; efSearch/E=256; probes=1; LSH width=not used
Actual recall=87.5000%;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U51" authorId="0" shapeId="0">
      <text>
        <t>GloVe-100; ANNProof; N=1183514; M=16; efConstruction=200; k=10; efSearch/E=384; probes=1; LSH width=not used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V51" authorId="0" shapeId="0">
      <text>
        <t>GloVe-100; ANNProof; N=1183514; M=16; efConstruction=200; k=10; efSearch/E=1536; probes=1; LSH width=not used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W51" authorId="0" shapeId="0">
      <text>
        <t>GloVe-100; ANNProof; N=1183514; M=16; efConstruction=200; k=10; efSearch/E=2048;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X51" authorId="0" shapeId="0">
      <text>
        <t>GloVe-100; ANNProof; N=1183514; M=16; efConstruction=200; k=10; efSearch/E=4096;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Y51" authorId="0" shapeId="0">
      <text>
        <t>GloVe-100; ANNProof; N=1183514; M=16; efConstruction=200; k=10; efSearch/E=8192; probes=1; LSH width=not used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F52" authorId="2" shapeId="0">
      <text>
        <t>用户指定系数调整值；不是原始实测数值。指标=query_ms；原始值=1.3691084；系数=1.2；调整值=1.64293008。召回率不调整。原始CSV/附表保留。
原有批注（历史来源）：
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0.15, "selection": {"ef": 10, "probes": 1, "recall": 0.36, "valid": true, "pilot": "/mnt/d/paper_source/work_9/VeriANN_repro_2026-09-30/VeriANN_repro_2026-09-30/results/work9-low-baselines-20261021/search-pilots/glove100/ANNProof-pilot-1183514-resource-phase0-a7e2488e41"}}</t>
      </text>
    </comment>
    <comment ref="G52" authorId="2" shapeId="0">
      <text>
        <t>用户指定系数调整值；不是原始实测数值。指标=query_ms；原始值=1.3691084；系数=1.2；调整值=1.64293008。召回率不调整。原始CSV/附表保留。
原有批注（历史来源）：
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0.2, "selection": {"ef": 10, "probes": 1, "recall": 0.36, "valid": true, "pilot": "/mnt/d/paper_source/work_9/VeriANN_repro_2026-09-30/VeriANN_repro_2026-09-30/results/work9-low-baselines-20261021/search-pilots/glove100/ANNProof-pilot-1183514-resource-phase0-a7e2488e41"}}</t>
      </text>
    </comment>
    <comment ref="H52" authorId="2" shapeId="0">
      <text>
        <t>用户指定系数调整值；不是原始实测数值。指标=query_ms；原始值=1.3691084；系数=1.2；调整值=1.64293008。召回率不调整。原始CSV/附表保留。
原有批注（历史来源）：
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0.25, "selection": {"ef": 10, "probes": 1, "recall": 0.36, "valid": true, "pilot": "/mnt/d/paper_source/work_9/VeriANN_repro_2026-09-30/VeriANN_repro_2026-09-30/results/work9-low-baselines-20261021/search-pilots/glove100/ANNProof-pilot-1183514-resource-phase0-a7e2488e41"}}</t>
      </text>
    </comment>
    <comment ref="I52" authorId="2" shapeId="0">
      <text>
        <t>用户指定系数调整值；不是原始实测数值。指标=query_ms；原始值=1.3691084；系数=1.2；调整值=1.64293008。召回率不调整。原始CSV/附表保留。
原有批注（历史来源）：
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0.3, "selection": {"ef": 10, "probes": 1, "recall": 0.36, "valid": true, "pilot": "/mnt/d/paper_source/work_9/VeriANN_repro_2026-09-30/VeriANN_repro_2026-09-30/results/work9-low-baselines-20261021/search-pilots/glove100/ANNProof-pilot-1183514-resource-phase0-a7e2488e41"}}</t>
      </text>
    </comment>
    <comment ref="J52" authorId="2" shapeId="0">
      <text>
        <t>用户指定系数调整值；不是原始实测数值。指标=query_ms；原始值=1.3691084；系数=1.2；调整值=1.64293008。召回率不调整。原始CSV/附表保留。
原有批注（历史来源）：
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0.35, "selection": {"ef": 10, "probes": 1, "recall": 0.36, "valid": true, "pilot": "/mnt/d/paper_source/work_9/VeriANN_repro_2026-09-30/VeriANN_repro_2026-09-30/results/work9-low-baselines-20261021/search-pilots/glove100/ANNProof-pilot-1183514-resource-phase0-a7e2488e41"}}</t>
      </text>
    </comment>
    <comment ref="K52" authorId="2" shapeId="0">
      <text>
        <t>用户指定系数调整值；不是原始实测数值。指标=query_ms；原始值=1.8456097333333334；系数=1.2；调整值=2.2147316799999999。召回率不调整。原始CSV/附表保留。
原有批注（历史来源）：
本单元格先替换为本次原始测量，随后按统一系数调整。
{"k": 10, "ef": 14, "probes": 1, "recall": 0.4, "query_ms": 1.8456097333333334, "verify_ms": 9.01886395, "vo_kb": 693.6684, "samples": 60, "status": "passed", "output": "/mnt/d/paper_source/work_9/VeriANN_repro_2026-09-30/VeriANN_repro_2026-09-30/results/work9-annproof-low-adjusted-20261021/measurements/glove100-M16-efc200", "csv_sha256": "0cab08c521bfec0c11d139ba60ae053e763ec24f73d160066ca2f6547738db32", "M": 16, "efc": 200, "target": 0.4, "pilot": {"M": 16, "efc": 200, "ef": 14, "recall": 0.4,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14, "probes": 1, "recall": 0.4, "query_ms": 1.87985775, "verify_ms": 9.1337694, "vo_kb": 693.6684, "samples": 60, "status": "passed", "output": "/mnt/d/paper_source/work_9/VeriANN_repro_2026-09-30/VeriANN_repro_2026-09-30/results/work9-low-baselines-20261021/glove100/ANNProof/glove100-1183514-low-all", "csv_sha256": "e4a92b533b99e11d8dc792b4a97af8bb20b1496953c56b3515c76a4ab2167db1", "target": 0.4, "selection": {"ef": 14, "probes": 1, "recall": 0.4, "valid": true, "pilot": "/mnt/d/paper_source/work_9/VeriANN_repro_2026-09-30/VeriANN_repro_2026-09-30/results/work9-low-baselines-20261021/search-pilots/glove100/ANNProof-pilot-1183514-resource-phase0-a7e2488e41"}}</t>
      </text>
    </comment>
    <comment ref="L52" authorId="2" shapeId="0">
      <text>
        <t>用户指定系数调整值；不是原始实测数值。指标=query_ms；原始值=2.1463292166666665；系数=1.2；调整值=2.5755950599999999。召回率不调整。原始CSV/附表保留。
原有批注（历史来源）：
本单元格先替换为本次原始测量，随后按统一系数调整。
{"k": 10, "ef": 19, "probes": 1, "recall": 0.455, "query_ms": 2.1463292166666665, "verify_ms": 10.753225516666667, "vo_kb": 830.1814, "samples": 60, "status": "passed", "output": "/mnt/d/paper_source/work_9/VeriANN_repro_2026-09-30/VeriANN_repro_2026-09-30/results/work9-annproof-low-adjusted-20261021/measurements/glove100-M16-efc200", "csv_sha256": "0cab08c521bfec0c11d139ba60ae053e763ec24f73d160066ca2f6547738db32", "M": 16, "efc": 200, "target": 0.45, "pilot": {"M": 16, "efc": 200, "ef": 19, "recall": 0.45499999999999996,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19, "probes": 1, "recall": 0.455, "query_ms": 2.1073542833333336, "verify_ms": 10.878128933333333, "vo_kb": 830.1814, "samples": 60, "status": "passed", "output": "/mnt/d/paper_source/work_9/VeriANN_repro_2026-09-30/VeriANN_repro_2026-09-30/results/work9-low-baselines-20261021/glove100/ANNProof/glove100-1183514-low-all", "csv_sha256": "e4a92b533b99e11d8dc792b4a97af8bb20b1496953c56b3515c76a4ab2167db1", "target": 0.45, "selection": {"ef": 19, "probes": 1, "recall": 0.45499999999999996, "valid": true, "pilot": "/mnt/d/paper_source/work_9/VeriANN_repro_2026-09-30/VeriANN_repro_2026-09-30/results/work9-low-baselines-20261021/search-pilots/glove100/ANNProof-pilot-1183514-resource-phase0-a7e2488e41"}}</t>
      </text>
    </comment>
    <comment ref="M52" authorId="2" shapeId="0">
      <text>
        <t>用户指定系数调整值；不是原始实测数值。指标=query_ms；原始值=2.9589325999999998；系数=1.2；调整值=3.5507191199999997。召回率不调整。原始CSV/附表保留。
原有批注（历史来源）：
本单元格先替换为本次原始测量，随后按统一系数调整。
{"k": 10, "ef": 29, "probes": 1, "recall": 0.505, "query_ms": 2.9589326, "verify_ms": 13.854632, "vo_kb": 1026.1096, "samples": 60, "status": "passed", "output": "/mnt/d/paper_source/work_9/VeriANN_repro_2026-09-30/VeriANN_repro_2026-09-30/results/work9-annproof-low-adjusted-20261021/measurements/glove100-M16-efc200", "csv_sha256": "0cab08c521bfec0c11d139ba60ae053e763ec24f73d160066ca2f6547738db32", "M": 16, "efc": 200, "target": 0.5, "pilot": {"M": 16, "efc": 200, "ef": 29, "recall": 0.505,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29, "probes": 1, "recall": 0.505, "query_ms": 2.662615833333333, "verify_ms": 13.302716199999999, "vo_kb": 1026.1096, "samples": 60, "status": "passed", "output": "/mnt/d/paper_source/work_9/VeriANN_repro_2026-09-30/VeriANN_repro_2026-09-30/results/work9-low-baselines-20261021/glove100/ANNProof/glove100-1183514-low-all", "csv_sha256": "e4a92b533b99e11d8dc792b4a97af8bb20b1496953c56b3515c76a4ab2167db1", "target": 0.5, "selection": {"ef": 29, "probes": 1, "recall": 0.505, "valid": true, "pilot": "/mnt/d/paper_source/work_9/VeriANN_repro_2026-09-30/VeriANN_repro_2026-09-30/results/work9-low-baselines-20261021/search-pilots/glove100/ANNProof-pilot-1183514-resource-phase0-a7e2488e41"}}</t>
      </text>
    </comment>
    <comment ref="N52" authorId="2" shapeId="0">
      <text>
        <t>用户指定系数调整值；不是原始实测数值。指标=query_ms；原始值=3.5463415666666664；系数=1.2；调整值=4.2556098799999997。召回率不调整。原始CSV/附表保留。
原有批注（历史来源）：
本单元格先替换为本次原始测量，随后按统一系数调整。
{"k": 10, "ef": 38, "probes": 1, "recall": 0.565, "query_ms": 3.5463415666666664, "verify_ms": 16.505657483333334, "vo_kb": 1245.8634, "samples": 60, "status": "passed", "output": "/mnt/d/paper_source/work_9/VeriANN_repro_2026-09-30/VeriANN_repro_2026-09-30/results/work9-annproof-low-adjusted-20261021/measurements/glove100-M16-efc200", "csv_sha256": "0cab08c521bfec0c11d139ba60ae053e763ec24f73d160066ca2f6547738db32", "M": 16, "efc": 200, "target": 0.55, "pilot": {"M": 16, "efc": 200, "ef": 38, "recall": 0.5650000000000001,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38, "probes": 1, "recall": 0.565, "query_ms": 3.3035124500000004, "verify_ms": 16.078620033333333, "vo_kb": 1245.8634, "samples": 60, "status": "passed", "output": "/mnt/d/paper_source/work_9/VeriANN_repro_2026-09-30/VeriANN_repro_2026-09-30/results/work9-low-baselines-20261021/glove100/ANNProof/glove100-1183514-low-all", "csv_sha256": "e4a92b533b99e11d8dc792b4a97af8bb20b1496953c56b3515c76a4ab2167db1", "target": 0.55, "selection": {"ef": 38, "probes": 1, "recall": 0.5650000000000001, "valid": true, "pilot": "/mnt/d/paper_source/work_9/VeriANN_repro_2026-09-30/VeriANN_repro_2026-09-30/results/work9-low-baselines-20261021/search-pilots/glove100/ANNProof-pilot-1183514-resource-phase0-a7e2488e41"}}</t>
      </text>
    </comment>
    <comment ref="O52" authorId="2" shapeId="0">
      <text>
        <t>用户指定系数调整值；不是原始实测数值。指标=query_ms；原始值=4.0026839166666672；系数=1.2；调整值=4.8032207000000007。召回率不调整。原始CSV/附表保留。
原有批注（历史来源）：
本单元格先替换为本次原始测量，随后按统一系数调整。
{"k": 10, "ef": 49, "probes": 1, "recall": 0.6, "query_ms": 4.002683916666667, "verify_ms": 18.9798409, "vo_kb": 1440.1246, "samples": 60, "status": "passed", "output": "/mnt/d/paper_source/work_9/VeriANN_repro_2026-09-30/VeriANN_repro_2026-09-30/results/work9-annproof-low-adjusted-20261021/measurements/glove100-M16-efc200", "csv_sha256": "0cab08c521bfec0c11d139ba60ae053e763ec24f73d160066ca2f6547738db32", "M": 16, "efc": 200, "target": 0.6, "pilot": {"M": 16, "efc": 200, "ef": 49, "recall": 0.6, "valid": true, "pilot": "/mnt/d/paper_source/work_9/VeriANN_repro_2026-09-30/VeriANN_repro_2026-09-30/results/work9-annproof-low-adjusted-20261021/pilots/glove100-M16-efc200"}}
原有批注（历史来源）：
GloVe-100; ANNProof; N=1183514; M=16; efConstruction=200; k=10; efSearch/E=64; probes=1; LSH width=not used
Actual recall=66.5000%;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P52" authorId="2" shapeId="0">
      <text>
        <t>用户指定系数调整值；不是原始实测数值。指标=query_ms；原始值=5.1001575333333333；系数=1.2；调整值=6.1201890399999996。召回率不调整。原始CSV/附表保留。
原有批注（历史来源）：
本单元格先替换为本次原始测量，随后按统一系数调整。
{"k": 10, "ef": 64, "probes": 1, "recall": 0.6649999999999999, "query_ms": 5.100157533333333, "verify_ms": 23.386725333333334, "vo_kb": 1768.2552, "samples": 60, "status": "passed", "output": "/mnt/d/paper_source/work_9/VeriANN_repro_2026-09-30/VeriANN_repro_2026-09-30/results/work9-annproof-low-adjusted-20261021/measurements/glove100-M16-efc200", "csv_sha256": "0cab08c521bfec0c11d139ba60ae053e763ec24f73d160066ca2f6547738db32", "M": 16, "efc": 200, "target": 0.65, "pilot": {"M": 16, "efc": 200, "ef": 64, "recall": 0.665, "valid": true, "pilot": "/mnt/d/paper_source/work_9/VeriANN_repro_2026-09-30/VeriANN_repro_2026-09-30/results/work9-annproof-low-adjusted-20261021/pilots/glove100-M16-efc200"}}
原有批注（历史来源）：
GloVe-100; ANNProof; N=1183514; M=16; efConstruction=200; k=10; efSearch/E=64; probes=1; LSH width=not used
Actual recall=66.5000%;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Q52" authorId="2" shapeId="0">
      <text>
        <t>用户指定系数调整值；不是原始实测数值。指标=query_ms；原始值=7.6252956000000003；系数=1.2；调整值=9.1503547199999993。召回率不调整。原始CSV/附表保留。
原有批注（历史来源）：
本单元格先替换为本次原始测量，随后按统一系数调整。
{"k": 10, "ef": 109, "probes": 1, "recall": 0.7, "query_ms": 7.6252956, "verify_ms": 33.70188528333333, "vo_kb": 2517.2104, "samples": 60, "status": "passed", "output": "/mnt/d/paper_source/work_9/VeriANN_repro_2026-09-30/VeriANN_repro_2026-09-30/results/work9-annproof-low-adjusted-20261021/measurements/glove100-M16-efc200", "csv_sha256": "0cab08c521bfec0c11d139ba60ae053e763ec24f73d160066ca2f6547738db32", "M": 16, "efc": 200, "target": 0.7, "pilot": {"M": 16, "efc": 200, "ef": 109, "recall": 0.7, "valid": true, "pilot": "/mnt/d/paper_source/work_9/VeriANN_repro_2026-09-30/VeriANN_repro_2026-09-30/results/work9-annproof-low-adjusted-20261021/pilots/glove100-M16-efc200"}}
原有批注（历史来源）：
GloVe-100; ANNProof; N=1183514; M=16; efConstruction=200; k=10; efSearch/E=128; probes=1; LSH width=not used
Actual recall=77.5000%;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R52" authorId="2" shapeId="0">
      <text>
        <t>用户指定系数调整值；不是原始实测数值。指标=query_ms；原始值=7.8250423666666666；系数=1.2；调整值=9.3900508399999989。召回率不调整。原始CSV/附表保留。
原有批注（历史来源）：
本单元格先替换为本次原始测量，随后按统一系数调整。
{"k": 10, "ef": 111, "probes": 1, "recall": 0.76, "query_ms": 7.825042366666667, "verify_ms": 35.01635556666667, "vo_kb": 2621.0818, "samples": 60, "status": "passed", "output": "/mnt/d/paper_source/work_9/VeriANN_repro_2026-09-30/VeriANN_repro_2026-09-30/results/work9-annproof-low-adjusted-20261021/measurements/glove100-M16-efc200", "csv_sha256": "0cab08c521bfec0c11d139ba60ae053e763ec24f73d160066ca2f6547738db32", "M": 16, "efc": 200, "target": 0.75, "pilot": {"M": 16, "efc": 200, "ef": 111, "recall": 0.76, "valid": true, "pilot": "/mnt/d/paper_source/work_9/VeriANN_repro_2026-09-30/VeriANN_repro_2026-09-30/results/work9-annproof-low-adjusted-20261021/pilots/glove100-M16-efc200"}}
原有批注（历史来源）：
GloVe-100; ANNProof; N=1183514; M=16; efConstruction=200; k=10; efSearch/E=128; probes=1; LSH width=not used
Actual recall=77.5000%;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S52" authorId="2" shapeId="0">
      <text>
        <t>用户指定系数调整值；不是原始实测数值。指标=query_ms；原始值=9.6702310333333337；系数=1.2；调整值=11.60427724。召回率不调整。原始CSV/附表保留。
原有批注（历史来源）：
本单元格先替换为本次原始测量，随后按统一系数调整。
{"k": 10, "ef": 147, "probes": 1, "recall": 0.8049999999999999, "query_ms": 9.670231033333334, "verify_ms": 42.93240513333333, "vo_kb": 3202.7554, "samples": 60, "status": "passed", "output": "/mnt/d/paper_source/work_9/VeriANN_repro_2026-09-30/VeriANN_repro_2026-09-30/results/work9-annproof-low-adjusted-20261021/measurements/glove100-M16-efc200", "csv_sha256": "0cab08c521bfec0c11d139ba60ae053e763ec24f73d160066ca2f6547738db32", "M": 16, "efc": 200, "target": 0.8, "pilot": {"M": 16, "efc": 200, "ef": 147, "recall": 0.805, "valid": true, "pilot": "/mnt/d/paper_source/work_9/VeriANN_repro_2026-09-30/VeriANN_repro_2026-09-30/results/work9-annproof-low-adjusted-20261021/pilots/glove100-M16-efc200"}}
原有批注（历史来源）：
GloVe-100; ANNProof; N=1183514; M=16; efConstruction=200; k=10; efSearch/E=192; probes=1; LSH width=not used
Actual recall=83.5000%;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T52" authorId="2" shapeId="0">
      <text>
        <t>用户指定系数调整值；不是原始实测数值。指标=query_ms；原始值=15.25740905；系数=1.2；调整值=18.308890859999998。召回率不调整。原始CSV/附表保留。
原有批注（历史来源）：
GloVe-100; ANNProof; N=1183514; M=16; efConstruction=200; k=10; efSearch/E=256; probes=1; LSH width=not used
Actual recall=87.5000%;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U52" authorId="2" shapeId="0">
      <text>
        <t>用户指定系数调整值；不是原始实测数值。指标=query_ms；原始值=20.8722866666667；系数=1.2；调整值=25.046744000000039。召回率不调整。原始CSV/附表保留。
原有批注（历史来源）：
GloVe-100; ANNProof; N=1183514; M=16; efConstruction=200; k=10; efSearch/E=384; probes=1; LSH width=not used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V52" authorId="2" shapeId="0">
      <text>
        <t>用户指定系数调整值；不是原始实测数值。指标=query_ms；原始值=69.721981883333299；系数=1.2；调整值=83.666378259999959。召回率不调整。原始CSV/附表保留。
原有批注（历史来源）：
GloVe-100; ANNProof; N=1183514; M=16; efConstruction=200; k=10; efSearch/E=1536; probes=1; LSH width=not used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W52" authorId="2" shapeId="0">
      <text>
        <t>用户指定系数调整值；不是原始实测数值。指标=query_ms；原始值=87.998795983333295；系数=1.2；调整值=105.59855517999995。召回率不调整。原始CSV/附表保留。
原有批注（历史来源）：
GloVe-100; ANNProof; N=1183514; M=16; efConstruction=200; k=10; efSearch/E=2048;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X52" authorId="2" shapeId="0">
      <text>
        <t>用户指定系数调整值；不是原始实测数值。指标=query_ms；原始值=164.08918376666699；系数=1.2；调整值=196.90702052000037。召回率不调整。原始CSV/附表保留。
原有批注（历史来源）：
GloVe-100; ANNProof; N=1183514; M=16; efConstruction=200; k=10; efSearch/E=4096;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Y52" authorId="2" shapeId="0">
      <text>
        <t>用户指定系数调整值；不是原始实测数值。指标=query_ms；原始值=302.38124720000002；系数=1.2；调整值=362.85749664000002。召回率不调整。原始CSV/附表保留。
原有批注（历史来源）：
GloVe-100; ANNProof; N=1183514; M=16; efConstruction=200; k=10; efSearch/E=8192; probes=1; LSH width=not used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F53" authorId="6" shapeId="0">
      <text>
        <t>仅补充低召回率曲线；默认约95%配置及其数据保持不变。20条查询IDs100..119×3次，单线程，完整VO生成与验证。目标和实际召回不同，填实际值。
{"k": 10, "ef": 10, "probes": 1, "recall": 0.155, "query_ms": 0.9345852166666666, "verify_ms": 2.6532569666666665, "vo_kb": 120.20935, "samples": 60, "status": "passed", "output": "/mnt/d/paper_source/work_9/VeriANN_repro_2026-09-30/VeriANN_repro_2026-09-30/results/work9-low-baselines-20261021/glove100/Ours/glove100-1183514-low-all", "csv_sha256": "a6c7afd53d6e417bfc3cb3ab8c2ddb1029daa079d4885db368a9324475e5256e", "target": 0.15, "selection": {"ef": 10, "probes": 1, "recall": 0.155, "valid": true, "pilot": "/mnt/d/paper_source/work_9/VeriANN_repro_2026-09-30/VeriANN_repro_2026-09-30/results/work9-low-baselines-20261021/search-pilots/glove100/Ours-pilot-1183514-resource-phase0-15bab5a6d9"}}</t>
      </text>
    </comment>
    <comment ref="G53" authorId="6" shapeId="0">
      <text>
        <t>仅补充低召回率曲线；默认约95%配置及其数据保持不变。20条查询IDs100..119×3次，单线程，完整VO生成与验证。目标和实际召回不同，填实际值。
{"k": 10, "ef": 13, "probes": 1, "recall": 0.22999999999999998, "query_ms": 1.13263135, "verify_ms": 3.192501866666667, "vo_kb": 146.55395000000001, "samples": 60, "status": "passed", "output": "/mnt/d/paper_source/work_9/VeriANN_repro_2026-09-30/VeriANN_repro_2026-09-30/results/work9-low-baselines-20261021/glove100/Ours/glove100-1183514-low-all", "csv_sha256": "a6c7afd53d6e417bfc3cb3ab8c2ddb1029daa079d4885db368a9324475e5256e", "target": 0.2, "selection": {"ef": 13, "probes": 1, "recall": 0.22999999999999998, "valid": true, "pilot": "/mnt/d/paper_source/work_9/VeriANN_repro_2026-09-30/VeriANN_repro_2026-09-30/results/work9-low-baselines-20261021/search-pilots/glove100/Ours-pilot-1183514-resource-phase0-15bab5a6d9"}}</t>
      </text>
    </comment>
    <comment ref="H53" authorId="6" shapeId="0">
      <text>
        <t>仅补充低召回率曲线；默认约95%配置及其数据保持不变。20条查询IDs100..119×3次，单线程，完整VO生成与验证。目标和实际召回不同，填实际值。
{"k": 10, "ef": 15, "probes": 1, "recall": 0.255, "query_ms": 1.289878, "verify_ms": 3.580268916666667, "vo_kb": 162.74970000000002, "samples": 60, "status": "passed", "output": "/mnt/d/paper_source/work_9/VeriANN_repro_2026-09-30/VeriANN_repro_2026-09-30/results/work9-low-baselines-20261021/glove100/Ours/glove100-1183514-low-all", "csv_sha256": "a6c7afd53d6e417bfc3cb3ab8c2ddb1029daa079d4885db368a9324475e5256e", "target": 0.25, "selection": {"ef": 15, "probes": 1, "recall": 0.255, "valid": true, "pilot": "/mnt/d/paper_source/work_9/VeriANN_repro_2026-09-30/VeriANN_repro_2026-09-30/results/work9-low-baselines-20261021/search-pilots/glove100/Ours-pilot-1183514-resource-phase0-15bab5a6d9"}}</t>
      </text>
    </comment>
    <comment ref="I53" authorId="6" shapeId="0">
      <text>
        <t>仅补充低召回率曲线；默认约95%配置及其数据保持不变。20条查询IDs100..119×3次，单线程，完整VO生成与验证。目标和实际召回不同，填实际值。
{"k": 10, "ef": 18, "probes": 1, "recall": 0.3, "query_ms": 1.5245383499999998, "verify_ms": 4.140651433333334, "vo_kb": 182.30214999999998, "samples": 60, "status": "passed", "output": "/mnt/d/paper_source/work_9/VeriANN_repro_2026-09-30/VeriANN_repro_2026-09-30/results/work9-low-baselines-20261021/glove100/Ours/glove100-1183514-low-all", "csv_sha256": "a6c7afd53d6e417bfc3cb3ab8c2ddb1029daa079d4885db368a9324475e5256e", "target": 0.3, "selection": {"ef": 18, "probes": 1, "recall": 0.3, "valid": true, "pilot": "/mnt/d/paper_source/work_9/VeriANN_repro_2026-09-30/VeriANN_repro_2026-09-30/results/work9-low-baselines-20261021/search-pilots/glove100/Ours-pilot-1183514-resource-phase0-15bab5a6d9"}}</t>
      </text>
    </comment>
    <comment ref="J53" authorId="6" shapeId="0">
      <text>
        <t>仅补充低召回率曲线；默认约95%配置及其数据保持不变。20条查询IDs100..119×3次，单线程，完整VO生成与验证。目标和实际召回不同，填实际值。
{"k": 10, "ef": 23, "probes": 1, "recall": 0.35, "query_ms": 1.82872335, "verify_ms": 4.868134666666666, "vo_kb": 213.8622, "samples": 60, "status": "passed", "output": "/mnt/d/paper_source/work_9/VeriANN_repro_2026-09-30/VeriANN_repro_2026-09-30/results/work9-low-baselines-20261021/glove100/Ours/glove100-1183514-low-all", "csv_sha256": "a6c7afd53d6e417bfc3cb3ab8c2ddb1029daa079d4885db368a9324475e5256e", "target": 0.35, "selection": {"ef": 23, "probes": 1, "recall": 0.35, "valid": true, "pilot": "/mnt/d/paper_source/work_9/VeriANN_repro_2026-09-30/VeriANN_repro_2026-09-30/results/work9-low-baselines-20261021/search-pilots/glove100/Ours-pilot-1183514-resource-phase0-15bab5a6d9"}}</t>
      </text>
    </comment>
    <comment ref="K53" authorId="6" shapeId="0">
      <text>
        <t>仅补充低召回率曲线；默认约95%配置及其数据保持不变。20条查询IDs100..119×3次，单线程，完整VO生成与验证。目标和实际召回不同，填实际值。
{"k": 10, "ef": 31, "probes": 1, "recall": 0.41500000000000004, "query_ms": 2.337819066666667, "verify_ms": 6.173332133333333, "vo_kb": 263.86515, "samples": 60, "status": "passed", "output": "/mnt/d/paper_source/work_9/VeriANN_repro_2026-09-30/VeriANN_repro_2026-09-30/results/work9-low-baselines-20261021/glove100/Ours/glove100-1183514-low-all", "csv_sha256": "a6c7afd53d6e417bfc3cb3ab8c2ddb1029daa079d4885db368a9324475e5256e", "target": 0.4, "selection": {"ef": 31, "probes": 1, "recall": 0.41500000000000004, "valid": true, "pilot": "/mnt/d/paper_source/work_9/VeriANN_repro_2026-09-30/VeriANN_repro_2026-09-30/results/work9-low-baselines-20261021/search-pilots/glove100/Ours-pilot-1183514-resource-phase0-15bab5a6d9"}}</t>
      </text>
    </comment>
    <comment ref="L53" authorId="6" shapeId="0">
      <text>
        <t>仅补充低召回率曲线；默认约95%配置及其数据保持不变。20条查询IDs100..119×3次，单线程，完整VO生成与验证。目标和实际召回不同，填实际值。
{"k": 10, "ef": 33, "probes": 1, "recall": 0.455, "query_ms": 2.362290783333333, "verify_ms": 6.216995033333333, "vo_kb": 274.05425, "samples": 60, "status": "passed", "output": "/mnt/d/paper_source/work_9/VeriANN_repro_2026-09-30/VeriANN_repro_2026-09-30/results/work9-low-baselines-20261021/glove100/Ours/glove100-1183514-low-all", "csv_sha256": "a6c7afd53d6e417bfc3cb3ab8c2ddb1029daa079d4885db368a9324475e5256e", "target": 0.45, "selection": {"ef": 33, "probes": 1, "recall": 0.45499999999999996, "valid": true, "pilot": "/mnt/d/paper_source/work_9/VeriANN_repro_2026-09-30/VeriANN_repro_2026-09-30/results/work9-low-baselines-20261021/search-pilots/glove100/Ours-pilot-1183514-resource-phase0-15bab5a6d9"}}</t>
      </text>
    </comment>
    <comment ref="M53" authorId="6" shapeId="0">
      <text>
        <t>仅补充低召回率曲线；默认约95%配置及其数据保持不变。20条查询IDs100..119×3次，单线程，完整VO生成与验证。目标和实际召回不同，填实际值。
{"k": 10, "ef": 41, "probes": 1, "recall": 0.505, "query_ms": 2.873539216666667, "verify_ms": 7.257134, "vo_kb": 319.727, "samples": 60, "status": "passed", "output": "/mnt/d/paper_source/work_9/VeriANN_repro_2026-09-30/VeriANN_repro_2026-09-30/results/work9-low-baselines-20261021/glove100/Ours/glove100-1183514-low-all", "csv_sha256": "a6c7afd53d6e417bfc3cb3ab8c2ddb1029daa079d4885db368a9324475e5256e", "target": 0.5, "selection": {"ef": 41, "probes": 1, "recall": 0.505, "valid": true, "pilot": "/mnt/d/paper_source/work_9/VeriANN_repro_2026-09-30/VeriANN_repro_2026-09-30/results/work9-low-baselines-20261021/search-pilots/glove100/Ours-pilot-1183514-resource-phase0-15bab5a6d9"}}</t>
      </text>
    </comment>
    <comment ref="N53" authorId="6" shapeId="0">
      <text>
        <t>仅补充低召回率曲线；默认约95%配置及其数据保持不变。20条查询IDs100..119×3次，单线程，完整VO生成与验证。目标和实际召回不同，填实际值。
{"k": 10, "ef": 49, "probes": 1, "recall": 0.55, "query_ms": 3.3037708166666664, "verify_ms": 8.477765999999999, "vo_kb": 363.04355, "samples": 60, "status": "passed", "output": "/mnt/d/paper_source/work_9/VeriANN_repro_2026-09-30/VeriANN_repro_2026-09-30/results/work9-low-baselines-20261021/glove100/Ours/glove100-1183514-low-all", "csv_sha256": "a6c7afd53d6e417bfc3cb3ab8c2ddb1029daa079d4885db368a9324475e5256e", "target": 0.55, "selection": {"ef": 49, "probes": 1, "recall": 0.55, "valid": true, "pilot": "/mnt/d/paper_source/work_9/VeriANN_repro_2026-09-30/VeriANN_repro_2026-09-30/results/work9-low-baselines-20261021/search-pilots/glove100/Ours-pilot-1183514-resource-phase0-15bab5a6d9"}}</t>
      </text>
    </comment>
    <comment ref="O53" authorId="0" shapeId="0">
      <text>
        <t>GloVe-100; Ours; N=1183514; M=16; efConstruction=200; k=10; efSearch/E=64; probes=1; LSH width=not used
Actual recall=60.5000%;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P53" authorId="0" shapeId="0">
      <text>
        <t>GloVe-100; Ours; N=1183514; M=16; efConstruction=200; k=10; efSearch/E=96; probes=1; LSH width=not used
Actual recall=71.5000%;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Q53" authorId="0" shapeId="0">
      <text>
        <t>GloVe-100; Ours; N=1183514; M=16; efConstruction=200; k=10; efSearch/E=96; probes=1; LSH width=not used
Actual recall=71.5000%;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R53" authorId="0" shapeId="0">
      <text>
        <t>GloVe-100; Ours; N=1183514; M=16; efConstruction=200; k=10; efSearch/E=192; probes=1; LSH width=not used
Actual recall=81.0000%;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S53" authorId="0" shapeId="0">
      <text>
        <t>GloVe-100; Ours; N=1183514; M=16; efConstruction=200; k=10; efSearch/E=192; probes=1; LSH width=not used
Actual recall=81.0000%;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T53" authorId="0" shapeId="0">
      <text>
        <t>GloVe-100; Ours; N=1183514; M=16; efConstruction=200; k=10; efSearch/E=256; probes=1; LSH width=not used
Actual recall=85.5000%;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U53" authorId="0" shapeId="0">
      <text>
        <t>GloVe-100; Ours; N=1183514; M=16; efConstruction=200; k=10; efSearch/E=512; probes=1; LSH width=not used
Actual recall=91.0000%;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V53" authorId="0" shapeId="0">
      <text>
        <t>GloVe-100; Ours; N=1183514; M=16; efConstruction=200; k=10;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W53" authorId="0" shapeId="0">
      <text>
        <t>GloVe-100; Ours; N=1183514; M=16; efConstruction=200; k=10; efSearch/E=2048;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X53" authorId="0" shapeId="0">
      <text>
        <t>GloVe-100; Ours; N=1183514; M=16; efConstruction=200; k=10; efSearch/E=4096;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Y53" authorId="0" shapeId="0">
      <text>
        <t>GloVe-100; Ours; N=1183514; M=16; efConstruction=200; k=10; efSearch/E=8192;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F54" authorId="6" shapeId="0">
      <text>
        <t>仅补充低召回率曲线；默认约95%配置及其数据保持不变。20条查询IDs100..119×3次，单线程，完整VO生成与验证。目标和实际召回不同，填实际值。
{"k": 10, "ef": 10, "probes": 1, "recall": 0.155, "query_ms": 0.9345852166666666, "verify_ms": 2.6532569666666665, "vo_kb": 120.20935, "samples": 60, "status": "passed", "output": "/mnt/d/paper_source/work_9/VeriANN_repro_2026-09-30/VeriANN_repro_2026-09-30/results/work9-low-baselines-20261021/glove100/Ours/glove100-1183514-low-all", "csv_sha256": "a6c7afd53d6e417bfc3cb3ab8c2ddb1029daa079d4885db368a9324475e5256e", "target": 0.15, "selection": {"ef": 10, "probes": 1, "recall": 0.155, "valid": true, "pilot": "/mnt/d/paper_source/work_9/VeriANN_repro_2026-09-30/VeriANN_repro_2026-09-30/results/work9-low-baselines-20261021/search-pilots/glove100/Ours-pilot-1183514-resource-phase0-15bab5a6d9"}}</t>
      </text>
    </comment>
    <comment ref="G54" authorId="6" shapeId="0">
      <text>
        <t>仅补充低召回率曲线；默认约95%配置及其数据保持不变。20条查询IDs100..119×3次，单线程，完整VO生成与验证。目标和实际召回不同，填实际值。
{"k": 10, "ef": 13, "probes": 1, "recall": 0.22999999999999998, "query_ms": 1.13263135, "verify_ms": 3.192501866666667, "vo_kb": 146.55395000000001, "samples": 60, "status": "passed", "output": "/mnt/d/paper_source/work_9/VeriANN_repro_2026-09-30/VeriANN_repro_2026-09-30/results/work9-low-baselines-20261021/glove100/Ours/glove100-1183514-low-all", "csv_sha256": "a6c7afd53d6e417bfc3cb3ab8c2ddb1029daa079d4885db368a9324475e5256e", "target": 0.2, "selection": {"ef": 13, "probes": 1, "recall": 0.22999999999999998, "valid": true, "pilot": "/mnt/d/paper_source/work_9/VeriANN_repro_2026-09-30/VeriANN_repro_2026-09-30/results/work9-low-baselines-20261021/search-pilots/glove100/Ours-pilot-1183514-resource-phase0-15bab5a6d9"}}</t>
      </text>
    </comment>
    <comment ref="H54" authorId="6" shapeId="0">
      <text>
        <t>仅补充低召回率曲线；默认约95%配置及其数据保持不变。20条查询IDs100..119×3次，单线程，完整VO生成与验证。目标和实际召回不同，填实际值。
{"k": 10, "ef": 15, "probes": 1, "recall": 0.255, "query_ms": 1.289878, "verify_ms": 3.580268916666667, "vo_kb": 162.74970000000002, "samples": 60, "status": "passed", "output": "/mnt/d/paper_source/work_9/VeriANN_repro_2026-09-30/VeriANN_repro_2026-09-30/results/work9-low-baselines-20261021/glove100/Ours/glove100-1183514-low-all", "csv_sha256": "a6c7afd53d6e417bfc3cb3ab8c2ddb1029daa079d4885db368a9324475e5256e", "target": 0.25, "selection": {"ef": 15, "probes": 1, "recall": 0.255, "valid": true, "pilot": "/mnt/d/paper_source/work_9/VeriANN_repro_2026-09-30/VeriANN_repro_2026-09-30/results/work9-low-baselines-20261021/search-pilots/glove100/Ours-pilot-1183514-resource-phase0-15bab5a6d9"}}</t>
      </text>
    </comment>
    <comment ref="I54" authorId="6" shapeId="0">
      <text>
        <t>仅补充低召回率曲线；默认约95%配置及其数据保持不变。20条查询IDs100..119×3次，单线程，完整VO生成与验证。目标和实际召回不同，填实际值。
{"k": 10, "ef": 18, "probes": 1, "recall": 0.3, "query_ms": 1.5245383499999998, "verify_ms": 4.140651433333334, "vo_kb": 182.30214999999998, "samples": 60, "status": "passed", "output": "/mnt/d/paper_source/work_9/VeriANN_repro_2026-09-30/VeriANN_repro_2026-09-30/results/work9-low-baselines-20261021/glove100/Ours/glove100-1183514-low-all", "csv_sha256": "a6c7afd53d6e417bfc3cb3ab8c2ddb1029daa079d4885db368a9324475e5256e", "target": 0.3, "selection": {"ef": 18, "probes": 1, "recall": 0.3, "valid": true, "pilot": "/mnt/d/paper_source/work_9/VeriANN_repro_2026-09-30/VeriANN_repro_2026-09-30/results/work9-low-baselines-20261021/search-pilots/glove100/Ours-pilot-1183514-resource-phase0-15bab5a6d9"}}</t>
      </text>
    </comment>
    <comment ref="J54" authorId="6" shapeId="0">
      <text>
        <t>仅补充低召回率曲线；默认约95%配置及其数据保持不变。20条查询IDs100..119×3次，单线程，完整VO生成与验证。目标和实际召回不同，填实际值。
{"k": 10, "ef": 23, "probes": 1, "recall": 0.35, "query_ms": 1.82872335, "verify_ms": 4.868134666666666, "vo_kb": 213.8622, "samples": 60, "status": "passed", "output": "/mnt/d/paper_source/work_9/VeriANN_repro_2026-09-30/VeriANN_repro_2026-09-30/results/work9-low-baselines-20261021/glove100/Ours/glove100-1183514-low-all", "csv_sha256": "a6c7afd53d6e417bfc3cb3ab8c2ddb1029daa079d4885db368a9324475e5256e", "target": 0.35, "selection": {"ef": 23, "probes": 1, "recall": 0.35, "valid": true, "pilot": "/mnt/d/paper_source/work_9/VeriANN_repro_2026-09-30/VeriANN_repro_2026-09-30/results/work9-low-baselines-20261021/search-pilots/glove100/Ours-pilot-1183514-resource-phase0-15bab5a6d9"}}</t>
      </text>
    </comment>
    <comment ref="K54" authorId="6" shapeId="0">
      <text>
        <t>仅补充低召回率曲线；默认约95%配置及其数据保持不变。20条查询IDs100..119×3次，单线程，完整VO生成与验证。目标和实际召回不同，填实际值。
{"k": 10, "ef": 31, "probes": 1, "recall": 0.41500000000000004, "query_ms": 2.337819066666667, "verify_ms": 6.173332133333333, "vo_kb": 263.86515, "samples": 60, "status": "passed", "output": "/mnt/d/paper_source/work_9/VeriANN_repro_2026-09-30/VeriANN_repro_2026-09-30/results/work9-low-baselines-20261021/glove100/Ours/glove100-1183514-low-all", "csv_sha256": "a6c7afd53d6e417bfc3cb3ab8c2ddb1029daa079d4885db368a9324475e5256e", "target": 0.4, "selection": {"ef": 31, "probes": 1, "recall": 0.41500000000000004, "valid": true, "pilot": "/mnt/d/paper_source/work_9/VeriANN_repro_2026-09-30/VeriANN_repro_2026-09-30/results/work9-low-baselines-20261021/search-pilots/glove100/Ours-pilot-1183514-resource-phase0-15bab5a6d9"}}</t>
      </text>
    </comment>
    <comment ref="L54" authorId="6" shapeId="0">
      <text>
        <t>仅补充低召回率曲线；默认约95%配置及其数据保持不变。20条查询IDs100..119×3次，单线程，完整VO生成与验证。目标和实际召回不同，填实际值。
{"k": 10, "ef": 33, "probes": 1, "recall": 0.455, "query_ms": 2.362290783333333, "verify_ms": 6.216995033333333, "vo_kb": 274.05425, "samples": 60, "status": "passed", "output": "/mnt/d/paper_source/work_9/VeriANN_repro_2026-09-30/VeriANN_repro_2026-09-30/results/work9-low-baselines-20261021/glove100/Ours/glove100-1183514-low-all", "csv_sha256": "a6c7afd53d6e417bfc3cb3ab8c2ddb1029daa079d4885db368a9324475e5256e", "target": 0.45, "selection": {"ef": 33, "probes": 1, "recall": 0.45499999999999996, "valid": true, "pilot": "/mnt/d/paper_source/work_9/VeriANN_repro_2026-09-30/VeriANN_repro_2026-09-30/results/work9-low-baselines-20261021/search-pilots/glove100/Ours-pilot-1183514-resource-phase0-15bab5a6d9"}}</t>
      </text>
    </comment>
    <comment ref="M54" authorId="6" shapeId="0">
      <text>
        <t>仅补充低召回率曲线；默认约95%配置及其数据保持不变。20条查询IDs100..119×3次，单线程，完整VO生成与验证。目标和实际召回不同，填实际值。
{"k": 10, "ef": 41, "probes": 1, "recall": 0.505, "query_ms": 2.873539216666667, "verify_ms": 7.257134, "vo_kb": 319.727, "samples": 60, "status": "passed", "output": "/mnt/d/paper_source/work_9/VeriANN_repro_2026-09-30/VeriANN_repro_2026-09-30/results/work9-low-baselines-20261021/glove100/Ours/glove100-1183514-low-all", "csv_sha256": "a6c7afd53d6e417bfc3cb3ab8c2ddb1029daa079d4885db368a9324475e5256e", "target": 0.5, "selection": {"ef": 41, "probes": 1, "recall": 0.505, "valid": true, "pilot": "/mnt/d/paper_source/work_9/VeriANN_repro_2026-09-30/VeriANN_repro_2026-09-30/results/work9-low-baselines-20261021/search-pilots/glove100/Ours-pilot-1183514-resource-phase0-15bab5a6d9"}}</t>
      </text>
    </comment>
    <comment ref="N54" authorId="6" shapeId="0">
      <text>
        <t>仅补充低召回率曲线；默认约95%配置及其数据保持不变。20条查询IDs100..119×3次，单线程，完整VO生成与验证。目标和实际召回不同，填实际值。
{"k": 10, "ef": 49, "probes": 1, "recall": 0.55, "query_ms": 3.3037708166666664, "verify_ms": 8.477765999999999, "vo_kb": 363.04355, "samples": 60, "status": "passed", "output": "/mnt/d/paper_source/work_9/VeriANN_repro_2026-09-30/VeriANN_repro_2026-09-30/results/work9-low-baselines-20261021/glove100/Ours/glove100-1183514-low-all", "csv_sha256": "a6c7afd53d6e417bfc3cb3ab8c2ddb1029daa079d4885db368a9324475e5256e", "target": 0.55, "selection": {"ef": 49, "probes": 1, "recall": 0.55, "valid": true, "pilot": "/mnt/d/paper_source/work_9/VeriANN_repro_2026-09-30/VeriANN_repro_2026-09-30/results/work9-low-baselines-20261021/search-pilots/glove100/Ours-pilot-1183514-resource-phase0-15bab5a6d9"}}</t>
      </text>
    </comment>
    <comment ref="O54" authorId="0" shapeId="0">
      <text>
        <t>GloVe-100; Ours; N=1183514; M=16; efConstruction=200; k=10; efSearch/E=64; probes=1; LSH width=not used
Actual recall=60.5000%;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P54" authorId="0" shapeId="0">
      <text>
        <t>GloVe-100; Ours; N=1183514; M=16; efConstruction=200; k=10; efSearch/E=96; probes=1; LSH width=not used
Actual recall=71.5000%;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Q54" authorId="0" shapeId="0">
      <text>
        <t>GloVe-100; Ours; N=1183514; M=16; efConstruction=200; k=10; efSearch/E=96; probes=1; LSH width=not used
Actual recall=71.5000%;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R54" authorId="0" shapeId="0">
      <text>
        <t>GloVe-100; Ours; N=1183514; M=16; efConstruction=200; k=10; efSearch/E=192; probes=1; LSH width=not used
Actual recall=81.0000%;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S54" authorId="0" shapeId="0">
      <text>
        <t>GloVe-100; Ours; N=1183514; M=16; efConstruction=200; k=10; efSearch/E=192; probes=1; LSH width=not used
Actual recall=81.0000%;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T54" authorId="0" shapeId="0">
      <text>
        <t>GloVe-100; Ours; N=1183514; M=16; efConstruction=200; k=10; efSearch/E=256; probes=1; LSH width=not used
Actual recall=85.5000%;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U54" authorId="0" shapeId="0">
      <text>
        <t>GloVe-100; Ours; N=1183514; M=16; efConstruction=200; k=10; efSearch/E=512; probes=1; LSH width=not used
Actual recall=91.0000%;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V54" authorId="0" shapeId="0">
      <text>
        <t>GloVe-100; Ours; N=1183514; M=16; efConstruction=200; k=10;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W54" authorId="0" shapeId="0">
      <text>
        <t>GloVe-100; Ours; N=1183514; M=16; efConstruction=200; k=10; efSearch/E=2048;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X54" authorId="0" shapeId="0">
      <text>
        <t>GloVe-100; Ours; N=1183514; M=16; efConstruction=200; k=10; efSearch/E=4096;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Y54" authorId="0" shapeId="0">
      <text>
        <t>GloVe-100; Ours; N=1183514; M=16; efConstruction=200; k=10; efSearch/E=8192;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F55" authorId="7" shapeId="0">
      <text>
        <t>固定query100单次真实出证；Recall为同配置20条搜索校准。可调整PQ M/K与probe；不代表主表默认索引配置。
{"status": "passed", "dataset": "glove100", "model": "glove100-1183514", "config": {"dataset": "glove100", "source": "glove100", "N": 1183514, "D": 100, "n_list": 1024, "M": 10, "K": 256, "n_iter": 25, "seed": 0, "capacity": 4096, "query_offset": 100, "query_count": 20, "scale": 65536, "rebalance": "author algorithm with identical row-chunk distances"}, "n_probe": 1, "k": 10, "samples": 1, "query": 100, "repeat": 0, "query_ms": 58119.444832000016, "verify_ms": 11.430244999928618, "vo_kb": 225.089, "single_query_recall": 0.0, "build_seconds": 19.015157319, "prove_seconds": 37.463503513, "output": "/mnt/d/paper_source/work_9/VeriANN_repro_2026-09-30/VeriANN_repro_2026-09-30/results/work9-v3db-lowrecall-20261020/glove100-1183514-p1-k10-q1-r1-t1", "csv_sha256": "2c45e19746222db6162b63c50949c48788e638763c1e3d10f685ae2f76a340bf", "selection": "fixed query100 repeat0; not selected by runtime", "reused_existing_sample": false, "recall20": 0.165, "recall_source": "/mnt/d/paper_source/work_9/VeriANN_repro_2026-09-30/VeriANN_repro_2026-09-30/V3DB-26VLDB/work9-cache/glove100-1183514/calibration.json", "recall_query_count": 20, "recall_scope": "search calibration only; timing/VO use one fixed query, not 20 proofs", "kind": "curve"}</t>
      </text>
    </comment>
    <comment ref="G55" authorId="7" shapeId="0">
      <text>
        <t>固定query100单次真实出证；Recall为同配置20条搜索校准。可调整PQ M/K与probe；不代表主表默认索引配置。
{"status": "passed", "dataset": "glove100", "model": "glove100-1183514", "config": {"dataset": "glove100", "source": "glove100", "N": 1183514, "D": 100, "n_list": 1024, "M": 10, "K": 256, "n_iter": 25, "seed": 0, "capacity": 4096, "query_offset": 100, "query_count": 20, "scale": 65536, "rebalance": "author algorithm with identical row-chunk distances"}, "n_probe": 2, "k": 10, "samples": 1, "query": 100, "repeat": 0, "query_ms": 119464.82183200005, "verify_ms": 14.618057000006957, "vo_kb": 275.131, "single_query_recall": 0.0, "build_seconds": 40.393343418, "prove_seconds": 76.149597641, "output": "/mnt/d/paper_source/work_9/VeriANN_repro_2026-09-30/VeriANN_repro_2026-09-30/results/work9-v3db-lowrecall-20261020/glove100-1183514-p2-k10-q1-r1-t1", "csv_sha256": "22d31f7f344f4450cf2f78a42fbdac0f9a65de7c056fb3e4f65624a0eade0b6e", "selection": "fixed query100 repeat0; not selected by runtime", "reused_existing_sample": false, "recall20": 0.2, "recall_source": "/mnt/d/paper_source/work_9/VeriANN_repro_2026-09-30/VeriANN_repro_2026-09-30/V3DB-26VLDB/work9-cache/glove100-1183514/calibration.json", "recall_query_count": 20, "recall_scope": "search calibration only; timing/VO use one fixed query, not 20 proofs", "kind": "curve"}</t>
      </text>
    </comment>
    <comment ref="H55"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1, "k": 10, "samples": 1, "query": 100, "repeat": 0, "query_ms": 240491.80455499986, "verify_ms": 12.915905999989263, "vo_kb": 247.916, "single_query_recall": 0.0, "build_seconds": 78.673836929, "prove_seconds": 151.446472523, "output": "/mnt/d/paper_source/work_9/VeriANN_repro_2026-09-30/VeriANN_repro_2026-09-30/results/work9-v3db-single-20261020/glove100-1183514-M100-K1024-p1-k10-q1-r1-t1", "csv_sha256": "186cfd050b943866ae42e298afff276e2af5ad7e9fc863e1e240509ff093054f", "selection": "fixed query100 repeat0; not selected by runtime", "reused_existing_sample": false, "recall20": 0.28500000000000003, "recall_source": "/mnt/d/paper_source/work_9/VeriANN_repro_2026-09-30/VeriANN_repro_2026-09-30/V3DB-26VLDB/work9-cache/glove100-1183514-M100-K1024/calibration.json", "recall_query_count": 20, "recall_scope": "search calibration only; timing/VO use one fixed query, not 20 proofs", "kind": "curve"}</t>
      </text>
    </comment>
    <comment ref="I55"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J55"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K55"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L55" authorId="8" shapeId="0">
      <text>
        <t>†为同配置20条搜索校准召回，不是预测召回。
{
  "kind": "curve",
  "dataset": "glove100",
  "sheet": "GloVe-100",
  "column": 12,
  "target": 0.45,
  "choice": {
    "status": "conditional_forecast",
    "config": {
      "dataset": "glove100",
      "source": "glove100",
      "N": 1183514,
      "D": 100,
      "n_list": 1024,
      "M": 50,
      "K": 256,
      "n_iter": 25,
      "seed": 0,
      "capacity": 4096,
      "query_offset": 100,
      "query_count": 20,
      "scale": 65536,
      "rebalance": "author algorithm with identical row-chunk distances"
    },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
      "query_ms": [
        268962.2418820984,
        1075848.9675283935
      ],
      "verify_ms": [
        13.463850674160888,
        53.85540269664355
      ],
      "vo_kb": [
        299.26545,
        404.88854999999995
      ]
    },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
      "query_ms": [
        268962.2418820984,
        1075848.9675283935
      ],
      "verify_ms": [
        13.463850674160888,
        53.85540269664355
      ],
      "vo_kb": [
        299.26545,
        404.88854999999995
      ]
    },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
}</t>
      </text>
    </comment>
    <comment ref="M55" authorId="8" shapeId="0">
      <text>
        <t>†为同配置20条搜索校准召回，不是预测召回。
{
  "kind": "curve",
  "dataset": "glove100",
  "sheet": "GloVe-100",
  "column": 13,
  "target": 0.5,
  "choice":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t>
      </text>
    </comment>
    <comment ref="N55" authorId="8" shapeId="0">
      <text>
        <t>†为同配置20条搜索校准召回，不是预测召回。
{
  "kind": "curve",
  "dataset": "glove100",
  "sheet": "GloVe-100",
  "column": 14,
  "target": 0.55,
  "choice":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t>
      </text>
    </comment>
    <comment ref="O55" authorId="8" shapeId="0">
      <text>
        <t>†为同配置20条搜索校准召回，不是预测召回。
{
  "kind": "curve",
  "dataset": "glove100",
  "sheet": "GloVe-100",
  "column": 15,
  "target": 0.6,
  "choice": {
    "status": "conditional_forecast",
    "config": {
      "dataset": "glove100",
      "source": "glove100",
      "N": 1183514,
      "D": 100,
      "n_list": 1024,
      "M": 50,
      "K": 256,
      "n_iter": 25,
      "seed": 0,
      "capacity": 4096,
      "query_offset": 100,
      "query_count": 20,
      "scale": 65536,
      "rebalance": "author algorithm with identical row-chunk distances"
    },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
      "query_ms": [
        1183539.1438669313,
        4734156.575467725
      ],
      "verify_ms": [
        19.09559919745185,
        76.3823967898074
      ],
      "vo_kb": [
        647.45775,
        875.9722499999999
      ]
    },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
      "query_ms": [
        1183539.1438669313,
        4734156.575467725
      ],
      "verify_ms": [
        19.09559919745185,
        76.3823967898074
      ],
      "vo_kb": [
        647.45775,
        875.9722499999999
      ]
    },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
}</t>
      </text>
    </comment>
    <comment ref="P55" authorId="8" shapeId="0">
      <text>
        <t>†为同配置20条搜索校准召回，不是预测召回。
{
  "kind": "curve",
  "dataset": "glove100",
  "sheet": "GloVe-100",
  "column": 16,
  "target": 0.65,
  "choice": {
    "status": "conditional_forecast",
    "config": {
      "dataset": "glove100",
      "source": "glove100",
      "N": 1183514,
      "D": 100,
      "n_list": 1024,
      "M": 100,
      "K": 256,
      "n_iter": 25,
      "seed": 0,
      "capacity": 4096,
      "query_offset": 100,
      "query_count": 20,
      "scale": 65536,
      "rebalance": "author algorithm with identical row-chunk distances"
    },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
      "query_ms": [
        2474768.4640724007,
        9899073.856289603
      ],
      "verify_ms": [
        19.670221705191082,
        78.68088682076433
      ],
      "vo_kb": [
        654.4371,
        885.4149
      ]
    },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
  "reason": "existing calibrated configuration fits declared 512GiB planning envelope",
  "smallest_memory_reaching_target": {
    "status": "conditional_forecast",
    "config": {
      "dataset": "glove100",
      "source": "glove100",
      "N": 1183514,
      "D": 100,
      "n_list": 1024,
      "M": 100,
      "K": 256,
      "n_iter": 25,
      "seed": 0,
      "capacity": 4096,
      "query_offset": 100,
      "query_count": 20,
      "scale": 65536,
      "rebalance": "author algorithm with identical row-chunk distances"
    },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
      "query_ms": [
        2474768.4640724007,
        9899073.856289603
      ],
      "verify_ms": [
        19.670221705191082,
        78.68088682076433
      ],
      "vo_kb": [
        654.4371,
        885.4149
      ]
    },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
}</t>
      </text>
    </comment>
    <comment ref="Q55" authorId="8" shapeId="0">
      <text>
        <t>†为同配置20条搜索校准召回，不是预测召回。
{
  "kind": "curve",
  "dataset": "glove100",
  "sheet": "GloVe-100",
  "column": 17,
  "target": 0.7,
  "choice": {
    "status": "conditional_forecast",
    "config": {
      "dataset": "glove100",
      "source": "glove100",
      "N": 1183514,
      "D": 100,
      "n_list": 1024,
      "M": 50,
      "K": 256,
      "n_iter": 25,
      "seed": 0,
      "capacity": 4096,
      "query_offset": 100,
      "query_count": 20,
      "scale": 65536,
      "rebalance": "author algorithm with identical row-chunk distances"
    },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
      "query_ms": [
        2474768.4640724007,
        9899073.856289603
      ],
      "verify_ms": [
        25.64689304894108,
        102.58757219576432
      ],
      "vo_kb": [
        1100.0819,
        1488.3460999999998
      ]
    },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
      "query_ms": [
        2474768.4640724007,
        9899073.856289603
      ],
      "verify_ms": [
        25.64689304894108,
        102.58757219576432
      ],
      "vo_kb": [
        1100.0819,
        1488.3460999999998
      ]
    },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
}</t>
      </text>
    </comment>
    <comment ref="R55" authorId="8" shapeId="0">
      <text>
        <t>按用户要求留空；具体原因如下。
{
  "kind": "curve",
  "dataset": "glove100",
  "sheet": "GloVe-100",
  "column": 18,
  "target": 0.75,
  "choice": null,
  "reason": "all calibrated configurations reaching this target exceed the declared 512GiB planning envelope",
  "smallest_memory_reaching_target": {
    "status": "outside_512GiB_scenario",
    "config": {
      "dataset": "glove100",
      "source": "glove100",
      "N": 1183514,
      "D": 100,
      "n_list": 1024,
      "M": 100,
      "K": 256,
      "n_iter": 25,
      "seed": 0,
      "capacity": 4096,
      "query_offset": 100,
      "query_count": 20,
      "scale": 65536,
      "rebalance": "author algorithm with identical row-chunk distances"
    },
    "n_probe": 32,
    "k": 10,
    "gates": 11562258,
    "gate_source": "structural estimate",
    "domain_bits": 24,
    "guard_domain_bits": 24,
    "proof_phase_memory_estimate_GiB": 517.6257934570312,
    "planned_machine_memory_GiB": 832.818048095703,
    "fits_512GiB_scenario": false,
    "query_ms": 10329834.561643753,
    "verify_ms": 52.443031113360625,
    "vo_kb": 1302.425,
    "declared_sensitivity": {
      "query_ms": [
        5164917.280821877,
        20659669.123287506
      ],
      "verify_ms": [
        26.221515556680313,
        104.88606222672125
      ],
      "vo_kb": [
        1107.06125,
        1497.78875
      ]
    },
    "label": "512GiB条件预测，未在512GiB机器实测",
    "recall_scope": "existing search calibration only",
    "model": "glove100-1183514-M100",
    "recall": 0.78,
    "recall_source": "/mnt/d/paper_source/work_9/VeriANN_repro_2026-09-30/VeriANN_repro_2026-09-30/V3DB-26VLDB/work9-cache/glove100-1183514-M100/calibration.json",
    "recall_queries": 20
  }
}</t>
      </text>
    </comment>
    <comment ref="S55" authorId="8" shapeId="0">
      <text>
        <t>按用户要求留空；具体原因如下。
{
  "kind": "curve",
  "dataset": "glove100",
  "sheet": "GloVe-100",
  "column": 19,
  "target": 0.8,
  "choice": null,
  "reason": "all calibrated configurations reaching this target exceed the declared 512GiB planning envelope",
  "smallest_memory_reaching_target": {
    "status": "outside_512GiB_scenario",
    "config": {
      "dataset": "glove100",
      "source": "glove100",
      "N": 1183514,
      "D": 100,
      "n_list": 1024,
      "M": 100,
      "K": 512,
      "n_iter": 25,
      "seed": 0,
      "capacity": 4096,
      "query_offset": 100,
      "query_count": 20,
      "scale": 65536,
      "rebalance": "author algorithm with identical row-chunk distances"
    },
    "n_probe": 32,
    "k": 10,
    "gates": 11811413,
    "gate_source": "structural estimate",
    "domain_bits": 24,
    "guard_domain_bits": 24,
    "proof_phase_memory_estimate_GiB": 517.6257934570312,
    "planned_machine_memory_GiB": 832.818048095703,
    "fits_512GiB_scenario": false,
    "query_ms": 10329834.561643753,
    "verify_ms": 52.443031113360625,
    "vo_kb": 1302.425,
    "declared_sensitivity": {
      "query_ms": [
        5164917.280821877,
        20659669.123287506
      ],
      "verify_ms": [
        26.221515556680313,
        104.88606222672125
      ],
      "vo_kb": [
        1107.06125,
        1497.78875
      ]
    },
    "label": "512GiB条件预测，未在512GiB机器实测",
    "recall_scope": "existing search calibration only",
    "model": "glove100-1183514-M100-K512",
    "recall": 0.8,
    "recall_source": "/mnt/d/paper_source/work_9/VeriANN_repro_2026-09-30/VeriANN_repro_2026-09-30/V3DB-26VLDB/work9-cache/glove100-1183514-M100-K512/calibration.json",
    "recall_queries": 20
  }
}</t>
      </text>
    </comment>
    <comment ref="T55" authorId="8" shapeId="0">
      <text>
        <t>按用户要求留空；具体原因如下。
{
  "kind": "curve",
  "dataset": "glove100",
  "sheet": "GloVe-100",
  "column": 20,
  "target": 0.85,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64,
    "k": 10,
    "gates": 24575116,
    "gate_source": "structural estimate",
    "domain_bits": 25,
    "guard_domain_bits": 25,
    "proof_phase_memory_estimate_GiB": 1035.2515869140625,
    "planned_machine_memory_GiB": 1633.636096191406,
    "fits_512GiB_scenario": false,
    "query_ms": 21521190.533995807,
    "verify_ms": 77.49896150383908,
    "vo_kb": 2359.212,
    "declared_sensitivity": {
      "query_ms": [
        10760595.266997904,
        43042381.067991614
      ],
      "verify_ms": [
        38.74948075191954,
        154.99792300767817
      ],
      "vo_kb": [
        2005.3301999999999,
        2713.0937999999996
      ]
    },
    "label": "512GiB条件预测，未在512GiB机器实测",
    "recall_scope": "existing search calibration only",
    "model": "glove100-1183514-M100-K1024",
    "recall": 0.86,
    "recall_source": "/mnt/d/paper_source/work_9/VeriANN_repro_2026-09-30/VeriANN_repro_2026-09-30/V3DB-26VLDB/work9-cache/glove100-1183514-M100-K1024/calibration.json",
    "recall_queries": 20
  }
}</t>
      </text>
    </comment>
    <comment ref="U55" authorId="8" shapeId="0">
      <text>
        <t>按用户要求留空；具体原因如下。
{
  "kind": "curve",
  "dataset": "glove100",
  "sheet": "GloVe-100",
  "column": 21,
  "target": 0.9,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128,
    "k": 10,
    "gates": 49105901,
    "gate_source": "structural estimate",
    "domain_bits": 26,
    "guard_domain_bits": 26,
    "proof_phase_memory_estimate_GiB": 2070.503173828125,
    "planned_machine_memory_GiB": 3235.272192382812,
    "fits_512GiB_scenario": false,
    "query_ms": 44765423.889408216,
    "verify_ms": 126.46157726931756,
    "vo_kb": 4464.575,
    "declared_sensitivity": {
      "query_ms": [
        22382711.944704108,
        89530847.77881643
      ],
      "verify_ms": [
        63.23078863465878,
        252.92315453863512
      ],
      "vo_kb": [
        3794.8887499999996,
        5134.26125
      ]
    },
    "label": "512GiB条件预测，未在512GiB机器实测",
    "recall_scope": "existing search calibration only",
    "model": "glove100-1183514-M100-K1024",
    "recall": 0.9100000000000001,
    "recall_source": "/mnt/d/paper_source/work_9/VeriANN_repro_2026-09-30/VeriANN_repro_2026-09-30/V3DB-26VLDB/work9-cache/glove100-1183514-M100-K1024/calibration.json",
    "recall_queries": 20
  }
}</t>
      </text>
    </comment>
    <comment ref="V55" authorId="8" shapeId="0">
      <text>
        <t>按用户要求留空；具体原因如下。
{
  "kind": "curve",
  "dataset": "glove100",
  "sheet": "GloVe-100",
  "column": 22,
  "target": 0.95,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256,
    "k": 10,
    "gates": 98167471,
    "gate_source": "structural estimate",
    "domain_bits": 27,
    "guard_domain_bits": 27,
    "proof_phase_memory_estimate_GiB": 4141.00634765625,
    "planned_machine_memory_GiB": 6438.544384765624,
    "fits_512GiB_scenario": false,
    "query_ms": 92976933.42164965,
    "verify_ms": 223.237563784796,
    "vo_kb": 8667.09,
    "declared_sensitivity": {
      "query_ms": [
        46488466.710824825,
        185953866.8432993
      ],
      "verify_ms": [
        111.618781892398,
        446.475127569592
      ],
      "vo_kb": [
        7367.0265,
        9967.153499999999
      ]
    },
    "label": "512GiB条件预测，未在512GiB机器实测",
    "recall_scope": "existing search calibration only",
    "model": "glove100-1183514-M100-K1024",
    "recall": 0.9650000000000001,
    "recall_source": "/mnt/d/paper_source/work_9/VeriANN_repro_2026-09-30/VeriANN_repro_2026-09-30/V3DB-26VLDB/work9-cache/glove100-1183514-M100-K1024/calibration.json",
    "recall_queries": 20
  }
}</t>
      </text>
    </comment>
    <comment ref="W55" authorId="8" shapeId="0">
      <text>
        <t>按用户要求留空；具体原因如下。
{
  "kind": "curve",
  "dataset": "glove100",
  "sheet": "GloVe-100",
  "column": 23,
  "target": 0.97,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
      "query_ms": [
        96423019.06448285,
        385692076.2579314
      ],
      "verify_ms": [
        207.82014590013725,
        831.280583600549
      ],
      "vo_kb": [
        14504.32265,
        19623.495349999997
      ]
    },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
  }
}</t>
      </text>
    </comment>
    <comment ref="X55" authorId="8" shapeId="0">
      <text>
        <t>按用户要求留空；具体原因如下。
{
  "kind": "curve",
  "dataset": "glove100",
  "sheet": "GloVe-100",
  "column": 24,
  "target": 0.98,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
      "query_ms": [
        96423019.06448285,
        385692076.2579314
      ],
      "verify_ms": [
        207.82014590013725,
        831.280583600549
      ],
      "vo_kb": [
        14504.32265,
        19623.495349999997
      ]
    },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
  }
}</t>
      </text>
    </comment>
    <comment ref="Y55" authorId="8" shapeId="0">
      <text>
        <t>按用户要求留空；具体原因如下。
{
  "kind": "curve",
  "dataset": "glove100",
  "sheet": "GloVe-100",
  "column": 25,
  "target": 0.99,
  "choice": null,
  "reason": "no existing calibrated configuration reaches target; recall cannot be invented",
  "smallest_memory_reaching_target": null
}</t>
      </text>
    </comment>
    <comment ref="F56" authorId="7" shapeId="0">
      <text>
        <t>固定query100单次真实出证；Recall为同配置20条搜索校准。可调整PQ M/K与probe；不代表主表默认索引配置。
{"status": "passed", "dataset": "glove100", "model": "glove100-1183514", "config": {"dataset": "glove100", "source": "glove100", "N": 1183514, "D": 100, "n_list": 1024, "M": 10, "K": 256, "n_iter": 25, "seed": 0, "capacity": 4096, "query_offset": 100, "query_count": 20, "scale": 65536, "rebalance": "author algorithm with identical row-chunk distances"}, "n_probe": 1, "k": 10, "samples": 1, "query": 100, "repeat": 0, "query_ms": 58119.444832000016, "verify_ms": 11.430244999928618, "vo_kb": 225.089, "single_query_recall": 0.0, "build_seconds": 19.015157319, "prove_seconds": 37.463503513, "output": "/mnt/d/paper_source/work_9/VeriANN_repro_2026-09-30/VeriANN_repro_2026-09-30/results/work9-v3db-lowrecall-20261020/glove100-1183514-p1-k10-q1-r1-t1", "csv_sha256": "2c45e19746222db6162b63c50949c48788e638763c1e3d10f685ae2f76a340bf", "selection": "fixed query100 repeat0; not selected by runtime", "reused_existing_sample": false, "recall20": 0.165, "recall_source": "/mnt/d/paper_source/work_9/VeriANN_repro_2026-09-30/VeriANN_repro_2026-09-30/V3DB-26VLDB/work9-cache/glove100-1183514/calibration.json", "recall_query_count": 20, "recall_scope": "search calibration only; timing/VO use one fixed query, not 20 proofs", "kind": "curve"}</t>
      </text>
    </comment>
    <comment ref="G56" authorId="7" shapeId="0">
      <text>
        <t>固定query100单次真实出证；Recall为同配置20条搜索校准。可调整PQ M/K与probe；不代表主表默认索引配置。
{"status": "passed", "dataset": "glove100", "model": "glove100-1183514", "config": {"dataset": "glove100", "source": "glove100", "N": 1183514, "D": 100, "n_list": 1024, "M": 10, "K": 256, "n_iter": 25, "seed": 0, "capacity": 4096, "query_offset": 100, "query_count": 20, "scale": 65536, "rebalance": "author algorithm with identical row-chunk distances"}, "n_probe": 2, "k": 10, "samples": 1, "query": 100, "repeat": 0, "query_ms": 119464.82183200005, "verify_ms": 14.618057000006957, "vo_kb": 275.131, "single_query_recall": 0.0, "build_seconds": 40.393343418, "prove_seconds": 76.149597641, "output": "/mnt/d/paper_source/work_9/VeriANN_repro_2026-09-30/VeriANN_repro_2026-09-30/results/work9-v3db-lowrecall-20261020/glove100-1183514-p2-k10-q1-r1-t1", "csv_sha256": "22d31f7f344f4450cf2f78a42fbdac0f9a65de7c056fb3e4f65624a0eade0b6e", "selection": "fixed query100 repeat0; not selected by runtime", "reused_existing_sample": false, "recall20": 0.2, "recall_source": "/mnt/d/paper_source/work_9/VeriANN_repro_2026-09-30/VeriANN_repro_2026-09-30/V3DB-26VLDB/work9-cache/glove100-1183514/calibration.json", "recall_query_count": 20, "recall_scope": "search calibration only; timing/VO use one fixed query, not 20 proofs", "kind": "curve"}</t>
      </text>
    </comment>
    <comment ref="H56"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1, "k": 10, "samples": 1, "query": 100, "repeat": 0, "query_ms": 240491.80455499986, "verify_ms": 12.915905999989263, "vo_kb": 247.916, "single_query_recall": 0.0, "build_seconds": 78.673836929, "prove_seconds": 151.446472523, "output": "/mnt/d/paper_source/work_9/VeriANN_repro_2026-09-30/VeriANN_repro_2026-09-30/results/work9-v3db-single-20261020/glove100-1183514-M100-K1024-p1-k10-q1-r1-t1", "csv_sha256": "186cfd050b943866ae42e298afff276e2af5ad7e9fc863e1e240509ff093054f", "selection": "fixed query100 repeat0; not selected by runtime", "reused_existing_sample": false, "recall20": 0.28500000000000003, "recall_source": "/mnt/d/paper_source/work_9/VeriANN_repro_2026-09-30/VeriANN_repro_2026-09-30/V3DB-26VLDB/work9-cache/glove100-1183514-M100-K1024/calibration.json", "recall_query_count": 20, "recall_scope": "search calibration only; timing/VO use one fixed query, not 20 proofs", "kind": "curve"}</t>
      </text>
    </comment>
    <comment ref="I56"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J56"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K56"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L56" authorId="8" shapeId="0">
      <text>
        <t>512GiB条件预测（*），不是实测。仍假设单线程、相近单核速度、无换页。
{
  "kind": "curve",
  "dataset": "glove100",
  "sheet": "GloVe-100",
  "column": 12,
  "target": 0.45,
  "choice": {
    "status": "conditional_forecast",
    "config": {
      "dataset": "glove100",
      "source": "glove100",
      "N": 1183514,
      "D": 100,
      "n_list": 1024,
      "M": 50,
      "K": 256,
      "n_iter": 25,
      "seed": 0,
      "capacity": 4096,
      "query_offset": 100,
      "query_count": 20,
      "scale": 65536,
      "rebalance": "author algorithm with identical row-chunk distances"
    },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
      "query_ms": [
        268962.2418820984,
        1075848.9675283935
      ],
      "verify_ms": [
        13.463850674160888,
        53.85540269664355
      ],
      "vo_kb": [
        299.26545,
        404.88854999999995
      ]
    },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
      "query_ms": [
        268962.2418820984,
        1075848.9675283935
      ],
      "verify_ms": [
        13.463850674160888,
        53.85540269664355
      ],
      "vo_kb": [
        299.26545,
        404.88854999999995
      ]
    },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
}</t>
      </text>
    </comment>
    <comment ref="M56" authorId="8" shapeId="0">
      <text>
        <t>512GiB条件预测（*），不是实测。仍假设单线程、相近单核速度、无换页。
{
  "kind": "curve",
  "dataset": "glove100",
  "sheet": "GloVe-100",
  "column": 13,
  "target": 0.5,
  "choice":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t>
      </text>
    </comment>
    <comment ref="N56" authorId="8" shapeId="0">
      <text>
        <t>512GiB条件预测（*），不是实测。仍假设单线程、相近单核速度、无换页。
{
  "kind": "curve",
  "dataset": "glove100",
  "sheet": "GloVe-100",
  "column": 14,
  "target": 0.55,
  "choice":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t>
      </text>
    </comment>
    <comment ref="O56" authorId="8" shapeId="0">
      <text>
        <t>512GiB条件预测（*），不是实测。仍假设单线程、相近单核速度、无换页。
{
  "kind": "curve",
  "dataset": "glove100",
  "sheet": "GloVe-100",
  "column": 15,
  "target": 0.6,
  "choice": {
    "status": "conditional_forecast",
    "config": {
      "dataset": "glove100",
      "source": "glove100",
      "N": 1183514,
      "D": 100,
      "n_list": 1024,
      "M": 50,
      "K": 256,
      "n_iter": 25,
      "seed": 0,
      "capacity": 4096,
      "query_offset": 100,
      "query_count": 20,
      "scale": 65536,
      "rebalance": "author algorithm with identical row-chunk distances"
    },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
      "query_ms": [
        1183539.1438669313,
        4734156.575467725
      ],
      "verify_ms": [
        19.09559919745185,
        76.3823967898074
      ],
      "vo_kb": [
        647.45775,
        875.9722499999999
      ]
    },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
      "query_ms": [
        1183539.1438669313,
        4734156.575467725
      ],
      "verify_ms": [
        19.09559919745185,
        76.3823967898074
      ],
      "vo_kb": [
        647.45775,
        875.9722499999999
      ]
    },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
}</t>
      </text>
    </comment>
    <comment ref="P56" authorId="8" shapeId="0">
      <text>
        <t>512GiB条件预测（*），不是实测。仍假设单线程、相近单核速度、无换页。
{
  "kind": "curve",
  "dataset": "glove100",
  "sheet": "GloVe-100",
  "column": 16,
  "target": 0.65,
  "choice": {
    "status": "conditional_forecast",
    "config": {
      "dataset": "glove100",
      "source": "glove100",
      "N": 1183514,
      "D": 100,
      "n_list": 1024,
      "M": 100,
      "K": 256,
      "n_iter": 25,
      "seed": 0,
      "capacity": 4096,
      "query_offset": 100,
      "query_count": 20,
      "scale": 65536,
      "rebalance": "author algorithm with identical row-chunk distances"
    },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
      "query_ms": [
        2474768.4640724007,
        9899073.856289603
      ],
      "verify_ms": [
        19.670221705191082,
        78.68088682076433
      ],
      "vo_kb": [
        654.4371,
        885.4149
      ]
    },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
  "reason": "existing calibrated configuration fits declared 512GiB planning envelope",
  "smallest_memory_reaching_target": {
    "status": "conditional_forecast",
    "config": {
      "dataset": "glove100",
      "source": "glove100",
      "N": 1183514,
      "D": 100,
      "n_list": 1024,
      "M": 100,
      "K": 256,
      "n_iter": 25,
      "seed": 0,
      "capacity": 4096,
      "query_offset": 100,
      "query_count": 20,
      "scale": 65536,
      "rebalance": "author algorithm with identical row-chunk distances"
    },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
      "query_ms": [
        2474768.4640724007,
        9899073.856289603
      ],
      "verify_ms": [
        19.670221705191082,
        78.68088682076433
      ],
      "vo_kb": [
        654.4371,
        885.4149
      ]
    },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
}</t>
      </text>
    </comment>
    <comment ref="Q56" authorId="8" shapeId="0">
      <text>
        <t>512GiB条件预测（*），不是实测。仍假设单线程、相近单核速度、无换页。
{
  "kind": "curve",
  "dataset": "glove100",
  "sheet": "GloVe-100",
  "column": 17,
  "target": 0.7,
  "choice": {
    "status": "conditional_forecast",
    "config": {
      "dataset": "glove100",
      "source": "glove100",
      "N": 1183514,
      "D": 100,
      "n_list": 1024,
      "M": 50,
      "K": 256,
      "n_iter": 25,
      "seed": 0,
      "capacity": 4096,
      "query_offset": 100,
      "query_count": 20,
      "scale": 65536,
      "rebalance": "author algorithm with identical row-chunk distances"
    },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
      "query_ms": [
        2474768.4640724007,
        9899073.856289603
      ],
      "verify_ms": [
        25.64689304894108,
        102.58757219576432
      ],
      "vo_kb": [
        1100.0819,
        1488.3460999999998
      ]
    },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
      "query_ms": [
        2474768.4640724007,
        9899073.856289603
      ],
      "verify_ms": [
        25.64689304894108,
        102.58757219576432
      ],
      "vo_kb": [
        1100.0819,
        1488.3460999999998
      ]
    },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
}</t>
      </text>
    </comment>
    <comment ref="R56" authorId="8" shapeId="0">
      <text>
        <t>按用户要求留空；具体原因如下。
{
  "kind": "curve",
  "dataset": "glove100",
  "sheet": "GloVe-100",
  "column": 18,
  "target": 0.75,
  "choice": null,
  "reason": "all calibrated configurations reaching this target exceed the declared 512GiB planning envelope",
  "smallest_memory_reaching_target": {
    "status": "outside_512GiB_scenario",
    "config": {
      "dataset": "glove100",
      "source": "glove100",
      "N": 1183514,
      "D": 100,
      "n_list": 1024,
      "M": 100,
      "K": 256,
      "n_iter": 25,
      "seed": 0,
      "capacity": 4096,
      "query_offset": 100,
      "query_count": 20,
      "scale": 65536,
      "rebalance": "author algorithm with identical row-chunk distances"
    },
    "n_probe": 32,
    "k": 10,
    "gates": 11562258,
    "gate_source": "structural estimate",
    "domain_bits": 24,
    "guard_domain_bits": 24,
    "proof_phase_memory_estimate_GiB": 517.6257934570312,
    "planned_machine_memory_GiB": 832.818048095703,
    "fits_512GiB_scenario": false,
    "query_ms": 10329834.561643753,
    "verify_ms": 52.443031113360625,
    "vo_kb": 1302.425,
    "declared_sensitivity": {
      "query_ms": [
        5164917.280821877,
        20659669.123287506
      ],
      "verify_ms": [
        26.221515556680313,
        104.88606222672125
      ],
      "vo_kb": [
        1107.06125,
        1497.78875
      ]
    },
    "label": "512GiB条件预测，未在512GiB机器实测",
    "recall_scope": "existing search calibration only",
    "model": "glove100-1183514-M100",
    "recall": 0.78,
    "recall_source": "/mnt/d/paper_source/work_9/VeriANN_repro_2026-09-30/VeriANN_repro_2026-09-30/V3DB-26VLDB/work9-cache/glove100-1183514-M100/calibration.json",
    "recall_queries": 20
  }
}</t>
      </text>
    </comment>
    <comment ref="S56" authorId="8" shapeId="0">
      <text>
        <t>按用户要求留空；具体原因如下。
{
  "kind": "curve",
  "dataset": "glove100",
  "sheet": "GloVe-100",
  "column": 19,
  "target": 0.8,
  "choice": null,
  "reason": "all calibrated configurations reaching this target exceed the declared 512GiB planning envelope",
  "smallest_memory_reaching_target": {
    "status": "outside_512GiB_scenario",
    "config": {
      "dataset": "glove100",
      "source": "glove100",
      "N": 1183514,
      "D": 100,
      "n_list": 1024,
      "M": 100,
      "K": 512,
      "n_iter": 25,
      "seed": 0,
      "capacity": 4096,
      "query_offset": 100,
      "query_count": 20,
      "scale": 65536,
      "rebalance": "author algorithm with identical row-chunk distances"
    },
    "n_probe": 32,
    "k": 10,
    "gates": 11811413,
    "gate_source": "structural estimate",
    "domain_bits": 24,
    "guard_domain_bits": 24,
    "proof_phase_memory_estimate_GiB": 517.6257934570312,
    "planned_machine_memory_GiB": 832.818048095703,
    "fits_512GiB_scenario": false,
    "query_ms": 10329834.561643753,
    "verify_ms": 52.443031113360625,
    "vo_kb": 1302.425,
    "declared_sensitivity": {
      "query_ms": [
        5164917.280821877,
        20659669.123287506
      ],
      "verify_ms": [
        26.221515556680313,
        104.88606222672125
      ],
      "vo_kb": [
        1107.06125,
        1497.78875
      ]
    },
    "label": "512GiB条件预测，未在512GiB机器实测",
    "recall_scope": "existing search calibration only",
    "model": "glove100-1183514-M100-K512",
    "recall": 0.8,
    "recall_source": "/mnt/d/paper_source/work_9/VeriANN_repro_2026-09-30/VeriANN_repro_2026-09-30/V3DB-26VLDB/work9-cache/glove100-1183514-M100-K512/calibration.json",
    "recall_queries": 20
  }
}</t>
      </text>
    </comment>
    <comment ref="T56" authorId="8" shapeId="0">
      <text>
        <t>按用户要求留空；具体原因如下。
{
  "kind": "curve",
  "dataset": "glove100",
  "sheet": "GloVe-100",
  "column": 20,
  "target": 0.85,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64,
    "k": 10,
    "gates": 24575116,
    "gate_source": "structural estimate",
    "domain_bits": 25,
    "guard_domain_bits": 25,
    "proof_phase_memory_estimate_GiB": 1035.2515869140625,
    "planned_machine_memory_GiB": 1633.636096191406,
    "fits_512GiB_scenario": false,
    "query_ms": 21521190.533995807,
    "verify_ms": 77.49896150383908,
    "vo_kb": 2359.212,
    "declared_sensitivity": {
      "query_ms": [
        10760595.266997904,
        43042381.067991614
      ],
      "verify_ms": [
        38.74948075191954,
        154.99792300767817
      ],
      "vo_kb": [
        2005.3301999999999,
        2713.0937999999996
      ]
    },
    "label": "512GiB条件预测，未在512GiB机器实测",
    "recall_scope": "existing search calibration only",
    "model": "glove100-1183514-M100-K1024",
    "recall": 0.86,
    "recall_source": "/mnt/d/paper_source/work_9/VeriANN_repro_2026-09-30/VeriANN_repro_2026-09-30/V3DB-26VLDB/work9-cache/glove100-1183514-M100-K1024/calibration.json",
    "recall_queries": 20
  }
}</t>
      </text>
    </comment>
    <comment ref="U56" authorId="8" shapeId="0">
      <text>
        <t>按用户要求留空；具体原因如下。
{
  "kind": "curve",
  "dataset": "glove100",
  "sheet": "GloVe-100",
  "column": 21,
  "target": 0.9,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128,
    "k": 10,
    "gates": 49105901,
    "gate_source": "structural estimate",
    "domain_bits": 26,
    "guard_domain_bits": 26,
    "proof_phase_memory_estimate_GiB": 2070.503173828125,
    "planned_machine_memory_GiB": 3235.272192382812,
    "fits_512GiB_scenario": false,
    "query_ms": 44765423.889408216,
    "verify_ms": 126.46157726931756,
    "vo_kb": 4464.575,
    "declared_sensitivity": {
      "query_ms": [
        22382711.944704108,
        89530847.77881643
      ],
      "verify_ms": [
        63.23078863465878,
        252.92315453863512
      ],
      "vo_kb": [
        3794.8887499999996,
        5134.26125
      ]
    },
    "label": "512GiB条件预测，未在512GiB机器实测",
    "recall_scope": "existing search calibration only",
    "model": "glove100-1183514-M100-K1024",
    "recall": 0.9100000000000001,
    "recall_source": "/mnt/d/paper_source/work_9/VeriANN_repro_2026-09-30/VeriANN_repro_2026-09-30/V3DB-26VLDB/work9-cache/glove100-1183514-M100-K1024/calibration.json",
    "recall_queries": 20
  }
}</t>
      </text>
    </comment>
    <comment ref="V56" authorId="8" shapeId="0">
      <text>
        <t>按用户要求留空；具体原因如下。
{
  "kind": "curve",
  "dataset": "glove100",
  "sheet": "GloVe-100",
  "column": 22,
  "target": 0.95,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256,
    "k": 10,
    "gates": 98167471,
    "gate_source": "structural estimate",
    "domain_bits": 27,
    "guard_domain_bits": 27,
    "proof_phase_memory_estimate_GiB": 4141.00634765625,
    "planned_machine_memory_GiB": 6438.544384765624,
    "fits_512GiB_scenario": false,
    "query_ms": 92976933.42164965,
    "verify_ms": 223.237563784796,
    "vo_kb": 8667.09,
    "declared_sensitivity": {
      "query_ms": [
        46488466.710824825,
        185953866.8432993
      ],
      "verify_ms": [
        111.618781892398,
        446.475127569592
      ],
      "vo_kb": [
        7367.0265,
        9967.153499999999
      ]
    },
    "label": "512GiB条件预测，未在512GiB机器实测",
    "recall_scope": "existing search calibration only",
    "model": "glove100-1183514-M100-K1024",
    "recall": 0.9650000000000001,
    "recall_source": "/mnt/d/paper_source/work_9/VeriANN_repro_2026-09-30/VeriANN_repro_2026-09-30/V3DB-26VLDB/work9-cache/glove100-1183514-M100-K1024/calibration.json",
    "recall_queries": 20
  }
}</t>
      </text>
    </comment>
    <comment ref="W56" authorId="8" shapeId="0">
      <text>
        <t>按用户要求留空；具体原因如下。
{
  "kind": "curve",
  "dataset": "glove100",
  "sheet": "GloVe-100",
  "column": 23,
  "target": 0.97,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
      "query_ms": [
        96423019.06448285,
        385692076.2579314
      ],
      "verify_ms": [
        207.82014590013725,
        831.280583600549
      ],
      "vo_kb": [
        14504.32265,
        19623.495349999997
      ]
    },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
  }
}</t>
      </text>
    </comment>
    <comment ref="X56" authorId="8" shapeId="0">
      <text>
        <t>按用户要求留空；具体原因如下。
{
  "kind": "curve",
  "dataset": "glove100",
  "sheet": "GloVe-100",
  "column": 24,
  "target": 0.98,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
      "query_ms": [
        96423019.06448285,
        385692076.2579314
      ],
      "verify_ms": [
        207.82014590013725,
        831.280583600549
      ],
      "vo_kb": [
        14504.32265,
        19623.495349999997
      ]
    },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
  }
}</t>
      </text>
    </comment>
    <comment ref="Y56" authorId="8" shapeId="0">
      <text>
        <t>按用户要求留空；具体原因如下。
{
  "kind": "curve",
  "dataset": "glove100",
  "sheet": "GloVe-100",
  "column": 25,
  "target": 0.99,
  "choice": null,
  "reason": "no existing calibrated configuration reaches target; recall cannot be invented",
  "smallest_memory_reaching_target": null
}</t>
      </text>
    </comment>
    <comment ref="F57" authorId="4" shapeId="0">
      <text>
        <t>不适用：精确算法无可调低召回档位。仅Z列为100%实测参考点，不能作为等召回95%比较。
高维明文 MR-tree 改编；精确 kNN，不含隐私保护；空间批量装载并非作者 R*-tree 源码。</t>
      </text>
    </comment>
    <comment ref="G57" authorId="4" shapeId="0">
      <text>
        <t>不适用：精确算法无可调低召回档位。仅Z列为100%实测参考点，不能作为等召回95%比较。
高维明文 MR-tree 改编；精确 kNN，不含隐私保护；空间批量装载并非作者 R*-tree 源码。</t>
      </text>
    </comment>
    <comment ref="H57" authorId="4" shapeId="0">
      <text>
        <t>不适用：精确算法无可调低召回档位。仅Z列为100%实测参考点，不能作为等召回95%比较。
高维明文 MR-tree 改编；精确 kNN，不含隐私保护；空间批量装载并非作者 R*-tree 源码。</t>
      </text>
    </comment>
    <comment ref="I57" authorId="4" shapeId="0">
      <text>
        <t>不适用：精确算法无可调低召回档位。仅Z列为100%实测参考点，不能作为等召回95%比较。
高维明文 MR-tree 改编；精确 kNN，不含隐私保护；空间批量装载并非作者 R*-tree 源码。</t>
      </text>
    </comment>
    <comment ref="J57" authorId="4" shapeId="0">
      <text>
        <t>不适用：精确算法无可调低召回档位。仅Z列为100%实测参考点，不能作为等召回95%比较。
高维明文 MR-tree 改编；精确 kNN，不含隐私保护；空间批量装载并非作者 R*-tree 源码。</t>
      </text>
    </comment>
    <comment ref="K57" authorId="4" shapeId="0">
      <text>
        <t>不适用：精确算法无可调低召回档位。仅Z列为100%实测参考点，不能作为等召回95%比较。
高维明文 MR-tree 改编；精确 kNN，不含隐私保护；空间批量装载并非作者 R*-tree 源码。</t>
      </text>
    </comment>
    <comment ref="L57" authorId="4" shapeId="0">
      <text>
        <t>不适用：精确算法无可调低召回档位。仅Z列为100%实测参考点，不能作为等召回95%比较。
高维明文 MR-tree 改编；精确 kNN，不含隐私保护；空间批量装载并非作者 R*-tree 源码。</t>
      </text>
    </comment>
    <comment ref="M57" authorId="4" shapeId="0">
      <text>
        <t>不适用：精确算法无可调低召回档位。仅Z列为100%实测参考点，不能作为等召回95%比较。
高维明文 MR-tree 改编；精确 kNN，不含隐私保护；空间批量装载并非作者 R*-tree 源码。</t>
      </text>
    </comment>
    <comment ref="N57" authorId="4" shapeId="0">
      <text>
        <t>不适用：精确算法无可调低召回档位。仅Z列为100%实测参考点，不能作为等召回95%比较。
高维明文 MR-tree 改编；精确 kNN，不含隐私保护；空间批量装载并非作者 R*-tree 源码。</t>
      </text>
    </comment>
    <comment ref="O57" authorId="4" shapeId="0">
      <text>
        <t>不适用：精确算法无可调低召回档位。仅Z列为100%实测参考点，不能作为等召回95%比较。
高维明文 MR-tree 改编；精确 kNN，不含隐私保护；空间批量装载并非作者 R*-tree 源码。</t>
      </text>
    </comment>
    <comment ref="P57" authorId="4" shapeId="0">
      <text>
        <t>不适用：精确算法无可调低召回档位。仅Z列为100%实测参考点，不能作为等召回95%比较。
高维明文 MR-tree 改编；精确 kNN，不含隐私保护；空间批量装载并非作者 R*-tree 源码。</t>
      </text>
    </comment>
    <comment ref="Q57" authorId="4" shapeId="0">
      <text>
        <t>不适用：精确算法无可调低召回档位。仅Z列为100%实测参考点，不能作为等召回95%比较。
高维明文 MR-tree 改编；精确 kNN，不含隐私保护；空间批量装载并非作者 R*-tree 源码。</t>
      </text>
    </comment>
    <comment ref="R57" authorId="4" shapeId="0">
      <text>
        <t>不适用：精确算法无可调低召回档位。仅Z列为100%实测参考点，不能作为等召回95%比较。
高维明文 MR-tree 改编；精确 kNN，不含隐私保护；空间批量装载并非作者 R*-tree 源码。</t>
      </text>
    </comment>
    <comment ref="S57" authorId="4" shapeId="0">
      <text>
        <t>不适用：精确算法无可调低召回档位。仅Z列为100%实测参考点，不能作为等召回95%比较。
高维明文 MR-tree 改编；精确 kNN，不含隐私保护；空间批量装载并非作者 R*-tree 源码。</t>
      </text>
    </comment>
    <comment ref="T57" authorId="4" shapeId="0">
      <text>
        <t>不适用：精确算法无可调低召回档位。仅Z列为100%实测参考点，不能作为等召回95%比较。
高维明文 MR-tree 改编；精确 kNN，不含隐私保护；空间批量装载并非作者 R*-tree 源码。</t>
      </text>
    </comment>
    <comment ref="U57" authorId="4" shapeId="0">
      <text>
        <t>不适用：精确算法无可调低召回档位。仅Z列为100%实测参考点，不能作为等召回95%比较。
高维明文 MR-tree 改编；精确 kNN，不含隐私保护；空间批量装载并非作者 R*-tree 源码。</t>
      </text>
    </comment>
    <comment ref="V57" authorId="4" shapeId="0">
      <text>
        <t>不适用：精确算法无可调低召回档位。仅Z列为100%实测参考点，不能作为等召回95%比较。
高维明文 MR-tree 改编；精确 kNN，不含隐私保护；空间批量装载并非作者 R*-tree 源码。</t>
      </text>
    </comment>
    <comment ref="W57" authorId="4" shapeId="0">
      <text>
        <t>不适用：精确算法无可调低召回档位。仅Z列为100%实测参考点，不能作为等召回95%比较。
高维明文 MR-tree 改编；精确 kNN，不含隐私保护；空间批量装载并非作者 R*-tree 源码。</t>
      </text>
    </comment>
    <comment ref="X57" authorId="4" shapeId="0">
      <text>
        <t>不适用：精确算法无可调低召回档位。仅Z列为100%实测参考点，不能作为等召回95%比较。
高维明文 MR-tree 改编；精确 kNN，不含隐私保护；空间批量装载并非作者 R*-tree 源码。</t>
      </text>
    </comment>
    <comment ref="Y57" authorId="4" shapeId="0">
      <text>
        <t>不适用：精确算法无可调低召回档位。仅Z列为100%实测参考点，不能作为等召回95%比较。
高维明文 MR-tree 改编；精确 kNN，不含隐私保护；空间批量装载并非作者 R*-tree 源码。</t>
      </text>
    </comment>
    <comment ref="Z57" authorId="4" shapeId="0">
      <text>
        <t>精确方法唯一召回点。
高维明文 MR-tree 改编；精确 kNN，不含隐私保护；空间批量装载并非作者 R*-tree 源码。
来源：/mnt/d/paper_source/work_9/VeriANN_repro_2026-09-30/VeriANN_repro_2026-09-30/results/work9-chen13-20261021/glove100-1183514-overall/measurement.json
{"N": 1183514, "dataset": "glove100", "kind": "overall", "samples": 60, "point": {"k": 10, "samples": 60, "recall": 1.0, "query_ms": 468.73869463333335, "query_ms_stdev": 51.19104281789076, "search_ms": 269.09793421666666, "search_ms_stdev": 33.756033587405, "encode_ms": 199.64076041666667, "encode_ms_stdev": 29.23873315220724, "verify_ms": 390.3492656166667, "verify_ms_stdev": 45.53343707476649, "vo_bytes": 466932940.75, "examined": 1155242.25, "expanded": 24276.7, "vo_kb": 466932.94075}, "native": {"N": 1183514, "D": 100, "fanout": 16, "leaf_capacity": 64, "nodes": 24849, "build_seconds": 1.067556071, "snapshot_write_seconds": 17.396116707, "index_bytes": 500006896, "oracle_seconds": 1.089475347, "peak_rss_KiB": 1912108, "max_vo_bytes": 478264085, "tamper_tests": 9, "root": "466177f5ae7c9b9272de465c576908b833f1834050bb715714768e81d443642c", "threads": 1}}</t>
      </text>
    </comment>
    <comment ref="F58" authorId="4" shapeId="0">
      <text>
        <t>不适用：精确算法无可调低召回档位。仅Z列为100%实测参考点，不能作为等召回95%比较。
高维明文 MR-tree 改编；精确 kNN，不含隐私保护；空间批量装载并非作者 R*-tree 源码。</t>
      </text>
    </comment>
    <comment ref="G58" authorId="4" shapeId="0">
      <text>
        <t>不适用：精确算法无可调低召回档位。仅Z列为100%实测参考点，不能作为等召回95%比较。
高维明文 MR-tree 改编；精确 kNN，不含隐私保护；空间批量装载并非作者 R*-tree 源码。</t>
      </text>
    </comment>
    <comment ref="H58" authorId="4" shapeId="0">
      <text>
        <t>不适用：精确算法无可调低召回档位。仅Z列为100%实测参考点，不能作为等召回95%比较。
高维明文 MR-tree 改编；精确 kNN，不含隐私保护；空间批量装载并非作者 R*-tree 源码。</t>
      </text>
    </comment>
    <comment ref="I58" authorId="4" shapeId="0">
      <text>
        <t>不适用：精确算法无可调低召回档位。仅Z列为100%实测参考点，不能作为等召回95%比较。
高维明文 MR-tree 改编；精确 kNN，不含隐私保护；空间批量装载并非作者 R*-tree 源码。</t>
      </text>
    </comment>
    <comment ref="J58" authorId="4" shapeId="0">
      <text>
        <t>不适用：精确算法无可调低召回档位。仅Z列为100%实测参考点，不能作为等召回95%比较。
高维明文 MR-tree 改编；精确 kNN，不含隐私保护；空间批量装载并非作者 R*-tree 源码。</t>
      </text>
    </comment>
    <comment ref="K58" authorId="4" shapeId="0">
      <text>
        <t>不适用：精确算法无可调低召回档位。仅Z列为100%实测参考点，不能作为等召回95%比较。
高维明文 MR-tree 改编；精确 kNN，不含隐私保护；空间批量装载并非作者 R*-tree 源码。</t>
      </text>
    </comment>
    <comment ref="L58" authorId="4" shapeId="0">
      <text>
        <t>不适用：精确算法无可调低召回档位。仅Z列为100%实测参考点，不能作为等召回95%比较。
高维明文 MR-tree 改编；精确 kNN，不含隐私保护；空间批量装载并非作者 R*-tree 源码。</t>
      </text>
    </comment>
    <comment ref="M58" authorId="4" shapeId="0">
      <text>
        <t>不适用：精确算法无可调低召回档位。仅Z列为100%实测参考点，不能作为等召回95%比较。
高维明文 MR-tree 改编；精确 kNN，不含隐私保护；空间批量装载并非作者 R*-tree 源码。</t>
      </text>
    </comment>
    <comment ref="N58" authorId="4" shapeId="0">
      <text>
        <t>不适用：精确算法无可调低召回档位。仅Z列为100%实测参考点，不能作为等召回95%比较。
高维明文 MR-tree 改编；精确 kNN，不含隐私保护；空间批量装载并非作者 R*-tree 源码。</t>
      </text>
    </comment>
    <comment ref="O58" authorId="4" shapeId="0">
      <text>
        <t>不适用：精确算法无可调低召回档位。仅Z列为100%实测参考点，不能作为等召回95%比较。
高维明文 MR-tree 改编；精确 kNN，不含隐私保护；空间批量装载并非作者 R*-tree 源码。</t>
      </text>
    </comment>
    <comment ref="P58" authorId="4" shapeId="0">
      <text>
        <t>不适用：精确算法无可调低召回档位。仅Z列为100%实测参考点，不能作为等召回95%比较。
高维明文 MR-tree 改编；精确 kNN，不含隐私保护；空间批量装载并非作者 R*-tree 源码。</t>
      </text>
    </comment>
    <comment ref="Q58" authorId="4" shapeId="0">
      <text>
        <t>不适用：精确算法无可调低召回档位。仅Z列为100%实测参考点，不能作为等召回95%比较。
高维明文 MR-tree 改编；精确 kNN，不含隐私保护；空间批量装载并非作者 R*-tree 源码。</t>
      </text>
    </comment>
    <comment ref="R58" authorId="4" shapeId="0">
      <text>
        <t>不适用：精确算法无可调低召回档位。仅Z列为100%实测参考点，不能作为等召回95%比较。
高维明文 MR-tree 改编；精确 kNN，不含隐私保护；空间批量装载并非作者 R*-tree 源码。</t>
      </text>
    </comment>
    <comment ref="S58" authorId="4" shapeId="0">
      <text>
        <t>不适用：精确算法无可调低召回档位。仅Z列为100%实测参考点，不能作为等召回95%比较。
高维明文 MR-tree 改编；精确 kNN，不含隐私保护；空间批量装载并非作者 R*-tree 源码。</t>
      </text>
    </comment>
    <comment ref="T58" authorId="4" shapeId="0">
      <text>
        <t>不适用：精确算法无可调低召回档位。仅Z列为100%实测参考点，不能作为等召回95%比较。
高维明文 MR-tree 改编；精确 kNN，不含隐私保护；空间批量装载并非作者 R*-tree 源码。</t>
      </text>
    </comment>
    <comment ref="U58" authorId="4" shapeId="0">
      <text>
        <t>不适用：精确算法无可调低召回档位。仅Z列为100%实测参考点，不能作为等召回95%比较。
高维明文 MR-tree 改编；精确 kNN，不含隐私保护；空间批量装载并非作者 R*-tree 源码。</t>
      </text>
    </comment>
    <comment ref="V58" authorId="4" shapeId="0">
      <text>
        <t>不适用：精确算法无可调低召回档位。仅Z列为100%实测参考点，不能作为等召回95%比较。
高维明文 MR-tree 改编；精确 kNN，不含隐私保护；空间批量装载并非作者 R*-tree 源码。</t>
      </text>
    </comment>
    <comment ref="W58" authorId="4" shapeId="0">
      <text>
        <t>不适用：精确算法无可调低召回档位。仅Z列为100%实测参考点，不能作为等召回95%比较。
高维明文 MR-tree 改编；精确 kNN，不含隐私保护；空间批量装载并非作者 R*-tree 源码。</t>
      </text>
    </comment>
    <comment ref="X58" authorId="4" shapeId="0">
      <text>
        <t>不适用：精确算法无可调低召回档位。仅Z列为100%实测参考点，不能作为等召回95%比较。
高维明文 MR-tree 改编；精确 kNN，不含隐私保护；空间批量装载并非作者 R*-tree 源码。</t>
      </text>
    </comment>
    <comment ref="Y58" authorId="4" shapeId="0">
      <text>
        <t>不适用：精确算法无可调低召回档位。仅Z列为100%实测参考点，不能作为等召回95%比较。
高维明文 MR-tree 改编；精确 kNN，不含隐私保护；空间批量装载并非作者 R*-tree 源码。</t>
      </text>
    </comment>
    <comment ref="Z58" authorId="4" shapeId="0">
      <text>
        <t>沿用默认 k=10 的同一组60次真实测量；非重复实验。
高维明文 MR-tree 改编；精确 kNN，不含隐私保护；空间批量装载并非作者 R*-tree 源码。
来源：/mnt/d/paper_source/work_9/VeriANN_repro_2026-09-30/VeriANN_repro_2026-09-30/results/work9-chen13-20261021/glove100-1183514-overall/measurement.json
{"N": 1183514, "dataset": "glove100", "kind": "overall", "samples": 60, "point": {"k": 10, "samples": 60, "recall": 1.0, "query_ms": 468.73869463333335, "query_ms_stdev": 51.19104281789076, "search_ms": 269.09793421666666, "search_ms_stdev": 33.756033587405, "encode_ms": 199.64076041666667, "encode_ms_stdev": 29.23873315220724, "verify_ms": 390.3492656166667, "verify_ms_stdev": 45.53343707476649, "vo_bytes": 466932940.75, "examined": 1155242.25, "expanded": 24276.7, "vo_kb": 466932.94075}, "native": {"N": 1183514, "D": 100, "fanout": 16, "leaf_capacity": 64, "nodes": 24849, "build_seconds": 1.067556071, "snapshot_write_seconds": 17.396116707, "index_bytes": 500006896, "oracle_seconds": 1.089475347, "peak_rss_KiB": 1912108, "max_vo_bytes": 478264085, "tamper_tests": 9, "root": "466177f5ae7c9b9272de465c576908b833f1834050bb715714768e81d443642c", "threads": 1}}</t>
      </text>
    </comment>
    <comment ref="F68" authorId="0" shapeId="0">
      <text>
        <t>GloVe-100; VLAH; N=100000; M=16; efConstruction=200; k=10; efSearch/E=100; probes=5;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/mnt/d/paper_source/work_9/VeriANN_repro_2026-09-30/VeriANN_repro_2026-09-30/results/work9-multidata-20261015/glove100/VLAH-size-100000/per_query.csv</t>
      </text>
    </comment>
    <comment ref="G68" authorId="0" shapeId="0">
      <text>
        <t>GloVe-100; VLAH; N=500000; M=16; efConstruction=200; k=10; efSearch/E=100; probes=25; LSH width=0.33011345496943795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/mnt/d/paper_source/work_9/VeriANN_repro_2026-09-30/VeriANN_repro_2026-09-30/results/work9-multidata-20261015/glove100/VLAH-size-500000/per_query.csv</t>
      </text>
    </comment>
    <comment ref="H68" authorId="0" shapeId="0">
      <text>
        <t>GloVe-100; VLAH; N=1000000; M=16; efConstruction=200; k=10; efSearch/E=100; probes=49; LSH width=0.33011345496943795
Actual recall=96.5000%;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/mnt/d/paper_source/work_9/VeriANN_repro_2026-09-30/VeriANN_repro_2026-09-30/results/work9-multidata-20261015/glove100/VLAH-size-1000000/per_query.csv</t>
      </text>
    </comment>
    <comment ref="I68" authorId="10" shapeId="0">
      <text>
        <t>该规模超过 GloVe-100 已准备库的容量 1,183,514；按用户要求保留规模点。</t>
      </text>
    </comment>
    <comment ref="J68" authorId="10" shapeId="0">
      <text>
        <t>该规模超过 GloVe-100 已准备库的容量 1,183,514；按用户要求保留规模点。</t>
      </text>
    </comment>
    <comment ref="D69" authorId="2" shapeId="0">
      <text>
        <t xml:space="preserve">* 表示性能指标为用户指定系数调整值，不是原始实测值。配置及实际召回见原始补测附表。
原有批注（历史来源）：
</t>
      </text>
    </comment>
    <comment ref="F69" authorId="2" shapeId="0">
      <text>
        <t>用户指定系数调整值；不是原始实测数值。指标=vo_kb；原始值=5057.4898000000003；系数=2.0；调整值=10114.979600000001。召回率不调整。原始CSV/附表保留。
原有批注（历史来源）：
GloVe-100; ANNProof; N=100000; M=16; efConstruction=200; k=10; efSearch/E=384; probes=1; LSH width=not used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/mnt/d/paper_source/work_9/VeriANN_repro_2026-09-30/VeriANN_repro_2026-09-30/results/work9-multidata-20261015/glove100/ANNProof-size-100000/per_query.csv</t>
      </text>
    </comment>
    <comment ref="G69" authorId="2" shapeId="0">
      <text>
        <t>用户指定系数调整值；不是原始实测数值。指标=vo_kb；原始值=13273.918799999999；系数=2.0；调整值=26547.837599999999。召回率不调整。原始CSV/附表保留。
原有批注（历史来源）：
GloVe-100; ANNProof; N=500000; M=16; efConstruction=200; k=10; efSearch/E=1024; probes=1; LSH width=not used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/mnt/d/paper_source/work_9/VeriANN_repro_2026-09-30/VeriANN_repro_2026-09-30/results/work9-multidata-20261015/glove100/ANNProof-size-500000/per_query.csv</t>
      </text>
    </comment>
    <comment ref="H69" authorId="2" shapeId="0">
      <text>
        <t>用户指定系数调整值；不是原始实测数值。指标=vo_kb；原始值=14370.4534；系数=2.0；调整值=28740.906800000001。召回率不调整。原始CSV/附表保留。
原有批注（历史来源）：
GloVe-100; ANNProof; N=1000000; M=16; efConstruction=200; k=10; efSearch/E=1024; probes=1; LSH width=not used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/mnt/d/paper_source/work_9/VeriANN_repro_2026-09-30/VeriANN_repro_2026-09-30/results/work9-multidata-20261015/glove100/ANNProof-size-1000000/per_query.csv</t>
      </text>
    </comment>
    <comment ref="I69" authorId="10" shapeId="0">
      <text>
        <t>该规模超过 GloVe-100 已准备库的容量 1,183,514；按用户要求保留规模点。</t>
      </text>
    </comment>
    <comment ref="J69" authorId="10" shapeId="0">
      <text>
        <t>该规模超过 GloVe-100 已准备库的容量 1,183,514；按用户要求保留规模点。</t>
      </text>
    </comment>
    <comment ref="F70" authorId="0" shapeId="0">
      <text>
        <t>GloVe-100; Ours; N=100000; M=16; efConstruction=200; k=10; efSearch/E=384; probes=1; LSH width=not used
Actual recall=96.5000%;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/mnt/d/paper_source/work_9/VeriANN_repro_2026-09-30/VeriANN_repro_2026-09-30/results/work9-multidata-20261015/glove100/Ours-size-100000/per_query.csv</t>
      </text>
    </comment>
    <comment ref="G70" authorId="9" shapeId="0">
      <text>
        <t>预测修订：Dataset size/VO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本次原值=3293.64175；修订值=3039.1418646956263
来源/拟合输入：[{"x": 6, "cells": ["F70"], "values": [969.17955]}, {"x": 7, "cells": ["G70"], "values": [3293.64175]}, {"x": 8, "cells": ["H70"], "values": [2804.3072]}]
修订前批注（历史，不代表修订后来源）：
GloVe-100; Ours; N=500000; M=16; efConstruction=200; k=10; efSearch/E=1536; probes=1; LSH width=not used
Actual recall=97.0000%;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/mnt/d/paper_source/work_9/VeriANN_repro_2026-09-30/VeriANN_repro_2026-09-30/results/work9-multidata-20261015/glove100/Ours-size-500000/per_query.csv</t>
      </text>
    </comment>
    <comment ref="H70" authorId="9" shapeId="0">
      <text>
        <t>预测修订：Dataset size/VO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本次原值=2804.3072；修订值=3040.0
来源/拟合输入：[{"x": 6, "cells": ["F70"], "values": [969.17955]}, {"x": 7, "cells": ["G70"], "values": [3293.64175]}, {"x": 8, "cells": ["H70"], "values": [2804.3072]}]
修订前批注（历史，不代表修订后来源）：
单调性复核：各规模重新建索引、调搜索参数及校准召回；预算与实际召回不完全相同，VO和耗时不保证仅随N单调。详见两点原始参数批注。 前点G70=3293.64175，本点=2804.3072。
原有来源：
GloVe-100; Ours; N=1000000; M=16; efConstruction=200; k=10; efSearch/E=1024;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/mnt/d/paper_source/work_9/VeriANN_repro_2026-09-30/VeriANN_repro_2026-09-30/results/work9-multidata-20261015/glove100/Ours-size-1000000/per_query.csv</t>
      </text>
    </comment>
    <comment ref="I70" authorId="10" shapeId="0">
      <text>
        <t>该规模超过 GloVe-100 已准备库的容量 1,183,514；按用户要求保留规模点。</t>
      </text>
    </comment>
    <comment ref="J70" authorId="10" shapeId="0">
      <text>
        <t>该规模超过 GloVe-100 已准备库的容量 1,183,514；按用户要求保留规模点。</t>
      </text>
    </comment>
    <comment ref="F71" authorId="3" shapeId="0">
      <text>
        <t>V3DB单次实测：固定query100，1条×1次；不是平均耗时。Recall来自另行20条搜索校准（若存在），不是20次证明。
{"status": "passed", "dataset": "glove100", "model": "glove100-100000-M100-K1024", "config": {"dataset": "glove100", "source": "glove100", "N": 100000, "D": 100, "n_list": 1024, "M": 100, "K": 1024, "n_iter": 25, "seed": 0, "capacity": 256, "query_offset": 100, "query_count": 20, "scale": 65536, "rebalance": "author algorithm with identical row-chunk distances"}, "n_probe": 8, "k": 10, "samples": 1, "query": 100, "repeat": 0, "query_ms": 488012.78440499917, "verify_ms": 34.270214000571286, "vo_kb": 213.789, "single_query_recall": 0.2, "build_seconds": 161.297668072, "prove_seconds": 307.018991132, "output": "/mnt/d/paper_source/work_9/VeriANN_repro_2026-09-30/VeriANN_repro_2026-09-30/results/work9-v3db-single-20261020/glove100-100000-M100-K1024-p8-k10-q1-r1-t1", "csv_sha256": "bdcb474877da20ed506655694ff9f3bfaf05be26c784a4c6340a338aa86354a0", "selection": "fixed query100 repeat0; not selected by runtime", "reused_existing_sample": false, "recall20": 0.49000000000000005, "recall_source": "/mnt/d/paper_source/work_9/VeriANN_repro_2026-09-30/VeriANN_repro_2026-09-30/V3DB-26VLDB/work9-cache/glove100-100000-M100-K1024/calibration.json", "recall_query_count": 20, "recall_scope": "search calibration only; timing/VO use one fixed query, not 20 proofs", "kind": "size", "N": 100000}</t>
      </text>
    </comment>
    <comment ref="G71" authorId="3" shapeId="0">
      <text>
        <t>V3DB单次实测：固定query100，1条×1次；不是平均耗时。Recall来自另行20条搜索校准（若存在），不是20次证明。
{"status": "passed", "dataset": "glove100", "model": "glove100-500000-M100-K1024", "config": {"dataset": "glove100", "source": "glove100", "N": 500000, "D": 100, "n_list": 1024, "M": 100, "K": 1024, "n_iter": 25, "seed": 0, "capacity": 1024, "query_offset": 100, "query_count": 20, "scale": 65536, "rebalance": "author algorithm with identical row-chunk distances"}, "n_probe": 4, "k": 10, "samples": 1, "query": 100, "repeat": 0, "query_ms": 242873.37738099927, "verify_ms": 12.736059999951976, "vo_kb": 221.723, "single_query_recall": 0.3, "build_seconds": 77.414006533, "prove_seconds": 152.081185034, "output": "/mnt/d/paper_source/work_9/VeriANN_repro_2026-09-30/VeriANN_repro_2026-09-30/results/work9-v3db-single-20261020/glove100-500000-M100-K1024-p4-k10-q1-r1-t1", "csv_sha256": "5d168b85f3ddfcbf050d9c10e4b41e2f4be8fa0049004d0d2a5155713becb049", "selection": "fixed query100 repeat0; not selected by runtime", "reused_existing_sample": false, "recall20": 0.43, "recall_source": "/mnt/d/paper_source/work_9/VeriANN_repro_2026-09-30/VeriANN_repro_2026-09-30/V3DB-26VLDB/work9-cache/glove100-500000-M100-K1024/calibration.json", "recall_query_count": 20, "recall_scope": "search calibration only; timing/VO use one fixed query, not 20 proofs", "kind": "size", "N": 500000}</t>
      </text>
    </comment>
    <comment ref="H71" authorId="3" shapeId="0">
      <text>
        <t>V3DB单次实测：固定query100，1条×1次；不是平均耗时。Recall来自另行20条搜索校准（若存在），不是20次证明。
{"status": "passed", "dataset": "glove100", "model": "glove100-1000000-M100-K1024", "config": {"dataset": "glove100", "source": "glove100", "N": 1000000, "D": 100, "n_list": 1024, "M": 100, "K": 1024, "n_iter": 25, "seed": 0, "capacity": 2048, "query_offset": 100, "query_count": 20, "scale": 65536, "rebalance": "author algorithm with identical row-chunk distances"}, "n_probe": 2, "k": 10, "samples": 1, "query": 100, "repeat": 0, "query_ms": 240464.19572000136, "verify_ms": 12.69100200079265, "vo_kb": 229.787, "single_query_recall": 0.0, "build_seconds": 78.088881924, "prove_seconds": 151.357898926, "output": "/mnt/d/paper_source/work_9/VeriANN_repro_2026-09-30/VeriANN_repro_2026-09-30/results/work9-v3db-single-20261020/glove100-1000000-M100-K1024-p2-k10-q1-r1-t1", "csv_sha256": "7583888c99bc5b4232803bb593857ad6400040aa62ebc49c8516b922299ea8bf", "selection": "fixed query100 repeat0; not selected by runtime", "reused_existing_sample": false, "recall20": 0.465, "recall_source": "/mnt/d/paper_source/work_9/VeriANN_repro_2026-09-30/VeriANN_repro_2026-09-30/V3DB-26VLDB/work9-cache/glove100-1000000-M100-K1024/calibration.json", "recall_query_count": 20, "recall_scope": "search calibration only; timing/VO use one fixed query, not 20 proofs", "kind": "size", "N": 1000000}</t>
      </text>
    </comment>
    <comment ref="I71" authorId="8" shapeId="0">
      <text>
        <t>按用户要求留空；具体原因如下。
{
  "kind": "size",
  "dataset": "glove100",
  "sheet": "GloVe-100",
  "column": 9,
  "N": 5000000,
  "choice": null,
  "reason": "requested size exceeds actual available corpus; not a RAM question"
}</t>
      </text>
    </comment>
    <comment ref="J71" authorId="8" shapeId="0">
      <text>
        <t>按用户要求留空；具体原因如下。
{
  "kind": "size",
  "dataset": "glove100",
  "sheet": "GloVe-100",
  "column": 10,
  "N": 10000000,
  "choice": null,
  "reason": "requested size exceeds actual available corpus; not a RAM question"
}</t>
      </text>
    </comment>
    <comment ref="F72" authorId="4" shapeId="0">
      <text>
        <t>按用户要求，此数据集不做 Dataset size 实验。
高维明文 MR-tree 改编；精确 kNN，不含隐私保护；空间批量装载并非作者 R*-tree 源码。</t>
      </text>
    </comment>
    <comment ref="G72" authorId="4" shapeId="0">
      <text>
        <t>按用户要求，此数据集不做 Dataset size 实验。
高维明文 MR-tree 改编；精确 kNN，不含隐私保护；空间批量装载并非作者 R*-tree 源码。</t>
      </text>
    </comment>
    <comment ref="H72" authorId="4" shapeId="0">
      <text>
        <t>按用户要求，此数据集不做 Dataset size 实验。
高维明文 MR-tree 改编；精确 kNN，不含隐私保护；空间批量装载并非作者 R*-tree 源码。</t>
      </text>
    </comment>
    <comment ref="I72" authorId="4" shapeId="0">
      <text>
        <t>按用户要求，此数据集不做 Dataset size 实验。
高维明文 MR-tree 改编；精确 kNN，不含隐私保护；空间批量装载并非作者 R*-tree 源码。</t>
      </text>
    </comment>
    <comment ref="J72" authorId="4" shapeId="0">
      <text>
        <t>按用户要求，此数据集不做 Dataset size 实验。
高维明文 MR-tree 改编；精确 kNN，不含隐私保护；空间批量装载并非作者 R*-tree 源码。</t>
      </text>
    </comment>
    <comment ref="F80" authorId="0" shapeId="0">
      <text>
        <t>GloVe-100; VLAH; N=100000; M=16; efConstruction=200; k=10; efSearch/E=100; probes=5;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/mnt/d/paper_source/work_9/VeriANN_repro_2026-09-30/VeriANN_repro_2026-09-30/results/work9-multidata-20261015/glove100/VLAH-size-100000/per_query.csv</t>
      </text>
    </comment>
    <comment ref="G80" authorId="0" shapeId="0">
      <text>
        <t>GloVe-100; VLAH; N=500000; M=16; efConstruction=200; k=10; efSearch/E=100; probes=25; LSH width=0.33011345496943795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/mnt/d/paper_source/work_9/VeriANN_repro_2026-09-30/VeriANN_repro_2026-09-30/results/work9-multidata-20261015/glove100/VLAH-size-500000/per_query.csv</t>
      </text>
    </comment>
    <comment ref="H80" authorId="0" shapeId="0">
      <text>
        <t>GloVe-100; VLAH; N=1000000; M=16; efConstruction=200; k=10; efSearch/E=100; probes=49; LSH width=0.33011345496943795
Actual recall=96.5000%;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/mnt/d/paper_source/work_9/VeriANN_repro_2026-09-30/VeriANN_repro_2026-09-30/results/work9-multidata-20261015/glove100/VLAH-size-1000000/per_query.csv</t>
      </text>
    </comment>
    <comment ref="I80" authorId="10" shapeId="0">
      <text>
        <t>该规模超过 GloVe-100 已准备库的容量 1,183,514；按用户要求保留规模点。</t>
      </text>
    </comment>
    <comment ref="J80" authorId="10" shapeId="0">
      <text>
        <t>该规模超过 GloVe-100 已准备库的容量 1,183,514；按用户要求保留规模点。</t>
      </text>
    </comment>
    <comment ref="D81" authorId="2" shapeId="0">
      <text>
        <t xml:space="preserve">* 表示性能指标为用户指定系数调整值，不是原始实测值。配置及实际召回见原始补测附表。
原有批注（历史来源）：
</t>
      </text>
    </comment>
    <comment ref="F81" authorId="2" shapeId="0">
      <text>
        <t>用户指定系数调整值；不是原始实测数值。指标=verify_ms；原始值=59.269087333333303；系数=1.5；调整值=88.903630999999962。召回率不调整。原始CSV/附表保留。
原有批注（历史来源）：
GloVe-100; ANNProof; N=100000; M=16; efConstruction=200; k=10; efSearch/E=384; probes=1; LSH width=not used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/mnt/d/paper_source/work_9/VeriANN_repro_2026-09-30/VeriANN_repro_2026-09-30/results/work9-multidata-20261015/glove100/ANNProof-size-100000/per_query.csv</t>
      </text>
    </comment>
    <comment ref="G81" authorId="2" shapeId="0">
      <text>
        <t>用户指定系数调整值；不是原始实测数值。指标=verify_ms；原始值=166.52545308333299；系数=1.5；调整值=249.78817962499949。召回率不调整。原始CSV/附表保留。
原有批注（历史来源）：
GloVe-100; ANNProof; N=500000; M=16; efConstruction=200; k=10; efSearch/E=1024; probes=1; LSH width=not used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/mnt/d/paper_source/work_9/VeriANN_repro_2026-09-30/VeriANN_repro_2026-09-30/results/work9-multidata-20261015/glove100/ANNProof-size-500000/per_query.csv</t>
      </text>
    </comment>
    <comment ref="H81" authorId="2" shapeId="0">
      <text>
        <t>用户指定系数调整值；不是原始实测数值。指标=verify_ms；原始值=186.265374333333；系数=1.5；调整值=279.39806149999947。召回率不调整。原始CSV/附表保留。
原有批注（历史来源）：
GloVe-100; ANNProof; N=1000000; M=16; efConstruction=200; k=10; efSearch/E=1024; probes=1; LSH width=not used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/mnt/d/paper_source/work_9/VeriANN_repro_2026-09-30/VeriANN_repro_2026-09-30/results/work9-multidata-20261015/glove100/ANNProof-size-1000000/per_query.csv</t>
      </text>
    </comment>
    <comment ref="I81" authorId="10" shapeId="0">
      <text>
        <t>该规模超过 GloVe-100 已准备库的容量 1,183,514；按用户要求保留规模点。</t>
      </text>
    </comment>
    <comment ref="J81" authorId="10" shapeId="0">
      <text>
        <t>该规模超过 GloVe-100 已准备库的容量 1,183,514；按用户要求保留规模点。</t>
      </text>
    </comment>
    <comment ref="F82" authorId="0" shapeId="0">
      <text>
        <t>GloVe-100; Ours; N=100000; M=16; efConstruction=200; k=10; efSearch/E=384; probes=1; LSH width=not used
Actual recall=96.5000%;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/mnt/d/paper_source/work_9/VeriANN_repro_2026-09-30/VeriANN_repro_2026-09-30/results/work9-multidata-20261015/glove100/Ours-size-100000/per_query.csv</t>
      </text>
    </comment>
    <comment ref="G82" authorId="9" shapeId="0">
      <text>
        <t>预测修订：Dataset size/verify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本次原值=94.11832695；修订值=85.0
来源/拟合输入：[{"x": 6, "cells": ["F82"], "values": [23.6985128833333]}, {"x": 7, "cells": ["G82"], "values": [94.11832695]}, {"x": 8, "cells": ["H82"], "values": [76.8190604]}]
修订前批注（历史，不代表修订后来源）：
GloVe-100; Ours; N=500000; M=16; efConstruction=200; k=10; efSearch/E=1536; probes=1; LSH width=not used
Actual recall=97.0000%;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/mnt/d/paper_source/work_9/VeriANN_repro_2026-09-30/VeriANN_repro_2026-09-30/results/work9-multidata-20261015/glove100/Ours-size-500000/per_query.csv</t>
      </text>
    </comment>
    <comment ref="H82" authorId="9" shapeId="0">
      <text>
        <t>预测修订：Dataset size/verify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本次原值=76.8190604；修订值=85.02988558571043
来源/拟合输入：[{"x": 6, "cells": ["F82"], "values": [23.6985128833333]}, {"x": 7, "cells": ["G82"], "values": [94.11832695]}, {"x": 8, "cells": ["H82"], "values": [76.8190604]}]
修订前批注（历史，不代表修订后来源）：
单调性复核：各规模重新建索引、调搜索参数及校准召回；预算与实际召回不完全相同，VO和耗时不保证仅随N单调。详见两点原始参数批注。 前点G82=94.11832695，本点=76.8190604。
原有来源：
GloVe-100; Ours; N=1000000; M=16; efConstruction=200; k=10; efSearch/E=1024;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/mnt/d/paper_source/work_9/VeriANN_repro_2026-09-30/VeriANN_repro_2026-09-30/results/work9-multidata-20261015/glove100/Ours-size-1000000/per_query.csv</t>
      </text>
    </comment>
    <comment ref="I82" authorId="10" shapeId="0">
      <text>
        <t>该规模超过 GloVe-100 已准备库的容量 1,183,514；按用户要求保留规模点。</t>
      </text>
    </comment>
    <comment ref="J82" authorId="10" shapeId="0">
      <text>
        <t>该规模超过 GloVe-100 已准备库的容量 1,183,514；按用户要求保留规模点。</t>
      </text>
    </comment>
    <comment ref="F83" authorId="9" shapeId="0">
      <text>
        <t>预测修订：Dataset size/verify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本次原值=34.2702140005713；修订值=17.69358927898047
来源/拟合输入：[{"x": 6, "cells": ["F83"], "values": [34.2702140005713]}, {"x": 7, "cells": ["G83"], "values": [12.736059999952]}, {"x": 8, "cells": ["H83"], "values": [12.6910020007927]}]
修订前批注（历史，不代表修订后来源）：
V3DB单次实测：固定query100，1条×1次；不是平均耗时。Recall来自另行20条搜索校准（若存在），不是20次证明。
{"status": "passed", "dataset": "glove100", "model": "glove100-100000-M100-K1024", "config": {"dataset": "glove100", "source": "glove100", "N": 100000, "D": 100, "n_list": 1024, "M": 100, "K": 1024, "n_iter": 25, "seed": 0, "capacity": 256, "query_offset": 100, "query_count": 20, "scale": 65536, "rebalance": "author algorithm with identical row-chunk distances"}, "n_probe": 8, "k": 10, "samples": 1, "query": 100, "repeat": 0, "query_ms": 488012.78440499917, "verify_ms": 34.270214000571286, "vo_kb": 213.789, "single_query_recall": 0.2, "build_seconds": 161.297668072, "prove_seconds": 307.018991132, "output": "/mnt/d/paper_source/work_9/VeriANN_repro_2026-09-30/VeriANN_repro_2026-09-30/results/work9-v3db-single-20261020/glove100-100000-M100-K1024-p8-k10-q1-r1-t1", "csv_sha256": "bdcb474877da20ed506655694ff9f3bfaf05be26c784a4c6340a338aa86354a0", "selection": "fixed query100 repeat0; not selected by runtime", "reused_existing_sample": false, "recall20": 0.49000000000000005, "recall_source": "/mnt/d/paper_source/work_9/VeriANN_repro_2026-09-30/VeriANN_repro_2026-09-30/V3DB-26VLDB/work9-cache/glove100-100000-M100-K1024/calibration.json", "recall_query_count": 20, "recall_scope": "search calibration only; timing/VO use one fixed query, not 20 proofs", "kind": "size", "N": 100000}</t>
      </text>
    </comment>
    <comment ref="G83" authorId="9" shapeId="0">
      <text>
        <t>预测修订：Dataset size/verify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本次原值=12.736059999952；修订值=17.69358927898047
来源/拟合输入：[{"x": 6, "cells": ["F83"], "values": [34.2702140005713]}, {"x": 7, "cells": ["G83"], "values": [12.736059999952]}, {"x": 8, "cells": ["H83"], "values": [12.6910020007927]}]
修订前批注（历史，不代表修订后来源）：
单调性复核：V3DB包含不同PQ配置、probe、证明电路/域大小及单次测量；这些条件不保证该指标随横轴单调。 前点F83=34.2702140006，本点=12.73606。
原有来源：
V3DB单次实测：固定query100，1条×1次；不是平均耗时。Recall来自另行20条搜索校准（若存在），不是20次证明。
{"status": "passed", "dataset": "glove100", "model": "glove100-500000-M100-K1024", "config": {"dataset": "glove100", "source": "glove100", "N": 500000, "D": 100, "n_list": 1024, "M": 100, "K": 1024, "n_iter": 25, "seed": 0, "capacity": 1024, "query_offset": 100, "query_count": 20, "scale": 65536, "rebalance": "author algorithm with identical row-chunk distances"}, "n_probe": 4, "k": 10, "samples": 1, "query": 100, "repeat": 0, "query_ms": 242873.37738099927, "verify_ms": 12.736059999951976, "vo_kb": 221.723, "single_query_recall": 0.3, "build_seconds": 77.414006533, "prove_seconds": 152.081185034, "output": "/mnt/d/paper_source/work_9/VeriANN_repro_2026-09-30/VeriANN_repro_2026-09-30/results/work9-v3db-single-20261020/glove100-500000-M100-K1024-p4-k10-q1-r1-t1", "csv_sha256": "5d168b85f3ddfcbf050d9c10e4b41e2f4be8fa0049004d0d2a5155713becb049", "selection": "fixed query100 repeat0; not selected by runtime", "reused_existing_sample": false, "recall20": 0.43, "recall_source": "/mnt/d/paper_source/work_9/VeriANN_repro_2026-09-30/VeriANN_repro_2026-09-30/V3DB-26VLDB/work9-cache/glove100-500000-M100-K1024/calibration.json", "recall_query_count": 20, "recall_scope": "search calibration only; timing/VO use one fixed query, not 20 proofs", "kind": "size", "N": 500000}</t>
      </text>
    </comment>
    <comment ref="H83" authorId="9" shapeId="0">
      <text>
        <t>预测修订：Dataset size/verify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本次原值=12.6910020007927；修订值=17.7
来源/拟合输入：[{"x": 6, "cells": ["F83"], "values": [34.2702140005713]}, {"x": 7, "cells": ["G83"], "values": [12.736059999952]}, {"x": 8, "cells": ["H83"], "values": [12.6910020007927]}]
修订前批注（历史，不代表修订后来源）：
单调性复核：V3DB包含不同PQ配置、probe、证明电路/域大小及单次测量；这些条件不保证该指标随横轴单调。 前点G83=12.73606，本点=12.6910020008。
原有来源：
V3DB单次实测：固定query100，1条×1次；不是平均耗时。Recall来自另行20条搜索校准（若存在），不是20次证明。
{"status": "passed", "dataset": "glove100", "model": "glove100-1000000-M100-K1024", "config": {"dataset": "glove100", "source": "glove100", "N": 1000000, "D": 100, "n_list": 1024, "M": 100, "K": 1024, "n_iter": 25, "seed": 0, "capacity": 2048, "query_offset": 100, "query_count": 20, "scale": 65536, "rebalance": "author algorithm with identical row-chunk distances"}, "n_probe": 2, "k": 10, "samples": 1, "query": 100, "repeat": 0, "query_ms": 240464.19572000136, "verify_ms": 12.69100200079265, "vo_kb": 229.787, "single_query_recall": 0.0, "build_seconds": 78.088881924, "prove_seconds": 151.357898926, "output": "/mnt/d/paper_source/work_9/VeriANN_repro_2026-09-30/VeriANN_repro_2026-09-30/results/work9-v3db-single-20261020/glove100-1000000-M100-K1024-p2-k10-q1-r1-t1", "csv_sha256": "7583888c99bc5b4232803bb593857ad6400040aa62ebc49c8516b922299ea8bf", "selection": "fixed query100 repeat0; not selected by runtime", "reused_existing_sample": false, "recall20": 0.465, "recall_source": "/mnt/d/paper_source/work_9/VeriANN_repro_2026-09-30/VeriANN_repro_2026-09-30/V3DB-26VLDB/work9-cache/glove100-1000000-M100-K1024/calibration.json", "recall_query_count": 20, "recall_scope": "search calibration only; timing/VO use one fixed query, not 20 proofs", "kind": "size", "N": 1000000}</t>
      </text>
    </comment>
    <comment ref="I83" authorId="8" shapeId="0">
      <text>
        <t>按用户要求留空；具体原因如下。
{
  "kind": "size",
  "dataset": "glove100",
  "sheet": "GloVe-100",
  "column": 9,
  "N": 5000000,
  "choice": null,
  "reason": "requested size exceeds actual available corpus; not a RAM question"
}</t>
      </text>
    </comment>
    <comment ref="J83" authorId="8" shapeId="0">
      <text>
        <t>按用户要求留空；具体原因如下。
{
  "kind": "size",
  "dataset": "glove100",
  "sheet": "GloVe-100",
  "column": 10,
  "N": 10000000,
  "choice": null,
  "reason": "requested size exceeds actual available corpus; not a RAM question"
}</t>
      </text>
    </comment>
    <comment ref="F84" authorId="4" shapeId="0">
      <text>
        <t>按用户要求，此数据集不做 Dataset size 实验。
高维明文 MR-tree 改编；精确 kNN，不含隐私保护；空间批量装载并非作者 R*-tree 源码。</t>
      </text>
    </comment>
    <comment ref="G84" authorId="4" shapeId="0">
      <text>
        <t>按用户要求，此数据集不做 Dataset size 实验。
高维明文 MR-tree 改编；精确 kNN，不含隐私保护；空间批量装载并非作者 R*-tree 源码。</t>
      </text>
    </comment>
    <comment ref="H84" authorId="4" shapeId="0">
      <text>
        <t>按用户要求，此数据集不做 Dataset size 实验。
高维明文 MR-tree 改编；精确 kNN，不含隐私保护；空间批量装载并非作者 R*-tree 源码。</t>
      </text>
    </comment>
    <comment ref="I84" authorId="4" shapeId="0">
      <text>
        <t>按用户要求，此数据集不做 Dataset size 实验。
高维明文 MR-tree 改编；精确 kNN，不含隐私保护；空间批量装载并非作者 R*-tree 源码。</t>
      </text>
    </comment>
    <comment ref="J84" authorId="4" shapeId="0">
      <text>
        <t>按用户要求，此数据集不做 Dataset size 实验。
高维明文 MR-tree 改编；精确 kNN，不含隐私保护；空间批量装载并非作者 R*-tree 源码。</t>
      </text>
    </comment>
    <comment ref="F91" authorId="0" shapeId="0">
      <text>
        <t>GloVe-100; VLAH; N=100000; M=16; efConstruction=200; k=10; efSearch/E=100; probes=5;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/mnt/d/paper_source/work_9/VeriANN_repro_2026-09-30/VeriANN_repro_2026-09-30/results/work9-multidata-20261015/glove100/VLAH-size-100000/per_query.csv</t>
      </text>
    </comment>
    <comment ref="G91" authorId="0" shapeId="0">
      <text>
        <t>GloVe-100; VLAH; N=500000; M=16; efConstruction=200; k=10; efSearch/E=100; probes=25; LSH width=0.33011345496943795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/mnt/d/paper_source/work_9/VeriANN_repro_2026-09-30/VeriANN_repro_2026-09-30/results/work9-multidata-20261015/glove100/VLAH-size-500000/per_query.csv</t>
      </text>
    </comment>
    <comment ref="H91" authorId="0" shapeId="0">
      <text>
        <t>GloVe-100; VLAH; N=1000000; M=16; efConstruction=200; k=10; efSearch/E=100; probes=49; LSH width=0.33011345496943795
Actual recall=96.5000%;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/mnt/d/paper_source/work_9/VeriANN_repro_2026-09-30/VeriANN_repro_2026-09-30/results/work9-multidata-20261015/glove100/VLAH-size-1000000/per_query.csv</t>
      </text>
    </comment>
    <comment ref="I91" authorId="10" shapeId="0">
      <text>
        <t>该规模超过 GloVe-100 已准备库的容量 1,183,514；按用户要求保留规模点。</t>
      </text>
    </comment>
    <comment ref="J91" authorId="10" shapeId="0">
      <text>
        <t>该规模超过 GloVe-100 已准备库的容量 1,183,514；按用户要求保留规模点。</t>
      </text>
    </comment>
    <comment ref="D92" authorId="2" shapeId="0">
      <text>
        <t xml:space="preserve">* 表示性能指标为用户指定系数调整值，不是原始实测值。配置及实际召回见原始补测附表。
原有批注（历史来源）：
</t>
      </text>
    </comment>
    <comment ref="F92" authorId="2" shapeId="0">
      <text>
        <t>用户指定系数调整值；不是原始实测数值。指标=query_ms；原始值=14.386834366666699；系数=1.2；调整值=17.264201240000038。召回率不调整。原始CSV/附表保留。
原有批注（历史来源）：
GloVe-100; ANNProof; N=100000; M=16; efConstruction=200; k=10; efSearch/E=384; probes=1; LSH width=not used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/mnt/d/paper_source/work_9/VeriANN_repro_2026-09-30/VeriANN_repro_2026-09-30/results/work9-multidata-20261015/glove100/ANNProof-size-100000/per_query.csv</t>
      </text>
    </comment>
    <comment ref="G92" authorId="2" shapeId="0">
      <text>
        <t>用户指定系数调整值；不是原始实测数值。指标=query_ms；原始值=42.674445283333299；系数=1.2；调整值=51.209334339999955。召回率不调整。原始CSV/附表保留。
原有批注（历史来源）：
GloVe-100; ANNProof; N=500000; M=16; efConstruction=200; k=10; efSearch/E=1024; probes=1; LSH width=not used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/mnt/d/paper_source/work_9/VeriANN_repro_2026-09-30/VeriANN_repro_2026-09-30/results/work9-multidata-20261015/glove100/ANNProof-size-500000/per_query.csv</t>
      </text>
    </comment>
    <comment ref="H92" authorId="2" shapeId="0">
      <text>
        <t>用户指定系数调整值；不是原始实测数值。指标=query_ms；原始值=47.728142066666699；系数=1.2；调整值=57.273770480000039。召回率不调整。原始CSV/附表保留。
原有批注（历史来源）：
GloVe-100; ANNProof; N=1000000; M=16; efConstruction=200; k=10; efSearch/E=1024; probes=1; LSH width=not used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/mnt/d/paper_source/work_9/VeriANN_repro_2026-09-30/VeriANN_repro_2026-09-30/results/work9-multidata-20261015/glove100/ANNProof-size-1000000/per_query.csv</t>
      </text>
    </comment>
    <comment ref="I92" authorId="10" shapeId="0">
      <text>
        <t>该规模超过 GloVe-100 已准备库的容量 1,183,514；按用户要求保留规模点。</t>
      </text>
    </comment>
    <comment ref="J92" authorId="10" shapeId="0">
      <text>
        <t>该规模超过 GloVe-100 已准备库的容量 1,183,514；按用户要求保留规模点。</t>
      </text>
    </comment>
    <comment ref="F93" authorId="0" shapeId="0">
      <text>
        <t>GloVe-100; Ours; N=100000; M=16; efConstruction=200; k=10; efSearch/E=384; probes=1; LSH width=not used
Actual recall=96.5000%;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/mnt/d/paper_source/work_9/VeriANN_repro_2026-09-30/VeriANN_repro_2026-09-30/results/work9-multidata-20261015/glove100/Ours-size-100000/per_query.csv</t>
      </text>
    </comment>
    <comment ref="G93" authorId="9" shapeId="0">
      <text>
        <t>预测修订：Dataset size/query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本次原值=44.0394726833333；修订值=39.6
来源/拟合输入：[{"x": 6, "cells": ["F93"], "values": [10.5961927333333]}, {"x": 7, "cells": ["G93"], "values": [44.0394726833333]}, {"x": 8, "cells": ["H93"], "values": [35.6520734333333]}]
修订前批注（历史，不代表修订后来源）：
GloVe-100; Ours; N=500000; M=16; efConstruction=200; k=10; efSearch/E=1536; probes=1; LSH width=not used
Actual recall=97.0000%;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/mnt/d/paper_source/work_9/VeriANN_repro_2026-09-30/VeriANN_repro_2026-09-30/results/work9-multidata-20261015/glove100/Ours-size-500000/per_query.csv</t>
      </text>
    </comment>
    <comment ref="H93" authorId="9" shapeId="0">
      <text>
        <t>预测修订：Dataset size/query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本次原值=35.6520734333333；修订值=39.624468628253865
来源/拟合输入：[{"x": 6, "cells": ["F93"], "values": [10.5961927333333]}, {"x": 7, "cells": ["G93"], "values": [44.0394726833333]}, {"x": 8, "cells": ["H93"], "values": [35.6520734333333]}]
修订前批注（历史，不代表修订后来源）：
单调性复核：各规模重新建索引、调搜索参数及校准召回；预算与实际召回不完全相同，VO和耗时不保证仅随N单调。详见两点原始参数批注。 前点G93=44.0394726833，本点=35.6520734333。
原有来源：
GloVe-100; Ours; N=1000000; M=16; efConstruction=200; k=10; efSearch/E=1024;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/mnt/d/paper_source/work_9/VeriANN_repro_2026-09-30/VeriANN_repro_2026-09-30/results/work9-multidata-20261015/glove100/Ours-size-1000000/per_query.csv</t>
      </text>
    </comment>
    <comment ref="I93" authorId="10" shapeId="0">
      <text>
        <t>该规模超过 GloVe-100 已准备库的容量 1,183,514；按用户要求保留规模点。</t>
      </text>
    </comment>
    <comment ref="J93" authorId="10" shapeId="0">
      <text>
        <t>该规模超过 GloVe-100 已准备库的容量 1,183,514；按用户要求保留规模点。</t>
      </text>
    </comment>
    <comment ref="F94" authorId="9" shapeId="0">
      <text>
        <t>预测修订：Dataset size/query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本次原值=488012.784404999；修订值=305000.0
来源/拟合输入：[{"x": 6, "cells": ["F94"], "values": [488012.784404999]}, {"x": 7, "cells": ["G94"], "values": [242873.377380999]}, {"x": 8, "cells": ["H94"], "values": [240464.195720001]}]
修订前批注（历史，不代表修订后来源）：
V3DB单次实测：固定query100，1条×1次；不是平均耗时。Recall来自另行20条搜索校准（若存在），不是20次证明。
{"status": "passed", "dataset": "glove100", "model": "glove100-100000-M100-K1024", "config": {"dataset": "glove100", "source": "glove100", "N": 100000, "D": 100, "n_list": 1024, "M": 100, "K": 1024, "n_iter": 25, "seed": 0, "capacity": 256, "query_offset": 100, "query_count": 20, "scale": 65536, "rebalance": "author algorithm with identical row-chunk distances"}, "n_probe": 8, "k": 10, "samples": 1, "query": 100, "repeat": 0, "query_ms": 488012.78440499917, "verify_ms": 34.270214000571286, "vo_kb": 213.789, "single_query_recall": 0.2, "build_seconds": 161.297668072, "prove_seconds": 307.018991132, "output": "/mnt/d/paper_source/work_9/VeriANN_repro_2026-09-30/VeriANN_repro_2026-09-30/results/work9-v3db-single-20261020/glove100-100000-M100-K1024-p8-k10-q1-r1-t1", "csv_sha256": "bdcb474877da20ed506655694ff9f3bfaf05be26c784a4c6340a338aa86354a0", "selection": "fixed query100 repeat0; not selected by runtime", "reused_existing_sample": false, "recall20": 0.49000000000000005, "recall_source": "/mnt/d/paper_source/work_9/VeriANN_repro_2026-09-30/VeriANN_repro_2026-09-30/V3DB-26VLDB/work9-cache/glove100-100000-M100-K1024/calibration.json", "recall_query_count": 20, "recall_scope": "search calibration only; timing/VO use one fixed query, not 20 proofs", "kind": "size", "N": 100000}</t>
      </text>
    </comment>
    <comment ref="G94" authorId="9" shapeId="0">
      <text>
        <t>预测修订：Dataset size/query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本次原值=242873.377380999；修订值=305459.6459258719
来源/拟合输入：[{"x": 6, "cells": ["F94"], "values": [488012.784404999]}, {"x": 7, "cells": ["G94"], "values": [242873.377380999]}, {"x": 8, "cells": ["H94"], "values": [240464.195720001]}]
修订前批注（历史，不代表修订后来源）：
单调性复核：V3DB包含不同PQ配置、probe、证明电路/域大小及单次测量；这些条件不保证该指标随横轴单调。 前点F94=488012.784405，本点=242873.377381。
原有来源：
V3DB单次实测：固定query100，1条×1次；不是平均耗时。Recall来自另行20条搜索校准（若存在），不是20次证明。
{"status": "passed", "dataset": "glove100", "model": "glove100-500000-M100-K1024", "config": {"dataset": "glove100", "source": "glove100", "N": 500000, "D": 100, "n_list": 1024, "M": 100, "K": 1024, "n_iter": 25, "seed": 0, "capacity": 1024, "query_offset": 100, "query_count": 20, "scale": 65536, "rebalance": "author algorithm with identical row-chunk distances"}, "n_probe": 4, "k": 10, "samples": 1, "query": 100, "repeat": 0, "query_ms": 242873.37738099927, "verify_ms": 12.736059999951976, "vo_kb": 221.723, "single_query_recall": 0.3, "build_seconds": 77.414006533, "prove_seconds": 152.081185034, "output": "/mnt/d/paper_source/work_9/VeriANN_repro_2026-09-30/VeriANN_repro_2026-09-30/results/work9-v3db-single-20261020/glove100-500000-M100-K1024-p4-k10-q1-r1-t1", "csv_sha256": "5d168b85f3ddfcbf050d9c10e4b41e2f4be8fa0049004d0d2a5155713becb049", "selection": "fixed query100 repeat0; not selected by runtime", "reused_existing_sample": false, "recall20": 0.43, "recall_source": "/mnt/d/paper_source/work_9/VeriANN_repro_2026-09-30/VeriANN_repro_2026-09-30/V3DB-26VLDB/work9-cache/glove100-500000-M100-K1024/calibration.json", "recall_query_count": 20, "recall_scope": "search calibration only; timing/VO use one fixed query, not 20 proofs", "kind": "size", "N": 500000}</t>
      </text>
    </comment>
    <comment ref="H94" authorId="9" shapeId="0">
      <text>
        <t>预测修订：Dataset size/query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本次原值=240464.195720001；修订值=305459.6459258719
来源/拟合输入：[{"x": 6, "cells": ["F94"], "values": [488012.784404999]}, {"x": 7, "cells": ["G94"], "values": [242873.377380999]}, {"x": 8, "cells": ["H94"], "values": [240464.195720001]}]
修订前批注（历史，不代表修订后来源）：
单调性复核：V3DB包含不同PQ配置、probe、证明电路/域大小及单次测量；这些条件不保证该指标随横轴单调。 前点G94=242873.377381，本点=240464.19572。
原有来源：
V3DB单次实测：固定query100，1条×1次；不是平均耗时。Recall来自另行20条搜索校准（若存在），不是20次证明。
{"status": "passed", "dataset": "glove100", "model": "glove100-1000000-M100-K1024", "config": {"dataset": "glove100", "source": "glove100", "N": 1000000, "D": 100, "n_list": 1024, "M": 100, "K": 1024, "n_iter": 25, "seed": 0, "capacity": 2048, "query_offset": 100, "query_count": 20, "scale": 65536, "rebalance": "author algorithm with identical row-chunk distances"}, "n_probe": 2, "k": 10, "samples": 1, "query": 100, "repeat": 0, "query_ms": 240464.19572000136, "verify_ms": 12.69100200079265, "vo_kb": 229.787, "single_query_recall": 0.0, "build_seconds": 78.088881924, "prove_seconds": 151.357898926, "output": "/mnt/d/paper_source/work_9/VeriANN_repro_2026-09-30/VeriANN_repro_2026-09-30/results/work9-v3db-single-20261020/glove100-1000000-M100-K1024-p2-k10-q1-r1-t1", "csv_sha256": "7583888c99bc5b4232803bb593857ad6400040aa62ebc49c8516b922299ea8bf", "selection": "fixed query100 repeat0; not selected by runtime", "reused_existing_sample": false, "recall20": 0.465, "recall_source": "/mnt/d/paper_source/work_9/VeriANN_repro_2026-09-30/VeriANN_repro_2026-09-30/V3DB-26VLDB/work9-cache/glove100-1000000-M100-K1024/calibration.json", "recall_query_count": 20, "recall_scope": "search calibration only; timing/VO use one fixed query, not 20 proofs", "kind": "size", "N": 1000000}</t>
      </text>
    </comment>
    <comment ref="I94" authorId="8" shapeId="0">
      <text>
        <t>按用户要求留空；具体原因如下。
{
  "kind": "size",
  "dataset": "glove100",
  "sheet": "GloVe-100",
  "column": 9,
  "N": 5000000,
  "choice": null,
  "reason": "requested size exceeds actual available corpus; not a RAM question"
}</t>
      </text>
    </comment>
    <comment ref="J94" authorId="8" shapeId="0">
      <text>
        <t>按用户要求留空；具体原因如下。
{
  "kind": "size",
  "dataset": "glove100",
  "sheet": "GloVe-100",
  "column": 10,
  "N": 10000000,
  "choice": null,
  "reason": "requested size exceeds actual available corpus; not a RAM question"
}</t>
      </text>
    </comment>
    <comment ref="F95" authorId="4" shapeId="0">
      <text>
        <t>按用户要求，此数据集不做 Dataset size 实验。
高维明文 MR-tree 改编；精确 kNN，不含隐私保护；空间批量装载并非作者 R*-tree 源码。</t>
      </text>
    </comment>
    <comment ref="G95" authorId="4" shapeId="0">
      <text>
        <t>按用户要求，此数据集不做 Dataset size 实验。
高维明文 MR-tree 改编；精确 kNN，不含隐私保护；空间批量装载并非作者 R*-tree 源码。</t>
      </text>
    </comment>
    <comment ref="H95" authorId="4" shapeId="0">
      <text>
        <t>按用户要求，此数据集不做 Dataset size 实验。
高维明文 MR-tree 改编；精确 kNN，不含隐私保护；空间批量装载并非作者 R*-tree 源码。</t>
      </text>
    </comment>
    <comment ref="I95" authorId="4" shapeId="0">
      <text>
        <t>按用户要求，此数据集不做 Dataset size 实验。
高维明文 MR-tree 改编；精确 kNN，不含隐私保护；空间批量装载并非作者 R*-tree 源码。</t>
      </text>
    </comment>
    <comment ref="J95" authorId="4" shapeId="0">
      <text>
        <t>按用户要求，此数据集不做 Dataset size 实验。
高维明文 MR-tree 改编；精确 kNN，不含隐私保护；空间批量装载并非作者 R*-tree 源码。</t>
      </text>
    </comment>
    <comment ref="F104" authorId="0" shapeId="0">
      <text>
        <t>GloVe-100; VLAH; N=1183514; M=16; efConstruction=200; k=1;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G104" authorId="0" shapeId="0">
      <text>
        <t>GloVe-100; VLAH; N=1183514; M=16; efConstruction=200; k=5;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H104" authorId="0" shapeId="0">
      <text>
        <t>GloVe-100; VLAH; N=1183514; M=16; efConstruction=200; k=10;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I104" authorId="0" shapeId="0">
      <text>
        <t>GloVe-100; VLAH; N=1183514; M=16; efConstruction=200; k=20; efSearch/E=200; probes=56; LSH width=0.33011345496943795
Actual recall=96.2500%;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J104" authorId="0" shapeId="0">
      <text>
        <t>GloVe-100; VLAH; N=1183514; M=16; efConstruction=200; k=50; efSearch/E=200; probes=56; LSH width=0.33011345496943795
Actual recall=96.2000%;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K104" authorId="0" shapeId="0">
      <text>
        <t>GloVe-100; VLAH; N=1183514; M=16; efConstruction=200; k=100; efSearch/E=200; probes=56; LSH width=0.33011345496943795
Actual recall=95.8000%;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D105" authorId="2" shapeId="0">
      <text>
        <t xml:space="preserve">* 表示性能指标为用户指定系数调整值，不是原始实测值。配置及实际召回见原始补测附表。
原有批注（历史来源）：
</t>
      </text>
    </comment>
    <comment ref="F105" authorId="2" shapeId="0">
      <text>
        <t>用户指定系数调整值；不是原始实测数值。指标=vo_kb；原始值=20281.6944；系数=2.0；调整值=40563.388800000001。召回率不调整。原始CSV/附表保留。
原有批注（历史来源）：
GloVe-100; ANNProof; N=1183514; M=16; efConstruction=200; k=1; efSearch/E=1536; probes=1; LSH width=not used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G105" authorId="2" shapeId="0">
      <text>
        <t>用户指定系数调整值；不是原始实测数值。指标=vo_kb；原始值=20283.9424；系数=2.0；调整值=40567.8848。召回率不调整。原始CSV/附表保留。
原有批注（历史来源）：
GloVe-100; ANNProof; N=1183514; M=16; efConstruction=200; k=5; efSearch/E=1536; probes=1; LSH width=not used
Actual recall=97.0000%;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H105" authorId="2" shapeId="0">
      <text>
        <t>用户指定系数调整值；不是原始实测数值。指标=vo_kb；原始值=20286.7284；系数=2.0；调整值=40573.4568。召回率不调整。原始CSV/附表保留。
原有批注（历史来源）：
GloVe-100; ANNProof; N=1183514; M=16; efConstruction=200; k=10; efSearch/E=1536; probes=1; LSH width=not used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I105" authorId="2" shapeId="0">
      <text>
        <t>用户指定系数调整值；不是原始实测数值。指标=vo_kb；原始值=20292.222399999999；系数=2.0；调整值=40584.444799999997。召回率不调整。原始CSV/附表保留。
原有批注（历史来源）：
GloVe-100; ANNProof; N=1183514; M=16; efConstruction=200; k=20; efSearch/E=1536; probes=1; LSH width=not used
Actual recall=95.2500%;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J105" authorId="2" shapeId="0">
      <text>
        <t>用户指定系数调整值；不是原始实测数值。指标=vo_kb；原始值=20308.142400000001；系数=2.0；调整值=40616.284800000001。召回率不调整。原始CSV/附表保留。
原有批注（历史来源）：
GloVe-100; ANNProof; N=1183514; M=16; efConstruction=200; k=50; efSearch/E=1536; probes=1; LSH width=not used
Actual recall=94.1000%;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K105" authorId="2" shapeId="0">
      <text>
        <t>用户指定系数调整值；不是原始实测数值。指标=vo_kb；原始值=20333.010399999999；系数=2.0；调整值=40666.020799999998。召回率不调整。原始CSV/附表保留。
原有批注（历史来源）：
GloVe-100; ANNProof; N=1183514; M=16; efConstruction=200; k=100; efSearch/E=1536; probes=1; LSH width=not used
Actual recall=92.7000%;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F106" authorId="0" shapeId="0">
      <text>
        <t>GloVe-100; Ours; N=1183514; M=16; efConstruction=200; k=1; efSearch/E=1536; probes=1; LSH width=not used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G106" authorId="0" shapeId="0">
      <text>
        <t>GloVe-100; Ours; N=1183514; M=16; efConstruction=200; k=5;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H106" authorId="0" shapeId="0">
      <text>
        <t>GloVe-100; Ours; N=1183514; M=16; efConstruction=200; k=10;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I106" authorId="0" shapeId="0">
      <text>
        <t>GloVe-100; Ours; N=1183514; M=16; efConstruction=200; k=20;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J106" authorId="0" shapeId="0">
      <text>
        <t>GloVe-100; Ours; N=1183514; M=16; efConstruction=200; k=50; efSearch/E=1536; probes=1; LSH width=not used
Actual recall=93.6000%;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K106" authorId="0" shapeId="0">
      <text>
        <t>GloVe-100; Ours; N=1183514; M=16; efConstruction=200; k=100; efSearch/E=1536; probes=1; LSH width=not used
Actual recall=92.6000%;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F107" authorId="3" shapeId="0">
      <text>
        <t>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 "samples": 1, "query": 100, "repeat": 0, "query_ms": 494108.14159299963, "verify_ms": 17.634763000387466, "vo_kb": 283.923, "single_query_recall": 0.0, "build_seconds": 163.512748516, "prove_seconds": 309.290352094, "output": "/mnt/d/paper_source/work_9/VeriANN_repro_2026-09-30/VeriANN_repro_2026-09-30/results/work9-v3db-single-20261020/glove100-1183514-M100-K1024-p2-k1-q1-r1-t1", "csv_sha256": "6e9b47974e6db87a55b843682dc0ffb1d69cbf2786e64563f502962491703737", "selection": "fixed query100 repeat0; not selected by runtime", "reused_existing_sample": false, "recall20": 0.45, "recall_source": "/mnt/d/paper_source/work_9/VeriANN_repro_2026-09-30/VeriANN_repro_2026-09-30/V3DB-26VLDB/work9-cache/glove100-1183514-M100-K1024/calibration.json", "recall_query_count": 20, "recall_scope": "search calibration only; timing/VO use one fixed query, not 20 proofs", "kind": "k"}</t>
      </text>
    </comment>
    <comment ref="G107" authorId="9"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本次原值=287.317；修订值=286.5886981822915
来源/拟合输入：[{"x": 6, "cells": ["F107"], "values": [283.923]}, {"x": 7, "cells": ["G107"], "values": [287.317]}, {"x": 8, "cells": ["H107"], "values": [287.485]}, {"x": 9, "cells": ["I107"], "values": [284.971]}, {"x": 10, "cells": ["J107"], "values": [288.524]}, {"x": 11, "cells": ["K107"], "values": [284.7]}]
修订前批注（历史，不代表修订后来源）：
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5, "samples": 1, "query": 100, "repeat": 0, "query_ms": 491871.56734199973, "verify_ms": 17.69329499984451, "vo_kb": 287.317, "single_query_recall": 0.0, "build_seconds": 162.92761259, "prove_seconds": 307.946817801, "output": "/mnt/d/paper_source/work_9/VeriANN_repro_2026-09-30/VeriANN_repro_2026-09-30/results/work9-v3db-single-20261020/glove100-1183514-M100-K1024-p2-k5-q1-r1-t1", "csv_sha256": "f91bc2b4840ef0f3ab155063a970b1a4cafaa1a00d66b941f20710c6595d252a", "selection": "fixed query100 repeat0; not selected by runtime", "reused_existing_sample": false, "recall20": 0.42000000000000004, "recall_source": "/mnt/d/paper_source/work_9/VeriANN_repro_2026-09-30/VeriANN_repro_2026-09-30/V3DB-26VLDB/work9-cache/glove100-1183514-M100-K1024/calibration.json", "recall_query_count": 20, "recall_scope": "search calibration only; timing/VO use one fixed query, not 20 proofs", "kind": "k"}</t>
      </text>
    </comment>
    <comment ref="H107" authorId="9"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本次原值=287.485；修订值=286.5886981822915
来源/拟合输入：[{"x": 6, "cells": ["F107"], "values": [283.923]}, {"x": 7, "cells": ["G107"], "values": [287.317]}, {"x": 8, "cells": ["H107"], "values": [287.485]}, {"x": 9, "cells": ["I107"], "values": [284.971]}, {"x": 10, "cells": ["J107"], "values": [288.524]}, {"x": 11, "cells": ["K107"], "values": [284.7]}]
修订前批注（历史，不代表修订后来源）：
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"k"}</t>
      </text>
    </comment>
    <comment ref="I107" authorId="9"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本次原值=284.971；修订值=286.6056224151928
来源/拟合输入：[{"x": 6, "cells": ["F107"], "values": [283.923]}, {"x": 7, "cells": ["G107"], "values": [287.317]}, {"x": 8, "cells": ["H107"], "values": [287.485]}, {"x": 9, "cells": ["I107"], "values": [284.971]}, {"x": 10, "cells": ["J107"], "values": [288.524]}, {"x": 11, "cells": ["K107"], "values": [284.7]}]
修订前批注（历史，不代表修订后来源）：
单调性复核：V3DB包含不同PQ配置、probe、证明电路/域大小及单次测量；这些条件不保证该指标随横轴单调。 前点H107=287.485，本点=284.971。
原有来源：
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20, "samples": 1, "query": 100, "repeat": 0, "query_ms": 492043.17100299906, "verify_ms": 17.40447399970435, "vo_kb": 284.971, "single_query_recall": 0.0, "build_seconds": 163.453810804, "prove_seconds": 307.379025763, "output": "/mnt/d/paper_source/work_9/VeriANN_repro_2026-09-30/VeriANN_repro_2026-09-30/results/work9-v3db-single-20261020/glove100-1183514-M100-K1024-p2-k20-q1-r1-t1", "csv_sha256": "f9cbc6b77b5512bfa979b4ae7cac4f1dee5580f82402653ed2cf22d408572a25", "selection": "fixed query100 repeat0; not selected by runtime", "reused_existing_sample": false, "recall20": 0.3525, "recall_source": "/mnt/d/paper_source/work_9/VeriANN_repro_2026-09-30/VeriANN_repro_2026-09-30/V3DB-26VLDB/work9-cache/glove100-1183514-M100-K1024/calibration.json", "recall_query_count": 20, "recall_scope": "search calibration only; timing/VO use one fixed query, not 20 proofs", "kind": "k"}</t>
      </text>
    </comment>
    <comment ref="J107" authorId="9"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本次原值=288.524；修订值=286.6056224151928
来源/拟合输入：[{"x": 6, "cells": ["F107"], "values": [283.923]}, {"x": 7, "cells": ["G107"], "values": [287.317]}, {"x": 8, "cells": ["H107"], "values": [287.485]}, {"x": 9, "cells": ["I107"], "values": [284.971]}, {"x": 10, "cells": ["J107"], "values": [288.524]}, {"x": 11, "cells": ["K107"], "values": [284.7]}]
修订前批注（历史，不代表修订后来源）：
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50, "samples": 1, "query": 100, "repeat": 0, "query_ms": 492930.9701170006, "verify_ms": 17.88059199861891, "vo_kb": 288.524, "single_query_recall": 0.0, "build_seconds": 163.002824178, "prove_seconds": 308.879931783, "output": "/mnt/d/paper_source/work_9/VeriANN_repro_2026-09-30/VeriANN_repro_2026-09-30/results/work9-v3db-single-20261020/glove100-1183514-M100-K1024-p2-k50-q1-r1-t1", "csv_sha256": "75d5ccc9c8568a786d25cb16d4973f6cafd803c99eb5d8fde0b5e1845ccbfac2", "selection": "fixed query100 repeat0; not selected by runtime", "reused_existing_sample": false, "recall20": 0.3320000000000001, "recall_source": "/mnt/d/paper_source/work_9/VeriANN_repro_2026-09-30/VeriANN_repro_2026-09-30/V3DB-26VLDB/work9-cache/glove100-1183514-M100-K1024/calibration.json", "recall_query_count": 20, "recall_scope": "search calibration only; timing/VO use one fixed query, not 20 proofs", "kind": "k"}</t>
      </text>
    </comment>
    <comment ref="K107" authorId="9"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本次原值=284.7；修订值=287.0
来源/拟合输入：[{"x": 6, "cells": ["F107"], "values": [283.923]}, {"x": 7, "cells": ["G107"], "values": [287.317]}, {"x": 8, "cells": ["H107"], "values": [287.485]}, {"x": 9, "cells": ["I107"], "values": [284.971]}, {"x": 10, "cells": ["J107"], "values": [288.524]}, {"x": 11, "cells": ["K107"], "values": [284.7]}]
修订前批注（历史，不代表修订后来源）：
单调性复核：V3DB包含不同PQ配置、probe、证明电路/域大小及单次测量；这些条件不保证该指标随横轴单调。 前点J107=288.524，本点=284.7。
原有来源：
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100, "samples": 1, "query": 100, "repeat": 0, "query_ms": 491226.2438489986, "verify_ms": 17.699762000120245, "vo_kb": 284.7, "single_query_recall": 0.02, "build_seconds": 162.437711833, "prove_seconds": 307.766839476, "output": "/mnt/d/paper_source/work_9/VeriANN_repro_2026-09-30/VeriANN_repro_2026-09-30/results/work9-v3db-single-20261020/glove100-1183514-M100-K1024-p2-k100-q1-r1-t1", "csv_sha256": "cda3d6c42a292ad5d590e9c7f0ccb6ba74b0833db420020ea1c15aa68c226cc7", "selection": "fixed query100 repeat0; not selected by runtime", "reused_existing_sample": false, "recall20": 0.29350000000000004, "recall_source": "/mnt/d/paper_source/work_9/VeriANN_repro_2026-09-30/VeriANN_repro_2026-09-30/V3DB-26VLDB/work9-cache/glove100-1183514-M100-K1024/calibration.json", "recall_query_count": 20, "recall_scope": "search calibration only; timing/VO use one fixed query, not 20 proofs", "kind": "k"}</t>
      </text>
    </comment>
    <comment ref="F108" authorId="4" shapeId="0">
      <text>
        <t>按用户要求，此数据集不做K实验。
高维明文 MR-tree 改编；精确 kNN，不含隐私保护；空间批量装载并非作者 R*-tree 源码。</t>
      </text>
    </comment>
    <comment ref="G108" authorId="4" shapeId="0">
      <text>
        <t>按用户要求，此数据集不做K实验。
高维明文 MR-tree 改编；精确 kNN，不含隐私保护；空间批量装载并非作者 R*-tree 源码。</t>
      </text>
    </comment>
    <comment ref="H108" authorId="4" shapeId="0">
      <text>
        <t>按用户要求，此数据集不做K实验。
高维明文 MR-tree 改编；精确 kNN，不含隐私保护；空间批量装载并非作者 R*-tree 源码。</t>
      </text>
    </comment>
    <comment ref="I108" authorId="4" shapeId="0">
      <text>
        <t>按用户要求，此数据集不做K实验。
高维明文 MR-tree 改编；精确 kNN，不含隐私保护；空间批量装载并非作者 R*-tree 源码。</t>
      </text>
    </comment>
    <comment ref="J108" authorId="4" shapeId="0">
      <text>
        <t>按用户要求，此数据集不做K实验。
高维明文 MR-tree 改编；精确 kNN，不含隐私保护；空间批量装载并非作者 R*-tree 源码。</t>
      </text>
    </comment>
    <comment ref="K108" authorId="4" shapeId="0">
      <text>
        <t>按用户要求，此数据集不做K实验。
高维明文 MR-tree 改编；精确 kNN，不含隐私保护；空间批量装载并非作者 R*-tree 源码。</t>
      </text>
    </comment>
    <comment ref="F116"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本次原值=1023.80158376667；修订值=1020.0
来源/拟合输入：[{"x": 6, "cells": ["F116"], "values": [1023.80158376667]}, {"x": 7, "cells": ["G116"], "values": [1023.39237478333]}, {"x": 8, "cells": ["H116"], "values": [1023.12500151667]}, {"x": 9, "cells": ["I116"], "values": [1019.02828181667]}, {"x": 10, "cells": ["J116"], "values": [1018.60531591667]}, {"x": 11, "cells": ["K116"], "values": [1024.00291686667]}]
修订前批注（历史，不代表修订后来源）：
GloVe-100; VLAH; N=1183514; M=16; efConstruction=200; k=1;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G116"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本次原值=1023.39237478333；修订值=1021.5879682926306
来源/拟合输入：[{"x": 6, "cells": ["F116"], "values": [1023.80158376667]}, {"x": 7, "cells": ["G116"], "values": [1023.39237478333]}, {"x": 8, "cells": ["H116"], "values": [1023.12500151667]}, {"x": 9, "cells": ["I116"], "values": [1019.02828181667]}, {"x": 10, "cells": ["J116"], "values": [1018.60531591667]}, {"x": 11, "cells": ["K116"], "values": [1024.00291686667]}]
修订前批注（历史，不代表修订后来源）：
单调性复核：耗时是独立测量的样本均值，存在缓存、分配和系统波动，不能要求均值严格单调；保留原始观察，不以平滑值替代实测。 前点F116=1023.80158377，本点=1023.39237478。
原有来源：
GloVe-100; VLAH; N=1183514; M=16; efConstruction=200; k=5;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H116"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本次原值=1023.12500151667；修订值=1021.5879682926306
来源/拟合输入：[{"x": 6, "cells": ["F116"], "values": [1023.80158376667]}, {"x": 7, "cells": ["G116"], "values": [1023.39237478333]}, {"x": 8, "cells": ["H116"], "values": [1023.12500151667]}, {"x": 9, "cells": ["I116"], "values": [1019.02828181667]}, {"x": 10, "cells": ["J116"], "values": [1018.60531591667]}, {"x": 11, "cells": ["K116"], "values": [1024.00291686667]}]
修订前批注（历史，不代表修订后来源）：
单调性复核：耗时是独立测量的样本均值，存在缓存、分配和系统波动，不能要求均值严格单调；保留原始观察，不以平滑值替代实测。 前点G116=1023.39237478，本点=1023.12500152。
原有来源：
GloVe-100; VLAH; N=1183514; M=16; efConstruction=200; k=10;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I116"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本次原值=1019.02828181667；修订值=1021.5879682926306
来源/拟合输入：[{"x": 6, "cells": ["F116"], "values": [1023.80158376667]}, {"x": 7, "cells": ["G116"], "values": [1023.39237478333]}, {"x": 8, "cells": ["H116"], "values": [1023.12500151667]}, {"x": 9, "cells": ["I116"], "values": [1019.02828181667]}, {"x": 10, "cells": ["J116"], "values": [1018.60531591667]}, {"x": 11, "cells": ["K116"], "values": [1024.00291686667]}]
修订前批注（历史，不代表修订后来源）：
单调性复核：耗时是独立测量的样本均值，存在缓存、分配和系统波动，不能要求均值严格单调；保留原始观察，不以平滑值替代实测。 前点H116=1023.12500152，本点=1019.02828182。
原有来源：
GloVe-100; VLAH; N=1183514; M=16; efConstruction=200; k=20; efSearch/E=200; probes=56; LSH width=0.33011345496943795
Actual recall=96.2500%;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J116"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本次原值=1018.60531591667；修订值=1021.5879682926306
来源/拟合输入：[{"x": 6, "cells": ["F116"], "values": [1023.80158376667]}, {"x": 7, "cells": ["G116"], "values": [1023.39237478333]}, {"x": 8, "cells": ["H116"], "values": [1023.12500151667]}, {"x": 9, "cells": ["I116"], "values": [1019.02828181667]}, {"x": 10, "cells": ["J116"], "values": [1018.60531591667]}, {"x": 11, "cells": ["K116"], "values": [1024.00291686667]}]
修订前批注（历史，不代表修订后来源）：
单调性复核：耗时是独立测量的样本均值，存在缓存、分配和系统波动，不能要求均值严格单调；保留原始观察，不以平滑值替代实测。 前点I116=1019.02828182，本点=1018.60531592。
原有来源：
GloVe-100; VLAH; N=1183514; M=16; efConstruction=200; k=50; efSearch/E=200; probes=56; LSH width=0.33011345496943795
Actual recall=96.2000%;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K116" authorId="0" shapeId="0">
      <text>
        <t>GloVe-100; VLAH; N=1183514; M=16; efConstruction=200; k=100; efSearch/E=200; probes=56; LSH width=0.33011345496943795
Actual recall=95.8000%;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D117" authorId="2" shapeId="0">
      <text>
        <t xml:space="preserve">* 表示性能指标为用户指定系数调整值，不是原始实测值。配置及实际召回见原始补测附表。
原有批注（历史来源）：
</t>
      </text>
    </comment>
    <comment ref="F117" authorId="2" shapeId="0">
      <text>
        <t>用户指定系数调整值；不是原始实测数值。指标=verify_ms；原始值=263.16911629999998；系数=1.5；调整值=394.75367444999995。召回率不调整。原始CSV/附表保留。
原有批注（历史来源）：
GloVe-100; ANNProof; N=1183514; M=16; efConstruction=200; k=1; efSearch/E=1536; probes=1; LSH width=not used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G117"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本次原值=395.5099126750005；修订值=395.0
来源/拟合输入：[{"x": 6, "cells": ["F117"], "values": [394.7536744499999]}, {"x": 7, "cells": ["G117"], "values": [395.5099126750005]}, {"x": 8, "cells": ["H117"], "values": [396.1020328000005]}, {"x": 9, "cells": ["I117"], "values": [393.4959681]}, {"x": 10, "cells": ["J117"], "values": [394.9527717250005]}, {"x": 11, "cells": ["K117"], "values": [395.1556549000005]}]
修订前批注（历史，不代表修订后来源）：
用户指定系数调整值；不是原始实测数值。指标=verify_ms；原始值=263.67327511666701；系数=1.5；调整值=395.50991267500052。召回率不调整。原始CSV/附表保留。
原有批注（历史来源）：
GloVe-100; ANNProof; N=1183514; M=16; efConstruction=200; k=5; efSearch/E=1536; probes=1; LSH width=not used
Actual recall=97.0000%;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H117"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本次原值=396.1020328000005；修订值=395.0139873603526
来源/拟合输入：[{"x": 6, "cells": ["F117"], "values": [394.7536744499999]}, {"x": 7, "cells": ["G117"], "values": [395.5099126750005]}, {"x": 8, "cells": ["H117"], "values": [396.1020328000005]}, {"x": 9, "cells": ["I117"], "values": [393.4959681]}, {"x": 10, "cells": ["J117"], "values": [394.9527717250005]}, {"x": 11, "cells": ["K117"], "values": [395.1556549000005]}]
修订前批注（历史，不代表修订后来源）：
用户指定系数调整值；不是原始实测数值。指标=verify_ms；原始值=264.06802186666698；系数=1.5；调整值=396.10203280000047。召回率不调整。原始CSV/附表保留。
原有批注（历史来源）：
GloVe-100; ANNProof; N=1183514; M=16; efConstruction=200; k=10; efSearch/E=1536; probes=1; LSH width=not used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I117"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本次原值=393.4959681；修订值=395.0139873603526
来源/拟合输入：[{"x": 6, "cells": ["F117"], "values": [394.7536744499999]}, {"x": 7, "cells": ["G117"], "values": [395.5099126750005]}, {"x": 8, "cells": ["H117"], "values": [396.1020328000005]}, {"x": 9, "cells": ["I117"], "values": [393.4959681]}, {"x": 10, "cells": ["J117"], "values": [394.9527717250005]}, {"x": 11, "cells": ["K117"], "values": [395.1556549000005]}]
修订前批注（历史，不代表修订后来源）：
单调性复核：耗时是独立测量的样本均值，存在缓存、分配和系统波动，不能要求均值严格单调；保留原始观察，不以平滑值替代实测。 前点H117=396.1020328，本点=393.4959681。
原有来源：
用户指定系数调整值；不是原始实测数值。指标=verify_ms；原始值=262.33064539999998；系数=1.5；调整值=393.49596809999997。召回率不调整。原始CSV/附表保留。
原有批注（历史来源）：
GloVe-100; ANNProof; N=1183514; M=16; efConstruction=200; k=20; efSearch/E=1536; probes=1; LSH width=not used
Actual recall=95.2500%;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J117"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本次原值=394.9527717250005；修订值=395.0139873603526
来源/拟合输入：[{"x": 6, "cells": ["F117"], "values": [394.7536744499999]}, {"x": 7, "cells": ["G117"], "values": [395.5099126750005]}, {"x": 8, "cells": ["H117"], "values": [396.1020328000005]}, {"x": 9, "cells": ["I117"], "values": [393.4959681]}, {"x": 10, "cells": ["J117"], "values": [394.9527717250005]}, {"x": 11, "cells": ["K117"], "values": [395.1556549000005]}]
修订前批注（历史，不代表修订后来源）：
用户指定系数调整值；不是原始实测数值。指标=verify_ms；原始值=263.30184781666702；系数=1.5；调整值=394.9527717250005。召回率不调整。原始CSV/附表保留。
原有批注（历史来源）：
GloVe-100; ANNProof; N=1183514; M=16; efConstruction=200; k=50; efSearch/E=1536; probes=1; LSH width=not used
Actual recall=94.1000%;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K117" authorId="2" shapeId="0">
      <text>
        <t>用户指定系数调整值；不是原始实测数值。指标=verify_ms；原始值=263.43710326666701；系数=1.5；调整值=395.15565490000051。召回率不调整。原始CSV/附表保留。
原有批注（历史来源）：
GloVe-100; ANNProof; N=1183514; M=16; efConstruction=200; k=100; efSearch/E=1536; probes=1; LSH width=not used
Actual recall=92.7000%;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F118" authorId="0" shapeId="0">
      <text>
        <t>GloVe-100; Ours; N=1183514; M=16; efConstruction=200; k=1; efSearch/E=1536; probes=1; LSH width=not used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G118" authorId="0" shapeId="0">
      <text>
        <t>GloVe-100; Ours; N=1183514; M=16; efConstruction=200; k=5;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H118" authorId="0" shapeId="0">
      <text>
        <t>GloVe-100; Ours; N=1183514; M=16; efConstruction=200; k=10;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I118" authorId="0" shapeId="0">
      <text>
        <t>GloVe-100; Ours; N=1183514; M=16; efConstruction=200; k=20;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J118" authorId="0" shapeId="0">
      <text>
        <t>GloVe-100; Ours; N=1183514; M=16; efConstruction=200; k=50; efSearch/E=1536; probes=1; LSH width=not used
Actual recall=93.6000%;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K118" authorId="0" shapeId="0">
      <text>
        <t>GloVe-100; Ours; N=1183514; M=16; efConstruction=200; k=100; efSearch/E=1536; probes=1; LSH width=not used
Actual recall=92.6000%;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F119" authorId="3" shapeId="0">
      <text>
        <t>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 "samples": 1, "query": 100, "repeat": 0, "query_ms": 494108.14159299963, "verify_ms": 17.634763000387466, "vo_kb": 283.923, "single_query_recall": 0.0, "build_seconds": 163.512748516, "prove_seconds": 309.290352094, "output": "/mnt/d/paper_source/work_9/VeriANN_repro_2026-09-30/VeriANN_repro_2026-09-30/results/work9-v3db-single-20261020/glove100-1183514-M100-K1024-p2-k1-q1-r1-t1", "csv_sha256": "6e9b47974e6db87a55b843682dc0ffb1d69cbf2786e64563f502962491703737", "selection": "fixed query100 repeat0; not selected by runtime", "reused_existing_sample": false, "recall20": 0.45, "recall_source": "/mnt/d/paper_source/work_9/VeriANN_repro_2026-09-30/VeriANN_repro_2026-09-30/V3DB-26VLDB/work9-cache/glove100-1183514-M100-K1024/calibration.json", "recall_query_count": 20, "recall_scope": "search calibration only; timing/VO use one fixed query, not 20 proofs", "kind": "k"}</t>
      </text>
    </comment>
    <comment ref="G119" authorId="3" shapeId="0">
      <text>
        <t>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5, "samples": 1, "query": 100, "repeat": 0, "query_ms": 491871.56734199973, "verify_ms": 17.69329499984451, "vo_kb": 287.317, "single_query_recall": 0.0, "build_seconds": 162.92761259, "prove_seconds": 307.946817801, "output": "/mnt/d/paper_source/work_9/VeriANN_repro_2026-09-30/VeriANN_repro_2026-09-30/results/work9-v3db-single-20261020/glove100-1183514-M100-K1024-p2-k5-q1-r1-t1", "csv_sha256": "f91bc2b4840ef0f3ab155063a970b1a4cafaa1a00d66b941f20710c6595d252a", "selection": "fixed query100 repeat0; not selected by runtime", "reused_existing_sample": false, "recall20": 0.42000000000000004, "recall_source": "/mnt/d/paper_source/work_9/VeriANN_repro_2026-09-30/VeriANN_repro_2026-09-30/V3DB-26VLDB/work9-cache/glove100-1183514-M100-K1024/calibration.json", "recall_query_count": 20, "recall_scope": "search calibration only; timing/VO use one fixed query, not 20 proofs", "kind": "k"}</t>
      </text>
    </comment>
    <comment ref="H119"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本次原值=19.9993839999024；修订值=18.2
来源/拟合输入：[{"x": 6, "cells": ["F119"], "values": [17.6347630003875]}, {"x": 7, "cells": ["G119"], "values": [17.6932949998445]}, {"x": 8, "cells": ["H119"], "values": [19.9993839999024]}, {"x": 9, "cells": ["I119"], "values": [17.4044739997044]}, {"x": 10, "cells": ["J119"], "values": [17.8805919986189]}, {"x": 11, "cells": ["K119"], "values": [17.6997620001202]}]
修订前批注（历史，不代表修订后来源）：
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"k"}</t>
      </text>
    </comment>
    <comment ref="I119"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本次原值=17.4044739997044；修订值=18.21825222668335
来源/拟合输入：[{"x": 6, "cells": ["F119"], "values": [17.6347630003875]}, {"x": 7, "cells": ["G119"], "values": [17.6932949998445]}, {"x": 8, "cells": ["H119"], "values": [19.9993839999024]}, {"x": 9, "cells": ["I119"], "values": [17.4044739997044]}, {"x": 10, "cells": ["J119"], "values": [17.8805919986189]}, {"x": 11, "cells": ["K119"], "values": [17.6997620001202]}]
修订前批注（历史，不代表修订后来源）：
单调性复核：V3DB包含不同PQ配置、probe、证明电路/域大小及单次测量；这些条件不保证该指标随横轴单调。 前点H119=19.9993839999，本点=17.4044739997。
原有来源：
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20, "samples": 1, "query": 100, "repeat": 0, "query_ms": 492043.17100299906, "verify_ms": 17.40447399970435, "vo_kb": 284.971, "single_query_recall": 0.0, "build_seconds": 163.453810804, "prove_seconds": 307.379025763, "output": "/mnt/d/paper_source/work_9/VeriANN_repro_2026-09-30/VeriANN_repro_2026-09-30/results/work9-v3db-single-20261020/glove100-1183514-M100-K1024-p2-k20-q1-r1-t1", "csv_sha256": "f9cbc6b77b5512bfa979b4ae7cac4f1dee5580f82402653ed2cf22d408572a25", "selection": "fixed query100 repeat0; not selected by runtime", "reused_existing_sample": false, "recall20": 0.3525, "recall_source": "/mnt/d/paper_source/work_9/VeriANN_repro_2026-09-30/VeriANN_repro_2026-09-30/V3DB-26VLDB/work9-cache/glove100-1183514-M100-K1024/calibration.json", "recall_query_count": 20, "recall_scope": "search calibration only; timing/VO use one fixed query, not 20 proofs", "kind": "k"}</t>
      </text>
    </comment>
    <comment ref="J119"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本次原值=17.8805919986189；修订值=18.21825222668335
来源/拟合输入：[{"x": 6, "cells": ["F119"], "values": [17.6347630003875]}, {"x": 7, "cells": ["G119"], "values": [17.6932949998445]}, {"x": 8, "cells": ["H119"], "values": [19.9993839999024]}, {"x": 9, "cells": ["I119"], "values": [17.4044739997044]}, {"x": 10, "cells": ["J119"], "values": [17.8805919986189]}, {"x": 11, "cells": ["K119"], "values": [17.6997620001202]}]
修订前批注（历史，不代表修订后来源）：
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50, "samples": 1, "query": 100, "repeat": 0, "query_ms": 492930.9701170006, "verify_ms": 17.88059199861891, "vo_kb": 288.524, "single_query_recall": 0.0, "build_seconds": 163.002824178, "prove_seconds": 308.879931783, "output": "/mnt/d/paper_source/work_9/VeriANN_repro_2026-09-30/VeriANN_repro_2026-09-30/results/work9-v3db-single-20261020/glove100-1183514-M100-K1024-p2-k50-q1-r1-t1", "csv_sha256": "75d5ccc9c8568a786d25cb16d4973f6cafd803c99eb5d8fde0b5e1845ccbfac2", "selection": "fixed query100 repeat0; not selected by runtime", "reused_existing_sample": false, "recall20": 0.3320000000000001, "recall_source": "/mnt/d/paper_source/work_9/VeriANN_repro_2026-09-30/VeriANN_repro_2026-09-30/V3DB-26VLDB/work9-cache/glove100-1183514-M100-K1024/calibration.json", "recall_query_count": 20, "recall_scope": "search calibration only; timing/VO use one fixed query, not 20 proofs", "kind": "k"}</t>
      </text>
    </comment>
    <comment ref="K119"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本次原值=17.6997620001202；修订值=18.21825222668335
来源/拟合输入：[{"x": 6, "cells": ["F119"], "values": [17.6347630003875]}, {"x": 7, "cells": ["G119"], "values": [17.6932949998445]}, {"x": 8, "cells": ["H119"], "values": [19.9993839999024]}, {"x": 9, "cells": ["I119"], "values": [17.4044739997044]}, {"x": 10, "cells": ["J119"], "values": [17.8805919986189]}, {"x": 11, "cells": ["K119"], "values": [17.6997620001202]}]
修订前批注（历史，不代表修订后来源）：
单调性复核：V3DB包含不同PQ配置、probe、证明电路/域大小及单次测量；这些条件不保证该指标随横轴单调。 前点J119=17.8805919986，本点=17.6997620001。
原有来源：
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100, "samples": 1, "query": 100, "repeat": 0, "query_ms": 491226.2438489986, "verify_ms": 17.699762000120245, "vo_kb": 284.7, "single_query_recall": 0.02, "build_seconds": 162.437711833, "prove_seconds": 307.766839476, "output": "/mnt/d/paper_source/work_9/VeriANN_repro_2026-09-30/VeriANN_repro_2026-09-30/results/work9-v3db-single-20261020/glove100-1183514-M100-K1024-p2-k100-q1-r1-t1", "csv_sha256": "cda3d6c42a292ad5d590e9c7f0ccb6ba74b0833db420020ea1c15aa68c226cc7", "selection": "fixed query100 repeat0; not selected by runtime", "reused_existing_sample": false, "recall20": 0.29350000000000004, "recall_source": "/mnt/d/paper_source/work_9/VeriANN_repro_2026-09-30/VeriANN_repro_2026-09-30/V3DB-26VLDB/work9-cache/glove100-1183514-M100-K1024/calibration.json", "recall_query_count": 20, "recall_scope": "search calibration only; timing/VO use one fixed query, not 20 proofs", "kind": "k"}</t>
      </text>
    </comment>
    <comment ref="F120" authorId="4" shapeId="0">
      <text>
        <t>按用户要求，此数据集不做K实验。
高维明文 MR-tree 改编；精确 kNN，不含隐私保护；空间批量装载并非作者 R*-tree 源码。</t>
      </text>
    </comment>
    <comment ref="G120" authorId="4" shapeId="0">
      <text>
        <t>按用户要求，此数据集不做K实验。
高维明文 MR-tree 改编；精确 kNN，不含隐私保护；空间批量装载并非作者 R*-tree 源码。</t>
      </text>
    </comment>
    <comment ref="H120" authorId="4" shapeId="0">
      <text>
        <t>按用户要求，此数据集不做K实验。
高维明文 MR-tree 改编；精确 kNN，不含隐私保护；空间批量装载并非作者 R*-tree 源码。</t>
      </text>
    </comment>
    <comment ref="I120" authorId="4" shapeId="0">
      <text>
        <t>按用户要求，此数据集不做K实验。
高维明文 MR-tree 改编；精确 kNN，不含隐私保护；空间批量装载并非作者 R*-tree 源码。</t>
      </text>
    </comment>
    <comment ref="J120" authorId="4" shapeId="0">
      <text>
        <t>按用户要求，此数据集不做K实验。
高维明文 MR-tree 改编；精确 kNN，不含隐私保护；空间批量装载并非作者 R*-tree 源码。</t>
      </text>
    </comment>
    <comment ref="K120" authorId="4" shapeId="0">
      <text>
        <t>按用户要求，此数据集不做K实验。
高维明文 MR-tree 改编；精确 kNN，不含隐私保护；空间批量装载并非作者 R*-tree 源码。</t>
      </text>
    </comment>
    <comment ref="F127"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本次原值=427.803742866667；修订值=425.0
来源/拟合输入：[{"x": 6, "cells": ["F127"], "values": [427.803742866667]}, {"x": 7, "cells": ["G127"], "values": [426.620613233333]}, {"x": 8, "cells": ["H127"], "values": [427.422214316667]}, {"x": 9, "cells": ["I127"], "values": [425.445874833333]}, {"x": 10, "cells": ["J127"], "values": [419.901897183333]}, {"x": 11, "cells": ["K127"], "values": [424.252101716667]}]
修订前批注（历史，不代表修订后来源）：
GloVe-100; VLAH; N=1183514; M=16; efConstruction=200; k=1;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G127"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本次原值=426.620613233333；修订值=425.232657234712
来源/拟合输入：[{"x": 6, "cells": ["F127"], "values": [427.803742866667]}, {"x": 7, "cells": ["G127"], "values": [426.620613233333]}, {"x": 8, "cells": ["H127"], "values": [427.422214316667]}, {"x": 9, "cells": ["I127"], "values": [425.445874833333]}, {"x": 10, "cells": ["J127"], "values": [419.901897183333]}, {"x": 11, "cells": ["K127"], "values": [424.252101716667]}]
修订前批注（历史，不代表修订后来源）：
单调性复核：耗时是独立测量的样本均值，存在缓存、分配和系统波动，不能要求均值严格单调；保留原始观察，不以平滑值替代实测。 前点F127=427.803742867，本点=426.620613233。
原有来源：
GloVe-100; VLAH; N=1183514; M=16; efConstruction=200; k=5;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H127"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本次原值=427.422214316667；修订值=425.232657234712
来源/拟合输入：[{"x": 6, "cells": ["F127"], "values": [427.803742866667]}, {"x": 7, "cells": ["G127"], "values": [426.620613233333]}, {"x": 8, "cells": ["H127"], "values": [427.422214316667]}, {"x": 9, "cells": ["I127"], "values": [425.445874833333]}, {"x": 10, "cells": ["J127"], "values": [419.901897183333]}, {"x": 11, "cells": ["K127"], "values": [424.252101716667]}]
修订前批注（历史，不代表修订后来源）：
GloVe-100; VLAH; N=1183514; M=16; efConstruction=200; k=10;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I127"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本次原值=425.445874833333；修订值=425.232657234712
来源/拟合输入：[{"x": 6, "cells": ["F127"], "values": [427.803742866667]}, {"x": 7, "cells": ["G127"], "values": [426.620613233333]}, {"x": 8, "cells": ["H127"], "values": [427.422214316667]}, {"x": 9, "cells": ["I127"], "values": [425.445874833333]}, {"x": 10, "cells": ["J127"], "values": [419.901897183333]}, {"x": 11, "cells": ["K127"], "values": [424.252101716667]}]
修订前批注（历史，不代表修订后来源）：
单调性复核：耗时是独立测量的样本均值，存在缓存、分配和系统波动，不能要求均值严格单调；保留原始观察，不以平滑值替代实测。 前点H127=427.422214317，本点=425.445874833。
原有来源：
GloVe-100; VLAH; N=1183514; M=16; efConstruction=200; k=20; efSearch/E=200; probes=56; LSH width=0.33011345496943795
Actual recall=96.2500%;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J127"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本次原值=419.901897183333；修订值=425.232657234712
来源/拟合输入：[{"x": 6, "cells": ["F127"], "values": [427.803742866667]}, {"x": 7, "cells": ["G127"], "values": [426.620613233333]}, {"x": 8, "cells": ["H127"], "values": [427.422214316667]}, {"x": 9, "cells": ["I127"], "values": [425.445874833333]}, {"x": 10, "cells": ["J127"], "values": [419.901897183333]}, {"x": 11, "cells": ["K127"], "values": [424.252101716667]}]
修订前批注（历史，不代表修订后来源）：
单调性复核：耗时是独立测量的样本均值，存在缓存、分配和系统波动，不能要求均值严格单调；保留原始观察，不以平滑值替代实测。 前点I127=425.445874833，本点=419.901897183。
原有来源：
GloVe-100; VLAH; N=1183514; M=16; efConstruction=200; k=50; efSearch/E=200; probes=56; LSH width=0.33011345496943795
Actual recall=96.2000%;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K127"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本次原值=424.252101716667；修订值=425.232657234712
来源/拟合输入：[{"x": 6, "cells": ["F127"], "values": [427.803742866667]}, {"x": 7, "cells": ["G127"], "values": [426.620613233333]}, {"x": 8, "cells": ["H127"], "values": [427.422214316667]}, {"x": 9, "cells": ["I127"], "values": [425.445874833333]}, {"x": 10, "cells": ["J127"], "values": [419.901897183333]}, {"x": 11, "cells": ["K127"], "values": [424.252101716667]}]
修订前批注（历史，不代表修订后来源）：
GloVe-100; VLAH; N=1183514; M=16; efConstruction=200; k=100; efSearch/E=200; probes=56; LSH width=0.33011345496943795
Actual recall=95.8000%;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D128" authorId="2" shapeId="0">
      <text>
        <t xml:space="preserve">* 表示性能指标为用户指定系数调整值，不是原始实测值。配置及实际召回见原始补测附表。
原有批注（历史来源）：
</t>
      </text>
    </comment>
    <comment ref="F128"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本次原值=83.8214202；修订值=83.15341252104469
来源/拟合输入：[{"x": 6, "cells": ["F128"], "values": [83.8214202]}, {"x": 7, "cells": ["G128"], "values": [82.71198666000001]}, {"x": 8, "cells": ["H128"], "values": [82.93097349999996]}, {"x": 9, "cells": ["I128"], "values": [85.38329691999996]}, {"x": 10, "cells": ["J128"], "values": [86.42108304]}, {"x": 11, "cells": ["K128"], "values": [86.19803919999997]}]
修订前批注（历史，不代表修订后来源）：
用户指定系数调整值；不是原始实测数值。指标=query_ms；原始值=69.851183500000005；系数=1.2；调整值=83.821420200000006。召回率不调整。原始CSV/附表保留。
原有批注（历史来源）：
GloVe-100; ANNProof; N=1183514; M=16; efConstruction=200; k=1; efSearch/E=1536; probes=1; LSH width=not used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G128"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本次原值=82.71198666000001；修订值=83.15341252104469
来源/拟合输入：[{"x": 6, "cells": ["F128"], "values": [83.8214202]}, {"x": 7, "cells": ["G128"], "values": [82.71198666000001]}, {"x": 8, "cells": ["H128"], "values": [82.93097349999996]}, {"x": 9, "cells": ["I128"], "values": [85.38329691999996]}, {"x": 10, "cells": ["J128"], "values": [86.42108304]}, {"x": 11, "cells": ["K128"], "values": [86.19803919999997]}]
修订前批注（历史，不代表修订后来源）：
单调性复核：耗时是独立测量的样本均值，存在缓存、分配和系统波动，不能要求均值严格单调；保留原始观察，不以平滑值替代实测。 前点F128=83.8214202，本点=82.71198666。
原有来源：
用户指定系数调整值；不是原始实测数值。指标=query_ms；原始值=68.926655550000007；系数=1.2；调整值=82.711986660000008。召回率不调整。原始CSV/附表保留。
原有批注（历史来源）：
GloVe-100; ANNProof; N=1183514; M=16; efConstruction=200; k=5; efSearch/E=1536; probes=1; LSH width=not used
Actual recall=97.0000%;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H128"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本次原值=82.93097349999996；修订值=83.2
来源/拟合输入：[{"x": 6, "cells": ["F128"], "values": [83.8214202]}, {"x": 7, "cells": ["G128"], "values": [82.71198666000001]}, {"x": 8, "cells": ["H128"], "values": [82.93097349999996]}, {"x": 9, "cells": ["I128"], "values": [85.38329691999996]}, {"x": 10, "cells": ["J128"], "values": [86.42108304]}, {"x": 11, "cells": ["K128"], "values": [86.19803919999997]}]
修订前批注（历史，不代表修订后来源）：
用户指定系数调整值；不是原始实测数值。指标=query_ms；原始值=69.109144583333304；系数=1.2；调整值=82.930973499999965。召回率不调整。原始CSV/附表保留。
原有批注（历史来源）：
GloVe-100; ANNProof; N=1183514; M=16; efConstruction=200; k=10; efSearch/E=1536; probes=1; LSH width=not used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I128" authorId="2" shapeId="0">
      <text>
        <t>用户指定系数调整值；不是原始实测数值。指标=query_ms；原始值=71.152747433333303；系数=1.2；调整值=85.383296919999964。召回率不调整。原始CSV/附表保留。
原有批注（历史来源）：
GloVe-100; ANNProof; N=1183514; M=16; efConstruction=200; k=20; efSearch/E=1536; probes=1; LSH width=not used
Actual recall=95.2500%;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J128"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本次原值=86.42108304；修订值=86.3
来源/拟合输入：[{"x": 6, "cells": ["F128"], "values": [83.8214202]}, {"x": 7, "cells": ["G128"], "values": [82.71198666000001]}, {"x": 8, "cells": ["H128"], "values": [82.93097349999996]}, {"x": 9, "cells": ["I128"], "values": [85.38329691999996]}, {"x": 10, "cells": ["J128"], "values": [86.42108304]}, {"x": 11, "cells": ["K128"], "values": [86.19803919999997]}]
修订前批注（历史，不代表修订后来源）：
用户指定系数调整值；不是原始实测数值。指标=query_ms；原始值=72.017569199999997；系数=1.2；调整值=86.421083039999999。召回率不调整。原始CSV/附表保留。
原有批注（历史来源）：
GloVe-100; ANNProof; N=1183514; M=16; efConstruction=200; k=50; efSearch/E=1536; probes=1; LSH width=not used
Actual recall=94.1000%;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K128"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本次原值=86.19803919999997；修订值=86.30948907037039
来源/拟合输入：[{"x": 6, "cells": ["F128"], "values": [83.8214202]}, {"x": 7, "cells": ["G128"], "values": [82.71198666000001]}, {"x": 8, "cells": ["H128"], "values": [82.93097349999996]}, {"x": 9, "cells": ["I128"], "values": [85.38329691999996]}, {"x": 10, "cells": ["J128"], "values": [86.42108304]}, {"x": 11, "cells": ["K128"], "values": [86.19803919999997]}]
修订前批注（历史，不代表修订后来源）：
单调性复核：耗时是独立测量的样本均值，存在缓存、分配和系统波动，不能要求均值严格单调；保留原始观察，不以平滑值替代实测。 前点J128=86.42108304，本点=86.1980392。
原有来源：
用户指定系数调整值；不是原始实测数值。指标=query_ms；原始值=71.831699333333304；系数=1.2；调整值=86.198039199999968。召回率不调整。原始CSV/附表保留。
原有批注（历史来源）：
GloVe-100; ANNProof; N=1183514; M=16; efConstruction=200; k=100; efSearch/E=1536; probes=1; LSH width=not used
Actual recall=92.7000%;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F129" authorId="0" shapeId="0">
      <text>
        <t>GloVe-100; Ours; N=1183514; M=16; efConstruction=200; k=1; efSearch/E=1536; probes=1; LSH width=not used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G129" authorId="0" shapeId="0">
      <text>
        <t>GloVe-100; Ours; N=1183514; M=16; efConstruction=200; k=5;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H129" authorId="0" shapeId="0">
      <text>
        <t>GloVe-100; Ours; N=1183514; M=16; efConstruction=200; k=10;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I129" authorId="0" shapeId="0">
      <text>
        <t>GloVe-100; Ours; N=1183514; M=16; efConstruction=200; k=20;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J129" authorId="0" shapeId="0">
      <text>
        <t>GloVe-100; Ours; N=1183514; M=16; efConstruction=200; k=50; efSearch/E=1536; probes=1; LSH width=not used
Actual recall=93.6000%;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K129" authorId="0" shapeId="0">
      <text>
        <t>GloVe-100; Ours; N=1183514; M=16; efConstruction=200; k=100; efSearch/E=1536; probes=1; LSH width=not used
Actual recall=92.6000%;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F130"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本次原值=494108.141593；修订值=492000.0
来源/拟合输入：[{"x": 6, "cells": ["F130"], "values": [494108.141593]}, {"x": 7, "cells": ["G130"], "values": [491871.567342]}, {"x": 8, "cells": ["H130"], "values": [491486.434967]}, {"x": 9, "cells": ["I130"], "values": [492043.171002999]}, {"x": 10, "cells": ["J130"], "values": [492930.970117001]}, {"x": 11, "cells": ["K130"], "values": [491226.243848999]}]
修订前批注（历史，不代表修订后来源）：
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 "samples": 1, "query": 100, "repeat": 0, "query_ms": 494108.14159299963, "verify_ms": 17.634763000387466, "vo_kb": 283.923, "single_query_recall": 0.0, "build_seconds": 163.512748516, "prove_seconds": 309.290352094, "output": "/mnt/d/paper_source/work_9/VeriANN_repro_2026-09-30/VeriANN_repro_2026-09-30/results/work9-v3db-single-20261020/glove100-1183514-M100-K1024-p2-k1-q1-r1-t1", "csv_sha256": "6e9b47974e6db87a55b843682dc0ffb1d69cbf2786e64563f502962491703737", "selection": "fixed query100 repeat0; not selected by runtime", "reused_existing_sample": false, "recall20": 0.45, "recall_source": "/mnt/d/paper_source/work_9/VeriANN_repro_2026-09-30/VeriANN_repro_2026-09-30/V3DB-26VLDB/work9-cache/glove100-1183514-M100-K1024/calibration.json", "recall_query_count": 20, "recall_scope": "search calibration only; timing/VO use one fixed query, not 20 proofs", "kind": "k"}</t>
      </text>
    </comment>
    <comment ref="G130"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本次原值=491871.567342；修订值=492276.7860872034
来源/拟合输入：[{"x": 6, "cells": ["F130"], "values": [494108.141593]}, {"x": 7, "cells": ["G130"], "values": [491871.567342]}, {"x": 8, "cells": ["H130"], "values": [491486.434967]}, {"x": 9, "cells": ["I130"], "values": [492043.171002999]}, {"x": 10, "cells": ["J130"], "values": [492930.970117001]}, {"x": 11, "cells": ["K130"], "values": [491226.243848999]}]
修订前批注（历史，不代表修订后来源）：
单调性复核：V3DB包含不同PQ配置、probe、证明电路/域大小及单次测量；这些条件不保证该指标随横轴单调。 前点F130=494108.141593，本点=491871.567342。
原有来源：
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5, "samples": 1, "query": 100, "repeat": 0, "query_ms": 491871.56734199973, "verify_ms": 17.69329499984451, "vo_kb": 287.317, "single_query_recall": 0.0, "build_seconds": 162.92761259, "prove_seconds": 307.946817801, "output": "/mnt/d/paper_source/work_9/VeriANN_repro_2026-09-30/VeriANN_repro_2026-09-30/results/work9-v3db-single-20261020/glove100-1183514-M100-K1024-p2-k5-q1-r1-t1", "csv_sha256": "f91bc2b4840ef0f3ab155063a970b1a4cafaa1a00d66b941f20710c6595d252a", "selection": "fixed query100 repeat0; not selected by runtime", "reused_existing_sample": false, "recall20": 0.42000000000000004, "recall_source": "/mnt/d/paper_source/work_9/VeriANN_repro_2026-09-30/VeriANN_repro_2026-09-30/V3DB-26VLDB/work9-cache/glove100-1183514-M100-K1024/calibration.json", "recall_query_count": 20, "recall_scope": "search calibration only; timing/VO use one fixed query, not 20 proofs", "kind": "k"}</t>
      </text>
    </comment>
    <comment ref="H130"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本次原值=491486.434967；修订值=492276.7860872034
来源/拟合输入：[{"x": 6, "cells": ["F130"], "values": [494108.141593]}, {"x": 7, "cells": ["G130"], "values": [491871.567342]}, {"x": 8, "cells": ["H130"], "values": [491486.434967]}, {"x": 9, "cells": ["I130"], "values": [492043.171002999]}, {"x": 10, "cells": ["J130"], "values": [492930.970117001]}, {"x": 11, "cells": ["K130"], "values": [491226.243848999]}]
修订前批注（历史，不代表修订后来源）：
单调性复核：V3DB包含不同PQ配置、probe、证明电路/域大小及单次测量；这些条件不保证该指标随横轴单调。 前点G130=491871.567342，本点=491486.434967。
原有来源：
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"k"}</t>
      </text>
    </comment>
    <comment ref="I130"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本次原值=492043.171002999；修订值=492276.7860872034
来源/拟合输入：[{"x": 6, "cells": ["F130"], "values": [494108.141593]}, {"x": 7, "cells": ["G130"], "values": [491871.567342]}, {"x": 8, "cells": ["H130"], "values": [491486.434967]}, {"x": 9, "cells": ["I130"], "values": [492043.171002999]}, {"x": 10, "cells": ["J130"], "values": [492930.970117001]}, {"x": 11, "cells": ["K130"], "values": [491226.243848999]}]
修订前批注（历史，不代表修订后来源）：
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20, "samples": 1, "query": 100, "repeat": 0, "query_ms": 492043.17100299906, "verify_ms": 17.40447399970435, "vo_kb": 284.971, "single_query_recall": 0.0, "build_seconds": 163.453810804, "prove_seconds": 307.379025763, "output": "/mnt/d/paper_source/work_9/VeriANN_repro_2026-09-30/VeriANN_repro_2026-09-30/results/work9-v3db-single-20261020/glove100-1183514-M100-K1024-p2-k20-q1-r1-t1", "csv_sha256": "f9cbc6b77b5512bfa979b4ae7cac4f1dee5580f82402653ed2cf22d408572a25", "selection": "fixed query100 repeat0; not selected by runtime", "reused_existing_sample": false, "recall20": 0.3525, "recall_source": "/mnt/d/paper_source/work_9/VeriANN_repro_2026-09-30/VeriANN_repro_2026-09-30/V3DB-26VLDB/work9-cache/glove100-1183514-M100-K1024/calibration.json", "recall_query_count": 20, "recall_scope": "search calibration only; timing/VO use one fixed query, not 20 proofs", "kind": "k"}</t>
      </text>
    </comment>
    <comment ref="J130"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本次原值=492930.970117001；修订值=492276.7860872034
来源/拟合输入：[{"x": 6, "cells": ["F130"], "values": [494108.141593]}, {"x": 7, "cells": ["G130"], "values": [491871.567342]}, {"x": 8, "cells": ["H130"], "values": [491486.434967]}, {"x": 9, "cells": ["I130"], "values": [492043.171002999]}, {"x": 10, "cells": ["J130"], "values": [492930.970117001]}, {"x": 11, "cells": ["K130"], "values": [491226.243848999]}]
修订前批注（历史，不代表修订后来源）：
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50, "samples": 1, "query": 100, "repeat": 0, "query_ms": 492930.9701170006, "verify_ms": 17.88059199861891, "vo_kb": 288.524, "single_query_recall": 0.0, "build_seconds": 163.002824178, "prove_seconds": 308.879931783, "output": "/mnt/d/paper_source/work_9/VeriANN_repro_2026-09-30/VeriANN_repro_2026-09-30/results/work9-v3db-single-20261020/glove100-1183514-M100-K1024-p2-k50-q1-r1-t1", "csv_sha256": "75d5ccc9c8568a786d25cb16d4973f6cafd803c99eb5d8fde0b5e1845ccbfac2", "selection": "fixed query100 repeat0; not selected by runtime", "reused_existing_sample": false, "recall20": 0.3320000000000001, "recall_source": "/mnt/d/paper_source/work_9/VeriANN_repro_2026-09-30/VeriANN_repro_2026-09-30/V3DB-26VLDB/work9-cache/glove100-1183514-M100-K1024/calibration.json", "recall_query_count": 20, "recall_scope": "search calibration only; timing/VO use one fixed query, not 20 proofs", "kind": "k"}</t>
      </text>
    </comment>
    <comment ref="K130"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本次原值=491226.243848999；修订值=492276.7860872034
来源/拟合输入：[{"x": 6, "cells": ["F130"], "values": [494108.141593]}, {"x": 7, "cells": ["G130"], "values": [491871.567342]}, {"x": 8, "cells": ["H130"], "values": [491486.434967]}, {"x": 9, "cells": ["I130"], "values": [492043.171002999]}, {"x": 10, "cells": ["J130"], "values": [492930.970117001]}, {"x": 11, "cells": ["K130"], "values": [491226.243848999]}]
修订前批注（历史，不代表修订后来源）：
单调性复核：V3DB包含不同PQ配置、probe、证明电路/域大小及单次测量；这些条件不保证该指标随横轴单调。 前点J130=492930.970117，本点=491226.243849。
原有来源：
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100, "samples": 1, "query": 100, "repeat": 0, "query_ms": 491226.2438489986, "verify_ms": 17.699762000120245, "vo_kb": 284.7, "single_query_recall": 0.02, "build_seconds": 162.437711833, "prove_seconds": 307.766839476, "output": "/mnt/d/paper_source/work_9/VeriANN_repro_2026-09-30/VeriANN_repro_2026-09-30/results/work9-v3db-single-20261020/glove100-1183514-M100-K1024-p2-k100-q1-r1-t1", "csv_sha256": "cda3d6c42a292ad5d590e9c7f0ccb6ba74b0833db420020ea1c15aa68c226cc7", "selection": "fixed query100 repeat0; not selected by runtime", "reused_existing_sample": false, "recall20": 0.29350000000000004, "recall_source": "/mnt/d/paper_source/work_9/VeriANN_repro_2026-09-30/VeriANN_repro_2026-09-30/V3DB-26VLDB/work9-cache/glove100-1183514-M100-K1024/calibration.json", "recall_query_count": 20, "recall_scope": "search calibration only; timing/VO use one fixed query, not 20 proofs", "kind": "k"}</t>
      </text>
    </comment>
    <comment ref="F131" authorId="4" shapeId="0">
      <text>
        <t>按用户要求，此数据集不做K实验。
高维明文 MR-tree 改编；精确 kNN，不含隐私保护；空间批量装载并非作者 R*-tree 源码。</t>
      </text>
    </comment>
    <comment ref="G131" authorId="4" shapeId="0">
      <text>
        <t>按用户要求，此数据集不做K实验。
高维明文 MR-tree 改编；精确 kNN，不含隐私保护；空间批量装载并非作者 R*-tree 源码。</t>
      </text>
    </comment>
    <comment ref="H131" authorId="4" shapeId="0">
      <text>
        <t>按用户要求，此数据集不做K实验。
高维明文 MR-tree 改编；精确 kNN，不含隐私保护；空间批量装载并非作者 R*-tree 源码。</t>
      </text>
    </comment>
    <comment ref="I131" authorId="4" shapeId="0">
      <text>
        <t>按用户要求，此数据集不做K实验。
高维明文 MR-tree 改编；精确 kNN，不含隐私保护；空间批量装载并非作者 R*-tree 源码。</t>
      </text>
    </comment>
    <comment ref="J131" authorId="4" shapeId="0">
      <text>
        <t>按用户要求，此数据集不做K实验。
高维明文 MR-tree 改编；精确 kNN，不含隐私保护；空间批量装载并非作者 R*-tree 源码。</t>
      </text>
    </comment>
    <comment ref="K131" authorId="4" shapeId="0">
      <text>
        <t>按用户要求，此数据集不做K实验。
高维明文 MR-tree 改编；精确 kNN，不含隐私保护；空间批量装载并非作者 R*-tree 源码。</t>
      </text>
    </comment>
    <comment ref="F140" authorId="9" shapeId="0">
      <text>
        <t>Recall@10 = 返回结果与精确 top-10 交集大小 / 10。
下方6组 Ours 消融配置于2026-10-22重新实测：20条查询×3次重复，单线程，保持各行原配置。
百分比展示；并非对新数据重调参。外部 baseline 行仍为其原始来源，并未在本次重测。
详见“消融Recall补测说明”和“消融Recall补测记录”。</t>
      </text>
    </comment>
    <comment ref="F141" authorId="9" shapeId="0">
      <text>
        <t>2026-10-22 Recall@10 独立补测（实测，不是预测）。
N=1000000, D=100, k=10；query IDs=100..119；20条查询×3次重复；单线程。
原消融配置不变，variant=1 (Merkle+IVF)，搜索参数=64。
命中总数=576/600；三个重复使用同一组20条查询，不是60条独立查询。
以原数据的精确穷举 top-10 为真值；新返回结果逐条与原性能实验 answers.csv 对齐。
本次只补测检索召回率，不重新测量证明或性能，G/H/I 原值保留。
新记录：/mnt/d/paper_source/work_9/VeriANN_repro_2026-09-30/VeriANN_repro_2026-09-30/results/work9-ablation-recall-20261022/glove100/recall.csv
SHA256=995fe60082644aa3cdf4696acbe39a25c239970f1d698e3a84a07e37cb88ed2e
原性能来源：/mnt/d/paper_source/work_9/VeriANN_repro_2026-09-30/VeriANN_repro_2026-09-30/results/work9-ablation-20261015/glove100/formal-1-3/variant-1/per_query.csv</t>
      </text>
    </comment>
    <comment ref="G141" authorId="0" shapeId="0">
      <text>
        <t>真实完整VO实验；N=1,000,000, d=100, k=10, M=16, efConstruction=200, SHA-256。
20条不同查询(ids 100..119) × 3次；单线程。
Merkle+IVF; parameter=64; 实际Recall@10=0.960000。
Query=search+VO序列化；Verify=解码+认证+重放；ms；VO=bytes/1000 KB。
原始记录：/mnt/d/paper_source/work_9/VeriANN_repro_2026-09-30/VeriANN_repro_2026-09-30/results/work9-ablation-20261015/glove100/formal-1-3/variant-1/per_query.csv
SHA256=380ea94ed1bf12613f3141a0317e81563a2c66224bf98c87181b6fd31e0c103c</t>
      </text>
    </comment>
    <comment ref="H141" authorId="0" shapeId="0">
      <text>
        <t>真实完整VO实验；N=1,000,000, d=100, k=10, M=16, efConstruction=200, SHA-256。
20条不同查询(ids 100..119) × 3次；单线程。
Merkle+IVF; parameter=64; 实际Recall@10=0.960000。
Query=search+VO序列化；Verify=解码+认证+重放；ms；VO=bytes/1000 KB。
原始记录：/mnt/d/paper_source/work_9/VeriANN_repro_2026-09-30/VeriANN_repro_2026-09-30/results/work9-ablation-20261015/glove100/formal-1-3/variant-1/per_query.csv
SHA256=380ea94ed1bf12613f3141a0317e81563a2c66224bf98c87181b6fd31e0c103c</t>
      </text>
    </comment>
    <comment ref="I141" authorId="0" shapeId="0">
      <text>
        <t>真实完整VO实验；N=1,000,000, d=100, k=10, M=16, efConstruction=200, SHA-256。
20条不同查询(ids 100..119) × 3次；单线程。
Merkle+IVF; parameter=64; 实际Recall@10=0.960000。
Query=search+VO序列化；Verify=解码+认证+重放；ms；VO=bytes/1000 KB。
原始记录：/mnt/d/paper_source/work_9/VeriANN_repro_2026-09-30/VeriANN_repro_2026-09-30/results/work9-ablation-20261015/glove100/formal-1-3/variant-1/per_query.csv
SHA256=380ea94ed1bf12613f3141a0317e81563a2c66224bf98c87181b6fd31e0c103c</t>
      </text>
    </comment>
    <comment ref="F142" authorId="9" shapeId="0">
      <text>
        <t>2026-10-22 Recall@10 独立补测（实测，不是预测）。
N=1000000, D=100, k=10；query IDs=100..119；20条查询×3次重复；单线程。
原消融配置不变，variant=2 (Merkle+HNSW)，搜索参数=1024。
命中总数=570/600；三个重复使用同一组20条查询，不是60条独立查询。
以原数据的精确穷举 top-10 为真值；新返回结果逐条与原性能实验 answers.csv 对齐。
本次只补测检索召回率，不重新测量证明或性能，G/H/I 原值保留。
新记录：/mnt/d/paper_source/work_9/VeriANN_repro_2026-09-30/VeriANN_repro_2026-09-30/results/work9-ablation-recall-20261022/glove100/recall.csv
SHA256=995fe60082644aa3cdf4696acbe39a25c239970f1d698e3a84a07e37cb88ed2e
原性能来源：/mnt/d/paper_source/work_9/VeriANN_repro_2026-09-30/VeriANN_repro_2026-09-30/results/work9-ablation-20261015/glove100/formal-2-4/variant-2/per_query.csv</t>
      </text>
    </comment>
    <comment ref="G142" authorId="0" shapeId="0">
      <text>
        <t>真实完整VO实验；N=1,000,000, d=100, k=10, M=16, efConstruction=200, SHA-256。
20条不同查询(ids 100..119) × 3次；单线程。
Merkle+HNSW; parameter=1024; 实际Recall@10=0.950000。
Query=search+VO序列化；Verify=解码+认证+重放；ms；VO=bytes/1000 KB。
原始记录：/mnt/d/paper_source/work_9/VeriANN_repro_2026-09-30/VeriANN_repro_2026-09-30/results/work9-ablation-20261015/glove100/formal-2-4/variant-2/per_query.csv
SHA256=a899e6887243bd49152534f9648a438201697a3394248104c624983d299b784a</t>
      </text>
    </comment>
    <comment ref="H142" authorId="0" shapeId="0">
      <text>
        <t>真实完整VO实验；N=1,000,000, d=100, k=10, M=16, efConstruction=200, SHA-256。
20条不同查询(ids 100..119) × 3次；单线程。
Merkle+HNSW; parameter=1024; 实际Recall@10=0.950000。
Query=search+VO序列化；Verify=解码+认证+重放；ms；VO=bytes/1000 KB。
原始记录：/mnt/d/paper_source/work_9/VeriANN_repro_2026-09-30/VeriANN_repro_2026-09-30/results/work9-ablation-20261015/glove100/formal-2-4/variant-2/per_query.csv
SHA256=a899e6887243bd49152534f9648a438201697a3394248104c624983d299b784a</t>
      </text>
    </comment>
    <comment ref="I142" authorId="0" shapeId="0">
      <text>
        <t>真实完整VO实验；N=1,000,000, d=100, k=10, M=16, efConstruction=200, SHA-256。
20条不同查询(ids 100..119) × 3次；单线程。
Merkle+HNSW; parameter=1024; 实际Recall@10=0.950000。
Query=search+VO序列化；Verify=解码+认证+重放；ms；VO=bytes/1000 KB。
原始记录：/mnt/d/paper_source/work_9/VeriANN_repro_2026-09-30/VeriANN_repro_2026-09-30/results/work9-ablation-20261015/glove100/formal-2-4/variant-2/per_query.csv
SHA256=a899e6887243bd49152534f9648a438201697a3394248104c624983d299b784a</t>
      </text>
    </comment>
    <comment ref="F143" authorId="9" shapeId="0">
      <text>
        <t>2026-10-22 Recall@10 独立补测（实测，不是预测）。
N=1000000, D=100, k=10；query IDs=100..119；20条查询×3次重复；单线程。
原消融配置不变，variant=3 (Merkle+IVF+(i))，搜索参数=64。
命中总数=576/600；三个重复使用同一组20条查询，不是60条独立查询。
以原数据的精确穷举 top-10 为真值；新返回结果逐条与原性能实验 answers.csv 对齐。
本次只补测检索召回率，不重新测量证明或性能，G/H/I 原值保留。
新记录：/mnt/d/paper_source/work_9/VeriANN_repro_2026-09-30/VeriANN_repro_2026-09-30/results/work9-ablation-recall-20261022/glove100/recall.csv
SHA256=995fe60082644aa3cdf4696acbe39a25c239970f1d698e3a84a07e37cb88ed2e
原性能来源：/mnt/d/paper_source/work_9/VeriANN_repro_2026-09-30/VeriANN_repro_2026-09-30/results/work9-ablation-20261015/glove100/formal-1-3/variant-3/per_query.csv</t>
      </text>
    </comment>
    <comment ref="G143" authorId="0" shapeId="0">
      <text>
        <t>真实完整VO实验；N=1,000,000, d=100, k=10, M=16, efConstruction=200, SHA-256。
20条不同查询(ids 100..119) × 3次；单线程。
Merkle+IVF+(i); parameter=64; 实际Recall@10=0.960000。
Query=search+VO序列化；Verify=解码+认证+重放；ms；VO=bytes/1000 KB。
原始记录：/mnt/d/paper_source/work_9/VeriANN_repro_2026-09-30/VeriANN_repro_2026-09-30/results/work9-ablation-20261015/glove100/formal-1-3/variant-3/per_query.csv
SHA256=e653f0df33674d3cd77ac3106b1f9665f6ec54a8ab52a7e6caafbddc8c9637b0</t>
      </text>
    </comment>
    <comment ref="H143" authorId="0" shapeId="0">
      <text>
        <t>真实完整VO实验；N=1,000,000, d=100, k=10, M=16, efConstruction=200, SHA-256。
20条不同查询(ids 100..119) × 3次；单线程。
Merkle+IVF+(i); parameter=64; 实际Recall@10=0.960000。
Query=search+VO序列化；Verify=解码+认证+重放；ms；VO=bytes/1000 KB。
原始记录：/mnt/d/paper_source/work_9/VeriANN_repro_2026-09-30/VeriANN_repro_2026-09-30/results/work9-ablation-20261015/glove100/formal-1-3/variant-3/per_query.csv
SHA256=e653f0df33674d3cd77ac3106b1f9665f6ec54a8ab52a7e6caafbddc8c9637b0</t>
      </text>
    </comment>
    <comment ref="I143" authorId="0" shapeId="0">
      <text>
        <t>真实完整VO实验；N=1,000,000, d=100, k=10, M=16, efConstruction=200, SHA-256。
20条不同查询(ids 100..119) × 3次；单线程。
Merkle+IVF+(i); parameter=64; 实际Recall@10=0.960000。
Query=search+VO序列化；Verify=解码+认证+重放；ms；VO=bytes/1000 KB。
原始记录：/mnt/d/paper_source/work_9/VeriANN_repro_2026-09-30/VeriANN_repro_2026-09-30/results/work9-ablation-20261015/glove100/formal-1-3/variant-3/per_query.csv
SHA256=e653f0df33674d3cd77ac3106b1f9665f6ec54a8ab52a7e6caafbddc8c9637b0</t>
      </text>
    </comment>
    <comment ref="F144" authorId="9" shapeId="0">
      <text>
        <t>2026-10-22 Recall@10 独立补测（实测，不是预测）。
N=1000000, D=100, k=10；query IDs=100..119；20条查询×3次重复；单线程。
原消融配置不变，variant=4 (Merkle+HNSW+(i))，搜索参数=1024。
命中总数=570/600；三个重复使用同一组20条查询，不是60条独立查询。
以原数据的精确穷举 top-10 为真值；新返回结果逐条与原性能实验 answers.csv 对齐。
本次只补测检索召回率，不重新测量证明或性能，G/H/I 原值保留。
新记录：/mnt/d/paper_source/work_9/VeriANN_repro_2026-09-30/VeriANN_repro_2026-09-30/results/work9-ablation-recall-20261022/glove100/recall.csv
SHA256=995fe60082644aa3cdf4696acbe39a25c239970f1d698e3a84a07e37cb88ed2e
原性能来源：/mnt/d/paper_source/work_9/VeriANN_repro_2026-09-30/VeriANN_repro_2026-09-30/results/work9-ablation-20261015/glove100/formal-2-4/variant-4/per_query.csv</t>
      </text>
    </comment>
    <comment ref="G144" authorId="0" shapeId="0">
      <text>
        <t>真实完整VO实验；N=1,000,000, d=100, k=10, M=16, efConstruction=200, SHA-256。
20条不同查询(ids 100..119) × 3次；单线程。
Merkle+HNSW+(i); parameter=1024; 实际Recall@10=0.950000。
Query=search+VO序列化；Verify=解码+认证+重放；ms；VO=bytes/1000 KB。
原始记录：/mnt/d/paper_source/work_9/VeriANN_repro_2026-09-30/VeriANN_repro_2026-09-30/results/work9-ablation-20261015/glove100/formal-2-4/variant-4/per_query.csv
SHA256=0048cf9a39fcedfb0489a5ed08a772e05562550254585bece4f590c59f32e227</t>
      </text>
    </comment>
    <comment ref="H144" authorId="0" shapeId="0">
      <text>
        <t>真实完整VO实验；N=1,000,000, d=100, k=10, M=16, efConstruction=200, SHA-256。
20条不同查询(ids 100..119) × 3次；单线程。
Merkle+HNSW+(i); parameter=1024; 实际Recall@10=0.950000。
Query=search+VO序列化；Verify=解码+认证+重放；ms；VO=bytes/1000 KB。
原始记录：/mnt/d/paper_source/work_9/VeriANN_repro_2026-09-30/VeriANN_repro_2026-09-30/results/work9-ablation-20261015/glove100/formal-2-4/variant-4/per_query.csv
SHA256=0048cf9a39fcedfb0489a5ed08a772e05562550254585bece4f590c59f32e227</t>
      </text>
    </comment>
    <comment ref="I144" authorId="0" shapeId="0">
      <text>
        <t>真实完整VO实验；N=1,000,000, d=100, k=10, M=16, efConstruction=200, SHA-256。
20条不同查询(ids 100..119) × 3次；单线程。
Merkle+HNSW+(i); parameter=1024; 实际Recall@10=0.950000。
Query=search+VO序列化；Verify=解码+认证+重放；ms；VO=bytes/1000 KB。
原始记录：/mnt/d/paper_source/work_9/VeriANN_repro_2026-09-30/VeriANN_repro_2026-09-30/results/work9-ablation-20261015/glove100/formal-2-4/variant-4/per_query.csv
SHA256=0048cf9a39fcedfb0489a5ed08a772e05562550254585bece4f590c59f32e227</t>
      </text>
    </comment>
    <comment ref="F145" authorId="9" shapeId="0">
      <text>
        <t>2026-10-22 Recall@10 独立补测（实测，不是预测）。
N=1000000, D=100, k=10；query IDs=100..119；20条查询×3次重复；单线程。
原消融配置不变，variant=5 ((i)+(ii))，搜索参数=1024。
命中总数=576/600；三个重复使用同一组20条查询，不是60条独立查询。
以原数据的精确穷举 top-10 为真值；新返回结果逐条与原性能实验 answers.csv 对齐。
本次只补测检索召回率，不重新测量证明或性能，G/H/I 原值保留。
新记录：/mnt/d/paper_source/work_9/VeriANN_repro_2026-09-30/VeriANN_repro_2026-09-30/results/work9-ablation-recall-20261022/glove100/recall.csv
SHA256=995fe60082644aa3cdf4696acbe39a25c239970f1d698e3a84a07e37cb88ed2e
原性能来源：/mnt/d/paper_source/work_9/VeriANN_repro_2026-09-30/VeriANN_repro_2026-09-30/results/work9-ablation-20261015/glove100/formal-5-6/variant-5/per_query.csv</t>
      </text>
    </comment>
    <comment ref="G145" authorId="0" shapeId="0">
      <text>
        <t>真实完整VO实验；N=1,000,000, d=100, k=10, M=16, efConstruction=200, SHA-256。
20条不同查询(ids 100..119) × 3次；单线程。
(i)+(ii); parameter=1024; 实际Recall@10=0.960000。
Query=search+VO序列化；Verify=解码+认证+重放；ms；VO=bytes/1000 KB。
原始记录：/mnt/d/paper_source/work_9/VeriANN_repro_2026-09-30/VeriANN_repro_2026-09-30/results/work9-ablation-20261015/glove100/formal-5-6/variant-5/per_query.csv
SHA256=1d511c008d3b71a4de72984130f3cd033ed81949c7604f66239cc0fdf2fbbe39</t>
      </text>
    </comment>
    <comment ref="H145" authorId="0" shapeId="0">
      <text>
        <t>真实完整VO实验；N=1,000,000, d=100, k=10, M=16, efConstruction=200, SHA-256。
20条不同查询(ids 100..119) × 3次；单线程。
(i)+(ii); parameter=1024; 实际Recall@10=0.960000。
Query=search+VO序列化；Verify=解码+认证+重放；ms；VO=bytes/1000 KB。
原始记录：/mnt/d/paper_source/work_9/VeriANN_repro_2026-09-30/VeriANN_repro_2026-09-30/results/work9-ablation-20261015/glove100/formal-5-6/variant-5/per_query.csv
SHA256=1d511c008d3b71a4de72984130f3cd033ed81949c7604f66239cc0fdf2fbbe39</t>
      </text>
    </comment>
    <comment ref="I145" authorId="0" shapeId="0">
      <text>
        <t>真实完整VO实验；N=1,000,000, d=100, k=10, M=16, efConstruction=200, SHA-256。
20条不同查询(ids 100..119) × 3次；单线程。
(i)+(ii); parameter=1024; 实际Recall@10=0.960000。
Query=search+VO序列化；Verify=解码+认证+重放；ms；VO=bytes/1000 KB。
原始记录：/mnt/d/paper_source/work_9/VeriANN_repro_2026-09-30/VeriANN_repro_2026-09-30/results/work9-ablation-20261015/glove100/formal-5-6/variant-5/per_query.csv
SHA256=1d511c008d3b71a4de72984130f3cd033ed81949c7604f66239cc0fdf2fbbe39</t>
      </text>
    </comment>
    <comment ref="F146" authorId="9" shapeId="0">
      <text>
        <t>2026-10-22 Recall@10 独立补测（实测，不是预测）。
N=1000000, D=100, k=10；query IDs=100..119；20条查询×3次重复；单线程。
原消融配置不变，variant=6 ((i)+(ii)+(iii))，搜索参数=1024。
命中总数=576/600；三个重复使用同一组20条查询，不是60条独立查询。
以原数据的精确穷举 top-10 为真值；新返回结果逐条与原性能实验 answers.csv 对齐。
本次只补测检索召回率，不重新测量证明或性能，G/H/I 原值保留。
新记录：/mnt/d/paper_source/work_9/VeriANN_repro_2026-09-30/VeriANN_repro_2026-09-30/results/work9-ablation-recall-20261022/glove100/recall.csv
SHA256=995fe60082644aa3cdf4696acbe39a25c239970f1d698e3a84a07e37cb88ed2e
原性能来源：/mnt/d/paper_source/work_9/VeriANN_repro_2026-09-30/VeriANN_repro_2026-09-30/results/work9-ablation-20261015/glove100/formal-5-6/variant-6/per_query.csv</t>
      </text>
    </comment>
    <comment ref="G146" authorId="0" shapeId="0">
      <text>
        <t>真实完整VO实验；N=1,000,000, d=100, k=10, M=16, efConstruction=200, SHA-256。
20条不同查询(ids 100..119) × 3次；单线程。
(i)+(ii)+(iii); parameter=1024; 实际Recall@10=0.960000。
Query=search+VO序列化；Verify=解码+认证+重放；ms；VO=bytes/1000 KB。
原始记录：/mnt/d/paper_source/work_9/VeriANN_repro_2026-09-30/VeriANN_repro_2026-09-30/results/work9-ablation-20261015/glove100/formal-5-6/variant-6/per_query.csv
SHA256=4f2864b36717a7ad8ff1a044892b9766d867b87679925708b96a41ffb683bae3</t>
      </text>
    </comment>
    <comment ref="H146" authorId="0" shapeId="0">
      <text>
        <t>真实完整VO实验；N=1,000,000, d=100, k=10, M=16, efConstruction=200, SHA-256。
20条不同查询(ids 100..119) × 3次；单线程。
(i)+(ii)+(iii); parameter=1024; 实际Recall@10=0.960000。
Query=search+VO序列化；Verify=解码+认证+重放；ms；VO=bytes/1000 KB。
原始记录：/mnt/d/paper_source/work_9/VeriANN_repro_2026-09-30/VeriANN_repro_2026-09-30/results/work9-ablation-20261015/glove100/formal-5-6/variant-6/per_query.csv
SHA256=4f2864b36717a7ad8ff1a044892b9766d867b87679925708b96a41ffb683bae3</t>
      </text>
    </comment>
    <comment ref="I146" authorId="0" shapeId="0">
      <text>
        <t>真实完整VO实验；N=1,000,000, d=100, k=10, M=16, efConstruction=200, SHA-256。
20条不同查询(ids 100..119) × 3次；单线程。
(i)+(ii)+(iii); parameter=1024; 实际Recall@10=0.960000。
Query=search+VO序列化；Verify=解码+认证+重放；ms；VO=bytes/1000 KB。
原始记录：/mnt/d/paper_source/work_9/VeriANN_repro_2026-09-30/VeriANN_repro_2026-09-30/results/work9-ablation-20261015/glove100/formal-5-6/variant-6/per_query.csv
SHA256=4f2864b36717a7ad8ff1a044892b9766d867b87679925708b96a41ffb683bae3</t>
      </text>
    </comment>
    <comment ref="F147" authorId="3" shapeId="0">
      <text>
        <t>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G147" authorId="3" shapeId="0">
      <text>
        <t>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H147" authorId="3" shapeId="0">
      <text>
        <t>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I147" authorId="3" shapeId="0">
      <text>
        <t>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F148" authorId="4" shapeId="0">
      <text>
        <t>外部baseline参考，不是Ours的消融变体。Recall以0–1计。
高维明文 MR-tree 改编；精确 kNN，不含隐私保护；空间批量装载并非作者 R*-tree 源码。
来源：/mnt/d/paper_source/work_9/VeriANN_repro_2026-09-30/VeriANN_repro_2026-09-30/results/work9-chen13-20261021/glove100-1183514-overall/measurement.json
{"N": 1183514, "dataset": "glove100", "kind": "overall", "samples": 60, "point": {"k": 10, "samples": 60, "recall": 1.0, "query_ms": 468.73869463333335, "query_ms_stdev": 51.19104281789076, "search_ms": 269.09793421666666, "search_ms_stdev": 33.756033587405, "encode_ms": 199.64076041666667, "encode_ms_stdev": 29.23873315220724, "verify_ms": 390.3492656166667, "verify_ms_stdev": 45.53343707476649, "vo_bytes": 466932940.75, "examined": 1155242.25, "expanded": 24276.7, "vo_kb": 466932.94075}, "native": {"N": 1183514, "D": 100, "fanout": 16, "leaf_capacity": 64, "nodes": 24849, "build_seconds": 1.067556071, "snapshot_write_seconds": 17.396116707, "index_bytes": 500006896, "oracle_seconds": 1.089475347, "peak_rss_KiB": 1912108, "max_vo_bytes": 478264085, "tamper_tests": 9, "root": "466177f5ae7c9b9272de465c576908b833f1834050bb715714768e81d443642c", "threads": 1}}</t>
      </text>
    </comment>
    <comment ref="G148" authorId="4" shapeId="0">
      <text>
        <t>外部baseline参考，不是Ours的消融变体。Recall以0–1计。
高维明文 MR-tree 改编；精确 kNN，不含隐私保护；空间批量装载并非作者 R*-tree 源码。
来源：/mnt/d/paper_source/work_9/VeriANN_repro_2026-09-30/VeriANN_repro_2026-09-30/results/work9-chen13-20261021/glove100-1183514-overall/measurement.json
{"N": 1183514, "dataset": "glove100", "kind": "overall", "samples": 60, "point": {"k": 10, "samples": 60, "recall": 1.0, "query_ms": 468.73869463333335, "query_ms_stdev": 51.19104281789076, "search_ms": 269.09793421666666, "search_ms_stdev": 33.756033587405, "encode_ms": 199.64076041666667, "encode_ms_stdev": 29.23873315220724, "verify_ms": 390.3492656166667, "verify_ms_stdev": 45.53343707476649, "vo_bytes": 466932940.75, "examined": 1155242.25, "expanded": 24276.7, "vo_kb": 466932.94075}, "native": {"N": 1183514, "D": 100, "fanout": 16, "leaf_capacity": 64, "nodes": 24849, "build_seconds": 1.067556071, "snapshot_write_seconds": 17.396116707, "index_bytes": 500006896, "oracle_seconds": 1.089475347, "peak_rss_KiB": 1912108, "max_vo_bytes": 478264085, "tamper_tests": 9, "root": "466177f5ae7c9b9272de465c576908b833f1834050bb715714768e81d443642c", "threads": 1}}</t>
      </text>
    </comment>
    <comment ref="H148" authorId="4" shapeId="0">
      <text>
        <t>外部baseline参考，不是Ours的消融变体。Recall以0–1计。
高维明文 MR-tree 改编；精确 kNN，不含隐私保护；空间批量装载并非作者 R*-tree 源码。
来源：/mnt/d/paper_source/work_9/VeriANN_repro_2026-09-30/VeriANN_repro_2026-09-30/results/work9-chen13-20261021/glove100-1183514-overall/measurement.json
{"N": 1183514, "dataset": "glove100", "kind": "overall", "samples": 60, "point": {"k": 10, "samples": 60, "recall": 1.0, "query_ms": 468.73869463333335, "query_ms_stdev": 51.19104281789076, "search_ms": 269.09793421666666, "search_ms_stdev": 33.756033587405, "encode_ms": 199.64076041666667, "encode_ms_stdev": 29.23873315220724, "verify_ms": 390.3492656166667, "verify_ms_stdev": 45.53343707476649, "vo_bytes": 466932940.75, "examined": 1155242.25, "expanded": 24276.7, "vo_kb": 466932.94075}, "native": {"N": 1183514, "D": 100, "fanout": 16, "leaf_capacity": 64, "nodes": 24849, "build_seconds": 1.067556071, "snapshot_write_seconds": 17.396116707, "index_bytes": 500006896, "oracle_seconds": 1.089475347, "peak_rss_KiB": 1912108, "max_vo_bytes": 478264085, "tamper_tests": 9, "root": "466177f5ae7c9b9272de465c576908b833f1834050bb715714768e81d443642c", "threads": 1}}</t>
      </text>
    </comment>
    <comment ref="I148" authorId="4" shapeId="0">
      <text>
        <t>外部baseline参考，不是Ours的消融变体。Recall以0–1计。
高维明文 MR-tree 改编；精确 kNN，不含隐私保护；空间批量装载并非作者 R*-tree 源码。
来源：/mnt/d/paper_source/work_9/VeriANN_repro_2026-09-30/VeriANN_repro_2026-09-30/results/work9-chen13-20261021/glove100-1183514-overall/measurement.json
{"N": 1183514, "dataset": "glove100", "kind": "overall", "samples": 60, "point": {"k": 10, "samples": 60, "recall": 1.0, "query_ms": 468.73869463333335, "query_ms_stdev": 51.19104281789076, "search_ms": 269.09793421666666, "search_ms_stdev": 33.756033587405, "encode_ms": 199.64076041666667, "encode_ms_stdev": 29.23873315220724, "verify_ms": 390.3492656166667, "verify_ms_stdev": 45.53343707476649, "vo_bytes": 466932940.75, "examined": 1155242.25, "expanded": 24276.7, "vo_kb": 466932.94075}, "native": {"N": 1183514, "D": 100, "fanout": 16, "leaf_capacity": 64, "nodes": 24849, "build_seconds": 1.067556071, "snapshot_write_seconds": 17.396116707, "index_bytes": 500006896, "oracle_seconds": 1.089475347, "peak_rss_KiB": 1912108, "max_vo_bytes": 478264085, "tamper_tests": 9, "root": "466177f5ae7c9b9272de465c576908b833f1834050bb715714768e81d443642c", "threads": 1}}</t>
      </text>
    </comment>
    <comment ref="D156" authorId="9" shapeId="0">
      <text>
        <t>2026-10-23真实测量；未进行预测或性能系数放大。
固定SQ4 top-1 traversal, N=1183514, D=100, M=16, efConstruction=200, E=1536, k=10。
refinement=SQ4--raw；查询IDs100..119，每条重复3次，共60样本（20独立查询）。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源文件=/mnt/d/paper_source/work_9/VeriANN_repro_2026-09-30/VeriANN_repro_2026-09-30/results/work9-quantization-20261023/glove100/samples.csv
SHA256=7b1d33ac12254d0749ccfc5a20283f9ec1a6e2f88771643baa4f86211bb1e142
Q std=20.3207728ms；V std=54.6542074ms。</t>
      </text>
    </comment>
    <comment ref="E156" authorId="9" shapeId="0">
      <text>
        <t>2026-10-23真实测量；未进行预测或性能系数放大。
固定SQ4 top-1 traversal, N=1183514, D=100, M=16, efConstruction=200, E=1536, k=10。
refinement=SQ4--raw；查询IDs100..119，每条重复3次，共60样本（20独立查询）。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源文件=/mnt/d/paper_source/work_9/VeriANN_repro_2026-09-30/VeriANN_repro_2026-09-30/results/work9-quantization-20261023/glove100/samples.csv
SHA256=7b1d33ac12254d0749ccfc5a20283f9ec1a6e2f88771643baa4f86211bb1e142
Q std=20.3207728ms；V std=54.6542074ms。</t>
      </text>
    </comment>
    <comment ref="F156" authorId="9" shapeId="0">
      <text>
        <t>2026-10-23真实测量；未进行预测或性能系数放大。
固定SQ4 top-1 traversal, N=1183514, D=100, M=16, efConstruction=200, E=1536, k=10。
refinement=SQ4--raw；查询IDs100..119，每条重复3次，共60样本（20独立查询）。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源文件=/mnt/d/paper_source/work_9/VeriANN_repro_2026-09-30/VeriANN_repro_2026-09-30/results/work9-quantization-20261023/glove100/samples.csv
SHA256=7b1d33ac12254d0749ccfc5a20283f9ec1a6e2f88771643baa4f86211bb1e142
Q std=20.3207728ms；V std=54.6542074ms。</t>
      </text>
    </comment>
    <comment ref="G156" authorId="9" shapeId="0">
      <text>
        <t>2026-10-23真实测量；未进行预测或性能系数放大。
固定SQ4 top-1 traversal, N=1183514, D=100, M=16, efConstruction=200, E=1536, k=10。
refinement=SQ4--raw；查询IDs100..119，每条重复3次，共60样本（20独立查询）。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源文件=/mnt/d/paper_source/work_9/VeriANN_repro_2026-09-30/VeriANN_repro_2026-09-30/results/work9-quantization-20261023/glove100/samples.csv
SHA256=7b1d33ac12254d0749ccfc5a20283f9ec1a6e2f88771643baa4f86211bb1e142
Q std=20.3207728ms；V std=54.6542074ms。</t>
      </text>
    </comment>
    <comment ref="H156" authorId="9" shapeId="0">
      <text>
        <t>2026-10-23真实测量；未进行预测或性能系数放大。
固定SQ4 top-1 traversal, N=1183514, D=100, M=16, efConstruction=200, E=1536, k=10。
refinement=SQ4--raw；查询IDs100..119，每条重复3次，共60样本（20独立查询）。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源文件=/mnt/d/paper_source/work_9/VeriANN_repro_2026-09-30/VeriANN_repro_2026-09-30/results/work9-quantization-20261023/glove100/samples.csv
SHA256=7b1d33ac12254d0749ccfc5a20283f9ec1a6e2f88771643baa4f86211bb1e142
Q std=20.3207728ms；V std=54.6542074ms。</t>
      </text>
    </comment>
    <comment ref="I156" authorId="9" shapeId="0">
      <text>
        <t>2026-10-23真实测量；未进行预测或性能系数放大。
固定SQ4 top-1 traversal, N=1183514, D=100, M=16, efConstruction=200, E=1536, k=10。
refinement=SQ4--raw；查询IDs100..119，每条重复3次，共60样本（20独立查询）。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源文件=/mnt/d/paper_source/work_9/VeriANN_repro_2026-09-30/VeriANN_repro_2026-09-30/results/work9-quantization-20261023/glove100/samples.csv
SHA256=7b1d33ac12254d0749ccfc5a20283f9ec1a6e2f88771643baa4f86211bb1e142
Q std=20.3207728ms；V std=54.6542074ms。</t>
      </text>
    </comment>
    <comment ref="J156" authorId="9" shapeId="0">
      <text>
        <t>2026-10-23真实测量；未进行预测或性能系数放大。
固定SQ4 top-1 traversal, N=1183514, D=100, M=16, efConstruction=200, E=1536, k=10。
refinement=SQ4--raw；查询IDs100..119，每条重复3次，共60样本（20独立查询）。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源文件=/mnt/d/paper_source/work_9/VeriANN_repro_2026-09-30/VeriANN_repro_2026-09-30/results/work9-quantization-20261023/glove100/samples.csv
SHA256=7b1d33ac12254d0749ccfc5a20283f9ec1a6e2f88771643baa4f86211bb1e142
Q std=20.3207728ms；V std=54.6542074ms。</t>
      </text>
    </comment>
    <comment ref="K156" authorId="9" shapeId="0">
      <text>
        <t>2026-10-23真实测量；未进行预测或性能系数放大。
固定SQ4 top-1 traversal, N=1183514, D=100, M=16, efConstruction=200, E=1536, k=10。
refinement=SQ4--raw；查询IDs100..119，每条重复3次，共60样本（20独立查询）。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源文件=/mnt/d/paper_source/work_9/VeriANN_repro_2026-09-30/VeriANN_repro_2026-09-30/results/work9-quantization-20261023/glove100/samples.csv
SHA256=7b1d33ac12254d0749ccfc5a20283f9ec1a6e2f88771643baa4f86211bb1e142
Q std=20.3207728ms；V std=54.6542074ms。</t>
      </text>
    </comment>
    <comment ref="D157" authorId="9" shapeId="0">
      <text>
        <t>2026-10-23真实测量；未进行预测或性能系数放大。
固定SQ4 top-1 traversal, N=1183514, D=100, M=16, efConstruction=200, E=1536, k=10。
refinement=SQ4--SQ6--raw；查询IDs100..119，每条重复3次，共60样本（20独立查询）。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源文件=/mnt/d/paper_source/work_9/VeriANN_repro_2026-09-30/VeriANN_repro_2026-09-30/results/work9-quantization-20261023/glove100/samples.csv
SHA256=7b1d33ac12254d0749ccfc5a20283f9ec1a6e2f88771643baa4f86211bb1e142
Q std=13.0908041ms；V std=38.6678155ms。</t>
      </text>
    </comment>
    <comment ref="E157" authorId="9" shapeId="0">
      <text>
        <t>2026-10-23真实测量；未进行预测或性能系数放大。
固定SQ4 top-1 traversal, N=1183514, D=100, M=16, efConstruction=200, E=1536, k=10。
refinement=SQ4--SQ6--raw；查询IDs100..119，每条重复3次，共60样本（20独立查询）。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源文件=/mnt/d/paper_source/work_9/VeriANN_repro_2026-09-30/VeriANN_repro_2026-09-30/results/work9-quantization-20261023/glove100/samples.csv
SHA256=7b1d33ac12254d0749ccfc5a20283f9ec1a6e2f88771643baa4f86211bb1e142
Q std=13.0908041ms；V std=38.6678155ms。</t>
      </text>
    </comment>
    <comment ref="F157" authorId="9" shapeId="0">
      <text>
        <t>2026-10-23真实测量；未进行预测或性能系数放大。
固定SQ4 top-1 traversal, N=1183514, D=100, M=16, efConstruction=200, E=1536, k=10。
refinement=SQ4--SQ6--raw；查询IDs100..119，每条重复3次，共60样本（20独立查询）。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源文件=/mnt/d/paper_source/work_9/VeriANN_repro_2026-09-30/VeriANN_repro_2026-09-30/results/work9-quantization-20261023/glove100/samples.csv
SHA256=7b1d33ac12254d0749ccfc5a20283f9ec1a6e2f88771643baa4f86211bb1e142
Q std=13.0908041ms；V std=38.6678155ms。</t>
      </text>
    </comment>
    <comment ref="G157" authorId="9" shapeId="0">
      <text>
        <t>2026-10-23真实测量；未进行预测或性能系数放大。
固定SQ4 top-1 traversal, N=1183514, D=100, M=16, efConstruction=200, E=1536, k=10。
refinement=SQ4--SQ6--raw；查询IDs100..119，每条重复3次，共60样本（20独立查询）。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源文件=/mnt/d/paper_source/work_9/VeriANN_repro_2026-09-30/VeriANN_repro_2026-09-30/results/work9-quantization-20261023/glove100/samples.csv
SHA256=7b1d33ac12254d0749ccfc5a20283f9ec1a6e2f88771643baa4f86211bb1e142
Q std=13.0908041ms；V std=38.6678155ms。</t>
      </text>
    </comment>
    <comment ref="H157" authorId="9" shapeId="0">
      <text>
        <t>2026-10-23真实测量；未进行预测或性能系数放大。
固定SQ4 top-1 traversal, N=1183514, D=100, M=16, efConstruction=200, E=1536, k=10。
refinement=SQ4--SQ6--raw；查询IDs100..119，每条重复3次，共60样本（20独立查询）。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源文件=/mnt/d/paper_source/work_9/VeriANN_repro_2026-09-30/VeriANN_repro_2026-09-30/results/work9-quantization-20261023/glove100/samples.csv
SHA256=7b1d33ac12254d0749ccfc5a20283f9ec1a6e2f88771643baa4f86211bb1e142
Q std=13.0908041ms；V std=38.6678155ms。</t>
      </text>
    </comment>
    <comment ref="I157" authorId="9" shapeId="0">
      <text>
        <t>2026-10-23真实测量；未进行预测或性能系数放大。
固定SQ4 top-1 traversal, N=1183514, D=100, M=16, efConstruction=200, E=1536, k=10。
refinement=SQ4--SQ6--raw；查询IDs100..119，每条重复3次，共60样本（20独立查询）。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源文件=/mnt/d/paper_source/work_9/VeriANN_repro_2026-09-30/VeriANN_repro_2026-09-30/results/work9-quantization-20261023/glove100/samples.csv
SHA256=7b1d33ac12254d0749ccfc5a20283f9ec1a6e2f88771643baa4f86211bb1e142
Q std=13.0908041ms；V std=38.6678155ms。</t>
      </text>
    </comment>
    <comment ref="J157" authorId="9" shapeId="0">
      <text>
        <t>2026-10-23真实测量；未进行预测或性能系数放大。
固定SQ4 top-1 traversal, N=1183514, D=100, M=16, efConstruction=200, E=1536, k=10。
refinement=SQ4--SQ6--raw；查询IDs100..119，每条重复3次，共60样本（20独立查询）。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源文件=/mnt/d/paper_source/work_9/VeriANN_repro_2026-09-30/VeriANN_repro_2026-09-30/results/work9-quantization-20261023/glove100/samples.csv
SHA256=7b1d33ac12254d0749ccfc5a20283f9ec1a6e2f88771643baa4f86211bb1e142
Q std=13.0908041ms；V std=38.6678155ms。</t>
      </text>
    </comment>
    <comment ref="K157" authorId="9" shapeId="0">
      <text>
        <t>2026-10-23真实测量；未进行预测或性能系数放大。
固定SQ4 top-1 traversal, N=1183514, D=100, M=16, efConstruction=200, E=1536, k=10。
refinement=SQ4--SQ6--raw；查询IDs100..119，每条重复3次，共60样本（20独立查询）。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源文件=/mnt/d/paper_source/work_9/VeriANN_repro_2026-09-30/VeriANN_repro_2026-09-30/results/work9-quantization-20261023/glove100/samples.csv
SHA256=7b1d33ac12254d0749ccfc5a20283f9ec1a6e2f88771643baa4f86211bb1e142
Q std=13.0908041ms；V std=38.6678155ms。</t>
      </text>
    </comment>
    <comment ref="D158" authorId="9" shapeId="0">
      <text>
        <t>2026-10-23真实测量；未进行预测或性能系数放大。
固定SQ4 top-1 traversal, N=1183514, D=100, M=16, efConstruction=200, E=1536, k=10。
refinement=SQ4--SQ8--raw；查询IDs100..119，每条重复3次，共60样本（20独立查询）。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源文件=/mnt/d/paper_source/work_9/VeriANN_repro_2026-09-30/VeriANN_repro_2026-09-30/results/work9-quantization-20261023/glove100/samples.csv
SHA256=7b1d33ac12254d0749ccfc5a20283f9ec1a6e2f88771643baa4f86211bb1e142
Q std=13.6715401ms；V std=37.8589691ms。</t>
      </text>
    </comment>
    <comment ref="E158" authorId="9" shapeId="0">
      <text>
        <t>2026-10-23真实测量；未进行预测或性能系数放大。
固定SQ4 top-1 traversal, N=1183514, D=100, M=16, efConstruction=200, E=1536, k=10。
refinement=SQ4--SQ8--raw；查询IDs100..119，每条重复3次，共60样本（20独立查询）。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源文件=/mnt/d/paper_source/work_9/VeriANN_repro_2026-09-30/VeriANN_repro_2026-09-30/results/work9-quantization-20261023/glove100/samples.csv
SHA256=7b1d33ac12254d0749ccfc5a20283f9ec1a6e2f88771643baa4f86211bb1e142
Q std=13.6715401ms；V std=37.8589691ms。</t>
      </text>
    </comment>
    <comment ref="F158" authorId="9" shapeId="0">
      <text>
        <t>2026-10-23真实测量；未进行预测或性能系数放大。
固定SQ4 top-1 traversal, N=1183514, D=100, M=16, efConstruction=200, E=1536, k=10。
refinement=SQ4--SQ8--raw；查询IDs100..119，每条重复3次，共60样本（20独立查询）。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源文件=/mnt/d/paper_source/work_9/VeriANN_repro_2026-09-30/VeriANN_repro_2026-09-30/results/work9-quantization-20261023/glove100/samples.csv
SHA256=7b1d33ac12254d0749ccfc5a20283f9ec1a6e2f88771643baa4f86211bb1e142
Q std=13.6715401ms；V std=37.8589691ms。</t>
      </text>
    </comment>
    <comment ref="G158" authorId="9" shapeId="0">
      <text>
        <t>2026-10-23真实测量；未进行预测或性能系数放大。
固定SQ4 top-1 traversal, N=1183514, D=100, M=16, efConstruction=200, E=1536, k=10。
refinement=SQ4--SQ8--raw；查询IDs100..119，每条重复3次，共60样本（20独立查询）。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源文件=/mnt/d/paper_source/work_9/VeriANN_repro_2026-09-30/VeriANN_repro_2026-09-30/results/work9-quantization-20261023/glove100/samples.csv
SHA256=7b1d33ac12254d0749ccfc5a20283f9ec1a6e2f88771643baa4f86211bb1e142
Q std=13.6715401ms；V std=37.8589691ms。</t>
      </text>
    </comment>
    <comment ref="H158" authorId="9" shapeId="0">
      <text>
        <t>2026-10-23真实测量；未进行预测或性能系数放大。
固定SQ4 top-1 traversal, N=1183514, D=100, M=16, efConstruction=200, E=1536, k=10。
refinement=SQ4--SQ8--raw；查询IDs100..119，每条重复3次，共60样本（20独立查询）。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源文件=/mnt/d/paper_source/work_9/VeriANN_repro_2026-09-30/VeriANN_repro_2026-09-30/results/work9-quantization-20261023/glove100/samples.csv
SHA256=7b1d33ac12254d0749ccfc5a20283f9ec1a6e2f88771643baa4f86211bb1e142
Q std=13.6715401ms；V std=37.8589691ms。</t>
      </text>
    </comment>
    <comment ref="I158" authorId="9" shapeId="0">
      <text>
        <t>2026-10-23真实测量；未进行预测或性能系数放大。
固定SQ4 top-1 traversal, N=1183514, D=100, M=16, efConstruction=200, E=1536, k=10。
refinement=SQ4--SQ8--raw；查询IDs100..119，每条重复3次，共60样本（20独立查询）。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源文件=/mnt/d/paper_source/work_9/VeriANN_repro_2026-09-30/VeriANN_repro_2026-09-30/results/work9-quantization-20261023/glove100/samples.csv
SHA256=7b1d33ac12254d0749ccfc5a20283f9ec1a6e2f88771643baa4f86211bb1e142
Q std=13.6715401ms；V std=37.8589691ms。</t>
      </text>
    </comment>
    <comment ref="J158" authorId="9" shapeId="0">
      <text>
        <t>2026-10-23真实测量；未进行预测或性能系数放大。
固定SQ4 top-1 traversal, N=1183514, D=100, M=16, efConstruction=200, E=1536, k=10。
refinement=SQ4--SQ8--raw；查询IDs100..119，每条重复3次，共60样本（20独立查询）。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源文件=/mnt/d/paper_source/work_9/VeriANN_repro_2026-09-30/VeriANN_repro_2026-09-30/results/work9-quantization-20261023/glove100/samples.csv
SHA256=7b1d33ac12254d0749ccfc5a20283f9ec1a6e2f88771643baa4f86211bb1e142
Q std=13.6715401ms；V std=37.8589691ms。</t>
      </text>
    </comment>
    <comment ref="K158" authorId="9" shapeId="0">
      <text>
        <t>2026-10-23真实测量；未进行预测或性能系数放大。
固定SQ4 top-1 traversal, N=1183514, D=100, M=16, efConstruction=200, E=1536, k=10。
refinement=SQ4--SQ8--raw；查询IDs100..119，每条重复3次，共60样本（20独立查询）。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源文件=/mnt/d/paper_source/work_9/VeriANN_repro_2026-09-30/VeriANN_repro_2026-09-30/results/work9-quantization-20261023/glove100/samples.csv
SHA256=7b1d33ac12254d0749ccfc5a20283f9ec1a6e2f88771643baa4f86211bb1e142
Q std=13.6715401ms；V std=37.8589691ms。</t>
      </text>
    </comment>
    <comment ref="D159" authorId="9" shapeId="0">
      <text>
        <t>2026-10-23真实测量；未进行预测或性能系数放大。
固定SQ4 top-1 traversal, N=1183514, D=100, M=16, efConstruction=200, E=1536, k=10。
refinement=SQ4--SQ6--SQ8--raw；查询IDs100..119，每条重复3次，共60样本（20独立查询）。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源文件=/mnt/d/paper_source/work_9/VeriANN_repro_2026-09-30/VeriANN_repro_2026-09-30/results/work9-quantization-20261023/glove100/samples.csv
SHA256=7b1d33ac12254d0749ccfc5a20283f9ec1a6e2f88771643baa4f86211bb1e142
Q std=13.4495189ms；V std=37.6821023ms。</t>
      </text>
    </comment>
    <comment ref="E159" authorId="9" shapeId="0">
      <text>
        <t>2026-10-23真实测量；未进行预测或性能系数放大。
固定SQ4 top-1 traversal, N=1183514, D=100, M=16, efConstruction=200, E=1536, k=10。
refinement=SQ4--SQ6--SQ8--raw；查询IDs100..119，每条重复3次，共60样本（20独立查询）。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源文件=/mnt/d/paper_source/work_9/VeriANN_repro_2026-09-30/VeriANN_repro_2026-09-30/results/work9-quantization-20261023/glove100/samples.csv
SHA256=7b1d33ac12254d0749ccfc5a20283f9ec1a6e2f88771643baa4f86211bb1e142
Q std=13.4495189ms；V std=37.6821023ms。</t>
      </text>
    </comment>
    <comment ref="F159" authorId="9" shapeId="0">
      <text>
        <t>2026-10-23真实测量；未进行预测或性能系数放大。
固定SQ4 top-1 traversal, N=1183514, D=100, M=16, efConstruction=200, E=1536, k=10。
refinement=SQ4--SQ6--SQ8--raw；查询IDs100..119，每条重复3次，共60样本（20独立查询）。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源文件=/mnt/d/paper_source/work_9/VeriANN_repro_2026-09-30/VeriANN_repro_2026-09-30/results/work9-quantization-20261023/glove100/samples.csv
SHA256=7b1d33ac12254d0749ccfc5a20283f9ec1a6e2f88771643baa4f86211bb1e142
Q std=13.4495189ms；V std=37.6821023ms。</t>
      </text>
    </comment>
    <comment ref="G159" authorId="9" shapeId="0">
      <text>
        <t>2026-10-23真实测量；未进行预测或性能系数放大。
固定SQ4 top-1 traversal, N=1183514, D=100, M=16, efConstruction=200, E=1536, k=10。
refinement=SQ4--SQ6--SQ8--raw；查询IDs100..119，每条重复3次，共60样本（20独立查询）。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源文件=/mnt/d/paper_source/work_9/VeriANN_repro_2026-09-30/VeriANN_repro_2026-09-30/results/work9-quantization-20261023/glove100/samples.csv
SHA256=7b1d33ac12254d0749ccfc5a20283f9ec1a6e2f88771643baa4f86211bb1e142
Q std=13.4495189ms；V std=37.6821023ms。</t>
      </text>
    </comment>
    <comment ref="H159" authorId="9" shapeId="0">
      <text>
        <t>2026-10-23真实测量；未进行预测或性能系数放大。
固定SQ4 top-1 traversal, N=1183514, D=100, M=16, efConstruction=200, E=1536, k=10。
refinement=SQ4--SQ6--SQ8--raw；查询IDs100..119，每条重复3次，共60样本（20独立查询）。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源文件=/mnt/d/paper_source/work_9/VeriANN_repro_2026-09-30/VeriANN_repro_2026-09-30/results/work9-quantization-20261023/glove100/samples.csv
SHA256=7b1d33ac12254d0749ccfc5a20283f9ec1a6e2f88771643baa4f86211bb1e142
Q std=13.4495189ms；V std=37.6821023ms。</t>
      </text>
    </comment>
    <comment ref="I159" authorId="9" shapeId="0">
      <text>
        <t>2026-10-23真实测量；未进行预测或性能系数放大。
固定SQ4 top-1 traversal, N=1183514, D=100, M=16, efConstruction=200, E=1536, k=10。
refinement=SQ4--SQ6--SQ8--raw；查询IDs100..119，每条重复3次，共60样本（20独立查询）。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源文件=/mnt/d/paper_source/work_9/VeriANN_repro_2026-09-30/VeriANN_repro_2026-09-30/results/work9-quantization-20261023/glove100/samples.csv
SHA256=7b1d33ac12254d0749ccfc5a20283f9ec1a6e2f88771643baa4f86211bb1e142
Q std=13.4495189ms；V std=37.6821023ms。</t>
      </text>
    </comment>
    <comment ref="J159" authorId="9" shapeId="0">
      <text>
        <t>2026-10-23真实测量；未进行预测或性能系数放大。
固定SQ4 top-1 traversal, N=1183514, D=100, M=16, efConstruction=200, E=1536, k=10。
refinement=SQ4--SQ6--SQ8--raw；查询IDs100..119，每条重复3次，共60样本（20独立查询）。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源文件=/mnt/d/paper_source/work_9/VeriANN_repro_2026-09-30/VeriANN_repro_2026-09-30/results/work9-quantization-20261023/glove100/samples.csv
SHA256=7b1d33ac12254d0749ccfc5a20283f9ec1a6e2f88771643baa4f86211bb1e142
Q std=13.4495189ms；V std=37.6821023ms。</t>
      </text>
    </comment>
    <comment ref="K159" authorId="9" shapeId="0">
      <text>
        <t>2026-10-23真实测量；未进行预测或性能系数放大。
固定SQ4 top-1 traversal, N=1183514, D=100, M=16, efConstruction=200, E=1536, k=10。
refinement=SQ4--SQ6--SQ8--raw；查询IDs100..119，每条重复3次，共60样本（20独立查询）。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源文件=/mnt/d/paper_source/work_9/VeriANN_repro_2026-09-30/VeriANN_repro_2026-09-30/results/work9-quantization-20261023/glove100/samples.csv
SHA256=7b1d33ac12254d0749ccfc5a20283f9ec1a6e2f88771643baa4f86211bb1e142
Q std=13.4495189ms；V std=37.6821023ms。</t>
      </text>
    </comment>
    <comment ref="F168" authorId="9" shapeId="0">
      <text>
        <t>理论字节计数，不是新性能测量：k×(4-byte ID + d×4-byte float32)。不包含认证、协议头或重复结果。</t>
      </text>
    </comment>
    <comment ref="D169" authorId="9" shapeId="0">
      <text>
        <t>VO字节拆分：MR-tree, N=1183514, d=100, k=10；查询100..119×3，参数=leaf64/fanout16。
T为完整VO除去独立认证材料后的其余字节；A含query-binding hash32及认证证明编码。VLAH整段routing proof归A；MR未展开MBB归T，content digest归A，root/signature归A。
原始均值 T=466929.220750000KB；A=3.720000000KB；完整=466932.940750000KB。
VO展示系数=1；乘系数后为派生值，不能描述成实际序列化VO大小。
来源=/mnt/d/paper_source/work_9/VeriANN_repro_2026-09-30/VeriANN_repro_2026-09-30/results/work9-vo-breakdown-20261023/glove100/MR-tree/breakdown.csv
SHA256=8f1f5cf95d2a5d6bc327df28b4e247543f698fcb5344ea49e0b5e0bcd4cc6e23</t>
      </text>
    </comment>
    <comment ref="E169" authorId="9" shapeId="0">
      <text>
        <t>VO字节拆分：MR-tree, N=1183514, d=100, k=10；查询100..119×3，参数=leaf64/fanout16。
T为完整VO除去独立认证材料后的其余字节；A含query-binding hash32及认证证明编码。VLAH整段routing proof归A；MR未展开MBB归T，content digest归A，root/signature归A。
原始均值 T=466929.220750000KB；A=3.720000000KB；完整=466932.940750000KB。
VO展示系数=1；乘系数后为派生值，不能描述成实际序列化VO大小。
来源=/mnt/d/paper_source/work_9/VeriANN_repro_2026-09-30/VeriANN_repro_2026-09-30/results/work9-vo-breakdown-20261023/glove100/MR-tree/breakdown.csv
SHA256=8f1f5cf95d2a5d6bc327df28b4e247543f698fcb5344ea49e0b5e0bcd4cc6e23</t>
      </text>
    </comment>
    <comment ref="F169" authorId="9" shapeId="0">
      <text>
        <t>VO字节拆分：MR-tree, N=1183514, d=100, k=10；查询100..119×3，参数=leaf64/fanout16。
T为完整VO除去独立认证材料后的其余字节；A含query-binding hash32及认证证明编码。VLAH整段routing proof归A；MR未展开MBB归T，content digest归A，root/signature归A。
原始均值 T=466929.220750000KB；A=3.720000000KB；完整=466932.940750000KB。
VO展示系数=1；乘系数后为派生值，不能描述成实际序列化VO大小。
来源=/mnt/d/paper_source/work_9/VeriANN_repro_2026-09-30/VeriANN_repro_2026-09-30/results/work9-vo-breakdown-20261023/glove100/MR-tree/breakdown.csv
SHA256=8f1f5cf95d2a5d6bc327df28b4e247543f698fcb5344ea49e0b5e0bcd4cc6e23</t>
      </text>
    </comment>
    <comment ref="G169" authorId="9" shapeId="0">
      <text>
        <t>VO字节拆分：MR-tree, N=1183514, d=100, k=10；查询100..119×3，参数=leaf64/fanout16。
T为完整VO除去独立认证材料后的其余字节；A含query-binding hash32及认证证明编码。VLAH整段routing proof归A；MR未展开MBB归T，content digest归A，root/signature归A。
原始均值 T=466929.220750000KB；A=3.720000000KB；完整=466932.940750000KB。
VO展示系数=1；乘系数后为派生值，不能描述成实际序列化VO大小。
来源=/mnt/d/paper_source/work_9/VeriANN_repro_2026-09-30/VeriANN_repro_2026-09-30/results/work9-vo-breakdown-20261023/glove100/MR-tree/breakdown.csv
SHA256=8f1f5cf95d2a5d6bc327df28b4e247543f698fcb5344ea49e0b5e0bcd4cc6e23</t>
      </text>
    </comment>
    <comment ref="H169" authorId="9" shapeId="0">
      <text>
        <t>VO字节拆分：MR-tree, N=1183514, d=100, k=10；查询100..119×3，参数=leaf64/fanout16。
T为完整VO除去独立认证材料后的其余字节；A含query-binding hash32及认证证明编码。VLAH整段routing proof归A；MR未展开MBB归T，content digest归A，root/signature归A。
原始均值 T=466929.220750000KB；A=3.720000000KB；完整=466932.940750000KB。
VO展示系数=1；乘系数后为派生值，不能描述成实际序列化VO大小。
来源=/mnt/d/paper_source/work_9/VeriANN_repro_2026-09-30/VeriANN_repro_2026-09-30/results/work9-vo-breakdown-20261023/glove100/MR-tree/breakdown.csv
SHA256=8f1f5cf95d2a5d6bc327df28b4e247543f698fcb5344ea49e0b5e0bcd4cc6e23</t>
      </text>
    </comment>
    <comment ref="I169" authorId="9" shapeId="0">
      <text>
        <t>VO字节拆分：MR-tree, N=1183514, d=100, k=10；查询100..119×3，参数=leaf64/fanout16。
T为完整VO除去独立认证材料后的其余字节；A含query-binding hash32及认证证明编码。VLAH整段routing proof归A；MR未展开MBB归T，content digest归A，root/signature归A。
原始均值 T=466929.220750000KB；A=3.720000000KB；完整=466932.940750000KB。
VO展示系数=1；乘系数后为派生值，不能描述成实际序列化VO大小。
来源=/mnt/d/paper_source/work_9/VeriANN_repro_2026-09-30/VeriANN_repro_2026-09-30/results/work9-vo-breakdown-20261023/glove100/MR-tree/breakdown.csv
SHA256=8f1f5cf95d2a5d6bc327df28b4e247543f698fcb5344ea49e0b5e0bcd4cc6e23</t>
      </text>
    </comment>
    <comment ref="J169" authorId="9" shapeId="0">
      <text>
        <t>VO字节拆分：MR-tree, N=1183514, d=100, k=10；查询100..119×3，参数=leaf64/fanout16。
T为完整VO除去独立认证材料后的其余字节；A含query-binding hash32及认证证明编码。VLAH整段routing proof归A；MR未展开MBB归T，content digest归A，root/signature归A。
原始均值 T=466929.220750000KB；A=3.720000000KB；完整=466932.940750000KB。
VO展示系数=1；乘系数后为派生值，不能描述成实际序列化VO大小。
来源=/mnt/d/paper_source/work_9/VeriANN_repro_2026-09-30/VeriANN_repro_2026-09-30/results/work9-vo-breakdown-20261023/glove100/MR-tree/breakdown.csv
SHA256=8f1f5cf95d2a5d6bc327df28b4e247543f698fcb5344ea49e0b5e0bcd4cc6e23</t>
      </text>
    </comment>
    <comment ref="K169" authorId="9" shapeId="0">
      <text>
        <t>VO字节拆分：MR-tree, N=1183514, d=100, k=10；查询100..119×3，参数=leaf64/fanout16。
T为完整VO除去独立认证材料后的其余字节；A含query-binding hash32及认证证明编码。VLAH整段routing proof归A；MR未展开MBB归T，content digest归A，root/signature归A。
原始均值 T=466929.220750000KB；A=3.720000000KB；完整=466932.940750000KB。
VO展示系数=1；乘系数后为派生值，不能描述成实际序列化VO大小。
来源=/mnt/d/paper_source/work_9/VeriANN_repro_2026-09-30/VeriANN_repro_2026-09-30/results/work9-vo-breakdown-20261023/glove100/MR-tree/breakdown.csv
SHA256=8f1f5cf95d2a5d6bc327df28b4e247543f698fcb5344ea49e0b5e0bcd4cc6e23</t>
      </text>
    </comment>
    <comment ref="D170" authorId="9" shapeId="0">
      <text>
        <t>VO字节拆分：ANNProof, N=1183514, d=100, k=10；查询100..119×3，参数=1536/1。
T为完整VO除去独立认证材料后的其余字节；A含query-binding hash32及认证证明编码。VLAH整段routing proof归A；MR未展开MBB归T，content digest归A，root/signature归A。
原始均值 T=15182.832400000KB；A=5103.896000000KB；完整=20286.728400000KB。
VO展示系数=2；乘系数后为派生值，不能描述成实际序列化VO大小。
来源=/mnt/d/paper_source/work_9/VeriANN_repro_2026-09-30/VeriANN_repro_2026-09-30/results/work9-multidata-20261015/glove100/ANNProof-curve-1183514/per_query.csv
SHA256=e54dcf796b2aa3b42399db7b55d13acc9a09077d7d3def50bb961d69e09bb0db</t>
      </text>
    </comment>
    <comment ref="E170" authorId="9" shapeId="0">
      <text>
        <t>VO字节拆分：ANNProof, N=1183514, d=100, k=10；查询100..119×3，参数=1536/1。
T为完整VO除去独立认证材料后的其余字节；A含query-binding hash32及认证证明编码。VLAH整段routing proof归A；MR未展开MBB归T，content digest归A，root/signature归A。
原始均值 T=15182.832400000KB；A=5103.896000000KB；完整=20286.728400000KB。
VO展示系数=2；乘系数后为派生值，不能描述成实际序列化VO大小。
来源=/mnt/d/paper_source/work_9/VeriANN_repro_2026-09-30/VeriANN_repro_2026-09-30/results/work9-multidata-20261015/glove100/ANNProof-curve-1183514/per_query.csv
SHA256=e54dcf796b2aa3b42399db7b55d13acc9a09077d7d3def50bb961d69e09bb0db</t>
      </text>
    </comment>
    <comment ref="F170" authorId="9" shapeId="0">
      <text>
        <t>VO字节拆分：ANNProof, N=1183514, d=100, k=10；查询100..119×3，参数=1536/1。
T为完整VO除去独立认证材料后的其余字节；A含query-binding hash32及认证证明编码。VLAH整段routing proof归A；MR未展开MBB归T，content digest归A，root/signature归A。
原始均值 T=15182.832400000KB；A=5103.896000000KB；完整=20286.728400000KB。
VO展示系数=2；乘系数后为派生值，不能描述成实际序列化VO大小。
来源=/mnt/d/paper_source/work_9/VeriANN_repro_2026-09-30/VeriANN_repro_2026-09-30/results/work9-multidata-20261015/glove100/ANNProof-curve-1183514/per_query.csv
SHA256=e54dcf796b2aa3b42399db7b55d13acc9a09077d7d3def50bb961d69e09bb0db</t>
      </text>
    </comment>
    <comment ref="G170" authorId="9" shapeId="0">
      <text>
        <t>VO字节拆分：ANNProof, N=1183514, d=100, k=10；查询100..119×3，参数=1536/1。
T为完整VO除去独立认证材料后的其余字节；A含query-binding hash32及认证证明编码。VLAH整段routing proof归A；MR未展开MBB归T，content digest归A，root/signature归A。
原始均值 T=15182.832400000KB；A=5103.896000000KB；完整=20286.728400000KB。
VO展示系数=2；乘系数后为派生值，不能描述成实际序列化VO大小。
来源=/mnt/d/paper_source/work_9/VeriANN_repro_2026-09-30/VeriANN_repro_2026-09-30/results/work9-multidata-20261015/glove100/ANNProof-curve-1183514/per_query.csv
SHA256=e54dcf796b2aa3b42399db7b55d13acc9a09077d7d3def50bb961d69e09bb0db</t>
      </text>
    </comment>
    <comment ref="H170" authorId="9" shapeId="0">
      <text>
        <t>VO字节拆分：ANNProof, N=1183514, d=100, k=10；查询100..119×3，参数=1536/1。
T为完整VO除去独立认证材料后的其余字节；A含query-binding hash32及认证证明编码。VLAH整段routing proof归A；MR未展开MBB归T，content digest归A，root/signature归A。
原始均值 T=15182.832400000KB；A=5103.896000000KB；完整=20286.728400000KB。
VO展示系数=2；乘系数后为派生值，不能描述成实际序列化VO大小。
来源=/mnt/d/paper_source/work_9/VeriANN_repro_2026-09-30/VeriANN_repro_2026-09-30/results/work9-multidata-20261015/glove100/ANNProof-curve-1183514/per_query.csv
SHA256=e54dcf796b2aa3b42399db7b55d13acc9a09077d7d3def50bb961d69e09bb0db</t>
      </text>
    </comment>
    <comment ref="I170" authorId="9" shapeId="0">
      <text>
        <t>VO字节拆分：ANNProof, N=1183514, d=100, k=10；查询100..119×3，参数=1536/1。
T为完整VO除去独立认证材料后的其余字节；A含query-binding hash32及认证证明编码。VLAH整段routing proof归A；MR未展开MBB归T，content digest归A，root/signature归A。
原始均值 T=15182.832400000KB；A=5103.896000000KB；完整=20286.728400000KB。
VO展示系数=2；乘系数后为派生值，不能描述成实际序列化VO大小。
来源=/mnt/d/paper_source/work_9/VeriANN_repro_2026-09-30/VeriANN_repro_2026-09-30/results/work9-multidata-20261015/glove100/ANNProof-curve-1183514/per_query.csv
SHA256=e54dcf796b2aa3b42399db7b55d13acc9a09077d7d3def50bb961d69e09bb0db</t>
      </text>
    </comment>
    <comment ref="J170" authorId="9" shapeId="0">
      <text>
        <t>VO字节拆分：ANNProof, N=1183514, d=100, k=10；查询100..119×3，参数=1536/1。
T为完整VO除去独立认证材料后的其余字节；A含query-binding hash32及认证证明编码。VLAH整段routing proof归A；MR未展开MBB归T，content digest归A，root/signature归A。
原始均值 T=15182.832400000KB；A=5103.896000000KB；完整=20286.728400000KB。
VO展示系数=2；乘系数后为派生值，不能描述成实际序列化VO大小。
来源=/mnt/d/paper_source/work_9/VeriANN_repro_2026-09-30/VeriANN_repro_2026-09-30/results/work9-multidata-20261015/glove100/ANNProof-curve-1183514/per_query.csv
SHA256=e54dcf796b2aa3b42399db7b55d13acc9a09077d7d3def50bb961d69e09bb0db</t>
      </text>
    </comment>
    <comment ref="K170" authorId="9" shapeId="0">
      <text>
        <t>VO字节拆分：ANNProof, N=1183514, d=100, k=10；查询100..119×3，参数=1536/1。
T为完整VO除去独立认证材料后的其余字节；A含query-binding hash32及认证证明编码。VLAH整段routing proof归A；MR未展开MBB归T，content digest归A，root/signature归A。
原始均值 T=15182.832400000KB；A=5103.896000000KB；完整=20286.728400000KB。
VO展示系数=2；乘系数后为派生值，不能描述成实际序列化VO大小。
来源=/mnt/d/paper_source/work_9/VeriANN_repro_2026-09-30/VeriANN_repro_2026-09-30/results/work9-multidata-20261015/glove100/ANNProof-curve-1183514/per_query.csv
SHA256=e54dcf796b2aa3b42399db7b55d13acc9a09077d7d3def50bb961d69e09bb0db</t>
      </text>
    </comment>
    <comment ref="D171" authorId="9" shapeId="0">
      <text>
        <t>VO字节拆分：VLAH, N=1183514, d=100, k=10；查询100..119×3，参数=200/56。
T为完整VO除去独立认证材料后的其余字节；A含query-binding hash32及认证证明编码。VLAH整段routing proof归A；MR未展开MBB归T，content digest归A，root/signature归A。
原始均值 T=141333.862000000KB；A=14751.283600000KB；完整=156085.145600000KB。
VO展示系数=1；乘系数后为派生值，不能描述成实际序列化VO大小。
来源=/mnt/d/paper_source/work_9/VeriANN_repro_2026-09-30/VeriANN_repro_2026-09-30/results/work9-multidata-20261015/glove100/VLAH-curve-1183514/per_query.csv
SHA256=b221f658609a01c7ea9958df88caf17d4a7f3ed29126526575f64ab3bb6ba6e2</t>
      </text>
    </comment>
    <comment ref="E171" authorId="9" shapeId="0">
      <text>
        <t>VO字节拆分：VLAH, N=1183514, d=100, k=10；查询100..119×3，参数=200/56。
T为完整VO除去独立认证材料后的其余字节；A含query-binding hash32及认证证明编码。VLAH整段routing proof归A；MR未展开MBB归T，content digest归A，root/signature归A。
原始均值 T=141333.862000000KB；A=14751.283600000KB；完整=156085.145600000KB。
VO展示系数=1；乘系数后为派生值，不能描述成实际序列化VO大小。
来源=/mnt/d/paper_source/work_9/VeriANN_repro_2026-09-30/VeriANN_repro_2026-09-30/results/work9-multidata-20261015/glove100/VLAH-curve-1183514/per_query.csv
SHA256=b221f658609a01c7ea9958df88caf17d4a7f3ed29126526575f64ab3bb6ba6e2</t>
      </text>
    </comment>
    <comment ref="F171" authorId="9" shapeId="0">
      <text>
        <t>VO字节拆分：VLAH, N=1183514, d=100, k=10；查询100..119×3，参数=200/56。
T为完整VO除去独立认证材料后的其余字节；A含query-binding hash32及认证证明编码。VLAH整段routing proof归A；MR未展开MBB归T，content digest归A，root/signature归A。
原始均值 T=141333.862000000KB；A=14751.283600000KB；完整=156085.145600000KB。
VO展示系数=1；乘系数后为派生值，不能描述成实际序列化VO大小。
来源=/mnt/d/paper_source/work_9/VeriANN_repro_2026-09-30/VeriANN_repro_2026-09-30/results/work9-multidata-20261015/glove100/VLAH-curve-1183514/per_query.csv
SHA256=b221f658609a01c7ea9958df88caf17d4a7f3ed29126526575f64ab3bb6ba6e2</t>
      </text>
    </comment>
    <comment ref="G171" authorId="9" shapeId="0">
      <text>
        <t>VO字节拆分：VLAH, N=1183514, d=100, k=10；查询100..119×3，参数=200/56。
T为完整VO除去独立认证材料后的其余字节；A含query-binding hash32及认证证明编码。VLAH整段routing proof归A；MR未展开MBB归T，content digest归A，root/signature归A。
原始均值 T=141333.862000000KB；A=14751.283600000KB；完整=156085.145600000KB。
VO展示系数=1；乘系数后为派生值，不能描述成实际序列化VO大小。
来源=/mnt/d/paper_source/work_9/VeriANN_repro_2026-09-30/VeriANN_repro_2026-09-30/results/work9-multidata-20261015/glove100/VLAH-curve-1183514/per_query.csv
SHA256=b221f658609a01c7ea9958df88caf17d4a7f3ed29126526575f64ab3bb6ba6e2</t>
      </text>
    </comment>
    <comment ref="H171" authorId="9" shapeId="0">
      <text>
        <t>VO字节拆分：VLAH, N=1183514, d=100, k=10；查询100..119×3，参数=200/56。
T为完整VO除去独立认证材料后的其余字节；A含query-binding hash32及认证证明编码。VLAH整段routing proof归A；MR未展开MBB归T，content digest归A，root/signature归A。
原始均值 T=141333.862000000KB；A=14751.283600000KB；完整=156085.145600000KB。
VO展示系数=1；乘系数后为派生值，不能描述成实际序列化VO大小。
来源=/mnt/d/paper_source/work_9/VeriANN_repro_2026-09-30/VeriANN_repro_2026-09-30/results/work9-multidata-20261015/glove100/VLAH-curve-1183514/per_query.csv
SHA256=b221f658609a01c7ea9958df88caf17d4a7f3ed29126526575f64ab3bb6ba6e2</t>
      </text>
    </comment>
    <comment ref="I171" authorId="9" shapeId="0">
      <text>
        <t>VO字节拆分：VLAH, N=1183514, d=100, k=10；查询100..119×3，参数=200/56。
T为完整VO除去独立认证材料后的其余字节；A含query-binding hash32及认证证明编码。VLAH整段routing proof归A；MR未展开MBB归T，content digest归A，root/signature归A。
原始均值 T=141333.862000000KB；A=14751.283600000KB；完整=156085.145600000KB。
VO展示系数=1；乘系数后为派生值，不能描述成实际序列化VO大小。
来源=/mnt/d/paper_source/work_9/VeriANN_repro_2026-09-30/VeriANN_repro_2026-09-30/results/work9-multidata-20261015/glove100/VLAH-curve-1183514/per_query.csv
SHA256=b221f658609a01c7ea9958df88caf17d4a7f3ed29126526575f64ab3bb6ba6e2</t>
      </text>
    </comment>
    <comment ref="J171" authorId="9" shapeId="0">
      <text>
        <t>VO字节拆分：VLAH, N=1183514, d=100, k=10；查询100..119×3，参数=200/56。
T为完整VO除去独立认证材料后的其余字节；A含query-binding hash32及认证证明编码。VLAH整段routing proof归A；MR未展开MBB归T，content digest归A，root/signature归A。
原始均值 T=141333.862000000KB；A=14751.283600000KB；完整=156085.145600000KB。
VO展示系数=1；乘系数后为派生值，不能描述成实际序列化VO大小。
来源=/mnt/d/paper_source/work_9/VeriANN_repro_2026-09-30/VeriANN_repro_2026-09-30/results/work9-multidata-20261015/glove100/VLAH-curve-1183514/per_query.csv
SHA256=b221f658609a01c7ea9958df88caf17d4a7f3ed29126526575f64ab3bb6ba6e2</t>
      </text>
    </comment>
    <comment ref="K171" authorId="9" shapeId="0">
      <text>
        <t>VO字节拆分：VLAH, N=1183514, d=100, k=10；查询100..119×3，参数=200/56。
T为完整VO除去独立认证材料后的其余字节；A含query-binding hash32及认证证明编码。VLAH整段routing proof归A；MR未展开MBB归T，content digest归A，root/signature归A。
原始均值 T=141333.862000000KB；A=14751.283600000KB；完整=156085.145600000KB。
VO展示系数=1；乘系数后为派生值，不能描述成实际序列化VO大小。
来源=/mnt/d/paper_source/work_9/VeriANN_repro_2026-09-30/VeriANN_repro_2026-09-30/results/work9-multidata-20261015/glove100/VLAH-curve-1183514/per_query.csv
SHA256=b221f658609a01c7ea9958df88caf17d4a7f3ed29126526575f64ab3bb6ba6e2</t>
      </text>
    </comment>
    <comment ref="D172" authorId="9" shapeId="0">
      <text>
        <t>VO字节拆分：IVF-ADS, N=1183514, d=100, k=10；查询100..119×3，参数=64/64。
T为完整VO除去独立认证材料后的其余字节；A含query-binding hash32及认证证明编码。VLAH整段routing proof归A；MR未展开MBB归T，content digest归A，root/signature归A。
原始均值 T=120488.391200000KB；A=14206.017600000KB；完整=134694.408800000KB。
VO展示系数=1；乘系数后为派生值，不能描述成实际序列化VO大小。
来源=/mnt/d/paper_source/work_9/VeriANN_repro_2026-09-30/VeriANN_repro_2026-09-30/results/work9-vo-breakdown-20261023/glove100/ablation-1/variant-1/per_query.csv
SHA256=89d3720474a2068ac5f17fba34b48648fbd7e2fcb473f02cb8c94e168c184596</t>
      </text>
    </comment>
    <comment ref="E172" authorId="9" shapeId="0">
      <text>
        <t>VO字节拆分：IVF-ADS, N=1183514, d=100, k=10；查询100..119×3，参数=64/64。
T为完整VO除去独立认证材料后的其余字节；A含query-binding hash32及认证证明编码。VLAH整段routing proof归A；MR未展开MBB归T，content digest归A，root/signature归A。
原始均值 T=120488.391200000KB；A=14206.017600000KB；完整=134694.408800000KB。
VO展示系数=1；乘系数后为派生值，不能描述成实际序列化VO大小。
来源=/mnt/d/paper_source/work_9/VeriANN_repro_2026-09-30/VeriANN_repro_2026-09-30/results/work9-vo-breakdown-20261023/glove100/ablation-1/variant-1/per_query.csv
SHA256=89d3720474a2068ac5f17fba34b48648fbd7e2fcb473f02cb8c94e168c184596</t>
      </text>
    </comment>
    <comment ref="F172" authorId="9" shapeId="0">
      <text>
        <t>VO字节拆分：IVF-ADS, N=1183514, d=100, k=10；查询100..119×3，参数=64/64。
T为完整VO除去独立认证材料后的其余字节；A含query-binding hash32及认证证明编码。VLAH整段routing proof归A；MR未展开MBB归T，content digest归A，root/signature归A。
原始均值 T=120488.391200000KB；A=14206.017600000KB；完整=134694.408800000KB。
VO展示系数=1；乘系数后为派生值，不能描述成实际序列化VO大小。
来源=/mnt/d/paper_source/work_9/VeriANN_repro_2026-09-30/VeriANN_repro_2026-09-30/results/work9-vo-breakdown-20261023/glove100/ablation-1/variant-1/per_query.csv
SHA256=89d3720474a2068ac5f17fba34b48648fbd7e2fcb473f02cb8c94e168c184596</t>
      </text>
    </comment>
    <comment ref="G172" authorId="9" shapeId="0">
      <text>
        <t>VO字节拆分：IVF-ADS, N=1183514, d=100, k=10；查询100..119×3，参数=64/64。
T为完整VO除去独立认证材料后的其余字节；A含query-binding hash32及认证证明编码。VLAH整段routing proof归A；MR未展开MBB归T，content digest归A，root/signature归A。
原始均值 T=120488.391200000KB；A=14206.017600000KB；完整=134694.408800000KB。
VO展示系数=1；乘系数后为派生值，不能描述成实际序列化VO大小。
来源=/mnt/d/paper_source/work_9/VeriANN_repro_2026-09-30/VeriANN_repro_2026-09-30/results/work9-vo-breakdown-20261023/glove100/ablation-1/variant-1/per_query.csv
SHA256=89d3720474a2068ac5f17fba34b48648fbd7e2fcb473f02cb8c94e168c184596</t>
      </text>
    </comment>
    <comment ref="H172" authorId="9" shapeId="0">
      <text>
        <t>VO字节拆分：IVF-ADS, N=1183514, d=100, k=10；查询100..119×3，参数=64/64。
T为完整VO除去独立认证材料后的其余字节；A含query-binding hash32及认证证明编码。VLAH整段routing proof归A；MR未展开MBB归T，content digest归A，root/signature归A。
原始均值 T=120488.391200000KB；A=14206.017600000KB；完整=134694.408800000KB。
VO展示系数=1；乘系数后为派生值，不能描述成实际序列化VO大小。
来源=/mnt/d/paper_source/work_9/VeriANN_repro_2026-09-30/VeriANN_repro_2026-09-30/results/work9-vo-breakdown-20261023/glove100/ablation-1/variant-1/per_query.csv
SHA256=89d3720474a2068ac5f17fba34b48648fbd7e2fcb473f02cb8c94e168c184596</t>
      </text>
    </comment>
    <comment ref="I172" authorId="9" shapeId="0">
      <text>
        <t>VO字节拆分：IVF-ADS, N=1183514, d=100, k=10；查询100..119×3，参数=64/64。
T为完整VO除去独立认证材料后的其余字节；A含query-binding hash32及认证证明编码。VLAH整段routing proof归A；MR未展开MBB归T，content digest归A，root/signature归A。
原始均值 T=120488.391200000KB；A=14206.017600000KB；完整=134694.408800000KB。
VO展示系数=1；乘系数后为派生值，不能描述成实际序列化VO大小。
来源=/mnt/d/paper_source/work_9/VeriANN_repro_2026-09-30/VeriANN_repro_2026-09-30/results/work9-vo-breakdown-20261023/glove100/ablation-1/variant-1/per_query.csv
SHA256=89d3720474a2068ac5f17fba34b48648fbd7e2fcb473f02cb8c94e168c184596</t>
      </text>
    </comment>
    <comment ref="J172" authorId="9" shapeId="0">
      <text>
        <t>VO字节拆分：IVF-ADS, N=1183514, d=100, k=10；查询100..119×3，参数=64/64。
T为完整VO除去独立认证材料后的其余字节；A含query-binding hash32及认证证明编码。VLAH整段routing proof归A；MR未展开MBB归T，content digest归A，root/signature归A。
原始均值 T=120488.391200000KB；A=14206.017600000KB；完整=134694.408800000KB。
VO展示系数=1；乘系数后为派生值，不能描述成实际序列化VO大小。
来源=/mnt/d/paper_source/work_9/VeriANN_repro_2026-09-30/VeriANN_repro_2026-09-30/results/work9-vo-breakdown-20261023/glove100/ablation-1/variant-1/per_query.csv
SHA256=89d3720474a2068ac5f17fba34b48648fbd7e2fcb473f02cb8c94e168c184596</t>
      </text>
    </comment>
    <comment ref="K172" authorId="9" shapeId="0">
      <text>
        <t>VO字节拆分：IVF-ADS, N=1183514, d=100, k=10；查询100..119×3，参数=64/64。
T为完整VO除去独立认证材料后的其余字节；A含query-binding hash32及认证证明编码。VLAH整段routing proof归A；MR未展开MBB归T，content digest归A，root/signature归A。
原始均值 T=120488.391200000KB；A=14206.017600000KB；完整=134694.408800000KB。
VO展示系数=1；乘系数后为派生值，不能描述成实际序列化VO大小。
来源=/mnt/d/paper_source/work_9/VeriANN_repro_2026-09-30/VeriANN_repro_2026-09-30/results/work9-vo-breakdown-20261023/glove100/ablation-1/variant-1/per_query.csv
SHA256=89d3720474a2068ac5f17fba34b48648fbd7e2fcb473f02cb8c94e168c184596</t>
      </text>
    </comment>
    <comment ref="D173" authorId="9" shapeId="0">
      <text>
        <t>VO字节拆分：HNSW-ADS, N=1183514, d=100, k=10；查询100..119×3，参数=1280/1。
T为完整VO除去独立认证材料后的其余字节；A含query-binding hash32及认证证明编码。VLAH整段routing proof归A；MR未展开MBB归T，content digest归A，root/signature归A。
原始均值 T=12885.790800000KB；A=2606.818400000KB；完整=15492.609200000KB。
VO展示系数=1；乘系数后为派生值，不能描述成实际序列化VO大小。
来源=/mnt/d/paper_source/work_9/VeriANN_repro_2026-09-30/VeriANN_repro_2026-09-30/results/work9-vo-breakdown-20261023/glove100/ablation-2/variant-2/per_query.csv
SHA256=a76cabbbd593a3d7c5d2d9875b5b897d38f05e361ff0b1180d3d1893ddc34df0</t>
      </text>
    </comment>
    <comment ref="E173" authorId="9" shapeId="0">
      <text>
        <t>VO字节拆分：HNSW-ADS, N=1183514, d=100, k=10；查询100..119×3，参数=1280/1。
T为完整VO除去独立认证材料后的其余字节；A含query-binding hash32及认证证明编码。VLAH整段routing proof归A；MR未展开MBB归T，content digest归A，root/signature归A。
原始均值 T=12885.790800000KB；A=2606.818400000KB；完整=15492.609200000KB。
VO展示系数=1；乘系数后为派生值，不能描述成实际序列化VO大小。
来源=/mnt/d/paper_source/work_9/VeriANN_repro_2026-09-30/VeriANN_repro_2026-09-30/results/work9-vo-breakdown-20261023/glove100/ablation-2/variant-2/per_query.csv
SHA256=a76cabbbd593a3d7c5d2d9875b5b897d38f05e361ff0b1180d3d1893ddc34df0</t>
      </text>
    </comment>
    <comment ref="F173" authorId="9" shapeId="0">
      <text>
        <t>VO字节拆分：HNSW-ADS, N=1183514, d=100, k=10；查询100..119×3，参数=1280/1。
T为完整VO除去独立认证材料后的其余字节；A含query-binding hash32及认证证明编码。VLAH整段routing proof归A；MR未展开MBB归T，content digest归A，root/signature归A。
原始均值 T=12885.790800000KB；A=2606.818400000KB；完整=15492.609200000KB。
VO展示系数=1；乘系数后为派生值，不能描述成实际序列化VO大小。
来源=/mnt/d/paper_source/work_9/VeriANN_repro_2026-09-30/VeriANN_repro_2026-09-30/results/work9-vo-breakdown-20261023/glove100/ablation-2/variant-2/per_query.csv
SHA256=a76cabbbd593a3d7c5d2d9875b5b897d38f05e361ff0b1180d3d1893ddc34df0</t>
      </text>
    </comment>
    <comment ref="G173" authorId="9" shapeId="0">
      <text>
        <t>VO字节拆分：HNSW-ADS, N=1183514, d=100, k=10；查询100..119×3，参数=1280/1。
T为完整VO除去独立认证材料后的其余字节；A含query-binding hash32及认证证明编码。VLAH整段routing proof归A；MR未展开MBB归T，content digest归A，root/signature归A。
原始均值 T=12885.790800000KB；A=2606.818400000KB；完整=15492.609200000KB。
VO展示系数=1；乘系数后为派生值，不能描述成实际序列化VO大小。
来源=/mnt/d/paper_source/work_9/VeriANN_repro_2026-09-30/VeriANN_repro_2026-09-30/results/work9-vo-breakdown-20261023/glove100/ablation-2/variant-2/per_query.csv
SHA256=a76cabbbd593a3d7c5d2d9875b5b897d38f05e361ff0b1180d3d1893ddc34df0</t>
      </text>
    </comment>
    <comment ref="H173" authorId="9" shapeId="0">
      <text>
        <t>VO字节拆分：HNSW-ADS, N=1183514, d=100, k=10；查询100..119×3，参数=1280/1。
T为完整VO除去独立认证材料后的其余字节；A含query-binding hash32及认证证明编码。VLAH整段routing proof归A；MR未展开MBB归T，content digest归A，root/signature归A。
原始均值 T=12885.790800000KB；A=2606.818400000KB；完整=15492.609200000KB。
VO展示系数=1；乘系数后为派生值，不能描述成实际序列化VO大小。
来源=/mnt/d/paper_source/work_9/VeriANN_repro_2026-09-30/VeriANN_repro_2026-09-30/results/work9-vo-breakdown-20261023/glove100/ablation-2/variant-2/per_query.csv
SHA256=a76cabbbd593a3d7c5d2d9875b5b897d38f05e361ff0b1180d3d1893ddc34df0</t>
      </text>
    </comment>
    <comment ref="I173" authorId="9" shapeId="0">
      <text>
        <t>VO字节拆分：HNSW-ADS, N=1183514, d=100, k=10；查询100..119×3，参数=1280/1。
T为完整VO除去独立认证材料后的其余字节；A含query-binding hash32及认证证明编码。VLAH整段routing proof归A；MR未展开MBB归T，content digest归A，root/signature归A。
原始均值 T=12885.790800000KB；A=2606.818400000KB；完整=15492.609200000KB。
VO展示系数=1；乘系数后为派生值，不能描述成实际序列化VO大小。
来源=/mnt/d/paper_source/work_9/VeriANN_repro_2026-09-30/VeriANN_repro_2026-09-30/results/work9-vo-breakdown-20261023/glove100/ablation-2/variant-2/per_query.csv
SHA256=a76cabbbd593a3d7c5d2d9875b5b897d38f05e361ff0b1180d3d1893ddc34df0</t>
      </text>
    </comment>
    <comment ref="J173" authorId="9" shapeId="0">
      <text>
        <t>VO字节拆分：HNSW-ADS, N=1183514, d=100, k=10；查询100..119×3，参数=1280/1。
T为完整VO除去独立认证材料后的其余字节；A含query-binding hash32及认证证明编码。VLAH整段routing proof归A；MR未展开MBB归T，content digest归A，root/signature归A。
原始均值 T=12885.790800000KB；A=2606.818400000KB；完整=15492.609200000KB。
VO展示系数=1；乘系数后为派生值，不能描述成实际序列化VO大小。
来源=/mnt/d/paper_source/work_9/VeriANN_repro_2026-09-30/VeriANN_repro_2026-09-30/results/work9-vo-breakdown-20261023/glove100/ablation-2/variant-2/per_query.csv
SHA256=a76cabbbd593a3d7c5d2d9875b5b897d38f05e361ff0b1180d3d1893ddc34df0</t>
      </text>
    </comment>
    <comment ref="K173" authorId="9" shapeId="0">
      <text>
        <t>VO字节拆分：HNSW-ADS, N=1183514, d=100, k=10；查询100..119×3，参数=1280/1。
T为完整VO除去独立认证材料后的其余字节；A含query-binding hash32及认证证明编码。VLAH整段routing proof归A；MR未展开MBB归T，content digest归A，root/signature归A。
原始均值 T=12885.790800000KB；A=2606.818400000KB；完整=15492.609200000KB。
VO展示系数=1；乘系数后为派生值，不能描述成实际序列化VO大小。
来源=/mnt/d/paper_source/work_9/VeriANN_repro_2026-09-30/VeriANN_repro_2026-09-30/results/work9-vo-breakdown-20261023/glove100/ablation-2/variant-2/per_query.csv
SHA256=a76cabbbd593a3d7c5d2d9875b5b897d38f05e361ff0b1180d3d1893ddc34df0</t>
      </text>
    </comment>
    <comment ref="D174" authorId="9" shapeId="0">
      <text>
        <t>QVANN (Ours)，默认SQ4--SQ6--raw；实际VO拆分，20查询×3。
T=record_bytes-32；A=local_proof_bytes+route_proof_bytes+32；32字节为query绑定哈希。
N=1183514，E=1536; SQ4--SQ6--raw。
来源=/mnt/d/paper_source/work_9/VeriANN_repro_2026-09-30/VeriANN_repro_2026-09-30/results/work9-multidata-20261015/glove100/Ours-curve-1183514/per_query.csv
SHA256=f98ab6db65bac7c9e55d57894bfb148c5dcf698dceab08728dfb06948ca46680
与本轮量化配置实测的默认组逐条VO长度和召回一致；未乘任何系数。</t>
      </text>
    </comment>
    <comment ref="E174" authorId="9" shapeId="0">
      <text>
        <t>QVANN (Ours)，默认SQ4--SQ6--raw；实际VO拆分，20查询×3。
T=record_bytes-32；A=local_proof_bytes+route_proof_bytes+32；32字节为query绑定哈希。
N=1183514，E=1536; SQ4--SQ6--raw。
来源=/mnt/d/paper_source/work_9/VeriANN_repro_2026-09-30/VeriANN_repro_2026-09-30/results/work9-multidata-20261015/glove100/Ours-curve-1183514/per_query.csv
SHA256=f98ab6db65bac7c9e55d57894bfb148c5dcf698dceab08728dfb06948ca46680
与本轮量化配置实测的默认组逐条VO长度和召回一致；未乘任何系数。</t>
      </text>
    </comment>
    <comment ref="F174" authorId="9" shapeId="0">
      <text>
        <t>QVANN (Ours)，默认SQ4--SQ6--raw；实际VO拆分，20查询×3。
T=record_bytes-32；A=local_proof_bytes+route_proof_bytes+32；32字节为query绑定哈希。
N=1183514，E=1536; SQ4--SQ6--raw。
来源=/mnt/d/paper_source/work_9/VeriANN_repro_2026-09-30/VeriANN_repro_2026-09-30/results/work9-multidata-20261015/glove100/Ours-curve-1183514/per_query.csv
SHA256=f98ab6db65bac7c9e55d57894bfb148c5dcf698dceab08728dfb06948ca46680
与本轮量化配置实测的默认组逐条VO长度和召回一致；未乘任何系数。</t>
      </text>
    </comment>
    <comment ref="G174" authorId="9" shapeId="0">
      <text>
        <t>QVANN (Ours)，默认SQ4--SQ6--raw；实际VO拆分，20查询×3。
T=record_bytes-32；A=local_proof_bytes+route_proof_bytes+32；32字节为query绑定哈希。
N=1183514，E=1536; SQ4--SQ6--raw。
来源=/mnt/d/paper_source/work_9/VeriANN_repro_2026-09-30/VeriANN_repro_2026-09-30/results/work9-multidata-20261015/glove100/Ours-curve-1183514/per_query.csv
SHA256=f98ab6db65bac7c9e55d57894bfb148c5dcf698dceab08728dfb06948ca46680
与本轮量化配置实测的默认组逐条VO长度和召回一致；未乘任何系数。</t>
      </text>
    </comment>
    <comment ref="H174" authorId="9" shapeId="0">
      <text>
        <t>QVANN (Ours)，默认SQ4--SQ6--raw；实际VO拆分，20查询×3。
T=record_bytes-32；A=local_proof_bytes+route_proof_bytes+32；32字节为query绑定哈希。
N=1183514，E=1536; SQ4--SQ6--raw。
来源=/mnt/d/paper_source/work_9/VeriANN_repro_2026-09-30/VeriANN_repro_2026-09-30/results/work9-multidata-20261015/glove100/Ours-curve-1183514/per_query.csv
SHA256=f98ab6db65bac7c9e55d57894bfb148c5dcf698dceab08728dfb06948ca46680
与本轮量化配置实测的默认组逐条VO长度和召回一致；未乘任何系数。</t>
      </text>
    </comment>
    <comment ref="I174" authorId="9" shapeId="0">
      <text>
        <t>QVANN (Ours)，默认SQ4--SQ6--raw；实际VO拆分，20查询×3。
T=record_bytes-32；A=local_proof_bytes+route_proof_bytes+32；32字节为query绑定哈希。
N=1183514，E=1536; SQ4--SQ6--raw。
来源=/mnt/d/paper_source/work_9/VeriANN_repro_2026-09-30/VeriANN_repro_2026-09-30/results/work9-multidata-20261015/glove100/Ours-curve-1183514/per_query.csv
SHA256=f98ab6db65bac7c9e55d57894bfb148c5dcf698dceab08728dfb06948ca46680
与本轮量化配置实测的默认组逐条VO长度和召回一致；未乘任何系数。</t>
      </text>
    </comment>
    <comment ref="J174" authorId="9" shapeId="0">
      <text>
        <t>QVANN (Ours)，默认SQ4--SQ6--raw；实际VO拆分，20查询×3。
T=record_bytes-32；A=local_proof_bytes+route_proof_bytes+32；32字节为query绑定哈希。
N=1183514，E=1536; SQ4--SQ6--raw。
来源=/mnt/d/paper_source/work_9/VeriANN_repro_2026-09-30/VeriANN_repro_2026-09-30/results/work9-multidata-20261015/glove100/Ours-curve-1183514/per_query.csv
SHA256=f98ab6db65bac7c9e55d57894bfb148c5dcf698dceab08728dfb06948ca46680
与本轮量化配置实测的默认组逐条VO长度和召回一致；未乘任何系数。</t>
      </text>
    </comment>
    <comment ref="K174" authorId="9" shapeId="0">
      <text>
        <t>QVANN (Ours)，默认SQ4--SQ6--raw；实际VO拆分，20查询×3。
T=record_bytes-32；A=local_proof_bytes+route_proof_bytes+32；32字节为query绑定哈希。
N=1183514，E=1536; SQ4--SQ6--raw。
来源=/mnt/d/paper_source/work_9/VeriANN_repro_2026-09-30/VeriANN_repro_2026-09-30/results/work9-multidata-20261015/glove100/Ours-curve-1183514/per_query.csv
SHA256=f98ab6db65bac7c9e55d57894bfb148c5dcf698dceab08728dfb06948ca46680
与本轮量化配置实测的默认组逐条VO长度和召回一致；未乘任何系数。</t>
      </text>
    </comment>
  </commentList>
</comments>
</file>

<file path=xl/comments/comment4.xml><?xml version="1.0" encoding="utf-8"?>
<comments xmlns="http://schemas.openxmlformats.org/spreadsheetml/2006/main">
  <authors>
    <author>实测来源</author>
    <author>索引实测来源</author>
    <author>ANNProof 系数调整</author>
    <author>V3DB单次来源</author>
    <author>Chen13 实验来源</author>
    <author>Chen13</author>
    <author>低召回补测来源</author>
    <author>Codex</author>
    <author>V3DB低召回实测</author>
    <author>512GiB预测来源</author>
    <author>V3DB预测来源</author>
  </authors>
  <commentList>
    <comment ref="E9" authorId="0" shapeId="0">
      <text>
        <t>DEEP1M; VLAH; N=1000000; M=16; efConstruction=200; k=10;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F9" authorId="0" shapeId="0">
      <text>
        <t>DEEP1M; VLAH; N=1000000; M=16; efConstruction=200; k=10;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G9" authorId="0" shapeId="0">
      <text>
        <t>DEEP1M; VLAH; N=1000000; M=16; efConstruction=200; k=10;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H9" authorId="0" shapeId="0">
      <text>
        <t>DEEP1M; VLAH; N=1000000; M=16; efConstruction=200; k=10;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I9" authorId="1" shapeId="0">
      <text>
        <t>{
  "status": "实测",
  "dataset": "deep1m",
  "method": "VLAH",
  "metric": "total_bytes",
  "unit": "MB (1,000,000 bytes)",
  "N": 1000000,
  "D": 96,
  "threads": 1,
  "build_repeats": 1,
  "search_bytes": 582432828,
  "auth_bytes": 104876356,
  "index_seconds": 102.574272022,
  "ads_seconds": 1.6652177540000004,
  "source": "/mnt/d/paper_source/work_9/VeriANN_repro_2026-09-30/VeriANN_repro_2026-09-30/results/work9-index-20261017/deep1m/VLAH/measurement.json",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0.3456967236059823
  },
  "rebuild_caveat": "Same parameters as query table, freshly rebuilt with 1 thread. Historical graphs trained with more threads may differ in edges/tie assignments. Query results are not overwritten."
}</t>
      </text>
    </comment>
    <comment ref="J9" authorId="1" shapeId="0">
      <text>
        <t>{
  "status": "实测",
  "dataset": "deep1m",
  "method": "VLAH",
  "metric": "construct_seconds",
  "unit": "seconds",
  "N": 1000000,
  "D": 96,
  "threads": 1,
  "build_repeats": 1,
  "search_bytes": 582432828,
  "auth_bytes": 104876356,
  "index_seconds": 102.574272022,
  "ads_seconds": 1.6652177540000004,
  "source": "/mnt/d/paper_source/work_9/VeriANN_repro_2026-09-30/VeriANN_repro_2026-09-30/results/work9-index-20261017/deep1m/VLAH/measurement.json",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0.3456967236059823
  },
  "rebuild_caveat": "Same parameters as query table, freshly rebuilt with 1 thread. Historical graphs trained with more threads may differ in edges/tie assignments. Query results are not overwritten."
}</t>
      </text>
    </comment>
    <comment ref="D10" authorId="2" shapeId="0">
      <text>
        <t xml:space="preserve">* 表示性能指标为用户指定系数调整值，不是原始实测值。配置及实际召回见原始补测附表。
原有批注（历史来源）：
</t>
      </text>
    </comment>
    <comment ref="E10" authorId="0" shapeId="0">
      <text>
        <t>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F10" authorId="2" shapeId="0">
      <text>
        <t>用户指定系数调整值；不是原始实测数值。指标=query_ms；原始值=3.1586569333333299；系数=1.2；调整值=3.7903883199999955。召回率不调整。原始CSV/附表保留。
原有批注（历史来源）：
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G10" authorId="2" shapeId="0">
      <text>
        <t>用户指定系数调整值；不是原始实测数值。指标=vo_kb；原始值=1154.7937999999999；系数=2.0；调整值=2309.5875999999998。召回率不调整。原始CSV/附表保留。
原有批注（历史来源）：
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H10" authorId="2" shapeId="0">
      <text>
        <t>用户指定系数调整值；不是原始实测数值。指标=verify_ms；原始值=15.4261976166667；系数=1.5；调整值=23.139296425000051。召回率不调整。原始CSV/附表保留。
原有批注（历史来源）：
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I10" authorId="1" shapeId="0">
      <text>
        <t>{
  "status": "实测",
  "dataset": "deep1m",
  "method": "ANNProof",
  "metric": "total_bytes",
  "unit": "MB (1,000,000 bytes)",
  "N": 1000000,
  "D": 96,
  "threads": 1,
  "build_repeats": 1,
  "search_bytes": 511173980,
  "auth_bytes": 209741652,
  "index_seconds": 447.507873006,
  "ads_seconds": 6.811195671,
  "source": "/mnt/d/paper_source/work_9/VeriANN_repro_2026-09-30/VeriANN_repro_2026-09-30/results/work9-index-20261017/deep1m/ANNProof/measurement.json",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0.3456967236059823
  },
  "rebuild_caveat": "Same parameters as query table, freshly rebuilt with 1 thread. Historical graphs trained with more threads may differ in edges/tie assignments. Query results are not overwritten."
}</t>
      </text>
    </comment>
    <comment ref="J10" authorId="1" shapeId="0">
      <text>
        <t>{
  "status": "实测",
  "dataset": "deep1m",
  "method": "ANNProof",
  "metric": "construct_seconds",
  "unit": "seconds",
  "N": 1000000,
  "D": 96,
  "threads": 1,
  "build_repeats": 1,
  "search_bytes": 511173980,
  "auth_bytes": 209741652,
  "index_seconds": 447.507873006,
  "ads_seconds": 6.811195671,
  "source": "/mnt/d/paper_source/work_9/VeriANN_repro_2026-09-30/VeriANN_repro_2026-09-30/results/work9-index-20261017/deep1m/ANNProof/measurement.json",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0.3456967236059823
  },
  "rebuild_caveat": "Same parameters as query table, freshly rebuilt with 1 thread. Historical graphs trained with more threads may differ in edges/tie assignments. Query results are not overwritten."
}</t>
      </text>
    </comment>
    <comment ref="E11"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F11"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G11"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H11"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I11" authorId="1" shapeId="0">
      <text>
        <t>{
  "status": "实测",
  "dataset": "deep1m",
  "method": "Ours",
  "metric": "total_bytes",
  "unit": "MB (1,000,000 bytes)",
  "N": 1000000,
  "D": 96,
  "threads": 1,
  "build_repeats": 1,
  "search_bytes": 600259162,
  "auth_bytes": 276436132,
  "index_seconds": 453.77338769,
  "ads_seconds": 8.010350598,
  "source": "/mnt/d/paper_source/work_9/VeriANN_repro_2026-09-30/VeriANN_repro_2026-09-30/results/work9-index-20261017/deep1m/Ours/measurement.json",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0.3456967236059823
  },
  "rebuild_caveat": "Same parameters as query table, freshly rebuilt with 1 thread. Historical graphs trained with more threads may differ in edges/tie assignments. Query results are not overwritten."
}</t>
      </text>
    </comment>
    <comment ref="J11" authorId="1" shapeId="0">
      <text>
        <t>{
  "status": "实测",
  "dataset": "deep1m",
  "method": "Ours",
  "metric": "construct_seconds",
  "unit": "seconds",
  "N": 1000000,
  "D": 96,
  "threads": 1,
  "build_repeats": 1,
  "search_bytes": 600259162,
  "auth_bytes": 276436132,
  "index_seconds": 453.77338769,
  "ads_seconds": 8.010350598,
  "source": "/mnt/d/paper_source/work_9/VeriANN_repro_2026-09-30/VeriANN_repro_2026-09-30/results/work9-index-20261017/deep1m/Ours/measurement.json",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0.3456967236059823
  },
  "rebuild_caveat": "Same parameters as query table, freshly rebuilt with 1 thread. Historical graphs trained with more threads may differ in edges/tie assignments. Query results are not overwritten."
}</t>
      </text>
    </comment>
    <comment ref="E12" authorId="3" shapeId="0">
      <text>
        <t>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F12" authorId="3" shapeId="0">
      <text>
        <t>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G12" authorId="3" shapeId="0">
      <text>
        <t>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H12" authorId="3" shapeId="0">
      <text>
        <t>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I12" authorId="1" shapeId="0">
      <text>
        <t>{
  "status": "实测",
  "dataset": "deep1m",
  "method": "V3DB",
  "metric": "total_bytes",
  "unit": "MB (1,000,000 bytes)",
  "N": 1000000,
  "D": 96,
  "threads": 1,
  "build_repeats": 1,
  "search_bytes": 393582882,
  "auth_bytes": 8724,
  "index_seconds": 118.50429090699981,
  "ads_seconds": 35.61023839599966,
  "source": "/mnt/d/paper_source/work_9/VeriANN_repro_2026-09-30/VeriANN_repro_2026-09-30/results/work9-index-20261017/deep1m/V3DB/measurement.json",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"dataset": "deep1m",
    "source": "deep1m",
    "N": 1000000,
    "D": 96,
    "n_list": 1024,
    "M": 96,
    "K": 1024,
    "n_iter": 25,
    "seed": 0,
    "capacity": 2048,
    "query_offset": 100,
    "query_count": 20,
    "scale": 65536,
    "rebalance": "author algorithm with identical row-chunk distances"
  },
  "rebuild_caveat": "Same parameters as query table, freshly rebuilt with 1 thread. Historical graphs trained with more threads may differ in edges/tie assignments. Query results are not overwritten."
}</t>
      </text>
    </comment>
    <comment ref="J12" authorId="1" shapeId="0">
      <text>
        <t>{
  "status": "实测",
  "dataset": "deep1m",
  "method": "V3DB",
  "metric": "construct_seconds",
  "unit": "seconds",
  "N": 1000000,
  "D": 96,
  "threads": 1,
  "build_repeats": 1,
  "search_bytes": 393582882,
  "auth_bytes": 8724,
  "index_seconds": 118.50429090699981,
  "ads_seconds": 35.61023839599966,
  "source": "/mnt/d/paper_source/work_9/VeriANN_repro_2026-09-30/VeriANN_repro_2026-09-30/results/work9-index-20261017/deep1m/V3DB/measurement.json",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"dataset": "deep1m",
    "source": "deep1m",
    "N": 1000000,
    "D": 96,
    "n_list": 1024,
    "M": 96,
    "K": 1024,
    "n_iter": 25,
    "seed": 0,
    "capacity": 2048,
    "query_offset": 100,
    "query_count": 20,
    "scale": 65536,
    "rebalance": "author algorithm with identical row-chunk distances"
  },
  "rebuild_caveat": "Same parameters as query table, freshly rebuilt with 1 thread. Historical graphs trained with more threads may differ in edges/tie assignments. Query results are not overwritten."
}</t>
      </text>
    </comment>
    <comment ref="E13" authorId="4" shapeId="0">
      <text>
        <t>四数据集默认 k=10；20条×3次，单线程实测。精确召回100%，不是95%匹配点。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F13" authorId="4" shapeId="0">
      <text>
        <t>四数据集默认 k=10；20条×3次，单线程实测。精确召回100%，不是95%匹配点。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G13" authorId="4" shapeId="0">
      <text>
        <t>四数据集默认 k=10；20条×3次，单线程实测。精确召回100%，不是95%匹配点。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H13" authorId="4" shapeId="0">
      <text>
        <t>四数据集默认 k=10；20条×3次，单线程实测。精确召回100%，不是95%匹配点。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I13" authorId="4" shapeId="0">
      <text>
        <t>一次全新单线程构建；无压缩完整服务快照；构建排除最终快照写盘、GT及输入加载。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J13" authorId="4" shapeId="0">
      <text>
        <t>一次全新单线程构建；无压缩完整服务快照；构建排除最终快照写盘、GT及输入加载。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Z17" authorId="5" shapeId="0">
      <text>
        <t>新增精确方法100%参考点；其他已有方法及原15–99%列保持原值。</t>
      </text>
    </comment>
    <comment ref="F21"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0.15, "selection": {"ef": 100, "probes": 1, "recall": 0.275, "valid": true, "pilot": "/mnt/d/paper_source/work_9/VeriANN_repro_2026-09-30/VeriANN_repro_2026-09-30/results/work9-low-baselines-20261021/search-pilots/deep1m/VLAH-pilot-1000000-resource-phase0-e0a11beec5"}}</t>
      </text>
    </comment>
    <comment ref="G21"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0.2, "selection": {"ef": 100, "probes": 1, "recall": 0.275, "valid": true, "pilot": "/mnt/d/paper_source/work_9/VeriANN_repro_2026-09-30/VeriANN_repro_2026-09-30/results/work9-low-baselines-20261021/search-pilots/deep1m/VLAH-pilot-1000000-resource-phase0-e0a11beec5"}}</t>
      </text>
    </comment>
    <comment ref="H21"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0.25, "selection": {"ef": 100, "probes": 1, "recall": 0.275, "valid": true, "pilot": "/mnt/d/paper_source/work_9/VeriANN_repro_2026-09-30/VeriANN_repro_2026-09-30/results/work9-low-baselines-20261021/search-pilots/deep1m/VLAH-pilot-1000000-resource-phase0-e0a11beec5"}}</t>
      </text>
    </comment>
    <comment ref="I21" authorId="6" shapeId="0">
      <text>
        <t>仅补充低召回率曲线；默认约95%配置及其数据保持不变。20条查询IDs100..119×3次，单线程，完整VO生成与验证。目标和实际召回不同，填实际值。
{"k": 10, "ef": 100, "probes": 2, "recall": 0.335, "query_ms": 4.1886872833333335, "verify_ms": 11.876994166666666, "vo_kb": 1615.29855, "samples": 60, "status": "passed", "output": "/mnt/d/paper_source/work_9/VeriANN_repro_2026-09-30/VeriANN_repro_2026-09-30/results/work9-low-baselines-20261021/deep1m/VLAH/deep1m-1000000-low-e100", "csv_sha256": "e67bf57b17c3784f4b56a91eadd38c79a4548f0b427411a68ec53a03648dfcbd", "target": 0.3, "selection": {"ef": 100, "probes": 2, "recall": 0.335, "valid": true, "pilot": "/mnt/d/paper_source/work_9/VeriANN_repro_2026-09-30/VeriANN_repro_2026-09-30/results/work9-low-baselines-20261021/search-pilots/deep1m/VLAH-pilot-1000000-resource-phase0-e0a11beec5"}}</t>
      </text>
    </comment>
    <comment ref="J21" authorId="6" shapeId="0">
      <text>
        <t>仅补充低召回率曲线；默认约95%配置及其数据保持不变。20条查询IDs100..119×3次，单线程，完整VO生成与验证。目标和实际召回不同，填实际值。
{"k": 10, "ef": 100, "probes": 3, "recall": 0.42, "query_ms": 6.5194995166666665, "verify_ms": 18.479655400000002, "vo_kb": 2448.14225, "samples": 60, "status": "passed", "output": "/mnt/d/paper_source/work_9/VeriANN_repro_2026-09-30/VeriANN_repro_2026-09-30/results/work9-low-baselines-20261021/deep1m/VLAH/deep1m-1000000-low-e100", "csv_sha256": "e67bf57b17c3784f4b56a91eadd38c79a4548f0b427411a68ec53a03648dfcbd", "target": 0.35, "selection": {"ef": 100, "probes": 3, "recall": 0.42000000000000004, "valid": true, "pilot": "/mnt/d/paper_source/work_9/VeriANN_repro_2026-09-30/VeriANN_repro_2026-09-30/results/work9-low-baselines-20261021/search-pilots/deep1m/VLAH-pilot-1000000-resource-phase0-e0a11beec5"}}</t>
      </text>
    </comment>
    <comment ref="K21" authorId="6" shapeId="0">
      <text>
        <t>仅补充低召回率曲线；默认约95%配置及其数据保持不变。20条查询IDs100..119×3次，单线程，完整VO生成与验证。目标和实际召回不同，填实际值。
{"k": 10, "ef": 100, "probes": 3, "recall": 0.42, "query_ms": 6.5194995166666665, "verify_ms": 18.479655400000002, "vo_kb": 2448.14225, "samples": 60, "status": "passed", "output": "/mnt/d/paper_source/work_9/VeriANN_repro_2026-09-30/VeriANN_repro_2026-09-30/results/work9-low-baselines-20261021/deep1m/VLAH/deep1m-1000000-low-e100", "csv_sha256": "e67bf57b17c3784f4b56a91eadd38c79a4548f0b427411a68ec53a03648dfcbd", "target": 0.4, "selection": {"ef": 100, "probes": 3, "recall": 0.42000000000000004, "valid": true, "pilot": "/mnt/d/paper_source/work_9/VeriANN_repro_2026-09-30/VeriANN_repro_2026-09-30/results/work9-low-baselines-20261021/search-pilots/deep1m/VLAH-pilot-1000000-resource-phase0-e0a11beec5"}}</t>
      </text>
    </comment>
    <comment ref="L21" authorId="6" shapeId="0">
      <text>
        <t>仅补充低召回率曲线；默认约95%配置及其数据保持不变。20条查询IDs100..119×3次，单线程，完整VO生成与验证。目标和实际召回不同，填实际值。
{"k": 10, "ef": 100, "probes": 4, "recall": 0.46499999999999997, "query_ms": 8.625205183333334, "verify_ms": 24.902328833333335, "vo_kb": 3303.2460499999997, "samples": 60, "status": "passed", "output": "/mnt/d/paper_source/work_9/VeriANN_repro_2026-09-30/VeriANN_repro_2026-09-30/results/work9-low-baselines-20261021/deep1m/VLAH/deep1m-1000000-low-e100", "csv_sha256": "e67bf57b17c3784f4b56a91eadd38c79a4548f0b427411a68ec53a03648dfcbd", "target": 0.45, "selection": {"ef": 100, "probes": 4, "recall": 0.465, "valid": true, "pilot": "/mnt/d/paper_source/work_9/VeriANN_repro_2026-09-30/VeriANN_repro_2026-09-30/results/work9-low-baselines-20261021/search-pilots/deep1m/VLAH-pilot-1000000-resource-phase0-e0a11beec5"}}</t>
      </text>
    </comment>
    <comment ref="M21" authorId="6" shapeId="0">
      <text>
        <t>仅补充低召回率曲线；默认约95%配置及其数据保持不变。20条查询IDs100..119×3次，单线程，完整VO生成与验证。目标和实际召回不同，填实际值。
{"k": 10, "ef": 100, "probes": 5, "recall": 0.51, "query_ms": 11.012350833333333, "verify_ms": 31.6761766, "vo_kb": 4141.71375, "samples": 60, "status": "passed", "output": "/mnt/d/paper_source/work_9/VeriANN_repro_2026-09-30/VeriANN_repro_2026-09-30/results/work9-low-baselines-20261021/deep1m/VLAH/deep1m-1000000-low-e100", "csv_sha256": "e67bf57b17c3784f4b56a91eadd38c79a4548f0b427411a68ec53a03648dfcbd", "target": 0.5, "selection": {"ef": 100, "probes": 5, "recall": 0.51, "valid": true, "pilot": "/mnt/d/paper_source/work_9/VeriANN_repro_2026-09-30/VeriANN_repro_2026-09-30/results/work9-low-baselines-20261021/search-pilots/deep1m/VLAH-pilot-1000000-resource-phase0-e0a11beec5"}}</t>
      </text>
    </comment>
    <comment ref="N21" authorId="6" shapeId="0">
      <text>
        <t>仅补充低召回率曲线；默认约95%配置及其数据保持不变。20条查询IDs100..119×3次，单线程，完整VO生成与验证。目标和实际召回不同，填实际值。
{"k": 10, "ef": 100, "probes": 7, "recall": 0.56, "query_ms": 15.354236049999999, "verify_ms": 44.18257766666667, "vo_kb": 5792.28255, "samples": 60, "status": "passed", "output": "/mnt/d/paper_source/work_9/VeriANN_repro_2026-09-30/VeriANN_repro_2026-09-30/results/work9-low-baselines-20261021/deep1m/VLAH/deep1m-1000000-low-e100", "csv_sha256": "e67bf57b17c3784f4b56a91eadd38c79a4548f0b427411a68ec53a03648dfcbd", "target": 0.55, "selection": {"ef": 100, "probes": 7, "recall": 0.5599999999999999, "valid": true, "pilot": "/mnt/d/paper_source/work_9/VeriANN_repro_2026-09-30/VeriANN_repro_2026-09-30/results/work9-low-baselines-20261021/search-pilots/deep1m/VLAH-pilot-1000000-resource-phase0-e0a11beec5"}}</t>
      </text>
    </comment>
    <comment ref="O21" authorId="0" shapeId="0">
      <text>
        <t>DEEP1M; VLAH; N=1000000; M=16; efConstruction=200; k=10; efSearch/E=100; probes=9; LSH width=0.3456967236059823
Actual recall=60.5000%;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P21" authorId="0" shapeId="0">
      <text>
        <t>DEEP1M; VLAH; N=1000000; M=16; efConstruction=200; k=10; efSearch/E=100; probes=12; LSH width=0.3456967236059823
Actual recall=65.5000%;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Q21" authorId="0" shapeId="0">
      <text>
        <t>DEEP1M; VLAH; N=1000000; M=16; efConstruction=200; k=10; efSearch/E=100; probes=18; LSH width=0.3456967236059823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R21" authorId="0" shapeId="0">
      <text>
        <t>DEEP1M; VLAH; N=1000000; M=16; efConstruction=200; k=10; efSearch/E=100; probes=20; LSH width=0.3456967236059823
Actual recall=75.5000%;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S21" authorId="0" shapeId="0">
      <text>
        <t>DEEP1M; VLAH; N=1000000; M=16; efConstruction=200; k=10; efSearch/E=100; probes=24; LSH width=0.3456967236059823
Actual recall=81.5000%;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T21" authorId="0" shapeId="0">
      <text>
        <t>DEEP1M; VLAH; N=1000000; M=16; efConstruction=200; k=10; efSearch/E=100; probes=30; LSH width=0.3456967236059823
Actual recall=86.0000%;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U21" authorId="0" shapeId="0">
      <text>
        <t>DEEP1M; VLAH; N=1000000; M=16; efConstruction=200; k=10; efSearch/E=100; probes=38; LSH width=0.3456967236059823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V21" authorId="0" shapeId="0">
      <text>
        <t>DEEP1M; VLAH; N=1000000; M=16; efConstruction=200; k=10;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W21" authorId="0" shapeId="0">
      <text>
        <t>DEEP1M; VLAH; N=1000000; M=16; efConstruction=200; k=10; efSearch/E=100; probes=46; LSH width=0.3456967236059823
Actual recall=98.0000%;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X21" authorId="0" shapeId="0">
      <text>
        <t>DEEP1M; VLAH; N=1000000; M=16; efConstruction=200; k=10; efSearch/E=100; probes=46; LSH width=0.3456967236059823
Actual recall=98.0000%;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Y21" authorId="0" shapeId="0">
      <text>
        <t>DEEP1M; VLAH; N=1000000; M=16; efConstruction=200; k=10; efSearch/E=100; probes=47; LSH width=0.3456967236059823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F22"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0.15, "selection": {"ef": 100, "probes": 1, "recall": 0.275, "valid": true, "pilot": "/mnt/d/paper_source/work_9/VeriANN_repro_2026-09-30/VeriANN_repro_2026-09-30/results/work9-low-baselines-20261021/search-pilots/deep1m/VLAH-pilot-1000000-resource-phase0-e0a11beec5"}}</t>
      </text>
    </comment>
    <comment ref="G22"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0.2, "selection": {"ef": 100, "probes": 1, "recall": 0.275, "valid": true, "pilot": "/mnt/d/paper_source/work_9/VeriANN_repro_2026-09-30/VeriANN_repro_2026-09-30/results/work9-low-baselines-20261021/search-pilots/deep1m/VLAH-pilot-1000000-resource-phase0-e0a11beec5"}}</t>
      </text>
    </comment>
    <comment ref="H22"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0.25, "selection": {"ef": 100, "probes": 1, "recall": 0.275, "valid": true, "pilot": "/mnt/d/paper_source/work_9/VeriANN_repro_2026-09-30/VeriANN_repro_2026-09-30/results/work9-low-baselines-20261021/search-pilots/deep1m/VLAH-pilot-1000000-resource-phase0-e0a11beec5"}}</t>
      </text>
    </comment>
    <comment ref="I22" authorId="6" shapeId="0">
      <text>
        <t>仅补充低召回率曲线；默认约95%配置及其数据保持不变。20条查询IDs100..119×3次，单线程，完整VO生成与验证。目标和实际召回不同，填实际值。
{"k": 10, "ef": 100, "probes": 2, "recall": 0.335, "query_ms": 4.1886872833333335, "verify_ms": 11.876994166666666, "vo_kb": 1615.29855, "samples": 60, "status": "passed", "output": "/mnt/d/paper_source/work_9/VeriANN_repro_2026-09-30/VeriANN_repro_2026-09-30/results/work9-low-baselines-20261021/deep1m/VLAH/deep1m-1000000-low-e100", "csv_sha256": "e67bf57b17c3784f4b56a91eadd38c79a4548f0b427411a68ec53a03648dfcbd", "target": 0.3, "selection": {"ef": 100, "probes": 2, "recall": 0.335, "valid": true, "pilot": "/mnt/d/paper_source/work_9/VeriANN_repro_2026-09-30/VeriANN_repro_2026-09-30/results/work9-low-baselines-20261021/search-pilots/deep1m/VLAH-pilot-1000000-resource-phase0-e0a11beec5"}}</t>
      </text>
    </comment>
    <comment ref="J22" authorId="6" shapeId="0">
      <text>
        <t>仅补充低召回率曲线；默认约95%配置及其数据保持不变。20条查询IDs100..119×3次，单线程，完整VO生成与验证。目标和实际召回不同，填实际值。
{"k": 10, "ef": 100, "probes": 3, "recall": 0.42, "query_ms": 6.5194995166666665, "verify_ms": 18.479655400000002, "vo_kb": 2448.14225, "samples": 60, "status": "passed", "output": "/mnt/d/paper_source/work_9/VeriANN_repro_2026-09-30/VeriANN_repro_2026-09-30/results/work9-low-baselines-20261021/deep1m/VLAH/deep1m-1000000-low-e100", "csv_sha256": "e67bf57b17c3784f4b56a91eadd38c79a4548f0b427411a68ec53a03648dfcbd", "target": 0.35, "selection": {"ef": 100, "probes": 3, "recall": 0.42000000000000004, "valid": true, "pilot": "/mnt/d/paper_source/work_9/VeriANN_repro_2026-09-30/VeriANN_repro_2026-09-30/results/work9-low-baselines-20261021/search-pilots/deep1m/VLAH-pilot-1000000-resource-phase0-e0a11beec5"}}</t>
      </text>
    </comment>
    <comment ref="K22" authorId="6" shapeId="0">
      <text>
        <t>仅补充低召回率曲线；默认约95%配置及其数据保持不变。20条查询IDs100..119×3次，单线程，完整VO生成与验证。目标和实际召回不同，填实际值。
{"k": 10, "ef": 100, "probes": 3, "recall": 0.42, "query_ms": 6.5194995166666665, "verify_ms": 18.479655400000002, "vo_kb": 2448.14225, "samples": 60, "status": "passed", "output": "/mnt/d/paper_source/work_9/VeriANN_repro_2026-09-30/VeriANN_repro_2026-09-30/results/work9-low-baselines-20261021/deep1m/VLAH/deep1m-1000000-low-e100", "csv_sha256": "e67bf57b17c3784f4b56a91eadd38c79a4548f0b427411a68ec53a03648dfcbd", "target": 0.4, "selection": {"ef": 100, "probes": 3, "recall": 0.42000000000000004, "valid": true, "pilot": "/mnt/d/paper_source/work_9/VeriANN_repro_2026-09-30/VeriANN_repro_2026-09-30/results/work9-low-baselines-20261021/search-pilots/deep1m/VLAH-pilot-1000000-resource-phase0-e0a11beec5"}}</t>
      </text>
    </comment>
    <comment ref="L22" authorId="6" shapeId="0">
      <text>
        <t>仅补充低召回率曲线；默认约95%配置及其数据保持不变。20条查询IDs100..119×3次，单线程，完整VO生成与验证。目标和实际召回不同，填实际值。
{"k": 10, "ef": 100, "probes": 4, "recall": 0.46499999999999997, "query_ms": 8.625205183333334, "verify_ms": 24.902328833333335, "vo_kb": 3303.2460499999997, "samples": 60, "status": "passed", "output": "/mnt/d/paper_source/work_9/VeriANN_repro_2026-09-30/VeriANN_repro_2026-09-30/results/work9-low-baselines-20261021/deep1m/VLAH/deep1m-1000000-low-e100", "csv_sha256": "e67bf57b17c3784f4b56a91eadd38c79a4548f0b427411a68ec53a03648dfcbd", "target": 0.45, "selection": {"ef": 100, "probes": 4, "recall": 0.465, "valid": true, "pilot": "/mnt/d/paper_source/work_9/VeriANN_repro_2026-09-30/VeriANN_repro_2026-09-30/results/work9-low-baselines-20261021/search-pilots/deep1m/VLAH-pilot-1000000-resource-phase0-e0a11beec5"}}</t>
      </text>
    </comment>
    <comment ref="M22" authorId="6" shapeId="0">
      <text>
        <t>仅补充低召回率曲线；默认约95%配置及其数据保持不变。20条查询IDs100..119×3次，单线程，完整VO生成与验证。目标和实际召回不同，填实际值。
{"k": 10, "ef": 100, "probes": 5, "recall": 0.51, "query_ms": 11.012350833333333, "verify_ms": 31.6761766, "vo_kb": 4141.71375, "samples": 60, "status": "passed", "output": "/mnt/d/paper_source/work_9/VeriANN_repro_2026-09-30/VeriANN_repro_2026-09-30/results/work9-low-baselines-20261021/deep1m/VLAH/deep1m-1000000-low-e100", "csv_sha256": "e67bf57b17c3784f4b56a91eadd38c79a4548f0b427411a68ec53a03648dfcbd", "target": 0.5, "selection": {"ef": 100, "probes": 5, "recall": 0.51, "valid": true, "pilot": "/mnt/d/paper_source/work_9/VeriANN_repro_2026-09-30/VeriANN_repro_2026-09-30/results/work9-low-baselines-20261021/search-pilots/deep1m/VLAH-pilot-1000000-resource-phase0-e0a11beec5"}}</t>
      </text>
    </comment>
    <comment ref="N22" authorId="6" shapeId="0">
      <text>
        <t>仅补充低召回率曲线；默认约95%配置及其数据保持不变。20条查询IDs100..119×3次，单线程，完整VO生成与验证。目标和实际召回不同，填实际值。
{"k": 10, "ef": 100, "probes": 7, "recall": 0.56, "query_ms": 15.354236049999999, "verify_ms": 44.18257766666667, "vo_kb": 5792.28255, "samples": 60, "status": "passed", "output": "/mnt/d/paper_source/work_9/VeriANN_repro_2026-09-30/VeriANN_repro_2026-09-30/results/work9-low-baselines-20261021/deep1m/VLAH/deep1m-1000000-low-e100", "csv_sha256": "e67bf57b17c3784f4b56a91eadd38c79a4548f0b427411a68ec53a03648dfcbd", "target": 0.55, "selection": {"ef": 100, "probes": 7, "recall": 0.5599999999999999, "valid": true, "pilot": "/mnt/d/paper_source/work_9/VeriANN_repro_2026-09-30/VeriANN_repro_2026-09-30/results/work9-low-baselines-20261021/search-pilots/deep1m/VLAH-pilot-1000000-resource-phase0-e0a11beec5"}}</t>
      </text>
    </comment>
    <comment ref="O22" authorId="0" shapeId="0">
      <text>
        <t>DEEP1M; VLAH; N=1000000; M=16; efConstruction=200; k=10; efSearch/E=100; probes=9; LSH width=0.3456967236059823
Actual recall=60.5000%;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P22" authorId="0" shapeId="0">
      <text>
        <t>DEEP1M; VLAH; N=1000000; M=16; efConstruction=200; k=10; efSearch/E=100; probes=12; LSH width=0.3456967236059823
Actual recall=65.5000%;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Q22" authorId="0" shapeId="0">
      <text>
        <t>DEEP1M; VLAH; N=1000000; M=16; efConstruction=200; k=10; efSearch/E=100; probes=18; LSH width=0.3456967236059823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R22" authorId="0" shapeId="0">
      <text>
        <t>DEEP1M; VLAH; N=1000000; M=16; efConstruction=200; k=10; efSearch/E=100; probes=20; LSH width=0.3456967236059823
Actual recall=75.5000%;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S22" authorId="0" shapeId="0">
      <text>
        <t>DEEP1M; VLAH; N=1000000; M=16; efConstruction=200; k=10; efSearch/E=100; probes=24; LSH width=0.3456967236059823
Actual recall=81.5000%;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T22" authorId="0" shapeId="0">
      <text>
        <t>DEEP1M; VLAH; N=1000000; M=16; efConstruction=200; k=10; efSearch/E=100; probes=30; LSH width=0.3456967236059823
Actual recall=86.0000%;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U22" authorId="0" shapeId="0">
      <text>
        <t>DEEP1M; VLAH; N=1000000; M=16; efConstruction=200; k=10; efSearch/E=100; probes=38; LSH width=0.3456967236059823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V22" authorId="0" shapeId="0">
      <text>
        <t>DEEP1M; VLAH; N=1000000; M=16; efConstruction=200; k=10;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W22" authorId="0" shapeId="0">
      <text>
        <t>DEEP1M; VLAH; N=1000000; M=16; efConstruction=200; k=10; efSearch/E=100; probes=46; LSH width=0.3456967236059823
Actual recall=98.0000%;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X22" authorId="0" shapeId="0">
      <text>
        <t>DEEP1M; VLAH; N=1000000; M=16; efConstruction=200; k=10; efSearch/E=100; probes=46; LSH width=0.3456967236059823
Actual recall=98.0000%;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Y22" authorId="0" shapeId="0">
      <text>
        <t>DEEP1M; VLAH; N=1000000; M=16; efConstruction=200; k=10; efSearch/E=100; probes=47; LSH width=0.3456967236059823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D23" authorId="2" shapeId="0">
      <text>
        <t xml:space="preserve">* 表示性能指标为用户指定系数调整值，不是原始实测值。配置及实际召回见原始补测附表。
原有批注（历史来源）：
</t>
      </text>
    </comment>
    <comment ref="F23" authorId="7" shapeId="0">
      <text>
        <t>修正旧图配置召回下限与新图低召回点混用造成的倒序。目标列15%复用已测40%目标列，实际召回40.5%；未实测达到15%，不作为该召回率的新测量。性能沿用该点已标明的ANNProof系数调整值，未重复乘系数。
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0.15, "selection": {"ef": 10, "probes": 1, "recall": 0.71, "valid": true, "pilot": "/mnt/d/paper_source/work_9/VeriANN_repro_2026-09-30/VeriANN_repro_2026-09-30/results/work9-low-baselines-20261021/search-pilots/deep1m/ANNProof-pilot-1000000-resource-phase0-a7e2488e41"}}</t>
      </text>
    </comment>
    <comment ref="G23" authorId="7" shapeId="0">
      <text>
        <t>修正旧图配置召回下限与新图低召回点混用造成的倒序。目标列20%复用已测40%目标列，实际召回40.5%；未实测达到20%，不作为该召回率的新测量。性能沿用该点已标明的ANNProof系数调整值，未重复乘系数。
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0.2, "selection": {"ef": 10, "probes": 1, "recall": 0.71, "valid": true, "pilot": "/mnt/d/paper_source/work_9/VeriANN_repro_2026-09-30/VeriANN_repro_2026-09-30/results/work9-low-baselines-20261021/search-pilots/deep1m/ANNProof-pilot-1000000-resource-phase0-a7e2488e41"}}</t>
      </text>
    </comment>
    <comment ref="H23" authorId="7" shapeId="0">
      <text>
        <t>修正旧图配置召回下限与新图低召回点混用造成的倒序。目标列25%复用已测40%目标列，实际召回40.5%；未实测达到25%，不作为该召回率的新测量。性能沿用该点已标明的ANNProof系数调整值，未重复乘系数。
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0.25, "selection": {"ef": 10, "probes": 1, "recall": 0.71, "valid": true, "pilot": "/mnt/d/paper_source/work_9/VeriANN_repro_2026-09-30/VeriANN_repro_2026-09-30/results/work9-low-baselines-20261021/search-pilots/deep1m/ANNProof-pilot-1000000-resource-phase0-a7e2488e41"}}</t>
      </text>
    </comment>
    <comment ref="I23" authorId="7" shapeId="0">
      <text>
        <t>修正旧图配置召回下限与新图低召回点混用造成的倒序。目标列30%复用已测40%目标列，实际召回40.5%；未实测达到30%，不作为该召回率的新测量。性能沿用该点已标明的ANNProof系数调整值，未重复乘系数。
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0.3, "selection": {"ef": 10, "probes": 1, "recall": 0.71, "valid": true, "pilot": "/mnt/d/paper_source/work_9/VeriANN_repro_2026-09-30/VeriANN_repro_2026-09-30/results/work9-low-baselines-20261021/search-pilots/deep1m/ANNProof-pilot-1000000-resource-phase0-a7e2488e41"}}</t>
      </text>
    </comment>
    <comment ref="J23" authorId="7" shapeId="0">
      <text>
        <t>修正旧图配置召回下限与新图低召回点混用造成的倒序。目标列35%复用已测40%目标列，实际召回40.5%；未实测达到35%，不作为该召回率的新测量。性能沿用该点已标明的ANNProof系数调整值，未重复乘系数。
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0.35, "selection": {"ef": 10, "probes": 1, "recall": 0.71, "valid": true, "pilot": "/mnt/d/paper_source/work_9/VeriANN_repro_2026-09-30/VeriANN_repro_2026-09-30/results/work9-low-baselines-20261021/search-pilots/deep1m/ANNProof-pilot-1000000-resource-phase0-a7e2488e41"}}</t>
      </text>
    </comment>
    <comment ref="K23" authorId="2" shapeId="0">
      <text>
        <t>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t>
      </text>
    </comment>
    <comment ref="L23" authorId="2" shapeId="0">
      <text>
        <t>本次真实补测：20条查询IDs100..119×3次，单线程；实际召回率不乘系数。
{"k": 10, "ef": 22, "probes": 1, "recall": 0.455, "query_ms": 0.5671214, "verify_ms": 2.941304866666667, "vo_kb": 207.914, "samples": 60, "status": "passed", "output": "/mnt/d/paper_source/work_9/VeriANN_repro_2026-09-30/VeriANN_repro_2026-09-30/results/work9-annproof-low-adjusted-20261021/measurements/deep1m-M4-efc40", "csv_sha256": "64322b64fff23e34bbf630f89e49b835a376dee2e15e854a1e793ad68eaa982e", "M": 4, "efc": 40, "target": 0.45, "pilot": {"M": 4, "efc": 40, "ef": 22, "recall": 0.45499999999999996,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0.45, "selection": {"ef": 10, "probes": 1, "recall": 0.71, "valid": true, "pilot": "/mnt/d/paper_source/work_9/VeriANN_repro_2026-09-30/VeriANN_repro_2026-09-30/results/work9-low-baselines-20261021/search-pilots/deep1m/ANNProof-pilot-1000000-resource-phase0-a7e2488e41"}}</t>
      </text>
    </comment>
    <comment ref="M23" authorId="2" shapeId="0">
      <text>
        <t>本次真实补测：20条查询IDs100..119×3次，单线程；实际召回率不乘系数。
{"k": 10, "ef": 27, "probes": 1, "recall": 0.51, "query_ms": 0.6595532666666667, "verify_ms": 3.472809433333333, "vo_kb": 234.017, "samples": 60, "status": "passed", "output": "/mnt/d/paper_source/work_9/VeriANN_repro_2026-09-30/VeriANN_repro_2026-09-30/results/work9-annproof-low-adjusted-20261021/measurements/deep1m-M4-efc40", "csv_sha256": "64322b64fff23e34bbf630f89e49b835a376dee2e15e854a1e793ad68eaa982e", "M": 4, "efc": 40, "target": 0.5, "pilot": {"M": 4, "efc": 40, "ef": 27, "recall": 0.51,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0.5, "selection": {"ef": 10, "probes": 1, "recall": 0.71, "valid": true, "pilot": "/mnt/d/paper_source/work_9/VeriANN_repro_2026-09-30/VeriANN_repro_2026-09-30/results/work9-low-baselines-20261021/search-pilots/deep1m/ANNProof-pilot-1000000-resource-phase0-a7e2488e41"}}</t>
      </text>
    </comment>
    <comment ref="N23" authorId="2" shapeId="0">
      <text>
        <t>本次真实补测：20条查询IDs100..119×3次，单线程；实际召回率不乘系数。
{"k": 10, "ef": 12, "probes": 1, "recall": 0.55, "query_ms": 0.7401176666666668, "verify_ms": 3.6383341000000002, "vo_kb": 264.5596, "samples": 60, "status": "passed", "output": "/mnt/d/paper_source/work_9/VeriANN_repro_2026-09-30/VeriANN_repro_2026-09-30/results/work9-annproof-low-adjusted-20261021/measurements/deep1m-M8-efc80", "csv_sha256": "ebcbc85e95ba8786d2d7a719691a8dec2bf1af50e4ccad3fabb11e72d216ba0f", "M": 8, "efc": 80, "target": 0.55, "pilot": {"M": 8, "efc": 80, "ef": 12, "recall": 0.55, "valid": true, "pilot": "/mnt/d/paper_source/work_9/VeriANN_repro_2026-09-30/VeriANN_repro_2026-09-30/results/work9-annproof-low-adjusted-20261021/pilots/deep1m-M8-efc80"}}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0.55, "selection": {"ef": 10, "probes": 1, "recall": 0.71, "valid": true, "pilot": "/mnt/d/paper_source/work_9/VeriANN_repro_2026-09-30/VeriANN_repro_2026-09-30/results/work9-low-baselines-20261021/search-pilots/deep1m/ANNProof-pilot-1000000-resource-phase0-a7e2488e41"}}</t>
      </text>
    </comment>
    <comment ref="O23" authorId="2" shapeId="0">
      <text>
        <t>本次真实补测：20条查询IDs100..119×3次，单线程；实际召回率不乘系数。
{"k": 10, "ef": 13, "probes": 1, "recall": 0.62, "query_ms": 0.7682084499999999, "verify_ms": 3.9775908666666666, "vo_kb": 289.138, "samples": 60, "status": "passed", "output": "/mnt/d/paper_source/work_9/VeriANN_repro_2026-09-30/VeriANN_repro_2026-09-30/results/work9-annproof-low-adjusted-20261021/measurements/deep1m-M8-efc80", "csv_sha256": "ebcbc85e95ba8786d2d7a719691a8dec2bf1af50e4ccad3fabb11e72d216ba0f", "M": 8, "efc": 80, "target": 0.6, "pilot": {"M": 8, "efc": 80, "ef": 13, "recall": 0.62, "valid": true, "pilot": "/mnt/d/paper_source/work_9/VeriANN_repro_2026-09-30/VeriANN_repro_2026-09-30/results/work9-annproof-low-adjusted-20261021/pilots/deep1m-M8-efc80"}}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P23" authorId="2" shapeId="0">
      <text>
        <t>本次真实补测：20条查询IDs100..119×3次，单线程；实际召回率不乘系数。
{"k": 10, "ef": 14, "probes": 1, "recall": 0.65, "query_ms": 0.8113282333333334, "verify_ms": 4.076508266666667, "vo_kb": 298.3958, "samples": 60, "status": "passed", "output": "/mnt/d/paper_source/work_9/VeriANN_repro_2026-09-30/VeriANN_repro_2026-09-30/results/work9-annproof-low-adjusted-20261021/measurements/deep1m-M8-efc80", "csv_sha256": "ebcbc85e95ba8786d2d7a719691a8dec2bf1af50e4ccad3fabb11e72d216ba0f", "M": 8, "efc": 80, "target": 0.65, "pilot": {"M": 8, "efc": 80, "ef": 14, "recall": 0.65, "valid": true, "pilot": "/mnt/d/paper_source/work_9/VeriANN_repro_2026-09-30/VeriANN_repro_2026-09-30/results/work9-annproof-low-adjusted-20261021/pilots/deep1m-M8-efc80"}}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Q23" authorId="2" shapeId="0">
      <text>
        <t>本次真实补测：20条查询IDs100..119×3次，单线程；实际召回率不乘系数。
{"k": 10, "ef": 10, "probes": 1, "recall": 0.7100000000000001, "query_ms": 0.9685961333333334, "verify_ms": 5.043632633333333, "vo_kb": 386.5978, "samples": 60, "status": "passed", "output": "/mnt/d/paper_source/work_9/VeriANN_repro_2026-09-30/VeriANN_repro_2026-09-30/results/work9-annproof-low-adjusted-20261021/measurements/deep1m-M16-efc200", "csv_sha256": "23213d0e3a657578422b962265bec07fa47afcc0bc83a4aae6a51ed723a34e35", "M": 16, "efc": 200, "target": 0.7, "pilot": {"M": 16, "efc": 200, "ef": 10, "recall": 0.71, "valid": true, "pilot": "/mnt/d/paper_source/work_9/VeriANN_repro_2026-09-30/VeriANN_repro_2026-09-30/results/work9-annproof-low-adjusted-20261021/pilots/deep1m-M16-efc200"}}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R23" authorId="2" shapeId="0">
      <text>
        <t>本次真实补测：20条查询IDs100..119×3次，单线程；实际召回率不乘系数。
{"k": 10, "ef": 13, "probes": 1, "recall": 0.76, "query_ms": 1.0781022833333334, "verify_ms": 5.69119435, "vo_kb": 439.3718, "samples": 60, "status": "passed", "output": "/mnt/d/paper_source/work_9/VeriANN_repro_2026-09-30/VeriANN_repro_2026-09-30/results/work9-annproof-low-adjusted-20261021/measurements/deep1m-M16-efc200", "csv_sha256": "23213d0e3a657578422b962265bec07fa47afcc0bc83a4aae6a51ed723a34e35", "M": 16, "efc": 200, "target": 0.75, "pilot": {"M": 16, "efc": 200, "ef": 13, "recall": 0.76, "valid": true, "pilot": "/mnt/d/paper_source/work_9/VeriANN_repro_2026-09-30/VeriANN_repro_2026-09-30/results/work9-annproof-low-adjusted-20261021/pilots/deep1m-M16-efc200"}}
原有批注（历史来源）：
DEEP1M; ANNProof; N=1000000; M=16; efConstruction=200; k=10; efSearch/E=16; probes=1; LSH width=not used
Actual recall=78.0000%;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S23" authorId="2" shapeId="0">
      <text>
        <t>本次真实补测：20条查询IDs100..119×3次，单线程；实际召回率不乘系数。
{"k": 10, "ef": 17, "probes": 1, "recall": 0.8, "query_ms": 1.2486418333333333, "verify_ms": 6.657108383333334, "vo_kb": 508.8854, "samples": 60, "status": "passed", "output": "/mnt/d/paper_source/work_9/VeriANN_repro_2026-09-30/VeriANN_repro_2026-09-30/results/work9-annproof-low-adjusted-20261021/measurements/deep1m-M16-efc200", "csv_sha256": "23213d0e3a657578422b962265bec07fa47afcc0bc83a4aae6a51ed723a34e35", "M": 16, "efc": 200, "target": 0.8, "pilot": {"M": 16, "efc": 200, "ef": 17, "recall": 0.8, "valid": true, "pilot": "/mnt/d/paper_source/work_9/VeriANN_repro_2026-09-30/VeriANN_repro_2026-09-30/results/work9-annproof-low-adjusted-20261021/pilots/deep1m-M16-efc200"}}
原有批注（历史来源）：
DEEP1M; ANNProof; N=1000000; M=16; efConstruction=200; k=10; efSearch/E=20; probes=1; LSH width=not used
Actual recall=82.5000%;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T23" authorId="0" shapeId="0">
      <text>
        <t>DEEP1M; ANNProof; N=1000000; M=16; efConstruction=200; k=10; efSearch/E=24;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U23" authorId="0" shapeId="0">
      <text>
        <t>DEEP1M; ANNProof; N=1000000; M=16; efConstruction=200; k=10; efSearch/E=48; probes=1; LSH width=not used
Actual recall=94.5000%;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V23" authorId="0" shapeId="0">
      <text>
        <t>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W23" authorId="0" shapeId="0">
      <text>
        <t>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X23" authorId="0" shapeId="0">
      <text>
        <t>DEEP1M; ANNProof; N=1000000; M=16; efConstruction=200; k=10; efSearch/E=96;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Y23" authorId="0" shapeId="0">
      <text>
        <t>DEEP1M; ANNProof; N=1000000; M=16; efConstruction=200; k=10; efSearch/E=96;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F24" authorId="7" shapeId="0">
      <text>
        <t>修正旧图配置召回下限与新图低召回点混用造成的倒序。目标列15%复用已测40%目标列，实际召回40.5%；未实测达到15%，不作为该召回率的新测量。性能沿用该点已标明的ANNProof系数调整值，未重复乘系数。
用户指定系数调整值；不是原始实测数值。指标=vo_kb；原始值=173.34440000000001；系数=2.0；调整值=346.68880000000001。召回率不调整。原始CSV/附表保留。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用户指定系数调整值；不是原始实测数值。指标=vo_kb；原始值=386.59780000000001；系数=2.0；调整值=773.19560000000001。召回率不调整。原始CSV/附表保留。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0.15, "selection": {"ef": 10, "probes": 1, "recall": 0.71, "valid": true, "pilot": "/mnt/d/paper_source/work_9/VeriANN_repro_2026-09-30/VeriANN_repro_2026-09-30/results/work9-low-baselines-20261021/search-pilots/deep1m/ANNProof-pilot-1000000-resource-phase0-a7e2488e41"}}</t>
      </text>
    </comment>
    <comment ref="G24" authorId="7" shapeId="0">
      <text>
        <t>修正旧图配置召回下限与新图低召回点混用造成的倒序。目标列20%复用已测40%目标列，实际召回40.5%；未实测达到20%，不作为该召回率的新测量。性能沿用该点已标明的ANNProof系数调整值，未重复乘系数。
用户指定系数调整值；不是原始实测数值。指标=vo_kb；原始值=173.34440000000001；系数=2.0；调整值=346.68880000000001。召回率不调整。原始CSV/附表保留。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用户指定系数调整值；不是原始实测数值。指标=vo_kb；原始值=386.59780000000001；系数=2.0；调整值=773.19560000000001。召回率不调整。原始CSV/附表保留。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0.2, "selection": {"ef": 10, "probes": 1, "recall": 0.71, "valid": true, "pilot": "/mnt/d/paper_source/work_9/VeriANN_repro_2026-09-30/VeriANN_repro_2026-09-30/results/work9-low-baselines-20261021/search-pilots/deep1m/ANNProof-pilot-1000000-resource-phase0-a7e2488e41"}}</t>
      </text>
    </comment>
    <comment ref="H24" authorId="7" shapeId="0">
      <text>
        <t>修正旧图配置召回下限与新图低召回点混用造成的倒序。目标列25%复用已测40%目标列，实际召回40.5%；未实测达到25%，不作为该召回率的新测量。性能沿用该点已标明的ANNProof系数调整值，未重复乘系数。
用户指定系数调整值；不是原始实测数值。指标=vo_kb；原始值=173.34440000000001；系数=2.0；调整值=346.68880000000001。召回率不调整。原始CSV/附表保留。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用户指定系数调整值；不是原始实测数值。指标=vo_kb；原始值=386.59780000000001；系数=2.0；调整值=773.19560000000001。召回率不调整。原始CSV/附表保留。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0.25, "selection": {"ef": 10, "probes": 1, "recall": 0.71, "valid": true, "pilot": "/mnt/d/paper_source/work_9/VeriANN_repro_2026-09-30/VeriANN_repro_2026-09-30/results/work9-low-baselines-20261021/search-pilots/deep1m/ANNProof-pilot-1000000-resource-phase0-a7e2488e41"}}</t>
      </text>
    </comment>
    <comment ref="I24" authorId="7" shapeId="0">
      <text>
        <t>修正旧图配置召回下限与新图低召回点混用造成的倒序。目标列30%复用已测40%目标列，实际召回40.5%；未实测达到30%，不作为该召回率的新测量。性能沿用该点已标明的ANNProof系数调整值，未重复乘系数。
用户指定系数调整值；不是原始实测数值。指标=vo_kb；原始值=173.34440000000001；系数=2.0；调整值=346.68880000000001。召回率不调整。原始CSV/附表保留。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用户指定系数调整值；不是原始实测数值。指标=vo_kb；原始值=386.59780000000001；系数=2.0；调整值=773.19560000000001。召回率不调整。原始CSV/附表保留。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0.3, "selection": {"ef": 10, "probes": 1, "recall": 0.71, "valid": true, "pilot": "/mnt/d/paper_source/work_9/VeriANN_repro_2026-09-30/VeriANN_repro_2026-09-30/results/work9-low-baselines-20261021/search-pilots/deep1m/ANNProof-pilot-1000000-resource-phase0-a7e2488e41"}}</t>
      </text>
    </comment>
    <comment ref="J24" authorId="7" shapeId="0">
      <text>
        <t>修正旧图配置召回下限与新图低召回点混用造成的倒序。目标列35%复用已测40%目标列，实际召回40.5%；未实测达到35%，不作为该召回率的新测量。性能沿用该点已标明的ANNProof系数调整值，未重复乘系数。
用户指定系数调整值；不是原始实测数值。指标=vo_kb；原始值=173.34440000000001；系数=2.0；调整值=346.68880000000001。召回率不调整。原始CSV/附表保留。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用户指定系数调整值；不是原始实测数值。指标=vo_kb；原始值=386.59780000000001；系数=2.0；调整值=773.19560000000001。召回率不调整。原始CSV/附表保留。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0.35, "selection": {"ef": 10, "probes": 1, "recall": 0.71, "valid": true, "pilot": "/mnt/d/paper_source/work_9/VeriANN_repro_2026-09-30/VeriANN_repro_2026-09-30/results/work9-low-baselines-20261021/search-pilots/deep1m/ANNProof-pilot-1000000-resource-phase0-a7e2488e41"}}</t>
      </text>
    </comment>
    <comment ref="K24" authorId="2" shapeId="0">
      <text>
        <t>用户指定系数调整值；不是原始实测数值。指标=vo_kb；原始值=173.34440000000001；系数=2.0；调整值=346.68880000000001。召回率不调整。原始CSV/附表保留。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t>
      </text>
    </comment>
    <comment ref="L24" authorId="2" shapeId="0">
      <text>
        <t>用户指定系数调整值；不是原始实测数值。指标=vo_kb；原始值=207.91399999999999；系数=2.0；调整值=415.82799999999997。召回率不调整。原始CSV/附表保留。
原有批注（历史来源）：
本单元格先替换为本次原始测量，随后按统一系数调整。
{"k": 10, "ef": 22, "probes": 1, "recall": 0.455, "query_ms": 0.5671214, "verify_ms": 2.941304866666667, "vo_kb": 207.914, "samples": 60, "status": "passed", "output": "/mnt/d/paper_source/work_9/VeriANN_repro_2026-09-30/VeriANN_repro_2026-09-30/results/work9-annproof-low-adjusted-20261021/measurements/deep1m-M4-efc40", "csv_sha256": "64322b64fff23e34bbf630f89e49b835a376dee2e15e854a1e793ad68eaa982e", "M": 4, "efc": 40, "target": 0.45, "pilot": {"M": 4, "efc": 40, "ef": 22, "recall": 0.45499999999999996,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0.45, "selection": {"ef": 10, "probes": 1, "recall": 0.71, "valid": true, "pilot": "/mnt/d/paper_source/work_9/VeriANN_repro_2026-09-30/VeriANN_repro_2026-09-30/results/work9-low-baselines-20261021/search-pilots/deep1m/ANNProof-pilot-1000000-resource-phase0-a7e2488e41"}}</t>
      </text>
    </comment>
    <comment ref="M24" authorId="2" shapeId="0">
      <text>
        <t>用户指定系数调整值；不是原始实测数值。指标=vo_kb；原始值=234.017；系数=2.0；调整值=468.03399999999999。召回率不调整。原始CSV/附表保留。
原有批注（历史来源）：
本单元格先替换为本次原始测量，随后按统一系数调整。
{"k": 10, "ef": 27, "probes": 1, "recall": 0.51, "query_ms": 0.6595532666666667, "verify_ms": 3.472809433333333, "vo_kb": 234.017, "samples": 60, "status": "passed", "output": "/mnt/d/paper_source/work_9/VeriANN_repro_2026-09-30/VeriANN_repro_2026-09-30/results/work9-annproof-low-adjusted-20261021/measurements/deep1m-M4-efc40", "csv_sha256": "64322b64fff23e34bbf630f89e49b835a376dee2e15e854a1e793ad68eaa982e", "M": 4, "efc": 40, "target": 0.5, "pilot": {"M": 4, "efc": 40, "ef": 27, "recall": 0.51,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0.5, "selection": {"ef": 10, "probes": 1, "recall": 0.71, "valid": true, "pilot": "/mnt/d/paper_source/work_9/VeriANN_repro_2026-09-30/VeriANN_repro_2026-09-30/results/work9-low-baselines-20261021/search-pilots/deep1m/ANNProof-pilot-1000000-resource-phase0-a7e2488e41"}}</t>
      </text>
    </comment>
    <comment ref="N24" authorId="2" shapeId="0">
      <text>
        <t>用户指定系数调整值；不是原始实测数值。指标=vo_kb；原始值=264.55959999999999；系数=2.0；调整值=529.11919999999998。召回率不调整。原始CSV/附表保留。
原有批注（历史来源）：
本单元格先替换为本次原始测量，随后按统一系数调整。
{"k": 10, "ef": 12, "probes": 1, "recall": 0.55, "query_ms": 0.7401176666666668, "verify_ms": 3.6383341000000002, "vo_kb": 264.5596, "samples": 60, "status": "passed", "output": "/mnt/d/paper_source/work_9/VeriANN_repro_2026-09-30/VeriANN_repro_2026-09-30/results/work9-annproof-low-adjusted-20261021/measurements/deep1m-M8-efc80", "csv_sha256": "ebcbc85e95ba8786d2d7a719691a8dec2bf1af50e4ccad3fabb11e72d216ba0f", "M": 8, "efc": 80, "target": 0.55, "pilot": {"M": 8, "efc": 80, "ef": 12, "recall": 0.55, "valid": true, "pilot": "/mnt/d/paper_source/work_9/VeriANN_repro_2026-09-30/VeriANN_repro_2026-09-30/results/work9-annproof-low-adjusted-20261021/pilots/deep1m-M8-efc80"}}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0.55, "selection": {"ef": 10, "probes": 1, "recall": 0.71, "valid": true, "pilot": "/mnt/d/paper_source/work_9/VeriANN_repro_2026-09-30/VeriANN_repro_2026-09-30/results/work9-low-baselines-20261021/search-pilots/deep1m/ANNProof-pilot-1000000-resource-phase0-a7e2488e41"}}</t>
      </text>
    </comment>
    <comment ref="O24" authorId="2" shapeId="0">
      <text>
        <t>用户指定系数调整值；不是原始实测数值。指标=vo_kb；原始值=289.13799999999998；系数=2.0；调整值=578.27599999999995。召回率不调整。原始CSV/附表保留。
原有批注（历史来源）：
本单元格先替换为本次原始测量，随后按统一系数调整。
{"k": 10, "ef": 13, "probes": 1, "recall": 0.62, "query_ms": 0.7682084499999999, "verify_ms": 3.9775908666666666, "vo_kb": 289.138, "samples": 60, "status": "passed", "output": "/mnt/d/paper_source/work_9/VeriANN_repro_2026-09-30/VeriANN_repro_2026-09-30/results/work9-annproof-low-adjusted-20261021/measurements/deep1m-M8-efc80", "csv_sha256": "ebcbc85e95ba8786d2d7a719691a8dec2bf1af50e4ccad3fabb11e72d216ba0f", "M": 8, "efc": 80, "target": 0.6, "pilot": {"M": 8, "efc": 80, "ef": 13, "recall": 0.62, "valid": true, "pilot": "/mnt/d/paper_source/work_9/VeriANN_repro_2026-09-30/VeriANN_repro_2026-09-30/results/work9-annproof-low-adjusted-20261021/pilots/deep1m-M8-efc80"}}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P24" authorId="2" shapeId="0">
      <text>
        <t>用户指定系数调整值；不是原始实测数值。指标=vo_kb；原始值=298.39580000000001；系数=2.0；调整值=596.79160000000002。召回率不调整。原始CSV/附表保留。
原有批注（历史来源）：
本单元格先替换为本次原始测量，随后按统一系数调整。
{"k": 10, "ef": 14, "probes": 1, "recall": 0.65, "query_ms": 0.8113282333333334, "verify_ms": 4.076508266666667, "vo_kb": 298.3958, "samples": 60, "status": "passed", "output": "/mnt/d/paper_source/work_9/VeriANN_repro_2026-09-30/VeriANN_repro_2026-09-30/results/work9-annproof-low-adjusted-20261021/measurements/deep1m-M8-efc80", "csv_sha256": "ebcbc85e95ba8786d2d7a719691a8dec2bf1af50e4ccad3fabb11e72d216ba0f", "M": 8, "efc": 80, "target": 0.65, "pilot": {"M": 8, "efc": 80, "ef": 14, "recall": 0.65, "valid": true, "pilot": "/mnt/d/paper_source/work_9/VeriANN_repro_2026-09-30/VeriANN_repro_2026-09-30/results/work9-annproof-low-adjusted-20261021/pilots/deep1m-M8-efc80"}}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Q24" authorId="2" shapeId="0">
      <text>
        <t>用户指定系数调整值；不是原始实测数值。指标=vo_kb；原始值=386.59780000000001；系数=2.0；调整值=773.19560000000001。召回率不调整。原始CSV/附表保留。
原有批注（历史来源）：
本单元格先替换为本次原始测量，随后按统一系数调整。
{"k": 10, "ef": 10, "probes": 1, "recall": 0.7100000000000001, "query_ms": 0.9685961333333334, "verify_ms": 5.043632633333333, "vo_kb": 386.5978, "samples": 60, "status": "passed", "output": "/mnt/d/paper_source/work_9/VeriANN_repro_2026-09-30/VeriANN_repro_2026-09-30/results/work9-annproof-low-adjusted-20261021/measurements/deep1m-M16-efc200", "csv_sha256": "23213d0e3a657578422b962265bec07fa47afcc0bc83a4aae6a51ed723a34e35", "M": 16, "efc": 200, "target": 0.7, "pilot": {"M": 16, "efc": 200, "ef": 10, "recall": 0.71, "valid": true, "pilot": "/mnt/d/paper_source/work_9/VeriANN_repro_2026-09-30/VeriANN_repro_2026-09-30/results/work9-annproof-low-adjusted-20261021/pilots/deep1m-M16-efc200"}}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R24" authorId="2" shapeId="0">
      <text>
        <t>用户指定系数调整值；不是原始实测数值。指标=vo_kb；原始值=439.37180000000001；系数=2.0；调整值=878.74360000000001。召回率不调整。原始CSV/附表保留。
原有批注（历史来源）：
本单元格先替换为本次原始测量，随后按统一系数调整。
{"k": 10, "ef": 13, "probes": 1, "recall": 0.76, "query_ms": 1.0781022833333334, "verify_ms": 5.69119435, "vo_kb": 439.3718, "samples": 60, "status": "passed", "output": "/mnt/d/paper_source/work_9/VeriANN_repro_2026-09-30/VeriANN_repro_2026-09-30/results/work9-annproof-low-adjusted-20261021/measurements/deep1m-M16-efc200", "csv_sha256": "23213d0e3a657578422b962265bec07fa47afcc0bc83a4aae6a51ed723a34e35", "M": 16, "efc": 200, "target": 0.75, "pilot": {"M": 16, "efc": 200, "ef": 13, "recall": 0.76, "valid": true, "pilot": "/mnt/d/paper_source/work_9/VeriANN_repro_2026-09-30/VeriANN_repro_2026-09-30/results/work9-annproof-low-adjusted-20261021/pilots/deep1m-M16-efc200"}}
原有批注（历史来源）：
DEEP1M; ANNProof; N=1000000; M=16; efConstruction=200; k=10; efSearch/E=16; probes=1; LSH width=not used
Actual recall=78.0000%;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S24" authorId="2" shapeId="0">
      <text>
        <t>用户指定系数调整值；不是原始实测数值。指标=vo_kb；原始值=508.8854；系数=2.0；调整值=1017.7708。召回率不调整。原始CSV/附表保留。
原有批注（历史来源）：
本单元格先替换为本次原始测量，随后按统一系数调整。
{"k": 10, "ef": 17, "probes": 1, "recall": 0.8, "query_ms": 1.2486418333333333, "verify_ms": 6.657108383333334, "vo_kb": 508.8854, "samples": 60, "status": "passed", "output": "/mnt/d/paper_source/work_9/VeriANN_repro_2026-09-30/VeriANN_repro_2026-09-30/results/work9-annproof-low-adjusted-20261021/measurements/deep1m-M16-efc200", "csv_sha256": "23213d0e3a657578422b962265bec07fa47afcc0bc83a4aae6a51ed723a34e35", "M": 16, "efc": 200, "target": 0.8, "pilot": {"M": 16, "efc": 200, "ef": 17, "recall": 0.8, "valid": true, "pilot": "/mnt/d/paper_source/work_9/VeriANN_repro_2026-09-30/VeriANN_repro_2026-09-30/results/work9-annproof-low-adjusted-20261021/pilots/deep1m-M16-efc200"}}
原有批注（历史来源）：
DEEP1M; ANNProof; N=1000000; M=16; efConstruction=200; k=10; efSearch/E=20; probes=1; LSH width=not used
Actual recall=82.5000%;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T24" authorId="2" shapeId="0">
      <text>
        <t>用户指定系数调整值；不是原始实测数值。指标=vo_kb；原始值=615.94640000000004；系数=2.0；调整值=1231.8928000000001。召回率不调整。原始CSV/附表保留。
原有批注（历史来源）：
DEEP1M; ANNProof; N=1000000; M=16; efConstruction=200; k=10; efSearch/E=24;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U24" authorId="2" shapeId="0">
      <text>
        <t>用户指定系数调整值；不是原始实测数值。指标=vo_kb；原始值=944.12800000000004；系数=2.0；调整值=1888.2560000000001。召回率不调整。原始CSV/附表保留。
原有批注（历史来源）：
DEEP1M; ANNProof; N=1000000; M=16; efConstruction=200; k=10; efSearch/E=48; probes=1; LSH width=not used
Actual recall=94.5000%;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V24" authorId="2" shapeId="0">
      <text>
        <t>用户指定系数调整值；不是原始实测数值。指标=vo_kb；原始值=1154.7937999999999；系数=2.0；调整值=2309.5875999999998。召回率不调整。原始CSV/附表保留。
原有批注（历史来源）：
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W24" authorId="2" shapeId="0">
      <text>
        <t>用户指定系数调整值；不是原始实测数值。指标=vo_kb；原始值=1154.7937999999999；系数=2.0；调整值=2309.5875999999998。召回率不调整。原始CSV/附表保留。
原有批注（历史来源）：
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X24" authorId="2" shapeId="0">
      <text>
        <t>用户指定系数调整值；不是原始实测数值。指标=vo_kb；原始值=1538.7077999999999；系数=2.0；调整值=3077.4155999999998。召回率不调整。原始CSV/附表保留。
原有批注（历史来源）：
DEEP1M; ANNProof; N=1000000; M=16; efConstruction=200; k=10; efSearch/E=96;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Y24" authorId="2" shapeId="0">
      <text>
        <t>用户指定系数调整值；不是原始实测数值。指标=vo_kb；原始值=1538.7077999999999；系数=2.0；调整值=3077.4155999999998。召回率不调整。原始CSV/附表保留。
原有批注（历史来源）：
DEEP1M; ANNProof; N=1000000; M=16; efConstruction=200; k=10; efSearch/E=96;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F25" authorId="6" shapeId="0">
      <text>
        <t>仅补充低召回率曲线；默认约95%配置及其数据保持不变。20条查询IDs100..119×3次，单线程，完整VO生成与验证。目标和实际召回不同，填实际值。
{"k": 10, "ef": 7, "probes": 1, "recall": 0.18000000000000002, "query_ms": 0.4866271666666666, "verify_ms": 1.2770931333333333, "vo_kb": 56.6806, "samples": 60, "status": "passed", "output": "/mnt/d/paper_source/work_9/VeriANN_repro_2026-09-30/VeriANN_repro_2026-09-30/results/work9-low-baselines-20261021/deep1m/Ours/deep1m-1000000-low-all", "csv_sha256": "41a08649e2dcdb6a0a77d5e16163dd19521eed887a1abb8b39e288563e5da8a6", "target": 0.15, "selection": {"ef": 7, "probes": 1, "recall": 0.18, "valid": true, "pilot": "/mnt/d/paper_source/work_9/VeriANN_repro_2026-09-30/VeriANN_repro_2026-09-30/results/work9-low-baselines-20261021/search-pilots/deep1m/Ours-pilot-1000000-resource-phase0-15bab5a6d9"}}</t>
      </text>
    </comment>
    <comment ref="G25" authorId="6" shapeId="0">
      <text>
        <t>仅补充低召回率曲线；默认约95%配置及其数据保持不变。20条查询IDs100..119×3次，单线程，完整VO生成与验证。目标和实际召回不同，填实际值。
{"k": 10, "ef": 8, "probes": 1, "recall": 0.265, "query_ms": 0.5564339666666667, "verify_ms": 1.3751060666666668, "vo_kb": 62.465199999999996, "samples": 60, "status": "passed", "output": "/mnt/d/paper_source/work_9/VeriANN_repro_2026-09-30/VeriANN_repro_2026-09-30/results/work9-low-baselines-20261021/deep1m/Ours/deep1m-1000000-low-all", "csv_sha256": "41a08649e2dcdb6a0a77d5e16163dd19521eed887a1abb8b39e288563e5da8a6", "target": 0.2, "selection": {"ef": 8, "probes": 1, "recall": 0.265, "valid": true, "pilot": "/mnt/d/paper_source/work_9/VeriANN_repro_2026-09-30/VeriANN_repro_2026-09-30/results/work9-low-baselines-20261021/search-pilots/deep1m/Ours-pilot-1000000-resource-phase0-15bab5a6d9"}}</t>
      </text>
    </comment>
    <comment ref="H25" authorId="6" shapeId="0">
      <text>
        <t>仅补充低召回率曲线；默认约95%配置及其数据保持不变。20条查询IDs100..119×3次，单线程，完整VO生成与验证。目标和实际召回不同，填实际值。
{"k": 10, "ef": 8, "probes": 1, "recall": 0.265, "query_ms": 0.5564339666666667, "verify_ms": 1.3751060666666668, "vo_kb": 62.465199999999996, "samples": 60, "status": "passed", "output": "/mnt/d/paper_source/work_9/VeriANN_repro_2026-09-30/VeriANN_repro_2026-09-30/results/work9-low-baselines-20261021/deep1m/Ours/deep1m-1000000-low-all", "csv_sha256": "41a08649e2dcdb6a0a77d5e16163dd19521eed887a1abb8b39e288563e5da8a6", "target": 0.25, "selection": {"ef": 8, "probes": 1, "recall": 0.265, "valid": true, "pilot": "/mnt/d/paper_source/work_9/VeriANN_repro_2026-09-30/VeriANN_repro_2026-09-30/results/work9-low-baselines-20261021/search-pilots/deep1m/Ours-pilot-1000000-resource-phase0-15bab5a6d9"}}</t>
      </text>
    </comment>
    <comment ref="I25" authorId="6" shapeId="0">
      <text>
        <t>仅补充低召回率曲线；默认约95%配置及其数据保持不变。20条查询IDs100..119×3次，单线程，完整VO生成与验证。目标和实际召回不同，填实际值。
{"k": 10, "ef": 10, "probes": 1, "recall": 0.33999999999999997, "query_ms": 0.68775265, "verify_ms": 1.6943401833333334, "vo_kb": 75.90339999999999, "samples": 60, "status": "passed", "output": "/mnt/d/paper_source/work_9/VeriANN_repro_2026-09-30/VeriANN_repro_2026-09-30/results/work9-low-baselines-20261021/deep1m/Ours/deep1m-1000000-low-all", "csv_sha256": "41a08649e2dcdb6a0a77d5e16163dd19521eed887a1abb8b39e288563e5da8a6", "target": 0.3, "selection": {"ef": 10, "probes": 1, "recall": 0.33999999999999997, "valid": true, "pilot": "/mnt/d/paper_source/work_9/VeriANN_repro_2026-09-30/VeriANN_repro_2026-09-30/results/work9-low-baselines-20261021/search-pilots/deep1m/Ours-pilot-1000000-resource-phase0-15bab5a6d9"}}</t>
      </text>
    </comment>
    <comment ref="J25" authorId="6" shapeId="0">
      <text>
        <t>仅补充低召回率曲线；默认约95%配置及其数据保持不变。20条查询IDs100..119×3次，单线程，完整VO生成与验证。目标和实际召回不同，填实际值。
{"k": 10, "ef": 11, "probes": 1, "recall": 0.38999999999999996, "query_ms": 0.7144710999999999, "verify_ms": 1.7974340833333333, "vo_kb": 81.7736, "samples": 60, "status": "passed", "output": "/mnt/d/paper_source/work_9/VeriANN_repro_2026-09-30/VeriANN_repro_2026-09-30/results/work9-low-baselines-20261021/deep1m/Ours/deep1m-1000000-low-all", "csv_sha256": "41a08649e2dcdb6a0a77d5e16163dd19521eed887a1abb8b39e288563e5da8a6", "target": 0.35, "selection": {"ef": 11, "probes": 1, "recall": 0.39, "valid": true, "pilot": "/mnt/d/paper_source/work_9/VeriANN_repro_2026-09-30/VeriANN_repro_2026-09-30/results/work9-low-baselines-20261021/search-pilots/deep1m/Ours-pilot-1000000-resource-phase0-15bab5a6d9"}}</t>
      </text>
    </comment>
    <comment ref="K25" authorId="6" shapeId="0">
      <text>
        <t>仅补充低召回率曲线；默认约95%配置及其数据保持不变。20条查询IDs100..119×3次，单线程，完整VO生成与验证。目标和实际召回不同，填实际值。
{"k": 10, "ef": 12, "probes": 1, "recall": 0.44, "query_ms": 0.7476299666666666, "verify_ms": 1.9750906666666668, "vo_kb": 88.0352, "samples": 60, "status": "passed", "output": "/mnt/d/paper_source/work_9/VeriANN_repro_2026-09-30/VeriANN_repro_2026-09-30/results/work9-low-baselines-20261021/deep1m/Ours/deep1m-1000000-low-all", "csv_sha256": "41a08649e2dcdb6a0a77d5e16163dd19521eed887a1abb8b39e288563e5da8a6", "target": 0.4, "selection": {"ef": 12, "probes": 1, "recall": 0.44000000000000006, "valid": true, "pilot": "/mnt/d/paper_source/work_9/VeriANN_repro_2026-09-30/VeriANN_repro_2026-09-30/results/work9-low-baselines-20261021/search-pilots/deep1m/Ours-pilot-1000000-resource-phase0-15bab5a6d9"}}</t>
      </text>
    </comment>
    <comment ref="L25" authorId="6" shapeId="0">
      <text>
        <t>仅补充低召回率曲线；默认约95%配置及其数据保持不变。20条查询IDs100..119×3次，单线程，完整VO生成与验证。目标和实际召回不同，填实际值。
{"k": 10, "ef": 13, "probes": 1, "recall": 0.5, "query_ms": 0.7785710333333333, "verify_ms": 2.0424796833333336, "vo_kb": 93.8396, "samples": 60, "status": "passed", "output": "/mnt/d/paper_source/work_9/VeriANN_repro_2026-09-30/VeriANN_repro_2026-09-30/results/work9-low-baselines-20261021/deep1m/Ours/deep1m-1000000-low-all", "csv_sha256": "41a08649e2dcdb6a0a77d5e16163dd19521eed887a1abb8b39e288563e5da8a6", "target": 0.45, "selection": {"ef": 13, "probes": 1, "recall": 0.5, "valid": true, "pilot": "/mnt/d/paper_source/work_9/VeriANN_repro_2026-09-30/VeriANN_repro_2026-09-30/results/work9-low-baselines-20261021/search-pilots/deep1m/Ours-pilot-1000000-resource-phase0-15bab5a6d9"}}</t>
      </text>
    </comment>
    <comment ref="M25" authorId="6" shapeId="0">
      <text>
        <t>仅补充低召回率曲线；默认约95%配置及其数据保持不变。20条查询IDs100..119×3次，单线程，完整VO生成与验证。目标和实际召回不同，填实际值。
{"k": 10, "ef": 13, "probes": 1, "recall": 0.5, "query_ms": 0.7785710333333333, "verify_ms": 2.0424796833333336, "vo_kb": 93.8396, "samples": 60, "status": "passed", "output": "/mnt/d/paper_source/work_9/VeriANN_repro_2026-09-30/VeriANN_repro_2026-09-30/results/work9-low-baselines-20261021/deep1m/Ours/deep1m-1000000-low-all", "csv_sha256": "41a08649e2dcdb6a0a77d5e16163dd19521eed887a1abb8b39e288563e5da8a6", "target": 0.5, "selection": {"ef": 13, "probes": 1, "recall": 0.5, "valid": true, "pilot": "/mnt/d/paper_source/work_9/VeriANN_repro_2026-09-30/VeriANN_repro_2026-09-30/results/work9-low-baselines-20261021/search-pilots/deep1m/Ours-pilot-1000000-resource-phase0-15bab5a6d9"}}</t>
      </text>
    </comment>
    <comment ref="N25" authorId="6" shapeId="0">
      <text>
        <t>仅补充低召回率曲线；默认约95%配置及其数据保持不变。20条查询IDs100..119×3次，单线程，完整VO生成与验证。目标和实际召回不同，填实际值。
{"k": 10, "ef": 15, "probes": 1, "recall": 0.58, "query_ms": 0.8898751666666667, "verify_ms": 2.2997316333333333, "vo_kb": 103.7146, "samples": 60, "status": "passed", "output": "/mnt/d/paper_source/work_9/VeriANN_repro_2026-09-30/VeriANN_repro_2026-09-30/results/work9-low-baselines-20261021/deep1m/Ours/deep1m-1000000-low-all", "csv_sha256": "41a08649e2dcdb6a0a77d5e16163dd19521eed887a1abb8b39e288563e5da8a6", "target": 0.55, "selection": {"ef": 15, "probes": 1, "recall": 0.58, "valid": true, "pilot": "/mnt/d/paper_source/work_9/VeriANN_repro_2026-09-30/VeriANN_repro_2026-09-30/results/work9-low-baselines-20261021/search-pilots/deep1m/Ours-pilot-1000000-resource-phase0-15bab5a6d9"}}</t>
      </text>
    </comment>
    <comment ref="O25" authorId="0" shapeId="0">
      <text>
        <t>DEEP1M; Ours; N=1000000; M=16; efConstruction=200; k=10; efSearch/E=16; probes=1; LSH width=not used
Actual recall=61.5000%;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P25" authorId="0" shapeId="0">
      <text>
        <t>DEEP1M; Ours; N=1000000; M=16; efConstruction=200; k=10; efSearch/E=20; probes=1; LSH width=not used
Actual recall=73.5000%;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Q25" authorId="0" shapeId="0">
      <text>
        <t>DEEP1M; Ours; N=1000000; M=16; efConstruction=200; k=10; efSearch/E=20; probes=1; LSH width=not used
Actual recall=73.5000%;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R25" authorId="0" shapeId="0">
      <text>
        <t>DEEP1M; Ours; N=1000000; M=16; efConstruction=200; k=10; efSearch/E=24; probes=1; LSH width=not used
Actual recall=79.0000%;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S25" authorId="0" shapeId="0">
      <text>
        <t>DEEP1M; Ours; N=1000000; M=16; efConstruction=200; k=10; efSearch/E=32;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T25" authorId="0" shapeId="0">
      <text>
        <t>DEEP1M; Ours; N=1000000; M=16; efConstruction=200; k=10; efSearch/E=32;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U25" authorId="0" shapeId="0">
      <text>
        <t>DEEP1M; Ours; N=1000000; M=16; efConstruction=200; k=10; efSearch/E=48; probes=1; LSH width=not used
Actual recall=94.5000%;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V25"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W25"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X25" authorId="0" shapeId="0">
      <text>
        <t>DEEP1M; Ours; N=1000000; M=16; efConstruction=200; k=10; efSearch/E=96;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Y25" authorId="0" shapeId="0">
      <text>
        <t>DEEP1M; Ours; N=1000000; M=16; efConstruction=200; k=10; efSearch/E=128; probes=1; LSH width=not used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F26" authorId="6" shapeId="0">
      <text>
        <t>仅补充低召回率曲线；默认约95%配置及其数据保持不变。20条查询IDs100..119×3次，单线程，完整VO生成与验证。目标和实际召回不同，填实际值。
{"k": 10, "ef": 7, "probes": 1, "recall": 0.18000000000000002, "query_ms": 0.4866271666666666, "verify_ms": 1.2770931333333333, "vo_kb": 56.6806, "samples": 60, "status": "passed", "output": "/mnt/d/paper_source/work_9/VeriANN_repro_2026-09-30/VeriANN_repro_2026-09-30/results/work9-low-baselines-20261021/deep1m/Ours/deep1m-1000000-low-all", "csv_sha256": "41a08649e2dcdb6a0a77d5e16163dd19521eed887a1abb8b39e288563e5da8a6", "target": 0.15, "selection": {"ef": 7, "probes": 1, "recall": 0.18, "valid": true, "pilot": "/mnt/d/paper_source/work_9/VeriANN_repro_2026-09-30/VeriANN_repro_2026-09-30/results/work9-low-baselines-20261021/search-pilots/deep1m/Ours-pilot-1000000-resource-phase0-15bab5a6d9"}}</t>
      </text>
    </comment>
    <comment ref="G26" authorId="6" shapeId="0">
      <text>
        <t>仅补充低召回率曲线；默认约95%配置及其数据保持不变。20条查询IDs100..119×3次，单线程，完整VO生成与验证。目标和实际召回不同，填实际值。
{"k": 10, "ef": 8, "probes": 1, "recall": 0.265, "query_ms": 0.5564339666666667, "verify_ms": 1.3751060666666668, "vo_kb": 62.465199999999996, "samples": 60, "status": "passed", "output": "/mnt/d/paper_source/work_9/VeriANN_repro_2026-09-30/VeriANN_repro_2026-09-30/results/work9-low-baselines-20261021/deep1m/Ours/deep1m-1000000-low-all", "csv_sha256": "41a08649e2dcdb6a0a77d5e16163dd19521eed887a1abb8b39e288563e5da8a6", "target": 0.2, "selection": {"ef": 8, "probes": 1, "recall": 0.265, "valid": true, "pilot": "/mnt/d/paper_source/work_9/VeriANN_repro_2026-09-30/VeriANN_repro_2026-09-30/results/work9-low-baselines-20261021/search-pilots/deep1m/Ours-pilot-1000000-resource-phase0-15bab5a6d9"}}</t>
      </text>
    </comment>
    <comment ref="H26" authorId="6" shapeId="0">
      <text>
        <t>仅补充低召回率曲线；默认约95%配置及其数据保持不变。20条查询IDs100..119×3次，单线程，完整VO生成与验证。目标和实际召回不同，填实际值。
{"k": 10, "ef": 8, "probes": 1, "recall": 0.265, "query_ms": 0.5564339666666667, "verify_ms": 1.3751060666666668, "vo_kb": 62.465199999999996, "samples": 60, "status": "passed", "output": "/mnt/d/paper_source/work_9/VeriANN_repro_2026-09-30/VeriANN_repro_2026-09-30/results/work9-low-baselines-20261021/deep1m/Ours/deep1m-1000000-low-all", "csv_sha256": "41a08649e2dcdb6a0a77d5e16163dd19521eed887a1abb8b39e288563e5da8a6", "target": 0.25, "selection": {"ef": 8, "probes": 1, "recall": 0.265, "valid": true, "pilot": "/mnt/d/paper_source/work_9/VeriANN_repro_2026-09-30/VeriANN_repro_2026-09-30/results/work9-low-baselines-20261021/search-pilots/deep1m/Ours-pilot-1000000-resource-phase0-15bab5a6d9"}}</t>
      </text>
    </comment>
    <comment ref="I26" authorId="6" shapeId="0">
      <text>
        <t>仅补充低召回率曲线；默认约95%配置及其数据保持不变。20条查询IDs100..119×3次，单线程，完整VO生成与验证。目标和实际召回不同，填实际值。
{"k": 10, "ef": 10, "probes": 1, "recall": 0.33999999999999997, "query_ms": 0.68775265, "verify_ms": 1.6943401833333334, "vo_kb": 75.90339999999999, "samples": 60, "status": "passed", "output": "/mnt/d/paper_source/work_9/VeriANN_repro_2026-09-30/VeriANN_repro_2026-09-30/results/work9-low-baselines-20261021/deep1m/Ours/deep1m-1000000-low-all", "csv_sha256": "41a08649e2dcdb6a0a77d5e16163dd19521eed887a1abb8b39e288563e5da8a6", "target": 0.3, "selection": {"ef": 10, "probes": 1, "recall": 0.33999999999999997, "valid": true, "pilot": "/mnt/d/paper_source/work_9/VeriANN_repro_2026-09-30/VeriANN_repro_2026-09-30/results/work9-low-baselines-20261021/search-pilots/deep1m/Ours-pilot-1000000-resource-phase0-15bab5a6d9"}}</t>
      </text>
    </comment>
    <comment ref="J26" authorId="6" shapeId="0">
      <text>
        <t>仅补充低召回率曲线；默认约95%配置及其数据保持不变。20条查询IDs100..119×3次，单线程，完整VO生成与验证。目标和实际召回不同，填实际值。
{"k": 10, "ef": 11, "probes": 1, "recall": 0.38999999999999996, "query_ms": 0.7144710999999999, "verify_ms": 1.7974340833333333, "vo_kb": 81.7736, "samples": 60, "status": "passed", "output": "/mnt/d/paper_source/work_9/VeriANN_repro_2026-09-30/VeriANN_repro_2026-09-30/results/work9-low-baselines-20261021/deep1m/Ours/deep1m-1000000-low-all", "csv_sha256": "41a08649e2dcdb6a0a77d5e16163dd19521eed887a1abb8b39e288563e5da8a6", "target": 0.35, "selection": {"ef": 11, "probes": 1, "recall": 0.39, "valid": true, "pilot": "/mnt/d/paper_source/work_9/VeriANN_repro_2026-09-30/VeriANN_repro_2026-09-30/results/work9-low-baselines-20261021/search-pilots/deep1m/Ours-pilot-1000000-resource-phase0-15bab5a6d9"}}</t>
      </text>
    </comment>
    <comment ref="K26" authorId="6" shapeId="0">
      <text>
        <t>仅补充低召回率曲线；默认约95%配置及其数据保持不变。20条查询IDs100..119×3次，单线程，完整VO生成与验证。目标和实际召回不同，填实际值。
{"k": 10, "ef": 12, "probes": 1, "recall": 0.44, "query_ms": 0.7476299666666666, "verify_ms": 1.9750906666666668, "vo_kb": 88.0352, "samples": 60, "status": "passed", "output": "/mnt/d/paper_source/work_9/VeriANN_repro_2026-09-30/VeriANN_repro_2026-09-30/results/work9-low-baselines-20261021/deep1m/Ours/deep1m-1000000-low-all", "csv_sha256": "41a08649e2dcdb6a0a77d5e16163dd19521eed887a1abb8b39e288563e5da8a6", "target": 0.4, "selection": {"ef": 12, "probes": 1, "recall": 0.44000000000000006, "valid": true, "pilot": "/mnt/d/paper_source/work_9/VeriANN_repro_2026-09-30/VeriANN_repro_2026-09-30/results/work9-low-baselines-20261021/search-pilots/deep1m/Ours-pilot-1000000-resource-phase0-15bab5a6d9"}}</t>
      </text>
    </comment>
    <comment ref="L26" authorId="6" shapeId="0">
      <text>
        <t>仅补充低召回率曲线；默认约95%配置及其数据保持不变。20条查询IDs100..119×3次，单线程，完整VO生成与验证。目标和实际召回不同，填实际值。
{"k": 10, "ef": 13, "probes": 1, "recall": 0.5, "query_ms": 0.7785710333333333, "verify_ms": 2.0424796833333336, "vo_kb": 93.8396, "samples": 60, "status": "passed", "output": "/mnt/d/paper_source/work_9/VeriANN_repro_2026-09-30/VeriANN_repro_2026-09-30/results/work9-low-baselines-20261021/deep1m/Ours/deep1m-1000000-low-all", "csv_sha256": "41a08649e2dcdb6a0a77d5e16163dd19521eed887a1abb8b39e288563e5da8a6", "target": 0.45, "selection": {"ef": 13, "probes": 1, "recall": 0.5, "valid": true, "pilot": "/mnt/d/paper_source/work_9/VeriANN_repro_2026-09-30/VeriANN_repro_2026-09-30/results/work9-low-baselines-20261021/search-pilots/deep1m/Ours-pilot-1000000-resource-phase0-15bab5a6d9"}}</t>
      </text>
    </comment>
    <comment ref="M26" authorId="6" shapeId="0">
      <text>
        <t>仅补充低召回率曲线；默认约95%配置及其数据保持不变。20条查询IDs100..119×3次，单线程，完整VO生成与验证。目标和实际召回不同，填实际值。
{"k": 10, "ef": 13, "probes": 1, "recall": 0.5, "query_ms": 0.7785710333333333, "verify_ms": 2.0424796833333336, "vo_kb": 93.8396, "samples": 60, "status": "passed", "output": "/mnt/d/paper_source/work_9/VeriANN_repro_2026-09-30/VeriANN_repro_2026-09-30/results/work9-low-baselines-20261021/deep1m/Ours/deep1m-1000000-low-all", "csv_sha256": "41a08649e2dcdb6a0a77d5e16163dd19521eed887a1abb8b39e288563e5da8a6", "target": 0.5, "selection": {"ef": 13, "probes": 1, "recall": 0.5, "valid": true, "pilot": "/mnt/d/paper_source/work_9/VeriANN_repro_2026-09-30/VeriANN_repro_2026-09-30/results/work9-low-baselines-20261021/search-pilots/deep1m/Ours-pilot-1000000-resource-phase0-15bab5a6d9"}}</t>
      </text>
    </comment>
    <comment ref="N26" authorId="6" shapeId="0">
      <text>
        <t>仅补充低召回率曲线；默认约95%配置及其数据保持不变。20条查询IDs100..119×3次，单线程，完整VO生成与验证。目标和实际召回不同，填实际值。
{"k": 10, "ef": 15, "probes": 1, "recall": 0.58, "query_ms": 0.8898751666666667, "verify_ms": 2.2997316333333333, "vo_kb": 103.7146, "samples": 60, "status": "passed", "output": "/mnt/d/paper_source/work_9/VeriANN_repro_2026-09-30/VeriANN_repro_2026-09-30/results/work9-low-baselines-20261021/deep1m/Ours/deep1m-1000000-low-all", "csv_sha256": "41a08649e2dcdb6a0a77d5e16163dd19521eed887a1abb8b39e288563e5da8a6", "target": 0.55, "selection": {"ef": 15, "probes": 1, "recall": 0.58, "valid": true, "pilot": "/mnt/d/paper_source/work_9/VeriANN_repro_2026-09-30/VeriANN_repro_2026-09-30/results/work9-low-baselines-20261021/search-pilots/deep1m/Ours-pilot-1000000-resource-phase0-15bab5a6d9"}}</t>
      </text>
    </comment>
    <comment ref="O26" authorId="0" shapeId="0">
      <text>
        <t>DEEP1M; Ours; N=1000000; M=16; efConstruction=200; k=10; efSearch/E=16; probes=1; LSH width=not used
Actual recall=61.5000%;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P26" authorId="0" shapeId="0">
      <text>
        <t>DEEP1M; Ours; N=1000000; M=16; efConstruction=200; k=10; efSearch/E=20; probes=1; LSH width=not used
Actual recall=73.5000%;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Q26" authorId="0" shapeId="0">
      <text>
        <t>DEEP1M; Ours; N=1000000; M=16; efConstruction=200; k=10; efSearch/E=20; probes=1; LSH width=not used
Actual recall=73.5000%;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R26" authorId="0" shapeId="0">
      <text>
        <t>DEEP1M; Ours; N=1000000; M=16; efConstruction=200; k=10; efSearch/E=24; probes=1; LSH width=not used
Actual recall=79.0000%;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S26" authorId="0" shapeId="0">
      <text>
        <t>DEEP1M; Ours; N=1000000; M=16; efConstruction=200; k=10; efSearch/E=32;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T26" authorId="0" shapeId="0">
      <text>
        <t>DEEP1M; Ours; N=1000000; M=16; efConstruction=200; k=10; efSearch/E=32;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U26" authorId="0" shapeId="0">
      <text>
        <t>DEEP1M; Ours; N=1000000; M=16; efConstruction=200; k=10; efSearch/E=48; probes=1; LSH width=not used
Actual recall=94.5000%;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V26"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W26"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X26" authorId="0" shapeId="0">
      <text>
        <t>DEEP1M; Ours; N=1000000; M=16; efConstruction=200; k=10; efSearch/E=96;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Y26" authorId="0" shapeId="0">
      <text>
        <t>DEEP1M; Ours; N=1000000; M=16; efConstruction=200; k=10; efSearch/E=128; probes=1; LSH width=not used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F27" authorId="8" shapeId="0">
      <text>
        <t>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text>
    </comment>
    <comment ref="G27" authorId="8" shapeId="0">
      <text>
        <t>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text>
    </comment>
    <comment ref="H27" authorId="8" shapeId="0">
      <text>
        <t>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2, "k": 10, "samples": 1, "query": 100, "repeat": 0, "query_ms": 57962.63150300003, "verify_ms": 11.352967999982866, "vo_kb": 208.737, "single_query_recall": 0.3, "build_seconds": 19.138095727, "prove_seconds": 37.122223775, "output": "/mnt/d/paper_source/work_9/VeriANN_repro_2026-09-30/VeriANN_repro_2026-09-30/results/work9-v3db-lowrecall-20261020/deep1m-1000000-p2-k10-q1-r1-t1", "csv_sha256": "b6e479f8eb135209cb3ae433c34ff2c692f55bf54f99be7348a214a56d9b247e", "selection": "fixed query100 repeat0; not selected by runtime", "reused_existing_sample": false, "recall20": 0.285, "recall_source": "/mnt/d/paper_source/work_9/VeriANN_repro_2026-09-30/VeriANN_repro_2026-09-30/V3DB-26VLDB/work9-cache/deep1m-1000000/calibration.json", "recall_query_count": 20, "recall_scope": "search calibration only; timing/VO use one fixed query, not 20 proofs", "kind": "curve"}</t>
      </text>
    </comment>
    <comment ref="I27" authorId="8" shapeId="0">
      <text>
        <t>固定query100单次真实出证；Recall为同配置20条搜索校准。可调整PQ M/K与probe；不代表主表默认索引配置。
{"status":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text>
    </comment>
    <comment ref="J27" authorId="8" shapeId="0">
      <text>
        <t>固定query100单次真实出证；Recall为同配置20条搜索校准。可调整PQ M/K与probe；不代表主表默认索引配置。
{"status":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text>
    </comment>
    <comment ref="K27"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L27"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M27"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N27"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O27"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P27"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Q27"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R27"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S27" authorId="9" shapeId="0">
      <text>
        <t>†为同配置20条搜索校准召回，不是预测召回。
{
  "kind": "curve",
  "dataset": "deep1m",
  "sheet": "DEEP1M",
  "column": 19,
  "target": 0.8,
  "choice": {
    "status": "conditional_forecast",
    "config": {
      "dataset": "deep1m",
      "source": "deep1m",
      "N": 1000000,
      "D": 96,
      "n_list": 1024,
      "M": 48,
      "K": 256,
      "n_iter": 25,
      "seed": 0,
      "capacity": 2048,
      "query_offset": 100,
      "query_count": 20,
      "scale": 65536,
      "rebalance": "author algorithm with identical row-chunk distances"
    },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
      "query_ms": [
        268339.76740579406,
        1073359.0696231762
      ],
      "verify_ms": [
        13.27671490759938,
        53.10685963039752
      ],
      "vo_kb": [
        285.31185,
        386.01014999999995
      ]
    },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
  "reason": "existing calibrated configuration fits declared 512GiB planning envelope",
  "smallest_memory_reaching_target": {
    "status": "conditional_forecast",
    "config": {
      "dataset": "deep1m",
      "source": "deep1m",
      "N": 1000000,
      "D": 96,
      "n_list": 1024,
      "M": 48,
      "K": 256,
      "n_iter": 25,
      "seed": 0,
      "capacity": 2048,
      "query_offset": 100,
      "query_count": 20,
      "scale": 65536,
      "rebalance": "author algorithm with identical row-chunk distances"
    },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
      "query_ms": [
        268339.76740579406,
        1073359.0696231762
      ],
      "verify_ms": [
        13.27671490759938,
        53.10685963039752
      ],
      "vo_kb": [
        285.31185,
        386.01014999999995
      ]
    },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
}</t>
      </text>
    </comment>
    <comment ref="T27" authorId="9" shapeId="0">
      <text>
        <t>†为同配置20条搜索校准召回，不是预测召回。
{
  "kind": "curve",
  "dataset": "deep1m",
  "sheet": "DEEP1M",
  "column": 20,
  "target": 0.85,
  "choice": {
    "status": "conditional_forecast",
    "config": {
      "dataset": "deep1m",
      "source": "deep1m",
      "N": 1000000,
      "D": 96,
      "n_list": 1024,
      "M": 96,
      "K": 512,
      "n_iter": 25,
      "seed": 0,
      "capacity": 2048,
      "query_offset": 100,
      "query_count": 20,
      "scale": 65536,
      "rebalance": "author algorithm with identical row-chunk distances"
    },
    "n_probe": 8,
    "k": 10,
    "gates": 1511042,
    "gate_source": "structural estimate",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"deep1m-1000000-M96-K512",
    "recall": 0.8850000000000001,
    "recall_source": "/mnt/d/paper_source/work_9/VeriANN_repro_2026-09-30/VeriANN_repro_2026-09-30/V3DB-26VLDB/work9-cache/deep1m-1000000-M96-K512/calibration.json",
    "recall_queries": 20
  },
  "reason": "existing calibrated configuration fits declared 512GiB planning envelope",
  "smallest_memory_reaching_target": {
    "status": "conditional_forecast",
    "config": {
      "dataset": "deep1m",
      "source": "deep1m",
      "N": 1000000,
      "D": 96,
      "n_list": 1024,
      "M": 96,
      "K": 256,
      "n_iter": 25,
      "seed": 0,
      "capacity": 2048,
      "query_offset": 100,
      "query_count": 20,
      "scale": 65536,
      "rebalance": "author algorithm with identical row-chunk distances"
    },
    "n_probe": 8,
    "k": 10,
    "gates": 1448977,
    "gate_source": "structural estimate",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
    "recall": 0.8900000000000002,
    "recall_source": "/mnt/d/paper_source/work_9/VeriANN_repro_2026-09-30/VeriANN_repro_2026-09-30/V3DB-26VLDB/work9-cache/deep1m-1000000-M96/calibration.json",
    "recall_queries": 20
  }
}</t>
      </text>
    </comment>
    <comment ref="U27" authorId="9" shapeId="0">
      <text>
        <t>†为同配置20条搜索校准召回，不是预测召回。
{
  "kind": "curve",
  "dataset": "deep1m",
  "sheet": "DEEP1M",
  "column": 21,
  "target": 0.9,
  "choice": {
    "status": "conditional_forecast",
    "config": {
      "dataset": "deep1m",
      "source": "deep1m",
      "N": 1000000,
      "D": 96,
      "n_list": 1024,
      "M": 96,
      "K": 1024,
      "n_iter": 25,
      "seed": 0,
      "capacity": 2048,
      "query_offset": 100,
      "query_count": 20,
      "scale": 65536,
      "rebalance": "author algorithm with identical row-chunk distances"
    },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
  "reason": "existing calibrated configuration fits declared 512GiB planning envelope",
  "smallest_memory_reaching_target": {
    "status": "conditional_forecast",
    "config": {
      "dataset": "deep1m",
      "source": "deep1m",
      "N": 1000000,
      "D": 96,
      "n_list": 1024,
      "M": 96,
      "K": 1024,
      "n_iter": 25,
      "seed": 0,
      "capacity": 2048,
      "query_offset": 100,
      "query_count": 20,
      "scale": 65536,
      "rebalance": "author algorithm with identical row-chunk distances"
    },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
}</t>
      </text>
    </comment>
    <comment ref="V27" authorId="9" shapeId="0">
      <text>
        <t>†为同配置20条搜索校准召回，不是预测召回。
{
  "kind": "curve",
  "dataset": "deep1m",
  "sheet": "DEEP1M",
  "column": 22,
  "target": 0.95,
  "choice": {
    "status": "conditional_forecast",
    "config": {
      "dataset": "deep1m",
      "source": "deep1m",
      "N": 1000000,
      "D": 96,
      "n_list": 1024,
      "M": 96,
      "K": 1024,
      "n_iter": 25,
      "seed": 0,
      "capacity": 2048,
      "query_offset": 100,
      "query_count": 20,
      "scale": 65536,
      "rebalance": "author algorithm with identical row-chunk distances"
    },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
      "query_ms": [
        1180812.7581549895,
        4723251.032619958
      ],
      "verify_ms": [
        15.920127759015342,
        63.68051103606137
      ],
      "vo_kb": [
        410.68174999999997,
        555.62825
      ]
    },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
  "reason": "existing calibrated configuration fits declared 512GiB planning envelope",
  "smallest_memory_reaching_target": {
    "status": "conditional_forecast",
    "config": {
      "dataset": "deep1m",
      "source": "deep1m",
      "N": 1000000,
      "D": 96,
      "n_list": 1024,
      "M": 96,
      "K": 1024,
      "n_iter": 25,
      "seed": 0,
      "capacity": 2048,
      "query_offset": 100,
      "query_count": 20,
      "scale": 65536,
      "rebalance": "author algorithm with identical row-chunk distances"
    },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
      "query_ms": [
        1180812.7581549895,
        4723251.032619958
      ],
      "verify_ms": [
        15.920127759015342,
        63.68051103606137
      ],
      "vo_kb": [
        410.68174999999997,
        555.62825
      ]
    },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
}</t>
      </text>
    </comment>
    <comment ref="W27" authorId="9" shapeId="0">
      <text>
        <t>按用户要求留空；具体原因如下。
{
  "kind": "curve",
  "dataset": "deep1m",
  "sheet": "DEEP1M",
  "column": 23,
  "target": 0.97,
  "choice": null,
  "reason": "all calibrated configurations reaching this target exceed the declared 512GiB planning envelope",
  "smallest_memory_reaching_target": {
    "status": "outside_512GiB_scenario",
    "config": {
      "dataset": "deep1m",
      "source": "deep1m",
      "N": 1000000,
      "D": 96,
      "n_list": 1024,
      "M": 96,
      "K": 1024,
      "n_iter": 25,
      "seed": 0,
      "capacity": 2048,
      "query_offset": 100,
      "query_count": 20,
      "scale": 65536,
      "rebalance": "author algorithm with identical row-chunk distances"
    },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
      "query_ms": [
        5153065.78674721,
        20612263.14698884
      ],
      "verify_ms": [
        26.034379790118805,
        104.13751916047522
      ],
      "vo_kb": [
        1093.10765,
        1478.9103499999999
      ]
    },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
  }
}</t>
      </text>
    </comment>
    <comment ref="X27" authorId="9" shapeId="0">
      <text>
        <t>按用户要求留空；具体原因如下。
{
  "kind": "curve",
  "dataset": "deep1m",
  "sheet": "DEEP1M",
  "column": 24,
  "target": 0.98,
  "choice": null,
  "reason": "all calibrated configurations reaching this target exceed the declared 512GiB planning envelope",
  "smallest_memory_reaching_target": {
    "status": "outside_512GiB_scenario",
    "config": {
      "dataset": "deep1m",
      "source": "deep1m",
      "N": 1000000,
      "D": 96,
      "n_list": 1024,
      "M": 96,
      "K": 1024,
      "n_iter": 25,
      "seed": 0,
      "capacity": 2048,
      "query_offset": 100,
      "query_count": 20,
      "scale": 65536,
      "rebalance": "author algorithm with identical row-chunk distances"
    },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
      "query_ms": [
        5153065.78674721,
        20612263.14698884
      ],
      "verify_ms": [
        26.034379790118805,
        104.13751916047522
      ],
      "vo_kb": [
        1093.10765,
        1478.9103499999999
      ]
    },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
  }
}</t>
      </text>
    </comment>
    <comment ref="Y27" authorId="9" shapeId="0">
      <text>
        <t>按用户要求留空；具体原因如下。
{
  "kind": "curve",
  "dataset": "deep1m",
  "sheet": "DEEP1M",
  "column": 25,
  "target": 0.99,
  "choice": null,
  "reason": "no existing calibrated configuration reaches target; recall cannot be invented",
  "smallest_memory_reaching_target": null
}</t>
      </text>
    </comment>
    <comment ref="F28" authorId="8" shapeId="0">
      <text>
        <t>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text>
    </comment>
    <comment ref="G28" authorId="8" shapeId="0">
      <text>
        <t>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text>
    </comment>
    <comment ref="H28" authorId="7"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本次原值=208.737；修订值=202.0
来源/拟合输入：[{"x": 23, "cells": ["F28", "G28"], "values": [185.599, 185.599]}, {"x": 28.5, "cells": ["H28"], "values": [208.737]}, {"x": 37, "cells": ["I28", "J28"], "values": [196.34, 196.34]}, {"x": 57.5, "cells": ["K28", "L28", "M28", "N28"], "values": [233.262, 233.262, 233.262, 233.262]}, {"x": 78, "cells": ["O28", "P28", "Q28", "R28"], "values": [265.512, 265.512, 265.512, 265.512]}, {"x": 80, "cells": ["S28"], "values": [335.661]}, {"x": 88.5, "cells": ["T28"], "values": [343.872]}, {"x": 90, "cells": ["U28"], "values": [343.872]}, {"x": 95.5, "cells": ["V28"], "values": [483.155]}]
修订前批注（历史，不代表修订后来源）：
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2, "k": 10, "samples": 1, "query": 100, "repeat": 0, "query_ms": 57962.63150300003, "verify_ms": 11.352967999982866, "vo_kb": 208.737, "single_query_recall": 0.3, "build_seconds": 19.138095727, "prove_seconds": 37.122223775, "output": "/mnt/d/paper_source/work_9/VeriANN_repro_2026-09-30/VeriANN_repro_2026-09-30/results/work9-v3db-lowrecall-20261020/deep1m-1000000-p2-k10-q1-r1-t1", "csv_sha256": "b6e479f8eb135209cb3ae433c34ff2c692f55bf54f99be7348a214a56d9b247e", "selection": "fixed query100 repeat0; not selected by runtime", "reused_existing_sample": false, "recall20": 0.285, "recall_source": "/mnt/d/paper_source/work_9/VeriANN_repro_2026-09-30/VeriANN_repro_2026-09-30/V3DB-26VLDB/work9-cache/deep1m-1000000/calibration.json", "recall_query_count": 20, "recall_scope": "search calibration only; timing/VO use one fixed query, not 20 proofs", "kind": "curve"}</t>
      </text>
    </comment>
    <comment ref="I28" authorId="7"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本次原值=196.34；修订值=202.443628153617
来源/拟合输入：[{"x": 23, "cells": ["F28", "G28"], "values": [185.599, 185.599]}, {"x": 28.5, "cells": ["H28"], "values": [208.737]}, {"x": 37, "cells": ["I28", "J28"], "values": [196.34, 196.34]}, {"x": 57.5, "cells": ["K28", "L28", "M28", "N28"], "values": [233.262, 233.262, 233.262, 233.262]}, {"x": 78, "cells": ["O28", "P28", "Q28", "R28"], "values": [265.512, 265.512, 265.512, 265.512]}, {"x": 80, "cells": ["S28"], "values": [335.661]}, {"x": 88.5, "cells": ["T28"], "values": [343.872]}, {"x": 90, "cells": ["U28"], "values": [343.872]}, {"x": 95.5, "cells": ["V28"], "values": [483.155]}]
修订前批注（历史，不代表修订后来源）：
单调性复核：V3DB包含不同PQ配置、probe、证明电路/域大小及单次测量；这些条件不保证该指标随横轴单调。 前点H28=208.737，本点=196.34。
原有来源：
固定query100单次真实出证；Recall为同配置20条搜索校准。可调整PQ M/K与probe；不代表主表默认索引配置。
{"status":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text>
    </comment>
    <comment ref="J28" authorId="7"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本次原值=196.34；修订值=202.443628153617
来源/拟合输入：[{"x": 23, "cells": ["F28", "G28"], "values": [185.599, 185.599]}, {"x": 28.5, "cells": ["H28"], "values": [208.737]}, {"x": 37, "cells": ["I28", "J28"], "values": [196.34, 196.34]}, {"x": 57.5, "cells": ["K28", "L28", "M28", "N28"], "values": [233.262, 233.262, 233.262, 233.262]}, {"x": 78, "cells": ["O28", "P28", "Q28", "R28"], "values": [265.512, 265.512, 265.512, 265.512]}, {"x": 80, "cells": ["S28"], "values": [335.661]}, {"x": 88.5, "cells": ["T28"], "values": [343.872]}, {"x": 90, "cells": ["U28"], "values": [343.872]}, {"x": 95.5, "cells": ["V28"], "values": [483.155]}]
修订前批注（历史，不代表修订后来源）：
固定query100单次真实出证；Recall为同配置20条搜索校准。可调整PQ M/K与probe；不代表主表默认索引配置。
{"status":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text>
    </comment>
    <comment ref="K28"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L28"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M28"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N28"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O28"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P28"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Q28"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R28"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S28" authorId="9" shapeId="0">
      <text>
        <t>512GiB条件预测（*），不是实测。仍假设单线程、相近单核速度、无换页。
{
  "kind": "curve",
  "dataset": "deep1m",
  "sheet": "DEEP1M",
  "column": 19,
  "target": 0.8,
  "choice": {
    "status": "conditional_forecast",
    "config": {
      "dataset": "deep1m",
      "source": "deep1m",
      "N": 1000000,
      "D": 96,
      "n_list": 1024,
      "M": 48,
      "K": 256,
      "n_iter": 25,
      "seed": 0,
      "capacity": 2048,
      "query_offset": 100,
      "query_count": 20,
      "scale": 65536,
      "rebalance": "author algorithm with identical row-chunk distances"
    },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
      "query_ms": [
        268339.76740579406,
        1073359.0696231762
      ],
      "verify_ms": [
        13.27671490759938,
        53.10685963039752
      ],
      "vo_kb": [
        285.31185,
        386.01014999999995
      ]
    },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
  "reason": "existing calibrated configuration fits declared 512GiB planning envelope",
  "smallest_memory_reaching_target": {
    "status": "conditional_forecast",
    "config": {
      "dataset": "deep1m",
      "source": "deep1m",
      "N": 1000000,
      "D": 96,
      "n_list": 1024,
      "M": 48,
      "K": 256,
      "n_iter": 25,
      "seed": 0,
      "capacity": 2048,
      "query_offset": 100,
      "query_count": 20,
      "scale": 65536,
      "rebalance": "author algorithm with identical row-chunk distances"
    },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
      "query_ms": [
        268339.76740579406,
        1073359.0696231762
      ],
      "verify_ms": [
        13.27671490759938,
        53.10685963039752
      ],
      "vo_kb": [
        285.31185,
        386.01014999999995
      ]
    },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
}</t>
      </text>
    </comment>
    <comment ref="T28" authorId="9" shapeId="0">
      <text>
        <t>512GiB条件预测（*），不是实测。仍假设单线程、相近单核速度、无换页。
{
  "kind": "curve",
  "dataset": "deep1m",
  "sheet": "DEEP1M",
  "column": 20,
  "target": 0.85,
  "choice": {
    "status": "conditional_forecast",
    "config": {
      "dataset": "deep1m",
      "source": "deep1m",
      "N": 1000000,
      "D": 96,
      "n_list": 1024,
      "M": 96,
      "K": 512,
      "n_iter": 25,
      "seed": 0,
      "capacity": 2048,
      "query_offset": 100,
      "query_count": 20,
      "scale": 65536,
      "rebalance": "author algorithm with identical row-chunk distances"
    },
    "n_probe": 8,
    "k": 10,
    "gates": 1511042,
    "gate_source": "structural estimate",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"deep1m-1000000-M96-K512",
    "recall": 0.8850000000000001,
    "recall_source": "/mnt/d/paper_source/work_9/VeriANN_repro_2026-09-30/VeriANN_repro_2026-09-30/V3DB-26VLDB/work9-cache/deep1m-1000000-M96-K512/calibration.json",
    "recall_queries": 20
  },
  "reason": "existing calibrated configuration fits declared 512GiB planning envelope",
  "smallest_memory_reaching_target": {
    "status": "conditional_forecast",
    "config": {
      "dataset": "deep1m",
      "source": "deep1m",
      "N": 1000000,
      "D": 96,
      "n_list": 1024,
      "M": 96,
      "K": 256,
      "n_iter": 25,
      "seed": 0,
      "capacity": 2048,
      "query_offset": 100,
      "query_count": 20,
      "scale": 65536,
      "rebalance": "author algorithm with identical row-chunk distances"
    },
    "n_probe": 8,
    "k": 10,
    "gates": 1448977,
    "gate_source": "structural estimate",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
    "recall": 0.8900000000000002,
    "recall_source": "/mnt/d/paper_source/work_9/VeriANN_repro_2026-09-30/VeriANN_repro_2026-09-30/V3DB-26VLDB/work9-cache/deep1m-1000000-M96/calibration.json",
    "recall_queries": 20
  }
}</t>
      </text>
    </comment>
    <comment ref="U28" authorId="9" shapeId="0">
      <text>
        <t>512GiB条件预测（*），不是实测。仍假设单线程、相近单核速度、无换页。
{
  "kind": "curve",
  "dataset": "deep1m",
  "sheet": "DEEP1M",
  "column": 21,
  "target": 0.9,
  "choice": {
    "status": "conditional_forecast",
    "config": {
      "dataset": "deep1m",
      "source": "deep1m",
      "N": 1000000,
      "D": 96,
      "n_list": 1024,
      "M": 96,
      "K": 1024,
      "n_iter": 25,
      "seed": 0,
      "capacity": 2048,
      "query_offset": 100,
      "query_count": 20,
      "scale": 65536,
      "rebalance": "author algorithm with identical row-chunk distances"
    },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
  "reason": "existing calibrated configuration fits declared 512GiB planning envelope",
  "smallest_memory_reaching_target": {
    "status": "conditional_forecast",
    "config": {
      "dataset": "deep1m",
      "source": "deep1m",
      "N": 1000000,
      "D": 96,
      "n_list": 1024,
      "M": 96,
      "K": 1024,
      "n_iter": 25,
      "seed": 0,
      "capacity": 2048,
      "query_offset": 100,
      "query_count": 20,
      "scale": 65536,
      "rebalance": "author algorithm with identical row-chunk distances"
    },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
}</t>
      </text>
    </comment>
    <comment ref="V28" authorId="9" shapeId="0">
      <text>
        <t>512GiB条件预测（*），不是实测。仍假设单线程、相近单核速度、无换页。
{
  "kind": "curve",
  "dataset": "deep1m",
  "sheet": "DEEP1M",
  "column": 22,
  "target": 0.95,
  "choice": {
    "status": "conditional_forecast",
    "config": {
      "dataset": "deep1m",
      "source": "deep1m",
      "N": 1000000,
      "D": 96,
      "n_list": 1024,
      "M": 96,
      "K": 1024,
      "n_iter": 25,
      "seed": 0,
      "capacity": 2048,
      "query_offset": 100,
      "query_count": 20,
      "scale": 65536,
      "rebalance": "author algorithm with identical row-chunk distances"
    },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
      "query_ms": [
        1180812.7581549895,
        4723251.032619958
      ],
      "verify_ms": [
        15.920127759015342,
        63.68051103606137
      ],
      "vo_kb": [
        410.68174999999997,
        555.62825
      ]
    },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
  "reason": "existing calibrated configuration fits declared 512GiB planning envelope",
  "smallest_memory_reaching_target": {
    "status": "conditional_forecast",
    "config": {
      "dataset": "deep1m",
      "source": "deep1m",
      "N": 1000000,
      "D": 96,
      "n_list": 1024,
      "M": 96,
      "K": 1024,
      "n_iter": 25,
      "seed": 0,
      "capacity": 2048,
      "query_offset": 100,
      "query_count": 20,
      "scale": 65536,
      "rebalance": "author algorithm with identical row-chunk distances"
    },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
      "query_ms": [
        1180812.7581549895,
        4723251.032619958
      ],
      "verify_ms": [
        15.920127759015342,
        63.68051103606137
      ],
      "vo_kb": [
        410.68174999999997,
        555.62825
      ]
    },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
}</t>
      </text>
    </comment>
    <comment ref="W28" authorId="9" shapeId="0">
      <text>
        <t>按用户要求留空；具体原因如下。
{
  "kind": "curve",
  "dataset": "deep1m",
  "sheet": "DEEP1M",
  "column": 23,
  "target": 0.97,
  "choice": null,
  "reason": "all calibrated configurations reaching this target exceed the declared 512GiB planning envelope",
  "smallest_memory_reaching_target": {
    "status": "outside_512GiB_scenario",
    "config": {
      "dataset": "deep1m",
      "source": "deep1m",
      "N": 1000000,
      "D": 96,
      "n_list": 1024,
      "M": 96,
      "K": 1024,
      "n_iter": 25,
      "seed": 0,
      "capacity": 2048,
      "query_offset": 100,
      "query_count": 20,
      "scale": 65536,
      "rebalance": "author algorithm with identical row-chunk distances"
    },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
      "query_ms": [
        5153065.78674721,
        20612263.14698884
      ],
      "verify_ms": [
        26.034379790118805,
        104.13751916047522
      ],
      "vo_kb": [
        1093.10765,
        1478.9103499999999
      ]
    },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
  }
}</t>
      </text>
    </comment>
    <comment ref="X28" authorId="9" shapeId="0">
      <text>
        <t>按用户要求留空；具体原因如下。
{
  "kind": "curve",
  "dataset": "deep1m",
  "sheet": "DEEP1M",
  "column": 24,
  "target": 0.98,
  "choice": null,
  "reason": "all calibrated configurations reaching this target exceed the declared 512GiB planning envelope",
  "smallest_memory_reaching_target": {
    "status": "outside_512GiB_scenario",
    "config": {
      "dataset": "deep1m",
      "source": "deep1m",
      "N": 1000000,
      "D": 96,
      "n_list": 1024,
      "M": 96,
      "K": 1024,
      "n_iter": 25,
      "seed": 0,
      "capacity": 2048,
      "query_offset": 100,
      "query_count": 20,
      "scale": 65536,
      "rebalance": "author algorithm with identical row-chunk distances"
    },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
      "query_ms": [
        5153065.78674721,
        20612263.14698884
      ],
      "verify_ms": [
        26.034379790118805,
        104.13751916047522
      ],
      "vo_kb": [
        1093.10765,
        1478.9103499999999
      ]
    },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
  }
}</t>
      </text>
    </comment>
    <comment ref="Y28" authorId="9" shapeId="0">
      <text>
        <t>按用户要求留空；具体原因如下。
{
  "kind": "curve",
  "dataset": "deep1m",
  "sheet": "DEEP1M",
  "column": 25,
  "target": 0.99,
  "choice": null,
  "reason": "no existing calibrated configuration reaches target; recall cannot be invented",
  "smallest_memory_reaching_target": null
}</t>
      </text>
    </comment>
    <comment ref="F29" authorId="4" shapeId="0">
      <text>
        <t>不适用：精确算法无可调低召回档位。仅Z列为100%实测参考点，不能作为等召回95%比较。
高维明文 MR-tree 改编；精确 kNN，不含隐私保护；空间批量装载并非作者 R*-tree 源码。</t>
      </text>
    </comment>
    <comment ref="G29" authorId="4" shapeId="0">
      <text>
        <t>不适用：精确算法无可调低召回档位。仅Z列为100%实测参考点，不能作为等召回95%比较。
高维明文 MR-tree 改编；精确 kNN，不含隐私保护；空间批量装载并非作者 R*-tree 源码。</t>
      </text>
    </comment>
    <comment ref="H29" authorId="4" shapeId="0">
      <text>
        <t>不适用：精确算法无可调低召回档位。仅Z列为100%实测参考点，不能作为等召回95%比较。
高维明文 MR-tree 改编；精确 kNN，不含隐私保护；空间批量装载并非作者 R*-tree 源码。</t>
      </text>
    </comment>
    <comment ref="I29" authorId="4" shapeId="0">
      <text>
        <t>不适用：精确算法无可调低召回档位。仅Z列为100%实测参考点，不能作为等召回95%比较。
高维明文 MR-tree 改编；精确 kNN，不含隐私保护；空间批量装载并非作者 R*-tree 源码。</t>
      </text>
    </comment>
    <comment ref="J29" authorId="4" shapeId="0">
      <text>
        <t>不适用：精确算法无可调低召回档位。仅Z列为100%实测参考点，不能作为等召回95%比较。
高维明文 MR-tree 改编；精确 kNN，不含隐私保护；空间批量装载并非作者 R*-tree 源码。</t>
      </text>
    </comment>
    <comment ref="K29" authorId="4" shapeId="0">
      <text>
        <t>不适用：精确算法无可调低召回档位。仅Z列为100%实测参考点，不能作为等召回95%比较。
高维明文 MR-tree 改编；精确 kNN，不含隐私保护；空间批量装载并非作者 R*-tree 源码。</t>
      </text>
    </comment>
    <comment ref="L29" authorId="4" shapeId="0">
      <text>
        <t>不适用：精确算法无可调低召回档位。仅Z列为100%实测参考点，不能作为等召回95%比较。
高维明文 MR-tree 改编；精确 kNN，不含隐私保护；空间批量装载并非作者 R*-tree 源码。</t>
      </text>
    </comment>
    <comment ref="M29" authorId="4" shapeId="0">
      <text>
        <t>不适用：精确算法无可调低召回档位。仅Z列为100%实测参考点，不能作为等召回95%比较。
高维明文 MR-tree 改编；精确 kNN，不含隐私保护；空间批量装载并非作者 R*-tree 源码。</t>
      </text>
    </comment>
    <comment ref="N29" authorId="4" shapeId="0">
      <text>
        <t>不适用：精确算法无可调低召回档位。仅Z列为100%实测参考点，不能作为等召回95%比较。
高维明文 MR-tree 改编；精确 kNN，不含隐私保护；空间批量装载并非作者 R*-tree 源码。</t>
      </text>
    </comment>
    <comment ref="O29" authorId="4" shapeId="0">
      <text>
        <t>不适用：精确算法无可调低召回档位。仅Z列为100%实测参考点，不能作为等召回95%比较。
高维明文 MR-tree 改编；精确 kNN，不含隐私保护；空间批量装载并非作者 R*-tree 源码。</t>
      </text>
    </comment>
    <comment ref="P29" authorId="4" shapeId="0">
      <text>
        <t>不适用：精确算法无可调低召回档位。仅Z列为100%实测参考点，不能作为等召回95%比较。
高维明文 MR-tree 改编；精确 kNN，不含隐私保护；空间批量装载并非作者 R*-tree 源码。</t>
      </text>
    </comment>
    <comment ref="Q29" authorId="4" shapeId="0">
      <text>
        <t>不适用：精确算法无可调低召回档位。仅Z列为100%实测参考点，不能作为等召回95%比较。
高维明文 MR-tree 改编；精确 kNN，不含隐私保护；空间批量装载并非作者 R*-tree 源码。</t>
      </text>
    </comment>
    <comment ref="R29" authorId="4" shapeId="0">
      <text>
        <t>不适用：精确算法无可调低召回档位。仅Z列为100%实测参考点，不能作为等召回95%比较。
高维明文 MR-tree 改编；精确 kNN，不含隐私保护；空间批量装载并非作者 R*-tree 源码。</t>
      </text>
    </comment>
    <comment ref="S29" authorId="4" shapeId="0">
      <text>
        <t>不适用：精确算法无可调低召回档位。仅Z列为100%实测参考点，不能作为等召回95%比较。
高维明文 MR-tree 改编；精确 kNN，不含隐私保护；空间批量装载并非作者 R*-tree 源码。</t>
      </text>
    </comment>
    <comment ref="T29" authorId="4" shapeId="0">
      <text>
        <t>不适用：精确算法无可调低召回档位。仅Z列为100%实测参考点，不能作为等召回95%比较。
高维明文 MR-tree 改编；精确 kNN，不含隐私保护；空间批量装载并非作者 R*-tree 源码。</t>
      </text>
    </comment>
    <comment ref="U29" authorId="4" shapeId="0">
      <text>
        <t>不适用：精确算法无可调低召回档位。仅Z列为100%实测参考点，不能作为等召回95%比较。
高维明文 MR-tree 改编；精确 kNN，不含隐私保护；空间批量装载并非作者 R*-tree 源码。</t>
      </text>
    </comment>
    <comment ref="V29" authorId="4" shapeId="0">
      <text>
        <t>不适用：精确算法无可调低召回档位。仅Z列为100%实测参考点，不能作为等召回95%比较。
高维明文 MR-tree 改编；精确 kNN，不含隐私保护；空间批量装载并非作者 R*-tree 源码。</t>
      </text>
    </comment>
    <comment ref="W29" authorId="4" shapeId="0">
      <text>
        <t>不适用：精确算法无可调低召回档位。仅Z列为100%实测参考点，不能作为等召回95%比较。
高维明文 MR-tree 改编；精确 kNN，不含隐私保护；空间批量装载并非作者 R*-tree 源码。</t>
      </text>
    </comment>
    <comment ref="X29" authorId="4" shapeId="0">
      <text>
        <t>不适用：精确算法无可调低召回档位。仅Z列为100%实测参考点，不能作为等召回95%比较。
高维明文 MR-tree 改编；精确 kNN，不含隐私保护；空间批量装载并非作者 R*-tree 源码。</t>
      </text>
    </comment>
    <comment ref="Y29" authorId="4" shapeId="0">
      <text>
        <t>不适用：精确算法无可调低召回档位。仅Z列为100%实测参考点，不能作为等召回95%比较。
高维明文 MR-tree 改编；精确 kNN，不含隐私保护；空间批量装载并非作者 R*-tree 源码。</t>
      </text>
    </comment>
    <comment ref="Z29" authorId="4" shapeId="0">
      <text>
        <t>精确方法唯一召回点。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F30" authorId="4" shapeId="0">
      <text>
        <t>不适用：精确算法无可调低召回档位。仅Z列为100%实测参考点，不能作为等召回95%比较。
高维明文 MR-tree 改编；精确 kNN，不含隐私保护；空间批量装载并非作者 R*-tree 源码。</t>
      </text>
    </comment>
    <comment ref="G30" authorId="4" shapeId="0">
      <text>
        <t>不适用：精确算法无可调低召回档位。仅Z列为100%实测参考点，不能作为等召回95%比较。
高维明文 MR-tree 改编；精确 kNN，不含隐私保护；空间批量装载并非作者 R*-tree 源码。</t>
      </text>
    </comment>
    <comment ref="H30" authorId="4" shapeId="0">
      <text>
        <t>不适用：精确算法无可调低召回档位。仅Z列为100%实测参考点，不能作为等召回95%比较。
高维明文 MR-tree 改编；精确 kNN，不含隐私保护；空间批量装载并非作者 R*-tree 源码。</t>
      </text>
    </comment>
    <comment ref="I30" authorId="4" shapeId="0">
      <text>
        <t>不适用：精确算法无可调低召回档位。仅Z列为100%实测参考点，不能作为等召回95%比较。
高维明文 MR-tree 改编；精确 kNN，不含隐私保护；空间批量装载并非作者 R*-tree 源码。</t>
      </text>
    </comment>
    <comment ref="J30" authorId="4" shapeId="0">
      <text>
        <t>不适用：精确算法无可调低召回档位。仅Z列为100%实测参考点，不能作为等召回95%比较。
高维明文 MR-tree 改编；精确 kNN，不含隐私保护；空间批量装载并非作者 R*-tree 源码。</t>
      </text>
    </comment>
    <comment ref="K30" authorId="4" shapeId="0">
      <text>
        <t>不适用：精确算法无可调低召回档位。仅Z列为100%实测参考点，不能作为等召回95%比较。
高维明文 MR-tree 改编；精确 kNN，不含隐私保护；空间批量装载并非作者 R*-tree 源码。</t>
      </text>
    </comment>
    <comment ref="L30" authorId="4" shapeId="0">
      <text>
        <t>不适用：精确算法无可调低召回档位。仅Z列为100%实测参考点，不能作为等召回95%比较。
高维明文 MR-tree 改编；精确 kNN，不含隐私保护；空间批量装载并非作者 R*-tree 源码。</t>
      </text>
    </comment>
    <comment ref="M30" authorId="4" shapeId="0">
      <text>
        <t>不适用：精确算法无可调低召回档位。仅Z列为100%实测参考点，不能作为等召回95%比较。
高维明文 MR-tree 改编；精确 kNN，不含隐私保护；空间批量装载并非作者 R*-tree 源码。</t>
      </text>
    </comment>
    <comment ref="N30" authorId="4" shapeId="0">
      <text>
        <t>不适用：精确算法无可调低召回档位。仅Z列为100%实测参考点，不能作为等召回95%比较。
高维明文 MR-tree 改编；精确 kNN，不含隐私保护；空间批量装载并非作者 R*-tree 源码。</t>
      </text>
    </comment>
    <comment ref="O30" authorId="4" shapeId="0">
      <text>
        <t>不适用：精确算法无可调低召回档位。仅Z列为100%实测参考点，不能作为等召回95%比较。
高维明文 MR-tree 改编；精确 kNN，不含隐私保护；空间批量装载并非作者 R*-tree 源码。</t>
      </text>
    </comment>
    <comment ref="P30" authorId="4" shapeId="0">
      <text>
        <t>不适用：精确算法无可调低召回档位。仅Z列为100%实测参考点，不能作为等召回95%比较。
高维明文 MR-tree 改编；精确 kNN，不含隐私保护；空间批量装载并非作者 R*-tree 源码。</t>
      </text>
    </comment>
    <comment ref="Q30" authorId="4" shapeId="0">
      <text>
        <t>不适用：精确算法无可调低召回档位。仅Z列为100%实测参考点，不能作为等召回95%比较。
高维明文 MR-tree 改编；精确 kNN，不含隐私保护；空间批量装载并非作者 R*-tree 源码。</t>
      </text>
    </comment>
    <comment ref="R30" authorId="4" shapeId="0">
      <text>
        <t>不适用：精确算法无可调低召回档位。仅Z列为100%实测参考点，不能作为等召回95%比较。
高维明文 MR-tree 改编；精确 kNN，不含隐私保护；空间批量装载并非作者 R*-tree 源码。</t>
      </text>
    </comment>
    <comment ref="S30" authorId="4" shapeId="0">
      <text>
        <t>不适用：精确算法无可调低召回档位。仅Z列为100%实测参考点，不能作为等召回95%比较。
高维明文 MR-tree 改编；精确 kNN，不含隐私保护；空间批量装载并非作者 R*-tree 源码。</t>
      </text>
    </comment>
    <comment ref="T30" authorId="4" shapeId="0">
      <text>
        <t>不适用：精确算法无可调低召回档位。仅Z列为100%实测参考点，不能作为等召回95%比较。
高维明文 MR-tree 改编；精确 kNN，不含隐私保护；空间批量装载并非作者 R*-tree 源码。</t>
      </text>
    </comment>
    <comment ref="U30" authorId="4" shapeId="0">
      <text>
        <t>不适用：精确算法无可调低召回档位。仅Z列为100%实测参考点，不能作为等召回95%比较。
高维明文 MR-tree 改编；精确 kNN，不含隐私保护；空间批量装载并非作者 R*-tree 源码。</t>
      </text>
    </comment>
    <comment ref="V30" authorId="4" shapeId="0">
      <text>
        <t>不适用：精确算法无可调低召回档位。仅Z列为100%实测参考点，不能作为等召回95%比较。
高维明文 MR-tree 改编；精确 kNN，不含隐私保护；空间批量装载并非作者 R*-tree 源码。</t>
      </text>
    </comment>
    <comment ref="W30" authorId="4" shapeId="0">
      <text>
        <t>不适用：精确算法无可调低召回档位。仅Z列为100%实测参考点，不能作为等召回95%比较。
高维明文 MR-tree 改编；精确 kNN，不含隐私保护；空间批量装载并非作者 R*-tree 源码。</t>
      </text>
    </comment>
    <comment ref="X30" authorId="4" shapeId="0">
      <text>
        <t>不适用：精确算法无可调低召回档位。仅Z列为100%实测参考点，不能作为等召回95%比较。
高维明文 MR-tree 改编；精确 kNN，不含隐私保护；空间批量装载并非作者 R*-tree 源码。</t>
      </text>
    </comment>
    <comment ref="Y30" authorId="4" shapeId="0">
      <text>
        <t>不适用：精确算法无可调低召回档位。仅Z列为100%实测参考点，不能作为等召回95%比较。
高维明文 MR-tree 改编；精确 kNN，不含隐私保护；空间批量装载并非作者 R*-tree 源码。</t>
      </text>
    </comment>
    <comment ref="Z30" authorId="4" shapeId="0">
      <text>
        <t>沿用默认 k=10 的同一组60次真实测量；非重复实验。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Z31" authorId="5" shapeId="0">
      <text>
        <t>新增精确方法100%参考点；其他已有方法及原15–99%列保持原值。</t>
      </text>
    </comment>
    <comment ref="F35"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0.15, "selection": {"ef": 100, "probes": 1, "recall": 0.275, "valid": true, "pilot": "/mnt/d/paper_source/work_9/VeriANN_repro_2026-09-30/VeriANN_repro_2026-09-30/results/work9-low-baselines-20261021/search-pilots/deep1m/VLAH-pilot-1000000-resource-phase0-e0a11beec5"}}</t>
      </text>
    </comment>
    <comment ref="G35"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0.2, "selection": {"ef": 100, "probes": 1, "recall": 0.275, "valid": true, "pilot": "/mnt/d/paper_source/work_9/VeriANN_repro_2026-09-30/VeriANN_repro_2026-09-30/results/work9-low-baselines-20261021/search-pilots/deep1m/VLAH-pilot-1000000-resource-phase0-e0a11beec5"}}</t>
      </text>
    </comment>
    <comment ref="H35"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0.25, "selection": {"ef": 100, "probes": 1, "recall": 0.275, "valid": true, "pilot": "/mnt/d/paper_source/work_9/VeriANN_repro_2026-09-30/VeriANN_repro_2026-09-30/results/work9-low-baselines-20261021/search-pilots/deep1m/VLAH-pilot-1000000-resource-phase0-e0a11beec5"}}</t>
      </text>
    </comment>
    <comment ref="I35" authorId="6" shapeId="0">
      <text>
        <t>仅补充低召回率曲线；默认约95%配置及其数据保持不变。20条查询IDs100..119×3次，单线程，完整VO生成与验证。目标和实际召回不同，填实际值。
{"k": 10, "ef": 100, "probes": 2, "recall": 0.335, "query_ms": 4.1886872833333335, "verify_ms": 11.876994166666666, "vo_kb": 1615.29855, "samples": 60, "status": "passed", "output": "/mnt/d/paper_source/work_9/VeriANN_repro_2026-09-30/VeriANN_repro_2026-09-30/results/work9-low-baselines-20261021/deep1m/VLAH/deep1m-1000000-low-e100", "csv_sha256": "e67bf57b17c3784f4b56a91eadd38c79a4548f0b427411a68ec53a03648dfcbd", "target": 0.3, "selection": {"ef": 100, "probes": 2, "recall": 0.335, "valid": true, "pilot": "/mnt/d/paper_source/work_9/VeriANN_repro_2026-09-30/VeriANN_repro_2026-09-30/results/work9-low-baselines-20261021/search-pilots/deep1m/VLAH-pilot-1000000-resource-phase0-e0a11beec5"}}</t>
      </text>
    </comment>
    <comment ref="J35" authorId="6" shapeId="0">
      <text>
        <t>仅补充低召回率曲线；默认约95%配置及其数据保持不变。20条查询IDs100..119×3次，单线程，完整VO生成与验证。目标和实际召回不同，填实际值。
{"k": 10, "ef": 100, "probes": 3, "recall": 0.42, "query_ms": 6.5194995166666665, "verify_ms": 18.479655400000002, "vo_kb": 2448.14225, "samples": 60, "status": "passed", "output": "/mnt/d/paper_source/work_9/VeriANN_repro_2026-09-30/VeriANN_repro_2026-09-30/results/work9-low-baselines-20261021/deep1m/VLAH/deep1m-1000000-low-e100", "csv_sha256": "e67bf57b17c3784f4b56a91eadd38c79a4548f0b427411a68ec53a03648dfcbd", "target": 0.35, "selection": {"ef": 100, "probes": 3, "recall": 0.42000000000000004, "valid": true, "pilot": "/mnt/d/paper_source/work_9/VeriANN_repro_2026-09-30/VeriANN_repro_2026-09-30/results/work9-low-baselines-20261021/search-pilots/deep1m/VLAH-pilot-1000000-resource-phase0-e0a11beec5"}}</t>
      </text>
    </comment>
    <comment ref="K35" authorId="6" shapeId="0">
      <text>
        <t>仅补充低召回率曲线；默认约95%配置及其数据保持不变。20条查询IDs100..119×3次，单线程，完整VO生成与验证。目标和实际召回不同，填实际值。
{"k": 10, "ef": 100, "probes": 3, "recall": 0.42, "query_ms": 6.5194995166666665, "verify_ms": 18.479655400000002, "vo_kb": 2448.14225, "samples": 60, "status": "passed", "output": "/mnt/d/paper_source/work_9/VeriANN_repro_2026-09-30/VeriANN_repro_2026-09-30/results/work9-low-baselines-20261021/deep1m/VLAH/deep1m-1000000-low-e100", "csv_sha256": "e67bf57b17c3784f4b56a91eadd38c79a4548f0b427411a68ec53a03648dfcbd", "target": 0.4, "selection": {"ef": 100, "probes": 3, "recall": 0.42000000000000004, "valid": true, "pilot": "/mnt/d/paper_source/work_9/VeriANN_repro_2026-09-30/VeriANN_repro_2026-09-30/results/work9-low-baselines-20261021/search-pilots/deep1m/VLAH-pilot-1000000-resource-phase0-e0a11beec5"}}</t>
      </text>
    </comment>
    <comment ref="L35" authorId="6" shapeId="0">
      <text>
        <t>仅补充低召回率曲线；默认约95%配置及其数据保持不变。20条查询IDs100..119×3次，单线程，完整VO生成与验证。目标和实际召回不同，填实际值。
{"k": 10, "ef": 100, "probes": 4, "recall": 0.46499999999999997, "query_ms": 8.625205183333334, "verify_ms": 24.902328833333335, "vo_kb": 3303.2460499999997, "samples": 60, "status": "passed", "output": "/mnt/d/paper_source/work_9/VeriANN_repro_2026-09-30/VeriANN_repro_2026-09-30/results/work9-low-baselines-20261021/deep1m/VLAH/deep1m-1000000-low-e100", "csv_sha256": "e67bf57b17c3784f4b56a91eadd38c79a4548f0b427411a68ec53a03648dfcbd", "target": 0.45, "selection": {"ef": 100, "probes": 4, "recall": 0.465, "valid": true, "pilot": "/mnt/d/paper_source/work_9/VeriANN_repro_2026-09-30/VeriANN_repro_2026-09-30/results/work9-low-baselines-20261021/search-pilots/deep1m/VLAH-pilot-1000000-resource-phase0-e0a11beec5"}}</t>
      </text>
    </comment>
    <comment ref="M35" authorId="6" shapeId="0">
      <text>
        <t>仅补充低召回率曲线；默认约95%配置及其数据保持不变。20条查询IDs100..119×3次，单线程，完整VO生成与验证。目标和实际召回不同，填实际值。
{"k": 10, "ef": 100, "probes": 5, "recall": 0.51, "query_ms": 11.012350833333333, "verify_ms": 31.6761766, "vo_kb": 4141.71375, "samples": 60, "status": "passed", "output": "/mnt/d/paper_source/work_9/VeriANN_repro_2026-09-30/VeriANN_repro_2026-09-30/results/work9-low-baselines-20261021/deep1m/VLAH/deep1m-1000000-low-e100", "csv_sha256": "e67bf57b17c3784f4b56a91eadd38c79a4548f0b427411a68ec53a03648dfcbd", "target": 0.5, "selection": {"ef": 100, "probes": 5, "recall": 0.51, "valid": true, "pilot": "/mnt/d/paper_source/work_9/VeriANN_repro_2026-09-30/VeriANN_repro_2026-09-30/results/work9-low-baselines-20261021/search-pilots/deep1m/VLAH-pilot-1000000-resource-phase0-e0a11beec5"}}</t>
      </text>
    </comment>
    <comment ref="N35" authorId="6" shapeId="0">
      <text>
        <t>仅补充低召回率曲线；默认约95%配置及其数据保持不变。20条查询IDs100..119×3次，单线程，完整VO生成与验证。目标和实际召回不同，填实际值。
{"k": 10, "ef": 100, "probes": 7, "recall": 0.56, "query_ms": 15.354236049999999, "verify_ms": 44.18257766666667, "vo_kb": 5792.28255, "samples": 60, "status": "passed", "output": "/mnt/d/paper_source/work_9/VeriANN_repro_2026-09-30/VeriANN_repro_2026-09-30/results/work9-low-baselines-20261021/deep1m/VLAH/deep1m-1000000-low-e100", "csv_sha256": "e67bf57b17c3784f4b56a91eadd38c79a4548f0b427411a68ec53a03648dfcbd", "target": 0.55, "selection": {"ef": 100, "probes": 7, "recall": 0.5599999999999999, "valid": true, "pilot": "/mnt/d/paper_source/work_9/VeriANN_repro_2026-09-30/VeriANN_repro_2026-09-30/results/work9-low-baselines-20261021/search-pilots/deep1m/VLAH-pilot-1000000-resource-phase0-e0a11beec5"}}</t>
      </text>
    </comment>
    <comment ref="O35" authorId="0" shapeId="0">
      <text>
        <t>DEEP1M; VLAH; N=1000000; M=16; efConstruction=200; k=10; efSearch/E=100; probes=9; LSH width=0.3456967236059823
Actual recall=60.5000%;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P35" authorId="0" shapeId="0">
      <text>
        <t>DEEP1M; VLAH; N=1000000; M=16; efConstruction=200; k=10; efSearch/E=100; probes=12; LSH width=0.3456967236059823
Actual recall=65.5000%;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Q35" authorId="0" shapeId="0">
      <text>
        <t>DEEP1M; VLAH; N=1000000; M=16; efConstruction=200; k=10; efSearch/E=100; probes=18; LSH width=0.3456967236059823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R35" authorId="0" shapeId="0">
      <text>
        <t>DEEP1M; VLAH; N=1000000; M=16; efConstruction=200; k=10; efSearch/E=100; probes=20; LSH width=0.3456967236059823
Actual recall=75.5000%;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S35" authorId="0" shapeId="0">
      <text>
        <t>DEEP1M; VLAH; N=1000000; M=16; efConstruction=200; k=10; efSearch/E=100; probes=24; LSH width=0.3456967236059823
Actual recall=81.5000%;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T35" authorId="0" shapeId="0">
      <text>
        <t>DEEP1M; VLAH; N=1000000; M=16; efConstruction=200; k=10; efSearch/E=100; probes=30; LSH width=0.3456967236059823
Actual recall=86.0000%;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U35" authorId="0" shapeId="0">
      <text>
        <t>DEEP1M; VLAH; N=1000000; M=16; efConstruction=200; k=10; efSearch/E=100; probes=38; LSH width=0.3456967236059823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V35" authorId="0" shapeId="0">
      <text>
        <t>DEEP1M; VLAH; N=1000000; M=16; efConstruction=200; k=10;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W35" authorId="0" shapeId="0">
      <text>
        <t>DEEP1M; VLAH; N=1000000; M=16; efConstruction=200; k=10; efSearch/E=100; probes=46; LSH width=0.3456967236059823
Actual recall=98.0000%;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X35" authorId="0" shapeId="0">
      <text>
        <t>DEEP1M; VLAH; N=1000000; M=16; efConstruction=200; k=10; efSearch/E=100; probes=46; LSH width=0.3456967236059823
Actual recall=98.0000%;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Y35" authorId="0" shapeId="0">
      <text>
        <t>DEEP1M; VLAH; N=1000000; M=16; efConstruction=200; k=10; efSearch/E=100; probes=47; LSH width=0.3456967236059823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F36"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0.15, "selection": {"ef": 100, "probes": 1, "recall": 0.275, "valid": true, "pilot": "/mnt/d/paper_source/work_9/VeriANN_repro_2026-09-30/VeriANN_repro_2026-09-30/results/work9-low-baselines-20261021/search-pilots/deep1m/VLAH-pilot-1000000-resource-phase0-e0a11beec5"}}</t>
      </text>
    </comment>
    <comment ref="G36"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0.2, "selection": {"ef": 100, "probes": 1, "recall": 0.275, "valid": true, "pilot": "/mnt/d/paper_source/work_9/VeriANN_repro_2026-09-30/VeriANN_repro_2026-09-30/results/work9-low-baselines-20261021/search-pilots/deep1m/VLAH-pilot-1000000-resource-phase0-e0a11beec5"}}</t>
      </text>
    </comment>
    <comment ref="H36"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0.25, "selection": {"ef": 100, "probes": 1, "recall": 0.275, "valid": true, "pilot": "/mnt/d/paper_source/work_9/VeriANN_repro_2026-09-30/VeriANN_repro_2026-09-30/results/work9-low-baselines-20261021/search-pilots/deep1m/VLAH-pilot-1000000-resource-phase0-e0a11beec5"}}</t>
      </text>
    </comment>
    <comment ref="I36" authorId="6" shapeId="0">
      <text>
        <t>仅补充低召回率曲线；默认约95%配置及其数据保持不变。20条查询IDs100..119×3次，单线程，完整VO生成与验证。目标和实际召回不同，填实际值。
{"k": 10, "ef": 100, "probes": 2, "recall": 0.335, "query_ms": 4.1886872833333335, "verify_ms": 11.876994166666666, "vo_kb": 1615.29855, "samples": 60, "status": "passed", "output": "/mnt/d/paper_source/work_9/VeriANN_repro_2026-09-30/VeriANN_repro_2026-09-30/results/work9-low-baselines-20261021/deep1m/VLAH/deep1m-1000000-low-e100", "csv_sha256": "e67bf57b17c3784f4b56a91eadd38c79a4548f0b427411a68ec53a03648dfcbd", "target": 0.3, "selection": {"ef": 100, "probes": 2, "recall": 0.335, "valid": true, "pilot": "/mnt/d/paper_source/work_9/VeriANN_repro_2026-09-30/VeriANN_repro_2026-09-30/results/work9-low-baselines-20261021/search-pilots/deep1m/VLAH-pilot-1000000-resource-phase0-e0a11beec5"}}</t>
      </text>
    </comment>
    <comment ref="J36" authorId="6" shapeId="0">
      <text>
        <t>仅补充低召回率曲线；默认约95%配置及其数据保持不变。20条查询IDs100..119×3次，单线程，完整VO生成与验证。目标和实际召回不同，填实际值。
{"k": 10, "ef": 100, "probes": 3, "recall": 0.42, "query_ms": 6.5194995166666665, "verify_ms": 18.479655400000002, "vo_kb": 2448.14225, "samples": 60, "status": "passed", "output": "/mnt/d/paper_source/work_9/VeriANN_repro_2026-09-30/VeriANN_repro_2026-09-30/results/work9-low-baselines-20261021/deep1m/VLAH/deep1m-1000000-low-e100", "csv_sha256": "e67bf57b17c3784f4b56a91eadd38c79a4548f0b427411a68ec53a03648dfcbd", "target": 0.35, "selection": {"ef": 100, "probes": 3, "recall": 0.42000000000000004, "valid": true, "pilot": "/mnt/d/paper_source/work_9/VeriANN_repro_2026-09-30/VeriANN_repro_2026-09-30/results/work9-low-baselines-20261021/search-pilots/deep1m/VLAH-pilot-1000000-resource-phase0-e0a11beec5"}}</t>
      </text>
    </comment>
    <comment ref="K36" authorId="6" shapeId="0">
      <text>
        <t>仅补充低召回率曲线；默认约95%配置及其数据保持不变。20条查询IDs100..119×3次，单线程，完整VO生成与验证。目标和实际召回不同，填实际值。
{"k": 10, "ef": 100, "probes": 3, "recall": 0.42, "query_ms": 6.5194995166666665, "verify_ms": 18.479655400000002, "vo_kb": 2448.14225, "samples": 60, "status": "passed", "output": "/mnt/d/paper_source/work_9/VeriANN_repro_2026-09-30/VeriANN_repro_2026-09-30/results/work9-low-baselines-20261021/deep1m/VLAH/deep1m-1000000-low-e100", "csv_sha256": "e67bf57b17c3784f4b56a91eadd38c79a4548f0b427411a68ec53a03648dfcbd", "target": 0.4, "selection": {"ef": 100, "probes": 3, "recall": 0.42000000000000004, "valid": true, "pilot": "/mnt/d/paper_source/work_9/VeriANN_repro_2026-09-30/VeriANN_repro_2026-09-30/results/work9-low-baselines-20261021/search-pilots/deep1m/VLAH-pilot-1000000-resource-phase0-e0a11beec5"}}</t>
      </text>
    </comment>
    <comment ref="L36" authorId="6" shapeId="0">
      <text>
        <t>仅补充低召回率曲线；默认约95%配置及其数据保持不变。20条查询IDs100..119×3次，单线程，完整VO生成与验证。目标和实际召回不同，填实际值。
{"k": 10, "ef": 100, "probes": 4, "recall": 0.46499999999999997, "query_ms": 8.625205183333334, "verify_ms": 24.902328833333335, "vo_kb": 3303.2460499999997, "samples": 60, "status": "passed", "output": "/mnt/d/paper_source/work_9/VeriANN_repro_2026-09-30/VeriANN_repro_2026-09-30/results/work9-low-baselines-20261021/deep1m/VLAH/deep1m-1000000-low-e100", "csv_sha256": "e67bf57b17c3784f4b56a91eadd38c79a4548f0b427411a68ec53a03648dfcbd", "target": 0.45, "selection": {"ef": 100, "probes": 4, "recall": 0.465, "valid": true, "pilot": "/mnt/d/paper_source/work_9/VeriANN_repro_2026-09-30/VeriANN_repro_2026-09-30/results/work9-low-baselines-20261021/search-pilots/deep1m/VLAH-pilot-1000000-resource-phase0-e0a11beec5"}}</t>
      </text>
    </comment>
    <comment ref="M36" authorId="6" shapeId="0">
      <text>
        <t>仅补充低召回率曲线；默认约95%配置及其数据保持不变。20条查询IDs100..119×3次，单线程，完整VO生成与验证。目标和实际召回不同，填实际值。
{"k": 10, "ef": 100, "probes": 5, "recall": 0.51, "query_ms": 11.012350833333333, "verify_ms": 31.6761766, "vo_kb": 4141.71375, "samples": 60, "status": "passed", "output": "/mnt/d/paper_source/work_9/VeriANN_repro_2026-09-30/VeriANN_repro_2026-09-30/results/work9-low-baselines-20261021/deep1m/VLAH/deep1m-1000000-low-e100", "csv_sha256": "e67bf57b17c3784f4b56a91eadd38c79a4548f0b427411a68ec53a03648dfcbd", "target": 0.5, "selection": {"ef": 100, "probes": 5, "recall": 0.51, "valid": true, "pilot": "/mnt/d/paper_source/work_9/VeriANN_repro_2026-09-30/VeriANN_repro_2026-09-30/results/work9-low-baselines-20261021/search-pilots/deep1m/VLAH-pilot-1000000-resource-phase0-e0a11beec5"}}</t>
      </text>
    </comment>
    <comment ref="N36" authorId="6" shapeId="0">
      <text>
        <t>仅补充低召回率曲线；默认约95%配置及其数据保持不变。20条查询IDs100..119×3次，单线程，完整VO生成与验证。目标和实际召回不同，填实际值。
{"k": 10, "ef": 100, "probes": 7, "recall": 0.56, "query_ms": 15.354236049999999, "verify_ms": 44.18257766666667, "vo_kb": 5792.28255, "samples": 60, "status": "passed", "output": "/mnt/d/paper_source/work_9/VeriANN_repro_2026-09-30/VeriANN_repro_2026-09-30/results/work9-low-baselines-20261021/deep1m/VLAH/deep1m-1000000-low-e100", "csv_sha256": "e67bf57b17c3784f4b56a91eadd38c79a4548f0b427411a68ec53a03648dfcbd", "target": 0.55, "selection": {"ef": 100, "probes": 7, "recall": 0.5599999999999999, "valid": true, "pilot": "/mnt/d/paper_source/work_9/VeriANN_repro_2026-09-30/VeriANN_repro_2026-09-30/results/work9-low-baselines-20261021/search-pilots/deep1m/VLAH-pilot-1000000-resource-phase0-e0a11beec5"}}</t>
      </text>
    </comment>
    <comment ref="O36" authorId="0" shapeId="0">
      <text>
        <t>DEEP1M; VLAH; N=1000000; M=16; efConstruction=200; k=10; efSearch/E=100; probes=9; LSH width=0.3456967236059823
Actual recall=60.5000%;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P36" authorId="0" shapeId="0">
      <text>
        <t>DEEP1M; VLAH; N=1000000; M=16; efConstruction=200; k=10; efSearch/E=100; probes=12; LSH width=0.3456967236059823
Actual recall=65.5000%;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Q36" authorId="0" shapeId="0">
      <text>
        <t>DEEP1M; VLAH; N=1000000; M=16; efConstruction=200; k=10; efSearch/E=100; probes=18; LSH width=0.3456967236059823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R36" authorId="0" shapeId="0">
      <text>
        <t>DEEP1M; VLAH; N=1000000; M=16; efConstruction=200; k=10; efSearch/E=100; probes=20; LSH width=0.3456967236059823
Actual recall=75.5000%;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S36" authorId="0" shapeId="0">
      <text>
        <t>DEEP1M; VLAH; N=1000000; M=16; efConstruction=200; k=10; efSearch/E=100; probes=24; LSH width=0.3456967236059823
Actual recall=81.5000%;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T36" authorId="0" shapeId="0">
      <text>
        <t>DEEP1M; VLAH; N=1000000; M=16; efConstruction=200; k=10; efSearch/E=100; probes=30; LSH width=0.3456967236059823
Actual recall=86.0000%;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U36" authorId="0" shapeId="0">
      <text>
        <t>DEEP1M; VLAH; N=1000000; M=16; efConstruction=200; k=10; efSearch/E=100; probes=38; LSH width=0.3456967236059823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V36" authorId="0" shapeId="0">
      <text>
        <t>DEEP1M; VLAH; N=1000000; M=16; efConstruction=200; k=10;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W36" authorId="0" shapeId="0">
      <text>
        <t>DEEP1M; VLAH; N=1000000; M=16; efConstruction=200; k=10; efSearch/E=100; probes=46; LSH width=0.3456967236059823
Actual recall=98.0000%;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X36" authorId="0" shapeId="0">
      <text>
        <t>DEEP1M; VLAH; N=1000000; M=16; efConstruction=200; k=10; efSearch/E=100; probes=46; LSH width=0.3456967236059823
Actual recall=98.0000%;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Y36" authorId="0" shapeId="0">
      <text>
        <t>DEEP1M; VLAH; N=1000000; M=16; efConstruction=200; k=10; efSearch/E=100; probes=47; LSH width=0.3456967236059823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D37" authorId="2" shapeId="0">
      <text>
        <t xml:space="preserve">* 表示性能指标为用户指定系数调整值，不是原始实测值。配置及实际召回见原始补测附表。
原有批注（历史来源）：
</t>
      </text>
    </comment>
    <comment ref="F37" authorId="7" shapeId="0">
      <text>
        <t>修正旧图配置召回下限与新图低召回点混用造成的倒序。目标列15%复用已测40%目标列，实际召回40.5%；未实测达到15%，不作为该召回率的新测量。性能沿用该点已标明的ANNProof系数调整值，未重复乘系数。
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0.15, "selection": {"ef": 10, "probes": 1, "recall": 0.71, "valid": true, "pilot": "/mnt/d/paper_source/work_9/VeriANN_repro_2026-09-30/VeriANN_repro_2026-09-30/results/work9-low-baselines-20261021/search-pilots/deep1m/ANNProof-pilot-1000000-resource-phase0-a7e2488e41"}}</t>
      </text>
    </comment>
    <comment ref="G37" authorId="7" shapeId="0">
      <text>
        <t>修正旧图配置召回下限与新图低召回点混用造成的倒序。目标列20%复用已测40%目标列，实际召回40.5%；未实测达到20%，不作为该召回率的新测量。性能沿用该点已标明的ANNProof系数调整值，未重复乘系数。
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0.2, "selection": {"ef": 10, "probes": 1, "recall": 0.71, "valid": true, "pilot": "/mnt/d/paper_source/work_9/VeriANN_repro_2026-09-30/VeriANN_repro_2026-09-30/results/work9-low-baselines-20261021/search-pilots/deep1m/ANNProof-pilot-1000000-resource-phase0-a7e2488e41"}}</t>
      </text>
    </comment>
    <comment ref="H37" authorId="7" shapeId="0">
      <text>
        <t>修正旧图配置召回下限与新图低召回点混用造成的倒序。目标列25%复用已测40%目标列，实际召回40.5%；未实测达到25%，不作为该召回率的新测量。性能沿用该点已标明的ANNProof系数调整值，未重复乘系数。
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0.25, "selection": {"ef": 10, "probes": 1, "recall": 0.71, "valid": true, "pilot": "/mnt/d/paper_source/work_9/VeriANN_repro_2026-09-30/VeriANN_repro_2026-09-30/results/work9-low-baselines-20261021/search-pilots/deep1m/ANNProof-pilot-1000000-resource-phase0-a7e2488e41"}}</t>
      </text>
    </comment>
    <comment ref="I37" authorId="7" shapeId="0">
      <text>
        <t>修正旧图配置召回下限与新图低召回点混用造成的倒序。目标列30%复用已测40%目标列，实际召回40.5%；未实测达到30%，不作为该召回率的新测量。性能沿用该点已标明的ANNProof系数调整值，未重复乘系数。
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0.3, "selection": {"ef": 10, "probes": 1, "recall": 0.71, "valid": true, "pilot": "/mnt/d/paper_source/work_9/VeriANN_repro_2026-09-30/VeriANN_repro_2026-09-30/results/work9-low-baselines-20261021/search-pilots/deep1m/ANNProof-pilot-1000000-resource-phase0-a7e2488e41"}}</t>
      </text>
    </comment>
    <comment ref="J37" authorId="7" shapeId="0">
      <text>
        <t>修正旧图配置召回下限与新图低召回点混用造成的倒序。目标列35%复用已测40%目标列，实际召回40.5%；未实测达到35%，不作为该召回率的新测量。性能沿用该点已标明的ANNProof系数调整值，未重复乘系数。
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0.35, "selection": {"ef": 10, "probes": 1, "recall": 0.71, "valid": true, "pilot": "/mnt/d/paper_source/work_9/VeriANN_repro_2026-09-30/VeriANN_repro_2026-09-30/results/work9-low-baselines-20261021/search-pilots/deep1m/ANNProof-pilot-1000000-resource-phase0-a7e2488e41"}}</t>
      </text>
    </comment>
    <comment ref="K37" authorId="2" shapeId="0">
      <text>
        <t>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t>
      </text>
    </comment>
    <comment ref="L37" authorId="2" shapeId="0">
      <text>
        <t>本次真实补测：20条查询IDs100..119×3次，单线程；实际召回率不乘系数。
{"k": 10, "ef": 22, "probes": 1, "recall": 0.455, "query_ms": 0.5671214, "verify_ms": 2.941304866666667, "vo_kb": 207.914, "samples": 60, "status": "passed", "output": "/mnt/d/paper_source/work_9/VeriANN_repro_2026-09-30/VeriANN_repro_2026-09-30/results/work9-annproof-low-adjusted-20261021/measurements/deep1m-M4-efc40", "csv_sha256": "64322b64fff23e34bbf630f89e49b835a376dee2e15e854a1e793ad68eaa982e", "M": 4, "efc": 40, "target": 0.45, "pilot": {"M": 4, "efc": 40, "ef": 22, "recall": 0.45499999999999996,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0.45, "selection": {"ef": 10, "probes": 1, "recall": 0.71, "valid": true, "pilot": "/mnt/d/paper_source/work_9/VeriANN_repro_2026-09-30/VeriANN_repro_2026-09-30/results/work9-low-baselines-20261021/search-pilots/deep1m/ANNProof-pilot-1000000-resource-phase0-a7e2488e41"}}</t>
      </text>
    </comment>
    <comment ref="M37" authorId="2" shapeId="0">
      <text>
        <t>本次真实补测：20条查询IDs100..119×3次，单线程；实际召回率不乘系数。
{"k": 10, "ef": 27, "probes": 1, "recall": 0.51, "query_ms": 0.6595532666666667, "verify_ms": 3.472809433333333, "vo_kb": 234.017, "samples": 60, "status": "passed", "output": "/mnt/d/paper_source/work_9/VeriANN_repro_2026-09-30/VeriANN_repro_2026-09-30/results/work9-annproof-low-adjusted-20261021/measurements/deep1m-M4-efc40", "csv_sha256": "64322b64fff23e34bbf630f89e49b835a376dee2e15e854a1e793ad68eaa982e", "M": 4, "efc": 40, "target": 0.5, "pilot": {"M": 4, "efc": 40, "ef": 27, "recall": 0.51,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0.5, "selection": {"ef": 10, "probes": 1, "recall": 0.71, "valid": true, "pilot": "/mnt/d/paper_source/work_9/VeriANN_repro_2026-09-30/VeriANN_repro_2026-09-30/results/work9-low-baselines-20261021/search-pilots/deep1m/ANNProof-pilot-1000000-resource-phase0-a7e2488e41"}}</t>
      </text>
    </comment>
    <comment ref="N37" authorId="2" shapeId="0">
      <text>
        <t>本次真实补测：20条查询IDs100..119×3次，单线程；实际召回率不乘系数。
{"k": 10, "ef": 12, "probes": 1, "recall": 0.55, "query_ms": 0.7401176666666668, "verify_ms": 3.6383341000000002, "vo_kb": 264.5596, "samples": 60, "status": "passed", "output": "/mnt/d/paper_source/work_9/VeriANN_repro_2026-09-30/VeriANN_repro_2026-09-30/results/work9-annproof-low-adjusted-20261021/measurements/deep1m-M8-efc80", "csv_sha256": "ebcbc85e95ba8786d2d7a719691a8dec2bf1af50e4ccad3fabb11e72d216ba0f", "M": 8, "efc": 80, "target": 0.55, "pilot": {"M": 8, "efc": 80, "ef": 12, "recall": 0.55, "valid": true, "pilot": "/mnt/d/paper_source/work_9/VeriANN_repro_2026-09-30/VeriANN_repro_2026-09-30/results/work9-annproof-low-adjusted-20261021/pilots/deep1m-M8-efc80"}}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0.55, "selection": {"ef": 10, "probes": 1, "recall": 0.71, "valid": true, "pilot": "/mnt/d/paper_source/work_9/VeriANN_repro_2026-09-30/VeriANN_repro_2026-09-30/results/work9-low-baselines-20261021/search-pilots/deep1m/ANNProof-pilot-1000000-resource-phase0-a7e2488e41"}}</t>
      </text>
    </comment>
    <comment ref="O37" authorId="2" shapeId="0">
      <text>
        <t>本次真实补测：20条查询IDs100..119×3次，单线程；实际召回率不乘系数。
{"k": 10, "ef": 13, "probes": 1, "recall": 0.62, "query_ms": 0.7682084499999999, "verify_ms": 3.9775908666666666, "vo_kb": 289.138, "samples": 60, "status": "passed", "output": "/mnt/d/paper_source/work_9/VeriANN_repro_2026-09-30/VeriANN_repro_2026-09-30/results/work9-annproof-low-adjusted-20261021/measurements/deep1m-M8-efc80", "csv_sha256": "ebcbc85e95ba8786d2d7a719691a8dec2bf1af50e4ccad3fabb11e72d216ba0f", "M": 8, "efc": 80, "target": 0.6, "pilot": {"M": 8, "efc": 80, "ef": 13, "recall": 0.62, "valid": true, "pilot": "/mnt/d/paper_source/work_9/VeriANN_repro_2026-09-30/VeriANN_repro_2026-09-30/results/work9-annproof-low-adjusted-20261021/pilots/deep1m-M8-efc80"}}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P37" authorId="2" shapeId="0">
      <text>
        <t>本次真实补测：20条查询IDs100..119×3次，单线程；实际召回率不乘系数。
{"k": 10, "ef": 14, "probes": 1, "recall": 0.65, "query_ms": 0.8113282333333334, "verify_ms": 4.076508266666667, "vo_kb": 298.3958, "samples": 60, "status": "passed", "output": "/mnt/d/paper_source/work_9/VeriANN_repro_2026-09-30/VeriANN_repro_2026-09-30/results/work9-annproof-low-adjusted-20261021/measurements/deep1m-M8-efc80", "csv_sha256": "ebcbc85e95ba8786d2d7a719691a8dec2bf1af50e4ccad3fabb11e72d216ba0f", "M": 8, "efc": 80, "target": 0.65, "pilot": {"M": 8, "efc": 80, "ef": 14, "recall": 0.65, "valid": true, "pilot": "/mnt/d/paper_source/work_9/VeriANN_repro_2026-09-30/VeriANN_repro_2026-09-30/results/work9-annproof-low-adjusted-20261021/pilots/deep1m-M8-efc80"}}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Q37" authorId="2" shapeId="0">
      <text>
        <t>本次真实补测：20条查询IDs100..119×3次，单线程；实际召回率不乘系数。
{"k": 10, "ef": 10, "probes": 1, "recall": 0.7100000000000001, "query_ms": 0.9685961333333334, "verify_ms": 5.043632633333333, "vo_kb": 386.5978, "samples": 60, "status": "passed", "output": "/mnt/d/paper_source/work_9/VeriANN_repro_2026-09-30/VeriANN_repro_2026-09-30/results/work9-annproof-low-adjusted-20261021/measurements/deep1m-M16-efc200", "csv_sha256": "23213d0e3a657578422b962265bec07fa47afcc0bc83a4aae6a51ed723a34e35", "M": 16, "efc": 200, "target": 0.7, "pilot": {"M": 16, "efc": 200, "ef": 10, "recall": 0.71, "valid": true, "pilot": "/mnt/d/paper_source/work_9/VeriANN_repro_2026-09-30/VeriANN_repro_2026-09-30/results/work9-annproof-low-adjusted-20261021/pilots/deep1m-M16-efc200"}}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R37" authorId="2" shapeId="0">
      <text>
        <t>本次真实补测：20条查询IDs100..119×3次，单线程；实际召回率不乘系数。
{"k": 10, "ef": 13, "probes": 1, "recall": 0.76, "query_ms": 1.0781022833333334, "verify_ms": 5.69119435, "vo_kb": 439.3718, "samples": 60, "status": "passed", "output": "/mnt/d/paper_source/work_9/VeriANN_repro_2026-09-30/VeriANN_repro_2026-09-30/results/work9-annproof-low-adjusted-20261021/measurements/deep1m-M16-efc200", "csv_sha256": "23213d0e3a657578422b962265bec07fa47afcc0bc83a4aae6a51ed723a34e35", "M": 16, "efc": 200, "target": 0.75, "pilot": {"M": 16, "efc": 200, "ef": 13, "recall": 0.76, "valid": true, "pilot": "/mnt/d/paper_source/work_9/VeriANN_repro_2026-09-30/VeriANN_repro_2026-09-30/results/work9-annproof-low-adjusted-20261021/pilots/deep1m-M16-efc200"}}
原有批注（历史来源）：
DEEP1M; ANNProof; N=1000000; M=16; efConstruction=200; k=10; efSearch/E=16; probes=1; LSH width=not used
Actual recall=78.0000%;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S37" authorId="2" shapeId="0">
      <text>
        <t>本次真实补测：20条查询IDs100..119×3次，单线程；实际召回率不乘系数。
{"k": 10, "ef": 17, "probes": 1, "recall": 0.8, "query_ms": 1.2486418333333333, "verify_ms": 6.657108383333334, "vo_kb": 508.8854, "samples": 60, "status": "passed", "output": "/mnt/d/paper_source/work_9/VeriANN_repro_2026-09-30/VeriANN_repro_2026-09-30/results/work9-annproof-low-adjusted-20261021/measurements/deep1m-M16-efc200", "csv_sha256": "23213d0e3a657578422b962265bec07fa47afcc0bc83a4aae6a51ed723a34e35", "M": 16, "efc": 200, "target": 0.8, "pilot": {"M": 16, "efc": 200, "ef": 17, "recall": 0.8, "valid": true, "pilot": "/mnt/d/paper_source/work_9/VeriANN_repro_2026-09-30/VeriANN_repro_2026-09-30/results/work9-annproof-low-adjusted-20261021/pilots/deep1m-M16-efc200"}}
原有批注（历史来源）：
DEEP1M; ANNProof; N=1000000; M=16; efConstruction=200; k=10; efSearch/E=20; probes=1; LSH width=not used
Actual recall=82.5000%;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T37" authorId="0" shapeId="0">
      <text>
        <t>DEEP1M; ANNProof; N=1000000; M=16; efConstruction=200; k=10; efSearch/E=24;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U37" authorId="0" shapeId="0">
      <text>
        <t>DEEP1M; ANNProof; N=1000000; M=16; efConstruction=200; k=10; efSearch/E=48; probes=1; LSH width=not used
Actual recall=94.5000%;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V37" authorId="0" shapeId="0">
      <text>
        <t>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W37" authorId="0" shapeId="0">
      <text>
        <t>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X37" authorId="0" shapeId="0">
      <text>
        <t>DEEP1M; ANNProof; N=1000000; M=16; efConstruction=200; k=10; efSearch/E=96;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Y37" authorId="0" shapeId="0">
      <text>
        <t>DEEP1M; ANNProof; N=1000000; M=16; efConstruction=200; k=10; efSearch/E=96;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F38" authorId="7" shapeId="0">
      <text>
        <t>修正旧图配置召回下限与新图低召回点混用造成的倒序。目标列15%复用已测40%目标列，实际召回40.5%；未实测达到15%，不作为该召回率的新测量。性能沿用该点已标明的ANNProof系数调整值，未重复乘系数。
用户指定系数调整值；不是原始实测数值。指标=verify_ms；原始值=2.4100211333333332；系数=1.5；调整值=3.6150316999999998。召回率不调整。原始CSV/附表保留。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用户指定系数调整值；不是原始实测数值。指标=verify_ms；原始值=5.2007130000000004；系数=1.5；调整值=7.8010695000000005。召回率不调整。原始CSV/附表保留。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0.15, "selection": {"ef": 10, "probes": 1, "recall": 0.71, "valid": true, "pilot": "/mnt/d/paper_source/work_9/VeriANN_repro_2026-09-30/VeriANN_repro_2026-09-30/results/work9-low-baselines-20261021/search-pilots/deep1m/ANNProof-pilot-1000000-resource-phase0-a7e2488e41"}}</t>
      </text>
    </comment>
    <comment ref="G38" authorId="7" shapeId="0">
      <text>
        <t>修正旧图配置召回下限与新图低召回点混用造成的倒序。目标列20%复用已测40%目标列，实际召回40.5%；未实测达到20%，不作为该召回率的新测量。性能沿用该点已标明的ANNProof系数调整值，未重复乘系数。
用户指定系数调整值；不是原始实测数值。指标=verify_ms；原始值=2.4100211333333332；系数=1.5；调整值=3.6150316999999998。召回率不调整。原始CSV/附表保留。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用户指定系数调整值；不是原始实测数值。指标=verify_ms；原始值=5.2007130000000004；系数=1.5；调整值=7.8010695000000005。召回率不调整。原始CSV/附表保留。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0.2, "selection": {"ef": 10, "probes": 1, "recall": 0.71, "valid": true, "pilot": "/mnt/d/paper_source/work_9/VeriANN_repro_2026-09-30/VeriANN_repro_2026-09-30/results/work9-low-baselines-20261021/search-pilots/deep1m/ANNProof-pilot-1000000-resource-phase0-a7e2488e41"}}</t>
      </text>
    </comment>
    <comment ref="H38" authorId="7" shapeId="0">
      <text>
        <t>修正旧图配置召回下限与新图低召回点混用造成的倒序。目标列25%复用已测40%目标列，实际召回40.5%；未实测达到25%，不作为该召回率的新测量。性能沿用该点已标明的ANNProof系数调整值，未重复乘系数。
用户指定系数调整值；不是原始实测数值。指标=verify_ms；原始值=2.4100211333333332；系数=1.5；调整值=3.6150316999999998。召回率不调整。原始CSV/附表保留。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用户指定系数调整值；不是原始实测数值。指标=verify_ms；原始值=5.2007130000000004；系数=1.5；调整值=7.8010695000000005。召回率不调整。原始CSV/附表保留。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0.25, "selection": {"ef": 10, "probes": 1, "recall": 0.71, "valid": true, "pilot": "/mnt/d/paper_source/work_9/VeriANN_repro_2026-09-30/VeriANN_repro_2026-09-30/results/work9-low-baselines-20261021/search-pilots/deep1m/ANNProof-pilot-1000000-resource-phase0-a7e2488e41"}}</t>
      </text>
    </comment>
    <comment ref="I38" authorId="7" shapeId="0">
      <text>
        <t>修正旧图配置召回下限与新图低召回点混用造成的倒序。目标列30%复用已测40%目标列，实际召回40.5%；未实测达到30%，不作为该召回率的新测量。性能沿用该点已标明的ANNProof系数调整值，未重复乘系数。
用户指定系数调整值；不是原始实测数值。指标=verify_ms；原始值=2.4100211333333332；系数=1.5；调整值=3.6150316999999998。召回率不调整。原始CSV/附表保留。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用户指定系数调整值；不是原始实测数值。指标=verify_ms；原始值=5.2007130000000004；系数=1.5；调整值=7.8010695000000005。召回率不调整。原始CSV/附表保留。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0.3, "selection": {"ef": 10, "probes": 1, "recall": 0.71, "valid": true, "pilot": "/mnt/d/paper_source/work_9/VeriANN_repro_2026-09-30/VeriANN_repro_2026-09-30/results/work9-low-baselines-20261021/search-pilots/deep1m/ANNProof-pilot-1000000-resource-phase0-a7e2488e41"}}</t>
      </text>
    </comment>
    <comment ref="J38" authorId="7" shapeId="0">
      <text>
        <t>修正旧图配置召回下限与新图低召回点混用造成的倒序。目标列35%复用已测40%目标列，实际召回40.5%；未实测达到35%，不作为该召回率的新测量。性能沿用该点已标明的ANNProof系数调整值，未重复乘系数。
用户指定系数调整值；不是原始实测数值。指标=verify_ms；原始值=2.4100211333333332；系数=1.5；调整值=3.6150316999999998。召回率不调整。原始CSV/附表保留。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用户指定系数调整值；不是原始实测数值。指标=verify_ms；原始值=5.2007130000000004；系数=1.5；调整值=7.8010695000000005。召回率不调整。原始CSV/附表保留。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0.35, "selection": {"ef": 10, "probes": 1, "recall": 0.71, "valid": true, "pilot": "/mnt/d/paper_source/work_9/VeriANN_repro_2026-09-30/VeriANN_repro_2026-09-30/results/work9-low-baselines-20261021/search-pilots/deep1m/ANNProof-pilot-1000000-resource-phase0-a7e2488e41"}}</t>
      </text>
    </comment>
    <comment ref="K38" authorId="2" shapeId="0">
      <text>
        <t>用户指定系数调整值；不是原始实测数值。指标=verify_ms；原始值=2.4100211333333332；系数=1.5；调整值=3.6150316999999998。召回率不调整。原始CSV/附表保留。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t>
      </text>
    </comment>
    <comment ref="L38" authorId="2" shapeId="0">
      <text>
        <t>用户指定系数调整值；不是原始实测数值。指标=verify_ms；原始值=2.941304866666667；系数=1.5；调整值=4.411957300000001。召回率不调整。原始CSV/附表保留。
原有批注（历史来源）：
本单元格先替换为本次原始测量，随后按统一系数调整。
{"k": 10, "ef": 22, "probes": 1, "recall": 0.455, "query_ms": 0.5671214, "verify_ms": 2.941304866666667, "vo_kb": 207.914, "samples": 60, "status": "passed", "output": "/mnt/d/paper_source/work_9/VeriANN_repro_2026-09-30/VeriANN_repro_2026-09-30/results/work9-annproof-low-adjusted-20261021/measurements/deep1m-M4-efc40", "csv_sha256": "64322b64fff23e34bbf630f89e49b835a376dee2e15e854a1e793ad68eaa982e", "M": 4, "efc": 40, "target": 0.45, "pilot": {"M": 4, "efc": 40, "ef": 22, "recall": 0.45499999999999996,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0.45, "selection": {"ef": 10, "probes": 1, "recall": 0.71, "valid": true, "pilot": "/mnt/d/paper_source/work_9/VeriANN_repro_2026-09-30/VeriANN_repro_2026-09-30/results/work9-low-baselines-20261021/search-pilots/deep1m/ANNProof-pilot-1000000-resource-phase0-a7e2488e41"}}</t>
      </text>
    </comment>
    <comment ref="M38" authorId="2" shapeId="0">
      <text>
        <t>用户指定系数调整值；不是原始实测数值。指标=verify_ms；原始值=3.472809433333333；系数=1.5；调整值=5.2092141499999993。召回率不调整。原始CSV/附表保留。
原有批注（历史来源）：
本单元格先替换为本次原始测量，随后按统一系数调整。
{"k": 10, "ef": 27, "probes": 1, "recall": 0.51, "query_ms": 0.6595532666666667, "verify_ms": 3.472809433333333, "vo_kb": 234.017, "samples": 60, "status": "passed", "output": "/mnt/d/paper_source/work_9/VeriANN_repro_2026-09-30/VeriANN_repro_2026-09-30/results/work9-annproof-low-adjusted-20261021/measurements/deep1m-M4-efc40", "csv_sha256": "64322b64fff23e34bbf630f89e49b835a376dee2e15e854a1e793ad68eaa982e", "M": 4, "efc": 40, "target": 0.5, "pilot": {"M": 4, "efc": 40, "ef": 27, "recall": 0.51,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0.5, "selection": {"ef": 10, "probes": 1, "recall": 0.71, "valid": true, "pilot": "/mnt/d/paper_source/work_9/VeriANN_repro_2026-09-30/VeriANN_repro_2026-09-30/results/work9-low-baselines-20261021/search-pilots/deep1m/ANNProof-pilot-1000000-resource-phase0-a7e2488e41"}}</t>
      </text>
    </comment>
    <comment ref="N38" authorId="2" shapeId="0">
      <text>
        <t>用户指定系数调整值；不是原始实测数值。指标=verify_ms；原始值=3.6383341000000002；系数=1.5；调整值=5.4575011500000006。召回率不调整。原始CSV/附表保留。
原有批注（历史来源）：
本单元格先替换为本次原始测量，随后按统一系数调整。
{"k": 10, "ef": 12, "probes": 1, "recall": 0.55, "query_ms": 0.7401176666666668, "verify_ms": 3.6383341000000002, "vo_kb": 264.5596, "samples": 60, "status": "passed", "output": "/mnt/d/paper_source/work_9/VeriANN_repro_2026-09-30/VeriANN_repro_2026-09-30/results/work9-annproof-low-adjusted-20261021/measurements/deep1m-M8-efc80", "csv_sha256": "ebcbc85e95ba8786d2d7a719691a8dec2bf1af50e4ccad3fabb11e72d216ba0f", "M": 8, "efc": 80, "target": 0.55, "pilot": {"M": 8, "efc": 80, "ef": 12, "recall": 0.55, "valid": true, "pilot": "/mnt/d/paper_source/work_9/VeriANN_repro_2026-09-30/VeriANN_repro_2026-09-30/results/work9-annproof-low-adjusted-20261021/pilots/deep1m-M8-efc80"}}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0.55, "selection": {"ef": 10, "probes": 1, "recall": 0.71, "valid": true, "pilot": "/mnt/d/paper_source/work_9/VeriANN_repro_2026-09-30/VeriANN_repro_2026-09-30/results/work9-low-baselines-20261021/search-pilots/deep1m/ANNProof-pilot-1000000-resource-phase0-a7e2488e41"}}</t>
      </text>
    </comment>
    <comment ref="O38" authorId="2" shapeId="0">
      <text>
        <t>用户指定系数调整值；不是原始实测数值。指标=verify_ms；原始值=3.9775908666666666；系数=1.5；调整值=5.9663862999999999。召回率不调整。原始CSV/附表保留。
原有批注（历史来源）：
本单元格先替换为本次原始测量，随后按统一系数调整。
{"k": 10, "ef": 13, "probes": 1, "recall": 0.62, "query_ms": 0.7682084499999999, "verify_ms": 3.9775908666666666, "vo_kb": 289.138, "samples": 60, "status": "passed", "output": "/mnt/d/paper_source/work_9/VeriANN_repro_2026-09-30/VeriANN_repro_2026-09-30/results/work9-annproof-low-adjusted-20261021/measurements/deep1m-M8-efc80", "csv_sha256": "ebcbc85e95ba8786d2d7a719691a8dec2bf1af50e4ccad3fabb11e72d216ba0f", "M": 8, "efc": 80, "target": 0.6, "pilot": {"M": 8, "efc": 80, "ef": 13, "recall": 0.62, "valid": true, "pilot": "/mnt/d/paper_source/work_9/VeriANN_repro_2026-09-30/VeriANN_repro_2026-09-30/results/work9-annproof-low-adjusted-20261021/pilots/deep1m-M8-efc80"}}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P38" authorId="2" shapeId="0">
      <text>
        <t>用户指定系数调整值；不是原始实测数值。指标=verify_ms；原始值=4.076508266666667；系数=1.5；调整值=6.1147624。召回率不调整。原始CSV/附表保留。
原有批注（历史来源）：
本单元格先替换为本次原始测量，随后按统一系数调整。
{"k": 10, "ef": 14, "probes": 1, "recall": 0.65, "query_ms": 0.8113282333333334, "verify_ms": 4.076508266666667, "vo_kb": 298.3958, "samples": 60, "status": "passed", "output": "/mnt/d/paper_source/work_9/VeriANN_repro_2026-09-30/VeriANN_repro_2026-09-30/results/work9-annproof-low-adjusted-20261021/measurements/deep1m-M8-efc80", "csv_sha256": "ebcbc85e95ba8786d2d7a719691a8dec2bf1af50e4ccad3fabb11e72d216ba0f", "M": 8, "efc": 80, "target": 0.65, "pilot": {"M": 8, "efc": 80, "ef": 14, "recall": 0.65, "valid": true, "pilot": "/mnt/d/paper_source/work_9/VeriANN_repro_2026-09-30/VeriANN_repro_2026-09-30/results/work9-annproof-low-adjusted-20261021/pilots/deep1m-M8-efc80"}}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Q38" authorId="2" shapeId="0">
      <text>
        <t>用户指定系数调整值；不是原始实测数值。指标=verify_ms；原始值=5.043632633333333；系数=1.5；调整值=7.5654489499999995。召回率不调整。原始CSV/附表保留。
原有批注（历史来源）：
本单元格先替换为本次原始测量，随后按统一系数调整。
{"k": 10, "ef": 10, "probes": 1, "recall": 0.7100000000000001, "query_ms": 0.9685961333333334, "verify_ms": 5.043632633333333, "vo_kb": 386.5978, "samples": 60, "status": "passed", "output": "/mnt/d/paper_source/work_9/VeriANN_repro_2026-09-30/VeriANN_repro_2026-09-30/results/work9-annproof-low-adjusted-20261021/measurements/deep1m-M16-efc200", "csv_sha256": "23213d0e3a657578422b962265bec07fa47afcc0bc83a4aae6a51ed723a34e35", "M": 16, "efc": 200, "target": 0.7, "pilot": {"M": 16, "efc": 200, "ef": 10, "recall": 0.71, "valid": true, "pilot": "/mnt/d/paper_source/work_9/VeriANN_repro_2026-09-30/VeriANN_repro_2026-09-30/results/work9-annproof-low-adjusted-20261021/pilots/deep1m-M16-efc200"}}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R38" authorId="2" shapeId="0">
      <text>
        <t>用户指定系数调整值；不是原始实测数值。指标=verify_ms；原始值=5.69119435；系数=1.5；调整值=8.5367915249999999。召回率不调整。原始CSV/附表保留。
原有批注（历史来源）：
本单元格先替换为本次原始测量，随后按统一系数调整。
{"k": 10, "ef": 13, "probes": 1, "recall": 0.76, "query_ms": 1.0781022833333334, "verify_ms": 5.69119435, "vo_kb": 439.3718, "samples": 60, "status": "passed", "output": "/mnt/d/paper_source/work_9/VeriANN_repro_2026-09-30/VeriANN_repro_2026-09-30/results/work9-annproof-low-adjusted-20261021/measurements/deep1m-M16-efc200", "csv_sha256": "23213d0e3a657578422b962265bec07fa47afcc0bc83a4aae6a51ed723a34e35", "M": 16, "efc": 200, "target": 0.75, "pilot": {"M": 16, "efc": 200, "ef": 13, "recall": 0.76, "valid": true, "pilot": "/mnt/d/paper_source/work_9/VeriANN_repro_2026-09-30/VeriANN_repro_2026-09-30/results/work9-annproof-low-adjusted-20261021/pilots/deep1m-M16-efc200"}}
原有批注（历史来源）：
DEEP1M; ANNProof; N=1000000; M=16; efConstruction=200; k=10; efSearch/E=16; probes=1; LSH width=not used
Actual recall=78.0000%;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S38" authorId="2" shapeId="0">
      <text>
        <t>用户指定系数调整值；不是原始实测数值。指标=verify_ms；原始值=6.657108383333334；系数=1.5；调整值=9.985662575000001。召回率不调整。原始CSV/附表保留。
原有批注（历史来源）：
本单元格先替换为本次原始测量，随后按统一系数调整。
{"k": 10, "ef": 17, "probes": 1, "recall": 0.8, "query_ms": 1.2486418333333333, "verify_ms": 6.657108383333334, "vo_kb": 508.8854, "samples": 60, "status": "passed", "output": "/mnt/d/paper_source/work_9/VeriANN_repro_2026-09-30/VeriANN_repro_2026-09-30/results/work9-annproof-low-adjusted-20261021/measurements/deep1m-M16-efc200", "csv_sha256": "23213d0e3a657578422b962265bec07fa47afcc0bc83a4aae6a51ed723a34e35", "M": 16, "efc": 200, "target": 0.8, "pilot": {"M": 16, "efc": 200, "ef": 17, "recall": 0.8, "valid": true, "pilot": "/mnt/d/paper_source/work_9/VeriANN_repro_2026-09-30/VeriANN_repro_2026-09-30/results/work9-annproof-low-adjusted-20261021/pilots/deep1m-M16-efc200"}}
原有批注（历史来源）：
DEEP1M; ANNProof; N=1000000; M=16; efConstruction=200; k=10; efSearch/E=20; probes=1; LSH width=not used
Actual recall=82.5000%;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T38" authorId="2" shapeId="0">
      <text>
        <t>用户指定系数调整值；不是原始实测数值。指标=verify_ms；原始值=8.0915279000000009；系数=1.5；调整值=12.13729185。召回率不调整。原始CSV/附表保留。
原有批注（历史来源）：
DEEP1M; ANNProof; N=1000000; M=16; efConstruction=200; k=10; efSearch/E=24;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U38" authorId="2" shapeId="0">
      <text>
        <t>用户指定系数调整值；不是原始实测数值。指标=verify_ms；原始值=12.7037481；系数=1.5；调整值=19.055622150000001。召回率不调整。原始CSV/附表保留。
原有批注（历史来源）：
DEEP1M; ANNProof; N=1000000; M=16; efConstruction=200; k=10; efSearch/E=48; probes=1; LSH width=not used
Actual recall=94.5000%;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V38" authorId="2" shapeId="0">
      <text>
        <t>用户指定系数调整值；不是原始实测数值。指标=verify_ms；原始值=15.4261976166667；系数=1.5；调整值=23.139296425000051。召回率不调整。原始CSV/附表保留。
原有批注（历史来源）：
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W38" authorId="2" shapeId="0">
      <text>
        <t>用户指定系数调整值；不是原始实测数值。指标=verify_ms；原始值=15.4261976166667；系数=1.5；调整值=23.139296425000051。召回率不调整。原始CSV/附表保留。
原有批注（历史来源）：
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X38" authorId="2" shapeId="0">
      <text>
        <t>用户指定系数调整值；不是原始实测数值。指标=verify_ms；原始值=20.6266154833333；系数=1.5；调整值=30.939923224999951。召回率不调整。原始CSV/附表保留。
原有批注（历史来源）：
DEEP1M; ANNProof; N=1000000; M=16; efConstruction=200; k=10; efSearch/E=96;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Y38" authorId="2" shapeId="0">
      <text>
        <t>用户指定系数调整值；不是原始实测数值。指标=verify_ms；原始值=20.6266154833333；系数=1.5；调整值=30.939923224999951。召回率不调整。原始CSV/附表保留。
原有批注（历史来源）：
DEEP1M; ANNProof; N=1000000; M=16; efConstruction=200; k=10; efSearch/E=96;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F39" authorId="6" shapeId="0">
      <text>
        <t>仅补充低召回率曲线；默认约95%配置及其数据保持不变。20条查询IDs100..119×3次，单线程，完整VO生成与验证。目标和实际召回不同，填实际值。
{"k": 10, "ef": 7, "probes": 1, "recall": 0.18000000000000002, "query_ms": 0.4866271666666666, "verify_ms": 1.2770931333333333, "vo_kb": 56.6806, "samples": 60, "status": "passed", "output": "/mnt/d/paper_source/work_9/VeriANN_repro_2026-09-30/VeriANN_repro_2026-09-30/results/work9-low-baselines-20261021/deep1m/Ours/deep1m-1000000-low-all", "csv_sha256": "41a08649e2dcdb6a0a77d5e16163dd19521eed887a1abb8b39e288563e5da8a6", "target": 0.15, "selection": {"ef": 7, "probes": 1, "recall": 0.18, "valid": true, "pilot": "/mnt/d/paper_source/work_9/VeriANN_repro_2026-09-30/VeriANN_repro_2026-09-30/results/work9-low-baselines-20261021/search-pilots/deep1m/Ours-pilot-1000000-resource-phase0-15bab5a6d9"}}</t>
      </text>
    </comment>
    <comment ref="G39" authorId="6" shapeId="0">
      <text>
        <t>仅补充低召回率曲线；默认约95%配置及其数据保持不变。20条查询IDs100..119×3次，单线程，完整VO生成与验证。目标和实际召回不同，填实际值。
{"k": 10, "ef": 8, "probes": 1, "recall": 0.265, "query_ms": 0.5564339666666667, "verify_ms": 1.3751060666666668, "vo_kb": 62.465199999999996, "samples": 60, "status": "passed", "output": "/mnt/d/paper_source/work_9/VeriANN_repro_2026-09-30/VeriANN_repro_2026-09-30/results/work9-low-baselines-20261021/deep1m/Ours/deep1m-1000000-low-all", "csv_sha256": "41a08649e2dcdb6a0a77d5e16163dd19521eed887a1abb8b39e288563e5da8a6", "target": 0.2, "selection": {"ef": 8, "probes": 1, "recall": 0.265, "valid": true, "pilot": "/mnt/d/paper_source/work_9/VeriANN_repro_2026-09-30/VeriANN_repro_2026-09-30/results/work9-low-baselines-20261021/search-pilots/deep1m/Ours-pilot-1000000-resource-phase0-15bab5a6d9"}}</t>
      </text>
    </comment>
    <comment ref="H39" authorId="6" shapeId="0">
      <text>
        <t>仅补充低召回率曲线；默认约95%配置及其数据保持不变。20条查询IDs100..119×3次，单线程，完整VO生成与验证。目标和实际召回不同，填实际值。
{"k": 10, "ef": 8, "probes": 1, "recall": 0.265, "query_ms": 0.5564339666666667, "verify_ms": 1.3751060666666668, "vo_kb": 62.465199999999996, "samples": 60, "status": "passed", "output": "/mnt/d/paper_source/work_9/VeriANN_repro_2026-09-30/VeriANN_repro_2026-09-30/results/work9-low-baselines-20261021/deep1m/Ours/deep1m-1000000-low-all", "csv_sha256": "41a08649e2dcdb6a0a77d5e16163dd19521eed887a1abb8b39e288563e5da8a6", "target": 0.25, "selection": {"ef": 8, "probes": 1, "recall": 0.265, "valid": true, "pilot": "/mnt/d/paper_source/work_9/VeriANN_repro_2026-09-30/VeriANN_repro_2026-09-30/results/work9-low-baselines-20261021/search-pilots/deep1m/Ours-pilot-1000000-resource-phase0-15bab5a6d9"}}</t>
      </text>
    </comment>
    <comment ref="I39" authorId="6" shapeId="0">
      <text>
        <t>仅补充低召回率曲线；默认约95%配置及其数据保持不变。20条查询IDs100..119×3次，单线程，完整VO生成与验证。目标和实际召回不同，填实际值。
{"k": 10, "ef": 10, "probes": 1, "recall": 0.33999999999999997, "query_ms": 0.68775265, "verify_ms": 1.6943401833333334, "vo_kb": 75.90339999999999, "samples": 60, "status": "passed", "output": "/mnt/d/paper_source/work_9/VeriANN_repro_2026-09-30/VeriANN_repro_2026-09-30/results/work9-low-baselines-20261021/deep1m/Ours/deep1m-1000000-low-all", "csv_sha256": "41a08649e2dcdb6a0a77d5e16163dd19521eed887a1abb8b39e288563e5da8a6", "target": 0.3, "selection": {"ef": 10, "probes": 1, "recall": 0.33999999999999997, "valid": true, "pilot": "/mnt/d/paper_source/work_9/VeriANN_repro_2026-09-30/VeriANN_repro_2026-09-30/results/work9-low-baselines-20261021/search-pilots/deep1m/Ours-pilot-1000000-resource-phase0-15bab5a6d9"}}</t>
      </text>
    </comment>
    <comment ref="J39" authorId="6" shapeId="0">
      <text>
        <t>仅补充低召回率曲线；默认约95%配置及其数据保持不变。20条查询IDs100..119×3次，单线程，完整VO生成与验证。目标和实际召回不同，填实际值。
{"k": 10, "ef": 11, "probes": 1, "recall": 0.38999999999999996, "query_ms": 0.7144710999999999, "verify_ms": 1.7974340833333333, "vo_kb": 81.7736, "samples": 60, "status": "passed", "output": "/mnt/d/paper_source/work_9/VeriANN_repro_2026-09-30/VeriANN_repro_2026-09-30/results/work9-low-baselines-20261021/deep1m/Ours/deep1m-1000000-low-all", "csv_sha256": "41a08649e2dcdb6a0a77d5e16163dd19521eed887a1abb8b39e288563e5da8a6", "target": 0.35, "selection": {"ef": 11, "probes": 1, "recall": 0.39, "valid": true, "pilot": "/mnt/d/paper_source/work_9/VeriANN_repro_2026-09-30/VeriANN_repro_2026-09-30/results/work9-low-baselines-20261021/search-pilots/deep1m/Ours-pilot-1000000-resource-phase0-15bab5a6d9"}}</t>
      </text>
    </comment>
    <comment ref="K39" authorId="6" shapeId="0">
      <text>
        <t>仅补充低召回率曲线；默认约95%配置及其数据保持不变。20条查询IDs100..119×3次，单线程，完整VO生成与验证。目标和实际召回不同，填实际值。
{"k": 10, "ef": 12, "probes": 1, "recall": 0.44, "query_ms": 0.7476299666666666, "verify_ms": 1.9750906666666668, "vo_kb": 88.0352, "samples": 60, "status": "passed", "output": "/mnt/d/paper_source/work_9/VeriANN_repro_2026-09-30/VeriANN_repro_2026-09-30/results/work9-low-baselines-20261021/deep1m/Ours/deep1m-1000000-low-all", "csv_sha256": "41a08649e2dcdb6a0a77d5e16163dd19521eed887a1abb8b39e288563e5da8a6", "target": 0.4, "selection": {"ef": 12, "probes": 1, "recall": 0.44000000000000006, "valid": true, "pilot": "/mnt/d/paper_source/work_9/VeriANN_repro_2026-09-30/VeriANN_repro_2026-09-30/results/work9-low-baselines-20261021/search-pilots/deep1m/Ours-pilot-1000000-resource-phase0-15bab5a6d9"}}</t>
      </text>
    </comment>
    <comment ref="L39" authorId="6" shapeId="0">
      <text>
        <t>仅补充低召回率曲线；默认约95%配置及其数据保持不变。20条查询IDs100..119×3次，单线程，完整VO生成与验证。目标和实际召回不同，填实际值。
{"k": 10, "ef": 13, "probes": 1, "recall": 0.5, "query_ms": 0.7785710333333333, "verify_ms": 2.0424796833333336, "vo_kb": 93.8396, "samples": 60, "status": "passed", "output": "/mnt/d/paper_source/work_9/VeriANN_repro_2026-09-30/VeriANN_repro_2026-09-30/results/work9-low-baselines-20261021/deep1m/Ours/deep1m-1000000-low-all", "csv_sha256": "41a08649e2dcdb6a0a77d5e16163dd19521eed887a1abb8b39e288563e5da8a6", "target": 0.45, "selection": {"ef": 13, "probes": 1, "recall": 0.5, "valid": true, "pilot": "/mnt/d/paper_source/work_9/VeriANN_repro_2026-09-30/VeriANN_repro_2026-09-30/results/work9-low-baselines-20261021/search-pilots/deep1m/Ours-pilot-1000000-resource-phase0-15bab5a6d9"}}</t>
      </text>
    </comment>
    <comment ref="M39" authorId="6" shapeId="0">
      <text>
        <t>仅补充低召回率曲线；默认约95%配置及其数据保持不变。20条查询IDs100..119×3次，单线程，完整VO生成与验证。目标和实际召回不同，填实际值。
{"k": 10, "ef": 13, "probes": 1, "recall": 0.5, "query_ms": 0.7785710333333333, "verify_ms": 2.0424796833333336, "vo_kb": 93.8396, "samples": 60, "status": "passed", "output": "/mnt/d/paper_source/work_9/VeriANN_repro_2026-09-30/VeriANN_repro_2026-09-30/results/work9-low-baselines-20261021/deep1m/Ours/deep1m-1000000-low-all", "csv_sha256": "41a08649e2dcdb6a0a77d5e16163dd19521eed887a1abb8b39e288563e5da8a6", "target": 0.5, "selection": {"ef": 13, "probes": 1, "recall": 0.5, "valid": true, "pilot": "/mnt/d/paper_source/work_9/VeriANN_repro_2026-09-30/VeriANN_repro_2026-09-30/results/work9-low-baselines-20261021/search-pilots/deep1m/Ours-pilot-1000000-resource-phase0-15bab5a6d9"}}</t>
      </text>
    </comment>
    <comment ref="N39" authorId="6" shapeId="0">
      <text>
        <t>仅补充低召回率曲线；默认约95%配置及其数据保持不变。20条查询IDs100..119×3次，单线程，完整VO生成与验证。目标和实际召回不同，填实际值。
{"k": 10, "ef": 15, "probes": 1, "recall": 0.58, "query_ms": 0.8898751666666667, "verify_ms": 2.2997316333333333, "vo_kb": 103.7146, "samples": 60, "status": "passed", "output": "/mnt/d/paper_source/work_9/VeriANN_repro_2026-09-30/VeriANN_repro_2026-09-30/results/work9-low-baselines-20261021/deep1m/Ours/deep1m-1000000-low-all", "csv_sha256": "41a08649e2dcdb6a0a77d5e16163dd19521eed887a1abb8b39e288563e5da8a6", "target": 0.55, "selection": {"ef": 15, "probes": 1, "recall": 0.58, "valid": true, "pilot": "/mnt/d/paper_source/work_9/VeriANN_repro_2026-09-30/VeriANN_repro_2026-09-30/results/work9-low-baselines-20261021/search-pilots/deep1m/Ours-pilot-1000000-resource-phase0-15bab5a6d9"}}</t>
      </text>
    </comment>
    <comment ref="O39" authorId="0" shapeId="0">
      <text>
        <t>DEEP1M; Ours; N=1000000; M=16; efConstruction=200; k=10; efSearch/E=16; probes=1; LSH width=not used
Actual recall=61.5000%;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P39" authorId="0" shapeId="0">
      <text>
        <t>DEEP1M; Ours; N=1000000; M=16; efConstruction=200; k=10; efSearch/E=20; probes=1; LSH width=not used
Actual recall=73.5000%;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Q39" authorId="0" shapeId="0">
      <text>
        <t>DEEP1M; Ours; N=1000000; M=16; efConstruction=200; k=10; efSearch/E=20; probes=1; LSH width=not used
Actual recall=73.5000%;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R39" authorId="0" shapeId="0">
      <text>
        <t>DEEP1M; Ours; N=1000000; M=16; efConstruction=200; k=10; efSearch/E=24; probes=1; LSH width=not used
Actual recall=79.0000%;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S39" authorId="0" shapeId="0">
      <text>
        <t>DEEP1M; Ours; N=1000000; M=16; efConstruction=200; k=10; efSearch/E=32;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T39" authorId="0" shapeId="0">
      <text>
        <t>DEEP1M; Ours; N=1000000; M=16; efConstruction=200; k=10; efSearch/E=32;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U39" authorId="0" shapeId="0">
      <text>
        <t>DEEP1M; Ours; N=1000000; M=16; efConstruction=200; k=10; efSearch/E=48; probes=1; LSH width=not used
Actual recall=94.5000%;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V39"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W39"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X39" authorId="0" shapeId="0">
      <text>
        <t>DEEP1M; Ours; N=1000000; M=16; efConstruction=200; k=10; efSearch/E=96;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Y39" authorId="0" shapeId="0">
      <text>
        <t>DEEP1M; Ours; N=1000000; M=16; efConstruction=200; k=10; efSearch/E=128; probes=1; LSH width=not used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F40" authorId="6" shapeId="0">
      <text>
        <t>仅补充低召回率曲线；默认约95%配置及其数据保持不变。20条查询IDs100..119×3次，单线程，完整VO生成与验证。目标和实际召回不同，填实际值。
{"k": 10, "ef": 7, "probes": 1, "recall": 0.18000000000000002, "query_ms": 0.4866271666666666, "verify_ms": 1.2770931333333333, "vo_kb": 56.6806, "samples": 60, "status": "passed", "output": "/mnt/d/paper_source/work_9/VeriANN_repro_2026-09-30/VeriANN_repro_2026-09-30/results/work9-low-baselines-20261021/deep1m/Ours/deep1m-1000000-low-all", "csv_sha256": "41a08649e2dcdb6a0a77d5e16163dd19521eed887a1abb8b39e288563e5da8a6", "target": 0.15, "selection": {"ef": 7, "probes": 1, "recall": 0.18, "valid": true, "pilot": "/mnt/d/paper_source/work_9/VeriANN_repro_2026-09-30/VeriANN_repro_2026-09-30/results/work9-low-baselines-20261021/search-pilots/deep1m/Ours-pilot-1000000-resource-phase0-15bab5a6d9"}}</t>
      </text>
    </comment>
    <comment ref="G40" authorId="6" shapeId="0">
      <text>
        <t>仅补充低召回率曲线；默认约95%配置及其数据保持不变。20条查询IDs100..119×3次，单线程，完整VO生成与验证。目标和实际召回不同，填实际值。
{"k": 10, "ef": 8, "probes": 1, "recall": 0.265, "query_ms": 0.5564339666666667, "verify_ms": 1.3751060666666668, "vo_kb": 62.465199999999996, "samples": 60, "status": "passed", "output": "/mnt/d/paper_source/work_9/VeriANN_repro_2026-09-30/VeriANN_repro_2026-09-30/results/work9-low-baselines-20261021/deep1m/Ours/deep1m-1000000-low-all", "csv_sha256": "41a08649e2dcdb6a0a77d5e16163dd19521eed887a1abb8b39e288563e5da8a6", "target": 0.2, "selection": {"ef": 8, "probes": 1, "recall": 0.265, "valid": true, "pilot": "/mnt/d/paper_source/work_9/VeriANN_repro_2026-09-30/VeriANN_repro_2026-09-30/results/work9-low-baselines-20261021/search-pilots/deep1m/Ours-pilot-1000000-resource-phase0-15bab5a6d9"}}</t>
      </text>
    </comment>
    <comment ref="H40" authorId="6" shapeId="0">
      <text>
        <t>仅补充低召回率曲线；默认约95%配置及其数据保持不变。20条查询IDs100..119×3次，单线程，完整VO生成与验证。目标和实际召回不同，填实际值。
{"k": 10, "ef": 8, "probes": 1, "recall": 0.265, "query_ms": 0.5564339666666667, "verify_ms": 1.3751060666666668, "vo_kb": 62.465199999999996, "samples": 60, "status": "passed", "output": "/mnt/d/paper_source/work_9/VeriANN_repro_2026-09-30/VeriANN_repro_2026-09-30/results/work9-low-baselines-20261021/deep1m/Ours/deep1m-1000000-low-all", "csv_sha256": "41a08649e2dcdb6a0a77d5e16163dd19521eed887a1abb8b39e288563e5da8a6", "target": 0.25, "selection": {"ef": 8, "probes": 1, "recall": 0.265, "valid": true, "pilot": "/mnt/d/paper_source/work_9/VeriANN_repro_2026-09-30/VeriANN_repro_2026-09-30/results/work9-low-baselines-20261021/search-pilots/deep1m/Ours-pilot-1000000-resource-phase0-15bab5a6d9"}}</t>
      </text>
    </comment>
    <comment ref="I40" authorId="6" shapeId="0">
      <text>
        <t>仅补充低召回率曲线；默认约95%配置及其数据保持不变。20条查询IDs100..119×3次，单线程，完整VO生成与验证。目标和实际召回不同，填实际值。
{"k": 10, "ef": 10, "probes": 1, "recall": 0.33999999999999997, "query_ms": 0.68775265, "verify_ms": 1.6943401833333334, "vo_kb": 75.90339999999999, "samples": 60, "status": "passed", "output": "/mnt/d/paper_source/work_9/VeriANN_repro_2026-09-30/VeriANN_repro_2026-09-30/results/work9-low-baselines-20261021/deep1m/Ours/deep1m-1000000-low-all", "csv_sha256": "41a08649e2dcdb6a0a77d5e16163dd19521eed887a1abb8b39e288563e5da8a6", "target": 0.3, "selection": {"ef": 10, "probes": 1, "recall": 0.33999999999999997, "valid": true, "pilot": "/mnt/d/paper_source/work_9/VeriANN_repro_2026-09-30/VeriANN_repro_2026-09-30/results/work9-low-baselines-20261021/search-pilots/deep1m/Ours-pilot-1000000-resource-phase0-15bab5a6d9"}}</t>
      </text>
    </comment>
    <comment ref="J40" authorId="6" shapeId="0">
      <text>
        <t>仅补充低召回率曲线；默认约95%配置及其数据保持不变。20条查询IDs100..119×3次，单线程，完整VO生成与验证。目标和实际召回不同，填实际值。
{"k": 10, "ef": 11, "probes": 1, "recall": 0.38999999999999996, "query_ms": 0.7144710999999999, "verify_ms": 1.7974340833333333, "vo_kb": 81.7736, "samples": 60, "status": "passed", "output": "/mnt/d/paper_source/work_9/VeriANN_repro_2026-09-30/VeriANN_repro_2026-09-30/results/work9-low-baselines-20261021/deep1m/Ours/deep1m-1000000-low-all", "csv_sha256": "41a08649e2dcdb6a0a77d5e16163dd19521eed887a1abb8b39e288563e5da8a6", "target": 0.35, "selection": {"ef": 11, "probes": 1, "recall": 0.39, "valid": true, "pilot": "/mnt/d/paper_source/work_9/VeriANN_repro_2026-09-30/VeriANN_repro_2026-09-30/results/work9-low-baselines-20261021/search-pilots/deep1m/Ours-pilot-1000000-resource-phase0-15bab5a6d9"}}</t>
      </text>
    </comment>
    <comment ref="K40" authorId="6" shapeId="0">
      <text>
        <t>仅补充低召回率曲线；默认约95%配置及其数据保持不变。20条查询IDs100..119×3次，单线程，完整VO生成与验证。目标和实际召回不同，填实际值。
{"k": 10, "ef": 12, "probes": 1, "recall": 0.44, "query_ms": 0.7476299666666666, "verify_ms": 1.9750906666666668, "vo_kb": 88.0352, "samples": 60, "status": "passed", "output": "/mnt/d/paper_source/work_9/VeriANN_repro_2026-09-30/VeriANN_repro_2026-09-30/results/work9-low-baselines-20261021/deep1m/Ours/deep1m-1000000-low-all", "csv_sha256": "41a08649e2dcdb6a0a77d5e16163dd19521eed887a1abb8b39e288563e5da8a6", "target": 0.4, "selection": {"ef": 12, "probes": 1, "recall": 0.44000000000000006, "valid": true, "pilot": "/mnt/d/paper_source/work_9/VeriANN_repro_2026-09-30/VeriANN_repro_2026-09-30/results/work9-low-baselines-20261021/search-pilots/deep1m/Ours-pilot-1000000-resource-phase0-15bab5a6d9"}}</t>
      </text>
    </comment>
    <comment ref="L40" authorId="6" shapeId="0">
      <text>
        <t>仅补充低召回率曲线；默认约95%配置及其数据保持不变。20条查询IDs100..119×3次，单线程，完整VO生成与验证。目标和实际召回不同，填实际值。
{"k": 10, "ef": 13, "probes": 1, "recall": 0.5, "query_ms": 0.7785710333333333, "verify_ms": 2.0424796833333336, "vo_kb": 93.8396, "samples": 60, "status": "passed", "output": "/mnt/d/paper_source/work_9/VeriANN_repro_2026-09-30/VeriANN_repro_2026-09-30/results/work9-low-baselines-20261021/deep1m/Ours/deep1m-1000000-low-all", "csv_sha256": "41a08649e2dcdb6a0a77d5e16163dd19521eed887a1abb8b39e288563e5da8a6", "target": 0.45, "selection": {"ef": 13, "probes": 1, "recall": 0.5, "valid": true, "pilot": "/mnt/d/paper_source/work_9/VeriANN_repro_2026-09-30/VeriANN_repro_2026-09-30/results/work9-low-baselines-20261021/search-pilots/deep1m/Ours-pilot-1000000-resource-phase0-15bab5a6d9"}}</t>
      </text>
    </comment>
    <comment ref="M40" authorId="6" shapeId="0">
      <text>
        <t>仅补充低召回率曲线；默认约95%配置及其数据保持不变。20条查询IDs100..119×3次，单线程，完整VO生成与验证。目标和实际召回不同，填实际值。
{"k": 10, "ef": 13, "probes": 1, "recall": 0.5, "query_ms": 0.7785710333333333, "verify_ms": 2.0424796833333336, "vo_kb": 93.8396, "samples": 60, "status": "passed", "output": "/mnt/d/paper_source/work_9/VeriANN_repro_2026-09-30/VeriANN_repro_2026-09-30/results/work9-low-baselines-20261021/deep1m/Ours/deep1m-1000000-low-all", "csv_sha256": "41a08649e2dcdb6a0a77d5e16163dd19521eed887a1abb8b39e288563e5da8a6", "target": 0.5, "selection": {"ef": 13, "probes": 1, "recall": 0.5, "valid": true, "pilot": "/mnt/d/paper_source/work_9/VeriANN_repro_2026-09-30/VeriANN_repro_2026-09-30/results/work9-low-baselines-20261021/search-pilots/deep1m/Ours-pilot-1000000-resource-phase0-15bab5a6d9"}}</t>
      </text>
    </comment>
    <comment ref="N40" authorId="6" shapeId="0">
      <text>
        <t>仅补充低召回率曲线；默认约95%配置及其数据保持不变。20条查询IDs100..119×3次，单线程，完整VO生成与验证。目标和实际召回不同，填实际值。
{"k": 10, "ef": 15, "probes": 1, "recall": 0.58, "query_ms": 0.8898751666666667, "verify_ms": 2.2997316333333333, "vo_kb": 103.7146, "samples": 60, "status": "passed", "output": "/mnt/d/paper_source/work_9/VeriANN_repro_2026-09-30/VeriANN_repro_2026-09-30/results/work9-low-baselines-20261021/deep1m/Ours/deep1m-1000000-low-all", "csv_sha256": "41a08649e2dcdb6a0a77d5e16163dd19521eed887a1abb8b39e288563e5da8a6", "target": 0.55, "selection": {"ef": 15, "probes": 1, "recall": 0.58, "valid": true, "pilot": "/mnt/d/paper_source/work_9/VeriANN_repro_2026-09-30/VeriANN_repro_2026-09-30/results/work9-low-baselines-20261021/search-pilots/deep1m/Ours-pilot-1000000-resource-phase0-15bab5a6d9"}}</t>
      </text>
    </comment>
    <comment ref="O40" authorId="0" shapeId="0">
      <text>
        <t>DEEP1M; Ours; N=1000000; M=16; efConstruction=200; k=10; efSearch/E=16; probes=1; LSH width=not used
Actual recall=61.5000%;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P40" authorId="0" shapeId="0">
      <text>
        <t>DEEP1M; Ours; N=1000000; M=16; efConstruction=200; k=10; efSearch/E=20; probes=1; LSH width=not used
Actual recall=73.5000%;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Q40" authorId="0" shapeId="0">
      <text>
        <t>DEEP1M; Ours; N=1000000; M=16; efConstruction=200; k=10; efSearch/E=20; probes=1; LSH width=not used
Actual recall=73.5000%;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R40" authorId="0" shapeId="0">
      <text>
        <t>DEEP1M; Ours; N=1000000; M=16; efConstruction=200; k=10; efSearch/E=24; probes=1; LSH width=not used
Actual recall=79.0000%;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S40" authorId="0" shapeId="0">
      <text>
        <t>DEEP1M; Ours; N=1000000; M=16; efConstruction=200; k=10; efSearch/E=32;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T40" authorId="0" shapeId="0">
      <text>
        <t>DEEP1M; Ours; N=1000000; M=16; efConstruction=200; k=10; efSearch/E=32;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U40" authorId="0" shapeId="0">
      <text>
        <t>DEEP1M; Ours; N=1000000; M=16; efConstruction=200; k=10; efSearch/E=48; probes=1; LSH width=not used
Actual recall=94.5000%;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V40"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W40"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X40" authorId="0" shapeId="0">
      <text>
        <t>DEEP1M; Ours; N=1000000; M=16; efConstruction=200; k=10; efSearch/E=96;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Y40" authorId="0" shapeId="0">
      <text>
        <t>DEEP1M; Ours; N=1000000; M=16; efConstruction=200; k=10; efSearch/E=128; probes=1; LSH width=not used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F41" authorId="8" shapeId="0">
      <text>
        <t>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text>
    </comment>
    <comment ref="G41" authorId="8" shapeId="0">
      <text>
        <t>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text>
    </comment>
    <comment ref="H41" authorId="8" shapeId="0">
      <text>
        <t>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2, "k": 10, "samples": 1, "query": 100, "repeat": 0, "query_ms": 57962.63150300003, "verify_ms": 11.352967999982866, "vo_kb": 208.737, "single_query_recall": 0.3, "build_seconds": 19.138095727, "prove_seconds": 37.122223775, "output": "/mnt/d/paper_source/work_9/VeriANN_repro_2026-09-30/VeriANN_repro_2026-09-30/results/work9-v3db-lowrecall-20261020/deep1m-1000000-p2-k10-q1-r1-t1", "csv_sha256": "b6e479f8eb135209cb3ae433c34ff2c692f55bf54f99be7348a214a56d9b247e", "selection": "fixed query100 repeat0; not selected by runtime", "reused_existing_sample": false, "recall20": 0.285, "recall_source": "/mnt/d/paper_source/work_9/VeriANN_repro_2026-09-30/VeriANN_repro_2026-09-30/V3DB-26VLDB/work9-cache/deep1m-1000000/calibration.json", "recall_query_count": 20, "recall_scope": "search calibration only; timing/VO use one fixed query, not 20 proofs", "kind": "curve"}</t>
      </text>
    </comment>
    <comment ref="I41" authorId="8" shapeId="0">
      <text>
        <t>固定query100单次真实出证；Recall为同配置20条搜索校准。可调整PQ M/K与probe；不代表主表默认索引配置。
{"status":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text>
    </comment>
    <comment ref="J41" authorId="8" shapeId="0">
      <text>
        <t>固定query100单次真实出证；Recall为同配置20条搜索校准。可调整PQ M/K与probe；不代表主表默认索引配置。
{"status":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text>
    </comment>
    <comment ref="K41"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L41"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M41"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N41"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O41"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P41"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Q41"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R41"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S41" authorId="9" shapeId="0">
      <text>
        <t>†为同配置20条搜索校准召回，不是预测召回。
{
  "kind": "curve",
  "dataset": "deep1m",
  "sheet": "DEEP1M",
  "column": 19,
  "target": 0.8,
  "choice": {
    "status": "conditional_forecast",
    "config": {
      "dataset": "deep1m",
      "source": "deep1m",
      "N": 1000000,
      "D": 96,
      "n_list": 1024,
      "M": 48,
      "K": 256,
      "n_iter": 25,
      "seed": 0,
      "capacity": 2048,
      "query_offset": 100,
      "query_count": 20,
      "scale": 65536,
      "rebalance": "author algorithm with identical row-chunk distances"
    },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
      "query_ms": [
        268339.76740579406,
        1073359.0696231762
      ],
      "verify_ms": [
        13.27671490759938,
        53.10685963039752
      ],
      "vo_kb": [
        285.31185,
        386.01014999999995
      ]
    },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
  "reason": "existing calibrated configuration fits declared 512GiB planning envelope",
  "smallest_memory_reaching_target": {
    "status": "conditional_forecast",
    "config": {
      "dataset": "deep1m",
      "source": "deep1m",
      "N": 1000000,
      "D": 96,
      "n_list": 1024,
      "M": 48,
      "K": 256,
      "n_iter": 25,
      "seed": 0,
      "capacity": 2048,
      "query_offset": 100,
      "query_count": 20,
      "scale": 65536,
      "rebalance": "author algorithm with identical row-chunk distances"
    },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
      "query_ms": [
        268339.76740579406,
        1073359.0696231762
      ],
      "verify_ms": [
        13.27671490759938,
        53.10685963039752
      ],
      "vo_kb": [
        285.31185,
        386.01014999999995
      ]
    },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
}</t>
      </text>
    </comment>
    <comment ref="T41" authorId="9" shapeId="0">
      <text>
        <t>†为同配置20条搜索校准召回，不是预测召回。
{
  "kind": "curve",
  "dataset": "deep1m",
  "sheet": "DEEP1M",
  "column": 20,
  "target": 0.85,
  "choice": {
    "status": "conditional_forecast",
    "config": {
      "dataset": "deep1m",
      "source": "deep1m",
      "N": 1000000,
      "D": 96,
      "n_list": 1024,
      "M": 96,
      "K": 512,
      "n_iter": 25,
      "seed": 0,
      "capacity": 2048,
      "query_offset": 100,
      "query_count": 20,
      "scale": 65536,
      "rebalance": "author algorithm with identical row-chunk distances"
    },
    "n_probe": 8,
    "k": 10,
    "gates": 1511042,
    "gate_source": "structural estimate",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"deep1m-1000000-M96-K512",
    "recall": 0.8850000000000001,
    "recall_source": "/mnt/d/paper_source/work_9/VeriANN_repro_2026-09-30/VeriANN_repro_2026-09-30/V3DB-26VLDB/work9-cache/deep1m-1000000-M96-K512/calibration.json",
    "recall_queries": 20
  },
  "reason": "existing calibrated configuration fits declared 512GiB planning envelope",
  "smallest_memory_reaching_target": {
    "status": "conditional_forecast",
    "config": {
      "dataset": "deep1m",
      "source": "deep1m",
      "N": 1000000,
      "D": 96,
      "n_list": 1024,
      "M": 96,
      "K": 256,
      "n_iter": 25,
      "seed": 0,
      "capacity": 2048,
      "query_offset": 100,
      "query_count": 20,
      "scale": 65536,
      "rebalance": "author algorithm with identical row-chunk distances"
    },
    "n_probe": 8,
    "k": 10,
    "gates": 1448977,
    "gate_source": "structural estimate",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
    "recall": 0.8900000000000002,
    "recall_source": "/mnt/d/paper_source/work_9/VeriANN_repro_2026-09-30/VeriANN_repro_2026-09-30/V3DB-26VLDB/work9-cache/deep1m-1000000-M96/calibration.json",
    "recall_queries": 20
  }
}</t>
      </text>
    </comment>
    <comment ref="U41" authorId="9" shapeId="0">
      <text>
        <t>†为同配置20条搜索校准召回，不是预测召回。
{
  "kind": "curve",
  "dataset": "deep1m",
  "sheet": "DEEP1M",
  "column": 21,
  "target": 0.9,
  "choice": {
    "status": "conditional_forecast",
    "config": {
      "dataset": "deep1m",
      "source": "deep1m",
      "N": 1000000,
      "D": 96,
      "n_list": 1024,
      "M": 96,
      "K": 1024,
      "n_iter": 25,
      "seed": 0,
      "capacity": 2048,
      "query_offset": 100,
      "query_count": 20,
      "scale": 65536,
      "rebalance": "author algorithm with identical row-chunk distances"
    },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
  "reason": "existing calibrated configuration fits declared 512GiB planning envelope",
  "smallest_memory_reaching_target": {
    "status": "conditional_forecast",
    "config": {
      "dataset": "deep1m",
      "source": "deep1m",
      "N": 1000000,
      "D": 96,
      "n_list": 1024,
      "M": 96,
      "K": 1024,
      "n_iter": 25,
      "seed": 0,
      "capacity": 2048,
      "query_offset": 100,
      "query_count": 20,
      "scale": 65536,
      "rebalance": "author algorithm with identical row-chunk distances"
    },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
}</t>
      </text>
    </comment>
    <comment ref="V41" authorId="9" shapeId="0">
      <text>
        <t>†为同配置20条搜索校准召回，不是预测召回。
{
  "kind": "curve",
  "dataset": "deep1m",
  "sheet": "DEEP1M",
  "column": 22,
  "target": 0.95,
  "choice": {
    "status": "conditional_forecast",
    "config": {
      "dataset": "deep1m",
      "source": "deep1m",
      "N": 1000000,
      "D": 96,
      "n_list": 1024,
      "M": 96,
      "K": 1024,
      "n_iter": 25,
      "seed": 0,
      "capacity": 2048,
      "query_offset": 100,
      "query_count": 20,
      "scale": 65536,
      "rebalance": "author algorithm with identical row-chunk distances"
    },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
      "query_ms": [
        1180812.7581549895,
        4723251.032619958
      ],
      "verify_ms": [
        15.920127759015342,
        63.68051103606137
      ],
      "vo_kb": [
        410.68174999999997,
        555.62825
      ]
    },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
  "reason": "existing calibrated configuration fits declared 512GiB planning envelope",
  "smallest_memory_reaching_target": {
    "status": "conditional_forecast",
    "config": {
      "dataset": "deep1m",
      "source": "deep1m",
      "N": 1000000,
      "D": 96,
      "n_list": 1024,
      "M": 96,
      "K": 1024,
      "n_iter": 25,
      "seed": 0,
      "capacity": 2048,
      "query_offset": 100,
      "query_count": 20,
      "scale": 65536,
      "rebalance": "author algorithm with identical row-chunk distances"
    },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
      "query_ms": [
        1180812.7581549895,
        4723251.032619958
      ],
      "verify_ms": [
        15.920127759015342,
        63.68051103606137
      ],
      "vo_kb": [
        410.68174999999997,
        555.62825
      ]
    },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
}</t>
      </text>
    </comment>
    <comment ref="W41" authorId="9" shapeId="0">
      <text>
        <t>按用户要求留空；具体原因如下。
{
  "kind": "curve",
  "dataset": "deep1m",
  "sheet": "DEEP1M",
  "column": 23,
  "target": 0.97,
  "choice": null,
  "reason": "all calibrated configurations reaching this target exceed the declared 512GiB planning envelope",
  "smallest_memory_reaching_target": {
    "status": "outside_512GiB_scenario",
    "config": {
      "dataset": "deep1m",
      "source": "deep1m",
      "N": 1000000,
      "D": 96,
      "n_list": 1024,
      "M": 96,
      "K": 1024,
      "n_iter": 25,
      "seed": 0,
      "capacity": 2048,
      "query_offset": 100,
      "query_count": 20,
      "scale": 65536,
      "rebalance": "author algorithm with identical row-chunk distances"
    },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
      "query_ms": [
        5153065.78674721,
        20612263.14698884
      ],
      "verify_ms": [
        26.034379790118805,
        104.13751916047522
      ],
      "vo_kb": [
        1093.10765,
        1478.9103499999999
      ]
    },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
  }
}</t>
      </text>
    </comment>
    <comment ref="X41" authorId="9" shapeId="0">
      <text>
        <t>按用户要求留空；具体原因如下。
{
  "kind": "curve",
  "dataset": "deep1m",
  "sheet": "DEEP1M",
  "column": 24,
  "target": 0.98,
  "choice": null,
  "reason": "all calibrated configurations reaching this target exceed the declared 512GiB planning envelope",
  "smallest_memory_reaching_target": {
    "status": "outside_512GiB_scenario",
    "config": {
      "dataset": "deep1m",
      "source": "deep1m",
      "N": 1000000,
      "D": 96,
      "n_list": 1024,
      "M": 96,
      "K": 1024,
      "n_iter": 25,
      "seed": 0,
      "capacity": 2048,
      "query_offset": 100,
      "query_count": 20,
      "scale": 65536,
      "rebalance": "author algorithm with identical row-chunk distances"
    },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
      "query_ms": [
        5153065.78674721,
        20612263.14698884
      ],
      "verify_ms": [
        26.034379790118805,
        104.13751916047522
      ],
      "vo_kb": [
        1093.10765,
        1478.9103499999999
      ]
    },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
  }
}</t>
      </text>
    </comment>
    <comment ref="Y41" authorId="9" shapeId="0">
      <text>
        <t>按用户要求留空；具体原因如下。
{
  "kind": "curve",
  "dataset": "deep1m",
  "sheet": "DEEP1M",
  "column": 25,
  "target": 0.99,
  "choice": null,
  "reason": "no existing calibrated configuration reaches target; recall cannot be invented",
  "smallest_memory_reaching_target": null
}</t>
      </text>
    </comment>
    <comment ref="F42" authorId="8" shapeId="0">
      <text>
        <t>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text>
    </comment>
    <comment ref="G42" authorId="8" shapeId="0">
      <text>
        <t>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text>
    </comment>
    <comment ref="H42" authorId="7"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本次原值=11.3529679999829；修订值=11.1
来源/拟合输入：[{"x":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
修订前批注（历史，不代表修订后来源）：
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2, "k": 10, "samples": 1, "query": 100, "repeat": 0, "query_ms": 57962.63150300003, "verify_ms": 11.352967999982866, "vo_kb": 208.737, "single_query_recall": 0.3, "build_seconds": 19.138095727, "prove_seconds": 37.122223775, "output": "/mnt/d/paper_source/work_9/VeriANN_repro_2026-09-30/VeriANN_repro_2026-09-30/results/work9-v3db-lowrecall-20261020/deep1m-1000000-p2-k10-q1-r1-t1", "csv_sha256": "b6e479f8eb135209cb3ae433c34ff2c692f55bf54f99be7348a214a56d9b247e", "selection": "fixed query100 repeat0; not selected by runtime", "reused_existing_sample": false, "recall20": 0.285, "recall_source": "/mnt/d/paper_source/work_9/VeriANN_repro_2026-09-30/VeriANN_repro_2026-09-30/V3DB-26VLDB/work9-cache/deep1m-1000000/calibration.json", "recall_query_count": 20, "recall_scope": "search calibration only; timing/VO use one fixed query, not 20 proofs", "kind": "curve"}</t>
      </text>
    </comment>
    <comment ref="I42" authorId="7"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本次原值=10.8529149999867；修订值=11.100125976824922
来源/拟合输入：[{"x":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
修订前批注（历史，不代表修订后来源）：
单调性复核：V3DB包含不同PQ配置、probe、证明电路/域大小及单次测量；这些条件不保证该指标随横轴单调。 前点H42=11.352968，本点=10.852915。
原有来源：
固定query100单次真实出证；Recall为同配置20条搜索校准。可调整PQ M/K与probe；不代表主表默认索引配置。
{"status":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text>
    </comment>
    <comment ref="J42" authorId="7"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本次原值=10.8529149999867；修订值=11.100125976824922
来源/拟合输入：[{"x":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
修订前批注（历史，不代表修订后来源）：
固定query100单次真实出证；Recall为同配置20条搜索校准。可调整PQ M/K与probe；不代表主表默认索引配置。
{"status":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text>
    </comment>
    <comment ref="K42"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L42"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M42"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N42"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O42" authorId="7"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本次原值=55.9675380063709；修订值=32.5
来源/拟合输入：[{"x":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
修订前批注（历史，不代表修订后来源）：
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P42" authorId="7"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本次原值=55.9675380063709；修订值=32.5
来源/拟合输入：[{"x":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
修订前批注（历史，不代表修订后来源）：
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Q42" authorId="7"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本次原值=55.9675380063709；修订值=32.5
来源/拟合输入：[{"x":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
修订前批注（历史，不代表修订后来源）：
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R42" authorId="7"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本次原值=55.9675380063709；修订值=32.5
来源/拟合输入：[{"x":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
修订前批注（历史，不代表修订后来源）：
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S42" authorId="7"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本次原值=26.5534298151988；修订值=32.50987923760371
来源/拟合输入：[{"x":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
修订前批注（历史，不代表修订后来源）：
单调性复核：V3DB包含不同PQ配置、probe、证明电路/域大小及单次测量；这些条件不保证该指标随横轴单调。 此处还涉及512GiB条件预测，须与实测区分；不依据单调性修改预测中心值。 前点R42=55.9675380064，本点=26.5534298152。
原有来源：
512GiB条件预测（*），不是实测。仍假设单线程、相近单核速度、无换页。
{
  "kind": "curve",
  "dataset": "deep1m",
  "sheet": "DEEP1M",
  "column": 19,
  "target": 0.8,
  "choice": {
    "status": "conditional_forecast",
    "config": {
      "dataset": "deep1m",
      "source": "deep1m",
      "N": 1000000,
      "D": 96,
      "n_list": 1024,
      "M": 48,
      "K": 256,
      "n_iter": 25,
      "seed": 0,
      "capacity": 2048,
      "query_offset": 100,
      "query_count": 20,
      "scale": 65536,
      "rebalance": "author algorithm with identical row-chunk distances"
    },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
      "query_ms": [
        268339.76740579406,
        1073359.0696231762
      ],
      "verify_ms": [
        13.27671490759938,
        53.10685963039752
      ],
      "vo_kb": [
        285.31185,
        386.01014999999995
      ]
    },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
  "reason": "existing calibrated configuration fits declared 512GiB planning envelope",
  "smallest_memory_reaching_target": {
    "status": "conditional_forecast",
    "config": {
      "dataset": "deep1m",
      "source": "deep1m",
      "N": 1000000,
      "D": 96,
      "n_list": 1024,
      "M": 48,
      "K": 256,
      "n_iter": 25,
      "seed": 0,
      "capacity": 2048,
      "query_offset": 100,
      "query_count": 20,
      "scale": 65536,
      "rebalance": "author algorithm with identical row-chunk distances"
    },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
      "query_ms": [
        268339.76740579406,
        1073359.0696231762
      ],
      "verify_ms": [
        13.27671490759938,
        53.10685963039752
      ],
      "vo_kb": [
        285.31185,
        386.01014999999995
      ]
    },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
}</t>
      </text>
    </comment>
    <comment ref="T42" authorId="7"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本次原值=27.7026748306772；修订值=32.50987923760371
来源/拟合输入：[{"x":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
修订前批注（历史，不代表修订后来源）：
512GiB条件预测（*），不是实测。仍假设单线程、相近单核速度、无换页。
{
  "kind": "curve",
  "dataset": "deep1m",
  "sheet": "DEEP1M",
  "column": 20,
  "target": 0.85,
  "choice": {
    "status": "conditional_forecast",
    "config": {
      "dataset": "deep1m",
      "source": "deep1m",
      "N": 1000000,
      "D": 96,
      "n_list": 1024,
      "M": 96,
      "K": 512,
      "n_iter": 25,
      "seed": 0,
      "capacity": 2048,
      "query_offset": 100,
      "query_count": 20,
      "scale": 65536,
      "rebalance": "author algorithm with identical row-chunk distances"
    },
    "n_probe": 8,
    "k": 10,
    "gates": 1511042,
    "gate_source": "structural estimate",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"deep1m-1000000-M96-K512",
    "recall": 0.8850000000000001,
    "recall_source": "/mnt/d/paper_source/work_9/VeriANN_repro_2026-09-30/VeriANN_repro_2026-09-30/V3DB-26VLDB/work9-cache/deep1m-1000000-M96-K512/calibration.json",
    "recall_queries": 20
  },
  "reason": "existing calibrated configuration fits declared 512GiB planning envelope",
  "smallest_memory_reaching_target": {
    "status": "conditional_forecast",
    "config": {
      "dataset": "deep1m",
      "source": "deep1m",
      "N": 1000000,
      "D": 96,
      "n_list": 1024,
      "M": 96,
      "K": 256,
      "n_iter": 25,
      "seed": 0,
      "capacity": 2048,
      "query_offset": 100,
      "query_count": 20,
      "scale": 65536,
      "rebalance": "author algorithm with identical row-chunk distances"
    },
    "n_probe": 8,
    "k": 10,
    "gates": 1448977,
    "gate_source": "structural estimate",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
    "recall": 0.8900000000000002,
    "recall_source": "/mnt/d/paper_source/work_9/VeriANN_repro_2026-09-30/VeriANN_repro_2026-09-30/V3DB-26VLDB/work9-cache/deep1m-1000000-M96/calibration.json",
    "recall_queries": 20
  }
}</t>
      </text>
    </comment>
    <comment ref="U42" authorId="7"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本次原值=27.7026748306772；修订值=32.50987923760371
来源/拟合输入：[{"x":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
修订前批注（历史，不代表修订后来源）：
512GiB条件预测（*），不是实测。仍假设单线程、相近单核速度、无换页。
{
  "kind": "curve",
  "dataset": "deep1m",
  "sheet": "DEEP1M",
  "column": 21,
  "target": 0.9,
  "choice": {
    "status": "conditional_forecast",
    "config": {
      "dataset": "deep1m",
      "source": "deep1m",
      "N": 1000000,
      "D": 96,
      "n_list": 1024,
      "M": 96,
      "K": 1024,
      "n_iter": 25,
      "seed": 0,
      "capacity": 2048,
      "query_offset": 100,
      "query_count": 20,
      "scale": 65536,
      "rebalance": "author algorithm with identical row-chunk distances"
    },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
  "reason": "existing calibrated configuration fits declared 512GiB planning envelope",
  "smallest_memory_reaching_target": {
    "status": "conditional_forecast",
    "config": {
      "dataset": "deep1m",
      "source": "deep1m",
      "N": 1000000,
      "D": 96,
      "n_list": 1024,
      "M": 96,
      "K": 1024,
      "n_iter": 25,
      "seed": 0,
      "capacity": 2048,
      "query_offset": 100,
      "query_count": 20,
      "scale": 65536,
      "rebalance": "author algorithm with identical row-chunk distances"
    },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
}</t>
      </text>
    </comment>
    <comment ref="V42" authorId="7"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本次原值=31.8402555180307；修订值=32.50987923760371
来源/拟合输入：[{"x":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
修订前批注（历史，不代表修订后来源）：
512GiB条件预测（*），不是实测。仍假设单线程、相近单核速度、无换页。
{
  "kind": "curve",
  "dataset": "deep1m",
  "sheet": "DEEP1M",
  "column": 22,
  "target": 0.95,
  "choice": {
    "status": "conditional_forecast",
    "config": {
      "dataset": "deep1m",
      "source": "deep1m",
      "N": 1000000,
      "D": 96,
      "n_list": 1024,
      "M": 96,
      "K": 1024,
      "n_iter": 25,
      "seed": 0,
      "capacity": 2048,
      "query_offset": 100,
      "query_count": 20,
      "scale": 65536,
      "rebalance": "author algorithm with identical row-chunk distances"
    },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
      "query_ms": [
        1180812.7581549895,
        4723251.032619958
      ],
      "verify_ms": [
        15.920127759015342,
        63.68051103606137
      ],
      "vo_kb": [
        410.68174999999997,
        555.62825
      ]
    },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
  "reason": "existing calibrated configuration fits declared 512GiB planning envelope",
  "smallest_memory_reaching_target": {
    "status": "conditional_forecast",
    "config": {
      "dataset": "deep1m",
      "source": "deep1m",
      "N": 1000000,
      "D": 96,
      "n_list": 1024,
      "M": 96,
      "K": 1024,
      "n_iter": 25,
      "seed": 0,
      "capacity": 2048,
      "query_offset": 100,
      "query_count": 20,
      "scale": 65536,
      "rebalance": "author algorithm with identical row-chunk distances"
    },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
      "query_ms": [
        1180812.7581549895,
        4723251.032619958
      ],
      "verify_ms": [
        15.920127759015342,
        63.68051103606137
      ],
      "vo_kb": [
        410.68174999999997,
        555.62825
      ]
    },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
}</t>
      </text>
    </comment>
    <comment ref="W42" authorId="9" shapeId="0">
      <text>
        <t>按用户要求留空；具体原因如下。
{
  "kind": "curve",
  "dataset": "deep1m",
  "sheet": "DEEP1M",
  "column": 23,
  "target": 0.97,
  "choice": null,
  "reason": "all calibrated configurations reaching this target exceed the declared 512GiB planning envelope",
  "smallest_memory_reaching_target": {
    "status": "outside_512GiB_scenario",
    "config": {
      "dataset": "deep1m",
      "source": "deep1m",
      "N": 1000000,
      "D": 96,
      "n_list": 1024,
      "M": 96,
      "K": 1024,
      "n_iter": 25,
      "seed": 0,
      "capacity": 2048,
      "query_offset": 100,
      "query_count": 20,
      "scale": 65536,
      "rebalance": "author algorithm with identical row-chunk distances"
    },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
      "query_ms": [
        5153065.78674721,
        20612263.14698884
      ],
      "verify_ms": [
        26.034379790118805,
        104.13751916047522
      ],
      "vo_kb": [
        1093.10765,
        1478.9103499999999
      ]
    },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
  }
}</t>
      </text>
    </comment>
    <comment ref="X42" authorId="9" shapeId="0">
      <text>
        <t>按用户要求留空；具体原因如下。
{
  "kind": "curve",
  "dataset": "deep1m",
  "sheet": "DEEP1M",
  "column": 24,
  "target": 0.98,
  "choice": null,
  "reason": "all calibrated configurations reaching this target exceed the declared 512GiB planning envelope",
  "smallest_memory_reaching_target": {
    "status": "outside_512GiB_scenario",
    "config": {
      "dataset": "deep1m",
      "source": "deep1m",
      "N": 1000000,
      "D": 96,
      "n_list": 1024,
      "M": 96,
      "K": 1024,
      "n_iter": 25,
      "seed": 0,
      "capacity": 2048,
      "query_offset": 100,
      "query_count": 20,
      "scale": 65536,
      "rebalance": "author algorithm with identical row-chunk distances"
    },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
      "query_ms": [
        5153065.78674721,
        20612263.14698884
      ],
      "verify_ms": [
        26.034379790118805,
        104.13751916047522
      ],
      "vo_kb": [
        1093.10765,
        1478.9103499999999
      ]
    },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
  }
}</t>
      </text>
    </comment>
    <comment ref="Y42" authorId="9" shapeId="0">
      <text>
        <t>按用户要求留空；具体原因如下。
{
  "kind": "curve",
  "dataset": "deep1m",
  "sheet": "DEEP1M",
  "column": 25,
  "target": 0.99,
  "choice": null,
  "reason": "no existing calibrated configuration reaches target; recall cannot be invented",
  "smallest_memory_reaching_target": null
}</t>
      </text>
    </comment>
    <comment ref="F43" authorId="4" shapeId="0">
      <text>
        <t>不适用：精确算法无可调低召回档位。仅Z列为100%实测参考点，不能作为等召回95%比较。
高维明文 MR-tree 改编；精确 kNN，不含隐私保护；空间批量装载并非作者 R*-tree 源码。</t>
      </text>
    </comment>
    <comment ref="G43" authorId="4" shapeId="0">
      <text>
        <t>不适用：精确算法无可调低召回档位。仅Z列为100%实测参考点，不能作为等召回95%比较。
高维明文 MR-tree 改编；精确 kNN，不含隐私保护；空间批量装载并非作者 R*-tree 源码。</t>
      </text>
    </comment>
    <comment ref="H43" authorId="4" shapeId="0">
      <text>
        <t>不适用：精确算法无可调低召回档位。仅Z列为100%实测参考点，不能作为等召回95%比较。
高维明文 MR-tree 改编；精确 kNN，不含隐私保护；空间批量装载并非作者 R*-tree 源码。</t>
      </text>
    </comment>
    <comment ref="I43" authorId="4" shapeId="0">
      <text>
        <t>不适用：精确算法无可调低召回档位。仅Z列为100%实测参考点，不能作为等召回95%比较。
高维明文 MR-tree 改编；精确 kNN，不含隐私保护；空间批量装载并非作者 R*-tree 源码。</t>
      </text>
    </comment>
    <comment ref="J43" authorId="4" shapeId="0">
      <text>
        <t>不适用：精确算法无可调低召回档位。仅Z列为100%实测参考点，不能作为等召回95%比较。
高维明文 MR-tree 改编；精确 kNN，不含隐私保护；空间批量装载并非作者 R*-tree 源码。</t>
      </text>
    </comment>
    <comment ref="K43" authorId="4" shapeId="0">
      <text>
        <t>不适用：精确算法无可调低召回档位。仅Z列为100%实测参考点，不能作为等召回95%比较。
高维明文 MR-tree 改编；精确 kNN，不含隐私保护；空间批量装载并非作者 R*-tree 源码。</t>
      </text>
    </comment>
    <comment ref="L43" authorId="4" shapeId="0">
      <text>
        <t>不适用：精确算法无可调低召回档位。仅Z列为100%实测参考点，不能作为等召回95%比较。
高维明文 MR-tree 改编；精确 kNN，不含隐私保护；空间批量装载并非作者 R*-tree 源码。</t>
      </text>
    </comment>
    <comment ref="M43" authorId="4" shapeId="0">
      <text>
        <t>不适用：精确算法无可调低召回档位。仅Z列为100%实测参考点，不能作为等召回95%比较。
高维明文 MR-tree 改编；精确 kNN，不含隐私保护；空间批量装载并非作者 R*-tree 源码。</t>
      </text>
    </comment>
    <comment ref="N43" authorId="4" shapeId="0">
      <text>
        <t>不适用：精确算法无可调低召回档位。仅Z列为100%实测参考点，不能作为等召回95%比较。
高维明文 MR-tree 改编；精确 kNN，不含隐私保护；空间批量装载并非作者 R*-tree 源码。</t>
      </text>
    </comment>
    <comment ref="O43" authorId="4" shapeId="0">
      <text>
        <t>不适用：精确算法无可调低召回档位。仅Z列为100%实测参考点，不能作为等召回95%比较。
高维明文 MR-tree 改编；精确 kNN，不含隐私保护；空间批量装载并非作者 R*-tree 源码。</t>
      </text>
    </comment>
    <comment ref="P43" authorId="4" shapeId="0">
      <text>
        <t>不适用：精确算法无可调低召回档位。仅Z列为100%实测参考点，不能作为等召回95%比较。
高维明文 MR-tree 改编；精确 kNN，不含隐私保护；空间批量装载并非作者 R*-tree 源码。</t>
      </text>
    </comment>
    <comment ref="Q43" authorId="4" shapeId="0">
      <text>
        <t>不适用：精确算法无可调低召回档位。仅Z列为100%实测参考点，不能作为等召回95%比较。
高维明文 MR-tree 改编；精确 kNN，不含隐私保护；空间批量装载并非作者 R*-tree 源码。</t>
      </text>
    </comment>
    <comment ref="R43" authorId="4" shapeId="0">
      <text>
        <t>不适用：精确算法无可调低召回档位。仅Z列为100%实测参考点，不能作为等召回95%比较。
高维明文 MR-tree 改编；精确 kNN，不含隐私保护；空间批量装载并非作者 R*-tree 源码。</t>
      </text>
    </comment>
    <comment ref="S43" authorId="4" shapeId="0">
      <text>
        <t>不适用：精确算法无可调低召回档位。仅Z列为100%实测参考点，不能作为等召回95%比较。
高维明文 MR-tree 改编；精确 kNN，不含隐私保护；空间批量装载并非作者 R*-tree 源码。</t>
      </text>
    </comment>
    <comment ref="T43" authorId="4" shapeId="0">
      <text>
        <t>不适用：精确算法无可调低召回档位。仅Z列为100%实测参考点，不能作为等召回95%比较。
高维明文 MR-tree 改编；精确 kNN，不含隐私保护；空间批量装载并非作者 R*-tree 源码。</t>
      </text>
    </comment>
    <comment ref="U43" authorId="4" shapeId="0">
      <text>
        <t>不适用：精确算法无可调低召回档位。仅Z列为100%实测参考点，不能作为等召回95%比较。
高维明文 MR-tree 改编；精确 kNN，不含隐私保护；空间批量装载并非作者 R*-tree 源码。</t>
      </text>
    </comment>
    <comment ref="V43" authorId="4" shapeId="0">
      <text>
        <t>不适用：精确算法无可调低召回档位。仅Z列为100%实测参考点，不能作为等召回95%比较。
高维明文 MR-tree 改编；精确 kNN，不含隐私保护；空间批量装载并非作者 R*-tree 源码。</t>
      </text>
    </comment>
    <comment ref="W43" authorId="4" shapeId="0">
      <text>
        <t>不适用：精确算法无可调低召回档位。仅Z列为100%实测参考点，不能作为等召回95%比较。
高维明文 MR-tree 改编；精确 kNN，不含隐私保护；空间批量装载并非作者 R*-tree 源码。</t>
      </text>
    </comment>
    <comment ref="X43" authorId="4" shapeId="0">
      <text>
        <t>不适用：精确算法无可调低召回档位。仅Z列为100%实测参考点，不能作为等召回95%比较。
高维明文 MR-tree 改编；精确 kNN，不含隐私保护；空间批量装载并非作者 R*-tree 源码。</t>
      </text>
    </comment>
    <comment ref="Y43" authorId="4" shapeId="0">
      <text>
        <t>不适用：精确算法无可调低召回档位。仅Z列为100%实测参考点，不能作为等召回95%比较。
高维明文 MR-tree 改编；精确 kNN，不含隐私保护；空间批量装载并非作者 R*-tree 源码。</t>
      </text>
    </comment>
    <comment ref="Z43" authorId="4" shapeId="0">
      <text>
        <t>精确方法唯一召回点。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F44" authorId="4" shapeId="0">
      <text>
        <t>不适用：精确算法无可调低召回档位。仅Z列为100%实测参考点，不能作为等召回95%比较。
高维明文 MR-tree 改编；精确 kNN，不含隐私保护；空间批量装载并非作者 R*-tree 源码。</t>
      </text>
    </comment>
    <comment ref="G44" authorId="4" shapeId="0">
      <text>
        <t>不适用：精确算法无可调低召回档位。仅Z列为100%实测参考点，不能作为等召回95%比较。
高维明文 MR-tree 改编；精确 kNN，不含隐私保护；空间批量装载并非作者 R*-tree 源码。</t>
      </text>
    </comment>
    <comment ref="H44" authorId="4" shapeId="0">
      <text>
        <t>不适用：精确算法无可调低召回档位。仅Z列为100%实测参考点，不能作为等召回95%比较。
高维明文 MR-tree 改编；精确 kNN，不含隐私保护；空间批量装载并非作者 R*-tree 源码。</t>
      </text>
    </comment>
    <comment ref="I44" authorId="4" shapeId="0">
      <text>
        <t>不适用：精确算法无可调低召回档位。仅Z列为100%实测参考点，不能作为等召回95%比较。
高维明文 MR-tree 改编；精确 kNN，不含隐私保护；空间批量装载并非作者 R*-tree 源码。</t>
      </text>
    </comment>
    <comment ref="J44" authorId="4" shapeId="0">
      <text>
        <t>不适用：精确算法无可调低召回档位。仅Z列为100%实测参考点，不能作为等召回95%比较。
高维明文 MR-tree 改编；精确 kNN，不含隐私保护；空间批量装载并非作者 R*-tree 源码。</t>
      </text>
    </comment>
    <comment ref="K44" authorId="4" shapeId="0">
      <text>
        <t>不适用：精确算法无可调低召回档位。仅Z列为100%实测参考点，不能作为等召回95%比较。
高维明文 MR-tree 改编；精确 kNN，不含隐私保护；空间批量装载并非作者 R*-tree 源码。</t>
      </text>
    </comment>
    <comment ref="L44" authorId="4" shapeId="0">
      <text>
        <t>不适用：精确算法无可调低召回档位。仅Z列为100%实测参考点，不能作为等召回95%比较。
高维明文 MR-tree 改编；精确 kNN，不含隐私保护；空间批量装载并非作者 R*-tree 源码。</t>
      </text>
    </comment>
    <comment ref="M44" authorId="4" shapeId="0">
      <text>
        <t>不适用：精确算法无可调低召回档位。仅Z列为100%实测参考点，不能作为等召回95%比较。
高维明文 MR-tree 改编；精确 kNN，不含隐私保护；空间批量装载并非作者 R*-tree 源码。</t>
      </text>
    </comment>
    <comment ref="N44" authorId="4" shapeId="0">
      <text>
        <t>不适用：精确算法无可调低召回档位。仅Z列为100%实测参考点，不能作为等召回95%比较。
高维明文 MR-tree 改编；精确 kNN，不含隐私保护；空间批量装载并非作者 R*-tree 源码。</t>
      </text>
    </comment>
    <comment ref="O44" authorId="4" shapeId="0">
      <text>
        <t>不适用：精确算法无可调低召回档位。仅Z列为100%实测参考点，不能作为等召回95%比较。
高维明文 MR-tree 改编；精确 kNN，不含隐私保护；空间批量装载并非作者 R*-tree 源码。</t>
      </text>
    </comment>
    <comment ref="P44" authorId="4" shapeId="0">
      <text>
        <t>不适用：精确算法无可调低召回档位。仅Z列为100%实测参考点，不能作为等召回95%比较。
高维明文 MR-tree 改编；精确 kNN，不含隐私保护；空间批量装载并非作者 R*-tree 源码。</t>
      </text>
    </comment>
    <comment ref="Q44" authorId="4" shapeId="0">
      <text>
        <t>不适用：精确算法无可调低召回档位。仅Z列为100%实测参考点，不能作为等召回95%比较。
高维明文 MR-tree 改编；精确 kNN，不含隐私保护；空间批量装载并非作者 R*-tree 源码。</t>
      </text>
    </comment>
    <comment ref="R44" authorId="4" shapeId="0">
      <text>
        <t>不适用：精确算法无可调低召回档位。仅Z列为100%实测参考点，不能作为等召回95%比较。
高维明文 MR-tree 改编；精确 kNN，不含隐私保护；空间批量装载并非作者 R*-tree 源码。</t>
      </text>
    </comment>
    <comment ref="S44" authorId="4" shapeId="0">
      <text>
        <t>不适用：精确算法无可调低召回档位。仅Z列为100%实测参考点，不能作为等召回95%比较。
高维明文 MR-tree 改编；精确 kNN，不含隐私保护；空间批量装载并非作者 R*-tree 源码。</t>
      </text>
    </comment>
    <comment ref="T44" authorId="4" shapeId="0">
      <text>
        <t>不适用：精确算法无可调低召回档位。仅Z列为100%实测参考点，不能作为等召回95%比较。
高维明文 MR-tree 改编；精确 kNN，不含隐私保护；空间批量装载并非作者 R*-tree 源码。</t>
      </text>
    </comment>
    <comment ref="U44" authorId="4" shapeId="0">
      <text>
        <t>不适用：精确算法无可调低召回档位。仅Z列为100%实测参考点，不能作为等召回95%比较。
高维明文 MR-tree 改编；精确 kNN，不含隐私保护；空间批量装载并非作者 R*-tree 源码。</t>
      </text>
    </comment>
    <comment ref="V44" authorId="4" shapeId="0">
      <text>
        <t>不适用：精确算法无可调低召回档位。仅Z列为100%实测参考点，不能作为等召回95%比较。
高维明文 MR-tree 改编；精确 kNN，不含隐私保护；空间批量装载并非作者 R*-tree 源码。</t>
      </text>
    </comment>
    <comment ref="W44" authorId="4" shapeId="0">
      <text>
        <t>不适用：精确算法无可调低召回档位。仅Z列为100%实测参考点，不能作为等召回95%比较。
高维明文 MR-tree 改编；精确 kNN，不含隐私保护；空间批量装载并非作者 R*-tree 源码。</t>
      </text>
    </comment>
    <comment ref="X44" authorId="4" shapeId="0">
      <text>
        <t>不适用：精确算法无可调低召回档位。仅Z列为100%实测参考点，不能作为等召回95%比较。
高维明文 MR-tree 改编；精确 kNN，不含隐私保护；空间批量装载并非作者 R*-tree 源码。</t>
      </text>
    </comment>
    <comment ref="Y44" authorId="4" shapeId="0">
      <text>
        <t>不适用：精确算法无可调低召回档位。仅Z列为100%实测参考点，不能作为等召回95%比较。
高维明文 MR-tree 改编；精确 kNN，不含隐私保护；空间批量装载并非作者 R*-tree 源码。</t>
      </text>
    </comment>
    <comment ref="Z44" authorId="4" shapeId="0">
      <text>
        <t>沿用默认 k=10 的同一组60次真实测量；非重复实验。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Z45" authorId="5" shapeId="0">
      <text>
        <t>新增精确方法100%参考点；其他已有方法及原15–99%列保持原值。</t>
      </text>
    </comment>
    <comment ref="F49"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0.15, "selection": {"ef": 100, "probes": 1, "recall": 0.275, "valid": true, "pilot": "/mnt/d/paper_source/work_9/VeriANN_repro_2026-09-30/VeriANN_repro_2026-09-30/results/work9-low-baselines-20261021/search-pilots/deep1m/VLAH-pilot-1000000-resource-phase0-e0a11beec5"}}</t>
      </text>
    </comment>
    <comment ref="G49"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0.2, "selection": {"ef": 100, "probes": 1, "recall": 0.275, "valid": true, "pilot": "/mnt/d/paper_source/work_9/VeriANN_repro_2026-09-30/VeriANN_repro_2026-09-30/results/work9-low-baselines-20261021/search-pilots/deep1m/VLAH-pilot-1000000-resource-phase0-e0a11beec5"}}</t>
      </text>
    </comment>
    <comment ref="H49"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0.25, "selection": {"ef": 100, "probes": 1, "recall": 0.275, "valid": true, "pilot": "/mnt/d/paper_source/work_9/VeriANN_repro_2026-09-30/VeriANN_repro_2026-09-30/results/work9-low-baselines-20261021/search-pilots/deep1m/VLAH-pilot-1000000-resource-phase0-e0a11beec5"}}</t>
      </text>
    </comment>
    <comment ref="I49" authorId="6" shapeId="0">
      <text>
        <t>仅补充低召回率曲线；默认约95%配置及其数据保持不变。20条查询IDs100..119×3次，单线程，完整VO生成与验证。目标和实际召回不同，填实际值。
{"k": 10, "ef": 100, "probes": 2, "recall": 0.335, "query_ms": 4.1886872833333335, "verify_ms": 11.876994166666666, "vo_kb": 1615.29855, "samples": 60, "status": "passed", "output": "/mnt/d/paper_source/work_9/VeriANN_repro_2026-09-30/VeriANN_repro_2026-09-30/results/work9-low-baselines-20261021/deep1m/VLAH/deep1m-1000000-low-e100", "csv_sha256": "e67bf57b17c3784f4b56a91eadd38c79a4548f0b427411a68ec53a03648dfcbd", "target": 0.3, "selection": {"ef": 100, "probes": 2, "recall": 0.335, "valid": true, "pilot": "/mnt/d/paper_source/work_9/VeriANN_repro_2026-09-30/VeriANN_repro_2026-09-30/results/work9-low-baselines-20261021/search-pilots/deep1m/VLAH-pilot-1000000-resource-phase0-e0a11beec5"}}</t>
      </text>
    </comment>
    <comment ref="J49" authorId="6" shapeId="0">
      <text>
        <t>仅补充低召回率曲线；默认约95%配置及其数据保持不变。20条查询IDs100..119×3次，单线程，完整VO生成与验证。目标和实际召回不同，填实际值。
{"k": 10, "ef": 100, "probes": 3, "recall": 0.42, "query_ms": 6.5194995166666665, "verify_ms": 18.479655400000002, "vo_kb": 2448.14225, "samples": 60, "status": "passed", "output": "/mnt/d/paper_source/work_9/VeriANN_repro_2026-09-30/VeriANN_repro_2026-09-30/results/work9-low-baselines-20261021/deep1m/VLAH/deep1m-1000000-low-e100", "csv_sha256": "e67bf57b17c3784f4b56a91eadd38c79a4548f0b427411a68ec53a03648dfcbd", "target": 0.35, "selection": {"ef": 100, "probes": 3, "recall": 0.42000000000000004, "valid": true, "pilot": "/mnt/d/paper_source/work_9/VeriANN_repro_2026-09-30/VeriANN_repro_2026-09-30/results/work9-low-baselines-20261021/search-pilots/deep1m/VLAH-pilot-1000000-resource-phase0-e0a11beec5"}}</t>
      </text>
    </comment>
    <comment ref="K49" authorId="6" shapeId="0">
      <text>
        <t>仅补充低召回率曲线；默认约95%配置及其数据保持不变。20条查询IDs100..119×3次，单线程，完整VO生成与验证。目标和实际召回不同，填实际值。
{"k": 10, "ef": 100, "probes": 3, "recall": 0.42, "query_ms": 6.5194995166666665, "verify_ms": 18.479655400000002, "vo_kb": 2448.14225, "samples": 60, "status": "passed", "output": "/mnt/d/paper_source/work_9/VeriANN_repro_2026-09-30/VeriANN_repro_2026-09-30/results/work9-low-baselines-20261021/deep1m/VLAH/deep1m-1000000-low-e100", "csv_sha256": "e67bf57b17c3784f4b56a91eadd38c79a4548f0b427411a68ec53a03648dfcbd", "target": 0.4, "selection": {"ef": 100, "probes": 3, "recall": 0.42000000000000004, "valid": true, "pilot": "/mnt/d/paper_source/work_9/VeriANN_repro_2026-09-30/VeriANN_repro_2026-09-30/results/work9-low-baselines-20261021/search-pilots/deep1m/VLAH-pilot-1000000-resource-phase0-e0a11beec5"}}</t>
      </text>
    </comment>
    <comment ref="L49" authorId="6" shapeId="0">
      <text>
        <t>仅补充低召回率曲线；默认约95%配置及其数据保持不变。20条查询IDs100..119×3次，单线程，完整VO生成与验证。目标和实际召回不同，填实际值。
{"k": 10, "ef": 100, "probes": 4, "recall": 0.46499999999999997, "query_ms": 8.625205183333334, "verify_ms": 24.902328833333335, "vo_kb": 3303.2460499999997, "samples": 60, "status": "passed", "output": "/mnt/d/paper_source/work_9/VeriANN_repro_2026-09-30/VeriANN_repro_2026-09-30/results/work9-low-baselines-20261021/deep1m/VLAH/deep1m-1000000-low-e100", "csv_sha256": "e67bf57b17c3784f4b56a91eadd38c79a4548f0b427411a68ec53a03648dfcbd", "target": 0.45, "selection": {"ef": 100, "probes": 4, "recall": 0.465, "valid": true, "pilot": "/mnt/d/paper_source/work_9/VeriANN_repro_2026-09-30/VeriANN_repro_2026-09-30/results/work9-low-baselines-20261021/search-pilots/deep1m/VLAH-pilot-1000000-resource-phase0-e0a11beec5"}}</t>
      </text>
    </comment>
    <comment ref="M49" authorId="6" shapeId="0">
      <text>
        <t>仅补充低召回率曲线；默认约95%配置及其数据保持不变。20条查询IDs100..119×3次，单线程，完整VO生成与验证。目标和实际召回不同，填实际值。
{"k": 10, "ef": 100, "probes": 5, "recall": 0.51, "query_ms": 11.012350833333333, "verify_ms": 31.6761766, "vo_kb": 4141.71375, "samples": 60, "status": "passed", "output": "/mnt/d/paper_source/work_9/VeriANN_repro_2026-09-30/VeriANN_repro_2026-09-30/results/work9-low-baselines-20261021/deep1m/VLAH/deep1m-1000000-low-e100", "csv_sha256": "e67bf57b17c3784f4b56a91eadd38c79a4548f0b427411a68ec53a03648dfcbd", "target": 0.5, "selection": {"ef": 100, "probes": 5, "recall": 0.51, "valid": true, "pilot": "/mnt/d/paper_source/work_9/VeriANN_repro_2026-09-30/VeriANN_repro_2026-09-30/results/work9-low-baselines-20261021/search-pilots/deep1m/VLAH-pilot-1000000-resource-phase0-e0a11beec5"}}</t>
      </text>
    </comment>
    <comment ref="N49" authorId="6" shapeId="0">
      <text>
        <t>仅补充低召回率曲线；默认约95%配置及其数据保持不变。20条查询IDs100..119×3次，单线程，完整VO生成与验证。目标和实际召回不同，填实际值。
{"k": 10, "ef": 100, "probes": 7, "recall": 0.56, "query_ms": 15.354236049999999, "verify_ms": 44.18257766666667, "vo_kb": 5792.28255, "samples": 60, "status": "passed", "output": "/mnt/d/paper_source/work_9/VeriANN_repro_2026-09-30/VeriANN_repro_2026-09-30/results/work9-low-baselines-20261021/deep1m/VLAH/deep1m-1000000-low-e100", "csv_sha256": "e67bf57b17c3784f4b56a91eadd38c79a4548f0b427411a68ec53a03648dfcbd", "target": 0.55, "selection": {"ef": 100, "probes": 7, "recall": 0.5599999999999999, "valid": true, "pilot": "/mnt/d/paper_source/work_9/VeriANN_repro_2026-09-30/VeriANN_repro_2026-09-30/results/work9-low-baselines-20261021/search-pilots/deep1m/VLAH-pilot-1000000-resource-phase0-e0a11beec5"}}</t>
      </text>
    </comment>
    <comment ref="O49" authorId="0" shapeId="0">
      <text>
        <t>DEEP1M; VLAH; N=1000000; M=16; efConstruction=200; k=10; efSearch/E=100; probes=9; LSH width=0.3456967236059823
Actual recall=60.5000%;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P49" authorId="0" shapeId="0">
      <text>
        <t>DEEP1M; VLAH; N=1000000; M=16; efConstruction=200; k=10; efSearch/E=100; probes=12; LSH width=0.3456967236059823
Actual recall=65.5000%;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Q49" authorId="0" shapeId="0">
      <text>
        <t>DEEP1M; VLAH; N=1000000; M=16; efConstruction=200; k=10; efSearch/E=100; probes=18; LSH width=0.3456967236059823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R49" authorId="0" shapeId="0">
      <text>
        <t>DEEP1M; VLAH; N=1000000; M=16; efConstruction=200; k=10; efSearch/E=100; probes=20; LSH width=0.3456967236059823
Actual recall=75.5000%;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S49" authorId="0" shapeId="0">
      <text>
        <t>DEEP1M; VLAH; N=1000000; M=16; efConstruction=200; k=10; efSearch/E=100; probes=24; LSH width=0.3456967236059823
Actual recall=81.5000%;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T49" authorId="0" shapeId="0">
      <text>
        <t>DEEP1M; VLAH; N=1000000; M=16; efConstruction=200; k=10; efSearch/E=100; probes=30; LSH width=0.3456967236059823
Actual recall=86.0000%;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U49" authorId="0" shapeId="0">
      <text>
        <t>DEEP1M; VLAH; N=1000000; M=16; efConstruction=200; k=10; efSearch/E=100; probes=38; LSH width=0.3456967236059823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V49" authorId="0" shapeId="0">
      <text>
        <t>DEEP1M; VLAH; N=1000000; M=16; efConstruction=200; k=10;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W49" authorId="0" shapeId="0">
      <text>
        <t>DEEP1M; VLAH; N=1000000; M=16; efConstruction=200; k=10; efSearch/E=100; probes=46; LSH width=0.3456967236059823
Actual recall=98.0000%;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X49" authorId="0" shapeId="0">
      <text>
        <t>DEEP1M; VLAH; N=1000000; M=16; efConstruction=200; k=10; efSearch/E=100; probes=46; LSH width=0.3456967236059823
Actual recall=98.0000%;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Y49" authorId="0" shapeId="0">
      <text>
        <t>DEEP1M; VLAH; N=1000000; M=16; efConstruction=200; k=10; efSearch/E=100; probes=47; LSH width=0.3456967236059823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F50"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0.15, "selection": {"ef": 100, "probes": 1, "recall": 0.275, "valid": true, "pilot": "/mnt/d/paper_source/work_9/VeriANN_repro_2026-09-30/VeriANN_repro_2026-09-30/results/work9-low-baselines-20261021/search-pilots/deep1m/VLAH-pilot-1000000-resource-phase0-e0a11beec5"}}</t>
      </text>
    </comment>
    <comment ref="G50"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0.2, "selection": {"ef": 100, "probes": 1, "recall": 0.275, "valid": true, "pilot": "/mnt/d/paper_source/work_9/VeriANN_repro_2026-09-30/VeriANN_repro_2026-09-30/results/work9-low-baselines-20261021/search-pilots/deep1m/VLAH-pilot-1000000-resource-phase0-e0a11beec5"}}</t>
      </text>
    </comment>
    <comment ref="H50"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0.25, "selection": {"ef": 100, "probes": 1, "recall": 0.275, "valid": true, "pilot": "/mnt/d/paper_source/work_9/VeriANN_repro_2026-09-30/VeriANN_repro_2026-09-30/results/work9-low-baselines-20261021/search-pilots/deep1m/VLAH-pilot-1000000-resource-phase0-e0a11beec5"}}</t>
      </text>
    </comment>
    <comment ref="I50" authorId="6" shapeId="0">
      <text>
        <t>仅补充低召回率曲线；默认约95%配置及其数据保持不变。20条查询IDs100..119×3次，单线程，完整VO生成与验证。目标和实际召回不同，填实际值。
{"k": 10, "ef": 100, "probes": 2, "recall": 0.335, "query_ms": 4.1886872833333335, "verify_ms": 11.876994166666666, "vo_kb": 1615.29855, "samples": 60, "status": "passed", "output": "/mnt/d/paper_source/work_9/VeriANN_repro_2026-09-30/VeriANN_repro_2026-09-30/results/work9-low-baselines-20261021/deep1m/VLAH/deep1m-1000000-low-e100", "csv_sha256": "e67bf57b17c3784f4b56a91eadd38c79a4548f0b427411a68ec53a03648dfcbd", "target": 0.3, "selection": {"ef": 100, "probes": 2, "recall": 0.335, "valid": true, "pilot": "/mnt/d/paper_source/work_9/VeriANN_repro_2026-09-30/VeriANN_repro_2026-09-30/results/work9-low-baselines-20261021/search-pilots/deep1m/VLAH-pilot-1000000-resource-phase0-e0a11beec5"}}</t>
      </text>
    </comment>
    <comment ref="J50" authorId="6" shapeId="0">
      <text>
        <t>仅补充低召回率曲线；默认约95%配置及其数据保持不变。20条查询IDs100..119×3次，单线程，完整VO生成与验证。目标和实际召回不同，填实际值。
{"k": 10, "ef": 100, "probes": 3, "recall": 0.42, "query_ms": 6.5194995166666665, "verify_ms": 18.479655400000002, "vo_kb": 2448.14225, "samples": 60, "status": "passed", "output": "/mnt/d/paper_source/work_9/VeriANN_repro_2026-09-30/VeriANN_repro_2026-09-30/results/work9-low-baselines-20261021/deep1m/VLAH/deep1m-1000000-low-e100", "csv_sha256": "e67bf57b17c3784f4b56a91eadd38c79a4548f0b427411a68ec53a03648dfcbd", "target": 0.35, "selection": {"ef": 100, "probes": 3, "recall": 0.42000000000000004, "valid": true, "pilot": "/mnt/d/paper_source/work_9/VeriANN_repro_2026-09-30/VeriANN_repro_2026-09-30/results/work9-low-baselines-20261021/search-pilots/deep1m/VLAH-pilot-1000000-resource-phase0-e0a11beec5"}}</t>
      </text>
    </comment>
    <comment ref="K50" authorId="6" shapeId="0">
      <text>
        <t>仅补充低召回率曲线；默认约95%配置及其数据保持不变。20条查询IDs100..119×3次，单线程，完整VO生成与验证。目标和实际召回不同，填实际值。
{"k": 10, "ef": 100, "probes": 3, "recall": 0.42, "query_ms": 6.5194995166666665, "verify_ms": 18.479655400000002, "vo_kb": 2448.14225, "samples": 60, "status": "passed", "output": "/mnt/d/paper_source/work_9/VeriANN_repro_2026-09-30/VeriANN_repro_2026-09-30/results/work9-low-baselines-20261021/deep1m/VLAH/deep1m-1000000-low-e100", "csv_sha256": "e67bf57b17c3784f4b56a91eadd38c79a4548f0b427411a68ec53a03648dfcbd", "target": 0.4, "selection": {"ef": 100, "probes": 3, "recall": 0.42000000000000004, "valid": true, "pilot": "/mnt/d/paper_source/work_9/VeriANN_repro_2026-09-30/VeriANN_repro_2026-09-30/results/work9-low-baselines-20261021/search-pilots/deep1m/VLAH-pilot-1000000-resource-phase0-e0a11beec5"}}</t>
      </text>
    </comment>
    <comment ref="L50" authorId="6" shapeId="0">
      <text>
        <t>仅补充低召回率曲线；默认约95%配置及其数据保持不变。20条查询IDs100..119×3次，单线程，完整VO生成与验证。目标和实际召回不同，填实际值。
{"k": 10, "ef": 100, "probes": 4, "recall": 0.46499999999999997, "query_ms": 8.625205183333334, "verify_ms": 24.902328833333335, "vo_kb": 3303.2460499999997, "samples": 60, "status": "passed", "output": "/mnt/d/paper_source/work_9/VeriANN_repro_2026-09-30/VeriANN_repro_2026-09-30/results/work9-low-baselines-20261021/deep1m/VLAH/deep1m-1000000-low-e100", "csv_sha256": "e67bf57b17c3784f4b56a91eadd38c79a4548f0b427411a68ec53a03648dfcbd", "target": 0.45, "selection": {"ef": 100, "probes": 4, "recall": 0.465, "valid": true, "pilot": "/mnt/d/paper_source/work_9/VeriANN_repro_2026-09-30/VeriANN_repro_2026-09-30/results/work9-low-baselines-20261021/search-pilots/deep1m/VLAH-pilot-1000000-resource-phase0-e0a11beec5"}}</t>
      </text>
    </comment>
    <comment ref="M50" authorId="6" shapeId="0">
      <text>
        <t>仅补充低召回率曲线；默认约95%配置及其数据保持不变。20条查询IDs100..119×3次，单线程，完整VO生成与验证。目标和实际召回不同，填实际值。
{"k": 10, "ef": 100, "probes": 5, "recall": 0.51, "query_ms": 11.012350833333333, "verify_ms": 31.6761766, "vo_kb": 4141.71375, "samples": 60, "status": "passed", "output": "/mnt/d/paper_source/work_9/VeriANN_repro_2026-09-30/VeriANN_repro_2026-09-30/results/work9-low-baselines-20261021/deep1m/VLAH/deep1m-1000000-low-e100", "csv_sha256": "e67bf57b17c3784f4b56a91eadd38c79a4548f0b427411a68ec53a03648dfcbd", "target": 0.5, "selection": {"ef": 100, "probes": 5, "recall": 0.51, "valid": true, "pilot": "/mnt/d/paper_source/work_9/VeriANN_repro_2026-09-30/VeriANN_repro_2026-09-30/results/work9-low-baselines-20261021/search-pilots/deep1m/VLAH-pilot-1000000-resource-phase0-e0a11beec5"}}</t>
      </text>
    </comment>
    <comment ref="N50" authorId="6" shapeId="0">
      <text>
        <t>仅补充低召回率曲线；默认约95%配置及其数据保持不变。20条查询IDs100..119×3次，单线程，完整VO生成与验证。目标和实际召回不同，填实际值。
{"k": 10, "ef": 100, "probes": 7, "recall": 0.56, "query_ms": 15.354236049999999, "verify_ms": 44.18257766666667, "vo_kb": 5792.28255, "samples": 60, "status": "passed", "output": "/mnt/d/paper_source/work_9/VeriANN_repro_2026-09-30/VeriANN_repro_2026-09-30/results/work9-low-baselines-20261021/deep1m/VLAH/deep1m-1000000-low-e100", "csv_sha256": "e67bf57b17c3784f4b56a91eadd38c79a4548f0b427411a68ec53a03648dfcbd", "target": 0.55, "selection": {"ef": 100, "probes": 7, "recall": 0.5599999999999999, "valid": true, "pilot": "/mnt/d/paper_source/work_9/VeriANN_repro_2026-09-30/VeriANN_repro_2026-09-30/results/work9-low-baselines-20261021/search-pilots/deep1m/VLAH-pilot-1000000-resource-phase0-e0a11beec5"}}</t>
      </text>
    </comment>
    <comment ref="O50" authorId="0" shapeId="0">
      <text>
        <t>DEEP1M; VLAH; N=1000000; M=16; efConstruction=200; k=10; efSearch/E=100; probes=9; LSH width=0.3456967236059823
Actual recall=60.5000%;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P50" authorId="0" shapeId="0">
      <text>
        <t>DEEP1M; VLAH; N=1000000; M=16; efConstruction=200; k=10; efSearch/E=100; probes=12; LSH width=0.3456967236059823
Actual recall=65.5000%;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Q50" authorId="0" shapeId="0">
      <text>
        <t>DEEP1M; VLAH; N=1000000; M=16; efConstruction=200; k=10; efSearch/E=100; probes=18; LSH width=0.3456967236059823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R50" authorId="0" shapeId="0">
      <text>
        <t>DEEP1M; VLAH; N=1000000; M=16; efConstruction=200; k=10; efSearch/E=100; probes=20; LSH width=0.3456967236059823
Actual recall=75.5000%;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S50" authorId="0" shapeId="0">
      <text>
        <t>DEEP1M; VLAH; N=1000000; M=16; efConstruction=200; k=10; efSearch/E=100; probes=24; LSH width=0.3456967236059823
Actual recall=81.5000%;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T50" authorId="0" shapeId="0">
      <text>
        <t>DEEP1M; VLAH; N=1000000; M=16; efConstruction=200; k=10; efSearch/E=100; probes=30; LSH width=0.3456967236059823
Actual recall=86.0000%;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U50" authorId="0" shapeId="0">
      <text>
        <t>DEEP1M; VLAH; N=1000000; M=16; efConstruction=200; k=10; efSearch/E=100; probes=38; LSH width=0.3456967236059823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V50" authorId="0" shapeId="0">
      <text>
        <t>DEEP1M; VLAH; N=1000000; M=16; efConstruction=200; k=10;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W50" authorId="0" shapeId="0">
      <text>
        <t>DEEP1M; VLAH; N=1000000; M=16; efConstruction=200; k=10; efSearch/E=100; probes=46; LSH width=0.3456967236059823
Actual recall=98.0000%;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X50" authorId="0" shapeId="0">
      <text>
        <t>DEEP1M; VLAH; N=1000000; M=16; efConstruction=200; k=10; efSearch/E=100; probes=46; LSH width=0.3456967236059823
Actual recall=98.0000%;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Y50" authorId="0" shapeId="0">
      <text>
        <t>DEEP1M; VLAH; N=1000000; M=16; efConstruction=200; k=10; efSearch/E=100; probes=47; LSH width=0.3456967236059823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D51" authorId="2" shapeId="0">
      <text>
        <t xml:space="preserve">* 表示性能指标为用户指定系数调整值，不是原始实测值。配置及实际召回见原始补测附表。
原有批注（历史来源）：
</t>
      </text>
    </comment>
    <comment ref="F51" authorId="7" shapeId="0">
      <text>
        <t>修正旧图配置召回下限与新图低召回点混用造成的倒序。目标列15%复用已测40%目标列，实际召回40.5%；未实测达到15%，不作为该召回率的新测量。性能沿用该点已标明的ANNProof系数调整值，未重复乘系数。
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0.15, "selection": {"ef": 10, "probes": 1, "recall": 0.71, "valid": true, "pilot": "/mnt/d/paper_source/work_9/VeriANN_repro_2026-09-30/VeriANN_repro_2026-09-30/results/work9-low-baselines-20261021/search-pilots/deep1m/ANNProof-pilot-1000000-resource-phase0-a7e2488e41"}}</t>
      </text>
    </comment>
    <comment ref="G51" authorId="7" shapeId="0">
      <text>
        <t>修正旧图配置召回下限与新图低召回点混用造成的倒序。目标列20%复用已测40%目标列，实际召回40.5%；未实测达到20%，不作为该召回率的新测量。性能沿用该点已标明的ANNProof系数调整值，未重复乘系数。
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0.2, "selection": {"ef": 10, "probes": 1, "recall": 0.71, "valid": true, "pilot": "/mnt/d/paper_source/work_9/VeriANN_repro_2026-09-30/VeriANN_repro_2026-09-30/results/work9-low-baselines-20261021/search-pilots/deep1m/ANNProof-pilot-1000000-resource-phase0-a7e2488e41"}}</t>
      </text>
    </comment>
    <comment ref="H51" authorId="7" shapeId="0">
      <text>
        <t>修正旧图配置召回下限与新图低召回点混用造成的倒序。目标列25%复用已测40%目标列，实际召回40.5%；未实测达到25%，不作为该召回率的新测量。性能沿用该点已标明的ANNProof系数调整值，未重复乘系数。
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0.25, "selection": {"ef": 10, "probes": 1, "recall": 0.71, "valid": true, "pilot": "/mnt/d/paper_source/work_9/VeriANN_repro_2026-09-30/VeriANN_repro_2026-09-30/results/work9-low-baselines-20261021/search-pilots/deep1m/ANNProof-pilot-1000000-resource-phase0-a7e2488e41"}}</t>
      </text>
    </comment>
    <comment ref="I51" authorId="7" shapeId="0">
      <text>
        <t>修正旧图配置召回下限与新图低召回点混用造成的倒序。目标列30%复用已测40%目标列，实际召回40.5%；未实测达到30%，不作为该召回率的新测量。性能沿用该点已标明的ANNProof系数调整值，未重复乘系数。
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0.3, "selection": {"ef": 10, "probes": 1, "recall": 0.71, "valid": true, "pilot": "/mnt/d/paper_source/work_9/VeriANN_repro_2026-09-30/VeriANN_repro_2026-09-30/results/work9-low-baselines-20261021/search-pilots/deep1m/ANNProof-pilot-1000000-resource-phase0-a7e2488e41"}}</t>
      </text>
    </comment>
    <comment ref="J51" authorId="7" shapeId="0">
      <text>
        <t>修正旧图配置召回下限与新图低召回点混用造成的倒序。目标列35%复用已测40%目标列，实际召回40.5%；未实测达到35%，不作为该召回率的新测量。性能沿用该点已标明的ANNProof系数调整值，未重复乘系数。
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0.35, "selection": {"ef": 10, "probes": 1, "recall": 0.71, "valid": true, "pilot": "/mnt/d/paper_source/work_9/VeriANN_repro_2026-09-30/VeriANN_repro_2026-09-30/results/work9-low-baselines-20261021/search-pilots/deep1m/ANNProof-pilot-1000000-resource-phase0-a7e2488e41"}}</t>
      </text>
    </comment>
    <comment ref="K51" authorId="2" shapeId="0">
      <text>
        <t>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t>
      </text>
    </comment>
    <comment ref="L51" authorId="2" shapeId="0">
      <text>
        <t>本次真实补测：20条查询IDs100..119×3次，单线程；实际召回率不乘系数。
{"k": 10, "ef": 22, "probes": 1, "recall": 0.455, "query_ms": 0.5671214, "verify_ms": 2.941304866666667, "vo_kb": 207.914, "samples": 60, "status": "passed", "output": "/mnt/d/paper_source/work_9/VeriANN_repro_2026-09-30/VeriANN_repro_2026-09-30/results/work9-annproof-low-adjusted-20261021/measurements/deep1m-M4-efc40", "csv_sha256": "64322b64fff23e34bbf630f89e49b835a376dee2e15e854a1e793ad68eaa982e", "M": 4, "efc": 40, "target": 0.45, "pilot": {"M": 4, "efc": 40, "ef": 22, "recall": 0.45499999999999996,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0.45, "selection": {"ef": 10, "probes": 1, "recall": 0.71, "valid": true, "pilot": "/mnt/d/paper_source/work_9/VeriANN_repro_2026-09-30/VeriANN_repro_2026-09-30/results/work9-low-baselines-20261021/search-pilots/deep1m/ANNProof-pilot-1000000-resource-phase0-a7e2488e41"}}</t>
      </text>
    </comment>
    <comment ref="M51" authorId="2" shapeId="0">
      <text>
        <t>本次真实补测：20条查询IDs100..119×3次，单线程；实际召回率不乘系数。
{"k": 10, "ef": 27, "probes": 1, "recall": 0.51, "query_ms": 0.6595532666666667, "verify_ms": 3.472809433333333, "vo_kb": 234.017, "samples": 60, "status": "passed", "output": "/mnt/d/paper_source/work_9/VeriANN_repro_2026-09-30/VeriANN_repro_2026-09-30/results/work9-annproof-low-adjusted-20261021/measurements/deep1m-M4-efc40", "csv_sha256": "64322b64fff23e34bbf630f89e49b835a376dee2e15e854a1e793ad68eaa982e", "M": 4, "efc": 40, "target": 0.5, "pilot": {"M": 4, "efc": 40, "ef": 27, "recall": 0.51,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0.5, "selection": {"ef": 10, "probes": 1, "recall": 0.71, "valid": true, "pilot": "/mnt/d/paper_source/work_9/VeriANN_repro_2026-09-30/VeriANN_repro_2026-09-30/results/work9-low-baselines-20261021/search-pilots/deep1m/ANNProof-pilot-1000000-resource-phase0-a7e2488e41"}}</t>
      </text>
    </comment>
    <comment ref="N51" authorId="2" shapeId="0">
      <text>
        <t>本次真实补测：20条查询IDs100..119×3次，单线程；实际召回率不乘系数。
{"k": 10, "ef": 12, "probes": 1, "recall": 0.55, "query_ms": 0.7401176666666668, "verify_ms": 3.6383341000000002, "vo_kb": 264.5596, "samples": 60, "status": "passed", "output": "/mnt/d/paper_source/work_9/VeriANN_repro_2026-09-30/VeriANN_repro_2026-09-30/results/work9-annproof-low-adjusted-20261021/measurements/deep1m-M8-efc80", "csv_sha256": "ebcbc85e95ba8786d2d7a719691a8dec2bf1af50e4ccad3fabb11e72d216ba0f", "M": 8, "efc": 80, "target": 0.55, "pilot": {"M": 8, "efc": 80, "ef": 12, "recall": 0.55, "valid": true, "pilot": "/mnt/d/paper_source/work_9/VeriANN_repro_2026-09-30/VeriANN_repro_2026-09-30/results/work9-annproof-low-adjusted-20261021/pilots/deep1m-M8-efc80"}}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0.55, "selection": {"ef": 10, "probes": 1, "recall": 0.71, "valid": true, "pilot": "/mnt/d/paper_source/work_9/VeriANN_repro_2026-09-30/VeriANN_repro_2026-09-30/results/work9-low-baselines-20261021/search-pilots/deep1m/ANNProof-pilot-1000000-resource-phase0-a7e2488e41"}}</t>
      </text>
    </comment>
    <comment ref="O51" authorId="2" shapeId="0">
      <text>
        <t>本次真实补测：20条查询IDs100..119×3次，单线程；实际召回率不乘系数。
{"k": 10, "ef": 13, "probes": 1, "recall": 0.62, "query_ms": 0.7682084499999999, "verify_ms": 3.9775908666666666, "vo_kb": 289.138, "samples": 60, "status": "passed", "output": "/mnt/d/paper_source/work_9/VeriANN_repro_2026-09-30/VeriANN_repro_2026-09-30/results/work9-annproof-low-adjusted-20261021/measurements/deep1m-M8-efc80", "csv_sha256": "ebcbc85e95ba8786d2d7a719691a8dec2bf1af50e4ccad3fabb11e72d216ba0f", "M": 8, "efc": 80, "target": 0.6, "pilot": {"M": 8, "efc": 80, "ef": 13, "recall": 0.62, "valid": true, "pilot": "/mnt/d/paper_source/work_9/VeriANN_repro_2026-09-30/VeriANN_repro_2026-09-30/results/work9-annproof-low-adjusted-20261021/pilots/deep1m-M8-efc80"}}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P51" authorId="2" shapeId="0">
      <text>
        <t>本次真实补测：20条查询IDs100..119×3次，单线程；实际召回率不乘系数。
{"k": 10, "ef": 14, "probes": 1, "recall": 0.65, "query_ms": 0.8113282333333334, "verify_ms": 4.076508266666667, "vo_kb": 298.3958, "samples": 60, "status": "passed", "output": "/mnt/d/paper_source/work_9/VeriANN_repro_2026-09-30/VeriANN_repro_2026-09-30/results/work9-annproof-low-adjusted-20261021/measurements/deep1m-M8-efc80", "csv_sha256": "ebcbc85e95ba8786d2d7a719691a8dec2bf1af50e4ccad3fabb11e72d216ba0f", "M": 8, "efc": 80, "target": 0.65, "pilot": {"M": 8, "efc": 80, "ef": 14, "recall": 0.65, "valid": true, "pilot": "/mnt/d/paper_source/work_9/VeriANN_repro_2026-09-30/VeriANN_repro_2026-09-30/results/work9-annproof-low-adjusted-20261021/pilots/deep1m-M8-efc80"}}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Q51" authorId="2" shapeId="0">
      <text>
        <t>本次真实补测：20条查询IDs100..119×3次，单线程；实际召回率不乘系数。
{"k": 10, "ef": 10, "probes": 1, "recall": 0.7100000000000001, "query_ms": 0.9685961333333334, "verify_ms": 5.043632633333333, "vo_kb": 386.5978, "samples": 60, "status": "passed", "output": "/mnt/d/paper_source/work_9/VeriANN_repro_2026-09-30/VeriANN_repro_2026-09-30/results/work9-annproof-low-adjusted-20261021/measurements/deep1m-M16-efc200", "csv_sha256": "23213d0e3a657578422b962265bec07fa47afcc0bc83a4aae6a51ed723a34e35", "M": 16, "efc": 200, "target": 0.7, "pilot": {"M": 16, "efc": 200, "ef": 10, "recall": 0.71, "valid": true, "pilot": "/mnt/d/paper_source/work_9/VeriANN_repro_2026-09-30/VeriANN_repro_2026-09-30/results/work9-annproof-low-adjusted-20261021/pilots/deep1m-M16-efc200"}}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R51" authorId="2" shapeId="0">
      <text>
        <t>本次真实补测：20条查询IDs100..119×3次，单线程；实际召回率不乘系数。
{"k": 10, "ef": 13, "probes": 1, "recall": 0.76, "query_ms": 1.0781022833333334, "verify_ms": 5.69119435, "vo_kb": 439.3718, "samples": 60, "status": "passed", "output": "/mnt/d/paper_source/work_9/VeriANN_repro_2026-09-30/VeriANN_repro_2026-09-30/results/work9-annproof-low-adjusted-20261021/measurements/deep1m-M16-efc200", "csv_sha256": "23213d0e3a657578422b962265bec07fa47afcc0bc83a4aae6a51ed723a34e35", "M": 16, "efc": 200, "target": 0.75, "pilot": {"M": 16, "efc": 200, "ef": 13, "recall": 0.76, "valid": true, "pilot": "/mnt/d/paper_source/work_9/VeriANN_repro_2026-09-30/VeriANN_repro_2026-09-30/results/work9-annproof-low-adjusted-20261021/pilots/deep1m-M16-efc200"}}
原有批注（历史来源）：
DEEP1M; ANNProof; N=1000000; M=16; efConstruction=200; k=10; efSearch/E=16; probes=1; LSH width=not used
Actual recall=78.0000%;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S51" authorId="2" shapeId="0">
      <text>
        <t>本次真实补测：20条查询IDs100..119×3次，单线程；实际召回率不乘系数。
{"k": 10, "ef": 17, "probes": 1, "recall": 0.8, "query_ms": 1.2486418333333333, "verify_ms": 6.657108383333334, "vo_kb": 508.8854, "samples": 60, "status": "passed", "output": "/mnt/d/paper_source/work_9/VeriANN_repro_2026-09-30/VeriANN_repro_2026-09-30/results/work9-annproof-low-adjusted-20261021/measurements/deep1m-M16-efc200", "csv_sha256": "23213d0e3a657578422b962265bec07fa47afcc0bc83a4aae6a51ed723a34e35", "M": 16, "efc": 200, "target": 0.8, "pilot": {"M": 16, "efc": 200, "ef": 17, "recall": 0.8, "valid": true, "pilot": "/mnt/d/paper_source/work_9/VeriANN_repro_2026-09-30/VeriANN_repro_2026-09-30/results/work9-annproof-low-adjusted-20261021/pilots/deep1m-M16-efc200"}}
原有批注（历史来源）：
DEEP1M; ANNProof; N=1000000; M=16; efConstruction=200; k=10; efSearch/E=20; probes=1; LSH width=not used
Actual recall=82.5000%;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T51" authorId="0" shapeId="0">
      <text>
        <t>DEEP1M; ANNProof; N=1000000; M=16; efConstruction=200; k=10; efSearch/E=24;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U51" authorId="0" shapeId="0">
      <text>
        <t>DEEP1M; ANNProof; N=1000000; M=16; efConstruction=200; k=10; efSearch/E=48; probes=1; LSH width=not used
Actual recall=94.5000%;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V51" authorId="0" shapeId="0">
      <text>
        <t>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W51" authorId="0" shapeId="0">
      <text>
        <t>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X51" authorId="0" shapeId="0">
      <text>
        <t>DEEP1M; ANNProof; N=1000000; M=16; efConstruction=200; k=10; efSearch/E=96;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Y51" authorId="0" shapeId="0">
      <text>
        <t>DEEP1M; ANNProof; N=1000000; M=16; efConstruction=200; k=10; efSearch/E=96;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F52" authorId="7" shapeId="0">
      <text>
        <t>修正旧图配置召回下限与新图低召回点混用造成的倒序。目标列15%复用已测40%目标列，实际召回40.5%；未实测达到15%，不作为该召回率的新测量。性能沿用该点已标明的ANNProof系数调整值，未重复乘系数。
用户指定系数调整值；不是原始实测数值。指标=query_ms；原始值=0.49602658333333333；系数=1.2；调整值=0.59523189999999992。召回率不调整。原始CSV/附表保留。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用户指定系数调整值；不是原始实测数值。指标=query_ms；原始值=1.04057065；系数=1.2；调整值=1.24868478。召回率不调整。原始CSV/附表保留。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0.15, "selection": {"ef": 10, "probes": 1, "recall": 0.71, "valid": true, "pilot": "/mnt/d/paper_source/work_9/VeriANN_repro_2026-09-30/VeriANN_repro_2026-09-30/results/work9-low-baselines-20261021/search-pilots/deep1m/ANNProof-pilot-1000000-resource-phase0-a7e2488e41"}}</t>
      </text>
    </comment>
    <comment ref="G52" authorId="7" shapeId="0">
      <text>
        <t>修正旧图配置召回下限与新图低召回点混用造成的倒序。目标列20%复用已测40%目标列，实际召回40.5%；未实测达到20%，不作为该召回率的新测量。性能沿用该点已标明的ANNProof系数调整值，未重复乘系数。
用户指定系数调整值；不是原始实测数值。指标=query_ms；原始值=0.49602658333333333；系数=1.2；调整值=0.59523189999999992。召回率不调整。原始CSV/附表保留。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用户指定系数调整值；不是原始实测数值。指标=query_ms；原始值=1.04057065；系数=1.2；调整值=1.24868478。召回率不调整。原始CSV/附表保留。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0.2, "selection": {"ef": 10, "probes": 1, "recall": 0.71, "valid": true, "pilot": "/mnt/d/paper_source/work_9/VeriANN_repro_2026-09-30/VeriANN_repro_2026-09-30/results/work9-low-baselines-20261021/search-pilots/deep1m/ANNProof-pilot-1000000-resource-phase0-a7e2488e41"}}</t>
      </text>
    </comment>
    <comment ref="H52" authorId="7" shapeId="0">
      <text>
        <t>修正旧图配置召回下限与新图低召回点混用造成的倒序。目标列25%复用已测40%目标列，实际召回40.5%；未实测达到25%，不作为该召回率的新测量。性能沿用该点已标明的ANNProof系数调整值，未重复乘系数。
用户指定系数调整值；不是原始实测数值。指标=query_ms；原始值=0.49602658333333333；系数=1.2；调整值=0.59523189999999992。召回率不调整。原始CSV/附表保留。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用户指定系数调整值；不是原始实测数值。指标=query_ms；原始值=1.04057065；系数=1.2；调整值=1.24868478。召回率不调整。原始CSV/附表保留。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0.25, "selection": {"ef": 10, "probes": 1, "recall": 0.71, "valid": true, "pilot": "/mnt/d/paper_source/work_9/VeriANN_repro_2026-09-30/VeriANN_repro_2026-09-30/results/work9-low-baselines-20261021/search-pilots/deep1m/ANNProof-pilot-1000000-resource-phase0-a7e2488e41"}}</t>
      </text>
    </comment>
    <comment ref="I52" authorId="7" shapeId="0">
      <text>
        <t>修正旧图配置召回下限与新图低召回点混用造成的倒序。目标列30%复用已测40%目标列，实际召回40.5%；未实测达到30%，不作为该召回率的新测量。性能沿用该点已标明的ANNProof系数调整值，未重复乘系数。
用户指定系数调整值；不是原始实测数值。指标=query_ms；原始值=0.49602658333333333；系数=1.2；调整值=0.59523189999999992。召回率不调整。原始CSV/附表保留。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用户指定系数调整值；不是原始实测数值。指标=query_ms；原始值=1.04057065；系数=1.2；调整值=1.24868478。召回率不调整。原始CSV/附表保留。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0.3, "selection": {"ef": 10, "probes": 1, "recall": 0.71, "valid": true, "pilot": "/mnt/d/paper_source/work_9/VeriANN_repro_2026-09-30/VeriANN_repro_2026-09-30/results/work9-low-baselines-20261021/search-pilots/deep1m/ANNProof-pilot-1000000-resource-phase0-a7e2488e41"}}</t>
      </text>
    </comment>
    <comment ref="J52" authorId="7" shapeId="0">
      <text>
        <t>修正旧图配置召回下限与新图低召回点混用造成的倒序。目标列35%复用已测40%目标列，实际召回40.5%；未实测达到35%，不作为该召回率的新测量。性能沿用该点已标明的ANNProof系数调整值，未重复乘系数。
用户指定系数调整值；不是原始实测数值。指标=query_ms；原始值=0.49602658333333333；系数=1.2；调整值=0.59523189999999992。召回率不调整。原始CSV/附表保留。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用户指定系数调整值；不是原始实测数值。指标=query_ms；原始值=1.04057065；系数=1.2；调整值=1.24868478。召回率不调整。原始CSV/附表保留。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0.35, "selection": {"ef": 10, "probes": 1, "recall": 0.71, "valid": true, "pilot": "/mnt/d/paper_source/work_9/VeriANN_repro_2026-09-30/VeriANN_repro_2026-09-30/results/work9-low-baselines-20261021/search-pilots/deep1m/ANNProof-pilot-1000000-resource-phase0-a7e2488e41"}}</t>
      </text>
    </comment>
    <comment ref="K52" authorId="2" shapeId="0">
      <text>
        <t>用户指定系数调整值；不是原始实测数值。指标=query_ms；原始值=0.49602658333333333；系数=1.2；调整值=0.59523189999999992。召回率不调整。原始CSV/附表保留。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t>
      </text>
    </comment>
    <comment ref="L52" authorId="2" shapeId="0">
      <text>
        <t>用户指定系数调整值；不是原始实测数值。指标=query_ms；原始值=0.5671214；系数=1.2；调整值=0.68054567999999993。召回率不调整。原始CSV/附表保留。
原有批注（历史来源）：
本单元格先替换为本次原始测量，随后按统一系数调整。
{"k": 10, "ef": 22, "probes": 1, "recall": 0.455, "query_ms": 0.5671214, "verify_ms": 2.941304866666667, "vo_kb": 207.914, "samples": 60, "status": "passed", "output": "/mnt/d/paper_source/work_9/VeriANN_repro_2026-09-30/VeriANN_repro_2026-09-30/results/work9-annproof-low-adjusted-20261021/measurements/deep1m-M4-efc40", "csv_sha256": "64322b64fff23e34bbf630f89e49b835a376dee2e15e854a1e793ad68eaa982e", "M": 4, "efc": 40, "target": 0.45, "pilot": {"M": 4, "efc": 40, "ef": 22, "recall": 0.45499999999999996,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0.45, "selection": {"ef": 10, "probes": 1, "recall": 0.71, "valid": true, "pilot": "/mnt/d/paper_source/work_9/VeriANN_repro_2026-09-30/VeriANN_repro_2026-09-30/results/work9-low-baselines-20261021/search-pilots/deep1m/ANNProof-pilot-1000000-resource-phase0-a7e2488e41"}}</t>
      </text>
    </comment>
    <comment ref="M52" authorId="2" shapeId="0">
      <text>
        <t>用户指定系数调整值；不是原始实测数值。指标=query_ms；原始值=0.65955326666666669；系数=1.2；调整值=0.79146391999999999。召回率不调整。原始CSV/附表保留。
原有批注（历史来源）：
本单元格先替换为本次原始测量，随后按统一系数调整。
{"k": 10, "ef": 27, "probes": 1, "recall": 0.51, "query_ms": 0.6595532666666667, "verify_ms": 3.472809433333333, "vo_kb": 234.017, "samples": 60, "status": "passed", "output": "/mnt/d/paper_source/work_9/VeriANN_repro_2026-09-30/VeriANN_repro_2026-09-30/results/work9-annproof-low-adjusted-20261021/measurements/deep1m-M4-efc40", "csv_sha256": "64322b64fff23e34bbf630f89e49b835a376dee2e15e854a1e793ad68eaa982e", "M": 4, "efc": 40, "target": 0.5, "pilot": {"M": 4, "efc": 40, "ef": 27, "recall": 0.51,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0.5, "selection": {"ef": 10, "probes": 1, "recall": 0.71, "valid": true, "pilot": "/mnt/d/paper_source/work_9/VeriANN_repro_2026-09-30/VeriANN_repro_2026-09-30/results/work9-low-baselines-20261021/search-pilots/deep1m/ANNProof-pilot-1000000-resource-phase0-a7e2488e41"}}</t>
      </text>
    </comment>
    <comment ref="N52" authorId="2" shapeId="0">
      <text>
        <t>用户指定系数调整值；不是原始实测数值。指标=query_ms；原始值=0.74011766666666678；系数=1.2；调整值=0.88814120000000008。召回率不调整。原始CSV/附表保留。
原有批注（历史来源）：
本单元格先替换为本次原始测量，随后按统一系数调整。
{"k": 10, "ef": 12, "probes": 1, "recall": 0.55, "query_ms": 0.7401176666666668, "verify_ms": 3.6383341000000002, "vo_kb": 264.5596, "samples": 60, "status": "passed", "output": "/mnt/d/paper_source/work_9/VeriANN_repro_2026-09-30/VeriANN_repro_2026-09-30/results/work9-annproof-low-adjusted-20261021/measurements/deep1m-M8-efc80", "csv_sha256": "ebcbc85e95ba8786d2d7a719691a8dec2bf1af50e4ccad3fabb11e72d216ba0f", "M": 8, "efc": 80, "target": 0.55, "pilot": {"M": 8, "efc": 80, "ef": 12, "recall": 0.55, "valid": true, "pilot": "/mnt/d/paper_source/work_9/VeriANN_repro_2026-09-30/VeriANN_repro_2026-09-30/results/work9-annproof-low-adjusted-20261021/pilots/deep1m-M8-efc80"}}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0.55, "selection": {"ef": 10, "probes": 1, "recall": 0.71, "valid": true, "pilot": "/mnt/d/paper_source/work_9/VeriANN_repro_2026-09-30/VeriANN_repro_2026-09-30/results/work9-low-baselines-20261021/search-pilots/deep1m/ANNProof-pilot-1000000-resource-phase0-a7e2488e41"}}</t>
      </text>
    </comment>
    <comment ref="O52" authorId="2" shapeId="0">
      <text>
        <t>用户指定系数调整值；不是原始实测数值。指标=query_ms；原始值=0.76820844999999993；系数=1.2；调整值=0.92185013999999987。召回率不调整。原始CSV/附表保留。
原有批注（历史来源）：
本单元格先替换为本次原始测量，随后按统一系数调整。
{"k": 10, "ef": 13, "probes": 1, "recall": 0.62, "query_ms": 0.7682084499999999, "verify_ms": 3.9775908666666666, "vo_kb": 289.138, "samples": 60, "status": "passed", "output": "/mnt/d/paper_source/work_9/VeriANN_repro_2026-09-30/VeriANN_repro_2026-09-30/results/work9-annproof-low-adjusted-20261021/measurements/deep1m-M8-efc80", "csv_sha256": "ebcbc85e95ba8786d2d7a719691a8dec2bf1af50e4ccad3fabb11e72d216ba0f", "M": 8, "efc": 80, "target": 0.6, "pilot": {"M": 8, "efc": 80, "ef": 13, "recall": 0.62, "valid": true, "pilot": "/mnt/d/paper_source/work_9/VeriANN_repro_2026-09-30/VeriANN_repro_2026-09-30/results/work9-annproof-low-adjusted-20261021/pilots/deep1m-M8-efc80"}}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P52" authorId="2" shapeId="0">
      <text>
        <t>用户指定系数调整值；不是原始实测数值。指标=query_ms；原始值=0.81132823333333337；系数=1.2；调整值=0.97359388000000002。召回率不调整。原始CSV/附表保留。
原有批注（历史来源）：
本单元格先替换为本次原始测量，随后按统一系数调整。
{"k": 10, "ef": 14, "probes": 1, "recall": 0.65, "query_ms": 0.8113282333333334, "verify_ms": 4.076508266666667, "vo_kb": 298.3958, "samples": 60, "status": "passed", "output": "/mnt/d/paper_source/work_9/VeriANN_repro_2026-09-30/VeriANN_repro_2026-09-30/results/work9-annproof-low-adjusted-20261021/measurements/deep1m-M8-efc80", "csv_sha256": "ebcbc85e95ba8786d2d7a719691a8dec2bf1af50e4ccad3fabb11e72d216ba0f", "M": 8, "efc": 80, "target": 0.65, "pilot": {"M": 8, "efc": 80, "ef": 14, "recall": 0.65, "valid": true, "pilot": "/mnt/d/paper_source/work_9/VeriANN_repro_2026-09-30/VeriANN_repro_2026-09-30/results/work9-annproof-low-adjusted-20261021/pilots/deep1m-M8-efc80"}}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Q52" authorId="2" shapeId="0">
      <text>
        <t>用户指定系数调整值；不是原始实测数值。指标=query_ms；原始值=0.96859613333333339；系数=1.2；调整值=1.16231536。召回率不调整。原始CSV/附表保留。
原有批注（历史来源）：
本单元格先替换为本次原始测量，随后按统一系数调整。
{"k": 10, "ef": 10, "probes": 1, "recall": 0.7100000000000001, "query_ms": 0.9685961333333334, "verify_ms": 5.043632633333333, "vo_kb": 386.5978, "samples": 60, "status": "passed", "output": "/mnt/d/paper_source/work_9/VeriANN_repro_2026-09-30/VeriANN_repro_2026-09-30/results/work9-annproof-low-adjusted-20261021/measurements/deep1m-M16-efc200", "csv_sha256": "23213d0e3a657578422b962265bec07fa47afcc0bc83a4aae6a51ed723a34e35", "M": 16, "efc": 200, "target": 0.7, "pilot": {"M": 16, "efc": 200, "ef": 10, "recall": 0.71, "valid": true, "pilot": "/mnt/d/paper_source/work_9/VeriANN_repro_2026-09-30/VeriANN_repro_2026-09-30/results/work9-annproof-low-adjusted-20261021/pilots/deep1m-M16-efc200"}}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R52" authorId="2" shapeId="0">
      <text>
        <t>用户指定系数调整值；不是原始实测数值。指标=query_ms；原始值=1.0781022833333334；系数=1.2；调整值=1.29372274。召回率不调整。原始CSV/附表保留。
原有批注（历史来源）：
本单元格先替换为本次原始测量，随后按统一系数调整。
{"k": 10, "ef": 13, "probes": 1, "recall": 0.76, "query_ms": 1.0781022833333334, "verify_ms": 5.69119435, "vo_kb": 439.3718, "samples": 60, "status": "passed", "output": "/mnt/d/paper_source/work_9/VeriANN_repro_2026-09-30/VeriANN_repro_2026-09-30/results/work9-annproof-low-adjusted-20261021/measurements/deep1m-M16-efc200", "csv_sha256": "23213d0e3a657578422b962265bec07fa47afcc0bc83a4aae6a51ed723a34e35", "M": 16, "efc": 200, "target": 0.75, "pilot": {"M": 16, "efc": 200, "ef": 13, "recall": 0.76, "valid": true, "pilot": "/mnt/d/paper_source/work_9/VeriANN_repro_2026-09-30/VeriANN_repro_2026-09-30/results/work9-annproof-low-adjusted-20261021/pilots/deep1m-M16-efc200"}}
原有批注（历史来源）：
DEEP1M; ANNProof; N=1000000; M=16; efConstruction=200; k=10; efSearch/E=16; probes=1; LSH width=not used
Actual recall=78.0000%;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S52" authorId="2" shapeId="0">
      <text>
        <t>用户指定系数调整值；不是原始实测数值。指标=query_ms；原始值=1.2486418333333333；系数=1.2；调整值=1.4983701999999999。召回率不调整。原始CSV/附表保留。
原有批注（历史来源）：
本单元格先替换为本次原始测量，随后按统一系数调整。
{"k": 10, "ef": 17, "probes": 1, "recall": 0.8, "query_ms": 1.2486418333333333, "verify_ms": 6.657108383333334, "vo_kb": 508.8854, "samples": 60, "status": "passed", "output": "/mnt/d/paper_source/work_9/VeriANN_repro_2026-09-30/VeriANN_repro_2026-09-30/results/work9-annproof-low-adjusted-20261021/measurements/deep1m-M16-efc200", "csv_sha256": "23213d0e3a657578422b962265bec07fa47afcc0bc83a4aae6a51ed723a34e35", "M": 16, "efc": 200, "target": 0.8, "pilot": {"M": 16, "efc": 200, "ef": 17, "recall": 0.8, "valid": true, "pilot": "/mnt/d/paper_source/work_9/VeriANN_repro_2026-09-30/VeriANN_repro_2026-09-30/results/work9-annproof-low-adjusted-20261021/pilots/deep1m-M16-efc200"}}
原有批注（历史来源）：
DEEP1M; ANNProof; N=1000000; M=16; efConstruction=200; k=10; efSearch/E=20; probes=1; LSH width=not used
Actual recall=82.5000%;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T52" authorId="2" shapeId="0">
      <text>
        <t>用户指定系数调整值；不是原始实测数值。指标=query_ms；原始值=1.5069473；系数=1.2；调整值=1.80833676。召回率不调整。原始CSV/附表保留。
原有批注（历史来源）：
DEEP1M; ANNProof; N=1000000; M=16; efConstruction=200; k=10; efSearch/E=24;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U52" authorId="2" shapeId="0">
      <text>
        <t>用户指定系数调整值；不是原始实测数值。指标=query_ms；原始值=2.6137277000000001；系数=1.2；调整值=3.1364732399999999。召回率不调整。原始CSV/附表保留。
原有批注（历史来源）：
DEEP1M; ANNProof; N=1000000; M=16; efConstruction=200; k=10; efSearch/E=48; probes=1; LSH width=not used
Actual recall=94.5000%;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V52" authorId="2" shapeId="0">
      <text>
        <t>用户指定系数调整值；不是原始实测数值。指标=query_ms；原始值=3.1586569333333299；系数=1.2；调整值=3.7903883199999955。召回率不调整。原始CSV/附表保留。
原有批注（历史来源）：
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W52" authorId="2" shapeId="0">
      <text>
        <t>用户指定系数调整值；不是原始实测数值。指标=query_ms；原始值=3.1586569333333299；系数=1.2；调整值=3.7903883199999955。召回率不调整。原始CSV/附表保留。
原有批注（历史来源）：
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X52" authorId="2" shapeId="0">
      <text>
        <t>用户指定系数调整值；不是原始实测数值。指标=query_ms；原始值=4.2914665000000003；系数=1.2；调整值=5.1497598。召回率不调整。原始CSV/附表保留。
原有批注（历史来源）：
DEEP1M; ANNProof; N=1000000; M=16; efConstruction=200; k=10; efSearch/E=96;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Y52" authorId="2" shapeId="0">
      <text>
        <t>用户指定系数调整值；不是原始实测数值。指标=query_ms；原始值=4.2914665000000003；系数=1.2；调整值=5.1497598。召回率不调整。原始CSV/附表保留。
原有批注（历史来源）：
DEEP1M; ANNProof; N=1000000; M=16; efConstruction=200; k=10; efSearch/E=96;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F53" authorId="6" shapeId="0">
      <text>
        <t>仅补充低召回率曲线；默认约95%配置及其数据保持不变。20条查询IDs100..119×3次，单线程，完整VO生成与验证。目标和实际召回不同，填实际值。
{"k": 10, "ef": 7, "probes": 1, "recall": 0.18000000000000002, "query_ms": 0.4866271666666666, "verify_ms": 1.2770931333333333, "vo_kb": 56.6806, "samples": 60, "status": "passed", "output": "/mnt/d/paper_source/work_9/VeriANN_repro_2026-09-30/VeriANN_repro_2026-09-30/results/work9-low-baselines-20261021/deep1m/Ours/deep1m-1000000-low-all", "csv_sha256": "41a08649e2dcdb6a0a77d5e16163dd19521eed887a1abb8b39e288563e5da8a6", "target": 0.15, "selection": {"ef": 7, "probes": 1, "recall": 0.18, "valid": true, "pilot": "/mnt/d/paper_source/work_9/VeriANN_repro_2026-09-30/VeriANN_repro_2026-09-30/results/work9-low-baselines-20261021/search-pilots/deep1m/Ours-pilot-1000000-resource-phase0-15bab5a6d9"}}</t>
      </text>
    </comment>
    <comment ref="G53" authorId="6" shapeId="0">
      <text>
        <t>仅补充低召回率曲线；默认约95%配置及其数据保持不变。20条查询IDs100..119×3次，单线程，完整VO生成与验证。目标和实际召回不同，填实际值。
{"k": 10, "ef": 8, "probes": 1, "recall": 0.265, "query_ms": 0.5564339666666667, "verify_ms": 1.3751060666666668, "vo_kb": 62.465199999999996, "samples": 60, "status": "passed", "output": "/mnt/d/paper_source/work_9/VeriANN_repro_2026-09-30/VeriANN_repro_2026-09-30/results/work9-low-baselines-20261021/deep1m/Ours/deep1m-1000000-low-all", "csv_sha256": "41a08649e2dcdb6a0a77d5e16163dd19521eed887a1abb8b39e288563e5da8a6", "target": 0.2, "selection": {"ef": 8, "probes": 1, "recall": 0.265, "valid": true, "pilot": "/mnt/d/paper_source/work_9/VeriANN_repro_2026-09-30/VeriANN_repro_2026-09-30/results/work9-low-baselines-20261021/search-pilots/deep1m/Ours-pilot-1000000-resource-phase0-15bab5a6d9"}}</t>
      </text>
    </comment>
    <comment ref="H53" authorId="6" shapeId="0">
      <text>
        <t>仅补充低召回率曲线；默认约95%配置及其数据保持不变。20条查询IDs100..119×3次，单线程，完整VO生成与验证。目标和实际召回不同，填实际值。
{"k": 10, "ef": 8, "probes": 1, "recall": 0.265, "query_ms": 0.5564339666666667, "verify_ms": 1.3751060666666668, "vo_kb": 62.465199999999996, "samples": 60, "status": "passed", "output": "/mnt/d/paper_source/work_9/VeriANN_repro_2026-09-30/VeriANN_repro_2026-09-30/results/work9-low-baselines-20261021/deep1m/Ours/deep1m-1000000-low-all", "csv_sha256": "41a08649e2dcdb6a0a77d5e16163dd19521eed887a1abb8b39e288563e5da8a6", "target": 0.25, "selection": {"ef": 8, "probes": 1, "recall": 0.265, "valid": true, "pilot": "/mnt/d/paper_source/work_9/VeriANN_repro_2026-09-30/VeriANN_repro_2026-09-30/results/work9-low-baselines-20261021/search-pilots/deep1m/Ours-pilot-1000000-resource-phase0-15bab5a6d9"}}</t>
      </text>
    </comment>
    <comment ref="I53" authorId="6" shapeId="0">
      <text>
        <t>仅补充低召回率曲线；默认约95%配置及其数据保持不变。20条查询IDs100..119×3次，单线程，完整VO生成与验证。目标和实际召回不同，填实际值。
{"k": 10, "ef": 10, "probes": 1, "recall": 0.33999999999999997, "query_ms": 0.68775265, "verify_ms": 1.6943401833333334, "vo_kb": 75.90339999999999, "samples": 60, "status": "passed", "output": "/mnt/d/paper_source/work_9/VeriANN_repro_2026-09-30/VeriANN_repro_2026-09-30/results/work9-low-baselines-20261021/deep1m/Ours/deep1m-1000000-low-all", "csv_sha256": "41a08649e2dcdb6a0a77d5e16163dd19521eed887a1abb8b39e288563e5da8a6", "target": 0.3, "selection": {"ef": 10, "probes": 1, "recall": 0.33999999999999997, "valid": true, "pilot": "/mnt/d/paper_source/work_9/VeriANN_repro_2026-09-30/VeriANN_repro_2026-09-30/results/work9-low-baselines-20261021/search-pilots/deep1m/Ours-pilot-1000000-resource-phase0-15bab5a6d9"}}</t>
      </text>
    </comment>
    <comment ref="J53" authorId="6" shapeId="0">
      <text>
        <t>仅补充低召回率曲线；默认约95%配置及其数据保持不变。20条查询IDs100..119×3次，单线程，完整VO生成与验证。目标和实际召回不同，填实际值。
{"k": 10, "ef": 11, "probes": 1, "recall": 0.38999999999999996, "query_ms": 0.7144710999999999, "verify_ms": 1.7974340833333333, "vo_kb": 81.7736, "samples": 60, "status": "passed", "output": "/mnt/d/paper_source/work_9/VeriANN_repro_2026-09-30/VeriANN_repro_2026-09-30/results/work9-low-baselines-20261021/deep1m/Ours/deep1m-1000000-low-all", "csv_sha256": "41a08649e2dcdb6a0a77d5e16163dd19521eed887a1abb8b39e288563e5da8a6", "target": 0.35, "selection": {"ef": 11, "probes": 1, "recall": 0.39, "valid": true, "pilot": "/mnt/d/paper_source/work_9/VeriANN_repro_2026-09-30/VeriANN_repro_2026-09-30/results/work9-low-baselines-20261021/search-pilots/deep1m/Ours-pilot-1000000-resource-phase0-15bab5a6d9"}}</t>
      </text>
    </comment>
    <comment ref="K53" authorId="6" shapeId="0">
      <text>
        <t>仅补充低召回率曲线；默认约95%配置及其数据保持不变。20条查询IDs100..119×3次，单线程，完整VO生成与验证。目标和实际召回不同，填实际值。
{"k": 10, "ef": 12, "probes": 1, "recall": 0.44, "query_ms": 0.7476299666666666, "verify_ms": 1.9750906666666668, "vo_kb": 88.0352, "samples": 60, "status": "passed", "output": "/mnt/d/paper_source/work_9/VeriANN_repro_2026-09-30/VeriANN_repro_2026-09-30/results/work9-low-baselines-20261021/deep1m/Ours/deep1m-1000000-low-all", "csv_sha256": "41a08649e2dcdb6a0a77d5e16163dd19521eed887a1abb8b39e288563e5da8a6", "target": 0.4, "selection": {"ef": 12, "probes": 1, "recall": 0.44000000000000006, "valid": true, "pilot": "/mnt/d/paper_source/work_9/VeriANN_repro_2026-09-30/VeriANN_repro_2026-09-30/results/work9-low-baselines-20261021/search-pilots/deep1m/Ours-pilot-1000000-resource-phase0-15bab5a6d9"}}</t>
      </text>
    </comment>
    <comment ref="L53" authorId="6" shapeId="0">
      <text>
        <t>仅补充低召回率曲线；默认约95%配置及其数据保持不变。20条查询IDs100..119×3次，单线程，完整VO生成与验证。目标和实际召回不同，填实际值。
{"k": 10, "ef": 13, "probes": 1, "recall": 0.5, "query_ms": 0.7785710333333333, "verify_ms": 2.0424796833333336, "vo_kb": 93.8396, "samples": 60, "status": "passed", "output": "/mnt/d/paper_source/work_9/VeriANN_repro_2026-09-30/VeriANN_repro_2026-09-30/results/work9-low-baselines-20261021/deep1m/Ours/deep1m-1000000-low-all", "csv_sha256": "41a08649e2dcdb6a0a77d5e16163dd19521eed887a1abb8b39e288563e5da8a6", "target": 0.45, "selection": {"ef": 13, "probes": 1, "recall": 0.5, "valid": true, "pilot": "/mnt/d/paper_source/work_9/VeriANN_repro_2026-09-30/VeriANN_repro_2026-09-30/results/work9-low-baselines-20261021/search-pilots/deep1m/Ours-pilot-1000000-resource-phase0-15bab5a6d9"}}</t>
      </text>
    </comment>
    <comment ref="M53" authorId="6" shapeId="0">
      <text>
        <t>仅补充低召回率曲线；默认约95%配置及其数据保持不变。20条查询IDs100..119×3次，单线程，完整VO生成与验证。目标和实际召回不同，填实际值。
{"k": 10, "ef": 13, "probes": 1, "recall": 0.5, "query_ms": 0.7785710333333333, "verify_ms": 2.0424796833333336, "vo_kb": 93.8396, "samples": 60, "status": "passed", "output": "/mnt/d/paper_source/work_9/VeriANN_repro_2026-09-30/VeriANN_repro_2026-09-30/results/work9-low-baselines-20261021/deep1m/Ours/deep1m-1000000-low-all", "csv_sha256": "41a08649e2dcdb6a0a77d5e16163dd19521eed887a1abb8b39e288563e5da8a6", "target": 0.5, "selection": {"ef": 13, "probes": 1, "recall": 0.5, "valid": true, "pilot": "/mnt/d/paper_source/work_9/VeriANN_repro_2026-09-30/VeriANN_repro_2026-09-30/results/work9-low-baselines-20261021/search-pilots/deep1m/Ours-pilot-1000000-resource-phase0-15bab5a6d9"}}</t>
      </text>
    </comment>
    <comment ref="N53" authorId="6" shapeId="0">
      <text>
        <t>仅补充低召回率曲线；默认约95%配置及其数据保持不变。20条查询IDs100..119×3次，单线程，完整VO生成与验证。目标和实际召回不同，填实际值。
{"k": 10, "ef": 15, "probes": 1, "recall": 0.58, "query_ms": 0.8898751666666667, "verify_ms": 2.2997316333333333, "vo_kb": 103.7146, "samples": 60, "status": "passed", "output": "/mnt/d/paper_source/work_9/VeriANN_repro_2026-09-30/VeriANN_repro_2026-09-30/results/work9-low-baselines-20261021/deep1m/Ours/deep1m-1000000-low-all", "csv_sha256": "41a08649e2dcdb6a0a77d5e16163dd19521eed887a1abb8b39e288563e5da8a6", "target": 0.55, "selection": {"ef": 15, "probes": 1, "recall": 0.58, "valid": true, "pilot": "/mnt/d/paper_source/work_9/VeriANN_repro_2026-09-30/VeriANN_repro_2026-09-30/results/work9-low-baselines-20261021/search-pilots/deep1m/Ours-pilot-1000000-resource-phase0-15bab5a6d9"}}</t>
      </text>
    </comment>
    <comment ref="O53" authorId="0" shapeId="0">
      <text>
        <t>DEEP1M; Ours; N=1000000; M=16; efConstruction=200; k=10; efSearch/E=16; probes=1; LSH width=not used
Actual recall=61.5000%;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P53" authorId="0" shapeId="0">
      <text>
        <t>DEEP1M; Ours; N=1000000; M=16; efConstruction=200; k=10; efSearch/E=20; probes=1; LSH width=not used
Actual recall=73.5000%;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Q53" authorId="0" shapeId="0">
      <text>
        <t>DEEP1M; Ours; N=1000000; M=16; efConstruction=200; k=10; efSearch/E=20; probes=1; LSH width=not used
Actual recall=73.5000%;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R53" authorId="0" shapeId="0">
      <text>
        <t>DEEP1M; Ours; N=1000000; M=16; efConstruction=200; k=10; efSearch/E=24; probes=1; LSH width=not used
Actual recall=79.0000%;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S53" authorId="0" shapeId="0">
      <text>
        <t>DEEP1M; Ours; N=1000000; M=16; efConstruction=200; k=10; efSearch/E=32;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T53" authorId="0" shapeId="0">
      <text>
        <t>DEEP1M; Ours; N=1000000; M=16; efConstruction=200; k=10; efSearch/E=32;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U53" authorId="0" shapeId="0">
      <text>
        <t>DEEP1M; Ours; N=1000000; M=16; efConstruction=200; k=10; efSearch/E=48; probes=1; LSH width=not used
Actual recall=94.5000%;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V53"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W53"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X53" authorId="0" shapeId="0">
      <text>
        <t>DEEP1M; Ours; N=1000000; M=16; efConstruction=200; k=10; efSearch/E=96;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Y53" authorId="0" shapeId="0">
      <text>
        <t>DEEP1M; Ours; N=1000000; M=16; efConstruction=200; k=10; efSearch/E=128; probes=1; LSH width=not used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F54" authorId="6" shapeId="0">
      <text>
        <t>仅补充低召回率曲线；默认约95%配置及其数据保持不变。20条查询IDs100..119×3次，单线程，完整VO生成与验证。目标和实际召回不同，填实际值。
{"k": 10, "ef": 7, "probes": 1, "recall": 0.18000000000000002, "query_ms": 0.4866271666666666, "verify_ms": 1.2770931333333333, "vo_kb": 56.6806, "samples": 60, "status": "passed", "output": "/mnt/d/paper_source/work_9/VeriANN_repro_2026-09-30/VeriANN_repro_2026-09-30/results/work9-low-baselines-20261021/deep1m/Ours/deep1m-1000000-low-all", "csv_sha256": "41a08649e2dcdb6a0a77d5e16163dd19521eed887a1abb8b39e288563e5da8a6", "target": 0.15, "selection": {"ef": 7, "probes": 1, "recall": 0.18, "valid": true, "pilot": "/mnt/d/paper_source/work_9/VeriANN_repro_2026-09-30/VeriANN_repro_2026-09-30/results/work9-low-baselines-20261021/search-pilots/deep1m/Ours-pilot-1000000-resource-phase0-15bab5a6d9"}}</t>
      </text>
    </comment>
    <comment ref="G54" authorId="6" shapeId="0">
      <text>
        <t>仅补充低召回率曲线；默认约95%配置及其数据保持不变。20条查询IDs100..119×3次，单线程，完整VO生成与验证。目标和实际召回不同，填实际值。
{"k": 10, "ef": 8, "probes": 1, "recall": 0.265, "query_ms": 0.5564339666666667, "verify_ms": 1.3751060666666668, "vo_kb": 62.465199999999996, "samples": 60, "status": "passed", "output": "/mnt/d/paper_source/work_9/VeriANN_repro_2026-09-30/VeriANN_repro_2026-09-30/results/work9-low-baselines-20261021/deep1m/Ours/deep1m-1000000-low-all", "csv_sha256": "41a08649e2dcdb6a0a77d5e16163dd19521eed887a1abb8b39e288563e5da8a6", "target": 0.2, "selection": {"ef": 8, "probes": 1, "recall": 0.265, "valid": true, "pilot": "/mnt/d/paper_source/work_9/VeriANN_repro_2026-09-30/VeriANN_repro_2026-09-30/results/work9-low-baselines-20261021/search-pilots/deep1m/Ours-pilot-1000000-resource-phase0-15bab5a6d9"}}</t>
      </text>
    </comment>
    <comment ref="H54" authorId="6" shapeId="0">
      <text>
        <t>仅补充低召回率曲线；默认约95%配置及其数据保持不变。20条查询IDs100..119×3次，单线程，完整VO生成与验证。目标和实际召回不同，填实际值。
{"k": 10, "ef": 8, "probes": 1, "recall": 0.265, "query_ms": 0.5564339666666667, "verify_ms": 1.3751060666666668, "vo_kb": 62.465199999999996, "samples": 60, "status": "passed", "output": "/mnt/d/paper_source/work_9/VeriANN_repro_2026-09-30/VeriANN_repro_2026-09-30/results/work9-low-baselines-20261021/deep1m/Ours/deep1m-1000000-low-all", "csv_sha256": "41a08649e2dcdb6a0a77d5e16163dd19521eed887a1abb8b39e288563e5da8a6", "target": 0.25, "selection": {"ef": 8, "probes": 1, "recall": 0.265, "valid": true, "pilot": "/mnt/d/paper_source/work_9/VeriANN_repro_2026-09-30/VeriANN_repro_2026-09-30/results/work9-low-baselines-20261021/search-pilots/deep1m/Ours-pilot-1000000-resource-phase0-15bab5a6d9"}}</t>
      </text>
    </comment>
    <comment ref="I54" authorId="6" shapeId="0">
      <text>
        <t>仅补充低召回率曲线；默认约95%配置及其数据保持不变。20条查询IDs100..119×3次，单线程，完整VO生成与验证。目标和实际召回不同，填实际值。
{"k": 10, "ef": 10, "probes": 1, "recall": 0.33999999999999997, "query_ms": 0.68775265, "verify_ms": 1.6943401833333334, "vo_kb": 75.90339999999999, "samples": 60, "status": "passed", "output": "/mnt/d/paper_source/work_9/VeriANN_repro_2026-09-30/VeriANN_repro_2026-09-30/results/work9-low-baselines-20261021/deep1m/Ours/deep1m-1000000-low-all", "csv_sha256": "41a08649e2dcdb6a0a77d5e16163dd19521eed887a1abb8b39e288563e5da8a6", "target": 0.3, "selection": {"ef": 10, "probes": 1, "recall": 0.33999999999999997, "valid": true, "pilot": "/mnt/d/paper_source/work_9/VeriANN_repro_2026-09-30/VeriANN_repro_2026-09-30/results/work9-low-baselines-20261021/search-pilots/deep1m/Ours-pilot-1000000-resource-phase0-15bab5a6d9"}}</t>
      </text>
    </comment>
    <comment ref="J54" authorId="6" shapeId="0">
      <text>
        <t>仅补充低召回率曲线；默认约95%配置及其数据保持不变。20条查询IDs100..119×3次，单线程，完整VO生成与验证。目标和实际召回不同，填实际值。
{"k": 10, "ef": 11, "probes": 1, "recall": 0.38999999999999996, "query_ms": 0.7144710999999999, "verify_ms": 1.7974340833333333, "vo_kb": 81.7736, "samples": 60, "status": "passed", "output": "/mnt/d/paper_source/work_9/VeriANN_repro_2026-09-30/VeriANN_repro_2026-09-30/results/work9-low-baselines-20261021/deep1m/Ours/deep1m-1000000-low-all", "csv_sha256": "41a08649e2dcdb6a0a77d5e16163dd19521eed887a1abb8b39e288563e5da8a6", "target": 0.35, "selection": {"ef": 11, "probes": 1, "recall": 0.39, "valid": true, "pilot": "/mnt/d/paper_source/work_9/VeriANN_repro_2026-09-30/VeriANN_repro_2026-09-30/results/work9-low-baselines-20261021/search-pilots/deep1m/Ours-pilot-1000000-resource-phase0-15bab5a6d9"}}</t>
      </text>
    </comment>
    <comment ref="K54" authorId="6" shapeId="0">
      <text>
        <t>仅补充低召回率曲线；默认约95%配置及其数据保持不变。20条查询IDs100..119×3次，单线程，完整VO生成与验证。目标和实际召回不同，填实际值。
{"k": 10, "ef": 12, "probes": 1, "recall": 0.44, "query_ms": 0.7476299666666666, "verify_ms": 1.9750906666666668, "vo_kb": 88.0352, "samples": 60, "status": "passed", "output": "/mnt/d/paper_source/work_9/VeriANN_repro_2026-09-30/VeriANN_repro_2026-09-30/results/work9-low-baselines-20261021/deep1m/Ours/deep1m-1000000-low-all", "csv_sha256": "41a08649e2dcdb6a0a77d5e16163dd19521eed887a1abb8b39e288563e5da8a6", "target": 0.4, "selection": {"ef": 12, "probes": 1, "recall": 0.44000000000000006, "valid": true, "pilot": "/mnt/d/paper_source/work_9/VeriANN_repro_2026-09-30/VeriANN_repro_2026-09-30/results/work9-low-baselines-20261021/search-pilots/deep1m/Ours-pilot-1000000-resource-phase0-15bab5a6d9"}}</t>
      </text>
    </comment>
    <comment ref="L54" authorId="6" shapeId="0">
      <text>
        <t>仅补充低召回率曲线；默认约95%配置及其数据保持不变。20条查询IDs100..119×3次，单线程，完整VO生成与验证。目标和实际召回不同，填实际值。
{"k": 10, "ef": 13, "probes": 1, "recall": 0.5, "query_ms": 0.7785710333333333, "verify_ms": 2.0424796833333336, "vo_kb": 93.8396, "samples": 60, "status": "passed", "output": "/mnt/d/paper_source/work_9/VeriANN_repro_2026-09-30/VeriANN_repro_2026-09-30/results/work9-low-baselines-20261021/deep1m/Ours/deep1m-1000000-low-all", "csv_sha256": "41a08649e2dcdb6a0a77d5e16163dd19521eed887a1abb8b39e288563e5da8a6", "target": 0.45, "selection": {"ef": 13, "probes": 1, "recall": 0.5, "valid": true, "pilot": "/mnt/d/paper_source/work_9/VeriANN_repro_2026-09-30/VeriANN_repro_2026-09-30/results/work9-low-baselines-20261021/search-pilots/deep1m/Ours-pilot-1000000-resource-phase0-15bab5a6d9"}}</t>
      </text>
    </comment>
    <comment ref="M54" authorId="6" shapeId="0">
      <text>
        <t>仅补充低召回率曲线；默认约95%配置及其数据保持不变。20条查询IDs100..119×3次，单线程，完整VO生成与验证。目标和实际召回不同，填实际值。
{"k": 10, "ef": 13, "probes": 1, "recall": 0.5, "query_ms": 0.7785710333333333, "verify_ms": 2.0424796833333336, "vo_kb": 93.8396, "samples": 60, "status": "passed", "output": "/mnt/d/paper_source/work_9/VeriANN_repro_2026-09-30/VeriANN_repro_2026-09-30/results/work9-low-baselines-20261021/deep1m/Ours/deep1m-1000000-low-all", "csv_sha256": "41a08649e2dcdb6a0a77d5e16163dd19521eed887a1abb8b39e288563e5da8a6", "target": 0.5, "selection": {"ef": 13, "probes": 1, "recall": 0.5, "valid": true, "pilot": "/mnt/d/paper_source/work_9/VeriANN_repro_2026-09-30/VeriANN_repro_2026-09-30/results/work9-low-baselines-20261021/search-pilots/deep1m/Ours-pilot-1000000-resource-phase0-15bab5a6d9"}}</t>
      </text>
    </comment>
    <comment ref="N54" authorId="6" shapeId="0">
      <text>
        <t>仅补充低召回率曲线；默认约95%配置及其数据保持不变。20条查询IDs100..119×3次，单线程，完整VO生成与验证。目标和实际召回不同，填实际值。
{"k": 10, "ef": 15, "probes": 1, "recall": 0.58, "query_ms": 0.8898751666666667, "verify_ms": 2.2997316333333333, "vo_kb": 103.7146, "samples": 60, "status": "passed", "output": "/mnt/d/paper_source/work_9/VeriANN_repro_2026-09-30/VeriANN_repro_2026-09-30/results/work9-low-baselines-20261021/deep1m/Ours/deep1m-1000000-low-all", "csv_sha256": "41a08649e2dcdb6a0a77d5e16163dd19521eed887a1abb8b39e288563e5da8a6", "target": 0.55, "selection": {"ef": 15, "probes": 1, "recall": 0.58, "valid": true, "pilot": "/mnt/d/paper_source/work_9/VeriANN_repro_2026-09-30/VeriANN_repro_2026-09-30/results/work9-low-baselines-20261021/search-pilots/deep1m/Ours-pilot-1000000-resource-phase0-15bab5a6d9"}}</t>
      </text>
    </comment>
    <comment ref="O54" authorId="0" shapeId="0">
      <text>
        <t>DEEP1M; Ours; N=1000000; M=16; efConstruction=200; k=10; efSearch/E=16; probes=1; LSH width=not used
Actual recall=61.5000%;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P54" authorId="0" shapeId="0">
      <text>
        <t>DEEP1M; Ours; N=1000000; M=16; efConstruction=200; k=10; efSearch/E=20; probes=1; LSH width=not used
Actual recall=73.5000%;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Q54" authorId="0" shapeId="0">
      <text>
        <t>DEEP1M; Ours; N=1000000; M=16; efConstruction=200; k=10; efSearch/E=20; probes=1; LSH width=not used
Actual recall=73.5000%;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R54" authorId="0" shapeId="0">
      <text>
        <t>DEEP1M; Ours; N=1000000; M=16; efConstruction=200; k=10; efSearch/E=24; probes=1; LSH width=not used
Actual recall=79.0000%;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S54" authorId="0" shapeId="0">
      <text>
        <t>DEEP1M; Ours; N=1000000; M=16; efConstruction=200; k=10; efSearch/E=32;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T54" authorId="0" shapeId="0">
      <text>
        <t>DEEP1M; Ours; N=1000000; M=16; efConstruction=200; k=10; efSearch/E=32;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U54" authorId="0" shapeId="0">
      <text>
        <t>DEEP1M; Ours; N=1000000; M=16; efConstruction=200; k=10; efSearch/E=48; probes=1; LSH width=not used
Actual recall=94.5000%;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V54"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W54"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X54" authorId="0" shapeId="0">
      <text>
        <t>DEEP1M; Ours; N=1000000; M=16; efConstruction=200; k=10; efSearch/E=96;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Y54" authorId="0" shapeId="0">
      <text>
        <t>DEEP1M; Ours; N=1000000; M=16; efConstruction=200; k=10; efSearch/E=128; probes=1; LSH width=not used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F55" authorId="8" shapeId="0">
      <text>
        <t>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text>
    </comment>
    <comment ref="G55" authorId="8" shapeId="0">
      <text>
        <t>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text>
    </comment>
    <comment ref="H55" authorId="8" shapeId="0">
      <text>
        <t>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2, "k": 10, "samples": 1, "query": 100, "repeat": 0, "query_ms": 57962.63150300003, "verify_ms": 11.352967999982866, "vo_kb": 208.737, "single_query_recall": 0.3, "build_seconds": 19.138095727, "prove_seconds": 37.122223775, "output": "/mnt/d/paper_source/work_9/VeriANN_repro_2026-09-30/VeriANN_repro_2026-09-30/results/work9-v3db-lowrecall-20261020/deep1m-1000000-p2-k10-q1-r1-t1", "csv_sha256": "b6e479f8eb135209cb3ae433c34ff2c692f55bf54f99be7348a214a56d9b247e", "selection": "fixed query100 repeat0; not selected by runtime", "reused_existing_sample": false, "recall20": 0.285, "recall_source": "/mnt/d/paper_source/work_9/VeriANN_repro_2026-09-30/VeriANN_repro_2026-09-30/V3DB-26VLDB/work9-cache/deep1m-1000000/calibration.json", "recall_query_count": 20, "recall_scope": "search calibration only; timing/VO use one fixed query, not 20 proofs", "kind": "curve"}</t>
      </text>
    </comment>
    <comment ref="I55" authorId="8" shapeId="0">
      <text>
        <t>固定query100单次真实出证；Recall为同配置20条搜索校准。可调整PQ M/K与probe；不代表主表默认索引配置。
{"status":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text>
    </comment>
    <comment ref="J55" authorId="8" shapeId="0">
      <text>
        <t>固定query100单次真实出证；Recall为同配置20条搜索校准。可调整PQ M/K与probe；不代表主表默认索引配置。
{"status":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text>
    </comment>
    <comment ref="K55"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L55"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M55"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N55"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O55"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P55"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Q55"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R55"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S55" authorId="9" shapeId="0">
      <text>
        <t>†为同配置20条搜索校准召回，不是预测召回。
{
  "kind": "curve",
  "dataset": "deep1m",
  "sheet": "DEEP1M",
  "column": 19,
  "target": 0.8,
  "choice": {
    "status": "conditional_forecast",
    "config": {
      "dataset": "deep1m",
      "source": "deep1m",
      "N": 1000000,
      "D": 96,
      "n_list": 1024,
      "M": 48,
      "K": 256,
      "n_iter": 25,
      "seed": 0,
      "capacity": 2048,
      "query_offset": 100,
      "query_count": 20,
      "scale": 65536,
      "rebalance": "author algorithm with identical row-chunk distances"
    },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
      "query_ms": [
        268339.76740579406,
        1073359.0696231762
      ],
      "verify_ms": [
        13.27671490759938,
        53.10685963039752
      ],
      "vo_kb": [
        285.31185,
        386.01014999999995
      ]
    },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
  "reason": "existing calibrated configuration fits declared 512GiB planning envelope",
  "smallest_memory_reaching_target": {
    "status": "conditional_forecast",
    "config": {
      "dataset": "deep1m",
      "source": "deep1m",
      "N": 1000000,
      "D": 96,
      "n_list": 1024,
      "M": 48,
      "K": 256,
      "n_iter": 25,
      "seed": 0,
      "capacity": 2048,
      "query_offset": 100,
      "query_count": 20,
      "scale": 65536,
      "rebalance": "author algorithm with identical row-chunk distances"
    },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
      "query_ms": [
        268339.76740579406,
        1073359.0696231762
      ],
      "verify_ms": [
        13.27671490759938,
        53.10685963039752
      ],
      "vo_kb": [
        285.31185,
        386.01014999999995
      ]
    },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
}</t>
      </text>
    </comment>
    <comment ref="T55" authorId="9" shapeId="0">
      <text>
        <t>†为同配置20条搜索校准召回，不是预测召回。
{
  "kind": "curve",
  "dataset": "deep1m",
  "sheet": "DEEP1M",
  "column": 20,
  "target": 0.85,
  "choice": {
    "status": "conditional_forecast",
    "config": {
      "dataset": "deep1m",
      "source": "deep1m",
      "N": 1000000,
      "D": 96,
      "n_list": 1024,
      "M": 96,
      "K": 512,
      "n_iter": 25,
      "seed": 0,
      "capacity": 2048,
      "query_offset": 100,
      "query_count": 20,
      "scale": 65536,
      "rebalance": "author algorithm with identical row-chunk distances"
    },
    "n_probe": 8,
    "k": 10,
    "gates": 1511042,
    "gate_source": "structural estimate",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"deep1m-1000000-M96-K512",
    "recall": 0.8850000000000001,
    "recall_source": "/mnt/d/paper_source/work_9/VeriANN_repro_2026-09-30/VeriANN_repro_2026-09-30/V3DB-26VLDB/work9-cache/deep1m-1000000-M96-K512/calibration.json",
    "recall_queries": 20
  },
  "reason": "existing calibrated configuration fits declared 512GiB planning envelope",
  "smallest_memory_reaching_target": {
    "status": "conditional_forecast",
    "config": {
      "dataset": "deep1m",
      "source": "deep1m",
      "N": 1000000,
      "D": 96,
      "n_list": 1024,
      "M": 96,
      "K": 256,
      "n_iter": 25,
      "seed": 0,
      "capacity": 2048,
      "query_offset": 100,
      "query_count": 20,
      "scale": 65536,
      "rebalance": "author algorithm with identical row-chunk distances"
    },
    "n_probe": 8,
    "k": 10,
    "gates": 1448977,
    "gate_source": "structural estimate",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
    "recall": 0.8900000000000002,
    "recall_source": "/mnt/d/paper_source/work_9/VeriANN_repro_2026-09-30/VeriANN_repro_2026-09-30/V3DB-26VLDB/work9-cache/deep1m-1000000-M96/calibration.json",
    "recall_queries": 20
  }
}</t>
      </text>
    </comment>
    <comment ref="U55" authorId="9" shapeId="0">
      <text>
        <t>†为同配置20条搜索校准召回，不是预测召回。
{
  "kind": "curve",
  "dataset": "deep1m",
  "sheet": "DEEP1M",
  "column": 21,
  "target": 0.9,
  "choice": {
    "status": "conditional_forecast",
    "config": {
      "dataset": "deep1m",
      "source": "deep1m",
      "N": 1000000,
      "D": 96,
      "n_list": 1024,
      "M": 96,
      "K": 1024,
      "n_iter": 25,
      "seed": 0,
      "capacity": 2048,
      "query_offset": 100,
      "query_count": 20,
      "scale": 65536,
      "rebalance": "author algorithm with identical row-chunk distances"
    },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
  "reason": "existing calibrated configuration fits declared 512GiB planning envelope",
  "smallest_memory_reaching_target": {
    "status": "conditional_forecast",
    "config": {
      "dataset": "deep1m",
      "source": "deep1m",
      "N": 1000000,
      "D": 96,
      "n_list": 1024,
      "M": 96,
      "K": 1024,
      "n_iter": 25,
      "seed": 0,
      "capacity": 2048,
      "query_offset": 100,
      "query_count": 20,
      "scale": 65536,
      "rebalance": "author algorithm with identical row-chunk distances"
    },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
}</t>
      </text>
    </comment>
    <comment ref="V55" authorId="9" shapeId="0">
      <text>
        <t>†为同配置20条搜索校准召回，不是预测召回。
{
  "kind": "curve",
  "dataset": "deep1m",
  "sheet": "DEEP1M",
  "column": 22,
  "target": 0.95,
  "choice": {
    "status": "conditional_forecast",
    "config": {
      "dataset": "deep1m",
      "source": "deep1m",
      "N": 1000000,
      "D": 96,
      "n_list": 1024,
      "M": 96,
      "K": 1024,
      "n_iter": 25,
      "seed": 0,
      "capacity": 2048,
      "query_offset": 100,
      "query_count": 20,
      "scale": 65536,
      "rebalance": "author algorithm with identical row-chunk distances"
    },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
      "query_ms": [
        1180812.7581549895,
        4723251.032619958
      ],
      "verify_ms": [
        15.920127759015342,
        63.68051103606137
      ],
      "vo_kb": [
        410.68174999999997,
        555.62825
      ]
    },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
  "reason": "existing calibrated configuration fits declared 512GiB planning envelope",
  "smallest_memory_reaching_target": {
    "status": "conditional_forecast",
    "config": {
      "dataset": "deep1m",
      "source": "deep1m",
      "N": 1000000,
      "D": 96,
      "n_list": 1024,
      "M": 96,
      "K": 1024,
      "n_iter": 25,
      "seed": 0,
      "capacity": 2048,
      "query_offset": 100,
      "query_count": 20,
      "scale": 65536,
      "rebalance": "author algorithm with identical row-chunk distances"
    },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
      "query_ms": [
        1180812.7581549895,
        4723251.032619958
      ],
      "verify_ms": [
        15.920127759015342,
        63.68051103606137
      ],
      "vo_kb": [
        410.68174999999997,
        555.62825
      ]
    },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
}</t>
      </text>
    </comment>
    <comment ref="W55" authorId="9" shapeId="0">
      <text>
        <t>按用户要求留空；具体原因如下。
{
  "kind": "curve",
  "dataset": "deep1m",
  "sheet": "DEEP1M",
  "column": 23,
  "target": 0.97,
  "choice": null,
  "reason": "all calibrated configurations reaching this target exceed the declared 512GiB planning envelope",
  "smallest_memory_reaching_target": {
    "status": "outside_512GiB_scenario",
    "config": {
      "dataset": "deep1m",
      "source": "deep1m",
      "N": 1000000,
      "D": 96,
      "n_list": 1024,
      "M": 96,
      "K": 1024,
      "n_iter": 25,
      "seed": 0,
      "capacity": 2048,
      "query_offset": 100,
      "query_count": 20,
      "scale": 65536,
      "rebalance": "author algorithm with identical row-chunk distances"
    },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
      "query_ms": [
        5153065.78674721,
        20612263.14698884
      ],
      "verify_ms": [
        26.034379790118805,
        104.13751916047522
      ],
      "vo_kb": [
        1093.10765,
        1478.9103499999999
      ]
    },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
  }
}</t>
      </text>
    </comment>
    <comment ref="X55" authorId="9" shapeId="0">
      <text>
        <t>按用户要求留空；具体原因如下。
{
  "kind": "curve",
  "dataset": "deep1m",
  "sheet": "DEEP1M",
  "column": 24,
  "target": 0.98,
  "choice": null,
  "reason": "all calibrated configurations reaching this target exceed the declared 512GiB planning envelope",
  "smallest_memory_reaching_target": {
    "status": "outside_512GiB_scenario",
    "config": {
      "dataset": "deep1m",
      "source": "deep1m",
      "N": 1000000,
      "D": 96,
      "n_list": 1024,
      "M": 96,
      "K": 1024,
      "n_iter": 25,
      "seed": 0,
      "capacity": 2048,
      "query_offset": 100,
      "query_count": 20,
      "scale": 65536,
      "rebalance": "author algorithm with identical row-chunk distances"
    },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
      "query_ms": [
        5153065.78674721,
        20612263.14698884
      ],
      "verify_ms": [
        26.034379790118805,
        104.13751916047522
      ],
      "vo_kb": [
        1093.10765,
        1478.9103499999999
      ]
    },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
  }
}</t>
      </text>
    </comment>
    <comment ref="Y55" authorId="9" shapeId="0">
      <text>
        <t>按用户要求留空；具体原因如下。
{
  "kind": "curve",
  "dataset": "deep1m",
  "sheet": "DEEP1M",
  "column": 25,
  "target": 0.99,
  "choice": null,
  "reason": "no existing calibrated configuration reaches target; recall cannot be invented",
  "smallest_memory_reaching_target": null
}</t>
      </text>
    </comment>
    <comment ref="F56" authorId="8" shapeId="0">
      <text>
        <t>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text>
    </comment>
    <comment ref="G56" authorId="8" shapeId="0">
      <text>
        <t>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text>
    </comment>
    <comment ref="H56" authorId="8" shapeId="0">
      <text>
        <t>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2, "k": 10, "samples": 1, "query": 100, "repeat": 0, "query_ms": 57962.63150300003, "verify_ms": 11.352967999982866, "vo_kb": 208.737, "single_query_recall": 0.3, "build_seconds": 19.138095727, "prove_seconds": 37.122223775, "output": "/mnt/d/paper_source/work_9/VeriANN_repro_2026-09-30/VeriANN_repro_2026-09-30/results/work9-v3db-lowrecall-20261020/deep1m-1000000-p2-k10-q1-r1-t1", "csv_sha256": "b6e479f8eb135209cb3ae433c34ff2c692f55bf54f99be7348a214a56d9b247e", "selection": "fixed query100 repeat0; not selected by runtime", "reused_existing_sample": false, "recall20": 0.285, "recall_source": "/mnt/d/paper_source/work_9/VeriANN_repro_2026-09-30/VeriANN_repro_2026-09-30/V3DB-26VLDB/work9-cache/deep1m-1000000/calibration.json", "recall_query_count": 20, "recall_scope": "search calibration only; timing/VO use one fixed query, not 20 proofs", "kind": "curve"}</t>
      </text>
    </comment>
    <comment ref="I56" authorId="8" shapeId="0">
      <text>
        <t>固定query100单次真实出证；Recall为同配置20条搜索校准。可调整PQ M/K与probe；不代表主表默认索引配置。
{"status":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text>
    </comment>
    <comment ref="J56" authorId="8" shapeId="0">
      <text>
        <t>固定query100单次真实出证；Recall为同配置20条搜索校准。可调整PQ M/K与probe；不代表主表默认索引配置。
{"status":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text>
    </comment>
    <comment ref="K56"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L56"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M56"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N56"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O56"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P56"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Q56"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R56"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S56" authorId="9" shapeId="0">
      <text>
        <t>512GiB条件预测（*），不是实测。仍假设单线程、相近单核速度、无换页。
{
  "kind": "curve",
  "dataset": "deep1m",
  "sheet": "DEEP1M",
  "column": 19,
  "target": 0.8,
  "choice": {
    "status": "conditional_forecast",
    "config": {
      "dataset": "deep1m",
      "source": "deep1m",
      "N": 1000000,
      "D": 96,
      "n_list": 1024,
      "M": 48,
      "K": 256,
      "n_iter": 25,
      "seed": 0,
      "capacity": 2048,
      "query_offset": 100,
      "query_count": 20,
      "scale": 65536,
      "rebalance": "author algorithm with identical row-chunk distances"
    },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
      "query_ms": [
        268339.76740579406,
        1073359.0696231762
      ],
      "verify_ms": [
        13.27671490759938,
        53.10685963039752
      ],
      "vo_kb": [
        285.31185,
        386.01014999999995
      ]
    },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
  "reason": "existing calibrated configuration fits declared 512GiB planning envelope",
  "smallest_memory_reaching_target": {
    "status": "conditional_forecast",
    "config": {
      "dataset": "deep1m",
      "source": "deep1m",
      "N": 1000000,
      "D": 96,
      "n_list": 1024,
      "M": 48,
      "K": 256,
      "n_iter": 25,
      "seed": 0,
      "capacity": 2048,
      "query_offset": 100,
      "query_count": 20,
      "scale": 65536,
      "rebalance": "author algorithm with identical row-chunk distances"
    },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
      "query_ms": [
        268339.76740579406,
        1073359.0696231762
      ],
      "verify_ms": [
        13.27671490759938,
        53.10685963039752
      ],
      "vo_kb": [
        285.31185,
        386.01014999999995
      ]
    },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
}</t>
      </text>
    </comment>
    <comment ref="T56" authorId="9" shapeId="0">
      <text>
        <t>512GiB条件预测（*），不是实测。仍假设单线程、相近单核速度、无换页。
{
  "kind": "curve",
  "dataset": "deep1m",
  "sheet": "DEEP1M",
  "column": 20,
  "target": 0.85,
  "choice": {
    "status": "conditional_forecast",
    "config": {
      "dataset": "deep1m",
      "source": "deep1m",
      "N": 1000000,
      "D": 96,
      "n_list": 1024,
      "M": 96,
      "K": 512,
      "n_iter": 25,
      "seed": 0,
      "capacity": 2048,
      "query_offset": 100,
      "query_count": 20,
      "scale": 65536,
      "rebalance": "author algorithm with identical row-chunk distances"
    },
    "n_probe": 8,
    "k": 10,
    "gates": 1511042,
    "gate_source": "structural estimate",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"deep1m-1000000-M96-K512",
    "recall": 0.8850000000000001,
    "recall_source": "/mnt/d/paper_source/work_9/VeriANN_repro_2026-09-30/VeriANN_repro_2026-09-30/V3DB-26VLDB/work9-cache/deep1m-1000000-M96-K512/calibration.json",
    "recall_queries": 20
  },
  "reason": "existing calibrated configuration fits declared 512GiB planning envelope",
  "smallest_memory_reaching_target": {
    "status": "conditional_forecast",
    "config": {
      "dataset": "deep1m",
      "source": "deep1m",
      "N": 1000000,
      "D": 96,
      "n_list": 1024,
      "M": 96,
      "K": 256,
      "n_iter": 25,
      "seed": 0,
      "capacity": 2048,
      "query_offset": 100,
      "query_count": 20,
      "scale": 65536,
      "rebalance": "author algorithm with identical row-chunk distances"
    },
    "n_probe": 8,
    "k": 10,
    "gates": 1448977,
    "gate_source": "structural estimate",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
    "recall": 0.8900000000000002,
    "recall_source": "/mnt/d/paper_source/work_9/VeriANN_repro_2026-09-30/VeriANN_repro_2026-09-30/V3DB-26VLDB/work9-cache/deep1m-1000000-M96/calibration.json",
    "recall_queries": 20
  }
}</t>
      </text>
    </comment>
    <comment ref="U56" authorId="9" shapeId="0">
      <text>
        <t>512GiB条件预测（*），不是实测。仍假设单线程、相近单核速度、无换页。
{
  "kind": "curve",
  "dataset": "deep1m",
  "sheet": "DEEP1M",
  "column": 21,
  "target": 0.9,
  "choice": {
    "status": "conditional_forecast",
    "config": {
      "dataset": "deep1m",
      "source": "deep1m",
      "N": 1000000,
      "D": 96,
      "n_list": 1024,
      "M": 96,
      "K": 1024,
      "n_iter": 25,
      "seed": 0,
      "capacity": 2048,
      "query_offset": 100,
      "query_count": 20,
      "scale": 65536,
      "rebalance": "author algorithm with identical row-chunk distances"
    },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
  "reason": "existing calibrated configuration fits declared 512GiB planning envelope",
  "smallest_memory_reaching_target": {
    "status": "conditional_forecast",
    "config": {
      "dataset": "deep1m",
      "source": "deep1m",
      "N": 1000000,
      "D": 96,
      "n_list": 1024,
      "M": 96,
      "K": 1024,
      "n_iter": 25,
      "seed": 0,
      "capacity": 2048,
      "query_offset": 100,
      "query_count": 20,
      "scale": 65536,
      "rebalance": "author algorithm with identical row-chunk distances"
    },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
}</t>
      </text>
    </comment>
    <comment ref="V56" authorId="9" shapeId="0">
      <text>
        <t>512GiB条件预测（*），不是实测。仍假设单线程、相近单核速度、无换页。
{
  "kind": "curve",
  "dataset": "deep1m",
  "sheet": "DEEP1M",
  "column": 22,
  "target": 0.95,
  "choice": {
    "status": "conditional_forecast",
    "config": {
      "dataset": "deep1m",
      "source": "deep1m",
      "N": 1000000,
      "D": 96,
      "n_list": 1024,
      "M": 96,
      "K": 1024,
      "n_iter": 25,
      "seed": 0,
      "capacity": 2048,
      "query_offset": 100,
      "query_count": 20,
      "scale": 65536,
      "rebalance": "author algorithm with identical row-chunk distances"
    },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
      "query_ms": [
        1180812.7581549895,
        4723251.032619958
      ],
      "verify_ms": [
        15.920127759015342,
        63.68051103606137
      ],
      "vo_kb": [
        410.68174999999997,
        555.62825
      ]
    },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
  "reason": "existing calibrated configuration fits declared 512GiB planning envelope",
  "smallest_memory_reaching_target": {
    "status": "conditional_forecast",
    "config": {
      "dataset": "deep1m",
      "source": "deep1m",
      "N": 1000000,
      "D": 96,
      "n_list": 1024,
      "M": 96,
      "K": 1024,
      "n_iter": 25,
      "seed": 0,
      "capacity": 2048,
      "query_offset": 100,
      "query_count": 20,
      "scale": 65536,
      "rebalance": "author algorithm with identical row-chunk distances"
    },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
      "query_ms": [
        1180812.7581549895,
        4723251.032619958
      ],
      "verify_ms": [
        15.920127759015342,
        63.68051103606137
      ],
      "vo_kb": [
        410.68174999999997,
        555.62825
      ]
    },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
}</t>
      </text>
    </comment>
    <comment ref="W56" authorId="9" shapeId="0">
      <text>
        <t>按用户要求留空；具体原因如下。
{
  "kind": "curve",
  "dataset": "deep1m",
  "sheet": "DEEP1M",
  "column": 23,
  "target": 0.97,
  "choice": null,
  "reason": "all calibrated configurations reaching this target exceed the declared 512GiB planning envelope",
  "smallest_memory_reaching_target": {
    "status": "outside_512GiB_scenario",
    "config": {
      "dataset": "deep1m",
      "source": "deep1m",
      "N": 1000000,
      "D": 96,
      "n_list": 1024,
      "M": 96,
      "K": 1024,
      "n_iter": 25,
      "seed": 0,
      "capacity": 2048,
      "query_offset": 100,
      "query_count": 20,
      "scale": 65536,
      "rebalance": "author algorithm with identical row-chunk distances"
    },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
      "query_ms": [
        5153065.78674721,
        20612263.14698884
      ],
      "verify_ms": [
        26.034379790118805,
        104.13751916047522
      ],
      "vo_kb": [
        1093.10765,
        1478.9103499999999
      ]
    },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
  }
}</t>
      </text>
    </comment>
    <comment ref="X56" authorId="9" shapeId="0">
      <text>
        <t>按用户要求留空；具体原因如下。
{
  "kind": "curve",
  "dataset": "deep1m",
  "sheet": "DEEP1M",
  "column": 24,
  "target": 0.98,
  "choice": null,
  "reason": "all calibrated configurations reaching this target exceed the declared 512GiB planning envelope",
  "smallest_memory_reaching_target": {
    "status": "outside_512GiB_scenario",
    "config": {
      "dataset": "deep1m",
      "source": "deep1m",
      "N": 1000000,
      "D": 96,
      "n_list": 1024,
      "M": 96,
      "K": 1024,
      "n_iter": 25,
      "seed": 0,
      "capacity": 2048,
      "query_offset": 100,
      "query_count": 20,
      "scale": 65536,
      "rebalance": "author algorithm with identical row-chunk distances"
    },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
      "query_ms": [
        5153065.78674721,
        20612263.14698884
      ],
      "verify_ms": [
        26.034379790118805,
        104.13751916047522
      ],
      "vo_kb": [
        1093.10765,
        1478.9103499999999
      ]
    },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
  }
}</t>
      </text>
    </comment>
    <comment ref="Y56" authorId="9" shapeId="0">
      <text>
        <t>按用户要求留空；具体原因如下。
{
  "kind": "curve",
  "dataset": "deep1m",
  "sheet": "DEEP1M",
  "column": 25,
  "target": 0.99,
  "choice": null,
  "reason": "no existing calibrated configuration reaches target; recall cannot be invented",
  "smallest_memory_reaching_target": null
}</t>
      </text>
    </comment>
    <comment ref="F57" authorId="4" shapeId="0">
      <text>
        <t>不适用：精确算法无可调低召回档位。仅Z列为100%实测参考点，不能作为等召回95%比较。
高维明文 MR-tree 改编；精确 kNN，不含隐私保护；空间批量装载并非作者 R*-tree 源码。</t>
      </text>
    </comment>
    <comment ref="G57" authorId="4" shapeId="0">
      <text>
        <t>不适用：精确算法无可调低召回档位。仅Z列为100%实测参考点，不能作为等召回95%比较。
高维明文 MR-tree 改编；精确 kNN，不含隐私保护；空间批量装载并非作者 R*-tree 源码。</t>
      </text>
    </comment>
    <comment ref="H57" authorId="4" shapeId="0">
      <text>
        <t>不适用：精确算法无可调低召回档位。仅Z列为100%实测参考点，不能作为等召回95%比较。
高维明文 MR-tree 改编；精确 kNN，不含隐私保护；空间批量装载并非作者 R*-tree 源码。</t>
      </text>
    </comment>
    <comment ref="I57" authorId="4" shapeId="0">
      <text>
        <t>不适用：精确算法无可调低召回档位。仅Z列为100%实测参考点，不能作为等召回95%比较。
高维明文 MR-tree 改编；精确 kNN，不含隐私保护；空间批量装载并非作者 R*-tree 源码。</t>
      </text>
    </comment>
    <comment ref="J57" authorId="4" shapeId="0">
      <text>
        <t>不适用：精确算法无可调低召回档位。仅Z列为100%实测参考点，不能作为等召回95%比较。
高维明文 MR-tree 改编；精确 kNN，不含隐私保护；空间批量装载并非作者 R*-tree 源码。</t>
      </text>
    </comment>
    <comment ref="K57" authorId="4" shapeId="0">
      <text>
        <t>不适用：精确算法无可调低召回档位。仅Z列为100%实测参考点，不能作为等召回95%比较。
高维明文 MR-tree 改编；精确 kNN，不含隐私保护；空间批量装载并非作者 R*-tree 源码。</t>
      </text>
    </comment>
    <comment ref="L57" authorId="4" shapeId="0">
      <text>
        <t>不适用：精确算法无可调低召回档位。仅Z列为100%实测参考点，不能作为等召回95%比较。
高维明文 MR-tree 改编；精确 kNN，不含隐私保护；空间批量装载并非作者 R*-tree 源码。</t>
      </text>
    </comment>
    <comment ref="M57" authorId="4" shapeId="0">
      <text>
        <t>不适用：精确算法无可调低召回档位。仅Z列为100%实测参考点，不能作为等召回95%比较。
高维明文 MR-tree 改编；精确 kNN，不含隐私保护；空间批量装载并非作者 R*-tree 源码。</t>
      </text>
    </comment>
    <comment ref="N57" authorId="4" shapeId="0">
      <text>
        <t>不适用：精确算法无可调低召回档位。仅Z列为100%实测参考点，不能作为等召回95%比较。
高维明文 MR-tree 改编；精确 kNN，不含隐私保护；空间批量装载并非作者 R*-tree 源码。</t>
      </text>
    </comment>
    <comment ref="O57" authorId="4" shapeId="0">
      <text>
        <t>不适用：精确算法无可调低召回档位。仅Z列为100%实测参考点，不能作为等召回95%比较。
高维明文 MR-tree 改编；精确 kNN，不含隐私保护；空间批量装载并非作者 R*-tree 源码。</t>
      </text>
    </comment>
    <comment ref="P57" authorId="4" shapeId="0">
      <text>
        <t>不适用：精确算法无可调低召回档位。仅Z列为100%实测参考点，不能作为等召回95%比较。
高维明文 MR-tree 改编；精确 kNN，不含隐私保护；空间批量装载并非作者 R*-tree 源码。</t>
      </text>
    </comment>
    <comment ref="Q57" authorId="4" shapeId="0">
      <text>
        <t>不适用：精确算法无可调低召回档位。仅Z列为100%实测参考点，不能作为等召回95%比较。
高维明文 MR-tree 改编；精确 kNN，不含隐私保护；空间批量装载并非作者 R*-tree 源码。</t>
      </text>
    </comment>
    <comment ref="R57" authorId="4" shapeId="0">
      <text>
        <t>不适用：精确算法无可调低召回档位。仅Z列为100%实测参考点，不能作为等召回95%比较。
高维明文 MR-tree 改编；精确 kNN，不含隐私保护；空间批量装载并非作者 R*-tree 源码。</t>
      </text>
    </comment>
    <comment ref="S57" authorId="4" shapeId="0">
      <text>
        <t>不适用：精确算法无可调低召回档位。仅Z列为100%实测参考点，不能作为等召回95%比较。
高维明文 MR-tree 改编；精确 kNN，不含隐私保护；空间批量装载并非作者 R*-tree 源码。</t>
      </text>
    </comment>
    <comment ref="T57" authorId="4" shapeId="0">
      <text>
        <t>不适用：精确算法无可调低召回档位。仅Z列为100%实测参考点，不能作为等召回95%比较。
高维明文 MR-tree 改编；精确 kNN，不含隐私保护；空间批量装载并非作者 R*-tree 源码。</t>
      </text>
    </comment>
    <comment ref="U57" authorId="4" shapeId="0">
      <text>
        <t>不适用：精确算法无可调低召回档位。仅Z列为100%实测参考点，不能作为等召回95%比较。
高维明文 MR-tree 改编；精确 kNN，不含隐私保护；空间批量装载并非作者 R*-tree 源码。</t>
      </text>
    </comment>
    <comment ref="V57" authorId="4" shapeId="0">
      <text>
        <t>不适用：精确算法无可调低召回档位。仅Z列为100%实测参考点，不能作为等召回95%比较。
高维明文 MR-tree 改编；精确 kNN，不含隐私保护；空间批量装载并非作者 R*-tree 源码。</t>
      </text>
    </comment>
    <comment ref="W57" authorId="4" shapeId="0">
      <text>
        <t>不适用：精确算法无可调低召回档位。仅Z列为100%实测参考点，不能作为等召回95%比较。
高维明文 MR-tree 改编；精确 kNN，不含隐私保护；空间批量装载并非作者 R*-tree 源码。</t>
      </text>
    </comment>
    <comment ref="X57" authorId="4" shapeId="0">
      <text>
        <t>不适用：精确算法无可调低召回档位。仅Z列为100%实测参考点，不能作为等召回95%比较。
高维明文 MR-tree 改编；精确 kNN，不含隐私保护；空间批量装载并非作者 R*-tree 源码。</t>
      </text>
    </comment>
    <comment ref="Y57" authorId="4" shapeId="0">
      <text>
        <t>不适用：精确算法无可调低召回档位。仅Z列为100%实测参考点，不能作为等召回95%比较。
高维明文 MR-tree 改编；精确 kNN，不含隐私保护；空间批量装载并非作者 R*-tree 源码。</t>
      </text>
    </comment>
    <comment ref="Z57" authorId="4" shapeId="0">
      <text>
        <t>精确方法唯一召回点。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F58" authorId="4" shapeId="0">
      <text>
        <t>不适用：精确算法无可调低召回档位。仅Z列为100%实测参考点，不能作为等召回95%比较。
高维明文 MR-tree 改编；精确 kNN，不含隐私保护；空间批量装载并非作者 R*-tree 源码。</t>
      </text>
    </comment>
    <comment ref="G58" authorId="4" shapeId="0">
      <text>
        <t>不适用：精确算法无可调低召回档位。仅Z列为100%实测参考点，不能作为等召回95%比较。
高维明文 MR-tree 改编；精确 kNN，不含隐私保护；空间批量装载并非作者 R*-tree 源码。</t>
      </text>
    </comment>
    <comment ref="H58" authorId="4" shapeId="0">
      <text>
        <t>不适用：精确算法无可调低召回档位。仅Z列为100%实测参考点，不能作为等召回95%比较。
高维明文 MR-tree 改编；精确 kNN，不含隐私保护；空间批量装载并非作者 R*-tree 源码。</t>
      </text>
    </comment>
    <comment ref="I58" authorId="4" shapeId="0">
      <text>
        <t>不适用：精确算法无可调低召回档位。仅Z列为100%实测参考点，不能作为等召回95%比较。
高维明文 MR-tree 改编；精确 kNN，不含隐私保护；空间批量装载并非作者 R*-tree 源码。</t>
      </text>
    </comment>
    <comment ref="J58" authorId="4" shapeId="0">
      <text>
        <t>不适用：精确算法无可调低召回档位。仅Z列为100%实测参考点，不能作为等召回95%比较。
高维明文 MR-tree 改编；精确 kNN，不含隐私保护；空间批量装载并非作者 R*-tree 源码。</t>
      </text>
    </comment>
    <comment ref="K58" authorId="4" shapeId="0">
      <text>
        <t>不适用：精确算法无可调低召回档位。仅Z列为100%实测参考点，不能作为等召回95%比较。
高维明文 MR-tree 改编；精确 kNN，不含隐私保护；空间批量装载并非作者 R*-tree 源码。</t>
      </text>
    </comment>
    <comment ref="L58" authorId="4" shapeId="0">
      <text>
        <t>不适用：精确算法无可调低召回档位。仅Z列为100%实测参考点，不能作为等召回95%比较。
高维明文 MR-tree 改编；精确 kNN，不含隐私保护；空间批量装载并非作者 R*-tree 源码。</t>
      </text>
    </comment>
    <comment ref="M58" authorId="4" shapeId="0">
      <text>
        <t>不适用：精确算法无可调低召回档位。仅Z列为100%实测参考点，不能作为等召回95%比较。
高维明文 MR-tree 改编；精确 kNN，不含隐私保护；空间批量装载并非作者 R*-tree 源码。</t>
      </text>
    </comment>
    <comment ref="N58" authorId="4" shapeId="0">
      <text>
        <t>不适用：精确算法无可调低召回档位。仅Z列为100%实测参考点，不能作为等召回95%比较。
高维明文 MR-tree 改编；精确 kNN，不含隐私保护；空间批量装载并非作者 R*-tree 源码。</t>
      </text>
    </comment>
    <comment ref="O58" authorId="4" shapeId="0">
      <text>
        <t>不适用：精确算法无可调低召回档位。仅Z列为100%实测参考点，不能作为等召回95%比较。
高维明文 MR-tree 改编；精确 kNN，不含隐私保护；空间批量装载并非作者 R*-tree 源码。</t>
      </text>
    </comment>
    <comment ref="P58" authorId="4" shapeId="0">
      <text>
        <t>不适用：精确算法无可调低召回档位。仅Z列为100%实测参考点，不能作为等召回95%比较。
高维明文 MR-tree 改编；精确 kNN，不含隐私保护；空间批量装载并非作者 R*-tree 源码。</t>
      </text>
    </comment>
    <comment ref="Q58" authorId="4" shapeId="0">
      <text>
        <t>不适用：精确算法无可调低召回档位。仅Z列为100%实测参考点，不能作为等召回95%比较。
高维明文 MR-tree 改编；精确 kNN，不含隐私保护；空间批量装载并非作者 R*-tree 源码。</t>
      </text>
    </comment>
    <comment ref="R58" authorId="4" shapeId="0">
      <text>
        <t>不适用：精确算法无可调低召回档位。仅Z列为100%实测参考点，不能作为等召回95%比较。
高维明文 MR-tree 改编；精确 kNN，不含隐私保护；空间批量装载并非作者 R*-tree 源码。</t>
      </text>
    </comment>
    <comment ref="S58" authorId="4" shapeId="0">
      <text>
        <t>不适用：精确算法无可调低召回档位。仅Z列为100%实测参考点，不能作为等召回95%比较。
高维明文 MR-tree 改编；精确 kNN，不含隐私保护；空间批量装载并非作者 R*-tree 源码。</t>
      </text>
    </comment>
    <comment ref="T58" authorId="4" shapeId="0">
      <text>
        <t>不适用：精确算法无可调低召回档位。仅Z列为100%实测参考点，不能作为等召回95%比较。
高维明文 MR-tree 改编；精确 kNN，不含隐私保护；空间批量装载并非作者 R*-tree 源码。</t>
      </text>
    </comment>
    <comment ref="U58" authorId="4" shapeId="0">
      <text>
        <t>不适用：精确算法无可调低召回档位。仅Z列为100%实测参考点，不能作为等召回95%比较。
高维明文 MR-tree 改编；精确 kNN，不含隐私保护；空间批量装载并非作者 R*-tree 源码。</t>
      </text>
    </comment>
    <comment ref="V58" authorId="4" shapeId="0">
      <text>
        <t>不适用：精确算法无可调低召回档位。仅Z列为100%实测参考点，不能作为等召回95%比较。
高维明文 MR-tree 改编；精确 kNN，不含隐私保护；空间批量装载并非作者 R*-tree 源码。</t>
      </text>
    </comment>
    <comment ref="W58" authorId="4" shapeId="0">
      <text>
        <t>不适用：精确算法无可调低召回档位。仅Z列为100%实测参考点，不能作为等召回95%比较。
高维明文 MR-tree 改编；精确 kNN，不含隐私保护；空间批量装载并非作者 R*-tree 源码。</t>
      </text>
    </comment>
    <comment ref="X58" authorId="4" shapeId="0">
      <text>
        <t>不适用：精确算法无可调低召回档位。仅Z列为100%实测参考点，不能作为等召回95%比较。
高维明文 MR-tree 改编；精确 kNN，不含隐私保护；空间批量装载并非作者 R*-tree 源码。</t>
      </text>
    </comment>
    <comment ref="Y58" authorId="4" shapeId="0">
      <text>
        <t>不适用：精确算法无可调低召回档位。仅Z列为100%实测参考点，不能作为等召回95%比较。
高维明文 MR-tree 改编；精确 kNN，不含隐私保护；空间批量装载并非作者 R*-tree 源码。</t>
      </text>
    </comment>
    <comment ref="Z58" authorId="4" shapeId="0">
      <text>
        <t>沿用默认 k=10 的同一组60次真实测量；非重复实验。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F68" authorId="0" shapeId="0">
      <text>
        <t>DEEP1M; VLAH; N=100000; M=16; efConstruction=200; k=10; efSearch/E=100; probes=5; LSH width=0.3456967236059823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/mnt/d/paper_source/work_9/VeriANN_repro_2026-09-30/VeriANN_repro_2026-09-30/results/work9-multidata-20261015/deep1m/VLAH-size-100000/per_query.csv</t>
      </text>
    </comment>
    <comment ref="G68" authorId="0" shapeId="0">
      <text>
        <t>DEEP1M; VLAH; N=500000; M=16; efConstruction=200; k=10; efSearch/E=100; probes=22; LSH width=0.3456967236059823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/mnt/d/paper_source/work_9/VeriANN_repro_2026-09-30/VeriANN_repro_2026-09-30/results/work9-multidata-20261015/deep1m/VLAH-size-500000/per_query.csv</t>
      </text>
    </comment>
    <comment ref="H68" authorId="0" shapeId="0">
      <text>
        <t>DEEP1M; VLAH; N=1000000; M=16; efConstruction=200; k=10;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I68" authorId="0" shapeId="0">
      <text>
        <t>DEEP1B prefix; N=5000000; d=96; VLAH; k=10; efSearch/E=100; probes=203; M=16; efConstruction=200.
PREVIEW: queries100..119 x 3 repeats; samples=60; actual Recall@10=95.0000%.
Query=search+VO generation; Verify=decoding+authentication+replay; VO KB=1000 bytes.
LSH width=0.3456967236059823.
/mnt/d/paper_source/work_9/VeriANN_repro_2026-09-30/VeriANN_repro_2026-09-30/results/work9-deep10m-20261015/VLAH-size-5000000/per_query.csv</t>
      </text>
    </comment>
    <comment ref="J68" authorId="0" shapeId="0">
      <text>
        <t>DEEP1B prefix; N=10000000; d=96; VLAH; k=10; efSearch/E=100; probes=399; M=16; efConstruction=200.
PREVIEW: queries100..119 x 3 repeats; samples=60; actual Recall@10=95.0000%.
Query=search+VO generation; Verify=decoding+authentication+replay; VO KB=1000 bytes.
LSH width=0.3456967236059823.
/mnt/d/paper_source/work_9/VeriANN_repro_2026-09-30/VeriANN_repro_2026-09-30/results/work9-deep10m-20261015/VLAH-size-10000000/per_query.csv</t>
      </text>
    </comment>
    <comment ref="D69" authorId="2" shapeId="0">
      <text>
        <t xml:space="preserve">* 表示性能指标为用户指定系数调整值，不是原始实测值。配置及实际召回见原始补测附表。
原有批注（历史来源）：
</t>
      </text>
    </comment>
    <comment ref="F69" authorId="2" shapeId="0">
      <text>
        <t>用户指定系数调整值；不是原始实测数值。指标=vo_kb；原始值=644.18600000000004；系数=2.0；调整值=1288.3720000000001。召回率不调整。原始CSV/附表保留。
原有批注（历史来源）：
DEEP1M; ANNProof; N=100000; M=16; efConstruction=200; k=10; efSearch/E=48; probes=1; LSH width=not used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/mnt/d/paper_source/work_9/VeriANN_repro_2026-09-30/VeriANN_repro_2026-09-30/results/work9-multidata-20261015/deep1m/ANNProof-size-100000/per_query.csv</t>
      </text>
    </comment>
    <comment ref="G69" authorId="2" shapeId="0">
      <text>
        <t>用户指定系数调整值；不是原始实测数值。指标=vo_kb；原始值=852.68439999999998；系数=2.0；调整值=1705.3688。召回率不调整。原始CSV/附表保留。
原有批注（历史来源）：
DEEP1M; ANNProof; N=500000; M=16; efConstruction=200; k=10; efSearch/E=48; probes=1; LSH width=not used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/mnt/d/paper_source/work_9/VeriANN_repro_2026-09-30/VeriANN_repro_2026-09-30/results/work9-multidata-20261015/deep1m/ANNProof-size-500000/per_query.csv</t>
      </text>
    </comment>
    <comment ref="H69" authorId="2" shapeId="0">
      <text>
        <t>用户指定系数调整值；不是原始实测数值。指标=vo_kb；原始值=1154.7937999999999；系数=2.0；调整值=2309.5875999999998。召回率不调整。原始CSV/附表保留。
原有批注（历史来源）：
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I69" authorId="2" shapeId="0">
      <text>
        <t>用户指定系数调整值；不是原始实测数值。指标=vo_kb；原始值=1976.1628000000001；系数=2.0；调整值=3952.3256000000001。召回率不调整。原始CSV/附表保留。
原有批注（历史来源）：
DEEP1B prefix; N=5000000; d=96; ANNProof; k=10; efSearch/E=96; probes=1; M=16; efConstruction=200.
PREVIEW: queries100..119 x 3 repeats; samples=60; actual Recall@10=95.5000%.
Query=search+VO generation; Verify=decoding+authentication+replay; VO KB=1000 bytes.
LSH width=not used.
/mnt/d/paper_source/work_9/VeriANN_repro_2026-09-30/VeriANN_repro_2026-09-30/results/work9-deep10m-20261015/ANNProof-size-5000000/per_query.csv</t>
      </text>
    </comment>
    <comment ref="J69" authorId="2" shapeId="0">
      <text>
        <t>用户指定系数调整值；不是原始实测数值。指标=vo_kb；原始值=2671.9270000000001；系数=2.0；调整值=5343.8540000000003。召回率不调整。原始CSV/附表保留。
原有批注（历史来源）：
DEEP1B prefix; N=10000000; d=96; ANNProof; k=10; efSearch/E=128; probes=1; M=16; efConstruction=200.
PREVIEW: queries100..119 x 3 repeats; samples=60; actual Recall@10=95.5000%.
Query=search+VO generation; Verify=decoding+authentication+replay; VO KB=1000 bytes.
LSH width=not used.
/mnt/d/paper_source/work_9/VeriANN_repro_2026-09-30/VeriANN_repro_2026-09-30/results/work9-deep10m-20261015/ANNProof-size-10000000/per_query.csv</t>
      </text>
    </comment>
    <comment ref="F70" authorId="0" shapeId="0">
      <text>
        <t>DEEP1M; Ours; N=100000; M=16; efConstruction=200; k=10; efSearch/E=64; probes=1; LSH width=not used
Actual recall=97.0000%;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/mnt/d/paper_source/work_9/VeriANN_repro_2026-09-30/VeriANN_repro_2026-09-30/results/work9-multidata-20261015/deep1m/Ours-size-100000/per_query.csv</t>
      </text>
    </comment>
    <comment ref="G70" authorId="0" shapeId="0">
      <text>
        <t>DEEP1M; Ours; N=500000;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/mnt/d/paper_source/work_9/VeriANN_repro_2026-09-30/VeriANN_repro_2026-09-30/results/work9-multidata-20261015/deep1m/Ours-size-500000/per_query.csv</t>
      </text>
    </comment>
    <comment ref="H70"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I70" authorId="0" shapeId="0">
      <text>
        <t>DEEP1B prefix; N=5000000; d=96; Ours; k=10; efSearch/E=128; probes=1; M=16; efConstruction=200.
PREVIEW: queries100..119 x 3 repeats; samples=60; actual Recall@10=95.5000%.
Query=search+VO generation; Verify=decoding+authentication+replay; VO KB=1000 bytes.
LSH width=not used.
/mnt/d/paper_source/work_9/VeriANN_repro_2026-09-30/VeriANN_repro_2026-09-30/results/work9-deep10m-20261015/Ours-size-5000000/per_query.csv</t>
      </text>
    </comment>
    <comment ref="J70" authorId="0" shapeId="0">
      <text>
        <t>DEEP1B prefix; N=10000000; d=96; Ours; k=10; efSearch/E=128; probes=1; M=16; efConstruction=200.
PREVIEW: queries100..119 x 3 repeats; samples=60; actual Recall@10=95.0000%.
Query=search+VO generation; Verify=decoding+authentication+replay; VO KB=1000 bytes.
LSH width=not used.
/mnt/d/paper_source/work_9/VeriANN_repro_2026-09-30/VeriANN_repro_2026-09-30/results/work9-deep10m-20261015/Ours-size-10000000/per_query.csv</t>
      </text>
    </comment>
    <comment ref="F71" authorId="3" shapeId="0">
      <text>
        <t>V3DB单次实测：固定query100，1条×1次；不是平均耗时。Recall来自另行20条搜索校准（若存在），不是20次证明。
{"status": "passed", "dataset": "deep1m", "model": "deep1m-100000-M96-K1024", "config": {"dataset": "deep1m", "source": "deep1m", "N": 100000, "D": 96, "n_list": 1024, "M": 96, "K": 1024, "n_iter": 25, "seed": 0, "capacity": 256, "query_offset": 100, "query_count": 20, "scale": 65536, "rebalance": "author algorithm with identical row-chunk distances"}, "n_probe": 8, "k": 10, "samples": 1, "query": 100, "repeat": 0, "query_ms": 489603.44079799997, "verify_ms": 21.450678999826778, "vo_kb": 212.381, "single_query_recall": 0.5, "build_seconds": 162.512355862, "prove_seconds": 307.942673305, "output": "/mnt/d/paper_source/work_9/VeriANN_repro_2026-09-30/VeriANN_repro_2026-09-30/results/work9-v3db-single-20261020/deep1m-100000-M96-K1024-p8-k10-q1-r1-t1", "csv_sha256": "d387e95b6712b05e7c1ab0e45e9181cb5ce2450ee1bd1e3ccfa80967746681f0", "selection": "fixed query100 repeat0; not selected by runtime", "reused_existing_sample": false, "recall20": 0.845, "recall_source": "/mnt/d/paper_source/work_9/VeriANN_repro_2026-09-30/VeriANN_repro_2026-09-30/V3DB-26VLDB/work9-cache/deep1m-100000-M96-K1024/calibration.json", "recall_query_count": 20, "recall_scope": "search calibration only; timing/VO use one fixed query, not 20 proofs", "kind": "size", "N": 100000}</t>
      </text>
    </comment>
    <comment ref="G71" authorId="3" shapeId="0">
      <text>
        <t>V3DB单次实测：固定query100，1条×1次；不是平均耗时。Recall来自另行20条搜索校准（若存在），不是20次证明。
{"status": "passed", "dataset": "deep1m", "model": "deep1m-500000-M96-K1024", "config": {"dataset": "deep1m", "source": "deep1m", "N": 500000, "D": 96, "n_list": 1024, "M": 96, "K": 1024, "n_iter": 25, "seed": 0, "capacity": 1024, "query_offset": 100, "query_count": 20, "scale": 65536, "rebalance": "author algorithm with identical row-chunk distances"}, "n_probe": 8, "k": 10, "samples": 1, "query": 100, "repeat": 0, "query_ms": 496514.60792300024, "verify_ms": 24.87249099976907, "vo_kb": 261.883, "single_query_recall": 0.5, "build_seconds": 160.412236389, "prove_seconds": 309.462154606, "output": "/mnt/d/paper_source/work_9/VeriANN_repro_2026-09-30/VeriANN_repro_2026-09-30/results/work9-v3db-single-20261020/deep1m-500000-M96-K1024-p8-k10-q1-r1-t1", "csv_sha256": "1809fa64afd06c313d829721329e10a35df872c353f63c4e4a3e8646aecdc0b2", "selection": "fixed query100 repeat0; not selected by runtime", "reused_existing_sample": false, "recall20": 0.8950000000000001, "recall_source": "/mnt/d/paper_source/work_9/VeriANN_repro_2026-09-30/VeriANN_repro_2026-09-30/V3DB-26VLDB/work9-cache/deep1m-500000-M96-K1024/calibration.json", "recall_query_count": 20, "recall_scope": "search calibration only; timing/VO use one fixed query, not 20 proofs", "kind": "size", "N": 500000}</t>
      </text>
    </comment>
    <comment ref="H71" authorId="3" shapeId="0">
      <text>
        <t>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"size", "N": 1000000}</t>
      </text>
    </comment>
    <comment ref="I71" authorId="9" shapeId="0">
      <text>
        <t>按用户要求留空；具体原因如下。
{
  "kind": "size",
  "dataset": "deep1m",
  "sheet": "DEEP1M",
  "column": 9,
  "N": 5000000,
  "choice": null,
  "reason": "no index/recall calibration; matched-recall performance is unsupported",
  "fixed_budget_hypothesis": {
    "status": "conditional_forecast",
    "config": {
      "dataset": "deep1m",
      "source": "deep10m",
      "N": 5000000,
      "D": 96,
      "M": 96,
      "K": 1024,
      "n_list": 1024,
      "capacity": 16384
    },
    "n_probe": 4,
    "k": 10,
    "gates": 5585143,
    "gate_source": "structural estimate",
    "domain_bits": 23,
    "guard_domain_bits": 23,
    "proof_phase_memory_estimate_GiB": 258.8128967285156,
    "planned_machine_memory_GiB": 432.4090240478515,
    "fits_512GiB_scenario": true,
    "query_ms": 4938158.409683584,
    "verify_ms": 41.580965590149766,
    "vo_kb": 868.198,
    "declared_sensitivity": {
      "query_ms": [
        2469079.204841792,
        9876316.819367168
      ],
      "verify_ms": [
        20.790482795074883,
        83.16193118029953
      ],
      "vo_kb": [
        737.9683,
        998.4276999999998
      ]
    },
    "label": "512GiB条件预测，未在512GiB机器实测",
    "recall_scope": "existing search calibration only",
    "parameter_assumption": true,
    "recall": null,
    "reason": "fixed query budget hypothesis only; no trained/calibrated index for this prefix. Not an equal/default-recall result."
  }
}</t>
      </text>
    </comment>
    <comment ref="J71" authorId="9" shapeId="0">
      <text>
        <t>按用户要求留空；具体原因如下。
{
  "kind": "size",
  "dataset": "deep1m",
  "sheet": "DEEP1M",
  "column": 10,
  "N": 10000000,
  "choice": null,
  "reason": "no index/recall calibration; matched-recall performance is unsupported",
  "fixed_budget_hypothesis": {
    "status": "outside_512GiB_scenario",
    "config": {
      "dataset": "deep1m",
      "source": "deep10m",
      "N": 10000000,
      "D": 96,
      "M": 96,
      "K": 1024,
      "n_list": 1024,
      "capacity": 32768
    },
    "n_probe": 4,
    "k": 10,
    "gates": 11009381,
    "gate_source": "structural estimate",
    "domain_bits": 24,
    "guard_domain_bits": 24,
    "proof_phase_memory_estimate_GiB": 517.6257934570312,
    "planned_machine_memory_GiB": 832.818048095703,
    "fits_512GiB_scenario": false,
    "query_ms": 10306131.57349442,
    "verify_ms": 57.671888965003234,
    "vo_kb": 1531.769,
    "declared_sensitivity": {
      "query_ms": [
        5153065.78674721,
        20612263.14698884
      ],
      "verify_ms": [
        28.835944482501617,
        115.34377793000647
      ],
      "vo_kb": [
        1302.0036499999999,
        1761.53435
      ]
    },
    "label": "512GiB条件预测，未在512GiB机器实测",
    "recall_scope": "existing search calibration only",
    "parameter_assumption": true,
    "recall": null,
    "reason": "fixed query budget hypothesis only; no trained/calibrated index for this prefix. Not an equal/default-recall result."
  }
}</t>
      </text>
    </comment>
    <comment ref="F72" authorId="4" shapeId="0">
      <text>
        <t>20条×3次、单线程、每个N重新精确GT；SIFT使用BIGANN前缀。
高维明文 MR-tree 改编；精确 kNN，不含隐私保护；空间批量装载并非作者 R*-tree 源码。
来源：/mnt/d/paper_source/work_9/VeriANN_repro_2026-09-30/VeriANN_repro_2026-09-30/results/work9-chen13-20261021/deep1m-100000-size/measurement.json
{"N": 100000, "dataset": "deep1m", "kind": "size", "samples": 60, "point": {"k": 10, "samples": 60, "recall": 1.0, "query_ms": 34.178766716666665, "query_ms_stdev": 3.176261934396598, "search_ms": 18.813624083333334, "search_ms_stdev": 1.5712913199069718, "encode_ms": 15.365142633333333, "encode_ms_stdev": 2.630713255387209, "verify_ms": 32.10245643333333, "verify_ms_stdev": 1.6937197051882869, "vo_bytes": 38597208.25, "examined": 99429.95, "expanded": 2054.75, "vo_kb": 38597.20825}, "native": {"N": 100000, "D": 96, "fanout": 16, "leaf_capacity": 64, "nodes": 2065, "build_seconds": 0.069903796, "snapshot_write_seconds": 1.4952677289999998, "index_bytes": 40551240, "oracle_seconds": 0.090840217, "peak_rss_KiB": 167464, "max_vo_bytes": 38810509, "tamper_tests": 9, "root": "941e38463d25099205bbe46ee12a3908c70b90b6e625b5ebfce00d8e8405cc51", "threads": 1}}</t>
      </text>
    </comment>
    <comment ref="G72" authorId="4" shapeId="0">
      <text>
        <t>20条×3次、单线程、每个N重新精确GT；SIFT使用BIGANN前缀。
高维明文 MR-tree 改编；精确 kNN，不含隐私保护；空间批量装载并非作者 R*-tree 源码。
来源：/mnt/d/paper_source/work_9/VeriANN_repro_2026-09-30/VeriANN_repro_2026-09-30/results/work9-chen13-20261021/deep1m-500000-size/measurement.json
{"N": 500000, "dataset": "deep1m", "kind": "size", "samples": 60, "point": {"k": 10, "samples": 60, "recall": 1.0, "query_ms": 188.8071176, "query_ms_stdev": 18.39675626627447, "search_ms": 108.2882029, "search_ms_stdev": 8.454388244886411, "encode_ms": 80.5189147, "encode_ms_stdev": 17.19270263720113, "verify_ms": 158.03098916666667, "verify_ms_stdev": 10.08410225517506, "vo_bytes": 189887388.0, "examined": 488952.7, "expanded": 12339.35, "vo_kb": 189887.388}, "native": {"N": 500000, "D": 96, "fanout": 16, "leaf_capacity": 64, "nodes": 12561, "build_seconds": 0.43508588800000003, "snapshot_write_seconds": 7.335662884, "index_bytes": 204651848, "oracle_seconds": 0.461182329, "peak_rss_KiB": 785612, "max_vo_bytes": 193924951, "tamper_tests": 9, "root": "881f34776137cde7b3bf9c90c20dcdb1f2e58c7306743822db3c6e8be8dbbde6", "threads": 1}}</t>
      </text>
    </comment>
    <comment ref="H72" authorId="4" shapeId="0">
      <text>
        <t>20条×3次、单线程、每个N重新精确GT；SIFT使用BIGANN前缀。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I72" authorId="4" shapeId="0">
      <text>
        <t>20条×3次、单线程、每个N重新精确GT；SIFT使用BIGANN前缀。
高维明文 MR-tree 改编；精确 kNN，不含隐私保护；空间批量装载并非作者 R*-tree 源码。
来源：/mnt/d/paper_source/work_9/VeriANN_repro_2026-09-30/VeriANN_repro_2026-09-30/results/work9-chen13-20261021/deep10m-5000000-size/measurement.json
{"N": 5000000, "dataset": "deep10m", "kind": "size", "samples": 60, "point": {"k": 10, "samples": 60, "recall": 1.0, "query_ms": 3333.6834242, "query_ms_stdev": 683.6968558434354, "search_ms": 1722.00196475, "search_ms_stdev": 325.5801185513927, "encode_ms": 1611.68145945, "encode_ms_stdev": 435.7014072160685, "verify_ms": 1824.9079392833332, "verify_ms_stdev": 334.1607412594932, "vo_bytes": 1713383279.1, "examined": 4392930.3, "expanded": 180191.95, "vo_kb": 1713383.2791}, "native": {"N": 5000000, "D": 96, "fanout": 16, "leaf_capacity": 64, "nodes": 200977, "build_seconds": 5.870657015, "snapshot_write_seconds": 87.108500873, "index_bytes": 2110428616, "oracle_seconds": 4.482003265, "peak_rss_KiB": 7747128, "max_vo_bytes": 1919500977, "tamper_tests": 9, "root": "f51d0f619d2ca2755c6b17768008ea11cd2609a6420c3e14126992afbaa66b0b", "threads": 1}}</t>
      </text>
    </comment>
    <comment ref="J72" authorId="4" shapeId="0">
      <text>
        <t>20条×3次、单线程、每个N重新精确GT；SIFT使用BIGANN前缀。
高维明文 MR-tree 改编；精确 kNN，不含隐私保护；空间批量装载并非作者 R*-tree 源码。
来源：/mnt/d/paper_source/work_9/VeriANN_repro_2026-09-30/VeriANN_repro_2026-09-30/results/work9-chen13-20261021/deep10m-10000000-size/measurement.json
{"N": 10000000, "dataset": "deep10m", "kind": "size", "samples": 60, "point": {"k": 10, "samples": 60, "recall": 1.0, "query_ms": 7666.332792416667, "query_ms_stdev": 1421.6844771874946, "search_ms": 3773.5225113166666, "search_ms_stdev": 656.7874085755775, "encode_ms": 3892.8102811, "encode_ms_stdev": 880.2380233266779, "verify_ms": 3766.1581678166667, "verify_ms_stdev": 639.2925256719955, "vo_bytes": 3422248862.6, "examined": 8783662.55, "expanded": 238965.7, "vo_kb": 3422248.8626}, "native": {"N": 10000000, "D": 96, "fanout": 16, "leaf_capacity": 64, "nodes": 266513, "build_seconds": 12.627885712, "snapshot_write_seconds": 165.790857154, "index_bytes": 4106003144, "oracle_seconds": 8.742914007, "peak_rss_KiB": 15339196, "max_vo_bytes": 3837153218, "tamper_tests": 9, "root": "31c832b574966a45bfbeccb7d74655174460ca412504b005043cba9bb39b28e3", "threads": 1}}</t>
      </text>
    </comment>
    <comment ref="F80" authorId="0" shapeId="0">
      <text>
        <t>DEEP1M; VLAH; N=100000; M=16; efConstruction=200; k=10; efSearch/E=100; probes=5; LSH width=0.3456967236059823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/mnt/d/paper_source/work_9/VeriANN_repro_2026-09-30/VeriANN_repro_2026-09-30/results/work9-multidata-20261015/deep1m/VLAH-size-100000/per_query.csv</t>
      </text>
    </comment>
    <comment ref="G80" authorId="0" shapeId="0">
      <text>
        <t>DEEP1M; VLAH; N=500000; M=16; efConstruction=200; k=10; efSearch/E=100; probes=22; LSH width=0.3456967236059823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/mnt/d/paper_source/work_9/VeriANN_repro_2026-09-30/VeriANN_repro_2026-09-30/results/work9-multidata-20261015/deep1m/VLAH-size-500000/per_query.csv</t>
      </text>
    </comment>
    <comment ref="H80" authorId="0" shapeId="0">
      <text>
        <t>DEEP1M; VLAH; N=1000000; M=16; efConstruction=200; k=10;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I80" authorId="0" shapeId="0">
      <text>
        <t>DEEP1B prefix; N=5000000; d=96; VLAH; k=10; efSearch/E=100; probes=203; M=16; efConstruction=200.
PREVIEW: queries100..119 x 3 repeats; samples=60; actual Recall@10=95.0000%.
Query=search+VO generation; Verify=decoding+authentication+replay; VO KB=1000 bytes.
LSH width=0.3456967236059823.
/mnt/d/paper_source/work_9/VeriANN_repro_2026-09-30/VeriANN_repro_2026-09-30/results/work9-deep10m-20261015/VLAH-size-5000000/per_query.csv</t>
      </text>
    </comment>
    <comment ref="J80" authorId="0" shapeId="0">
      <text>
        <t>DEEP1B prefix; N=10000000; d=96; VLAH; k=10; efSearch/E=100; probes=399; M=16; efConstruction=200.
PREVIEW: queries100..119 x 3 repeats; samples=60; actual Recall@10=95.0000%.
Query=search+VO generation; Verify=decoding+authentication+replay; VO KB=1000 bytes.
LSH width=0.3456967236059823.
/mnt/d/paper_source/work_9/VeriANN_repro_2026-09-30/VeriANN_repro_2026-09-30/results/work9-deep10m-20261015/VLAH-size-10000000/per_query.csv</t>
      </text>
    </comment>
    <comment ref="D81" authorId="2" shapeId="0">
      <text>
        <t xml:space="preserve">* 表示性能指标为用户指定系数调整值，不是原始实测值。配置及实际召回见原始补测附表。
原有批注（历史来源）：
</t>
      </text>
    </comment>
    <comment ref="F81" authorId="2" shapeId="0">
      <text>
        <t>用户指定系数调整值；不是原始实测数值。指标=verify_ms；原始值=8.3175425833333296；系数=1.5；调整值=12.476313874999995。召回率不调整。原始CSV/附表保留。
原有批注（历史来源）：
DEEP1M; ANNProof; N=100000; M=16; efConstruction=200; k=10; efSearch/E=48; probes=1; LSH width=not used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/mnt/d/paper_source/work_9/VeriANN_repro_2026-09-30/VeriANN_repro_2026-09-30/results/work9-multidata-20261015/deep1m/ANNProof-size-100000/per_query.csv</t>
      </text>
    </comment>
    <comment ref="G81" authorId="2" shapeId="0">
      <text>
        <t>用户指定系数调整值；不是原始实测数值。指标=verify_ms；原始值=11.3754679；系数=1.5；调整值=17.063201849999999。召回率不调整。原始CSV/附表保留。
原有批注（历史来源）：
DEEP1M; ANNProof; N=500000; M=16; efConstruction=200; k=10; efSearch/E=48; probes=1; LSH width=not used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/mnt/d/paper_source/work_9/VeriANN_repro_2026-09-30/VeriANN_repro_2026-09-30/results/work9-multidata-20261015/deep1m/ANNProof-size-500000/per_query.csv</t>
      </text>
    </comment>
    <comment ref="H81" authorId="2" shapeId="0">
      <text>
        <t>用户指定系数调整值；不是原始实测数值。指标=verify_ms；原始值=15.4261976166667；系数=1.5；调整值=23.139296425000051。召回率不调整。原始CSV/附表保留。
原有批注（历史来源）：
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I81" authorId="2" shapeId="0">
      <text>
        <t>用户指定系数调整值；不是原始实测数值。指标=verify_ms；原始值=25.9699077166667；系数=1.5；调整值=38.954861575000052。召回率不调整。原始CSV/附表保留。
原有批注（历史来源）：
DEEP1B prefix; N=5000000; d=96; ANNProof; k=10; efSearch/E=96; probes=1; M=16; efConstruction=200.
PREVIEW: queries100..119 x 3 repeats; samples=60; actual Recall@10=95.5000%.
Query=search+VO generation; Verify=decoding+authentication+replay; VO KB=1000 bytes.
LSH width=not used.
/mnt/d/paper_source/work_9/VeriANN_repro_2026-09-30/VeriANN_repro_2026-09-30/results/work9-deep10m-20261015/ANNProof-size-5000000/per_query.csv</t>
      </text>
    </comment>
    <comment ref="J81" authorId="2" shapeId="0">
      <text>
        <t>用户指定系数调整值；不是原始实测数值。指标=verify_ms；原始值=35.116964083333301；系数=1.5；调整值=52.675446124999951。召回率不调整。原始CSV/附表保留。
原有批注（历史来源）：
DEEP1B prefix; N=10000000; d=96; ANNProof; k=10; efSearch/E=128; probes=1; M=16; efConstruction=200.
PREVIEW: queries100..119 x 3 repeats; samples=60; actual Recall@10=95.5000%.
Query=search+VO generation; Verify=decoding+authentication+replay; VO KB=1000 bytes.
LSH width=not used.
/mnt/d/paper_source/work_9/VeriANN_repro_2026-09-30/VeriANN_repro_2026-09-30/results/work9-deep10m-20261015/ANNProof-size-10000000/per_query.csv</t>
      </text>
    </comment>
    <comment ref="F82" authorId="0" shapeId="0">
      <text>
        <t>DEEP1M; Ours; N=100000; M=16; efConstruction=200; k=10; efSearch/E=64; probes=1; LSH width=not used
Actual recall=97.0000%;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/mnt/d/paper_source/work_9/VeriANN_repro_2026-09-30/VeriANN_repro_2026-09-30/results/work9-multidata-20261015/deep1m/Ours-size-100000/per_query.csv</t>
      </text>
    </comment>
    <comment ref="G82" authorId="0" shapeId="0">
      <text>
        <t>DEEP1M; Ours; N=500000;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/mnt/d/paper_source/work_9/VeriANN_repro_2026-09-30/VeriANN_repro_2026-09-30/results/work9-multidata-20261015/deep1m/Ours-size-500000/per_query.csv</t>
      </text>
    </comment>
    <comment ref="H82"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I82" authorId="0" shapeId="0">
      <text>
        <t>DEEP1B prefix; N=5000000; d=96; Ours; k=10; efSearch/E=128; probes=1; M=16; efConstruction=200.
PREVIEW: queries100..119 x 3 repeats; samples=60; actual Recall@10=95.5000%.
Query=search+VO generation; Verify=decoding+authentication+replay; VO KB=1000 bytes.
LSH width=not used.
/mnt/d/paper_source/work_9/VeriANN_repro_2026-09-30/VeriANN_repro_2026-09-30/results/work9-deep10m-20261015/Ours-size-5000000/per_query.csv</t>
      </text>
    </comment>
    <comment ref="J82" authorId="0" shapeId="0">
      <text>
        <t>DEEP1B prefix; N=10000000; d=96; Ours; k=10; efSearch/E=128; probes=1; M=16; efConstruction=200.
PREVIEW: queries100..119 x 3 repeats; samples=60; actual Recall@10=95.0000%.
Query=search+VO generation; Verify=decoding+authentication+replay; VO KB=1000 bytes.
LSH width=not used.
/mnt/d/paper_source/work_9/VeriANN_repro_2026-09-30/VeriANN_repro_2026-09-30/results/work9-deep10m-20261015/Ours-size-10000000/per_query.csv</t>
      </text>
    </comment>
    <comment ref="F83" authorId="3" shapeId="0">
      <text>
        <t>V3DB单次实测：固定query100，1条×1次；不是平均耗时。Recall来自另行20条搜索校准（若存在），不是20次证明。
{"status": "passed", "dataset": "deep1m", "model": "deep1m-100000-M96-K1024", "config": {"dataset": "deep1m", "source": "deep1m", "N": 100000, "D": 96, "n_list": 1024, "M": 96, "K": 1024, "n_iter": 25, "seed": 0, "capacity": 256, "query_offset": 100, "query_count": 20, "scale": 65536, "rebalance": "author algorithm with identical row-chunk distances"}, "n_probe": 8, "k": 10, "samples": 1, "query": 100, "repeat": 0, "query_ms": 489603.44079799997, "verify_ms": 21.450678999826778, "vo_kb": 212.381, "single_query_recall": 0.5, "build_seconds": 162.512355862, "prove_seconds": 307.942673305, "output": "/mnt/d/paper_source/work_9/VeriANN_repro_2026-09-30/VeriANN_repro_2026-09-30/results/work9-v3db-single-20261020/deep1m-100000-M96-K1024-p8-k10-q1-r1-t1", "csv_sha256": "d387e95b6712b05e7c1ab0e45e9181cb5ce2450ee1bd1e3ccfa80967746681f0", "selection": "fixed query100 repeat0; not selected by runtime", "reused_existing_sample": false, "recall20": 0.845, "recall_source": "/mnt/d/paper_source/work_9/VeriANN_repro_2026-09-30/VeriANN_repro_2026-09-30/V3DB-26VLDB/work9-cache/deep1m-100000-M96-K1024/calibration.json", "recall_query_count": 20, "recall_scope": "search calibration only; timing/VO use one fixed query, not 20 proofs", "kind": "size", "N": 100000}</t>
      </text>
    </comment>
    <comment ref="G83" authorId="3" shapeId="0">
      <text>
        <t>V3DB单次实测：固定query100，1条×1次；不是平均耗时。Recall来自另行20条搜索校准（若存在），不是20次证明。
{"status": "passed", "dataset": "deep1m", "model": "deep1m-500000-M96-K1024", "config": {"dataset": "deep1m", "source": "deep1m", "N": 500000, "D": 96, "n_list": 1024, "M": 96, "K": 1024, "n_iter": 25, "seed": 0, "capacity": 1024, "query_offset": 100, "query_count": 20, "scale": 65536, "rebalance": "author algorithm with identical row-chunk distances"}, "n_probe": 8, "k": 10, "samples": 1, "query": 100, "repeat": 0, "query_ms": 496514.60792300024, "verify_ms": 24.87249099976907, "vo_kb": 261.883, "single_query_recall": 0.5, "build_seconds": 160.412236389, "prove_seconds": 309.462154606, "output": "/mnt/d/paper_source/work_9/VeriANN_repro_2026-09-30/VeriANN_repro_2026-09-30/results/work9-v3db-single-20261020/deep1m-500000-M96-K1024-p8-k10-q1-r1-t1", "csv_sha256": "1809fa64afd06c313d829721329e10a35df872c353f63c4e4a3e8646aecdc0b2", "selection": "fixed query100 repeat0; not selected by runtime", "reused_existing_sample": false, "recall20": 0.8950000000000001, "recall_source": "/mnt/d/paper_source/work_9/VeriANN_repro_2026-09-30/VeriANN_repro_2026-09-30/V3DB-26VLDB/work9-cache/deep1m-500000-M96-K1024/calibration.json", "recall_query_count": 20, "recall_scope": "search calibration only; timing/VO use one fixed query, not 20 proofs", "kind": "size", "N": 500000}</t>
      </text>
    </comment>
    <comment ref="H83" authorId="3" shapeId="0">
      <text>
        <t>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"size", "N": 1000000}</t>
      </text>
    </comment>
    <comment ref="I83" authorId="9" shapeId="0">
      <text>
        <t>按用户要求留空；具体原因如下。
{
  "kind": "size",
  "dataset": "deep1m",
  "sheet": "DEEP1M",
  "column": 9,
  "N": 5000000,
  "choice": null,
  "reason": "no index/recall calibration; matched-recall performance is unsupported",
  "fixed_budget_hypothesis": {
    "status": "conditional_forecast",
    "config": {
      "dataset": "deep1m",
      "source": "deep10m",
      "N": 5000000,
      "D": 96,
      "M": 96,
      "K": 1024,
      "n_list": 1024,
      "capacity": 16384
    },
    "n_probe": 4,
    "k": 10,
    "gates": 5585143,
    "gate_source": "structural estimate",
    "domain_bits": 23,
    "guard_domain_bits": 23,
    "proof_phase_memory_estimate_GiB": 258.8128967285156,
    "planned_machine_memory_GiB": 432.4090240478515,
    "fits_512GiB_scenario": true,
    "query_ms": 4938158.409683584,
    "verify_ms": 41.580965590149766,
    "vo_kb": 868.198,
    "declared_sensitivity": {
      "query_ms": [
        2469079.204841792,
        9876316.819367168
      ],
      "verify_ms": [
        20.790482795074883,
        83.16193118029953
      ],
      "vo_kb": [
        737.9683,
        998.4276999999998
      ]
    },
    "label": "512GiB条件预测，未在512GiB机器实测",
    "recall_scope": "existing search calibration only",
    "parameter_assumption": true,
    "recall": null,
    "reason": "fixed query budget hypothesis only; no trained/calibrated index for this prefix. Not an equal/default-recall result."
  }
}</t>
      </text>
    </comment>
    <comment ref="J83" authorId="9" shapeId="0">
      <text>
        <t>按用户要求留空；具体原因如下。
{
  "kind": "size",
  "dataset": "deep1m",
  "sheet": "DEEP1M",
  "column": 10,
  "N": 10000000,
  "choice": null,
  "reason": "no index/recall calibration; matched-recall performance is unsupported",
  "fixed_budget_hypothesis": {
    "status": "outside_512GiB_scenario",
    "config": {
      "dataset": "deep1m",
      "source": "deep10m",
      "N": 10000000,
      "D": 96,
      "M": 96,
      "K": 1024,
      "n_list": 1024,
      "capacity": 32768
    },
    "n_probe": 4,
    "k": 10,
    "gates": 11009381,
    "gate_source": "structural estimate",
    "domain_bits": 24,
    "guard_domain_bits": 24,
    "proof_phase_memory_estimate_GiB": 517.6257934570312,
    "planned_machine_memory_GiB": 832.818048095703,
    "fits_512GiB_scenario": false,
    "query_ms": 10306131.57349442,
    "verify_ms": 57.671888965003234,
    "vo_kb": 1531.769,
    "declared_sensitivity": {
      "query_ms": [
        5153065.78674721,
        20612263.14698884
      ],
      "verify_ms": [
        28.835944482501617,
        115.34377793000647
      ],
      "vo_kb": [
        1302.0036499999999,
        1761.53435
      ]
    },
    "label": "512GiB条件预测，未在512GiB机器实测",
    "recall_scope": "existing search calibration only",
    "parameter_assumption": true,
    "recall": null,
    "reason": "fixed query budget hypothesis only; no trained/calibrated index for this prefix. Not an equal/default-recall result."
  }
}</t>
      </text>
    </comment>
    <comment ref="F84" authorId="4" shapeId="0">
      <text>
        <t>20条×3次、单线程、每个N重新精确GT；SIFT使用BIGANN前缀。
高维明文 MR-tree 改编；精确 kNN，不含隐私保护；空间批量装载并非作者 R*-tree 源码。
来源：/mnt/d/paper_source/work_9/VeriANN_repro_2026-09-30/VeriANN_repro_2026-09-30/results/work9-chen13-20261021/deep1m-100000-size/measurement.json
{"N": 100000, "dataset": "deep1m", "kind": "size", "samples": 60, "point": {"k": 10, "samples": 60, "recall": 1.0, "query_ms": 34.178766716666665, "query_ms_stdev": 3.176261934396598, "search_ms": 18.813624083333334, "search_ms_stdev": 1.5712913199069718, "encode_ms": 15.365142633333333, "encode_ms_stdev": 2.630713255387209, "verify_ms": 32.10245643333333, "verify_ms_stdev": 1.6937197051882869, "vo_bytes": 38597208.25, "examined": 99429.95, "expanded": 2054.75, "vo_kb": 38597.20825}, "native": {"N": 100000, "D": 96, "fanout": 16, "leaf_capacity": 64, "nodes": 2065, "build_seconds": 0.069903796, "snapshot_write_seconds": 1.4952677289999998, "index_bytes": 40551240, "oracle_seconds": 0.090840217, "peak_rss_KiB": 167464, "max_vo_bytes": 38810509, "tamper_tests": 9, "root": "941e38463d25099205bbe46ee12a3908c70b90b6e625b5ebfce00d8e8405cc51", "threads": 1}}</t>
      </text>
    </comment>
    <comment ref="G84" authorId="4" shapeId="0">
      <text>
        <t>20条×3次、单线程、每个N重新精确GT；SIFT使用BIGANN前缀。
高维明文 MR-tree 改编；精确 kNN，不含隐私保护；空间批量装载并非作者 R*-tree 源码。
来源：/mnt/d/paper_source/work_9/VeriANN_repro_2026-09-30/VeriANN_repro_2026-09-30/results/work9-chen13-20261021/deep1m-500000-size/measurement.json
{"N": 500000, "dataset": "deep1m", "kind": "size", "samples": 60, "point": {"k": 10, "samples": 60, "recall": 1.0, "query_ms": 188.8071176, "query_ms_stdev": 18.39675626627447, "search_ms": 108.2882029, "search_ms_stdev": 8.454388244886411, "encode_ms": 80.5189147, "encode_ms_stdev": 17.19270263720113, "verify_ms": 158.03098916666667, "verify_ms_stdev": 10.08410225517506, "vo_bytes": 189887388.0, "examined": 488952.7, "expanded": 12339.35, "vo_kb": 189887.388}, "native": {"N": 500000, "D": 96, "fanout": 16, "leaf_capacity": 64, "nodes": 12561, "build_seconds": 0.43508588800000003, "snapshot_write_seconds": 7.335662884, "index_bytes": 204651848, "oracle_seconds": 0.461182329, "peak_rss_KiB": 785612, "max_vo_bytes": 193924951, "tamper_tests": 9, "root": "881f34776137cde7b3bf9c90c20dcdb1f2e58c7306743822db3c6e8be8dbbde6", "threads": 1}}</t>
      </text>
    </comment>
    <comment ref="H84" authorId="4" shapeId="0">
      <text>
        <t>20条×3次、单线程、每个N重新精确GT；SIFT使用BIGANN前缀。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I84" authorId="4" shapeId="0">
      <text>
        <t>20条×3次、单线程、每个N重新精确GT；SIFT使用BIGANN前缀。
高维明文 MR-tree 改编；精确 kNN，不含隐私保护；空间批量装载并非作者 R*-tree 源码。
来源：/mnt/d/paper_source/work_9/VeriANN_repro_2026-09-30/VeriANN_repro_2026-09-30/results/work9-chen13-20261021/deep10m-5000000-size/measurement.json
{"N": 5000000, "dataset": "deep10m", "kind": "size", "samples": 60, "point": {"k": 10, "samples": 60, "recall": 1.0, "query_ms": 3333.6834242, "query_ms_stdev": 683.6968558434354, "search_ms": 1722.00196475, "search_ms_stdev": 325.5801185513927, "encode_ms": 1611.68145945, "encode_ms_stdev": 435.7014072160685, "verify_ms": 1824.9079392833332, "verify_ms_stdev": 334.1607412594932, "vo_bytes": 1713383279.1, "examined": 4392930.3, "expanded": 180191.95, "vo_kb": 1713383.2791}, "native": {"N": 5000000, "D": 96, "fanout": 16, "leaf_capacity": 64, "nodes": 200977, "build_seconds": 5.870657015, "snapshot_write_seconds": 87.108500873, "index_bytes": 2110428616, "oracle_seconds": 4.482003265, "peak_rss_KiB": 7747128, "max_vo_bytes": 1919500977, "tamper_tests": 9, "root": "f51d0f619d2ca2755c6b17768008ea11cd2609a6420c3e14126992afbaa66b0b", "threads": 1}}</t>
      </text>
    </comment>
    <comment ref="J84" authorId="4" shapeId="0">
      <text>
        <t>20条×3次、单线程、每个N重新精确GT；SIFT使用BIGANN前缀。
高维明文 MR-tree 改编；精确 kNN，不含隐私保护；空间批量装载并非作者 R*-tree 源码。
来源：/mnt/d/paper_source/work_9/VeriANN_repro_2026-09-30/VeriANN_repro_2026-09-30/results/work9-chen13-20261021/deep10m-10000000-size/measurement.json
{"N": 10000000, "dataset": "deep10m", "kind": "size", "samples": 60, "point": {"k": 10, "samples": 60, "recall": 1.0, "query_ms": 7666.332792416667, "query_ms_stdev": 1421.6844771874946, "search_ms": 3773.5225113166666, "search_ms_stdev": 656.7874085755775, "encode_ms": 3892.8102811, "encode_ms_stdev": 880.2380233266779, "verify_ms": 3766.1581678166667, "verify_ms_stdev": 639.2925256719955, "vo_bytes": 3422248862.6, "examined": 8783662.55, "expanded": 238965.7, "vo_kb": 3422248.8626}, "native": {"N": 10000000, "D": 96, "fanout": 16, "leaf_capacity": 64, "nodes": 266513, "build_seconds": 12.627885712, "snapshot_write_seconds": 165.790857154, "index_bytes": 4106003144, "oracle_seconds": 8.742914007, "peak_rss_KiB": 15339196, "max_vo_bytes": 3837153218, "tamper_tests": 9, "root": "31c832b574966a45bfbeccb7d74655174460ca412504b005043cba9bb39b28e3", "threads": 1}}</t>
      </text>
    </comment>
    <comment ref="F91" authorId="0" shapeId="0">
      <text>
        <t>DEEP1M; VLAH; N=100000; M=16; efConstruction=200; k=10; efSearch/E=100; probes=5; LSH width=0.3456967236059823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/mnt/d/paper_source/work_9/VeriANN_repro_2026-09-30/VeriANN_repro_2026-09-30/results/work9-multidata-20261015/deep1m/VLAH-size-100000/per_query.csv</t>
      </text>
    </comment>
    <comment ref="G91" authorId="0" shapeId="0">
      <text>
        <t>DEEP1M; VLAH; N=500000; M=16; efConstruction=200; k=10; efSearch/E=100; probes=22; LSH width=0.3456967236059823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/mnt/d/paper_source/work_9/VeriANN_repro_2026-09-30/VeriANN_repro_2026-09-30/results/work9-multidata-20261015/deep1m/VLAH-size-500000/per_query.csv</t>
      </text>
    </comment>
    <comment ref="H91" authorId="0" shapeId="0">
      <text>
        <t>DEEP1M; VLAH; N=1000000; M=16; efConstruction=200; k=10;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I91" authorId="0" shapeId="0">
      <text>
        <t>DEEP1B prefix; N=5000000; d=96; VLAH; k=10; efSearch/E=100; probes=203; M=16; efConstruction=200.
PREVIEW: queries100..119 x 3 repeats; samples=60; actual Recall@10=95.0000%.
Query=search+VO generation; Verify=decoding+authentication+replay; VO KB=1000 bytes.
LSH width=0.3456967236059823.
/mnt/d/paper_source/work_9/VeriANN_repro_2026-09-30/VeriANN_repro_2026-09-30/results/work9-deep10m-20261015/VLAH-size-5000000/per_query.csv</t>
      </text>
    </comment>
    <comment ref="J91" authorId="0" shapeId="0">
      <text>
        <t>DEEP1B prefix; N=10000000; d=96; VLAH; k=10; efSearch/E=100; probes=399; M=16; efConstruction=200.
PREVIEW: queries100..119 x 3 repeats; samples=60; actual Recall@10=95.0000%.
Query=search+VO generation; Verify=decoding+authentication+replay; VO KB=1000 bytes.
LSH width=0.3456967236059823.
/mnt/d/paper_source/work_9/VeriANN_repro_2026-09-30/VeriANN_repro_2026-09-30/results/work9-deep10m-20261015/VLAH-size-10000000/per_query.csv</t>
      </text>
    </comment>
    <comment ref="D92" authorId="2" shapeId="0">
      <text>
        <t xml:space="preserve">* 表示性能指标为用户指定系数调整值，不是原始实测值。配置及实际召回见原始补测附表。
原有批注（历史来源）：
</t>
      </text>
    </comment>
    <comment ref="F92" authorId="2" shapeId="0">
      <text>
        <t>用户指定系数调整值；不是原始实测数值。指标=query_ms；原始值=1.7697227；系数=1.2；调整值=2.1236672400000001。召回率不调整。原始CSV/附表保留。
原有批注（历史来源）：
DEEP1M; ANNProof; N=100000; M=16; efConstruction=200; k=10; efSearch/E=48; probes=1; LSH width=not used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/mnt/d/paper_source/work_9/VeriANN_repro_2026-09-30/VeriANN_repro_2026-09-30/results/work9-multidata-20261015/deep1m/ANNProof-size-100000/per_query.csv</t>
      </text>
    </comment>
    <comment ref="G92" authorId="2" shapeId="0">
      <text>
        <t>用户指定系数调整值；不是原始实测数值。指标=query_ms；原始值=2.2810751333333301；系数=1.2；调整值=2.7372901599999961。召回率不调整。原始CSV/附表保留。
原有批注（历史来源）：
DEEP1M; ANNProof; N=500000; M=16; efConstruction=200; k=10; efSearch/E=48; probes=1; LSH width=not used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/mnt/d/paper_source/work_9/VeriANN_repro_2026-09-30/VeriANN_repro_2026-09-30/results/work9-multidata-20261015/deep1m/ANNProof-size-500000/per_query.csv</t>
      </text>
    </comment>
    <comment ref="H92" authorId="2" shapeId="0">
      <text>
        <t>用户指定系数调整值；不是原始实测数值。指标=query_ms；原始值=3.1586569333333299；系数=1.2；调整值=3.7903883199999955。召回率不调整。原始CSV/附表保留。
原有批注（历史来源）：
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I92" authorId="2" shapeId="0">
      <text>
        <t>用户指定系数调整值；不是原始实测数值。指标=query_ms；原始值=6.1450723833333303；系数=1.2；调整值=7.3740868599999958。召回率不调整。原始CSV/附表保留。
原有批注（历史来源）：
DEEP1B prefix; N=5000000; d=96; ANNProof; k=10; efSearch/E=96; probes=1; M=16; efConstruction=200.
PREVIEW: queries100..119 x 3 repeats; samples=60; actual Recall@10=95.5000%.
Query=search+VO generation; Verify=decoding+authentication+replay; VO KB=1000 bytes.
LSH width=not used.
/mnt/d/paper_source/work_9/VeriANN_repro_2026-09-30/VeriANN_repro_2026-09-30/results/work9-deep10m-20261015/ANNProof-size-5000000/per_query.csv</t>
      </text>
    </comment>
    <comment ref="J92" authorId="2" shapeId="0">
      <text>
        <t>用户指定系数调整值；不是原始实测数值。指标=query_ms；原始值=9.0956914166666696；系数=1.2；调整值=10.914829700000004。召回率不调整。原始CSV/附表保留。
原有批注（历史来源）：
DEEP1B prefix; N=10000000; d=96; ANNProof; k=10; efSearch/E=128; probes=1; M=16; efConstruction=200.
PREVIEW: queries100..119 x 3 repeats; samples=60; actual Recall@10=95.5000%.
Query=search+VO generation; Verify=decoding+authentication+replay; VO KB=1000 bytes.
LSH width=not used.
/mnt/d/paper_source/work_9/VeriANN_repro_2026-09-30/VeriANN_repro_2026-09-30/results/work9-deep10m-20261015/ANNProof-size-10000000/per_query.csv</t>
      </text>
    </comment>
    <comment ref="F93" authorId="0" shapeId="0">
      <text>
        <t>DEEP1M; Ours; N=100000; M=16; efConstruction=200; k=10; efSearch/E=64; probes=1; LSH width=not used
Actual recall=97.0000%;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/mnt/d/paper_source/work_9/VeriANN_repro_2026-09-30/VeriANN_repro_2026-09-30/results/work9-multidata-20261015/deep1m/Ours-size-100000/per_query.csv</t>
      </text>
    </comment>
    <comment ref="G93" authorId="0" shapeId="0">
      <text>
        <t>DEEP1M; Ours; N=500000;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/mnt/d/paper_source/work_9/VeriANN_repro_2026-09-30/VeriANN_repro_2026-09-30/results/work9-multidata-20261015/deep1m/Ours-size-500000/per_query.csv</t>
      </text>
    </comment>
    <comment ref="H93"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I93" authorId="0" shapeId="0">
      <text>
        <t>DEEP1B prefix; N=5000000; d=96; Ours; k=10; efSearch/E=128; probes=1; M=16; efConstruction=200.
PREVIEW: queries100..119 x 3 repeats; samples=60; actual Recall@10=95.5000%.
Query=search+VO generation; Verify=decoding+authentication+replay; VO KB=1000 bytes.
LSH width=not used.
/mnt/d/paper_source/work_9/VeriANN_repro_2026-09-30/VeriANN_repro_2026-09-30/results/work9-deep10m-20261015/Ours-size-5000000/per_query.csv</t>
      </text>
    </comment>
    <comment ref="J93" authorId="0" shapeId="0">
      <text>
        <t>DEEP1B prefix; N=10000000; d=96; Ours; k=10; efSearch/E=128; probes=1; M=16; efConstruction=200.
PREVIEW: queries100..119 x 3 repeats; samples=60; actual Recall@10=95.0000%.
Query=search+VO generation; Verify=decoding+authentication+replay; VO KB=1000 bytes.
LSH width=not used.
/mnt/d/paper_source/work_9/VeriANN_repro_2026-09-30/VeriANN_repro_2026-09-30/results/work9-deep10m-20261015/Ours-size-10000000/per_query.csv</t>
      </text>
    </comment>
    <comment ref="F94" authorId="3" shapeId="0">
      <text>
        <t>V3DB单次实测：固定query100，1条×1次；不是平均耗时。Recall来自另行20条搜索校准（若存在），不是20次证明。
{"status": "passed", "dataset": "deep1m", "model": "deep1m-100000-M96-K1024", "config": {"dataset": "deep1m", "source": "deep1m", "N": 100000, "D": 96, "n_list": 1024, "M": 96, "K": 1024, "n_iter": 25, "seed": 0, "capacity": 256, "query_offset": 100, "query_count": 20, "scale": 65536, "rebalance": "author algorithm with identical row-chunk distances"}, "n_probe": 8, "k": 10, "samples": 1, "query": 100, "repeat": 0, "query_ms": 489603.44079799997, "verify_ms": 21.450678999826778, "vo_kb": 212.381, "single_query_recall": 0.5, "build_seconds": 162.512355862, "prove_seconds": 307.942673305, "output": "/mnt/d/paper_source/work_9/VeriANN_repro_2026-09-30/VeriANN_repro_2026-09-30/results/work9-v3db-single-20261020/deep1m-100000-M96-K1024-p8-k10-q1-r1-t1", "csv_sha256": "d387e95b6712b05e7c1ab0e45e9181cb5ce2450ee1bd1e3ccfa80967746681f0", "selection": "fixed query100 repeat0; not selected by runtime", "reused_existing_sample": false, "recall20": 0.845, "recall_source": "/mnt/d/paper_source/work_9/VeriANN_repro_2026-09-30/VeriANN_repro_2026-09-30/V3DB-26VLDB/work9-cache/deep1m-100000-M96-K1024/calibration.json", "recall_query_count": 20, "recall_scope": "search calibration only; timing/VO use one fixed query, not 20 proofs", "kind": "size", "N": 100000}</t>
      </text>
    </comment>
    <comment ref="G94" authorId="7" shapeId="0">
      <text>
        <t>预测修订：Dataset size/query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本次原值=496514.607923；修订值=494849.3728910605
来源/拟合输入：[{"x": 6, "cells": ["F94"], "values": [489603.440798]}, {"x": 7, "cells": ["G94"], "values": [496514.607923]}, {"x": 8, "cells": ["H94"], "values": [493189.722806004]}]
修订前批注（历史，不代表修订后来源）：
V3DB单次实测：固定query100，1条×1次；不是平均耗时。Recall来自另行20条搜索校准（若存在），不是20次证明。
{"status": "passed", "dataset": "deep1m", "model": "deep1m-500000-M96-K1024", "config": {"dataset": "deep1m", "source": "deep1m", "N": 500000, "D": 96, "n_list": 1024, "M": 96, "K": 1024, "n_iter": 25, "seed": 0, "capacity": 1024, "query_offset": 100, "query_count": 20, "scale": 65536, "rebalance": "author algorithm with identical row-chunk distances"}, "n_probe": 8, "k": 10, "samples": 1, "query": 100, "repeat": 0, "query_ms": 496514.60792300024, "verify_ms": 24.87249099976907, "vo_kb": 261.883, "single_query_recall": 0.5, "build_seconds": 160.412236389, "prove_seconds": 309.462154606, "output": "/mnt/d/paper_source/work_9/VeriANN_repro_2026-09-30/VeriANN_repro_2026-09-30/results/work9-v3db-single-20261020/deep1m-500000-M96-K1024-p8-k10-q1-r1-t1", "csv_sha256": "1809fa64afd06c313d829721329e10a35df872c353f63c4e4a3e8646aecdc0b2", "selection": "fixed query100 repeat0; not selected by runtime", "reused_existing_sample": false, "recall20": 0.8950000000000001, "recall_source": "/mnt/d/paper_source/work_9/VeriANN_repro_2026-09-30/VeriANN_repro_2026-09-30/V3DB-26VLDB/work9-cache/deep1m-500000-M96-K1024/calibration.json", "recall_query_count": 20, "recall_scope": "search calibration only; timing/VO use one fixed query, not 20 proofs", "kind": "size", "N": 500000}</t>
      </text>
    </comment>
    <comment ref="H94" authorId="7" shapeId="0">
      <text>
        <t>预测修订：Dataset size/query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本次原值=493189.722806004；修订值=495000.0
来源/拟合输入：[{"x": 6, "cells": ["F94"], "values": [489603.440798]}, {"x": 7, "cells": ["G94"], "values": [496514.607923]}, {"x": 8, "cells": ["H94"], "values": [493189.722806004]}]
修订前批注（历史，不代表修订后来源）：
单调性复核：V3DB包含不同PQ配置、probe、证明电路/域大小及单次测量；这些条件不保证该指标随横轴单调。 前点G94=496514.607923，本点=493189.722806。
原有来源：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"size", "N": 1000000}</t>
      </text>
    </comment>
    <comment ref="I94" authorId="9" shapeId="0">
      <text>
        <t>按用户要求留空；具体原因如下。
{
  "kind": "size",
  "dataset": "deep1m",
  "sheet": "DEEP1M",
  "column": 9,
  "N": 5000000,
  "choice": null,
  "reason": "no index/recall calibration; matched-recall performance is unsupported",
  "fixed_budget_hypothesis": {
    "status": "conditional_forecast",
    "config": {
      "dataset": "deep1m",
      "source": "deep10m",
      "N": 5000000,
      "D": 96,
      "M": 96,
      "K": 1024,
      "n_list": 1024,
      "capacity": 16384
    },
    "n_probe": 4,
    "k": 10,
    "gates": 5585143,
    "gate_source": "structural estimate",
    "domain_bits": 23,
    "guard_domain_bits": 23,
    "proof_phase_memory_estimate_GiB": 258.8128967285156,
    "planned_machine_memory_GiB": 432.4090240478515,
    "fits_512GiB_scenario": true,
    "query_ms": 4938158.409683584,
    "verify_ms": 41.580965590149766,
    "vo_kb": 868.198,
    "declared_sensitivity": {
      "query_ms": [
        2469079.204841792,
        9876316.819367168
      ],
      "verify_ms": [
        20.790482795074883,
        83.16193118029953
      ],
      "vo_kb": [
        737.9683,
        998.4276999999998
      ]
    },
    "label": "512GiB条件预测，未在512GiB机器实测",
    "recall_scope": "existing search calibration only",
    "parameter_assumption": true,
    "recall": null,
    "reason": "fixed query budget hypothesis only; no trained/calibrated index for this prefix. Not an equal/default-recall result."
  }
}</t>
      </text>
    </comment>
    <comment ref="J94" authorId="9" shapeId="0">
      <text>
        <t>按用户要求留空；具体原因如下。
{
  "kind": "size",
  "dataset": "deep1m",
  "sheet": "DEEP1M",
  "column": 10,
  "N": 10000000,
  "choice": null,
  "reason": "no index/recall calibration; matched-recall performance is unsupported",
  "fixed_budget_hypothesis": {
    "status": "outside_512GiB_scenario",
    "config": {
      "dataset": "deep1m",
      "source": "deep10m",
      "N": 10000000,
      "D": 96,
      "M": 96,
      "K": 1024,
      "n_list": 1024,
      "capacity": 32768
    },
    "n_probe": 4,
    "k": 10,
    "gates": 11009381,
    "gate_source": "structural estimate",
    "domain_bits": 24,
    "guard_domain_bits": 24,
    "proof_phase_memory_estimate_GiB": 517.6257934570312,
    "planned_machine_memory_GiB": 832.818048095703,
    "fits_512GiB_scenario": false,
    "query_ms": 10306131.57349442,
    "verify_ms": 57.671888965003234,
    "vo_kb": 1531.769,
    "declared_sensitivity": {
      "query_ms": [
        5153065.78674721,
        20612263.14698884
      ],
      "verify_ms": [
        28.835944482501617,
        115.34377793000647
      ],
      "vo_kb": [
        1302.0036499999999,
        1761.53435
      ]
    },
    "label": "512GiB条件预测，未在512GiB机器实测",
    "recall_scope": "existing search calibration only",
    "parameter_assumption": true,
    "recall": null,
    "reason": "fixed query budget hypothesis only; no trained/calibrated index for this prefix. Not an equal/default-recall result."
  }
}</t>
      </text>
    </comment>
    <comment ref="F95" authorId="4" shapeId="0">
      <text>
        <t>20条×3次、单线程、每个N重新精确GT；SIFT使用BIGANN前缀。
高维明文 MR-tree 改编；精确 kNN，不含隐私保护；空间批量装载并非作者 R*-tree 源码。
来源：/mnt/d/paper_source/work_9/VeriANN_repro_2026-09-30/VeriANN_repro_2026-09-30/results/work9-chen13-20261021/deep1m-100000-size/measurement.json
{"N": 100000, "dataset": "deep1m", "kind": "size", "samples": 60, "point": {"k": 10, "samples": 60, "recall": 1.0, "query_ms": 34.178766716666665, "query_ms_stdev": 3.176261934396598, "search_ms": 18.813624083333334, "search_ms_stdev": 1.5712913199069718, "encode_ms": 15.365142633333333, "encode_ms_stdev": 2.630713255387209, "verify_ms": 32.10245643333333, "verify_ms_stdev": 1.6937197051882869, "vo_bytes": 38597208.25, "examined": 99429.95, "expanded": 2054.75, "vo_kb": 38597.20825}, "native": {"N": 100000, "D": 96, "fanout": 16, "leaf_capacity": 64, "nodes": 2065, "build_seconds": 0.069903796, "snapshot_write_seconds": 1.4952677289999998, "index_bytes": 40551240, "oracle_seconds": 0.090840217, "peak_rss_KiB": 167464, "max_vo_bytes": 38810509, "tamper_tests": 9, "root": "941e38463d25099205bbe46ee12a3908c70b90b6e625b5ebfce00d8e8405cc51", "threads": 1}}</t>
      </text>
    </comment>
    <comment ref="G95" authorId="4" shapeId="0">
      <text>
        <t>20条×3次、单线程、每个N重新精确GT；SIFT使用BIGANN前缀。
高维明文 MR-tree 改编；精确 kNN，不含隐私保护；空间批量装载并非作者 R*-tree 源码。
来源：/mnt/d/paper_source/work_9/VeriANN_repro_2026-09-30/VeriANN_repro_2026-09-30/results/work9-chen13-20261021/deep1m-500000-size/measurement.json
{"N": 500000, "dataset": "deep1m", "kind": "size", "samples": 60, "point": {"k": 10, "samples": 60, "recall": 1.0, "query_ms": 188.8071176, "query_ms_stdev": 18.39675626627447, "search_ms": 108.2882029, "search_ms_stdev": 8.454388244886411, "encode_ms": 80.5189147, "encode_ms_stdev": 17.19270263720113, "verify_ms": 158.03098916666667, "verify_ms_stdev": 10.08410225517506, "vo_bytes": 189887388.0, "examined": 488952.7, "expanded": 12339.35, "vo_kb": 189887.388}, "native": {"N": 500000, "D": 96, "fanout": 16, "leaf_capacity": 64, "nodes": 12561, "build_seconds": 0.43508588800000003, "snapshot_write_seconds": 7.335662884, "index_bytes": 204651848, "oracle_seconds": 0.461182329, "peak_rss_KiB": 785612, "max_vo_bytes": 193924951, "tamper_tests": 9, "root": "881f34776137cde7b3bf9c90c20dcdb1f2e58c7306743822db3c6e8be8dbbde6", "threads": 1}}</t>
      </text>
    </comment>
    <comment ref="H95" authorId="4" shapeId="0">
      <text>
        <t>20条×3次、单线程、每个N重新精确GT；SIFT使用BIGANN前缀。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I95" authorId="4" shapeId="0">
      <text>
        <t>20条×3次、单线程、每个N重新精确GT；SIFT使用BIGANN前缀。
高维明文 MR-tree 改编；精确 kNN，不含隐私保护；空间批量装载并非作者 R*-tree 源码。
来源：/mnt/d/paper_source/work_9/VeriANN_repro_2026-09-30/VeriANN_repro_2026-09-30/results/work9-chen13-20261021/deep10m-5000000-size/measurement.json
{"N": 5000000, "dataset": "deep10m", "kind": "size", "samples": 60, "point": {"k": 10, "samples": 60, "recall": 1.0, "query_ms": 3333.6834242, "query_ms_stdev": 683.6968558434354, "search_ms": 1722.00196475, "search_ms_stdev": 325.5801185513927, "encode_ms": 1611.68145945, "encode_ms_stdev": 435.7014072160685, "verify_ms": 1824.9079392833332, "verify_ms_stdev": 334.1607412594932, "vo_bytes": 1713383279.1, "examined": 4392930.3, "expanded": 180191.95, "vo_kb": 1713383.2791}, "native": {"N": 5000000, "D": 96, "fanout": 16, "leaf_capacity": 64, "nodes": 200977, "build_seconds": 5.870657015, "snapshot_write_seconds": 87.108500873, "index_bytes": 2110428616, "oracle_seconds": 4.482003265, "peak_rss_KiB": 7747128, "max_vo_bytes": 1919500977, "tamper_tests": 9, "root": "f51d0f619d2ca2755c6b17768008ea11cd2609a6420c3e14126992afbaa66b0b", "threads": 1}}</t>
      </text>
    </comment>
    <comment ref="J95" authorId="4" shapeId="0">
      <text>
        <t>20条×3次、单线程、每个N重新精确GT；SIFT使用BIGANN前缀。
高维明文 MR-tree 改编；精确 kNN，不含隐私保护；空间批量装载并非作者 R*-tree 源码。
来源：/mnt/d/paper_source/work_9/VeriANN_repro_2026-09-30/VeriANN_repro_2026-09-30/results/work9-chen13-20261021/deep10m-10000000-size/measurement.json
{"N": 10000000, "dataset": "deep10m", "kind": "size", "samples": 60, "point": {"k": 10, "samples": 60, "recall": 1.0, "query_ms": 7666.332792416667, "query_ms_stdev": 1421.6844771874946, "search_ms": 3773.5225113166666, "search_ms_stdev": 656.7874085755775, "encode_ms": 3892.8102811, "encode_ms_stdev": 880.2380233266779, "verify_ms": 3766.1581678166667, "verify_ms_stdev": 639.2925256719955, "vo_bytes": 3422248862.6, "examined": 8783662.55, "expanded": 238965.7, "vo_kb": 3422248.8626}, "native": {"N": 10000000, "D": 96, "fanout": 16, "leaf_capacity": 64, "nodes": 266513, "build_seconds": 12.627885712, "snapshot_write_seconds": 165.790857154, "index_bytes": 4106003144, "oracle_seconds": 8.742914007, "peak_rss_KiB": 15339196, "max_vo_bytes": 3837153218, "tamper_tests": 9, "root": "31c832b574966a45bfbeccb7d74655174460ca412504b005043cba9bb39b28e3", "threads": 1}}</t>
      </text>
    </comment>
    <comment ref="F104" authorId="0" shapeId="0">
      <text>
        <t>DEEP1M; VLAH; N=1000000; M=16; efConstruction=200; k=1; efSearch/E=100; probes=44; LSH width=0.3456967236059823
Actual recall=80.0000%;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G104" authorId="0" shapeId="0">
      <text>
        <t>DEEP1M; VLAH; N=1000000; M=16; efConstruction=200; k=5;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H104" authorId="0" shapeId="0">
      <text>
        <t>DEEP1M; VLAH; N=1000000; M=16; efConstruction=200; k=10;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I104" authorId="0" shapeId="0">
      <text>
        <t>DEEP1M; VLAH; N=1000000; M=16; efConstruction=200; k=20; efSearch/E=100; probes=44; LSH width=0.3456967236059823
Actual recall=95.7500%;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J104" authorId="0" shapeId="0">
      <text>
        <t>DEEP1M; VLAH; N=1000000; M=16; efConstruction=200; k=50; efSearch/E=100; probes=44; LSH width=0.3456967236059823
Actual recall=96.2000%;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K104" authorId="0" shapeId="0">
      <text>
        <t>DEEP1M; VLAH; N=1000000; M=16; efConstruction=200; k=100; efSearch/E=100; probes=44; LSH width=0.3456967236059823
Actual recall=96.2500%;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D105" authorId="2" shapeId="0">
      <text>
        <t xml:space="preserve">* 表示性能指标为用户指定系数调整值，不是原始实测值。配置及实际召回见原始补测附表。
原有批注（历史来源）：
</t>
      </text>
    </comment>
    <comment ref="F105" authorId="2" shapeId="0">
      <text>
        <t>用户指定系数调整值；不是原始实测数值。指标=vo_kb；原始值=1581.2762；系数=2.0；调整值=3162.5524。召回率不调整。原始CSV/附表保留。
原有批注（历史来源）：
DEEP1M; ANNProof; N=1000000; M=16; efConstruction=200; k=1; efSearch/E=100; probes=1; LSH width=not used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G105" authorId="2" shapeId="0">
      <text>
        <t>用户指定系数调整值；不是原始实测数值。指标=vo_kb；原始值=1583.5182；系数=2.0；调整值=3167.0364。召回率不调整。原始CSV/附表保留。
原有批注（历史来源）：
DEEP1M; ANNProof; N=1000000; M=16; efConstruction=200; k=5; efSearch/E=100; probes=1; LSH width=not used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H105" authorId="2" shapeId="0">
      <text>
        <t>用户指定系数调整值；不是原始实测数值。指标=vo_kb；原始值=1586.2762；系数=2.0；调整值=3172.5524。召回率不调整。原始CSV/附表保留。
原有批注（历史来源）：
DEEP1M; ANNProof; N=1000000; M=16; efConstruction=200; k=10; efSearch/E=100;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I105" authorId="2" shapeId="0">
      <text>
        <t>用户指定系数调整值；不是原始实测数值。指标=vo_kb；原始值=1591.6142；系数=2.0；调整值=3183.2284。召回率不调整。原始CSV/附表保留。
原有批注（历史来源）：
DEEP1M; ANNProof; N=1000000; M=16; efConstruction=200; k=20; efSearch/E=100;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J105" authorId="2" shapeId="0">
      <text>
        <t>用户指定系数调整值；不是原始实测数值。指标=vo_kb；原始值=1607.2942；系数=2.0；调整值=3214.5884000000001。召回率不调整。原始CSV/附表保留。
原有批注（历史来源）：
DEEP1M; ANNProof; N=1000000; M=16; efConstruction=200; k=50; efSearch/E=100; probes=1; LSH width=not used
Actual recall=95.9000%;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K105" authorId="2" shapeId="0">
      <text>
        <t>用户指定系数调整值；不是原始实测数值。指标=vo_kb；原始值=1631.6282000000001；系数=2.0；调整值=3263.2564000000002。召回率不调整。原始CSV/附表保留。
原有批注（历史来源）：
DEEP1M; ANNProof; N=1000000; M=16; efConstruction=200; k=100; efSearch/E=100; probes=1; LSH width=not used
Actual recall=92.1500%;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F106" authorId="0" shapeId="0">
      <text>
        <t>DEEP1M; Ours; N=1000000; M=16; efConstruction=200; k=1; efSearch/E=64; probes=1; LSH width=not used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G106" authorId="0" shapeId="0">
      <text>
        <t>DEEP1M; Ours; N=1000000; M=16; efConstruction=200; k=5; efSearch/E=64; probes=1; LSH width=not used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H106"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I106" authorId="0" shapeId="0">
      <text>
        <t>DEEP1M; Ours; N=1000000; M=16; efConstruction=200; k=20; efSearch/E=64; probes=1; LSH width=not used
Actual recall=96.7500%;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J106" authorId="0" shapeId="0">
      <text>
        <t>DEEP1M; Ours; N=1000000; M=16; efConstruction=200; k=50; efSearch/E=64; probes=1; LSH width=not used
Actual recall=91.5000%;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K106" authorId="0" shapeId="0">
      <text>
        <t>DEEP1M; Ours; N=1000000; M=16; efConstruction=200; k=100; efSearch/E=64; probes=1; LSH width=not used
Actual recall=85.8500%;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F107" authorId="10" shapeId="0">
      <text>
        <t>DEEP1M V3DB条件预测，非实测性能：每个k独立选择最小整数n_probe，使同20条查询校准Recall@k≥95.5%。不把固定Recall@10配置误作所有k的相同召回。 CPU单线程、512GiB机器规划、相近单核速度、无换页；出证工作含约束/编译、见证及证明，不含客户端验证。沿用33个历史证明形状的模型，超出已实测最大证明域2^20部分为外推。 公共输入计数使用实际k，不硬编码k=10；未使用ANNProof系数，未作单调平滑。每个k独立调参可以导致性能非单调。 原始模型给出query/verify×0.5–2、VO±15%的情景敏感范围，不是置信区间。超512GiB规划位置留空。
{
  "k": 1,
  "n_probe": 10,
  "hits": 20,
  "queries": 20,
  "recall": 1.0,
  "target_recall": 0.955,
  "config": {
    "dataset": "deep1m",
    "source": "deep1m",
    "N": 1000000,
    "D": 96,
    "n_list": 1024,
    "M": 96,
    "K": 1024,
    "n_iter": 25,
    "seed": 0,
    "capacity": 2048,
    "query_offset": 100,
    "query_count": 20,
    "scale": 65536,
    "rebalance": "author algorithm with identical row-chunk distances"
  },
  "gates": 2033291,
  "gate_source": "existing structural gate predictor; static gadget top_k only registers outputs, so pre-build gate estimate is k-independent at fixed probe; actual k used for public input count",
  "domain_bits": 21,
  "guard_domain_bits": 22,
  "public_fields": 23652,
  "proof_phase_rss_estimate_GiB": 64.7032241821289,
  "planned_machine_memory_GiB": 232.20451202392576,
  "fits_512GiB_scenario": true,
  "query_ms": 1142832.1728252394,
  "vo_kb": 376.568,
  "verify_ms": 28.448117206834027,
  "kind": "conditional prediction; not proof/query/verification measurement",
  "threads": 1,
  "sensitivity": {
    "query_ms": [
      571416.0864126197,
      2285664.3456504787
    ],
    "verify_ms": [
      14.224058603417014,
      56.896234413668054
    ],
    "vo_kb": [
      320.08279999999996,
      433.05319999999995
    ]
  },
  "source_model_sha256": "42bfb4cf7e04255e51f18ad24409d3627385cce2577fbfe061f4d1091337bf2c",
  "calibration_sha256": "449c82667a17424e89cb9c34c70d7e5e4854efc6d63de041c06cb6a7b21f76b2"
}
校准明细=/mnt/d/paper_source/work_9/VeriANN_repro_2026-09-30/VeriANN_repro_2026-09-30/experiments/work9-deep-v3db-k955-20261022/per-query-recall.csv
历史批注（非当前来源）：
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本次原值=269.378；修订值=268.8198573551294
来源/拟合输入：[{"x": 6, "cells": ["F107"], "values": [269.378]}, {"x": 7, "cells": ["G107"], "values": [271.605]}, {"x": 8, "cells": ["H107"], "values": [265.512]}, {"x": 9, "cells": ["I107"], "values": [269.965]}, {"x": 10, "cells": ["J107"], "values": [273.279]}, {"x": 11, "cells": ["K107"], "values": [270.637]}]
修订前批注（历史，不代表修订后来源）：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 "samples": 1, "query": 100, "repeat": 0, "query_ms": 492421.42829500063, "verify_ms": 14.118213999608997, "vo_kb": 269.378, "single_query_recall": 0.0, "build_seconds": 162.354821987, "prove_seconds": 308.003871395, "output": "/mnt/d/paper_source/work_9/VeriANN_repro_2026-09-30/VeriANN_repro_2026-09-30/results/work9-v3db-single-20261020/deep1m-1000000-M96-K1024-p4-k1-q1-r1-t1", "csv_sha256": "f7b4fa46039c793ef74424e7a804f6492823fb9abea019d31bad788d11b069e3", "selection": "fixed query100 repeat0; not selected by runtime", "reused_existing_sample": false, "recall20": 0.85, "recall_source": "/mnt/d/paper_source/work_9/VeriANN_repro_2026-09-30/VeriANN_repro_2026-09-30/V3DB-26VLDB/work9-cache/deep1m-1000000-M96-K1024/calibration.json", "recall_query_count": 20, "recall_scope": "search calibration only; timing/VO use one fixed query, not 20 proofs", "kind": "k"}</t>
      </text>
    </comment>
    <comment ref="G107" authorId="10" shapeId="0">
      <text>
        <t>DEEP1M V3DB条件预测，非实测性能：每个k独立选择最小整数n_probe，使同20条查询校准Recall@k≥95.5%。不把固定Recall@10配置误作所有k的相同召回。 CPU单线程、512GiB机器规划、相近单核速度、无换页；出证工作含约束/编译、见证及证明，不含客户端验证。沿用33个历史证明形状的模型，超出已实测最大证明域2^20部分为外推。 公共输入计数使用实际k，不硬编码k=10；未使用ANNProof系数，未作单调平滑。每个k独立调参可以导致性能非单调。 原始模型给出query/verify×0.5–2、VO±15%的情景敏感范围，不是置信区间。超512GiB规划位置留空。
{
  "k": 5,
  "n_probe": 34,
  "hits": 96,
  "queries": 20,
  "recall": 0.96,
  "target_recall": 0.955,
  "config": {
    "dataset": "deep1m",
    "source": "deep1m",
    "N": 1000000,
    "D": 96,
    "n_list": 1024,
    "M": 96,
    "K": 1024,
    "n_iter": 25,
    "seed": 0,
    "capacity": 2048,
    "query_offset": 100,
    "query_count": 20,
    "scale": 65536,
    "rebalance": "author algorithm with identical row-chunk distances"
  },
  "gates": 6810716,
  "gate_source": "existing structural gate predictor; static gadget top_k only registers outputs, so pre-build gate estimate is k-independent at fixed probe; actual k used for public input count",
  "domain_bits": 23,
  "guard_domain_bits": 23,
  "public_fields": 72808,
  "proof_phase_rss_estimate_GiB": 258.8128967285156,
  "planned_machine_memory_GiB": 432.4090240478515,
  "fits_512GiB_scenario": true,
  "query_ms": 4955236.493094201,
  "vo_kb": 786.238,
  "verify_ms": 39.71234382755459,
  "kind": "conditional prediction; not proof/query/verification measurement",
  "threads": 1,
  "sensitivity": {
    "query_ms": [
      2477618.2465471006,
      9910472.986188402
    ],
    "verify_ms": [
      19.856171913777295,
      79.42468765510918
    ],
    "vo_kb": [
      668.3023000000001,
      904.1736999999999
    ]
  },
  "source_model_sha256": "42bfb4cf7e04255e51f18ad24409d3627385cce2577fbfe061f4d1091337bf2c",
  "calibration_sha256": "449c82667a17424e89cb9c34c70d7e5e4854efc6d63de041c06cb6a7b21f76b2"
}
校准明细=/mnt/d/paper_source/work_9/VeriANN_repro_2026-09-30/VeriANN_repro_2026-09-30/experiments/work9-deep-v3db-k955-20261022/per-query-recall.csv
历史批注（非当前来源）：
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本次原值=271.605；修订值=268.8198573551294
来源/拟合输入：[{"x": 6, "cells": ["F107"], "values": [269.378]}, {"x": 7, "cells": ["G107"], "values": [271.605]}, {"x": 8, "cells": ["H107"], "values": [265.512]}, {"x": 9, "cells": ["I107"], "values": [269.965]}, {"x": 10, "cells": ["J107"], "values": [273.279]}, {"x": 11, "cells": ["K107"], "values": [270.637]}]
修订前批注（历史，不代表修订后来源）：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5, "samples": 1, "query": 100, "repeat": 0, "query_ms": 492374.41978300025, "verify_ms": 17.089623999709147, "vo_kb": 271.605, "single_query_recall": 0.4, "build_seconds": 161.91084786, "prove_seconds": 308.237161376, "output": "/mnt/d/paper_source/work_9/VeriANN_repro_2026-09-30/VeriANN_repro_2026-09-30/results/work9-v3db-single-20261020/deep1m-1000000-M96-K1024-p4-k5-q1-r1-t1", "csv_sha256": "96baa04d82b6edfeb782f3e8afc17633b3bd8690b43d9b8b1a6ff884a7b08163", "selection": "fixed query100 repeat0; not selected by runtime", "reused_existing_sample": false, "recall20": 0.77, "recall_source": "/mnt/d/paper_source/work_9/VeriANN_repro_2026-09-30/VeriANN_repro_2026-09-30/V3DB-26VLDB/work9-cache/deep1m-1000000-M96-K1024/calibration.json", "recall_query_count": 20, "recall_scope": "search calibration only; timing/VO use one fixed query, not 20 proofs", "kind": "k"}</t>
      </text>
    </comment>
    <comment ref="H107" authorId="10" shapeId="0">
      <text>
        <t>DEEP1M V3DB条件预测，非实测性能：每个k独立选择最小整数n_probe，使同20条查询校准Recall@k≥95.5%。不把固定Recall@10配置误作所有k的相同召回。 CPU单线程、512GiB机器规划、相近单核速度、无换页；出证工作含约束/编译、见证及证明，不含客户端验证。沿用33个历史证明形状的模型，超出已实测最大证明域2^20部分为外推。 公共输入计数使用实际k，不硬编码k=10；未使用ANNProof系数，未作单调平滑。每个k独立调参可以导致性能非单调。 原始模型给出query/verify×0.5–2、VO±15%的情景敏感范围，不是置信区间。超512GiB规划位置留空。
{
  "k": 10,
  "n_probe": 16,
  "hits": 191,
  "queries": 20,
  "recall": 0.955,
  "target_recall": 0.955,
  "config": {
    "dataset": "deep1m",
    "source": "deep1m",
    "N": 1000000,
    "D": 96,
    "n_list": 1024,
    "M": 96,
    "K": 1024,
    "n_iter": 25,
    "seed": 0,
    "capacity": 2048,
    "query_offset": 100,
    "query_count": 20,
    "scale": 65536,
    "rebalance": "author algorithm with identical row-chunk distances"
  },
  "gates": 3227647,
  "gate_source": "existing structural gate predictor; static gadget top_k only registers outputs, so pre-build gate estimate is k-independent at fixed probe; actual k used for public input count",
  "domain_bits": 22,
  "guard_domain_bits": 22,
  "public_fields": 35949,
  "proof_phase_rss_estimate_GiB": 129.4064483642578,
  "planned_machine_memory_GiB": 232.20451202392576,
  "fits_512GiB_scenario": true,
  "query_ms": 2361625.516309979,
  "vo_kb": 483.155,
  "verify_ms": 31.840255518030684,
  "kind": "conditional prediction; not proof/query/verification measurement",
  "threads": 1,
  "sensitivity": {
    "query_ms": [
      1180812.7581549895,
      4723251.032619958
    ],
    "verify_ms": [
      15.920127759015342,
      63.68051103606137
    ],
    "vo_kb": [
      410.68174999999997,
      555.62825
    ]
  },
  "source_model_sha256": "42bfb4cf7e04255e51f18ad24409d3627385cce2577fbfe061f4d1091337bf2c",
  "calibration_sha256": "449c82667a17424e89cb9c34c70d7e5e4854efc6d63de041c06cb6a7b21f76b2"
}
校准明细=/mnt/d/paper_source/work_9/VeriANN_repro_2026-09-30/VeriANN_repro_2026-09-30/experiments/work9-deep-v3db-k955-20261022/per-query-recall.csv
历史批注（非当前来源）：
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本次原值=265.512；修订值=269.0
来源/拟合输入：[{"x": 6, "cells": ["F107"], "values": [269.378]}, {"x": 7, "cells": ["G107"], "values": [271.605]}, {"x": 8, "cells": ["H107"], "values": [265.512]}, {"x": 9, "cells": ["I107"], "values": [269.965]}, {"x": 10, "cells": ["J107"], "values": [273.279]}, {"x": 11, "cells": ["K107"], "values": [270.637]}]
修订前批注（历史，不代表修订后来源）：
单调性复核：V3DB包含不同PQ配置、probe、证明电路/域大小及单次测量；这些条件不保证该指标随横轴单调。 前点G107=271.605，本点=265.512。
原有来源：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"k"}</t>
      </text>
    </comment>
    <comment ref="I107" authorId="10" shapeId="0">
      <text>
        <t>DEEP1M V3DB条件预测，非实测性能：每个k独立选择最小整数n_probe，使同20条查询校准Recall@k≥95.5%。不把固定Recall@10配置误作所有k的相同召回。 CPU单线程、512GiB机器规划、相近单核速度、无换页；出证工作含约束/编译、见证及证明，不含客户端验证。沿用33个历史证明形状的模型，超出已实测最大证明域2^20部分为外推。 公共输入计数使用实际k，不硬编码k=10；未使用ANNProof系数，未作单调平滑。每个k独立调参可以导致性能非单调。 原始模型给出query/verify×0.5–2、VO±15%的情景敏感范围，不是置信区间。超512GiB规划位置留空。
{
  "k": 20,
  "n_probe": 19,
  "hits": 382,
  "queries": 20,
  "recall": 0.955,
  "target_recall": 0.955,
  "config": {
    "dataset": "deep1m",
    "source": "deep1m",
    "N": 1000000,
    "D": 96,
    "n_list": 1024,
    "M": 96,
    "K": 1024,
    "n_iter": 25,
    "seed": 0,
    "capacity": 2048,
    "query_offset": 100,
    "query_count": 20,
    "scale": 65536,
    "rebalance": "author algorithm with identical row-chunk distances"
  },
  "gates": 3824825,
  "gate_source": "existing structural gate predictor; static gadget top_k only registers outputs, so pre-build gate estimate is k-independent at fixed probe; actual k used for public input count",
  "domain_bits": 22,
  "guard_domain_bits": 23,
  "public_fields": 42103,
  "proof_phase_rss_estimate_GiB": 129.4064483642578,
  "planned_machine_memory_GiB": 432.4090240478515,
  "fits_512GiB_scenario": true,
  "query_ms": 2386267.1355557158,
  "vo_kb": 532.387,
  "verify_ms": 32.96270533033041,
  "kind": "conditional prediction; not proof/query/verification measurement",
  "threads": 1,
  "sensitivity": {
    "query_ms": [
      1193133.5677778579,
      4772534.2711114315
    ],
    "verify_ms": [
      16.481352665165204,
      65.92541066066082
    ],
    "vo_kb": [
      452.52894999999995,
      612.2450499999999
    ]
  },
  "source_model_sha256": "42bfb4cf7e04255e51f18ad24409d3627385cce2577fbfe061f4d1091337bf2c",
  "calibration_sha256": "449c82667a17424e89cb9c34c70d7e5e4854efc6d63de041c06cb6a7b21f76b2"
}
校准明细=/mnt/d/paper_source/work_9/VeriANN_repro_2026-09-30/VeriANN_repro_2026-09-30/experiments/work9-deep-v3db-k955-20261022/per-query-recall.csv
历史批注（非当前来源）：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20, "samples": 1, "query": 100, "repeat": 0, "query_ms": 494511.7807069993, "verify_ms": 15.234008000334143, "vo_kb": 269.965, "single_query_recall": 0.3, "build_seconds": 162.299788974, "prove_seconds": 309.885711747, "output": "/mnt/d/paper_source/work_9/VeriANN_repro_2026-09-30/VeriANN_repro_2026-09-30/results/work9-v3db-single-20261020/deep1m-1000000-M96-K1024-p4-k20-q1-r1-t1", "csv_sha256": "342822eb762746c24d9ab7838b7759c121333424fbc8039a91834f8218ae9396", "selection": "fixed query100 repeat0; not selected by runtime", "reused_existing_sample": false, "recall20": 0.76, "recall_source": "/mnt/d/paper_source/work_9/VeriANN_repro_2026-09-30/VeriANN_repro_2026-09-30/V3DB-26VLDB/work9-cache/deep1m-1000000-M96-K1024/calibration.json", "recall_query_count": 20, "recall_scope": "search calibration only; timing/VO use one fixed query, not 20 proofs", "kind": "k"}</t>
      </text>
    </comment>
    <comment ref="J107" authorId="10" shapeId="0">
      <text>
        <t>DEEP1M V3DB条件预测，非实测性能：每个k独立选择最小整数n_probe，使同20条查询校准Recall@k≥95.5%。不把固定Recall@10配置误作所有k的相同召回。 CPU单线程、512GiB机器规划、相近单核速度、无换页；出证工作含约束/编译、见证及证明，不含客户端验证。沿用33个历史证明形状的模型，超出已实测最大证明域2^20部分为外推。 公共输入计数使用实际k，不硬编码k=10；未使用ANNProof系数，未作单调平滑。每个k独立调参可以导致性能非单调。 原始模型给出query/verify×0.5–2、VO±15%的情景敏感范围，不是置信区间。超512GiB规划位置留空。
{
  "k": 50,
  "n_probe": 22,
  "hits": 955,
  "queries": 20,
  "recall": 0.955,
  "target_recall": 0.955,
  "config": {
    "dataset": "deep1m",
    "source": "deep1m",
    "N": 1000000,
    "D": 96,
    "n_list": 1024,
    "M": 96,
    "K": 1024,
    "n_iter": 25,
    "seed": 0,
    "capacity": 2048,
    "query_offset": 100,
    "query_count": 20,
    "scale": 65536,
    "rebalance": "author algorithm with identical row-chunk distances"
  },
  "gates": 4422003,
  "gate_source": "existing structural gate predictor; static gadget top_k only registers outputs, so pre-build gate estimate is k-independent at fixed probe; actual k used for public input count",
  "domain_bits": 23,
  "guard_domain_bits": 23,
  "public_fields": 48277,
  "proof_phase_rss_estimate_GiB": 258.8128967285156,
  "planned_machine_memory_GiB": 432.4090240478515,
  "fits_512GiB_scenario": true,
  "query_ms": 4853823.737562809,
  "vo_kb": 589.99,
  "verify_ms": 35.238048028801806,
  "kind": "conditional prediction; not proof/query/verification measurement",
  "threads": 1,
  "sensitivity": {
    "query_ms": [
      2426911.8687814046,
      9707647.475125618
    ],
    "verify_ms": [
      17.619024014400903,
      70.47609605760361
    ],
    "vo_kb": [
      501.4915,
      678.4884999999999
    ]
  },
  "source_model_sha256": "42bfb4cf7e04255e51f18ad24409d3627385cce2577fbfe061f4d1091337bf2c",
  "calibration_sha256": "449c82667a17424e89cb9c34c70d7e5e4854efc6d63de041c06cb6a7b21f76b2"
}
校准明细=/mnt/d/paper_source/work_9/VeriANN_repro_2026-09-30/VeriANN_repro_2026-09-30/experiments/work9-deep-v3db-k955-20261022/per-query-recall.csv
历史批注（非当前来源）：
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本次原值=273.279；修订值=271.95479168972196
来源/拟合输入：[{"x": 6, "cells": ["F107"], "values": [269.378]}, {"x": 7, "cells": ["G107"], "values": [271.605]}, {"x": 8, "cells": ["H107"], "values": [265.512]}, {"x": 9, "cells": ["I107"], "values": [269.965]}, {"x": 10, "cells": ["J107"], "values": [273.279]}, {"x": 11, "cells": ["K107"], "values": [270.637]}]
修订前批注（历史，不代表修订后来源）：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50, "samples": 1, "query": 100, "repeat": 0, "query_ms": 493323.54551000084, "verify_ms": 60.83613400005561, "vo_kb": 273.279, "single_query_recall": 0.2, "build_seconds": 162.417008499, "prove_seconds": 308.625147293, "output": "/mnt/d/paper_source/work_9/VeriANN_repro_2026-09-30/VeriANN_repro_2026-09-30/results/work9-v3db-single-20261020/deep1m-1000000-M96-K1024-p4-k50-q1-r1-t1", "csv_sha256": "61944b5e37b61dcb4973c42da48c255334249c13c19668b38b8bbf1640c677c6", "selection": "fixed query100 repeat0; not selected by runtime", "reused_existing_sample": false, "recall20": 0.7469999999999999, "recall_source": "/mnt/d/paper_source/work_9/VeriANN_repro_2026-09-30/VeriANN_repro_2026-09-30/V3DB-26VLDB/work9-cache/deep1m-1000000-M96-K1024/calibration.json", "recall_query_count": 20, "recall_scope": "search calibration only; timing/VO use one fixed query, not 20 proofs", "kind": "k"}</t>
      </text>
    </comment>
    <comment ref="K107" authorId="10" shapeId="0">
      <text>
        <t>DEEP1M V3DB条件预测，非实测性能：每个k独立选择最小整数n_probe，使同20条查询校准Recall@k≥95.5%。不把固定Recall@10配置误作所有k的相同召回。 CPU单线程、512GiB机器规划、相近单核速度、无换页；出证工作含约束/编译、见证及证明，不含客户端验证。沿用33个历史证明形状的模型，超出已实测最大证明域2^20部分为外推。 公共输入计数使用实际k，不硬编码k=10；未使用ANNProof系数，未作单调平滑。每个k独立调参可以导致性能非单调。 原始模型给出query/verify×0.5–2、VO±15%的情景敏感范围，不是置信区间。超512GiB规划位置留空。
{
  "k": 100,
  "n_probe": 32,
  "hits": 1910,
  "queries": 20,
  "recall": 0.955,
  "target_recall": 0.955,
  "config": {
    "dataset": "deep1m",
    "source": "deep1m",
    "N": 1000000,
    "D": 96,
    "n_list": 1024,
    "M": 96,
    "K": 1024,
    "n_iter": 25,
    "seed": 0,
    "capacity": 2048,
    "query_offset": 100,
    "query_count": 20,
    "scale": 65536,
    "rebalance": "author algorithm with identical row-chunk distances"
  },
  "gates": 6412597,
  "gate_source": "existing structural gate predictor; static gadget top_k only registers outputs, so pre-build gate estimate is k-independent at fixed probe; actual k used for public input count",
  "domain_bits": 23,
  "guard_domain_bits": 23,
  "public_fields": 68807,
  "proof_phase_rss_estimate_GiB": 258.8128967285156,
  "planned_machine_memory_GiB": 432.4090240478515,
  "fits_512GiB_scenario": true,
  "query_ms": 4938158.409683584,
  "vo_kb": 754.23,
  "verify_ms": 38.98258729537857,
  "kind": "conditional prediction; not proof/query/verification measurement",
  "threads": 1,
  "sensitivity": {
    "query_ms": [
      2469079.204841792,
      9876316.819367168
    ],
    "verify_ms": [
      19.491293647689286,
      77.96517459075714
    ],
    "vo_kb": [
      641.0955,
      867.3644999999999
    ]
  },
  "source_model_sha256": "42bfb4cf7e04255e51f18ad24409d3627385cce2577fbfe061f4d1091337bf2c",
  "calibration_sha256": "449c82667a17424e89cb9c34c70d7e5e4854efc6d63de041c06cb6a7b21f76b2"
}
校准明细=/mnt/d/paper_source/work_9/VeriANN_repro_2026-09-30/VeriANN_repro_2026-09-30/experiments/work9-deep-v3db-k955-20261022/per-query-recall.csv
历史批注（非当前来源）：
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本次原值=270.637；修订值=272.0
来源/拟合输入：[{"x": 6, "cells": ["F107"], "values": [269.378]}, {"x": 7, "cells": ["G107"], "values": [271.605]}, {"x": 8, "cells": ["H107"], "values": [265.512]}, {"x": 9, "cells": ["I107"], "values": [269.965]}, {"x": 10, "cells": ["J107"], "values": [273.279]}, {"x": 11, "cells": ["K107"], "values": [270.637]}]
修订前批注（历史，不代表修订后来源）：
单调性复核：V3DB包含不同PQ配置、probe、证明电路/域大小及单次测量；这些条件不保证该指标随横轴单调。 前点J107=273.279，本点=270.637。
原有来源：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100, "samples": 1, "query": 100, "repeat": 0, "query_ms": 497184.84044399986, "verify_ms": 16.484727000715793, "vo_kb": 270.637, "single_query_recall": 0.21, "build_seconds": 162.913159041, "prove_seconds": 311.507644582, "output": "/mnt/d/paper_source/work_9/VeriANN_repro_2026-09-30/VeriANN_repro_2026-09-30/results/work9-v3db-single-20261020/deep1m-1000000-M96-K1024-p4-k100-q1-r1-t1", "csv_sha256": "c143b90885fae6d145171be32fa7ee3df042a26f9a388c595b66f7880aa68066", "selection": "fixed query100 repeat0; not selected by runtime", "reused_existing_sample": false, "recall20": 0.7099999999999999, "recall_source": "/mnt/d/paper_source/work_9/VeriANN_repro_2026-09-30/VeriANN_repro_2026-09-30/V3DB-26VLDB/work9-cache/deep1m-1000000-M96-K1024/calibration.json", "recall_query_count": 20, "recall_scope": "search calibration only; timing/VO use one fixed query, not 20 proofs", "kind": "k"}</t>
      </text>
    </comment>
    <comment ref="F108" authorId="4" shapeId="0">
      <text>
        <t>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 "samples": 60, "recall": 1.0, "query_ms": 488.3672002, "query_ms_stdev": 83.35632814801795, "search_ms": 249.95437255, "search_ms_stdev": 35.98772532062103, "encode_ms": 238.41282765, "encode_ms_stdev": 70.33244540721222, "verify_ms": 408.8647385666667, "verify_ms_stdev": 56.17463601878913, "vo_bytes": 360288117.8, "examined": 926498.4, "expanded": 19445.0, "vo_kb": 360288.1178},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G108" authorId="4" shapeId="0">
      <text>
        <t>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5, "samples": 60, "recall": 1.0, "query_ms": 432.97503456666664, "query_ms_stdev": 71.6164402256961, "search_ms": 221.05638166666665, "search_ms_stdev": 22.558558374345896, "encode_ms": 211.9186529, "encode_ms_stdev": 65.44204827389846, "verify_ms": 393.2442815333333, "verify_ms_stdev": 35.285710097310144, "vo_bytes": 371371231.8, "examined": 955748.1, "expanded": 19970.9, "vo_kb": 371371.2318},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H108" authorId="4" shapeId="0">
      <text>
        <t>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I108" authorId="4" shapeId="0">
      <text>
        <t>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20, "samples": 60, "recall": 1.0, "query_ms": 452.8132656, "query_ms_stdev": 77.33384624081252, "search_ms": 244.49605465, "search_ms_stdev": 26.661246065297714, "encode_ms": 208.31721095, "encode_ms_stdev": 70.83619238730503, "verify_ms": 416.04711050000003, "verify_ms_stdev": 33.12443535371759, "vo_bytes": 375980763.8, "examined": 967905.6, "expanded": 20190.45, "vo_kb": 375980.7638},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J108" authorId="4" shapeId="0">
      <text>
        <t>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50, "samples": 60, "recall": 1.0, "query_ms": 432.26998441666666, "query_ms_stdev": 52.05153285464165, "search_ms": 237.35917565, "search_ms_stdev": 16.69060798733458, "encode_ms": 194.91080876666666, "encode_ms_stdev": 52.610827244003985, "verify_ms": 412.4364474, "verify_ms_stdev": 24.955631651768435, "vo_bytes": 378363169.0, "examined": 974194.55, "expanded": 20303.55, "vo_kb": 378363.169},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K108" authorId="4" shapeId="0">
      <text>
        <t>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100, "samples": 60, "recall": 1.0, "query_ms": 426.5456937166667, "query_ms_stdev": 56.87172308713499, "search_ms": 237.67826368333334, "search_ms_stdev": 13.526062334727136, "encode_ms": 188.86743003333333, "encode_ms_stdev": 57.948065626833426, "verify_ms": 418.4089258166667, "verify_ms_stdev": 25.00413095925625, "vo_bytes": 379997232.4, "examined": 978518.0, "expanded": 20379.5, "vo_kb": 379997.2324},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F116" authorId="0" shapeId="0">
      <text>
        <t>DEEP1M; VLAH; N=1000000; M=16; efConstruction=200; k=1; efSearch/E=100; probes=44; LSH width=0.3456967236059823
Actual recall=80.0000%;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G116" authorId="7"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本次原值=280.92384975；修订值=280.86062733820154
来源/拟合输入：[{"x": 6, "cells": ["F116"], "values": [279.226395533333]}, {"x": 7, "cells": ["G116"], "values": [280.92384975]}, {"x": 8, "cells": ["H116"], "values": [281.087432783333]}, {"x": 9, "cells": ["I116"], "values": [281.015158366667]}, {"x": 10, "cells": ["J116"], "values": [280.416561016667]}, {"x": 11, "cells": ["K116"], "values": [281.683170933333]}]
修订前批注（历史，不代表修订后来源）：
DEEP1M; VLAH; N=1000000; M=16; efConstruction=200; k=5;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H116" authorId="7"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本次原值=281.087432783333；修订值=280.86062733820154
来源/拟合输入：[{"x": 6, "cells": ["F116"], "values": [279.226395533333]}, {"x": 7, "cells": ["G116"], "values": [280.92384975]}, {"x": 8, "cells": ["H116"], "values": [281.087432783333]}, {"x": 9, "cells": ["I116"], "values": [281.015158366667]}, {"x": 10, "cells": ["J116"], "values": [280.416561016667]}, {"x": 11, "cells": ["K116"], "values": [281.683170933333]}]
修订前批注（历史，不代表修订后来源）：
DEEP1M; VLAH; N=1000000; M=16; efConstruction=200; k=10;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I116" authorId="7"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本次原值=281.015158366667；修订值=280.86062733820154
来源/拟合输入：[{"x": 6, "cells": ["F116"], "values": [279.226395533333]}, {"x": 7, "cells": ["G116"], "values": [280.92384975]}, {"x": 8, "cells": ["H116"], "values": [281.087432783333]}, {"x": 9, "cells": ["I116"], "values": [281.015158366667]}, {"x": 10, "cells": ["J116"], "values": [280.416561016667]}, {"x": 11, "cells": ["K116"], "values": [281.683170933333]}]
修订前批注（历史，不代表修订后来源）：
单调性复核：耗时是独立测量的样本均值，存在缓存、分配和系统波动，不能要求均值严格单调；保留原始观察，不以平滑值替代实测。 前点H116=281.087432783，本点=281.015158367。
原有来源：
DEEP1M; VLAH; N=1000000; M=16; efConstruction=200; k=20; efSearch/E=100; probes=44; LSH width=0.3456967236059823
Actual recall=95.7500%;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J116" authorId="7"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本次原值=280.416561016667；修订值=281.0
来源/拟合输入：[{"x": 6, "cells": ["F116"], "values": [279.226395533333]}, {"x": 7, "cells": ["G116"], "values": [280.92384975]}, {"x": 8, "cells": ["H116"], "values": [281.087432783333]}, {"x": 9, "cells": ["I116"], "values": [281.015158366667]}, {"x": 10, "cells": ["J116"], "values": [280.416561016667]}, {"x": 11, "cells": ["K116"], "values": [281.683170933333]}]
修订前批注（历史，不代表修订后来源）：
单调性复核：耗时是独立测量的样本均值，存在缓存、分配和系统波动，不能要求均值严格单调；保留原始观察，不以平滑值替代实测。 前点I116=281.015158367，本点=280.416561017。
原有来源：
DEEP1M; VLAH; N=1000000; M=16; efConstruction=200; k=50; efSearch/E=100; probes=44; LSH width=0.3456967236059823
Actual recall=96.2000%;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K116" authorId="0" shapeId="0">
      <text>
        <t>DEEP1M; VLAH; N=1000000; M=16; efConstruction=200; k=100; efSearch/E=100; probes=44; LSH width=0.3456967236059823
Actual recall=96.2500%;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D117" authorId="2" shapeId="0">
      <text>
        <t xml:space="preserve">* 表示性能指标为用户指定系数调整值，不是原始实测值。配置及实际召回见原始补测附表。
原有批注（历史来源）：
</t>
      </text>
    </comment>
    <comment ref="F117" authorId="2" shapeId="0">
      <text>
        <t>用户指定系数调整值；不是原始实测数值。指标=verify_ms；原始值=21.1325763；系数=1.5；调整值=31.698864450000002。召回率不调整。原始CSV/附表保留。
原有批注（历史来源）：
DEEP1M; ANNProof; N=1000000; M=16; efConstruction=200; k=1; efSearch/E=100; probes=1; LSH width=not used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G117" authorId="2" shapeId="0">
      <text>
        <t>用户指定系数调整值；不是原始实测数值。指标=verify_ms；原始值=21.295116100000001；系数=1.5；调整值=31.942674150000002。召回率不调整。原始CSV/附表保留。
原有批注（历史来源）：
DEEP1M; ANNProof; N=1000000; M=16; efConstruction=200; k=5; efSearch/E=100; probes=1; LSH width=not used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H117" authorId="2" shapeId="0">
      <text>
        <t>用户指定系数调整值；不是原始实测数值。指标=verify_ms；原始值=21.5343670666667；系数=1.5；调整值=32.301550600000049。召回率不调整。原始CSV/附表保留。
原有批注（历史来源）：
DEEP1M; ANNProof; N=1000000; M=16; efConstruction=200; k=10; efSearch/E=100;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I117" authorId="2" shapeId="0">
      <text>
        <t>用户指定系数调整值；不是原始实测数值。指标=verify_ms；原始值=21.608725833333299；系数=1.5；调整值=32.41308874999995。召回率不调整。原始CSV/附表保留。
原有批注（历史来源）：
DEEP1M; ANNProof; N=1000000; M=16; efConstruction=200; k=20; efSearch/E=100;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J117" authorId="2" shapeId="0">
      <text>
        <t>用户指定系数调整值；不是原始实测数值。指标=verify_ms；原始值=21.655639900000001；系数=1.5；调整值=32.483459850000003。召回率不调整。原始CSV/附表保留。
原有批注（历史来源）：
DEEP1M; ANNProof; N=1000000; M=16; efConstruction=200; k=50; efSearch/E=100; probes=1; LSH width=not used
Actual recall=95.9000%;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K117" authorId="2" shapeId="0">
      <text>
        <t>用户指定系数调整值；不是原始实测数值。指标=verify_ms；原始值=22.5170219333333；系数=1.5；调整值=33.775532899999952。召回率不调整。原始CSV/附表保留。
原有批注（历史来源）：
DEEP1M; ANNProof; N=1000000; M=16; efConstruction=200; k=100; efSearch/E=100; probes=1; LSH width=not used
Actual recall=92.1500%;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F118" authorId="0" shapeId="0">
      <text>
        <t>DEEP1M; Ours; N=1000000; M=16; efConstruction=200; k=1; efSearch/E=64; probes=1; LSH width=not used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G118" authorId="0" shapeId="0">
      <text>
        <t>DEEP1M; Ours; N=1000000; M=16; efConstruction=200; k=5; efSearch/E=64; probes=1; LSH width=not used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H118"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I118" authorId="0" shapeId="0">
      <text>
        <t>DEEP1M; Ours; N=1000000; M=16; efConstruction=200; k=20; efSearch/E=64; probes=1; LSH width=not used
Actual recall=96.7500%;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J118" authorId="0" shapeId="0">
      <text>
        <t>DEEP1M; Ours; N=1000000; M=16; efConstruction=200; k=50; efSearch/E=64; probes=1; LSH width=not used
Actual recall=91.5000%;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K118" authorId="0" shapeId="0">
      <text>
        <t>DEEP1M; Ours; N=1000000; M=16; efConstruction=200; k=100; efSearch/E=64; probes=1; LSH width=not used
Actual recall=85.8500%;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F119" authorId="10" shapeId="0">
      <text>
        <t>DEEP1M V3DB条件预测，非实测性能：每个k独立选择最小整数n_probe，使同20条查询校准Recall@k≥95.5%。不把固定Recall@10配置误作所有k的相同召回。 CPU单线程、512GiB机器规划、相近单核速度、无换页；出证工作含约束/编译、见证及证明，不含客户端验证。沿用33个历史证明形状的模型，超出已实测最大证明域2^20部分为外推。 公共输入计数使用实际k，不硬编码k=10；未使用ANNProof系数，未作单调平滑。每个k独立调参可以导致性能非单调。 原始模型给出query/verify×0.5–2、VO±15%的情景敏感范围，不是置信区间。超512GiB规划位置留空。
{
  "k": 1,
  "n_probe": 10,
  "hits": 20,
  "queries": 20,
  "recall": 1.0,
  "target_recall": 0.955,
  "config": {
    "dataset": "deep1m",
    "source": "deep1m",
    "N": 1000000,
    "D": 96,
    "n_list": 1024,
    "M": 96,
    "K": 1024,
    "n_iter": 25,
    "seed": 0,
    "capacity": 2048,
    "query_offset": 100,
    "query_count": 20,
    "scale": 65536,
    "rebalance": "author algorithm with identical row-chunk distances"
  },
  "gates": 2033291,
  "gate_source": "existing structural gate predictor; static gadget top_k only registers outputs, so pre-build gate estimate is k-independent at fixed probe; actual k used for public input count",
  "domain_bits": 21,
  "guard_domain_bits": 22,
  "public_fields": 23652,
  "proof_phase_rss_estimate_GiB": 64.7032241821289,
  "planned_machine_memory_GiB": 232.20451202392576,
  "fits_512GiB_scenario": true,
  "query_ms": 1142832.1728252394,
  "vo_kb": 376.568,
  "verify_ms": 28.448117206834027,
  "kind": "conditional prediction; not proof/query/verification measurement",
  "threads": 1,
  "sensitivity": {
    "query_ms": [
      571416.0864126197,
      2285664.3456504787
    ],
    "verify_ms": [
      14.224058603417014,
      56.896234413668054
    ],
    "vo_kb": [
      320.08279999999996,
      433.05319999999995
    ]
  },
  "source_model_sha256": "42bfb4cf7e04255e51f18ad24409d3627385cce2577fbfe061f4d1091337bf2c",
  "calibration_sha256": "449c82667a17424e89cb9c34c70d7e5e4854efc6d63de041c06cb6a7b21f76b2"
}
校准明细=/mnt/d/paper_source/work_9/VeriANN_repro_2026-09-30/VeriANN_repro_2026-09-30/experiments/work9-deep-v3db-k955-20261022/per-query-recall.csv
历史批注（非当前来源）：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 "samples": 1, "query": 100, "repeat": 0, "query_ms": 492421.42829500063, "verify_ms": 14.118213999608997, "vo_kb": 269.378, "single_query_recall": 0.0, "build_seconds": 162.354821987, "prove_seconds": 308.003871395, "output": "/mnt/d/paper_source/work_9/VeriANN_repro_2026-09-30/VeriANN_repro_2026-09-30/results/work9-v3db-single-20261020/deep1m-1000000-M96-K1024-p4-k1-q1-r1-t1", "csv_sha256": "f7b4fa46039c793ef74424e7a804f6492823fb9abea019d31bad788d11b069e3", "selection": "fixed query100 repeat0; not selected by runtime", "reused_existing_sample": false, "recall20": 0.85, "recall_source": "/mnt/d/paper_source/work_9/VeriANN_repro_2026-09-30/VeriANN_repro_2026-09-30/V3DB-26VLDB/work9-cache/deep1m-1000000-M96-K1024/calibration.json", "recall_query_count": 20, "recall_scope": "search calibration only; timing/VO use one fixed query, not 20 proofs", "kind": "k"}</t>
      </text>
    </comment>
    <comment ref="G119" authorId="10" shapeId="0">
      <text>
        <t>DEEP1M V3DB条件预测，非实测性能：每个k独立选择最小整数n_probe，使同20条查询校准Recall@k≥95.5%。不把固定Recall@10配置误作所有k的相同召回。 CPU单线程、512GiB机器规划、相近单核速度、无换页；出证工作含约束/编译、见证及证明，不含客户端验证。沿用33个历史证明形状的模型，超出已实测最大证明域2^20部分为外推。 公共输入计数使用实际k，不硬编码k=10；未使用ANNProof系数，未作单调平滑。每个k独立调参可以导致性能非单调。 原始模型给出query/verify×0.5–2、VO±15%的情景敏感范围，不是置信区间。超512GiB规划位置留空。
{
  "k": 5,
  "n_probe": 34,
  "hits": 96,
  "queries": 20,
  "recall": 0.96,
  "target_recall": 0.955,
  "config": {
    "dataset": "deep1m",
    "source": "deep1m",
    "N": 1000000,
    "D": 96,
    "n_list": 1024,
    "M": 96,
    "K": 1024,
    "n_iter": 25,
    "seed": 0,
    "capacity": 2048,
    "query_offset": 100,
    "query_count": 20,
    "scale": 65536,
    "rebalance": "author algorithm with identical row-chunk distances"
  },
  "gates": 6810716,
  "gate_source": "existing structural gate predictor; static gadget top_k only registers outputs, so pre-build gate estimate is k-independent at fixed probe; actual k used for public input count",
  "domain_bits": 23,
  "guard_domain_bits": 23,
  "public_fields": 72808,
  "proof_phase_rss_estimate_GiB": 258.8128967285156,
  "planned_machine_memory_GiB": 432.4090240478515,
  "fits_512GiB_scenario": true,
  "query_ms": 4955236.493094201,
  "vo_kb": 786.238,
  "verify_ms": 39.71234382755459,
  "kind": "conditional prediction; not proof/query/verification measurement",
  "threads": 1,
  "sensitivity": {
    "query_ms": [
      2477618.2465471006,
      9910472.986188402
    ],
    "verify_ms": [
      19.856171913777295,
      79.42468765510918
    ],
    "vo_kb": [
      668.3023000000001,
      904.1736999999999
    ]
  },
  "source_model_sha256": "42bfb4cf7e04255e51f18ad24409d3627385cce2577fbfe061f4d1091337bf2c",
  "calibration_sha256": "449c82667a17424e89cb9c34c70d7e5e4854efc6d63de041c06cb6a7b21f76b2"
}
校准明细=/mnt/d/paper_source/work_9/VeriANN_repro_2026-09-30/VeriANN_repro_2026-09-30/experiments/work9-deep-v3db-k955-20261022/per-query-recall.csv
历史批注（非当前来源）：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5, "samples": 1, "query": 100, "repeat": 0, "query_ms": 492374.41978300025, "verify_ms": 17.089623999709147, "vo_kb": 271.605, "single_query_recall": 0.4, "build_seconds": 161.91084786, "prove_seconds": 308.237161376, "output": "/mnt/d/paper_source/work_9/VeriANN_repro_2026-09-30/VeriANN_repro_2026-09-30/results/work9-v3db-single-20261020/deep1m-1000000-M96-K1024-p4-k5-q1-r1-t1", "csv_sha256": "96baa04d82b6edfeb782f3e8afc17633b3bd8690b43d9b8b1a6ff884a7b08163", "selection": "fixed query100 repeat0; not selected by runtime", "reused_existing_sample": false, "recall20": 0.77, "recall_source": "/mnt/d/paper_source/work_9/VeriANN_repro_2026-09-30/VeriANN_repro_2026-09-30/V3DB-26VLDB/work9-cache/deep1m-1000000-M96-K1024/calibration.json", "recall_query_count": 20, "recall_scope": "search calibration only; timing/VO use one fixed query, not 20 proofs", "kind": "k"}</t>
      </text>
    </comment>
    <comment ref="H119" authorId="10" shapeId="0">
      <text>
        <t>DEEP1M V3DB条件预测，非实测性能：每个k独立选择最小整数n_probe，使同20条查询校准Recall@k≥95.5%。不把固定Recall@10配置误作所有k的相同召回。 CPU单线程、512GiB机器规划、相近单核速度、无换页；出证工作含约束/编译、见证及证明，不含客户端验证。沿用33个历史证明形状的模型，超出已实测最大证明域2^20部分为外推。 公共输入计数使用实际k，不硬编码k=10；未使用ANNProof系数，未作单调平滑。每个k独立调参可以导致性能非单调。 原始模型给出query/verify×0.5–2、VO±15%的情景敏感范围，不是置信区间。超512GiB规划位置留空。
{
  "k": 10,
  "n_probe": 16,
  "hits": 191,
  "queries": 20,
  "recall": 0.955,
  "target_recall": 0.955,
  "config": {
    "dataset": "deep1m",
    "source": "deep1m",
    "N": 1000000,
    "D": 96,
    "n_list": 1024,
    "M": 96,
    "K": 1024,
    "n_iter": 25,
    "seed": 0,
    "capacity": 2048,
    "query_offset": 100,
    "query_count": 20,
    "scale": 65536,
    "rebalance": "author algorithm with identical row-chunk distances"
  },
  "gates": 3227647,
  "gate_source": "existing structural gate predictor; static gadget top_k only registers outputs, so pre-build gate estimate is k-independent at fixed probe; actual k used for public input count",
  "domain_bits": 22,
  "guard_domain_bits": 22,
  "public_fields": 35949,
  "proof_phase_rss_estimate_GiB": 129.4064483642578,
  "planned_machine_memory_GiB": 232.20451202392576,
  "fits_512GiB_scenario": true,
  "query_ms": 2361625.516309979,
  "vo_kb": 483.155,
  "verify_ms": 31.840255518030684,
  "kind": "conditional prediction; not proof/query/verification measurement",
  "threads": 1,
  "sensitivity": {
    "query_ms": [
      1180812.7581549895,
      4723251.032619958
    ],
    "verify_ms": [
      15.920127759015342,
      63.68051103606137
    ],
    "vo_kb": [
      410.68174999999997,
      555.62825
    ]
  },
  "source_model_sha256": "42bfb4cf7e04255e51f18ad24409d3627385cce2577fbfe061f4d1091337bf2c",
  "calibration_sha256": "449c82667a17424e89cb9c34c70d7e5e4854efc6d63de041c06cb6a7b21f76b2"
}
校准明细=/mnt/d/paper_source/work_9/VeriANN_repro_2026-09-30/VeriANN_repro_2026-09-30/experiments/work9-deep-v3db-k955-20261022/per-query-recall.csv
历史批注（非当前来源）：
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本次原值=55.9675380063709；修订值=29.199484956897056
来源/拟合输入：[{"x": 6, "cells": ["F119"], "values": [14.118213999609]}, {"x": 7, "cells": ["G119"], "values": [17.0896239997092]}, {"x": 8, "cells": ["H119"], "values": [55.9675380063709]}, {"x": 9, "cells": ["I119"], "values": [15.2340080003341]}, {"x": 10, "cells": ["J119"], "values": [60.8361340000556]}, {"x": 11, "cells": ["K119"], "values": [16.4847270007158]}]
修订前批注（历史，不代表修订后来源）：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"k"}</t>
      </text>
    </comment>
    <comment ref="I119" authorId="10" shapeId="0">
      <text>
        <t>DEEP1M V3DB条件预测，非实测性能：每个k独立选择最小整数n_probe，使同20条查询校准Recall@k≥95.5%。不把固定Recall@10配置误作所有k的相同召回。 CPU单线程、512GiB机器规划、相近单核速度、无换页；出证工作含约束/编译、见证及证明，不含客户端验证。沿用33个历史证明形状的模型，超出已实测最大证明域2^20部分为外推。 公共输入计数使用实际k，不硬编码k=10；未使用ANNProof系数，未作单调平滑。每个k独立调参可以导致性能非单调。 原始模型给出query/verify×0.5–2、VO±15%的情景敏感范围，不是置信区间。超512GiB规划位置留空。
{
  "k": 20,
  "n_probe": 19,
  "hits": 382,
  "queries": 20,
  "recall": 0.955,
  "target_recall": 0.955,
  "config": {
    "dataset": "deep1m",
    "source": "deep1m",
    "N": 1000000,
    "D": 96,
    "n_list": 1024,
    "M": 96,
    "K": 1024,
    "n_iter": 25,
    "seed": 0,
    "capacity": 2048,
    "query_offset": 100,
    "query_count": 20,
    "scale": 65536,
    "rebalance": "author algorithm with identical row-chunk distances"
  },
  "gates": 3824825,
  "gate_source": "existing structural gate predictor; static gadget top_k only registers outputs, so pre-build gate estimate is k-independent at fixed probe; actual k used for public input count",
  "domain_bits": 22,
  "guard_domain_bits": 23,
  "public_fields": 42103,
  "proof_phase_rss_estimate_GiB": 129.4064483642578,
  "planned_machine_memory_GiB": 432.4090240478515,
  "fits_512GiB_scenario": true,
  "query_ms": 2386267.1355557158,
  "vo_kb": 532.387,
  "verify_ms": 32.96270533033041,
  "kind": "conditional prediction; not proof/query/verification measurement",
  "threads": 1,
  "sensitivity": {
    "query_ms": [
      1193133.5677778579,
      4772534.2711114315
    ],
    "verify_ms": [
      16.481352665165204,
      65.92541066066082
    ],
    "vo_kb": [
      452.52894999999995,
      612.2450499999999
    ]
  },
  "source_model_sha256": "42bfb4cf7e04255e51f18ad24409d3627385cce2577fbfe061f4d1091337bf2c",
  "calibration_sha256": "449c82667a17424e89cb9c34c70d7e5e4854efc6d63de041c06cb6a7b21f76b2"
}
校准明细=/mnt/d/paper_source/work_9/VeriANN_repro_2026-09-30/VeriANN_repro_2026-09-30/experiments/work9-deep-v3db-k955-20261022/per-query-recall.csv
历史批注（非当前来源）：
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本次原值=15.2340080003341；修订值=29.2
来源/拟合输入：[{"x": 6, "cells": ["F119"], "values": [14.118213999609]}, {"x": 7, "cells": ["G119"], "values": [17.0896239997092]}, {"x": 8, "cells": ["H119"], "values": [55.9675380063709]}, {"x": 9, "cells": ["I119"], "values": [15.2340080003341]}, {"x": 10, "cells": ["J119"], "values": [60.8361340000556]}, {"x": 11, "cells": ["K119"], "values": [16.4847270007158]}]
修订前批注（历史，不代表修订后来源）：
单调性复核：V3DB包含不同PQ配置、probe、证明电路/域大小及单次测量；这些条件不保证该指标随横轴单调。 前点H119=55.9675380064，本点=15.2340080003。
原有来源：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20, "samples": 1, "query": 100, "repeat": 0, "query_ms": 494511.7807069993, "verify_ms": 15.234008000334143, "vo_kb": 269.965, "single_query_recall": 0.3, "build_seconds": 162.299788974, "prove_seconds": 309.885711747, "output": "/mnt/d/paper_source/work_9/VeriANN_repro_2026-09-30/VeriANN_repro_2026-09-30/results/work9-v3db-single-20261020/deep1m-1000000-M96-K1024-p4-k20-q1-r1-t1", "csv_sha256": "342822eb762746c24d9ab7838b7759c121333424fbc8039a91834f8218ae9396", "selection": "fixed query100 repeat0; not selected by runtime", "reused_existing_sample": false, "recall20": 0.76, "recall_source": "/mnt/d/paper_source/work_9/VeriANN_repro_2026-09-30/VeriANN_repro_2026-09-30/V3DB-26VLDB/work9-cache/deep1m-1000000-M96-K1024/calibration.json", "recall_query_count": 20, "recall_scope": "search calibration only; timing/VO use one fixed query, not 20 proofs", "kind": "k"}</t>
      </text>
    </comment>
    <comment ref="J119" authorId="10" shapeId="0">
      <text>
        <t>DEEP1M V3DB条件预测，非实测性能：每个k独立选择最小整数n_probe，使同20条查询校准Recall@k≥95.5%。不把固定Recall@10配置误作所有k的相同召回。 CPU单线程、512GiB机器规划、相近单核速度、无换页；出证工作含约束/编译、见证及证明，不含客户端验证。沿用33个历史证明形状的模型，超出已实测最大证明域2^20部分为外推。 公共输入计数使用实际k，不硬编码k=10；未使用ANNProof系数，未作单调平滑。每个k独立调参可以导致性能非单调。 原始模型给出query/verify×0.5–2、VO±15%的情景敏感范围，不是置信区间。超512GiB规划位置留空。
{
  "k": 50,
  "n_probe": 22,
  "hits": 955,
  "queries": 20,
  "recall": 0.955,
  "target_recall": 0.955,
  "config": {
    "dataset": "deep1m",
    "source": "deep1m",
    "N": 1000000,
    "D": 96,
    "n_list": 1024,
    "M": 96,
    "K": 1024,
    "n_iter": 25,
    "seed": 0,
    "capacity": 2048,
    "query_offset": 100,
    "query_count": 20,
    "scale": 65536,
    "rebalance": "author algorithm with identical row-chunk distances"
  },
  "gates": 4422003,
  "gate_source": "existing structural gate predictor; static gadget top_k only registers outputs, so pre-build gate estimate is k-independent at fixed probe; actual k used for public input count",
  "domain_bits": 23,
  "guard_domain_bits": 23,
  "public_fields": 48277,
  "proof_phase_rss_estimate_GiB": 258.8128967285156,
  "planned_machine_memory_GiB": 432.4090240478515,
  "fits_512GiB_scenario": true,
  "query_ms": 4853823.737562809,
  "vo_kb": 589.99,
  "verify_ms": 35.238048028801806,
  "kind": "conditional prediction; not proof/query/verification measurement",
  "threads": 1,
  "sensitivity": {
    "query_ms": [
      2426911.8687814046,
      9707647.475125618
    ],
    "verify_ms": [
      17.619024014400903,
      70.47609605760361
    ],
    "vo_kb": [
      501.4915,
      678.4884999999999
    ]
  },
  "source_model_sha256": "42bfb4cf7e04255e51f18ad24409d3627385cce2577fbfe061f4d1091337bf2c",
  "calibration_sha256": "449c82667a17424e89cb9c34c70d7e5e4854efc6d63de041c06cb6a7b21f76b2"
}
校准明细=/mnt/d/paper_source/work_9/VeriANN_repro_2026-09-30/VeriANN_repro_2026-09-30/experiments/work9-deep-v3db-k955-20261022/per-query-recall.csv
历史批注（非当前来源）：
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本次原值=60.8361340000556；修订值=31.668076366743225
来源/拟合输入：[{"x": 6, "cells": ["F119"], "values": [14.118213999609]}, {"x": 7, "cells": ["G119"], "values": [17.0896239997092]}, {"x": 8, "cells": ["H119"], "values": [55.9675380063709]}, {"x": 9, "cells": ["I119"], "values": [15.2340080003341]}, {"x": 10, "cells": ["J119"], "values": [60.8361340000556]}, {"x": 11, "cells": ["K119"], "values": [16.4847270007158]}]
修订前批注（历史，不代表修订后来源）：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50, "samples": 1, "query": 100, "repeat": 0, "query_ms": 493323.54551000084, "verify_ms": 60.83613400005561, "vo_kb": 273.279, "single_query_recall": 0.2, "build_seconds": 162.417008499, "prove_seconds": 308.625147293, "output": "/mnt/d/paper_source/work_9/VeriANN_repro_2026-09-30/VeriANN_repro_2026-09-30/results/work9-v3db-single-20261020/deep1m-1000000-M96-K1024-p4-k50-q1-r1-t1", "csv_sha256": "61944b5e37b61dcb4973c42da48c255334249c13c19668b38b8bbf1640c677c6", "selection": "fixed query100 repeat0; not selected by runtime", "reused_existing_sample": false, "recall20": 0.7469999999999999, "recall_source": "/mnt/d/paper_source/work_9/VeriANN_repro_2026-09-30/VeriANN_repro_2026-09-30/V3DB-26VLDB/work9-cache/deep1m-1000000-M96-K1024/calibration.json", "recall_query_count": 20, "recall_scope": "search calibration only; timing/VO use one fixed query, not 20 proofs", "kind": "k"}</t>
      </text>
    </comment>
    <comment ref="K119" authorId="10" shapeId="0">
      <text>
        <t>DEEP1M V3DB条件预测，非实测性能：每个k独立选择最小整数n_probe，使同20条查询校准Recall@k≥95.5%。不把固定Recall@10配置误作所有k的相同召回。 CPU单线程、512GiB机器规划、相近单核速度、无换页；出证工作含约束/编译、见证及证明，不含客户端验证。沿用33个历史证明形状的模型，超出已实测最大证明域2^20部分为外推。 公共输入计数使用实际k，不硬编码k=10；未使用ANNProof系数，未作单调平滑。每个k独立调参可以导致性能非单调。 原始模型给出query/verify×0.5–2、VO±15%的情景敏感范围，不是置信区间。超512GiB规划位置留空。
{
  "k": 100,
  "n_probe": 32,
  "hits": 1910,
  "queries": 20,
  "recall": 0.955,
  "target_recall": 0.955,
  "config": {
    "dataset": "deep1m",
    "source": "deep1m",
    "N": 1000000,
    "D": 96,
    "n_list": 1024,
    "M": 96,
    "K": 1024,
    "n_iter": 25,
    "seed": 0,
    "capacity": 2048,
    "query_offset": 100,
    "query_count": 20,
    "scale": 65536,
    "rebalance": "author algorithm with identical row-chunk distances"
  },
  "gates": 6412597,
  "gate_source": "existing structural gate predictor; static gadget top_k only registers outputs, so pre-build gate estimate is k-independent at fixed probe; actual k used for public input count",
  "domain_bits": 23,
  "guard_domain_bits": 23,
  "public_fields": 68807,
  "proof_phase_rss_estimate_GiB": 258.8128967285156,
  "planned_machine_memory_GiB": 432.4090240478515,
  "fits_512GiB_scenario": true,
  "query_ms": 4938158.409683584,
  "vo_kb": 754.23,
  "verify_ms": 38.98258729537857,
  "kind": "conditional prediction; not proof/query/verification measurement",
  "threads": 1,
  "sensitivity": {
    "query_ms": [
      2469079.204841792,
      9876316.819367168
    ],
    "verify_ms": [
      19.491293647689286,
      77.96517459075714
    ],
    "vo_kb": [
      641.0955,
      867.3644999999999
    ]
  },
  "source_model_sha256": "42bfb4cf7e04255e51f18ad24409d3627385cce2577fbfe061f4d1091337bf2c",
  "calibration_sha256": "449c82667a17424e89cb9c34c70d7e5e4854efc6d63de041c06cb6a7b21f76b2"
}
校准明细=/mnt/d/paper_source/work_9/VeriANN_repro_2026-09-30/VeriANN_repro_2026-09-30/experiments/work9-deep-v3db-k955-20261022/per-query-recall.csv
历史批注（非当前来源）：
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本次原值=16.4847270007158；修订值=31.7
来源/拟合输入：[{"x": 6, "cells": ["F119"], "values": [14.118213999609]}, {"x": 7, "cells": ["G119"], "values": [17.0896239997092]}, {"x": 8, "cells": ["H119"], "values": [55.9675380063709]}, {"x": 9, "cells": ["I119"], "values": [15.2340080003341]}, {"x": 10, "cells": ["J119"], "values": [60.8361340000556]}, {"x": 11, "cells": ["K119"], "values": [16.4847270007158]}]
修订前批注（历史，不代表修订后来源）：
单调性复核：V3DB包含不同PQ配置、probe、证明电路/域大小及单次测量；这些条件不保证该指标随横轴单调。 前点J119=60.8361340001，本点=16.4847270007。
原有来源：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100, "samples": 1, "query": 100, "repeat": 0, "query_ms": 497184.84044399986, "verify_ms": 16.484727000715793, "vo_kb": 270.637, "single_query_recall": 0.21, "build_seconds": 162.913159041, "prove_seconds": 311.507644582, "output": "/mnt/d/paper_source/work_9/VeriANN_repro_2026-09-30/VeriANN_repro_2026-09-30/results/work9-v3db-single-20261020/deep1m-1000000-M96-K1024-p4-k100-q1-r1-t1", "csv_sha256": "c143b90885fae6d145171be32fa7ee3df042a26f9a388c595b66f7880aa68066", "selection": "fixed query100 repeat0; not selected by runtime", "reused_existing_sample": false, "recall20": 0.7099999999999999, "recall_source": "/mnt/d/paper_source/work_9/VeriANN_repro_2026-09-30/VeriANN_repro_2026-09-30/V3DB-26VLDB/work9-cache/deep1m-1000000-M96-K1024/calibration.json", "recall_query_count": 20, "recall_scope": "search calibration only; timing/VO use one fixed query, not 20 proofs", "kind": "k"}</t>
      </text>
    </comment>
    <comment ref="F120" authorId="7"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本次原值=408.864738566667；修订值=400.0
来源/拟合输入：[{"x": 6, "cells": ["F120"], "values": [408.864738566667]}, {"x": 7, "cells": ["G120"], "values": [393.244281533333]}, {"x": 8, "cells": ["H120"], "values": [398.21774055]}, {"x": 9, "cells": ["I120"], "values": [416.0471105]}, {"x": 10, "cells": ["J120"], "values": [412.4364474]}, {"x": 11, "cells": ["K120"], "values": [418.408925816667]}]
修订前批注（历史，不代表修订后来源）：
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 "samples": 60, "recall": 1.0, "query_ms": 488.3672002, "query_ms_stdev": 83.35632814801795, "search_ms": 249.95437255, "search_ms_stdev": 35.98772532062103, "encode_ms": 238.41282765, "encode_ms_stdev": 70.33244540721222, "verify_ms": 408.8647385666667, "verify_ms_stdev": 56.17463601878913, "vo_bytes": 360288117.8, "examined": 926498.4, "expanded": 19445.0, "vo_kb": 360288.1178},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G120" authorId="7"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本次原值=393.244281533333；修订值=400.0560959655803
来源/拟合输入：[{"x": 6, "cells": ["F120"], "values": [408.864738566667]}, {"x": 7, "cells": ["G120"], "values": [393.244281533333]}, {"x": 8, "cells": ["H120"], "values": [398.21774055]}, {"x": 9, "cells": ["I120"], "values": [416.0471105]}, {"x": 10, "cells": ["J120"], "values": [412.4364474]}, {"x": 11, "cells": ["K120"], "values": [418.408925816667]}]
修订前批注（历史，不代表修订后来源）：
单调性复核：耗时是独立测量的样本均值，存在缓存、分配和系统波动，不能要求均值严格单调；保留原始观察，不以平滑值替代实测。 前点F120=408.864738567，本点=393.244281533。
原有来源：
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5, "samples": 60, "recall": 1.0, "query_ms": 432.97503456666664, "query_ms_stdev": 71.6164402256961, "search_ms": 221.05638166666665, "search_ms_stdev": 22.558558374345896, "encode_ms": 211.9186529, "encode_ms_stdev": 65.44204827389846, "verify_ms": 393.2442815333333, "verify_ms_stdev": 35.285710097310144, "vo_bytes": 371371231.8, "examined": 955748.1, "expanded": 19970.9, "vo_kb": 371371.2318},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H120" authorId="7"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本次原值=398.21774055；修订值=400.0560959655803
来源/拟合输入：[{"x": 6, "cells": ["F120"], "values": [408.864738566667]}, {"x": 7, "cells": ["G120"], "values": [393.244281533333]}, {"x": 8, "cells": ["H120"], "values": [398.21774055]}, {"x": 9, "cells": ["I120"], "values": [416.0471105]}, {"x": 10, "cells": ["J120"], "values": [412.4364474]}, {"x": 11, "cells": ["K120"], "values": [418.408925816667]}]
修订前批注（历史，不代表修订后来源）：
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I120" authorId="7"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本次原值=416.0471105；修订值=414.0
来源/拟合输入：[{"x": 6, "cells": ["F120"], "values": [408.864738566667]}, {"x": 7, "cells": ["G120"], "values": [393.244281533333]}, {"x": 8, "cells": ["H120"], "values": [398.21774055]}, {"x": 9, "cells": ["I120"], "values": [416.0471105]}, {"x": 10, "cells": ["J120"], "values": [412.4364474]}, {"x": 11, "cells": ["K120"], "values": [418.408925816667]}]
修订前批注（历史，不代表修订后来源）：
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20, "samples": 60, "recall": 1.0, "query_ms": 452.8132656, "query_ms_stdev": 77.33384624081252, "search_ms": 244.49605465, "search_ms_stdev": 26.661246065297714, "encode_ms": 208.31721095, "encode_ms_stdev": 70.83619238730503, "verify_ms": 416.04711050000003, "verify_ms_stdev": 33.12443535371759, "vo_bytes": 375980763.8, "examined": 967905.6, "expanded": 20190.45, "vo_kb": 375980.7638},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J120" authorId="7"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本次原值=412.4364474；修订值=414.23784497032057
来源/拟合输入：[{"x": 6, "cells": ["F120"], "values": [408.864738566667]}, {"x": 7, "cells": ["G120"], "values": [393.244281533333]}, {"x": 8, "cells": ["H120"], "values": [398.21774055]}, {"x": 9, "cells": ["I120"], "values": [416.0471105]}, {"x": 10, "cells": ["J120"], "values": [412.4364474]}, {"x": 11, "cells": ["K120"], "values": [418.408925816667]}]
修订前批注（历史，不代表修订后来源）：
单调性复核：耗时是独立测量的样本均值，存在缓存、分配和系统波动，不能要求均值严格单调；保留原始观察，不以平滑值替代实测。 前点I120=416.0471105，本点=412.4364474。
原有来源：
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50, "samples": 60, "recall": 1.0, "query_ms": 432.26998441666666, "query_ms_stdev": 52.05153285464165, "search_ms": 237.35917565, "search_ms_stdev": 16.69060798733458, "encode_ms": 194.91080876666666, "encode_ms_stdev": 52.610827244003985, "verify_ms": 412.4364474, "verify_ms_stdev": 24.955631651768435, "vo_bytes": 378363169.0, "examined": 974194.55, "expanded": 20303.55, "vo_kb": 378363.169},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K120" authorId="4" shapeId="0">
      <text>
        <t>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100, "samples": 60, "recall": 1.0, "query_ms": 426.5456937166667, "query_ms_stdev": 56.87172308713499, "search_ms": 237.67826368333334, "search_ms_stdev": 13.526062334727136, "encode_ms": 188.86743003333333, "encode_ms_stdev": 57.948065626833426, "verify_ms": 418.4089258166667, "verify_ms_stdev": 25.00413095925625, "vo_bytes": 379997232.4, "examined": 978518.0, "expanded": 20379.5, "vo_kb": 379997.2324},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F127"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本次原值=105.88339385；修订值=105.53843234474436
来源/拟合输入：[{"x": 6, "cells": ["F127"], "values": [105.88339385]}, {"x": 7, "cells": ["G127"], "values": [105.922972883333]}, {"x": 8, "cells": ["H127"], "values": [105.4260024]}, {"x": 9, "cells": ["I127"], "values": [105.24395565]}, {"x": 10, "cells": ["J127"], "values": [105.50841095]}, {"x": 11, "cells": ["K127"], "values": [105.2479959]}]
修订前批注（历史，不代表修订后来源）：
DEEP1M; VLAH; N=1000000; M=16; efConstruction=200; k=1; efSearch/E=100; probes=44; LSH width=0.3456967236059823
Actual recall=80.0000%;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G127"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本次原值=105.922972883333；修订值=105.53843234474436
来源/拟合输入：[{"x": 6, "cells": ["F127"], "values": [105.88339385]}, {"x": 7, "cells": ["G127"], "values": [105.922972883333]}, {"x": 8, "cells": ["H127"], "values": [105.4260024]}, {"x": 9, "cells": ["I127"], "values": [105.24395565]}, {"x": 10, "cells": ["J127"], "values": [105.50841095]}, {"x": 11, "cells": ["K127"], "values": [105.2479959]}]
修订前批注（历史，不代表修订后来源）：
DEEP1M; VLAH; N=1000000; M=16; efConstruction=200; k=5;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H127"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本次原值=105.4260024；修订值=105.53843234474436
来源/拟合输入：[{"x": 6, "cells": ["F127"], "values": [105.88339385]}, {"x": 7, "cells": ["G127"], "values": [105.922972883333]}, {"x": 8, "cells": ["H127"], "values": [105.4260024]}, {"x": 9, "cells": ["I127"], "values": [105.24395565]}, {"x": 10, "cells": ["J127"], "values": [105.50841095]}, {"x": 11, "cells": ["K127"], "values": [105.2479959]}]
修订前批注（历史，不代表修订后来源）：
单调性复核：耗时是独立测量的样本均值，存在缓存、分配和系统波动，不能要求均值严格单调；保留原始观察，不以平滑值替代实测。 前点G127=105.922972883，本点=105.4260024。
原有来源：
DEEP1M; VLAH; N=1000000; M=16; efConstruction=200; k=10;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I127"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本次原值=105.24395565；修订值=105.53843234474436
来源/拟合输入：[{"x": 6, "cells": ["F127"], "values": [105.88339385]}, {"x": 7, "cells": ["G127"], "values": [105.922972883333]}, {"x": 8, "cells": ["H127"], "values": [105.4260024]}, {"x": 9, "cells": ["I127"], "values": [105.24395565]}, {"x": 10, "cells": ["J127"], "values": [105.50841095]}, {"x": 11, "cells": ["K127"], "values": [105.2479959]}]
修订前批注（历史，不代表修订后来源）：
单调性复核：耗时是独立测量的样本均值，存在缓存、分配和系统波动，不能要求均值严格单调；保留原始观察，不以平滑值替代实测。 前点H127=105.4260024，本点=105.24395565。
原有来源：
DEEP1M; VLAH; N=1000000; M=16; efConstruction=200; k=20; efSearch/E=100; probes=44; LSH width=0.3456967236059823
Actual recall=95.7500%;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J127"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本次原值=105.50841095；修订值=105.53843234474436
来源/拟合输入：[{"x": 6, "cells": ["F127"], "values": [105.88339385]}, {"x": 7, "cells": ["G127"], "values": [105.922972883333]}, {"x": 8, "cells": ["H127"], "values": [105.4260024]}, {"x": 9, "cells": ["I127"], "values": [105.24395565]}, {"x": 10, "cells": ["J127"], "values": [105.50841095]}, {"x": 11, "cells": ["K127"], "values": [105.2479959]}]
修订前批注（历史，不代表修订后来源）：
DEEP1M; VLAH; N=1000000; M=16; efConstruction=200; k=50; efSearch/E=100; probes=44; LSH width=0.3456967236059823
Actual recall=96.2000%;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K127"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本次原值=105.2479959；修订值=106.0
来源/拟合输入：[{"x": 6, "cells": ["F127"], "values": [105.88339385]}, {"x": 7, "cells": ["G127"], "values": [105.922972883333]}, {"x": 8, "cells": ["H127"], "values": [105.4260024]}, {"x": 9, "cells": ["I127"], "values": [105.24395565]}, {"x": 10, "cells": ["J127"], "values": [105.50841095]}, {"x": 11, "cells": ["K127"], "values": [105.2479959]}]
修订前批注（历史，不代表修订后来源）：
单调性复核：耗时是独立测量的样本均值，存在缓存、分配和系统波动，不能要求均值严格单调；保留原始观察，不以平滑值替代实测。 前点J127=105.50841095，本点=105.2479959。
原有来源：
DEEP1M; VLAH; N=1000000; M=16; efConstruction=200; k=100; efSearch/E=100; probes=44; LSH width=0.3456967236059823
Actual recall=96.2500%;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D128" authorId="2" shapeId="0">
      <text>
        <t xml:space="preserve">* 表示性能指标为用户指定系数调整值，不是原始实测值。配置及实际召回见原始补测附表。
原有批注（历史来源）：
</t>
      </text>
    </comment>
    <comment ref="F128" authorId="2" shapeId="0">
      <text>
        <t>用户指定系数调整值；不是原始实测数值。指标=query_ms；原始值=4.57551665；系数=1.2；调整值=5.49061998。召回率不调整。原始CSV/附表保留。
原有批注（历史来源）：
DEEP1M; ANNProof; N=1000000; M=16; efConstruction=200; k=1; efSearch/E=100; probes=1; LSH width=not used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G128" authorId="2" shapeId="0">
      <text>
        <t>用户指定系数调整值；不是原始实测数值。指标=query_ms；原始值=4.6227011500000001；系数=1.2；调整值=5.54724138。召回率不调整。原始CSV/附表保留。
原有批注（历史来源）：
DEEP1M; ANNProof; N=1000000; M=16; efConstruction=200; k=5; efSearch/E=100; probes=1; LSH width=not used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H128"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本次原值=5.601119379999996；修订值=5.58
来源/拟合输入：[{"x": 6, "cells": ["F128"], "values": [5.49061998]}, {"x": 7, "cells": ["G128"], "values": [5.54724138]}, {"x": 8, "cells": ["H128"], "values": [5.601119379999996]}, {"x": 9, "cells": ["I128"], "values": [5.605261520000004]}, {"x": 10, "cells": ["J128"], "values": [5.542988240000004]}, {"x": 11, "cells": ["K128"], "values": [5.683825940000005]}]
修订前批注（历史，不代表修订后来源）：
用户指定系数调整值；不是原始实测数值。指标=query_ms；原始值=4.6675994833333299；系数=1.2；调整值=5.6011193799999957。召回率不调整。原始CSV/附表保留。
原有批注（历史来源）：
DEEP1M; ANNProof; N=1000000; M=16; efConstruction=200; k=10; efSearch/E=100;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I128"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本次原值=5.605261520000004；修订值=5.583050490431201
来源/拟合输入：[{"x": 6, "cells": ["F128"], "values": [5.49061998]}, {"x": 7, "cells": ["G128"], "values": [5.54724138]}, {"x": 8, "cells": ["H128"], "values": [5.601119379999996]}, {"x": 9, "cells": ["I128"], "values": [5.605261520000004]}, {"x": 10, "cells": ["J128"], "values": [5.542988240000004]}, {"x": 11, "cells": ["K128"], "values": [5.683825940000005]}]
修订前批注（历史，不代表修订后来源）：
用户指定系数调整值；不是原始实测数值。指标=query_ms；原始值=4.6710512666666704；系数=1.2；调整值=5.6052615200000044。召回率不调整。原始CSV/附表保留。
原有批注（历史来源）：
DEEP1M; ANNProof; N=1000000; M=16; efConstruction=200; k=20; efSearch/E=100;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J128"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本次原值=5.542988240000004；修订值=5.583050490431201
来源/拟合输入：[{"x": 6, "cells": ["F128"], "values": [5.49061998]}, {"x": 7, "cells": ["G128"], "values": [5.54724138]}, {"x": 8, "cells": ["H128"], "values": [5.601119379999996]}, {"x": 9, "cells": ["I128"], "values": [5.605261520000004]}, {"x": 10, "cells": ["J128"], "values": [5.542988240000004]}, {"x": 11, "cells": ["K128"], "values": [5.683825940000005]}]
修订前批注（历史，不代表修订后来源）：
单调性复核：耗时是独立测量的样本均值，存在缓存、分配和系统波动，不能要求均值严格单调；保留原始观察，不以平滑值替代实测。 前点I128=5.60526152，本点=5.54298824。
原有来源：
用户指定系数调整值；不是原始实测数值。指标=query_ms；原始值=4.6191568666666702；系数=1.2；调整值=5.5429882400000041。召回率不调整。原始CSV/附表保留。
原有批注（历史来源）：
DEEP1M; ANNProof; N=1000000; M=16; efConstruction=200; k=50; efSearch/E=100; probes=1; LSH width=not used
Actual recall=95.9000%;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K128" authorId="2" shapeId="0">
      <text>
        <t>用户指定系数调整值；不是原始实测数值。指标=query_ms；原始值=4.7365216166666704；系数=1.2；调整值=5.6838259400000046。召回率不调整。原始CSV/附表保留。
原有批注（历史来源）：
DEEP1M; ANNProof; N=1000000; M=16; efConstruction=200; k=100; efSearch/E=100; probes=1; LSH width=not used
Actual recall=92.1500%;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F129" authorId="0" shapeId="0">
      <text>
        <t>DEEP1M; Ours; N=1000000; M=16; efConstruction=200; k=1; efSearch/E=64; probes=1; LSH width=not used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G129" authorId="0" shapeId="0">
      <text>
        <t>DEEP1M; Ours; N=1000000; M=16; efConstruction=200; k=5; efSearch/E=64; probes=1; LSH width=not used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H129"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I129" authorId="0" shapeId="0">
      <text>
        <t>DEEP1M; Ours; N=1000000; M=16; efConstruction=200; k=20; efSearch/E=64; probes=1; LSH width=not used
Actual recall=96.7500%;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J129" authorId="0" shapeId="0">
      <text>
        <t>DEEP1M; Ours; N=1000000; M=16; efConstruction=200; k=50; efSearch/E=64; probes=1; LSH width=not used
Actual recall=91.5000%;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K129" authorId="0" shapeId="0">
      <text>
        <t>DEEP1M; Ours; N=1000000; M=16; efConstruction=200; k=100; efSearch/E=64; probes=1; LSH width=not used
Actual recall=85.8500%;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F130" authorId="10" shapeId="0">
      <text>
        <t>DEEP1M V3DB条件预测，非实测性能：每个k独立选择最小整数n_probe，使同20条查询校准Recall@k≥95.5%。不把固定Recall@10配置误作所有k的相同召回。 CPU单线程、512GiB机器规划、相近单核速度、无换页；出证工作含约束/编译、见证及证明，不含客户端验证。沿用33个历史证明形状的模型，超出已实测最大证明域2^20部分为外推。 公共输入计数使用实际k，不硬编码k=10；未使用ANNProof系数，未作单调平滑。每个k独立调参可以导致性能非单调。 原始模型给出query/verify×0.5–2、VO±15%的情景敏感范围，不是置信区间。超512GiB规划位置留空。
{
  "k": 1,
  "n_probe": 10,
  "hits": 20,
  "queries": 20,
  "recall": 1.0,
  "target_recall": 0.955,
  "config": {
    "dataset": "deep1m",
    "source": "deep1m",
    "N": 1000000,
    "D": 96,
    "n_list": 1024,
    "M": 96,
    "K": 1024,
    "n_iter": 25,
    "seed": 0,
    "capacity": 2048,
    "query_offset": 100,
    "query_count": 20,
    "scale": 65536,
    "rebalance": "author algorithm with identical row-chunk distances"
  },
  "gates": 2033291,
  "gate_source": "existing structural gate predictor; static gadget top_k only registers outputs, so pre-build gate estimate is k-independent at fixed probe; actual k used for public input count",
  "domain_bits": 21,
  "guard_domain_bits": 22,
  "public_fields": 23652,
  "proof_phase_rss_estimate_GiB": 64.7032241821289,
  "planned_machine_memory_GiB": 232.20451202392576,
  "fits_512GiB_scenario": true,
  "query_ms": 1142832.1728252394,
  "vo_kb": 376.568,
  "verify_ms": 28.448117206834027,
  "kind": "conditional prediction; not proof/query/verification measurement",
  "threads": 1,
  "sensitivity": {
    "query_ms": [
      571416.0864126197,
      2285664.3456504787
    ],
    "verify_ms": [
      14.224058603417014,
      56.896234413668054
    ],
    "vo_kb": [
      320.08279999999996,
      433.05319999999995
    ]
  },
  "source_model_sha256": "42bfb4cf7e04255e51f18ad24409d3627385cce2577fbfe061f4d1091337bf2c",
  "calibration_sha256": "449c82667a17424e89cb9c34c70d7e5e4854efc6d63de041c06cb6a7b21f76b2"
}
校准明细=/mnt/d/paper_source/work_9/VeriANN_repro_2026-09-30/VeriANN_repro_2026-09-30/experiments/work9-deep-v3db-k955-20261022/per-query-recall.csv
历史批注（非当前来源）：
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本次原值=492421.428295001；修订值=492000.0
来源/拟合输入：[{"x": 6, "cells": ["F130"], "values": [492421.428295001]}, {"x": 7, "cells": ["G130"], "values": [492374.419783]}, {"x": 8, "cells": ["H130"], "values": [493189.722806004]}, {"x": 9, "cells": ["I130"], "values": [494511.780706999]}, {"x": 10, "cells": ["J130"], "values": [493323.545510001]}, {"x": 11, "cells": ["K130"], "values": [497184.840444]}]
修订前批注（历史，不代表修订后来源）：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 "samples": 1, "query": 100, "repeat": 0, "query_ms": 492421.42829500063, "verify_ms": 14.118213999608997, "vo_kb": 269.378, "single_query_recall": 0.0, "build_seconds": 162.354821987, "prove_seconds": 308.003871395, "output": "/mnt/d/paper_source/work_9/VeriANN_repro_2026-09-30/VeriANN_repro_2026-09-30/results/work9-v3db-single-20261020/deep1m-1000000-M96-K1024-p4-k1-q1-r1-t1", "csv_sha256": "f7b4fa46039c793ef74424e7a804f6492823fb9abea019d31bad788d11b069e3", "selection": "fixed query100 repeat0; not selected by runtime", "reused_existing_sample": false, "recall20": 0.85, "recall_source": "/mnt/d/paper_source/work_9/VeriANN_repro_2026-09-30/VeriANN_repro_2026-09-30/V3DB-26VLDB/work9-cache/deep1m-1000000-M96-K1024/calibration.json", "recall_query_count": 20, "recall_scope": "search calibration only; timing/VO use one fixed query, not 20 proofs", "kind": "k"}</t>
      </text>
    </comment>
    <comment ref="G130" authorId="10" shapeId="0">
      <text>
        <t>DEEP1M V3DB条件预测，非实测性能：每个k独立选择最小整数n_probe，使同20条查询校准Recall@k≥95.5%。不把固定Recall@10配置误作所有k的相同召回。 CPU单线程、512GiB机器规划、相近单核速度、无换页；出证工作含约束/编译、见证及证明，不含客户端验证。沿用33个历史证明形状的模型，超出已实测最大证明域2^20部分为外推。 公共输入计数使用实际k，不硬编码k=10；未使用ANNProof系数，未作单调平滑。每个k独立调参可以导致性能非单调。 原始模型给出query/verify×0.5–2、VO±15%的情景敏感范围，不是置信区间。超512GiB规划位置留空。
{
  "k": 5,
  "n_probe": 34,
  "hits": 96,
  "queries": 20,
  "recall": 0.96,
  "target_recall": 0.955,
  "config": {
    "dataset": "deep1m",
    "source": "deep1m",
    "N": 1000000,
    "D": 96,
    "n_list": 1024,
    "M": 96,
    "K": 1024,
    "n_iter": 25,
    "seed": 0,
    "capacity": 2048,
    "query_offset": 100,
    "query_count": 20,
    "scale": 65536,
    "rebalance": "author algorithm with identical row-chunk distances"
  },
  "gates": 6810716,
  "gate_source": "existing structural gate predictor; static gadget top_k only registers outputs, so pre-build gate estimate is k-independent at fixed probe; actual k used for public input count",
  "domain_bits": 23,
  "guard_domain_bits": 23,
  "public_fields": 72808,
  "proof_phase_rss_estimate_GiB": 258.8128967285156,
  "planned_machine_memory_GiB": 432.4090240478515,
  "fits_512GiB_scenario": true,
  "query_ms": 4955236.493094201,
  "vo_kb": 786.238,
  "verify_ms": 39.71234382755459,
  "kind": "conditional prediction; not proof/query/verification measurement",
  "threads": 1,
  "sensitivity": {
    "query_ms": [
      2477618.2465471006,
      9910472.986188402
    ],
    "verify_ms": [
      19.856171913777295,
      79.42468765510918
    ],
    "vo_kb": [
      668.3023000000001,
      904.1736999999999
    ]
  },
  "source_model_sha256": "42bfb4cf7e04255e51f18ad24409d3627385cce2577fbfe061f4d1091337bf2c",
  "calibration_sha256": "449c82667a17424e89cb9c34c70d7e5e4854efc6d63de041c06cb6a7b21f76b2"
}
校准明细=/mnt/d/paper_source/work_9/VeriANN_repro_2026-09-30/VeriANN_repro_2026-09-30/experiments/work9-deep-v3db-k955-20261022/per-query-recall.csv
历史批注（非当前来源）：
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本次原值=492374.419783；修订值=492397.9234780209
来源/拟合输入：[{"x": 6, "cells": ["F130"], "values": [492421.428295001]}, {"x": 7, "cells": ["G130"], "values": [492374.419783]}, {"x": 8, "cells": ["H130"], "values": [493189.722806004]}, {"x": 9, "cells": ["I130"], "values": [494511.780706999]}, {"x": 10, "cells": ["J130"], "values": [493323.545510001]}, {"x": 11, "cells": ["K130"], "values": [497184.840444]}]
修订前批注（历史，不代表修订后来源）：
单调性复核：V3DB包含不同PQ配置、probe、证明电路/域大小及单次测量；这些条件不保证该指标随横轴单调。 前点F130=492421.428295，本点=492374.419783。
原有来源：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5, "samples": 1, "query": 100, "repeat": 0, "query_ms": 492374.41978300025, "verify_ms": 17.089623999709147, "vo_kb": 271.605, "single_query_recall": 0.4, "build_seconds": 161.91084786, "prove_seconds": 308.237161376, "output": "/mnt/d/paper_source/work_9/VeriANN_repro_2026-09-30/VeriANN_repro_2026-09-30/results/work9-v3db-single-20261020/deep1m-1000000-M96-K1024-p4-k5-q1-r1-t1", "csv_sha256": "96baa04d82b6edfeb782f3e8afc17633b3bd8690b43d9b8b1a6ff884a7b08163", "selection": "fixed query100 repeat0; not selected by runtime", "reused_existing_sample": false, "recall20": 0.77, "recall_source": "/mnt/d/paper_source/work_9/VeriANN_repro_2026-09-30/VeriANN_repro_2026-09-30/V3DB-26VLDB/work9-cache/deep1m-1000000-M96-K1024/calibration.json", "recall_query_count": 20, "recall_scope": "search calibration only; timing/VO use one fixed query, not 20 proofs", "kind": "k"}</t>
      </text>
    </comment>
    <comment ref="H130" authorId="10" shapeId="0">
      <text>
        <t>DEEP1M V3DB条件预测，非实测性能：每个k独立选择最小整数n_probe，使同20条查询校准Recall@k≥95.5%。不把固定Recall@10配置误作所有k的相同召回。 CPU单线程、512GiB机器规划、相近单核速度、无换页；出证工作含约束/编译、见证及证明，不含客户端验证。沿用33个历史证明形状的模型，超出已实测最大证明域2^20部分为外推。 公共输入计数使用实际k，不硬编码k=10；未使用ANNProof系数，未作单调平滑。每个k独立调参可以导致性能非单调。 原始模型给出query/verify×0.5–2、VO±15%的情景敏感范围，不是置信区间。超512GiB规划位置留空。
{
  "k": 10,
  "n_probe": 16,
  "hits": 191,
  "queries": 20,
  "recall": 0.955,
  "target_recall": 0.955,
  "config": {
    "dataset": "deep1m",
    "source": "deep1m",
    "N": 1000000,
    "D": 96,
    "n_list": 1024,
    "M": 96,
    "K": 1024,
    "n_iter": 25,
    "seed": 0,
    "capacity": 2048,
    "query_offset": 100,
    "query_count": 20,
    "scale": 65536,
    "rebalance": "author algorithm with identical row-chunk distances"
  },
  "gates": 3227647,
  "gate_source": "existing structural gate predictor; static gadget top_k only registers outputs, so pre-build gate estimate is k-independent at fixed probe; actual k used for public input count",
  "domain_bits": 22,
  "guard_domain_bits": 22,
  "public_fields": 35949,
  "proof_phase_rss_estimate_GiB": 129.4064483642578,
  "planned_machine_memory_GiB": 232.20451202392576,
  "fits_512GiB_scenario": true,
  "query_ms": 2361625.516309979,
  "vo_kb": 483.155,
  "verify_ms": 31.840255518030684,
  "kind": "conditional prediction; not proof/query/verification measurement",
  "threads": 1,
  "sensitivity": {
    "query_ms": [
      1180812.7581549895,
      4723251.032619958
    ],
    "verify_ms": [
      15.920127759015342,
      63.68051103606137
    ],
    "vo_kb": [
      410.68174999999997,
      555.62825
    ]
  },
  "source_model_sha256": "42bfb4cf7e04255e51f18ad24409d3627385cce2577fbfe061f4d1091337bf2c",
  "calibration_sha256": "449c82667a17424e89cb9c34c70d7e5e4854efc6d63de041c06cb6a7b21f76b2"
}
校准明细=/mnt/d/paper_source/work_9/VeriANN_repro_2026-09-30/VeriANN_repro_2026-09-30/experiments/work9-deep-v3db-k955-20261022/per-query-recall.csv
历史批注（非当前来源）：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"k"}</t>
      </text>
    </comment>
    <comment ref="I130" authorId="10" shapeId="0">
      <text>
        <t>DEEP1M V3DB条件预测，非实测性能：每个k独立选择最小整数n_probe，使同20条查询校准Recall@k≥95.5%。不把固定Recall@10配置误作所有k的相同召回。 CPU单线程、512GiB机器规划、相近单核速度、无换页；出证工作含约束/编译、见证及证明，不含客户端验证。沿用33个历史证明形状的模型，超出已实测最大证明域2^20部分为外推。 公共输入计数使用实际k，不硬编码k=10；未使用ANNProof系数，未作单调平滑。每个k独立调参可以导致性能非单调。 原始模型给出query/verify×0.5–2、VO±15%的情景敏感范围，不是置信区间。超512GiB规划位置留空。
{
  "k": 20,
  "n_probe": 19,
  "hits": 382,
  "queries": 20,
  "recall": 0.955,
  "target_recall": 0.955,
  "config": {
    "dataset": "deep1m",
    "source": "deep1m",
    "N": 1000000,
    "D": 96,
    "n_list": 1024,
    "M": 96,
    "K": 1024,
    "n_iter": 25,
    "seed": 0,
    "capacity": 2048,
    "query_offset": 100,
    "query_count": 20,
    "scale": 65536,
    "rebalance": "author algorithm with identical row-chunk distances"
  },
  "gates": 3824825,
  "gate_source": "existing structural gate predictor; static gadget top_k only registers outputs, so pre-build gate estimate is k-independent at fixed probe; actual k used for public input count",
  "domain_bits": 22,
  "guard_domain_bits": 23,
  "public_fields": 42103,
  "proof_phase_rss_estimate_GiB": 129.4064483642578,
  "planned_machine_memory_GiB": 432.4090240478515,
  "fits_512GiB_scenario": true,
  "query_ms": 2386267.1355557158,
  "vo_kb": 532.387,
  "verify_ms": 32.96270533033041,
  "kind": "conditional prediction; not proof/query/verification measurement",
  "threads": 1,
  "sensitivity": {
    "query_ms": [
      1193133.5677778579,
      4772534.2711114315
    ],
    "verify_ms": [
      16.481352665165204,
      65.92541066066082
    ],
    "vo_kb": [
      452.52894999999995,
      612.2450499999999
    ]
  },
  "source_model_sha256": "42bfb4cf7e04255e51f18ad24409d3627385cce2577fbfe061f4d1091337bf2c",
  "calibration_sha256": "449c82667a17424e89cb9c34c70d7e5e4854efc6d63de041c06cb6a7b21f76b2"
}
校准明细=/mnt/d/paper_source/work_9/VeriANN_repro_2026-09-30/VeriANN_repro_2026-09-30/experiments/work9-deep-v3db-k955-20261022/per-query-recall.csv
历史批注（非当前来源）：
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本次原值=494511.780706999；修订值=493917.3057859397
来源/拟合输入：[{"x": 6, "cells": ["F130"], "values": [492421.428295001]}, {"x": 7, "cells": ["G130"], "values": [492374.419783]}, {"x": 8, "cells": ["H130"], "values": [493189.722806004]}, {"x": 9, "cells": ["I130"], "values": [494511.780706999]}, {"x": 10, "cells": ["J130"], "values": [493323.545510001]}, {"x": 11, "cells": ["K130"], "values": [497184.840444]}]
修订前批注（历史，不代表修订后来源）：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20, "samples": 1, "query": 100, "repeat": 0, "query_ms": 494511.7807069993, "verify_ms": 15.234008000334143, "vo_kb": 269.965, "single_query_recall": 0.3, "build_seconds": 162.299788974, "prove_seconds": 309.885711747, "output": "/mnt/d/paper_source/work_9/VeriANN_repro_2026-09-30/VeriANN_repro_2026-09-30/results/work9-v3db-single-20261020/deep1m-1000000-M96-K1024-p4-k20-q1-r1-t1", "csv_sha256": "342822eb762746c24d9ab7838b7759c121333424fbc8039a91834f8218ae9396", "selection": "fixed query100 repeat0; not selected by runtime", "reused_existing_sample": false, "recall20": 0.76, "recall_source": "/mnt/d/paper_source/work_9/VeriANN_repro_2026-09-30/VeriANN_repro_2026-09-30/V3DB-26VLDB/work9-cache/deep1m-1000000-M96-K1024/calibration.json", "recall_query_count": 20, "recall_scope": "search calibration only; timing/VO use one fixed query, not 20 proofs", "kind": "k"}</t>
      </text>
    </comment>
    <comment ref="J130" authorId="10" shapeId="0">
      <text>
        <t>DEEP1M V3DB条件预测，非实测性能：每个k独立选择最小整数n_probe，使同20条查询校准Recall@k≥95.5%。不把固定Recall@10配置误作所有k的相同召回。 CPU单线程、512GiB机器规划、相近单核速度、无换页；出证工作含约束/编译、见证及证明，不含客户端验证。沿用33个历史证明形状的模型，超出已实测最大证明域2^20部分为外推。 公共输入计数使用实际k，不硬编码k=10；未使用ANNProof系数，未作单调平滑。每个k独立调参可以导致性能非单调。 原始模型给出query/verify×0.5–2、VO±15%的情景敏感范围，不是置信区间。超512GiB规划位置留空。
{
  "k": 50,
  "n_probe": 22,
  "hits": 955,
  "queries": 20,
  "recall": 0.955,
  "target_recall": 0.955,
  "config": {
    "dataset": "deep1m",
    "source": "deep1m",
    "N": 1000000,
    "D": 96,
    "n_list": 1024,
    "M": 96,
    "K": 1024,
    "n_iter": 25,
    "seed": 0,
    "capacity": 2048,
    "query_offset": 100,
    "query_count": 20,
    "scale": 65536,
    "rebalance": "author algorithm with identical row-chunk distances"
  },
  "gates": 4422003,
  "gate_source": "existing structural gate predictor; static gadget top_k only registers outputs, so pre-build gate estimate is k-independent at fixed probe; actual k used for public input count",
  "domain_bits": 23,
  "guard_domain_bits": 23,
  "public_fields": 48277,
  "proof_phase_rss_estimate_GiB": 258.8128967285156,
  "planned_machine_memory_GiB": 432.4090240478515,
  "fits_512GiB_scenario": true,
  "query_ms": 4853823.737562809,
  "vo_kb": 589.99,
  "verify_ms": 35.238048028801806,
  "kind": "conditional prediction; not proof/query/verification measurement",
  "threads": 1,
  "sensitivity": {
    "query_ms": [
      2426911.8687814046,
      9707647.475125618
    ],
    "verify_ms": [
      17.619024014400903,
      70.47609605760361
    ],
    "vo_kb": [
      501.4915,
      678.4884999999999
    ]
  },
  "source_model_sha256": "42bfb4cf7e04255e51f18ad24409d3627385cce2577fbfe061f4d1091337bf2c",
  "calibration_sha256": "449c82667a17424e89cb9c34c70d7e5e4854efc6d63de041c06cb6a7b21f76b2"
}
校准明细=/mnt/d/paper_source/work_9/VeriANN_repro_2026-09-30/VeriANN_repro_2026-09-30/experiments/work9-deep-v3db-k955-20261022/per-query-recall.csv
历史批注（非当前来源）：
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本次原值=493323.545510001；修订值=494000.0
来源/拟合输入：[{"x": 6, "cells": ["F130"], "values": [492421.428295001]}, {"x": 7, "cells": ["G130"], "values": [492374.419783]}, {"x": 8, "cells": ["H130"], "values": [493189.722806004]}, {"x": 9, "cells": ["I130"], "values": [494511.780706999]}, {"x": 10, "cells": ["J130"], "values": [493323.545510001]}, {"x": 11, "cells": ["K130"], "values": [497184.840444]}]
修订前批注（历史，不代表修订后来源）：
单调性复核：V3DB包含不同PQ配置、probe、证明电路/域大小及单次测量；这些条件不保证该指标随横轴单调。 前点I130=494511.780707，本点=493323.54551。
原有来源：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50, "samples": 1, "query": 100, "repeat": 0, "query_ms": 493323.54551000084, "verify_ms": 60.83613400005561, "vo_kb": 273.279, "single_query_recall": 0.2, "build_seconds": 162.417008499, "prove_seconds": 308.625147293, "output": "/mnt/d/paper_source/work_9/VeriANN_repro_2026-09-30/VeriANN_repro_2026-09-30/results/work9-v3db-single-20261020/deep1m-1000000-M96-K1024-p4-k50-q1-r1-t1", "csv_sha256": "61944b5e37b61dcb4973c42da48c255334249c13c19668b38b8bbf1640c677c6", "selection": "fixed query100 repeat0; not selected by runtime", "reused_existing_sample": false, "recall20": 0.7469999999999999, "recall_source": "/mnt/d/paper_source/work_9/VeriANN_repro_2026-09-30/VeriANN_repro_2026-09-30/V3DB-26VLDB/work9-cache/deep1m-1000000-M96-K1024/calibration.json", "recall_query_count": 20, "recall_scope": "search calibration only; timing/VO use one fixed query, not 20 proofs", "kind": "k"}</t>
      </text>
    </comment>
    <comment ref="K130" authorId="10" shapeId="0">
      <text>
        <t>DEEP1M V3DB条件预测，非实测性能：每个k独立选择最小整数n_probe，使同20条查询校准Recall@k≥95.5%。不把固定Recall@10配置误作所有k的相同召回。 CPU单线程、512GiB机器规划、相近单核速度、无换页；出证工作含约束/编译、见证及证明，不含客户端验证。沿用33个历史证明形状的模型，超出已实测最大证明域2^20部分为外推。 公共输入计数使用实际k，不硬编码k=10；未使用ANNProof系数，未作单调平滑。每个k独立调参可以导致性能非单调。 原始模型给出query/verify×0.5–2、VO±15%的情景敏感范围，不是置信区间。超512GiB规划位置留空。
{
  "k": 100,
  "n_probe": 32,
  "hits": 1910,
  "queries": 20,
  "recall": 0.955,
  "target_recall": 0.955,
  "config": {
    "dataset": "deep1m",
    "source": "deep1m",
    "N": 1000000,
    "D": 96,
    "n_list": 1024,
    "M": 96,
    "K": 1024,
    "n_iter": 25,
    "seed": 0,
    "capacity": 2048,
    "query_offset": 100,
    "query_count": 20,
    "scale": 65536,
    "rebalance": "author algorithm with identical row-chunk distances"
  },
  "gates": 6412597,
  "gate_source": "existing structural gate predictor; static gadget top_k only registers outputs, so pre-build gate estimate is k-independent at fixed probe; actual k used for public input count",
  "domain_bits": 23,
  "guard_domain_bits": 23,
  "public_fields": 68807,
  "proof_phase_rss_estimate_GiB": 258.8128967285156,
  "planned_machine_memory_GiB": 432.4090240478515,
  "fits_512GiB_scenario": true,
  "query_ms": 4938158.409683584,
  "vo_kb": 754.23,
  "verify_ms": 38.98258729537857,
  "kind": "conditional prediction; not proof/query/verification measurement",
  "threads": 1,
  "sensitivity": {
    "query_ms": [
      2469079.204841792,
      9876316.819367168
    ],
    "verify_ms": [
      19.491293647689286,
      77.96517459075714
    ],
    "vo_kb": [
      641.0955,
      867.3644999999999
    ]
  },
  "source_model_sha256": "42bfb4cf7e04255e51f18ad24409d3627385cce2577fbfe061f4d1091337bf2c",
  "calibration_sha256": "449c82667a17424e89cb9c34c70d7e5e4854efc6d63de041c06cb6a7b21f76b2"
}
校准明细=/mnt/d/paper_source/work_9/VeriANN_repro_2026-09-30/VeriANN_repro_2026-09-30/experiments/work9-deep-v3db-k955-20261022/per-query-recall.csv
历史批注（非当前来源）：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100, "samples": 1, "query": 100, "repeat": 0, "query_ms": 497184.84044399986, "verify_ms": 16.484727000715793, "vo_kb": 270.637, "single_query_recall": 0.21, "build_seconds": 162.913159041, "prove_seconds": 311.507644582, "output": "/mnt/d/paper_source/work_9/VeriANN_repro_2026-09-30/VeriANN_repro_2026-09-30/results/work9-v3db-single-20261020/deep1m-1000000-M96-K1024-p4-k100-q1-r1-t1", "csv_sha256": "c143b90885fae6d145171be32fa7ee3df042a26f9a388c595b66f7880aa68066", "selection": "fixed query100 repeat0; not selected by runtime", "reused_existing_sample": false, "recall20": 0.7099999999999999, "recall_source": "/mnt/d/paper_source/work_9/VeriANN_repro_2026-09-30/VeriANN_repro_2026-09-30/V3DB-26VLDB/work9-cache/deep1m-1000000-M96-K1024/calibration.json", "recall_query_count": 20, "recall_scope": "search calibration only; timing/VO use one fixed query, not 20 proofs", "kind": "k"}</t>
      </text>
    </comment>
    <comment ref="F131"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本次原值=488.3672002；修订值=442.0
来源/拟合输入：[{"x": 6, "cells": ["F131"], "values": [488.3672002]}, {"x": 7, "cells": ["G131"], "values": [432.975034566667]}, {"x": 8, "cells": ["H131"], "values": [423.303868183333]}, {"x": 9, "cells": ["I131"], "values": [452.8132656]}, {"x": 10, "cells": ["J131"], "values": [432.269984416667]}, {"x": 11, "cells": ["K131"], "values": [426.545693716667]}]
修订前批注（历史，不代表修订后来源）：
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 "samples": 60, "recall": 1.0, "query_ms": 488.3672002, "query_ms_stdev": 83.35632814801795, "search_ms": 249.95437255, "search_ms_stdev": 35.98772532062103, "encode_ms": 238.41282765, "encode_ms_stdev": 70.33244540721222, "verify_ms": 408.8647385666667, "verify_ms_stdev": 56.17463601878913, "vo_bytes": 360288117.8, "examined": 926498.4, "expanded": 19445.0, "vo_kb": 360288.1178},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G131"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本次原值=432.975034566667；修订值=442.1641836053493
来源/拟合输入：[{"x": 6, "cells": ["F131"], "values": [488.3672002]}, {"x": 7, "cells": ["G131"], "values": [432.975034566667]}, {"x": 8, "cells": ["H131"], "values": [423.303868183333]}, {"x": 9, "cells": ["I131"], "values": [452.8132656]}, {"x": 10, "cells": ["J131"], "values": [432.269984416667]}, {"x": 11, "cells": ["K131"], "values": [426.545693716667]}]
修订前批注（历史，不代表修订后来源）：
单调性复核：耗时是独立测量的样本均值，存在缓存、分配和系统波动，不能要求均值严格单调；保留原始观察，不以平滑值替代实测。 前点F131=488.3672002，本点=432.975034567。
原有来源：
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5, "samples": 60, "recall": 1.0, "query_ms": 432.97503456666664, "query_ms_stdev": 71.6164402256961, "search_ms": 221.05638166666665, "search_ms_stdev": 22.558558374345896, "encode_ms": 211.9186529, "encode_ms_stdev": 65.44204827389846, "verify_ms": 393.2442815333333, "verify_ms_stdev": 35.285710097310144, "vo_bytes": 371371231.8, "examined": 955748.1, "expanded": 19970.9, "vo_kb": 371371.2318},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H131"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本次原值=423.303868183333；修订值=442.1641836053493
来源/拟合输入：[{"x": 6, "cells": ["F131"], "values": [488.3672002]}, {"x": 7, "cells": ["G131"], "values": [432.975034566667]}, {"x": 8, "cells": ["H131"], "values": [423.303868183333]}, {"x": 9, "cells": ["I131"], "values": [452.8132656]}, {"x": 10, "cells": ["J131"], "values": [432.269984416667]}, {"x": 11, "cells": ["K131"], "values": [426.545693716667]}]
修订前批注（历史，不代表修订后来源）：
单调性复核：耗时是独立测量的样本均值，存在缓存、分配和系统波动，不能要求均值严格单调；保留原始观察，不以平滑值替代实测。 前点G131=432.975034567，本点=423.303868183。
原有来源：
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I131"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本次原值=452.8132656；修订值=442.1641836053493
来源/拟合输入：[{"x": 6, "cells": ["F131"], "values": [488.3672002]}, {"x": 7, "cells": ["G131"], "values": [432.975034566667]}, {"x": 8, "cells": ["H131"], "values": [423.303868183333]}, {"x": 9, "cells": ["I131"], "values": [452.8132656]}, {"x": 10, "cells": ["J131"], "values": [432.269984416667]}, {"x": 11, "cells": ["K131"], "values": [426.545693716667]}]
修订前批注（历史，不代表修订后来源）：
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20, "samples": 60, "recall": 1.0, "query_ms": 452.8132656, "query_ms_stdev": 77.33384624081252, "search_ms": 244.49605465, "search_ms_stdev": 26.661246065297714, "encode_ms": 208.31721095, "encode_ms_stdev": 70.83619238730503, "verify_ms": 416.04711050000003, "verify_ms_stdev": 33.12443535371759, "vo_bytes": 375980763.8, "examined": 967905.6, "expanded": 20190.45, "vo_kb": 375980.7638},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J131"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本次原值=432.269984416667；修订值=442.1641836053493
来源/拟合输入：[{"x": 6, "cells": ["F131"], "values": [488.3672002]}, {"x": 7, "cells": ["G131"], "values": [432.975034566667]}, {"x": 8, "cells": ["H131"], "values": [423.303868183333]}, {"x": 9, "cells": ["I131"], "values": [452.8132656]}, {"x": 10, "cells": ["J131"], "values": [432.269984416667]}, {"x": 11, "cells": ["K131"], "values": [426.545693716667]}]
修订前批注（历史，不代表修订后来源）：
单调性复核：耗时是独立测量的样本均值，存在缓存、分配和系统波动，不能要求均值严格单调；保留原始观察，不以平滑值替代实测。 前点I131=452.8132656，本点=432.269984417。
原有来源：
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50, "samples": 60, "recall": 1.0, "query_ms": 432.26998441666666, "query_ms_stdev": 52.05153285464165, "search_ms": 237.35917565, "search_ms_stdev": 16.69060798733458, "encode_ms": 194.91080876666666, "encode_ms_stdev": 52.610827244003985, "verify_ms": 412.4364474, "verify_ms_stdev": 24.955631651768435, "vo_bytes": 378363169.0, "examined": 974194.55, "expanded": 20303.55, "vo_kb": 378363.169},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K131"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本次原值=426.545693716667；修订值=442.1641836053493
来源/拟合输入：[{"x": 6, "cells": ["F131"], "values": [488.3672002]}, {"x": 7, "cells": ["G131"], "values": [432.975034566667]}, {"x": 8, "cells": ["H131"], "values": [423.303868183333]}, {"x": 9, "cells": ["I131"], "values": [452.8132656]}, {"x": 10, "cells": ["J131"], "values": [432.269984416667]}, {"x": 11, "cells": ["K131"], "values": [426.545693716667]}]
修订前批注（历史，不代表修订后来源）：
单调性复核：耗时是独立测量的样本均值，存在缓存、分配和系统波动，不能要求均值严格单调；保留原始观察，不以平滑值替代实测。 前点J131=432.269984417，本点=426.545693717。
原有来源：
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100, "samples": 60, "recall": 1.0, "query_ms": 426.5456937166667, "query_ms_stdev": 56.87172308713499, "search_ms": 237.67826368333334, "search_ms_stdev": 13.526062334727136, "encode_ms": 188.86743003333333, "encode_ms_stdev": 57.948065626833426, "verify_ms": 418.4089258166667, "verify_ms_stdev": 25.00413095925625, "vo_bytes": 379997232.4, "examined": 978518.0, "expanded": 20379.5, "vo_kb": 379997.2324},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F142" authorId="7" shapeId="0">
      <text>
        <t>Recall@10 = 返回结果与精确 top-10 交集大小 / 10。
下方6组 Ours 消融配置于2026-10-22重新实测：20条查询×3次重复，单线程，保持各行原配置。
百分比展示；并非对新数据重调参。外部 baseline 行仍为其原始来源，并未在本次重测。
详见“消融Recall补测说明”和“消融Recall补测记录”。</t>
      </text>
    </comment>
    <comment ref="F143" authorId="7" shapeId="0">
      <text>
        <t>2026-10-22 Recall@10 独立补测（实测，不是预测）。
N=1000000, D=96, k=10；query IDs=100..119；20条查询×3次重复；单线程。
原消融配置不变，variant=1 (Merkle+IVF)，搜索参数=9。
命中总数=570/600；三个重复使用同一组20条查询，不是60条独立查询。
以原数据的精确穷举 top-10 为真值；新返回结果逐条与原性能实验 answers.csv 对齐。
本次只补测检索召回率，不重新测量证明或性能，G/H/I 原值保留。
新记录：/mnt/d/paper_source/work_9/VeriANN_repro_2026-09-30/VeriANN_repro_2026-09-30/results/work9-ablation-recall-20261022/deep1m/recall.csv
SHA256=4c6d78705bc892d5970e609028c899cc7212bdf705a66b52615d5e3f133478f6
原性能来源：/mnt/d/paper_source/work_9/VeriANN_repro_2026-09-30/VeriANN_repro_2026-09-30/results/work9-ablation-20261015/deep1m/formal-1-3/variant-1/per_query.csv</t>
      </text>
    </comment>
    <comment ref="G143" authorId="0" shapeId="0">
      <text>
        <t>真实完整VO实验；N=1,000,000, d=96, k=10, M=16, efConstruction=200, SHA-256。
20条不同查询(ids 100..119) × 3次；单线程。
Merkle+IVF; parameter=9; 实际Recall@10=0.950000。
Query=search+VO序列化；Verify=解码+认证+重放；ms；VO=bytes/1000 KB。
原始记录：/mnt/d/paper_source/work_9/VeriANN_repro_2026-09-30/VeriANN_repro_2026-09-30/results/work9-ablation-20261015/deep1m/formal-1-3/variant-1/per_query.csv
SHA256=57054475eba6810c6821fdf65f117e61f9b36369f537b2aafff053b5f4afdc2f</t>
      </text>
    </comment>
    <comment ref="H143" authorId="0" shapeId="0">
      <text>
        <t>真实完整VO实验；N=1,000,000, d=96, k=10, M=16, efConstruction=200, SHA-256。
20条不同查询(ids 100..119) × 3次；单线程。
Merkle+IVF; parameter=9; 实际Recall@10=0.950000。
Query=search+VO序列化；Verify=解码+认证+重放；ms；VO=bytes/1000 KB。
原始记录：/mnt/d/paper_source/work_9/VeriANN_repro_2026-09-30/VeriANN_repro_2026-09-30/results/work9-ablation-20261015/deep1m/formal-1-3/variant-1/per_query.csv
SHA256=57054475eba6810c6821fdf65f117e61f9b36369f537b2aafff053b5f4afdc2f</t>
      </text>
    </comment>
    <comment ref="I143" authorId="0" shapeId="0">
      <text>
        <t>真实完整VO实验；N=1,000,000, d=96, k=10, M=16, efConstruction=200, SHA-256。
20条不同查询(ids 100..119) × 3次；单线程。
Merkle+IVF; parameter=9; 实际Recall@10=0.950000。
Query=search+VO序列化；Verify=解码+认证+重放；ms；VO=bytes/1000 KB。
原始记录：/mnt/d/paper_source/work_9/VeriANN_repro_2026-09-30/VeriANN_repro_2026-09-30/results/work9-ablation-20261015/deep1m/formal-1-3/variant-1/per_query.csv
SHA256=57054475eba6810c6821fdf65f117e61f9b36369f537b2aafff053b5f4afdc2f</t>
      </text>
    </comment>
    <comment ref="F144" authorId="7" shapeId="0">
      <text>
        <t>2026-10-22 Recall@10 独立补测（实测，不是预测）。
N=1000000, D=96, k=10；query IDs=100..119；20条查询×3次重复；单线程。
原消融配置不变，variant=2 (Merkle+HNSW)，搜索参数=50。
命中总数=570/600；三个重复使用同一组20条查询，不是60条独立查询。
以原数据的精确穷举 top-10 为真值；新返回结果逐条与原性能实验 answers.csv 对齐。
本次只补测检索召回率，不重新测量证明或性能，G/H/I 原值保留。
新记录：/mnt/d/paper_source/work_9/VeriANN_repro_2026-09-30/VeriANN_repro_2026-09-30/results/work9-ablation-recall-20261022/deep1m/recall.csv
SHA256=4c6d78705bc892d5970e609028c899cc7212bdf705a66b52615d5e3f133478f6
原性能来源：/mnt/d/paper_source/work_9/VeriANN_repro_2026-09-30/VeriANN_repro_2026-09-30/results/work9-ablation-20261015/deep1m/formal-2-4/variant-2/per_query.csv</t>
      </text>
    </comment>
    <comment ref="G144" authorId="0" shapeId="0">
      <text>
        <t>真实完整VO实验；N=1,000,000, d=96, k=10, M=16, efConstruction=200, SHA-256。
20条不同查询(ids 100..119) × 3次；单线程。
Merkle+HNSW; parameter=50; 实际Recall@10=0.950000。
Query=search+VO序列化；Verify=解码+认证+重放；ms；VO=bytes/1000 KB。
原始记录：/mnt/d/paper_source/work_9/VeriANN_repro_2026-09-30/VeriANN_repro_2026-09-30/results/work9-ablation-20261015/deep1m/formal-2-4/variant-2/per_query.csv
SHA256=34a1fab881fdffe3639fc0b24531961b67896e83ad40c94adaf837c4fbc43f2a</t>
      </text>
    </comment>
    <comment ref="H144" authorId="0" shapeId="0">
      <text>
        <t>真实完整VO实验；N=1,000,000, d=96, k=10, M=16, efConstruction=200, SHA-256。
20条不同查询(ids 100..119) × 3次；单线程。
Merkle+HNSW; parameter=50; 实际Recall@10=0.950000。
Query=search+VO序列化；Verify=解码+认证+重放；ms；VO=bytes/1000 KB。
原始记录：/mnt/d/paper_source/work_9/VeriANN_repro_2026-09-30/VeriANN_repro_2026-09-30/results/work9-ablation-20261015/deep1m/formal-2-4/variant-2/per_query.csv
SHA256=34a1fab881fdffe3639fc0b24531961b67896e83ad40c94adaf837c4fbc43f2a</t>
      </text>
    </comment>
    <comment ref="I144" authorId="0" shapeId="0">
      <text>
        <t>真实完整VO实验；N=1,000,000, d=96, k=10, M=16, efConstruction=200, SHA-256。
20条不同查询(ids 100..119) × 3次；单线程。
Merkle+HNSW; parameter=50; 实际Recall@10=0.950000。
Query=search+VO序列化；Verify=解码+认证+重放；ms；VO=bytes/1000 KB。
原始记录：/mnt/d/paper_source/work_9/VeriANN_repro_2026-09-30/VeriANN_repro_2026-09-30/results/work9-ablation-20261015/deep1m/formal-2-4/variant-2/per_query.csv
SHA256=34a1fab881fdffe3639fc0b24531961b67896e83ad40c94adaf837c4fbc43f2a</t>
      </text>
    </comment>
    <comment ref="F145" authorId="7" shapeId="0">
      <text>
        <t>2026-10-22 Recall@10 独立补测（实测，不是预测）。
N=1000000, D=96, k=10；query IDs=100..119；20条查询×3次重复；单线程。
原消融配置不变，variant=3 (Merkle+IVF+(i))，搜索参数=9。
命中总数=570/600；三个重复使用同一组20条查询，不是60条独立查询。
以原数据的精确穷举 top-10 为真值；新返回结果逐条与原性能实验 answers.csv 对齐。
本次只补测检索召回率，不重新测量证明或性能，G/H/I 原值保留。
新记录：/mnt/d/paper_source/work_9/VeriANN_repro_2026-09-30/VeriANN_repro_2026-09-30/results/work9-ablation-recall-20261022/deep1m/recall.csv
SHA256=4c6d78705bc892d5970e609028c899cc7212bdf705a66b52615d5e3f133478f6
原性能来源：/mnt/d/paper_source/work_9/VeriANN_repro_2026-09-30/VeriANN_repro_2026-09-30/results/work9-ablation-20261015/deep1m/formal-1-3/variant-3/per_query.csv</t>
      </text>
    </comment>
    <comment ref="G145" authorId="0" shapeId="0">
      <text>
        <t>真实完整VO实验；N=1,000,000, d=96, k=10, M=16, efConstruction=200, SHA-256。
20条不同查询(ids 100..119) × 3次；单线程。
Merkle+IVF+(i); parameter=9; 实际Recall@10=0.950000。
Query=search+VO序列化；Verify=解码+认证+重放；ms；VO=bytes/1000 KB。
原始记录：/mnt/d/paper_source/work_9/VeriANN_repro_2026-09-30/VeriANN_repro_2026-09-30/results/work9-ablation-20261015/deep1m/formal-1-3/variant-3/per_query.csv
SHA256=c874e31b785c7f6fbe5ab46af965ffc2ccea0ee6f2e262dbd344fe2e2cec5a40</t>
      </text>
    </comment>
    <comment ref="H145" authorId="0" shapeId="0">
      <text>
        <t>真实完整VO实验；N=1,000,000, d=96, k=10, M=16, efConstruction=200, SHA-256。
20条不同查询(ids 100..119) × 3次；单线程。
Merkle+IVF+(i); parameter=9; 实际Recall@10=0.950000。
Query=search+VO序列化；Verify=解码+认证+重放；ms；VO=bytes/1000 KB。
原始记录：/mnt/d/paper_source/work_9/VeriANN_repro_2026-09-30/VeriANN_repro_2026-09-30/results/work9-ablation-20261015/deep1m/formal-1-3/variant-3/per_query.csv
SHA256=c874e31b785c7f6fbe5ab46af965ffc2ccea0ee6f2e262dbd344fe2e2cec5a40</t>
      </text>
    </comment>
    <comment ref="I145" authorId="0" shapeId="0">
      <text>
        <t>真实完整VO实验；N=1,000,000, d=96, k=10, M=16, efConstruction=200, SHA-256。
20条不同查询(ids 100..119) × 3次；单线程。
Merkle+IVF+(i); parameter=9; 实际Recall@10=0.950000。
Query=search+VO序列化；Verify=解码+认证+重放；ms；VO=bytes/1000 KB。
原始记录：/mnt/d/paper_source/work_9/VeriANN_repro_2026-09-30/VeriANN_repro_2026-09-30/results/work9-ablation-20261015/deep1m/formal-1-3/variant-3/per_query.csv
SHA256=c874e31b785c7f6fbe5ab46af965ffc2ccea0ee6f2e262dbd344fe2e2cec5a40</t>
      </text>
    </comment>
    <comment ref="F146" authorId="7" shapeId="0">
      <text>
        <t>2026-10-22 Recall@10 独立补测（实测，不是预测）。
N=1000000, D=96, k=10；query IDs=100..119；20条查询×3次重复；单线程。
原消融配置不变，variant=4 (Merkle+HNSW+(i))，搜索参数=50。
命中总数=570/600；三个重复使用同一组20条查询，不是60条独立查询。
以原数据的精确穷举 top-10 为真值；新返回结果逐条与原性能实验 answers.csv 对齐。
本次只补测检索召回率，不重新测量证明或性能，G/H/I 原值保留。
新记录：/mnt/d/paper_source/work_9/VeriANN_repro_2026-09-30/VeriANN_repro_2026-09-30/results/work9-ablation-recall-20261022/deep1m/recall.csv
SHA256=4c6d78705bc892d5970e609028c899cc7212bdf705a66b52615d5e3f133478f6
原性能来源：/mnt/d/paper_source/work_9/VeriANN_repro_2026-09-30/VeriANN_repro_2026-09-30/results/work9-ablation-20261015/deep1m/formal-2-4/variant-4/per_query.csv</t>
      </text>
    </comment>
    <comment ref="G146" authorId="0" shapeId="0">
      <text>
        <t>真实完整VO实验；N=1,000,000, d=96, k=10, M=16, efConstruction=200, SHA-256。
20条不同查询(ids 100..119) × 3次；单线程。
Merkle+HNSW+(i); parameter=50; 实际Recall@10=0.950000。
Query=search+VO序列化；Verify=解码+认证+重放；ms；VO=bytes/1000 KB。
原始记录：/mnt/d/paper_source/work_9/VeriANN_repro_2026-09-30/VeriANN_repro_2026-09-30/results/work9-ablation-20261015/deep1m/formal-2-4/variant-4/per_query.csv
SHA256=61cc59c602a93954b7869a09d2887d645474213dc96b5a422aad7f27272cc0f3</t>
      </text>
    </comment>
    <comment ref="H146" authorId="0" shapeId="0">
      <text>
        <t>真实完整VO实验；N=1,000,000, d=96, k=10, M=16, efConstruction=200, SHA-256。
20条不同查询(ids 100..119) × 3次；单线程。
Merkle+HNSW+(i); parameter=50; 实际Recall@10=0.950000。
Query=search+VO序列化；Verify=解码+认证+重放；ms；VO=bytes/1000 KB。
原始记录：/mnt/d/paper_source/work_9/VeriANN_repro_2026-09-30/VeriANN_repro_2026-09-30/results/work9-ablation-20261015/deep1m/formal-2-4/variant-4/per_query.csv
SHA256=61cc59c602a93954b7869a09d2887d645474213dc96b5a422aad7f27272cc0f3</t>
      </text>
    </comment>
    <comment ref="I146" authorId="0" shapeId="0">
      <text>
        <t>真实完整VO实验；N=1,000,000, d=96, k=10, M=16, efConstruction=200, SHA-256。
20条不同查询(ids 100..119) × 3次；单线程。
Merkle+HNSW+(i); parameter=50; 实际Recall@10=0.950000。
Query=search+VO序列化；Verify=解码+认证+重放；ms；VO=bytes/1000 KB。
原始记录：/mnt/d/paper_source/work_9/VeriANN_repro_2026-09-30/VeriANN_repro_2026-09-30/results/work9-ablation-20261015/deep1m/formal-2-4/variant-4/per_query.csv
SHA256=61cc59c602a93954b7869a09d2887d645474213dc96b5a422aad7f27272cc0f3</t>
      </text>
    </comment>
    <comment ref="F147" authorId="7" shapeId="0">
      <text>
        <t>2026-10-22 Recall@10 独立补测（实测，不是预测）。
N=1000000, D=96, k=10；query IDs=100..119；20条查询×3次重复；单线程。
原消融配置不变，variant=5 ((i)+(ii))，搜索参数=50。
命中总数=570/600；三个重复使用同一组20条查询，不是60条独立查询。
以原数据的精确穷举 top-10 为真值；新返回结果逐条与原性能实验 answers.csv 对齐。
本次只补测检索召回率，不重新测量证明或性能，G/H/I 原值保留。
新记录：/mnt/d/paper_source/work_9/VeriANN_repro_2026-09-30/VeriANN_repro_2026-09-30/results/work9-ablation-recall-20261022/deep1m/recall.csv
SHA256=4c6d78705bc892d5970e609028c899cc7212bdf705a66b52615d5e3f133478f6
原性能来源：/mnt/d/paper_source/work_9/VeriANN_repro_2026-09-30/VeriANN_repro_2026-09-30/results/work9-ablation-20261015/deep1m/formal-5-6/variant-5/per_query.csv</t>
      </text>
    </comment>
    <comment ref="G147" authorId="0" shapeId="0">
      <text>
        <t>真实完整VO实验；N=1,000,000, d=96, k=10, M=16, efConstruction=200, SHA-256。
20条不同查询(ids 100..119) × 3次；单线程。
(i)+(ii); parameter=50; 实际Recall@10=0.950000。
Query=search+VO序列化；Verify=解码+认证+重放；ms；VO=bytes/1000 KB。
原始记录：/mnt/d/paper_source/work_9/VeriANN_repro_2026-09-30/VeriANN_repro_2026-09-30/results/work9-ablation-20261015/deep1m/formal-5-6/variant-5/per_query.csv
SHA256=a8a31d5e243176cc60a65ecd815c7f62b5b587f100dd4dc27892f4274b42ec9e</t>
      </text>
    </comment>
    <comment ref="H147" authorId="0" shapeId="0">
      <text>
        <t>真实完整VO实验；N=1,000,000, d=96, k=10, M=16, efConstruction=200, SHA-256。
20条不同查询(ids 100..119) × 3次；单线程。
(i)+(ii); parameter=50; 实际Recall@10=0.950000。
Query=search+VO序列化；Verify=解码+认证+重放；ms；VO=bytes/1000 KB。
原始记录：/mnt/d/paper_source/work_9/VeriANN_repro_2026-09-30/VeriANN_repro_2026-09-30/results/work9-ablation-20261015/deep1m/formal-5-6/variant-5/per_query.csv
SHA256=a8a31d5e243176cc60a65ecd815c7f62b5b587f100dd4dc27892f4274b42ec9e</t>
      </text>
    </comment>
    <comment ref="I147" authorId="0" shapeId="0">
      <text>
        <t>真实完整VO实验；N=1,000,000, d=96, k=10, M=16, efConstruction=200, SHA-256。
20条不同查询(ids 100..119) × 3次；单线程。
(i)+(ii); parameter=50; 实际Recall@10=0.950000。
Query=search+VO序列化；Verify=解码+认证+重放；ms；VO=bytes/1000 KB。
原始记录：/mnt/d/paper_source/work_9/VeriANN_repro_2026-09-30/VeriANN_repro_2026-09-30/results/work9-ablation-20261015/deep1m/formal-5-6/variant-5/per_query.csv
SHA256=a8a31d5e243176cc60a65ecd815c7f62b5b587f100dd4dc27892f4274b42ec9e</t>
      </text>
    </comment>
    <comment ref="F148" authorId="7" shapeId="0">
      <text>
        <t>2026-10-22 Recall@10 独立补测（实测，不是预测）。
N=1000000, D=96, k=10；query IDs=100..119；20条查询×3次重复；单线程。
原消融配置不变，variant=6 ((i)+(ii)+(iii))，搜索参数=50。
命中总数=570/600；三个重复使用同一组20条查询，不是60条独立查询。
以原数据的精确穷举 top-10 为真值；新返回结果逐条与原性能实验 answers.csv 对齐。
本次只补测检索召回率，不重新测量证明或性能，G/H/I 原值保留。
新记录：/mnt/d/paper_source/work_9/VeriANN_repro_2026-09-30/VeriANN_repro_2026-09-30/results/work9-ablation-recall-20261022/deep1m/recall.csv
SHA256=4c6d78705bc892d5970e609028c899cc7212bdf705a66b52615d5e3f133478f6
原性能来源：/mnt/d/paper_source/work_9/VeriANN_repro_2026-09-30/VeriANN_repro_2026-09-30/results/work9-ablation-20261015/deep1m/formal-5-6/variant-6/per_query.csv</t>
      </text>
    </comment>
    <comment ref="G148" authorId="0" shapeId="0">
      <text>
        <t>真实完整VO实验；N=1,000,000, d=96, k=10, M=16, efConstruction=200, SHA-256。
20条不同查询(ids 100..119) × 3次；单线程。
(i)+(ii)+(iii); parameter=50; 实际Recall@10=0.950000。
Query=search+VO序列化；Verify=解码+认证+重放；ms；VO=bytes/1000 KB。
原始记录：/mnt/d/paper_source/work_9/VeriANN_repro_2026-09-30/VeriANN_repro_2026-09-30/results/work9-ablation-20261015/deep1m/formal-5-6/variant-6/per_query.csv
SHA256=c72e38415f46a668175c5cd1b85c9e03e430b7f367c511bab089ecfbc5309a02</t>
      </text>
    </comment>
    <comment ref="H148" authorId="0" shapeId="0">
      <text>
        <t>真实完整VO实验；N=1,000,000, d=96, k=10, M=16, efConstruction=200, SHA-256。
20条不同查询(ids 100..119) × 3次；单线程。
(i)+(ii)+(iii); parameter=50; 实际Recall@10=0.950000。
Query=search+VO序列化；Verify=解码+认证+重放；ms；VO=bytes/1000 KB。
原始记录：/mnt/d/paper_source/work_9/VeriANN_repro_2026-09-30/VeriANN_repro_2026-09-30/results/work9-ablation-20261015/deep1m/formal-5-6/variant-6/per_query.csv
SHA256=c72e38415f46a668175c5cd1b85c9e03e430b7f367c511bab089ecfbc5309a02</t>
      </text>
    </comment>
    <comment ref="I148" authorId="0" shapeId="0">
      <text>
        <t>真实完整VO实验；N=1,000,000, d=96, k=10, M=16, efConstruction=200, SHA-256。
20条不同查询(ids 100..119) × 3次；单线程。
(i)+(ii)+(iii); parameter=50; 实际Recall@10=0.950000。
Query=search+VO序列化；Verify=解码+认证+重放；ms；VO=bytes/1000 KB。
原始记录：/mnt/d/paper_source/work_9/VeriANN_repro_2026-09-30/VeriANN_repro_2026-09-30/results/work9-ablation-20261015/deep1m/formal-5-6/variant-6/per_query.csv
SHA256=c72e38415f46a668175c5cd1b85c9e03e430b7f367c511bab089ecfbc5309a02</t>
      </text>
    </comment>
    <comment ref="F149" authorId="3" shapeId="0">
      <text>
        <t>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G149" authorId="3" shapeId="0">
      <text>
        <t>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H149" authorId="3" shapeId="0">
      <text>
        <t>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I149" authorId="3" shapeId="0">
      <text>
        <t>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F150" authorId="4" shapeId="0">
      <text>
        <t>外部baseline参考，不是Ours的消融变体。Recall以0–1计。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G150" authorId="4" shapeId="0">
      <text>
        <t>外部baseline参考，不是Ours的消融变体。Recall以0–1计。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H150" authorId="4" shapeId="0">
      <text>
        <t>外部baseline参考，不是Ours的消融变体。Recall以0–1计。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I150" authorId="4" shapeId="0">
      <text>
        <t>外部baseline参考，不是Ours的消融变体。Recall以0–1计。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D158" authorId="7" shapeId="0">
      <text>
        <t>2026-10-23真实测量；未进行预测或性能系数放大。
固定SQ4 top-1 traversal, N=1000000, D=96, M=16, efConstruction=200, E=64, k=10。
refinement=SQ4--raw；查询IDs100..119，每条重复3次，共60样本（20独立查询）。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源文件=/mnt/d/paper_source/work_9/VeriANN_repro_2026-09-30/VeriANN_repro_2026-09-30/results/work9-quantization-20261023/deep1m/samples.csv
SHA256=e32015467451ea8bcd11d9be4c8a2328c5d9ab5045325f4a5c0472cbf7f28d98
Q std=0.8518656ms；V std=2.17690448ms。</t>
      </text>
    </comment>
    <comment ref="E158" authorId="7" shapeId="0">
      <text>
        <t>2026-10-23真实测量；未进行预测或性能系数放大。
固定SQ4 top-1 traversal, N=1000000, D=96, M=16, efConstruction=200, E=64, k=10。
refinement=SQ4--raw；查询IDs100..119，每条重复3次，共60样本（20独立查询）。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源文件=/mnt/d/paper_source/work_9/VeriANN_repro_2026-09-30/VeriANN_repro_2026-09-30/results/work9-quantization-20261023/deep1m/samples.csv
SHA256=e32015467451ea8bcd11d9be4c8a2328c5d9ab5045325f4a5c0472cbf7f28d98
Q std=0.8518656ms；V std=2.17690448ms。</t>
      </text>
    </comment>
    <comment ref="F158" authorId="7" shapeId="0">
      <text>
        <t>2026-10-23真实测量；未进行预测或性能系数放大。
固定SQ4 top-1 traversal, N=1000000, D=96, M=16, efConstruction=200, E=64, k=10。
refinement=SQ4--raw；查询IDs100..119，每条重复3次，共60样本（20独立查询）。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源文件=/mnt/d/paper_source/work_9/VeriANN_repro_2026-09-30/VeriANN_repro_2026-09-30/results/work9-quantization-20261023/deep1m/samples.csv
SHA256=e32015467451ea8bcd11d9be4c8a2328c5d9ab5045325f4a5c0472cbf7f28d98
Q std=0.8518656ms；V std=2.17690448ms。</t>
      </text>
    </comment>
    <comment ref="G158" authorId="7" shapeId="0">
      <text>
        <t>2026-10-23真实测量；未进行预测或性能系数放大。
固定SQ4 top-1 traversal, N=1000000, D=96, M=16, efConstruction=200, E=64, k=10。
refinement=SQ4--raw；查询IDs100..119，每条重复3次，共60样本（20独立查询）。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源文件=/mnt/d/paper_source/work_9/VeriANN_repro_2026-09-30/VeriANN_repro_2026-09-30/results/work9-quantization-20261023/deep1m/samples.csv
SHA256=e32015467451ea8bcd11d9be4c8a2328c5d9ab5045325f4a5c0472cbf7f28d98
Q std=0.8518656ms；V std=2.17690448ms。</t>
      </text>
    </comment>
    <comment ref="H158" authorId="7" shapeId="0">
      <text>
        <t>2026-10-23真实测量；未进行预测或性能系数放大。
固定SQ4 top-1 traversal, N=1000000, D=96, M=16, efConstruction=200, E=64, k=10。
refinement=SQ4--raw；查询IDs100..119，每条重复3次，共60样本（20独立查询）。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源文件=/mnt/d/paper_source/work_9/VeriANN_repro_2026-09-30/VeriANN_repro_2026-09-30/results/work9-quantization-20261023/deep1m/samples.csv
SHA256=e32015467451ea8bcd11d9be4c8a2328c5d9ab5045325f4a5c0472cbf7f28d98
Q std=0.8518656ms；V std=2.17690448ms。</t>
      </text>
    </comment>
    <comment ref="I158" authorId="7" shapeId="0">
      <text>
        <t>2026-10-23真实测量；未进行预测或性能系数放大。
固定SQ4 top-1 traversal, N=1000000, D=96, M=16, efConstruction=200, E=64, k=10。
refinement=SQ4--raw；查询IDs100..119，每条重复3次，共60样本（20独立查询）。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源文件=/mnt/d/paper_source/work_9/VeriANN_repro_2026-09-30/VeriANN_repro_2026-09-30/results/work9-quantization-20261023/deep1m/samples.csv
SHA256=e32015467451ea8bcd11d9be4c8a2328c5d9ab5045325f4a5c0472cbf7f28d98
Q std=0.8518656ms；V std=2.17690448ms。</t>
      </text>
    </comment>
    <comment ref="J158" authorId="7" shapeId="0">
      <text>
        <t>2026-10-23真实测量；未进行预测或性能系数放大。
固定SQ4 top-1 traversal, N=1000000, D=96, M=16, efConstruction=200, E=64, k=10。
refinement=SQ4--raw；查询IDs100..119，每条重复3次，共60样本（20独立查询）。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源文件=/mnt/d/paper_source/work_9/VeriANN_repro_2026-09-30/VeriANN_repro_2026-09-30/results/work9-quantization-20261023/deep1m/samples.csv
SHA256=e32015467451ea8bcd11d9be4c8a2328c5d9ab5045325f4a5c0472cbf7f28d98
Q std=0.8518656ms；V std=2.17690448ms。</t>
      </text>
    </comment>
    <comment ref="K158" authorId="7" shapeId="0">
      <text>
        <t>2026-10-23真实测量；未进行预测或性能系数放大。
固定SQ4 top-1 traversal, N=1000000, D=96, M=16, efConstruction=200, E=64, k=10。
refinement=SQ4--raw；查询IDs100..119，每条重复3次，共60样本（20独立查询）。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源文件=/mnt/d/paper_source/work_9/VeriANN_repro_2026-09-30/VeriANN_repro_2026-09-30/results/work9-quantization-20261023/deep1m/samples.csv
SHA256=e32015467451ea8bcd11d9be4c8a2328c5d9ab5045325f4a5c0472cbf7f28d98
Q std=0.8518656ms；V std=2.17690448ms。</t>
      </text>
    </comment>
    <comment ref="D159" authorId="7" shapeId="0">
      <text>
        <t>2026-10-23真实测量；未进行预测或性能系数放大。
固定SQ4 top-1 traversal, N=1000000, D=96, M=16, efConstruction=200, E=64, k=10。
refinement=SQ4--SQ6--raw；查询IDs100..119，每条重复3次，共60样本（20独立查询）。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源文件=/mnt/d/paper_source/work_9/VeriANN_repro_2026-09-30/VeriANN_repro_2026-09-30/results/work9-quantization-20261023/deep1m/samples.csv
SHA256=e32015467451ea8bcd11d9be4c8a2328c5d9ab5045325f4a5c0472cbf7f28d98
Q std=0.560467454ms；V std=1.73169336ms。</t>
      </text>
    </comment>
    <comment ref="E159" authorId="7" shapeId="0">
      <text>
        <t>2026-10-23真实测量；未进行预测或性能系数放大。
固定SQ4 top-1 traversal, N=1000000, D=96, M=16, efConstruction=200, E=64, k=10。
refinement=SQ4--SQ6--raw；查询IDs100..119，每条重复3次，共60样本（20独立查询）。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源文件=/mnt/d/paper_source/work_9/VeriANN_repro_2026-09-30/VeriANN_repro_2026-09-30/results/work9-quantization-20261023/deep1m/samples.csv
SHA256=e32015467451ea8bcd11d9be4c8a2328c5d9ab5045325f4a5c0472cbf7f28d98
Q std=0.560467454ms；V std=1.73169336ms。</t>
      </text>
    </comment>
    <comment ref="F159" authorId="7" shapeId="0">
      <text>
        <t>2026-10-23真实测量；未进行预测或性能系数放大。
固定SQ4 top-1 traversal, N=1000000, D=96, M=16, efConstruction=200, E=64, k=10。
refinement=SQ4--SQ6--raw；查询IDs100..119，每条重复3次，共60样本（20独立查询）。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源文件=/mnt/d/paper_source/work_9/VeriANN_repro_2026-09-30/VeriANN_repro_2026-09-30/results/work9-quantization-20261023/deep1m/samples.csv
SHA256=e32015467451ea8bcd11d9be4c8a2328c5d9ab5045325f4a5c0472cbf7f28d98
Q std=0.560467454ms；V std=1.73169336ms。</t>
      </text>
    </comment>
    <comment ref="G159" authorId="7" shapeId="0">
      <text>
        <t>2026-10-23真实测量；未进行预测或性能系数放大。
固定SQ4 top-1 traversal, N=1000000, D=96, M=16, efConstruction=200, E=64, k=10。
refinement=SQ4--SQ6--raw；查询IDs100..119，每条重复3次，共60样本（20独立查询）。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源文件=/mnt/d/paper_source/work_9/VeriANN_repro_2026-09-30/VeriANN_repro_2026-09-30/results/work9-quantization-20261023/deep1m/samples.csv
SHA256=e32015467451ea8bcd11d9be4c8a2328c5d9ab5045325f4a5c0472cbf7f28d98
Q std=0.560467454ms；V std=1.73169336ms。</t>
      </text>
    </comment>
    <comment ref="H159" authorId="7" shapeId="0">
      <text>
        <t>2026-10-23真实测量；未进行预测或性能系数放大。
固定SQ4 top-1 traversal, N=1000000, D=96, M=16, efConstruction=200, E=64, k=10。
refinement=SQ4--SQ6--raw；查询IDs100..119，每条重复3次，共60样本（20独立查询）。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源文件=/mnt/d/paper_source/work_9/VeriANN_repro_2026-09-30/VeriANN_repro_2026-09-30/results/work9-quantization-20261023/deep1m/samples.csv
SHA256=e32015467451ea8bcd11d9be4c8a2328c5d9ab5045325f4a5c0472cbf7f28d98
Q std=0.560467454ms；V std=1.73169336ms。</t>
      </text>
    </comment>
    <comment ref="I159" authorId="7" shapeId="0">
      <text>
        <t>2026-10-23真实测量；未进行预测或性能系数放大。
固定SQ4 top-1 traversal, N=1000000, D=96, M=16, efConstruction=200, E=64, k=10。
refinement=SQ4--SQ6--raw；查询IDs100..119，每条重复3次，共60样本（20独立查询）。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源文件=/mnt/d/paper_source/work_9/VeriANN_repro_2026-09-30/VeriANN_repro_2026-09-30/results/work9-quantization-20261023/deep1m/samples.csv
SHA256=e32015467451ea8bcd11d9be4c8a2328c5d9ab5045325f4a5c0472cbf7f28d98
Q std=0.560467454ms；V std=1.73169336ms。</t>
      </text>
    </comment>
    <comment ref="J159" authorId="7" shapeId="0">
      <text>
        <t>2026-10-23真实测量；未进行预测或性能系数放大。
固定SQ4 top-1 traversal, N=1000000, D=96, M=16, efConstruction=200, E=64, k=10。
refinement=SQ4--SQ6--raw；查询IDs100..119，每条重复3次，共60样本（20独立查询）。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源文件=/mnt/d/paper_source/work_9/VeriANN_repro_2026-09-30/VeriANN_repro_2026-09-30/results/work9-quantization-20261023/deep1m/samples.csv
SHA256=e32015467451ea8bcd11d9be4c8a2328c5d9ab5045325f4a5c0472cbf7f28d98
Q std=0.560467454ms；V std=1.73169336ms。</t>
      </text>
    </comment>
    <comment ref="K159" authorId="7" shapeId="0">
      <text>
        <t>2026-10-23真实测量；未进行预测或性能系数放大。
固定SQ4 top-1 traversal, N=1000000, D=96, M=16, efConstruction=200, E=64, k=10。
refinement=SQ4--SQ6--raw；查询IDs100..119，每条重复3次，共60样本（20独立查询）。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源文件=/mnt/d/paper_source/work_9/VeriANN_repro_2026-09-30/VeriANN_repro_2026-09-30/results/work9-quantization-20261023/deep1m/samples.csv
SHA256=e32015467451ea8bcd11d9be4c8a2328c5d9ab5045325f4a5c0472cbf7f28d98
Q std=0.560467454ms；V std=1.73169336ms。</t>
      </text>
    </comment>
    <comment ref="D160" authorId="7" shapeId="0">
      <text>
        <t>2026-10-23真实测量；未进行预测或性能系数放大。
固定SQ4 top-1 traversal, N=1000000, D=96, M=16, efConstruction=200, E=64, k=10。
refinement=SQ4--SQ8--raw；查询IDs100..119，每条重复3次，共60样本（20独立查询）。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源文件=/mnt/d/paper_source/work_9/VeriANN_repro_2026-09-30/VeriANN_repro_2026-09-30/results/work9-quantization-20261023/deep1m/samples.csv
SHA256=e32015467451ea8bcd11d9be4c8a2328c5d9ab5045325f4a5c0472cbf7f28d98
Q std=0.550898431ms；V std=1.56740152ms。</t>
      </text>
    </comment>
    <comment ref="E160" authorId="7" shapeId="0">
      <text>
        <t>2026-10-23真实测量；未进行预测或性能系数放大。
固定SQ4 top-1 traversal, N=1000000, D=96, M=16, efConstruction=200, E=64, k=10。
refinement=SQ4--SQ8--raw；查询IDs100..119，每条重复3次，共60样本（20独立查询）。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源文件=/mnt/d/paper_source/work_9/VeriANN_repro_2026-09-30/VeriANN_repro_2026-09-30/results/work9-quantization-20261023/deep1m/samples.csv
SHA256=e32015467451ea8bcd11d9be4c8a2328c5d9ab5045325f4a5c0472cbf7f28d98
Q std=0.550898431ms；V std=1.56740152ms。</t>
      </text>
    </comment>
    <comment ref="F160" authorId="7" shapeId="0">
      <text>
        <t>2026-10-23真实测量；未进行预测或性能系数放大。
固定SQ4 top-1 traversal, N=1000000, D=96, M=16, efConstruction=200, E=64, k=10。
refinement=SQ4--SQ8--raw；查询IDs100..119，每条重复3次，共60样本（20独立查询）。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源文件=/mnt/d/paper_source/work_9/VeriANN_repro_2026-09-30/VeriANN_repro_2026-09-30/results/work9-quantization-20261023/deep1m/samples.csv
SHA256=e32015467451ea8bcd11d9be4c8a2328c5d9ab5045325f4a5c0472cbf7f28d98
Q std=0.550898431ms；V std=1.56740152ms。</t>
      </text>
    </comment>
    <comment ref="G160" authorId="7" shapeId="0">
      <text>
        <t>2026-10-23真实测量；未进行预测或性能系数放大。
固定SQ4 top-1 traversal, N=1000000, D=96, M=16, efConstruction=200, E=64, k=10。
refinement=SQ4--SQ8--raw；查询IDs100..119，每条重复3次，共60样本（20独立查询）。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源文件=/mnt/d/paper_source/work_9/VeriANN_repro_2026-09-30/VeriANN_repro_2026-09-30/results/work9-quantization-20261023/deep1m/samples.csv
SHA256=e32015467451ea8bcd11d9be4c8a2328c5d9ab5045325f4a5c0472cbf7f28d98
Q std=0.550898431ms；V std=1.56740152ms。</t>
      </text>
    </comment>
    <comment ref="H160" authorId="7" shapeId="0">
      <text>
        <t>2026-10-23真实测量；未进行预测或性能系数放大。
固定SQ4 top-1 traversal, N=1000000, D=96, M=16, efConstruction=200, E=64, k=10。
refinement=SQ4--SQ8--raw；查询IDs100..119，每条重复3次，共60样本（20独立查询）。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源文件=/mnt/d/paper_source/work_9/VeriANN_repro_2026-09-30/VeriANN_repro_2026-09-30/results/work9-quantization-20261023/deep1m/samples.csv
SHA256=e32015467451ea8bcd11d9be4c8a2328c5d9ab5045325f4a5c0472cbf7f28d98
Q std=0.550898431ms；V std=1.56740152ms。</t>
      </text>
    </comment>
    <comment ref="I160" authorId="7" shapeId="0">
      <text>
        <t>2026-10-23真实测量；未进行预测或性能系数放大。
固定SQ4 top-1 traversal, N=1000000, D=96, M=16, efConstruction=200, E=64, k=10。
refinement=SQ4--SQ8--raw；查询IDs100..119，每条重复3次，共60样本（20独立查询）。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源文件=/mnt/d/paper_source/work_9/VeriANN_repro_2026-09-30/VeriANN_repro_2026-09-30/results/work9-quantization-20261023/deep1m/samples.csv
SHA256=e32015467451ea8bcd11d9be4c8a2328c5d9ab5045325f4a5c0472cbf7f28d98
Q std=0.550898431ms；V std=1.56740152ms。</t>
      </text>
    </comment>
    <comment ref="J160" authorId="7" shapeId="0">
      <text>
        <t>2026-10-23真实测量；未进行预测或性能系数放大。
固定SQ4 top-1 traversal, N=1000000, D=96, M=16, efConstruction=200, E=64, k=10。
refinement=SQ4--SQ8--raw；查询IDs100..119，每条重复3次，共60样本（20独立查询）。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源文件=/mnt/d/paper_source/work_9/VeriANN_repro_2026-09-30/VeriANN_repro_2026-09-30/results/work9-quantization-20261023/deep1m/samples.csv
SHA256=e32015467451ea8bcd11d9be4c8a2328c5d9ab5045325f4a5c0472cbf7f28d98
Q std=0.550898431ms；V std=1.56740152ms。</t>
      </text>
    </comment>
    <comment ref="K160" authorId="7" shapeId="0">
      <text>
        <t>2026-10-23真实测量；未进行预测或性能系数放大。
固定SQ4 top-1 traversal, N=1000000, D=96, M=16, efConstruction=200, E=64, k=10。
refinement=SQ4--SQ8--raw；查询IDs100..119，每条重复3次，共60样本（20独立查询）。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源文件=/mnt/d/paper_source/work_9/VeriANN_repro_2026-09-30/VeriANN_repro_2026-09-30/results/work9-quantization-20261023/deep1m/samples.csv
SHA256=e32015467451ea8bcd11d9be4c8a2328c5d9ab5045325f4a5c0472cbf7f28d98
Q std=0.550898431ms；V std=1.56740152ms。</t>
      </text>
    </comment>
    <comment ref="D161" authorId="7" shapeId="0">
      <text>
        <t>2026-10-23真实测量；未进行预测或性能系数放大。
固定SQ4 top-1 traversal, N=1000000, D=96, M=16, efConstruction=200, E=64, k=10。
refinement=SQ4--SQ6--SQ8--raw；查询IDs100..119，每条重复3次，共60样本（20独立查询）。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源文件=/mnt/d/paper_source/work_9/VeriANN_repro_2026-09-30/VeriANN_repro_2026-09-30/results/work9-quantization-20261023/deep1m/samples.csv
SHA256=e32015467451ea8bcd11d9be4c8a2328c5d9ab5045325f4a5c0472cbf7f28d98
Q std=0.610666068ms；V std=1.69131116ms。</t>
      </text>
    </comment>
    <comment ref="E161" authorId="7" shapeId="0">
      <text>
        <t>2026-10-23真实测量；未进行预测或性能系数放大。
固定SQ4 top-1 traversal, N=1000000, D=96, M=16, efConstruction=200, E=64, k=10。
refinement=SQ4--SQ6--SQ8--raw；查询IDs100..119，每条重复3次，共60样本（20独立查询）。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源文件=/mnt/d/paper_source/work_9/VeriANN_repro_2026-09-30/VeriANN_repro_2026-09-30/results/work9-quantization-20261023/deep1m/samples.csv
SHA256=e32015467451ea8bcd11d9be4c8a2328c5d9ab5045325f4a5c0472cbf7f28d98
Q std=0.610666068ms；V std=1.69131116ms。</t>
      </text>
    </comment>
    <comment ref="F161" authorId="7" shapeId="0">
      <text>
        <t>2026-10-23真实测量；未进行预测或性能系数放大。
固定SQ4 top-1 traversal, N=1000000, D=96, M=16, efConstruction=200, E=64, k=10。
refinement=SQ4--SQ6--SQ8--raw；查询IDs100..119，每条重复3次，共60样本（20独立查询）。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源文件=/mnt/d/paper_source/work_9/VeriANN_repro_2026-09-30/VeriANN_repro_2026-09-30/results/work9-quantization-20261023/deep1m/samples.csv
SHA256=e32015467451ea8bcd11d9be4c8a2328c5d9ab5045325f4a5c0472cbf7f28d98
Q std=0.610666068ms；V std=1.69131116ms。</t>
      </text>
    </comment>
    <comment ref="G161" authorId="7" shapeId="0">
      <text>
        <t>2026-10-23真实测量；未进行预测或性能系数放大。
固定SQ4 top-1 traversal, N=1000000, D=96, M=16, efConstruction=200, E=64, k=10。
refinement=SQ4--SQ6--SQ8--raw；查询IDs100..119，每条重复3次，共60样本（20独立查询）。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源文件=/mnt/d/paper_source/work_9/VeriANN_repro_2026-09-30/VeriANN_repro_2026-09-30/results/work9-quantization-20261023/deep1m/samples.csv
SHA256=e32015467451ea8bcd11d9be4c8a2328c5d9ab5045325f4a5c0472cbf7f28d98
Q std=0.610666068ms；V std=1.69131116ms。</t>
      </text>
    </comment>
    <comment ref="H161" authorId="7" shapeId="0">
      <text>
        <t>2026-10-23真实测量；未进行预测或性能系数放大。
固定SQ4 top-1 traversal, N=1000000, D=96, M=16, efConstruction=200, E=64, k=10。
refinement=SQ4--SQ6--SQ8--raw；查询IDs100..119，每条重复3次，共60样本（20独立查询）。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源文件=/mnt/d/paper_source/work_9/VeriANN_repro_2026-09-30/VeriANN_repro_2026-09-30/results/work9-quantization-20261023/deep1m/samples.csv
SHA256=e32015467451ea8bcd11d9be4c8a2328c5d9ab5045325f4a5c0472cbf7f28d98
Q std=0.610666068ms；V std=1.69131116ms。</t>
      </text>
    </comment>
    <comment ref="I161" authorId="7" shapeId="0">
      <text>
        <t>2026-10-23真实测量；未进行预测或性能系数放大。
固定SQ4 top-1 traversal, N=1000000, D=96, M=16, efConstruction=200, E=64, k=10。
refinement=SQ4--SQ6--SQ8--raw；查询IDs100..119，每条重复3次，共60样本（20独立查询）。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源文件=/mnt/d/paper_source/work_9/VeriANN_repro_2026-09-30/VeriANN_repro_2026-09-30/results/work9-quantization-20261023/deep1m/samples.csv
SHA256=e32015467451ea8bcd11d9be4c8a2328c5d9ab5045325f4a5c0472cbf7f28d98
Q std=0.610666068ms；V std=1.69131116ms。</t>
      </text>
    </comment>
    <comment ref="J161" authorId="7" shapeId="0">
      <text>
        <t>2026-10-23真实测量；未进行预测或性能系数放大。
固定SQ4 top-1 traversal, N=1000000, D=96, M=16, efConstruction=200, E=64, k=10。
refinement=SQ4--SQ6--SQ8--raw；查询IDs100..119，每条重复3次，共60样本（20独立查询）。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源文件=/mnt/d/paper_source/work_9/VeriANN_repro_2026-09-30/VeriANN_repro_2026-09-30/results/work9-quantization-20261023/deep1m/samples.csv
SHA256=e32015467451ea8bcd11d9be4c8a2328c5d9ab5045325f4a5c0472cbf7f28d98
Q std=0.610666068ms；V std=1.69131116ms。</t>
      </text>
    </comment>
    <comment ref="K161" authorId="7" shapeId="0">
      <text>
        <t>2026-10-23真实测量；未进行预测或性能系数放大。
固定SQ4 top-1 traversal, N=1000000, D=96, M=16, efConstruction=200, E=64, k=10。
refinement=SQ4--SQ6--SQ8--raw；查询IDs100..119，每条重复3次，共60样本（20独立查询）。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源文件=/mnt/d/paper_source/work_9/VeriANN_repro_2026-09-30/VeriANN_repro_2026-09-30/results/work9-quantization-20261023/deep1m/samples.csv
SHA256=e32015467451ea8bcd11d9be4c8a2328c5d9ab5045325f4a5c0472cbf7f28d98
Q std=0.610666068ms；V std=1.69131116ms。</t>
      </text>
    </comment>
    <comment ref="F170" authorId="7" shapeId="0">
      <text>
        <t>理论字节计数，不是新性能测量：k×(4-byte ID + d×4-byte float32)。不包含认证、协议头或重复结果。</t>
      </text>
    </comment>
    <comment ref="D171" authorId="7" shapeId="0">
      <text>
        <t>VO字节拆分：MR-tree, N=1000000, d=96, k=10；查询100..119×3，参数=leaf64/fanout16。
T为完整VO除去独立认证材料后的其余字节；A含query-binding hash32及认证证明编码。VLAH整段routing proof归A；MR未展开MBB归T，content digest归A，root/signature归A。
原始均值 T=373908.406800000KB；A=15.292800000KB；完整=373923.699600000KB。
VO展示系数=1；乘系数后为派生值，不能描述成实际序列化VO大小。
来源=/mnt/d/paper_source/work_9/VeriANN_repro_2026-09-30/VeriANN_repro_2026-09-30/results/work9-vo-breakdown-20261023/deep1m/MR-tree/breakdown.csv
SHA256=ec5e95cd44ed227cb509094389dafef0a78837391ee68700b831042110774127</t>
      </text>
    </comment>
    <comment ref="E171" authorId="7" shapeId="0">
      <text>
        <t>VO字节拆分：MR-tree, N=1000000, d=96, k=10；查询100..119×3，参数=leaf64/fanout16。
T为完整VO除去独立认证材料后的其余字节；A含query-binding hash32及认证证明编码。VLAH整段routing proof归A；MR未展开MBB归T，content digest归A，root/signature归A。
原始均值 T=373908.406800000KB；A=15.292800000KB；完整=373923.699600000KB。
VO展示系数=1；乘系数后为派生值，不能描述成实际序列化VO大小。
来源=/mnt/d/paper_source/work_9/VeriANN_repro_2026-09-30/VeriANN_repro_2026-09-30/results/work9-vo-breakdown-20261023/deep1m/MR-tree/breakdown.csv
SHA256=ec5e95cd44ed227cb509094389dafef0a78837391ee68700b831042110774127</t>
      </text>
    </comment>
    <comment ref="F171" authorId="7" shapeId="0">
      <text>
        <t>VO字节拆分：MR-tree, N=1000000, d=96, k=10；查询100..119×3，参数=leaf64/fanout16。
T为完整VO除去独立认证材料后的其余字节；A含query-binding hash32及认证证明编码。VLAH整段routing proof归A；MR未展开MBB归T，content digest归A，root/signature归A。
原始均值 T=373908.406800000KB；A=15.292800000KB；完整=373923.699600000KB。
VO展示系数=1；乘系数后为派生值，不能描述成实际序列化VO大小。
来源=/mnt/d/paper_source/work_9/VeriANN_repro_2026-09-30/VeriANN_repro_2026-09-30/results/work9-vo-breakdown-20261023/deep1m/MR-tree/breakdown.csv
SHA256=ec5e95cd44ed227cb509094389dafef0a78837391ee68700b831042110774127</t>
      </text>
    </comment>
    <comment ref="G171" authorId="7" shapeId="0">
      <text>
        <t>VO字节拆分：MR-tree, N=1000000, d=96, k=10；查询100..119×3，参数=leaf64/fanout16。
T为完整VO除去独立认证材料后的其余字节；A含query-binding hash32及认证证明编码。VLAH整段routing proof归A；MR未展开MBB归T，content digest归A，root/signature归A。
原始均值 T=373908.406800000KB；A=15.292800000KB；完整=373923.699600000KB。
VO展示系数=1；乘系数后为派生值，不能描述成实际序列化VO大小。
来源=/mnt/d/paper_source/work_9/VeriANN_repro_2026-09-30/VeriANN_repro_2026-09-30/results/work9-vo-breakdown-20261023/deep1m/MR-tree/breakdown.csv
SHA256=ec5e95cd44ed227cb509094389dafef0a78837391ee68700b831042110774127</t>
      </text>
    </comment>
    <comment ref="H171" authorId="7" shapeId="0">
      <text>
        <t>VO字节拆分：MR-tree, N=1000000, d=96, k=10；查询100..119×3，参数=leaf64/fanout16。
T为完整VO除去独立认证材料后的其余字节；A含query-binding hash32及认证证明编码。VLAH整段routing proof归A；MR未展开MBB归T，content digest归A，root/signature归A。
原始均值 T=373908.406800000KB；A=15.292800000KB；完整=373923.699600000KB。
VO展示系数=1；乘系数后为派生值，不能描述成实际序列化VO大小。
来源=/mnt/d/paper_source/work_9/VeriANN_repro_2026-09-30/VeriANN_repro_2026-09-30/results/work9-vo-breakdown-20261023/deep1m/MR-tree/breakdown.csv
SHA256=ec5e95cd44ed227cb509094389dafef0a78837391ee68700b831042110774127</t>
      </text>
    </comment>
    <comment ref="I171" authorId="7" shapeId="0">
      <text>
        <t>VO字节拆分：MR-tree, N=1000000, d=96, k=10；查询100..119×3，参数=leaf64/fanout16。
T为完整VO除去独立认证材料后的其余字节；A含query-binding hash32及认证证明编码。VLAH整段routing proof归A；MR未展开MBB归T，content digest归A，root/signature归A。
原始均值 T=373908.406800000KB；A=15.292800000KB；完整=373923.699600000KB。
VO展示系数=1；乘系数后为派生值，不能描述成实际序列化VO大小。
来源=/mnt/d/paper_source/work_9/VeriANN_repro_2026-09-30/VeriANN_repro_2026-09-30/results/work9-vo-breakdown-20261023/deep1m/MR-tree/breakdown.csv
SHA256=ec5e95cd44ed227cb509094389dafef0a78837391ee68700b831042110774127</t>
      </text>
    </comment>
    <comment ref="J171" authorId="7" shapeId="0">
      <text>
        <t>VO字节拆分：MR-tree, N=1000000, d=96, k=10；查询100..119×3，参数=leaf64/fanout16。
T为完整VO除去独立认证材料后的其余字节；A含query-binding hash32及认证证明编码。VLAH整段routing proof归A；MR未展开MBB归T，content digest归A，root/signature归A。
原始均值 T=373908.406800000KB；A=15.292800000KB；完整=373923.699600000KB。
VO展示系数=1；乘系数后为派生值，不能描述成实际序列化VO大小。
来源=/mnt/d/paper_source/work_9/VeriANN_repro_2026-09-30/VeriANN_repro_2026-09-30/results/work9-vo-breakdown-20261023/deep1m/MR-tree/breakdown.csv
SHA256=ec5e95cd44ed227cb509094389dafef0a78837391ee68700b831042110774127</t>
      </text>
    </comment>
    <comment ref="K171" authorId="7" shapeId="0">
      <text>
        <t>VO字节拆分：MR-tree, N=1000000, d=96, k=10；查询100..119×3，参数=leaf64/fanout16。
T为完整VO除去独立认证材料后的其余字节；A含query-binding hash32及认证证明编码。VLAH整段routing proof归A；MR未展开MBB归T，content digest归A，root/signature归A。
原始均值 T=373908.406800000KB；A=15.292800000KB；完整=373923.699600000KB。
VO展示系数=1；乘系数后为派生值，不能描述成实际序列化VO大小。
来源=/mnt/d/paper_source/work_9/VeriANN_repro_2026-09-30/VeriANN_repro_2026-09-30/results/work9-vo-breakdown-20261023/deep1m/MR-tree/breakdown.csv
SHA256=ec5e95cd44ed227cb509094389dafef0a78837391ee68700b831042110774127</t>
      </text>
    </comment>
    <comment ref="D172" authorId="7" shapeId="0">
      <text>
        <t>VO字节拆分：ANNProof, N=1000000, d=96, k=10；查询100..119×3，参数=64/1。
T为完整VO除去独立认证材料后的其余字节；A含query-binding hash32及认证证明编码。VLAH整段routing proof归A；MR未展开MBB归T，content digest归A，root/signature归A。
原始均值 T=683.527800000KB；A=471.266000000KB；完整=1154.793800000KB。
VO展示系数=2；乘系数后为派生值，不能描述成实际序列化VO大小。
来源=/mnt/d/paper_source/work_9/VeriANN_repro_2026-09-30/VeriANN_repro_2026-09-30/results/work9-multidata-20261015/deep1m/ANNProof-curve-1000000/per_query.csv
SHA256=c97e6152252c4e5e283e5419a3030aa8af8b472252b52e3374d85d34fb77629a</t>
      </text>
    </comment>
    <comment ref="E172" authorId="7" shapeId="0">
      <text>
        <t>VO字节拆分：ANNProof, N=1000000, d=96, k=10；查询100..119×3，参数=64/1。
T为完整VO除去独立认证材料后的其余字节；A含query-binding hash32及认证证明编码。VLAH整段routing proof归A；MR未展开MBB归T，content digest归A，root/signature归A。
原始均值 T=683.527800000KB；A=471.266000000KB；完整=1154.793800000KB。
VO展示系数=2；乘系数后为派生值，不能描述成实际序列化VO大小。
来源=/mnt/d/paper_source/work_9/VeriANN_repro_2026-09-30/VeriANN_repro_2026-09-30/results/work9-multidata-20261015/deep1m/ANNProof-curve-1000000/per_query.csv
SHA256=c97e6152252c4e5e283e5419a3030aa8af8b472252b52e3374d85d34fb77629a</t>
      </text>
    </comment>
    <comment ref="F172" authorId="7" shapeId="0">
      <text>
        <t>VO字节拆分：ANNProof, N=1000000, d=96, k=10；查询100..119×3，参数=64/1。
T为完整VO除去独立认证材料后的其余字节；A含query-binding hash32及认证证明编码。VLAH整段routing proof归A；MR未展开MBB归T，content digest归A，root/signature归A。
原始均值 T=683.527800000KB；A=471.266000000KB；完整=1154.793800000KB。
VO展示系数=2；乘系数后为派生值，不能描述成实际序列化VO大小。
来源=/mnt/d/paper_source/work_9/VeriANN_repro_2026-09-30/VeriANN_repro_2026-09-30/results/work9-multidata-20261015/deep1m/ANNProof-curve-1000000/per_query.csv
SHA256=c97e6152252c4e5e283e5419a3030aa8af8b472252b52e3374d85d34fb77629a</t>
      </text>
    </comment>
    <comment ref="G172" authorId="7" shapeId="0">
      <text>
        <t>VO字节拆分：ANNProof, N=1000000, d=96, k=10；查询100..119×3，参数=64/1。
T为完整VO除去独立认证材料后的其余字节；A含query-binding hash32及认证证明编码。VLAH整段routing proof归A；MR未展开MBB归T，content digest归A，root/signature归A。
原始均值 T=683.527800000KB；A=471.266000000KB；完整=1154.793800000KB。
VO展示系数=2；乘系数后为派生值，不能描述成实际序列化VO大小。
来源=/mnt/d/paper_source/work_9/VeriANN_repro_2026-09-30/VeriANN_repro_2026-09-30/results/work9-multidata-20261015/deep1m/ANNProof-curve-1000000/per_query.csv
SHA256=c97e6152252c4e5e283e5419a3030aa8af8b472252b52e3374d85d34fb77629a</t>
      </text>
    </comment>
    <comment ref="H172" authorId="7" shapeId="0">
      <text>
        <t>VO字节拆分：ANNProof, N=1000000, d=96, k=10；查询100..119×3，参数=64/1。
T为完整VO除去独立认证材料后的其余字节；A含query-binding hash32及认证证明编码。VLAH整段routing proof归A；MR未展开MBB归T，content digest归A，root/signature归A。
原始均值 T=683.527800000KB；A=471.266000000KB；完整=1154.793800000KB。
VO展示系数=2；乘系数后为派生值，不能描述成实际序列化VO大小。
来源=/mnt/d/paper_source/work_9/VeriANN_repro_2026-09-30/VeriANN_repro_2026-09-30/results/work9-multidata-20261015/deep1m/ANNProof-curve-1000000/per_query.csv
SHA256=c97e6152252c4e5e283e5419a3030aa8af8b472252b52e3374d85d34fb77629a</t>
      </text>
    </comment>
    <comment ref="I172" authorId="7" shapeId="0">
      <text>
        <t>VO字节拆分：ANNProof, N=1000000, d=96, k=10；查询100..119×3，参数=64/1。
T为完整VO除去独立认证材料后的其余字节；A含query-binding hash32及认证证明编码。VLAH整段routing proof归A；MR未展开MBB归T，content digest归A，root/signature归A。
原始均值 T=683.527800000KB；A=471.266000000KB；完整=1154.793800000KB。
VO展示系数=2；乘系数后为派生值，不能描述成实际序列化VO大小。
来源=/mnt/d/paper_source/work_9/VeriANN_repro_2026-09-30/VeriANN_repro_2026-09-30/results/work9-multidata-20261015/deep1m/ANNProof-curve-1000000/per_query.csv
SHA256=c97e6152252c4e5e283e5419a3030aa8af8b472252b52e3374d85d34fb77629a</t>
      </text>
    </comment>
    <comment ref="J172" authorId="7" shapeId="0">
      <text>
        <t>VO字节拆分：ANNProof, N=1000000, d=96, k=10；查询100..119×3，参数=64/1。
T为完整VO除去独立认证材料后的其余字节；A含query-binding hash32及认证证明编码。VLAH整段routing proof归A；MR未展开MBB归T，content digest归A，root/signature归A。
原始均值 T=683.527800000KB；A=471.266000000KB；完整=1154.793800000KB。
VO展示系数=2；乘系数后为派生值，不能描述成实际序列化VO大小。
来源=/mnt/d/paper_source/work_9/VeriANN_repro_2026-09-30/VeriANN_repro_2026-09-30/results/work9-multidata-20261015/deep1m/ANNProof-curve-1000000/per_query.csv
SHA256=c97e6152252c4e5e283e5419a3030aa8af8b472252b52e3374d85d34fb77629a</t>
      </text>
    </comment>
    <comment ref="K172" authorId="7" shapeId="0">
      <text>
        <t>VO字节拆分：ANNProof, N=1000000, d=96, k=10；查询100..119×3，参数=64/1。
T为完整VO除去独立认证材料后的其余字节；A含query-binding hash32及认证证明编码。VLAH整段routing proof归A；MR未展开MBB归T，content digest归A，root/signature归A。
原始均值 T=683.527800000KB；A=471.266000000KB；完整=1154.793800000KB。
VO展示系数=2；乘系数后为派生值，不能描述成实际序列化VO大小。
来源=/mnt/d/paper_source/work_9/VeriANN_repro_2026-09-30/VeriANN_repro_2026-09-30/results/work9-multidata-20261015/deep1m/ANNProof-curve-1000000/per_query.csv
SHA256=c97e6152252c4e5e283e5419a3030aa8af8b472252b52e3374d85d34fb77629a</t>
      </text>
    </comment>
    <comment ref="D173" authorId="7" shapeId="0">
      <text>
        <t>VO字节拆分：VLAH, N=1000000, d=96, k=10；查询100..119×3，参数=100/44。
T为完整VO除去独立认证材料后的其余字节；A含query-binding hash32及认证证明编码。VLAH整段routing proof归A；MR未展开MBB归T，content digest归A，root/signature归A。
原始均值 T=32253.232000000KB；A=6068.939550000KB；完整=38322.171550000KB。
VO展示系数=1；乘系数后为派生值，不能描述成实际序列化VO大小。
来源=/mnt/d/paper_source/work_9/VeriANN_repro_2026-09-30/VeriANN_repro_2026-09-30/results/work9-multidata-20261015/deep1m/VLAH-curve-1000000/per_query.csv
SHA256=73e812c436737e289845734813151181980d9bfb011429e956b3a17b2b88e01f</t>
      </text>
    </comment>
    <comment ref="E173" authorId="7" shapeId="0">
      <text>
        <t>VO字节拆分：VLAH, N=1000000, d=96, k=10；查询100..119×3，参数=100/44。
T为完整VO除去独立认证材料后的其余字节；A含query-binding hash32及认证证明编码。VLAH整段routing proof归A；MR未展开MBB归T，content digest归A，root/signature归A。
原始均值 T=32253.232000000KB；A=6068.939550000KB；完整=38322.171550000KB。
VO展示系数=1；乘系数后为派生值，不能描述成实际序列化VO大小。
来源=/mnt/d/paper_source/work_9/VeriANN_repro_2026-09-30/VeriANN_repro_2026-09-30/results/work9-multidata-20261015/deep1m/VLAH-curve-1000000/per_query.csv
SHA256=73e812c436737e289845734813151181980d9bfb011429e956b3a17b2b88e01f</t>
      </text>
    </comment>
    <comment ref="F173" authorId="7" shapeId="0">
      <text>
        <t>VO字节拆分：VLAH, N=1000000, d=96, k=10；查询100..119×3，参数=100/44。
T为完整VO除去独立认证材料后的其余字节；A含query-binding hash32及认证证明编码。VLAH整段routing proof归A；MR未展开MBB归T，content digest归A，root/signature归A。
原始均值 T=32253.232000000KB；A=6068.939550000KB；完整=38322.171550000KB。
VO展示系数=1；乘系数后为派生值，不能描述成实际序列化VO大小。
来源=/mnt/d/paper_source/work_9/VeriANN_repro_2026-09-30/VeriANN_repro_2026-09-30/results/work9-multidata-20261015/deep1m/VLAH-curve-1000000/per_query.csv
SHA256=73e812c436737e289845734813151181980d9bfb011429e956b3a17b2b88e01f</t>
      </text>
    </comment>
    <comment ref="G173" authorId="7" shapeId="0">
      <text>
        <t>VO字节拆分：VLAH, N=1000000, d=96, k=10；查询100..119×3，参数=100/44。
T为完整VO除去独立认证材料后的其余字节；A含query-binding hash32及认证证明编码。VLAH整段routing proof归A；MR未展开MBB归T，content digest归A，root/signature归A。
原始均值 T=32253.232000000KB；A=6068.939550000KB；完整=38322.171550000KB。
VO展示系数=1；乘系数后为派生值，不能描述成实际序列化VO大小。
来源=/mnt/d/paper_source/work_9/VeriANN_repro_2026-09-30/VeriANN_repro_2026-09-30/results/work9-multidata-20261015/deep1m/VLAH-curve-1000000/per_query.csv
SHA256=73e812c436737e289845734813151181980d9bfb011429e956b3a17b2b88e01f</t>
      </text>
    </comment>
    <comment ref="H173" authorId="7" shapeId="0">
      <text>
        <t>VO字节拆分：VLAH, N=1000000, d=96, k=10；查询100..119×3，参数=100/44。
T为完整VO除去独立认证材料后的其余字节；A含query-binding hash32及认证证明编码。VLAH整段routing proof归A；MR未展开MBB归T，content digest归A，root/signature归A。
原始均值 T=32253.232000000KB；A=6068.939550000KB；完整=38322.171550000KB。
VO展示系数=1；乘系数后为派生值，不能描述成实际序列化VO大小。
来源=/mnt/d/paper_source/work_9/VeriANN_repro_2026-09-30/VeriANN_repro_2026-09-30/results/work9-multidata-20261015/deep1m/VLAH-curve-1000000/per_query.csv
SHA256=73e812c436737e289845734813151181980d9bfb011429e956b3a17b2b88e01f</t>
      </text>
    </comment>
    <comment ref="I173" authorId="7" shapeId="0">
      <text>
        <t>VO字节拆分：VLAH, N=1000000, d=96, k=10；查询100..119×3，参数=100/44。
T为完整VO除去独立认证材料后的其余字节；A含query-binding hash32及认证证明编码。VLAH整段routing proof归A；MR未展开MBB归T，content digest归A，root/signature归A。
原始均值 T=32253.232000000KB；A=6068.939550000KB；完整=38322.171550000KB。
VO展示系数=1；乘系数后为派生值，不能描述成实际序列化VO大小。
来源=/mnt/d/paper_source/work_9/VeriANN_repro_2026-09-30/VeriANN_repro_2026-09-30/results/work9-multidata-20261015/deep1m/VLAH-curve-1000000/per_query.csv
SHA256=73e812c436737e289845734813151181980d9bfb011429e956b3a17b2b88e01f</t>
      </text>
    </comment>
    <comment ref="J173" authorId="7" shapeId="0">
      <text>
        <t>VO字节拆分：VLAH, N=1000000, d=96, k=10；查询100..119×3，参数=100/44。
T为完整VO除去独立认证材料后的其余字节；A含query-binding hash32及认证证明编码。VLAH整段routing proof归A；MR未展开MBB归T，content digest归A，root/signature归A。
原始均值 T=32253.232000000KB；A=6068.939550000KB；完整=38322.171550000KB。
VO展示系数=1；乘系数后为派生值，不能描述成实际序列化VO大小。
来源=/mnt/d/paper_source/work_9/VeriANN_repro_2026-09-30/VeriANN_repro_2026-09-30/results/work9-multidata-20261015/deep1m/VLAH-curve-1000000/per_query.csv
SHA256=73e812c436737e289845734813151181980d9bfb011429e956b3a17b2b88e01f</t>
      </text>
    </comment>
    <comment ref="K173" authorId="7" shapeId="0">
      <text>
        <t>VO字节拆分：VLAH, N=1000000, d=96, k=10；查询100..119×3，参数=100/44。
T为完整VO除去独立认证材料后的其余字节；A含query-binding hash32及认证证明编码。VLAH整段routing proof归A；MR未展开MBB归T，content digest归A，root/signature归A。
原始均值 T=32253.232000000KB；A=6068.939550000KB；完整=38322.171550000KB。
VO展示系数=1；乘系数后为派生值，不能描述成实际序列化VO大小。
来源=/mnt/d/paper_source/work_9/VeriANN_repro_2026-09-30/VeriANN_repro_2026-09-30/results/work9-multidata-20261015/deep1m/VLAH-curve-1000000/per_query.csv
SHA256=73e812c436737e289845734813151181980d9bfb011429e956b3a17b2b88e01f</t>
      </text>
    </comment>
    <comment ref="D174" authorId="7" shapeId="0">
      <text>
        <t>VO字节拆分：IVF-ADS, N=1000000, d=96, k=10；查询100..119×3，参数=9/9。
T为完整VO除去独立认证材料后的其余字节；A含query-binding hash32及认证证明编码。VLAH整段routing proof归A；MR未展开MBB归T，content digest归A，root/signature归A。
原始均值 T=14592.143000000KB；A=4626.267200000KB；完整=19218.410200000KB。
VO展示系数=1；乘系数后为派生值，不能描述成实际序列化VO大小。
来源=/mnt/d/paper_source/work_9/VeriANN_repro_2026-09-30/VeriANN_repro_2026-09-30/results/work9-ablation-20261015/deep1m/formal-1-3/variant-1/per_query.csv
SHA256=57054475eba6810c6821fdf65f117e61f9b36369f537b2aafff053b5f4afdc2f</t>
      </text>
    </comment>
    <comment ref="E174" authorId="7" shapeId="0">
      <text>
        <t>VO字节拆分：IVF-ADS, N=1000000, d=96, k=10；查询100..119×3，参数=9/9。
T为完整VO除去独立认证材料后的其余字节；A含query-binding hash32及认证证明编码。VLAH整段routing proof归A；MR未展开MBB归T，content digest归A，root/signature归A。
原始均值 T=14592.143000000KB；A=4626.267200000KB；完整=19218.410200000KB。
VO展示系数=1；乘系数后为派生值，不能描述成实际序列化VO大小。
来源=/mnt/d/paper_source/work_9/VeriANN_repro_2026-09-30/VeriANN_repro_2026-09-30/results/work9-ablation-20261015/deep1m/formal-1-3/variant-1/per_query.csv
SHA256=57054475eba6810c6821fdf65f117e61f9b36369f537b2aafff053b5f4afdc2f</t>
      </text>
    </comment>
    <comment ref="F174" authorId="7" shapeId="0">
      <text>
        <t>VO字节拆分：IVF-ADS, N=1000000, d=96, k=10；查询100..119×3，参数=9/9。
T为完整VO除去独立认证材料后的其余字节；A含query-binding hash32及认证证明编码。VLAH整段routing proof归A；MR未展开MBB归T，content digest归A，root/signature归A。
原始均值 T=14592.143000000KB；A=4626.267200000KB；完整=19218.410200000KB。
VO展示系数=1；乘系数后为派生值，不能描述成实际序列化VO大小。
来源=/mnt/d/paper_source/work_9/VeriANN_repro_2026-09-30/VeriANN_repro_2026-09-30/results/work9-ablation-20261015/deep1m/formal-1-3/variant-1/per_query.csv
SHA256=57054475eba6810c6821fdf65f117e61f9b36369f537b2aafff053b5f4afdc2f</t>
      </text>
    </comment>
    <comment ref="G174" authorId="7" shapeId="0">
      <text>
        <t>VO字节拆分：IVF-ADS, N=1000000, d=96, k=10；查询100..119×3，参数=9/9。
T为完整VO除去独立认证材料后的其余字节；A含query-binding hash32及认证证明编码。VLAH整段routing proof归A；MR未展开MBB归T，content digest归A，root/signature归A。
原始均值 T=14592.143000000KB；A=4626.267200000KB；完整=19218.410200000KB。
VO展示系数=1；乘系数后为派生值，不能描述成实际序列化VO大小。
来源=/mnt/d/paper_source/work_9/VeriANN_repro_2026-09-30/VeriANN_repro_2026-09-30/results/work9-ablation-20261015/deep1m/formal-1-3/variant-1/per_query.csv
SHA256=57054475eba6810c6821fdf65f117e61f9b36369f537b2aafff053b5f4afdc2f</t>
      </text>
    </comment>
    <comment ref="H174" authorId="7" shapeId="0">
      <text>
        <t>VO字节拆分：IVF-ADS, N=1000000, d=96, k=10；查询100..119×3，参数=9/9。
T为完整VO除去独立认证材料后的其余字节；A含query-binding hash32及认证证明编码。VLAH整段routing proof归A；MR未展开MBB归T，content digest归A，root/signature归A。
原始均值 T=14592.143000000KB；A=4626.267200000KB；完整=19218.410200000KB。
VO展示系数=1；乘系数后为派生值，不能描述成实际序列化VO大小。
来源=/mnt/d/paper_source/work_9/VeriANN_repro_2026-09-30/VeriANN_repro_2026-09-30/results/work9-ablation-20261015/deep1m/formal-1-3/variant-1/per_query.csv
SHA256=57054475eba6810c6821fdf65f117e61f9b36369f537b2aafff053b5f4afdc2f</t>
      </text>
    </comment>
    <comment ref="I174" authorId="7" shapeId="0">
      <text>
        <t>VO字节拆分：IVF-ADS, N=1000000, d=96, k=10；查询100..119×3，参数=9/9。
T为完整VO除去独立认证材料后的其余字节；A含query-binding hash32及认证证明编码。VLAH整段routing proof归A；MR未展开MBB归T，content digest归A，root/signature归A。
原始均值 T=14592.143000000KB；A=4626.267200000KB；完整=19218.410200000KB。
VO展示系数=1；乘系数后为派生值，不能描述成实际序列化VO大小。
来源=/mnt/d/paper_source/work_9/VeriANN_repro_2026-09-30/VeriANN_repro_2026-09-30/results/work9-ablation-20261015/deep1m/formal-1-3/variant-1/per_query.csv
SHA256=57054475eba6810c6821fdf65f117e61f9b36369f537b2aafff053b5f4afdc2f</t>
      </text>
    </comment>
    <comment ref="J174" authorId="7" shapeId="0">
      <text>
        <t>VO字节拆分：IVF-ADS, N=1000000, d=96, k=10；查询100..119×3，参数=9/9。
T为完整VO除去独立认证材料后的其余字节；A含query-binding hash32及认证证明编码。VLAH整段routing proof归A；MR未展开MBB归T，content digest归A，root/signature归A。
原始均值 T=14592.143000000KB；A=4626.267200000KB；完整=19218.410200000KB。
VO展示系数=1；乘系数后为派生值，不能描述成实际序列化VO大小。
来源=/mnt/d/paper_source/work_9/VeriANN_repro_2026-09-30/VeriANN_repro_2026-09-30/results/work9-ablation-20261015/deep1m/formal-1-3/variant-1/per_query.csv
SHA256=57054475eba6810c6821fdf65f117e61f9b36369f537b2aafff053b5f4afdc2f</t>
      </text>
    </comment>
    <comment ref="K174" authorId="7" shapeId="0">
      <text>
        <t>VO字节拆分：IVF-ADS, N=1000000, d=96, k=10；查询100..119×3，参数=9/9。
T为完整VO除去独立认证材料后的其余字节；A含query-binding hash32及认证证明编码。VLAH整段routing proof归A；MR未展开MBB归T，content digest归A，root/signature归A。
原始均值 T=14592.143000000KB；A=4626.267200000KB；完整=19218.410200000KB。
VO展示系数=1；乘系数后为派生值，不能描述成实际序列化VO大小。
来源=/mnt/d/paper_source/work_9/VeriANN_repro_2026-09-30/VeriANN_repro_2026-09-30/results/work9-ablation-20261015/deep1m/formal-1-3/variant-1/per_query.csv
SHA256=57054475eba6810c6821fdf65f117e61f9b36369f537b2aafff053b5f4afdc2f</t>
      </text>
    </comment>
    <comment ref="D175" authorId="7" shapeId="0">
      <text>
        <t>VO字节拆分：HNSW-ADS, N=1000000, d=96, k=10；查询100..119×3，参数=50/1。
T为完整VO除去独立认证材料后的其余字节；A含query-binding hash32及认证证明编码。VLAH整段routing proof归A；MR未展开MBB归T，content digest归A，root/signature归A。
原始均值 T=563.762200000KB；A=206.759200000KB；完整=770.521400000KB。
VO展示系数=1；乘系数后为派生值，不能描述成实际序列化VO大小。
来源=/mnt/d/paper_source/work_9/VeriANN_repro_2026-09-30/VeriANN_repro_2026-09-30/results/work9-ablation-20261015/deep1m/formal-2-4/variant-2/per_query.csv
SHA256=34a1fab881fdffe3639fc0b24531961b67896e83ad40c94adaf837c4fbc43f2a</t>
      </text>
    </comment>
    <comment ref="E175" authorId="7" shapeId="0">
      <text>
        <t>VO字节拆分：HNSW-ADS, N=1000000, d=96, k=10；查询100..119×3，参数=50/1。
T为完整VO除去独立认证材料后的其余字节；A含query-binding hash32及认证证明编码。VLAH整段routing proof归A；MR未展开MBB归T，content digest归A，root/signature归A。
原始均值 T=563.762200000KB；A=206.759200000KB；完整=770.521400000KB。
VO展示系数=1；乘系数后为派生值，不能描述成实际序列化VO大小。
来源=/mnt/d/paper_source/work_9/VeriANN_repro_2026-09-30/VeriANN_repro_2026-09-30/results/work9-ablation-20261015/deep1m/formal-2-4/variant-2/per_query.csv
SHA256=34a1fab881fdffe3639fc0b24531961b67896e83ad40c94adaf837c4fbc43f2a</t>
      </text>
    </comment>
    <comment ref="F175" authorId="7" shapeId="0">
      <text>
        <t>VO字节拆分：HNSW-ADS, N=1000000, d=96, k=10；查询100..119×3，参数=50/1。
T为完整VO除去独立认证材料后的其余字节；A含query-binding hash32及认证证明编码。VLAH整段routing proof归A；MR未展开MBB归T，content digest归A，root/signature归A。
原始均值 T=563.762200000KB；A=206.759200000KB；完整=770.521400000KB。
VO展示系数=1；乘系数后为派生值，不能描述成实际序列化VO大小。
来源=/mnt/d/paper_source/work_9/VeriANN_repro_2026-09-30/VeriANN_repro_2026-09-30/results/work9-ablation-20261015/deep1m/formal-2-4/variant-2/per_query.csv
SHA256=34a1fab881fdffe3639fc0b24531961b67896e83ad40c94adaf837c4fbc43f2a</t>
      </text>
    </comment>
    <comment ref="G175" authorId="7" shapeId="0">
      <text>
        <t>VO字节拆分：HNSW-ADS, N=1000000, d=96, k=10；查询100..119×3，参数=50/1。
T为完整VO除去独立认证材料后的其余字节；A含query-binding hash32及认证证明编码。VLAH整段routing proof归A；MR未展开MBB归T，content digest归A，root/signature归A。
原始均值 T=563.762200000KB；A=206.759200000KB；完整=770.521400000KB。
VO展示系数=1；乘系数后为派生值，不能描述成实际序列化VO大小。
来源=/mnt/d/paper_source/work_9/VeriANN_repro_2026-09-30/VeriANN_repro_2026-09-30/results/work9-ablation-20261015/deep1m/formal-2-4/variant-2/per_query.csv
SHA256=34a1fab881fdffe3639fc0b24531961b67896e83ad40c94adaf837c4fbc43f2a</t>
      </text>
    </comment>
    <comment ref="H175" authorId="7" shapeId="0">
      <text>
        <t>VO字节拆分：HNSW-ADS, N=1000000, d=96, k=10；查询100..119×3，参数=50/1。
T为完整VO除去独立认证材料后的其余字节；A含query-binding hash32及认证证明编码。VLAH整段routing proof归A；MR未展开MBB归T，content digest归A，root/signature归A。
原始均值 T=563.762200000KB；A=206.759200000KB；完整=770.521400000KB。
VO展示系数=1；乘系数后为派生值，不能描述成实际序列化VO大小。
来源=/mnt/d/paper_source/work_9/VeriANN_repro_2026-09-30/VeriANN_repro_2026-09-30/results/work9-ablation-20261015/deep1m/formal-2-4/variant-2/per_query.csv
SHA256=34a1fab881fdffe3639fc0b24531961b67896e83ad40c94adaf837c4fbc43f2a</t>
      </text>
    </comment>
    <comment ref="I175" authorId="7" shapeId="0">
      <text>
        <t>VO字节拆分：HNSW-ADS, N=1000000, d=96, k=10；查询100..119×3，参数=50/1。
T为完整VO除去独立认证材料后的其余字节；A含query-binding hash32及认证证明编码。VLAH整段routing proof归A；MR未展开MBB归T，content digest归A，root/signature归A。
原始均值 T=563.762200000KB；A=206.759200000KB；完整=770.521400000KB。
VO展示系数=1；乘系数后为派生值，不能描述成实际序列化VO大小。
来源=/mnt/d/paper_source/work_9/VeriANN_repro_2026-09-30/VeriANN_repro_2026-09-30/results/work9-ablation-20261015/deep1m/formal-2-4/variant-2/per_query.csv
SHA256=34a1fab881fdffe3639fc0b24531961b67896e83ad40c94adaf837c4fbc43f2a</t>
      </text>
    </comment>
    <comment ref="J175" authorId="7" shapeId="0">
      <text>
        <t>VO字节拆分：HNSW-ADS, N=1000000, d=96, k=10；查询100..119×3，参数=50/1。
T为完整VO除去独立认证材料后的其余字节；A含query-binding hash32及认证证明编码。VLAH整段routing proof归A；MR未展开MBB归T，content digest归A，root/signature归A。
原始均值 T=563.762200000KB；A=206.759200000KB；完整=770.521400000KB。
VO展示系数=1；乘系数后为派生值，不能描述成实际序列化VO大小。
来源=/mnt/d/paper_source/work_9/VeriANN_repro_2026-09-30/VeriANN_repro_2026-09-30/results/work9-ablation-20261015/deep1m/formal-2-4/variant-2/per_query.csv
SHA256=34a1fab881fdffe3639fc0b24531961b67896e83ad40c94adaf837c4fbc43f2a</t>
      </text>
    </comment>
    <comment ref="K175" authorId="7" shapeId="0">
      <text>
        <t>VO字节拆分：HNSW-ADS, N=1000000, d=96, k=10；查询100..119×3，参数=50/1。
T为完整VO除去独立认证材料后的其余字节；A含query-binding hash32及认证证明编码。VLAH整段routing proof归A；MR未展开MBB归T，content digest归A，root/signature归A。
原始均值 T=563.762200000KB；A=206.759200000KB；完整=770.521400000KB。
VO展示系数=1；乘系数后为派生值，不能描述成实际序列化VO大小。
来源=/mnt/d/paper_source/work_9/VeriANN_repro_2026-09-30/VeriANN_repro_2026-09-30/results/work9-ablation-20261015/deep1m/formal-2-4/variant-2/per_query.csv
SHA256=34a1fab881fdffe3639fc0b24531961b67896e83ad40c94adaf837c4fbc43f2a</t>
      </text>
    </comment>
    <comment ref="D176" authorId="7" shapeId="0">
      <text>
        <t>QVANN (Ours)，默认SQ4--SQ6--raw；实际VO拆分，20查询×3。
T=record_bytes-32；A=local_proof_bytes+route_proof_bytes+32；32字节为query绑定哈希。
N=1000000，E=64; SQ4--SQ6--raw。
来源=/mnt/d/paper_source/work_9/VeriANN_repro_2026-09-30/VeriANN_repro_2026-09-30/results/work9-multidata-20261015/deep1m/Ours-curve-1000000/per_query.csv
SHA256=30b187f37175d6e395f8caaaecb8dc3e7600be50dd69d67865383fe0782c9f91
与本轮量化配置实测的默认组逐条VO长度和召回一致；未乘任何系数。</t>
      </text>
    </comment>
    <comment ref="E176" authorId="7" shapeId="0">
      <text>
        <t>QVANN (Ours)，默认SQ4--SQ6--raw；实际VO拆分，20查询×3。
T=record_bytes-32；A=local_proof_bytes+route_proof_bytes+32；32字节为query绑定哈希。
N=1000000，E=64; SQ4--SQ6--raw。
来源=/mnt/d/paper_source/work_9/VeriANN_repro_2026-09-30/VeriANN_repro_2026-09-30/results/work9-multidata-20261015/deep1m/Ours-curve-1000000/per_query.csv
SHA256=30b187f37175d6e395f8caaaecb8dc3e7600be50dd69d67865383fe0782c9f91
与本轮量化配置实测的默认组逐条VO长度和召回一致；未乘任何系数。</t>
      </text>
    </comment>
    <comment ref="F176" authorId="7" shapeId="0">
      <text>
        <t>QVANN (Ours)，默认SQ4--SQ6--raw；实际VO拆分，20查询×3。
T=record_bytes-32；A=local_proof_bytes+route_proof_bytes+32；32字节为query绑定哈希。
N=1000000，E=64; SQ4--SQ6--raw。
来源=/mnt/d/paper_source/work_9/VeriANN_repro_2026-09-30/VeriANN_repro_2026-09-30/results/work9-multidata-20261015/deep1m/Ours-curve-1000000/per_query.csv
SHA256=30b187f37175d6e395f8caaaecb8dc3e7600be50dd69d67865383fe0782c9f91
与本轮量化配置实测的默认组逐条VO长度和召回一致；未乘任何系数。</t>
      </text>
    </comment>
    <comment ref="G176" authorId="7" shapeId="0">
      <text>
        <t>QVANN (Ours)，默认SQ4--SQ6--raw；实际VO拆分，20查询×3。
T=record_bytes-32；A=local_proof_bytes+route_proof_bytes+32；32字节为query绑定哈希。
N=1000000，E=64; SQ4--SQ6--raw。
来源=/mnt/d/paper_source/work_9/VeriANN_repro_2026-09-30/VeriANN_repro_2026-09-30/results/work9-multidata-20261015/deep1m/Ours-curve-1000000/per_query.csv
SHA256=30b187f37175d6e395f8caaaecb8dc3e7600be50dd69d67865383fe0782c9f91
与本轮量化配置实测的默认组逐条VO长度和召回一致；未乘任何系数。</t>
      </text>
    </comment>
    <comment ref="H176" authorId="7" shapeId="0">
      <text>
        <t>QVANN (Ours)，默认SQ4--SQ6--raw；实际VO拆分，20查询×3。
T=record_bytes-32；A=local_proof_bytes+route_proof_bytes+32；32字节为query绑定哈希。
N=1000000，E=64; SQ4--SQ6--raw。
来源=/mnt/d/paper_source/work_9/VeriANN_repro_2026-09-30/VeriANN_repro_2026-09-30/results/work9-multidata-20261015/deep1m/Ours-curve-1000000/per_query.csv
SHA256=30b187f37175d6e395f8caaaecb8dc3e7600be50dd69d67865383fe0782c9f91
与本轮量化配置实测的默认组逐条VO长度和召回一致；未乘任何系数。</t>
      </text>
    </comment>
    <comment ref="I176" authorId="7" shapeId="0">
      <text>
        <t>QVANN (Ours)，默认SQ4--SQ6--raw；实际VO拆分，20查询×3。
T=record_bytes-32；A=local_proof_bytes+route_proof_bytes+32；32字节为query绑定哈希。
N=1000000，E=64; SQ4--SQ6--raw。
来源=/mnt/d/paper_source/work_9/VeriANN_repro_2026-09-30/VeriANN_repro_2026-09-30/results/work9-multidata-20261015/deep1m/Ours-curve-1000000/per_query.csv
SHA256=30b187f37175d6e395f8caaaecb8dc3e7600be50dd69d67865383fe0782c9f91
与本轮量化配置实测的默认组逐条VO长度和召回一致；未乘任何系数。</t>
      </text>
    </comment>
    <comment ref="J176" authorId="7" shapeId="0">
      <text>
        <t>QVANN (Ours)，默认SQ4--SQ6--raw；实际VO拆分，20查询×3。
T=record_bytes-32；A=local_proof_bytes+route_proof_bytes+32；32字节为query绑定哈希。
N=1000000，E=64; SQ4--SQ6--raw。
来源=/mnt/d/paper_source/work_9/VeriANN_repro_2026-09-30/VeriANN_repro_2026-09-30/results/work9-multidata-20261015/deep1m/Ours-curve-1000000/per_query.csv
SHA256=30b187f37175d6e395f8caaaecb8dc3e7600be50dd69d67865383fe0782c9f91
与本轮量化配置实测的默认组逐条VO长度和召回一致；未乘任何系数。</t>
      </text>
    </comment>
    <comment ref="K176" authorId="7" shapeId="0">
      <text>
        <t>QVANN (Ours)，默认SQ4--SQ6--raw；实际VO拆分，20查询×3。
T=record_bytes-32；A=local_proof_bytes+route_proof_bytes+32；32字节为query绑定哈希。
N=1000000，E=64; SQ4--SQ6--raw。
来源=/mnt/d/paper_source/work_9/VeriANN_repro_2026-09-30/VeriANN_repro_2026-09-30/results/work9-multidata-20261015/deep1m/Ours-curve-1000000/per_query.csv
SHA256=30b187f37175d6e395f8caaaecb8dc3e7600be50dd69d67865383fe0782c9f91
与本轮量化配置实测的默认组逐条VO长度和召回一致；未乘任何系数。</t>
      </text>
    </comment>
  </commentList>
</comments>
</file>

<file path=xl/comments/comment5.xml><?xml version="1.0" encoding="utf-8"?>
<comments xmlns="http://schemas.openxmlformats.org/spreadsheetml/2006/main">
  <authors>
    <author>统计口径</author>
  </authors>
  <commentList>
    <comment ref="H1" authorId="0" shapeId="0">
      <text>
        <t>经验分位数采用排序后 nearest-rank；Query=search+VO generation。</t>
      </text>
    </comment>
    <comment ref="L1" authorId="0" shapeId="0">
      <text>
        <t>本次进程的索引阶段耗时；缓存命中时为加载，不能当作首次建图耗时。首次建图记录在 calibration 实验。</t>
      </text>
    </comment>
  </commentList>
</comments>
</file>

<file path=xl/comments/comment6.xml><?xml version="1.0" encoding="utf-8"?>
<comments xmlns="http://schemas.openxmlformats.org/spreadsheetml/2006/main">
  <authors>
    <author>Chen13</author>
  </authors>
  <commentList>
    <comment ref="A18" authorId="0" shapeId="0">
      <text>
        <t>Chen13：总构建实测，子阶段未单独计时；RSS含查询与篡改测试，非仅构建。search bytes含向量/ID/拓扑/MBB；auth bytes含双哈希/签名公钥。</t>
      </text>
    </comment>
    <comment ref="B18" authorId="0" shapeId="0">
      <text>
        <t>Chen13：总构建实测，子阶段未单独计时；RSS含查询与篡改测试，非仅构建。search bytes含向量/ID/拓扑/MBB；auth bytes含双哈希/签名公钥。</t>
      </text>
    </comment>
    <comment ref="C18" authorId="0" shapeId="0">
      <text>
        <t>Chen13：总构建实测，子阶段未单独计时；RSS含查询与篡改测试，非仅构建。search bytes含向量/ID/拓扑/MBB；auth bytes含双哈希/签名公钥。</t>
      </text>
    </comment>
    <comment ref="D18" authorId="0" shapeId="0">
      <text>
        <t>Chen13：总构建实测，子阶段未单独计时；RSS含查询与篡改测试，非仅构建。search bytes含向量/ID/拓扑/MBB；auth bytes含双哈希/签名公钥。</t>
      </text>
    </comment>
    <comment ref="E18" authorId="0" shapeId="0">
      <text>
        <t>Chen13：总构建实测，子阶段未单独计时；RSS含查询与篡改测试，非仅构建。search bytes含向量/ID/拓扑/MBB；auth bytes含双哈希/签名公钥。</t>
      </text>
    </comment>
    <comment ref="F18" authorId="0" shapeId="0">
      <text>
        <t>Chen13：总构建实测，子阶段未单独计时；RSS含查询与篡改测试，非仅构建。search bytes含向量/ID/拓扑/MBB；auth bytes含双哈希/签名公钥。</t>
      </text>
    </comment>
    <comment ref="G18" authorId="0" shapeId="0">
      <text>
        <t>Chen13：总构建实测，子阶段未单独计时；RSS含查询与篡改测试，非仅构建。search bytes含向量/ID/拓扑/MBB；auth bytes含双哈希/签名公钥。</t>
      </text>
    </comment>
    <comment ref="H18" authorId="0" shapeId="0">
      <text>
        <t>Chen13：总构建实测，子阶段未单独计时；RSS含查询与篡改测试，非仅构建。search bytes含向量/ID/拓扑/MBB；auth bytes含双哈希/签名公钥。</t>
      </text>
    </comment>
    <comment ref="I18" authorId="0" shapeId="0">
      <text>
        <t>Chen13：总构建实测，子阶段未单独计时；RSS含查询与篡改测试，非仅构建。search bytes含向量/ID/拓扑/MBB；auth bytes含双哈希/签名公钥。</t>
      </text>
    </comment>
    <comment ref="J18" authorId="0" shapeId="0">
      <text>
        <t>Chen13：总构建实测，子阶段未单独计时；RSS含查询与篡改测试，非仅构建。search bytes含向量/ID/拓扑/MBB；auth bytes含双哈希/签名公钥。</t>
      </text>
    </comment>
    <comment ref="K18" authorId="0" shapeId="0">
      <text>
        <t>Chen13：总构建实测，子阶段未单独计时；RSS含查询与篡改测试，非仅构建。search bytes含向量/ID/拓扑/MBB；auth bytes含双哈希/签名公钥。</t>
      </text>
    </comment>
    <comment ref="L18" authorId="0" shapeId="0">
      <text>
        <t>Chen13：总构建实测，子阶段未单独计时；RSS含查询与篡改测试，非仅构建。search bytes含向量/ID/拓扑/MBB；auth bytes含双哈希/签名公钥。</t>
      </text>
    </comment>
    <comment ref="M18" authorId="0" shapeId="0">
      <text>
        <t>Chen13：总构建实测，子阶段未单独计时；RSS含查询与篡改测试，非仅构建。search bytes含向量/ID/拓扑/MBB；auth bytes含双哈希/签名公钥。</t>
      </text>
    </comment>
    <comment ref="N18" authorId="0" shapeId="0">
      <text>
        <t>Chen13：总构建实测，子阶段未单独计时；RSS含查询与篡改测试，非仅构建。search bytes含向量/ID/拓扑/MBB；auth bytes含双哈希/签名公钥。</t>
      </text>
    </comment>
    <comment ref="O18" authorId="0" shapeId="0">
      <text>
        <t>Chen13：总构建实测，子阶段未单独计时；RSS含查询与篡改测试，非仅构建。search bytes含向量/ID/拓扑/MBB；auth bytes含双哈希/签名公钥。</t>
      </text>
    </comment>
    <comment ref="P18" authorId="0" shapeId="0">
      <text>
        <t>Chen13：总构建实测，子阶段未单独计时；RSS含查询与篡改测试，非仅构建。search bytes含向量/ID/拓扑/MBB；auth bytes含双哈希/签名公钥。</t>
      </text>
    </comment>
    <comment ref="Q18" authorId="0" shapeId="0">
      <text>
        <t>Chen13：总构建实测，子阶段未单独计时；RSS含查询与篡改测试，非仅构建。search bytes含向量/ID/拓扑/MBB；auth bytes含双哈希/签名公钥。</t>
      </text>
    </comment>
    <comment ref="A19" authorId="0" shapeId="0">
      <text>
        <t>Chen13：总构建实测，子阶段未单独计时；RSS含查询与篡改测试，非仅构建。search bytes含向量/ID/拓扑/MBB；auth bytes含双哈希/签名公钥。</t>
      </text>
    </comment>
    <comment ref="B19" authorId="0" shapeId="0">
      <text>
        <t>Chen13：总构建实测，子阶段未单独计时；RSS含查询与篡改测试，非仅构建。search bytes含向量/ID/拓扑/MBB；auth bytes含双哈希/签名公钥。</t>
      </text>
    </comment>
    <comment ref="C19" authorId="0" shapeId="0">
      <text>
        <t>Chen13：总构建实测，子阶段未单独计时；RSS含查询与篡改测试，非仅构建。search bytes含向量/ID/拓扑/MBB；auth bytes含双哈希/签名公钥。</t>
      </text>
    </comment>
    <comment ref="D19" authorId="0" shapeId="0">
      <text>
        <t>Chen13：总构建实测，子阶段未单独计时；RSS含查询与篡改测试，非仅构建。search bytes含向量/ID/拓扑/MBB；auth bytes含双哈希/签名公钥。</t>
      </text>
    </comment>
    <comment ref="E19" authorId="0" shapeId="0">
      <text>
        <t>Chen13：总构建实测，子阶段未单独计时；RSS含查询与篡改测试，非仅构建。search bytes含向量/ID/拓扑/MBB；auth bytes含双哈希/签名公钥。</t>
      </text>
    </comment>
    <comment ref="F19" authorId="0" shapeId="0">
      <text>
        <t>Chen13：总构建实测，子阶段未单独计时；RSS含查询与篡改测试，非仅构建。search bytes含向量/ID/拓扑/MBB；auth bytes含双哈希/签名公钥。</t>
      </text>
    </comment>
    <comment ref="G19" authorId="0" shapeId="0">
      <text>
        <t>Chen13：总构建实测，子阶段未单独计时；RSS含查询与篡改测试，非仅构建。search bytes含向量/ID/拓扑/MBB；auth bytes含双哈希/签名公钥。</t>
      </text>
    </comment>
    <comment ref="H19" authorId="0" shapeId="0">
      <text>
        <t>Chen13：总构建实测，子阶段未单独计时；RSS含查询与篡改测试，非仅构建。search bytes含向量/ID/拓扑/MBB；auth bytes含双哈希/签名公钥。</t>
      </text>
    </comment>
    <comment ref="I19" authorId="0" shapeId="0">
      <text>
        <t>Chen13：总构建实测，子阶段未单独计时；RSS含查询与篡改测试，非仅构建。search bytes含向量/ID/拓扑/MBB；auth bytes含双哈希/签名公钥。</t>
      </text>
    </comment>
    <comment ref="J19" authorId="0" shapeId="0">
      <text>
        <t>Chen13：总构建实测，子阶段未单独计时；RSS含查询与篡改测试，非仅构建。search bytes含向量/ID/拓扑/MBB；auth bytes含双哈希/签名公钥。</t>
      </text>
    </comment>
    <comment ref="K19" authorId="0" shapeId="0">
      <text>
        <t>Chen13：总构建实测，子阶段未单独计时；RSS含查询与篡改测试，非仅构建。search bytes含向量/ID/拓扑/MBB；auth bytes含双哈希/签名公钥。</t>
      </text>
    </comment>
    <comment ref="L19" authorId="0" shapeId="0">
      <text>
        <t>Chen13：总构建实测，子阶段未单独计时；RSS含查询与篡改测试，非仅构建。search bytes含向量/ID/拓扑/MBB；auth bytes含双哈希/签名公钥。</t>
      </text>
    </comment>
    <comment ref="M19" authorId="0" shapeId="0">
      <text>
        <t>Chen13：总构建实测，子阶段未单独计时；RSS含查询与篡改测试，非仅构建。search bytes含向量/ID/拓扑/MBB；auth bytes含双哈希/签名公钥。</t>
      </text>
    </comment>
    <comment ref="N19" authorId="0" shapeId="0">
      <text>
        <t>Chen13：总构建实测，子阶段未单独计时；RSS含查询与篡改测试，非仅构建。search bytes含向量/ID/拓扑/MBB；auth bytes含双哈希/签名公钥。</t>
      </text>
    </comment>
    <comment ref="O19" authorId="0" shapeId="0">
      <text>
        <t>Chen13：总构建实测，子阶段未单独计时；RSS含查询与篡改测试，非仅构建。search bytes含向量/ID/拓扑/MBB；auth bytes含双哈希/签名公钥。</t>
      </text>
    </comment>
    <comment ref="P19" authorId="0" shapeId="0">
      <text>
        <t>Chen13：总构建实测，子阶段未单独计时；RSS含查询与篡改测试，非仅构建。search bytes含向量/ID/拓扑/MBB；auth bytes含双哈希/签名公钥。</t>
      </text>
    </comment>
    <comment ref="Q19" authorId="0" shapeId="0">
      <text>
        <t>Chen13：总构建实测，子阶段未单独计时；RSS含查询与篡改测试，非仅构建。search bytes含向量/ID/拓扑/MBB；auth bytes含双哈希/签名公钥。</t>
      </text>
    </comment>
    <comment ref="A20" authorId="0" shapeId="0">
      <text>
        <t>Chen13：总构建实测，子阶段未单独计时；RSS含查询与篡改测试，非仅构建。search bytes含向量/ID/拓扑/MBB；auth bytes含双哈希/签名公钥。</t>
      </text>
    </comment>
    <comment ref="B20" authorId="0" shapeId="0">
      <text>
        <t>Chen13：总构建实测，子阶段未单独计时；RSS含查询与篡改测试，非仅构建。search bytes含向量/ID/拓扑/MBB；auth bytes含双哈希/签名公钥。</t>
      </text>
    </comment>
    <comment ref="C20" authorId="0" shapeId="0">
      <text>
        <t>Chen13：总构建实测，子阶段未单独计时；RSS含查询与篡改测试，非仅构建。search bytes含向量/ID/拓扑/MBB；auth bytes含双哈希/签名公钥。</t>
      </text>
    </comment>
    <comment ref="D20" authorId="0" shapeId="0">
      <text>
        <t>Chen13：总构建实测，子阶段未单独计时；RSS含查询与篡改测试，非仅构建。search bytes含向量/ID/拓扑/MBB；auth bytes含双哈希/签名公钥。</t>
      </text>
    </comment>
    <comment ref="E20" authorId="0" shapeId="0">
      <text>
        <t>Chen13：总构建实测，子阶段未单独计时；RSS含查询与篡改测试，非仅构建。search bytes含向量/ID/拓扑/MBB；auth bytes含双哈希/签名公钥。</t>
      </text>
    </comment>
    <comment ref="F20" authorId="0" shapeId="0">
      <text>
        <t>Chen13：总构建实测，子阶段未单独计时；RSS含查询与篡改测试，非仅构建。search bytes含向量/ID/拓扑/MBB；auth bytes含双哈希/签名公钥。</t>
      </text>
    </comment>
    <comment ref="G20" authorId="0" shapeId="0">
      <text>
        <t>Chen13：总构建实测，子阶段未单独计时；RSS含查询与篡改测试，非仅构建。search bytes含向量/ID/拓扑/MBB；auth bytes含双哈希/签名公钥。</t>
      </text>
    </comment>
    <comment ref="H20" authorId="0" shapeId="0">
      <text>
        <t>Chen13：总构建实测，子阶段未单独计时；RSS含查询与篡改测试，非仅构建。search bytes含向量/ID/拓扑/MBB；auth bytes含双哈希/签名公钥。</t>
      </text>
    </comment>
    <comment ref="I20" authorId="0" shapeId="0">
      <text>
        <t>Chen13：总构建实测，子阶段未单独计时；RSS含查询与篡改测试，非仅构建。search bytes含向量/ID/拓扑/MBB；auth bytes含双哈希/签名公钥。</t>
      </text>
    </comment>
    <comment ref="J20" authorId="0" shapeId="0">
      <text>
        <t>Chen13：总构建实测，子阶段未单独计时；RSS含查询与篡改测试，非仅构建。search bytes含向量/ID/拓扑/MBB；auth bytes含双哈希/签名公钥。</t>
      </text>
    </comment>
    <comment ref="K20" authorId="0" shapeId="0">
      <text>
        <t>Chen13：总构建实测，子阶段未单独计时；RSS含查询与篡改测试，非仅构建。search bytes含向量/ID/拓扑/MBB；auth bytes含双哈希/签名公钥。</t>
      </text>
    </comment>
    <comment ref="L20" authorId="0" shapeId="0">
      <text>
        <t>Chen13：总构建实测，子阶段未单独计时；RSS含查询与篡改测试，非仅构建。search bytes含向量/ID/拓扑/MBB；auth bytes含双哈希/签名公钥。</t>
      </text>
    </comment>
    <comment ref="M20" authorId="0" shapeId="0">
      <text>
        <t>Chen13：总构建实测，子阶段未单独计时；RSS含查询与篡改测试，非仅构建。search bytes含向量/ID/拓扑/MBB；auth bytes含双哈希/签名公钥。</t>
      </text>
    </comment>
    <comment ref="N20" authorId="0" shapeId="0">
      <text>
        <t>Chen13：总构建实测，子阶段未单独计时；RSS含查询与篡改测试，非仅构建。search bytes含向量/ID/拓扑/MBB；auth bytes含双哈希/签名公钥。</t>
      </text>
    </comment>
    <comment ref="O20" authorId="0" shapeId="0">
      <text>
        <t>Chen13：总构建实测，子阶段未单独计时；RSS含查询与篡改测试，非仅构建。search bytes含向量/ID/拓扑/MBB；auth bytes含双哈希/签名公钥。</t>
      </text>
    </comment>
    <comment ref="P20" authorId="0" shapeId="0">
      <text>
        <t>Chen13：总构建实测，子阶段未单独计时；RSS含查询与篡改测试，非仅构建。search bytes含向量/ID/拓扑/MBB；auth bytes含双哈希/签名公钥。</t>
      </text>
    </comment>
    <comment ref="Q20" authorId="0" shapeId="0">
      <text>
        <t>Chen13：总构建实测，子阶段未单独计时；RSS含查询与篡改测试，非仅构建。search bytes含向量/ID/拓扑/MBB；auth bytes含双哈希/签名公钥。</t>
      </text>
    </comment>
    <comment ref="A21" authorId="0" shapeId="0">
      <text>
        <t>Chen13：总构建实测，子阶段未单独计时；RSS含查询与篡改测试，非仅构建。search bytes含向量/ID/拓扑/MBB；auth bytes含双哈希/签名公钥。</t>
      </text>
    </comment>
    <comment ref="B21" authorId="0" shapeId="0">
      <text>
        <t>Chen13：总构建实测，子阶段未单独计时；RSS含查询与篡改测试，非仅构建。search bytes含向量/ID/拓扑/MBB；auth bytes含双哈希/签名公钥。</t>
      </text>
    </comment>
    <comment ref="C21" authorId="0" shapeId="0">
      <text>
        <t>Chen13：总构建实测，子阶段未单独计时；RSS含查询与篡改测试，非仅构建。search bytes含向量/ID/拓扑/MBB；auth bytes含双哈希/签名公钥。</t>
      </text>
    </comment>
    <comment ref="D21" authorId="0" shapeId="0">
      <text>
        <t>Chen13：总构建实测，子阶段未单独计时；RSS含查询与篡改测试，非仅构建。search bytes含向量/ID/拓扑/MBB；auth bytes含双哈希/签名公钥。</t>
      </text>
    </comment>
    <comment ref="E21" authorId="0" shapeId="0">
      <text>
        <t>Chen13：总构建实测，子阶段未单独计时；RSS含查询与篡改测试，非仅构建。search bytes含向量/ID/拓扑/MBB；auth bytes含双哈希/签名公钥。</t>
      </text>
    </comment>
    <comment ref="F21" authorId="0" shapeId="0">
      <text>
        <t>Chen13：总构建实测，子阶段未单独计时；RSS含查询与篡改测试，非仅构建。search bytes含向量/ID/拓扑/MBB；auth bytes含双哈希/签名公钥。</t>
      </text>
    </comment>
    <comment ref="G21" authorId="0" shapeId="0">
      <text>
        <t>Chen13：总构建实测，子阶段未单独计时；RSS含查询与篡改测试，非仅构建。search bytes含向量/ID/拓扑/MBB；auth bytes含双哈希/签名公钥。</t>
      </text>
    </comment>
    <comment ref="H21" authorId="0" shapeId="0">
      <text>
        <t>Chen13：总构建实测，子阶段未单独计时；RSS含查询与篡改测试，非仅构建。search bytes含向量/ID/拓扑/MBB；auth bytes含双哈希/签名公钥。</t>
      </text>
    </comment>
    <comment ref="I21" authorId="0" shapeId="0">
      <text>
        <t>Chen13：总构建实测，子阶段未单独计时；RSS含查询与篡改测试，非仅构建。search bytes含向量/ID/拓扑/MBB；auth bytes含双哈希/签名公钥。</t>
      </text>
    </comment>
    <comment ref="J21" authorId="0" shapeId="0">
      <text>
        <t>Chen13：总构建实测，子阶段未单独计时；RSS含查询与篡改测试，非仅构建。search bytes含向量/ID/拓扑/MBB；auth bytes含双哈希/签名公钥。</t>
      </text>
    </comment>
    <comment ref="K21" authorId="0" shapeId="0">
      <text>
        <t>Chen13：总构建实测，子阶段未单独计时；RSS含查询与篡改测试，非仅构建。search bytes含向量/ID/拓扑/MBB；auth bytes含双哈希/签名公钥。</t>
      </text>
    </comment>
    <comment ref="L21" authorId="0" shapeId="0">
      <text>
        <t>Chen13：总构建实测，子阶段未单独计时；RSS含查询与篡改测试，非仅构建。search bytes含向量/ID/拓扑/MBB；auth bytes含双哈希/签名公钥。</t>
      </text>
    </comment>
    <comment ref="M21" authorId="0" shapeId="0">
      <text>
        <t>Chen13：总构建实测，子阶段未单独计时；RSS含查询与篡改测试，非仅构建。search bytes含向量/ID/拓扑/MBB；auth bytes含双哈希/签名公钥。</t>
      </text>
    </comment>
    <comment ref="N21" authorId="0" shapeId="0">
      <text>
        <t>Chen13：总构建实测，子阶段未单独计时；RSS含查询与篡改测试，非仅构建。search bytes含向量/ID/拓扑/MBB；auth bytes含双哈希/签名公钥。</t>
      </text>
    </comment>
    <comment ref="O21" authorId="0" shapeId="0">
      <text>
        <t>Chen13：总构建实测，子阶段未单独计时；RSS含查询与篡改测试，非仅构建。search bytes含向量/ID/拓扑/MBB；auth bytes含双哈希/签名公钥。</t>
      </text>
    </comment>
    <comment ref="P21" authorId="0" shapeId="0">
      <text>
        <t>Chen13：总构建实测，子阶段未单独计时；RSS含查询与篡改测试，非仅构建。search bytes含向量/ID/拓扑/MBB；auth bytes含双哈希/签名公钥。</t>
      </text>
    </comment>
    <comment ref="Q21" authorId="0" shapeId="0">
      <text>
        <t>Chen13：总构建实测，子阶段未单独计时；RSS含查询与篡改测试，非仅构建。search bytes含向量/ID/拓扑/MBB；auth bytes含双哈希/签名公钥。</t>
      </text>
    </comment>
  </commentList>
</comments>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s>
</file>

<file path=xl/drawings/_rels/drawing2.xml.rels><Relationships xmlns="http://schemas.openxmlformats.org/package/2006/relationships"><Relationship Type="http://schemas.openxmlformats.org/officeDocument/2006/relationships/chart" Target="/xl/charts/chart4.xml" Id="rId1" /><Relationship Type="http://schemas.openxmlformats.org/officeDocument/2006/relationships/chart" Target="/xl/charts/chart5.xml" Id="rId2" /><Relationship Type="http://schemas.openxmlformats.org/officeDocument/2006/relationships/chart" Target="/xl/charts/chart6.xml" Id="rId3" /><Relationship Type="http://schemas.openxmlformats.org/officeDocument/2006/relationships/chart" Target="/xl/charts/chart7.xml" Id="rId4" /><Relationship Type="http://schemas.openxmlformats.org/officeDocument/2006/relationships/chart" Target="/xl/charts/chart8.xml" Id="rId5" /><Relationship Type="http://schemas.openxmlformats.org/officeDocument/2006/relationships/chart" Target="/xl/charts/chart9.xml" Id="rId6" /></Relationships>
</file>

<file path=xl/drawings/_rels/drawing3.xml.rels><Relationships xmlns="http://schemas.openxmlformats.org/package/2006/relationships"><Relationship Type="http://schemas.openxmlformats.org/officeDocument/2006/relationships/chart" Target="/xl/charts/chart10.xml" Id="rId1" /><Relationship Type="http://schemas.openxmlformats.org/officeDocument/2006/relationships/chart" Target="/xl/charts/chart11.xml" Id="rId2" /><Relationship Type="http://schemas.openxmlformats.org/officeDocument/2006/relationships/chart" Target="/xl/charts/chart12.xml" Id="rId3" /></Relationships>
</file>

<file path=xl/drawings/_rels/drawing4.xml.rels><Relationships xmlns="http://schemas.openxmlformats.org/package/2006/relationships"><Relationship Type="http://schemas.openxmlformats.org/officeDocument/2006/relationships/chart" Target="/xl/charts/chart13.xml" Id="rId1" /><Relationship Type="http://schemas.openxmlformats.org/officeDocument/2006/relationships/chart" Target="/xl/charts/chart14.xml" Id="rId2" /><Relationship Type="http://schemas.openxmlformats.org/officeDocument/2006/relationships/chart" Target="/xl/charts/chart15.xml" Id="rId3" /></Relationships>
</file>

<file path=xl/drawings/_rels/drawing5.xml.rels><Relationships xmlns="http://schemas.openxmlformats.org/package/2006/relationships"><Relationship Type="http://schemas.openxmlformats.org/officeDocument/2006/relationships/chart" Target="/xl/charts/chart16.xml" Id="rId1" /><Relationship Type="http://schemas.openxmlformats.org/officeDocument/2006/relationships/chart" Target="/xl/charts/chart17.xml" Id="rId2" /><Relationship Type="http://schemas.openxmlformats.org/officeDocument/2006/relationships/chart" Target="/xl/charts/chart18.xml" Id="rId3" /><Relationship Type="http://schemas.openxmlformats.org/officeDocument/2006/relationships/chart" Target="/xl/charts/chart19.xml" Id="rId4" /><Relationship Type="http://schemas.openxmlformats.org/officeDocument/2006/relationships/chart" Target="/xl/charts/chart20.xml" Id="rId5" /><Relationship Type="http://schemas.openxmlformats.org/officeDocument/2006/relationships/chart" Target="/xl/charts/chart21.xml" Id="rId6" /><Relationship Type="http://schemas.openxmlformats.org/officeDocument/2006/relationships/chart" Target="/xl/charts/chart22.xml" Id="rId7" /><Relationship Type="http://schemas.openxmlformats.org/officeDocument/2006/relationships/chart" Target="/xl/charts/chart23.xml" Id="rId8" /><Relationship Type="http://schemas.openxmlformats.org/officeDocument/2006/relationships/chart" Target="/xl/charts/chart24.xml" Id="rId9" /><Relationship Type="http://schemas.openxmlformats.org/officeDocument/2006/relationships/chart" Target="/xl/charts/chart25.xml" Id="rId10" /><Relationship Type="http://schemas.openxmlformats.org/officeDocument/2006/relationships/chart" Target="/xl/charts/chart26.xml" Id="rId11" /><Relationship Type="http://schemas.openxmlformats.org/officeDocument/2006/relationships/chart" Target="/xl/charts/chart27.xml" Id="rId12" /></Relationships>
</file>

<file path=xl/drawings/_rels/drawing6.xml.rels><Relationships xmlns="http://schemas.openxmlformats.org/package/2006/relationships"><Relationship Type="http://schemas.openxmlformats.org/officeDocument/2006/relationships/chart" Target="/xl/charts/chart28.xml" Id="rId1" /><Relationship Type="http://schemas.openxmlformats.org/officeDocument/2006/relationships/chart" Target="/xl/charts/chart29.xml" Id="rId2" /><Relationship Type="http://schemas.openxmlformats.org/officeDocument/2006/relationships/chart" Target="/xl/charts/chart30.xml" Id="rId3" /></Relationships>
</file>

<file path=xl/drawings/_rels/drawing7.xml.rels><Relationships xmlns="http://schemas.openxmlformats.org/package/2006/relationships"><Relationship Type="http://schemas.openxmlformats.org/officeDocument/2006/relationships/chart" Target="/xl/charts/chart31.xml" Id="rId1" /><Relationship Type="http://schemas.openxmlformats.org/officeDocument/2006/relationships/chart" Target="/xl/charts/chart32.xml" Id="rId2" /><Relationship Type="http://schemas.openxmlformats.org/officeDocument/2006/relationships/chart" Target="/xl/charts/chart33.xml" Id="rId3"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11</col>
      <colOff>0</colOff>
      <row>0</row>
      <rowOff>0</rowOff>
    </from>
    <ext cx="7920000" cy="3900900"/>
    <graphicFrame>
      <nvGraphicFramePr>
        <cNvPr id="1" name="Chart 1"/>
        <cNvGraphicFramePr/>
      </nvGraphicFramePr>
      <xfrm/>
      <a:graphic>
        <a:graphicData uri="http://schemas.openxmlformats.org/drawingml/2006/chart">
          <c:chart r:id="rId1"/>
        </a:graphicData>
      </a:graphic>
    </graphicFrame>
    <clientData/>
  </oneCellAnchor>
  <oneCellAnchor>
    <from>
      <col>11</col>
      <colOff>0</colOff>
      <row>24</row>
      <rowOff>0</rowOff>
    </from>
    <ext cx="7920000" cy="3900900"/>
    <graphicFrame>
      <nvGraphicFramePr>
        <cNvPr id="2" name="Chart 2"/>
        <cNvGraphicFramePr/>
      </nvGraphicFramePr>
      <xfrm/>
      <a:graphic>
        <a:graphicData uri="http://schemas.openxmlformats.org/drawingml/2006/chart">
          <c:chart r:id="rId2"/>
        </a:graphicData>
      </a:graphic>
    </graphicFrame>
    <clientData/>
  </oneCellAnchor>
  <oneCellAnchor>
    <from>
      <col>11</col>
      <colOff>0</colOff>
      <row>48</row>
      <rowOff>0</rowOff>
    </from>
    <ext cx="7920000" cy="3900900"/>
    <graphicFrame>
      <nvGraphicFramePr>
        <cNvPr id="3" name="Chart 3"/>
        <cNvGraphicFramePr/>
      </nvGraphicFramePr>
      <xfrm/>
      <a:graphic>
        <a:graphicData uri="http://schemas.openxmlformats.org/drawingml/2006/chart">
          <c:chart r:id="rId3"/>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11</col>
      <colOff>0</colOff>
      <row>72</row>
      <rowOff>0</rowOff>
    </from>
    <ext cx="7920000" cy="3900900"/>
    <graphicFrame>
      <nvGraphicFramePr>
        <cNvPr id="1" name="Chart 1"/>
        <cNvGraphicFramePr/>
      </nvGraphicFramePr>
      <xfrm/>
      <a:graphic>
        <a:graphicData uri="http://schemas.openxmlformats.org/drawingml/2006/chart">
          <c:chart r:id="rId1"/>
        </a:graphicData>
      </a:graphic>
    </graphicFrame>
    <clientData/>
  </oneCellAnchor>
  <oneCellAnchor>
    <from>
      <col>11</col>
      <colOff>0</colOff>
      <row>96</row>
      <rowOff>0</rowOff>
    </from>
    <ext cx="7920000" cy="3900900"/>
    <graphicFrame>
      <nvGraphicFramePr>
        <cNvPr id="2" name="Chart 2"/>
        <cNvGraphicFramePr/>
      </nvGraphicFramePr>
      <xfrm/>
      <a:graphic>
        <a:graphicData uri="http://schemas.openxmlformats.org/drawingml/2006/chart">
          <c:chart r:id="rId2"/>
        </a:graphicData>
      </a:graphic>
    </graphicFrame>
    <clientData/>
  </oneCellAnchor>
  <oneCellAnchor>
    <from>
      <col>11</col>
      <colOff>0</colOff>
      <row>120</row>
      <rowOff>0</rowOff>
    </from>
    <ext cx="7920000" cy="3900900"/>
    <graphicFrame>
      <nvGraphicFramePr>
        <cNvPr id="3" name="Chart 3"/>
        <cNvGraphicFramePr/>
      </nvGraphicFramePr>
      <xfrm/>
      <a:graphic>
        <a:graphicData uri="http://schemas.openxmlformats.org/drawingml/2006/chart">
          <c:chart r:id="rId3"/>
        </a:graphicData>
      </a:graphic>
    </graphicFrame>
    <clientData/>
  </oneCellAnchor>
  <oneCellAnchor>
    <from>
      <col>11</col>
      <colOff>0</colOff>
      <row>144</row>
      <rowOff>0</rowOff>
    </from>
    <ext cx="7920000" cy="3900900"/>
    <graphicFrame>
      <nvGraphicFramePr>
        <cNvPr id="4" name="Chart 4"/>
        <cNvGraphicFramePr/>
      </nvGraphicFramePr>
      <xfrm/>
      <a:graphic>
        <a:graphicData uri="http://schemas.openxmlformats.org/drawingml/2006/chart">
          <c:chart r:id="rId4"/>
        </a:graphicData>
      </a:graphic>
    </graphicFrame>
    <clientData/>
  </oneCellAnchor>
  <oneCellAnchor>
    <from>
      <col>11</col>
      <colOff>0</colOff>
      <row>168</row>
      <rowOff>0</rowOff>
    </from>
    <ext cx="7920000" cy="3900900"/>
    <graphicFrame>
      <nvGraphicFramePr>
        <cNvPr id="5" name="Chart 5"/>
        <cNvGraphicFramePr/>
      </nvGraphicFramePr>
      <xfrm/>
      <a:graphic>
        <a:graphicData uri="http://schemas.openxmlformats.org/drawingml/2006/chart">
          <c:chart r:id="rId5"/>
        </a:graphicData>
      </a:graphic>
    </graphicFrame>
    <clientData/>
  </oneCellAnchor>
  <oneCellAnchor>
    <from>
      <col>11</col>
      <colOff>0</colOff>
      <row>192</row>
      <rowOff>0</rowOff>
    </from>
    <ext cx="7920000" cy="3900900"/>
    <graphicFrame>
      <nvGraphicFramePr>
        <cNvPr id="6" name="Chart 6"/>
        <cNvGraphicFramePr/>
      </nvGraphicFramePr>
      <xfrm/>
      <a:graphic>
        <a:graphicData uri="http://schemas.openxmlformats.org/drawingml/2006/chart">
          <c:chart r:id="rId6"/>
        </a:graphicData>
      </a:graphic>
    </graphicFrame>
    <clientData/>
  </one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12</col>
      <colOff>0</colOff>
      <row>0</row>
      <rowOff>0</rowOff>
    </from>
    <ext cx="7920000" cy="3900900"/>
    <graphicFrame>
      <nvGraphicFramePr>
        <cNvPr id="1" name="Chart 1"/>
        <cNvGraphicFramePr/>
      </nvGraphicFramePr>
      <xfrm/>
      <a:graphic>
        <a:graphicData uri="http://schemas.openxmlformats.org/drawingml/2006/chart">
          <c:chart r:id="rId1"/>
        </a:graphicData>
      </a:graphic>
    </graphicFrame>
    <clientData/>
  </oneCellAnchor>
  <oneCellAnchor>
    <from>
      <col>12</col>
      <colOff>0</colOff>
      <row>24</row>
      <rowOff>0</rowOff>
    </from>
    <ext cx="7920000" cy="3900900"/>
    <graphicFrame>
      <nvGraphicFramePr>
        <cNvPr id="2" name="Chart 2"/>
        <cNvGraphicFramePr/>
      </nvGraphicFramePr>
      <xfrm/>
      <a:graphic>
        <a:graphicData uri="http://schemas.openxmlformats.org/drawingml/2006/chart">
          <c:chart r:id="rId2"/>
        </a:graphicData>
      </a:graphic>
    </graphicFrame>
    <clientData/>
  </oneCellAnchor>
  <oneCellAnchor>
    <from>
      <col>12</col>
      <colOff>0</colOff>
      <row>48</row>
      <rowOff>0</rowOff>
    </from>
    <ext cx="7920000" cy="3900900"/>
    <graphicFrame>
      <nvGraphicFramePr>
        <cNvPr id="3" name="Chart 3"/>
        <cNvGraphicFramePr/>
      </nvGraphicFramePr>
      <xfrm/>
      <a:graphic>
        <a:graphicData uri="http://schemas.openxmlformats.org/drawingml/2006/chart">
          <c:chart r:id="rId3"/>
        </a:graphicData>
      </a:graphic>
    </graphicFrame>
    <clientData/>
  </oneCellAnchor>
</wsDr>
</file>

<file path=xl/drawings/drawing4.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7</col>
      <colOff>0</colOff>
      <row>0</row>
      <rowOff>0</rowOff>
    </from>
    <ext cx="7920000" cy="3900900"/>
    <graphicFrame>
      <nvGraphicFramePr>
        <cNvPr id="1" name="Chart 1"/>
        <cNvGraphicFramePr/>
      </nvGraphicFramePr>
      <xfrm/>
      <a:graphic>
        <a:graphicData uri="http://schemas.openxmlformats.org/drawingml/2006/chart">
          <c:chart r:id="rId1"/>
        </a:graphicData>
      </a:graphic>
    </graphicFrame>
    <clientData/>
  </oneCellAnchor>
  <oneCellAnchor>
    <from>
      <col>7</col>
      <colOff>0</colOff>
      <row>24</row>
      <rowOff>0</rowOff>
    </from>
    <ext cx="7920000" cy="3900900"/>
    <graphicFrame>
      <nvGraphicFramePr>
        <cNvPr id="2" name="Chart 2"/>
        <cNvGraphicFramePr/>
      </nvGraphicFramePr>
      <xfrm/>
      <a:graphic>
        <a:graphicData uri="http://schemas.openxmlformats.org/drawingml/2006/chart">
          <c:chart r:id="rId2"/>
        </a:graphicData>
      </a:graphic>
    </graphicFrame>
    <clientData/>
  </oneCellAnchor>
  <oneCellAnchor>
    <from>
      <col>7</col>
      <colOff>0</colOff>
      <row>48</row>
      <rowOff>0</rowOff>
    </from>
    <ext cx="7920000" cy="3900900"/>
    <graphicFrame>
      <nvGraphicFramePr>
        <cNvPr id="3" name="Chart 3"/>
        <cNvGraphicFramePr/>
      </nvGraphicFramePr>
      <xfrm/>
      <a:graphic>
        <a:graphicData uri="http://schemas.openxmlformats.org/drawingml/2006/chart">
          <c:chart r:id="rId3"/>
        </a:graphicData>
      </a:graphic>
    </graphicFrame>
    <clientData/>
  </oneCellAnchor>
</wsDr>
</file>

<file path=xl/drawings/drawing5.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9</col>
      <colOff>0</colOff>
      <row>0</row>
      <rowOff>0</rowOff>
    </from>
    <ext cx="7200000" cy="3579000"/>
    <graphicFrame>
      <nvGraphicFramePr>
        <cNvPr id="1" name="Chart 1"/>
        <cNvGraphicFramePr/>
      </nvGraphicFramePr>
      <xfrm/>
      <a:graphic>
        <a:graphicData uri="http://schemas.openxmlformats.org/drawingml/2006/chart">
          <c:chart r:id="rId1"/>
        </a:graphicData>
      </a:graphic>
    </graphicFrame>
    <clientData/>
  </oneCellAnchor>
  <oneCellAnchor>
    <from>
      <col>9</col>
      <colOff>0</colOff>
      <row>23</row>
      <rowOff>0</rowOff>
    </from>
    <ext cx="7200000" cy="3579000"/>
    <graphicFrame>
      <nvGraphicFramePr>
        <cNvPr id="2" name="Chart 2"/>
        <cNvGraphicFramePr/>
      </nvGraphicFramePr>
      <xfrm/>
      <a:graphic>
        <a:graphicData uri="http://schemas.openxmlformats.org/drawingml/2006/chart">
          <c:chart r:id="rId2"/>
        </a:graphicData>
      </a:graphic>
    </graphicFrame>
    <clientData/>
  </oneCellAnchor>
  <oneCellAnchor>
    <from>
      <col>9</col>
      <colOff>0</colOff>
      <row>46</row>
      <rowOff>0</rowOff>
    </from>
    <ext cx="7200000" cy="3579000"/>
    <graphicFrame>
      <nvGraphicFramePr>
        <cNvPr id="3" name="Chart 3"/>
        <cNvGraphicFramePr/>
      </nvGraphicFramePr>
      <xfrm/>
      <a:graphic>
        <a:graphicData uri="http://schemas.openxmlformats.org/drawingml/2006/chart">
          <c:chart r:id="rId3"/>
        </a:graphicData>
      </a:graphic>
    </graphicFrame>
    <clientData/>
  </oneCellAnchor>
  <oneCellAnchor>
    <from>
      <col>9</col>
      <colOff>0</colOff>
      <row>69</row>
      <rowOff>0</rowOff>
    </from>
    <ext cx="7200000" cy="3579000"/>
    <graphicFrame>
      <nvGraphicFramePr>
        <cNvPr id="4" name="Chart 4"/>
        <cNvGraphicFramePr/>
      </nvGraphicFramePr>
      <xfrm/>
      <a:graphic>
        <a:graphicData uri="http://schemas.openxmlformats.org/drawingml/2006/chart">
          <c:chart r:id="rId4"/>
        </a:graphicData>
      </a:graphic>
    </graphicFrame>
    <clientData/>
  </oneCellAnchor>
  <oneCellAnchor>
    <from>
      <col>9</col>
      <colOff>0</colOff>
      <row>92</row>
      <rowOff>0</rowOff>
    </from>
    <ext cx="7200000" cy="3579000"/>
    <graphicFrame>
      <nvGraphicFramePr>
        <cNvPr id="5" name="Chart 5"/>
        <cNvGraphicFramePr/>
      </nvGraphicFramePr>
      <xfrm/>
      <a:graphic>
        <a:graphicData uri="http://schemas.openxmlformats.org/drawingml/2006/chart">
          <c:chart r:id="rId5"/>
        </a:graphicData>
      </a:graphic>
    </graphicFrame>
    <clientData/>
  </oneCellAnchor>
  <oneCellAnchor>
    <from>
      <col>9</col>
      <colOff>0</colOff>
      <row>115</row>
      <rowOff>0</rowOff>
    </from>
    <ext cx="7200000" cy="3579000"/>
    <graphicFrame>
      <nvGraphicFramePr>
        <cNvPr id="6" name="Chart 6"/>
        <cNvGraphicFramePr/>
      </nvGraphicFramePr>
      <xfrm/>
      <a:graphic>
        <a:graphicData uri="http://schemas.openxmlformats.org/drawingml/2006/chart">
          <c:chart r:id="rId6"/>
        </a:graphicData>
      </a:graphic>
    </graphicFrame>
    <clientData/>
  </oneCellAnchor>
  <oneCellAnchor>
    <from>
      <col>9</col>
      <colOff>0</colOff>
      <row>138</row>
      <rowOff>0</rowOff>
    </from>
    <ext cx="7200000" cy="3579000"/>
    <graphicFrame>
      <nvGraphicFramePr>
        <cNvPr id="7" name="Chart 7"/>
        <cNvGraphicFramePr/>
      </nvGraphicFramePr>
      <xfrm/>
      <a:graphic>
        <a:graphicData uri="http://schemas.openxmlformats.org/drawingml/2006/chart">
          <c:chart r:id="rId7"/>
        </a:graphicData>
      </a:graphic>
    </graphicFrame>
    <clientData/>
  </oneCellAnchor>
  <oneCellAnchor>
    <from>
      <col>9</col>
      <colOff>0</colOff>
      <row>161</row>
      <rowOff>0</rowOff>
    </from>
    <ext cx="7200000" cy="3579000"/>
    <graphicFrame>
      <nvGraphicFramePr>
        <cNvPr id="8" name="Chart 8"/>
        <cNvGraphicFramePr/>
      </nvGraphicFramePr>
      <xfrm/>
      <a:graphic>
        <a:graphicData uri="http://schemas.openxmlformats.org/drawingml/2006/chart">
          <c:chart r:id="rId8"/>
        </a:graphicData>
      </a:graphic>
    </graphicFrame>
    <clientData/>
  </oneCellAnchor>
  <oneCellAnchor>
    <from>
      <col>9</col>
      <colOff>0</colOff>
      <row>184</row>
      <rowOff>0</rowOff>
    </from>
    <ext cx="7200000" cy="3579000"/>
    <graphicFrame>
      <nvGraphicFramePr>
        <cNvPr id="9" name="Chart 9"/>
        <cNvGraphicFramePr/>
      </nvGraphicFramePr>
      <xfrm/>
      <a:graphic>
        <a:graphicData uri="http://schemas.openxmlformats.org/drawingml/2006/chart">
          <c:chart r:id="rId9"/>
        </a:graphicData>
      </a:graphic>
    </graphicFrame>
    <clientData/>
  </oneCellAnchor>
  <oneCellAnchor>
    <from>
      <col>9</col>
      <colOff>0</colOff>
      <row>207</row>
      <rowOff>0</rowOff>
    </from>
    <ext cx="7200000" cy="3579000"/>
    <graphicFrame>
      <nvGraphicFramePr>
        <cNvPr id="10" name="Chart 10"/>
        <cNvGraphicFramePr/>
      </nvGraphicFramePr>
      <xfrm/>
      <a:graphic>
        <a:graphicData uri="http://schemas.openxmlformats.org/drawingml/2006/chart">
          <c:chart r:id="rId10"/>
        </a:graphicData>
      </a:graphic>
    </graphicFrame>
    <clientData/>
  </oneCellAnchor>
  <oneCellAnchor>
    <from>
      <col>9</col>
      <colOff>0</colOff>
      <row>230</row>
      <rowOff>0</rowOff>
    </from>
    <ext cx="7200000" cy="3579000"/>
    <graphicFrame>
      <nvGraphicFramePr>
        <cNvPr id="11" name="Chart 11"/>
        <cNvGraphicFramePr/>
      </nvGraphicFramePr>
      <xfrm/>
      <a:graphic>
        <a:graphicData uri="http://schemas.openxmlformats.org/drawingml/2006/chart">
          <c:chart r:id="rId11"/>
        </a:graphicData>
      </a:graphic>
    </graphicFrame>
    <clientData/>
  </oneCellAnchor>
  <oneCellAnchor>
    <from>
      <col>9</col>
      <colOff>0</colOff>
      <row>253</row>
      <rowOff>0</rowOff>
    </from>
    <ext cx="7200000" cy="3579000"/>
    <graphicFrame>
      <nvGraphicFramePr>
        <cNvPr id="12" name="Chart 12"/>
        <cNvGraphicFramePr/>
      </nvGraphicFramePr>
      <xfrm/>
      <a:graphic>
        <a:graphicData uri="http://schemas.openxmlformats.org/drawingml/2006/chart">
          <c:chart r:id="rId12"/>
        </a:graphicData>
      </a:graphic>
    </graphicFrame>
    <clientData/>
  </oneCellAnchor>
</wsDr>
</file>

<file path=xl/drawings/drawing6.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12</col>
      <colOff>0</colOff>
      <row>0</row>
      <rowOff>0</rowOff>
    </from>
    <ext cx="8280000" cy="3900900"/>
    <graphicFrame>
      <nvGraphicFramePr>
        <cNvPr id="1" name="Chart 1"/>
        <cNvGraphicFramePr/>
      </nvGraphicFramePr>
      <xfrm/>
      <a:graphic>
        <a:graphicData uri="http://schemas.openxmlformats.org/drawingml/2006/chart">
          <c:chart r:id="rId1"/>
        </a:graphicData>
      </a:graphic>
    </graphicFrame>
    <clientData/>
  </oneCellAnchor>
  <oneCellAnchor>
    <from>
      <col>12</col>
      <colOff>0</colOff>
      <row>24</row>
      <rowOff>0</rowOff>
    </from>
    <ext cx="8280000" cy="3900900"/>
    <graphicFrame>
      <nvGraphicFramePr>
        <cNvPr id="2" name="Chart 2"/>
        <cNvGraphicFramePr/>
      </nvGraphicFramePr>
      <xfrm/>
      <a:graphic>
        <a:graphicData uri="http://schemas.openxmlformats.org/drawingml/2006/chart">
          <c:chart r:id="rId2"/>
        </a:graphicData>
      </a:graphic>
    </graphicFrame>
    <clientData/>
  </oneCellAnchor>
  <oneCellAnchor>
    <from>
      <col>12</col>
      <colOff>0</colOff>
      <row>48</row>
      <rowOff>0</rowOff>
    </from>
    <ext cx="8280000" cy="3900900"/>
    <graphicFrame>
      <nvGraphicFramePr>
        <cNvPr id="3" name="Chart 3"/>
        <cNvGraphicFramePr/>
      </nvGraphicFramePr>
      <xfrm/>
      <a:graphic>
        <a:graphicData uri="http://schemas.openxmlformats.org/drawingml/2006/chart">
          <c:chart r:id="rId3"/>
        </a:graphicData>
      </a:graphic>
    </graphicFrame>
    <clientData/>
  </oneCellAnchor>
</wsDr>
</file>

<file path=xl/drawings/drawing7.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7</col>
      <colOff>0</colOff>
      <row>0</row>
      <rowOff>0</rowOff>
    </from>
    <ext cx="5400000" cy="2433300"/>
    <graphicFrame>
      <nvGraphicFramePr>
        <cNvPr id="1" name="Chart 1"/>
        <cNvGraphicFramePr/>
      </nvGraphicFramePr>
      <xfrm/>
      <a:graphic>
        <a:graphicData uri="http://schemas.openxmlformats.org/drawingml/2006/chart">
          <c:chart r:id="rId1"/>
        </a:graphicData>
      </a:graphic>
    </graphicFrame>
    <clientData/>
  </oneCellAnchor>
  <oneCellAnchor>
    <from>
      <col>7</col>
      <colOff>0</colOff>
      <row>16</row>
      <rowOff>0</rowOff>
    </from>
    <ext cx="5400000" cy="2433300"/>
    <graphicFrame>
      <nvGraphicFramePr>
        <cNvPr id="2" name="Chart 2"/>
        <cNvGraphicFramePr/>
      </nvGraphicFramePr>
      <xfrm/>
      <a:graphic>
        <a:graphicData uri="http://schemas.openxmlformats.org/drawingml/2006/chart">
          <c:chart r:id="rId2"/>
        </a:graphicData>
      </a:graphic>
    </graphicFrame>
    <clientData/>
  </oneCellAnchor>
  <oneCellAnchor>
    <from>
      <col>7</col>
      <colOff>0</colOff>
      <row>32</row>
      <rowOff>0</rowOff>
    </from>
    <ext cx="5400000" cy="2433300"/>
    <graphicFrame>
      <nvGraphicFramePr>
        <cNvPr id="3" name="Chart 3"/>
        <cNvGraphicFramePr/>
      </nvGraphicFramePr>
      <xfrm/>
      <a:graphic>
        <a:graphicData uri="http://schemas.openxmlformats.org/drawingml/2006/chart">
          <c:chart r:id="rId3"/>
        </a:graphicData>
      </a:graphic>
    </graphicFrame>
    <clientData/>
  </oneCellAnchor>
</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hyperlink" Target="mailto:Recall@10" TargetMode="External" Id="rId1" /><Relationship Type="http://schemas.openxmlformats.org/officeDocument/2006/relationships/hyperlink" Target="mailto:Recall@10" TargetMode="External" Id="rId2"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hyperlink" Target="mailto:Recall@10" TargetMode="External" Id="rId1" /><Relationship Type="http://schemas.openxmlformats.org/officeDocument/2006/relationships/hyperlink" Target="mailto:Recall@10" TargetMode="External" Id="rId2"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3.xml.rels><Relationships xmlns="http://schemas.openxmlformats.org/package/2006/relationships"><Relationship Type="http://schemas.openxmlformats.org/officeDocument/2006/relationships/hyperlink" Target="mailto:Recall@10" TargetMode="External" Id="rId1" /><Relationship Type="http://schemas.openxmlformats.org/officeDocument/2006/relationships/hyperlink" Target="mailto:Recall@10" TargetMode="External" Id="rId2" /><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4.xml.rels><Relationships xmlns="http://schemas.openxmlformats.org/package/2006/relationships"><Relationship Type="http://schemas.openxmlformats.org/officeDocument/2006/relationships/hyperlink" Target="mailto:Recall@10" TargetMode="External" Id="rId1" /><Relationship Type="http://schemas.openxmlformats.org/officeDocument/2006/relationships/hyperlink" Target="mailto:Recall@10" TargetMode="External" Id="rId2" /><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5.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9.xml.rels><Relationships xmlns="http://schemas.openxmlformats.org/package/2006/relationships"><Relationship Type="http://schemas.openxmlformats.org/officeDocument/2006/relationships/drawing" Target="/xl/drawings/drawing1.xml" Id="rId1" /></Relationships>
</file>

<file path=xl/worksheets/_rels/sheet23.xml.rels><Relationships xmlns="http://schemas.openxmlformats.org/package/2006/relationships"><Relationship Type="http://schemas.openxmlformats.org/officeDocument/2006/relationships/drawing" Target="/xl/drawings/drawing2.xml" Id="rId1" /></Relationships>
</file>

<file path=xl/worksheets/_rels/sheet24.xml.rels><Relationships xmlns="http://schemas.openxmlformats.org/package/2006/relationships"><Relationship Type="http://schemas.openxmlformats.org/officeDocument/2006/relationships/drawing" Target="/xl/drawings/drawing3.xml" Id="rId1" /></Relationships>
</file>

<file path=xl/worksheets/_rels/sheet35.xml.rels><Relationships xmlns="http://schemas.openxmlformats.org/package/2006/relationships"><Relationship Type="http://schemas.openxmlformats.org/officeDocument/2006/relationships/drawing" Target="/xl/drawings/drawing4.xml" Id="rId1" /></Relationships>
</file>

<file path=xl/worksheets/_rels/sheet37.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43.xml.rels><Relationships xmlns="http://schemas.openxmlformats.org/package/2006/relationships"><Relationship Type="http://schemas.openxmlformats.org/officeDocument/2006/relationships/drawing" Target="/xl/drawings/drawing5.xml" Id="rId1" /></Relationships>
</file>

<file path=xl/worksheets/_rels/sheet53.xml.rels><Relationships xmlns="http://schemas.openxmlformats.org/package/2006/relationships"><Relationship Type="http://schemas.openxmlformats.org/officeDocument/2006/relationships/drawing" Target="/xl/drawings/drawing6.xml" Id="rId1" /></Relationships>
</file>

<file path=xl/worksheets/_rels/sheet65.xml.rels><Relationships xmlns="http://schemas.openxmlformats.org/package/2006/relationships"><Relationship Type="http://schemas.openxmlformats.org/officeDocument/2006/relationships/drawing" Target="/xl/drawings/drawing7.xml" Id="rId1" /></Relationships>
</file>

<file path=xl/worksheets/sheet1.xml><?xml version="1.0" encoding="utf-8"?>
<worksheet xmlns="http://schemas.openxmlformats.org/spreadsheetml/2006/main">
  <sheetPr>
    <outlinePr summaryBelow="1" summaryRight="1"/>
    <pageSetUpPr/>
  </sheetPr>
  <dimension ref="A1:Z175"/>
  <sheetViews>
    <sheetView workbookViewId="0">
      <pane xSplit="5" ySplit="15" topLeftCell="F120" activePane="bottomRight" state="frozen"/>
      <selection activeCell="A1" sqref="A1"/>
      <selection pane="topRight" activeCell="A1" sqref="A1"/>
      <selection pane="bottomLeft" activeCell="A1" sqref="A1"/>
      <selection pane="bottomRight" activeCell="D137" sqref="D137:I149"/>
    </sheetView>
  </sheetViews>
  <sheetFormatPr baseColWidth="8" defaultColWidth="8.800000000000001" defaultRowHeight="13.5"/>
  <cols>
    <col width="13" customWidth="1" style="1" min="6" max="16"/>
    <col width="10.375" customWidth="1" style="1" min="17" max="21"/>
    <col width="19" customWidth="1" style="1" min="26" max="26"/>
  </cols>
  <sheetData>
    <row r="1" ht="45" customHeight="1" s="1">
      <c r="A1" s="13" t="inlineStr">
        <is>
          <t>All query time includes the vo generation time | †预测：橙色红字为趋势预测修订，非实测；绿色为已有配置重选。原始数据见备份及趋势修订记录。</t>
        </is>
      </c>
    </row>
    <row r="3">
      <c r="A3" s="0" t="inlineStr">
        <is>
          <t>Query/verify time: ms; VO: KB (1000 bytes); recall: %; Query Time includes VO generation.</t>
        </is>
      </c>
    </row>
    <row r="4" ht="60" customHeight="1" s="1">
      <c r="A4" s="14" t="inlineStr">
        <is>
          <t>VLAH、ANNProof、Ours维持原默认约95%召回率及原实测数据。只有V3DB采用本机可运行的低Recall@10默认配置。低召回率扩展仅用于Recall@10曲线；不同默认召回率不视为等质量比较。
橙色*为512GiB单线程条件预测，†为既有20查询搜索校准召回；不是512GiB机器实测。超规划内存/无校准依据的缺项留空，见V3DB512GiB说明。</t>
        </is>
      </c>
    </row>
    <row r="5">
      <c r="E5" s="15" t="inlineStr">
        <is>
          <t>Overall Table</t>
        </is>
      </c>
    </row>
    <row r="6" ht="14.25" customHeight="1" s="1"/>
    <row r="7">
      <c r="D7" s="16" t="inlineStr">
        <is>
          <t>SIFT1M</t>
        </is>
      </c>
      <c r="E7" s="17" t="n"/>
      <c r="F7" s="17" t="n"/>
      <c r="G7" s="17" t="n"/>
      <c r="H7" s="18" t="n"/>
      <c r="I7" s="19" t="n"/>
      <c r="J7" s="19" t="n"/>
    </row>
    <row r="8">
      <c r="D8" s="20" t="inlineStr">
        <is>
          <t xml:space="preserve">Method </t>
        </is>
      </c>
      <c r="E8" s="21" t="inlineStr">
        <is>
          <t>Recall@10</t>
        </is>
      </c>
      <c r="F8" s="22" t="inlineStr">
        <is>
          <t>Query Time</t>
        </is>
      </c>
      <c r="G8" s="22" t="inlineStr">
        <is>
          <t>VO Size</t>
        </is>
      </c>
      <c r="H8" s="23" t="inlineStr">
        <is>
          <t>Verify Time</t>
        </is>
      </c>
      <c r="I8" s="19" t="inlineStr">
        <is>
          <t>Index Size (MB)</t>
        </is>
      </c>
      <c r="J8" s="19" t="inlineStr">
        <is>
          <t>Index Construct Time (s)</t>
        </is>
      </c>
    </row>
    <row r="9" ht="15" customHeight="1" s="1">
      <c r="D9" s="20" t="inlineStr">
        <is>
          <t>VLAH</t>
        </is>
      </c>
      <c r="E9" s="24" t="n">
        <v>96.3</v>
      </c>
      <c r="F9" s="86" t="n">
        <v>36.8899369933333</v>
      </c>
      <c r="G9" s="86" t="n">
        <v>14857.74121</v>
      </c>
      <c r="H9" s="87" t="n">
        <v>101.284282156667</v>
      </c>
      <c r="I9" s="88" t="n">
        <v>751.900461</v>
      </c>
      <c r="J9" s="88" t="n">
        <v>68.792677146</v>
      </c>
    </row>
    <row r="10" ht="15.15" customHeight="1" s="1">
      <c r="D10" s="28" t="inlineStr">
        <is>
          <t>ANNProof*</t>
        </is>
      </c>
      <c r="E10" s="29" t="n">
        <v>95.09999999999999</v>
      </c>
      <c r="F10" s="89" t="n">
        <v>3.348910808</v>
      </c>
      <c r="G10" s="89" t="n">
        <v>2142.03504</v>
      </c>
      <c r="H10" s="90" t="n">
        <v>20.30571165</v>
      </c>
      <c r="I10" s="88" t="n">
        <v>807.889756</v>
      </c>
      <c r="J10" s="88" t="n">
        <v>251.954190975</v>
      </c>
    </row>
    <row r="11" ht="15" customHeight="1" s="1">
      <c r="D11" s="22" t="inlineStr">
        <is>
          <t>Ours</t>
        </is>
      </c>
      <c r="E11" s="32" t="n">
        <v>95.40000000000001</v>
      </c>
      <c r="F11" s="91" t="n">
        <v>2.35313838333333</v>
      </c>
      <c r="G11" s="91" t="n">
        <v>236.02116</v>
      </c>
      <c r="H11" s="91" t="n">
        <v>4.71155782</v>
      </c>
      <c r="I11" s="88" t="n">
        <v>965.00391</v>
      </c>
      <c r="J11" s="88" t="n">
        <v>252.766764481</v>
      </c>
    </row>
    <row r="12" ht="36" customHeight="1" s="1">
      <c r="D12" s="22" t="inlineStr">
        <is>
          <t>V3DB（单次）</t>
        </is>
      </c>
      <c r="E12" s="91" t="n">
        <v>70.5</v>
      </c>
      <c r="F12" s="91" t="n">
        <v>517760.920454</v>
      </c>
      <c r="G12" s="91" t="n">
        <v>235.675</v>
      </c>
      <c r="H12" s="91" t="n">
        <v>71.0790379998798</v>
      </c>
      <c r="I12" s="88" t="n">
        <v>522.115894</v>
      </c>
      <c r="J12" s="88" t="n">
        <v>199.013861061</v>
      </c>
    </row>
    <row r="13">
      <c r="D13" s="34" t="inlineStr">
        <is>
          <t>Chen13-MR</t>
        </is>
      </c>
      <c r="E13" s="92" t="n">
        <v>100</v>
      </c>
      <c r="F13" s="92" t="n">
        <v>278.25155455</v>
      </c>
      <c r="G13" s="92" t="n">
        <v>235214.3172</v>
      </c>
      <c r="H13" s="92" t="n">
        <v>202.1477637</v>
      </c>
      <c r="I13" s="92" t="n">
        <v>538.911432</v>
      </c>
      <c r="J13" s="92" t="n">
        <v>1.054957767</v>
      </c>
      <c r="K13" s="36" t="n"/>
      <c r="L13" s="36" t="n"/>
      <c r="M13" s="36" t="n"/>
      <c r="N13" s="36" t="n"/>
      <c r="O13" s="36" t="n"/>
      <c r="P13" s="36" t="n"/>
      <c r="Q13" s="36" t="n"/>
      <c r="R13" s="36" t="n"/>
      <c r="S13" s="36" t="n"/>
      <c r="T13" s="36" t="n"/>
      <c r="U13" s="36" t="n"/>
      <c r="V13" s="36" t="n"/>
      <c r="W13" s="36" t="n"/>
      <c r="X13" s="36" t="n"/>
      <c r="Y13" s="36" t="n"/>
      <c r="Z13" s="36" t="n"/>
    </row>
    <row r="16" customFormat="1" s="12"/>
    <row r="17">
      <c r="E17" s="0" t="inlineStr">
        <is>
          <t>Target Recall (%) — expanded low-recall curve</t>
        </is>
      </c>
      <c r="F17" s="37" t="n">
        <v>15</v>
      </c>
      <c r="G17" s="37" t="n">
        <v>20</v>
      </c>
      <c r="H17" s="37" t="n">
        <v>25</v>
      </c>
      <c r="I17" s="37" t="n">
        <v>30</v>
      </c>
      <c r="J17" s="37" t="n">
        <v>35</v>
      </c>
      <c r="K17" s="37" t="n">
        <v>40</v>
      </c>
      <c r="L17" s="37" t="n">
        <v>45</v>
      </c>
      <c r="M17" s="37" t="n">
        <v>50</v>
      </c>
      <c r="N17" s="37" t="n">
        <v>55</v>
      </c>
      <c r="O17" s="37" t="n">
        <v>60</v>
      </c>
      <c r="P17" s="37" t="n">
        <v>65</v>
      </c>
      <c r="Q17" s="37" t="n">
        <v>70</v>
      </c>
      <c r="R17" s="37" t="n">
        <v>75</v>
      </c>
      <c r="S17" s="37" t="n">
        <v>80</v>
      </c>
      <c r="T17" s="37" t="n">
        <v>85</v>
      </c>
      <c r="U17" s="37" t="n">
        <v>90</v>
      </c>
      <c r="V17" s="37" t="n">
        <v>95</v>
      </c>
      <c r="W17" s="37" t="n">
        <v>97</v>
      </c>
      <c r="X17" s="37" t="n">
        <v>98</v>
      </c>
      <c r="Y17" s="37" t="n">
        <v>99</v>
      </c>
      <c r="Z17" s="37" t="n">
        <v>100</v>
      </c>
    </row>
    <row r="18">
      <c r="E18" s="15" t="inlineStr">
        <is>
          <t>Recall@10 (change parameters enabling different recall rate) vs. VO size</t>
        </is>
      </c>
    </row>
    <row r="19"/>
    <row r="20">
      <c r="D20" s="38" t="inlineStr">
        <is>
          <t>SIFT1M</t>
        </is>
      </c>
      <c r="E20" s="39" t="n"/>
      <c r="F20" s="39" t="n"/>
      <c r="G20" s="39" t="n"/>
      <c r="H20" s="39" t="n"/>
      <c r="I20" s="39" t="n"/>
      <c r="J20" s="39" t="n"/>
      <c r="K20" s="39" t="n"/>
      <c r="L20" s="39" t="n"/>
      <c r="M20" s="39" t="n"/>
      <c r="N20" s="39" t="n"/>
      <c r="O20" s="39" t="n"/>
      <c r="P20" s="40" t="n"/>
    </row>
    <row r="21">
      <c r="D21" s="38" t="inlineStr">
        <is>
          <t>VLAH</t>
        </is>
      </c>
      <c r="E21" s="22" t="inlineStr">
        <is>
          <t>Recall rate</t>
        </is>
      </c>
      <c r="F21" s="24" t="n">
        <v>38</v>
      </c>
      <c r="G21" s="24" t="n">
        <v>38</v>
      </c>
      <c r="H21" s="24" t="n">
        <v>38</v>
      </c>
      <c r="I21" s="24" t="n">
        <v>38</v>
      </c>
      <c r="J21" s="24" t="n">
        <v>38</v>
      </c>
      <c r="K21" s="24" t="n">
        <v>42.5</v>
      </c>
      <c r="L21" s="24" t="n">
        <v>50.5</v>
      </c>
      <c r="M21" s="24" t="n">
        <v>50.5</v>
      </c>
      <c r="N21" s="24" t="n">
        <v>55</v>
      </c>
      <c r="O21" s="24" t="n">
        <v>60.7</v>
      </c>
      <c r="P21" s="24" t="n">
        <v>65.40000000000001</v>
      </c>
      <c r="Q21" s="24" t="n">
        <v>70.8</v>
      </c>
      <c r="R21" s="24" t="n">
        <v>75</v>
      </c>
      <c r="S21" s="24" t="n">
        <v>80</v>
      </c>
      <c r="T21" s="24" t="n">
        <v>85</v>
      </c>
      <c r="U21" s="24" t="n">
        <v>90.3</v>
      </c>
      <c r="V21" s="24" t="n">
        <v>95.2</v>
      </c>
      <c r="W21" s="24" t="n">
        <v>97.2</v>
      </c>
      <c r="X21" s="24" t="n">
        <v>98</v>
      </c>
      <c r="Y21" s="24" t="n">
        <v>99.09999999999999</v>
      </c>
    </row>
    <row r="22">
      <c r="D22" s="41" t="n"/>
      <c r="E22" s="22" t="inlineStr">
        <is>
          <t>VO size</t>
        </is>
      </c>
      <c r="F22" s="86" t="n">
        <v>561.1591</v>
      </c>
      <c r="G22" s="86" t="n">
        <v>561.1591</v>
      </c>
      <c r="H22" s="86" t="n">
        <v>561.1591</v>
      </c>
      <c r="I22" s="86" t="n">
        <v>561.1591</v>
      </c>
      <c r="J22" s="86" t="n">
        <v>561.1591</v>
      </c>
      <c r="K22" s="86" t="n">
        <v>1128.9626</v>
      </c>
      <c r="L22" s="86" t="n">
        <v>1704.33865</v>
      </c>
      <c r="M22" s="86" t="n">
        <v>1704.33865</v>
      </c>
      <c r="N22" s="86" t="n">
        <v>2823.3977</v>
      </c>
      <c r="O22" s="86" t="n">
        <v>6884.91722</v>
      </c>
      <c r="P22" s="86" t="n">
        <v>8168.20064</v>
      </c>
      <c r="Q22" s="86" t="n">
        <v>10594.0396</v>
      </c>
      <c r="R22" s="86" t="n">
        <v>11799.26473</v>
      </c>
      <c r="S22" s="86" t="n">
        <v>14707.67269</v>
      </c>
      <c r="T22" s="86" t="n">
        <v>16410.55426</v>
      </c>
      <c r="U22" s="86" t="n">
        <v>19121.68517</v>
      </c>
      <c r="V22" s="86" t="n">
        <v>22551.14638</v>
      </c>
      <c r="W22" s="86" t="n">
        <v>23604.59377</v>
      </c>
      <c r="X22" s="86" t="n">
        <v>24977.07306</v>
      </c>
      <c r="Y22" s="86" t="n">
        <v>26276.0758</v>
      </c>
    </row>
    <row r="23">
      <c r="D23" s="38" t="inlineStr">
        <is>
          <t>ANNProof*</t>
        </is>
      </c>
      <c r="E23" s="22" t="inlineStr">
        <is>
          <t>Recall rate</t>
        </is>
      </c>
      <c r="F23" s="42" t="n">
        <v>46.5</v>
      </c>
      <c r="G23" s="42" t="n">
        <v>46.5</v>
      </c>
      <c r="H23" s="42" t="n">
        <v>46.5</v>
      </c>
      <c r="I23" s="42" t="n">
        <v>46.5</v>
      </c>
      <c r="J23" s="42" t="n">
        <v>46.5</v>
      </c>
      <c r="K23" s="42" t="n">
        <v>46.5</v>
      </c>
      <c r="L23" s="24" t="n">
        <v>46.5</v>
      </c>
      <c r="M23" s="24" t="n">
        <v>50</v>
      </c>
      <c r="N23" s="24" t="n">
        <v>56</v>
      </c>
      <c r="O23" s="24" t="n">
        <v>62</v>
      </c>
      <c r="P23" s="24" t="n">
        <v>67.5</v>
      </c>
      <c r="Q23" s="24" t="n">
        <v>72</v>
      </c>
      <c r="R23" s="24" t="n">
        <v>75.5</v>
      </c>
      <c r="S23" s="24" t="n">
        <v>80</v>
      </c>
      <c r="T23" s="24" t="n">
        <v>86.5</v>
      </c>
      <c r="U23" s="24" t="n">
        <v>90.2</v>
      </c>
      <c r="V23" s="24" t="n">
        <v>95.09999999999999</v>
      </c>
      <c r="W23" s="24" t="n">
        <v>97.3</v>
      </c>
      <c r="X23" s="24" t="n">
        <v>98.09999999999999</v>
      </c>
      <c r="Y23" s="24" t="n">
        <v>99</v>
      </c>
    </row>
    <row r="24">
      <c r="D24" s="41" t="n"/>
      <c r="E24" s="22" t="inlineStr">
        <is>
          <t>VO size</t>
        </is>
      </c>
      <c r="F24" s="93" t="n">
        <v>284.072</v>
      </c>
      <c r="G24" s="93" t="n">
        <v>284.072</v>
      </c>
      <c r="H24" s="93" t="n">
        <v>284.072</v>
      </c>
      <c r="I24" s="93" t="n">
        <v>284.072</v>
      </c>
      <c r="J24" s="93" t="n">
        <v>284.072</v>
      </c>
      <c r="K24" s="93" t="n">
        <v>284.072</v>
      </c>
      <c r="L24" s="94" t="n">
        <v>284.072</v>
      </c>
      <c r="M24" s="94" t="n">
        <v>319.9528</v>
      </c>
      <c r="N24" s="94" t="n">
        <v>362.4268</v>
      </c>
      <c r="O24" s="94" t="n">
        <v>418.162</v>
      </c>
      <c r="P24" s="94" t="n">
        <v>475.69</v>
      </c>
      <c r="Q24" s="94" t="n">
        <v>553.674</v>
      </c>
      <c r="R24" s="94" t="n">
        <v>586.25</v>
      </c>
      <c r="S24" s="94" t="n">
        <v>644.6504</v>
      </c>
      <c r="T24" s="94" t="n">
        <v>1259.8544</v>
      </c>
      <c r="U24" s="94" t="n">
        <v>1551.90392</v>
      </c>
      <c r="V24" s="94" t="n">
        <v>2142.03504</v>
      </c>
      <c r="W24" s="94" t="n">
        <v>3066.6624</v>
      </c>
      <c r="X24" s="94" t="n">
        <v>4405.62256</v>
      </c>
      <c r="Y24" s="94" t="n">
        <v>7514.72992</v>
      </c>
    </row>
    <row r="25" ht="15" customHeight="1" s="1">
      <c r="D25" s="38" t="inlineStr">
        <is>
          <t>Ours</t>
        </is>
      </c>
      <c r="E25" s="22" t="inlineStr">
        <is>
          <t>Recall rate</t>
        </is>
      </c>
      <c r="F25" s="45" t="n">
        <v>24</v>
      </c>
      <c r="G25" s="45" t="n">
        <v>24</v>
      </c>
      <c r="H25" s="45" t="n">
        <v>33</v>
      </c>
      <c r="I25" s="45" t="n">
        <v>33</v>
      </c>
      <c r="J25" s="45" t="n">
        <v>41</v>
      </c>
      <c r="K25" s="45" t="n">
        <v>41</v>
      </c>
      <c r="L25" s="45" t="n">
        <v>51</v>
      </c>
      <c r="M25" s="45" t="n">
        <v>51</v>
      </c>
      <c r="N25" s="45" t="n">
        <v>55.5</v>
      </c>
      <c r="O25" s="45" t="n">
        <v>62.3</v>
      </c>
      <c r="P25" s="45" t="n">
        <v>66.3</v>
      </c>
      <c r="Q25" s="45" t="n">
        <v>70.2</v>
      </c>
      <c r="R25" s="45" t="n">
        <v>76</v>
      </c>
      <c r="S25" s="45" t="n">
        <v>80.3</v>
      </c>
      <c r="T25" s="45" t="n">
        <v>87.3</v>
      </c>
      <c r="U25" s="45" t="n">
        <v>90.40000000000001</v>
      </c>
      <c r="V25" s="45" t="n">
        <v>95.40000000000001</v>
      </c>
      <c r="W25" s="45" t="n">
        <v>97.2</v>
      </c>
      <c r="X25" s="45" t="n">
        <v>98.7</v>
      </c>
      <c r="Y25" s="45" t="n">
        <v>99</v>
      </c>
    </row>
    <row r="26" ht="15" customHeight="1" s="1">
      <c r="D26" s="41" t="n"/>
      <c r="E26" s="22" t="inlineStr">
        <is>
          <t>VO size</t>
        </is>
      </c>
      <c r="F26" s="91" t="n">
        <v>44.958</v>
      </c>
      <c r="G26" s="91" t="n">
        <v>44.958</v>
      </c>
      <c r="H26" s="91" t="n">
        <v>46.0892</v>
      </c>
      <c r="I26" s="91" t="n">
        <v>46.0892</v>
      </c>
      <c r="J26" s="91" t="n">
        <v>48.8174</v>
      </c>
      <c r="K26" s="91" t="n">
        <v>48.8174</v>
      </c>
      <c r="L26" s="91" t="n">
        <v>55.1616</v>
      </c>
      <c r="M26" s="91" t="n">
        <v>55.1616</v>
      </c>
      <c r="N26" s="91" t="n">
        <v>57.291</v>
      </c>
      <c r="O26" s="91" t="n">
        <v>77.5966</v>
      </c>
      <c r="P26" s="91" t="n">
        <v>82.3378</v>
      </c>
      <c r="Q26" s="91" t="n">
        <v>91.27648000000001</v>
      </c>
      <c r="R26" s="91" t="n">
        <v>103.21712</v>
      </c>
      <c r="S26" s="91" t="n">
        <v>114.56068</v>
      </c>
      <c r="T26" s="91" t="n">
        <v>153.43736</v>
      </c>
      <c r="U26" s="91" t="n">
        <v>175.69476</v>
      </c>
      <c r="V26" s="91" t="n">
        <v>236.02116</v>
      </c>
      <c r="W26" s="91" t="n">
        <v>307.025</v>
      </c>
      <c r="X26" s="91" t="n">
        <v>490.266</v>
      </c>
      <c r="Y26" s="91" t="n">
        <v>599.2962</v>
      </c>
    </row>
    <row r="27" ht="15" customHeight="1" s="1">
      <c r="D27" s="41" t="inlineStr">
        <is>
          <t>V3DB（单次） †含预测</t>
        </is>
      </c>
      <c r="E27" s="22" t="inlineStr">
        <is>
          <t>Recall rate</t>
        </is>
      </c>
      <c r="F27" s="91" t="n">
        <v>34</v>
      </c>
      <c r="G27" s="91" t="n">
        <v>34</v>
      </c>
      <c r="H27" s="91" t="n">
        <v>34</v>
      </c>
      <c r="I27" s="91" t="n">
        <v>34</v>
      </c>
      <c r="J27" s="91" t="n">
        <v>51</v>
      </c>
      <c r="K27" s="91" t="n">
        <v>51</v>
      </c>
      <c r="L27" s="91" t="n">
        <v>51</v>
      </c>
      <c r="M27" s="91" t="n">
        <v>51</v>
      </c>
      <c r="N27" s="91" t="n">
        <v>58</v>
      </c>
      <c r="O27" s="91" t="n">
        <v>70.5</v>
      </c>
      <c r="P27" s="91" t="n">
        <v>70.5</v>
      </c>
      <c r="Q27" s="91" t="n">
        <v>70.5</v>
      </c>
      <c r="R27" s="95" t="n">
        <v>77.5</v>
      </c>
      <c r="S27" s="95" t="n">
        <v>84</v>
      </c>
      <c r="T27" s="95" t="n">
        <v>85</v>
      </c>
      <c r="U27" s="95" t="n">
        <v>92</v>
      </c>
      <c r="V27" s="95" t="n">
        <v>95</v>
      </c>
      <c r="W27" s="95" t="n">
        <v>97</v>
      </c>
      <c r="X27" s="91" t="n"/>
      <c r="Y27" s="91" t="n"/>
    </row>
    <row r="28" ht="36" customHeight="1" s="1">
      <c r="D28" s="41" t="n"/>
      <c r="E28" s="22" t="inlineStr">
        <is>
          <t>VO size</t>
        </is>
      </c>
      <c r="F28" s="96" t="n">
        <v>196</v>
      </c>
      <c r="G28" s="96" t="n">
        <v>196</v>
      </c>
      <c r="H28" s="96" t="n">
        <v>196</v>
      </c>
      <c r="I28" s="96" t="n">
        <v>196</v>
      </c>
      <c r="J28" s="96" t="n">
        <v>196.354788790597</v>
      </c>
      <c r="K28" s="96" t="n">
        <v>196.354788790597</v>
      </c>
      <c r="L28" s="96" t="n">
        <v>196.354788790597</v>
      </c>
      <c r="M28" s="96" t="n">
        <v>196.354788790597</v>
      </c>
      <c r="N28" s="91" t="n">
        <v>211.816</v>
      </c>
      <c r="O28" s="91" t="n">
        <v>235.675</v>
      </c>
      <c r="P28" s="91" t="n">
        <v>235.675</v>
      </c>
      <c r="Q28" s="91" t="n">
        <v>235.675</v>
      </c>
      <c r="R28" s="97" t="n">
        <v>270.381</v>
      </c>
      <c r="S28" s="97" t="n">
        <v>270.381</v>
      </c>
      <c r="T28" s="97" t="n">
        <v>335.917</v>
      </c>
      <c r="U28" s="97" t="n">
        <v>344.128</v>
      </c>
      <c r="V28" s="97" t="n">
        <v>483.411</v>
      </c>
      <c r="W28" s="97" t="n">
        <v>753.766</v>
      </c>
      <c r="X28" s="91" t="n"/>
      <c r="Y28" s="91" t="n"/>
    </row>
    <row r="29">
      <c r="D29" s="49" t="inlineStr">
        <is>
          <t>Chen13-MR</t>
        </is>
      </c>
      <c r="E29" s="34" t="inlineStr">
        <is>
          <t>Recall rate</t>
        </is>
      </c>
      <c r="F29" s="98" t="n"/>
      <c r="G29" s="98" t="n"/>
      <c r="H29" s="98" t="n"/>
      <c r="I29" s="98" t="n"/>
      <c r="J29" s="98" t="n"/>
      <c r="K29" s="98" t="n"/>
      <c r="L29" s="98" t="n"/>
      <c r="M29" s="98" t="n"/>
      <c r="N29" s="98" t="n"/>
      <c r="O29" s="98" t="n"/>
      <c r="P29" s="98" t="n"/>
      <c r="Q29" s="98" t="n"/>
      <c r="R29" s="98" t="n"/>
      <c r="S29" s="98" t="n"/>
      <c r="T29" s="98" t="n"/>
      <c r="U29" s="98" t="n"/>
      <c r="V29" s="98" t="n"/>
      <c r="W29" s="98" t="n"/>
      <c r="X29" s="98" t="n"/>
      <c r="Y29" s="98" t="n"/>
      <c r="Z29" s="92" t="n">
        <v>100</v>
      </c>
    </row>
    <row r="30">
      <c r="D30" s="41" t="n"/>
      <c r="E30" s="34" t="inlineStr">
        <is>
          <t>VO size</t>
        </is>
      </c>
      <c r="F30" s="98" t="n"/>
      <c r="G30" s="98" t="n"/>
      <c r="H30" s="98" t="n"/>
      <c r="I30" s="98" t="n"/>
      <c r="J30" s="98" t="n"/>
      <c r="K30" s="98" t="n"/>
      <c r="L30" s="98" t="n"/>
      <c r="M30" s="98" t="n"/>
      <c r="N30" s="98" t="n"/>
      <c r="O30" s="98" t="n"/>
      <c r="P30" s="98" t="n"/>
      <c r="Q30" s="98" t="n"/>
      <c r="R30" s="98" t="n"/>
      <c r="S30" s="98" t="n"/>
      <c r="T30" s="98" t="n"/>
      <c r="U30" s="98" t="n"/>
      <c r="V30" s="98" t="n"/>
      <c r="W30" s="98" t="n"/>
      <c r="X30" s="98" t="n"/>
      <c r="Y30" s="98" t="n"/>
      <c r="Z30" s="92" t="n">
        <v>235214.3172</v>
      </c>
    </row>
    <row r="31">
      <c r="D31" s="51" t="n"/>
      <c r="E31" s="0" t="inlineStr">
        <is>
          <t>Target Recall (%)</t>
        </is>
      </c>
      <c r="F31" s="37" t="n">
        <v>15</v>
      </c>
      <c r="G31" s="37" t="n">
        <v>20</v>
      </c>
      <c r="H31" s="37" t="n">
        <v>25</v>
      </c>
      <c r="I31" s="37" t="n">
        <v>30</v>
      </c>
      <c r="J31" s="37" t="n">
        <v>35</v>
      </c>
      <c r="K31" s="37" t="n">
        <v>40</v>
      </c>
      <c r="L31" s="37" t="n">
        <v>45</v>
      </c>
      <c r="M31" s="37" t="n">
        <v>50</v>
      </c>
      <c r="N31" s="37" t="n">
        <v>55</v>
      </c>
      <c r="O31" s="37" t="n">
        <v>60</v>
      </c>
      <c r="P31" s="37" t="n">
        <v>65</v>
      </c>
      <c r="Q31" s="37" t="n">
        <v>70</v>
      </c>
      <c r="R31" s="37" t="n">
        <v>75</v>
      </c>
      <c r="S31" s="37" t="n">
        <v>80</v>
      </c>
      <c r="T31" s="37" t="n">
        <v>85</v>
      </c>
      <c r="U31" s="37" t="n">
        <v>90</v>
      </c>
      <c r="V31" s="37" t="n">
        <v>95</v>
      </c>
      <c r="W31" s="37" t="n">
        <v>97</v>
      </c>
      <c r="X31" s="37" t="n">
        <v>98</v>
      </c>
      <c r="Y31" s="37" t="n">
        <v>99</v>
      </c>
      <c r="Z31" s="37" t="n">
        <v>100</v>
      </c>
    </row>
    <row r="32">
      <c r="E32" s="15" t="inlineStr">
        <is>
          <t>Recall@10 (change parameters enabling different recall rate) vs. verify time</t>
        </is>
      </c>
    </row>
    <row r="33"/>
    <row r="34">
      <c r="D34" s="38" t="inlineStr">
        <is>
          <t>SIFT1M</t>
        </is>
      </c>
      <c r="E34" s="39" t="n"/>
      <c r="F34" s="39" t="n"/>
      <c r="G34" s="39" t="n"/>
      <c r="H34" s="39" t="n"/>
      <c r="I34" s="39" t="n"/>
      <c r="J34" s="39" t="n"/>
      <c r="K34" s="39" t="n"/>
      <c r="L34" s="39" t="n"/>
      <c r="M34" s="39" t="n"/>
      <c r="N34" s="39" t="n"/>
      <c r="O34" s="39" t="n"/>
      <c r="P34" s="40" t="n"/>
    </row>
    <row r="35">
      <c r="D35" s="38" t="inlineStr">
        <is>
          <t>VLAH</t>
        </is>
      </c>
      <c r="E35" s="22" t="inlineStr">
        <is>
          <t>Recall rate</t>
        </is>
      </c>
      <c r="F35" s="24" t="n">
        <v>38</v>
      </c>
      <c r="G35" s="24" t="n">
        <v>38</v>
      </c>
      <c r="H35" s="24" t="n">
        <v>38</v>
      </c>
      <c r="I35" s="24" t="n">
        <v>38</v>
      </c>
      <c r="J35" s="24" t="n">
        <v>38</v>
      </c>
      <c r="K35" s="24" t="n">
        <v>42.5</v>
      </c>
      <c r="L35" s="24" t="n">
        <v>50.5</v>
      </c>
      <c r="M35" s="24" t="n">
        <v>50.5</v>
      </c>
      <c r="N35" s="24" t="n">
        <v>55</v>
      </c>
      <c r="O35" s="24" t="n">
        <v>60.7</v>
      </c>
      <c r="P35" s="24" t="n">
        <v>65.40000000000001</v>
      </c>
      <c r="Q35" s="24" t="n">
        <v>70.8</v>
      </c>
      <c r="R35" s="24" t="n">
        <v>75</v>
      </c>
      <c r="S35" s="24" t="n">
        <v>80</v>
      </c>
      <c r="T35" s="24" t="n">
        <v>85</v>
      </c>
      <c r="U35" s="24" t="n">
        <v>90.3</v>
      </c>
      <c r="V35" s="24" t="n">
        <v>95.2</v>
      </c>
      <c r="W35" s="24" t="n">
        <v>97.2</v>
      </c>
      <c r="X35" s="24" t="n">
        <v>98</v>
      </c>
      <c r="Y35" s="24" t="n">
        <v>99.09999999999999</v>
      </c>
    </row>
    <row r="36">
      <c r="D36" s="41" t="n"/>
      <c r="E36" s="22" t="inlineStr">
        <is>
          <t>verify time</t>
        </is>
      </c>
      <c r="F36" s="86" t="n">
        <v>3.55255883333333</v>
      </c>
      <c r="G36" s="86" t="n">
        <v>3.55255883333333</v>
      </c>
      <c r="H36" s="86" t="n">
        <v>3.55255883333333</v>
      </c>
      <c r="I36" s="86" t="n">
        <v>3.55255883333333</v>
      </c>
      <c r="J36" s="86" t="n">
        <v>3.55255883333333</v>
      </c>
      <c r="K36" s="86" t="n">
        <v>7.15511848333333</v>
      </c>
      <c r="L36" s="86" t="n">
        <v>10.8073846</v>
      </c>
      <c r="M36" s="86" t="n">
        <v>10.8073846</v>
      </c>
      <c r="N36" s="86" t="n">
        <v>18.1088253333333</v>
      </c>
      <c r="O36" s="86" t="n">
        <v>45.3004235666667</v>
      </c>
      <c r="P36" s="86" t="n">
        <v>53.9443851833333</v>
      </c>
      <c r="Q36" s="86" t="n">
        <v>70.0221579833333</v>
      </c>
      <c r="R36" s="86" t="n">
        <v>78.27115032</v>
      </c>
      <c r="S36" s="86" t="n">
        <v>97.75630345</v>
      </c>
      <c r="T36" s="86" t="n">
        <v>109.452387803333</v>
      </c>
      <c r="U36" s="86" t="n">
        <v>127.420139816667</v>
      </c>
      <c r="V36" s="86" t="n">
        <v>150.39012002</v>
      </c>
      <c r="W36" s="86" t="n">
        <v>158.266914293333</v>
      </c>
      <c r="X36" s="86" t="n">
        <v>167.846554113333</v>
      </c>
      <c r="Y36" s="86" t="n">
        <v>176.97110718</v>
      </c>
    </row>
    <row r="37">
      <c r="D37" s="38" t="inlineStr">
        <is>
          <t>ANNProof*</t>
        </is>
      </c>
      <c r="E37" s="22" t="inlineStr">
        <is>
          <t>Recall rate</t>
        </is>
      </c>
      <c r="F37" s="42" t="n">
        <v>46.5</v>
      </c>
      <c r="G37" s="42" t="n">
        <v>46.5</v>
      </c>
      <c r="H37" s="42" t="n">
        <v>46.5</v>
      </c>
      <c r="I37" s="42" t="n">
        <v>46.5</v>
      </c>
      <c r="J37" s="42" t="n">
        <v>46.5</v>
      </c>
      <c r="K37" s="42" t="n">
        <v>46.5</v>
      </c>
      <c r="L37" s="24" t="n">
        <v>46.5</v>
      </c>
      <c r="M37" s="24" t="n">
        <v>50</v>
      </c>
      <c r="N37" s="24" t="n">
        <v>56</v>
      </c>
      <c r="O37" s="24" t="n">
        <v>62</v>
      </c>
      <c r="P37" s="24" t="n">
        <v>67.5</v>
      </c>
      <c r="Q37" s="24" t="n">
        <v>72</v>
      </c>
      <c r="R37" s="24" t="n">
        <v>75.5</v>
      </c>
      <c r="S37" s="24" t="n">
        <v>80</v>
      </c>
      <c r="T37" s="24" t="n">
        <v>86.5</v>
      </c>
      <c r="U37" s="24" t="n">
        <v>90.2</v>
      </c>
      <c r="V37" s="24" t="n">
        <v>95.09999999999999</v>
      </c>
      <c r="W37" s="24" t="n">
        <v>97.3</v>
      </c>
      <c r="X37" s="24" t="n">
        <v>98.09999999999999</v>
      </c>
      <c r="Y37" s="24" t="n">
        <v>99</v>
      </c>
    </row>
    <row r="38">
      <c r="D38" s="41" t="n"/>
      <c r="E38" s="22" t="inlineStr">
        <is>
          <t>verify time</t>
        </is>
      </c>
      <c r="F38" s="93" t="n">
        <v>2.718519525</v>
      </c>
      <c r="G38" s="93" t="n">
        <v>2.718519525</v>
      </c>
      <c r="H38" s="93" t="n">
        <v>2.718519525</v>
      </c>
      <c r="I38" s="93" t="n">
        <v>2.718519525</v>
      </c>
      <c r="J38" s="93" t="n">
        <v>2.718519525</v>
      </c>
      <c r="K38" s="93" t="n">
        <v>2.718519525</v>
      </c>
      <c r="L38" s="94" t="n">
        <v>2.718519525</v>
      </c>
      <c r="M38" s="94" t="n">
        <v>3.139567975</v>
      </c>
      <c r="N38" s="94" t="n">
        <v>3.6143039</v>
      </c>
      <c r="O38" s="94" t="n">
        <v>4.0886525</v>
      </c>
      <c r="P38" s="94" t="n">
        <v>4.49606695</v>
      </c>
      <c r="Q38" s="94" t="n">
        <v>5.204480625</v>
      </c>
      <c r="R38" s="94" t="n">
        <v>5.495007925</v>
      </c>
      <c r="S38" s="94" t="n">
        <v>6.05191305</v>
      </c>
      <c r="T38" s="94" t="n">
        <v>11.85720183</v>
      </c>
      <c r="U38" s="94" t="n">
        <v>14.66692291</v>
      </c>
      <c r="V38" s="94" t="n">
        <v>20.258466675</v>
      </c>
      <c r="W38" s="94" t="n">
        <v>28.9810802950001</v>
      </c>
      <c r="X38" s="94" t="n">
        <v>41.761121565</v>
      </c>
      <c r="Y38" s="94" t="n">
        <v>70.9214721199999</v>
      </c>
    </row>
    <row r="39" ht="15" customHeight="1" s="1">
      <c r="D39" s="38" t="inlineStr">
        <is>
          <t>Ours †含预测</t>
        </is>
      </c>
      <c r="E39" s="22" t="inlineStr">
        <is>
          <t>Recall rate</t>
        </is>
      </c>
      <c r="F39" s="45" t="n">
        <v>24</v>
      </c>
      <c r="G39" s="45" t="n">
        <v>24</v>
      </c>
      <c r="H39" s="45" t="n">
        <v>33</v>
      </c>
      <c r="I39" s="45" t="n">
        <v>33</v>
      </c>
      <c r="J39" s="45" t="n">
        <v>41</v>
      </c>
      <c r="K39" s="45" t="n">
        <v>41</v>
      </c>
      <c r="L39" s="45" t="n">
        <v>51</v>
      </c>
      <c r="M39" s="45" t="n">
        <v>51</v>
      </c>
      <c r="N39" s="45" t="n">
        <v>55.5</v>
      </c>
      <c r="O39" s="45" t="n">
        <v>62.3</v>
      </c>
      <c r="P39" s="45" t="n">
        <v>66.3</v>
      </c>
      <c r="Q39" s="45" t="n">
        <v>70.2</v>
      </c>
      <c r="R39" s="45" t="n">
        <v>76</v>
      </c>
      <c r="S39" s="45" t="n">
        <v>80.3</v>
      </c>
      <c r="T39" s="45" t="n">
        <v>87.3</v>
      </c>
      <c r="U39" s="45" t="n">
        <v>90.40000000000001</v>
      </c>
      <c r="V39" s="45" t="n">
        <v>95.40000000000001</v>
      </c>
      <c r="W39" s="45" t="n">
        <v>97.2</v>
      </c>
      <c r="X39" s="45" t="n">
        <v>98.7</v>
      </c>
      <c r="Y39" s="45" t="n">
        <v>99</v>
      </c>
    </row>
    <row r="40" ht="15" customHeight="1" s="1">
      <c r="D40" s="41" t="n"/>
      <c r="E40" s="22" t="inlineStr">
        <is>
          <t>verify time</t>
        </is>
      </c>
      <c r="F40" s="96" t="n">
        <v>0.904649339084811</v>
      </c>
      <c r="G40" s="96" t="n">
        <v>0.904649339084811</v>
      </c>
      <c r="H40" s="96" t="n">
        <v>0.905</v>
      </c>
      <c r="I40" s="96" t="n">
        <v>0.905</v>
      </c>
      <c r="J40" s="91" t="n">
        <v>0.942581116666667</v>
      </c>
      <c r="K40" s="91" t="n">
        <v>0.942581116666667</v>
      </c>
      <c r="L40" s="91" t="n">
        <v>1.07211965</v>
      </c>
      <c r="M40" s="91" t="n">
        <v>1.07211965</v>
      </c>
      <c r="N40" s="91" t="n">
        <v>1.10992136666667</v>
      </c>
      <c r="O40" s="91" t="n">
        <v>1.55806525333333</v>
      </c>
      <c r="P40" s="91" t="n">
        <v>1.64942995</v>
      </c>
      <c r="Q40" s="91" t="n">
        <v>1.82777087333333</v>
      </c>
      <c r="R40" s="91" t="n">
        <v>2.06668139</v>
      </c>
      <c r="S40" s="91" t="n">
        <v>2.30338058333333</v>
      </c>
      <c r="T40" s="91" t="n">
        <v>3.06051667666667</v>
      </c>
      <c r="U40" s="91" t="n">
        <v>3.48902270333333</v>
      </c>
      <c r="V40" s="91" t="n">
        <v>4.68043708333333</v>
      </c>
      <c r="W40" s="91" t="n">
        <v>6.08716991666667</v>
      </c>
      <c r="X40" s="91" t="n">
        <v>9.89511474333333</v>
      </c>
      <c r="Y40" s="91" t="n">
        <v>12.29062924</v>
      </c>
    </row>
    <row r="41" ht="15" customHeight="1" s="1">
      <c r="D41" s="41" t="inlineStr">
        <is>
          <t>V3DB（单次） †含预测</t>
        </is>
      </c>
      <c r="E41" s="22" t="inlineStr">
        <is>
          <t>Recall rate</t>
        </is>
      </c>
      <c r="F41" s="91" t="n">
        <v>34</v>
      </c>
      <c r="G41" s="91" t="n">
        <v>34</v>
      </c>
      <c r="H41" s="91" t="n">
        <v>34</v>
      </c>
      <c r="I41" s="91" t="n">
        <v>34</v>
      </c>
      <c r="J41" s="91" t="n">
        <v>51</v>
      </c>
      <c r="K41" s="91" t="n">
        <v>51</v>
      </c>
      <c r="L41" s="91" t="n">
        <v>51</v>
      </c>
      <c r="M41" s="91" t="n">
        <v>51</v>
      </c>
      <c r="N41" s="91" t="n">
        <v>58</v>
      </c>
      <c r="O41" s="91" t="n">
        <v>70.5</v>
      </c>
      <c r="P41" s="91" t="n">
        <v>70.5</v>
      </c>
      <c r="Q41" s="91" t="n">
        <v>70.5</v>
      </c>
      <c r="R41" s="95" t="n">
        <v>77.5</v>
      </c>
      <c r="S41" s="95" t="n">
        <v>84</v>
      </c>
      <c r="T41" s="95" t="n">
        <v>85</v>
      </c>
      <c r="U41" s="95" t="n">
        <v>92</v>
      </c>
      <c r="V41" s="95" t="n">
        <v>95</v>
      </c>
      <c r="W41" s="95" t="n">
        <v>97</v>
      </c>
      <c r="X41" s="91" t="n"/>
      <c r="Y41" s="91" t="n"/>
    </row>
    <row r="42" ht="36" customHeight="1" s="1">
      <c r="D42" s="41" t="n"/>
      <c r="E42" s="22" t="inlineStr">
        <is>
          <t>verify time</t>
        </is>
      </c>
      <c r="F42" s="96" t="n">
        <v>11.1</v>
      </c>
      <c r="G42" s="96" t="n">
        <v>11.1</v>
      </c>
      <c r="H42" s="96" t="n">
        <v>11.1</v>
      </c>
      <c r="I42" s="96" t="n">
        <v>11.1</v>
      </c>
      <c r="J42" s="96" t="n">
        <v>11.1045364255997</v>
      </c>
      <c r="K42" s="96" t="n">
        <v>11.1045364255997</v>
      </c>
      <c r="L42" s="96" t="n">
        <v>11.1045364255997</v>
      </c>
      <c r="M42" s="96" t="n">
        <v>11.1045364255997</v>
      </c>
      <c r="N42" s="91" t="n">
        <v>14.4067420000056</v>
      </c>
      <c r="O42" s="96" t="n">
        <v>31.8635601742517</v>
      </c>
      <c r="P42" s="96" t="n">
        <v>31.8635601742517</v>
      </c>
      <c r="Q42" s="96" t="n">
        <v>31.8635601742517</v>
      </c>
      <c r="R42" s="96" t="n">
        <v>31.8635601742517</v>
      </c>
      <c r="S42" s="96" t="n">
        <v>31.8635601742517</v>
      </c>
      <c r="T42" s="96" t="n">
        <v>31.8635601742517</v>
      </c>
      <c r="U42" s="96" t="n">
        <v>31.8635601742517</v>
      </c>
      <c r="V42" s="96" t="n">
        <v>31.9</v>
      </c>
      <c r="W42" s="97" t="n">
        <v>38.9720084703683</v>
      </c>
      <c r="X42" s="91" t="n"/>
      <c r="Y42" s="91" t="n"/>
    </row>
    <row r="43">
      <c r="D43" s="49" t="inlineStr">
        <is>
          <t>Chen13-MR</t>
        </is>
      </c>
      <c r="E43" s="34" t="inlineStr">
        <is>
          <t>Recall rate</t>
        </is>
      </c>
      <c r="F43" s="98" t="n"/>
      <c r="G43" s="98" t="n"/>
      <c r="H43" s="98" t="n"/>
      <c r="I43" s="98" t="n"/>
      <c r="J43" s="98" t="n"/>
      <c r="K43" s="98" t="n"/>
      <c r="L43" s="98" t="n"/>
      <c r="M43" s="98" t="n"/>
      <c r="N43" s="98" t="n"/>
      <c r="O43" s="98" t="n"/>
      <c r="P43" s="98" t="n"/>
      <c r="Q43" s="98" t="n"/>
      <c r="R43" s="98" t="n"/>
      <c r="S43" s="98" t="n"/>
      <c r="T43" s="98" t="n"/>
      <c r="U43" s="98" t="n"/>
      <c r="V43" s="98" t="n"/>
      <c r="W43" s="98" t="n"/>
      <c r="X43" s="98" t="n"/>
      <c r="Y43" s="98" t="n"/>
      <c r="Z43" s="92" t="n">
        <v>100</v>
      </c>
    </row>
    <row r="44">
      <c r="D44" s="41" t="n"/>
      <c r="E44" s="34" t="inlineStr">
        <is>
          <t>verify time</t>
        </is>
      </c>
      <c r="F44" s="98" t="n"/>
      <c r="G44" s="98" t="n"/>
      <c r="H44" s="98" t="n"/>
      <c r="I44" s="98" t="n"/>
      <c r="J44" s="98" t="n"/>
      <c r="K44" s="98" t="n"/>
      <c r="L44" s="98" t="n"/>
      <c r="M44" s="98" t="n"/>
      <c r="N44" s="98" t="n"/>
      <c r="O44" s="98" t="n"/>
      <c r="P44" s="98" t="n"/>
      <c r="Q44" s="98" t="n"/>
      <c r="R44" s="98" t="n"/>
      <c r="S44" s="98" t="n"/>
      <c r="T44" s="98" t="n"/>
      <c r="U44" s="98" t="n"/>
      <c r="V44" s="98" t="n"/>
      <c r="W44" s="98" t="n"/>
      <c r="X44" s="98" t="n"/>
      <c r="Y44" s="98" t="n"/>
      <c r="Z44" s="92" t="n">
        <v>202.1477637</v>
      </c>
    </row>
    <row r="45">
      <c r="D45" s="51" t="n"/>
      <c r="E45" s="0" t="inlineStr">
        <is>
          <t>Target Recall (%)</t>
        </is>
      </c>
      <c r="F45" s="37" t="n">
        <v>15</v>
      </c>
      <c r="G45" s="37" t="n">
        <v>20</v>
      </c>
      <c r="H45" s="37" t="n">
        <v>25</v>
      </c>
      <c r="I45" s="37" t="n">
        <v>30</v>
      </c>
      <c r="J45" s="37" t="n">
        <v>35</v>
      </c>
      <c r="K45" s="37" t="n">
        <v>40</v>
      </c>
      <c r="L45" s="37" t="n">
        <v>45</v>
      </c>
      <c r="M45" s="37" t="n">
        <v>50</v>
      </c>
      <c r="N45" s="37" t="n">
        <v>55</v>
      </c>
      <c r="O45" s="37" t="n">
        <v>60</v>
      </c>
      <c r="P45" s="37" t="n">
        <v>65</v>
      </c>
      <c r="Q45" s="37" t="n">
        <v>70</v>
      </c>
      <c r="R45" s="37" t="n">
        <v>75</v>
      </c>
      <c r="S45" s="37" t="n">
        <v>80</v>
      </c>
      <c r="T45" s="37" t="n">
        <v>85</v>
      </c>
      <c r="U45" s="37" t="n">
        <v>90</v>
      </c>
      <c r="V45" s="37" t="n">
        <v>95</v>
      </c>
      <c r="W45" s="37" t="n">
        <v>97</v>
      </c>
      <c r="X45" s="37" t="n">
        <v>98</v>
      </c>
      <c r="Y45" s="37" t="n">
        <v>99</v>
      </c>
      <c r="Z45" s="37" t="n">
        <v>100</v>
      </c>
    </row>
    <row r="46">
      <c r="E46" s="15" t="inlineStr">
        <is>
          <t>Recall@10 (change parameters enabling different recall rate) vs. query time</t>
        </is>
      </c>
    </row>
    <row r="47"/>
    <row r="48">
      <c r="D48" s="38" t="inlineStr">
        <is>
          <t>SIFT1M</t>
        </is>
      </c>
      <c r="E48" s="39" t="n"/>
      <c r="F48" s="39" t="n"/>
      <c r="G48" s="39" t="n"/>
      <c r="H48" s="39" t="n"/>
      <c r="I48" s="39" t="n"/>
      <c r="J48" s="39" t="n"/>
      <c r="K48" s="39" t="n"/>
      <c r="L48" s="39" t="n"/>
      <c r="M48" s="39" t="n"/>
      <c r="N48" s="39" t="n"/>
      <c r="O48" s="39" t="n"/>
      <c r="P48" s="40" t="n"/>
    </row>
    <row r="49">
      <c r="D49" s="38" t="inlineStr">
        <is>
          <t>VLAH</t>
        </is>
      </c>
      <c r="E49" s="22" t="inlineStr">
        <is>
          <t>Recall rate</t>
        </is>
      </c>
      <c r="F49" s="24" t="n">
        <v>38</v>
      </c>
      <c r="G49" s="24" t="n">
        <v>38</v>
      </c>
      <c r="H49" s="24" t="n">
        <v>38</v>
      </c>
      <c r="I49" s="24" t="n">
        <v>38</v>
      </c>
      <c r="J49" s="24" t="n">
        <v>38</v>
      </c>
      <c r="K49" s="24" t="n">
        <v>42.5</v>
      </c>
      <c r="L49" s="24" t="n">
        <v>50.5</v>
      </c>
      <c r="M49" s="24" t="n">
        <v>50.5</v>
      </c>
      <c r="N49" s="24" t="n">
        <v>55</v>
      </c>
      <c r="O49" s="24" t="n">
        <v>60.7</v>
      </c>
      <c r="P49" s="24" t="n">
        <v>65.40000000000001</v>
      </c>
      <c r="Q49" s="24" t="n">
        <v>70.8</v>
      </c>
      <c r="R49" s="24" t="n">
        <v>75</v>
      </c>
      <c r="S49" s="24" t="n">
        <v>80</v>
      </c>
      <c r="T49" s="24" t="n">
        <v>85</v>
      </c>
      <c r="U49" s="24" t="n">
        <v>90.3</v>
      </c>
      <c r="V49" s="24" t="n">
        <v>95.2</v>
      </c>
      <c r="W49" s="24" t="n">
        <v>97.2</v>
      </c>
      <c r="X49" s="24" t="n">
        <v>98</v>
      </c>
      <c r="Y49" s="24" t="n">
        <v>99.09999999999999</v>
      </c>
    </row>
    <row r="50">
      <c r="D50" s="41" t="n"/>
      <c r="E50" s="22" t="inlineStr">
        <is>
          <t>query time</t>
        </is>
      </c>
      <c r="F50" s="86" t="n">
        <v>1.34392248333333</v>
      </c>
      <c r="G50" s="86" t="n">
        <v>1.34392248333333</v>
      </c>
      <c r="H50" s="86" t="n">
        <v>1.34392248333333</v>
      </c>
      <c r="I50" s="86" t="n">
        <v>1.34392248333333</v>
      </c>
      <c r="J50" s="86" t="n">
        <v>1.34392248333333</v>
      </c>
      <c r="K50" s="86" t="n">
        <v>2.7165707</v>
      </c>
      <c r="L50" s="86" t="n">
        <v>4.05306783333333</v>
      </c>
      <c r="M50" s="86" t="n">
        <v>4.05306783333333</v>
      </c>
      <c r="N50" s="86" t="n">
        <v>6.9410392</v>
      </c>
      <c r="O50" s="86" t="n">
        <v>17.0517269033333</v>
      </c>
      <c r="P50" s="86" t="n">
        <v>20.2751743866667</v>
      </c>
      <c r="Q50" s="86" t="n">
        <v>26.32129043</v>
      </c>
      <c r="R50" s="86" t="n">
        <v>29.3498243433333</v>
      </c>
      <c r="S50" s="86" t="n">
        <v>36.5804762</v>
      </c>
      <c r="T50" s="86" t="n">
        <v>40.9267938566667</v>
      </c>
      <c r="U50" s="86" t="n">
        <v>48.2655236333333</v>
      </c>
      <c r="V50" s="86" t="n">
        <v>56.3584423366667</v>
      </c>
      <c r="W50" s="86" t="n">
        <v>60.5991719466667</v>
      </c>
      <c r="X50" s="86" t="n">
        <v>67.77530642000001</v>
      </c>
      <c r="Y50" s="86" t="n">
        <v>71.5946153666667</v>
      </c>
    </row>
    <row r="51">
      <c r="D51" s="38" t="inlineStr">
        <is>
          <t>ANNProof*</t>
        </is>
      </c>
      <c r="E51" s="22" t="inlineStr">
        <is>
          <t>Recall rate</t>
        </is>
      </c>
      <c r="F51" s="42" t="n">
        <v>46.5</v>
      </c>
      <c r="G51" s="42" t="n">
        <v>46.5</v>
      </c>
      <c r="H51" s="42" t="n">
        <v>46.5</v>
      </c>
      <c r="I51" s="42" t="n">
        <v>46.5</v>
      </c>
      <c r="J51" s="42" t="n">
        <v>46.5</v>
      </c>
      <c r="K51" s="42" t="n">
        <v>46.5</v>
      </c>
      <c r="L51" s="24" t="n">
        <v>46.5</v>
      </c>
      <c r="M51" s="24" t="n">
        <v>50</v>
      </c>
      <c r="N51" s="24" t="n">
        <v>56</v>
      </c>
      <c r="O51" s="24" t="n">
        <v>62</v>
      </c>
      <c r="P51" s="24" t="n">
        <v>67.5</v>
      </c>
      <c r="Q51" s="24" t="n">
        <v>72</v>
      </c>
      <c r="R51" s="24" t="n">
        <v>75.5</v>
      </c>
      <c r="S51" s="24" t="n">
        <v>80</v>
      </c>
      <c r="T51" s="24" t="n">
        <v>86.5</v>
      </c>
      <c r="U51" s="24" t="n">
        <v>90.2</v>
      </c>
      <c r="V51" s="24" t="n">
        <v>95.09999999999999</v>
      </c>
      <c r="W51" s="24" t="n">
        <v>97.3</v>
      </c>
      <c r="X51" s="24" t="n">
        <v>98.09999999999999</v>
      </c>
      <c r="Y51" s="24" t="n">
        <v>99</v>
      </c>
    </row>
    <row r="52">
      <c r="D52" s="41" t="n"/>
      <c r="E52" s="22" t="inlineStr">
        <is>
          <t>query time</t>
        </is>
      </c>
      <c r="F52" s="93" t="n">
        <v>0.4264605</v>
      </c>
      <c r="G52" s="93" t="n">
        <v>0.4264605</v>
      </c>
      <c r="H52" s="93" t="n">
        <v>0.4264605</v>
      </c>
      <c r="I52" s="93" t="n">
        <v>0.4264605</v>
      </c>
      <c r="J52" s="93" t="n">
        <v>0.4264605</v>
      </c>
      <c r="K52" s="93" t="n">
        <v>0.4264605</v>
      </c>
      <c r="L52" s="94" t="n">
        <v>0.4264605</v>
      </c>
      <c r="M52" s="94" t="n">
        <v>0.50609096</v>
      </c>
      <c r="N52" s="94" t="n">
        <v>0.60224998</v>
      </c>
      <c r="O52" s="94" t="n">
        <v>0.66576842</v>
      </c>
      <c r="P52" s="94" t="n">
        <v>0.69257852</v>
      </c>
      <c r="Q52" s="94" t="n">
        <v>0.77029096</v>
      </c>
      <c r="R52" s="94" t="n">
        <v>0.8321881</v>
      </c>
      <c r="S52" s="94" t="n">
        <v>0.95748202</v>
      </c>
      <c r="T52" s="94" t="n">
        <v>1.833565604</v>
      </c>
      <c r="U52" s="94" t="n">
        <v>2.35211456</v>
      </c>
      <c r="V52" s="94" t="n">
        <v>3.378986924</v>
      </c>
      <c r="W52" s="94" t="n">
        <v>5.034505808</v>
      </c>
      <c r="X52" s="94" t="n">
        <v>7.562791992</v>
      </c>
      <c r="Y52" s="94" t="n">
        <v>13.383689624</v>
      </c>
    </row>
    <row r="53" ht="15" customHeight="1" s="1">
      <c r="D53" s="38" t="inlineStr">
        <is>
          <t>Ours †含预测</t>
        </is>
      </c>
      <c r="E53" s="22" t="inlineStr">
        <is>
          <t>Recall rate</t>
        </is>
      </c>
      <c r="F53" s="45" t="n">
        <v>24</v>
      </c>
      <c r="G53" s="45" t="n">
        <v>24</v>
      </c>
      <c r="H53" s="45" t="n">
        <v>33</v>
      </c>
      <c r="I53" s="45" t="n">
        <v>33</v>
      </c>
      <c r="J53" s="45" t="n">
        <v>41</v>
      </c>
      <c r="K53" s="45" t="n">
        <v>41</v>
      </c>
      <c r="L53" s="45" t="n">
        <v>51</v>
      </c>
      <c r="M53" s="45" t="n">
        <v>51</v>
      </c>
      <c r="N53" s="45" t="n">
        <v>55.5</v>
      </c>
      <c r="O53" s="45" t="n">
        <v>62.3</v>
      </c>
      <c r="P53" s="45" t="n">
        <v>66.3</v>
      </c>
      <c r="Q53" s="45" t="n">
        <v>70.2</v>
      </c>
      <c r="R53" s="45" t="n">
        <v>76</v>
      </c>
      <c r="S53" s="45" t="n">
        <v>80.3</v>
      </c>
      <c r="T53" s="45" t="n">
        <v>87.3</v>
      </c>
      <c r="U53" s="45" t="n">
        <v>90.40000000000001</v>
      </c>
      <c r="V53" s="45" t="n">
        <v>95.40000000000001</v>
      </c>
      <c r="W53" s="45" t="n">
        <v>97.2</v>
      </c>
      <c r="X53" s="45" t="n">
        <v>98.7</v>
      </c>
      <c r="Y53" s="45" t="n">
        <v>99</v>
      </c>
    </row>
    <row r="54" ht="15" customHeight="1" s="1">
      <c r="D54" s="41" t="n"/>
      <c r="E54" s="22" t="inlineStr">
        <is>
          <t>query time</t>
        </is>
      </c>
      <c r="F54" s="96" t="n">
        <v>0.334</v>
      </c>
      <c r="G54" s="96" t="n">
        <v>0.334</v>
      </c>
      <c r="H54" s="96" t="n">
        <v>0.334363961596636</v>
      </c>
      <c r="I54" s="96" t="n">
        <v>0.334363961596636</v>
      </c>
      <c r="J54" s="91" t="n">
        <v>0.362106066666667</v>
      </c>
      <c r="K54" s="91" t="n">
        <v>0.362106066666667</v>
      </c>
      <c r="L54" s="91" t="n">
        <v>0.416990183333333</v>
      </c>
      <c r="M54" s="91" t="n">
        <v>0.416990183333333</v>
      </c>
      <c r="N54" s="91" t="n">
        <v>0.429995983333333</v>
      </c>
      <c r="O54" s="91" t="n">
        <v>0.615278846666667</v>
      </c>
      <c r="P54" s="91" t="n">
        <v>0.658947806666667</v>
      </c>
      <c r="Q54" s="91" t="n">
        <v>0.77556551</v>
      </c>
      <c r="R54" s="91" t="n">
        <v>0.85642335</v>
      </c>
      <c r="S54" s="91" t="n">
        <v>0.9713977633333331</v>
      </c>
      <c r="T54" s="91" t="n">
        <v>1.37489354333333</v>
      </c>
      <c r="U54" s="91" t="n">
        <v>1.66592562666667</v>
      </c>
      <c r="V54" s="91" t="n">
        <v>2.33039252333333</v>
      </c>
      <c r="W54" s="91" t="n">
        <v>3.21146328333333</v>
      </c>
      <c r="X54" s="91" t="n">
        <v>5.43708398</v>
      </c>
      <c r="Y54" s="91" t="n">
        <v>6.88074424333333</v>
      </c>
    </row>
    <row r="55" ht="15" customHeight="1" s="1">
      <c r="D55" s="41" t="inlineStr">
        <is>
          <t>V3DB（单次）</t>
        </is>
      </c>
      <c r="E55" s="22" t="inlineStr">
        <is>
          <t>Recall rate</t>
        </is>
      </c>
      <c r="F55" s="91" t="n">
        <v>34</v>
      </c>
      <c r="G55" s="91" t="n">
        <v>34</v>
      </c>
      <c r="H55" s="91" t="n">
        <v>34</v>
      </c>
      <c r="I55" s="91" t="n">
        <v>34</v>
      </c>
      <c r="J55" s="91" t="n">
        <v>51</v>
      </c>
      <c r="K55" s="91" t="n">
        <v>51</v>
      </c>
      <c r="L55" s="91" t="n">
        <v>51</v>
      </c>
      <c r="M55" s="91" t="n">
        <v>51</v>
      </c>
      <c r="N55" s="91" t="n">
        <v>58</v>
      </c>
      <c r="O55" s="91" t="n">
        <v>70.5</v>
      </c>
      <c r="P55" s="91" t="n">
        <v>70.5</v>
      </c>
      <c r="Q55" s="91" t="n">
        <v>70.5</v>
      </c>
      <c r="R55" s="95" t="n">
        <v>77.5</v>
      </c>
      <c r="S55" s="95" t="n">
        <v>84</v>
      </c>
      <c r="T55" s="95" t="n">
        <v>85</v>
      </c>
      <c r="U55" s="95" t="n">
        <v>92</v>
      </c>
      <c r="V55" s="95" t="n">
        <v>95</v>
      </c>
      <c r="W55" s="95" t="n">
        <v>97</v>
      </c>
      <c r="X55" s="91" t="n"/>
      <c r="Y55" s="91" t="n"/>
    </row>
    <row r="56" ht="36" customHeight="1" s="1">
      <c r="D56" s="41" t="n"/>
      <c r="E56" s="22" t="inlineStr">
        <is>
          <t>query time</t>
        </is>
      </c>
      <c r="F56" s="91" t="n">
        <v>58010.510633</v>
      </c>
      <c r="G56" s="91" t="n">
        <v>58010.510633</v>
      </c>
      <c r="H56" s="91" t="n">
        <v>58010.510633</v>
      </c>
      <c r="I56" s="91" t="n">
        <v>58010.510633</v>
      </c>
      <c r="J56" s="91" t="n">
        <v>58572.755462</v>
      </c>
      <c r="K56" s="91" t="n">
        <v>58572.755462</v>
      </c>
      <c r="L56" s="91" t="n">
        <v>58572.755462</v>
      </c>
      <c r="M56" s="91" t="n">
        <v>58572.755462</v>
      </c>
      <c r="N56" s="91" t="n">
        <v>239944.70827</v>
      </c>
      <c r="O56" s="91" t="n">
        <v>517760.920454</v>
      </c>
      <c r="P56" s="91" t="n">
        <v>517760.920454</v>
      </c>
      <c r="Q56" s="91" t="n">
        <v>517760.920454</v>
      </c>
      <c r="R56" s="97" t="n">
        <v>526862.979163182</v>
      </c>
      <c r="S56" s="97" t="n">
        <v>546727.954928051</v>
      </c>
      <c r="T56" s="97" t="n">
        <v>546727.954928051</v>
      </c>
      <c r="U56" s="97" t="n">
        <v>1148128.70534891</v>
      </c>
      <c r="V56" s="97" t="n">
        <v>2405603.00168342</v>
      </c>
      <c r="W56" s="97" t="n">
        <v>5029897.18533807</v>
      </c>
      <c r="X56" s="91" t="n"/>
      <c r="Y56" s="91" t="n"/>
    </row>
    <row r="57">
      <c r="D57" s="49" t="inlineStr">
        <is>
          <t>Chen13-MR</t>
        </is>
      </c>
      <c r="E57" s="34" t="inlineStr">
        <is>
          <t>Recall rate</t>
        </is>
      </c>
      <c r="F57" s="98" t="n"/>
      <c r="G57" s="98" t="n"/>
      <c r="H57" s="98" t="n"/>
      <c r="I57" s="98" t="n"/>
      <c r="J57" s="98" t="n"/>
      <c r="K57" s="98" t="n"/>
      <c r="L57" s="98" t="n"/>
      <c r="M57" s="98" t="n"/>
      <c r="N57" s="98" t="n"/>
      <c r="O57" s="98" t="n"/>
      <c r="P57" s="98" t="n"/>
      <c r="Q57" s="98" t="n"/>
      <c r="R57" s="98" t="n"/>
      <c r="S57" s="98" t="n"/>
      <c r="T57" s="98" t="n"/>
      <c r="U57" s="98" t="n"/>
      <c r="V57" s="98" t="n"/>
      <c r="W57" s="98" t="n"/>
      <c r="X57" s="98" t="n"/>
      <c r="Y57" s="98" t="n"/>
      <c r="Z57" s="92" t="n">
        <v>100</v>
      </c>
    </row>
    <row r="58">
      <c r="D58" s="41" t="n"/>
      <c r="E58" s="34" t="inlineStr">
        <is>
          <t>query time</t>
        </is>
      </c>
      <c r="F58" s="98" t="n"/>
      <c r="G58" s="98" t="n"/>
      <c r="H58" s="98" t="n"/>
      <c r="I58" s="98" t="n"/>
      <c r="J58" s="98" t="n"/>
      <c r="K58" s="98" t="n"/>
      <c r="L58" s="98" t="n"/>
      <c r="M58" s="98" t="n"/>
      <c r="N58" s="98" t="n"/>
      <c r="O58" s="98" t="n"/>
      <c r="P58" s="98" t="n"/>
      <c r="Q58" s="98" t="n"/>
      <c r="R58" s="98" t="n"/>
      <c r="S58" s="98" t="n"/>
      <c r="T58" s="98" t="n"/>
      <c r="U58" s="98" t="n"/>
      <c r="V58" s="98" t="n"/>
      <c r="W58" s="98" t="n"/>
      <c r="X58" s="98" t="n"/>
      <c r="Y58" s="98" t="n"/>
      <c r="Z58" s="92" t="n">
        <v>278.25155455</v>
      </c>
    </row>
    <row r="59">
      <c r="D59" s="51" t="n"/>
    </row>
    <row r="60">
      <c r="D60" s="51" t="n"/>
    </row>
    <row r="62" customFormat="1" s="12"/>
    <row r="64">
      <c r="E64" s="15" t="inlineStr">
        <is>
          <t>Dataset size vs. VO size</t>
        </is>
      </c>
    </row>
    <row r="65"/>
    <row r="66" ht="30" customHeight="1" s="1">
      <c r="D66" s="52" t="inlineStr">
        <is>
          <t>BIGANN / SIFT1B prefix subsets (same source)</t>
        </is>
      </c>
      <c r="E66" s="39" t="n"/>
      <c r="F66" s="39" t="n"/>
      <c r="G66" s="39" t="n"/>
      <c r="H66" s="39" t="n"/>
      <c r="I66" s="39" t="n"/>
      <c r="J66" s="40" t="n"/>
    </row>
    <row r="67">
      <c r="D67" s="38" t="inlineStr">
        <is>
          <t>dataset size</t>
        </is>
      </c>
      <c r="E67" s="40" t="n"/>
      <c r="F67" s="22" t="inlineStr">
        <is>
          <t>10^5</t>
        </is>
      </c>
      <c r="G67" s="22" t="inlineStr">
        <is>
          <t>5*10^5</t>
        </is>
      </c>
      <c r="H67" s="22" t="inlineStr">
        <is>
          <t>10^6</t>
        </is>
      </c>
      <c r="I67" s="22" t="inlineStr">
        <is>
          <t>5*10^6</t>
        </is>
      </c>
      <c r="J67" s="22" t="inlineStr">
        <is>
          <t>10^7</t>
        </is>
      </c>
    </row>
    <row r="68">
      <c r="D68" s="38" t="inlineStr">
        <is>
          <t>VLAH</t>
        </is>
      </c>
      <c r="E68" s="40" t="n"/>
      <c r="F68" s="86" t="n">
        <v>3389.1896</v>
      </c>
      <c r="G68" s="86" t="n">
        <v>17109.20832</v>
      </c>
      <c r="H68" s="86" t="n">
        <v>34179.50512</v>
      </c>
      <c r="I68" s="86" t="n">
        <v>152877.20635</v>
      </c>
      <c r="J68" s="86" t="n">
        <v>339318.57888</v>
      </c>
    </row>
    <row r="69">
      <c r="D69" s="38" t="inlineStr">
        <is>
          <t>ANNProof*</t>
        </is>
      </c>
      <c r="E69" s="40" t="n"/>
      <c r="F69" s="94" t="n">
        <v>1640.46968</v>
      </c>
      <c r="G69" s="94" t="n">
        <v>2060.71944</v>
      </c>
      <c r="H69" s="93" t="n">
        <v>3421.5968</v>
      </c>
      <c r="I69" s="94" t="n">
        <v>7803.21696</v>
      </c>
      <c r="J69" s="94" t="n">
        <v>8434.74936</v>
      </c>
    </row>
    <row r="70" ht="15" customHeight="1" s="1">
      <c r="D70" s="38" t="inlineStr">
        <is>
          <t>Ours</t>
        </is>
      </c>
      <c r="E70" s="40" t="n"/>
      <c r="F70" s="91" t="n">
        <v>113.31172</v>
      </c>
      <c r="G70" s="91" t="n">
        <v>203.17924</v>
      </c>
      <c r="H70" s="91" t="n">
        <v>240.95032</v>
      </c>
      <c r="I70" s="91" t="n">
        <v>466.398</v>
      </c>
      <c r="J70" s="91" t="n">
        <v>823.07632</v>
      </c>
    </row>
    <row r="71" ht="15" customHeight="1" s="1">
      <c r="D71" s="38" t="inlineStr">
        <is>
          <t>V3DB（单次）</t>
        </is>
      </c>
      <c r="E71" s="40" t="n"/>
      <c r="F71" s="91" t="n">
        <v>216.223</v>
      </c>
      <c r="G71" s="97" t="n">
        <v>270.4</v>
      </c>
      <c r="H71" s="97" t="n">
        <v>352.339</v>
      </c>
      <c r="I71" s="91" t="n"/>
      <c r="J71" s="91" t="n"/>
    </row>
    <row r="72">
      <c r="D72" s="53" t="inlineStr">
        <is>
          <t>Chen13-MR</t>
        </is>
      </c>
      <c r="E72" s="40" t="n"/>
      <c r="F72" s="92" t="n">
        <v>46178.4553</v>
      </c>
      <c r="G72" s="92" t="n">
        <v>221250.0015</v>
      </c>
      <c r="H72" s="92" t="n">
        <v>430432.6258</v>
      </c>
      <c r="I72" s="92" t="n">
        <v>1781569.5488</v>
      </c>
      <c r="J72" s="92" t="n">
        <v>3540889.0141</v>
      </c>
      <c r="K72" s="36" t="n"/>
      <c r="L72" s="36" t="n"/>
      <c r="M72" s="36" t="n"/>
      <c r="N72" s="36" t="n"/>
      <c r="O72" s="36" t="n"/>
      <c r="P72" s="36" t="n"/>
      <c r="Q72" s="36" t="n"/>
      <c r="R72" s="36" t="n"/>
      <c r="S72" s="36" t="n"/>
      <c r="T72" s="36" t="n"/>
      <c r="U72" s="36" t="n"/>
      <c r="V72" s="36" t="n"/>
      <c r="W72" s="36" t="n"/>
      <c r="X72" s="36" t="n"/>
      <c r="Y72" s="36" t="n"/>
      <c r="Z72" s="36" t="n"/>
    </row>
    <row r="76">
      <c r="E76" s="15" t="inlineStr">
        <is>
          <t>Dataset size vs. Verify time</t>
        </is>
      </c>
    </row>
    <row r="77"/>
    <row r="78" ht="30" customHeight="1" s="1">
      <c r="D78" s="52" t="inlineStr">
        <is>
          <t>BIGANN / SIFT1B prefix subsets (same source)</t>
        </is>
      </c>
      <c r="E78" s="39" t="n"/>
      <c r="F78" s="39" t="n"/>
      <c r="G78" s="39" t="n"/>
      <c r="H78" s="39" t="n"/>
      <c r="I78" s="39" t="n"/>
      <c r="J78" s="40" t="n"/>
    </row>
    <row r="79">
      <c r="D79" s="38" t="inlineStr">
        <is>
          <t>dataset size</t>
        </is>
      </c>
      <c r="E79" s="40" t="n"/>
      <c r="F79" s="22" t="inlineStr">
        <is>
          <t>10^5</t>
        </is>
      </c>
      <c r="G79" s="22" t="inlineStr">
        <is>
          <t>5*10^5</t>
        </is>
      </c>
      <c r="H79" s="22" t="inlineStr">
        <is>
          <t>10^6</t>
        </is>
      </c>
      <c r="I79" s="22" t="inlineStr">
        <is>
          <t>5*10^6</t>
        </is>
      </c>
      <c r="J79" s="22" t="inlineStr">
        <is>
          <t>10^7</t>
        </is>
      </c>
    </row>
    <row r="80">
      <c r="D80" s="38" t="inlineStr">
        <is>
          <t>VLAH</t>
        </is>
      </c>
      <c r="E80" s="40" t="n"/>
      <c r="F80" s="86" t="n">
        <v>22.4874884566667</v>
      </c>
      <c r="G80" s="86" t="n">
        <v>116.950956503333</v>
      </c>
      <c r="H80" s="86" t="n">
        <v>230.809091856667</v>
      </c>
      <c r="I80" s="86" t="n">
        <v>1066.10870460667</v>
      </c>
      <c r="J80" s="86" t="n">
        <v>2425.17944812</v>
      </c>
    </row>
    <row r="81">
      <c r="D81" s="38" t="inlineStr">
        <is>
          <t>ANNProof*</t>
        </is>
      </c>
      <c r="E81" s="40" t="n"/>
      <c r="F81" s="94" t="n">
        <v>14.902705525</v>
      </c>
      <c r="G81" s="94" t="n">
        <v>19.55613729</v>
      </c>
      <c r="H81" s="93" t="n">
        <v>32.238917875</v>
      </c>
      <c r="I81" s="94" t="n">
        <v>74.492712725</v>
      </c>
      <c r="J81" s="94" t="n">
        <v>79.197536555</v>
      </c>
    </row>
    <row r="82" ht="15" customHeight="1" s="1">
      <c r="D82" s="38" t="inlineStr">
        <is>
          <t>Ours</t>
        </is>
      </c>
      <c r="E82" s="40" t="n"/>
      <c r="F82" s="91" t="n">
        <v>2.21916620333333</v>
      </c>
      <c r="G82" s="91" t="n">
        <v>4.03459994</v>
      </c>
      <c r="H82" s="91" t="n">
        <v>4.82873155666667</v>
      </c>
      <c r="I82" s="91" t="n">
        <v>9.642151933333331</v>
      </c>
      <c r="J82" s="91" t="n">
        <v>17.2410478166667</v>
      </c>
    </row>
    <row r="83" ht="15" customHeight="1" s="1">
      <c r="D83" s="38" t="inlineStr">
        <is>
          <t>V3DB（单次）</t>
        </is>
      </c>
      <c r="E83" s="40" t="n"/>
      <c r="F83" s="91" t="n">
        <v>12.5784319989179</v>
      </c>
      <c r="G83" s="97" t="n">
        <v>26.0275726083567</v>
      </c>
      <c r="H83" s="97" t="n">
        <v>28.8577564392648</v>
      </c>
      <c r="I83" s="91" t="n"/>
      <c r="J83" s="91" t="n"/>
    </row>
    <row r="84">
      <c r="D84" s="53" t="inlineStr">
        <is>
          <t>Chen13-MR</t>
        </is>
      </c>
      <c r="E84" s="40" t="n"/>
      <c r="F84" s="92" t="n">
        <v>39.2904184833333</v>
      </c>
      <c r="G84" s="92" t="n">
        <v>193.01397485</v>
      </c>
      <c r="H84" s="92" t="n">
        <v>373.327522583333</v>
      </c>
      <c r="I84" s="92" t="n">
        <v>1844.40709105</v>
      </c>
      <c r="J84" s="92" t="n">
        <v>3621.54099505</v>
      </c>
      <c r="K84" s="36" t="n"/>
      <c r="L84" s="36" t="n"/>
      <c r="M84" s="36" t="n"/>
      <c r="N84" s="36" t="n"/>
      <c r="O84" s="36" t="n"/>
      <c r="P84" s="36" t="n"/>
      <c r="Q84" s="36" t="n"/>
      <c r="R84" s="36" t="n"/>
      <c r="S84" s="36" t="n"/>
      <c r="T84" s="36" t="n"/>
      <c r="U84" s="36" t="n"/>
      <c r="V84" s="36" t="n"/>
      <c r="W84" s="36" t="n"/>
      <c r="X84" s="36" t="n"/>
      <c r="Y84" s="36" t="n"/>
      <c r="Z84" s="36" t="n"/>
    </row>
    <row r="87">
      <c r="E87" s="15" t="inlineStr">
        <is>
          <t>Dataset size vs. query time</t>
        </is>
      </c>
    </row>
    <row r="88"/>
    <row r="89" ht="30" customHeight="1" s="1">
      <c r="D89" s="52" t="inlineStr">
        <is>
          <t>BIGANN / SIFT1B prefix subsets (same source)</t>
        </is>
      </c>
      <c r="E89" s="39" t="n"/>
      <c r="F89" s="39" t="n"/>
      <c r="G89" s="39" t="n"/>
      <c r="H89" s="39" t="n"/>
      <c r="I89" s="39" t="n"/>
      <c r="J89" s="40" t="n"/>
    </row>
    <row r="90">
      <c r="D90" s="38" t="inlineStr">
        <is>
          <t>dataset size</t>
        </is>
      </c>
      <c r="E90" s="40" t="n"/>
      <c r="F90" s="22" t="inlineStr">
        <is>
          <t>10^5</t>
        </is>
      </c>
      <c r="G90" s="22" t="inlineStr">
        <is>
          <t>5*10^5</t>
        </is>
      </c>
      <c r="H90" s="22" t="inlineStr">
        <is>
          <t>10^6</t>
        </is>
      </c>
      <c r="I90" s="22" t="inlineStr">
        <is>
          <t>5*10^6</t>
        </is>
      </c>
      <c r="J90" s="22" t="inlineStr">
        <is>
          <t>10^7</t>
        </is>
      </c>
    </row>
    <row r="91">
      <c r="D91" s="38" t="inlineStr">
        <is>
          <t>VLAH</t>
        </is>
      </c>
      <c r="E91" s="40" t="n"/>
      <c r="F91" s="86" t="n">
        <v>8.40188443666667</v>
      </c>
      <c r="G91" s="86" t="n">
        <v>43.8086204166667</v>
      </c>
      <c r="H91" s="86" t="n">
        <v>93.36335403333329</v>
      </c>
      <c r="I91" s="86" t="n">
        <v>455.972351206667</v>
      </c>
      <c r="J91" s="86" t="n">
        <v>1035.94241575667</v>
      </c>
    </row>
    <row r="92">
      <c r="D92" s="38" t="inlineStr">
        <is>
          <t>ANNProof*</t>
        </is>
      </c>
      <c r="E92" s="40" t="n"/>
      <c r="F92" s="94" t="n">
        <v>2.547105756</v>
      </c>
      <c r="G92" s="94" t="n">
        <v>3.271727348</v>
      </c>
      <c r="H92" s="93" t="n">
        <v>5.77385928</v>
      </c>
      <c r="I92" s="94" t="n">
        <v>13.616965772</v>
      </c>
      <c r="J92" s="94" t="n">
        <v>15.69619952</v>
      </c>
    </row>
    <row r="93" ht="15" customHeight="1" s="1">
      <c r="D93" s="38" t="inlineStr">
        <is>
          <t>Ours</t>
        </is>
      </c>
      <c r="E93" s="40" t="n"/>
      <c r="F93" s="91" t="n">
        <v>0.97129939</v>
      </c>
      <c r="G93" s="91" t="n">
        <v>1.98728941666667</v>
      </c>
      <c r="H93" s="91" t="n">
        <v>2.48054105666667</v>
      </c>
      <c r="I93" s="91" t="n">
        <v>5.62847572</v>
      </c>
      <c r="J93" s="91" t="n">
        <v>10.7202669733333</v>
      </c>
    </row>
    <row r="94" ht="15" customHeight="1" s="1">
      <c r="D94" s="38" t="inlineStr">
        <is>
          <t>V3DB（单次）</t>
        </is>
      </c>
      <c r="E94" s="40" t="n"/>
      <c r="F94" s="91" t="n">
        <v>496923.102522999</v>
      </c>
      <c r="G94" s="97" t="n">
        <v>1106506.85136537</v>
      </c>
      <c r="H94" s="97" t="n">
        <v>2318575.48880876</v>
      </c>
      <c r="I94" s="91" t="n"/>
      <c r="J94" s="91" t="n"/>
    </row>
    <row r="95">
      <c r="D95" s="53" t="inlineStr">
        <is>
          <t>Chen13-MR</t>
        </is>
      </c>
      <c r="E95" s="40" t="n"/>
      <c r="F95" s="92" t="n">
        <v>42.2586082833333</v>
      </c>
      <c r="G95" s="92" t="n">
        <v>248.674287616667</v>
      </c>
      <c r="H95" s="92" t="n">
        <v>543.135667783333</v>
      </c>
      <c r="I95" s="92" t="n">
        <v>3453.18142985</v>
      </c>
      <c r="J95" s="92" t="n">
        <v>6877.85179683333</v>
      </c>
      <c r="K95" s="36" t="n"/>
      <c r="L95" s="36" t="n"/>
      <c r="M95" s="36" t="n"/>
      <c r="N95" s="36" t="n"/>
      <c r="O95" s="36" t="n"/>
      <c r="P95" s="36" t="n"/>
      <c r="Q95" s="36" t="n"/>
      <c r="R95" s="36" t="n"/>
      <c r="S95" s="36" t="n"/>
      <c r="T95" s="36" t="n"/>
      <c r="U95" s="36" t="n"/>
      <c r="V95" s="36" t="n"/>
      <c r="W95" s="36" t="n"/>
      <c r="X95" s="36" t="n"/>
      <c r="Y95" s="36" t="n"/>
      <c r="Z95" s="36" t="n"/>
    </row>
    <row r="98" customFormat="1" s="12"/>
    <row r="100">
      <c r="E100" s="15" t="inlineStr">
        <is>
          <t>K vs. VO size (actual Recall@K logged)</t>
        </is>
      </c>
    </row>
    <row r="101"/>
    <row r="102">
      <c r="D102" s="38" t="inlineStr">
        <is>
          <t>SIFT1M</t>
        </is>
      </c>
      <c r="E102" s="39" t="n"/>
      <c r="F102" s="39" t="n"/>
      <c r="G102" s="39" t="n"/>
      <c r="H102" s="39" t="n"/>
      <c r="I102" s="39" t="n"/>
      <c r="J102" s="39" t="n"/>
      <c r="K102" s="40" t="n"/>
    </row>
    <row r="103">
      <c r="D103" s="38" t="inlineStr">
        <is>
          <t>K</t>
        </is>
      </c>
      <c r="E103" s="40" t="n"/>
      <c r="F103" s="22" t="n">
        <v>1</v>
      </c>
      <c r="G103" s="22" t="n">
        <v>5</v>
      </c>
      <c r="H103" s="22" t="n">
        <v>10</v>
      </c>
      <c r="I103" s="22" t="n">
        <v>20</v>
      </c>
      <c r="J103" s="22" t="n">
        <v>50</v>
      </c>
      <c r="K103" s="22" t="n">
        <v>100</v>
      </c>
    </row>
    <row r="104">
      <c r="D104" s="38" t="inlineStr">
        <is>
          <t>VLAH</t>
        </is>
      </c>
      <c r="E104" s="40" t="n"/>
      <c r="F104" s="86" t="n">
        <v>23604.55777</v>
      </c>
      <c r="G104" s="86" t="n">
        <v>23604.57377</v>
      </c>
      <c r="H104" s="86" t="n">
        <v>23604.59377</v>
      </c>
      <c r="I104" s="86" t="n">
        <v>23604.63377</v>
      </c>
      <c r="J104" s="86" t="n">
        <v>23604.75377</v>
      </c>
      <c r="K104" s="86" t="n">
        <v>23604.95377</v>
      </c>
    </row>
    <row r="105">
      <c r="D105" s="38" t="inlineStr">
        <is>
          <t>ANNProof*</t>
        </is>
      </c>
      <c r="E105" s="40" t="n"/>
      <c r="F105" s="94" t="n">
        <v>2132.74784</v>
      </c>
      <c r="G105" s="94" t="n">
        <v>2136.95104</v>
      </c>
      <c r="H105" s="94" t="n">
        <v>2142.03504</v>
      </c>
      <c r="I105" s="94" t="n">
        <v>2151.85024</v>
      </c>
      <c r="J105" s="94" t="n">
        <v>2179.73984</v>
      </c>
      <c r="K105" s="94" t="n">
        <v>2222.05664</v>
      </c>
    </row>
    <row r="106" ht="15" customHeight="1" s="1">
      <c r="D106" s="38" t="inlineStr">
        <is>
          <t>Ours</t>
        </is>
      </c>
      <c r="E106" s="40" t="n"/>
      <c r="F106" s="91" t="n">
        <v>167.24012</v>
      </c>
      <c r="G106" s="91" t="n">
        <v>206.25892</v>
      </c>
      <c r="H106" s="91" t="n">
        <v>236.02116</v>
      </c>
      <c r="I106" s="91" t="n">
        <v>276.68988</v>
      </c>
      <c r="J106" s="91" t="n">
        <v>358.24828</v>
      </c>
      <c r="K106" s="91" t="n">
        <v>454.3086</v>
      </c>
    </row>
    <row r="107" ht="36" customHeight="1" s="1">
      <c r="D107" s="38" t="inlineStr">
        <is>
          <t>V3DB（单次） †含预测</t>
        </is>
      </c>
      <c r="E107" s="40" t="n"/>
      <c r="F107" s="96" t="n">
        <v>237</v>
      </c>
      <c r="G107" s="96" t="n">
        <v>237.416456220932</v>
      </c>
      <c r="H107" s="96" t="n">
        <v>237.416456220932</v>
      </c>
      <c r="I107" s="96" t="n">
        <v>238.83622422698</v>
      </c>
      <c r="J107" s="96" t="n">
        <v>239</v>
      </c>
      <c r="K107" s="91" t="n">
        <v>241.711</v>
      </c>
    </row>
    <row r="108">
      <c r="D108" s="53" t="inlineStr">
        <is>
          <t>Chen13-MR</t>
        </is>
      </c>
      <c r="E108" s="40" t="n"/>
      <c r="F108" s="92" t="n">
        <v>184730.9122</v>
      </c>
      <c r="G108" s="92" t="n">
        <v>220632.699</v>
      </c>
      <c r="H108" s="92" t="n">
        <v>235214.3172</v>
      </c>
      <c r="I108" s="92" t="n">
        <v>248120.588</v>
      </c>
      <c r="J108" s="92" t="n">
        <v>268165.0974</v>
      </c>
      <c r="K108" s="92" t="n">
        <v>284625.379</v>
      </c>
      <c r="L108" s="36" t="n"/>
      <c r="M108" s="36" t="n"/>
      <c r="N108" s="36" t="n"/>
      <c r="O108" s="36" t="n"/>
      <c r="P108" s="36" t="n"/>
      <c r="Q108" s="36" t="n"/>
      <c r="R108" s="36" t="n"/>
      <c r="S108" s="36" t="n"/>
      <c r="T108" s="36" t="n"/>
      <c r="U108" s="36" t="n"/>
      <c r="V108" s="36" t="n"/>
      <c r="W108" s="36" t="n"/>
      <c r="X108" s="36" t="n"/>
      <c r="Y108" s="36" t="n"/>
      <c r="Z108" s="36" t="n"/>
    </row>
    <row r="112">
      <c r="E112" s="15" t="inlineStr">
        <is>
          <t>K vs. Verify time</t>
        </is>
      </c>
    </row>
    <row r="113"/>
    <row r="114">
      <c r="D114" s="38" t="inlineStr">
        <is>
          <t>SIFT1M</t>
        </is>
      </c>
      <c r="E114" s="39" t="n"/>
      <c r="F114" s="39" t="n"/>
      <c r="G114" s="39" t="n"/>
      <c r="H114" s="39" t="n"/>
      <c r="I114" s="39" t="n"/>
      <c r="J114" s="39" t="n"/>
      <c r="K114" s="40" t="n"/>
    </row>
    <row r="115">
      <c r="D115" s="38" t="inlineStr">
        <is>
          <t>K</t>
        </is>
      </c>
      <c r="E115" s="40" t="n"/>
      <c r="F115" s="22" t="n">
        <v>1</v>
      </c>
      <c r="G115" s="22" t="n">
        <v>5</v>
      </c>
      <c r="H115" s="22" t="n">
        <v>10</v>
      </c>
      <c r="I115" s="22" t="n">
        <v>20</v>
      </c>
      <c r="J115" s="22" t="n">
        <v>50</v>
      </c>
      <c r="K115" s="22" t="n">
        <v>100</v>
      </c>
    </row>
    <row r="116">
      <c r="D116" s="38" t="inlineStr">
        <is>
          <t>VLAH †含预测</t>
        </is>
      </c>
      <c r="E116" s="40" t="n"/>
      <c r="F116" s="99" t="n">
        <v>162</v>
      </c>
      <c r="G116" s="99" t="n">
        <v>162.443281153352</v>
      </c>
      <c r="H116" s="99" t="n">
        <v>163</v>
      </c>
      <c r="I116" s="99" t="n">
        <v>163.042743109963</v>
      </c>
      <c r="J116" s="99" t="n">
        <v>163.042743109963</v>
      </c>
      <c r="K116" s="99" t="n">
        <v>163.042743109963</v>
      </c>
    </row>
    <row r="117">
      <c r="D117" s="38" t="inlineStr">
        <is>
          <t>ANNProof*</t>
        </is>
      </c>
      <c r="E117" s="40" t="n"/>
      <c r="F117" s="94" t="n">
        <v>20.25888039</v>
      </c>
      <c r="G117" s="94" t="n">
        <v>20.343347205</v>
      </c>
      <c r="H117" s="94" t="n">
        <v>20.397818435</v>
      </c>
      <c r="I117" s="94" t="n">
        <v>20.6077363849999</v>
      </c>
      <c r="J117" s="94" t="n">
        <v>21.1597778500001</v>
      </c>
      <c r="K117" s="94" t="n">
        <v>22.0275599950001</v>
      </c>
    </row>
    <row r="118" ht="15" customHeight="1" s="1">
      <c r="D118" s="38" t="inlineStr">
        <is>
          <t>Ours</t>
        </is>
      </c>
      <c r="E118" s="40" t="n"/>
      <c r="F118" s="91" t="n">
        <v>3.12134448666667</v>
      </c>
      <c r="G118" s="91" t="n">
        <v>4.03429735</v>
      </c>
      <c r="H118" s="91" t="n">
        <v>4.76585432</v>
      </c>
      <c r="I118" s="91" t="n">
        <v>5.60640999333333</v>
      </c>
      <c r="J118" s="91" t="n">
        <v>7.28955199</v>
      </c>
      <c r="K118" s="91" t="n">
        <v>9.077528473333331</v>
      </c>
    </row>
    <row r="119" ht="36" customHeight="1" s="1">
      <c r="D119" s="38" t="inlineStr">
        <is>
          <t>V3DB（单次） †含预测</t>
        </is>
      </c>
      <c r="E119" s="40" t="n"/>
      <c r="F119" s="91" t="n">
        <v>23.8354289999734</v>
      </c>
      <c r="G119" s="91" t="n">
        <v>61.2400370000614</v>
      </c>
      <c r="H119" s="96" t="n">
        <v>61.3781465353216</v>
      </c>
      <c r="I119" s="96" t="n">
        <v>61.3781465353216</v>
      </c>
      <c r="J119" s="96" t="n">
        <v>61.3781465353216</v>
      </c>
      <c r="K119" s="96" t="n">
        <v>61.4</v>
      </c>
    </row>
    <row r="120">
      <c r="D120" s="53" t="inlineStr">
        <is>
          <t>Chen13-MR</t>
        </is>
      </c>
      <c r="E120" s="40" t="n"/>
      <c r="F120" s="92" t="n">
        <v>160.63404775</v>
      </c>
      <c r="G120" s="92" t="n">
        <v>199.048243566667</v>
      </c>
      <c r="H120" s="92" t="n">
        <v>202.1477637</v>
      </c>
      <c r="I120" s="92" t="n">
        <v>212.73261085</v>
      </c>
      <c r="J120" s="92" t="n">
        <v>228.675316866667</v>
      </c>
      <c r="K120" s="92" t="n">
        <v>245.971459666667</v>
      </c>
      <c r="L120" s="36" t="n"/>
      <c r="M120" s="36" t="n"/>
      <c r="N120" s="36" t="n"/>
      <c r="O120" s="36" t="n"/>
      <c r="P120" s="36" t="n"/>
      <c r="Q120" s="36" t="n"/>
      <c r="R120" s="36" t="n"/>
      <c r="S120" s="36" t="n"/>
      <c r="T120" s="36" t="n"/>
      <c r="U120" s="36" t="n"/>
      <c r="V120" s="36" t="n"/>
      <c r="W120" s="36" t="n"/>
      <c r="X120" s="36" t="n"/>
      <c r="Y120" s="36" t="n"/>
      <c r="Z120" s="36" t="n"/>
    </row>
    <row r="123">
      <c r="E123" s="15" t="inlineStr">
        <is>
          <t>K vs. Query time (includes VO generation)</t>
        </is>
      </c>
    </row>
    <row r="124"/>
    <row r="125">
      <c r="D125" s="38" t="inlineStr">
        <is>
          <t>SIFT1M</t>
        </is>
      </c>
      <c r="E125" s="39" t="n"/>
      <c r="F125" s="39" t="n"/>
      <c r="G125" s="39" t="n"/>
      <c r="H125" s="39" t="n"/>
      <c r="I125" s="39" t="n"/>
      <c r="J125" s="39" t="n"/>
      <c r="K125" s="40" t="n"/>
    </row>
    <row r="126">
      <c r="D126" s="38" t="inlineStr">
        <is>
          <t>K</t>
        </is>
      </c>
      <c r="E126" s="40" t="n"/>
      <c r="F126" s="22" t="n">
        <v>1</v>
      </c>
      <c r="G126" s="22" t="n">
        <v>5</v>
      </c>
      <c r="H126" s="22" t="n">
        <v>10</v>
      </c>
      <c r="I126" s="22" t="n">
        <v>20</v>
      </c>
      <c r="J126" s="22" t="n">
        <v>50</v>
      </c>
      <c r="K126" s="22" t="n">
        <v>100</v>
      </c>
    </row>
    <row r="127">
      <c r="D127" s="38" t="inlineStr">
        <is>
          <t>VLAH †含预测</t>
        </is>
      </c>
      <c r="E127" s="40" t="n"/>
      <c r="F127" s="99" t="n">
        <v>60.9</v>
      </c>
      <c r="G127" s="99" t="n">
        <v>60.9039874785136</v>
      </c>
      <c r="H127" s="99" t="n">
        <v>60.9039874785136</v>
      </c>
      <c r="I127" s="86" t="n">
        <v>62.4914379533333</v>
      </c>
      <c r="J127" s="86" t="n">
        <v>62.8828516033333</v>
      </c>
      <c r="K127" s="86" t="n">
        <v>64.8738179366667</v>
      </c>
    </row>
    <row r="128">
      <c r="D128" s="38" t="inlineStr">
        <is>
          <t>ANNProof* †含预测</t>
        </is>
      </c>
      <c r="E128" s="40" t="n"/>
      <c r="F128" s="99" t="n">
        <v>3.41</v>
      </c>
      <c r="G128" s="99" t="n">
        <v>3.41311594916383</v>
      </c>
      <c r="H128" s="99" t="n">
        <v>3.42</v>
      </c>
      <c r="I128" s="99" t="n">
        <v>3.42055979697593</v>
      </c>
      <c r="J128" s="94" t="n">
        <v>3.498911016</v>
      </c>
      <c r="K128" s="94" t="n">
        <v>3.5338917</v>
      </c>
    </row>
    <row r="129" ht="15" customHeight="1" s="1">
      <c r="D129" s="38" t="inlineStr">
        <is>
          <t>Ours</t>
        </is>
      </c>
      <c r="E129" s="40" t="n"/>
      <c r="F129" s="91" t="n">
        <v>1.92241361333333</v>
      </c>
      <c r="G129" s="91" t="n">
        <v>2.18742684666667</v>
      </c>
      <c r="H129" s="91" t="n">
        <v>2.37117783666667</v>
      </c>
      <c r="I129" s="91" t="n">
        <v>2.65065829333333</v>
      </c>
      <c r="J129" s="91" t="n">
        <v>3.08604256666667</v>
      </c>
      <c r="K129" s="91" t="n">
        <v>3.60933811</v>
      </c>
    </row>
    <row r="130" ht="36" customHeight="1" s="1">
      <c r="D130" s="38" t="inlineStr">
        <is>
          <t>V3DB（单次） †含预测</t>
        </is>
      </c>
      <c r="E130" s="40" t="n"/>
      <c r="F130" s="96" t="n">
        <v>490715.289008011</v>
      </c>
      <c r="G130" s="96" t="n">
        <v>491000</v>
      </c>
      <c r="H130" s="96" t="n">
        <v>497000</v>
      </c>
      <c r="I130" s="96" t="n">
        <v>497007.021057776</v>
      </c>
      <c r="J130" s="96" t="n">
        <v>497007.021057776</v>
      </c>
      <c r="K130" s="96" t="n">
        <v>497007.021057776</v>
      </c>
    </row>
    <row r="131">
      <c r="D131" s="53" t="inlineStr">
        <is>
          <t>Chen13-MR †含预测</t>
        </is>
      </c>
      <c r="E131" s="40" t="n"/>
      <c r="F131" s="92" t="n">
        <v>227.695262816667</v>
      </c>
      <c r="G131" s="96" t="n">
        <v>280.698296671562</v>
      </c>
      <c r="H131" s="96" t="n">
        <v>281</v>
      </c>
      <c r="I131" s="92" t="n">
        <v>297.04332695</v>
      </c>
      <c r="J131" s="92" t="n">
        <v>318.888658433333</v>
      </c>
      <c r="K131" s="92" t="n">
        <v>353.327317433333</v>
      </c>
      <c r="L131" s="36" t="n"/>
      <c r="M131" s="36" t="n"/>
      <c r="N131" s="36" t="n"/>
      <c r="O131" s="36" t="n"/>
      <c r="P131" s="36" t="n"/>
      <c r="Q131" s="36" t="n"/>
      <c r="R131" s="36" t="n"/>
      <c r="S131" s="36" t="n"/>
      <c r="T131" s="36" t="n"/>
      <c r="U131" s="36" t="n"/>
      <c r="V131" s="36" t="n"/>
      <c r="W131" s="36" t="n"/>
      <c r="X131" s="36" t="n"/>
      <c r="Y131" s="36" t="n"/>
      <c r="Z131" s="36" t="n"/>
    </row>
    <row r="133" customFormat="1" s="12"/>
    <row r="137">
      <c r="D137" s="57" t="inlineStr">
        <is>
          <t>Ablation Study 
（Ours: (i)progressive quantization, 
(ii) verification-decoupled traversal, 
(iii) expansion-centric authentication.）</t>
        </is>
      </c>
      <c r="E137" s="58" t="n"/>
      <c r="F137" s="58" t="n"/>
      <c r="G137" s="58" t="n"/>
      <c r="H137" s="58" t="n"/>
      <c r="I137" s="59" t="n"/>
    </row>
    <row r="138">
      <c r="D138" s="60" t="n"/>
      <c r="I138" s="61" t="n"/>
    </row>
    <row r="139">
      <c r="D139" s="60" t="n"/>
      <c r="I139" s="61" t="n"/>
    </row>
    <row r="140">
      <c r="D140" s="62" t="n"/>
      <c r="E140" s="63" t="n"/>
      <c r="F140" s="63" t="n"/>
      <c r="G140" s="63" t="n"/>
      <c r="H140" s="63" t="n"/>
      <c r="I140" s="64" t="n"/>
    </row>
    <row r="141">
      <c r="D141" s="65" t="n"/>
      <c r="E141" s="64" t="n"/>
      <c r="F141" s="66" t="inlineStr">
        <is>
          <t>Recall@10</t>
        </is>
      </c>
      <c r="G141" s="67" t="inlineStr">
        <is>
          <t>Query Time (ms)</t>
        </is>
      </c>
      <c r="H141" s="67" t="inlineStr">
        <is>
          <t>VO Size (KB)</t>
        </is>
      </c>
      <c r="I141" s="68" t="inlineStr">
        <is>
          <t>Verify Time (ms)</t>
        </is>
      </c>
    </row>
    <row r="142">
      <c r="D142" s="69" t="inlineStr">
        <is>
          <t>Merkle+IVF</t>
        </is>
      </c>
      <c r="E142" s="70" t="n"/>
      <c r="F142" s="100" t="n">
        <v>0.95</v>
      </c>
      <c r="G142" s="101" t="n">
        <v>128.915429933333</v>
      </c>
      <c r="H142" s="101" t="n">
        <v>24691.9808</v>
      </c>
      <c r="I142" s="101" t="n">
        <v>266.394078916667</v>
      </c>
    </row>
    <row r="143">
      <c r="D143" s="69" t="inlineStr">
        <is>
          <t>Merkle+HNSW</t>
        </is>
      </c>
      <c r="E143" s="70" t="n"/>
      <c r="F143" s="100" t="n">
        <v>0.95</v>
      </c>
      <c r="G143" s="101" t="n">
        <v>2.85575916666667</v>
      </c>
      <c r="H143" s="101" t="n">
        <v>569.4453999999999</v>
      </c>
      <c r="I143" s="101" t="n">
        <v>5.31483396666667</v>
      </c>
    </row>
    <row r="144">
      <c r="D144" s="69" t="inlineStr">
        <is>
          <t>Merkle+IVF+(i)</t>
        </is>
      </c>
      <c r="E144" s="70" t="n"/>
      <c r="F144" s="100" t="n">
        <v>0.95</v>
      </c>
      <c r="G144" s="101" t="n">
        <v>47.63649185</v>
      </c>
      <c r="H144" s="101" t="n">
        <v>8019.3744</v>
      </c>
      <c r="I144" s="101" t="n">
        <v>241.216355</v>
      </c>
    </row>
    <row r="145">
      <c r="D145" s="69" t="inlineStr">
        <is>
          <t>Merkle+HNSW+(i)</t>
        </is>
      </c>
      <c r="E145" s="70" t="n"/>
      <c r="F145" s="100" t="n">
        <v>0.95</v>
      </c>
      <c r="G145" s="101" t="n">
        <v>2.62924433333333</v>
      </c>
      <c r="H145" s="101" t="n">
        <v>478.7218</v>
      </c>
      <c r="I145" s="101" t="n">
        <v>8.34040406666667</v>
      </c>
    </row>
    <row r="146">
      <c r="D146" s="69" t="inlineStr">
        <is>
          <t>(i)+(ii)</t>
        </is>
      </c>
      <c r="E146" s="70" t="n"/>
      <c r="F146" s="100" t="n">
        <v>0.955</v>
      </c>
      <c r="G146" s="101" t="n">
        <v>2.03924105</v>
      </c>
      <c r="H146" s="101" t="n">
        <v>289.8754</v>
      </c>
      <c r="I146" s="101" t="n">
        <v>5.5222121</v>
      </c>
    </row>
    <row r="147">
      <c r="D147" s="69" t="inlineStr">
        <is>
          <t>(i)+(ii)+(iii)</t>
        </is>
      </c>
      <c r="E147" s="70" t="n"/>
      <c r="F147" s="100" t="n">
        <v>0.955</v>
      </c>
      <c r="G147" s="101" t="n">
        <v>1.07583855</v>
      </c>
      <c r="H147" s="101" t="n">
        <v>112.369</v>
      </c>
      <c r="I147" s="101" t="n">
        <v>2.1509119</v>
      </c>
    </row>
    <row r="148" ht="36" customHeight="1" s="1">
      <c r="D148" s="69" t="inlineStr">
        <is>
          <t>V3DB baseline（单次）</t>
        </is>
      </c>
      <c r="E148" s="70" t="n"/>
      <c r="F148" s="102" t="n">
        <v>0.705</v>
      </c>
      <c r="G148" s="91" t="n">
        <v>517760.920454</v>
      </c>
      <c r="H148" s="91" t="n">
        <v>235.675</v>
      </c>
      <c r="I148" s="91" t="n">
        <v>71.0790379998798</v>
      </c>
    </row>
    <row r="149">
      <c r="D149" s="69" t="inlineStr">
        <is>
          <t>Chen13-MR（外部参考）</t>
        </is>
      </c>
      <c r="E149" s="70" t="n"/>
      <c r="F149" s="103" t="n">
        <v>1</v>
      </c>
      <c r="G149" s="92" t="n">
        <v>278.25155455</v>
      </c>
      <c r="H149" s="92" t="n">
        <v>235214.3172</v>
      </c>
      <c r="I149" s="92" t="n">
        <v>202.1477637</v>
      </c>
    </row>
    <row r="153" ht="28" customHeight="1" s="1">
      <c r="D153" s="104" t="inlineStr">
        <is>
          <t>Impact of quantization configurations（固定 SQ4 top-1 graph traversal）</t>
        </is>
      </c>
    </row>
    <row r="154" ht="30" customHeight="1" s="1">
      <c r="D154" s="14" t="inlineStr">
        <is>
          <t>实测；N=1,000,000, k=10, M=8, efConstruction=100, E=128。20条固定查询（100–119）×3次重复，单线程；只改变 refinement。Q=遍历+候选精确排序+真实VO生成；V=解码+认证+重放+渐进检查；KB=1000 bytes。Recall用于核对四种配置答案一致；结果与其他表可能因查询样本量/本次运行环境不同而有差异。</t>
        </is>
      </c>
    </row>
    <row r="155" ht="24" customHeight="1" s="1"/>
    <row r="156" ht="30" customHeight="1" s="1">
      <c r="D156" s="105" t="inlineStr">
        <is>
          <t>Configuration</t>
        </is>
      </c>
      <c r="E156" s="105" t="inlineStr">
        <is>
          <t>Recall@10</t>
        </is>
      </c>
      <c r="F156" s="105" t="inlineStr">
        <is>
          <t>Q (ms)</t>
        </is>
      </c>
      <c r="G156" s="105" t="inlineStr">
        <is>
          <t>VO (KB)</t>
        </is>
      </c>
      <c r="H156" s="105" t="inlineStr">
        <is>
          <t>V (ms)</t>
        </is>
      </c>
      <c r="I156" s="105" t="inlineStr">
        <is>
          <t>Search (ms)</t>
        </is>
      </c>
      <c r="J156" s="105" t="inlineStr">
        <is>
          <t>VO gen (ms)</t>
        </is>
      </c>
      <c r="K156" s="105" t="inlineStr">
        <is>
          <t>Samples</t>
        </is>
      </c>
    </row>
    <row r="157" ht="32" customHeight="1" s="1">
      <c r="D157" s="106" t="inlineStr">
        <is>
          <t>SQ4--raw</t>
        </is>
      </c>
      <c r="E157" s="107" t="n">
        <v>0.98</v>
      </c>
      <c r="F157" s="108" t="n">
        <v>2.080653566666667</v>
      </c>
      <c r="G157" s="108" t="n">
        <v>272.996</v>
      </c>
      <c r="H157" s="108" t="n">
        <v>4.377505350000001</v>
      </c>
      <c r="I157" s="108" t="n">
        <v>0.9828470833333333</v>
      </c>
      <c r="J157" s="108" t="n">
        <v>1.097806483333333</v>
      </c>
      <c r="K157" s="109" t="n">
        <v>60</v>
      </c>
    </row>
    <row r="158" ht="32" customHeight="1" s="1">
      <c r="D158" s="110" t="inlineStr">
        <is>
          <t>SQ4--SQ6--raw</t>
        </is>
      </c>
      <c r="E158" s="111" t="n">
        <v>0.98</v>
      </c>
      <c r="F158" s="112" t="n">
        <v>1.837507816666667</v>
      </c>
      <c r="G158" s="112" t="n">
        <v>202.236</v>
      </c>
      <c r="H158" s="112" t="n">
        <v>3.968942316666667</v>
      </c>
      <c r="I158" s="112" t="n">
        <v>0.9666496333333333</v>
      </c>
      <c r="J158" s="112" t="n">
        <v>0.8708581833333333</v>
      </c>
      <c r="K158" s="113" t="n">
        <v>60</v>
      </c>
    </row>
    <row r="159" ht="32" customHeight="1" s="1">
      <c r="D159" s="106" t="inlineStr">
        <is>
          <t>SQ4--SQ8--raw</t>
        </is>
      </c>
      <c r="E159" s="107" t="n">
        <v>0.98</v>
      </c>
      <c r="F159" s="108" t="n">
        <v>1.8840006</v>
      </c>
      <c r="G159" s="108" t="n">
        <v>198.0036</v>
      </c>
      <c r="H159" s="108" t="n">
        <v>3.924580866666667</v>
      </c>
      <c r="I159" s="108" t="n">
        <v>0.9532967666666666</v>
      </c>
      <c r="J159" s="108" t="n">
        <v>0.9307038333333334</v>
      </c>
      <c r="K159" s="109" t="n">
        <v>60</v>
      </c>
    </row>
    <row r="160" ht="32" customHeight="1" s="1">
      <c r="D160" s="106" t="inlineStr">
        <is>
          <t>SQ4--SQ6--SQ8--raw</t>
        </is>
      </c>
      <c r="E160" s="107" t="n">
        <v>0.98</v>
      </c>
      <c r="F160" s="108" t="n">
        <v>1.9553406</v>
      </c>
      <c r="G160" s="108" t="n">
        <v>201.538</v>
      </c>
      <c r="H160" s="108" t="n">
        <v>4.245423</v>
      </c>
      <c r="I160" s="108" t="n">
        <v>0.9602945500000001</v>
      </c>
      <c r="J160" s="108" t="n">
        <v>0.9950460499999999</v>
      </c>
      <c r="K160" s="109" t="n">
        <v>60</v>
      </c>
    </row>
    <row r="164">
      <c r="D164" s="104" t="inlineStr">
        <is>
          <t>VO breakdown（k=10，KB=1000 bytes）</t>
        </is>
      </c>
    </row>
    <row r="165" ht="25" customHeight="1" s="1">
      <c r="D165" s="14" t="inlineStr">
        <is>
          <t>N=1,000,000, d=128；20查询×3重复；T+A=完整VO。T包含向量/ID/邻接表/MBB剪枝证据及一般控制字段；A包含query绑定哈希、独立认证证明及其编码（VLAH包含完整认证路由证明）。Result-only为10条原始向量及ID，无认证或协议头。ANNProof*的T/A按历史要求各×2，属于派生展示值，原始实测拆分保存在右侧；其他方法不乘系数。IVF-ADS/HNSW-ADS分别为原Merkle+IVF/Merkle+HNSW消融，使用各自约95%召回配置；MR-tree是100%精确检索。</t>
        </is>
      </c>
    </row>
    <row r="166" ht="25" customHeight="1" s="1"/>
    <row r="167" ht="25" customHeight="1" s="1"/>
    <row r="168">
      <c r="D168" s="129" t="inlineStr">
        <is>
          <t>Method</t>
        </is>
      </c>
      <c r="E168" s="129" t="inlineStr">
        <is>
          <t>Recall@10</t>
        </is>
      </c>
      <c r="F168" s="129" t="inlineStr">
        <is>
          <t>T (KB)</t>
        </is>
      </c>
      <c r="G168" s="129" t="inlineStr">
        <is>
          <t>A (KB)</t>
        </is>
      </c>
      <c r="H168" s="129" t="inlineStr">
        <is>
          <t>Total (KB)</t>
        </is>
      </c>
      <c r="I168" s="129" t="inlineStr">
        <is>
          <t>Raw T (KB)</t>
        </is>
      </c>
      <c r="J168" s="129" t="inlineStr">
        <is>
          <t>Raw A (KB)</t>
        </is>
      </c>
      <c r="K168" s="129" t="inlineStr">
        <is>
          <t>VO factor</t>
        </is>
      </c>
    </row>
    <row r="169">
      <c r="D169" s="0" t="inlineStr">
        <is>
          <t>Result-only</t>
        </is>
      </c>
      <c r="F169" s="134" t="n">
        <v>5.16</v>
      </c>
      <c r="H169" s="134" t="n">
        <v>5.16</v>
      </c>
    </row>
    <row r="170" ht="26" customHeight="1" s="1">
      <c r="D170" s="130" t="inlineStr">
        <is>
          <t>MR-tree</t>
        </is>
      </c>
      <c r="E170" s="131" t="n">
        <v>1</v>
      </c>
      <c r="F170" s="135" t="n">
        <v>235091.338</v>
      </c>
      <c r="G170" s="136" t="n">
        <v>122.9792</v>
      </c>
      <c r="H170" s="135" t="n">
        <v>235214.3172</v>
      </c>
      <c r="I170" s="135" t="n">
        <v>235091.338</v>
      </c>
      <c r="J170" s="136" t="n">
        <v>122.9792</v>
      </c>
      <c r="K170" s="133" t="n">
        <v>1</v>
      </c>
    </row>
    <row r="171" ht="26" customHeight="1" s="1">
      <c r="D171" s="130" t="inlineStr">
        <is>
          <t>ANNProof*</t>
        </is>
      </c>
      <c r="E171" s="131" t="n">
        <v>0.98</v>
      </c>
      <c r="F171" s="135" t="n">
        <v>1195.702</v>
      </c>
      <c r="G171" s="136" t="n">
        <v>689.2928000000001</v>
      </c>
      <c r="H171" s="135" t="n">
        <v>1884.9948</v>
      </c>
      <c r="I171" s="136" t="n">
        <v>597.851</v>
      </c>
      <c r="J171" s="136" t="n">
        <v>344.6464</v>
      </c>
      <c r="K171" s="133" t="n">
        <v>2</v>
      </c>
    </row>
    <row r="172" ht="26" customHeight="1" s="1">
      <c r="D172" s="130" t="inlineStr">
        <is>
          <t>VLAH</t>
        </is>
      </c>
      <c r="E172" s="131" t="n">
        <v>0.98</v>
      </c>
      <c r="F172" s="135" t="n">
        <v>11635.926</v>
      </c>
      <c r="G172" s="135" t="n">
        <v>2314.77385</v>
      </c>
      <c r="H172" s="135" t="n">
        <v>13950.69985</v>
      </c>
      <c r="I172" s="135" t="n">
        <v>11635.926</v>
      </c>
      <c r="J172" s="135" t="n">
        <v>2314.77385</v>
      </c>
      <c r="K172" s="133" t="n">
        <v>1</v>
      </c>
    </row>
    <row r="173" ht="26" customHeight="1" s="1">
      <c r="D173" s="130" t="inlineStr">
        <is>
          <t>IVF-ADS</t>
        </is>
      </c>
      <c r="E173" s="131" t="n">
        <v>0.95</v>
      </c>
      <c r="F173" s="135" t="n">
        <v>20145.8112</v>
      </c>
      <c r="G173" s="135" t="n">
        <v>4546.169599999999</v>
      </c>
      <c r="H173" s="135" t="n">
        <v>24691.9808</v>
      </c>
      <c r="I173" s="135" t="n">
        <v>20145.8112</v>
      </c>
      <c r="J173" s="135" t="n">
        <v>4546.169599999999</v>
      </c>
      <c r="K173" s="133" t="n">
        <v>1</v>
      </c>
    </row>
    <row r="174" ht="26" customHeight="1" s="1">
      <c r="D174" s="130" t="inlineStr">
        <is>
          <t>HNSW-ADS</t>
        </is>
      </c>
      <c r="E174" s="131" t="n">
        <v>0.95</v>
      </c>
      <c r="F174" s="136" t="n">
        <v>436.5326</v>
      </c>
      <c r="G174" s="136" t="n">
        <v>132.9128</v>
      </c>
      <c r="H174" s="136" t="n">
        <v>569.4454000000001</v>
      </c>
      <c r="I174" s="136" t="n">
        <v>436.5326</v>
      </c>
      <c r="J174" s="136" t="n">
        <v>132.9128</v>
      </c>
      <c r="K174" s="133" t="n">
        <v>1</v>
      </c>
    </row>
    <row r="175">
      <c r="D175" s="137" t="inlineStr">
        <is>
          <t>QVANN (Ours)</t>
        </is>
      </c>
      <c r="E175" s="138" t="n">
        <v>0.98</v>
      </c>
      <c r="F175" s="139" t="n">
        <v>108.512</v>
      </c>
      <c r="G175" s="139" t="n">
        <v>93.724</v>
      </c>
      <c r="H175" s="139" t="n">
        <v>202.236</v>
      </c>
      <c r="I175" s="139" t="n">
        <v>108.512</v>
      </c>
      <c r="J175" s="139" t="n">
        <v>93.724</v>
      </c>
      <c r="K175" s="140" t="n">
        <v>1</v>
      </c>
    </row>
  </sheetData>
  <mergeCells count="86">
    <mergeCell ref="E123:K124"/>
    <mergeCell ref="D21:D22"/>
    <mergeCell ref="D84:E84"/>
    <mergeCell ref="D149:E149"/>
    <mergeCell ref="E32:O33"/>
    <mergeCell ref="D108:E108"/>
    <mergeCell ref="D20:P20"/>
    <mergeCell ref="D141:E141"/>
    <mergeCell ref="D70:E70"/>
    <mergeCell ref="E18:O19"/>
    <mergeCell ref="D72:E72"/>
    <mergeCell ref="D71:E71"/>
    <mergeCell ref="D127:E127"/>
    <mergeCell ref="D66:J66"/>
    <mergeCell ref="D148:E148"/>
    <mergeCell ref="D154:K155"/>
    <mergeCell ref="D49:D50"/>
    <mergeCell ref="D115:E115"/>
    <mergeCell ref="D27:D28"/>
    <mergeCell ref="D90:E90"/>
    <mergeCell ref="D131:E131"/>
    <mergeCell ref="D89:J89"/>
    <mergeCell ref="E87:K88"/>
    <mergeCell ref="D34:P34"/>
    <mergeCell ref="D126:E126"/>
    <mergeCell ref="D53:D54"/>
    <mergeCell ref="E76:K77"/>
    <mergeCell ref="D103:E103"/>
    <mergeCell ref="D25:D26"/>
    <mergeCell ref="D37:D38"/>
    <mergeCell ref="D55:D56"/>
    <mergeCell ref="D118:E118"/>
    <mergeCell ref="D39:D40"/>
    <mergeCell ref="E100:K101"/>
    <mergeCell ref="D142:E142"/>
    <mergeCell ref="D164:K164"/>
    <mergeCell ref="D48:P48"/>
    <mergeCell ref="D23:D24"/>
    <mergeCell ref="D129:E129"/>
    <mergeCell ref="D137:I140"/>
    <mergeCell ref="D79:E79"/>
    <mergeCell ref="D144:E144"/>
    <mergeCell ref="D128:E128"/>
    <mergeCell ref="D81:E81"/>
    <mergeCell ref="E64:K65"/>
    <mergeCell ref="D105:E105"/>
    <mergeCell ref="D57:D58"/>
    <mergeCell ref="D120:E120"/>
    <mergeCell ref="D41:D42"/>
    <mergeCell ref="D107:E107"/>
    <mergeCell ref="D116:E116"/>
    <mergeCell ref="D91:E91"/>
    <mergeCell ref="D7:H7"/>
    <mergeCell ref="D43:D44"/>
    <mergeCell ref="D106:E106"/>
    <mergeCell ref="D125:K125"/>
    <mergeCell ref="D165:K167"/>
    <mergeCell ref="D146:E146"/>
    <mergeCell ref="D93:E93"/>
    <mergeCell ref="D29:D30"/>
    <mergeCell ref="D83:E83"/>
    <mergeCell ref="D143:E143"/>
    <mergeCell ref="D117:E117"/>
    <mergeCell ref="D92:E92"/>
    <mergeCell ref="D114:K114"/>
    <mergeCell ref="D67:E67"/>
    <mergeCell ref="D94:E94"/>
    <mergeCell ref="D69:E69"/>
    <mergeCell ref="E5:K6"/>
    <mergeCell ref="D153:K153"/>
    <mergeCell ref="D119:E119"/>
    <mergeCell ref="E46:O47"/>
    <mergeCell ref="D80:E80"/>
    <mergeCell ref="D95:E95"/>
    <mergeCell ref="D104:E104"/>
    <mergeCell ref="F169:G169"/>
    <mergeCell ref="D145:E145"/>
    <mergeCell ref="D147:E147"/>
    <mergeCell ref="D102:K102"/>
    <mergeCell ref="D130:E130"/>
    <mergeCell ref="D68:E68"/>
    <mergeCell ref="D82:E82"/>
    <mergeCell ref="D51:D52"/>
    <mergeCell ref="E112:K113"/>
    <mergeCell ref="D78:J78"/>
    <mergeCell ref="D35:D36"/>
  </mergeCells>
  <hyperlinks>
    <hyperlink xmlns:r="http://schemas.openxmlformats.org/officeDocument/2006/relationships" ref="E8" display="Recall@10" r:id="rId1"/>
    <hyperlink xmlns:r="http://schemas.openxmlformats.org/officeDocument/2006/relationships" ref="F127" tooltip="mailto:Recall@10" display="60.9" r:id="rId2"/>
  </hyperlink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Z174"/>
  <sheetViews>
    <sheetView workbookViewId="0">
      <pane xSplit="5" ySplit="8" topLeftCell="F9" activePane="bottomRight" state="frozen"/>
      <selection activeCell="A1" sqref="A1"/>
      <selection pane="topRight" activeCell="A1" sqref="A1"/>
      <selection pane="bottomLeft" activeCell="A1" sqref="A1"/>
      <selection pane="bottomRight" activeCell="E9" sqref="E9:J13"/>
    </sheetView>
  </sheetViews>
  <sheetFormatPr baseColWidth="8" defaultColWidth="8.800000000000001" defaultRowHeight="13.5"/>
  <cols>
    <col width="13" customWidth="1" style="1" min="6" max="16"/>
    <col width="19" customWidth="1" style="1" min="26" max="26"/>
  </cols>
  <sheetData>
    <row r="1" ht="85" customHeight="1" s="1">
      <c r="A1" s="13" t="inlineStr">
        <is>
          <t>All query time includes the vo generation time | †预测：橙色红字为趋势预测修订，非实测；绿色为已有配置重选。原始数据见备份及趋势修订记录。 | NYTimes低召回本次覆盖：40–55%目标为固定M4/efc40真实重测，非预测；60%起不同图配置。 | 最新NYTimes ANNProof完整重测：召回曲线固定一张图，仅调efSearch；本方案旧预测已覆盖。*性能含用户系数，原始值见NYTimes ANNProof全量重测。</t>
        </is>
      </c>
    </row>
    <row r="3">
      <c r="A3" s="0" t="inlineStr">
        <is>
          <t>Query/verify time: ms; VO: KB (1000 bytes); recall: %; Query Time includes VO generation.</t>
        </is>
      </c>
    </row>
    <row r="4" ht="60" customHeight="1" s="1">
      <c r="A4" s="14" t="inlineStr">
        <is>
          <t>VLAH、ANNProof、Ours维持原默认约95%召回率及原实测数据。只有V3DB采用本机可运行的低Recall@10默认配置。低召回率扩展仅用于Recall@10曲线；不同默认召回率不视为等质量比较。
橙色*为512GiB单线程条件预测，†为既有20查询搜索校准召回；不是512GiB机器实测。超规划内存/无校准依据的缺项留空，见V3DB512GiB说明。</t>
        </is>
      </c>
    </row>
    <row r="5">
      <c r="E5" s="15" t="inlineStr">
        <is>
          <t>Overall Table</t>
        </is>
      </c>
    </row>
    <row r="6" ht="14.25" customHeight="1" s="1"/>
    <row r="7">
      <c r="D7" s="16" t="inlineStr">
        <is>
          <t>NYTimes-256 (N=289,761, d=256)</t>
        </is>
      </c>
      <c r="E7" s="17" t="n"/>
      <c r="F7" s="17" t="n"/>
      <c r="G7" s="17" t="n"/>
      <c r="H7" s="18" t="n"/>
      <c r="I7" s="19" t="n"/>
      <c r="J7" s="19" t="n"/>
    </row>
    <row r="8">
      <c r="D8" s="20" t="inlineStr">
        <is>
          <t xml:space="preserve">Method </t>
        </is>
      </c>
      <c r="E8" s="21" t="inlineStr">
        <is>
          <t>Recall@10</t>
        </is>
      </c>
      <c r="F8" s="22" t="inlineStr">
        <is>
          <t>Query Time</t>
        </is>
      </c>
      <c r="G8" s="22" t="inlineStr">
        <is>
          <t>VO Size</t>
        </is>
      </c>
      <c r="H8" s="75" t="inlineStr">
        <is>
          <t>Verify Time</t>
        </is>
      </c>
      <c r="I8" s="19" t="inlineStr">
        <is>
          <t>Index Size (MB)</t>
        </is>
      </c>
      <c r="J8" s="19" t="inlineStr">
        <is>
          <t>Index Construct Time (s)</t>
        </is>
      </c>
    </row>
    <row r="9" ht="15" customHeight="1" s="1">
      <c r="D9" s="20" t="inlineStr">
        <is>
          <t>VLAH</t>
        </is>
      </c>
      <c r="E9" s="86" t="n">
        <v>96</v>
      </c>
      <c r="F9" s="86" t="n">
        <v>295.928621983333</v>
      </c>
      <c r="G9" s="86" t="n">
        <v>135488.6228</v>
      </c>
      <c r="H9" s="114" t="n">
        <v>556.644589733333</v>
      </c>
      <c r="I9" s="88" t="n">
        <v>409.781504</v>
      </c>
      <c r="J9" s="88" t="n">
        <v>227.31142857</v>
      </c>
    </row>
    <row r="10" ht="15.15" customHeight="1" s="1">
      <c r="D10" s="28" t="inlineStr">
        <is>
          <t>ANNProof*</t>
        </is>
      </c>
      <c r="E10" s="115" t="n">
        <v>95</v>
      </c>
      <c r="F10" s="116" t="n">
        <v>17.69821874</v>
      </c>
      <c r="G10" s="116" t="n">
        <v>13666.8252</v>
      </c>
      <c r="H10" s="117" t="n">
        <v>92.824171225</v>
      </c>
      <c r="I10" s="118" t="n">
        <v>400.544592</v>
      </c>
      <c r="J10" s="118" t="n">
        <v>440.481317147</v>
      </c>
    </row>
    <row r="11" ht="15" customHeight="1" s="1">
      <c r="D11" s="22" t="inlineStr">
        <is>
          <t>Ours</t>
        </is>
      </c>
      <c r="E11" s="119" t="n">
        <v>95.5</v>
      </c>
      <c r="F11" s="91" t="n">
        <v>10.7765117333333</v>
      </c>
      <c r="G11" s="91" t="n">
        <v>1271.2486</v>
      </c>
      <c r="H11" s="120" t="n">
        <v>22.1553105166667</v>
      </c>
      <c r="I11" s="88" t="n">
        <v>497.141378</v>
      </c>
      <c r="J11" s="88" t="n">
        <v>444.5266415</v>
      </c>
    </row>
    <row r="12" ht="36" customHeight="1" s="1">
      <c r="D12" s="22" t="inlineStr">
        <is>
          <t>V3DB（单次）</t>
        </is>
      </c>
      <c r="E12" s="91" t="n">
        <v>58</v>
      </c>
      <c r="F12" s="91" t="n">
        <v>525753.569964</v>
      </c>
      <c r="G12" s="91" t="n">
        <v>236.43</v>
      </c>
      <c r="H12" s="91" t="n">
        <v>69.6683460000713</v>
      </c>
      <c r="I12" s="88" t="n">
        <v>300.616766</v>
      </c>
      <c r="J12" s="88" t="n">
        <v>276.221013367</v>
      </c>
    </row>
    <row r="13">
      <c r="D13" s="34" t="inlineStr">
        <is>
          <t>Chen13-MR</t>
        </is>
      </c>
      <c r="E13" s="92" t="n">
        <v>100</v>
      </c>
      <c r="F13" s="92" t="n">
        <v>204.621311333333</v>
      </c>
      <c r="G13" s="92" t="n">
        <v>282958.9249</v>
      </c>
      <c r="H13" s="92" t="n">
        <v>243.191143033333</v>
      </c>
      <c r="I13" s="92" t="n">
        <v>324.604236</v>
      </c>
      <c r="J13" s="92" t="n">
        <v>0.4626211</v>
      </c>
      <c r="K13" s="36" t="n"/>
      <c r="L13" s="36" t="n"/>
      <c r="M13" s="36" t="n"/>
      <c r="N13" s="36" t="n"/>
      <c r="O13" s="36" t="n"/>
      <c r="P13" s="36" t="n"/>
      <c r="Q13" s="36" t="n"/>
      <c r="R13" s="36" t="n"/>
      <c r="S13" s="36" t="n"/>
      <c r="T13" s="36" t="n"/>
      <c r="U13" s="36" t="n"/>
      <c r="V13" s="36" t="n"/>
      <c r="W13" s="36" t="n"/>
      <c r="X13" s="36" t="n"/>
      <c r="Y13" s="36" t="n"/>
      <c r="Z13" s="36" t="n"/>
    </row>
    <row r="16" customFormat="1" s="12"/>
    <row r="17">
      <c r="E17" s="0" t="inlineStr">
        <is>
          <t>Target Recall (%) — expanded low-recall curve</t>
        </is>
      </c>
      <c r="F17" s="37" t="n">
        <v>15</v>
      </c>
      <c r="G17" s="37" t="n">
        <v>20</v>
      </c>
      <c r="H17" s="37" t="n">
        <v>25</v>
      </c>
      <c r="I17" s="37" t="n">
        <v>30</v>
      </c>
      <c r="J17" s="37" t="n">
        <v>35</v>
      </c>
      <c r="K17" s="37" t="n">
        <v>40</v>
      </c>
      <c r="L17" s="37" t="n">
        <v>45</v>
      </c>
      <c r="M17" s="37" t="n">
        <v>50</v>
      </c>
      <c r="N17" s="37" t="n">
        <v>55</v>
      </c>
      <c r="O17" s="37" t="n">
        <v>60</v>
      </c>
      <c r="P17" s="37" t="n">
        <v>65</v>
      </c>
      <c r="Q17" s="37" t="n">
        <v>70</v>
      </c>
      <c r="R17" s="37" t="n">
        <v>75</v>
      </c>
      <c r="S17" s="37" t="n">
        <v>80</v>
      </c>
      <c r="T17" s="37" t="n">
        <v>85</v>
      </c>
      <c r="U17" s="37" t="n">
        <v>90</v>
      </c>
      <c r="V17" s="37" t="n">
        <v>95</v>
      </c>
      <c r="W17" s="37" t="n">
        <v>97</v>
      </c>
      <c r="X17" s="37" t="n">
        <v>98</v>
      </c>
      <c r="Y17" s="37" t="n">
        <v>99</v>
      </c>
      <c r="Z17" s="37" t="n">
        <v>100</v>
      </c>
    </row>
    <row r="18">
      <c r="E18" s="15" t="inlineStr">
        <is>
          <t>Recall@10 (change parameters enabling different recall rate) vs. VO size</t>
        </is>
      </c>
    </row>
    <row r="19"/>
    <row r="20">
      <c r="D20" s="38" t="inlineStr">
        <is>
          <t>NYTimes-256 (N=289,761, d=256)</t>
        </is>
      </c>
      <c r="E20" s="39" t="n"/>
      <c r="F20" s="39" t="n"/>
      <c r="G20" s="39" t="n"/>
      <c r="H20" s="39" t="n"/>
      <c r="I20" s="39" t="n"/>
      <c r="J20" s="39" t="n"/>
      <c r="K20" s="39" t="n"/>
      <c r="L20" s="39" t="n"/>
      <c r="M20" s="39" t="n"/>
      <c r="N20" s="39" t="n"/>
      <c r="O20" s="39" t="n"/>
      <c r="P20" s="40" t="n"/>
    </row>
    <row r="21">
      <c r="D21" s="38" t="inlineStr">
        <is>
          <t>VLAH</t>
        </is>
      </c>
      <c r="E21" s="22" t="inlineStr">
        <is>
          <t>Recall rate</t>
        </is>
      </c>
      <c r="F21" s="86" t="n">
        <v>21.5</v>
      </c>
      <c r="G21" s="86" t="n">
        <v>21.5</v>
      </c>
      <c r="H21" s="86" t="n">
        <v>32</v>
      </c>
      <c r="I21" s="86" t="n">
        <v>32</v>
      </c>
      <c r="J21" s="86" t="n">
        <v>45.5</v>
      </c>
      <c r="K21" s="86" t="n">
        <v>45.5</v>
      </c>
      <c r="L21" s="86" t="n">
        <v>45.5</v>
      </c>
      <c r="M21" s="86" t="n">
        <v>56</v>
      </c>
      <c r="N21" s="86" t="n">
        <v>56</v>
      </c>
      <c r="O21" s="86" t="n">
        <v>67</v>
      </c>
      <c r="P21" s="86" t="n">
        <v>67</v>
      </c>
      <c r="Q21" s="86" t="n">
        <v>71.5</v>
      </c>
      <c r="R21" s="86" t="n">
        <v>78</v>
      </c>
      <c r="S21" s="86" t="n">
        <v>82</v>
      </c>
      <c r="T21" s="86" t="n">
        <v>87.5</v>
      </c>
      <c r="U21" s="86" t="n">
        <v>92.5</v>
      </c>
      <c r="V21" s="86" t="n">
        <v>96</v>
      </c>
      <c r="W21" s="86" t="n">
        <v>99</v>
      </c>
      <c r="X21" s="86" t="n">
        <v>99</v>
      </c>
      <c r="Y21" s="86" t="n">
        <v>99</v>
      </c>
    </row>
    <row r="22">
      <c r="D22" s="41" t="n"/>
      <c r="E22" s="22" t="inlineStr">
        <is>
          <t>VO size</t>
        </is>
      </c>
      <c r="F22" s="86" t="n">
        <v>3153.16145</v>
      </c>
      <c r="G22" s="86" t="n">
        <v>3153.16145</v>
      </c>
      <c r="H22" s="86" t="n">
        <v>6504.0347</v>
      </c>
      <c r="I22" s="86" t="n">
        <v>6504.0347</v>
      </c>
      <c r="J22" s="86" t="n">
        <v>12964.6278</v>
      </c>
      <c r="K22" s="86" t="n">
        <v>12964.6278</v>
      </c>
      <c r="L22" s="86" t="n">
        <v>12964.6278</v>
      </c>
      <c r="M22" s="86" t="n">
        <v>16293.85185</v>
      </c>
      <c r="N22" s="86" t="n">
        <v>16293.85185</v>
      </c>
      <c r="O22" s="86" t="n">
        <v>67011.7597</v>
      </c>
      <c r="P22" s="86" t="n">
        <v>67011.7597</v>
      </c>
      <c r="Q22" s="86" t="n">
        <v>76710.86625000001</v>
      </c>
      <c r="R22" s="86" t="n">
        <v>86460.41185</v>
      </c>
      <c r="S22" s="86" t="n">
        <v>96245.68545</v>
      </c>
      <c r="T22" s="86" t="n">
        <v>105941.9646</v>
      </c>
      <c r="U22" s="86" t="n">
        <v>125732.4714</v>
      </c>
      <c r="V22" s="86" t="n">
        <v>135488.6228</v>
      </c>
      <c r="W22" s="86" t="n">
        <v>143850.9632</v>
      </c>
      <c r="X22" s="86" t="n">
        <v>143850.9632</v>
      </c>
      <c r="Y22" s="86" t="n">
        <v>143850.9632</v>
      </c>
    </row>
    <row r="23">
      <c r="D23" s="54" t="inlineStr">
        <is>
          <t>ANNProof*
M12/efc12</t>
        </is>
      </c>
      <c r="E23" s="22" t="inlineStr">
        <is>
          <t>Recall rate</t>
        </is>
      </c>
      <c r="F23" s="121" t="n">
        <v>26</v>
      </c>
      <c r="G23" s="121" t="n">
        <v>26</v>
      </c>
      <c r="H23" s="121" t="n">
        <v>26</v>
      </c>
      <c r="I23" s="121" t="n">
        <v>31</v>
      </c>
      <c r="J23" s="121" t="n">
        <v>35.5</v>
      </c>
      <c r="K23" s="121" t="n">
        <v>43.5</v>
      </c>
      <c r="L23" s="121" t="n">
        <v>46</v>
      </c>
      <c r="M23" s="121" t="n">
        <v>50</v>
      </c>
      <c r="N23" s="121" t="n">
        <v>57</v>
      </c>
      <c r="O23" s="121" t="n">
        <v>61.5</v>
      </c>
      <c r="P23" s="121" t="n">
        <v>65.5</v>
      </c>
      <c r="Q23" s="121" t="n">
        <v>70</v>
      </c>
      <c r="R23" s="121" t="n">
        <v>75</v>
      </c>
      <c r="S23" s="121" t="n">
        <v>80</v>
      </c>
      <c r="T23" s="121" t="n">
        <v>87.5</v>
      </c>
      <c r="U23" s="121" t="n">
        <v>91.5</v>
      </c>
      <c r="V23" s="121" t="n">
        <v>95</v>
      </c>
      <c r="W23" s="121" t="n">
        <v>98.5</v>
      </c>
      <c r="X23" s="121" t="n">
        <v>98.5</v>
      </c>
      <c r="Y23" s="121" t="n">
        <v>99</v>
      </c>
    </row>
    <row r="24">
      <c r="D24" s="41" t="n"/>
      <c r="E24" s="22" t="inlineStr">
        <is>
          <t>VO size</t>
        </is>
      </c>
      <c r="F24" s="122" t="n">
        <v>709.0436</v>
      </c>
      <c r="G24" s="122" t="n">
        <v>709.0436</v>
      </c>
      <c r="H24" s="122" t="n">
        <v>709.0436</v>
      </c>
      <c r="I24" s="122" t="n">
        <v>955.7124</v>
      </c>
      <c r="J24" s="122" t="n">
        <v>1793.4784</v>
      </c>
      <c r="K24" s="122" t="n">
        <v>2616.9192</v>
      </c>
      <c r="L24" s="122" t="n">
        <v>3263.8812</v>
      </c>
      <c r="M24" s="122" t="n">
        <v>3832.8264</v>
      </c>
      <c r="N24" s="122" t="n">
        <v>4673.5776</v>
      </c>
      <c r="O24" s="122" t="n">
        <v>6474.5424</v>
      </c>
      <c r="P24" s="122" t="n">
        <v>8181.7224</v>
      </c>
      <c r="Q24" s="122" t="n">
        <v>18478.732</v>
      </c>
      <c r="R24" s="122" t="n">
        <v>29561.6816</v>
      </c>
      <c r="S24" s="122" t="n">
        <v>45771.154</v>
      </c>
      <c r="T24" s="122" t="n">
        <v>82722.38559999999</v>
      </c>
      <c r="U24" s="122" t="n">
        <v>118855.4896</v>
      </c>
      <c r="V24" s="122" t="n">
        <v>196279.1928</v>
      </c>
      <c r="W24" s="122" t="n">
        <v>258299.6636</v>
      </c>
      <c r="X24" s="122" t="n">
        <v>258299.6636</v>
      </c>
      <c r="Y24" s="122" t="n">
        <v>396492.158</v>
      </c>
    </row>
    <row r="25" ht="15" customHeight="1" s="1">
      <c r="D25" s="38" t="inlineStr">
        <is>
          <t>Ours</t>
        </is>
      </c>
      <c r="E25" s="22" t="inlineStr">
        <is>
          <t>Recall rate</t>
        </is>
      </c>
      <c r="F25" s="91" t="n">
        <v>20.5</v>
      </c>
      <c r="G25" s="91" t="n">
        <v>20.5</v>
      </c>
      <c r="H25" s="91" t="n">
        <v>30</v>
      </c>
      <c r="I25" s="91" t="n">
        <v>30</v>
      </c>
      <c r="J25" s="91" t="n">
        <v>40</v>
      </c>
      <c r="K25" s="91" t="n">
        <v>40</v>
      </c>
      <c r="L25" s="91" t="n">
        <v>46.5</v>
      </c>
      <c r="M25" s="91" t="n">
        <v>51</v>
      </c>
      <c r="N25" s="91" t="n">
        <v>55.5</v>
      </c>
      <c r="O25" s="91" t="n">
        <v>61</v>
      </c>
      <c r="P25" s="91" t="n">
        <v>70</v>
      </c>
      <c r="Q25" s="91" t="n">
        <v>70</v>
      </c>
      <c r="R25" s="91" t="n">
        <v>82.5</v>
      </c>
      <c r="S25" s="91" t="n">
        <v>82.5</v>
      </c>
      <c r="T25" s="91" t="n">
        <v>85.5</v>
      </c>
      <c r="U25" s="91" t="n">
        <v>90.5</v>
      </c>
      <c r="V25" s="91" t="n">
        <v>95.5</v>
      </c>
      <c r="W25" s="91" t="n">
        <v>97</v>
      </c>
      <c r="X25" s="91" t="n">
        <v>98</v>
      </c>
      <c r="Y25" s="91" t="n">
        <v>100</v>
      </c>
    </row>
    <row r="26" ht="15" customHeight="1" s="1">
      <c r="D26" s="41" t="n"/>
      <c r="E26" s="22" t="inlineStr">
        <is>
          <t>VO size</t>
        </is>
      </c>
      <c r="F26" s="91" t="n">
        <v>118.1716</v>
      </c>
      <c r="G26" s="91" t="n">
        <v>118.1716</v>
      </c>
      <c r="H26" s="91" t="n">
        <v>130.8116</v>
      </c>
      <c r="I26" s="91" t="n">
        <v>130.8116</v>
      </c>
      <c r="J26" s="91" t="n">
        <v>137.0668</v>
      </c>
      <c r="K26" s="91" t="n">
        <v>137.0668</v>
      </c>
      <c r="L26" s="91" t="n">
        <v>143.327</v>
      </c>
      <c r="M26" s="91" t="n">
        <v>153.4566</v>
      </c>
      <c r="N26" s="91" t="n">
        <v>170.2738</v>
      </c>
      <c r="O26" s="91" t="n">
        <v>188.3066</v>
      </c>
      <c r="P26" s="91" t="n">
        <v>241.1502</v>
      </c>
      <c r="Q26" s="91" t="n">
        <v>241.1502</v>
      </c>
      <c r="R26" s="91" t="n">
        <v>283.509</v>
      </c>
      <c r="S26" s="91" t="n">
        <v>283.509</v>
      </c>
      <c r="T26" s="91" t="n">
        <v>463.9742</v>
      </c>
      <c r="U26" s="91" t="n">
        <v>616.955</v>
      </c>
      <c r="V26" s="91" t="n">
        <v>1271.2486</v>
      </c>
      <c r="W26" s="91" t="n">
        <v>2220.0928</v>
      </c>
      <c r="X26" s="91" t="n">
        <v>3968.8662</v>
      </c>
      <c r="Y26" s="91" t="n">
        <v>5573.382</v>
      </c>
    </row>
    <row r="27" ht="15" customHeight="1" s="1">
      <c r="D27" s="41" t="inlineStr">
        <is>
          <t>V3DB（单次） †含预测</t>
        </is>
      </c>
      <c r="E27" s="22" t="inlineStr">
        <is>
          <t>Recall rate</t>
        </is>
      </c>
      <c r="F27" s="91" t="n">
        <v>32.5</v>
      </c>
      <c r="G27" s="91" t="n">
        <v>32.5</v>
      </c>
      <c r="H27" s="91" t="n">
        <v>32.5</v>
      </c>
      <c r="I27" s="91" t="n">
        <v>32.5</v>
      </c>
      <c r="J27" s="91" t="n">
        <v>35</v>
      </c>
      <c r="K27" s="91" t="n">
        <v>45.5</v>
      </c>
      <c r="L27" s="91" t="n">
        <v>45.5</v>
      </c>
      <c r="M27" s="91" t="n">
        <v>51.5</v>
      </c>
      <c r="N27" s="91" t="n">
        <v>58</v>
      </c>
      <c r="O27" s="95" t="n">
        <v>62.5</v>
      </c>
      <c r="P27" s="95" t="n">
        <v>65.5</v>
      </c>
      <c r="Q27" s="95" t="n">
        <v>72</v>
      </c>
      <c r="R27" s="95" t="n">
        <v>76</v>
      </c>
      <c r="S27" s="91" t="n"/>
      <c r="T27" s="91" t="n"/>
      <c r="U27" s="91" t="n"/>
      <c r="V27" s="91" t="n"/>
      <c r="W27" s="91" t="n"/>
      <c r="X27" s="91" t="n"/>
      <c r="Y27" s="91" t="n"/>
    </row>
    <row r="28" ht="36" customHeight="1" s="1">
      <c r="D28" s="41" t="n"/>
      <c r="E28" s="22" t="inlineStr">
        <is>
          <t>VO size</t>
        </is>
      </c>
      <c r="F28" s="91" t="n">
        <v>193.524</v>
      </c>
      <c r="G28" s="91" t="n">
        <v>193.524</v>
      </c>
      <c r="H28" s="91" t="n">
        <v>193.524</v>
      </c>
      <c r="I28" s="91" t="n">
        <v>193.524</v>
      </c>
      <c r="J28" s="96" t="n">
        <v>206</v>
      </c>
      <c r="K28" s="96" t="n">
        <v>206.236696632777</v>
      </c>
      <c r="L28" s="96" t="n">
        <v>206.236696632777</v>
      </c>
      <c r="M28" s="91" t="n">
        <v>214.815</v>
      </c>
      <c r="N28" s="91" t="n">
        <v>236.43</v>
      </c>
      <c r="O28" s="97" t="n">
        <v>267.309</v>
      </c>
      <c r="P28" s="97" t="n">
        <v>472.128</v>
      </c>
      <c r="Q28" s="96" t="n">
        <v>597</v>
      </c>
      <c r="R28" s="96" t="n">
        <v>597.1964013094851</v>
      </c>
      <c r="S28" s="91" t="n"/>
      <c r="T28" s="91" t="n"/>
      <c r="U28" s="91" t="n"/>
      <c r="V28" s="91" t="n"/>
      <c r="W28" s="91" t="n"/>
      <c r="X28" s="91" t="n"/>
      <c r="Y28" s="91" t="n"/>
    </row>
    <row r="29">
      <c r="D29" s="49" t="inlineStr">
        <is>
          <t>Chen13-MR</t>
        </is>
      </c>
      <c r="E29" s="34" t="inlineStr">
        <is>
          <t>Recall rate</t>
        </is>
      </c>
      <c r="F29" s="98" t="n"/>
      <c r="G29" s="98" t="n"/>
      <c r="H29" s="98" t="n"/>
      <c r="I29" s="98" t="n"/>
      <c r="J29" s="98" t="n"/>
      <c r="K29" s="98" t="n"/>
      <c r="L29" s="98" t="n"/>
      <c r="M29" s="98" t="n"/>
      <c r="N29" s="98" t="n"/>
      <c r="O29" s="98" t="n"/>
      <c r="P29" s="98" t="n"/>
      <c r="Q29" s="98" t="n"/>
      <c r="R29" s="98" t="n"/>
      <c r="S29" s="98" t="n"/>
      <c r="T29" s="98" t="n"/>
      <c r="U29" s="98" t="n"/>
      <c r="V29" s="98" t="n"/>
      <c r="W29" s="98" t="n"/>
      <c r="X29" s="98" t="n"/>
      <c r="Y29" s="98" t="n"/>
      <c r="Z29" s="92" t="n">
        <v>100</v>
      </c>
    </row>
    <row r="30">
      <c r="D30" s="41" t="n"/>
      <c r="E30" s="34" t="inlineStr">
        <is>
          <t>VO size</t>
        </is>
      </c>
      <c r="F30" s="98" t="n"/>
      <c r="G30" s="98" t="n"/>
      <c r="H30" s="98" t="n"/>
      <c r="I30" s="98" t="n"/>
      <c r="J30" s="98" t="n"/>
      <c r="K30" s="98" t="n"/>
      <c r="L30" s="98" t="n"/>
      <c r="M30" s="98" t="n"/>
      <c r="N30" s="98" t="n"/>
      <c r="O30" s="98" t="n"/>
      <c r="P30" s="98" t="n"/>
      <c r="Q30" s="98" t="n"/>
      <c r="R30" s="98" t="n"/>
      <c r="S30" s="98" t="n"/>
      <c r="T30" s="98" t="n"/>
      <c r="U30" s="98" t="n"/>
      <c r="V30" s="98" t="n"/>
      <c r="W30" s="98" t="n"/>
      <c r="X30" s="98" t="n"/>
      <c r="Y30" s="98" t="n"/>
      <c r="Z30" s="92" t="n">
        <v>282958.9249</v>
      </c>
    </row>
    <row r="31">
      <c r="D31" s="51" t="n"/>
      <c r="E31" s="0" t="inlineStr">
        <is>
          <t>Target Recall (%)</t>
        </is>
      </c>
      <c r="F31" s="37" t="n">
        <v>15</v>
      </c>
      <c r="G31" s="37" t="n">
        <v>20</v>
      </c>
      <c r="H31" s="37" t="n">
        <v>25</v>
      </c>
      <c r="I31" s="37" t="n">
        <v>30</v>
      </c>
      <c r="J31" s="37" t="n">
        <v>35</v>
      </c>
      <c r="K31" s="37" t="n">
        <v>40</v>
      </c>
      <c r="L31" s="37" t="n">
        <v>45</v>
      </c>
      <c r="M31" s="37" t="n">
        <v>50</v>
      </c>
      <c r="N31" s="37" t="n">
        <v>55</v>
      </c>
      <c r="O31" s="37" t="n">
        <v>60</v>
      </c>
      <c r="P31" s="37" t="n">
        <v>65</v>
      </c>
      <c r="Q31" s="37" t="n">
        <v>70</v>
      </c>
      <c r="R31" s="37" t="n">
        <v>75</v>
      </c>
      <c r="S31" s="37" t="n">
        <v>80</v>
      </c>
      <c r="T31" s="37" t="n">
        <v>85</v>
      </c>
      <c r="U31" s="37" t="n">
        <v>90</v>
      </c>
      <c r="V31" s="37" t="n">
        <v>95</v>
      </c>
      <c r="W31" s="37" t="n">
        <v>97</v>
      </c>
      <c r="X31" s="37" t="n">
        <v>98</v>
      </c>
      <c r="Y31" s="37" t="n">
        <v>99</v>
      </c>
      <c r="Z31" s="37" t="n">
        <v>100</v>
      </c>
    </row>
    <row r="32">
      <c r="E32" s="15" t="inlineStr">
        <is>
          <t>Recall@10 (change parameters enabling different recall rate) vs. verify time</t>
        </is>
      </c>
    </row>
    <row r="33"/>
    <row r="34">
      <c r="D34" s="38" t="inlineStr">
        <is>
          <t>NYTimes-256 (N=289,761, d=256)</t>
        </is>
      </c>
      <c r="E34" s="39" t="n"/>
      <c r="F34" s="39" t="n"/>
      <c r="G34" s="39" t="n"/>
      <c r="H34" s="39" t="n"/>
      <c r="I34" s="39" t="n"/>
      <c r="J34" s="39" t="n"/>
      <c r="K34" s="39" t="n"/>
      <c r="L34" s="39" t="n"/>
      <c r="M34" s="39" t="n"/>
      <c r="N34" s="39" t="n"/>
      <c r="O34" s="39" t="n"/>
      <c r="P34" s="40" t="n"/>
    </row>
    <row r="35">
      <c r="D35" s="38" t="inlineStr">
        <is>
          <t>VLAH</t>
        </is>
      </c>
      <c r="E35" s="22" t="inlineStr">
        <is>
          <t>Recall rate</t>
        </is>
      </c>
      <c r="F35" s="86" t="n">
        <v>21.5</v>
      </c>
      <c r="G35" s="86" t="n">
        <v>21.5</v>
      </c>
      <c r="H35" s="86" t="n">
        <v>32</v>
      </c>
      <c r="I35" s="86" t="n">
        <v>32</v>
      </c>
      <c r="J35" s="86" t="n">
        <v>45.5</v>
      </c>
      <c r="K35" s="86" t="n">
        <v>45.5</v>
      </c>
      <c r="L35" s="86" t="n">
        <v>45.5</v>
      </c>
      <c r="M35" s="86" t="n">
        <v>56</v>
      </c>
      <c r="N35" s="86" t="n">
        <v>56</v>
      </c>
      <c r="O35" s="86" t="n">
        <v>67</v>
      </c>
      <c r="P35" s="86" t="n">
        <v>67</v>
      </c>
      <c r="Q35" s="86" t="n">
        <v>71.5</v>
      </c>
      <c r="R35" s="86" t="n">
        <v>78</v>
      </c>
      <c r="S35" s="86" t="n">
        <v>82</v>
      </c>
      <c r="T35" s="86" t="n">
        <v>87.5</v>
      </c>
      <c r="U35" s="86" t="n">
        <v>92.5</v>
      </c>
      <c r="V35" s="86" t="n">
        <v>96</v>
      </c>
      <c r="W35" s="86" t="n">
        <v>99</v>
      </c>
      <c r="X35" s="86" t="n">
        <v>99</v>
      </c>
      <c r="Y35" s="86" t="n">
        <v>99</v>
      </c>
    </row>
    <row r="36">
      <c r="D36" s="41" t="n"/>
      <c r="E36" s="22" t="inlineStr">
        <is>
          <t>verify time</t>
        </is>
      </c>
      <c r="F36" s="86" t="n">
        <v>11.8245270833333</v>
      </c>
      <c r="G36" s="86" t="n">
        <v>11.8245270833333</v>
      </c>
      <c r="H36" s="86" t="n">
        <v>24.84340715</v>
      </c>
      <c r="I36" s="86" t="n">
        <v>24.84340715</v>
      </c>
      <c r="J36" s="86" t="n">
        <v>49.9269825</v>
      </c>
      <c r="K36" s="86" t="n">
        <v>49.9269825</v>
      </c>
      <c r="L36" s="86" t="n">
        <v>49.9269825</v>
      </c>
      <c r="M36" s="86" t="n">
        <v>63.0482701666667</v>
      </c>
      <c r="N36" s="86" t="n">
        <v>63.0482701666667</v>
      </c>
      <c r="O36" s="86" t="n">
        <v>272.33098235</v>
      </c>
      <c r="P36" s="86" t="n">
        <v>272.33098235</v>
      </c>
      <c r="Q36" s="86" t="n">
        <v>311.96292125</v>
      </c>
      <c r="R36" s="86" t="n">
        <v>351.799705383333</v>
      </c>
      <c r="S36" s="86" t="n">
        <v>392.74538455</v>
      </c>
      <c r="T36" s="86" t="n">
        <v>433.156968933333</v>
      </c>
      <c r="U36" s="86" t="n">
        <v>515.45168045</v>
      </c>
      <c r="V36" s="86" t="n">
        <v>556.644589733333</v>
      </c>
      <c r="W36" s="86" t="n">
        <v>590.977314</v>
      </c>
      <c r="X36" s="86" t="n">
        <v>590.977314</v>
      </c>
      <c r="Y36" s="86" t="n">
        <v>590.977314</v>
      </c>
    </row>
    <row r="37">
      <c r="D37" s="54" t="inlineStr">
        <is>
          <t>ANNProof*
M12/efc12</t>
        </is>
      </c>
      <c r="E37" s="22" t="inlineStr">
        <is>
          <t>Recall rate</t>
        </is>
      </c>
      <c r="F37" s="121" t="n">
        <v>26</v>
      </c>
      <c r="G37" s="121" t="n">
        <v>26</v>
      </c>
      <c r="H37" s="121" t="n">
        <v>26</v>
      </c>
      <c r="I37" s="121" t="n">
        <v>31</v>
      </c>
      <c r="J37" s="121" t="n">
        <v>35.5</v>
      </c>
      <c r="K37" s="121" t="n">
        <v>43.5</v>
      </c>
      <c r="L37" s="121" t="n">
        <v>46</v>
      </c>
      <c r="M37" s="121" t="n">
        <v>50</v>
      </c>
      <c r="N37" s="121" t="n">
        <v>57</v>
      </c>
      <c r="O37" s="121" t="n">
        <v>61.5</v>
      </c>
      <c r="P37" s="121" t="n">
        <v>65.5</v>
      </c>
      <c r="Q37" s="121" t="n">
        <v>70</v>
      </c>
      <c r="R37" s="121" t="n">
        <v>75</v>
      </c>
      <c r="S37" s="121" t="n">
        <v>80</v>
      </c>
      <c r="T37" s="121" t="n">
        <v>87.5</v>
      </c>
      <c r="U37" s="121" t="n">
        <v>91.5</v>
      </c>
      <c r="V37" s="121" t="n">
        <v>95</v>
      </c>
      <c r="W37" s="121" t="n">
        <v>98.5</v>
      </c>
      <c r="X37" s="121" t="n">
        <v>98.5</v>
      </c>
      <c r="Y37" s="121" t="n">
        <v>99</v>
      </c>
    </row>
    <row r="38">
      <c r="D38" s="41" t="n"/>
      <c r="E38" s="22" t="inlineStr">
        <is>
          <t>verify time</t>
        </is>
      </c>
      <c r="F38" s="122" t="n">
        <v>5.2249631</v>
      </c>
      <c r="G38" s="122" t="n">
        <v>5.2249631</v>
      </c>
      <c r="H38" s="122" t="n">
        <v>5.2249631</v>
      </c>
      <c r="I38" s="122" t="n">
        <v>7.030881225</v>
      </c>
      <c r="J38" s="122" t="n">
        <v>12.821102775</v>
      </c>
      <c r="K38" s="122" t="n">
        <v>18.685753975</v>
      </c>
      <c r="L38" s="122" t="n">
        <v>23.078111775</v>
      </c>
      <c r="M38" s="122" t="n">
        <v>26.964123275</v>
      </c>
      <c r="N38" s="122" t="n">
        <v>32.8654999</v>
      </c>
      <c r="O38" s="122" t="n">
        <v>45.865722875</v>
      </c>
      <c r="P38" s="122" t="n">
        <v>56.48783145</v>
      </c>
      <c r="Q38" s="122" t="n">
        <v>125.05901425</v>
      </c>
      <c r="R38" s="122" t="n">
        <v>197.355611125</v>
      </c>
      <c r="S38" s="122" t="n">
        <v>302.44276325</v>
      </c>
      <c r="T38" s="122" t="n">
        <v>543.7408809</v>
      </c>
      <c r="U38" s="122" t="n">
        <v>781.03693</v>
      </c>
      <c r="V38" s="122" t="n">
        <v>1278.0067736</v>
      </c>
      <c r="W38" s="122" t="n">
        <v>1723.879743825</v>
      </c>
      <c r="X38" s="122" t="n">
        <v>1723.879743825</v>
      </c>
      <c r="Y38" s="122" t="n">
        <v>2740.3914385</v>
      </c>
    </row>
    <row r="39" ht="15" customHeight="1" s="1">
      <c r="D39" s="38" t="inlineStr">
        <is>
          <t>Ours</t>
        </is>
      </c>
      <c r="E39" s="22" t="inlineStr">
        <is>
          <t>Recall rate</t>
        </is>
      </c>
      <c r="F39" s="91" t="n">
        <v>20.5</v>
      </c>
      <c r="G39" s="91" t="n">
        <v>20.5</v>
      </c>
      <c r="H39" s="91" t="n">
        <v>30</v>
      </c>
      <c r="I39" s="91" t="n">
        <v>30</v>
      </c>
      <c r="J39" s="91" t="n">
        <v>40</v>
      </c>
      <c r="K39" s="91" t="n">
        <v>40</v>
      </c>
      <c r="L39" s="91" t="n">
        <v>46.5</v>
      </c>
      <c r="M39" s="91" t="n">
        <v>51</v>
      </c>
      <c r="N39" s="91" t="n">
        <v>55.5</v>
      </c>
      <c r="O39" s="91" t="n">
        <v>61</v>
      </c>
      <c r="P39" s="91" t="n">
        <v>70</v>
      </c>
      <c r="Q39" s="91" t="n">
        <v>70</v>
      </c>
      <c r="R39" s="91" t="n">
        <v>82.5</v>
      </c>
      <c r="S39" s="91" t="n">
        <v>82.5</v>
      </c>
      <c r="T39" s="91" t="n">
        <v>85.5</v>
      </c>
      <c r="U39" s="91" t="n">
        <v>90.5</v>
      </c>
      <c r="V39" s="91" t="n">
        <v>95.5</v>
      </c>
      <c r="W39" s="91" t="n">
        <v>97</v>
      </c>
      <c r="X39" s="91" t="n">
        <v>98</v>
      </c>
      <c r="Y39" s="91" t="n">
        <v>100</v>
      </c>
    </row>
    <row r="40" ht="15" customHeight="1" s="1">
      <c r="D40" s="41" t="n"/>
      <c r="E40" s="22" t="inlineStr">
        <is>
          <t>verify time</t>
        </is>
      </c>
      <c r="F40" s="91" t="n">
        <v>1.91927213333333</v>
      </c>
      <c r="G40" s="91" t="n">
        <v>1.91927213333333</v>
      </c>
      <c r="H40" s="91" t="n">
        <v>2.0790368</v>
      </c>
      <c r="I40" s="91" t="n">
        <v>2.0790368</v>
      </c>
      <c r="J40" s="91" t="n">
        <v>2.29411655</v>
      </c>
      <c r="K40" s="91" t="n">
        <v>2.29411655</v>
      </c>
      <c r="L40" s="91" t="n">
        <v>2.31848076666667</v>
      </c>
      <c r="M40" s="91" t="n">
        <v>2.44207511666667</v>
      </c>
      <c r="N40" s="91" t="n">
        <v>2.7583536</v>
      </c>
      <c r="O40" s="91" t="n">
        <v>3.15162981666667</v>
      </c>
      <c r="P40" s="91" t="n">
        <v>4.04489688333333</v>
      </c>
      <c r="Q40" s="91" t="n">
        <v>4.04489688333333</v>
      </c>
      <c r="R40" s="91" t="n">
        <v>4.75943038333333</v>
      </c>
      <c r="S40" s="91" t="n">
        <v>4.75943038333333</v>
      </c>
      <c r="T40" s="91" t="n">
        <v>7.83703861666667</v>
      </c>
      <c r="U40" s="91" t="n">
        <v>10.51414495</v>
      </c>
      <c r="V40" s="91" t="n">
        <v>22.1553105166667</v>
      </c>
      <c r="W40" s="91" t="n">
        <v>39.7045313</v>
      </c>
      <c r="X40" s="91" t="n">
        <v>74.0049278666667</v>
      </c>
      <c r="Y40" s="91" t="n">
        <v>108.36732445</v>
      </c>
    </row>
    <row r="41" ht="15" customHeight="1" s="1">
      <c r="D41" s="41" t="inlineStr">
        <is>
          <t>V3DB（单次） †含预测</t>
        </is>
      </c>
      <c r="E41" s="22" t="inlineStr">
        <is>
          <t>Recall rate</t>
        </is>
      </c>
      <c r="F41" s="91" t="n">
        <v>32.5</v>
      </c>
      <c r="G41" s="91" t="n">
        <v>32.5</v>
      </c>
      <c r="H41" s="91" t="n">
        <v>32.5</v>
      </c>
      <c r="I41" s="91" t="n">
        <v>32.5</v>
      </c>
      <c r="J41" s="91" t="n">
        <v>35</v>
      </c>
      <c r="K41" s="91" t="n">
        <v>45.5</v>
      </c>
      <c r="L41" s="91" t="n">
        <v>45.5</v>
      </c>
      <c r="M41" s="91" t="n">
        <v>51.5</v>
      </c>
      <c r="N41" s="91" t="n">
        <v>58</v>
      </c>
      <c r="O41" s="95" t="n">
        <v>62.5</v>
      </c>
      <c r="P41" s="95" t="n">
        <v>65.5</v>
      </c>
      <c r="Q41" s="95" t="n">
        <v>72</v>
      </c>
      <c r="R41" s="95" t="n">
        <v>76</v>
      </c>
      <c r="S41" s="91" t="n"/>
      <c r="T41" s="91" t="n"/>
      <c r="U41" s="91" t="n"/>
      <c r="V41" s="91" t="n"/>
      <c r="W41" s="91" t="n"/>
      <c r="X41" s="91" t="n"/>
      <c r="Y41" s="91" t="n"/>
    </row>
    <row r="42" ht="36" customHeight="1" s="1">
      <c r="D42" s="41" t="n"/>
      <c r="E42" s="22" t="inlineStr">
        <is>
          <t>verify time</t>
        </is>
      </c>
      <c r="F42" s="91" t="n">
        <v>10.7410540000501</v>
      </c>
      <c r="G42" s="91" t="n">
        <v>10.7410540000501</v>
      </c>
      <c r="H42" s="91" t="n">
        <v>10.7410540000501</v>
      </c>
      <c r="I42" s="91" t="n">
        <v>10.7410540000501</v>
      </c>
      <c r="J42" s="91" t="n">
        <v>11.4872139999989</v>
      </c>
      <c r="K42" s="96" t="n">
        <v>12.9721587984035</v>
      </c>
      <c r="L42" s="96" t="n">
        <v>12.9721587984035</v>
      </c>
      <c r="M42" s="96" t="n">
        <v>13</v>
      </c>
      <c r="N42" s="96" t="n">
        <v>36.4</v>
      </c>
      <c r="O42" s="96" t="n">
        <v>36.4089313136701</v>
      </c>
      <c r="P42" s="96" t="n">
        <v>36.4089313136701</v>
      </c>
      <c r="Q42" s="96" t="n">
        <v>36.4089313136701</v>
      </c>
      <c r="R42" s="96" t="n">
        <v>36.4089313136701</v>
      </c>
      <c r="S42" s="91" t="n"/>
      <c r="T42" s="91" t="n"/>
      <c r="U42" s="91" t="n"/>
      <c r="V42" s="91" t="n"/>
      <c r="W42" s="91" t="n"/>
      <c r="X42" s="91" t="n"/>
      <c r="Y42" s="91" t="n"/>
    </row>
    <row r="43">
      <c r="D43" s="49" t="inlineStr">
        <is>
          <t>Chen13-MR</t>
        </is>
      </c>
      <c r="E43" s="34" t="inlineStr">
        <is>
          <t>Recall rate</t>
        </is>
      </c>
      <c r="F43" s="98" t="n"/>
      <c r="G43" s="98" t="n"/>
      <c r="H43" s="98" t="n"/>
      <c r="I43" s="98" t="n"/>
      <c r="J43" s="98" t="n"/>
      <c r="K43" s="98" t="n"/>
      <c r="L43" s="98" t="n"/>
      <c r="M43" s="98" t="n"/>
      <c r="N43" s="98" t="n"/>
      <c r="O43" s="98" t="n"/>
      <c r="P43" s="98" t="n"/>
      <c r="Q43" s="98" t="n"/>
      <c r="R43" s="98" t="n"/>
      <c r="S43" s="98" t="n"/>
      <c r="T43" s="98" t="n"/>
      <c r="U43" s="98" t="n"/>
      <c r="V43" s="98" t="n"/>
      <c r="W43" s="98" t="n"/>
      <c r="X43" s="98" t="n"/>
      <c r="Y43" s="98" t="n"/>
      <c r="Z43" s="92" t="n">
        <v>100</v>
      </c>
    </row>
    <row r="44">
      <c r="D44" s="41" t="n"/>
      <c r="E44" s="34" t="inlineStr">
        <is>
          <t>verify time</t>
        </is>
      </c>
      <c r="F44" s="98" t="n"/>
      <c r="G44" s="98" t="n"/>
      <c r="H44" s="98" t="n"/>
      <c r="I44" s="98" t="n"/>
      <c r="J44" s="98" t="n"/>
      <c r="K44" s="98" t="n"/>
      <c r="L44" s="98" t="n"/>
      <c r="M44" s="98" t="n"/>
      <c r="N44" s="98" t="n"/>
      <c r="O44" s="98" t="n"/>
      <c r="P44" s="98" t="n"/>
      <c r="Q44" s="98" t="n"/>
      <c r="R44" s="98" t="n"/>
      <c r="S44" s="98" t="n"/>
      <c r="T44" s="98" t="n"/>
      <c r="U44" s="98" t="n"/>
      <c r="V44" s="98" t="n"/>
      <c r="W44" s="98" t="n"/>
      <c r="X44" s="98" t="n"/>
      <c r="Y44" s="98" t="n"/>
      <c r="Z44" s="92" t="n">
        <v>243.191143033333</v>
      </c>
    </row>
    <row r="45">
      <c r="D45" s="51" t="n"/>
      <c r="E45" s="0" t="inlineStr">
        <is>
          <t>Target Recall (%)</t>
        </is>
      </c>
      <c r="F45" s="37" t="n">
        <v>15</v>
      </c>
      <c r="G45" s="37" t="n">
        <v>20</v>
      </c>
      <c r="H45" s="37" t="n">
        <v>25</v>
      </c>
      <c r="I45" s="37" t="n">
        <v>30</v>
      </c>
      <c r="J45" s="37" t="n">
        <v>35</v>
      </c>
      <c r="K45" s="37" t="n">
        <v>40</v>
      </c>
      <c r="L45" s="37" t="n">
        <v>45</v>
      </c>
      <c r="M45" s="37" t="n">
        <v>50</v>
      </c>
      <c r="N45" s="37" t="n">
        <v>55</v>
      </c>
      <c r="O45" s="37" t="n">
        <v>60</v>
      </c>
      <c r="P45" s="37" t="n">
        <v>65</v>
      </c>
      <c r="Q45" s="37" t="n">
        <v>70</v>
      </c>
      <c r="R45" s="37" t="n">
        <v>75</v>
      </c>
      <c r="S45" s="37" t="n">
        <v>80</v>
      </c>
      <c r="T45" s="37" t="n">
        <v>85</v>
      </c>
      <c r="U45" s="37" t="n">
        <v>90</v>
      </c>
      <c r="V45" s="37" t="n">
        <v>95</v>
      </c>
      <c r="W45" s="37" t="n">
        <v>97</v>
      </c>
      <c r="X45" s="37" t="n">
        <v>98</v>
      </c>
      <c r="Y45" s="37" t="n">
        <v>99</v>
      </c>
      <c r="Z45" s="37" t="n">
        <v>100</v>
      </c>
    </row>
    <row r="46">
      <c r="E46" s="15" t="inlineStr">
        <is>
          <t>Recall@10 (change parameters enabling different recall rate) vs. query time</t>
        </is>
      </c>
    </row>
    <row r="47"/>
    <row r="48">
      <c r="D48" s="38" t="inlineStr">
        <is>
          <t>NYTimes-256 (N=289,761, d=256)</t>
        </is>
      </c>
      <c r="E48" s="39" t="n"/>
      <c r="F48" s="39" t="n"/>
      <c r="G48" s="39" t="n"/>
      <c r="H48" s="39" t="n"/>
      <c r="I48" s="39" t="n"/>
      <c r="J48" s="39" t="n"/>
      <c r="K48" s="39" t="n"/>
      <c r="L48" s="39" t="n"/>
      <c r="M48" s="39" t="n"/>
      <c r="N48" s="39" t="n"/>
      <c r="O48" s="39" t="n"/>
      <c r="P48" s="40" t="n"/>
    </row>
    <row r="49">
      <c r="D49" s="38" t="inlineStr">
        <is>
          <t>VLAH</t>
        </is>
      </c>
      <c r="E49" s="22" t="inlineStr">
        <is>
          <t>Recall rate</t>
        </is>
      </c>
      <c r="F49" s="86" t="n">
        <v>21.5</v>
      </c>
      <c r="G49" s="86" t="n">
        <v>21.5</v>
      </c>
      <c r="H49" s="86" t="n">
        <v>32</v>
      </c>
      <c r="I49" s="86" t="n">
        <v>32</v>
      </c>
      <c r="J49" s="86" t="n">
        <v>45.5</v>
      </c>
      <c r="K49" s="86" t="n">
        <v>45.5</v>
      </c>
      <c r="L49" s="86" t="n">
        <v>45.5</v>
      </c>
      <c r="M49" s="86" t="n">
        <v>56</v>
      </c>
      <c r="N49" s="86" t="n">
        <v>56</v>
      </c>
      <c r="O49" s="86" t="n">
        <v>67</v>
      </c>
      <c r="P49" s="86" t="n">
        <v>67</v>
      </c>
      <c r="Q49" s="86" t="n">
        <v>71.5</v>
      </c>
      <c r="R49" s="86" t="n">
        <v>78</v>
      </c>
      <c r="S49" s="86" t="n">
        <v>82</v>
      </c>
      <c r="T49" s="86" t="n">
        <v>87.5</v>
      </c>
      <c r="U49" s="86" t="n">
        <v>92.5</v>
      </c>
      <c r="V49" s="86" t="n">
        <v>96</v>
      </c>
      <c r="W49" s="86" t="n">
        <v>99</v>
      </c>
      <c r="X49" s="86" t="n">
        <v>99</v>
      </c>
      <c r="Y49" s="86" t="n">
        <v>99</v>
      </c>
    </row>
    <row r="50">
      <c r="D50" s="41" t="n"/>
      <c r="E50" s="22" t="inlineStr">
        <is>
          <t>query time</t>
        </is>
      </c>
      <c r="F50" s="86" t="n">
        <v>5.15774473333333</v>
      </c>
      <c r="G50" s="86" t="n">
        <v>5.15774473333333</v>
      </c>
      <c r="H50" s="86" t="n">
        <v>10.7862751</v>
      </c>
      <c r="I50" s="86" t="n">
        <v>10.7862751</v>
      </c>
      <c r="J50" s="86" t="n">
        <v>21.5674819333333</v>
      </c>
      <c r="K50" s="86" t="n">
        <v>21.5674819333333</v>
      </c>
      <c r="L50" s="86" t="n">
        <v>21.5674819333333</v>
      </c>
      <c r="M50" s="86" t="n">
        <v>28.6460560666667</v>
      </c>
      <c r="N50" s="86" t="n">
        <v>28.6460560666667</v>
      </c>
      <c r="O50" s="86" t="n">
        <v>143.59484805</v>
      </c>
      <c r="P50" s="86" t="n">
        <v>143.59484805</v>
      </c>
      <c r="Q50" s="86" t="n">
        <v>164.394885933333</v>
      </c>
      <c r="R50" s="86" t="n">
        <v>185.147734933333</v>
      </c>
      <c r="S50" s="86" t="n">
        <v>206.091788883333</v>
      </c>
      <c r="T50" s="86" t="n">
        <v>231.242866266667</v>
      </c>
      <c r="U50" s="86" t="n">
        <v>273.801794433333</v>
      </c>
      <c r="V50" s="86" t="n">
        <v>295.928621983333</v>
      </c>
      <c r="W50" s="86" t="n">
        <v>315.256652616667</v>
      </c>
      <c r="X50" s="86" t="n">
        <v>315.256652616667</v>
      </c>
      <c r="Y50" s="86" t="n">
        <v>315.256652616667</v>
      </c>
    </row>
    <row r="51">
      <c r="D51" s="54" t="inlineStr">
        <is>
          <t>ANNProof*
M12/efc12</t>
        </is>
      </c>
      <c r="E51" s="22" t="inlineStr">
        <is>
          <t>Recall rate</t>
        </is>
      </c>
      <c r="F51" s="121" t="n">
        <v>26</v>
      </c>
      <c r="G51" s="121" t="n">
        <v>26</v>
      </c>
      <c r="H51" s="121" t="n">
        <v>26</v>
      </c>
      <c r="I51" s="121" t="n">
        <v>31</v>
      </c>
      <c r="J51" s="121" t="n">
        <v>35.5</v>
      </c>
      <c r="K51" s="121" t="n">
        <v>43.5</v>
      </c>
      <c r="L51" s="121" t="n">
        <v>46</v>
      </c>
      <c r="M51" s="121" t="n">
        <v>50</v>
      </c>
      <c r="N51" s="121" t="n">
        <v>57</v>
      </c>
      <c r="O51" s="121" t="n">
        <v>61.5</v>
      </c>
      <c r="P51" s="121" t="n">
        <v>65.5</v>
      </c>
      <c r="Q51" s="121" t="n">
        <v>70</v>
      </c>
      <c r="R51" s="121" t="n">
        <v>75</v>
      </c>
      <c r="S51" s="121" t="n">
        <v>80</v>
      </c>
      <c r="T51" s="121" t="n">
        <v>87.5</v>
      </c>
      <c r="U51" s="121" t="n">
        <v>91.5</v>
      </c>
      <c r="V51" s="121" t="n">
        <v>95</v>
      </c>
      <c r="W51" s="121" t="n">
        <v>98.5</v>
      </c>
      <c r="X51" s="121" t="n">
        <v>98.5</v>
      </c>
      <c r="Y51" s="121" t="n">
        <v>99</v>
      </c>
    </row>
    <row r="52">
      <c r="D52" s="41" t="n"/>
      <c r="E52" s="22" t="inlineStr">
        <is>
          <t>query time</t>
        </is>
      </c>
      <c r="F52" s="122" t="n">
        <v>0.79644474</v>
      </c>
      <c r="G52" s="122" t="n">
        <v>0.79644474</v>
      </c>
      <c r="H52" s="122" t="n">
        <v>0.79644474</v>
      </c>
      <c r="I52" s="122" t="n">
        <v>1.09177584</v>
      </c>
      <c r="J52" s="122" t="n">
        <v>2.27943224</v>
      </c>
      <c r="K52" s="122" t="n">
        <v>3.3260833</v>
      </c>
      <c r="L52" s="122" t="n">
        <v>4.2713538</v>
      </c>
      <c r="M52" s="122" t="n">
        <v>5.07175968</v>
      </c>
      <c r="N52" s="122" t="n">
        <v>6.3366834</v>
      </c>
      <c r="O52" s="122" t="n">
        <v>8.81913962</v>
      </c>
      <c r="P52" s="122" t="n">
        <v>11.2487443</v>
      </c>
      <c r="Q52" s="122" t="n">
        <v>25.5729461</v>
      </c>
      <c r="R52" s="122" t="n">
        <v>41.34627752</v>
      </c>
      <c r="S52" s="122" t="n">
        <v>69.05120257999999</v>
      </c>
      <c r="T52" s="122" t="n">
        <v>134.30104498</v>
      </c>
      <c r="U52" s="122" t="n">
        <v>186.91182584</v>
      </c>
      <c r="V52" s="122" t="n">
        <v>314.23491074</v>
      </c>
      <c r="W52" s="122" t="n">
        <v>401.53256646</v>
      </c>
      <c r="X52" s="122" t="n">
        <v>401.53256646</v>
      </c>
      <c r="Y52" s="122" t="n">
        <v>694.99663438</v>
      </c>
    </row>
    <row r="53" ht="15" customHeight="1" s="1">
      <c r="D53" s="38" t="inlineStr">
        <is>
          <t>Ours</t>
        </is>
      </c>
      <c r="E53" s="22" t="inlineStr">
        <is>
          <t>Recall rate</t>
        </is>
      </c>
      <c r="F53" s="91" t="n">
        <v>20.5</v>
      </c>
      <c r="G53" s="91" t="n">
        <v>20.5</v>
      </c>
      <c r="H53" s="91" t="n">
        <v>30</v>
      </c>
      <c r="I53" s="91" t="n">
        <v>30</v>
      </c>
      <c r="J53" s="91" t="n">
        <v>40</v>
      </c>
      <c r="K53" s="91" t="n">
        <v>40</v>
      </c>
      <c r="L53" s="91" t="n">
        <v>46.5</v>
      </c>
      <c r="M53" s="91" t="n">
        <v>51</v>
      </c>
      <c r="N53" s="91" t="n">
        <v>55.5</v>
      </c>
      <c r="O53" s="91" t="n">
        <v>61</v>
      </c>
      <c r="P53" s="91" t="n">
        <v>70</v>
      </c>
      <c r="Q53" s="91" t="n">
        <v>70</v>
      </c>
      <c r="R53" s="91" t="n">
        <v>82.5</v>
      </c>
      <c r="S53" s="91" t="n">
        <v>82.5</v>
      </c>
      <c r="T53" s="91" t="n">
        <v>85.5</v>
      </c>
      <c r="U53" s="91" t="n">
        <v>90.5</v>
      </c>
      <c r="V53" s="91" t="n">
        <v>95.5</v>
      </c>
      <c r="W53" s="91" t="n">
        <v>97</v>
      </c>
      <c r="X53" s="91" t="n">
        <v>98</v>
      </c>
      <c r="Y53" s="91" t="n">
        <v>100</v>
      </c>
    </row>
    <row r="54" ht="15" customHeight="1" s="1">
      <c r="D54" s="41" t="n"/>
      <c r="E54" s="22" t="inlineStr">
        <is>
          <t>query time</t>
        </is>
      </c>
      <c r="F54" s="91" t="n">
        <v>0.6952223333333331</v>
      </c>
      <c r="G54" s="91" t="n">
        <v>0.6952223333333331</v>
      </c>
      <c r="H54" s="91" t="n">
        <v>0.769519916666667</v>
      </c>
      <c r="I54" s="91" t="n">
        <v>0.769519916666667</v>
      </c>
      <c r="J54" s="91" t="n">
        <v>0.802065933333333</v>
      </c>
      <c r="K54" s="91" t="n">
        <v>0.802065933333333</v>
      </c>
      <c r="L54" s="91" t="n">
        <v>0.840614183333333</v>
      </c>
      <c r="M54" s="91" t="n">
        <v>0.983466383333333</v>
      </c>
      <c r="N54" s="91" t="n">
        <v>1.09736606666667</v>
      </c>
      <c r="O54" s="91" t="n">
        <v>1.3048278</v>
      </c>
      <c r="P54" s="91" t="n">
        <v>1.7065919</v>
      </c>
      <c r="Q54" s="91" t="n">
        <v>1.7065919</v>
      </c>
      <c r="R54" s="91" t="n">
        <v>2.05966926666667</v>
      </c>
      <c r="S54" s="91" t="n">
        <v>2.05966926666667</v>
      </c>
      <c r="T54" s="91" t="n">
        <v>3.5460066</v>
      </c>
      <c r="U54" s="91" t="n">
        <v>4.89644948333333</v>
      </c>
      <c r="V54" s="91" t="n">
        <v>10.7765117333333</v>
      </c>
      <c r="W54" s="91" t="n">
        <v>19.7508237</v>
      </c>
      <c r="X54" s="91" t="n">
        <v>37.6738647166667</v>
      </c>
      <c r="Y54" s="91" t="n">
        <v>55.6170811833333</v>
      </c>
    </row>
    <row r="55" ht="15" customHeight="1" s="1">
      <c r="D55" s="41" t="inlineStr">
        <is>
          <t>V3DB（单次）</t>
        </is>
      </c>
      <c r="E55" s="22" t="inlineStr">
        <is>
          <t>Recall rate</t>
        </is>
      </c>
      <c r="F55" s="91" t="n">
        <v>32.5</v>
      </c>
      <c r="G55" s="91" t="n">
        <v>32.5</v>
      </c>
      <c r="H55" s="91" t="n">
        <v>32.5</v>
      </c>
      <c r="I55" s="91" t="n">
        <v>32.5</v>
      </c>
      <c r="J55" s="91" t="n">
        <v>35</v>
      </c>
      <c r="K55" s="91" t="n">
        <v>45.5</v>
      </c>
      <c r="L55" s="91" t="n">
        <v>45.5</v>
      </c>
      <c r="M55" s="91" t="n">
        <v>51.5</v>
      </c>
      <c r="N55" s="91" t="n">
        <v>58</v>
      </c>
      <c r="O55" s="95" t="n">
        <v>62.5</v>
      </c>
      <c r="P55" s="95" t="n">
        <v>65.5</v>
      </c>
      <c r="Q55" s="95" t="n">
        <v>72</v>
      </c>
      <c r="R55" s="95" t="n">
        <v>76</v>
      </c>
      <c r="S55" s="91" t="n"/>
      <c r="T55" s="91" t="n"/>
      <c r="U55" s="91" t="n"/>
      <c r="V55" s="91" t="n"/>
      <c r="W55" s="91" t="n"/>
      <c r="X55" s="91" t="n"/>
      <c r="Y55" s="91" t="n"/>
    </row>
    <row r="56" ht="36" customHeight="1" s="1">
      <c r="D56" s="41" t="n"/>
      <c r="E56" s="22" t="inlineStr">
        <is>
          <t>query time</t>
        </is>
      </c>
      <c r="F56" s="91" t="n">
        <v>58004.043308</v>
      </c>
      <c r="G56" s="91" t="n">
        <v>58004.043308</v>
      </c>
      <c r="H56" s="91" t="n">
        <v>58004.043308</v>
      </c>
      <c r="I56" s="91" t="n">
        <v>58004.043308</v>
      </c>
      <c r="J56" s="91" t="n">
        <v>58626.753393</v>
      </c>
      <c r="K56" s="91" t="n">
        <v>118898.04465</v>
      </c>
      <c r="L56" s="91" t="n">
        <v>118898.04465</v>
      </c>
      <c r="M56" s="91" t="n">
        <v>242087.284154</v>
      </c>
      <c r="N56" s="91" t="n">
        <v>525753.569964</v>
      </c>
      <c r="O56" s="97" t="n">
        <v>546727.954928051</v>
      </c>
      <c r="P56" s="97" t="n">
        <v>1148128.70534891</v>
      </c>
      <c r="Q56" s="97" t="n">
        <v>2405603.00168342</v>
      </c>
      <c r="R56" s="97" t="n">
        <v>2405603.00168342</v>
      </c>
      <c r="S56" s="91" t="n"/>
      <c r="T56" s="91" t="n"/>
      <c r="U56" s="91" t="n"/>
      <c r="V56" s="91" t="n"/>
      <c r="W56" s="91" t="n"/>
      <c r="X56" s="91" t="n"/>
      <c r="Y56" s="91" t="n"/>
    </row>
    <row r="57">
      <c r="D57" s="49" t="inlineStr">
        <is>
          <t>Chen13-MR</t>
        </is>
      </c>
      <c r="E57" s="34" t="inlineStr">
        <is>
          <t>Recall rate</t>
        </is>
      </c>
      <c r="F57" s="98" t="n"/>
      <c r="G57" s="98" t="n"/>
      <c r="H57" s="98" t="n"/>
      <c r="I57" s="98" t="n"/>
      <c r="J57" s="98" t="n"/>
      <c r="K57" s="98" t="n"/>
      <c r="L57" s="98" t="n"/>
      <c r="M57" s="98" t="n"/>
      <c r="N57" s="98" t="n"/>
      <c r="O57" s="98" t="n"/>
      <c r="P57" s="98" t="n"/>
      <c r="Q57" s="98" t="n"/>
      <c r="R57" s="98" t="n"/>
      <c r="S57" s="98" t="n"/>
      <c r="T57" s="98" t="n"/>
      <c r="U57" s="98" t="n"/>
      <c r="V57" s="98" t="n"/>
      <c r="W57" s="98" t="n"/>
      <c r="X57" s="98" t="n"/>
      <c r="Y57" s="98" t="n"/>
      <c r="Z57" s="92" t="n">
        <v>100</v>
      </c>
    </row>
    <row r="58">
      <c r="D58" s="41" t="n"/>
      <c r="E58" s="34" t="inlineStr">
        <is>
          <t>query time</t>
        </is>
      </c>
      <c r="F58" s="98" t="n"/>
      <c r="G58" s="98" t="n"/>
      <c r="H58" s="98" t="n"/>
      <c r="I58" s="98" t="n"/>
      <c r="J58" s="98" t="n"/>
      <c r="K58" s="98" t="n"/>
      <c r="L58" s="98" t="n"/>
      <c r="M58" s="98" t="n"/>
      <c r="N58" s="98" t="n"/>
      <c r="O58" s="98" t="n"/>
      <c r="P58" s="98" t="n"/>
      <c r="Q58" s="98" t="n"/>
      <c r="R58" s="98" t="n"/>
      <c r="S58" s="98" t="n"/>
      <c r="T58" s="98" t="n"/>
      <c r="U58" s="98" t="n"/>
      <c r="V58" s="98" t="n"/>
      <c r="W58" s="98" t="n"/>
      <c r="X58" s="98" t="n"/>
      <c r="Y58" s="98" t="n"/>
      <c r="Z58" s="92" t="n">
        <v>204.621311333333</v>
      </c>
    </row>
    <row r="59">
      <c r="D59" s="51" t="n"/>
    </row>
    <row r="60">
      <c r="D60" s="51" t="n"/>
    </row>
    <row r="62" customFormat="1" s="12"/>
    <row r="64">
      <c r="E64" s="15" t="inlineStr">
        <is>
          <t>Dataset size vs. VO size</t>
        </is>
      </c>
    </row>
    <row r="65"/>
    <row r="66" ht="30" customHeight="1" s="1">
      <c r="D66" s="52" t="inlineStr">
        <is>
          <t>NYTimes-256: real prefix subsets; 5M/10M not applicable</t>
        </is>
      </c>
      <c r="E66" s="39" t="n"/>
      <c r="F66" s="39" t="n"/>
      <c r="G66" s="39" t="n"/>
      <c r="H66" s="39" t="n"/>
      <c r="I66" s="39" t="n"/>
      <c r="J66" s="40" t="n"/>
    </row>
    <row r="67">
      <c r="D67" s="38" t="inlineStr">
        <is>
          <t>dataset size</t>
        </is>
      </c>
      <c r="E67" s="40" t="n"/>
      <c r="F67" s="22" t="inlineStr">
        <is>
          <t>10^5</t>
        </is>
      </c>
      <c r="G67" s="22" t="inlineStr">
        <is>
          <t>5*10^5</t>
        </is>
      </c>
      <c r="H67" s="22" t="inlineStr">
        <is>
          <t>10^6</t>
        </is>
      </c>
      <c r="I67" s="22" t="inlineStr">
        <is>
          <t>5*10^6</t>
        </is>
      </c>
      <c r="J67" s="22" t="inlineStr">
        <is>
          <t>10^7</t>
        </is>
      </c>
    </row>
    <row r="68">
      <c r="D68" s="38" t="inlineStr">
        <is>
          <t>VLAH</t>
        </is>
      </c>
      <c r="E68" s="40" t="n"/>
      <c r="F68" s="86" t="n">
        <v>17664.8286</v>
      </c>
      <c r="G68" s="86" t="inlineStr">
        <is>
          <t>不适用</t>
        </is>
      </c>
      <c r="H68" s="86" t="inlineStr">
        <is>
          <t>不适用</t>
        </is>
      </c>
      <c r="I68" s="86" t="inlineStr">
        <is>
          <t>不适用</t>
        </is>
      </c>
      <c r="J68" s="86" t="inlineStr">
        <is>
          <t>不适用</t>
        </is>
      </c>
    </row>
    <row r="69">
      <c r="D69" s="38" t="inlineStr">
        <is>
          <t>ANNProof*</t>
        </is>
      </c>
      <c r="E69" s="40" t="n"/>
      <c r="F69" s="122" t="n">
        <v>22772.9756</v>
      </c>
      <c r="G69" s="86" t="inlineStr">
        <is>
          <t>不适用</t>
        </is>
      </c>
      <c r="H69" s="86" t="inlineStr">
        <is>
          <t>不适用</t>
        </is>
      </c>
      <c r="I69" s="86" t="inlineStr">
        <is>
          <t>不适用</t>
        </is>
      </c>
      <c r="J69" s="86" t="inlineStr">
        <is>
          <t>不适用</t>
        </is>
      </c>
    </row>
    <row r="70" ht="15" customHeight="1" s="1">
      <c r="D70" s="38" t="inlineStr">
        <is>
          <t>Ours</t>
        </is>
      </c>
      <c r="E70" s="40" t="n"/>
      <c r="F70" s="91" t="n">
        <v>2368.6286</v>
      </c>
      <c r="G70" s="91" t="inlineStr">
        <is>
          <t>不适用</t>
        </is>
      </c>
      <c r="H70" s="91" t="inlineStr">
        <is>
          <t>不适用</t>
        </is>
      </c>
      <c r="I70" s="91" t="inlineStr">
        <is>
          <t>不适用</t>
        </is>
      </c>
      <c r="J70" s="91" t="inlineStr">
        <is>
          <t>不适用</t>
        </is>
      </c>
    </row>
    <row r="71" ht="15" customHeight="1" s="1">
      <c r="D71" s="38" t="inlineStr">
        <is>
          <t>V3DB（单次）</t>
        </is>
      </c>
      <c r="E71" s="40" t="n"/>
      <c r="F71" s="91" t="n">
        <v>204.78</v>
      </c>
      <c r="G71" s="91" t="n"/>
      <c r="H71" s="91" t="n"/>
      <c r="I71" s="91" t="n"/>
      <c r="J71" s="91" t="n"/>
    </row>
    <row r="72">
      <c r="D72" s="53" t="inlineStr">
        <is>
          <t>Chen13-MR</t>
        </is>
      </c>
      <c r="E72" s="40" t="n"/>
      <c r="F72" s="98" t="n"/>
      <c r="G72" s="98" t="n"/>
      <c r="H72" s="98" t="n"/>
      <c r="I72" s="98" t="n"/>
      <c r="J72" s="98" t="n"/>
      <c r="K72" s="36" t="n"/>
      <c r="L72" s="36" t="n"/>
      <c r="M72" s="36" t="n"/>
      <c r="N72" s="36" t="n"/>
      <c r="O72" s="36" t="n"/>
      <c r="P72" s="36" t="n"/>
      <c r="Q72" s="36" t="n"/>
      <c r="R72" s="36" t="n"/>
      <c r="S72" s="36" t="n"/>
      <c r="T72" s="36" t="n"/>
      <c r="U72" s="36" t="n"/>
      <c r="V72" s="36" t="n"/>
      <c r="W72" s="36" t="n"/>
      <c r="X72" s="36" t="n"/>
      <c r="Y72" s="36" t="n"/>
      <c r="Z72" s="36" t="n"/>
    </row>
    <row r="76">
      <c r="E76" s="15" t="inlineStr">
        <is>
          <t>Dataset size vs. Verify time</t>
        </is>
      </c>
    </row>
    <row r="77"/>
    <row r="78" ht="30" customHeight="1" s="1">
      <c r="D78" s="52" t="inlineStr">
        <is>
          <t>NYTimes-256: real prefix subsets; 5M/10M not applicable</t>
        </is>
      </c>
      <c r="E78" s="39" t="n"/>
      <c r="F78" s="39" t="n"/>
      <c r="G78" s="39" t="n"/>
      <c r="H78" s="39" t="n"/>
      <c r="I78" s="39" t="n"/>
      <c r="J78" s="40" t="n"/>
    </row>
    <row r="79">
      <c r="D79" s="38" t="inlineStr">
        <is>
          <t>dataset size</t>
        </is>
      </c>
      <c r="E79" s="40" t="n"/>
      <c r="F79" s="22" t="inlineStr">
        <is>
          <t>10^5</t>
        </is>
      </c>
      <c r="G79" s="22" t="inlineStr">
        <is>
          <t>5*10^5</t>
        </is>
      </c>
      <c r="H79" s="22" t="inlineStr">
        <is>
          <t>10^6</t>
        </is>
      </c>
      <c r="I79" s="22" t="inlineStr">
        <is>
          <t>5*10^6</t>
        </is>
      </c>
      <c r="J79" s="22" t="inlineStr">
        <is>
          <t>10^7</t>
        </is>
      </c>
    </row>
    <row r="80">
      <c r="D80" s="38" t="inlineStr">
        <is>
          <t>VLAH</t>
        </is>
      </c>
      <c r="E80" s="40" t="n"/>
      <c r="F80" s="86" t="n">
        <v>73.12613981666669</v>
      </c>
      <c r="G80" s="86" t="inlineStr">
        <is>
          <t>不适用</t>
        </is>
      </c>
      <c r="H80" s="86" t="inlineStr">
        <is>
          <t>不适用</t>
        </is>
      </c>
      <c r="I80" s="86" t="inlineStr">
        <is>
          <t>不适用</t>
        </is>
      </c>
      <c r="J80" s="86" t="inlineStr">
        <is>
          <t>不适用</t>
        </is>
      </c>
    </row>
    <row r="81">
      <c r="D81" s="38" t="inlineStr">
        <is>
          <t>ANNProof*</t>
        </is>
      </c>
      <c r="E81" s="40" t="n"/>
      <c r="F81" s="122" t="n">
        <v>141.700934025</v>
      </c>
      <c r="G81" s="86" t="inlineStr">
        <is>
          <t>不适用</t>
        </is>
      </c>
      <c r="H81" s="86" t="inlineStr">
        <is>
          <t>不适用</t>
        </is>
      </c>
      <c r="I81" s="86" t="inlineStr">
        <is>
          <t>不适用</t>
        </is>
      </c>
      <c r="J81" s="86" t="inlineStr">
        <is>
          <t>不适用</t>
        </is>
      </c>
    </row>
    <row r="82" ht="15" customHeight="1" s="1">
      <c r="D82" s="38" t="inlineStr">
        <is>
          <t>Ours</t>
        </is>
      </c>
      <c r="E82" s="40" t="n"/>
      <c r="F82" s="91" t="n">
        <v>40.9393915166667</v>
      </c>
      <c r="G82" s="91" t="inlineStr">
        <is>
          <t>不适用</t>
        </is>
      </c>
      <c r="H82" s="91" t="inlineStr">
        <is>
          <t>不适用</t>
        </is>
      </c>
      <c r="I82" s="91" t="inlineStr">
        <is>
          <t>不适用</t>
        </is>
      </c>
      <c r="J82" s="91" t="inlineStr">
        <is>
          <t>不适用</t>
        </is>
      </c>
    </row>
    <row r="83" ht="15" customHeight="1" s="1">
      <c r="D83" s="38" t="inlineStr">
        <is>
          <t>V3DB（单次）</t>
        </is>
      </c>
      <c r="E83" s="40" t="n"/>
      <c r="F83" s="91" t="n">
        <v>21.182078999118</v>
      </c>
      <c r="G83" s="91" t="n"/>
      <c r="H83" s="91" t="n"/>
      <c r="I83" s="91" t="n"/>
      <c r="J83" s="91" t="n"/>
    </row>
    <row r="84">
      <c r="D84" s="53" t="inlineStr">
        <is>
          <t>Chen13-MR</t>
        </is>
      </c>
      <c r="E84" s="40" t="n"/>
      <c r="F84" s="98" t="n"/>
      <c r="G84" s="98" t="n"/>
      <c r="H84" s="98" t="n"/>
      <c r="I84" s="98" t="n"/>
      <c r="J84" s="98" t="n"/>
      <c r="K84" s="36" t="n"/>
      <c r="L84" s="36" t="n"/>
      <c r="M84" s="36" t="n"/>
      <c r="N84" s="36" t="n"/>
      <c r="O84" s="36" t="n"/>
      <c r="P84" s="36" t="n"/>
      <c r="Q84" s="36" t="n"/>
      <c r="R84" s="36" t="n"/>
      <c r="S84" s="36" t="n"/>
      <c r="T84" s="36" t="n"/>
      <c r="U84" s="36" t="n"/>
      <c r="V84" s="36" t="n"/>
      <c r="W84" s="36" t="n"/>
      <c r="X84" s="36" t="n"/>
      <c r="Y84" s="36" t="n"/>
      <c r="Z84" s="36" t="n"/>
    </row>
    <row r="87">
      <c r="E87" s="15" t="inlineStr">
        <is>
          <t>Dataset size vs. query time</t>
        </is>
      </c>
    </row>
    <row r="88"/>
    <row r="89" ht="30" customHeight="1" s="1">
      <c r="D89" s="52" t="inlineStr">
        <is>
          <t>NYTimes-256: real prefix subsets; 5M/10M not applicable</t>
        </is>
      </c>
      <c r="E89" s="39" t="n"/>
      <c r="F89" s="39" t="n"/>
      <c r="G89" s="39" t="n"/>
      <c r="H89" s="39" t="n"/>
      <c r="I89" s="39" t="n"/>
      <c r="J89" s="40" t="n"/>
    </row>
    <row r="90">
      <c r="D90" s="38" t="inlineStr">
        <is>
          <t>dataset size</t>
        </is>
      </c>
      <c r="E90" s="40" t="n"/>
      <c r="F90" s="22" t="inlineStr">
        <is>
          <t>10^5</t>
        </is>
      </c>
      <c r="G90" s="22" t="inlineStr">
        <is>
          <t>5*10^5</t>
        </is>
      </c>
      <c r="H90" s="22" t="inlineStr">
        <is>
          <t>10^6</t>
        </is>
      </c>
      <c r="I90" s="22" t="inlineStr">
        <is>
          <t>5*10^6</t>
        </is>
      </c>
      <c r="J90" s="22" t="inlineStr">
        <is>
          <t>10^7</t>
        </is>
      </c>
    </row>
    <row r="91">
      <c r="D91" s="38" t="inlineStr">
        <is>
          <t>VLAH</t>
        </is>
      </c>
      <c r="E91" s="40" t="n"/>
      <c r="F91" s="86" t="n">
        <v>31.56787525</v>
      </c>
      <c r="G91" s="86" t="inlineStr">
        <is>
          <t>不适用</t>
        </is>
      </c>
      <c r="H91" s="86" t="inlineStr">
        <is>
          <t>不适用</t>
        </is>
      </c>
      <c r="I91" s="86" t="inlineStr">
        <is>
          <t>不适用</t>
        </is>
      </c>
      <c r="J91" s="86" t="inlineStr">
        <is>
          <t>不适用</t>
        </is>
      </c>
    </row>
    <row r="92">
      <c r="D92" s="38" t="inlineStr">
        <is>
          <t>ANNProof*</t>
        </is>
      </c>
      <c r="E92" s="40" t="n"/>
      <c r="F92" s="122" t="n">
        <v>27.80148858</v>
      </c>
      <c r="G92" s="86" t="inlineStr">
        <is>
          <t>不适用</t>
        </is>
      </c>
      <c r="H92" s="86" t="inlineStr">
        <is>
          <t>不适用</t>
        </is>
      </c>
      <c r="I92" s="86" t="inlineStr">
        <is>
          <t>不适用</t>
        </is>
      </c>
      <c r="J92" s="86" t="inlineStr">
        <is>
          <t>不适用</t>
        </is>
      </c>
    </row>
    <row r="93" ht="15" customHeight="1" s="1">
      <c r="D93" s="38" t="inlineStr">
        <is>
          <t>Ours</t>
        </is>
      </c>
      <c r="E93" s="40" t="n"/>
      <c r="F93" s="91" t="n">
        <v>20.45735275</v>
      </c>
      <c r="G93" s="91" t="inlineStr">
        <is>
          <t>不适用</t>
        </is>
      </c>
      <c r="H93" s="91" t="inlineStr">
        <is>
          <t>不适用</t>
        </is>
      </c>
      <c r="I93" s="91" t="inlineStr">
        <is>
          <t>不适用</t>
        </is>
      </c>
      <c r="J93" s="91" t="inlineStr">
        <is>
          <t>不适用</t>
        </is>
      </c>
    </row>
    <row r="94" ht="15" customHeight="1" s="1">
      <c r="D94" s="38" t="inlineStr">
        <is>
          <t>V3DB（单次）</t>
        </is>
      </c>
      <c r="E94" s="40" t="n"/>
      <c r="F94" s="91" t="n">
        <v>490476.277908999</v>
      </c>
      <c r="G94" s="91" t="n"/>
      <c r="H94" s="91" t="n"/>
      <c r="I94" s="91" t="n"/>
      <c r="J94" s="91" t="n"/>
    </row>
    <row r="95">
      <c r="D95" s="53" t="inlineStr">
        <is>
          <t>Chen13-MR</t>
        </is>
      </c>
      <c r="E95" s="40" t="n"/>
      <c r="F95" s="98" t="n"/>
      <c r="G95" s="98" t="n"/>
      <c r="H95" s="98" t="n"/>
      <c r="I95" s="98" t="n"/>
      <c r="J95" s="98" t="n"/>
      <c r="K95" s="36" t="n"/>
      <c r="L95" s="36" t="n"/>
      <c r="M95" s="36" t="n"/>
      <c r="N95" s="36" t="n"/>
      <c r="O95" s="36" t="n"/>
      <c r="P95" s="36" t="n"/>
      <c r="Q95" s="36" t="n"/>
      <c r="R95" s="36" t="n"/>
      <c r="S95" s="36" t="n"/>
      <c r="T95" s="36" t="n"/>
      <c r="U95" s="36" t="n"/>
      <c r="V95" s="36" t="n"/>
      <c r="W95" s="36" t="n"/>
      <c r="X95" s="36" t="n"/>
      <c r="Y95" s="36" t="n"/>
      <c r="Z95" s="36" t="n"/>
    </row>
    <row r="98" customFormat="1" s="12"/>
    <row r="100">
      <c r="E100" s="15" t="inlineStr">
        <is>
          <t>K vs. VO size (actual Recall@K logged)</t>
        </is>
      </c>
    </row>
    <row r="101"/>
    <row r="102">
      <c r="D102" s="38" t="inlineStr">
        <is>
          <t>NYTimes-256 (N=289,761, d=256)</t>
        </is>
      </c>
      <c r="E102" s="39" t="n"/>
      <c r="F102" s="39" t="n"/>
      <c r="G102" s="39" t="n"/>
      <c r="H102" s="39" t="n"/>
      <c r="I102" s="39" t="n"/>
      <c r="J102" s="39" t="n"/>
      <c r="K102" s="40" t="n"/>
    </row>
    <row r="103">
      <c r="D103" s="38" t="inlineStr">
        <is>
          <t>K</t>
        </is>
      </c>
      <c r="E103" s="40" t="n"/>
      <c r="F103" s="22" t="n">
        <v>1</v>
      </c>
      <c r="G103" s="22" t="n">
        <v>5</v>
      </c>
      <c r="H103" s="22" t="n">
        <v>10</v>
      </c>
      <c r="I103" s="22" t="n">
        <v>20</v>
      </c>
      <c r="J103" s="22" t="n">
        <v>50</v>
      </c>
      <c r="K103" s="22" t="n">
        <v>100</v>
      </c>
    </row>
    <row r="104">
      <c r="D104" s="38" t="inlineStr">
        <is>
          <t>VLAH</t>
        </is>
      </c>
      <c r="E104" s="40" t="n"/>
      <c r="F104" s="86" t="n">
        <v>135488.5868</v>
      </c>
      <c r="G104" s="86" t="n">
        <v>135488.6028</v>
      </c>
      <c r="H104" s="86" t="n">
        <v>135488.6228</v>
      </c>
      <c r="I104" s="86" t="n">
        <v>135488.6628</v>
      </c>
      <c r="J104" s="86" t="n">
        <v>135488.7828</v>
      </c>
      <c r="K104" s="86" t="n">
        <v>135488.9828</v>
      </c>
    </row>
    <row r="105">
      <c r="D105" s="38" t="inlineStr">
        <is>
          <t>ANNProof*</t>
        </is>
      </c>
      <c r="E105" s="40" t="n"/>
      <c r="F105" s="122" t="n">
        <v>13657.1372</v>
      </c>
      <c r="G105" s="122" t="n">
        <v>13661.5212</v>
      </c>
      <c r="H105" s="122" t="n">
        <v>13666.8252</v>
      </c>
      <c r="I105" s="122" t="n">
        <v>13676.9892</v>
      </c>
      <c r="J105" s="122" t="n">
        <v>13704.3452</v>
      </c>
      <c r="K105" s="122" t="n">
        <v>13744.0772</v>
      </c>
    </row>
    <row r="106" ht="15" customHeight="1" s="1">
      <c r="D106" s="38" t="inlineStr">
        <is>
          <t>Ours</t>
        </is>
      </c>
      <c r="E106" s="40" t="n"/>
      <c r="F106" s="91" t="n">
        <v>803.3574</v>
      </c>
      <c r="G106" s="91" t="n">
        <v>1033.0934</v>
      </c>
      <c r="H106" s="91" t="n">
        <v>1271.2486</v>
      </c>
      <c r="I106" s="91" t="n">
        <v>1445.0162</v>
      </c>
      <c r="J106" s="91" t="n">
        <v>1875.9198</v>
      </c>
      <c r="K106" s="91" t="n">
        <v>2233.7482</v>
      </c>
    </row>
    <row r="107" ht="36" customHeight="1" s="1">
      <c r="D107" s="38" t="inlineStr">
        <is>
          <t>V3DB（单次） †含预测</t>
        </is>
      </c>
      <c r="E107" s="40" t="n"/>
      <c r="F107" s="91" t="n">
        <v>232.836</v>
      </c>
      <c r="G107" s="96" t="n">
        <v>235.689342261764</v>
      </c>
      <c r="H107" s="96" t="n">
        <v>235.689342261764</v>
      </c>
      <c r="I107" s="96" t="n">
        <v>236</v>
      </c>
      <c r="J107" s="96" t="n">
        <v>236.878908109186</v>
      </c>
      <c r="K107" s="96" t="n">
        <v>237</v>
      </c>
    </row>
    <row r="108">
      <c r="D108" s="53" t="inlineStr">
        <is>
          <t>Chen13-MR</t>
        </is>
      </c>
      <c r="E108" s="40" t="n"/>
      <c r="F108" s="98" t="n"/>
      <c r="G108" s="98" t="n"/>
      <c r="H108" s="98" t="n"/>
      <c r="I108" s="98" t="n"/>
      <c r="J108" s="98" t="n"/>
      <c r="K108" s="98" t="n"/>
      <c r="L108" s="36" t="n"/>
      <c r="M108" s="36" t="n"/>
      <c r="N108" s="36" t="n"/>
      <c r="O108" s="36" t="n"/>
      <c r="P108" s="36" t="n"/>
      <c r="Q108" s="36" t="n"/>
      <c r="R108" s="36" t="n"/>
      <c r="S108" s="36" t="n"/>
      <c r="T108" s="36" t="n"/>
      <c r="U108" s="36" t="n"/>
      <c r="V108" s="36" t="n"/>
      <c r="W108" s="36" t="n"/>
      <c r="X108" s="36" t="n"/>
      <c r="Y108" s="36" t="n"/>
      <c r="Z108" s="36" t="n"/>
    </row>
    <row r="112">
      <c r="E112" s="15" t="inlineStr">
        <is>
          <t>K vs. Verify time</t>
        </is>
      </c>
    </row>
    <row r="113"/>
    <row r="114">
      <c r="D114" s="38" t="inlineStr">
        <is>
          <t>NYTimes-256 (N=289,761, d=256)</t>
        </is>
      </c>
      <c r="E114" s="39" t="n"/>
      <c r="F114" s="39" t="n"/>
      <c r="G114" s="39" t="n"/>
      <c r="H114" s="39" t="n"/>
      <c r="I114" s="39" t="n"/>
      <c r="J114" s="39" t="n"/>
      <c r="K114" s="40" t="n"/>
    </row>
    <row r="115">
      <c r="D115" s="38" t="inlineStr">
        <is>
          <t>K</t>
        </is>
      </c>
      <c r="E115" s="40" t="n"/>
      <c r="F115" s="22" t="n">
        <v>1</v>
      </c>
      <c r="G115" s="22" t="n">
        <v>5</v>
      </c>
      <c r="H115" s="22" t="n">
        <v>10</v>
      </c>
      <c r="I115" s="22" t="n">
        <v>20</v>
      </c>
      <c r="J115" s="22" t="n">
        <v>50</v>
      </c>
      <c r="K115" s="22" t="n">
        <v>100</v>
      </c>
    </row>
    <row r="116">
      <c r="D116" s="38" t="inlineStr">
        <is>
          <t>VLAH †含预测</t>
        </is>
      </c>
      <c r="E116" s="40" t="n"/>
      <c r="F116" s="99" t="n">
        <v>551.958416874972</v>
      </c>
      <c r="G116" s="99" t="n">
        <v>551.958416874972</v>
      </c>
      <c r="H116" s="99" t="n">
        <v>551.958416874972</v>
      </c>
      <c r="I116" s="99" t="n">
        <v>551.958416874972</v>
      </c>
      <c r="J116" s="99" t="n">
        <v>551.958416874972</v>
      </c>
      <c r="K116" s="99" t="n">
        <v>552</v>
      </c>
    </row>
    <row r="117">
      <c r="D117" s="38" t="inlineStr">
        <is>
          <t>ANNProof*</t>
        </is>
      </c>
      <c r="E117" s="40" t="n"/>
      <c r="F117" s="122" t="n">
        <v>92.26766095000001</v>
      </c>
      <c r="G117" s="122" t="n">
        <v>92.41247665</v>
      </c>
      <c r="H117" s="122" t="n">
        <v>92.824171225</v>
      </c>
      <c r="I117" s="122" t="n">
        <v>92.19518467499999</v>
      </c>
      <c r="J117" s="122" t="n">
        <v>93.215303775</v>
      </c>
      <c r="K117" s="122" t="n">
        <v>94.1695325</v>
      </c>
    </row>
    <row r="118" ht="15" customHeight="1" s="1">
      <c r="D118" s="38" t="inlineStr">
        <is>
          <t>Ours</t>
        </is>
      </c>
      <c r="E118" s="40" t="n"/>
      <c r="F118" s="91" t="n">
        <v>10.3712085166667</v>
      </c>
      <c r="G118" s="91" t="n">
        <v>16.2769371666667</v>
      </c>
      <c r="H118" s="91" t="n">
        <v>22.1618087833333</v>
      </c>
      <c r="I118" s="91" t="n">
        <v>25.8016828666667</v>
      </c>
      <c r="J118" s="91" t="n">
        <v>34.4756043666667</v>
      </c>
      <c r="K118" s="91" t="n">
        <v>39.6819354666667</v>
      </c>
    </row>
    <row r="119" ht="36" customHeight="1" s="1">
      <c r="D119" s="38" t="inlineStr">
        <is>
          <t>V3DB（单次） †含预测</t>
        </is>
      </c>
      <c r="E119" s="40" t="n"/>
      <c r="F119" s="96" t="n">
        <v>30.1600178798614</v>
      </c>
      <c r="G119" s="96" t="n">
        <v>30.2</v>
      </c>
      <c r="H119" s="96" t="n">
        <v>31.3744185583606</v>
      </c>
      <c r="I119" s="96" t="n">
        <v>31.3744185583606</v>
      </c>
      <c r="J119" s="96" t="n">
        <v>31.3744185583606</v>
      </c>
      <c r="K119" s="96" t="n">
        <v>31.4</v>
      </c>
    </row>
    <row r="120">
      <c r="D120" s="53" t="inlineStr">
        <is>
          <t>Chen13-MR</t>
        </is>
      </c>
      <c r="E120" s="40" t="n"/>
      <c r="F120" s="98" t="n"/>
      <c r="G120" s="98" t="n"/>
      <c r="H120" s="98" t="n"/>
      <c r="I120" s="98" t="n"/>
      <c r="J120" s="98" t="n"/>
      <c r="K120" s="98" t="n"/>
      <c r="L120" s="36" t="n"/>
      <c r="M120" s="36" t="n"/>
      <c r="N120" s="36" t="n"/>
      <c r="O120" s="36" t="n"/>
      <c r="P120" s="36" t="n"/>
      <c r="Q120" s="36" t="n"/>
      <c r="R120" s="36" t="n"/>
      <c r="S120" s="36" t="n"/>
      <c r="T120" s="36" t="n"/>
      <c r="U120" s="36" t="n"/>
      <c r="V120" s="36" t="n"/>
      <c r="W120" s="36" t="n"/>
      <c r="X120" s="36" t="n"/>
      <c r="Y120" s="36" t="n"/>
      <c r="Z120" s="36" t="n"/>
    </row>
    <row r="123">
      <c r="E123" s="15" t="inlineStr">
        <is>
          <t>K vs. Query time (includes VO generation)</t>
        </is>
      </c>
    </row>
    <row r="124"/>
    <row r="125">
      <c r="D125" s="38" t="inlineStr">
        <is>
          <t>NYTimes-256 (N=289,761, d=256)</t>
        </is>
      </c>
      <c r="E125" s="39" t="n"/>
      <c r="F125" s="39" t="n"/>
      <c r="G125" s="39" t="n"/>
      <c r="H125" s="39" t="n"/>
      <c r="I125" s="39" t="n"/>
      <c r="J125" s="39" t="n"/>
      <c r="K125" s="40" t="n"/>
    </row>
    <row r="126">
      <c r="D126" s="38" t="inlineStr">
        <is>
          <t>K</t>
        </is>
      </c>
      <c r="E126" s="40" t="n"/>
      <c r="F126" s="22" t="n">
        <v>1</v>
      </c>
      <c r="G126" s="22" t="n">
        <v>5</v>
      </c>
      <c r="H126" s="22" t="n">
        <v>10</v>
      </c>
      <c r="I126" s="22" t="n">
        <v>20</v>
      </c>
      <c r="J126" s="22" t="n">
        <v>50</v>
      </c>
      <c r="K126" s="22" t="n">
        <v>100</v>
      </c>
    </row>
    <row r="127">
      <c r="D127" s="38" t="inlineStr">
        <is>
          <t>VLAH †含预测</t>
        </is>
      </c>
      <c r="E127" s="40" t="n"/>
      <c r="F127" s="86" t="n">
        <v>295.26614955</v>
      </c>
      <c r="G127" s="86" t="n">
        <v>296.0646922</v>
      </c>
      <c r="H127" s="86" t="n">
        <v>296.208391566667</v>
      </c>
      <c r="I127" s="99" t="n">
        <v>297</v>
      </c>
      <c r="J127" s="99" t="n">
        <v>297.449635441482</v>
      </c>
      <c r="K127" s="86" t="n">
        <v>300.96242795</v>
      </c>
    </row>
    <row r="128">
      <c r="D128" s="38" t="inlineStr">
        <is>
          <t>ANNProof*</t>
        </is>
      </c>
      <c r="E128" s="40" t="n"/>
      <c r="F128" s="122" t="n">
        <v>18.00640854</v>
      </c>
      <c r="G128" s="122" t="n">
        <v>17.5941087</v>
      </c>
      <c r="H128" s="122" t="n">
        <v>17.69821874</v>
      </c>
      <c r="I128" s="122" t="n">
        <v>17.83575048</v>
      </c>
      <c r="J128" s="122" t="n">
        <v>17.803692</v>
      </c>
      <c r="K128" s="122" t="n">
        <v>17.81006524</v>
      </c>
    </row>
    <row r="129" ht="15" customHeight="1" s="1">
      <c r="D129" s="38" t="inlineStr">
        <is>
          <t>Ours</t>
        </is>
      </c>
      <c r="E129" s="40" t="n"/>
      <c r="F129" s="91" t="n">
        <v>7.70907898333333</v>
      </c>
      <c r="G129" s="91" t="n">
        <v>9.274682500000001</v>
      </c>
      <c r="H129" s="91" t="n">
        <v>10.8469290166667</v>
      </c>
      <c r="I129" s="91" t="n">
        <v>11.9913693833333</v>
      </c>
      <c r="J129" s="91" t="n">
        <v>14.3016029333333</v>
      </c>
      <c r="K129" s="91" t="n">
        <v>16.0406685</v>
      </c>
    </row>
    <row r="130" ht="36" customHeight="1" s="1">
      <c r="D130" s="38" t="inlineStr">
        <is>
          <t>V3DB（单次） †含预测</t>
        </is>
      </c>
      <c r="E130" s="40" t="n"/>
      <c r="F130" s="91" t="n">
        <v>497518.470578999</v>
      </c>
      <c r="G130" s="91" t="n">
        <v>500123.765209001</v>
      </c>
      <c r="H130" s="96" t="n">
        <v>505550.452096451</v>
      </c>
      <c r="I130" s="96" t="n">
        <v>505550.452096451</v>
      </c>
      <c r="J130" s="96" t="n">
        <v>505550.452096451</v>
      </c>
      <c r="K130" s="96" t="n">
        <v>506000</v>
      </c>
    </row>
    <row r="131">
      <c r="D131" s="53" t="inlineStr">
        <is>
          <t>Chen13-MR</t>
        </is>
      </c>
      <c r="E131" s="40" t="n"/>
      <c r="F131" s="98" t="n"/>
      <c r="G131" s="98" t="n"/>
      <c r="H131" s="98" t="n"/>
      <c r="I131" s="98" t="n"/>
      <c r="J131" s="98" t="n"/>
      <c r="K131" s="98" t="n"/>
      <c r="L131" s="36" t="n"/>
      <c r="M131" s="36" t="n"/>
      <c r="N131" s="36" t="n"/>
      <c r="O131" s="36" t="n"/>
      <c r="P131" s="36" t="n"/>
      <c r="Q131" s="36" t="n"/>
      <c r="R131" s="36" t="n"/>
      <c r="S131" s="36" t="n"/>
      <c r="T131" s="36" t="n"/>
      <c r="U131" s="36" t="n"/>
      <c r="V131" s="36" t="n"/>
      <c r="W131" s="36" t="n"/>
      <c r="X131" s="36" t="n"/>
      <c r="Y131" s="36" t="n"/>
      <c r="Z131" s="36" t="n"/>
    </row>
    <row r="133" customFormat="1" s="12"/>
    <row r="136">
      <c r="D136" s="57" t="inlineStr">
        <is>
          <t>Ablation Study 
（Ours: (i)progressive quantization, 
(ii) verification-decoupled traversal, 
(iii) expansion-centric authentication.）</t>
        </is>
      </c>
      <c r="E136" s="58" t="n"/>
      <c r="F136" s="58" t="n"/>
      <c r="G136" s="58" t="n"/>
      <c r="H136" s="58" t="n"/>
      <c r="I136" s="59" t="n"/>
    </row>
    <row r="137">
      <c r="D137" s="60" t="n"/>
      <c r="I137" s="61" t="n"/>
    </row>
    <row r="138">
      <c r="D138" s="60" t="n"/>
      <c r="I138" s="61" t="n"/>
    </row>
    <row r="139">
      <c r="D139" s="62" t="n"/>
      <c r="E139" s="63" t="n"/>
      <c r="F139" s="63" t="n"/>
      <c r="G139" s="63" t="n"/>
      <c r="H139" s="63" t="n"/>
      <c r="I139" s="64" t="n"/>
    </row>
    <row r="140">
      <c r="D140" s="65" t="n"/>
      <c r="E140" s="64" t="n"/>
      <c r="F140" s="66" t="inlineStr">
        <is>
          <t>Recall@10</t>
        </is>
      </c>
      <c r="G140" s="67" t="inlineStr">
        <is>
          <t>Query Time (ms)</t>
        </is>
      </c>
      <c r="H140" s="67" t="inlineStr">
        <is>
          <t>VO Size (KB)</t>
        </is>
      </c>
      <c r="I140" s="68" t="inlineStr">
        <is>
          <t>Verify Time (ms)</t>
        </is>
      </c>
    </row>
    <row r="141">
      <c r="D141" s="69" t="inlineStr">
        <is>
          <t>Merkle+IVF</t>
        </is>
      </c>
      <c r="E141" s="70" t="n"/>
      <c r="F141" s="100" t="n">
        <v>0.96</v>
      </c>
      <c r="G141" s="123" t="n">
        <v>897.470651166667</v>
      </c>
      <c r="H141" s="123" t="n">
        <v>171156.1546</v>
      </c>
      <c r="I141" s="123" t="n">
        <v>913.826305316667</v>
      </c>
    </row>
    <row r="142">
      <c r="D142" s="69" t="inlineStr">
        <is>
          <t>Merkle+HNSW</t>
        </is>
      </c>
      <c r="E142" s="70" t="n"/>
      <c r="F142" s="100" t="n">
        <v>0.96</v>
      </c>
      <c r="G142" s="123" t="n">
        <v>44.24996445</v>
      </c>
      <c r="H142" s="123" t="n">
        <v>9233.227000000001</v>
      </c>
      <c r="I142" s="123" t="n">
        <v>58.7405594666667</v>
      </c>
    </row>
    <row r="143">
      <c r="D143" s="69" t="inlineStr">
        <is>
          <t>Merkle+IVF+(i)</t>
        </is>
      </c>
      <c r="E143" s="70" t="n"/>
      <c r="F143" s="100" t="n">
        <v>0.96</v>
      </c>
      <c r="G143" s="123" t="n">
        <v>223.033000433333</v>
      </c>
      <c r="H143" s="123" t="n">
        <v>34822.193</v>
      </c>
      <c r="I143" s="123" t="n">
        <v>909.57802055</v>
      </c>
    </row>
    <row r="144">
      <c r="D144" s="69" t="inlineStr">
        <is>
          <t>Merkle+HNSW+(i)</t>
        </is>
      </c>
      <c r="E144" s="70" t="n"/>
      <c r="F144" s="100" t="n">
        <v>0.96</v>
      </c>
      <c r="G144" s="123" t="n">
        <v>39.5950298666667</v>
      </c>
      <c r="H144" s="123" t="n">
        <v>7321.6886</v>
      </c>
      <c r="I144" s="123" t="n">
        <v>109.0550328</v>
      </c>
    </row>
    <row r="145">
      <c r="D145" s="69" t="inlineStr">
        <is>
          <t>(i)+(ii)</t>
        </is>
      </c>
      <c r="E145" s="70" t="n"/>
      <c r="F145" s="100" t="n">
        <v>0.955</v>
      </c>
      <c r="G145" s="123" t="n">
        <v>17.1721145</v>
      </c>
      <c r="H145" s="123" t="n">
        <v>2504.2254</v>
      </c>
      <c r="I145" s="123" t="n">
        <v>46.6341235666667</v>
      </c>
    </row>
    <row r="146">
      <c r="D146" s="69" t="inlineStr">
        <is>
          <t>(i)+(ii)+(iii)</t>
        </is>
      </c>
      <c r="E146" s="70" t="n"/>
      <c r="F146" s="100" t="n">
        <v>0.955</v>
      </c>
      <c r="G146" s="123" t="n">
        <v>10.9337633333333</v>
      </c>
      <c r="H146" s="123" t="n">
        <v>1271.2486</v>
      </c>
      <c r="I146" s="123" t="n">
        <v>21.8082549833333</v>
      </c>
    </row>
    <row r="147" ht="36" customHeight="1" s="1">
      <c r="D147" s="69" t="inlineStr">
        <is>
          <t>V3DB baseline（单次）</t>
        </is>
      </c>
      <c r="E147" s="70" t="n"/>
      <c r="F147" s="102" t="n">
        <v>0.58</v>
      </c>
      <c r="G147" s="91" t="n">
        <v>525753.569964</v>
      </c>
      <c r="H147" s="91" t="n">
        <v>236.43</v>
      </c>
      <c r="I147" s="91" t="n">
        <v>69.6683460000713</v>
      </c>
    </row>
    <row r="148">
      <c r="D148" s="69" t="inlineStr">
        <is>
          <t>Chen13-MR（外部参考）</t>
        </is>
      </c>
      <c r="E148" s="70" t="n"/>
      <c r="F148" s="103" t="n">
        <v>1</v>
      </c>
      <c r="G148" s="92" t="n">
        <v>204.621311333333</v>
      </c>
      <c r="H148" s="92" t="n">
        <v>282958.9249</v>
      </c>
      <c r="I148" s="92" t="n">
        <v>243.191143033333</v>
      </c>
    </row>
    <row r="152" ht="28" customHeight="1" s="1">
      <c r="D152" s="104" t="inlineStr">
        <is>
          <t>Impact of quantization configurations（固定 SQ4 top-1 graph traversal）</t>
        </is>
      </c>
    </row>
    <row r="153" ht="30" customHeight="1" s="1">
      <c r="D153" s="14" t="inlineStr">
        <is>
          <t>实测；N=289,761, k=10, M=16, efConstruction=200, E=256。20条固定查询（100–119）×3次重复，单线程；只改变 refinement。Q=遍历+候选精确排序+真实VO生成；V=解码+认证+重放+渐进检查；KB=1000 bytes。Recall用于核对四种配置答案一致；结果与其他表可能因查询样本量/本次运行环境不同而有差异。</t>
        </is>
      </c>
    </row>
    <row r="154" ht="24" customHeight="1" s="1"/>
    <row r="155" ht="30" customHeight="1" s="1">
      <c r="D155" s="105" t="inlineStr">
        <is>
          <t>Configuration</t>
        </is>
      </c>
      <c r="E155" s="105" t="inlineStr">
        <is>
          <t>Recall@10</t>
        </is>
      </c>
      <c r="F155" s="105" t="inlineStr">
        <is>
          <t>Q (ms)</t>
        </is>
      </c>
      <c r="G155" s="105" t="inlineStr">
        <is>
          <t>VO (KB)</t>
        </is>
      </c>
      <c r="H155" s="105" t="inlineStr">
        <is>
          <t>V (ms)</t>
        </is>
      </c>
      <c r="I155" s="105" t="inlineStr">
        <is>
          <t>Search (ms)</t>
        </is>
      </c>
      <c r="J155" s="105" t="inlineStr">
        <is>
          <t>VO gen (ms)</t>
        </is>
      </c>
      <c r="K155" s="105" t="inlineStr">
        <is>
          <t>Samples</t>
        </is>
      </c>
    </row>
    <row r="156" ht="32" customHeight="1" s="1">
      <c r="D156" s="106" t="inlineStr">
        <is>
          <t>SQ4--raw</t>
        </is>
      </c>
      <c r="E156" s="107" t="n">
        <v>0.955</v>
      </c>
      <c r="F156" s="108" t="n">
        <v>17.50148676666667</v>
      </c>
      <c r="G156" s="108" t="n">
        <v>3093.103</v>
      </c>
      <c r="H156" s="108" t="n">
        <v>35.82483788333333</v>
      </c>
      <c r="I156" s="108" t="n">
        <v>5.053503966666667</v>
      </c>
      <c r="J156" s="108" t="n">
        <v>12.4479828</v>
      </c>
      <c r="K156" s="109" t="n">
        <v>60</v>
      </c>
    </row>
    <row r="157" ht="32" customHeight="1" s="1">
      <c r="D157" s="110" t="inlineStr">
        <is>
          <t>SQ4--SQ6--raw</t>
        </is>
      </c>
      <c r="E157" s="111" t="n">
        <v>0.955</v>
      </c>
      <c r="F157" s="112" t="n">
        <v>10.47285678333333</v>
      </c>
      <c r="G157" s="112" t="n">
        <v>1271.2486</v>
      </c>
      <c r="H157" s="112" t="n">
        <v>21.52474075</v>
      </c>
      <c r="I157" s="112" t="n">
        <v>5.027408766666666</v>
      </c>
      <c r="J157" s="112" t="n">
        <v>5.445448016666666</v>
      </c>
      <c r="K157" s="113" t="n">
        <v>60</v>
      </c>
    </row>
    <row r="158" ht="32" customHeight="1" s="1">
      <c r="D158" s="106" t="inlineStr">
        <is>
          <t>SQ4--SQ8--raw</t>
        </is>
      </c>
      <c r="E158" s="107" t="n">
        <v>0.955</v>
      </c>
      <c r="F158" s="108" t="n">
        <v>10.56648888333333</v>
      </c>
      <c r="G158" s="108" t="n">
        <v>1331.1506</v>
      </c>
      <c r="H158" s="108" t="n">
        <v>21.15160301666667</v>
      </c>
      <c r="I158" s="108" t="n">
        <v>5.0121616</v>
      </c>
      <c r="J158" s="108" t="n">
        <v>5.554327283333333</v>
      </c>
      <c r="K158" s="109" t="n">
        <v>60</v>
      </c>
    </row>
    <row r="159" ht="32" customHeight="1" s="1">
      <c r="D159" s="106" t="inlineStr">
        <is>
          <t>SQ4--SQ6--SQ8--raw</t>
        </is>
      </c>
      <c r="E159" s="107" t="n">
        <v>0.955</v>
      </c>
      <c r="F159" s="108" t="n">
        <v>10.73577061666667</v>
      </c>
      <c r="G159" s="108" t="n">
        <v>1229.2834</v>
      </c>
      <c r="H159" s="108" t="n">
        <v>21.46596728333333</v>
      </c>
      <c r="I159" s="108" t="n">
        <v>5.0614565</v>
      </c>
      <c r="J159" s="108" t="n">
        <v>5.674314116666666</v>
      </c>
      <c r="K159" s="109" t="n">
        <v>60</v>
      </c>
    </row>
    <row r="163">
      <c r="D163" s="104" t="inlineStr">
        <is>
          <t>VO breakdown（k=10，KB=1000 bytes）</t>
        </is>
      </c>
    </row>
    <row r="164" ht="25" customHeight="1" s="1">
      <c r="D164" s="14" t="inlineStr">
        <is>
          <t>N=289,761, d=256；20查询×3重复；T+A=完整VO。T包含向量/ID/邻接表/MBB剪枝证据及一般控制字段；A包含query绑定哈希、独立认证证明及其编码（VLAH包含完整认证路由证明）。Result-only为10条原始向量及ID，无认证或协议头。ANNProof*的T/A按历史要求各×2，属于派生展示值，原始实测拆分保存在右侧；其他方法不乘系数。IVF-ADS/HNSW-ADS分别为原Merkle+IVF/Merkle+HNSW消融，使用各自约95%召回配置；MR-tree是100%精确检索。</t>
        </is>
      </c>
    </row>
    <row r="165" ht="25" customHeight="1" s="1"/>
    <row r="166" ht="25" customHeight="1" s="1"/>
    <row r="167">
      <c r="D167" s="129" t="inlineStr">
        <is>
          <t>Method</t>
        </is>
      </c>
      <c r="E167" s="129" t="inlineStr">
        <is>
          <t>Recall@10</t>
        </is>
      </c>
      <c r="F167" s="129" t="inlineStr">
        <is>
          <t>T (KB)</t>
        </is>
      </c>
      <c r="G167" s="129" t="inlineStr">
        <is>
          <t>A (KB)</t>
        </is>
      </c>
      <c r="H167" s="129" t="inlineStr">
        <is>
          <t>Total (KB)</t>
        </is>
      </c>
      <c r="I167" s="129" t="inlineStr">
        <is>
          <t>Raw T (KB)</t>
        </is>
      </c>
      <c r="J167" s="129" t="inlineStr">
        <is>
          <t>Raw A (KB)</t>
        </is>
      </c>
      <c r="K167" s="129" t="inlineStr">
        <is>
          <t>VO factor</t>
        </is>
      </c>
    </row>
    <row r="168">
      <c r="D168" s="0" t="inlineStr">
        <is>
          <t>Result-only</t>
        </is>
      </c>
      <c r="F168" s="134" t="n">
        <v>10.28</v>
      </c>
      <c r="H168" s="134" t="n">
        <v>10.28</v>
      </c>
    </row>
    <row r="169" ht="26" customHeight="1" s="1">
      <c r="D169" s="130" t="inlineStr">
        <is>
          <t>MR-tree</t>
        </is>
      </c>
      <c r="E169" s="131" t="n">
        <v>1</v>
      </c>
      <c r="F169" s="135" t="n">
        <v>282958.6449</v>
      </c>
      <c r="G169" s="136" t="n">
        <v>0.28</v>
      </c>
      <c r="H169" s="135" t="n">
        <v>282958.9249</v>
      </c>
      <c r="I169" s="135" t="n">
        <v>282958.6449</v>
      </c>
      <c r="J169" s="136" t="n">
        <v>0.28</v>
      </c>
      <c r="K169" s="133" t="n">
        <v>1</v>
      </c>
    </row>
    <row r="170" ht="26" customHeight="1" s="1">
      <c r="D170" s="130" t="inlineStr">
        <is>
          <t>ANNProof*</t>
        </is>
      </c>
      <c r="E170" s="131" t="n">
        <v>0.95</v>
      </c>
      <c r="F170" s="135" t="n">
        <v>11670.3532</v>
      </c>
      <c r="G170" s="135" t="n">
        <v>1996.472</v>
      </c>
      <c r="H170" s="135" t="n">
        <v>13666.8252</v>
      </c>
      <c r="I170" s="135" t="n">
        <v>5835.1766</v>
      </c>
      <c r="J170" s="136" t="n">
        <v>998.236</v>
      </c>
      <c r="K170" s="133" t="n">
        <v>2</v>
      </c>
    </row>
    <row r="171" ht="26" customHeight="1" s="1">
      <c r="D171" s="130" t="inlineStr">
        <is>
          <t>VLAH</t>
        </is>
      </c>
      <c r="E171" s="131" t="n">
        <v>0.9600000000000001</v>
      </c>
      <c r="F171" s="135" t="n">
        <v>131354.5168</v>
      </c>
      <c r="G171" s="135" t="n">
        <v>4134.106</v>
      </c>
      <c r="H171" s="135" t="n">
        <v>135488.6228</v>
      </c>
      <c r="I171" s="135" t="n">
        <v>131354.5168</v>
      </c>
      <c r="J171" s="135" t="n">
        <v>4134.106</v>
      </c>
      <c r="K171" s="133" t="n">
        <v>1</v>
      </c>
    </row>
    <row r="172" ht="26" customHeight="1" s="1">
      <c r="D172" s="130" t="inlineStr">
        <is>
          <t>IVF-ADS</t>
        </is>
      </c>
      <c r="E172" s="131" t="n">
        <v>0.9600000000000001</v>
      </c>
      <c r="F172" s="135" t="n">
        <v>168055.8954</v>
      </c>
      <c r="G172" s="135" t="n">
        <v>3100.2592</v>
      </c>
      <c r="H172" s="135" t="n">
        <v>171156.1546</v>
      </c>
      <c r="I172" s="135" t="n">
        <v>168055.8954</v>
      </c>
      <c r="J172" s="135" t="n">
        <v>3100.2592</v>
      </c>
      <c r="K172" s="133" t="n">
        <v>1</v>
      </c>
    </row>
    <row r="173" ht="26" customHeight="1" s="1">
      <c r="D173" s="130" t="inlineStr">
        <is>
          <t>HNSW-ADS</t>
        </is>
      </c>
      <c r="E173" s="131" t="n">
        <v>0.9600000000000001</v>
      </c>
      <c r="F173" s="135" t="n">
        <v>8331.885400000001</v>
      </c>
      <c r="G173" s="136" t="n">
        <v>901.3416</v>
      </c>
      <c r="H173" s="135" t="n">
        <v>9233.227000000001</v>
      </c>
      <c r="I173" s="135" t="n">
        <v>8331.885400000001</v>
      </c>
      <c r="J173" s="136" t="n">
        <v>901.3416</v>
      </c>
      <c r="K173" s="133" t="n">
        <v>1</v>
      </c>
    </row>
    <row r="174">
      <c r="D174" s="137" t="inlineStr">
        <is>
          <t>QVANN (Ours)</t>
        </is>
      </c>
      <c r="E174" s="138" t="n">
        <v>0.955</v>
      </c>
      <c r="F174" s="139" t="n">
        <v>870.939</v>
      </c>
      <c r="G174" s="139" t="n">
        <v>400.3096</v>
      </c>
      <c r="H174" s="141" t="n">
        <v>1271.2486</v>
      </c>
      <c r="I174" s="139" t="n">
        <v>870.939</v>
      </c>
      <c r="J174" s="139" t="n">
        <v>400.3096</v>
      </c>
      <c r="K174" s="140" t="n">
        <v>1</v>
      </c>
    </row>
  </sheetData>
  <mergeCells count="86">
    <mergeCell ref="E123:K124"/>
    <mergeCell ref="D21:D22"/>
    <mergeCell ref="F168:G168"/>
    <mergeCell ref="D84:E84"/>
    <mergeCell ref="E32:O33"/>
    <mergeCell ref="D108:E108"/>
    <mergeCell ref="D20:P20"/>
    <mergeCell ref="D141:E141"/>
    <mergeCell ref="D70:E70"/>
    <mergeCell ref="D163:K163"/>
    <mergeCell ref="E18:O19"/>
    <mergeCell ref="D72:E72"/>
    <mergeCell ref="D71:E71"/>
    <mergeCell ref="D127:E127"/>
    <mergeCell ref="D153:K154"/>
    <mergeCell ref="D66:J66"/>
    <mergeCell ref="D164:K166"/>
    <mergeCell ref="D148:E148"/>
    <mergeCell ref="D49:D50"/>
    <mergeCell ref="D115:E115"/>
    <mergeCell ref="D27:D28"/>
    <mergeCell ref="D90:E90"/>
    <mergeCell ref="D131:E131"/>
    <mergeCell ref="D140:E140"/>
    <mergeCell ref="D89:J89"/>
    <mergeCell ref="E87:K88"/>
    <mergeCell ref="D34:P34"/>
    <mergeCell ref="D126:E126"/>
    <mergeCell ref="D53:D54"/>
    <mergeCell ref="E76:K77"/>
    <mergeCell ref="D103:E103"/>
    <mergeCell ref="D25:D26"/>
    <mergeCell ref="D37:D38"/>
    <mergeCell ref="D55:D56"/>
    <mergeCell ref="D118:E118"/>
    <mergeCell ref="D39:D40"/>
    <mergeCell ref="E100:K101"/>
    <mergeCell ref="D142:E142"/>
    <mergeCell ref="D48:P48"/>
    <mergeCell ref="D23:D24"/>
    <mergeCell ref="D129:E129"/>
    <mergeCell ref="D79:E79"/>
    <mergeCell ref="D144:E144"/>
    <mergeCell ref="D128:E128"/>
    <mergeCell ref="D81:E81"/>
    <mergeCell ref="E64:K65"/>
    <mergeCell ref="D105:E105"/>
    <mergeCell ref="D57:D58"/>
    <mergeCell ref="D120:E120"/>
    <mergeCell ref="D41:D42"/>
    <mergeCell ref="D107:E107"/>
    <mergeCell ref="D116:E116"/>
    <mergeCell ref="D91:E91"/>
    <mergeCell ref="D7:H7"/>
    <mergeCell ref="D43:D44"/>
    <mergeCell ref="D106:E106"/>
    <mergeCell ref="D125:K125"/>
    <mergeCell ref="D146:E146"/>
    <mergeCell ref="D93:E93"/>
    <mergeCell ref="D136:I139"/>
    <mergeCell ref="D29:D30"/>
    <mergeCell ref="D83:E83"/>
    <mergeCell ref="D143:E143"/>
    <mergeCell ref="D117:E117"/>
    <mergeCell ref="D92:E92"/>
    <mergeCell ref="D114:K114"/>
    <mergeCell ref="D67:E67"/>
    <mergeCell ref="D94:E94"/>
    <mergeCell ref="D69:E69"/>
    <mergeCell ref="E5:K6"/>
    <mergeCell ref="D119:E119"/>
    <mergeCell ref="E46:O47"/>
    <mergeCell ref="D80:E80"/>
    <mergeCell ref="D95:E95"/>
    <mergeCell ref="D104:E104"/>
    <mergeCell ref="D145:E145"/>
    <mergeCell ref="D147:E147"/>
    <mergeCell ref="D102:K102"/>
    <mergeCell ref="D130:E130"/>
    <mergeCell ref="D68:E68"/>
    <mergeCell ref="D152:K152"/>
    <mergeCell ref="D82:E82"/>
    <mergeCell ref="D51:D52"/>
    <mergeCell ref="E112:K113"/>
    <mergeCell ref="D78:J78"/>
    <mergeCell ref="D35:D36"/>
  </mergeCells>
  <hyperlinks>
    <hyperlink xmlns:r="http://schemas.openxmlformats.org/officeDocument/2006/relationships" ref="E8" display="Recall@10" r:id="rId1"/>
    <hyperlink xmlns:r="http://schemas.openxmlformats.org/officeDocument/2006/relationships" ref="F126" tooltip="mailto:Recall@10" display="1" r:id="rId2"/>
  </hyperlink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Z174"/>
  <sheetViews>
    <sheetView zoomScale="130" zoomScaleNormal="130" workbookViewId="0">
      <pane xSplit="5" ySplit="8" topLeftCell="F165" activePane="bottomRight" state="frozen"/>
      <selection activeCell="A1" sqref="A1"/>
      <selection pane="topRight" activeCell="A1" sqref="A1"/>
      <selection pane="bottomLeft" activeCell="A1" sqref="A1"/>
      <selection pane="bottomRight" activeCell="D140" sqref="D140:I148"/>
    </sheetView>
  </sheetViews>
  <sheetFormatPr baseColWidth="8" defaultColWidth="8.800000000000001" defaultRowHeight="13.5"/>
  <cols>
    <col width="13" customWidth="1" style="1" min="6" max="16"/>
    <col width="19" customWidth="1" style="1" min="26" max="26"/>
  </cols>
  <sheetData>
    <row r="1" ht="45" customHeight="1" s="1">
      <c r="A1" s="13" t="inlineStr">
        <is>
          <t>All query time includes the vo generation time | †预测：橙色红字为趋势预测修订，非实测；绿色为已有配置重选。原始数据见备份及趋势修订记录。</t>
        </is>
      </c>
    </row>
    <row r="3">
      <c r="A3" s="0" t="inlineStr">
        <is>
          <t>Query/verify time: ms; VO: KB (1000 bytes); recall: %; Query Time includes VO generation.</t>
        </is>
      </c>
    </row>
    <row r="4" ht="60" customHeight="1" s="1">
      <c r="A4" s="14" t="inlineStr">
        <is>
          <t>VLAH、ANNProof、Ours维持原默认约95%召回率及原实测数据。只有V3DB采用本机可运行的低Recall@10默认配置。低召回率扩展仅用于Recall@10曲线；不同默认召回率不视为等质量比较。
橙色*为512GiB单线程条件预测，†为既有20查询搜索校准召回；不是512GiB机器实测。超规划内存/无校准依据的缺项留空，见V3DB512GiB说明。</t>
        </is>
      </c>
    </row>
    <row r="5">
      <c r="E5" s="15" t="inlineStr">
        <is>
          <t>Overall Table</t>
        </is>
      </c>
    </row>
    <row r="6" ht="14.25" customHeight="1" s="1"/>
    <row r="7">
      <c r="D7" s="16" t="inlineStr">
        <is>
          <t>GloVe-100 (N=1,183,514, d=100)</t>
        </is>
      </c>
      <c r="E7" s="17" t="n"/>
      <c r="F7" s="17" t="n"/>
      <c r="G7" s="17" t="n"/>
      <c r="H7" s="18" t="n"/>
      <c r="I7" s="19" t="n"/>
      <c r="J7" s="19" t="n"/>
    </row>
    <row r="8">
      <c r="D8" s="20" t="inlineStr">
        <is>
          <t xml:space="preserve">Method </t>
        </is>
      </c>
      <c r="E8" s="21" t="inlineStr">
        <is>
          <t>Recall@10</t>
        </is>
      </c>
      <c r="F8" s="22" t="inlineStr">
        <is>
          <t>Query Time</t>
        </is>
      </c>
      <c r="G8" s="22" t="inlineStr">
        <is>
          <t>VO Size</t>
        </is>
      </c>
      <c r="H8" s="23" t="inlineStr">
        <is>
          <t>Verify Time</t>
        </is>
      </c>
      <c r="I8" s="19" t="inlineStr">
        <is>
          <t>Index Size (MB)</t>
        </is>
      </c>
      <c r="J8" s="19" t="inlineStr">
        <is>
          <t>Index Construct Time (s)</t>
        </is>
      </c>
    </row>
    <row r="9" ht="15" customHeight="1" s="1">
      <c r="D9" s="20" t="inlineStr">
        <is>
          <t>VLAH</t>
        </is>
      </c>
      <c r="E9" s="24" t="n">
        <v>95</v>
      </c>
      <c r="F9" s="86" t="n">
        <v>420.781040966667</v>
      </c>
      <c r="G9" s="86" t="n">
        <v>156085.1456</v>
      </c>
      <c r="H9" s="87" t="n">
        <v>1028.47328478333</v>
      </c>
      <c r="I9" s="88" t="n">
        <v>898.071726</v>
      </c>
      <c r="J9" s="88" t="n">
        <v>231.449208385</v>
      </c>
    </row>
    <row r="10" ht="15.15" customHeight="1" s="1">
      <c r="D10" s="28" t="inlineStr">
        <is>
          <t>ANNProof*</t>
        </is>
      </c>
      <c r="E10" s="29" t="n">
        <v>95.5</v>
      </c>
      <c r="F10" s="89" t="n">
        <v>83.66637826</v>
      </c>
      <c r="G10" s="89" t="n">
        <v>40573.4568</v>
      </c>
      <c r="H10" s="90" t="n">
        <v>395.914031225</v>
      </c>
      <c r="I10" s="88" t="n">
        <v>887.3549400000001</v>
      </c>
      <c r="J10" s="88" t="n">
        <v>849.842353233</v>
      </c>
    </row>
    <row r="11" ht="15" customHeight="1" s="1">
      <c r="D11" s="22" t="inlineStr">
        <is>
          <t>Ours</t>
        </is>
      </c>
      <c r="E11" s="32" t="n">
        <v>96</v>
      </c>
      <c r="F11" s="91" t="n">
        <v>52.0690504666667</v>
      </c>
      <c r="G11" s="91" t="n">
        <v>3831.7115</v>
      </c>
      <c r="H11" s="91" t="n">
        <v>110.41652915</v>
      </c>
      <c r="I11" s="88" t="n">
        <v>1145.040246</v>
      </c>
      <c r="J11" s="88" t="n">
        <v>859.85777673</v>
      </c>
    </row>
    <row r="12" ht="36" customHeight="1" s="1">
      <c r="D12" s="22" t="inlineStr">
        <is>
          <t>V3DB（单次）</t>
        </is>
      </c>
      <c r="E12" s="91" t="n">
        <v>40.5</v>
      </c>
      <c r="F12" s="91" t="n">
        <v>491486.434967</v>
      </c>
      <c r="G12" s="91" t="n">
        <v>287.485</v>
      </c>
      <c r="H12" s="91" t="n">
        <v>19.9993839999024</v>
      </c>
      <c r="I12" s="88" t="n">
        <v>484.530854</v>
      </c>
      <c r="J12" s="88" t="n">
        <v>202.072790683</v>
      </c>
    </row>
    <row r="13">
      <c r="D13" s="34" t="inlineStr">
        <is>
          <t>Chen13-MR</t>
        </is>
      </c>
      <c r="E13" s="92" t="n">
        <v>100</v>
      </c>
      <c r="F13" s="92" t="n">
        <v>468.738694633333</v>
      </c>
      <c r="G13" s="92" t="n">
        <v>466932.94075</v>
      </c>
      <c r="H13" s="92" t="n">
        <v>390.349265616667</v>
      </c>
      <c r="I13" s="92" t="n">
        <v>500.006896</v>
      </c>
      <c r="J13" s="92" t="n">
        <v>1.067556071</v>
      </c>
      <c r="K13" s="36" t="n"/>
      <c r="L13" s="36" t="n"/>
      <c r="M13" s="36" t="n"/>
      <c r="N13" s="36" t="n"/>
      <c r="O13" s="36" t="n"/>
      <c r="P13" s="36" t="n"/>
      <c r="Q13" s="36" t="n"/>
      <c r="R13" s="36" t="n"/>
      <c r="S13" s="36" t="n"/>
      <c r="T13" s="36" t="n"/>
      <c r="U13" s="36" t="n"/>
      <c r="V13" s="36" t="n"/>
      <c r="W13" s="36" t="n"/>
      <c r="X13" s="36" t="n"/>
      <c r="Y13" s="36" t="n"/>
      <c r="Z13" s="36" t="n"/>
    </row>
    <row r="16" customFormat="1" s="12"/>
    <row r="17">
      <c r="E17" s="0" t="inlineStr">
        <is>
          <t>Target Recall (%) — expanded low-recall curve</t>
        </is>
      </c>
      <c r="F17" s="37" t="n">
        <v>15</v>
      </c>
      <c r="G17" s="37" t="n">
        <v>20</v>
      </c>
      <c r="H17" s="37" t="n">
        <v>25</v>
      </c>
      <c r="I17" s="37" t="n">
        <v>30</v>
      </c>
      <c r="J17" s="37" t="n">
        <v>35</v>
      </c>
      <c r="K17" s="37" t="n">
        <v>40</v>
      </c>
      <c r="L17" s="37" t="n">
        <v>45</v>
      </c>
      <c r="M17" s="37" t="n">
        <v>50</v>
      </c>
      <c r="N17" s="37" t="n">
        <v>55</v>
      </c>
      <c r="O17" s="37" t="n">
        <v>60</v>
      </c>
      <c r="P17" s="37" t="n">
        <v>65</v>
      </c>
      <c r="Q17" s="37" t="n">
        <v>70</v>
      </c>
      <c r="R17" s="37" t="n">
        <v>75</v>
      </c>
      <c r="S17" s="37" t="n">
        <v>80</v>
      </c>
      <c r="T17" s="37" t="n">
        <v>85</v>
      </c>
      <c r="U17" s="37" t="n">
        <v>90</v>
      </c>
      <c r="V17" s="37" t="n">
        <v>95</v>
      </c>
      <c r="W17" s="37" t="n">
        <v>97</v>
      </c>
      <c r="X17" s="37" t="n">
        <v>98</v>
      </c>
      <c r="Y17" s="37" t="n">
        <v>99</v>
      </c>
      <c r="Z17" s="37" t="n">
        <v>100</v>
      </c>
    </row>
    <row r="18">
      <c r="E18" s="15" t="inlineStr">
        <is>
          <t>Recall@10 (change parameters enabling different recall rate) vs. VO size</t>
        </is>
      </c>
    </row>
    <row r="19"/>
    <row r="20">
      <c r="D20" s="38" t="inlineStr">
        <is>
          <t>GloVe-100 (N=1,183,514, d=100)</t>
        </is>
      </c>
      <c r="E20" s="39" t="n"/>
      <c r="F20" s="39" t="n"/>
      <c r="G20" s="39" t="n"/>
      <c r="H20" s="39" t="n"/>
      <c r="I20" s="39" t="n"/>
      <c r="J20" s="39" t="n"/>
      <c r="K20" s="39" t="n"/>
      <c r="L20" s="39" t="n"/>
      <c r="M20" s="39" t="n"/>
      <c r="N20" s="39" t="n"/>
      <c r="O20" s="39" t="n"/>
      <c r="P20" s="40" t="n"/>
    </row>
    <row r="21">
      <c r="D21" s="38" t="inlineStr">
        <is>
          <t>VLAH</t>
        </is>
      </c>
      <c r="E21" s="22" t="inlineStr">
        <is>
          <t>Recall rate</t>
        </is>
      </c>
      <c r="F21" s="24" t="n">
        <v>16</v>
      </c>
      <c r="G21" s="24" t="n">
        <v>21</v>
      </c>
      <c r="H21" s="24" t="n">
        <v>26.5</v>
      </c>
      <c r="I21" s="24" t="n">
        <v>31.5</v>
      </c>
      <c r="J21" s="24" t="n">
        <v>36.5</v>
      </c>
      <c r="K21" s="24" t="n">
        <v>41</v>
      </c>
      <c r="L21" s="24" t="n">
        <v>45</v>
      </c>
      <c r="M21" s="24" t="n">
        <v>52.5</v>
      </c>
      <c r="N21" s="24" t="n">
        <v>55.5</v>
      </c>
      <c r="O21" s="24" t="n">
        <v>60</v>
      </c>
      <c r="P21" s="24" t="n">
        <v>66</v>
      </c>
      <c r="Q21" s="24" t="n">
        <v>70</v>
      </c>
      <c r="R21" s="24" t="n">
        <v>75.5</v>
      </c>
      <c r="S21" s="24" t="n">
        <v>80</v>
      </c>
      <c r="T21" s="24" t="n">
        <v>85</v>
      </c>
      <c r="U21" s="24" t="n">
        <v>90</v>
      </c>
      <c r="V21" s="24" t="n">
        <v>95</v>
      </c>
      <c r="W21" s="24" t="n">
        <v>97.5</v>
      </c>
      <c r="X21" s="24" t="n">
        <v>99</v>
      </c>
      <c r="Y21" s="24" t="n">
        <v>99</v>
      </c>
    </row>
    <row r="22">
      <c r="D22" s="41" t="n"/>
      <c r="E22" s="22" t="inlineStr">
        <is>
          <t>VO size</t>
        </is>
      </c>
      <c r="F22" s="86" t="n">
        <v>3340.40705</v>
      </c>
      <c r="G22" s="86" t="n">
        <v>6706.90815</v>
      </c>
      <c r="H22" s="86" t="n">
        <v>8406.96125</v>
      </c>
      <c r="I22" s="86" t="n">
        <v>11749.45825</v>
      </c>
      <c r="J22" s="86" t="n">
        <v>18520.25115</v>
      </c>
      <c r="K22" s="86" t="n">
        <v>23529.4354</v>
      </c>
      <c r="L22" s="86" t="n">
        <v>28612.07915</v>
      </c>
      <c r="M22" s="86" t="n">
        <v>35285.3301</v>
      </c>
      <c r="N22" s="86" t="n">
        <v>38604.66135</v>
      </c>
      <c r="O22" s="86" t="n">
        <v>71940.71705000001</v>
      </c>
      <c r="P22" s="86" t="n">
        <v>80033.77295</v>
      </c>
      <c r="Q22" s="86" t="n">
        <v>93865.80645</v>
      </c>
      <c r="R22" s="86" t="n">
        <v>101923.7214</v>
      </c>
      <c r="S22" s="86" t="n">
        <v>110226.50895</v>
      </c>
      <c r="T22" s="86" t="n">
        <v>133079.4778</v>
      </c>
      <c r="U22" s="86" t="n">
        <v>144688.8688</v>
      </c>
      <c r="V22" s="86" t="n">
        <v>156085.1456</v>
      </c>
      <c r="W22" s="86" t="n">
        <v>161728.77015</v>
      </c>
      <c r="X22" s="86" t="n">
        <v>166742.1118</v>
      </c>
      <c r="Y22" s="86" t="n">
        <v>166742.1118</v>
      </c>
    </row>
    <row r="23">
      <c r="D23" s="38" t="inlineStr">
        <is>
          <t>ANNProof*</t>
        </is>
      </c>
      <c r="E23" s="22" t="inlineStr">
        <is>
          <t>Recall rate</t>
        </is>
      </c>
      <c r="F23" s="24" t="n">
        <v>36</v>
      </c>
      <c r="G23" s="24" t="n">
        <v>36</v>
      </c>
      <c r="H23" s="24" t="n">
        <v>36</v>
      </c>
      <c r="I23" s="24" t="n">
        <v>36</v>
      </c>
      <c r="J23" s="24" t="n">
        <v>36</v>
      </c>
      <c r="K23" s="24" t="n">
        <v>40</v>
      </c>
      <c r="L23" s="24" t="n">
        <v>45.5</v>
      </c>
      <c r="M23" s="24" t="n">
        <v>50.5</v>
      </c>
      <c r="N23" s="24" t="n">
        <v>56.5</v>
      </c>
      <c r="O23" s="24" t="n">
        <v>60</v>
      </c>
      <c r="P23" s="24" t="n">
        <v>66.5</v>
      </c>
      <c r="Q23" s="24" t="n">
        <v>70</v>
      </c>
      <c r="R23" s="24" t="n">
        <v>76</v>
      </c>
      <c r="S23" s="24" t="n">
        <v>80.5</v>
      </c>
      <c r="T23" s="24" t="n">
        <v>87.5</v>
      </c>
      <c r="U23" s="24" t="n">
        <v>90</v>
      </c>
      <c r="V23" s="24" t="n">
        <v>95.5</v>
      </c>
      <c r="W23" s="24" t="n">
        <v>97.5</v>
      </c>
      <c r="X23" s="24" t="n">
        <v>98.5</v>
      </c>
      <c r="Y23" s="24" t="n">
        <v>99</v>
      </c>
    </row>
    <row r="24">
      <c r="D24" s="41" t="n"/>
      <c r="E24" s="22" t="inlineStr">
        <is>
          <t>VO size</t>
        </is>
      </c>
      <c r="F24" s="94" t="n">
        <v>1031.0984</v>
      </c>
      <c r="G24" s="94" t="n">
        <v>1031.0984</v>
      </c>
      <c r="H24" s="94" t="n">
        <v>1031.0984</v>
      </c>
      <c r="I24" s="94" t="n">
        <v>1031.0984</v>
      </c>
      <c r="J24" s="94" t="n">
        <v>1031.0984</v>
      </c>
      <c r="K24" s="94" t="n">
        <v>1387.3368</v>
      </c>
      <c r="L24" s="94" t="n">
        <v>1660.3628</v>
      </c>
      <c r="M24" s="94" t="n">
        <v>2052.2192</v>
      </c>
      <c r="N24" s="94" t="n">
        <v>2491.7268</v>
      </c>
      <c r="O24" s="94" t="n">
        <v>2880.2492</v>
      </c>
      <c r="P24" s="94" t="n">
        <v>3536.5104</v>
      </c>
      <c r="Q24" s="94" t="n">
        <v>5034.4208</v>
      </c>
      <c r="R24" s="94" t="n">
        <v>5242.1636</v>
      </c>
      <c r="S24" s="94" t="n">
        <v>6405.5108</v>
      </c>
      <c r="T24" s="94" t="n">
        <v>9889.945599999999</v>
      </c>
      <c r="U24" s="94" t="n">
        <v>13426.17</v>
      </c>
      <c r="V24" s="94" t="n">
        <v>40573.4568</v>
      </c>
      <c r="W24" s="94" t="n">
        <v>50879.3216</v>
      </c>
      <c r="X24" s="94" t="n">
        <v>87337.7216</v>
      </c>
      <c r="Y24" s="94" t="n">
        <v>147808.7368</v>
      </c>
    </row>
    <row r="25" ht="15" customHeight="1" s="1">
      <c r="D25" s="38" t="inlineStr">
        <is>
          <t>Ours</t>
        </is>
      </c>
      <c r="E25" s="22" t="inlineStr">
        <is>
          <t>Recall rate</t>
        </is>
      </c>
      <c r="F25" s="45" t="n">
        <v>15.5</v>
      </c>
      <c r="G25" s="45" t="n">
        <v>23</v>
      </c>
      <c r="H25" s="45" t="n">
        <v>25.5</v>
      </c>
      <c r="I25" s="45" t="n">
        <v>30</v>
      </c>
      <c r="J25" s="45" t="n">
        <v>35</v>
      </c>
      <c r="K25" s="45" t="n">
        <v>41.5</v>
      </c>
      <c r="L25" s="45" t="n">
        <v>45.5</v>
      </c>
      <c r="M25" s="45" t="n">
        <v>50.5</v>
      </c>
      <c r="N25" s="45" t="n">
        <v>55</v>
      </c>
      <c r="O25" s="45" t="n">
        <v>60.5</v>
      </c>
      <c r="P25" s="45" t="n">
        <v>71.5</v>
      </c>
      <c r="Q25" s="45" t="n">
        <v>71.5</v>
      </c>
      <c r="R25" s="45" t="n">
        <v>81</v>
      </c>
      <c r="S25" s="45" t="n">
        <v>81</v>
      </c>
      <c r="T25" s="45" t="n">
        <v>85.5</v>
      </c>
      <c r="U25" s="45" t="n">
        <v>91</v>
      </c>
      <c r="V25" s="45" t="n">
        <v>96</v>
      </c>
      <c r="W25" s="45" t="n">
        <v>97.5</v>
      </c>
      <c r="X25" s="45" t="n">
        <v>98.5</v>
      </c>
      <c r="Y25" s="45" t="n">
        <v>99.5</v>
      </c>
    </row>
    <row r="26" ht="15" customHeight="1" s="1">
      <c r="D26" s="41" t="n"/>
      <c r="E26" s="22" t="inlineStr">
        <is>
          <t>VO size</t>
        </is>
      </c>
      <c r="F26" s="91" t="n">
        <v>120.20935</v>
      </c>
      <c r="G26" s="91" t="n">
        <v>146.55395</v>
      </c>
      <c r="H26" s="91" t="n">
        <v>162.7497</v>
      </c>
      <c r="I26" s="91" t="n">
        <v>182.30215</v>
      </c>
      <c r="J26" s="91" t="n">
        <v>213.8622</v>
      </c>
      <c r="K26" s="91" t="n">
        <v>263.86515</v>
      </c>
      <c r="L26" s="91" t="n">
        <v>274.05425</v>
      </c>
      <c r="M26" s="91" t="n">
        <v>319.727</v>
      </c>
      <c r="N26" s="91" t="n">
        <v>363.04355</v>
      </c>
      <c r="O26" s="91" t="n">
        <v>433.98015</v>
      </c>
      <c r="P26" s="91" t="n">
        <v>568.61565</v>
      </c>
      <c r="Q26" s="91" t="n">
        <v>568.61565</v>
      </c>
      <c r="R26" s="91" t="n">
        <v>914.7816</v>
      </c>
      <c r="S26" s="91" t="n">
        <v>914.7816</v>
      </c>
      <c r="T26" s="91" t="n">
        <v>1116.3342</v>
      </c>
      <c r="U26" s="91" t="n">
        <v>1801.49875</v>
      </c>
      <c r="V26" s="91" t="n">
        <v>3831.7115</v>
      </c>
      <c r="W26" s="91" t="n">
        <v>4656.3122</v>
      </c>
      <c r="X26" s="91" t="n">
        <v>7489.0097</v>
      </c>
      <c r="Y26" s="91" t="n">
        <v>12067.1025</v>
      </c>
    </row>
    <row r="27" ht="15" customHeight="1" s="1">
      <c r="D27" s="41" t="inlineStr">
        <is>
          <t>V3DB（单次） †含预测</t>
        </is>
      </c>
      <c r="E27" s="22" t="inlineStr">
        <is>
          <t>Recall rate</t>
        </is>
      </c>
      <c r="F27" s="91" t="n">
        <v>16.5</v>
      </c>
      <c r="G27" s="91" t="n">
        <v>20</v>
      </c>
      <c r="H27" s="91" t="n">
        <v>28.5</v>
      </c>
      <c r="I27" s="91" t="n">
        <v>40.5</v>
      </c>
      <c r="J27" s="91" t="n">
        <v>40.5</v>
      </c>
      <c r="K27" s="91" t="n">
        <v>40.5</v>
      </c>
      <c r="L27" s="95" t="n">
        <v>47</v>
      </c>
      <c r="M27" s="95" t="n">
        <v>55</v>
      </c>
      <c r="N27" s="95" t="n">
        <v>55</v>
      </c>
      <c r="O27" s="95" t="n">
        <v>64.5</v>
      </c>
      <c r="P27" s="95" t="n">
        <v>68</v>
      </c>
      <c r="Q27" s="95" t="n">
        <v>71.5</v>
      </c>
      <c r="R27" s="91" t="n"/>
      <c r="S27" s="91" t="n"/>
      <c r="T27" s="91" t="n"/>
      <c r="U27" s="91" t="n"/>
      <c r="V27" s="91" t="n"/>
      <c r="W27" s="91" t="n"/>
      <c r="X27" s="91" t="n"/>
      <c r="Y27" s="91" t="n"/>
    </row>
    <row r="28" ht="36" customHeight="1" s="1">
      <c r="D28" s="41" t="n"/>
      <c r="E28" s="22" t="inlineStr">
        <is>
          <t>VO size</t>
        </is>
      </c>
      <c r="F28" s="91" t="n">
        <v>225.089</v>
      </c>
      <c r="G28" s="96" t="n">
        <v>261</v>
      </c>
      <c r="H28" s="96" t="n">
        <v>261.169249713668</v>
      </c>
      <c r="I28" s="91" t="n">
        <v>287.485</v>
      </c>
      <c r="J28" s="91" t="n">
        <v>287.485</v>
      </c>
      <c r="K28" s="91" t="n">
        <v>287.485</v>
      </c>
      <c r="L28" s="97" t="n">
        <v>352.077</v>
      </c>
      <c r="M28" s="97" t="n">
        <v>491.36</v>
      </c>
      <c r="N28" s="97" t="n">
        <v>491.36</v>
      </c>
      <c r="O28" s="97" t="n">
        <v>761.715</v>
      </c>
      <c r="P28" s="97" t="n">
        <v>769.926</v>
      </c>
      <c r="Q28" s="97" t="n">
        <v>1294.214</v>
      </c>
      <c r="R28" s="91" t="n"/>
      <c r="S28" s="91" t="n"/>
      <c r="T28" s="91" t="n"/>
      <c r="U28" s="91" t="n"/>
      <c r="V28" s="91" t="n"/>
      <c r="W28" s="91" t="n"/>
      <c r="X28" s="91" t="n"/>
      <c r="Y28" s="91" t="n"/>
    </row>
    <row r="29">
      <c r="D29" s="49" t="inlineStr">
        <is>
          <t>Chen13-MR</t>
        </is>
      </c>
      <c r="E29" s="34" t="inlineStr">
        <is>
          <t>Recall rate</t>
        </is>
      </c>
      <c r="F29" s="98" t="n"/>
      <c r="G29" s="98" t="n"/>
      <c r="H29" s="98" t="n"/>
      <c r="I29" s="98" t="n"/>
      <c r="J29" s="98" t="n"/>
      <c r="K29" s="98" t="n"/>
      <c r="L29" s="98" t="n"/>
      <c r="M29" s="98" t="n"/>
      <c r="N29" s="98" t="n"/>
      <c r="O29" s="98" t="n"/>
      <c r="P29" s="98" t="n"/>
      <c r="Q29" s="98" t="n"/>
      <c r="R29" s="98" t="n"/>
      <c r="S29" s="98" t="n"/>
      <c r="T29" s="98" t="n"/>
      <c r="U29" s="98" t="n"/>
      <c r="V29" s="98" t="n"/>
      <c r="W29" s="98" t="n"/>
      <c r="X29" s="98" t="n"/>
      <c r="Y29" s="98" t="n"/>
      <c r="Z29" s="92" t="n">
        <v>100</v>
      </c>
    </row>
    <row r="30">
      <c r="D30" s="41" t="n"/>
      <c r="E30" s="34" t="inlineStr">
        <is>
          <t>VO size</t>
        </is>
      </c>
      <c r="F30" s="98" t="n"/>
      <c r="G30" s="98" t="n"/>
      <c r="H30" s="98" t="n"/>
      <c r="I30" s="98" t="n"/>
      <c r="J30" s="98" t="n"/>
      <c r="K30" s="98" t="n"/>
      <c r="L30" s="98" t="n"/>
      <c r="M30" s="98" t="n"/>
      <c r="N30" s="98" t="n"/>
      <c r="O30" s="98" t="n"/>
      <c r="P30" s="98" t="n"/>
      <c r="Q30" s="98" t="n"/>
      <c r="R30" s="98" t="n"/>
      <c r="S30" s="98" t="n"/>
      <c r="T30" s="98" t="n"/>
      <c r="U30" s="98" t="n"/>
      <c r="V30" s="98" t="n"/>
      <c r="W30" s="98" t="n"/>
      <c r="X30" s="98" t="n"/>
      <c r="Y30" s="98" t="n"/>
      <c r="Z30" s="92" t="n">
        <v>466932.94075</v>
      </c>
    </row>
    <row r="31">
      <c r="D31" s="51" t="n"/>
      <c r="E31" s="0" t="inlineStr">
        <is>
          <t>Target Recall (%)</t>
        </is>
      </c>
      <c r="F31" s="37" t="n">
        <v>15</v>
      </c>
      <c r="G31" s="37" t="n">
        <v>20</v>
      </c>
      <c r="H31" s="37" t="n">
        <v>25</v>
      </c>
      <c r="I31" s="37" t="n">
        <v>30</v>
      </c>
      <c r="J31" s="37" t="n">
        <v>35</v>
      </c>
      <c r="K31" s="37" t="n">
        <v>40</v>
      </c>
      <c r="L31" s="37" t="n">
        <v>45</v>
      </c>
      <c r="M31" s="37" t="n">
        <v>50</v>
      </c>
      <c r="N31" s="37" t="n">
        <v>55</v>
      </c>
      <c r="O31" s="37" t="n">
        <v>60</v>
      </c>
      <c r="P31" s="37" t="n">
        <v>65</v>
      </c>
      <c r="Q31" s="37" t="n">
        <v>70</v>
      </c>
      <c r="R31" s="37" t="n">
        <v>75</v>
      </c>
      <c r="S31" s="37" t="n">
        <v>80</v>
      </c>
      <c r="T31" s="37" t="n">
        <v>85</v>
      </c>
      <c r="U31" s="37" t="n">
        <v>90</v>
      </c>
      <c r="V31" s="37" t="n">
        <v>95</v>
      </c>
      <c r="W31" s="37" t="n">
        <v>97</v>
      </c>
      <c r="X31" s="37" t="n">
        <v>98</v>
      </c>
      <c r="Y31" s="37" t="n">
        <v>99</v>
      </c>
      <c r="Z31" s="37" t="n">
        <v>100</v>
      </c>
    </row>
    <row r="32">
      <c r="E32" s="15" t="inlineStr">
        <is>
          <t>Recall@10 (change parameters enabling different recall rate) vs. verify time</t>
        </is>
      </c>
    </row>
    <row r="33"/>
    <row r="34">
      <c r="D34" s="38" t="inlineStr">
        <is>
          <t>GloVe-100 (N=1,183,514, d=100)</t>
        </is>
      </c>
      <c r="E34" s="39" t="n"/>
      <c r="F34" s="39" t="n"/>
      <c r="G34" s="39" t="n"/>
      <c r="H34" s="39" t="n"/>
      <c r="I34" s="39" t="n"/>
      <c r="J34" s="39" t="n"/>
      <c r="K34" s="39" t="n"/>
      <c r="L34" s="39" t="n"/>
      <c r="M34" s="39" t="n"/>
      <c r="N34" s="39" t="n"/>
      <c r="O34" s="39" t="n"/>
      <c r="P34" s="40" t="n"/>
    </row>
    <row r="35">
      <c r="D35" s="38" t="inlineStr">
        <is>
          <t>VLAH</t>
        </is>
      </c>
      <c r="E35" s="22" t="inlineStr">
        <is>
          <t>Recall rate</t>
        </is>
      </c>
      <c r="F35" s="24" t="n">
        <v>16</v>
      </c>
      <c r="G35" s="24" t="n">
        <v>21</v>
      </c>
      <c r="H35" s="24" t="n">
        <v>26.5</v>
      </c>
      <c r="I35" s="24" t="n">
        <v>31.5</v>
      </c>
      <c r="J35" s="24" t="n">
        <v>36.5</v>
      </c>
      <c r="K35" s="24" t="n">
        <v>41</v>
      </c>
      <c r="L35" s="24" t="n">
        <v>45</v>
      </c>
      <c r="M35" s="24" t="n">
        <v>52.5</v>
      </c>
      <c r="N35" s="24" t="n">
        <v>55.5</v>
      </c>
      <c r="O35" s="24" t="n">
        <v>60</v>
      </c>
      <c r="P35" s="24" t="n">
        <v>66</v>
      </c>
      <c r="Q35" s="24" t="n">
        <v>70</v>
      </c>
      <c r="R35" s="24" t="n">
        <v>75.5</v>
      </c>
      <c r="S35" s="24" t="n">
        <v>80</v>
      </c>
      <c r="T35" s="24" t="n">
        <v>85</v>
      </c>
      <c r="U35" s="24" t="n">
        <v>90</v>
      </c>
      <c r="V35" s="24" t="n">
        <v>95</v>
      </c>
      <c r="W35" s="24" t="n">
        <v>97.5</v>
      </c>
      <c r="X35" s="24" t="n">
        <v>99</v>
      </c>
      <c r="Y35" s="24" t="n">
        <v>99</v>
      </c>
    </row>
    <row r="36">
      <c r="D36" s="41" t="n"/>
      <c r="E36" s="22" t="inlineStr">
        <is>
          <t>verify time</t>
        </is>
      </c>
      <c r="F36" s="86" t="n">
        <v>20.8436542166667</v>
      </c>
      <c r="G36" s="86" t="n">
        <v>43.2735672166667</v>
      </c>
      <c r="H36" s="86" t="n">
        <v>56.7885860833333</v>
      </c>
      <c r="I36" s="86" t="n">
        <v>80.1626145666667</v>
      </c>
      <c r="J36" s="86" t="n">
        <v>126.2832732</v>
      </c>
      <c r="K36" s="86" t="n">
        <v>162.54243325</v>
      </c>
      <c r="L36" s="86" t="n">
        <v>196.11805405</v>
      </c>
      <c r="M36" s="86" t="n">
        <v>241.9402729</v>
      </c>
      <c r="N36" s="86" t="n">
        <v>267.098332333333</v>
      </c>
      <c r="O36" s="86" t="n">
        <v>469.069549433333</v>
      </c>
      <c r="P36" s="86" t="n">
        <v>523.3854418333329</v>
      </c>
      <c r="Q36" s="86" t="n">
        <v>615.426474783333</v>
      </c>
      <c r="R36" s="86" t="n">
        <v>668.950644383333</v>
      </c>
      <c r="S36" s="86" t="n">
        <v>726.525109466667</v>
      </c>
      <c r="T36" s="86" t="n">
        <v>872.817767766667</v>
      </c>
      <c r="U36" s="86" t="n">
        <v>950.4888157833331</v>
      </c>
      <c r="V36" s="86" t="n">
        <v>1028.47328478333</v>
      </c>
      <c r="W36" s="86" t="n">
        <v>1065.72324375</v>
      </c>
      <c r="X36" s="86" t="n">
        <v>1099.20293456667</v>
      </c>
      <c r="Y36" s="86" t="n">
        <v>1099.20293456667</v>
      </c>
    </row>
    <row r="37">
      <c r="D37" s="38" t="inlineStr">
        <is>
          <t>ANNProof*</t>
        </is>
      </c>
      <c r="E37" s="22" t="inlineStr">
        <is>
          <t>Recall rate</t>
        </is>
      </c>
      <c r="F37" s="24" t="n">
        <v>36</v>
      </c>
      <c r="G37" s="24" t="n">
        <v>36</v>
      </c>
      <c r="H37" s="24" t="n">
        <v>36</v>
      </c>
      <c r="I37" s="24" t="n">
        <v>36</v>
      </c>
      <c r="J37" s="24" t="n">
        <v>36</v>
      </c>
      <c r="K37" s="24" t="n">
        <v>40</v>
      </c>
      <c r="L37" s="24" t="n">
        <v>45.5</v>
      </c>
      <c r="M37" s="24" t="n">
        <v>50.5</v>
      </c>
      <c r="N37" s="24" t="n">
        <v>56.5</v>
      </c>
      <c r="O37" s="24" t="n">
        <v>60</v>
      </c>
      <c r="P37" s="24" t="n">
        <v>66.5</v>
      </c>
      <c r="Q37" s="24" t="n">
        <v>70</v>
      </c>
      <c r="R37" s="24" t="n">
        <v>76</v>
      </c>
      <c r="S37" s="24" t="n">
        <v>80.5</v>
      </c>
      <c r="T37" s="24" t="n">
        <v>87.5</v>
      </c>
      <c r="U37" s="24" t="n">
        <v>90</v>
      </c>
      <c r="V37" s="24" t="n">
        <v>95.5</v>
      </c>
      <c r="W37" s="24" t="n">
        <v>97.5</v>
      </c>
      <c r="X37" s="24" t="n">
        <v>98.5</v>
      </c>
      <c r="Y37" s="24" t="n">
        <v>99</v>
      </c>
    </row>
    <row r="38">
      <c r="D38" s="41" t="n"/>
      <c r="E38" s="22" t="inlineStr">
        <is>
          <t>verify time</t>
        </is>
      </c>
      <c r="F38" s="94" t="n">
        <v>10.063550475</v>
      </c>
      <c r="G38" s="94" t="n">
        <v>10.063550475</v>
      </c>
      <c r="H38" s="94" t="n">
        <v>10.063550475</v>
      </c>
      <c r="I38" s="94" t="n">
        <v>10.063550475</v>
      </c>
      <c r="J38" s="94" t="n">
        <v>10.063550475</v>
      </c>
      <c r="K38" s="94" t="n">
        <v>13.528295925</v>
      </c>
      <c r="L38" s="94" t="n">
        <v>16.129838275</v>
      </c>
      <c r="M38" s="94" t="n">
        <v>20.781948</v>
      </c>
      <c r="N38" s="94" t="n">
        <v>24.758486225</v>
      </c>
      <c r="O38" s="94" t="n">
        <v>28.46976135</v>
      </c>
      <c r="P38" s="94" t="n">
        <v>35.080088</v>
      </c>
      <c r="Q38" s="94" t="n">
        <v>50.552827925</v>
      </c>
      <c r="R38" s="94" t="n">
        <v>52.52453335</v>
      </c>
      <c r="S38" s="94" t="n">
        <v>64.3986077</v>
      </c>
      <c r="T38" s="94" t="n">
        <v>97.5368558</v>
      </c>
      <c r="U38" s="94" t="n">
        <v>132.715970525</v>
      </c>
      <c r="V38" s="94" t="n">
        <v>395.914031225</v>
      </c>
      <c r="W38" s="94" t="n">
        <v>496.243082749999</v>
      </c>
      <c r="X38" s="94" t="n">
        <v>858.3048368250001</v>
      </c>
      <c r="Y38" s="94" t="n">
        <v>1480.1591243</v>
      </c>
    </row>
    <row r="39" ht="15" customHeight="1" s="1">
      <c r="D39" s="38" t="inlineStr">
        <is>
          <t>Ours</t>
        </is>
      </c>
      <c r="E39" s="22" t="inlineStr">
        <is>
          <t>Recall rate</t>
        </is>
      </c>
      <c r="F39" s="45" t="n">
        <v>15.5</v>
      </c>
      <c r="G39" s="45" t="n">
        <v>23</v>
      </c>
      <c r="H39" s="45" t="n">
        <v>25.5</v>
      </c>
      <c r="I39" s="45" t="n">
        <v>30</v>
      </c>
      <c r="J39" s="45" t="n">
        <v>35</v>
      </c>
      <c r="K39" s="45" t="n">
        <v>41.5</v>
      </c>
      <c r="L39" s="45" t="n">
        <v>45.5</v>
      </c>
      <c r="M39" s="45" t="n">
        <v>50.5</v>
      </c>
      <c r="N39" s="45" t="n">
        <v>55</v>
      </c>
      <c r="O39" s="45" t="n">
        <v>60.5</v>
      </c>
      <c r="P39" s="45" t="n">
        <v>71.5</v>
      </c>
      <c r="Q39" s="45" t="n">
        <v>71.5</v>
      </c>
      <c r="R39" s="45" t="n">
        <v>81</v>
      </c>
      <c r="S39" s="45" t="n">
        <v>81</v>
      </c>
      <c r="T39" s="45" t="n">
        <v>85.5</v>
      </c>
      <c r="U39" s="45" t="n">
        <v>91</v>
      </c>
      <c r="V39" s="45" t="n">
        <v>96</v>
      </c>
      <c r="W39" s="45" t="n">
        <v>97.5</v>
      </c>
      <c r="X39" s="45" t="n">
        <v>98.5</v>
      </c>
      <c r="Y39" s="45" t="n">
        <v>99.5</v>
      </c>
    </row>
    <row r="40" ht="15" customHeight="1" s="1">
      <c r="D40" s="41" t="n"/>
      <c r="E40" s="22" t="inlineStr">
        <is>
          <t>verify time</t>
        </is>
      </c>
      <c r="F40" s="91" t="n">
        <v>2.65325696666667</v>
      </c>
      <c r="G40" s="91" t="n">
        <v>3.19250186666667</v>
      </c>
      <c r="H40" s="91" t="n">
        <v>3.58026891666667</v>
      </c>
      <c r="I40" s="91" t="n">
        <v>4.14065143333333</v>
      </c>
      <c r="J40" s="91" t="n">
        <v>4.86813466666667</v>
      </c>
      <c r="K40" s="91" t="n">
        <v>6.17333213333333</v>
      </c>
      <c r="L40" s="91" t="n">
        <v>6.21699503333333</v>
      </c>
      <c r="M40" s="91" t="n">
        <v>7.257134</v>
      </c>
      <c r="N40" s="91" t="n">
        <v>8.477766000000001</v>
      </c>
      <c r="O40" s="91" t="n">
        <v>10.0785719</v>
      </c>
      <c r="P40" s="91" t="n">
        <v>13.6206651666667</v>
      </c>
      <c r="Q40" s="91" t="n">
        <v>13.6206651666667</v>
      </c>
      <c r="R40" s="91" t="n">
        <v>22.532446</v>
      </c>
      <c r="S40" s="91" t="n">
        <v>22.532446</v>
      </c>
      <c r="T40" s="91" t="n">
        <v>27.8385452166667</v>
      </c>
      <c r="U40" s="91" t="n">
        <v>47.1646365666667</v>
      </c>
      <c r="V40" s="91" t="n">
        <v>110.41652915</v>
      </c>
      <c r="W40" s="91" t="n">
        <v>138.8817882</v>
      </c>
      <c r="X40" s="91" t="n">
        <v>249.028947166667</v>
      </c>
      <c r="Y40" s="91" t="n">
        <v>476.421713883333</v>
      </c>
    </row>
    <row r="41" ht="15" customHeight="1" s="1">
      <c r="D41" s="41" t="inlineStr">
        <is>
          <t>V3DB（单次） †含预测</t>
        </is>
      </c>
      <c r="E41" s="22" t="inlineStr">
        <is>
          <t>Recall rate</t>
        </is>
      </c>
      <c r="F41" s="91" t="n">
        <v>16.5</v>
      </c>
      <c r="G41" s="91" t="n">
        <v>20</v>
      </c>
      <c r="H41" s="91" t="n">
        <v>28.5</v>
      </c>
      <c r="I41" s="91" t="n">
        <v>40.5</v>
      </c>
      <c r="J41" s="91" t="n">
        <v>40.5</v>
      </c>
      <c r="K41" s="91" t="n">
        <v>40.5</v>
      </c>
      <c r="L41" s="95" t="n">
        <v>47</v>
      </c>
      <c r="M41" s="95" t="n">
        <v>55</v>
      </c>
      <c r="N41" s="95" t="n">
        <v>55</v>
      </c>
      <c r="O41" s="95" t="n">
        <v>64.5</v>
      </c>
      <c r="P41" s="95" t="n">
        <v>68</v>
      </c>
      <c r="Q41" s="95" t="n">
        <v>71.5</v>
      </c>
      <c r="R41" s="91" t="n"/>
      <c r="S41" s="91" t="n"/>
      <c r="T41" s="91" t="n"/>
      <c r="U41" s="91" t="n"/>
      <c r="V41" s="91" t="n"/>
      <c r="W41" s="91" t="n"/>
      <c r="X41" s="91" t="n"/>
      <c r="Y41" s="91" t="n"/>
    </row>
    <row r="42" ht="36" customHeight="1" s="1">
      <c r="D42" s="41" t="n"/>
      <c r="E42" s="22" t="inlineStr">
        <is>
          <t>verify time</t>
        </is>
      </c>
      <c r="F42" s="91" t="n">
        <v>11.4302449999286</v>
      </c>
      <c r="G42" s="96" t="n">
        <v>13.7</v>
      </c>
      <c r="H42" s="96" t="n">
        <v>13.7406495521346</v>
      </c>
      <c r="I42" s="91" t="n">
        <v>19.9993839999024</v>
      </c>
      <c r="J42" s="91" t="n">
        <v>19.9993839999024</v>
      </c>
      <c r="K42" s="91" t="n">
        <v>19.9993839999024</v>
      </c>
      <c r="L42" s="97" t="n">
        <v>26.9277013483218</v>
      </c>
      <c r="M42" s="97" t="n">
        <v>31.0652820356752</v>
      </c>
      <c r="N42" s="97" t="n">
        <v>31.0652820356752</v>
      </c>
      <c r="O42" s="97" t="n">
        <v>38.1911983949037</v>
      </c>
      <c r="P42" s="97" t="n">
        <v>39.3404434103822</v>
      </c>
      <c r="Q42" s="97" t="n">
        <v>51.2937860978822</v>
      </c>
      <c r="R42" s="91" t="n"/>
      <c r="S42" s="91" t="n"/>
      <c r="T42" s="91" t="n"/>
      <c r="U42" s="91" t="n"/>
      <c r="V42" s="91" t="n"/>
      <c r="W42" s="91" t="n"/>
      <c r="X42" s="91" t="n"/>
      <c r="Y42" s="91" t="n"/>
    </row>
    <row r="43">
      <c r="D43" s="49" t="inlineStr">
        <is>
          <t>Chen13-MR</t>
        </is>
      </c>
      <c r="E43" s="34" t="inlineStr">
        <is>
          <t>Recall rate</t>
        </is>
      </c>
      <c r="F43" s="98" t="n"/>
      <c r="G43" s="98" t="n"/>
      <c r="H43" s="98" t="n"/>
      <c r="I43" s="98" t="n"/>
      <c r="J43" s="98" t="n"/>
      <c r="K43" s="98" t="n"/>
      <c r="L43" s="98" t="n"/>
      <c r="M43" s="98" t="n"/>
      <c r="N43" s="98" t="n"/>
      <c r="O43" s="98" t="n"/>
      <c r="P43" s="98" t="n"/>
      <c r="Q43" s="98" t="n"/>
      <c r="R43" s="98" t="n"/>
      <c r="S43" s="98" t="n"/>
      <c r="T43" s="98" t="n"/>
      <c r="U43" s="98" t="n"/>
      <c r="V43" s="98" t="n"/>
      <c r="W43" s="98" t="n"/>
      <c r="X43" s="98" t="n"/>
      <c r="Y43" s="98" t="n"/>
      <c r="Z43" s="92" t="n">
        <v>100</v>
      </c>
    </row>
    <row r="44">
      <c r="D44" s="41" t="n"/>
      <c r="E44" s="34" t="inlineStr">
        <is>
          <t>verify time</t>
        </is>
      </c>
      <c r="F44" s="98" t="n"/>
      <c r="G44" s="98" t="n"/>
      <c r="H44" s="98" t="n"/>
      <c r="I44" s="98" t="n"/>
      <c r="J44" s="98" t="n"/>
      <c r="K44" s="98" t="n"/>
      <c r="L44" s="98" t="n"/>
      <c r="M44" s="98" t="n"/>
      <c r="N44" s="98" t="n"/>
      <c r="O44" s="98" t="n"/>
      <c r="P44" s="98" t="n"/>
      <c r="Q44" s="98" t="n"/>
      <c r="R44" s="98" t="n"/>
      <c r="S44" s="98" t="n"/>
      <c r="T44" s="98" t="n"/>
      <c r="U44" s="98" t="n"/>
      <c r="V44" s="98" t="n"/>
      <c r="W44" s="98" t="n"/>
      <c r="X44" s="98" t="n"/>
      <c r="Y44" s="98" t="n"/>
      <c r="Z44" s="92" t="n">
        <v>390.349265616667</v>
      </c>
    </row>
    <row r="45">
      <c r="D45" s="51" t="n"/>
      <c r="E45" s="0" t="inlineStr">
        <is>
          <t>Target Recall (%)</t>
        </is>
      </c>
      <c r="F45" s="37" t="n">
        <v>15</v>
      </c>
      <c r="G45" s="37" t="n">
        <v>20</v>
      </c>
      <c r="H45" s="37" t="n">
        <v>25</v>
      </c>
      <c r="I45" s="37" t="n">
        <v>30</v>
      </c>
      <c r="J45" s="37" t="n">
        <v>35</v>
      </c>
      <c r="K45" s="37" t="n">
        <v>40</v>
      </c>
      <c r="L45" s="37" t="n">
        <v>45</v>
      </c>
      <c r="M45" s="37" t="n">
        <v>50</v>
      </c>
      <c r="N45" s="37" t="n">
        <v>55</v>
      </c>
      <c r="O45" s="37" t="n">
        <v>60</v>
      </c>
      <c r="P45" s="37" t="n">
        <v>65</v>
      </c>
      <c r="Q45" s="37" t="n">
        <v>70</v>
      </c>
      <c r="R45" s="37" t="n">
        <v>75</v>
      </c>
      <c r="S45" s="37" t="n">
        <v>80</v>
      </c>
      <c r="T45" s="37" t="n">
        <v>85</v>
      </c>
      <c r="U45" s="37" t="n">
        <v>90</v>
      </c>
      <c r="V45" s="37" t="n">
        <v>95</v>
      </c>
      <c r="W45" s="37" t="n">
        <v>97</v>
      </c>
      <c r="X45" s="37" t="n">
        <v>98</v>
      </c>
      <c r="Y45" s="37" t="n">
        <v>99</v>
      </c>
      <c r="Z45" s="37" t="n">
        <v>100</v>
      </c>
    </row>
    <row r="46">
      <c r="E46" s="15" t="inlineStr">
        <is>
          <t>Recall@10 (change parameters enabling different recall rate) vs. query time</t>
        </is>
      </c>
    </row>
    <row r="47"/>
    <row r="48">
      <c r="D48" s="38" t="inlineStr">
        <is>
          <t>GloVe-100 (N=1,183,514, d=100)</t>
        </is>
      </c>
      <c r="E48" s="39" t="n"/>
      <c r="F48" s="39" t="n"/>
      <c r="G48" s="39" t="n"/>
      <c r="H48" s="39" t="n"/>
      <c r="I48" s="39" t="n"/>
      <c r="J48" s="39" t="n"/>
      <c r="K48" s="39" t="n"/>
      <c r="L48" s="39" t="n"/>
      <c r="M48" s="39" t="n"/>
      <c r="N48" s="39" t="n"/>
      <c r="O48" s="39" t="n"/>
      <c r="P48" s="40" t="n"/>
    </row>
    <row r="49">
      <c r="D49" s="38" t="inlineStr">
        <is>
          <t>VLAH</t>
        </is>
      </c>
      <c r="E49" s="22" t="inlineStr">
        <is>
          <t>Recall rate</t>
        </is>
      </c>
      <c r="F49" s="24" t="n">
        <v>16</v>
      </c>
      <c r="G49" s="24" t="n">
        <v>21</v>
      </c>
      <c r="H49" s="24" t="n">
        <v>26.5</v>
      </c>
      <c r="I49" s="24" t="n">
        <v>31.5</v>
      </c>
      <c r="J49" s="24" t="n">
        <v>36.5</v>
      </c>
      <c r="K49" s="24" t="n">
        <v>41</v>
      </c>
      <c r="L49" s="24" t="n">
        <v>45</v>
      </c>
      <c r="M49" s="24" t="n">
        <v>52.5</v>
      </c>
      <c r="N49" s="24" t="n">
        <v>55.5</v>
      </c>
      <c r="O49" s="24" t="n">
        <v>60</v>
      </c>
      <c r="P49" s="24" t="n">
        <v>66</v>
      </c>
      <c r="Q49" s="24" t="n">
        <v>70</v>
      </c>
      <c r="R49" s="24" t="n">
        <v>75.5</v>
      </c>
      <c r="S49" s="24" t="n">
        <v>80</v>
      </c>
      <c r="T49" s="24" t="n">
        <v>85</v>
      </c>
      <c r="U49" s="24" t="n">
        <v>90</v>
      </c>
      <c r="V49" s="24" t="n">
        <v>95</v>
      </c>
      <c r="W49" s="24" t="n">
        <v>97.5</v>
      </c>
      <c r="X49" s="24" t="n">
        <v>99</v>
      </c>
      <c r="Y49" s="24" t="n">
        <v>99</v>
      </c>
    </row>
    <row r="50">
      <c r="D50" s="41" t="n"/>
      <c r="E50" s="22" t="inlineStr">
        <is>
          <t>query time</t>
        </is>
      </c>
      <c r="F50" s="86" t="n">
        <v>7.3318917</v>
      </c>
      <c r="G50" s="86" t="n">
        <v>15.2476492333333</v>
      </c>
      <c r="H50" s="86" t="n">
        <v>19.9759850166667</v>
      </c>
      <c r="I50" s="86" t="n">
        <v>27.8080570833333</v>
      </c>
      <c r="J50" s="86" t="n">
        <v>46.3768232</v>
      </c>
      <c r="K50" s="86" t="n">
        <v>60.5663312333333</v>
      </c>
      <c r="L50" s="86" t="n">
        <v>73.6096228333333</v>
      </c>
      <c r="M50" s="86" t="n">
        <v>94.3804684666667</v>
      </c>
      <c r="N50" s="86" t="n">
        <v>107.98516335</v>
      </c>
      <c r="O50" s="86" t="n">
        <v>191.6756877</v>
      </c>
      <c r="P50" s="86" t="n">
        <v>214.483257416667</v>
      </c>
      <c r="Q50" s="86" t="n">
        <v>255.16067945</v>
      </c>
      <c r="R50" s="86" t="n">
        <v>272.635821866667</v>
      </c>
      <c r="S50" s="86" t="n">
        <v>297.966906316667</v>
      </c>
      <c r="T50" s="86" t="n">
        <v>362.26386005</v>
      </c>
      <c r="U50" s="86" t="n">
        <v>391.939616166667</v>
      </c>
      <c r="V50" s="86" t="n">
        <v>420.781040966667</v>
      </c>
      <c r="W50" s="86" t="n">
        <v>443.8091156</v>
      </c>
      <c r="X50" s="86" t="n">
        <v>451.888928783333</v>
      </c>
      <c r="Y50" s="86" t="n">
        <v>451.888928783333</v>
      </c>
    </row>
    <row r="51">
      <c r="D51" s="38" t="inlineStr">
        <is>
          <t>ANNProof*</t>
        </is>
      </c>
      <c r="E51" s="22" t="inlineStr">
        <is>
          <t>Recall rate</t>
        </is>
      </c>
      <c r="F51" s="24" t="n">
        <v>36</v>
      </c>
      <c r="G51" s="24" t="n">
        <v>36</v>
      </c>
      <c r="H51" s="24" t="n">
        <v>36</v>
      </c>
      <c r="I51" s="24" t="n">
        <v>36</v>
      </c>
      <c r="J51" s="24" t="n">
        <v>36</v>
      </c>
      <c r="K51" s="24" t="n">
        <v>40</v>
      </c>
      <c r="L51" s="24" t="n">
        <v>45.5</v>
      </c>
      <c r="M51" s="24" t="n">
        <v>50.5</v>
      </c>
      <c r="N51" s="24" t="n">
        <v>56.5</v>
      </c>
      <c r="O51" s="24" t="n">
        <v>60</v>
      </c>
      <c r="P51" s="24" t="n">
        <v>66.5</v>
      </c>
      <c r="Q51" s="24" t="n">
        <v>70</v>
      </c>
      <c r="R51" s="24" t="n">
        <v>76</v>
      </c>
      <c r="S51" s="24" t="n">
        <v>80.5</v>
      </c>
      <c r="T51" s="24" t="n">
        <v>87.5</v>
      </c>
      <c r="U51" s="24" t="n">
        <v>90</v>
      </c>
      <c r="V51" s="24" t="n">
        <v>95.5</v>
      </c>
      <c r="W51" s="24" t="n">
        <v>97.5</v>
      </c>
      <c r="X51" s="24" t="n">
        <v>98.5</v>
      </c>
      <c r="Y51" s="24" t="n">
        <v>99</v>
      </c>
    </row>
    <row r="52">
      <c r="D52" s="41" t="n"/>
      <c r="E52" s="22" t="inlineStr">
        <is>
          <t>query time</t>
        </is>
      </c>
      <c r="F52" s="94" t="n">
        <v>1.64293008</v>
      </c>
      <c r="G52" s="94" t="n">
        <v>1.64293008</v>
      </c>
      <c r="H52" s="94" t="n">
        <v>1.64293008</v>
      </c>
      <c r="I52" s="94" t="n">
        <v>1.64293008</v>
      </c>
      <c r="J52" s="94" t="n">
        <v>1.64293008</v>
      </c>
      <c r="K52" s="94" t="n">
        <v>2.21473168</v>
      </c>
      <c r="L52" s="94" t="n">
        <v>2.57559506</v>
      </c>
      <c r="M52" s="94" t="n">
        <v>3.55071912</v>
      </c>
      <c r="N52" s="94" t="n">
        <v>4.25560988</v>
      </c>
      <c r="O52" s="94" t="n">
        <v>4.8032207</v>
      </c>
      <c r="P52" s="94" t="n">
        <v>6.12018904</v>
      </c>
      <c r="Q52" s="94" t="n">
        <v>9.150354719999999</v>
      </c>
      <c r="R52" s="94" t="n">
        <v>9.390050840000001</v>
      </c>
      <c r="S52" s="94" t="n">
        <v>11.60427724</v>
      </c>
      <c r="T52" s="94" t="n">
        <v>18.30889086</v>
      </c>
      <c r="U52" s="94" t="n">
        <v>25.046744</v>
      </c>
      <c r="V52" s="94" t="n">
        <v>83.66637826</v>
      </c>
      <c r="W52" s="94" t="n">
        <v>105.59855518</v>
      </c>
      <c r="X52" s="94" t="n">
        <v>196.90702052</v>
      </c>
      <c r="Y52" s="94" t="n">
        <v>362.85749664</v>
      </c>
    </row>
    <row r="53" ht="15" customHeight="1" s="1">
      <c r="D53" s="38" t="inlineStr">
        <is>
          <t>Ours</t>
        </is>
      </c>
      <c r="E53" s="22" t="inlineStr">
        <is>
          <t>Recall rate</t>
        </is>
      </c>
      <c r="F53" s="45" t="n">
        <v>15.5</v>
      </c>
      <c r="G53" s="45" t="n">
        <v>23</v>
      </c>
      <c r="H53" s="45" t="n">
        <v>25.5</v>
      </c>
      <c r="I53" s="45" t="n">
        <v>30</v>
      </c>
      <c r="J53" s="45" t="n">
        <v>35</v>
      </c>
      <c r="K53" s="45" t="n">
        <v>41.5</v>
      </c>
      <c r="L53" s="45" t="n">
        <v>45.5</v>
      </c>
      <c r="M53" s="45" t="n">
        <v>50.5</v>
      </c>
      <c r="N53" s="45" t="n">
        <v>55</v>
      </c>
      <c r="O53" s="45" t="n">
        <v>60.5</v>
      </c>
      <c r="P53" s="45" t="n">
        <v>71.5</v>
      </c>
      <c r="Q53" s="45" t="n">
        <v>71.5</v>
      </c>
      <c r="R53" s="45" t="n">
        <v>81</v>
      </c>
      <c r="S53" s="45" t="n">
        <v>81</v>
      </c>
      <c r="T53" s="45" t="n">
        <v>85.5</v>
      </c>
      <c r="U53" s="45" t="n">
        <v>91</v>
      </c>
      <c r="V53" s="45" t="n">
        <v>96</v>
      </c>
      <c r="W53" s="45" t="n">
        <v>97.5</v>
      </c>
      <c r="X53" s="45" t="n">
        <v>98.5</v>
      </c>
      <c r="Y53" s="45" t="n">
        <v>99.5</v>
      </c>
    </row>
    <row r="54" ht="15" customHeight="1" s="1">
      <c r="D54" s="41" t="n"/>
      <c r="E54" s="22" t="inlineStr">
        <is>
          <t>query time</t>
        </is>
      </c>
      <c r="F54" s="91" t="n">
        <v>0.9345852166666671</v>
      </c>
      <c r="G54" s="91" t="n">
        <v>1.13263135</v>
      </c>
      <c r="H54" s="91" t="n">
        <v>1.289878</v>
      </c>
      <c r="I54" s="91" t="n">
        <v>1.52453835</v>
      </c>
      <c r="J54" s="91" t="n">
        <v>1.82872335</v>
      </c>
      <c r="K54" s="91" t="n">
        <v>2.33781906666667</v>
      </c>
      <c r="L54" s="91" t="n">
        <v>2.36229078333333</v>
      </c>
      <c r="M54" s="91" t="n">
        <v>2.87353921666667</v>
      </c>
      <c r="N54" s="91" t="n">
        <v>3.30377081666667</v>
      </c>
      <c r="O54" s="91" t="n">
        <v>3.95783811666667</v>
      </c>
      <c r="P54" s="91" t="n">
        <v>5.54844886666667</v>
      </c>
      <c r="Q54" s="91" t="n">
        <v>5.54844886666667</v>
      </c>
      <c r="R54" s="91" t="n">
        <v>9.4764108</v>
      </c>
      <c r="S54" s="91" t="n">
        <v>9.4764108</v>
      </c>
      <c r="T54" s="91" t="n">
        <v>11.80332585</v>
      </c>
      <c r="U54" s="91" t="n">
        <v>20.9300079</v>
      </c>
      <c r="V54" s="91" t="n">
        <v>52.0690504666667</v>
      </c>
      <c r="W54" s="91" t="n">
        <v>66.0417216333333</v>
      </c>
      <c r="X54" s="91" t="n">
        <v>119.74718415</v>
      </c>
      <c r="Y54" s="91" t="n">
        <v>225.599757116667</v>
      </c>
    </row>
    <row r="55" ht="15" customHeight="1" s="1">
      <c r="D55" s="41" t="inlineStr">
        <is>
          <t>V3DB（单次）</t>
        </is>
      </c>
      <c r="E55" s="22" t="inlineStr">
        <is>
          <t>Recall rate</t>
        </is>
      </c>
      <c r="F55" s="91" t="n">
        <v>16.5</v>
      </c>
      <c r="G55" s="91" t="n">
        <v>20</v>
      </c>
      <c r="H55" s="91" t="n">
        <v>28.5</v>
      </c>
      <c r="I55" s="91" t="n">
        <v>40.5</v>
      </c>
      <c r="J55" s="91" t="n">
        <v>40.5</v>
      </c>
      <c r="K55" s="91" t="n">
        <v>40.5</v>
      </c>
      <c r="L55" s="95" t="n">
        <v>47</v>
      </c>
      <c r="M55" s="95" t="n">
        <v>55</v>
      </c>
      <c r="N55" s="95" t="n">
        <v>55</v>
      </c>
      <c r="O55" s="95" t="n">
        <v>64.5</v>
      </c>
      <c r="P55" s="95" t="n">
        <v>68</v>
      </c>
      <c r="Q55" s="95" t="n">
        <v>71.5</v>
      </c>
      <c r="R55" s="91" t="n"/>
      <c r="S55" s="91" t="n"/>
      <c r="T55" s="91" t="n"/>
      <c r="U55" s="91" t="n"/>
      <c r="V55" s="91" t="n"/>
      <c r="W55" s="91" t="n"/>
      <c r="X55" s="91" t="n"/>
      <c r="Y55" s="91" t="n"/>
    </row>
    <row r="56" ht="36" customHeight="1" s="1">
      <c r="D56" s="41" t="n"/>
      <c r="E56" s="22" t="inlineStr">
        <is>
          <t>query time</t>
        </is>
      </c>
      <c r="F56" s="91" t="n">
        <v>58119.444832</v>
      </c>
      <c r="G56" s="91" t="n">
        <v>119464.821832</v>
      </c>
      <c r="H56" s="91" t="n">
        <v>240491.804555</v>
      </c>
      <c r="I56" s="91" t="n">
        <v>491486.434967</v>
      </c>
      <c r="J56" s="91" t="n">
        <v>491486.434967</v>
      </c>
      <c r="K56" s="91" t="n">
        <v>491486.434967</v>
      </c>
      <c r="L56" s="97" t="n">
        <v>537924.483764197</v>
      </c>
      <c r="M56" s="97" t="n">
        <v>1129694.05569766</v>
      </c>
      <c r="N56" s="97" t="n">
        <v>1129694.05569766</v>
      </c>
      <c r="O56" s="97" t="n">
        <v>2367078.28773386</v>
      </c>
      <c r="P56" s="97" t="n">
        <v>4949536.9281448</v>
      </c>
      <c r="Q56" s="97" t="n">
        <v>4949536.9281448</v>
      </c>
      <c r="R56" s="91" t="n"/>
      <c r="S56" s="91" t="n"/>
      <c r="T56" s="91" t="n"/>
      <c r="U56" s="91" t="n"/>
      <c r="V56" s="91" t="n"/>
      <c r="W56" s="91" t="n"/>
      <c r="X56" s="91" t="n"/>
      <c r="Y56" s="91" t="n"/>
    </row>
    <row r="57">
      <c r="D57" s="49" t="inlineStr">
        <is>
          <t>Chen13-MR</t>
        </is>
      </c>
      <c r="E57" s="34" t="inlineStr">
        <is>
          <t>Recall rate</t>
        </is>
      </c>
      <c r="F57" s="98" t="n"/>
      <c r="G57" s="98" t="n"/>
      <c r="H57" s="98" t="n"/>
      <c r="I57" s="98" t="n"/>
      <c r="J57" s="98" t="n"/>
      <c r="K57" s="98" t="n"/>
      <c r="L57" s="98" t="n"/>
      <c r="M57" s="98" t="n"/>
      <c r="N57" s="98" t="n"/>
      <c r="O57" s="98" t="n"/>
      <c r="P57" s="98" t="n"/>
      <c r="Q57" s="98" t="n"/>
      <c r="R57" s="98" t="n"/>
      <c r="S57" s="98" t="n"/>
      <c r="T57" s="98" t="n"/>
      <c r="U57" s="98" t="n"/>
      <c r="V57" s="98" t="n"/>
      <c r="W57" s="98" t="n"/>
      <c r="X57" s="98" t="n"/>
      <c r="Y57" s="98" t="n"/>
      <c r="Z57" s="92" t="n">
        <v>100</v>
      </c>
    </row>
    <row r="58">
      <c r="D58" s="41" t="n"/>
      <c r="E58" s="34" t="inlineStr">
        <is>
          <t>query time</t>
        </is>
      </c>
      <c r="F58" s="98" t="n"/>
      <c r="G58" s="98" t="n"/>
      <c r="H58" s="98" t="n"/>
      <c r="I58" s="98" t="n"/>
      <c r="J58" s="98" t="n"/>
      <c r="K58" s="98" t="n"/>
      <c r="L58" s="98" t="n"/>
      <c r="M58" s="98" t="n"/>
      <c r="N58" s="98" t="n"/>
      <c r="O58" s="98" t="n"/>
      <c r="P58" s="98" t="n"/>
      <c r="Q58" s="98" t="n"/>
      <c r="R58" s="98" t="n"/>
      <c r="S58" s="98" t="n"/>
      <c r="T58" s="98" t="n"/>
      <c r="U58" s="98" t="n"/>
      <c r="V58" s="98" t="n"/>
      <c r="W58" s="98" t="n"/>
      <c r="X58" s="98" t="n"/>
      <c r="Y58" s="98" t="n"/>
      <c r="Z58" s="92" t="n">
        <v>468.738694633333</v>
      </c>
    </row>
    <row r="59">
      <c r="D59" s="51" t="n"/>
    </row>
    <row r="60">
      <c r="D60" s="51" t="n"/>
    </row>
    <row r="62" customFormat="1" s="12"/>
    <row r="64">
      <c r="E64" s="15" t="inlineStr">
        <is>
          <t>Dataset size vs. VO size</t>
        </is>
      </c>
    </row>
    <row r="65"/>
    <row r="66" ht="30" customHeight="1" s="1">
      <c r="D66" s="52" t="inlineStr">
        <is>
          <t>GloVe-100: real prefix subsets; 5M/10M not applicable</t>
        </is>
      </c>
      <c r="E66" s="39" t="n"/>
      <c r="F66" s="39" t="n"/>
      <c r="G66" s="39" t="n"/>
      <c r="H66" s="39" t="n"/>
      <c r="I66" s="39" t="n"/>
      <c r="J66" s="40" t="n"/>
    </row>
    <row r="67">
      <c r="D67" s="38" t="inlineStr">
        <is>
          <t>dataset size</t>
        </is>
      </c>
      <c r="E67" s="40" t="n"/>
      <c r="F67" s="22" t="inlineStr">
        <is>
          <t>10^5</t>
        </is>
      </c>
      <c r="G67" s="22" t="inlineStr">
        <is>
          <t>5*10^5</t>
        </is>
      </c>
      <c r="H67" s="22" t="inlineStr">
        <is>
          <t>10^6</t>
        </is>
      </c>
      <c r="I67" s="22" t="inlineStr">
        <is>
          <t>5*10^6</t>
        </is>
      </c>
      <c r="J67" s="22" t="inlineStr">
        <is>
          <t>10^7</t>
        </is>
      </c>
    </row>
    <row r="68">
      <c r="D68" s="38" t="inlineStr">
        <is>
          <t>VLAH</t>
        </is>
      </c>
      <c r="E68" s="40" t="n"/>
      <c r="F68" s="86" t="n">
        <v>8489.522800000001</v>
      </c>
      <c r="G68" s="86" t="n">
        <v>42416.545</v>
      </c>
      <c r="H68" s="86" t="n">
        <v>82998.06759999999</v>
      </c>
      <c r="I68" s="86" t="inlineStr">
        <is>
          <t>不适用</t>
        </is>
      </c>
      <c r="J68" s="86" t="inlineStr">
        <is>
          <t>不适用</t>
        </is>
      </c>
    </row>
    <row r="69">
      <c r="D69" s="38" t="inlineStr">
        <is>
          <t>ANNProof*</t>
        </is>
      </c>
      <c r="E69" s="40" t="n"/>
      <c r="F69" s="94" t="n">
        <v>10114.9796</v>
      </c>
      <c r="G69" s="94" t="n">
        <v>26547.8376</v>
      </c>
      <c r="H69" s="94" t="n">
        <v>28740.9068</v>
      </c>
      <c r="I69" s="86" t="inlineStr">
        <is>
          <t>不适用</t>
        </is>
      </c>
      <c r="J69" s="86" t="inlineStr">
        <is>
          <t>不适用</t>
        </is>
      </c>
    </row>
    <row r="70" ht="15" customHeight="1" s="1">
      <c r="D70" s="38" t="inlineStr">
        <is>
          <t>Ours †含预测</t>
        </is>
      </c>
      <c r="E70" s="40" t="n"/>
      <c r="F70" s="91" t="n">
        <v>969.1795499999999</v>
      </c>
      <c r="G70" s="96" t="n">
        <v>3039.14186469563</v>
      </c>
      <c r="H70" s="96" t="n">
        <v>3040</v>
      </c>
      <c r="I70" s="91" t="inlineStr">
        <is>
          <t>不适用</t>
        </is>
      </c>
      <c r="J70" s="91" t="inlineStr">
        <is>
          <t>不适用</t>
        </is>
      </c>
    </row>
    <row r="71" ht="15" customHeight="1" s="1">
      <c r="D71" s="38" t="inlineStr">
        <is>
          <t>V3DB（单次）</t>
        </is>
      </c>
      <c r="E71" s="40" t="n"/>
      <c r="F71" s="91" t="n">
        <v>213.789</v>
      </c>
      <c r="G71" s="91" t="n">
        <v>221.723</v>
      </c>
      <c r="H71" s="91" t="n">
        <v>229.787</v>
      </c>
      <c r="I71" s="91" t="n"/>
      <c r="J71" s="91" t="n"/>
    </row>
    <row r="72">
      <c r="D72" s="53" t="inlineStr">
        <is>
          <t>Chen13-MR</t>
        </is>
      </c>
      <c r="E72" s="40" t="n"/>
      <c r="F72" s="98" t="n"/>
      <c r="G72" s="98" t="n"/>
      <c r="H72" s="98" t="n"/>
      <c r="I72" s="98" t="n"/>
      <c r="J72" s="98" t="n"/>
      <c r="K72" s="36" t="n"/>
      <c r="L72" s="36" t="n"/>
      <c r="M72" s="36" t="n"/>
      <c r="N72" s="36" t="n"/>
      <c r="O72" s="36" t="n"/>
      <c r="P72" s="36" t="n"/>
      <c r="Q72" s="36" t="n"/>
      <c r="R72" s="36" t="n"/>
      <c r="S72" s="36" t="n"/>
      <c r="T72" s="36" t="n"/>
      <c r="U72" s="36" t="n"/>
      <c r="V72" s="36" t="n"/>
      <c r="W72" s="36" t="n"/>
      <c r="X72" s="36" t="n"/>
      <c r="Y72" s="36" t="n"/>
      <c r="Z72" s="36" t="n"/>
    </row>
    <row r="76">
      <c r="E76" s="15" t="inlineStr">
        <is>
          <t>Dataset size vs. Verify time</t>
        </is>
      </c>
    </row>
    <row r="77"/>
    <row r="78" ht="30" customHeight="1" s="1">
      <c r="D78" s="52" t="inlineStr">
        <is>
          <t>GloVe-100: real prefix subsets; 5M/10M not applicable</t>
        </is>
      </c>
      <c r="E78" s="39" t="n"/>
      <c r="F78" s="39" t="n"/>
      <c r="G78" s="39" t="n"/>
      <c r="H78" s="39" t="n"/>
      <c r="I78" s="39" t="n"/>
      <c r="J78" s="40" t="n"/>
    </row>
    <row r="79">
      <c r="D79" s="38" t="inlineStr">
        <is>
          <t>dataset size</t>
        </is>
      </c>
      <c r="E79" s="40" t="n"/>
      <c r="F79" s="22" t="inlineStr">
        <is>
          <t>10^5</t>
        </is>
      </c>
      <c r="G79" s="22" t="inlineStr">
        <is>
          <t>5*10^5</t>
        </is>
      </c>
      <c r="H79" s="22" t="inlineStr">
        <is>
          <t>10^6</t>
        </is>
      </c>
      <c r="I79" s="22" t="inlineStr">
        <is>
          <t>5*10^6</t>
        </is>
      </c>
      <c r="J79" s="22" t="inlineStr">
        <is>
          <t>10^7</t>
        </is>
      </c>
    </row>
    <row r="80">
      <c r="D80" s="38" t="inlineStr">
        <is>
          <t>VLAH</t>
        </is>
      </c>
      <c r="E80" s="40" t="n"/>
      <c r="F80" s="86" t="n">
        <v>54.7392815166667</v>
      </c>
      <c r="G80" s="86" t="n">
        <v>284.5216247</v>
      </c>
      <c r="H80" s="86" t="n">
        <v>557.962164633333</v>
      </c>
      <c r="I80" s="86" t="inlineStr">
        <is>
          <t>不适用</t>
        </is>
      </c>
      <c r="J80" s="86" t="inlineStr">
        <is>
          <t>不适用</t>
        </is>
      </c>
    </row>
    <row r="81">
      <c r="D81" s="38" t="inlineStr">
        <is>
          <t>ANNProof*</t>
        </is>
      </c>
      <c r="E81" s="40" t="n"/>
      <c r="F81" s="94" t="n">
        <v>88.903631</v>
      </c>
      <c r="G81" s="94" t="n">
        <v>249.788179624999</v>
      </c>
      <c r="H81" s="94" t="n">
        <v>279.3980615</v>
      </c>
      <c r="I81" s="86" t="inlineStr">
        <is>
          <t>不适用</t>
        </is>
      </c>
      <c r="J81" s="86" t="inlineStr">
        <is>
          <t>不适用</t>
        </is>
      </c>
    </row>
    <row r="82" ht="15" customHeight="1" s="1">
      <c r="D82" s="38" t="inlineStr">
        <is>
          <t>Ours †含预测</t>
        </is>
      </c>
      <c r="E82" s="40" t="n"/>
      <c r="F82" s="91" t="n">
        <v>23.6985128833333</v>
      </c>
      <c r="G82" s="96" t="n">
        <v>85</v>
      </c>
      <c r="H82" s="96" t="n">
        <v>85.0298855857104</v>
      </c>
      <c r="I82" s="91" t="inlineStr">
        <is>
          <t>不适用</t>
        </is>
      </c>
      <c r="J82" s="91" t="inlineStr">
        <is>
          <t>不适用</t>
        </is>
      </c>
    </row>
    <row r="83" ht="15" customHeight="1" s="1">
      <c r="D83" s="38" t="inlineStr">
        <is>
          <t>V3DB（单次） †含预测</t>
        </is>
      </c>
      <c r="E83" s="40" t="n"/>
      <c r="F83" s="96" t="n">
        <v>17.6935892789805</v>
      </c>
      <c r="G83" s="96" t="n">
        <v>17.6935892789805</v>
      </c>
      <c r="H83" s="96" t="n">
        <v>17.7</v>
      </c>
      <c r="I83" s="91" t="n"/>
      <c r="J83" s="91" t="n"/>
    </row>
    <row r="84">
      <c r="D84" s="53" t="inlineStr">
        <is>
          <t>Chen13-MR</t>
        </is>
      </c>
      <c r="E84" s="40" t="n"/>
      <c r="F84" s="98" t="n"/>
      <c r="G84" s="98" t="n"/>
      <c r="H84" s="98" t="n"/>
      <c r="I84" s="98" t="n"/>
      <c r="J84" s="98" t="n"/>
      <c r="K84" s="36" t="n"/>
      <c r="L84" s="36" t="n"/>
      <c r="M84" s="36" t="n"/>
      <c r="N84" s="36" t="n"/>
      <c r="O84" s="36" t="n"/>
      <c r="P84" s="36" t="n"/>
      <c r="Q84" s="36" t="n"/>
      <c r="R84" s="36" t="n"/>
      <c r="S84" s="36" t="n"/>
      <c r="T84" s="36" t="n"/>
      <c r="U84" s="36" t="n"/>
      <c r="V84" s="36" t="n"/>
      <c r="W84" s="36" t="n"/>
      <c r="X84" s="36" t="n"/>
      <c r="Y84" s="36" t="n"/>
      <c r="Z84" s="36" t="n"/>
    </row>
    <row r="87">
      <c r="E87" s="15" t="inlineStr">
        <is>
          <t>Dataset size vs. query time</t>
        </is>
      </c>
    </row>
    <row r="88"/>
    <row r="89" ht="30" customHeight="1" s="1">
      <c r="D89" s="52" t="inlineStr">
        <is>
          <t>GloVe-100: real prefix subsets; 5M/10M not applicable</t>
        </is>
      </c>
      <c r="E89" s="39" t="n"/>
      <c r="F89" s="39" t="n"/>
      <c r="G89" s="39" t="n"/>
      <c r="H89" s="39" t="n"/>
      <c r="I89" s="39" t="n"/>
      <c r="J89" s="40" t="n"/>
    </row>
    <row r="90">
      <c r="D90" s="38" t="inlineStr">
        <is>
          <t>dataset size</t>
        </is>
      </c>
      <c r="E90" s="40" t="n"/>
      <c r="F90" s="22" t="inlineStr">
        <is>
          <t>10^5</t>
        </is>
      </c>
      <c r="G90" s="22" t="inlineStr">
        <is>
          <t>5*10^5</t>
        </is>
      </c>
      <c r="H90" s="22" t="inlineStr">
        <is>
          <t>10^6</t>
        </is>
      </c>
      <c r="I90" s="22" t="inlineStr">
        <is>
          <t>5*10^6</t>
        </is>
      </c>
      <c r="J90" s="22" t="inlineStr">
        <is>
          <t>10^7</t>
        </is>
      </c>
    </row>
    <row r="91">
      <c r="D91" s="38" t="inlineStr">
        <is>
          <t>VLAH</t>
        </is>
      </c>
      <c r="E91" s="40" t="n"/>
      <c r="F91" s="86" t="n">
        <v>19.83255335</v>
      </c>
      <c r="G91" s="86" t="n">
        <v>118.37491675</v>
      </c>
      <c r="H91" s="86" t="n">
        <v>237.828352416667</v>
      </c>
      <c r="I91" s="86" t="inlineStr">
        <is>
          <t>不适用</t>
        </is>
      </c>
      <c r="J91" s="86" t="inlineStr">
        <is>
          <t>不适用</t>
        </is>
      </c>
    </row>
    <row r="92">
      <c r="D92" s="38" t="inlineStr">
        <is>
          <t>ANNProof*</t>
        </is>
      </c>
      <c r="E92" s="40" t="n"/>
      <c r="F92" s="94" t="n">
        <v>17.26420124</v>
      </c>
      <c r="G92" s="94" t="n">
        <v>51.20933434</v>
      </c>
      <c r="H92" s="94" t="n">
        <v>57.27377048</v>
      </c>
      <c r="I92" s="86" t="inlineStr">
        <is>
          <t>不适用</t>
        </is>
      </c>
      <c r="J92" s="86" t="inlineStr">
        <is>
          <t>不适用</t>
        </is>
      </c>
    </row>
    <row r="93" ht="15" customHeight="1" s="1">
      <c r="D93" s="38" t="inlineStr">
        <is>
          <t>Ours †含预测</t>
        </is>
      </c>
      <c r="E93" s="40" t="n"/>
      <c r="F93" s="91" t="n">
        <v>10.5961927333333</v>
      </c>
      <c r="G93" s="96" t="n">
        <v>39.6</v>
      </c>
      <c r="H93" s="96" t="n">
        <v>39.6244686282539</v>
      </c>
      <c r="I93" s="91" t="inlineStr">
        <is>
          <t>不适用</t>
        </is>
      </c>
      <c r="J93" s="91" t="inlineStr">
        <is>
          <t>不适用</t>
        </is>
      </c>
    </row>
    <row r="94" ht="15" customHeight="1" s="1">
      <c r="D94" s="38" t="inlineStr">
        <is>
          <t>V3DB（单次） †含预测</t>
        </is>
      </c>
      <c r="E94" s="40" t="n"/>
      <c r="F94" s="96" t="n">
        <v>305000</v>
      </c>
      <c r="G94" s="96" t="n">
        <v>305459.645925872</v>
      </c>
      <c r="H94" s="96" t="n">
        <v>305459.645925872</v>
      </c>
      <c r="I94" s="91" t="n"/>
      <c r="J94" s="91" t="n"/>
    </row>
    <row r="95">
      <c r="D95" s="53" t="inlineStr">
        <is>
          <t>Chen13-MR</t>
        </is>
      </c>
      <c r="E95" s="40" t="n"/>
      <c r="F95" s="98" t="n"/>
      <c r="G95" s="98" t="n"/>
      <c r="H95" s="98" t="n"/>
      <c r="I95" s="98" t="n"/>
      <c r="J95" s="98" t="n"/>
      <c r="K95" s="36" t="n"/>
      <c r="L95" s="36" t="n"/>
      <c r="M95" s="36" t="n"/>
      <c r="N95" s="36" t="n"/>
      <c r="O95" s="36" t="n"/>
      <c r="P95" s="36" t="n"/>
      <c r="Q95" s="36" t="n"/>
      <c r="R95" s="36" t="n"/>
      <c r="S95" s="36" t="n"/>
      <c r="T95" s="36" t="n"/>
      <c r="U95" s="36" t="n"/>
      <c r="V95" s="36" t="n"/>
      <c r="W95" s="36" t="n"/>
      <c r="X95" s="36" t="n"/>
      <c r="Y95" s="36" t="n"/>
      <c r="Z95" s="36" t="n"/>
    </row>
    <row r="98" customFormat="1" s="12"/>
    <row r="100">
      <c r="E100" s="15" t="inlineStr">
        <is>
          <t>K vs. VO size (actual Recall@K logged)</t>
        </is>
      </c>
    </row>
    <row r="101"/>
    <row r="102">
      <c r="D102" s="38" t="inlineStr">
        <is>
          <t>GloVe-100 (N=1,183,514, d=100)</t>
        </is>
      </c>
      <c r="E102" s="39" t="n"/>
      <c r="F102" s="39" t="n"/>
      <c r="G102" s="39" t="n"/>
      <c r="H102" s="39" t="n"/>
      <c r="I102" s="39" t="n"/>
      <c r="J102" s="39" t="n"/>
      <c r="K102" s="40" t="n"/>
    </row>
    <row r="103">
      <c r="D103" s="38" t="inlineStr">
        <is>
          <t>K</t>
        </is>
      </c>
      <c r="E103" s="40" t="n"/>
      <c r="F103" s="22" t="n">
        <v>1</v>
      </c>
      <c r="G103" s="22" t="n">
        <v>5</v>
      </c>
      <c r="H103" s="22" t="n">
        <v>10</v>
      </c>
      <c r="I103" s="22" t="n">
        <v>20</v>
      </c>
      <c r="J103" s="22" t="n">
        <v>50</v>
      </c>
      <c r="K103" s="22" t="n">
        <v>100</v>
      </c>
    </row>
    <row r="104">
      <c r="D104" s="38" t="inlineStr">
        <is>
          <t>VLAH</t>
        </is>
      </c>
      <c r="E104" s="40" t="n"/>
      <c r="F104" s="86" t="n">
        <v>156085.1096</v>
      </c>
      <c r="G104" s="86" t="n">
        <v>156085.1256</v>
      </c>
      <c r="H104" s="86" t="n">
        <v>156085.1456</v>
      </c>
      <c r="I104" s="86" t="n">
        <v>156085.1856</v>
      </c>
      <c r="J104" s="86" t="n">
        <v>156085.3056</v>
      </c>
      <c r="K104" s="86" t="n">
        <v>156085.5056</v>
      </c>
    </row>
    <row r="105">
      <c r="D105" s="38" t="inlineStr">
        <is>
          <t>ANNProof*</t>
        </is>
      </c>
      <c r="E105" s="40" t="n"/>
      <c r="F105" s="94" t="n">
        <v>40563.3888</v>
      </c>
      <c r="G105" s="94" t="n">
        <v>40567.8848</v>
      </c>
      <c r="H105" s="94" t="n">
        <v>40573.4568</v>
      </c>
      <c r="I105" s="94" t="n">
        <v>40584.4448</v>
      </c>
      <c r="J105" s="94" t="n">
        <v>40616.2848</v>
      </c>
      <c r="K105" s="94" t="n">
        <v>40666.0208</v>
      </c>
    </row>
    <row r="106" ht="15" customHeight="1" s="1">
      <c r="D106" s="38" t="inlineStr">
        <is>
          <t>Ours</t>
        </is>
      </c>
      <c r="E106" s="40" t="n"/>
      <c r="F106" s="91" t="n">
        <v>2821.034</v>
      </c>
      <c r="G106" s="91" t="n">
        <v>3499.03985</v>
      </c>
      <c r="H106" s="91" t="n">
        <v>3831.7115</v>
      </c>
      <c r="I106" s="91" t="n">
        <v>4142.2652</v>
      </c>
      <c r="J106" s="91" t="n">
        <v>4787.9475</v>
      </c>
      <c r="K106" s="91" t="n">
        <v>5324.953</v>
      </c>
    </row>
    <row r="107" ht="36" customHeight="1" s="1">
      <c r="D107" s="38" t="inlineStr">
        <is>
          <t>V3DB（单次） †含预测</t>
        </is>
      </c>
      <c r="E107" s="40" t="n"/>
      <c r="F107" s="91" t="n">
        <v>283.923</v>
      </c>
      <c r="G107" s="96" t="n">
        <v>286.588698182292</v>
      </c>
      <c r="H107" s="96" t="n">
        <v>286.588698182292</v>
      </c>
      <c r="I107" s="96" t="n">
        <v>286.605622415193</v>
      </c>
      <c r="J107" s="96" t="n">
        <v>286.605622415193</v>
      </c>
      <c r="K107" s="96" t="n">
        <v>287</v>
      </c>
    </row>
    <row r="108">
      <c r="D108" s="53" t="inlineStr">
        <is>
          <t>Chen13-MR</t>
        </is>
      </c>
      <c r="E108" s="40" t="n"/>
      <c r="F108" s="98" t="n"/>
      <c r="G108" s="98" t="n"/>
      <c r="H108" s="98" t="n"/>
      <c r="I108" s="98" t="n"/>
      <c r="J108" s="98" t="n"/>
      <c r="K108" s="98" t="n"/>
      <c r="L108" s="36" t="n"/>
      <c r="M108" s="36" t="n"/>
      <c r="N108" s="36" t="n"/>
      <c r="O108" s="36" t="n"/>
      <c r="P108" s="36" t="n"/>
      <c r="Q108" s="36" t="n"/>
      <c r="R108" s="36" t="n"/>
      <c r="S108" s="36" t="n"/>
      <c r="T108" s="36" t="n"/>
      <c r="U108" s="36" t="n"/>
      <c r="V108" s="36" t="n"/>
      <c r="W108" s="36" t="n"/>
      <c r="X108" s="36" t="n"/>
      <c r="Y108" s="36" t="n"/>
      <c r="Z108" s="36" t="n"/>
    </row>
    <row r="112">
      <c r="E112" s="15" t="inlineStr">
        <is>
          <t>K vs. Verify time</t>
        </is>
      </c>
    </row>
    <row r="113"/>
    <row r="114">
      <c r="D114" s="38" t="inlineStr">
        <is>
          <t>GloVe-100 (N=1,183,514, d=100)</t>
        </is>
      </c>
      <c r="E114" s="39" t="n"/>
      <c r="F114" s="39" t="n"/>
      <c r="G114" s="39" t="n"/>
      <c r="H114" s="39" t="n"/>
      <c r="I114" s="39" t="n"/>
      <c r="J114" s="39" t="n"/>
      <c r="K114" s="40" t="n"/>
    </row>
    <row r="115">
      <c r="D115" s="38" t="inlineStr">
        <is>
          <t>K</t>
        </is>
      </c>
      <c r="E115" s="40" t="n"/>
      <c r="F115" s="22" t="n">
        <v>1</v>
      </c>
      <c r="G115" s="22" t="n">
        <v>5</v>
      </c>
      <c r="H115" s="22" t="n">
        <v>10</v>
      </c>
      <c r="I115" s="22" t="n">
        <v>20</v>
      </c>
      <c r="J115" s="22" t="n">
        <v>50</v>
      </c>
      <c r="K115" s="22" t="n">
        <v>100</v>
      </c>
    </row>
    <row r="116">
      <c r="D116" s="38" t="inlineStr">
        <is>
          <t>VLAH †含预测</t>
        </is>
      </c>
      <c r="E116" s="40" t="n"/>
      <c r="F116" s="99" t="n">
        <v>1020</v>
      </c>
      <c r="G116" s="99" t="n">
        <v>1021.58796829263</v>
      </c>
      <c r="H116" s="99" t="n">
        <v>1021.58796829263</v>
      </c>
      <c r="I116" s="99" t="n">
        <v>1021.58796829263</v>
      </c>
      <c r="J116" s="99" t="n">
        <v>1021.58796829263</v>
      </c>
      <c r="K116" s="86" t="n">
        <v>1024.00291686667</v>
      </c>
    </row>
    <row r="117">
      <c r="D117" s="38" t="inlineStr">
        <is>
          <t>ANNProof* †含预测</t>
        </is>
      </c>
      <c r="E117" s="40" t="n"/>
      <c r="F117" s="94" t="n">
        <v>394.75367445</v>
      </c>
      <c r="G117" s="99" t="n">
        <v>395</v>
      </c>
      <c r="H117" s="99" t="n">
        <v>395.013987360353</v>
      </c>
      <c r="I117" s="99" t="n">
        <v>395.013987360353</v>
      </c>
      <c r="J117" s="99" t="n">
        <v>395.013987360353</v>
      </c>
      <c r="K117" s="94" t="n">
        <v>395.155654900001</v>
      </c>
    </row>
    <row r="118" ht="15" customHeight="1" s="1">
      <c r="D118" s="38" t="inlineStr">
        <is>
          <t>Ours</t>
        </is>
      </c>
      <c r="E118" s="40" t="n"/>
      <c r="F118" s="91" t="n">
        <v>74.48325705000001</v>
      </c>
      <c r="G118" s="91" t="n">
        <v>98.3033552</v>
      </c>
      <c r="H118" s="91" t="n">
        <v>112.045662116667</v>
      </c>
      <c r="I118" s="91" t="n">
        <v>122.636949233333</v>
      </c>
      <c r="J118" s="91" t="n">
        <v>145.3057572</v>
      </c>
      <c r="K118" s="91" t="n">
        <v>161.658067283333</v>
      </c>
    </row>
    <row r="119" ht="36" customHeight="1" s="1">
      <c r="D119" s="38" t="inlineStr">
        <is>
          <t>V3DB（单次） †含预测</t>
        </is>
      </c>
      <c r="E119" s="40" t="n"/>
      <c r="F119" s="91" t="n">
        <v>17.6347630003875</v>
      </c>
      <c r="G119" s="91" t="n">
        <v>17.6932949998445</v>
      </c>
      <c r="H119" s="96" t="n">
        <v>18.2</v>
      </c>
      <c r="I119" s="96" t="n">
        <v>18.2182522266834</v>
      </c>
      <c r="J119" s="96" t="n">
        <v>18.2182522266834</v>
      </c>
      <c r="K119" s="96" t="n">
        <v>18.2182522266834</v>
      </c>
    </row>
    <row r="120">
      <c r="D120" s="53" t="inlineStr">
        <is>
          <t>Chen13-MR</t>
        </is>
      </c>
      <c r="E120" s="40" t="n"/>
      <c r="F120" s="98" t="n"/>
      <c r="G120" s="98" t="n"/>
      <c r="H120" s="98" t="n"/>
      <c r="I120" s="98" t="n"/>
      <c r="J120" s="98" t="n"/>
      <c r="K120" s="98" t="n"/>
      <c r="L120" s="36" t="n"/>
      <c r="M120" s="36" t="n"/>
      <c r="N120" s="36" t="n"/>
      <c r="O120" s="36" t="n"/>
      <c r="P120" s="36" t="n"/>
      <c r="Q120" s="36" t="n"/>
      <c r="R120" s="36" t="n"/>
      <c r="S120" s="36" t="n"/>
      <c r="T120" s="36" t="n"/>
      <c r="U120" s="36" t="n"/>
      <c r="V120" s="36" t="n"/>
      <c r="W120" s="36" t="n"/>
      <c r="X120" s="36" t="n"/>
      <c r="Y120" s="36" t="n"/>
      <c r="Z120" s="36" t="n"/>
    </row>
    <row r="123">
      <c r="E123" s="15" t="inlineStr">
        <is>
          <t>K vs. Query time (includes VO generation)</t>
        </is>
      </c>
    </row>
    <row r="124"/>
    <row r="125">
      <c r="D125" s="38" t="inlineStr">
        <is>
          <t>GloVe-100 (N=1,183,514, d=100)</t>
        </is>
      </c>
      <c r="E125" s="39" t="n"/>
      <c r="F125" s="39" t="n"/>
      <c r="G125" s="39" t="n"/>
      <c r="H125" s="39" t="n"/>
      <c r="I125" s="39" t="n"/>
      <c r="J125" s="39" t="n"/>
      <c r="K125" s="40" t="n"/>
    </row>
    <row r="126">
      <c r="D126" s="38" t="inlineStr">
        <is>
          <t>K</t>
        </is>
      </c>
      <c r="E126" s="40" t="n"/>
      <c r="F126" s="22" t="n">
        <v>1</v>
      </c>
      <c r="G126" s="22" t="n">
        <v>5</v>
      </c>
      <c r="H126" s="22" t="n">
        <v>10</v>
      </c>
      <c r="I126" s="22" t="n">
        <v>20</v>
      </c>
      <c r="J126" s="22" t="n">
        <v>50</v>
      </c>
      <c r="K126" s="22" t="n">
        <v>100</v>
      </c>
    </row>
    <row r="127">
      <c r="D127" s="38" t="inlineStr">
        <is>
          <t>VLAH †含预测</t>
        </is>
      </c>
      <c r="E127" s="40" t="n"/>
      <c r="F127" s="99" t="n">
        <v>425</v>
      </c>
      <c r="G127" s="99" t="n">
        <v>425.232657234712</v>
      </c>
      <c r="H127" s="99" t="n">
        <v>425.232657234712</v>
      </c>
      <c r="I127" s="99" t="n">
        <v>425.232657234712</v>
      </c>
      <c r="J127" s="99" t="n">
        <v>425.232657234712</v>
      </c>
      <c r="K127" s="99" t="n">
        <v>425.232657234712</v>
      </c>
    </row>
    <row r="128">
      <c r="D128" s="38" t="inlineStr">
        <is>
          <t>ANNProof* †含预测</t>
        </is>
      </c>
      <c r="E128" s="40" t="n"/>
      <c r="F128" s="99" t="n">
        <v>83.1534125210447</v>
      </c>
      <c r="G128" s="99" t="n">
        <v>83.1534125210447</v>
      </c>
      <c r="H128" s="99" t="n">
        <v>83.2</v>
      </c>
      <c r="I128" s="94" t="n">
        <v>85.38329692000001</v>
      </c>
      <c r="J128" s="99" t="n">
        <v>86.3</v>
      </c>
      <c r="K128" s="99" t="n">
        <v>86.3094890703704</v>
      </c>
    </row>
    <row r="129" ht="15" customHeight="1" s="1">
      <c r="D129" s="38" t="inlineStr">
        <is>
          <t>Ours</t>
        </is>
      </c>
      <c r="E129" s="40" t="n"/>
      <c r="F129" s="91" t="n">
        <v>43.3916748666667</v>
      </c>
      <c r="G129" s="91" t="n">
        <v>48.2972326666667</v>
      </c>
      <c r="H129" s="91" t="n">
        <v>51.89053155</v>
      </c>
      <c r="I129" s="91" t="n">
        <v>53.6649467833333</v>
      </c>
      <c r="J129" s="91" t="n">
        <v>58.6309350833333</v>
      </c>
      <c r="K129" s="91" t="n">
        <v>61.9766955833333</v>
      </c>
    </row>
    <row r="130" ht="36" customHeight="1" s="1">
      <c r="D130" s="38" t="inlineStr">
        <is>
          <t>V3DB（单次） †含预测</t>
        </is>
      </c>
      <c r="E130" s="40" t="n"/>
      <c r="F130" s="96" t="n">
        <v>492000</v>
      </c>
      <c r="G130" s="96" t="n">
        <v>492276.786087203</v>
      </c>
      <c r="H130" s="96" t="n">
        <v>492276.786087203</v>
      </c>
      <c r="I130" s="96" t="n">
        <v>492276.786087203</v>
      </c>
      <c r="J130" s="96" t="n">
        <v>492276.786087203</v>
      </c>
      <c r="K130" s="96" t="n">
        <v>492276.786087203</v>
      </c>
    </row>
    <row r="131">
      <c r="D131" s="53" t="inlineStr">
        <is>
          <t>Chen13-MR</t>
        </is>
      </c>
      <c r="E131" s="40" t="n"/>
      <c r="F131" s="98" t="n"/>
      <c r="G131" s="98" t="n"/>
      <c r="H131" s="98" t="n"/>
      <c r="I131" s="98" t="n"/>
      <c r="J131" s="98" t="n"/>
      <c r="K131" s="98" t="n"/>
      <c r="L131" s="36" t="n"/>
      <c r="M131" s="36" t="n"/>
      <c r="N131" s="36" t="n"/>
      <c r="O131" s="36" t="n"/>
      <c r="P131" s="36" t="n"/>
      <c r="Q131" s="36" t="n"/>
      <c r="R131" s="36" t="n"/>
      <c r="S131" s="36" t="n"/>
      <c r="T131" s="36" t="n"/>
      <c r="U131" s="36" t="n"/>
      <c r="V131" s="36" t="n"/>
      <c r="W131" s="36" t="n"/>
      <c r="X131" s="36" t="n"/>
      <c r="Y131" s="36" t="n"/>
      <c r="Z131" s="36" t="n"/>
    </row>
    <row r="133" customFormat="1" s="12"/>
    <row r="136">
      <c r="D136" s="57" t="inlineStr">
        <is>
          <t>Ablation Study 
（Ours: (i)progressive quantization, 
(ii) verification-decoupled traversal, 
(iii) expansion-centric authentication.）</t>
        </is>
      </c>
      <c r="E136" s="58" t="n"/>
      <c r="F136" s="58" t="n"/>
      <c r="G136" s="58" t="n"/>
      <c r="H136" s="58" t="n"/>
      <c r="I136" s="59" t="n"/>
    </row>
    <row r="137">
      <c r="D137" s="60" t="n"/>
      <c r="I137" s="61" t="n"/>
    </row>
    <row r="138">
      <c r="D138" s="60" t="n"/>
      <c r="I138" s="61" t="n"/>
    </row>
    <row r="139">
      <c r="D139" s="62" t="n"/>
      <c r="E139" s="63" t="n"/>
      <c r="F139" s="63" t="n"/>
      <c r="G139" s="63" t="n"/>
      <c r="H139" s="63" t="n"/>
      <c r="I139" s="64" t="n"/>
    </row>
    <row r="140">
      <c r="D140" s="65" t="n"/>
      <c r="E140" s="64" t="n"/>
      <c r="F140" s="66" t="inlineStr">
        <is>
          <t>Recall@10</t>
        </is>
      </c>
      <c r="G140" s="67" t="inlineStr">
        <is>
          <t>Query Time (ms)</t>
        </is>
      </c>
      <c r="H140" s="67" t="inlineStr">
        <is>
          <t>VO Size (KB)</t>
        </is>
      </c>
      <c r="I140" s="68" t="inlineStr">
        <is>
          <t>Verify Time (ms)</t>
        </is>
      </c>
    </row>
    <row r="141">
      <c r="D141" s="69" t="inlineStr">
        <is>
          <t>Merkle+IVF</t>
        </is>
      </c>
      <c r="E141" s="70" t="n"/>
      <c r="F141" s="100" t="n">
        <v>0.96</v>
      </c>
      <c r="G141" s="101" t="n">
        <v>656.046048783333</v>
      </c>
      <c r="H141" s="101" t="n">
        <v>114536.9394</v>
      </c>
      <c r="I141" s="101" t="n">
        <v>1451.07563496667</v>
      </c>
    </row>
    <row r="142">
      <c r="D142" s="69" t="inlineStr">
        <is>
          <t>Merkle+HNSW</t>
        </is>
      </c>
      <c r="E142" s="70" t="n"/>
      <c r="F142" s="100" t="n">
        <v>0.95</v>
      </c>
      <c r="G142" s="101" t="n">
        <v>71.72813031666669</v>
      </c>
      <c r="H142" s="101" t="n">
        <v>12688.6482</v>
      </c>
      <c r="I142" s="101" t="n">
        <v>144.693621066667</v>
      </c>
    </row>
    <row r="143">
      <c r="D143" s="69" t="inlineStr">
        <is>
          <t>Merkle+IVF+(i)</t>
        </is>
      </c>
      <c r="E143" s="70" t="n"/>
      <c r="F143" s="100" t="n">
        <v>0.96</v>
      </c>
      <c r="G143" s="101" t="n">
        <v>284.9821033</v>
      </c>
      <c r="H143" s="101" t="n">
        <v>33295.9082</v>
      </c>
      <c r="I143" s="101" t="n">
        <v>1447.11602305</v>
      </c>
    </row>
    <row r="144">
      <c r="D144" s="69" t="inlineStr">
        <is>
          <t>Merkle+HNSW+(i)</t>
        </is>
      </c>
      <c r="E144" s="70" t="n"/>
      <c r="F144" s="100" t="n">
        <v>0.95</v>
      </c>
      <c r="G144" s="101" t="n">
        <v>81.6738649666667</v>
      </c>
      <c r="H144" s="101" t="n">
        <v>12105.94305</v>
      </c>
      <c r="I144" s="101" t="n">
        <v>283.981054216667</v>
      </c>
    </row>
    <row r="145">
      <c r="D145" s="69" t="inlineStr">
        <is>
          <t>(i)+(ii)</t>
        </is>
      </c>
      <c r="E145" s="70" t="n"/>
      <c r="F145" s="100" t="n">
        <v>0.96</v>
      </c>
      <c r="G145" s="101" t="n">
        <v>58.3624241333333</v>
      </c>
      <c r="H145" s="101" t="n">
        <v>7204.0758</v>
      </c>
      <c r="I145" s="101" t="n">
        <v>180.8511168</v>
      </c>
    </row>
    <row r="146">
      <c r="D146" s="69" t="inlineStr">
        <is>
          <t>(i)+(ii)+(iii)</t>
        </is>
      </c>
      <c r="E146" s="70" t="n"/>
      <c r="F146" s="100" t="n">
        <v>0.96</v>
      </c>
      <c r="G146" s="101" t="n">
        <v>35.9087503333333</v>
      </c>
      <c r="H146" s="101" t="n">
        <v>2804.3072</v>
      </c>
      <c r="I146" s="101" t="n">
        <v>77.78700821666671</v>
      </c>
    </row>
    <row r="147" ht="36" customHeight="1" s="1">
      <c r="D147" s="69" t="inlineStr">
        <is>
          <t>V3DB baseline（单次）</t>
        </is>
      </c>
      <c r="E147" s="70" t="n"/>
      <c r="F147" s="102" t="n">
        <v>0.405</v>
      </c>
      <c r="G147" s="91" t="n">
        <v>491486.434967</v>
      </c>
      <c r="H147" s="91" t="n">
        <v>287.485</v>
      </c>
      <c r="I147" s="91" t="n">
        <v>19.9993839999024</v>
      </c>
    </row>
    <row r="148">
      <c r="D148" s="69" t="inlineStr">
        <is>
          <t>Chen13-MR（外部参考）</t>
        </is>
      </c>
      <c r="E148" s="70" t="n"/>
      <c r="F148" s="103" t="n">
        <v>1</v>
      </c>
      <c r="G148" s="92" t="n">
        <v>468.738694633333</v>
      </c>
      <c r="H148" s="92" t="n">
        <v>466932.94075</v>
      </c>
      <c r="I148" s="92" t="n">
        <v>390.349265616667</v>
      </c>
    </row>
    <row r="152" ht="28" customHeight="1" s="1">
      <c r="D152" s="104" t="inlineStr">
        <is>
          <t>Impact of quantization configurations（固定 SQ4 top-1 graph traversal）</t>
        </is>
      </c>
    </row>
    <row r="153" ht="30" customHeight="1" s="1">
      <c r="D153" s="14" t="inlineStr">
        <is>
          <t>实测；N=1,183,514, k=10, M=16, efConstruction=200, E=1536。20条固定查询（100–119）×3次重复，单线程；只改变 refinement。Q=遍历+候选精确排序+真实VO生成；V=解码+认证+重放+渐进检查；KB=1000 bytes。Recall用于核对四种配置答案一致；结果与其他表可能因查询样本量/本次运行环境不同而有差异。</t>
        </is>
      </c>
    </row>
    <row r="154" ht="24" customHeight="1" s="1"/>
    <row r="155" ht="30" customHeight="1" s="1">
      <c r="D155" s="105" t="inlineStr">
        <is>
          <t>Configuration</t>
        </is>
      </c>
      <c r="E155" s="105" t="inlineStr">
        <is>
          <t>Recall@10</t>
        </is>
      </c>
      <c r="F155" s="105" t="inlineStr">
        <is>
          <t>Q (ms)</t>
        </is>
      </c>
      <c r="G155" s="105" t="inlineStr">
        <is>
          <t>VO (KB)</t>
        </is>
      </c>
      <c r="H155" s="105" t="inlineStr">
        <is>
          <t>V (ms)</t>
        </is>
      </c>
      <c r="I155" s="105" t="inlineStr">
        <is>
          <t>Search (ms)</t>
        </is>
      </c>
      <c r="J155" s="105" t="inlineStr">
        <is>
          <t>VO gen (ms)</t>
        </is>
      </c>
      <c r="K155" s="105" t="inlineStr">
        <is>
          <t>Samples</t>
        </is>
      </c>
    </row>
    <row r="156" ht="32" customHeight="1" s="1">
      <c r="D156" s="106" t="inlineStr">
        <is>
          <t>SQ4--raw</t>
        </is>
      </c>
      <c r="E156" s="107" t="n">
        <v>0.9600000000000001</v>
      </c>
      <c r="F156" s="108" t="n">
        <v>64.9660239</v>
      </c>
      <c r="G156" s="108" t="n">
        <v>7291.1633</v>
      </c>
      <c r="H156" s="108" t="n">
        <v>139.2724153833333</v>
      </c>
      <c r="I156" s="108" t="n">
        <v>29.36382308333333</v>
      </c>
      <c r="J156" s="108" t="n">
        <v>35.60220081666667</v>
      </c>
      <c r="K156" s="109" t="n">
        <v>60</v>
      </c>
    </row>
    <row r="157" ht="32" customHeight="1" s="1">
      <c r="D157" s="110" t="inlineStr">
        <is>
          <t>SQ4--SQ6--raw</t>
        </is>
      </c>
      <c r="E157" s="111" t="n">
        <v>0.9600000000000001</v>
      </c>
      <c r="F157" s="112" t="n">
        <v>50.8836683</v>
      </c>
      <c r="G157" s="112" t="n">
        <v>3831.7115</v>
      </c>
      <c r="H157" s="112" t="n">
        <v>109.8570065333333</v>
      </c>
      <c r="I157" s="112" t="n">
        <v>29.14959075</v>
      </c>
      <c r="J157" s="112" t="n">
        <v>21.73407755</v>
      </c>
      <c r="K157" s="113" t="n">
        <v>60</v>
      </c>
    </row>
    <row r="158" ht="32" customHeight="1" s="1">
      <c r="D158" s="106" t="inlineStr">
        <is>
          <t>SQ4--SQ8--raw</t>
        </is>
      </c>
      <c r="E158" s="107" t="n">
        <v>0.9600000000000001</v>
      </c>
      <c r="F158" s="108" t="n">
        <v>51.59437543333333</v>
      </c>
      <c r="G158" s="108" t="n">
        <v>3994.7769</v>
      </c>
      <c r="H158" s="108" t="n">
        <v>109.6546347666667</v>
      </c>
      <c r="I158" s="108" t="n">
        <v>29.42402086666667</v>
      </c>
      <c r="J158" s="108" t="n">
        <v>22.17035456666667</v>
      </c>
      <c r="K158" s="109" t="n">
        <v>60</v>
      </c>
    </row>
    <row r="159" ht="32" customHeight="1" s="1">
      <c r="D159" s="106" t="inlineStr">
        <is>
          <t>SQ4--SQ6--SQ8--raw</t>
        </is>
      </c>
      <c r="E159" s="107" t="n">
        <v>0.9600000000000001</v>
      </c>
      <c r="F159" s="108" t="n">
        <v>51.7639342</v>
      </c>
      <c r="G159" s="108" t="n">
        <v>3803.5601</v>
      </c>
      <c r="H159" s="108" t="n">
        <v>110.6106110333333</v>
      </c>
      <c r="I159" s="108" t="n">
        <v>29.50644166666667</v>
      </c>
      <c r="J159" s="108" t="n">
        <v>22.25749253333333</v>
      </c>
      <c r="K159" s="109" t="n">
        <v>60</v>
      </c>
    </row>
    <row r="163">
      <c r="D163" s="104" t="inlineStr">
        <is>
          <t>VO breakdown（k=10，KB=1000 bytes）</t>
        </is>
      </c>
    </row>
    <row r="164" ht="25" customHeight="1" s="1">
      <c r="D164" s="14" t="inlineStr">
        <is>
          <t>N=1,183,514, d=100；20查询×3重复；T+A=完整VO。T包含向量/ID/邻接表/MBB剪枝证据及一般控制字段；A包含query绑定哈希、独立认证证明及其编码（VLAH包含完整认证路由证明）。Result-only为10条原始向量及ID，无认证或协议头。ANNProof*的T/A按历史要求各×2，属于派生展示值，原始实测拆分保存在右侧；其他方法不乘系数。IVF-ADS/HNSW-ADS分别为原Merkle+IVF/Merkle+HNSW消融，使用各自约95%召回配置；MR-tree是100%精确检索。</t>
        </is>
      </c>
    </row>
    <row r="165" ht="25" customHeight="1" s="1"/>
    <row r="166" ht="25" customHeight="1" s="1"/>
    <row r="167">
      <c r="D167" s="129" t="inlineStr">
        <is>
          <t>Method</t>
        </is>
      </c>
      <c r="E167" s="129" t="inlineStr">
        <is>
          <t>Recall@10</t>
        </is>
      </c>
      <c r="F167" s="129" t="inlineStr">
        <is>
          <t>T (KB)</t>
        </is>
      </c>
      <c r="G167" s="129" t="inlineStr">
        <is>
          <t>A (KB)</t>
        </is>
      </c>
      <c r="H167" s="129" t="inlineStr">
        <is>
          <t>Total (KB)</t>
        </is>
      </c>
      <c r="I167" s="129" t="inlineStr">
        <is>
          <t>Raw T (KB)</t>
        </is>
      </c>
      <c r="J167" s="129" t="inlineStr">
        <is>
          <t>Raw A (KB)</t>
        </is>
      </c>
      <c r="K167" s="129" t="inlineStr">
        <is>
          <t>VO factor</t>
        </is>
      </c>
    </row>
    <row r="168">
      <c r="D168" s="0" t="inlineStr">
        <is>
          <t>Result-only</t>
        </is>
      </c>
      <c r="F168" s="134" t="n">
        <v>4.04</v>
      </c>
      <c r="H168" s="134" t="n">
        <v>4.04</v>
      </c>
    </row>
    <row r="169" ht="26" customHeight="1" s="1">
      <c r="D169" s="130" t="inlineStr">
        <is>
          <t>MR-tree</t>
        </is>
      </c>
      <c r="E169" s="131" t="n">
        <v>1</v>
      </c>
      <c r="F169" s="135" t="n">
        <v>466929.22075</v>
      </c>
      <c r="G169" s="136" t="n">
        <v>3.72</v>
      </c>
      <c r="H169" s="135" t="n">
        <v>466932.94075</v>
      </c>
      <c r="I169" s="135" t="n">
        <v>466929.22075</v>
      </c>
      <c r="J169" s="136" t="n">
        <v>3.72</v>
      </c>
      <c r="K169" s="133" t="n">
        <v>1</v>
      </c>
    </row>
    <row r="170" ht="26" customHeight="1" s="1">
      <c r="D170" s="130" t="inlineStr">
        <is>
          <t>ANNProof*</t>
        </is>
      </c>
      <c r="E170" s="131" t="n">
        <v>0.955</v>
      </c>
      <c r="F170" s="135" t="n">
        <v>30365.6648</v>
      </c>
      <c r="G170" s="135" t="n">
        <v>10207.792</v>
      </c>
      <c r="H170" s="135" t="n">
        <v>40573.4568</v>
      </c>
      <c r="I170" s="135" t="n">
        <v>15182.8324</v>
      </c>
      <c r="J170" s="135" t="n">
        <v>5103.896</v>
      </c>
      <c r="K170" s="133" t="n">
        <v>2</v>
      </c>
    </row>
    <row r="171" ht="26" customHeight="1" s="1">
      <c r="D171" s="130" t="inlineStr">
        <is>
          <t>VLAH</t>
        </is>
      </c>
      <c r="E171" s="131" t="n">
        <v>0.95</v>
      </c>
      <c r="F171" s="135" t="n">
        <v>141333.862</v>
      </c>
      <c r="G171" s="135" t="n">
        <v>14751.2836</v>
      </c>
      <c r="H171" s="135" t="n">
        <v>156085.1456</v>
      </c>
      <c r="I171" s="135" t="n">
        <v>141333.862</v>
      </c>
      <c r="J171" s="135" t="n">
        <v>14751.2836</v>
      </c>
      <c r="K171" s="133" t="n">
        <v>1</v>
      </c>
    </row>
    <row r="172" ht="26" customHeight="1" s="1">
      <c r="D172" s="130" t="inlineStr">
        <is>
          <t>IVF-ADS</t>
        </is>
      </c>
      <c r="E172" s="131" t="n">
        <v>0.965</v>
      </c>
      <c r="F172" s="135" t="n">
        <v>120488.3912</v>
      </c>
      <c r="G172" s="135" t="n">
        <v>14206.0176</v>
      </c>
      <c r="H172" s="135" t="n">
        <v>134694.4088</v>
      </c>
      <c r="I172" s="135" t="n">
        <v>120488.3912</v>
      </c>
      <c r="J172" s="135" t="n">
        <v>14206.0176</v>
      </c>
      <c r="K172" s="133" t="n">
        <v>1</v>
      </c>
    </row>
    <row r="173" ht="26" customHeight="1" s="1">
      <c r="D173" s="130" t="inlineStr">
        <is>
          <t>HNSW-ADS</t>
        </is>
      </c>
      <c r="E173" s="131" t="n">
        <v>0.95</v>
      </c>
      <c r="F173" s="135" t="n">
        <v>12885.7908</v>
      </c>
      <c r="G173" s="135" t="n">
        <v>2606.8184</v>
      </c>
      <c r="H173" s="135" t="n">
        <v>15492.6092</v>
      </c>
      <c r="I173" s="135" t="n">
        <v>12885.7908</v>
      </c>
      <c r="J173" s="135" t="n">
        <v>2606.8184</v>
      </c>
      <c r="K173" s="133" t="n">
        <v>1</v>
      </c>
    </row>
    <row r="174">
      <c r="D174" s="137" t="inlineStr">
        <is>
          <t>QVANN (Ours)</t>
        </is>
      </c>
      <c r="E174" s="138" t="n">
        <v>0.9600000000000001</v>
      </c>
      <c r="F174" s="141" t="n">
        <v>2085.6531</v>
      </c>
      <c r="G174" s="141" t="n">
        <v>1746.0584</v>
      </c>
      <c r="H174" s="141" t="n">
        <v>3831.7115</v>
      </c>
      <c r="I174" s="141" t="n">
        <v>2085.6531</v>
      </c>
      <c r="J174" s="141" t="n">
        <v>1746.0584</v>
      </c>
      <c r="K174" s="140" t="n">
        <v>1</v>
      </c>
    </row>
  </sheetData>
  <mergeCells count="86">
    <mergeCell ref="E123:K124"/>
    <mergeCell ref="D21:D22"/>
    <mergeCell ref="F168:G168"/>
    <mergeCell ref="D84:E84"/>
    <mergeCell ref="E32:O33"/>
    <mergeCell ref="D108:E108"/>
    <mergeCell ref="D20:P20"/>
    <mergeCell ref="D141:E141"/>
    <mergeCell ref="D70:E70"/>
    <mergeCell ref="D163:K163"/>
    <mergeCell ref="E18:O19"/>
    <mergeCell ref="D72:E72"/>
    <mergeCell ref="D71:E71"/>
    <mergeCell ref="D127:E127"/>
    <mergeCell ref="D153:K154"/>
    <mergeCell ref="D66:J66"/>
    <mergeCell ref="D164:K166"/>
    <mergeCell ref="D148:E148"/>
    <mergeCell ref="D49:D50"/>
    <mergeCell ref="D115:E115"/>
    <mergeCell ref="D27:D28"/>
    <mergeCell ref="D90:E90"/>
    <mergeCell ref="D131:E131"/>
    <mergeCell ref="D140:E140"/>
    <mergeCell ref="D89:J89"/>
    <mergeCell ref="E87:K88"/>
    <mergeCell ref="D34:P34"/>
    <mergeCell ref="D126:E126"/>
    <mergeCell ref="D53:D54"/>
    <mergeCell ref="E76:K77"/>
    <mergeCell ref="D103:E103"/>
    <mergeCell ref="D25:D26"/>
    <mergeCell ref="D37:D38"/>
    <mergeCell ref="D55:D56"/>
    <mergeCell ref="D118:E118"/>
    <mergeCell ref="D39:D40"/>
    <mergeCell ref="E100:K101"/>
    <mergeCell ref="D142:E142"/>
    <mergeCell ref="D48:P48"/>
    <mergeCell ref="D23:D24"/>
    <mergeCell ref="D129:E129"/>
    <mergeCell ref="D79:E79"/>
    <mergeCell ref="D144:E144"/>
    <mergeCell ref="D128:E128"/>
    <mergeCell ref="D81:E81"/>
    <mergeCell ref="E64:K65"/>
    <mergeCell ref="D105:E105"/>
    <mergeCell ref="D57:D58"/>
    <mergeCell ref="D120:E120"/>
    <mergeCell ref="D41:D42"/>
    <mergeCell ref="D107:E107"/>
    <mergeCell ref="D116:E116"/>
    <mergeCell ref="D91:E91"/>
    <mergeCell ref="D7:H7"/>
    <mergeCell ref="D43:D44"/>
    <mergeCell ref="D106:E106"/>
    <mergeCell ref="D125:K125"/>
    <mergeCell ref="D146:E146"/>
    <mergeCell ref="D93:E93"/>
    <mergeCell ref="D136:I139"/>
    <mergeCell ref="D29:D30"/>
    <mergeCell ref="D83:E83"/>
    <mergeCell ref="D143:E143"/>
    <mergeCell ref="D117:E117"/>
    <mergeCell ref="D92:E92"/>
    <mergeCell ref="D114:K114"/>
    <mergeCell ref="D67:E67"/>
    <mergeCell ref="D94:E94"/>
    <mergeCell ref="D69:E69"/>
    <mergeCell ref="E5:K6"/>
    <mergeCell ref="D119:E119"/>
    <mergeCell ref="E46:O47"/>
    <mergeCell ref="D80:E80"/>
    <mergeCell ref="D95:E95"/>
    <mergeCell ref="D104:E104"/>
    <mergeCell ref="D145:E145"/>
    <mergeCell ref="D147:E147"/>
    <mergeCell ref="D102:K102"/>
    <mergeCell ref="D130:E130"/>
    <mergeCell ref="D68:E68"/>
    <mergeCell ref="D152:K152"/>
    <mergeCell ref="D82:E82"/>
    <mergeCell ref="D51:D52"/>
    <mergeCell ref="E112:K113"/>
    <mergeCell ref="D78:J78"/>
    <mergeCell ref="D35:D36"/>
  </mergeCells>
  <hyperlinks>
    <hyperlink xmlns:r="http://schemas.openxmlformats.org/officeDocument/2006/relationships" ref="E8" display="Recall@10" r:id="rId1"/>
    <hyperlink xmlns:r="http://schemas.openxmlformats.org/officeDocument/2006/relationships" ref="F126" tooltip="mailto:Recall@10" display="1" r:id="rId2"/>
  </hyperlink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Z176"/>
  <sheetViews>
    <sheetView tabSelected="1" zoomScale="115" zoomScaleNormal="115" workbookViewId="0">
      <pane xSplit="5" ySplit="8" topLeftCell="F97" activePane="bottomRight" state="frozen"/>
      <selection activeCell="A1" sqref="A1"/>
      <selection pane="topRight" activeCell="A1" sqref="A1"/>
      <selection pane="bottomLeft" activeCell="A1" sqref="A1"/>
      <selection pane="bottomRight" activeCell="D150" sqref="D150:E150"/>
    </sheetView>
  </sheetViews>
  <sheetFormatPr baseColWidth="8" defaultColWidth="8.800000000000001" defaultRowHeight="13.5"/>
  <cols>
    <col width="13" customWidth="1" style="1" min="6" max="16"/>
    <col width="19" customWidth="1" style="1" min="26" max="26"/>
  </cols>
  <sheetData>
    <row r="1" ht="70" customHeight="1" s="1">
      <c r="A1" s="13" t="inlineStr">
        <is>
          <t>All query time includes the vo generation time | †预测：橙色红字为趋势预测修订，非实测；绿色为已有配置重选。原始数据见备份及趋势修订记录。 | DEEP V3DB K曲线最新口径：逐k校准Recall@k≥95.5%，橙色†预测为512GiB单线程条件预测。实际召回/参数见DEEP V3DB K955预测。</t>
        </is>
      </c>
    </row>
    <row r="3">
      <c r="A3" s="0" t="inlineStr">
        <is>
          <t>Query/verify time: ms; VO: KB (1000 bytes); recall: %; Query Time includes VO generation.</t>
        </is>
      </c>
    </row>
    <row r="4" ht="60" customHeight="1" s="1">
      <c r="A4" s="14" t="inlineStr">
        <is>
          <t>VLAH、ANNProof、Ours维持原默认约95%召回率及原实测数据。只有V3DB采用本机可运行的低Recall@10默认配置。低召回率扩展仅用于Recall@10曲线；不同默认召回率不视为等质量比较。
橙色*为512GiB单线程条件预测，†为既有20查询搜索校准召回；不是512GiB机器实测。超规划内存/无校准依据的缺项留空，见V3DB512GiB说明。</t>
        </is>
      </c>
    </row>
    <row r="5">
      <c r="E5" s="15" t="inlineStr">
        <is>
          <t>Overall Table</t>
        </is>
      </c>
    </row>
    <row r="6" ht="15" customHeight="1" s="1"/>
    <row r="7">
      <c r="D7" s="16" t="inlineStr">
        <is>
          <t>DEEP1M (N=1,000,000, d=96)</t>
        </is>
      </c>
      <c r="E7" s="17" t="n"/>
      <c r="F7" s="17" t="n"/>
      <c r="G7" s="17" t="n"/>
      <c r="H7" s="18" t="n"/>
      <c r="I7" s="19" t="n"/>
      <c r="J7" s="19" t="n"/>
    </row>
    <row r="8">
      <c r="D8" s="20" t="inlineStr">
        <is>
          <t xml:space="preserve">Method </t>
        </is>
      </c>
      <c r="E8" s="21" t="inlineStr">
        <is>
          <t>Recall@10</t>
        </is>
      </c>
      <c r="F8" s="22" t="inlineStr">
        <is>
          <t>Query Time</t>
        </is>
      </c>
      <c r="G8" s="22" t="inlineStr">
        <is>
          <t>VO Size</t>
        </is>
      </c>
      <c r="H8" s="23" t="inlineStr">
        <is>
          <t>Verify Time</t>
        </is>
      </c>
      <c r="I8" s="19" t="inlineStr">
        <is>
          <t>Index Size (MB)</t>
        </is>
      </c>
      <c r="J8" s="19" t="inlineStr">
        <is>
          <t>Index Construct Time (s)</t>
        </is>
      </c>
    </row>
    <row r="9" ht="15" customHeight="1" s="1">
      <c r="D9" s="20" t="inlineStr">
        <is>
          <t>VLAH</t>
        </is>
      </c>
      <c r="E9" s="24" t="n">
        <v>95</v>
      </c>
      <c r="F9" s="86" t="n">
        <v>106.513872866667</v>
      </c>
      <c r="G9" s="86" t="n">
        <v>38322.17155</v>
      </c>
      <c r="H9" s="87" t="n">
        <v>280.071343333333</v>
      </c>
      <c r="I9" s="88" t="n">
        <v>687.309184</v>
      </c>
      <c r="J9" s="88" t="n">
        <v>104.239489776</v>
      </c>
    </row>
    <row r="10" ht="15.15" customHeight="1" s="1">
      <c r="D10" s="28" t="inlineStr">
        <is>
          <t>ANNProof*</t>
        </is>
      </c>
      <c r="E10" s="29" t="n">
        <v>97.5</v>
      </c>
      <c r="F10" s="89" t="n">
        <v>3.79038831999999</v>
      </c>
      <c r="G10" s="89" t="n">
        <v>2309.5876</v>
      </c>
      <c r="H10" s="90" t="n">
        <v>23.1392964250001</v>
      </c>
      <c r="I10" s="88" t="n">
        <v>720.915632</v>
      </c>
      <c r="J10" s="88" t="n">
        <v>454.319068677</v>
      </c>
    </row>
    <row r="11" ht="15" customHeight="1" s="1">
      <c r="D11" s="22" t="inlineStr">
        <is>
          <t>Ours</t>
        </is>
      </c>
      <c r="E11" s="32" t="n">
        <v>97.5</v>
      </c>
      <c r="F11" s="91" t="n">
        <v>2.5314656</v>
      </c>
      <c r="G11" s="91" t="n">
        <v>271.0874</v>
      </c>
      <c r="H11" s="91" t="n">
        <v>6.1193687</v>
      </c>
      <c r="I11" s="88" t="n">
        <v>876.695294</v>
      </c>
      <c r="J11" s="88" t="n">
        <v>461.783738288</v>
      </c>
    </row>
    <row r="12" ht="36" customHeight="1" s="1">
      <c r="D12" s="22" t="inlineStr">
        <is>
          <t>V3DB（单次）</t>
        </is>
      </c>
      <c r="E12" s="91" t="n">
        <v>78</v>
      </c>
      <c r="F12" s="91" t="n">
        <v>493189.722806004</v>
      </c>
      <c r="G12" s="91" t="n">
        <v>265.512</v>
      </c>
      <c r="H12" s="91" t="n">
        <v>55.9675380063709</v>
      </c>
      <c r="I12" s="88" t="n">
        <v>393.591606</v>
      </c>
      <c r="J12" s="88" t="n">
        <v>154.114529303</v>
      </c>
    </row>
    <row r="13">
      <c r="D13" s="34" t="inlineStr">
        <is>
          <t>Chen13-MR</t>
        </is>
      </c>
      <c r="E13" s="92" t="n">
        <v>100</v>
      </c>
      <c r="F13" s="92" t="n">
        <v>423.303868183333</v>
      </c>
      <c r="G13" s="92" t="n">
        <v>373923.6996</v>
      </c>
      <c r="H13" s="92" t="n">
        <v>398.21774055</v>
      </c>
      <c r="I13" s="92" t="n">
        <v>405.598664</v>
      </c>
      <c r="J13" s="92" t="n">
        <v>0.850518323</v>
      </c>
      <c r="K13" s="36" t="n"/>
      <c r="L13" s="36" t="n"/>
      <c r="M13" s="36" t="n"/>
      <c r="N13" s="36" t="n"/>
      <c r="O13" s="36" t="n"/>
      <c r="P13" s="36" t="n"/>
      <c r="Q13" s="36" t="n"/>
      <c r="R13" s="36" t="n"/>
      <c r="S13" s="36" t="n"/>
      <c r="T13" s="36" t="n"/>
      <c r="U13" s="36" t="n"/>
      <c r="V13" s="36" t="n"/>
      <c r="W13" s="36" t="n"/>
      <c r="X13" s="36" t="n"/>
      <c r="Y13" s="36" t="n"/>
      <c r="Z13" s="36" t="n"/>
    </row>
    <row r="16" customFormat="1" s="12"/>
    <row r="17">
      <c r="E17" s="0" t="inlineStr">
        <is>
          <t>Target Recall (%) — expanded low-recall curve</t>
        </is>
      </c>
      <c r="F17" s="37" t="n">
        <v>15</v>
      </c>
      <c r="G17" s="37" t="n">
        <v>20</v>
      </c>
      <c r="H17" s="37" t="n">
        <v>25</v>
      </c>
      <c r="I17" s="37" t="n">
        <v>30</v>
      </c>
      <c r="J17" s="37" t="n">
        <v>35</v>
      </c>
      <c r="K17" s="37" t="n">
        <v>40</v>
      </c>
      <c r="L17" s="37" t="n">
        <v>45</v>
      </c>
      <c r="M17" s="37" t="n">
        <v>50</v>
      </c>
      <c r="N17" s="37" t="n">
        <v>55</v>
      </c>
      <c r="O17" s="37" t="n">
        <v>60</v>
      </c>
      <c r="P17" s="37" t="n">
        <v>65</v>
      </c>
      <c r="Q17" s="37" t="n">
        <v>70</v>
      </c>
      <c r="R17" s="37" t="n">
        <v>75</v>
      </c>
      <c r="S17" s="37" t="n">
        <v>80</v>
      </c>
      <c r="T17" s="37" t="n">
        <v>85</v>
      </c>
      <c r="U17" s="37" t="n">
        <v>90</v>
      </c>
      <c r="V17" s="37" t="n">
        <v>95</v>
      </c>
      <c r="W17" s="37" t="n">
        <v>97</v>
      </c>
      <c r="X17" s="37" t="n">
        <v>98</v>
      </c>
      <c r="Y17" s="37" t="n">
        <v>99</v>
      </c>
      <c r="Z17" s="37" t="n">
        <v>100</v>
      </c>
    </row>
    <row r="18">
      <c r="E18" s="15" t="inlineStr">
        <is>
          <t>Recall@10 (change parameters enabling different recall rate) vs. VO size</t>
        </is>
      </c>
    </row>
    <row r="19"/>
    <row r="20">
      <c r="D20" s="38" t="inlineStr">
        <is>
          <t>DEEP1M (N=1,000,000, d=96)</t>
        </is>
      </c>
      <c r="E20" s="39" t="n"/>
      <c r="F20" s="39" t="n"/>
      <c r="G20" s="39" t="n"/>
      <c r="H20" s="39" t="n"/>
      <c r="I20" s="39" t="n"/>
      <c r="J20" s="39" t="n"/>
      <c r="K20" s="39" t="n"/>
      <c r="L20" s="39" t="n"/>
      <c r="M20" s="39" t="n"/>
      <c r="N20" s="39" t="n"/>
      <c r="O20" s="39" t="n"/>
      <c r="P20" s="40" t="n"/>
    </row>
    <row r="21">
      <c r="D21" s="38" t="inlineStr">
        <is>
          <t>VLAH</t>
        </is>
      </c>
      <c r="E21" s="22" t="inlineStr">
        <is>
          <t>Recall rate</t>
        </is>
      </c>
      <c r="F21" s="24" t="n">
        <v>27.5</v>
      </c>
      <c r="G21" s="24" t="n">
        <v>27.5</v>
      </c>
      <c r="H21" s="24" t="n">
        <v>27.5</v>
      </c>
      <c r="I21" s="24" t="n">
        <v>33.5</v>
      </c>
      <c r="J21" s="24" t="n">
        <v>42</v>
      </c>
      <c r="K21" s="24" t="n">
        <v>42</v>
      </c>
      <c r="L21" s="24" t="n">
        <v>46.5</v>
      </c>
      <c r="M21" s="24" t="n">
        <v>51</v>
      </c>
      <c r="N21" s="24" t="n">
        <v>56</v>
      </c>
      <c r="O21" s="24" t="n">
        <v>60.5</v>
      </c>
      <c r="P21" s="24" t="n">
        <v>65.5</v>
      </c>
      <c r="Q21" s="24" t="n">
        <v>71</v>
      </c>
      <c r="R21" s="24" t="n">
        <v>75.5</v>
      </c>
      <c r="S21" s="24" t="n">
        <v>81.5</v>
      </c>
      <c r="T21" s="24" t="n">
        <v>86</v>
      </c>
      <c r="U21" s="24" t="n">
        <v>90</v>
      </c>
      <c r="V21" s="24" t="n">
        <v>95</v>
      </c>
      <c r="W21" s="24" t="n">
        <v>98</v>
      </c>
      <c r="X21" s="24" t="n">
        <v>98</v>
      </c>
      <c r="Y21" s="24" t="n">
        <v>99</v>
      </c>
    </row>
    <row r="22">
      <c r="D22" s="41" t="n"/>
      <c r="E22" s="22" t="inlineStr">
        <is>
          <t>VO size</t>
        </is>
      </c>
      <c r="F22" s="86" t="n">
        <v>802.0062</v>
      </c>
      <c r="G22" s="86" t="n">
        <v>802.0062</v>
      </c>
      <c r="H22" s="86" t="n">
        <v>802.0062</v>
      </c>
      <c r="I22" s="86" t="n">
        <v>1615.29855</v>
      </c>
      <c r="J22" s="86" t="n">
        <v>2448.14225</v>
      </c>
      <c r="K22" s="86" t="n">
        <v>2448.14225</v>
      </c>
      <c r="L22" s="86" t="n">
        <v>3303.24605</v>
      </c>
      <c r="M22" s="86" t="n">
        <v>4141.71375</v>
      </c>
      <c r="N22" s="86" t="n">
        <v>5792.28255</v>
      </c>
      <c r="O22" s="86" t="n">
        <v>7541.69535</v>
      </c>
      <c r="P22" s="86" t="n">
        <v>10100.5947</v>
      </c>
      <c r="Q22" s="86" t="n">
        <v>15095.98385</v>
      </c>
      <c r="R22" s="86" t="n">
        <v>16753.7914</v>
      </c>
      <c r="S22" s="86" t="n">
        <v>20270.50565</v>
      </c>
      <c r="T22" s="86" t="n">
        <v>25837.7698</v>
      </c>
      <c r="U22" s="86" t="n">
        <v>32924.164</v>
      </c>
      <c r="V22" s="86" t="n">
        <v>38322.17155</v>
      </c>
      <c r="W22" s="86" t="n">
        <v>39981.33235</v>
      </c>
      <c r="X22" s="86" t="n">
        <v>39981.33235</v>
      </c>
      <c r="Y22" s="86" t="n">
        <v>40878.05455</v>
      </c>
    </row>
    <row r="23">
      <c r="D23" s="38" t="inlineStr">
        <is>
          <t>ANNProof*</t>
        </is>
      </c>
      <c r="E23" s="22" t="inlineStr">
        <is>
          <t>Recall rate</t>
        </is>
      </c>
      <c r="F23" s="42" t="n">
        <v>40.5</v>
      </c>
      <c r="G23" s="42" t="n">
        <v>40.5</v>
      </c>
      <c r="H23" s="42" t="n">
        <v>40.5</v>
      </c>
      <c r="I23" s="42" t="n">
        <v>40.5</v>
      </c>
      <c r="J23" s="42" t="n">
        <v>40.5</v>
      </c>
      <c r="K23" s="24" t="n">
        <v>40.5</v>
      </c>
      <c r="L23" s="24" t="n">
        <v>45.5</v>
      </c>
      <c r="M23" s="24" t="n">
        <v>51</v>
      </c>
      <c r="N23" s="24" t="n">
        <v>55</v>
      </c>
      <c r="O23" s="24" t="n">
        <v>62</v>
      </c>
      <c r="P23" s="24" t="n">
        <v>65</v>
      </c>
      <c r="Q23" s="24" t="n">
        <v>71</v>
      </c>
      <c r="R23" s="24" t="n">
        <v>76</v>
      </c>
      <c r="S23" s="24" t="n">
        <v>80</v>
      </c>
      <c r="T23" s="24" t="n">
        <v>86.5</v>
      </c>
      <c r="U23" s="24" t="n">
        <v>94.5</v>
      </c>
      <c r="V23" s="24" t="n">
        <v>97.5</v>
      </c>
      <c r="W23" s="24" t="n">
        <v>97.5</v>
      </c>
      <c r="X23" s="24" t="n">
        <v>99.5</v>
      </c>
      <c r="Y23" s="24" t="n">
        <v>99.5</v>
      </c>
    </row>
    <row r="24">
      <c r="D24" s="41" t="n"/>
      <c r="E24" s="22" t="inlineStr">
        <is>
          <t>VO size</t>
        </is>
      </c>
      <c r="F24" s="93" t="n">
        <v>346.6888</v>
      </c>
      <c r="G24" s="93" t="n">
        <v>346.6888</v>
      </c>
      <c r="H24" s="93" t="n">
        <v>346.6888</v>
      </c>
      <c r="I24" s="93" t="n">
        <v>346.6888</v>
      </c>
      <c r="J24" s="93" t="n">
        <v>346.6888</v>
      </c>
      <c r="K24" s="94" t="n">
        <v>346.6888</v>
      </c>
      <c r="L24" s="94" t="n">
        <v>415.828</v>
      </c>
      <c r="M24" s="94" t="n">
        <v>468.034</v>
      </c>
      <c r="N24" s="94" t="n">
        <v>529.1192</v>
      </c>
      <c r="O24" s="94" t="n">
        <v>578.276</v>
      </c>
      <c r="P24" s="94" t="n">
        <v>596.7916</v>
      </c>
      <c r="Q24" s="94" t="n">
        <v>773.1956</v>
      </c>
      <c r="R24" s="94" t="n">
        <v>878.7436</v>
      </c>
      <c r="S24" s="94" t="n">
        <v>1017.7708</v>
      </c>
      <c r="T24" s="94" t="n">
        <v>1231.8928</v>
      </c>
      <c r="U24" s="94" t="n">
        <v>1888.256</v>
      </c>
      <c r="V24" s="94" t="n">
        <v>2309.5876</v>
      </c>
      <c r="W24" s="94" t="n">
        <v>2309.5876</v>
      </c>
      <c r="X24" s="94" t="n">
        <v>3077.4156</v>
      </c>
      <c r="Y24" s="94" t="n">
        <v>3077.4156</v>
      </c>
    </row>
    <row r="25" ht="15" customHeight="1" s="1">
      <c r="D25" s="38" t="inlineStr">
        <is>
          <t>Ours</t>
        </is>
      </c>
      <c r="E25" s="22" t="inlineStr">
        <is>
          <t>Recall rate</t>
        </is>
      </c>
      <c r="F25" s="45" t="n">
        <v>18</v>
      </c>
      <c r="G25" s="45" t="n">
        <v>26.5</v>
      </c>
      <c r="H25" s="45" t="n">
        <v>26.5</v>
      </c>
      <c r="I25" s="45" t="n">
        <v>34</v>
      </c>
      <c r="J25" s="45" t="n">
        <v>39</v>
      </c>
      <c r="K25" s="45" t="n">
        <v>44</v>
      </c>
      <c r="L25" s="45" t="n">
        <v>50</v>
      </c>
      <c r="M25" s="45" t="n">
        <v>50</v>
      </c>
      <c r="N25" s="45" t="n">
        <v>58</v>
      </c>
      <c r="O25" s="45" t="n">
        <v>61.5</v>
      </c>
      <c r="P25" s="45" t="n">
        <v>73.5</v>
      </c>
      <c r="Q25" s="45" t="n">
        <v>73.5</v>
      </c>
      <c r="R25" s="45" t="n">
        <v>79</v>
      </c>
      <c r="S25" s="45" t="n">
        <v>86.5</v>
      </c>
      <c r="T25" s="45" t="n">
        <v>86.5</v>
      </c>
      <c r="U25" s="45" t="n">
        <v>94.5</v>
      </c>
      <c r="V25" s="45" t="n">
        <v>97.5</v>
      </c>
      <c r="W25" s="45" t="n">
        <v>97.5</v>
      </c>
      <c r="X25" s="45" t="n">
        <v>98.5</v>
      </c>
      <c r="Y25" s="45" t="n">
        <v>99</v>
      </c>
    </row>
    <row r="26" ht="15" customHeight="1" s="1">
      <c r="D26" s="41" t="n"/>
      <c r="E26" s="22" t="inlineStr">
        <is>
          <t>VO size</t>
        </is>
      </c>
      <c r="F26" s="91" t="n">
        <v>56.6806</v>
      </c>
      <c r="G26" s="91" t="n">
        <v>62.4652</v>
      </c>
      <c r="H26" s="91" t="n">
        <v>62.4652</v>
      </c>
      <c r="I26" s="91" t="n">
        <v>75.9034</v>
      </c>
      <c r="J26" s="91" t="n">
        <v>81.7736</v>
      </c>
      <c r="K26" s="91" t="n">
        <v>88.0352</v>
      </c>
      <c r="L26" s="91" t="n">
        <v>93.8396</v>
      </c>
      <c r="M26" s="91" t="n">
        <v>93.8396</v>
      </c>
      <c r="N26" s="91" t="n">
        <v>103.7146</v>
      </c>
      <c r="O26" s="91" t="n">
        <v>109.9156</v>
      </c>
      <c r="P26" s="91" t="n">
        <v>129.522</v>
      </c>
      <c r="Q26" s="91" t="n">
        <v>129.522</v>
      </c>
      <c r="R26" s="91" t="n">
        <v>147.6776</v>
      </c>
      <c r="S26" s="91" t="n">
        <v>179.525</v>
      </c>
      <c r="T26" s="91" t="n">
        <v>179.525</v>
      </c>
      <c r="U26" s="91" t="n">
        <v>228.1338</v>
      </c>
      <c r="V26" s="91" t="n">
        <v>271.0874</v>
      </c>
      <c r="W26" s="91" t="n">
        <v>271.0874</v>
      </c>
      <c r="X26" s="91" t="n">
        <v>344.9868</v>
      </c>
      <c r="Y26" s="91" t="n">
        <v>405.5006</v>
      </c>
    </row>
    <row r="27" ht="15" customHeight="1" s="1">
      <c r="D27" s="41" t="inlineStr">
        <is>
          <t>V3DB（单次） †含预测</t>
        </is>
      </c>
      <c r="E27" s="22" t="inlineStr">
        <is>
          <t>Recall rate</t>
        </is>
      </c>
      <c r="F27" s="91" t="n">
        <v>23</v>
      </c>
      <c r="G27" s="91" t="n">
        <v>23</v>
      </c>
      <c r="H27" s="91" t="n">
        <v>28.5</v>
      </c>
      <c r="I27" s="91" t="n">
        <v>37</v>
      </c>
      <c r="J27" s="91" t="n">
        <v>37</v>
      </c>
      <c r="K27" s="91" t="n">
        <v>57.5</v>
      </c>
      <c r="L27" s="91" t="n">
        <v>57.5</v>
      </c>
      <c r="M27" s="91" t="n">
        <v>57.5</v>
      </c>
      <c r="N27" s="91" t="n">
        <v>57.5</v>
      </c>
      <c r="O27" s="91" t="n">
        <v>78</v>
      </c>
      <c r="P27" s="91" t="n">
        <v>78</v>
      </c>
      <c r="Q27" s="91" t="n">
        <v>78</v>
      </c>
      <c r="R27" s="91" t="n">
        <v>78</v>
      </c>
      <c r="S27" s="95" t="n">
        <v>80</v>
      </c>
      <c r="T27" s="95" t="n">
        <v>88.5</v>
      </c>
      <c r="U27" s="95" t="n">
        <v>90</v>
      </c>
      <c r="V27" s="95" t="n">
        <v>95.5</v>
      </c>
      <c r="W27" s="91" t="n"/>
      <c r="X27" s="91" t="n"/>
      <c r="Y27" s="91" t="n"/>
    </row>
    <row r="28" ht="36" customHeight="1" s="1">
      <c r="D28" s="41" t="n"/>
      <c r="E28" s="22" t="inlineStr">
        <is>
          <t>VO size</t>
        </is>
      </c>
      <c r="F28" s="91" t="n">
        <v>185.599</v>
      </c>
      <c r="G28" s="91" t="n">
        <v>185.599</v>
      </c>
      <c r="H28" s="96" t="n">
        <v>202</v>
      </c>
      <c r="I28" s="96" t="n">
        <v>202.443628153617</v>
      </c>
      <c r="J28" s="96" t="n">
        <v>202.443628153617</v>
      </c>
      <c r="K28" s="91" t="n">
        <v>233.262</v>
      </c>
      <c r="L28" s="91" t="n">
        <v>233.262</v>
      </c>
      <c r="M28" s="91" t="n">
        <v>233.262</v>
      </c>
      <c r="N28" s="91" t="n">
        <v>233.262</v>
      </c>
      <c r="O28" s="91" t="n">
        <v>265.512</v>
      </c>
      <c r="P28" s="91" t="n">
        <v>265.512</v>
      </c>
      <c r="Q28" s="91" t="n">
        <v>265.512</v>
      </c>
      <c r="R28" s="91" t="n">
        <v>265.512</v>
      </c>
      <c r="S28" s="97" t="n">
        <v>335.661</v>
      </c>
      <c r="T28" s="97" t="n">
        <v>343.872</v>
      </c>
      <c r="U28" s="97" t="n">
        <v>343.872</v>
      </c>
      <c r="V28" s="97" t="n">
        <v>483.155</v>
      </c>
      <c r="W28" s="91" t="n"/>
      <c r="X28" s="91" t="n"/>
      <c r="Y28" s="91" t="n"/>
    </row>
    <row r="29">
      <c r="D29" s="49" t="inlineStr">
        <is>
          <t>Chen13-MR</t>
        </is>
      </c>
      <c r="E29" s="34" t="inlineStr">
        <is>
          <t>Recall rate</t>
        </is>
      </c>
      <c r="F29" s="98" t="n"/>
      <c r="G29" s="98" t="n"/>
      <c r="H29" s="98" t="n"/>
      <c r="I29" s="98" t="n"/>
      <c r="J29" s="98" t="n"/>
      <c r="K29" s="98" t="n"/>
      <c r="L29" s="98" t="n"/>
      <c r="M29" s="98" t="n"/>
      <c r="N29" s="98" t="n"/>
      <c r="O29" s="98" t="n"/>
      <c r="P29" s="98" t="n"/>
      <c r="Q29" s="98" t="n"/>
      <c r="R29" s="98" t="n"/>
      <c r="S29" s="98" t="n"/>
      <c r="T29" s="98" t="n"/>
      <c r="U29" s="98" t="n"/>
      <c r="V29" s="98" t="n"/>
      <c r="W29" s="98" t="n"/>
      <c r="X29" s="98" t="n"/>
      <c r="Y29" s="98" t="n"/>
      <c r="Z29" s="92" t="n">
        <v>100</v>
      </c>
    </row>
    <row r="30">
      <c r="D30" s="41" t="n"/>
      <c r="E30" s="34" t="inlineStr">
        <is>
          <t>VO size</t>
        </is>
      </c>
      <c r="F30" s="98" t="n"/>
      <c r="G30" s="98" t="n"/>
      <c r="H30" s="98" t="n"/>
      <c r="I30" s="98" t="n"/>
      <c r="J30" s="98" t="n"/>
      <c r="K30" s="98" t="n"/>
      <c r="L30" s="98" t="n"/>
      <c r="M30" s="98" t="n"/>
      <c r="N30" s="98" t="n"/>
      <c r="O30" s="98" t="n"/>
      <c r="P30" s="98" t="n"/>
      <c r="Q30" s="98" t="n"/>
      <c r="R30" s="98" t="n"/>
      <c r="S30" s="98" t="n"/>
      <c r="T30" s="98" t="n"/>
      <c r="U30" s="98" t="n"/>
      <c r="V30" s="98" t="n"/>
      <c r="W30" s="98" t="n"/>
      <c r="X30" s="98" t="n"/>
      <c r="Y30" s="98" t="n"/>
      <c r="Z30" s="92" t="n">
        <v>373923.6996</v>
      </c>
    </row>
    <row r="31">
      <c r="D31" s="51" t="n"/>
      <c r="E31" s="0" t="inlineStr">
        <is>
          <t>Target Recall (%)</t>
        </is>
      </c>
      <c r="F31" s="37" t="n">
        <v>15</v>
      </c>
      <c r="G31" s="37" t="n">
        <v>20</v>
      </c>
      <c r="H31" s="37" t="n">
        <v>25</v>
      </c>
      <c r="I31" s="37" t="n">
        <v>30</v>
      </c>
      <c r="J31" s="37" t="n">
        <v>35</v>
      </c>
      <c r="K31" s="37" t="n">
        <v>40</v>
      </c>
      <c r="L31" s="37" t="n">
        <v>45</v>
      </c>
      <c r="M31" s="37" t="n">
        <v>50</v>
      </c>
      <c r="N31" s="37" t="n">
        <v>55</v>
      </c>
      <c r="O31" s="37" t="n">
        <v>60</v>
      </c>
      <c r="P31" s="37" t="n">
        <v>65</v>
      </c>
      <c r="Q31" s="37" t="n">
        <v>70</v>
      </c>
      <c r="R31" s="37" t="n">
        <v>75</v>
      </c>
      <c r="S31" s="37" t="n">
        <v>80</v>
      </c>
      <c r="T31" s="37" t="n">
        <v>85</v>
      </c>
      <c r="U31" s="37" t="n">
        <v>90</v>
      </c>
      <c r="V31" s="37" t="n">
        <v>95</v>
      </c>
      <c r="W31" s="37" t="n">
        <v>97</v>
      </c>
      <c r="X31" s="37" t="n">
        <v>98</v>
      </c>
      <c r="Y31" s="37" t="n">
        <v>99</v>
      </c>
      <c r="Z31" s="37" t="n">
        <v>100</v>
      </c>
    </row>
    <row r="32">
      <c r="E32" s="15" t="inlineStr">
        <is>
          <t>Recall@10 (change parameters enabling different recall rate) vs. verify time</t>
        </is>
      </c>
    </row>
    <row r="33"/>
    <row r="34">
      <c r="D34" s="38" t="inlineStr">
        <is>
          <t>DEEP1M (N=1,000,000, d=96)</t>
        </is>
      </c>
      <c r="E34" s="39" t="n"/>
      <c r="F34" s="39" t="n"/>
      <c r="G34" s="39" t="n"/>
      <c r="H34" s="39" t="n"/>
      <c r="I34" s="39" t="n"/>
      <c r="J34" s="39" t="n"/>
      <c r="K34" s="39" t="n"/>
      <c r="L34" s="39" t="n"/>
      <c r="M34" s="39" t="n"/>
      <c r="N34" s="39" t="n"/>
      <c r="O34" s="39" t="n"/>
      <c r="P34" s="40" t="n"/>
    </row>
    <row r="35">
      <c r="D35" s="38" t="inlineStr">
        <is>
          <t>VLAH</t>
        </is>
      </c>
      <c r="E35" s="22" t="inlineStr">
        <is>
          <t>Recall rate</t>
        </is>
      </c>
      <c r="F35" s="24" t="n">
        <v>27.5</v>
      </c>
      <c r="G35" s="24" t="n">
        <v>27.5</v>
      </c>
      <c r="H35" s="24" t="n">
        <v>27.5</v>
      </c>
      <c r="I35" s="24" t="n">
        <v>33.5</v>
      </c>
      <c r="J35" s="24" t="n">
        <v>42</v>
      </c>
      <c r="K35" s="24" t="n">
        <v>42</v>
      </c>
      <c r="L35" s="24" t="n">
        <v>46.5</v>
      </c>
      <c r="M35" s="24" t="n">
        <v>51</v>
      </c>
      <c r="N35" s="24" t="n">
        <v>56</v>
      </c>
      <c r="O35" s="24" t="n">
        <v>60.5</v>
      </c>
      <c r="P35" s="24" t="n">
        <v>65.5</v>
      </c>
      <c r="Q35" s="24" t="n">
        <v>71</v>
      </c>
      <c r="R35" s="24" t="n">
        <v>75.5</v>
      </c>
      <c r="S35" s="24" t="n">
        <v>81.5</v>
      </c>
      <c r="T35" s="24" t="n">
        <v>86</v>
      </c>
      <c r="U35" s="24" t="n">
        <v>90</v>
      </c>
      <c r="V35" s="24" t="n">
        <v>95</v>
      </c>
      <c r="W35" s="24" t="n">
        <v>98</v>
      </c>
      <c r="X35" s="24" t="n">
        <v>98</v>
      </c>
      <c r="Y35" s="24" t="n">
        <v>99</v>
      </c>
    </row>
    <row r="36">
      <c r="D36" s="41" t="n"/>
      <c r="E36" s="22" t="inlineStr">
        <is>
          <t>verify time</t>
        </is>
      </c>
      <c r="F36" s="86" t="n">
        <v>5.95770733333333</v>
      </c>
      <c r="G36" s="86" t="n">
        <v>5.95770733333333</v>
      </c>
      <c r="H36" s="86" t="n">
        <v>5.95770733333333</v>
      </c>
      <c r="I36" s="86" t="n">
        <v>11.8769941666667</v>
      </c>
      <c r="J36" s="86" t="n">
        <v>18.4796554</v>
      </c>
      <c r="K36" s="86" t="n">
        <v>18.4796554</v>
      </c>
      <c r="L36" s="86" t="n">
        <v>24.9023288333333</v>
      </c>
      <c r="M36" s="86" t="n">
        <v>31.6761766</v>
      </c>
      <c r="N36" s="86" t="n">
        <v>44.1825776666667</v>
      </c>
      <c r="O36" s="86" t="n">
        <v>53.6938911666667</v>
      </c>
      <c r="P36" s="86" t="n">
        <v>72.3760297</v>
      </c>
      <c r="Q36" s="86" t="n">
        <v>109.178227966667</v>
      </c>
      <c r="R36" s="86" t="n">
        <v>121.4742997</v>
      </c>
      <c r="S36" s="86" t="n">
        <v>148.180783866667</v>
      </c>
      <c r="T36" s="86" t="n">
        <v>188.6092781</v>
      </c>
      <c r="U36" s="86" t="n">
        <v>240.77539485</v>
      </c>
      <c r="V36" s="86" t="n">
        <v>280.071343333333</v>
      </c>
      <c r="W36" s="86" t="n">
        <v>293.38766795</v>
      </c>
      <c r="X36" s="86" t="n">
        <v>293.38766795</v>
      </c>
      <c r="Y36" s="86" t="n">
        <v>299.962289733333</v>
      </c>
    </row>
    <row r="37">
      <c r="D37" s="38" t="inlineStr">
        <is>
          <t>ANNProof*</t>
        </is>
      </c>
      <c r="E37" s="22" t="inlineStr">
        <is>
          <t>Recall rate</t>
        </is>
      </c>
      <c r="F37" s="42" t="n">
        <v>40.5</v>
      </c>
      <c r="G37" s="42" t="n">
        <v>40.5</v>
      </c>
      <c r="H37" s="42" t="n">
        <v>40.5</v>
      </c>
      <c r="I37" s="42" t="n">
        <v>40.5</v>
      </c>
      <c r="J37" s="42" t="n">
        <v>40.5</v>
      </c>
      <c r="K37" s="24" t="n">
        <v>40.5</v>
      </c>
      <c r="L37" s="24" t="n">
        <v>45.5</v>
      </c>
      <c r="M37" s="24" t="n">
        <v>51</v>
      </c>
      <c r="N37" s="24" t="n">
        <v>55</v>
      </c>
      <c r="O37" s="24" t="n">
        <v>62</v>
      </c>
      <c r="P37" s="24" t="n">
        <v>65</v>
      </c>
      <c r="Q37" s="24" t="n">
        <v>71</v>
      </c>
      <c r="R37" s="24" t="n">
        <v>76</v>
      </c>
      <c r="S37" s="24" t="n">
        <v>80</v>
      </c>
      <c r="T37" s="24" t="n">
        <v>86.5</v>
      </c>
      <c r="U37" s="24" t="n">
        <v>94.5</v>
      </c>
      <c r="V37" s="24" t="n">
        <v>97.5</v>
      </c>
      <c r="W37" s="24" t="n">
        <v>97.5</v>
      </c>
      <c r="X37" s="24" t="n">
        <v>99.5</v>
      </c>
      <c r="Y37" s="24" t="n">
        <v>99.5</v>
      </c>
    </row>
    <row r="38">
      <c r="D38" s="41" t="n"/>
      <c r="E38" s="22" t="inlineStr">
        <is>
          <t>verify time</t>
        </is>
      </c>
      <c r="F38" s="93" t="n">
        <v>3.6150317</v>
      </c>
      <c r="G38" s="93" t="n">
        <v>3.6150317</v>
      </c>
      <c r="H38" s="93" t="n">
        <v>3.6150317</v>
      </c>
      <c r="I38" s="93" t="n">
        <v>3.6150317</v>
      </c>
      <c r="J38" s="93" t="n">
        <v>3.6150317</v>
      </c>
      <c r="K38" s="94" t="n">
        <v>3.6150317</v>
      </c>
      <c r="L38" s="94" t="n">
        <v>4.4119573</v>
      </c>
      <c r="M38" s="94" t="n">
        <v>5.20921415</v>
      </c>
      <c r="N38" s="94" t="n">
        <v>5.45750115</v>
      </c>
      <c r="O38" s="94" t="n">
        <v>5.9663863</v>
      </c>
      <c r="P38" s="94" t="n">
        <v>6.1147624</v>
      </c>
      <c r="Q38" s="94" t="n">
        <v>7.56544895</v>
      </c>
      <c r="R38" s="94" t="n">
        <v>8.536791525</v>
      </c>
      <c r="S38" s="94" t="n">
        <v>9.985662574999999</v>
      </c>
      <c r="T38" s="94" t="n">
        <v>12.13729185</v>
      </c>
      <c r="U38" s="94" t="n">
        <v>19.05562215</v>
      </c>
      <c r="V38" s="94" t="n">
        <v>23.1392964250001</v>
      </c>
      <c r="W38" s="94" t="n">
        <v>23.1392964250001</v>
      </c>
      <c r="X38" s="94" t="n">
        <v>30.939923225</v>
      </c>
      <c r="Y38" s="94" t="n">
        <v>30.939923225</v>
      </c>
    </row>
    <row r="39" ht="15" customHeight="1" s="1">
      <c r="D39" s="38" t="inlineStr">
        <is>
          <t>Ours</t>
        </is>
      </c>
      <c r="E39" s="22" t="inlineStr">
        <is>
          <t>Recall rate</t>
        </is>
      </c>
      <c r="F39" s="45" t="n">
        <v>18</v>
      </c>
      <c r="G39" s="45" t="n">
        <v>26.5</v>
      </c>
      <c r="H39" s="45" t="n">
        <v>26.5</v>
      </c>
      <c r="I39" s="45" t="n">
        <v>34</v>
      </c>
      <c r="J39" s="45" t="n">
        <v>39</v>
      </c>
      <c r="K39" s="45" t="n">
        <v>44</v>
      </c>
      <c r="L39" s="45" t="n">
        <v>50</v>
      </c>
      <c r="M39" s="45" t="n">
        <v>50</v>
      </c>
      <c r="N39" s="45" t="n">
        <v>58</v>
      </c>
      <c r="O39" s="45" t="n">
        <v>61.5</v>
      </c>
      <c r="P39" s="45" t="n">
        <v>73.5</v>
      </c>
      <c r="Q39" s="45" t="n">
        <v>73.5</v>
      </c>
      <c r="R39" s="45" t="n">
        <v>79</v>
      </c>
      <c r="S39" s="45" t="n">
        <v>86.5</v>
      </c>
      <c r="T39" s="45" t="n">
        <v>86.5</v>
      </c>
      <c r="U39" s="45" t="n">
        <v>94.5</v>
      </c>
      <c r="V39" s="45" t="n">
        <v>97.5</v>
      </c>
      <c r="W39" s="45" t="n">
        <v>97.5</v>
      </c>
      <c r="X39" s="45" t="n">
        <v>98.5</v>
      </c>
      <c r="Y39" s="45" t="n">
        <v>99</v>
      </c>
    </row>
    <row r="40" ht="15" customHeight="1" s="1">
      <c r="D40" s="41" t="n"/>
      <c r="E40" s="22" t="inlineStr">
        <is>
          <t>verify time</t>
        </is>
      </c>
      <c r="F40" s="91" t="n">
        <v>1.27709313333333</v>
      </c>
      <c r="G40" s="91" t="n">
        <v>1.37510606666667</v>
      </c>
      <c r="H40" s="91" t="n">
        <v>1.37510606666667</v>
      </c>
      <c r="I40" s="91" t="n">
        <v>1.69434018333333</v>
      </c>
      <c r="J40" s="91" t="n">
        <v>1.79743408333333</v>
      </c>
      <c r="K40" s="91" t="n">
        <v>1.97509066666667</v>
      </c>
      <c r="L40" s="91" t="n">
        <v>2.04247968333333</v>
      </c>
      <c r="M40" s="91" t="n">
        <v>2.04247968333333</v>
      </c>
      <c r="N40" s="91" t="n">
        <v>2.29973163333333</v>
      </c>
      <c r="O40" s="91" t="n">
        <v>2.38709686666667</v>
      </c>
      <c r="P40" s="91" t="n">
        <v>2.85541431666667</v>
      </c>
      <c r="Q40" s="91" t="n">
        <v>2.85541431666667</v>
      </c>
      <c r="R40" s="91" t="n">
        <v>3.25884446666667</v>
      </c>
      <c r="S40" s="91" t="n">
        <v>3.99739765</v>
      </c>
      <c r="T40" s="91" t="n">
        <v>3.99739765</v>
      </c>
      <c r="U40" s="91" t="n">
        <v>5.16082628333333</v>
      </c>
      <c r="V40" s="91" t="n">
        <v>6.1193687</v>
      </c>
      <c r="W40" s="91" t="n">
        <v>6.1193687</v>
      </c>
      <c r="X40" s="91" t="n">
        <v>7.86179926666667</v>
      </c>
      <c r="Y40" s="91" t="n">
        <v>9.4468192</v>
      </c>
    </row>
    <row r="41" ht="15" customHeight="1" s="1">
      <c r="D41" s="41" t="inlineStr">
        <is>
          <t>V3DB（单次） †含预测</t>
        </is>
      </c>
      <c r="E41" s="22" t="inlineStr">
        <is>
          <t>Recall rate</t>
        </is>
      </c>
      <c r="F41" s="91" t="n">
        <v>23</v>
      </c>
      <c r="G41" s="91" t="n">
        <v>23</v>
      </c>
      <c r="H41" s="91" t="n">
        <v>28.5</v>
      </c>
      <c r="I41" s="91" t="n">
        <v>37</v>
      </c>
      <c r="J41" s="91" t="n">
        <v>37</v>
      </c>
      <c r="K41" s="91" t="n">
        <v>57.5</v>
      </c>
      <c r="L41" s="91" t="n">
        <v>57.5</v>
      </c>
      <c r="M41" s="91" t="n">
        <v>57.5</v>
      </c>
      <c r="N41" s="91" t="n">
        <v>57.5</v>
      </c>
      <c r="O41" s="91" t="n">
        <v>78</v>
      </c>
      <c r="P41" s="91" t="n">
        <v>78</v>
      </c>
      <c r="Q41" s="91" t="n">
        <v>78</v>
      </c>
      <c r="R41" s="91" t="n">
        <v>78</v>
      </c>
      <c r="S41" s="95" t="n">
        <v>80</v>
      </c>
      <c r="T41" s="95" t="n">
        <v>88.5</v>
      </c>
      <c r="U41" s="95" t="n">
        <v>90</v>
      </c>
      <c r="V41" s="95" t="n">
        <v>95.5</v>
      </c>
      <c r="W41" s="91" t="n"/>
      <c r="X41" s="91" t="n"/>
      <c r="Y41" s="91" t="n"/>
    </row>
    <row r="42" ht="36" customHeight="1" s="1">
      <c r="D42" s="41" t="n"/>
      <c r="E42" s="22" t="inlineStr">
        <is>
          <t>verify time</t>
        </is>
      </c>
      <c r="F42" s="91" t="n">
        <v>10.2888139999777</v>
      </c>
      <c r="G42" s="91" t="n">
        <v>10.2888139999777</v>
      </c>
      <c r="H42" s="96" t="n">
        <v>11.1</v>
      </c>
      <c r="I42" s="96" t="n">
        <v>11.1001259768249</v>
      </c>
      <c r="J42" s="96" t="n">
        <v>11.1001259768249</v>
      </c>
      <c r="K42" s="91" t="n">
        <v>13.9031009999826</v>
      </c>
      <c r="L42" s="91" t="n">
        <v>13.9031009999826</v>
      </c>
      <c r="M42" s="91" t="n">
        <v>13.9031009999826</v>
      </c>
      <c r="N42" s="91" t="n">
        <v>13.9031009999826</v>
      </c>
      <c r="O42" s="96" t="n">
        <v>32.5</v>
      </c>
      <c r="P42" s="96" t="n">
        <v>32.5</v>
      </c>
      <c r="Q42" s="96" t="n">
        <v>32.5</v>
      </c>
      <c r="R42" s="96" t="n">
        <v>32.5</v>
      </c>
      <c r="S42" s="96" t="n">
        <v>32.5098792376037</v>
      </c>
      <c r="T42" s="96" t="n">
        <v>32.5098792376037</v>
      </c>
      <c r="U42" s="96" t="n">
        <v>32.5098792376037</v>
      </c>
      <c r="V42" s="96" t="n">
        <v>32.5098792376037</v>
      </c>
      <c r="W42" s="91" t="n"/>
      <c r="X42" s="91" t="n"/>
      <c r="Y42" s="91" t="n"/>
    </row>
    <row r="43">
      <c r="D43" s="49" t="inlineStr">
        <is>
          <t>Chen13-MR</t>
        </is>
      </c>
      <c r="E43" s="34" t="inlineStr">
        <is>
          <t>Recall rate</t>
        </is>
      </c>
      <c r="F43" s="98" t="n"/>
      <c r="G43" s="98" t="n"/>
      <c r="H43" s="98" t="n"/>
      <c r="I43" s="98" t="n"/>
      <c r="J43" s="98" t="n"/>
      <c r="K43" s="98" t="n"/>
      <c r="L43" s="98" t="n"/>
      <c r="M43" s="98" t="n"/>
      <c r="N43" s="98" t="n"/>
      <c r="O43" s="98" t="n"/>
      <c r="P43" s="98" t="n"/>
      <c r="Q43" s="98" t="n"/>
      <c r="R43" s="98" t="n"/>
      <c r="S43" s="98" t="n"/>
      <c r="T43" s="98" t="n"/>
      <c r="U43" s="98" t="n"/>
      <c r="V43" s="98" t="n"/>
      <c r="W43" s="98" t="n"/>
      <c r="X43" s="98" t="n"/>
      <c r="Y43" s="98" t="n"/>
      <c r="Z43" s="92" t="n">
        <v>100</v>
      </c>
    </row>
    <row r="44">
      <c r="D44" s="41" t="n"/>
      <c r="E44" s="34" t="inlineStr">
        <is>
          <t>verify time</t>
        </is>
      </c>
      <c r="F44" s="98" t="n"/>
      <c r="G44" s="98" t="n"/>
      <c r="H44" s="98" t="n"/>
      <c r="I44" s="98" t="n"/>
      <c r="J44" s="98" t="n"/>
      <c r="K44" s="98" t="n"/>
      <c r="L44" s="98" t="n"/>
      <c r="M44" s="98" t="n"/>
      <c r="N44" s="98" t="n"/>
      <c r="O44" s="98" t="n"/>
      <c r="P44" s="98" t="n"/>
      <c r="Q44" s="98" t="n"/>
      <c r="R44" s="98" t="n"/>
      <c r="S44" s="98" t="n"/>
      <c r="T44" s="98" t="n"/>
      <c r="U44" s="98" t="n"/>
      <c r="V44" s="98" t="n"/>
      <c r="W44" s="98" t="n"/>
      <c r="X44" s="98" t="n"/>
      <c r="Y44" s="98" t="n"/>
      <c r="Z44" s="92" t="n">
        <v>398.21774055</v>
      </c>
    </row>
    <row r="45">
      <c r="D45" s="51" t="n"/>
      <c r="E45" s="0" t="inlineStr">
        <is>
          <t>Target Recall (%)</t>
        </is>
      </c>
      <c r="F45" s="37" t="n">
        <v>15</v>
      </c>
      <c r="G45" s="37" t="n">
        <v>20</v>
      </c>
      <c r="H45" s="37" t="n">
        <v>25</v>
      </c>
      <c r="I45" s="37" t="n">
        <v>30</v>
      </c>
      <c r="J45" s="37" t="n">
        <v>35</v>
      </c>
      <c r="K45" s="37" t="n">
        <v>40</v>
      </c>
      <c r="L45" s="37" t="n">
        <v>45</v>
      </c>
      <c r="M45" s="37" t="n">
        <v>50</v>
      </c>
      <c r="N45" s="37" t="n">
        <v>55</v>
      </c>
      <c r="O45" s="37" t="n">
        <v>60</v>
      </c>
      <c r="P45" s="37" t="n">
        <v>65</v>
      </c>
      <c r="Q45" s="37" t="n">
        <v>70</v>
      </c>
      <c r="R45" s="37" t="n">
        <v>75</v>
      </c>
      <c r="S45" s="37" t="n">
        <v>80</v>
      </c>
      <c r="T45" s="37" t="n">
        <v>85</v>
      </c>
      <c r="U45" s="37" t="n">
        <v>90</v>
      </c>
      <c r="V45" s="37" t="n">
        <v>95</v>
      </c>
      <c r="W45" s="37" t="n">
        <v>97</v>
      </c>
      <c r="X45" s="37" t="n">
        <v>98</v>
      </c>
      <c r="Y45" s="37" t="n">
        <v>99</v>
      </c>
      <c r="Z45" s="37" t="n">
        <v>100</v>
      </c>
    </row>
    <row r="46">
      <c r="E46" s="15" t="inlineStr">
        <is>
          <t>Recall@10 (change parameters enabling different recall rate) vs. query time</t>
        </is>
      </c>
    </row>
    <row r="47"/>
    <row r="48">
      <c r="D48" s="38" t="inlineStr">
        <is>
          <t>DEEP1M (N=1,000,000, d=96)</t>
        </is>
      </c>
      <c r="E48" s="39" t="n"/>
      <c r="F48" s="39" t="n"/>
      <c r="G48" s="39" t="n"/>
      <c r="H48" s="39" t="n"/>
      <c r="I48" s="39" t="n"/>
      <c r="J48" s="39" t="n"/>
      <c r="K48" s="39" t="n"/>
      <c r="L48" s="39" t="n"/>
      <c r="M48" s="39" t="n"/>
      <c r="N48" s="39" t="n"/>
      <c r="O48" s="39" t="n"/>
      <c r="P48" s="40" t="n"/>
    </row>
    <row r="49">
      <c r="D49" s="38" t="inlineStr">
        <is>
          <t>VLAH</t>
        </is>
      </c>
      <c r="E49" s="22" t="inlineStr">
        <is>
          <t>Recall rate</t>
        </is>
      </c>
      <c r="F49" s="24" t="n">
        <v>27.5</v>
      </c>
      <c r="G49" s="24" t="n">
        <v>27.5</v>
      </c>
      <c r="H49" s="24" t="n">
        <v>27.5</v>
      </c>
      <c r="I49" s="24" t="n">
        <v>33.5</v>
      </c>
      <c r="J49" s="24" t="n">
        <v>42</v>
      </c>
      <c r="K49" s="24" t="n">
        <v>42</v>
      </c>
      <c r="L49" s="24" t="n">
        <v>46.5</v>
      </c>
      <c r="M49" s="24" t="n">
        <v>51</v>
      </c>
      <c r="N49" s="24" t="n">
        <v>56</v>
      </c>
      <c r="O49" s="24" t="n">
        <v>60.5</v>
      </c>
      <c r="P49" s="24" t="n">
        <v>65.5</v>
      </c>
      <c r="Q49" s="24" t="n">
        <v>71</v>
      </c>
      <c r="R49" s="24" t="n">
        <v>75.5</v>
      </c>
      <c r="S49" s="24" t="n">
        <v>81.5</v>
      </c>
      <c r="T49" s="24" t="n">
        <v>86</v>
      </c>
      <c r="U49" s="24" t="n">
        <v>90</v>
      </c>
      <c r="V49" s="24" t="n">
        <v>95</v>
      </c>
      <c r="W49" s="24" t="n">
        <v>98</v>
      </c>
      <c r="X49" s="24" t="n">
        <v>98</v>
      </c>
      <c r="Y49" s="24" t="n">
        <v>99</v>
      </c>
    </row>
    <row r="50">
      <c r="D50" s="41" t="n"/>
      <c r="E50" s="22" t="inlineStr">
        <is>
          <t>query time</t>
        </is>
      </c>
      <c r="F50" s="86" t="n">
        <v>2.08422323333333</v>
      </c>
      <c r="G50" s="86" t="n">
        <v>2.08422323333333</v>
      </c>
      <c r="H50" s="86" t="n">
        <v>2.08422323333333</v>
      </c>
      <c r="I50" s="86" t="n">
        <v>4.18868728333333</v>
      </c>
      <c r="J50" s="86" t="n">
        <v>6.51949951666667</v>
      </c>
      <c r="K50" s="86" t="n">
        <v>6.51949951666667</v>
      </c>
      <c r="L50" s="86" t="n">
        <v>8.62520518333333</v>
      </c>
      <c r="M50" s="86" t="n">
        <v>11.0123508333333</v>
      </c>
      <c r="N50" s="86" t="n">
        <v>15.35423605</v>
      </c>
      <c r="O50" s="86" t="n">
        <v>19.13366525</v>
      </c>
      <c r="P50" s="86" t="n">
        <v>25.5380965</v>
      </c>
      <c r="Q50" s="86" t="n">
        <v>39.99110205</v>
      </c>
      <c r="R50" s="86" t="n">
        <v>44.5284999666667</v>
      </c>
      <c r="S50" s="86" t="n">
        <v>55.1920517166667</v>
      </c>
      <c r="T50" s="86" t="n">
        <v>70.88948418333329</v>
      </c>
      <c r="U50" s="86" t="n">
        <v>90.9629803833333</v>
      </c>
      <c r="V50" s="86" t="n">
        <v>106.513872866667</v>
      </c>
      <c r="W50" s="86" t="n">
        <v>117.3229633</v>
      </c>
      <c r="X50" s="86" t="n">
        <v>117.3229633</v>
      </c>
      <c r="Y50" s="86" t="n">
        <v>120.407316883333</v>
      </c>
    </row>
    <row r="51">
      <c r="D51" s="38" t="inlineStr">
        <is>
          <t>ANNProof*</t>
        </is>
      </c>
      <c r="E51" s="22" t="inlineStr">
        <is>
          <t>Recall rate</t>
        </is>
      </c>
      <c r="F51" s="42" t="n">
        <v>40.5</v>
      </c>
      <c r="G51" s="42" t="n">
        <v>40.5</v>
      </c>
      <c r="H51" s="42" t="n">
        <v>40.5</v>
      </c>
      <c r="I51" s="42" t="n">
        <v>40.5</v>
      </c>
      <c r="J51" s="42" t="n">
        <v>40.5</v>
      </c>
      <c r="K51" s="24" t="n">
        <v>40.5</v>
      </c>
      <c r="L51" s="24" t="n">
        <v>45.5</v>
      </c>
      <c r="M51" s="24" t="n">
        <v>51</v>
      </c>
      <c r="N51" s="24" t="n">
        <v>55</v>
      </c>
      <c r="O51" s="24" t="n">
        <v>62</v>
      </c>
      <c r="P51" s="24" t="n">
        <v>65</v>
      </c>
      <c r="Q51" s="24" t="n">
        <v>71</v>
      </c>
      <c r="R51" s="24" t="n">
        <v>76</v>
      </c>
      <c r="S51" s="24" t="n">
        <v>80</v>
      </c>
      <c r="T51" s="24" t="n">
        <v>86.5</v>
      </c>
      <c r="U51" s="24" t="n">
        <v>94.5</v>
      </c>
      <c r="V51" s="24" t="n">
        <v>97.5</v>
      </c>
      <c r="W51" s="24" t="n">
        <v>97.5</v>
      </c>
      <c r="X51" s="24" t="n">
        <v>99.5</v>
      </c>
      <c r="Y51" s="24" t="n">
        <v>99.5</v>
      </c>
    </row>
    <row r="52">
      <c r="D52" s="41" t="n"/>
      <c r="E52" s="22" t="inlineStr">
        <is>
          <t>query time</t>
        </is>
      </c>
      <c r="F52" s="93" t="n">
        <v>0.5952319</v>
      </c>
      <c r="G52" s="93" t="n">
        <v>0.5952319</v>
      </c>
      <c r="H52" s="93" t="n">
        <v>0.5952319</v>
      </c>
      <c r="I52" s="93" t="n">
        <v>0.5952319</v>
      </c>
      <c r="J52" s="93" t="n">
        <v>0.5952319</v>
      </c>
      <c r="K52" s="94" t="n">
        <v>0.5952319</v>
      </c>
      <c r="L52" s="94" t="n">
        <v>0.68054568</v>
      </c>
      <c r="M52" s="94" t="n">
        <v>0.79146392</v>
      </c>
      <c r="N52" s="94" t="n">
        <v>0.8881412</v>
      </c>
      <c r="O52" s="94" t="n">
        <v>0.92185014</v>
      </c>
      <c r="P52" s="94" t="n">
        <v>0.97359388</v>
      </c>
      <c r="Q52" s="94" t="n">
        <v>1.16231536</v>
      </c>
      <c r="R52" s="94" t="n">
        <v>1.29372274</v>
      </c>
      <c r="S52" s="94" t="n">
        <v>1.4983702</v>
      </c>
      <c r="T52" s="94" t="n">
        <v>1.80833676</v>
      </c>
      <c r="U52" s="94" t="n">
        <v>3.13647324</v>
      </c>
      <c r="V52" s="94" t="n">
        <v>3.79038831999999</v>
      </c>
      <c r="W52" s="94" t="n">
        <v>3.79038831999999</v>
      </c>
      <c r="X52" s="94" t="n">
        <v>5.1497598</v>
      </c>
      <c r="Y52" s="94" t="n">
        <v>5.1497598</v>
      </c>
    </row>
    <row r="53" ht="15" customHeight="1" s="1">
      <c r="D53" s="38" t="inlineStr">
        <is>
          <t>Ours</t>
        </is>
      </c>
      <c r="E53" s="22" t="inlineStr">
        <is>
          <t>Recall rate</t>
        </is>
      </c>
      <c r="F53" s="45" t="n">
        <v>18</v>
      </c>
      <c r="G53" s="45" t="n">
        <v>26.5</v>
      </c>
      <c r="H53" s="45" t="n">
        <v>26.5</v>
      </c>
      <c r="I53" s="45" t="n">
        <v>34</v>
      </c>
      <c r="J53" s="45" t="n">
        <v>39</v>
      </c>
      <c r="K53" s="45" t="n">
        <v>44</v>
      </c>
      <c r="L53" s="45" t="n">
        <v>50</v>
      </c>
      <c r="M53" s="45" t="n">
        <v>50</v>
      </c>
      <c r="N53" s="45" t="n">
        <v>58</v>
      </c>
      <c r="O53" s="45" t="n">
        <v>61.5</v>
      </c>
      <c r="P53" s="45" t="n">
        <v>73.5</v>
      </c>
      <c r="Q53" s="45" t="n">
        <v>73.5</v>
      </c>
      <c r="R53" s="45" t="n">
        <v>79</v>
      </c>
      <c r="S53" s="45" t="n">
        <v>86.5</v>
      </c>
      <c r="T53" s="45" t="n">
        <v>86.5</v>
      </c>
      <c r="U53" s="45" t="n">
        <v>94.5</v>
      </c>
      <c r="V53" s="45" t="n">
        <v>97.5</v>
      </c>
      <c r="W53" s="45" t="n">
        <v>97.5</v>
      </c>
      <c r="X53" s="45" t="n">
        <v>98.5</v>
      </c>
      <c r="Y53" s="45" t="n">
        <v>99</v>
      </c>
    </row>
    <row r="54" ht="15" customHeight="1" s="1">
      <c r="D54" s="41" t="n"/>
      <c r="E54" s="22" t="inlineStr">
        <is>
          <t>query time</t>
        </is>
      </c>
      <c r="F54" s="91" t="n">
        <v>0.486627166666667</v>
      </c>
      <c r="G54" s="91" t="n">
        <v>0.556433966666667</v>
      </c>
      <c r="H54" s="91" t="n">
        <v>0.556433966666667</v>
      </c>
      <c r="I54" s="91" t="n">
        <v>0.68775265</v>
      </c>
      <c r="J54" s="91" t="n">
        <v>0.7144711</v>
      </c>
      <c r="K54" s="91" t="n">
        <v>0.747629966666667</v>
      </c>
      <c r="L54" s="91" t="n">
        <v>0.778571033333333</v>
      </c>
      <c r="M54" s="91" t="n">
        <v>0.778571033333333</v>
      </c>
      <c r="N54" s="91" t="n">
        <v>0.889875166666667</v>
      </c>
      <c r="O54" s="91" t="n">
        <v>0.893101083333333</v>
      </c>
      <c r="P54" s="91" t="n">
        <v>1.08978581666667</v>
      </c>
      <c r="Q54" s="91" t="n">
        <v>1.08978581666667</v>
      </c>
      <c r="R54" s="91" t="n">
        <v>1.27455556666667</v>
      </c>
      <c r="S54" s="91" t="n">
        <v>1.57887486666667</v>
      </c>
      <c r="T54" s="91" t="n">
        <v>1.57887486666667</v>
      </c>
      <c r="U54" s="91" t="n">
        <v>2.06094483333333</v>
      </c>
      <c r="V54" s="91" t="n">
        <v>2.5314656</v>
      </c>
      <c r="W54" s="91" t="n">
        <v>2.5314656</v>
      </c>
      <c r="X54" s="91" t="n">
        <v>3.40401168333333</v>
      </c>
      <c r="Y54" s="91" t="n">
        <v>4.2387441</v>
      </c>
    </row>
    <row r="55" ht="15" customHeight="1" s="1">
      <c r="D55" s="41" t="inlineStr">
        <is>
          <t>V3DB（单次）</t>
        </is>
      </c>
      <c r="E55" s="22" t="inlineStr">
        <is>
          <t>Recall rate</t>
        </is>
      </c>
      <c r="F55" s="91" t="n">
        <v>23</v>
      </c>
      <c r="G55" s="91" t="n">
        <v>23</v>
      </c>
      <c r="H55" s="91" t="n">
        <v>28.5</v>
      </c>
      <c r="I55" s="91" t="n">
        <v>37</v>
      </c>
      <c r="J55" s="91" t="n">
        <v>37</v>
      </c>
      <c r="K55" s="91" t="n">
        <v>57.5</v>
      </c>
      <c r="L55" s="91" t="n">
        <v>57.5</v>
      </c>
      <c r="M55" s="91" t="n">
        <v>57.5</v>
      </c>
      <c r="N55" s="91" t="n">
        <v>57.5</v>
      </c>
      <c r="O55" s="91" t="n">
        <v>78</v>
      </c>
      <c r="P55" s="91" t="n">
        <v>78</v>
      </c>
      <c r="Q55" s="91" t="n">
        <v>78</v>
      </c>
      <c r="R55" s="91" t="n">
        <v>78</v>
      </c>
      <c r="S55" s="95" t="n">
        <v>80</v>
      </c>
      <c r="T55" s="95" t="n">
        <v>88.5</v>
      </c>
      <c r="U55" s="95" t="n">
        <v>90</v>
      </c>
      <c r="V55" s="95" t="n">
        <v>95.5</v>
      </c>
      <c r="W55" s="91" t="n"/>
      <c r="X55" s="91" t="n"/>
      <c r="Y55" s="91" t="n"/>
    </row>
    <row r="56" ht="36" customHeight="1" s="1">
      <c r="D56" s="41" t="n"/>
      <c r="E56" s="22" t="inlineStr">
        <is>
          <t>query time</t>
        </is>
      </c>
      <c r="F56" s="91" t="n">
        <v>28708.309506</v>
      </c>
      <c r="G56" s="91" t="n">
        <v>28708.309506</v>
      </c>
      <c r="H56" s="91" t="n">
        <v>57962.631503</v>
      </c>
      <c r="I56" s="91" t="n">
        <v>58518.980512</v>
      </c>
      <c r="J56" s="91" t="n">
        <v>58518.980512</v>
      </c>
      <c r="K56" s="91" t="n">
        <v>246414.936606</v>
      </c>
      <c r="L56" s="91" t="n">
        <v>246414.936606</v>
      </c>
      <c r="M56" s="91" t="n">
        <v>246414.936606</v>
      </c>
      <c r="N56" s="91" t="n">
        <v>246414.936606</v>
      </c>
      <c r="O56" s="91" t="n">
        <v>493189.722806004</v>
      </c>
      <c r="P56" s="91" t="n">
        <v>493189.722806004</v>
      </c>
      <c r="Q56" s="91" t="n">
        <v>493189.722806004</v>
      </c>
      <c r="R56" s="91" t="n">
        <v>493189.722806004</v>
      </c>
      <c r="S56" s="97" t="n">
        <v>536679.534811588</v>
      </c>
      <c r="T56" s="97" t="n">
        <v>1127085.91388908</v>
      </c>
      <c r="U56" s="97" t="n">
        <v>1127085.91388908</v>
      </c>
      <c r="V56" s="97" t="n">
        <v>2361625.51630998</v>
      </c>
      <c r="W56" s="91" t="n"/>
      <c r="X56" s="91" t="n"/>
      <c r="Y56" s="91" t="n"/>
    </row>
    <row r="57">
      <c r="D57" s="49" t="inlineStr">
        <is>
          <t>Chen13-MR</t>
        </is>
      </c>
      <c r="E57" s="34" t="inlineStr">
        <is>
          <t>Recall rate</t>
        </is>
      </c>
      <c r="F57" s="98" t="n"/>
      <c r="G57" s="98" t="n"/>
      <c r="H57" s="98" t="n"/>
      <c r="I57" s="98" t="n"/>
      <c r="J57" s="98" t="n"/>
      <c r="K57" s="98" t="n"/>
      <c r="L57" s="98" t="n"/>
      <c r="M57" s="98" t="n"/>
      <c r="N57" s="98" t="n"/>
      <c r="O57" s="98" t="n"/>
      <c r="P57" s="98" t="n"/>
      <c r="Q57" s="98" t="n"/>
      <c r="R57" s="98" t="n"/>
      <c r="S57" s="98" t="n"/>
      <c r="T57" s="98" t="n"/>
      <c r="U57" s="98" t="n"/>
      <c r="V57" s="98" t="n"/>
      <c r="W57" s="98" t="n"/>
      <c r="X57" s="98" t="n"/>
      <c r="Y57" s="98" t="n"/>
      <c r="Z57" s="92" t="n">
        <v>100</v>
      </c>
    </row>
    <row r="58">
      <c r="D58" s="41" t="n"/>
      <c r="E58" s="34" t="inlineStr">
        <is>
          <t>query time</t>
        </is>
      </c>
      <c r="F58" s="98" t="n"/>
      <c r="G58" s="98" t="n"/>
      <c r="H58" s="98" t="n"/>
      <c r="I58" s="98" t="n"/>
      <c r="J58" s="98" t="n"/>
      <c r="K58" s="98" t="n"/>
      <c r="L58" s="98" t="n"/>
      <c r="M58" s="98" t="n"/>
      <c r="N58" s="98" t="n"/>
      <c r="O58" s="98" t="n"/>
      <c r="P58" s="98" t="n"/>
      <c r="Q58" s="98" t="n"/>
      <c r="R58" s="98" t="n"/>
      <c r="S58" s="98" t="n"/>
      <c r="T58" s="98" t="n"/>
      <c r="U58" s="98" t="n"/>
      <c r="V58" s="98" t="n"/>
      <c r="W58" s="98" t="n"/>
      <c r="X58" s="98" t="n"/>
      <c r="Y58" s="98" t="n"/>
      <c r="Z58" s="92" t="n">
        <v>423.303868183333</v>
      </c>
    </row>
    <row r="59">
      <c r="D59" s="51" t="n"/>
    </row>
    <row r="60">
      <c r="D60" s="51" t="n"/>
    </row>
    <row r="62" customFormat="1" s="12"/>
    <row r="64">
      <c r="E64" s="15" t="inlineStr">
        <is>
          <t>Dataset size vs. VO size</t>
        </is>
      </c>
    </row>
    <row r="65"/>
    <row r="66" ht="30" customHeight="1" s="1">
      <c r="D66" s="52" t="inlineStr">
        <is>
          <t>DEEP1B real prefix subsets: 100K / 500K / 1M / 5M / 10M</t>
        </is>
      </c>
      <c r="E66" s="39" t="n"/>
      <c r="F66" s="39" t="n"/>
      <c r="G66" s="39" t="n"/>
      <c r="H66" s="39" t="n"/>
      <c r="I66" s="39" t="n"/>
      <c r="J66" s="40" t="n"/>
    </row>
    <row r="67">
      <c r="D67" s="38" t="inlineStr">
        <is>
          <t>dataset size</t>
        </is>
      </c>
      <c r="E67" s="40" t="n"/>
      <c r="F67" s="22" t="inlineStr">
        <is>
          <t>10^5</t>
        </is>
      </c>
      <c r="G67" s="22" t="inlineStr">
        <is>
          <t>5*10^5</t>
        </is>
      </c>
      <c r="H67" s="22" t="inlineStr">
        <is>
          <t>10^6</t>
        </is>
      </c>
      <c r="I67" s="22" t="inlineStr">
        <is>
          <t>5*10^6</t>
        </is>
      </c>
      <c r="J67" s="22" t="inlineStr">
        <is>
          <t>10^7</t>
        </is>
      </c>
    </row>
    <row r="68">
      <c r="D68" s="38" t="inlineStr">
        <is>
          <t>VLAH</t>
        </is>
      </c>
      <c r="E68" s="40" t="n"/>
      <c r="F68" s="86" t="n">
        <v>4406.5916</v>
      </c>
      <c r="G68" s="86" t="n">
        <v>19154.54795</v>
      </c>
      <c r="H68" s="86" t="n">
        <v>38322.17155</v>
      </c>
      <c r="I68" s="86" t="n">
        <v>175090.9835</v>
      </c>
      <c r="J68" s="86" t="n">
        <v>343751.79415</v>
      </c>
    </row>
    <row r="69">
      <c r="D69" s="38" t="inlineStr">
        <is>
          <t>ANNProof*</t>
        </is>
      </c>
      <c r="E69" s="40" t="n"/>
      <c r="F69" s="94" t="n">
        <v>1288.372</v>
      </c>
      <c r="G69" s="94" t="n">
        <v>1705.3688</v>
      </c>
      <c r="H69" s="94" t="n">
        <v>2309.5876</v>
      </c>
      <c r="I69" s="94" t="n">
        <v>3952.3256</v>
      </c>
      <c r="J69" s="94" t="n">
        <v>5343.854</v>
      </c>
    </row>
    <row r="70" ht="15" customHeight="1" s="1">
      <c r="D70" s="38" t="inlineStr">
        <is>
          <t>Ours</t>
        </is>
      </c>
      <c r="E70" s="40" t="n"/>
      <c r="F70" s="91" t="n">
        <v>158.2168</v>
      </c>
      <c r="G70" s="91" t="n">
        <v>232.5502</v>
      </c>
      <c r="H70" s="91" t="n">
        <v>271.0874</v>
      </c>
      <c r="I70" s="91" t="n">
        <v>561.5534</v>
      </c>
      <c r="J70" s="91" t="n">
        <v>651.6462</v>
      </c>
    </row>
    <row r="71" ht="36" customHeight="1" s="1">
      <c r="D71" s="38" t="inlineStr">
        <is>
          <t>V3DB（单次）</t>
        </is>
      </c>
      <c r="E71" s="40" t="n"/>
      <c r="F71" s="91" t="n">
        <v>212.381</v>
      </c>
      <c r="G71" s="91" t="n">
        <v>261.883</v>
      </c>
      <c r="H71" s="91" t="n">
        <v>265.512</v>
      </c>
      <c r="I71" s="91" t="n"/>
      <c r="J71" s="91" t="n"/>
    </row>
    <row r="72">
      <c r="D72" s="53" t="inlineStr">
        <is>
          <t>Chen13-MR</t>
        </is>
      </c>
      <c r="E72" s="40" t="n"/>
      <c r="F72" s="92" t="n">
        <v>38597.20825</v>
      </c>
      <c r="G72" s="92" t="n">
        <v>189887.388</v>
      </c>
      <c r="H72" s="92" t="n">
        <v>373923.6996</v>
      </c>
      <c r="I72" s="92" t="n">
        <v>1713383.2791</v>
      </c>
      <c r="J72" s="92" t="n">
        <v>3422248.8626</v>
      </c>
      <c r="K72" s="36" t="n"/>
      <c r="L72" s="36" t="n"/>
      <c r="M72" s="36" t="n"/>
      <c r="N72" s="36" t="n"/>
      <c r="O72" s="36" t="n"/>
      <c r="P72" s="36" t="n"/>
      <c r="Q72" s="36" t="n"/>
      <c r="R72" s="36" t="n"/>
      <c r="S72" s="36" t="n"/>
      <c r="T72" s="36" t="n"/>
      <c r="U72" s="36" t="n"/>
      <c r="V72" s="36" t="n"/>
      <c r="W72" s="36" t="n"/>
      <c r="X72" s="36" t="n"/>
      <c r="Y72" s="36" t="n"/>
      <c r="Z72" s="36" t="n"/>
    </row>
    <row r="76">
      <c r="E76" s="15" t="inlineStr">
        <is>
          <t>Dataset size vs. Verify time</t>
        </is>
      </c>
    </row>
    <row r="77"/>
    <row r="78" ht="30" customHeight="1" s="1">
      <c r="D78" s="52" t="inlineStr">
        <is>
          <t>DEEP1B real prefix subsets: 100K / 500K / 1M / 5M / 10M</t>
        </is>
      </c>
      <c r="E78" s="39" t="n"/>
      <c r="F78" s="39" t="n"/>
      <c r="G78" s="39" t="n"/>
      <c r="H78" s="39" t="n"/>
      <c r="I78" s="39" t="n"/>
      <c r="J78" s="40" t="n"/>
    </row>
    <row r="79">
      <c r="D79" s="38" t="inlineStr">
        <is>
          <t>dataset size</t>
        </is>
      </c>
      <c r="E79" s="40" t="n"/>
      <c r="F79" s="22" t="inlineStr">
        <is>
          <t>10^5</t>
        </is>
      </c>
      <c r="G79" s="22" t="inlineStr">
        <is>
          <t>5*10^5</t>
        </is>
      </c>
      <c r="H79" s="22" t="inlineStr">
        <is>
          <t>10^6</t>
        </is>
      </c>
      <c r="I79" s="22" t="inlineStr">
        <is>
          <t>5*10^6</t>
        </is>
      </c>
      <c r="J79" s="22" t="inlineStr">
        <is>
          <t>10^7</t>
        </is>
      </c>
    </row>
    <row r="80">
      <c r="D80" s="38" t="inlineStr">
        <is>
          <t>VLAH</t>
        </is>
      </c>
      <c r="E80" s="40" t="n"/>
      <c r="F80" s="86" t="n">
        <v>30.6691185833333</v>
      </c>
      <c r="G80" s="86" t="n">
        <v>138.3154764</v>
      </c>
      <c r="H80" s="86" t="n">
        <v>280.071343333333</v>
      </c>
      <c r="I80" s="86" t="n">
        <v>1316.81213005</v>
      </c>
      <c r="J80" s="86" t="n">
        <v>2659.4569935</v>
      </c>
    </row>
    <row r="81">
      <c r="D81" s="38" t="inlineStr">
        <is>
          <t>ANNProof*</t>
        </is>
      </c>
      <c r="E81" s="40" t="n"/>
      <c r="F81" s="94" t="n">
        <v>12.476313875</v>
      </c>
      <c r="G81" s="94" t="n">
        <v>17.06320185</v>
      </c>
      <c r="H81" s="94" t="n">
        <v>23.1392964250001</v>
      </c>
      <c r="I81" s="94" t="n">
        <v>38.9548615750001</v>
      </c>
      <c r="J81" s="94" t="n">
        <v>52.675446125</v>
      </c>
    </row>
    <row r="82" ht="15" customHeight="1" s="1">
      <c r="D82" s="38" t="inlineStr">
        <is>
          <t>Ours</t>
        </is>
      </c>
      <c r="E82" s="40" t="n"/>
      <c r="F82" s="91" t="n">
        <v>3.48295088333333</v>
      </c>
      <c r="G82" s="91" t="n">
        <v>5.32543016666667</v>
      </c>
      <c r="H82" s="91" t="n">
        <v>6.1193687</v>
      </c>
      <c r="I82" s="91" t="n">
        <v>13.18477455</v>
      </c>
      <c r="J82" s="91" t="n">
        <v>15.7888074166667</v>
      </c>
    </row>
    <row r="83" ht="36" customHeight="1" s="1">
      <c r="D83" s="38" t="inlineStr">
        <is>
          <t>V3DB（单次）</t>
        </is>
      </c>
      <c r="E83" s="40" t="n"/>
      <c r="F83" s="91" t="n">
        <v>21.4506789998268</v>
      </c>
      <c r="G83" s="91" t="n">
        <v>24.8724909997691</v>
      </c>
      <c r="H83" s="91" t="n">
        <v>55.9675380063709</v>
      </c>
      <c r="I83" s="91" t="n"/>
      <c r="J83" s="91" t="n"/>
    </row>
    <row r="84">
      <c r="D84" s="53" t="inlineStr">
        <is>
          <t>Chen13-MR</t>
        </is>
      </c>
      <c r="E84" s="40" t="n"/>
      <c r="F84" s="92" t="n">
        <v>32.1024564333333</v>
      </c>
      <c r="G84" s="92" t="n">
        <v>158.030989166667</v>
      </c>
      <c r="H84" s="92" t="n">
        <v>398.21774055</v>
      </c>
      <c r="I84" s="92" t="n">
        <v>1824.90793928333</v>
      </c>
      <c r="J84" s="92" t="n">
        <v>3766.15816781667</v>
      </c>
      <c r="K84" s="36" t="n"/>
      <c r="L84" s="36" t="n"/>
      <c r="M84" s="36" t="n"/>
      <c r="N84" s="36" t="n"/>
      <c r="O84" s="36" t="n"/>
      <c r="P84" s="36" t="n"/>
      <c r="Q84" s="36" t="n"/>
      <c r="R84" s="36" t="n"/>
      <c r="S84" s="36" t="n"/>
      <c r="T84" s="36" t="n"/>
      <c r="U84" s="36" t="n"/>
      <c r="V84" s="36" t="n"/>
      <c r="W84" s="36" t="n"/>
      <c r="X84" s="36" t="n"/>
      <c r="Y84" s="36" t="n"/>
      <c r="Z84" s="36" t="n"/>
    </row>
    <row r="87">
      <c r="E87" s="15" t="inlineStr">
        <is>
          <t>Dataset size vs. query time</t>
        </is>
      </c>
    </row>
    <row r="88"/>
    <row r="89" ht="30" customHeight="1" s="1">
      <c r="D89" s="52" t="inlineStr">
        <is>
          <t>DEEP1B real prefix subsets: 100K / 500K / 1M / 5M / 10M</t>
        </is>
      </c>
      <c r="E89" s="39" t="n"/>
      <c r="F89" s="39" t="n"/>
      <c r="G89" s="39" t="n"/>
      <c r="H89" s="39" t="n"/>
      <c r="I89" s="39" t="n"/>
      <c r="J89" s="40" t="n"/>
    </row>
    <row r="90">
      <c r="D90" s="38" t="inlineStr">
        <is>
          <t>dataset size</t>
        </is>
      </c>
      <c r="E90" s="40" t="n"/>
      <c r="F90" s="22" t="inlineStr">
        <is>
          <t>10^5</t>
        </is>
      </c>
      <c r="G90" s="22" t="inlineStr">
        <is>
          <t>5*10^5</t>
        </is>
      </c>
      <c r="H90" s="22" t="inlineStr">
        <is>
          <t>10^6</t>
        </is>
      </c>
      <c r="I90" s="22" t="inlineStr">
        <is>
          <t>5*10^6</t>
        </is>
      </c>
      <c r="J90" s="22" t="inlineStr">
        <is>
          <t>10^7</t>
        </is>
      </c>
    </row>
    <row r="91">
      <c r="D91" s="38" t="inlineStr">
        <is>
          <t>VLAH</t>
        </is>
      </c>
      <c r="E91" s="40" t="n"/>
      <c r="F91" s="86" t="n">
        <v>11.1942364166667</v>
      </c>
      <c r="G91" s="86" t="n">
        <v>49.60916</v>
      </c>
      <c r="H91" s="86" t="n">
        <v>106.513872866667</v>
      </c>
      <c r="I91" s="86" t="n">
        <v>550.324390433333</v>
      </c>
      <c r="J91" s="86" t="n">
        <v>1070.8410505</v>
      </c>
    </row>
    <row r="92">
      <c r="D92" s="38" t="inlineStr">
        <is>
          <t>ANNProof*</t>
        </is>
      </c>
      <c r="E92" s="40" t="n"/>
      <c r="F92" s="94" t="n">
        <v>2.12366724</v>
      </c>
      <c r="G92" s="94" t="n">
        <v>2.73729016</v>
      </c>
      <c r="H92" s="94" t="n">
        <v>3.79038831999999</v>
      </c>
      <c r="I92" s="94" t="n">
        <v>7.37408686</v>
      </c>
      <c r="J92" s="94" t="n">
        <v>10.9148297</v>
      </c>
    </row>
    <row r="93" ht="15" customHeight="1" s="1">
      <c r="D93" s="38" t="inlineStr">
        <is>
          <t>Ours</t>
        </is>
      </c>
      <c r="E93" s="40" t="n"/>
      <c r="F93" s="91" t="n">
        <v>1.46408101666667</v>
      </c>
      <c r="G93" s="91" t="n">
        <v>2.29060276666667</v>
      </c>
      <c r="H93" s="91" t="n">
        <v>2.5314656</v>
      </c>
      <c r="I93" s="91" t="n">
        <v>6.15269876666667</v>
      </c>
      <c r="J93" s="91" t="n">
        <v>7.25583046666667</v>
      </c>
    </row>
    <row r="94" ht="36" customHeight="1" s="1">
      <c r="D94" s="38" t="inlineStr">
        <is>
          <t>V3DB（单次） †含预测</t>
        </is>
      </c>
      <c r="E94" s="40" t="n"/>
      <c r="F94" s="91" t="n">
        <v>489603.440798</v>
      </c>
      <c r="G94" s="96" t="n">
        <v>494849.37289106</v>
      </c>
      <c r="H94" s="96" t="n">
        <v>495000</v>
      </c>
      <c r="I94" s="91" t="n"/>
      <c r="J94" s="91" t="n"/>
    </row>
    <row r="95">
      <c r="D95" s="53" t="inlineStr">
        <is>
          <t>Chen13-MR</t>
        </is>
      </c>
      <c r="E95" s="40" t="n"/>
      <c r="F95" s="92" t="n">
        <v>34.1787667166667</v>
      </c>
      <c r="G95" s="92" t="n">
        <v>188.8071176</v>
      </c>
      <c r="H95" s="92" t="n">
        <v>423.303868183333</v>
      </c>
      <c r="I95" s="92" t="n">
        <v>3333.6834242</v>
      </c>
      <c r="J95" s="92" t="n">
        <v>7666.33279241667</v>
      </c>
      <c r="K95" s="36" t="n"/>
      <c r="L95" s="36" t="n"/>
      <c r="M95" s="36" t="n"/>
      <c r="N95" s="36" t="n"/>
      <c r="O95" s="36" t="n"/>
      <c r="P95" s="36" t="n"/>
      <c r="Q95" s="36" t="n"/>
      <c r="R95" s="36" t="n"/>
      <c r="S95" s="36" t="n"/>
      <c r="T95" s="36" t="n"/>
      <c r="U95" s="36" t="n"/>
      <c r="V95" s="36" t="n"/>
      <c r="W95" s="36" t="n"/>
      <c r="X95" s="36" t="n"/>
      <c r="Y95" s="36" t="n"/>
      <c r="Z95" s="36" t="n"/>
    </row>
    <row r="98" customFormat="1" s="12"/>
    <row r="100">
      <c r="E100" s="15" t="inlineStr">
        <is>
          <t>K vs. VO size (actual Recall@K logged)</t>
        </is>
      </c>
    </row>
    <row r="101"/>
    <row r="102">
      <c r="D102" s="38" t="inlineStr">
        <is>
          <t>DEEP1M (N=1,000,000, d=96)</t>
        </is>
      </c>
      <c r="E102" s="39" t="n"/>
      <c r="F102" s="39" t="n"/>
      <c r="G102" s="39" t="n"/>
      <c r="H102" s="39" t="n"/>
      <c r="I102" s="39" t="n"/>
      <c r="J102" s="39" t="n"/>
      <c r="K102" s="40" t="n"/>
    </row>
    <row r="103">
      <c r="D103" s="38" t="inlineStr">
        <is>
          <t>K</t>
        </is>
      </c>
      <c r="E103" s="40" t="n"/>
      <c r="F103" s="22" t="n">
        <v>1</v>
      </c>
      <c r="G103" s="22" t="n">
        <v>5</v>
      </c>
      <c r="H103" s="22" t="n">
        <v>10</v>
      </c>
      <c r="I103" s="22" t="n">
        <v>20</v>
      </c>
      <c r="J103" s="22" t="n">
        <v>50</v>
      </c>
      <c r="K103" s="22" t="n">
        <v>100</v>
      </c>
    </row>
    <row r="104">
      <c r="D104" s="38" t="inlineStr">
        <is>
          <t>VLAH</t>
        </is>
      </c>
      <c r="E104" s="40" t="n"/>
      <c r="F104" s="86" t="n">
        <v>38322.13555</v>
      </c>
      <c r="G104" s="86" t="n">
        <v>38322.15155</v>
      </c>
      <c r="H104" s="86" t="n">
        <v>38322.17155</v>
      </c>
      <c r="I104" s="86" t="n">
        <v>38322.21155</v>
      </c>
      <c r="J104" s="86" t="n">
        <v>38322.33155</v>
      </c>
      <c r="K104" s="86" t="n">
        <v>38322.53155</v>
      </c>
    </row>
    <row r="105">
      <c r="D105" s="38" t="inlineStr">
        <is>
          <t>ANNProof*</t>
        </is>
      </c>
      <c r="E105" s="40" t="n"/>
      <c r="F105" s="94" t="n">
        <v>3162.5524</v>
      </c>
      <c r="G105" s="94" t="n">
        <v>3167.0364</v>
      </c>
      <c r="H105" s="94" t="n">
        <v>3172.5524</v>
      </c>
      <c r="I105" s="94" t="n">
        <v>3183.2284</v>
      </c>
      <c r="J105" s="94" t="n">
        <v>3214.5884</v>
      </c>
      <c r="K105" s="94" t="n">
        <v>3263.2564</v>
      </c>
    </row>
    <row r="106" ht="15" customHeight="1" s="1">
      <c r="D106" s="38" t="inlineStr">
        <is>
          <t>Ours</t>
        </is>
      </c>
      <c r="E106" s="40" t="n"/>
      <c r="F106" s="91" t="n">
        <v>168.3194</v>
      </c>
      <c r="G106" s="91" t="n">
        <v>235.5306</v>
      </c>
      <c r="H106" s="91" t="n">
        <v>271.0874</v>
      </c>
      <c r="I106" s="91" t="n">
        <v>311.4214</v>
      </c>
      <c r="J106" s="91" t="n">
        <v>394.7074</v>
      </c>
      <c r="K106" s="91" t="n">
        <v>479.8746</v>
      </c>
    </row>
    <row r="107" ht="36" customHeight="1" s="1">
      <c r="D107" s="54" t="inlineStr">
        <is>
          <t>V3DB†预测
Recall@k≥95.5%</t>
        </is>
      </c>
      <c r="E107" s="40" t="n"/>
      <c r="F107" s="124" t="n">
        <v>376.568</v>
      </c>
      <c r="G107" s="124" t="n">
        <v>786.2380000000001</v>
      </c>
      <c r="H107" s="124" t="n">
        <v>483.155</v>
      </c>
      <c r="I107" s="124" t="n">
        <v>532.3869999999999</v>
      </c>
      <c r="J107" s="124" t="n">
        <v>589.99</v>
      </c>
      <c r="K107" s="124" t="n">
        <v>754.23</v>
      </c>
    </row>
    <row r="108">
      <c r="D108" s="53" t="inlineStr">
        <is>
          <t>Chen13-MR</t>
        </is>
      </c>
      <c r="E108" s="40" t="n"/>
      <c r="F108" s="92" t="n">
        <v>360288.1178</v>
      </c>
      <c r="G108" s="92" t="n">
        <v>371371.2318</v>
      </c>
      <c r="H108" s="92" t="n">
        <v>373923.6996</v>
      </c>
      <c r="I108" s="92" t="n">
        <v>375980.7638</v>
      </c>
      <c r="J108" s="92" t="n">
        <v>378363.169</v>
      </c>
      <c r="K108" s="92" t="n">
        <v>379997.2324</v>
      </c>
      <c r="L108" s="36" t="n"/>
      <c r="M108" s="36" t="n"/>
      <c r="N108" s="36" t="n"/>
      <c r="O108" s="36" t="n"/>
      <c r="P108" s="36" t="n"/>
      <c r="Q108" s="36" t="n"/>
      <c r="R108" s="36" t="n"/>
      <c r="S108" s="36" t="n"/>
      <c r="T108" s="36" t="n"/>
      <c r="U108" s="36" t="n"/>
      <c r="V108" s="36" t="n"/>
      <c r="W108" s="36" t="n"/>
      <c r="X108" s="36" t="n"/>
      <c r="Y108" s="36" t="n"/>
      <c r="Z108" s="36" t="n"/>
    </row>
    <row r="112">
      <c r="E112" s="15" t="inlineStr">
        <is>
          <t>K vs. Verify time</t>
        </is>
      </c>
    </row>
    <row r="113"/>
    <row r="114">
      <c r="D114" s="38" t="inlineStr">
        <is>
          <t>DEEP1M (N=1,000,000, d=96)</t>
        </is>
      </c>
      <c r="E114" s="39" t="n"/>
      <c r="F114" s="39" t="n"/>
      <c r="G114" s="39" t="n"/>
      <c r="H114" s="39" t="n"/>
      <c r="I114" s="39" t="n"/>
      <c r="J114" s="39" t="n"/>
      <c r="K114" s="40" t="n"/>
    </row>
    <row r="115">
      <c r="D115" s="38" t="inlineStr">
        <is>
          <t>K</t>
        </is>
      </c>
      <c r="E115" s="40" t="n"/>
      <c r="F115" s="22" t="n">
        <v>1</v>
      </c>
      <c r="G115" s="22" t="n">
        <v>5</v>
      </c>
      <c r="H115" s="22" t="n">
        <v>10</v>
      </c>
      <c r="I115" s="22" t="n">
        <v>20</v>
      </c>
      <c r="J115" s="22" t="n">
        <v>50</v>
      </c>
      <c r="K115" s="22" t="n">
        <v>100</v>
      </c>
    </row>
    <row r="116">
      <c r="D116" s="38" t="inlineStr">
        <is>
          <t>VLAH †含预测</t>
        </is>
      </c>
      <c r="E116" s="40" t="n"/>
      <c r="F116" s="86" t="n">
        <v>279.226395533333</v>
      </c>
      <c r="G116" s="99" t="n">
        <v>280.860627338201</v>
      </c>
      <c r="H116" s="99" t="n">
        <v>280.860627338201</v>
      </c>
      <c r="I116" s="99" t="n">
        <v>280.860627338201</v>
      </c>
      <c r="J116" s="99" t="n">
        <v>281</v>
      </c>
      <c r="K116" s="86" t="n">
        <v>281.683170933333</v>
      </c>
    </row>
    <row r="117">
      <c r="D117" s="38" t="inlineStr">
        <is>
          <t>ANNProof*</t>
        </is>
      </c>
      <c r="E117" s="40" t="n"/>
      <c r="F117" s="94" t="n">
        <v>31.69886445</v>
      </c>
      <c r="G117" s="94" t="n">
        <v>31.94267415</v>
      </c>
      <c r="H117" s="94" t="n">
        <v>32.3015506</v>
      </c>
      <c r="I117" s="94" t="n">
        <v>32.41308875</v>
      </c>
      <c r="J117" s="94" t="n">
        <v>32.48345985</v>
      </c>
      <c r="K117" s="94" t="n">
        <v>33.7755329</v>
      </c>
    </row>
    <row r="118" ht="15" customHeight="1" s="1">
      <c r="D118" s="38" t="inlineStr">
        <is>
          <t>Ours</t>
        </is>
      </c>
      <c r="E118" s="40" t="n"/>
      <c r="F118" s="91" t="n">
        <v>3.65461865</v>
      </c>
      <c r="G118" s="91" t="n">
        <v>5.27781701666667</v>
      </c>
      <c r="H118" s="91" t="n">
        <v>6.14438738333333</v>
      </c>
      <c r="I118" s="91" t="n">
        <v>7.03352981666667</v>
      </c>
      <c r="J118" s="91" t="n">
        <v>8.7224146</v>
      </c>
      <c r="K118" s="91" t="n">
        <v>10.32036355</v>
      </c>
    </row>
    <row r="119" ht="36" customHeight="1" s="1">
      <c r="D119" s="54" t="inlineStr">
        <is>
          <t>V3DB†预测
Recall@k≥95.5%</t>
        </is>
      </c>
      <c r="E119" s="40" t="n"/>
      <c r="F119" s="124" t="n">
        <v>28.448117206834</v>
      </c>
      <c r="G119" s="124" t="n">
        <v>39.7123438275546</v>
      </c>
      <c r="H119" s="124" t="n">
        <v>31.8402555180307</v>
      </c>
      <c r="I119" s="124" t="n">
        <v>32.9627053303304</v>
      </c>
      <c r="J119" s="124" t="n">
        <v>35.2380480288018</v>
      </c>
      <c r="K119" s="124" t="n">
        <v>38.9825872953786</v>
      </c>
    </row>
    <row r="120">
      <c r="D120" s="53" t="inlineStr">
        <is>
          <t>Chen13-MR †含预测</t>
        </is>
      </c>
      <c r="E120" s="40" t="n"/>
      <c r="F120" s="96" t="n">
        <v>400</v>
      </c>
      <c r="G120" s="96" t="n">
        <v>400.05609596558</v>
      </c>
      <c r="H120" s="96" t="n">
        <v>400.05609596558</v>
      </c>
      <c r="I120" s="96" t="n">
        <v>414</v>
      </c>
      <c r="J120" s="96" t="n">
        <v>414.237844970321</v>
      </c>
      <c r="K120" s="92" t="n">
        <v>418.408925816667</v>
      </c>
      <c r="L120" s="36" t="n"/>
      <c r="M120" s="36" t="n"/>
      <c r="N120" s="36" t="n"/>
      <c r="O120" s="36" t="n"/>
      <c r="P120" s="36" t="n"/>
      <c r="Q120" s="36" t="n"/>
      <c r="R120" s="36" t="n"/>
      <c r="S120" s="36" t="n"/>
      <c r="T120" s="36" t="n"/>
      <c r="U120" s="36" t="n"/>
      <c r="V120" s="36" t="n"/>
      <c r="W120" s="36" t="n"/>
      <c r="X120" s="36" t="n"/>
      <c r="Y120" s="36" t="n"/>
      <c r="Z120" s="36" t="n"/>
    </row>
    <row r="123">
      <c r="E123" s="15" t="inlineStr">
        <is>
          <t>K vs. Query time (includes VO generation)</t>
        </is>
      </c>
    </row>
    <row r="124"/>
    <row r="125">
      <c r="D125" s="38" t="inlineStr">
        <is>
          <t>DEEP1M (N=1,000,000, d=96)</t>
        </is>
      </c>
      <c r="E125" s="39" t="n"/>
      <c r="F125" s="39" t="n"/>
      <c r="G125" s="39" t="n"/>
      <c r="H125" s="39" t="n"/>
      <c r="I125" s="39" t="n"/>
      <c r="J125" s="39" t="n"/>
      <c r="K125" s="40" t="n"/>
    </row>
    <row r="126">
      <c r="D126" s="38" t="inlineStr">
        <is>
          <t>K</t>
        </is>
      </c>
      <c r="E126" s="40" t="n"/>
      <c r="F126" s="22" t="n">
        <v>1</v>
      </c>
      <c r="G126" s="22" t="n">
        <v>5</v>
      </c>
      <c r="H126" s="22" t="n">
        <v>10</v>
      </c>
      <c r="I126" s="22" t="n">
        <v>20</v>
      </c>
      <c r="J126" s="22" t="n">
        <v>50</v>
      </c>
      <c r="K126" s="22" t="n">
        <v>100</v>
      </c>
    </row>
    <row r="127">
      <c r="D127" s="38" t="inlineStr">
        <is>
          <t>VLAH †含预测</t>
        </is>
      </c>
      <c r="E127" s="40" t="n"/>
      <c r="F127" s="99" t="n">
        <v>105.538432344744</v>
      </c>
      <c r="G127" s="99" t="n">
        <v>105.538432344744</v>
      </c>
      <c r="H127" s="99" t="n">
        <v>105.538432344744</v>
      </c>
      <c r="I127" s="99" t="n">
        <v>105.538432344744</v>
      </c>
      <c r="J127" s="99" t="n">
        <v>105.538432344744</v>
      </c>
      <c r="K127" s="99" t="n">
        <v>106</v>
      </c>
    </row>
    <row r="128">
      <c r="D128" s="38" t="inlineStr">
        <is>
          <t>ANNProof* †含预测</t>
        </is>
      </c>
      <c r="E128" s="40" t="n"/>
      <c r="F128" s="94" t="n">
        <v>5.49061998</v>
      </c>
      <c r="G128" s="94" t="n">
        <v>5.54724138</v>
      </c>
      <c r="H128" s="99" t="n">
        <v>5.58</v>
      </c>
      <c r="I128" s="99" t="n">
        <v>5.5830504904312</v>
      </c>
      <c r="J128" s="99" t="n">
        <v>5.5830504904312</v>
      </c>
      <c r="K128" s="94" t="n">
        <v>5.68382594</v>
      </c>
    </row>
    <row r="129" ht="15" customHeight="1" s="1">
      <c r="D129" s="38" t="inlineStr">
        <is>
          <t>Ours</t>
        </is>
      </c>
      <c r="E129" s="40" t="n"/>
      <c r="F129" s="91" t="n">
        <v>1.99976848333333</v>
      </c>
      <c r="G129" s="91" t="n">
        <v>2.31089056666667</v>
      </c>
      <c r="H129" s="91" t="n">
        <v>2.61255283333333</v>
      </c>
      <c r="I129" s="91" t="n">
        <v>2.7890055</v>
      </c>
      <c r="J129" s="91" t="n">
        <v>3.26370998333333</v>
      </c>
      <c r="K129" s="91" t="n">
        <v>3.81614001666667</v>
      </c>
    </row>
    <row r="130" ht="36" customHeight="1" s="1">
      <c r="D130" s="54" t="inlineStr">
        <is>
          <t>V3DB†预测
Recall@k≥95.5%</t>
        </is>
      </c>
      <c r="E130" s="40" t="n"/>
      <c r="F130" s="124" t="n">
        <v>1142832.17282524</v>
      </c>
      <c r="G130" s="124" t="n">
        <v>4955236.4930942</v>
      </c>
      <c r="H130" s="124" t="n">
        <v>2361625.51630998</v>
      </c>
      <c r="I130" s="124" t="n">
        <v>2386267.13555572</v>
      </c>
      <c r="J130" s="124" t="n">
        <v>4853823.73756281</v>
      </c>
      <c r="K130" s="124" t="n">
        <v>4938158.40968358</v>
      </c>
    </row>
    <row r="131">
      <c r="D131" s="53" t="inlineStr">
        <is>
          <t>Chen13-MR †含预测</t>
        </is>
      </c>
      <c r="E131" s="40" t="n"/>
      <c r="F131" s="96" t="n">
        <v>442</v>
      </c>
      <c r="G131" s="96" t="n">
        <v>442.164183605349</v>
      </c>
      <c r="H131" s="96" t="n">
        <v>442.164183605349</v>
      </c>
      <c r="I131" s="96" t="n">
        <v>442.164183605349</v>
      </c>
      <c r="J131" s="96" t="n">
        <v>442.164183605349</v>
      </c>
      <c r="K131" s="96" t="n">
        <v>442.164183605349</v>
      </c>
      <c r="L131" s="36" t="n"/>
      <c r="M131" s="36" t="n"/>
      <c r="N131" s="36" t="n"/>
      <c r="O131" s="36" t="n"/>
      <c r="P131" s="36" t="n"/>
      <c r="Q131" s="36" t="n"/>
      <c r="R131" s="36" t="n"/>
      <c r="S131" s="36" t="n"/>
      <c r="T131" s="36" t="n"/>
      <c r="U131" s="36" t="n"/>
      <c r="V131" s="36" t="n"/>
      <c r="W131" s="36" t="n"/>
      <c r="X131" s="36" t="n"/>
      <c r="Y131" s="36" t="n"/>
      <c r="Z131" s="36" t="n"/>
    </row>
    <row r="133" customFormat="1" s="12"/>
    <row r="138">
      <c r="D138" s="57" t="inlineStr">
        <is>
          <t>Ablation Study 
（Ours: (i)progressive quantization, 
(ii) verification-decoupled traversal, 
(iii) expansion-centric authentication.）</t>
        </is>
      </c>
      <c r="E138" s="58" t="n"/>
      <c r="F138" s="58" t="n"/>
      <c r="G138" s="58" t="n"/>
      <c r="H138" s="58" t="n"/>
      <c r="I138" s="59" t="n"/>
    </row>
    <row r="139">
      <c r="D139" s="60" t="n"/>
      <c r="I139" s="61" t="n"/>
    </row>
    <row r="140">
      <c r="D140" s="60" t="n"/>
      <c r="I140" s="61" t="n"/>
    </row>
    <row r="141">
      <c r="D141" s="62" t="n"/>
      <c r="E141" s="63" t="n"/>
      <c r="F141" s="63" t="n"/>
      <c r="G141" s="63" t="n"/>
      <c r="H141" s="63" t="n"/>
      <c r="I141" s="64" t="n"/>
    </row>
    <row r="142">
      <c r="D142" s="65" t="n"/>
      <c r="E142" s="64" t="n"/>
      <c r="F142" s="66" t="inlineStr">
        <is>
          <t>Recall@10</t>
        </is>
      </c>
      <c r="G142" s="67" t="inlineStr">
        <is>
          <t>Query Time (ms)</t>
        </is>
      </c>
      <c r="H142" s="67" t="inlineStr">
        <is>
          <t>VO Size (KB)</t>
        </is>
      </c>
      <c r="I142" s="68" t="inlineStr">
        <is>
          <t>Verify Time (ms)</t>
        </is>
      </c>
    </row>
    <row r="143">
      <c r="D143" s="69" t="inlineStr">
        <is>
          <t>Merkle+IVF</t>
        </is>
      </c>
      <c r="E143" s="70" t="n"/>
      <c r="F143" s="100" t="n">
        <v>0.95</v>
      </c>
      <c r="G143" s="101" t="n">
        <v>102.840371466667</v>
      </c>
      <c r="H143" s="101" t="n">
        <v>19218.4102</v>
      </c>
      <c r="I143" s="101" t="n">
        <v>260.5181445</v>
      </c>
    </row>
    <row r="144">
      <c r="D144" s="69" t="inlineStr">
        <is>
          <t>Merkle+HNSW</t>
        </is>
      </c>
      <c r="E144" s="70" t="n"/>
      <c r="F144" s="100" t="n">
        <v>0.95</v>
      </c>
      <c r="G144" s="101" t="n">
        <v>4.33327673333333</v>
      </c>
      <c r="H144" s="101" t="n">
        <v>770.5214</v>
      </c>
      <c r="I144" s="101" t="n">
        <v>8.361651566666669</v>
      </c>
    </row>
    <row r="145">
      <c r="D145" s="69" t="inlineStr">
        <is>
          <t>Merkle+IVF+(i)</t>
        </is>
      </c>
      <c r="E145" s="70" t="n"/>
      <c r="F145" s="100" t="n">
        <v>0.95</v>
      </c>
      <c r="G145" s="101" t="n">
        <v>51.4350250833333</v>
      </c>
      <c r="H145" s="101" t="n">
        <v>8058.431</v>
      </c>
      <c r="I145" s="101" t="n">
        <v>259.728219916667</v>
      </c>
    </row>
    <row r="146">
      <c r="D146" s="69" t="inlineStr">
        <is>
          <t>Merkle+HNSW+(i)</t>
        </is>
      </c>
      <c r="E146" s="70" t="n"/>
      <c r="F146" s="100" t="n">
        <v>0.95</v>
      </c>
      <c r="G146" s="101" t="n">
        <v>5.13621088333333</v>
      </c>
      <c r="H146" s="101" t="n">
        <v>800.6786</v>
      </c>
      <c r="I146" s="101" t="n">
        <v>15.9281313833333</v>
      </c>
    </row>
    <row r="147">
      <c r="D147" s="69" t="inlineStr">
        <is>
          <t>(i)+(ii)</t>
        </is>
      </c>
      <c r="E147" s="70" t="n"/>
      <c r="F147" s="100" t="n">
        <v>0.95</v>
      </c>
      <c r="G147" s="101" t="n">
        <v>4.15979063333333</v>
      </c>
      <c r="H147" s="101" t="n">
        <v>531.2744</v>
      </c>
      <c r="I147" s="101" t="n">
        <v>11.5731683166667</v>
      </c>
    </row>
    <row r="148">
      <c r="D148" s="69" t="inlineStr">
        <is>
          <t>(i)+(ii)+(iii)</t>
        </is>
      </c>
      <c r="E148" s="70" t="n"/>
      <c r="F148" s="100" t="n">
        <v>0.95</v>
      </c>
      <c r="G148" s="101" t="n">
        <v>2.29042563333333</v>
      </c>
      <c r="H148" s="101" t="n">
        <v>234.5104</v>
      </c>
      <c r="I148" s="101" t="n">
        <v>5.3532408</v>
      </c>
    </row>
    <row r="149" ht="36" customHeight="1" s="1">
      <c r="D149" s="69" t="inlineStr">
        <is>
          <t>V3DB baseline（单次）</t>
        </is>
      </c>
      <c r="E149" s="70" t="n"/>
      <c r="F149" s="102" t="n">
        <v>0.78</v>
      </c>
      <c r="G149" s="91" t="n">
        <v>493189.722806004</v>
      </c>
      <c r="H149" s="91" t="n">
        <v>265.512</v>
      </c>
      <c r="I149" s="91" t="n">
        <v>55.9675380063709</v>
      </c>
    </row>
    <row r="150">
      <c r="D150" s="69" t="inlineStr">
        <is>
          <t>Chen13-MR（外部参考）</t>
        </is>
      </c>
      <c r="E150" s="70" t="n"/>
      <c r="F150" s="103" t="n">
        <v>1</v>
      </c>
      <c r="G150" s="92" t="n">
        <v>423.303868183333</v>
      </c>
      <c r="H150" s="92" t="n">
        <v>373923.6996</v>
      </c>
      <c r="I150" s="92" t="n">
        <v>398.21774055</v>
      </c>
    </row>
    <row r="154" ht="28" customHeight="1" s="1">
      <c r="D154" s="104" t="inlineStr">
        <is>
          <t>Impact of quantization configurations（固定 SQ4 top-1 graph traversal）</t>
        </is>
      </c>
    </row>
    <row r="155" ht="30" customHeight="1" s="1">
      <c r="D155" s="14" t="inlineStr">
        <is>
          <t>实测；N=1,000,000, k=10, M=16, efConstruction=200, E=64。20条固定查询（100–119）×3次重复，单线程；只改变 refinement。Q=遍历+候选精确排序+真实VO生成；V=解码+认证+重放+渐进检查；KB=1000 bytes。Recall用于核对四种配置答案一致；结果与其他表可能因查询样本量/本次运行环境不同而有差异。</t>
        </is>
      </c>
    </row>
    <row r="156" ht="24" customHeight="1" s="1"/>
    <row r="157" ht="30" customHeight="1" s="1">
      <c r="D157" s="105" t="inlineStr">
        <is>
          <t>Configuration</t>
        </is>
      </c>
      <c r="E157" s="105" t="inlineStr">
        <is>
          <t>Recall@10</t>
        </is>
      </c>
      <c r="F157" s="105" t="inlineStr">
        <is>
          <t>Q (ms)</t>
        </is>
      </c>
      <c r="G157" s="105" t="inlineStr">
        <is>
          <t>VO (KB)</t>
        </is>
      </c>
      <c r="H157" s="105" t="inlineStr">
        <is>
          <t>V (ms)</t>
        </is>
      </c>
      <c r="I157" s="105" t="inlineStr">
        <is>
          <t>Search (ms)</t>
        </is>
      </c>
      <c r="J157" s="105" t="inlineStr">
        <is>
          <t>VO gen (ms)</t>
        </is>
      </c>
      <c r="K157" s="105" t="inlineStr">
        <is>
          <t>Samples</t>
        </is>
      </c>
    </row>
    <row r="158" ht="32" customHeight="1" s="1">
      <c r="D158" s="106" t="inlineStr">
        <is>
          <t>SQ4--raw</t>
        </is>
      </c>
      <c r="E158" s="107" t="n">
        <v>0.975</v>
      </c>
      <c r="F158" s="108" t="n">
        <v>2.909878133333334</v>
      </c>
      <c r="G158" s="108" t="n">
        <v>447.0394</v>
      </c>
      <c r="H158" s="108" t="n">
        <v>7.136876533333334</v>
      </c>
      <c r="I158" s="108" t="n">
        <v>0.9192197333333334</v>
      </c>
      <c r="J158" s="108" t="n">
        <v>1.9906584</v>
      </c>
      <c r="K158" s="109" t="n">
        <v>60</v>
      </c>
    </row>
    <row r="159" ht="32" customHeight="1" s="1">
      <c r="D159" s="110" t="inlineStr">
        <is>
          <t>SQ4--SQ6--raw</t>
        </is>
      </c>
      <c r="E159" s="111" t="n">
        <v>0.975</v>
      </c>
      <c r="F159" s="112" t="n">
        <v>2.260818366666667</v>
      </c>
      <c r="G159" s="112" t="n">
        <v>271.0874</v>
      </c>
      <c r="H159" s="112" t="n">
        <v>6.030424733333334</v>
      </c>
      <c r="I159" s="112" t="n">
        <v>0.8960119666666666</v>
      </c>
      <c r="J159" s="112" t="n">
        <v>1.3648064</v>
      </c>
      <c r="K159" s="113" t="n">
        <v>60</v>
      </c>
    </row>
    <row r="160" ht="32" customHeight="1" s="1">
      <c r="D160" s="106" t="inlineStr">
        <is>
          <t>SQ4--SQ8--raw</t>
        </is>
      </c>
      <c r="E160" s="107" t="n">
        <v>0.975</v>
      </c>
      <c r="F160" s="108" t="n">
        <v>2.2997155</v>
      </c>
      <c r="G160" s="108" t="n">
        <v>259.3878</v>
      </c>
      <c r="H160" s="108" t="n">
        <v>5.728866866666666</v>
      </c>
      <c r="I160" s="108" t="n">
        <v>0.9332348333333333</v>
      </c>
      <c r="J160" s="108" t="n">
        <v>1.366480666666667</v>
      </c>
      <c r="K160" s="109" t="n">
        <v>60</v>
      </c>
    </row>
    <row r="161" ht="32" customHeight="1" s="1">
      <c r="D161" s="106" t="inlineStr">
        <is>
          <t>SQ4--SQ6--SQ8--raw</t>
        </is>
      </c>
      <c r="E161" s="107" t="n">
        <v>0.975</v>
      </c>
      <c r="F161" s="108" t="n">
        <v>2.37030915</v>
      </c>
      <c r="G161" s="108" t="n">
        <v>264.3934</v>
      </c>
      <c r="H161" s="108" t="n">
        <v>6.199528266666666</v>
      </c>
      <c r="I161" s="108" t="n">
        <v>0.9400588</v>
      </c>
      <c r="J161" s="108" t="n">
        <v>1.43025035</v>
      </c>
      <c r="K161" s="109" t="n">
        <v>60</v>
      </c>
    </row>
    <row r="165">
      <c r="D165" s="104" t="inlineStr">
        <is>
          <t>VO breakdown（k=10，KB=1000 bytes）</t>
        </is>
      </c>
    </row>
    <row r="166" ht="25" customHeight="1" s="1">
      <c r="D166" s="14" t="inlineStr">
        <is>
          <t>N=1,000,000, d=96；20查询×3重复；T+A=完整VO。T包含向量/ID/邻接表/MBB剪枝证据及一般控制字段；A包含query绑定哈希、独立认证证明及其编码（VLAH包含完整认证路由证明）。Result-only为10条原始向量及ID，无认证或协议头。ANNProof*的T/A按历史要求各×2，属于派生展示值，原始实测拆分保存在右侧；其他方法不乘系数。IVF-ADS/HNSW-ADS分别为原Merkle+IVF/Merkle+HNSW消融，使用各自约95%召回配置；MR-tree是100%精确检索。</t>
        </is>
      </c>
    </row>
    <row r="167" ht="25" customHeight="1" s="1"/>
    <row r="168" ht="25" customHeight="1" s="1"/>
    <row r="169">
      <c r="D169" s="129" t="inlineStr">
        <is>
          <t>Method</t>
        </is>
      </c>
      <c r="E169" s="129" t="inlineStr">
        <is>
          <t>Recall@10</t>
        </is>
      </c>
      <c r="F169" s="129" t="inlineStr">
        <is>
          <t>T (KB)</t>
        </is>
      </c>
      <c r="G169" s="129" t="inlineStr">
        <is>
          <t>A (KB)</t>
        </is>
      </c>
      <c r="H169" s="129" t="inlineStr">
        <is>
          <t>Total (KB)</t>
        </is>
      </c>
      <c r="I169" s="129" t="inlineStr">
        <is>
          <t>Raw T (KB)</t>
        </is>
      </c>
      <c r="J169" s="129" t="inlineStr">
        <is>
          <t>Raw A (KB)</t>
        </is>
      </c>
      <c r="K169" s="129" t="inlineStr">
        <is>
          <t>VO factor</t>
        </is>
      </c>
    </row>
    <row r="170">
      <c r="D170" s="0" t="inlineStr">
        <is>
          <t>Result-only</t>
        </is>
      </c>
      <c r="F170" s="134" t="n">
        <v>3.88</v>
      </c>
      <c r="H170" s="134" t="n">
        <v>3.88</v>
      </c>
    </row>
    <row r="171" ht="26" customHeight="1" s="1">
      <c r="D171" s="130" t="inlineStr">
        <is>
          <t>MR-tree</t>
        </is>
      </c>
      <c r="E171" s="131" t="n">
        <v>1</v>
      </c>
      <c r="F171" s="135" t="n">
        <v>373908.4068</v>
      </c>
      <c r="G171" s="136" t="n">
        <v>15.2928</v>
      </c>
      <c r="H171" s="135" t="n">
        <v>373923.6996000001</v>
      </c>
      <c r="I171" s="135" t="n">
        <v>373908.4068</v>
      </c>
      <c r="J171" s="136" t="n">
        <v>15.2928</v>
      </c>
      <c r="K171" s="133" t="n">
        <v>1</v>
      </c>
    </row>
    <row r="172" ht="26" customHeight="1" s="1">
      <c r="D172" s="130" t="inlineStr">
        <is>
          <t>ANNProof*</t>
        </is>
      </c>
      <c r="E172" s="131" t="n">
        <v>0.975</v>
      </c>
      <c r="F172" s="135" t="n">
        <v>1367.0556</v>
      </c>
      <c r="G172" s="136" t="n">
        <v>942.532</v>
      </c>
      <c r="H172" s="135" t="n">
        <v>2309.5876</v>
      </c>
      <c r="I172" s="136" t="n">
        <v>683.5278000000001</v>
      </c>
      <c r="J172" s="136" t="n">
        <v>471.266</v>
      </c>
      <c r="K172" s="133" t="n">
        <v>2</v>
      </c>
    </row>
    <row r="173" ht="26" customHeight="1" s="1">
      <c r="D173" s="130" t="inlineStr">
        <is>
          <t>VLAH</t>
        </is>
      </c>
      <c r="E173" s="131" t="n">
        <v>0.95</v>
      </c>
      <c r="F173" s="135" t="n">
        <v>32253.232</v>
      </c>
      <c r="G173" s="135" t="n">
        <v>6068.93955</v>
      </c>
      <c r="H173" s="135" t="n">
        <v>38322.17155</v>
      </c>
      <c r="I173" s="135" t="n">
        <v>32253.232</v>
      </c>
      <c r="J173" s="135" t="n">
        <v>6068.93955</v>
      </c>
      <c r="K173" s="133" t="n">
        <v>1</v>
      </c>
    </row>
    <row r="174" ht="26" customHeight="1" s="1">
      <c r="D174" s="130" t="inlineStr">
        <is>
          <t>IVF-ADS</t>
        </is>
      </c>
      <c r="E174" s="131" t="n">
        <v>0.95</v>
      </c>
      <c r="F174" s="135" t="n">
        <v>14592.143</v>
      </c>
      <c r="G174" s="135" t="n">
        <v>4626.2672</v>
      </c>
      <c r="H174" s="135" t="n">
        <v>19218.4102</v>
      </c>
      <c r="I174" s="135" t="n">
        <v>14592.143</v>
      </c>
      <c r="J174" s="135" t="n">
        <v>4626.2672</v>
      </c>
      <c r="K174" s="133" t="n">
        <v>1</v>
      </c>
    </row>
    <row r="175" ht="26" customHeight="1" s="1">
      <c r="D175" s="130" t="inlineStr">
        <is>
          <t>HNSW-ADS</t>
        </is>
      </c>
      <c r="E175" s="131" t="n">
        <v>0.95</v>
      </c>
      <c r="F175" s="136" t="n">
        <v>563.7622</v>
      </c>
      <c r="G175" s="136" t="n">
        <v>206.7592</v>
      </c>
      <c r="H175" s="136" t="n">
        <v>770.5214</v>
      </c>
      <c r="I175" s="136" t="n">
        <v>563.7622</v>
      </c>
      <c r="J175" s="136" t="n">
        <v>206.7592</v>
      </c>
      <c r="K175" s="133" t="n">
        <v>1</v>
      </c>
    </row>
    <row r="176">
      <c r="D176" s="137" t="inlineStr">
        <is>
          <t>QVANN (Ours)</t>
        </is>
      </c>
      <c r="E176" s="138" t="n">
        <v>0.975</v>
      </c>
      <c r="F176" s="139" t="n">
        <v>113.2178</v>
      </c>
      <c r="G176" s="139" t="n">
        <v>157.8696</v>
      </c>
      <c r="H176" s="139" t="n">
        <v>271.0874</v>
      </c>
      <c r="I176" s="139" t="n">
        <v>113.2178</v>
      </c>
      <c r="J176" s="139" t="n">
        <v>157.8696</v>
      </c>
      <c r="K176" s="140" t="n">
        <v>1</v>
      </c>
    </row>
  </sheetData>
  <mergeCells count="86">
    <mergeCell ref="E123:K124"/>
    <mergeCell ref="D21:D22"/>
    <mergeCell ref="D84:E84"/>
    <mergeCell ref="D149:E149"/>
    <mergeCell ref="E32:O33"/>
    <mergeCell ref="D108:E108"/>
    <mergeCell ref="D20:P20"/>
    <mergeCell ref="D70:E70"/>
    <mergeCell ref="D154:K154"/>
    <mergeCell ref="D150:E150"/>
    <mergeCell ref="E18:O19"/>
    <mergeCell ref="D72:E72"/>
    <mergeCell ref="D71:E71"/>
    <mergeCell ref="D127:E127"/>
    <mergeCell ref="D155:K156"/>
    <mergeCell ref="F170:G170"/>
    <mergeCell ref="D66:J66"/>
    <mergeCell ref="D148:E148"/>
    <mergeCell ref="D49:D50"/>
    <mergeCell ref="D115:E115"/>
    <mergeCell ref="D27:D28"/>
    <mergeCell ref="D90:E90"/>
    <mergeCell ref="D131:E131"/>
    <mergeCell ref="D89:J89"/>
    <mergeCell ref="E87:K88"/>
    <mergeCell ref="D34:P34"/>
    <mergeCell ref="D126:E126"/>
    <mergeCell ref="D53:D54"/>
    <mergeCell ref="E76:K77"/>
    <mergeCell ref="D166:K168"/>
    <mergeCell ref="D103:E103"/>
    <mergeCell ref="D25:D26"/>
    <mergeCell ref="D37:D38"/>
    <mergeCell ref="D55:D56"/>
    <mergeCell ref="D118:E118"/>
    <mergeCell ref="D39:D40"/>
    <mergeCell ref="E100:K101"/>
    <mergeCell ref="D142:E142"/>
    <mergeCell ref="D48:P48"/>
    <mergeCell ref="D23:D24"/>
    <mergeCell ref="D129:E129"/>
    <mergeCell ref="D79:E79"/>
    <mergeCell ref="D144:E144"/>
    <mergeCell ref="D128:E128"/>
    <mergeCell ref="D81:E81"/>
    <mergeCell ref="E64:K65"/>
    <mergeCell ref="D105:E105"/>
    <mergeCell ref="D57:D58"/>
    <mergeCell ref="D120:E120"/>
    <mergeCell ref="D41:D42"/>
    <mergeCell ref="D107:E107"/>
    <mergeCell ref="D116:E116"/>
    <mergeCell ref="D91:E91"/>
    <mergeCell ref="D7:H7"/>
    <mergeCell ref="D43:D44"/>
    <mergeCell ref="D106:E106"/>
    <mergeCell ref="D125:K125"/>
    <mergeCell ref="D146:E146"/>
    <mergeCell ref="D93:E93"/>
    <mergeCell ref="D29:D30"/>
    <mergeCell ref="D83:E83"/>
    <mergeCell ref="D143:E143"/>
    <mergeCell ref="D117:E117"/>
    <mergeCell ref="D92:E92"/>
    <mergeCell ref="D114:K114"/>
    <mergeCell ref="D67:E67"/>
    <mergeCell ref="D94:E94"/>
    <mergeCell ref="D69:E69"/>
    <mergeCell ref="E5:K6"/>
    <mergeCell ref="D119:E119"/>
    <mergeCell ref="E46:O47"/>
    <mergeCell ref="D80:E80"/>
    <mergeCell ref="D95:E95"/>
    <mergeCell ref="D138:I141"/>
    <mergeCell ref="D104:E104"/>
    <mergeCell ref="D145:E145"/>
    <mergeCell ref="D147:E147"/>
    <mergeCell ref="D102:K102"/>
    <mergeCell ref="D165:K165"/>
    <mergeCell ref="D130:E130"/>
    <mergeCell ref="D68:E68"/>
    <mergeCell ref="D82:E82"/>
    <mergeCell ref="D51:D52"/>
    <mergeCell ref="E112:K113"/>
    <mergeCell ref="D78:J78"/>
    <mergeCell ref="D35:D36"/>
  </mergeCells>
  <hyperlinks>
    <hyperlink xmlns:r="http://schemas.openxmlformats.org/officeDocument/2006/relationships" ref="E8" display="Recall@10" r:id="rId1"/>
    <hyperlink xmlns:r="http://schemas.openxmlformats.org/officeDocument/2006/relationships" ref="F128" tooltip="mailto:Recall@10" display="5.49061998" r:id="rId2"/>
  </hyperlinks>
  <pageMargins left="0.75" right="0.75" top="1" bottom="1" header="0.5" footer="0.5"/>
  <pageSetup orientation="portrait" paperSize="9"/>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activeCell="A1" sqref="A1"/>
      <selection pane="bottomLeft" activeCell="A1" sqref="A1"/>
    </sheetView>
  </sheetViews>
  <sheetFormatPr baseColWidth="8" defaultColWidth="9" defaultRowHeight="13.5"/>
  <cols>
    <col width="23" customWidth="1" style="1" min="1" max="2"/>
  </cols>
  <sheetData>
    <row r="1">
      <c r="A1" s="5" t="inlineStr">
        <is>
          <t>项目</t>
        </is>
      </c>
      <c r="B1" s="5" t="inlineStr">
        <is>
          <t>说明</t>
        </is>
      </c>
    </row>
    <row r="2" ht="54" customHeight="1" s="1">
      <c r="A2" s="3" t="inlineStr">
        <is>
          <t>用户选择</t>
        </is>
      </c>
      <c r="B2" s="3" t="inlineStr">
        <is>
          <t>每个K分别调参，使实际搜索校准Recall@k尽量达到至少95.5%，不是固定n_probe=16。</t>
        </is>
      </c>
    </row>
    <row r="3" ht="81" customHeight="1" s="1">
      <c r="A3" s="3" t="inlineStr">
        <is>
          <t>数据与量化</t>
        </is>
      </c>
      <c r="B3" s="3" t="inlineStr">
        <is>
          <t>DEEP1M，N=1000000，D=96，n_list=1024，capacity=2048，PQ M=96、K=1024。只调整n_probe，不重新训练量化器。</t>
        </is>
      </c>
    </row>
    <row r="4" ht="94.5" customHeight="1" s="1">
      <c r="A4" s="3" t="inlineStr">
        <is>
          <t>校准</t>
        </is>
      </c>
      <c r="B4" s="3" t="inlineStr">
        <is>
          <t>同20条query100..119，以原始向量精确L2 top-k为真值；整数PQ距离排序，无原向量精排。密扫n_probe1..64。调参与报告为相同查询集，不声明独立留出性能。</t>
        </is>
      </c>
    </row>
    <row r="5" ht="81" customHeight="1" s="1">
      <c r="A5" s="3" t="inlineStr">
        <is>
          <t>离散召回</t>
        </is>
      </c>
      <c r="B5" s="3" t="inlineStr">
        <is>
          <t>k=1的20条查询只能每次增加5个百分点；k=5为1个百分点。因此≥95.5%的实际校准分别为100%、96%，其余四点95.5%。不能把所有实际召回强改95.5%。</t>
        </is>
      </c>
    </row>
    <row r="6" ht="67.5" customHeight="1" s="1">
      <c r="A6" s="3" t="inlineStr">
        <is>
          <t>非单调</t>
        </is>
      </c>
      <c r="B6" s="3" t="inlineStr">
        <is>
          <t>K=5需probe34，K=10只需16，因为两个Recall@k定义不同。达到阈值所需探测预算并不必然随k增长，性能不应强制单调。</t>
        </is>
      </c>
    </row>
    <row r="7" ht="67.5" customHeight="1" s="1">
      <c r="A7" s="3" t="inlineStr">
        <is>
          <t>模型</t>
        </is>
      </c>
      <c r="B7" s="3" t="inlineStr">
        <is>
          <t>原512GiB模型：预构建门数回归、nextpow2域、B logB证明/编译、关系规模log规模见证成本；公开输入与VO按实际k计数。</t>
        </is>
      </c>
    </row>
    <row r="8" ht="121.5" customHeight="1" s="1">
      <c r="A8" s="3" t="inlineStr">
        <is>
          <t>k的影响</t>
        </is>
      </c>
      <c r="B8" s="3" t="inlineStr">
        <is>
          <t>作者set_based.rs中top_k用于注册公开输出，候选排序与评分仍覆盖同一批全部候选；预构建静态门数沿用k10结构模型。最终构建/公共输入哈希的不确定性由原10%规划余量覆盖，非逐k完整出证验证。</t>
        </is>
      </c>
    </row>
    <row r="9" ht="81" customHeight="1" s="1">
      <c r="A9" s="3" t="inlineStr">
        <is>
          <t>资源</t>
        </is>
      </c>
      <c r="B9" s="3" t="inlineStr">
        <is>
          <t>按512GiB单线程条件预测，内存=1.5×大档RSS/行p95×带10%门数余量的二次幂域+32GiB。规划余量不是数学保证，超过512GiB则主表留空。</t>
        </is>
      </c>
    </row>
    <row r="10" ht="81" customHeight="1" s="1">
      <c r="A10" s="3" t="inlineStr">
        <is>
          <t>标记</t>
        </is>
      </c>
      <c r="B10" s="3" t="inlineStr">
        <is>
          <t>只修改DEEP主表V3DB的18个K曲线性能格、3个方法标签与顶部说明；其他方法、默认表、Recall与规模曲线保持原值。主表†预测不能表述为实测。</t>
        </is>
      </c>
    </row>
    <row r="11" ht="40.5" customHeight="1" s="1">
      <c r="A11" s="3" t="inlineStr">
        <is>
          <t>系数</t>
        </is>
      </c>
      <c r="B11" s="3" t="inlineStr">
        <is>
          <t>ANNProof的1.2/2/1.5系数不适用于V3DB；本次不乘该系数。</t>
        </is>
      </c>
    </row>
    <row r="12" ht="121.5" customHeight="1" s="1">
      <c r="A12" s="3" t="inlineStr">
        <is>
          <t>备份</t>
        </is>
      </c>
      <c r="B12" s="3" t="inlineStr">
        <is>
          <t>/mnt/d/paper_source/work_9/VeriANN_repro_2026-09-30/VeriANN_repro_2026-09-30/experiments/work9-deep-v3db-k955-20261022/work9_before_deep_v3db_k955.xlsx</t>
        </is>
      </c>
    </row>
    <row r="13" ht="108" customHeight="1" s="1">
      <c r="A13" s="3" t="inlineStr">
        <is>
          <t>校准与拟合来源</t>
        </is>
      </c>
      <c r="B13" s="3" t="inlineStr">
        <is>
          <t>/mnt/d/paper_source/work_9/VeriANN_repro_2026-09-30/VeriANN_repro_2026-09-30/experiments/work9-deep-v3db-k955-20261022</t>
        </is>
      </c>
    </row>
    <row r="14" ht="40.5" customHeight="1" s="1">
      <c r="A14" s="3" t="inlineStr">
        <is>
          <t>历史来源</t>
        </is>
      </c>
      <c r="B14" s="3" t="inlineStr">
        <is>
          <t>旧页保留为历史；本次18格以本页、预测明细与单元格批注为准。</t>
        </is>
      </c>
    </row>
  </sheetData>
  <autoFilter ref="A1:B1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7"/>
  <sheetViews>
    <sheetView workbookViewId="0">
      <pane ySplit="1" topLeftCell="A2" activePane="bottomLeft" state="frozen"/>
      <selection activeCell="A1" sqref="A1"/>
      <selection pane="bottomLeft" activeCell="A1" sqref="A1"/>
    </sheetView>
  </sheetViews>
  <sheetFormatPr baseColWidth="8" defaultColWidth="9" defaultRowHeight="13.5" outlineLevelRow="6"/>
  <cols>
    <col width="23" customWidth="1" style="1" min="1" max="16"/>
    <col width="70" customWidth="1" style="1" min="17" max="19"/>
  </cols>
  <sheetData>
    <row r="1">
      <c r="A1" s="5" t="inlineStr">
        <is>
          <t>k</t>
        </is>
      </c>
      <c r="B1" s="5" t="inlineStr">
        <is>
          <t>目标Recall@k</t>
        </is>
      </c>
      <c r="C1" s="5" t="inlineStr">
        <is>
          <t>实测搜索校准Recall@k</t>
        </is>
      </c>
      <c r="D1" s="5" t="inlineStr">
        <is>
          <t>n_probe</t>
        </is>
      </c>
      <c r="E1" s="5" t="inlineStr">
        <is>
          <t>PQ M</t>
        </is>
      </c>
      <c r="F1" s="5" t="inlineStr">
        <is>
          <t>PQ K码字数</t>
        </is>
      </c>
      <c r="G1" s="5" t="inlineStr">
        <is>
          <t>静态门数估计</t>
        </is>
      </c>
      <c r="H1" s="5" t="inlineStr">
        <is>
          <t>证明域bits</t>
        </is>
      </c>
      <c r="I1" s="5" t="inlineStr">
        <is>
          <t>内存规划GiB</t>
        </is>
      </c>
      <c r="J1" s="5" t="inlineStr">
        <is>
          <t>预测query ms</t>
        </is>
      </c>
      <c r="K1" s="5" t="inlineStr">
        <is>
          <t>预测VO KB</t>
        </is>
      </c>
      <c r="L1" s="5" t="inlineStr">
        <is>
          <t>预测verify ms</t>
        </is>
      </c>
      <c r="M1" s="5" t="inlineStr">
        <is>
          <t>query下界ms</t>
        </is>
      </c>
      <c r="N1" s="5" t="inlineStr">
        <is>
          <t>query上界ms</t>
        </is>
      </c>
      <c r="O1" s="5" t="inlineStr">
        <is>
          <t>verify下界ms</t>
        </is>
      </c>
      <c r="P1" s="5" t="inlineStr">
        <is>
          <t>verify上界ms</t>
        </is>
      </c>
      <c r="Q1" s="5" t="inlineStr">
        <is>
          <t>VO下界KB</t>
        </is>
      </c>
      <c r="R1" s="5" t="inlineStr">
        <is>
          <t>VO上界KB</t>
        </is>
      </c>
      <c r="S1" s="5" t="inlineStr">
        <is>
          <t>性质</t>
        </is>
      </c>
    </row>
    <row r="2">
      <c r="A2" s="3" t="n">
        <v>1</v>
      </c>
      <c r="B2" s="125" t="n">
        <v>0.955</v>
      </c>
      <c r="C2" s="125" t="n">
        <v>1</v>
      </c>
      <c r="D2" s="3" t="n">
        <v>10</v>
      </c>
      <c r="E2" s="3" t="n">
        <v>96</v>
      </c>
      <c r="F2" s="3" t="n">
        <v>1024</v>
      </c>
      <c r="G2" s="3" t="n">
        <v>2033291</v>
      </c>
      <c r="H2" s="3" t="n">
        <v>21</v>
      </c>
      <c r="I2" s="3" t="n">
        <v>232.204512023926</v>
      </c>
      <c r="J2" s="3" t="n">
        <v>1142832.17282524</v>
      </c>
      <c r="K2" s="3" t="n">
        <v>376.568</v>
      </c>
      <c r="L2" s="3" t="n">
        <v>28.448117206834</v>
      </c>
      <c r="M2" s="3" t="n">
        <v>571416.08641262</v>
      </c>
      <c r="N2" s="3" t="n">
        <v>2285664.34565048</v>
      </c>
      <c r="O2" s="3" t="n">
        <v>14.224058603417</v>
      </c>
      <c r="P2" s="3" t="n">
        <v>56.896234413668</v>
      </c>
      <c r="Q2" s="3" t="n">
        <v>320.0828</v>
      </c>
      <c r="R2" s="3" t="n">
        <v>433.0532</v>
      </c>
      <c r="S2" s="3" t="inlineStr">
        <is>
          <t>性能为条件预测；召回为20查询搜索校准</t>
        </is>
      </c>
    </row>
    <row r="3">
      <c r="A3" s="3" t="n">
        <v>5</v>
      </c>
      <c r="B3" s="125" t="n">
        <v>0.955</v>
      </c>
      <c r="C3" s="125" t="n">
        <v>0.96</v>
      </c>
      <c r="D3" s="3" t="n">
        <v>34</v>
      </c>
      <c r="E3" s="3" t="n">
        <v>96</v>
      </c>
      <c r="F3" s="3" t="n">
        <v>1024</v>
      </c>
      <c r="G3" s="3" t="n">
        <v>6810716</v>
      </c>
      <c r="H3" s="3" t="n">
        <v>23</v>
      </c>
      <c r="I3" s="3" t="n">
        <v>432.409024047852</v>
      </c>
      <c r="J3" s="3" t="n">
        <v>4955236.4930942</v>
      </c>
      <c r="K3" s="3" t="n">
        <v>786.2380000000001</v>
      </c>
      <c r="L3" s="3" t="n">
        <v>39.7123438275546</v>
      </c>
      <c r="M3" s="3" t="n">
        <v>2477618.2465471</v>
      </c>
      <c r="N3" s="3" t="n">
        <v>9910472.986188401</v>
      </c>
      <c r="O3" s="3" t="n">
        <v>19.8561719137773</v>
      </c>
      <c r="P3" s="3" t="n">
        <v>79.4246876551092</v>
      </c>
      <c r="Q3" s="3" t="n">
        <v>668.3022999999999</v>
      </c>
      <c r="R3" s="3" t="n">
        <v>904.1737000000001</v>
      </c>
      <c r="S3" s="3" t="inlineStr">
        <is>
          <t>性能为条件预测；召回为20查询搜索校准</t>
        </is>
      </c>
    </row>
    <row r="4">
      <c r="A4" s="3" t="n">
        <v>10</v>
      </c>
      <c r="B4" s="125" t="n">
        <v>0.955</v>
      </c>
      <c r="C4" s="125" t="n">
        <v>0.955</v>
      </c>
      <c r="D4" s="3" t="n">
        <v>16</v>
      </c>
      <c r="E4" s="3" t="n">
        <v>96</v>
      </c>
      <c r="F4" s="3" t="n">
        <v>1024</v>
      </c>
      <c r="G4" s="3" t="n">
        <v>3227647</v>
      </c>
      <c r="H4" s="3" t="n">
        <v>22</v>
      </c>
      <c r="I4" s="3" t="n">
        <v>232.204512023926</v>
      </c>
      <c r="J4" s="3" t="n">
        <v>2361625.51630998</v>
      </c>
      <c r="K4" s="3" t="n">
        <v>483.155</v>
      </c>
      <c r="L4" s="3" t="n">
        <v>31.8402555180307</v>
      </c>
      <c r="M4" s="3" t="n">
        <v>1180812.75815499</v>
      </c>
      <c r="N4" s="3" t="n">
        <v>4723251.03261996</v>
      </c>
      <c r="O4" s="3" t="n">
        <v>15.9201277590153</v>
      </c>
      <c r="P4" s="3" t="n">
        <v>63.6805110360614</v>
      </c>
      <c r="Q4" s="3" t="n">
        <v>410.68175</v>
      </c>
      <c r="R4" s="3" t="n">
        <v>555.62825</v>
      </c>
      <c r="S4" s="3" t="inlineStr">
        <is>
          <t>性能为条件预测；召回为20查询搜索校准</t>
        </is>
      </c>
    </row>
    <row r="5">
      <c r="A5" s="3" t="n">
        <v>20</v>
      </c>
      <c r="B5" s="125" t="n">
        <v>0.955</v>
      </c>
      <c r="C5" s="125" t="n">
        <v>0.955</v>
      </c>
      <c r="D5" s="3" t="n">
        <v>19</v>
      </c>
      <c r="E5" s="3" t="n">
        <v>96</v>
      </c>
      <c r="F5" s="3" t="n">
        <v>1024</v>
      </c>
      <c r="G5" s="3" t="n">
        <v>3824825</v>
      </c>
      <c r="H5" s="3" t="n">
        <v>22</v>
      </c>
      <c r="I5" s="3" t="n">
        <v>432.409024047852</v>
      </c>
      <c r="J5" s="3" t="n">
        <v>2386267.13555572</v>
      </c>
      <c r="K5" s="3" t="n">
        <v>532.3869999999999</v>
      </c>
      <c r="L5" s="3" t="n">
        <v>32.9627053303304</v>
      </c>
      <c r="M5" s="3" t="n">
        <v>1193133.56777786</v>
      </c>
      <c r="N5" s="3" t="n">
        <v>4772534.27111143</v>
      </c>
      <c r="O5" s="3" t="n">
        <v>16.4813526651652</v>
      </c>
      <c r="P5" s="3" t="n">
        <v>65.9254106606608</v>
      </c>
      <c r="Q5" s="3" t="n">
        <v>452.52895</v>
      </c>
      <c r="R5" s="3" t="n">
        <v>612.24505</v>
      </c>
      <c r="S5" s="3" t="inlineStr">
        <is>
          <t>性能为条件预测；召回为20查询搜索校准</t>
        </is>
      </c>
    </row>
    <row r="6">
      <c r="A6" s="3" t="n">
        <v>50</v>
      </c>
      <c r="B6" s="125" t="n">
        <v>0.955</v>
      </c>
      <c r="C6" s="125" t="n">
        <v>0.955</v>
      </c>
      <c r="D6" s="3" t="n">
        <v>22</v>
      </c>
      <c r="E6" s="3" t="n">
        <v>96</v>
      </c>
      <c r="F6" s="3" t="n">
        <v>1024</v>
      </c>
      <c r="G6" s="3" t="n">
        <v>4422003</v>
      </c>
      <c r="H6" s="3" t="n">
        <v>23</v>
      </c>
      <c r="I6" s="3" t="n">
        <v>432.409024047852</v>
      </c>
      <c r="J6" s="3" t="n">
        <v>4853823.73756281</v>
      </c>
      <c r="K6" s="3" t="n">
        <v>589.99</v>
      </c>
      <c r="L6" s="3" t="n">
        <v>35.2380480288018</v>
      </c>
      <c r="M6" s="3" t="n">
        <v>2426911.86878141</v>
      </c>
      <c r="N6" s="3" t="n">
        <v>9707647.47512562</v>
      </c>
      <c r="O6" s="3" t="n">
        <v>17.6190240144009</v>
      </c>
      <c r="P6" s="3" t="n">
        <v>70.4760960576036</v>
      </c>
      <c r="Q6" s="3" t="n">
        <v>501.4915</v>
      </c>
      <c r="R6" s="3" t="n">
        <v>678.4885</v>
      </c>
      <c r="S6" s="3" t="inlineStr">
        <is>
          <t>性能为条件预测；召回为20查询搜索校准</t>
        </is>
      </c>
    </row>
    <row r="7">
      <c r="A7" s="3" t="n">
        <v>100</v>
      </c>
      <c r="B7" s="125" t="n">
        <v>0.955</v>
      </c>
      <c r="C7" s="125" t="n">
        <v>0.955</v>
      </c>
      <c r="D7" s="3" t="n">
        <v>32</v>
      </c>
      <c r="E7" s="3" t="n">
        <v>96</v>
      </c>
      <c r="F7" s="3" t="n">
        <v>1024</v>
      </c>
      <c r="G7" s="3" t="n">
        <v>6412597</v>
      </c>
      <c r="H7" s="3" t="n">
        <v>23</v>
      </c>
      <c r="I7" s="3" t="n">
        <v>432.409024047852</v>
      </c>
      <c r="J7" s="3" t="n">
        <v>4938158.40968358</v>
      </c>
      <c r="K7" s="3" t="n">
        <v>754.23</v>
      </c>
      <c r="L7" s="3" t="n">
        <v>38.9825872953786</v>
      </c>
      <c r="M7" s="3" t="n">
        <v>2469079.20484179</v>
      </c>
      <c r="N7" s="3" t="n">
        <v>9876316.81936717</v>
      </c>
      <c r="O7" s="3" t="n">
        <v>19.4912936476893</v>
      </c>
      <c r="P7" s="3" t="n">
        <v>77.9651745907571</v>
      </c>
      <c r="Q7" s="3" t="n">
        <v>641.0955</v>
      </c>
      <c r="R7" s="3" t="n">
        <v>867.3645</v>
      </c>
      <c r="S7" s="3" t="inlineStr">
        <is>
          <t>性能为条件预测；召回为20查询搜索校准</t>
        </is>
      </c>
    </row>
  </sheetData>
  <autoFilter ref="A1:S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9"/>
  <sheetViews>
    <sheetView workbookViewId="0">
      <pane ySplit="1" topLeftCell="A2" activePane="bottomLeft" state="frozen"/>
      <selection activeCell="A1" sqref="A1"/>
      <selection pane="bottomLeft" activeCell="A1" sqref="A1"/>
    </sheetView>
  </sheetViews>
  <sheetFormatPr baseColWidth="8" defaultColWidth="9" defaultRowHeight="13.5"/>
  <cols>
    <col width="23" customWidth="1" style="1" min="1" max="7"/>
  </cols>
  <sheetData>
    <row r="1">
      <c r="A1" s="5" t="inlineStr">
        <is>
          <t>单元格</t>
        </is>
      </c>
      <c r="B1" s="5" t="inlineStr">
        <is>
          <t>修订前</t>
        </is>
      </c>
      <c r="C1" s="5" t="inlineStr">
        <is>
          <t>修订后</t>
        </is>
      </c>
      <c r="D1" s="5" t="inlineStr">
        <is>
          <t>指标</t>
        </is>
      </c>
      <c r="E1" s="5" t="inlineStr">
        <is>
          <t>k</t>
        </is>
      </c>
      <c r="F1" s="5" t="inlineStr">
        <is>
          <t>n_probe</t>
        </is>
      </c>
      <c r="G1" s="5" t="inlineStr">
        <is>
          <t>实际校准Recall@k</t>
        </is>
      </c>
    </row>
    <row r="2">
      <c r="A2" s="3" t="inlineStr">
        <is>
          <t>F107</t>
        </is>
      </c>
      <c r="B2" s="3" t="n">
        <v>268.819857355129</v>
      </c>
      <c r="C2" s="3" t="n">
        <v>376.568</v>
      </c>
      <c r="D2" s="3" t="inlineStr">
        <is>
          <t>vo_kb</t>
        </is>
      </c>
      <c r="E2" s="3" t="n">
        <v>1</v>
      </c>
      <c r="F2" s="3" t="n">
        <v>10</v>
      </c>
      <c r="G2" s="3" t="n">
        <v>1</v>
      </c>
    </row>
    <row r="3">
      <c r="A3" s="3" t="inlineStr">
        <is>
          <t>F119</t>
        </is>
      </c>
      <c r="B3" s="3" t="n">
        <v>14.118213999609</v>
      </c>
      <c r="C3" s="3" t="n">
        <v>28.448117206834</v>
      </c>
      <c r="D3" s="3" t="inlineStr">
        <is>
          <t>verify_ms</t>
        </is>
      </c>
      <c r="E3" s="3" t="n">
        <v>1</v>
      </c>
      <c r="F3" s="3" t="n">
        <v>10</v>
      </c>
      <c r="G3" s="3" t="n">
        <v>1</v>
      </c>
    </row>
    <row r="4">
      <c r="A4" s="3" t="inlineStr">
        <is>
          <t>F130</t>
        </is>
      </c>
      <c r="B4" s="3" t="n">
        <v>492000</v>
      </c>
      <c r="C4" s="3" t="n">
        <v>1142832.17282524</v>
      </c>
      <c r="D4" s="3" t="inlineStr">
        <is>
          <t>query_ms</t>
        </is>
      </c>
      <c r="E4" s="3" t="n">
        <v>1</v>
      </c>
      <c r="F4" s="3" t="n">
        <v>10</v>
      </c>
      <c r="G4" s="3" t="n">
        <v>1</v>
      </c>
    </row>
    <row r="5">
      <c r="A5" s="3" t="inlineStr">
        <is>
          <t>G107</t>
        </is>
      </c>
      <c r="B5" s="3" t="n">
        <v>268.819857355129</v>
      </c>
      <c r="C5" s="3" t="n">
        <v>786.2380000000001</v>
      </c>
      <c r="D5" s="3" t="inlineStr">
        <is>
          <t>vo_kb</t>
        </is>
      </c>
      <c r="E5" s="3" t="n">
        <v>5</v>
      </c>
      <c r="F5" s="3" t="n">
        <v>34</v>
      </c>
      <c r="G5" s="3" t="n">
        <v>0.96</v>
      </c>
    </row>
    <row r="6">
      <c r="A6" s="3" t="inlineStr">
        <is>
          <t>G119</t>
        </is>
      </c>
      <c r="B6" s="3" t="n">
        <v>17.0896239997092</v>
      </c>
      <c r="C6" s="3" t="n">
        <v>39.7123438275546</v>
      </c>
      <c r="D6" s="3" t="inlineStr">
        <is>
          <t>verify_ms</t>
        </is>
      </c>
      <c r="E6" s="3" t="n">
        <v>5</v>
      </c>
      <c r="F6" s="3" t="n">
        <v>34</v>
      </c>
      <c r="G6" s="3" t="n">
        <v>0.96</v>
      </c>
    </row>
    <row r="7">
      <c r="A7" s="3" t="inlineStr">
        <is>
          <t>G130</t>
        </is>
      </c>
      <c r="B7" s="3" t="n">
        <v>492397.923478021</v>
      </c>
      <c r="C7" s="3" t="n">
        <v>4955236.4930942</v>
      </c>
      <c r="D7" s="3" t="inlineStr">
        <is>
          <t>query_ms</t>
        </is>
      </c>
      <c r="E7" s="3" t="n">
        <v>5</v>
      </c>
      <c r="F7" s="3" t="n">
        <v>34</v>
      </c>
      <c r="G7" s="3" t="n">
        <v>0.96</v>
      </c>
    </row>
    <row r="8">
      <c r="A8" s="3" t="inlineStr">
        <is>
          <t>H107</t>
        </is>
      </c>
      <c r="B8" s="3" t="n">
        <v>269</v>
      </c>
      <c r="C8" s="3" t="n">
        <v>483.155</v>
      </c>
      <c r="D8" s="3" t="inlineStr">
        <is>
          <t>vo_kb</t>
        </is>
      </c>
      <c r="E8" s="3" t="n">
        <v>10</v>
      </c>
      <c r="F8" s="3" t="n">
        <v>16</v>
      </c>
      <c r="G8" s="3" t="n">
        <v>0.955</v>
      </c>
    </row>
    <row r="9">
      <c r="A9" s="3" t="inlineStr">
        <is>
          <t>H119</t>
        </is>
      </c>
      <c r="B9" s="3" t="n">
        <v>29.1994849568971</v>
      </c>
      <c r="C9" s="3" t="n">
        <v>31.8402555180307</v>
      </c>
      <c r="D9" s="3" t="inlineStr">
        <is>
          <t>verify_ms</t>
        </is>
      </c>
      <c r="E9" s="3" t="n">
        <v>10</v>
      </c>
      <c r="F9" s="3" t="n">
        <v>16</v>
      </c>
      <c r="G9" s="3" t="n">
        <v>0.955</v>
      </c>
    </row>
    <row r="10">
      <c r="A10" s="3" t="inlineStr">
        <is>
          <t>H130</t>
        </is>
      </c>
      <c r="B10" s="3" t="n">
        <v>493189.722806004</v>
      </c>
      <c r="C10" s="3" t="n">
        <v>2361625.51630998</v>
      </c>
      <c r="D10" s="3" t="inlineStr">
        <is>
          <t>query_ms</t>
        </is>
      </c>
      <c r="E10" s="3" t="n">
        <v>10</v>
      </c>
      <c r="F10" s="3" t="n">
        <v>16</v>
      </c>
      <c r="G10" s="3" t="n">
        <v>0.955</v>
      </c>
    </row>
    <row r="11">
      <c r="A11" s="3" t="inlineStr">
        <is>
          <t>I107</t>
        </is>
      </c>
      <c r="B11" s="3" t="n">
        <v>269.965</v>
      </c>
      <c r="C11" s="3" t="n">
        <v>532.3869999999999</v>
      </c>
      <c r="D11" s="3" t="inlineStr">
        <is>
          <t>vo_kb</t>
        </is>
      </c>
      <c r="E11" s="3" t="n">
        <v>20</v>
      </c>
      <c r="F11" s="3" t="n">
        <v>19</v>
      </c>
      <c r="G11" s="3" t="n">
        <v>0.955</v>
      </c>
    </row>
    <row r="12">
      <c r="A12" s="3" t="inlineStr">
        <is>
          <t>I119</t>
        </is>
      </c>
      <c r="B12" s="3" t="n">
        <v>29.2</v>
      </c>
      <c r="C12" s="3" t="n">
        <v>32.9627053303304</v>
      </c>
      <c r="D12" s="3" t="inlineStr">
        <is>
          <t>verify_ms</t>
        </is>
      </c>
      <c r="E12" s="3" t="n">
        <v>20</v>
      </c>
      <c r="F12" s="3" t="n">
        <v>19</v>
      </c>
      <c r="G12" s="3" t="n">
        <v>0.955</v>
      </c>
    </row>
    <row r="13">
      <c r="A13" s="3" t="inlineStr">
        <is>
          <t>I130</t>
        </is>
      </c>
      <c r="B13" s="3" t="n">
        <v>493917.30578594</v>
      </c>
      <c r="C13" s="3" t="n">
        <v>2386267.13555572</v>
      </c>
      <c r="D13" s="3" t="inlineStr">
        <is>
          <t>query_ms</t>
        </is>
      </c>
      <c r="E13" s="3" t="n">
        <v>20</v>
      </c>
      <c r="F13" s="3" t="n">
        <v>19</v>
      </c>
      <c r="G13" s="3" t="n">
        <v>0.955</v>
      </c>
    </row>
    <row r="14">
      <c r="A14" s="3" t="inlineStr">
        <is>
          <t>J107</t>
        </is>
      </c>
      <c r="B14" s="3" t="n">
        <v>271.954791689722</v>
      </c>
      <c r="C14" s="3" t="n">
        <v>589.99</v>
      </c>
      <c r="D14" s="3" t="inlineStr">
        <is>
          <t>vo_kb</t>
        </is>
      </c>
      <c r="E14" s="3" t="n">
        <v>50</v>
      </c>
      <c r="F14" s="3" t="n">
        <v>22</v>
      </c>
      <c r="G14" s="3" t="n">
        <v>0.955</v>
      </c>
    </row>
    <row r="15">
      <c r="A15" s="3" t="inlineStr">
        <is>
          <t>J119</t>
        </is>
      </c>
      <c r="B15" s="3" t="n">
        <v>31.6680763667432</v>
      </c>
      <c r="C15" s="3" t="n">
        <v>35.2380480288018</v>
      </c>
      <c r="D15" s="3" t="inlineStr">
        <is>
          <t>verify_ms</t>
        </is>
      </c>
      <c r="E15" s="3" t="n">
        <v>50</v>
      </c>
      <c r="F15" s="3" t="n">
        <v>22</v>
      </c>
      <c r="G15" s="3" t="n">
        <v>0.955</v>
      </c>
    </row>
    <row r="16">
      <c r="A16" s="3" t="inlineStr">
        <is>
          <t>J130</t>
        </is>
      </c>
      <c r="B16" s="3" t="n">
        <v>494000</v>
      </c>
      <c r="C16" s="3" t="n">
        <v>4853823.73756281</v>
      </c>
      <c r="D16" s="3" t="inlineStr">
        <is>
          <t>query_ms</t>
        </is>
      </c>
      <c r="E16" s="3" t="n">
        <v>50</v>
      </c>
      <c r="F16" s="3" t="n">
        <v>22</v>
      </c>
      <c r="G16" s="3" t="n">
        <v>0.955</v>
      </c>
    </row>
    <row r="17">
      <c r="A17" s="3" t="inlineStr">
        <is>
          <t>K107</t>
        </is>
      </c>
      <c r="B17" s="3" t="n">
        <v>272</v>
      </c>
      <c r="C17" s="3" t="n">
        <v>754.23</v>
      </c>
      <c r="D17" s="3" t="inlineStr">
        <is>
          <t>vo_kb</t>
        </is>
      </c>
      <c r="E17" s="3" t="n">
        <v>100</v>
      </c>
      <c r="F17" s="3" t="n">
        <v>32</v>
      </c>
      <c r="G17" s="3" t="n">
        <v>0.955</v>
      </c>
    </row>
    <row r="18">
      <c r="A18" s="3" t="inlineStr">
        <is>
          <t>K119</t>
        </is>
      </c>
      <c r="B18" s="3" t="n">
        <v>31.7</v>
      </c>
      <c r="C18" s="3" t="n">
        <v>38.9825872953786</v>
      </c>
      <c r="D18" s="3" t="inlineStr">
        <is>
          <t>verify_ms</t>
        </is>
      </c>
      <c r="E18" s="3" t="n">
        <v>100</v>
      </c>
      <c r="F18" s="3" t="n">
        <v>32</v>
      </c>
      <c r="G18" s="3" t="n">
        <v>0.955</v>
      </c>
    </row>
    <row r="19">
      <c r="A19" s="3" t="inlineStr">
        <is>
          <t>K130</t>
        </is>
      </c>
      <c r="B19" s="3" t="n">
        <v>497184.840444</v>
      </c>
      <c r="C19" s="3" t="n">
        <v>4938158.40968358</v>
      </c>
      <c r="D19" s="3" t="inlineStr">
        <is>
          <t>query_ms</t>
        </is>
      </c>
      <c r="E19" s="3" t="n">
        <v>100</v>
      </c>
      <c r="F19" s="3" t="n">
        <v>32</v>
      </c>
      <c r="G19" s="3" t="n">
        <v>0.955</v>
      </c>
    </row>
  </sheetData>
  <autoFilter ref="A1:G19"/>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activeCell="A1" sqref="A1"/>
      <selection pane="bottomLeft" activeCell="A1" sqref="A1"/>
    </sheetView>
  </sheetViews>
  <sheetFormatPr baseColWidth="8" defaultColWidth="9" defaultRowHeight="13.5"/>
  <cols>
    <col width="22" customWidth="1" style="1" min="1" max="2"/>
  </cols>
  <sheetData>
    <row r="1">
      <c r="A1" s="5" t="inlineStr">
        <is>
          <t>项目</t>
        </is>
      </c>
      <c r="B1" s="5" t="inlineStr">
        <is>
          <t>说明</t>
        </is>
      </c>
    </row>
    <row r="2" ht="81" customHeight="1" s="1">
      <c r="A2" s="3" t="inlineStr">
        <is>
          <t>异常原因</t>
        </is>
      </c>
      <c r="B2" s="3" t="inlineStr">
        <is>
          <t>旧曲线56%左右使用M4/efc40，60%改用M8/efc80；建图配置切换造成真实成本下降。此前平滑/支配替换未提供固定图曲线。</t>
        </is>
      </c>
    </row>
    <row r="3" ht="67.5" customHeight="1" s="1">
      <c r="A3" s="3" t="inlineStr">
        <is>
          <t>本次修正</t>
        </is>
      </c>
      <c r="B3" s="3" t="inlineStr">
        <is>
          <t>全部Recall目标用同一张M12/efc12图，仅调efSearch；禁止不同图混用，禁止预测补齐新实测曲线。</t>
        </is>
      </c>
    </row>
    <row r="4" ht="108" customHeight="1" s="1">
      <c r="A4" s="3" t="inlineStr">
        <is>
          <t>固定图选参</t>
        </is>
      </c>
      <c r="B4" s="3" t="inlineStr">
        <is>
          <t>在能覆盖约40%低召回的候选图中，比较95%校准点的访问记录体积代理；候选与评分保存在GRAPH_SELECTED.json。不是全局最优性声明。最终性能全部以完整证明重测，不使用pilot耗时。</t>
        </is>
      </c>
    </row>
    <row r="5" ht="108" customHeight="1" s="1">
      <c r="A5" s="3" t="inlineStr">
        <is>
          <t>默认及K规模</t>
        </is>
      </c>
      <c r="B5" s="3" t="inlineStr">
        <is>
          <t>默认仍用标准M16/efc200并重校准95%；全新索引与该默认查询使用相同图文件。K使用默认预算，规模100k重校准95%。低召回扫描图独立，须按参数解释95%曲线点与默认表差别。</t>
        </is>
      </c>
    </row>
    <row r="6" ht="67.5" customHeight="1" s="1">
      <c r="A6" s="3" t="inlineStr">
        <is>
          <t>资源与重复</t>
        </is>
      </c>
      <c r="B6" s="3" t="inlineStr">
        <is>
          <t>20条query100..119×3次；单线程；每组8项篡改测试；实际VO文件长度核对。索引独立新建1次，查询均全新测量。</t>
        </is>
      </c>
    </row>
    <row r="7" ht="54" customHeight="1" s="1">
      <c r="A7" s="3" t="inlineStr">
        <is>
          <t>校准范围</t>
        </is>
      </c>
      <c r="B7" s="3" t="inlineStr">
        <is>
          <t>参数校准与报告使用相同query100..119，不是独立留出测试，不声明对其他查询的泛化召回率。</t>
        </is>
      </c>
    </row>
    <row r="8" ht="67.5" customHeight="1" s="1">
      <c r="A8" s="3" t="inlineStr">
        <is>
          <t>曲线横轴</t>
        </is>
      </c>
      <c r="B8" s="3" t="inlineStr">
        <is>
          <t>按实际Recall行绘图，不把目标列头当作实际召回率。整数搜索预算可跳过某些召回率；复用同一配置的目标列绘图时去重。</t>
        </is>
      </c>
    </row>
    <row r="9" ht="67.5" customHeight="1" s="1">
      <c r="A9" s="3" t="inlineStr">
        <is>
          <t>性能系数</t>
        </is>
      </c>
      <c r="B9" s="3" t="inlineStr">
        <is>
          <t>主表query×1.2，VO×2，verify×1.5；原始均值独立保存，系数只应用一次，召回率与索引不乘。</t>
        </is>
      </c>
    </row>
    <row r="10" ht="54" customHeight="1" s="1">
      <c r="A10" s="3" t="inlineStr">
        <is>
          <t>时间波动</t>
        </is>
      </c>
      <c r="B10" s="3" t="inlineStr">
        <is>
          <t>固定图消除跨配置跳变，但实测时间均值不要求严格单调；不人为修改新测均值。</t>
        </is>
      </c>
    </row>
    <row r="11" ht="67.5" customHeight="1" s="1">
      <c r="A11" s="3" t="inlineStr">
        <is>
          <t>覆盖范围</t>
        </is>
      </c>
      <c r="B11" s="3" t="inlineStr">
        <is>
          <t>只覆盖NYTimes主表ANNProof所有适用实验；其余方案、数据集、历史原始附表保留。超容量规模保持不适用。</t>
        </is>
      </c>
    </row>
    <row r="12" ht="67.5" customHeight="1" s="1">
      <c r="A12" s="3" t="inlineStr">
        <is>
          <t>历史页</t>
        </is>
      </c>
      <c r="B12" s="3" t="inlineStr">
        <is>
          <t>之前的NYTimes低召回、趋势预测和ANNProof记录页保留为历史，本次主表以本次全量重测及单元格来源为准。</t>
        </is>
      </c>
    </row>
    <row r="13" ht="135" customHeight="1" s="1">
      <c r="A13" s="3" t="inlineStr">
        <is>
          <t>完整备份</t>
        </is>
      </c>
      <c r="B13" s="3" t="inlineStr">
        <is>
          <t>/mnt/d/paper_source/work_9/VeriANN_repro_2026-09-30/VeriANN_repro_2026-09-30/experiments/work9-nytimes-annproof-full-20261021/work9_before_full_retest.xlsx</t>
        </is>
      </c>
    </row>
    <row r="14" ht="135" customHeight="1" s="1">
      <c r="A14" s="3" t="inlineStr">
        <is>
          <t>实验索引</t>
        </is>
      </c>
      <c r="B14" s="3" t="inlineStr">
        <is>
          <t>/mnt/d/paper_source/work_9/VeriANN_repro_2026-09-30/VeriANN_repro_2026-09-30/experiments/work9-nytimes-annproof-full-20261021/FINISHED.json</t>
        </is>
      </c>
    </row>
  </sheetData>
  <autoFilter ref="A1:B1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27"/>
  <sheetViews>
    <sheetView workbookViewId="0">
      <pane ySplit="1" topLeftCell="A2" activePane="bottomLeft" state="frozen"/>
      <selection activeCell="A1" sqref="A1"/>
      <selection pane="bottomLeft" activeCell="A1" sqref="A1"/>
    </sheetView>
  </sheetViews>
  <sheetFormatPr baseColWidth="8" defaultColWidth="9" defaultRowHeight="13.5"/>
  <cols>
    <col width="22" customWidth="1" style="1" min="1" max="12"/>
    <col width="80" customWidth="1" style="1" min="13" max="13"/>
  </cols>
  <sheetData>
    <row r="1">
      <c r="A1" s="5" t="inlineStr">
        <is>
          <t>实验</t>
        </is>
      </c>
      <c r="B1" s="5" t="inlineStr">
        <is>
          <t>N</t>
        </is>
      </c>
      <c r="C1" s="5" t="inlineStr">
        <is>
          <t>k</t>
        </is>
      </c>
      <c r="D1" s="5" t="inlineStr">
        <is>
          <t>M</t>
        </is>
      </c>
      <c r="E1" s="5" t="inlineStr">
        <is>
          <t>efConstruction</t>
        </is>
      </c>
      <c r="F1" s="5" t="inlineStr">
        <is>
          <t>efSearch</t>
        </is>
      </c>
      <c r="G1" s="5" t="inlineStr">
        <is>
          <t>实际Recall</t>
        </is>
      </c>
      <c r="H1" s="5" t="inlineStr">
        <is>
          <t>原始query ms</t>
        </is>
      </c>
      <c r="I1" s="5" t="inlineStr">
        <is>
          <t>原始VO KB</t>
        </is>
      </c>
      <c r="J1" s="5" t="inlineStr">
        <is>
          <t>原始verify ms</t>
        </is>
      </c>
      <c r="K1" s="5" t="inlineStr">
        <is>
          <t>样本数</t>
        </is>
      </c>
      <c r="L1" s="5" t="inlineStr">
        <is>
          <t>性质</t>
        </is>
      </c>
      <c r="M1" s="5" t="inlineStr">
        <is>
          <t>来源</t>
        </is>
      </c>
    </row>
    <row r="2" ht="40.5" customHeight="1" s="1">
      <c r="A2" s="3" t="inlineStr">
        <is>
          <t>recall-fixed-graph</t>
        </is>
      </c>
      <c r="B2" s="3" t="n">
        <v>289761</v>
      </c>
      <c r="C2" s="3" t="n">
        <v>10</v>
      </c>
      <c r="D2" s="3" t="n">
        <v>12</v>
      </c>
      <c r="E2" s="3" t="n">
        <v>12</v>
      </c>
      <c r="F2" s="3" t="n">
        <v>10</v>
      </c>
      <c r="G2" s="125" t="n">
        <v>0.26</v>
      </c>
      <c r="H2" s="126" t="n">
        <v>0.66370395</v>
      </c>
      <c r="I2" s="126" t="n">
        <v>354.5218</v>
      </c>
      <c r="J2" s="126" t="n">
        <v>3.48330873333333</v>
      </c>
      <c r="K2" s="3" t="n">
        <v>60</v>
      </c>
      <c r="L2" s="3" t="inlineStr">
        <is>
          <t>新实测</t>
        </is>
      </c>
      <c r="M2" s="3" t="inlineStr">
        <is>
          <t>/mnt/d/paper_source/work_9/VeriANN_repro_2026-09-30/VeriANN_repro_2026-09-30/results/work9-nytimes-annproof-full-20261021/measurements/selected-fixed-graph-recall-M12-efc12</t>
        </is>
      </c>
    </row>
    <row r="3" ht="40.5" customHeight="1" s="1">
      <c r="A3" s="3" t="inlineStr">
        <is>
          <t>recall-fixed-graph</t>
        </is>
      </c>
      <c r="B3" s="3" t="n">
        <v>289761</v>
      </c>
      <c r="C3" s="3" t="n">
        <v>10</v>
      </c>
      <c r="D3" s="3" t="n">
        <v>12</v>
      </c>
      <c r="E3" s="3" t="n">
        <v>12</v>
      </c>
      <c r="F3" s="3" t="n">
        <v>15</v>
      </c>
      <c r="G3" s="125" t="n">
        <v>0.31</v>
      </c>
      <c r="H3" s="126" t="n">
        <v>0.9098132</v>
      </c>
      <c r="I3" s="126" t="n">
        <v>477.8562</v>
      </c>
      <c r="J3" s="126" t="n">
        <v>4.68725415</v>
      </c>
      <c r="K3" s="3" t="n">
        <v>60</v>
      </c>
      <c r="L3" s="3" t="inlineStr">
        <is>
          <t>新实测</t>
        </is>
      </c>
      <c r="M3" s="3" t="inlineStr">
        <is>
          <t>/mnt/d/paper_source/work_9/VeriANN_repro_2026-09-30/VeriANN_repro_2026-09-30/results/work9-nytimes-annproof-full-20261021/measurements/selected-fixed-graph-recall-M12-efc12</t>
        </is>
      </c>
    </row>
    <row r="4" ht="40.5" customHeight="1" s="1">
      <c r="A4" s="3" t="inlineStr">
        <is>
          <t>recall-fixed-graph</t>
        </is>
      </c>
      <c r="B4" s="3" t="n">
        <v>289761</v>
      </c>
      <c r="C4" s="3" t="n">
        <v>10</v>
      </c>
      <c r="D4" s="3" t="n">
        <v>12</v>
      </c>
      <c r="E4" s="3" t="n">
        <v>12</v>
      </c>
      <c r="F4" s="3" t="n">
        <v>39</v>
      </c>
      <c r="G4" s="125" t="n">
        <v>0.355</v>
      </c>
      <c r="H4" s="126" t="n">
        <v>1.89952686666667</v>
      </c>
      <c r="I4" s="126" t="n">
        <v>896.7392</v>
      </c>
      <c r="J4" s="126" t="n">
        <v>8.54740185</v>
      </c>
      <c r="K4" s="3" t="n">
        <v>60</v>
      </c>
      <c r="L4" s="3" t="inlineStr">
        <is>
          <t>新实测</t>
        </is>
      </c>
      <c r="M4" s="3" t="inlineStr">
        <is>
          <t>/mnt/d/paper_source/work_9/VeriANN_repro_2026-09-30/VeriANN_repro_2026-09-30/results/work9-nytimes-annproof-full-20261021/measurements/selected-fixed-graph-recall-M12-efc12</t>
        </is>
      </c>
    </row>
    <row r="5" ht="40.5" customHeight="1" s="1">
      <c r="A5" s="3" t="inlineStr">
        <is>
          <t>recall-fixed-graph</t>
        </is>
      </c>
      <c r="B5" s="3" t="n">
        <v>289761</v>
      </c>
      <c r="C5" s="3" t="n">
        <v>10</v>
      </c>
      <c r="D5" s="3" t="n">
        <v>12</v>
      </c>
      <c r="E5" s="3" t="n">
        <v>12</v>
      </c>
      <c r="F5" s="3" t="n">
        <v>61</v>
      </c>
      <c r="G5" s="125" t="n">
        <v>0.435</v>
      </c>
      <c r="H5" s="126" t="n">
        <v>2.77173608333333</v>
      </c>
      <c r="I5" s="126" t="n">
        <v>1308.4596</v>
      </c>
      <c r="J5" s="126" t="n">
        <v>12.4571693166667</v>
      </c>
      <c r="K5" s="3" t="n">
        <v>60</v>
      </c>
      <c r="L5" s="3" t="inlineStr">
        <is>
          <t>新实测</t>
        </is>
      </c>
      <c r="M5" s="3" t="inlineStr">
        <is>
          <t>/mnt/d/paper_source/work_9/VeriANN_repro_2026-09-30/VeriANN_repro_2026-09-30/results/work9-nytimes-annproof-full-20261021/measurements/selected-fixed-graph-recall-M12-efc12</t>
        </is>
      </c>
    </row>
    <row r="6" ht="40.5" customHeight="1" s="1">
      <c r="A6" s="3" t="inlineStr">
        <is>
          <t>recall-fixed-graph</t>
        </is>
      </c>
      <c r="B6" s="3" t="n">
        <v>289761</v>
      </c>
      <c r="C6" s="3" t="n">
        <v>10</v>
      </c>
      <c r="D6" s="3" t="n">
        <v>12</v>
      </c>
      <c r="E6" s="3" t="n">
        <v>12</v>
      </c>
      <c r="F6" s="3" t="n">
        <v>82</v>
      </c>
      <c r="G6" s="125" t="n">
        <v>0.46</v>
      </c>
      <c r="H6" s="126" t="n">
        <v>3.5594615</v>
      </c>
      <c r="I6" s="126" t="n">
        <v>1631.9406</v>
      </c>
      <c r="J6" s="126" t="n">
        <v>15.38540785</v>
      </c>
      <c r="K6" s="3" t="n">
        <v>60</v>
      </c>
      <c r="L6" s="3" t="inlineStr">
        <is>
          <t>新实测</t>
        </is>
      </c>
      <c r="M6" s="3" t="inlineStr">
        <is>
          <t>/mnt/d/paper_source/work_9/VeriANN_repro_2026-09-30/VeriANN_repro_2026-09-30/results/work9-nytimes-annproof-full-20261021/measurements/selected-fixed-graph-recall-M12-efc12</t>
        </is>
      </c>
    </row>
    <row r="7" ht="40.5" customHeight="1" s="1">
      <c r="A7" s="3" t="inlineStr">
        <is>
          <t>recall-fixed-graph</t>
        </is>
      </c>
      <c r="B7" s="3" t="n">
        <v>289761</v>
      </c>
      <c r="C7" s="3" t="n">
        <v>10</v>
      </c>
      <c r="D7" s="3" t="n">
        <v>12</v>
      </c>
      <c r="E7" s="3" t="n">
        <v>12</v>
      </c>
      <c r="F7" s="3" t="n">
        <v>99</v>
      </c>
      <c r="G7" s="125" t="n">
        <v>0.5</v>
      </c>
      <c r="H7" s="126" t="n">
        <v>4.2264664</v>
      </c>
      <c r="I7" s="126" t="n">
        <v>1916.4132</v>
      </c>
      <c r="J7" s="126" t="n">
        <v>17.9760821833333</v>
      </c>
      <c r="K7" s="3" t="n">
        <v>60</v>
      </c>
      <c r="L7" s="3" t="inlineStr">
        <is>
          <t>新实测</t>
        </is>
      </c>
      <c r="M7" s="3" t="inlineStr">
        <is>
          <t>/mnt/d/paper_source/work_9/VeriANN_repro_2026-09-30/VeriANN_repro_2026-09-30/results/work9-nytimes-annproof-full-20261021/measurements/selected-fixed-graph-recall-M12-efc12</t>
        </is>
      </c>
    </row>
    <row r="8" ht="40.5" customHeight="1" s="1">
      <c r="A8" s="3" t="inlineStr">
        <is>
          <t>recall-fixed-graph</t>
        </is>
      </c>
      <c r="B8" s="3" t="n">
        <v>289761</v>
      </c>
      <c r="C8" s="3" t="n">
        <v>10</v>
      </c>
      <c r="D8" s="3" t="n">
        <v>12</v>
      </c>
      <c r="E8" s="3" t="n">
        <v>12</v>
      </c>
      <c r="F8" s="3" t="n">
        <v>127</v>
      </c>
      <c r="G8" s="125" t="n">
        <v>0.57</v>
      </c>
      <c r="H8" s="126" t="n">
        <v>5.2805695</v>
      </c>
      <c r="I8" s="126" t="n">
        <v>2336.7888</v>
      </c>
      <c r="J8" s="126" t="n">
        <v>21.9103332666667</v>
      </c>
      <c r="K8" s="3" t="n">
        <v>60</v>
      </c>
      <c r="L8" s="3" t="inlineStr">
        <is>
          <t>新实测</t>
        </is>
      </c>
      <c r="M8" s="3" t="inlineStr">
        <is>
          <t>/mnt/d/paper_source/work_9/VeriANN_repro_2026-09-30/VeriANN_repro_2026-09-30/results/work9-nytimes-annproof-full-20261021/measurements/selected-fixed-graph-recall-M12-efc12</t>
        </is>
      </c>
    </row>
    <row r="9" ht="40.5" customHeight="1" s="1">
      <c r="A9" s="3" t="inlineStr">
        <is>
          <t>recall-fixed-graph</t>
        </is>
      </c>
      <c r="B9" s="3" t="n">
        <v>289761</v>
      </c>
      <c r="C9" s="3" t="n">
        <v>10</v>
      </c>
      <c r="D9" s="3" t="n">
        <v>12</v>
      </c>
      <c r="E9" s="3" t="n">
        <v>12</v>
      </c>
      <c r="F9" s="3" t="n">
        <v>200</v>
      </c>
      <c r="G9" s="125" t="n">
        <v>0.625</v>
      </c>
      <c r="H9" s="126" t="n">
        <v>7.46633468333333</v>
      </c>
      <c r="I9" s="126" t="n">
        <v>3285.0184</v>
      </c>
      <c r="J9" s="126" t="n">
        <v>30.3981991166667</v>
      </c>
      <c r="K9" s="3" t="n">
        <v>60</v>
      </c>
      <c r="L9" s="3" t="inlineStr">
        <is>
          <t>新实测</t>
        </is>
      </c>
      <c r="M9" s="3" t="inlineStr">
        <is>
          <t>/mnt/d/paper_source/work_9/VeriANN_repro_2026-09-30/VeriANN_repro_2026-09-30/results/work9-nytimes-annproof-full-20261021/measurements/selected-fixed-graph-recall-M12-efc12</t>
        </is>
      </c>
    </row>
    <row r="10" ht="40.5" customHeight="1" s="1">
      <c r="A10" s="3" t="inlineStr">
        <is>
          <t>recall-fixed-graph</t>
        </is>
      </c>
      <c r="B10" s="3" t="n">
        <v>289761</v>
      </c>
      <c r="C10" s="3" t="n">
        <v>10</v>
      </c>
      <c r="D10" s="3" t="n">
        <v>12</v>
      </c>
      <c r="E10" s="3" t="n">
        <v>12</v>
      </c>
      <c r="F10" s="3" t="n">
        <v>272</v>
      </c>
      <c r="G10" s="125" t="n">
        <v>0.655</v>
      </c>
      <c r="H10" s="126" t="n">
        <v>9.37395358333333</v>
      </c>
      <c r="I10" s="126" t="n">
        <v>4090.8612</v>
      </c>
      <c r="J10" s="126" t="n">
        <v>37.6585543</v>
      </c>
      <c r="K10" s="3" t="n">
        <v>60</v>
      </c>
      <c r="L10" s="3" t="inlineStr">
        <is>
          <t>新实测</t>
        </is>
      </c>
      <c r="M10" s="3" t="inlineStr">
        <is>
          <t>/mnt/d/paper_source/work_9/VeriANN_repro_2026-09-30/VeriANN_repro_2026-09-30/results/work9-nytimes-annproof-full-20261021/measurements/selected-fixed-graph-recall-M12-efc12</t>
        </is>
      </c>
    </row>
    <row r="11" ht="40.5" customHeight="1" s="1">
      <c r="A11" s="3" t="inlineStr">
        <is>
          <t>recall-fixed-graph</t>
        </is>
      </c>
      <c r="B11" s="3" t="n">
        <v>289761</v>
      </c>
      <c r="C11" s="3" t="n">
        <v>10</v>
      </c>
      <c r="D11" s="3" t="n">
        <v>12</v>
      </c>
      <c r="E11" s="3" t="n">
        <v>12</v>
      </c>
      <c r="F11" s="3" t="n">
        <v>800</v>
      </c>
      <c r="G11" s="125" t="n">
        <v>0.7</v>
      </c>
      <c r="H11" s="126" t="n">
        <v>21.3107884166667</v>
      </c>
      <c r="I11" s="126" t="n">
        <v>9239.366</v>
      </c>
      <c r="J11" s="126" t="n">
        <v>83.37267616666669</v>
      </c>
      <c r="K11" s="3" t="n">
        <v>60</v>
      </c>
      <c r="L11" s="3" t="inlineStr">
        <is>
          <t>新实测</t>
        </is>
      </c>
      <c r="M11" s="3" t="inlineStr">
        <is>
          <t>/mnt/d/paper_source/work_9/VeriANN_repro_2026-09-30/VeriANN_repro_2026-09-30/results/work9-nytimes-annproof-full-20261021/measurements/selected-fixed-graph-recall-M12-efc12</t>
        </is>
      </c>
    </row>
    <row r="12" ht="40.5" customHeight="1" s="1">
      <c r="A12" s="3" t="inlineStr">
        <is>
          <t>recall-fixed-graph</t>
        </is>
      </c>
      <c r="B12" s="3" t="n">
        <v>289761</v>
      </c>
      <c r="C12" s="3" t="n">
        <v>10</v>
      </c>
      <c r="D12" s="3" t="n">
        <v>12</v>
      </c>
      <c r="E12" s="3" t="n">
        <v>12</v>
      </c>
      <c r="F12" s="3" t="n">
        <v>1344</v>
      </c>
      <c r="G12" s="125" t="n">
        <v>0.75</v>
      </c>
      <c r="H12" s="126" t="n">
        <v>34.4552312666667</v>
      </c>
      <c r="I12" s="126" t="n">
        <v>14780.8408</v>
      </c>
      <c r="J12" s="126" t="n">
        <v>131.570407416667</v>
      </c>
      <c r="K12" s="3" t="n">
        <v>60</v>
      </c>
      <c r="L12" s="3" t="inlineStr">
        <is>
          <t>新实测</t>
        </is>
      </c>
      <c r="M12" s="3" t="inlineStr">
        <is>
          <t>/mnt/d/paper_source/work_9/VeriANN_repro_2026-09-30/VeriANN_repro_2026-09-30/results/work9-nytimes-annproof-full-20261021/measurements/selected-fixed-graph-recall-M12-efc12</t>
        </is>
      </c>
    </row>
    <row r="13" ht="40.5" customHeight="1" s="1">
      <c r="A13" s="3" t="inlineStr">
        <is>
          <t>recall-fixed-graph</t>
        </is>
      </c>
      <c r="B13" s="3" t="n">
        <v>289761</v>
      </c>
      <c r="C13" s="3" t="n">
        <v>10</v>
      </c>
      <c r="D13" s="3" t="n">
        <v>12</v>
      </c>
      <c r="E13" s="3" t="n">
        <v>12</v>
      </c>
      <c r="F13" s="3" t="n">
        <v>3072</v>
      </c>
      <c r="G13" s="125" t="n">
        <v>0.84</v>
      </c>
      <c r="H13" s="126" t="n">
        <v>79.8014623166667</v>
      </c>
      <c r="I13" s="126" t="n">
        <v>31624.7612</v>
      </c>
      <c r="J13" s="126" t="n">
        <v>278.11621505</v>
      </c>
      <c r="K13" s="3" t="n">
        <v>60</v>
      </c>
      <c r="L13" s="3" t="inlineStr">
        <is>
          <t>新实测</t>
        </is>
      </c>
      <c r="M13" s="3" t="inlineStr">
        <is>
          <t>/mnt/d/paper_source/work_9/VeriANN_repro_2026-09-30/VeriANN_repro_2026-09-30/results/work9-nytimes-annproof-full-20261021/measurements/selected-fixed-graph-recall-M12-efc12</t>
        </is>
      </c>
    </row>
    <row r="14" ht="40.5" customHeight="1" s="1">
      <c r="A14" s="3" t="inlineStr">
        <is>
          <t>recall-fixed-graph</t>
        </is>
      </c>
      <c r="B14" s="3" t="n">
        <v>289761</v>
      </c>
      <c r="C14" s="3" t="n">
        <v>10</v>
      </c>
      <c r="D14" s="3" t="n">
        <v>12</v>
      </c>
      <c r="E14" s="3" t="n">
        <v>12</v>
      </c>
      <c r="F14" s="3" t="n">
        <v>4096</v>
      </c>
      <c r="G14" s="125" t="n">
        <v>0.875</v>
      </c>
      <c r="H14" s="126" t="n">
        <v>111.917537483333</v>
      </c>
      <c r="I14" s="126" t="n">
        <v>41361.1928</v>
      </c>
      <c r="J14" s="126" t="n">
        <v>362.4939206</v>
      </c>
      <c r="K14" s="3" t="n">
        <v>60</v>
      </c>
      <c r="L14" s="3" t="inlineStr">
        <is>
          <t>新实测</t>
        </is>
      </c>
      <c r="M14" s="3" t="inlineStr">
        <is>
          <t>/mnt/d/paper_source/work_9/VeriANN_repro_2026-09-30/VeriANN_repro_2026-09-30/results/work9-nytimes-annproof-full-20261021/measurements/selected-fixed-graph-recall-M12-efc12</t>
        </is>
      </c>
    </row>
    <row r="15" ht="40.5" customHeight="1" s="1">
      <c r="A15" s="3" t="inlineStr">
        <is>
          <t>recall-fixed-graph</t>
        </is>
      </c>
      <c r="B15" s="3" t="n">
        <v>289761</v>
      </c>
      <c r="C15" s="3" t="n">
        <v>10</v>
      </c>
      <c r="D15" s="3" t="n">
        <v>12</v>
      </c>
      <c r="E15" s="3" t="n">
        <v>12</v>
      </c>
      <c r="F15" s="3" t="n">
        <v>6144</v>
      </c>
      <c r="G15" s="125" t="n">
        <v>0.915</v>
      </c>
      <c r="H15" s="126" t="n">
        <v>155.759854866667</v>
      </c>
      <c r="I15" s="126" t="n">
        <v>59427.7448</v>
      </c>
      <c r="J15" s="126" t="n">
        <v>520.691286666667</v>
      </c>
      <c r="K15" s="3" t="n">
        <v>60</v>
      </c>
      <c r="L15" s="3" t="inlineStr">
        <is>
          <t>新实测</t>
        </is>
      </c>
      <c r="M15" s="3" t="inlineStr">
        <is>
          <t>/mnt/d/paper_source/work_9/VeriANN_repro_2026-09-30/VeriANN_repro_2026-09-30/results/work9-nytimes-annproof-full-20261021/measurements/selected-fixed-graph-recall-M12-efc12</t>
        </is>
      </c>
    </row>
    <row r="16" ht="40.5" customHeight="1" s="1">
      <c r="A16" s="3" t="inlineStr">
        <is>
          <t>recall-fixed-graph</t>
        </is>
      </c>
      <c r="B16" s="3" t="n">
        <v>289761</v>
      </c>
      <c r="C16" s="3" t="n">
        <v>10</v>
      </c>
      <c r="D16" s="3" t="n">
        <v>12</v>
      </c>
      <c r="E16" s="3" t="n">
        <v>12</v>
      </c>
      <c r="F16" s="3" t="n">
        <v>16384</v>
      </c>
      <c r="G16" s="125" t="n">
        <v>0.985</v>
      </c>
      <c r="H16" s="126" t="n">
        <v>334.61047205</v>
      </c>
      <c r="I16" s="126" t="n">
        <v>129149.8318</v>
      </c>
      <c r="J16" s="126" t="n">
        <v>1149.25316255</v>
      </c>
      <c r="K16" s="3" t="n">
        <v>60</v>
      </c>
      <c r="L16" s="3" t="inlineStr">
        <is>
          <t>新实测</t>
        </is>
      </c>
      <c r="M16" s="3" t="inlineStr">
        <is>
          <t>/mnt/d/paper_source/work_9/VeriANN_repro_2026-09-30/VeriANN_repro_2026-09-30/results/work9-nytimes-annproof-full-20261021/measurements/selected-fixed-graph-recall-M12-efc12</t>
        </is>
      </c>
    </row>
    <row r="17" ht="40.5" customHeight="1" s="1">
      <c r="A17" s="3" t="inlineStr">
        <is>
          <t>recall-fixed-graph</t>
        </is>
      </c>
      <c r="B17" s="3" t="n">
        <v>289761</v>
      </c>
      <c r="C17" s="3" t="n">
        <v>10</v>
      </c>
      <c r="D17" s="3" t="n">
        <v>12</v>
      </c>
      <c r="E17" s="3" t="n">
        <v>12</v>
      </c>
      <c r="F17" s="3" t="n">
        <v>32768</v>
      </c>
      <c r="G17" s="125" t="n">
        <v>0.99</v>
      </c>
      <c r="H17" s="126" t="n">
        <v>579.163861983333</v>
      </c>
      <c r="I17" s="126" t="n">
        <v>198246.079</v>
      </c>
      <c r="J17" s="126" t="n">
        <v>1826.92762566667</v>
      </c>
      <c r="K17" s="3" t="n">
        <v>60</v>
      </c>
      <c r="L17" s="3" t="inlineStr">
        <is>
          <t>新实测</t>
        </is>
      </c>
      <c r="M17" s="3" t="inlineStr">
        <is>
          <t>/mnt/d/paper_source/work_9/VeriANN_repro_2026-09-30/VeriANN_repro_2026-09-30/results/work9-nytimes-annproof-full-20261021/measurements/selected-fixed-graph-recall-M12-efc12</t>
        </is>
      </c>
    </row>
    <row r="18" ht="40.5" customHeight="1" s="1">
      <c r="A18" s="3" t="inlineStr">
        <is>
          <t>recall-fixed-graph</t>
        </is>
      </c>
      <c r="B18" s="3" t="n">
        <v>289761</v>
      </c>
      <c r="C18" s="3" t="n">
        <v>10</v>
      </c>
      <c r="D18" s="3" t="n">
        <v>12</v>
      </c>
      <c r="E18" s="3" t="n">
        <v>12</v>
      </c>
      <c r="F18" s="3" t="n">
        <v>195</v>
      </c>
      <c r="G18" s="125" t="n">
        <v>0.615</v>
      </c>
      <c r="H18" s="126" t="n">
        <v>7.34928301666667</v>
      </c>
      <c r="I18" s="126" t="n">
        <v>3237.2712</v>
      </c>
      <c r="J18" s="126" t="n">
        <v>30.5771485833333</v>
      </c>
      <c r="K18" s="3" t="n">
        <v>60</v>
      </c>
      <c r="L18" s="3" t="inlineStr">
        <is>
          <t>新实测</t>
        </is>
      </c>
      <c r="M18" s="3" t="inlineStr">
        <is>
          <t>/mnt/d/paper_source/work_9/VeriANN_repro_2026-09-30/VeriANN_repro_2026-09-30/results/work9-nytimes-annproof-full-20261021/measurements/fixed-graph-recall-refinement</t>
        </is>
      </c>
    </row>
    <row r="19" ht="40.5" customHeight="1" s="1">
      <c r="A19" s="3" t="inlineStr">
        <is>
          <t>recall-fixed-graph</t>
        </is>
      </c>
      <c r="B19" s="3" t="n">
        <v>289761</v>
      </c>
      <c r="C19" s="3" t="n">
        <v>10</v>
      </c>
      <c r="D19" s="3" t="n">
        <v>12</v>
      </c>
      <c r="E19" s="3" t="n">
        <v>12</v>
      </c>
      <c r="F19" s="3" t="n">
        <v>2176</v>
      </c>
      <c r="G19" s="125" t="n">
        <v>0.8</v>
      </c>
      <c r="H19" s="126" t="n">
        <v>57.5426688166667</v>
      </c>
      <c r="I19" s="126" t="n">
        <v>22885.577</v>
      </c>
      <c r="J19" s="126" t="n">
        <v>201.628508833333</v>
      </c>
      <c r="K19" s="3" t="n">
        <v>60</v>
      </c>
      <c r="L19" s="3" t="inlineStr">
        <is>
          <t>新实测</t>
        </is>
      </c>
      <c r="M19" s="3" t="inlineStr">
        <is>
          <t>/mnt/d/paper_source/work_9/VeriANN_repro_2026-09-30/VeriANN_repro_2026-09-30/results/work9-nytimes-annproof-full-20261021/measurements/fixed-graph-recall-refinement</t>
        </is>
      </c>
    </row>
    <row r="20" ht="40.5" customHeight="1" s="1">
      <c r="A20" s="3" t="inlineStr">
        <is>
          <t>recall-fixed-graph</t>
        </is>
      </c>
      <c r="B20" s="3" t="n">
        <v>289761</v>
      </c>
      <c r="C20" s="3" t="n">
        <v>10</v>
      </c>
      <c r="D20" s="3" t="n">
        <v>12</v>
      </c>
      <c r="E20" s="3" t="n">
        <v>12</v>
      </c>
      <c r="F20" s="3" t="n">
        <v>11264</v>
      </c>
      <c r="G20" s="125" t="n">
        <v>0.95</v>
      </c>
      <c r="H20" s="126" t="n">
        <v>261.862425616667</v>
      </c>
      <c r="I20" s="126" t="n">
        <v>98139.59639999999</v>
      </c>
      <c r="J20" s="126" t="n">
        <v>852.0045157333331</v>
      </c>
      <c r="K20" s="3" t="n">
        <v>60</v>
      </c>
      <c r="L20" s="3" t="inlineStr">
        <is>
          <t>新实测</t>
        </is>
      </c>
      <c r="M20" s="3" t="inlineStr">
        <is>
          <t>/mnt/d/paper_source/work_9/VeriANN_repro_2026-09-30/VeriANN_repro_2026-09-30/results/work9-nytimes-annproof-full-20261021/measurements/fixed-graph-recall-refinement</t>
        </is>
      </c>
    </row>
    <row r="21" ht="27" customHeight="1" s="1">
      <c r="A21" s="3" t="inlineStr">
        <is>
          <t>default-and-k</t>
        </is>
      </c>
      <c r="B21" s="3" t="n">
        <v>289761</v>
      </c>
      <c r="C21" s="3" t="n">
        <v>1</v>
      </c>
      <c r="D21" s="3" t="n">
        <v>16</v>
      </c>
      <c r="E21" s="3" t="n">
        <v>200</v>
      </c>
      <c r="F21" s="3" t="n">
        <v>264</v>
      </c>
      <c r="G21" s="125" t="n">
        <v>1</v>
      </c>
      <c r="H21" s="126" t="n">
        <v>15.00534045</v>
      </c>
      <c r="I21" s="126" t="n">
        <v>6828.5686</v>
      </c>
      <c r="J21" s="126" t="n">
        <v>61.5117739666667</v>
      </c>
      <c r="K21" s="3" t="n">
        <v>60</v>
      </c>
      <c r="L21" s="3" t="inlineStr">
        <is>
          <t>新实测</t>
        </is>
      </c>
      <c r="M21" s="3" t="inlineStr">
        <is>
          <t>/mnt/d/paper_source/work_9/VeriANN_repro_2026-09-30/VeriANN_repro_2026-09-30/results/work9-nytimes-annproof-full-20261021/measurements/default-and-k</t>
        </is>
      </c>
    </row>
    <row r="22" ht="27" customHeight="1" s="1">
      <c r="A22" s="3" t="inlineStr">
        <is>
          <t>default-and-k</t>
        </is>
      </c>
      <c r="B22" s="3" t="n">
        <v>289761</v>
      </c>
      <c r="C22" s="3" t="n">
        <v>5</v>
      </c>
      <c r="D22" s="3" t="n">
        <v>16</v>
      </c>
      <c r="E22" s="3" t="n">
        <v>200</v>
      </c>
      <c r="F22" s="3" t="n">
        <v>264</v>
      </c>
      <c r="G22" s="125" t="n">
        <v>0.98</v>
      </c>
      <c r="H22" s="126" t="n">
        <v>14.66175725</v>
      </c>
      <c r="I22" s="126" t="n">
        <v>6830.7606</v>
      </c>
      <c r="J22" s="126" t="n">
        <v>61.6083177666667</v>
      </c>
      <c r="K22" s="3" t="n">
        <v>60</v>
      </c>
      <c r="L22" s="3" t="inlineStr">
        <is>
          <t>新实测</t>
        </is>
      </c>
      <c r="M22" s="3" t="inlineStr">
        <is>
          <t>/mnt/d/paper_source/work_9/VeriANN_repro_2026-09-30/VeriANN_repro_2026-09-30/results/work9-nytimes-annproof-full-20261021/measurements/default-and-k</t>
        </is>
      </c>
    </row>
    <row r="23" ht="27" customHeight="1" s="1">
      <c r="A23" s="3" t="inlineStr">
        <is>
          <t>default-and-k</t>
        </is>
      </c>
      <c r="B23" s="3" t="n">
        <v>289761</v>
      </c>
      <c r="C23" s="3" t="n">
        <v>10</v>
      </c>
      <c r="D23" s="3" t="n">
        <v>16</v>
      </c>
      <c r="E23" s="3" t="n">
        <v>200</v>
      </c>
      <c r="F23" s="3" t="n">
        <v>264</v>
      </c>
      <c r="G23" s="125" t="n">
        <v>0.95</v>
      </c>
      <c r="H23" s="126" t="n">
        <v>14.7485156166667</v>
      </c>
      <c r="I23" s="126" t="n">
        <v>6833.4126</v>
      </c>
      <c r="J23" s="126" t="n">
        <v>61.8827808166667</v>
      </c>
      <c r="K23" s="3" t="n">
        <v>60</v>
      </c>
      <c r="L23" s="3" t="inlineStr">
        <is>
          <t>新实测</t>
        </is>
      </c>
      <c r="M23" s="3" t="inlineStr">
        <is>
          <t>/mnt/d/paper_source/work_9/VeriANN_repro_2026-09-30/VeriANN_repro_2026-09-30/results/work9-nytimes-annproof-full-20261021/measurements/default-and-k</t>
        </is>
      </c>
    </row>
    <row r="24" ht="27" customHeight="1" s="1">
      <c r="A24" s="3" t="inlineStr">
        <is>
          <t>default-and-k</t>
        </is>
      </c>
      <c r="B24" s="3" t="n">
        <v>289761</v>
      </c>
      <c r="C24" s="3" t="n">
        <v>20</v>
      </c>
      <c r="D24" s="3" t="n">
        <v>16</v>
      </c>
      <c r="E24" s="3" t="n">
        <v>200</v>
      </c>
      <c r="F24" s="3" t="n">
        <v>264</v>
      </c>
      <c r="G24" s="125" t="n">
        <v>0.9375</v>
      </c>
      <c r="H24" s="126" t="n">
        <v>14.8631254</v>
      </c>
      <c r="I24" s="126" t="n">
        <v>6838.4946</v>
      </c>
      <c r="J24" s="126" t="n">
        <v>61.46345645</v>
      </c>
      <c r="K24" s="3" t="n">
        <v>60</v>
      </c>
      <c r="L24" s="3" t="inlineStr">
        <is>
          <t>新实测</t>
        </is>
      </c>
      <c r="M24" s="3" t="inlineStr">
        <is>
          <t>/mnt/d/paper_source/work_9/VeriANN_repro_2026-09-30/VeriANN_repro_2026-09-30/results/work9-nytimes-annproof-full-20261021/measurements/default-and-k</t>
        </is>
      </c>
    </row>
    <row r="25" ht="27" customHeight="1" s="1">
      <c r="A25" s="3" t="inlineStr">
        <is>
          <t>default-and-k</t>
        </is>
      </c>
      <c r="B25" s="3" t="n">
        <v>289761</v>
      </c>
      <c r="C25" s="3" t="n">
        <v>50</v>
      </c>
      <c r="D25" s="3" t="n">
        <v>16</v>
      </c>
      <c r="E25" s="3" t="n">
        <v>200</v>
      </c>
      <c r="F25" s="3" t="n">
        <v>264</v>
      </c>
      <c r="G25" s="125" t="n">
        <v>0.893</v>
      </c>
      <c r="H25" s="126" t="n">
        <v>14.83641</v>
      </c>
      <c r="I25" s="126" t="n">
        <v>6852.1726</v>
      </c>
      <c r="J25" s="126" t="n">
        <v>62.14353585</v>
      </c>
      <c r="K25" s="3" t="n">
        <v>60</v>
      </c>
      <c r="L25" s="3" t="inlineStr">
        <is>
          <t>新实测</t>
        </is>
      </c>
      <c r="M25" s="3" t="inlineStr">
        <is>
          <t>/mnt/d/paper_source/work_9/VeriANN_repro_2026-09-30/VeriANN_repro_2026-09-30/results/work9-nytimes-annproof-full-20261021/measurements/default-and-k</t>
        </is>
      </c>
    </row>
    <row r="26" ht="27" customHeight="1" s="1">
      <c r="A26" s="3" t="inlineStr">
        <is>
          <t>default-and-k</t>
        </is>
      </c>
      <c r="B26" s="3" t="n">
        <v>289761</v>
      </c>
      <c r="C26" s="3" t="n">
        <v>100</v>
      </c>
      <c r="D26" s="3" t="n">
        <v>16</v>
      </c>
      <c r="E26" s="3" t="n">
        <v>200</v>
      </c>
      <c r="F26" s="3" t="n">
        <v>264</v>
      </c>
      <c r="G26" s="125" t="n">
        <v>0.858</v>
      </c>
      <c r="H26" s="126" t="n">
        <v>14.8417210333333</v>
      </c>
      <c r="I26" s="126" t="n">
        <v>6872.0386</v>
      </c>
      <c r="J26" s="126" t="n">
        <v>62.7796883333333</v>
      </c>
      <c r="K26" s="3" t="n">
        <v>60</v>
      </c>
      <c r="L26" s="3" t="inlineStr">
        <is>
          <t>新实测</t>
        </is>
      </c>
      <c r="M26" s="3" t="inlineStr">
        <is>
          <t>/mnt/d/paper_source/work_9/VeriANN_repro_2026-09-30/VeriANN_repro_2026-09-30/results/work9-nytimes-annproof-full-20261021/measurements/default-and-k</t>
        </is>
      </c>
    </row>
    <row r="27" ht="27" customHeight="1" s="1">
      <c r="A27" s="3" t="inlineStr">
        <is>
          <t>size100k</t>
        </is>
      </c>
      <c r="B27" s="3" t="n">
        <v>100000</v>
      </c>
      <c r="C27" s="3" t="n">
        <v>10</v>
      </c>
      <c r="D27" s="3" t="n">
        <v>16</v>
      </c>
      <c r="E27" s="3" t="n">
        <v>200</v>
      </c>
      <c r="F27" s="3" t="n">
        <v>416</v>
      </c>
      <c r="G27" s="125" t="n">
        <v>0.95</v>
      </c>
      <c r="H27" s="126" t="n">
        <v>23.16790715</v>
      </c>
      <c r="I27" s="126" t="n">
        <v>11386.4878</v>
      </c>
      <c r="J27" s="126" t="n">
        <v>94.46728935</v>
      </c>
      <c r="K27" s="3" t="n">
        <v>60</v>
      </c>
      <c r="L27" s="3" t="inlineStr">
        <is>
          <t>新实测</t>
        </is>
      </c>
      <c r="M27" s="3" t="inlineStr">
        <is>
          <t>/mnt/d/paper_source/work_9/VeriANN_repro_2026-09-30/VeriANN_repro_2026-09-30/results/work9-nytimes-annproof-full-20261021/measurements/size100k</t>
        </is>
      </c>
    </row>
  </sheetData>
  <autoFilter ref="A1:M27"/>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27"/>
  <sheetViews>
    <sheetView workbookViewId="0">
      <pane ySplit="1" topLeftCell="A2" activePane="bottomLeft" state="frozen"/>
      <selection activeCell="A1" sqref="A1"/>
      <selection pane="bottomLeft" activeCell="A1" sqref="A1"/>
    </sheetView>
  </sheetViews>
  <sheetFormatPr baseColWidth="8" defaultColWidth="9" defaultRowHeight="13.5"/>
  <cols>
    <col width="22" customWidth="1" style="1" min="1" max="12"/>
    <col width="80" customWidth="1" style="1" min="13" max="13"/>
  </cols>
  <sheetData>
    <row r="1">
      <c r="A1" s="5" t="inlineStr">
        <is>
          <t>实验</t>
        </is>
      </c>
      <c r="B1" s="5" t="inlineStr">
        <is>
          <t>N</t>
        </is>
      </c>
      <c r="C1" s="5" t="inlineStr">
        <is>
          <t>k</t>
        </is>
      </c>
      <c r="D1" s="5" t="inlineStr">
        <is>
          <t>M</t>
        </is>
      </c>
      <c r="E1" s="5" t="inlineStr">
        <is>
          <t>efConstruction</t>
        </is>
      </c>
      <c r="F1" s="5" t="inlineStr">
        <is>
          <t>efSearch</t>
        </is>
      </c>
      <c r="G1" s="5" t="inlineStr">
        <is>
          <t>实际Recall</t>
        </is>
      </c>
      <c r="H1" s="5" t="inlineStr">
        <is>
          <t>调整query ms ×1.2</t>
        </is>
      </c>
      <c r="I1" s="5" t="inlineStr">
        <is>
          <t>调整VO KB ×2</t>
        </is>
      </c>
      <c r="J1" s="5" t="inlineStr">
        <is>
          <t>调整verify ms ×1.5</t>
        </is>
      </c>
      <c r="K1" s="5" t="inlineStr">
        <is>
          <t>样本数</t>
        </is>
      </c>
      <c r="L1" s="5" t="inlineStr">
        <is>
          <t>性质</t>
        </is>
      </c>
      <c r="M1" s="5" t="inlineStr">
        <is>
          <t>来源</t>
        </is>
      </c>
    </row>
    <row r="2" ht="40.5" customHeight="1" s="1">
      <c r="A2" s="3" t="inlineStr">
        <is>
          <t>recall-fixed-graph</t>
        </is>
      </c>
      <c r="B2" s="3" t="n">
        <v>289761</v>
      </c>
      <c r="C2" s="3" t="n">
        <v>10</v>
      </c>
      <c r="D2" s="3" t="n">
        <v>12</v>
      </c>
      <c r="E2" s="3" t="n">
        <v>12</v>
      </c>
      <c r="F2" s="3" t="n">
        <v>10</v>
      </c>
      <c r="G2" s="125" t="n">
        <v>0.26</v>
      </c>
      <c r="H2" s="126" t="n">
        <v>0.79644474</v>
      </c>
      <c r="I2" s="126" t="n">
        <v>709.0436</v>
      </c>
      <c r="J2" s="126" t="n">
        <v>5.2249631</v>
      </c>
      <c r="K2" s="3" t="n">
        <v>60</v>
      </c>
      <c r="L2" s="3" t="inlineStr">
        <is>
          <t>用户系数调整；不是原始实测值</t>
        </is>
      </c>
      <c r="M2" s="3" t="inlineStr">
        <is>
          <t>/mnt/d/paper_source/work_9/VeriANN_repro_2026-09-30/VeriANN_repro_2026-09-30/results/work9-nytimes-annproof-full-20261021/measurements/selected-fixed-graph-recall-M12-efc12</t>
        </is>
      </c>
    </row>
    <row r="3" ht="40.5" customHeight="1" s="1">
      <c r="A3" s="3" t="inlineStr">
        <is>
          <t>recall-fixed-graph</t>
        </is>
      </c>
      <c r="B3" s="3" t="n">
        <v>289761</v>
      </c>
      <c r="C3" s="3" t="n">
        <v>10</v>
      </c>
      <c r="D3" s="3" t="n">
        <v>12</v>
      </c>
      <c r="E3" s="3" t="n">
        <v>12</v>
      </c>
      <c r="F3" s="3" t="n">
        <v>15</v>
      </c>
      <c r="G3" s="125" t="n">
        <v>0.31</v>
      </c>
      <c r="H3" s="126" t="n">
        <v>1.09177584</v>
      </c>
      <c r="I3" s="126" t="n">
        <v>955.7124</v>
      </c>
      <c r="J3" s="126" t="n">
        <v>7.030881225</v>
      </c>
      <c r="K3" s="3" t="n">
        <v>60</v>
      </c>
      <c r="L3" s="3" t="inlineStr">
        <is>
          <t>用户系数调整；不是原始实测值</t>
        </is>
      </c>
      <c r="M3" s="3" t="inlineStr">
        <is>
          <t>/mnt/d/paper_source/work_9/VeriANN_repro_2026-09-30/VeriANN_repro_2026-09-30/results/work9-nytimes-annproof-full-20261021/measurements/selected-fixed-graph-recall-M12-efc12</t>
        </is>
      </c>
    </row>
    <row r="4" ht="40.5" customHeight="1" s="1">
      <c r="A4" s="3" t="inlineStr">
        <is>
          <t>recall-fixed-graph</t>
        </is>
      </c>
      <c r="B4" s="3" t="n">
        <v>289761</v>
      </c>
      <c r="C4" s="3" t="n">
        <v>10</v>
      </c>
      <c r="D4" s="3" t="n">
        <v>12</v>
      </c>
      <c r="E4" s="3" t="n">
        <v>12</v>
      </c>
      <c r="F4" s="3" t="n">
        <v>39</v>
      </c>
      <c r="G4" s="125" t="n">
        <v>0.355</v>
      </c>
      <c r="H4" s="126" t="n">
        <v>2.27943224</v>
      </c>
      <c r="I4" s="126" t="n">
        <v>1793.4784</v>
      </c>
      <c r="J4" s="126" t="n">
        <v>12.821102775</v>
      </c>
      <c r="K4" s="3" t="n">
        <v>60</v>
      </c>
      <c r="L4" s="3" t="inlineStr">
        <is>
          <t>用户系数调整；不是原始实测值</t>
        </is>
      </c>
      <c r="M4" s="3" t="inlineStr">
        <is>
          <t>/mnt/d/paper_source/work_9/VeriANN_repro_2026-09-30/VeriANN_repro_2026-09-30/results/work9-nytimes-annproof-full-20261021/measurements/selected-fixed-graph-recall-M12-efc12</t>
        </is>
      </c>
    </row>
    <row r="5" ht="40.5" customHeight="1" s="1">
      <c r="A5" s="3" t="inlineStr">
        <is>
          <t>recall-fixed-graph</t>
        </is>
      </c>
      <c r="B5" s="3" t="n">
        <v>289761</v>
      </c>
      <c r="C5" s="3" t="n">
        <v>10</v>
      </c>
      <c r="D5" s="3" t="n">
        <v>12</v>
      </c>
      <c r="E5" s="3" t="n">
        <v>12</v>
      </c>
      <c r="F5" s="3" t="n">
        <v>61</v>
      </c>
      <c r="G5" s="125" t="n">
        <v>0.435</v>
      </c>
      <c r="H5" s="126" t="n">
        <v>3.3260833</v>
      </c>
      <c r="I5" s="126" t="n">
        <v>2616.9192</v>
      </c>
      <c r="J5" s="126" t="n">
        <v>18.685753975</v>
      </c>
      <c r="K5" s="3" t="n">
        <v>60</v>
      </c>
      <c r="L5" s="3" t="inlineStr">
        <is>
          <t>用户系数调整；不是原始实测值</t>
        </is>
      </c>
      <c r="M5" s="3" t="inlineStr">
        <is>
          <t>/mnt/d/paper_source/work_9/VeriANN_repro_2026-09-30/VeriANN_repro_2026-09-30/results/work9-nytimes-annproof-full-20261021/measurements/selected-fixed-graph-recall-M12-efc12</t>
        </is>
      </c>
    </row>
    <row r="6" ht="40.5" customHeight="1" s="1">
      <c r="A6" s="3" t="inlineStr">
        <is>
          <t>recall-fixed-graph</t>
        </is>
      </c>
      <c r="B6" s="3" t="n">
        <v>289761</v>
      </c>
      <c r="C6" s="3" t="n">
        <v>10</v>
      </c>
      <c r="D6" s="3" t="n">
        <v>12</v>
      </c>
      <c r="E6" s="3" t="n">
        <v>12</v>
      </c>
      <c r="F6" s="3" t="n">
        <v>82</v>
      </c>
      <c r="G6" s="125" t="n">
        <v>0.46</v>
      </c>
      <c r="H6" s="126" t="n">
        <v>4.2713538</v>
      </c>
      <c r="I6" s="126" t="n">
        <v>3263.8812</v>
      </c>
      <c r="J6" s="126" t="n">
        <v>23.078111775</v>
      </c>
      <c r="K6" s="3" t="n">
        <v>60</v>
      </c>
      <c r="L6" s="3" t="inlineStr">
        <is>
          <t>用户系数调整；不是原始实测值</t>
        </is>
      </c>
      <c r="M6" s="3" t="inlineStr">
        <is>
          <t>/mnt/d/paper_source/work_9/VeriANN_repro_2026-09-30/VeriANN_repro_2026-09-30/results/work9-nytimes-annproof-full-20261021/measurements/selected-fixed-graph-recall-M12-efc12</t>
        </is>
      </c>
    </row>
    <row r="7" ht="40.5" customHeight="1" s="1">
      <c r="A7" s="3" t="inlineStr">
        <is>
          <t>recall-fixed-graph</t>
        </is>
      </c>
      <c r="B7" s="3" t="n">
        <v>289761</v>
      </c>
      <c r="C7" s="3" t="n">
        <v>10</v>
      </c>
      <c r="D7" s="3" t="n">
        <v>12</v>
      </c>
      <c r="E7" s="3" t="n">
        <v>12</v>
      </c>
      <c r="F7" s="3" t="n">
        <v>99</v>
      </c>
      <c r="G7" s="125" t="n">
        <v>0.5</v>
      </c>
      <c r="H7" s="126" t="n">
        <v>5.07175968</v>
      </c>
      <c r="I7" s="126" t="n">
        <v>3832.8264</v>
      </c>
      <c r="J7" s="126" t="n">
        <v>26.964123275</v>
      </c>
      <c r="K7" s="3" t="n">
        <v>60</v>
      </c>
      <c r="L7" s="3" t="inlineStr">
        <is>
          <t>用户系数调整；不是原始实测值</t>
        </is>
      </c>
      <c r="M7" s="3" t="inlineStr">
        <is>
          <t>/mnt/d/paper_source/work_9/VeriANN_repro_2026-09-30/VeriANN_repro_2026-09-30/results/work9-nytimes-annproof-full-20261021/measurements/selected-fixed-graph-recall-M12-efc12</t>
        </is>
      </c>
    </row>
    <row r="8" ht="40.5" customHeight="1" s="1">
      <c r="A8" s="3" t="inlineStr">
        <is>
          <t>recall-fixed-graph</t>
        </is>
      </c>
      <c r="B8" s="3" t="n">
        <v>289761</v>
      </c>
      <c r="C8" s="3" t="n">
        <v>10</v>
      </c>
      <c r="D8" s="3" t="n">
        <v>12</v>
      </c>
      <c r="E8" s="3" t="n">
        <v>12</v>
      </c>
      <c r="F8" s="3" t="n">
        <v>127</v>
      </c>
      <c r="G8" s="125" t="n">
        <v>0.57</v>
      </c>
      <c r="H8" s="126" t="n">
        <v>6.3366834</v>
      </c>
      <c r="I8" s="126" t="n">
        <v>4673.5776</v>
      </c>
      <c r="J8" s="126" t="n">
        <v>32.8654999</v>
      </c>
      <c r="K8" s="3" t="n">
        <v>60</v>
      </c>
      <c r="L8" s="3" t="inlineStr">
        <is>
          <t>用户系数调整；不是原始实测值</t>
        </is>
      </c>
      <c r="M8" s="3" t="inlineStr">
        <is>
          <t>/mnt/d/paper_source/work_9/VeriANN_repro_2026-09-30/VeriANN_repro_2026-09-30/results/work9-nytimes-annproof-full-20261021/measurements/selected-fixed-graph-recall-M12-efc12</t>
        </is>
      </c>
    </row>
    <row r="9" ht="40.5" customHeight="1" s="1">
      <c r="A9" s="3" t="inlineStr">
        <is>
          <t>recall-fixed-graph</t>
        </is>
      </c>
      <c r="B9" s="3" t="n">
        <v>289761</v>
      </c>
      <c r="C9" s="3" t="n">
        <v>10</v>
      </c>
      <c r="D9" s="3" t="n">
        <v>12</v>
      </c>
      <c r="E9" s="3" t="n">
        <v>12</v>
      </c>
      <c r="F9" s="3" t="n">
        <v>200</v>
      </c>
      <c r="G9" s="125" t="n">
        <v>0.625</v>
      </c>
      <c r="H9" s="126" t="n">
        <v>8.959601620000001</v>
      </c>
      <c r="I9" s="126" t="n">
        <v>6570.0368</v>
      </c>
      <c r="J9" s="126" t="n">
        <v>45.597298675</v>
      </c>
      <c r="K9" s="3" t="n">
        <v>60</v>
      </c>
      <c r="L9" s="3" t="inlineStr">
        <is>
          <t>用户系数调整；不是原始实测值</t>
        </is>
      </c>
      <c r="M9" s="3" t="inlineStr">
        <is>
          <t>/mnt/d/paper_source/work_9/VeriANN_repro_2026-09-30/VeriANN_repro_2026-09-30/results/work9-nytimes-annproof-full-20261021/measurements/selected-fixed-graph-recall-M12-efc12</t>
        </is>
      </c>
    </row>
    <row r="10" ht="40.5" customHeight="1" s="1">
      <c r="A10" s="3" t="inlineStr">
        <is>
          <t>recall-fixed-graph</t>
        </is>
      </c>
      <c r="B10" s="3" t="n">
        <v>289761</v>
      </c>
      <c r="C10" s="3" t="n">
        <v>10</v>
      </c>
      <c r="D10" s="3" t="n">
        <v>12</v>
      </c>
      <c r="E10" s="3" t="n">
        <v>12</v>
      </c>
      <c r="F10" s="3" t="n">
        <v>272</v>
      </c>
      <c r="G10" s="125" t="n">
        <v>0.655</v>
      </c>
      <c r="H10" s="126" t="n">
        <v>11.2487443</v>
      </c>
      <c r="I10" s="126" t="n">
        <v>8181.7224</v>
      </c>
      <c r="J10" s="126" t="n">
        <v>56.48783145</v>
      </c>
      <c r="K10" s="3" t="n">
        <v>60</v>
      </c>
      <c r="L10" s="3" t="inlineStr">
        <is>
          <t>用户系数调整；不是原始实测值</t>
        </is>
      </c>
      <c r="M10" s="3" t="inlineStr">
        <is>
          <t>/mnt/d/paper_source/work_9/VeriANN_repro_2026-09-30/VeriANN_repro_2026-09-30/results/work9-nytimes-annproof-full-20261021/measurements/selected-fixed-graph-recall-M12-efc12</t>
        </is>
      </c>
    </row>
    <row r="11" ht="40.5" customHeight="1" s="1">
      <c r="A11" s="3" t="inlineStr">
        <is>
          <t>recall-fixed-graph</t>
        </is>
      </c>
      <c r="B11" s="3" t="n">
        <v>289761</v>
      </c>
      <c r="C11" s="3" t="n">
        <v>10</v>
      </c>
      <c r="D11" s="3" t="n">
        <v>12</v>
      </c>
      <c r="E11" s="3" t="n">
        <v>12</v>
      </c>
      <c r="F11" s="3" t="n">
        <v>800</v>
      </c>
      <c r="G11" s="125" t="n">
        <v>0.7</v>
      </c>
      <c r="H11" s="126" t="n">
        <v>25.5729461</v>
      </c>
      <c r="I11" s="126" t="n">
        <v>18478.732</v>
      </c>
      <c r="J11" s="126" t="n">
        <v>125.05901425</v>
      </c>
      <c r="K11" s="3" t="n">
        <v>60</v>
      </c>
      <c r="L11" s="3" t="inlineStr">
        <is>
          <t>用户系数调整；不是原始实测值</t>
        </is>
      </c>
      <c r="M11" s="3" t="inlineStr">
        <is>
          <t>/mnt/d/paper_source/work_9/VeriANN_repro_2026-09-30/VeriANN_repro_2026-09-30/results/work9-nytimes-annproof-full-20261021/measurements/selected-fixed-graph-recall-M12-efc12</t>
        </is>
      </c>
    </row>
    <row r="12" ht="40.5" customHeight="1" s="1">
      <c r="A12" s="3" t="inlineStr">
        <is>
          <t>recall-fixed-graph</t>
        </is>
      </c>
      <c r="B12" s="3" t="n">
        <v>289761</v>
      </c>
      <c r="C12" s="3" t="n">
        <v>10</v>
      </c>
      <c r="D12" s="3" t="n">
        <v>12</v>
      </c>
      <c r="E12" s="3" t="n">
        <v>12</v>
      </c>
      <c r="F12" s="3" t="n">
        <v>1344</v>
      </c>
      <c r="G12" s="125" t="n">
        <v>0.75</v>
      </c>
      <c r="H12" s="126" t="n">
        <v>41.34627752</v>
      </c>
      <c r="I12" s="126" t="n">
        <v>29561.6816</v>
      </c>
      <c r="J12" s="126" t="n">
        <v>197.355611125</v>
      </c>
      <c r="K12" s="3" t="n">
        <v>60</v>
      </c>
      <c r="L12" s="3" t="inlineStr">
        <is>
          <t>用户系数调整；不是原始实测值</t>
        </is>
      </c>
      <c r="M12" s="3" t="inlineStr">
        <is>
          <t>/mnt/d/paper_source/work_9/VeriANN_repro_2026-09-30/VeriANN_repro_2026-09-30/results/work9-nytimes-annproof-full-20261021/measurements/selected-fixed-graph-recall-M12-efc12</t>
        </is>
      </c>
    </row>
    <row r="13" ht="40.5" customHeight="1" s="1">
      <c r="A13" s="3" t="inlineStr">
        <is>
          <t>recall-fixed-graph</t>
        </is>
      </c>
      <c r="B13" s="3" t="n">
        <v>289761</v>
      </c>
      <c r="C13" s="3" t="n">
        <v>10</v>
      </c>
      <c r="D13" s="3" t="n">
        <v>12</v>
      </c>
      <c r="E13" s="3" t="n">
        <v>12</v>
      </c>
      <c r="F13" s="3" t="n">
        <v>3072</v>
      </c>
      <c r="G13" s="125" t="n">
        <v>0.84</v>
      </c>
      <c r="H13" s="126" t="n">
        <v>95.76175478</v>
      </c>
      <c r="I13" s="126" t="n">
        <v>63249.5224</v>
      </c>
      <c r="J13" s="126" t="n">
        <v>417.174322575</v>
      </c>
      <c r="K13" s="3" t="n">
        <v>60</v>
      </c>
      <c r="L13" s="3" t="inlineStr">
        <is>
          <t>用户系数调整；不是原始实测值</t>
        </is>
      </c>
      <c r="M13" s="3" t="inlineStr">
        <is>
          <t>/mnt/d/paper_source/work_9/VeriANN_repro_2026-09-30/VeriANN_repro_2026-09-30/results/work9-nytimes-annproof-full-20261021/measurements/selected-fixed-graph-recall-M12-efc12</t>
        </is>
      </c>
    </row>
    <row r="14" ht="40.5" customHeight="1" s="1">
      <c r="A14" s="3" t="inlineStr">
        <is>
          <t>recall-fixed-graph</t>
        </is>
      </c>
      <c r="B14" s="3" t="n">
        <v>289761</v>
      </c>
      <c r="C14" s="3" t="n">
        <v>10</v>
      </c>
      <c r="D14" s="3" t="n">
        <v>12</v>
      </c>
      <c r="E14" s="3" t="n">
        <v>12</v>
      </c>
      <c r="F14" s="3" t="n">
        <v>4096</v>
      </c>
      <c r="G14" s="125" t="n">
        <v>0.875</v>
      </c>
      <c r="H14" s="126" t="n">
        <v>134.30104498</v>
      </c>
      <c r="I14" s="126" t="n">
        <v>82722.38559999999</v>
      </c>
      <c r="J14" s="126" t="n">
        <v>543.7408809</v>
      </c>
      <c r="K14" s="3" t="n">
        <v>60</v>
      </c>
      <c r="L14" s="3" t="inlineStr">
        <is>
          <t>用户系数调整；不是原始实测值</t>
        </is>
      </c>
      <c r="M14" s="3" t="inlineStr">
        <is>
          <t>/mnt/d/paper_source/work_9/VeriANN_repro_2026-09-30/VeriANN_repro_2026-09-30/results/work9-nytimes-annproof-full-20261021/measurements/selected-fixed-graph-recall-M12-efc12</t>
        </is>
      </c>
    </row>
    <row r="15" ht="40.5" customHeight="1" s="1">
      <c r="A15" s="3" t="inlineStr">
        <is>
          <t>recall-fixed-graph</t>
        </is>
      </c>
      <c r="B15" s="3" t="n">
        <v>289761</v>
      </c>
      <c r="C15" s="3" t="n">
        <v>10</v>
      </c>
      <c r="D15" s="3" t="n">
        <v>12</v>
      </c>
      <c r="E15" s="3" t="n">
        <v>12</v>
      </c>
      <c r="F15" s="3" t="n">
        <v>6144</v>
      </c>
      <c r="G15" s="125" t="n">
        <v>0.915</v>
      </c>
      <c r="H15" s="126" t="n">
        <v>186.91182584</v>
      </c>
      <c r="I15" s="126" t="n">
        <v>118855.4896</v>
      </c>
      <c r="J15" s="126" t="n">
        <v>781.03693</v>
      </c>
      <c r="K15" s="3" t="n">
        <v>60</v>
      </c>
      <c r="L15" s="3" t="inlineStr">
        <is>
          <t>用户系数调整；不是原始实测值</t>
        </is>
      </c>
      <c r="M15" s="3" t="inlineStr">
        <is>
          <t>/mnt/d/paper_source/work_9/VeriANN_repro_2026-09-30/VeriANN_repro_2026-09-30/results/work9-nytimes-annproof-full-20261021/measurements/selected-fixed-graph-recall-M12-efc12</t>
        </is>
      </c>
    </row>
    <row r="16" ht="40.5" customHeight="1" s="1">
      <c r="A16" s="3" t="inlineStr">
        <is>
          <t>recall-fixed-graph</t>
        </is>
      </c>
      <c r="B16" s="3" t="n">
        <v>289761</v>
      </c>
      <c r="C16" s="3" t="n">
        <v>10</v>
      </c>
      <c r="D16" s="3" t="n">
        <v>12</v>
      </c>
      <c r="E16" s="3" t="n">
        <v>12</v>
      </c>
      <c r="F16" s="3" t="n">
        <v>16384</v>
      </c>
      <c r="G16" s="125" t="n">
        <v>0.985</v>
      </c>
      <c r="H16" s="126" t="n">
        <v>401.53256646</v>
      </c>
      <c r="I16" s="126" t="n">
        <v>258299.6636</v>
      </c>
      <c r="J16" s="126" t="n">
        <v>1723.879743825</v>
      </c>
      <c r="K16" s="3" t="n">
        <v>60</v>
      </c>
      <c r="L16" s="3" t="inlineStr">
        <is>
          <t>用户系数调整；不是原始实测值</t>
        </is>
      </c>
      <c r="M16" s="3" t="inlineStr">
        <is>
          <t>/mnt/d/paper_source/work_9/VeriANN_repro_2026-09-30/VeriANN_repro_2026-09-30/results/work9-nytimes-annproof-full-20261021/measurements/selected-fixed-graph-recall-M12-efc12</t>
        </is>
      </c>
    </row>
    <row r="17" ht="40.5" customHeight="1" s="1">
      <c r="A17" s="3" t="inlineStr">
        <is>
          <t>recall-fixed-graph</t>
        </is>
      </c>
      <c r="B17" s="3" t="n">
        <v>289761</v>
      </c>
      <c r="C17" s="3" t="n">
        <v>10</v>
      </c>
      <c r="D17" s="3" t="n">
        <v>12</v>
      </c>
      <c r="E17" s="3" t="n">
        <v>12</v>
      </c>
      <c r="F17" s="3" t="n">
        <v>32768</v>
      </c>
      <c r="G17" s="125" t="n">
        <v>0.99</v>
      </c>
      <c r="H17" s="126" t="n">
        <v>694.99663438</v>
      </c>
      <c r="I17" s="126" t="n">
        <v>396492.158</v>
      </c>
      <c r="J17" s="126" t="n">
        <v>2740.3914385</v>
      </c>
      <c r="K17" s="3" t="n">
        <v>60</v>
      </c>
      <c r="L17" s="3" t="inlineStr">
        <is>
          <t>用户系数调整；不是原始实测值</t>
        </is>
      </c>
      <c r="M17" s="3" t="inlineStr">
        <is>
          <t>/mnt/d/paper_source/work_9/VeriANN_repro_2026-09-30/VeriANN_repro_2026-09-30/results/work9-nytimes-annproof-full-20261021/measurements/selected-fixed-graph-recall-M12-efc12</t>
        </is>
      </c>
    </row>
    <row r="18" ht="40.5" customHeight="1" s="1">
      <c r="A18" s="3" t="inlineStr">
        <is>
          <t>recall-fixed-graph</t>
        </is>
      </c>
      <c r="B18" s="3" t="n">
        <v>289761</v>
      </c>
      <c r="C18" s="3" t="n">
        <v>10</v>
      </c>
      <c r="D18" s="3" t="n">
        <v>12</v>
      </c>
      <c r="E18" s="3" t="n">
        <v>12</v>
      </c>
      <c r="F18" s="3" t="n">
        <v>195</v>
      </c>
      <c r="G18" s="125" t="n">
        <v>0.615</v>
      </c>
      <c r="H18" s="126" t="n">
        <v>8.81913962</v>
      </c>
      <c r="I18" s="126" t="n">
        <v>6474.5424</v>
      </c>
      <c r="J18" s="126" t="n">
        <v>45.865722875</v>
      </c>
      <c r="K18" s="3" t="n">
        <v>60</v>
      </c>
      <c r="L18" s="3" t="inlineStr">
        <is>
          <t>用户系数调整；不是原始实测值</t>
        </is>
      </c>
      <c r="M18" s="3" t="inlineStr">
        <is>
          <t>/mnt/d/paper_source/work_9/VeriANN_repro_2026-09-30/VeriANN_repro_2026-09-30/results/work9-nytimes-annproof-full-20261021/measurements/fixed-graph-recall-refinement</t>
        </is>
      </c>
    </row>
    <row r="19" ht="40.5" customHeight="1" s="1">
      <c r="A19" s="3" t="inlineStr">
        <is>
          <t>recall-fixed-graph</t>
        </is>
      </c>
      <c r="B19" s="3" t="n">
        <v>289761</v>
      </c>
      <c r="C19" s="3" t="n">
        <v>10</v>
      </c>
      <c r="D19" s="3" t="n">
        <v>12</v>
      </c>
      <c r="E19" s="3" t="n">
        <v>12</v>
      </c>
      <c r="F19" s="3" t="n">
        <v>2176</v>
      </c>
      <c r="G19" s="125" t="n">
        <v>0.8</v>
      </c>
      <c r="H19" s="126" t="n">
        <v>69.05120257999999</v>
      </c>
      <c r="I19" s="126" t="n">
        <v>45771.154</v>
      </c>
      <c r="J19" s="126" t="n">
        <v>302.44276325</v>
      </c>
      <c r="K19" s="3" t="n">
        <v>60</v>
      </c>
      <c r="L19" s="3" t="inlineStr">
        <is>
          <t>用户系数调整；不是原始实测值</t>
        </is>
      </c>
      <c r="M19" s="3" t="inlineStr">
        <is>
          <t>/mnt/d/paper_source/work_9/VeriANN_repro_2026-09-30/VeriANN_repro_2026-09-30/results/work9-nytimes-annproof-full-20261021/measurements/fixed-graph-recall-refinement</t>
        </is>
      </c>
    </row>
    <row r="20" ht="40.5" customHeight="1" s="1">
      <c r="A20" s="3" t="inlineStr">
        <is>
          <t>recall-fixed-graph</t>
        </is>
      </c>
      <c r="B20" s="3" t="n">
        <v>289761</v>
      </c>
      <c r="C20" s="3" t="n">
        <v>10</v>
      </c>
      <c r="D20" s="3" t="n">
        <v>12</v>
      </c>
      <c r="E20" s="3" t="n">
        <v>12</v>
      </c>
      <c r="F20" s="3" t="n">
        <v>11264</v>
      </c>
      <c r="G20" s="125" t="n">
        <v>0.95</v>
      </c>
      <c r="H20" s="126" t="n">
        <v>314.23491074</v>
      </c>
      <c r="I20" s="126" t="n">
        <v>196279.1928</v>
      </c>
      <c r="J20" s="126" t="n">
        <v>1278.0067736</v>
      </c>
      <c r="K20" s="3" t="n">
        <v>60</v>
      </c>
      <c r="L20" s="3" t="inlineStr">
        <is>
          <t>用户系数调整；不是原始实测值</t>
        </is>
      </c>
      <c r="M20" s="3" t="inlineStr">
        <is>
          <t>/mnt/d/paper_source/work_9/VeriANN_repro_2026-09-30/VeriANN_repro_2026-09-30/results/work9-nytimes-annproof-full-20261021/measurements/fixed-graph-recall-refinement</t>
        </is>
      </c>
    </row>
    <row r="21" ht="27" customHeight="1" s="1">
      <c r="A21" s="3" t="inlineStr">
        <is>
          <t>default-and-k</t>
        </is>
      </c>
      <c r="B21" s="3" t="n">
        <v>289761</v>
      </c>
      <c r="C21" s="3" t="n">
        <v>1</v>
      </c>
      <c r="D21" s="3" t="n">
        <v>16</v>
      </c>
      <c r="E21" s="3" t="n">
        <v>200</v>
      </c>
      <c r="F21" s="3" t="n">
        <v>264</v>
      </c>
      <c r="G21" s="125" t="n">
        <v>1</v>
      </c>
      <c r="H21" s="126" t="n">
        <v>18.00640854</v>
      </c>
      <c r="I21" s="126" t="n">
        <v>13657.1372</v>
      </c>
      <c r="J21" s="126" t="n">
        <v>92.26766095000001</v>
      </c>
      <c r="K21" s="3" t="n">
        <v>60</v>
      </c>
      <c r="L21" s="3" t="inlineStr">
        <is>
          <t>用户系数调整；不是原始实测值</t>
        </is>
      </c>
      <c r="M21" s="3" t="inlineStr">
        <is>
          <t>/mnt/d/paper_source/work_9/VeriANN_repro_2026-09-30/VeriANN_repro_2026-09-30/results/work9-nytimes-annproof-full-20261021/measurements/default-and-k</t>
        </is>
      </c>
    </row>
    <row r="22" ht="27" customHeight="1" s="1">
      <c r="A22" s="3" t="inlineStr">
        <is>
          <t>default-and-k</t>
        </is>
      </c>
      <c r="B22" s="3" t="n">
        <v>289761</v>
      </c>
      <c r="C22" s="3" t="n">
        <v>5</v>
      </c>
      <c r="D22" s="3" t="n">
        <v>16</v>
      </c>
      <c r="E22" s="3" t="n">
        <v>200</v>
      </c>
      <c r="F22" s="3" t="n">
        <v>264</v>
      </c>
      <c r="G22" s="125" t="n">
        <v>0.98</v>
      </c>
      <c r="H22" s="126" t="n">
        <v>17.5941087</v>
      </c>
      <c r="I22" s="126" t="n">
        <v>13661.5212</v>
      </c>
      <c r="J22" s="126" t="n">
        <v>92.41247665</v>
      </c>
      <c r="K22" s="3" t="n">
        <v>60</v>
      </c>
      <c r="L22" s="3" t="inlineStr">
        <is>
          <t>用户系数调整；不是原始实测值</t>
        </is>
      </c>
      <c r="M22" s="3" t="inlineStr">
        <is>
          <t>/mnt/d/paper_source/work_9/VeriANN_repro_2026-09-30/VeriANN_repro_2026-09-30/results/work9-nytimes-annproof-full-20261021/measurements/default-and-k</t>
        </is>
      </c>
    </row>
    <row r="23" ht="27" customHeight="1" s="1">
      <c r="A23" s="3" t="inlineStr">
        <is>
          <t>default-and-k</t>
        </is>
      </c>
      <c r="B23" s="3" t="n">
        <v>289761</v>
      </c>
      <c r="C23" s="3" t="n">
        <v>10</v>
      </c>
      <c r="D23" s="3" t="n">
        <v>16</v>
      </c>
      <c r="E23" s="3" t="n">
        <v>200</v>
      </c>
      <c r="F23" s="3" t="n">
        <v>264</v>
      </c>
      <c r="G23" s="125" t="n">
        <v>0.95</v>
      </c>
      <c r="H23" s="126" t="n">
        <v>17.69821874</v>
      </c>
      <c r="I23" s="126" t="n">
        <v>13666.8252</v>
      </c>
      <c r="J23" s="126" t="n">
        <v>92.824171225</v>
      </c>
      <c r="K23" s="3" t="n">
        <v>60</v>
      </c>
      <c r="L23" s="3" t="inlineStr">
        <is>
          <t>用户系数调整；不是原始实测值</t>
        </is>
      </c>
      <c r="M23" s="3" t="inlineStr">
        <is>
          <t>/mnt/d/paper_source/work_9/VeriANN_repro_2026-09-30/VeriANN_repro_2026-09-30/results/work9-nytimes-annproof-full-20261021/measurements/default-and-k</t>
        </is>
      </c>
    </row>
    <row r="24" ht="27" customHeight="1" s="1">
      <c r="A24" s="3" t="inlineStr">
        <is>
          <t>default-and-k</t>
        </is>
      </c>
      <c r="B24" s="3" t="n">
        <v>289761</v>
      </c>
      <c r="C24" s="3" t="n">
        <v>20</v>
      </c>
      <c r="D24" s="3" t="n">
        <v>16</v>
      </c>
      <c r="E24" s="3" t="n">
        <v>200</v>
      </c>
      <c r="F24" s="3" t="n">
        <v>264</v>
      </c>
      <c r="G24" s="125" t="n">
        <v>0.9375</v>
      </c>
      <c r="H24" s="126" t="n">
        <v>17.83575048</v>
      </c>
      <c r="I24" s="126" t="n">
        <v>13676.9892</v>
      </c>
      <c r="J24" s="126" t="n">
        <v>92.19518467499999</v>
      </c>
      <c r="K24" s="3" t="n">
        <v>60</v>
      </c>
      <c r="L24" s="3" t="inlineStr">
        <is>
          <t>用户系数调整；不是原始实测值</t>
        </is>
      </c>
      <c r="M24" s="3" t="inlineStr">
        <is>
          <t>/mnt/d/paper_source/work_9/VeriANN_repro_2026-09-30/VeriANN_repro_2026-09-30/results/work9-nytimes-annproof-full-20261021/measurements/default-and-k</t>
        </is>
      </c>
    </row>
    <row r="25" ht="27" customHeight="1" s="1">
      <c r="A25" s="3" t="inlineStr">
        <is>
          <t>default-and-k</t>
        </is>
      </c>
      <c r="B25" s="3" t="n">
        <v>289761</v>
      </c>
      <c r="C25" s="3" t="n">
        <v>50</v>
      </c>
      <c r="D25" s="3" t="n">
        <v>16</v>
      </c>
      <c r="E25" s="3" t="n">
        <v>200</v>
      </c>
      <c r="F25" s="3" t="n">
        <v>264</v>
      </c>
      <c r="G25" s="125" t="n">
        <v>0.893</v>
      </c>
      <c r="H25" s="126" t="n">
        <v>17.803692</v>
      </c>
      <c r="I25" s="126" t="n">
        <v>13704.3452</v>
      </c>
      <c r="J25" s="126" t="n">
        <v>93.215303775</v>
      </c>
      <c r="K25" s="3" t="n">
        <v>60</v>
      </c>
      <c r="L25" s="3" t="inlineStr">
        <is>
          <t>用户系数调整；不是原始实测值</t>
        </is>
      </c>
      <c r="M25" s="3" t="inlineStr">
        <is>
          <t>/mnt/d/paper_source/work_9/VeriANN_repro_2026-09-30/VeriANN_repro_2026-09-30/results/work9-nytimes-annproof-full-20261021/measurements/default-and-k</t>
        </is>
      </c>
    </row>
    <row r="26" ht="27" customHeight="1" s="1">
      <c r="A26" s="3" t="inlineStr">
        <is>
          <t>default-and-k</t>
        </is>
      </c>
      <c r="B26" s="3" t="n">
        <v>289761</v>
      </c>
      <c r="C26" s="3" t="n">
        <v>100</v>
      </c>
      <c r="D26" s="3" t="n">
        <v>16</v>
      </c>
      <c r="E26" s="3" t="n">
        <v>200</v>
      </c>
      <c r="F26" s="3" t="n">
        <v>264</v>
      </c>
      <c r="G26" s="125" t="n">
        <v>0.858</v>
      </c>
      <c r="H26" s="126" t="n">
        <v>17.81006524</v>
      </c>
      <c r="I26" s="126" t="n">
        <v>13744.0772</v>
      </c>
      <c r="J26" s="126" t="n">
        <v>94.1695325</v>
      </c>
      <c r="K26" s="3" t="n">
        <v>60</v>
      </c>
      <c r="L26" s="3" t="inlineStr">
        <is>
          <t>用户系数调整；不是原始实测值</t>
        </is>
      </c>
      <c r="M26" s="3" t="inlineStr">
        <is>
          <t>/mnt/d/paper_source/work_9/VeriANN_repro_2026-09-30/VeriANN_repro_2026-09-30/results/work9-nytimes-annproof-full-20261021/measurements/default-and-k</t>
        </is>
      </c>
    </row>
    <row r="27" ht="27" customHeight="1" s="1">
      <c r="A27" s="3" t="inlineStr">
        <is>
          <t>size100k</t>
        </is>
      </c>
      <c r="B27" s="3" t="n">
        <v>100000</v>
      </c>
      <c r="C27" s="3" t="n">
        <v>10</v>
      </c>
      <c r="D27" s="3" t="n">
        <v>16</v>
      </c>
      <c r="E27" s="3" t="n">
        <v>200</v>
      </c>
      <c r="F27" s="3" t="n">
        <v>416</v>
      </c>
      <c r="G27" s="125" t="n">
        <v>0.95</v>
      </c>
      <c r="H27" s="126" t="n">
        <v>27.80148858</v>
      </c>
      <c r="I27" s="126" t="n">
        <v>22772.9756</v>
      </c>
      <c r="J27" s="126" t="n">
        <v>141.700934025</v>
      </c>
      <c r="K27" s="3" t="n">
        <v>60</v>
      </c>
      <c r="L27" s="3" t="inlineStr">
        <is>
          <t>用户系数调整；不是原始实测值</t>
        </is>
      </c>
      <c r="M27" s="3" t="inlineStr">
        <is>
          <t>/mnt/d/paper_source/work_9/VeriANN_repro_2026-09-30/VeriANN_repro_2026-09-30/results/work9-nytimes-annproof-full-20261021/measurements/size100k</t>
        </is>
      </c>
    </row>
  </sheetData>
  <autoFilter ref="A1:M27"/>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48"/>
  <sheetViews>
    <sheetView workbookViewId="0">
      <pane ySplit="1" topLeftCell="A2" activePane="bottomLeft" state="frozen"/>
      <selection activeCell="A1" sqref="A1"/>
      <selection pane="bottomLeft" activeCell="A1" sqref="A1"/>
    </sheetView>
  </sheetViews>
  <sheetFormatPr baseColWidth="8" defaultColWidth="9" defaultRowHeight="13.5"/>
  <cols>
    <col width="22" customWidth="1" style="1" min="1" max="5"/>
  </cols>
  <sheetData>
    <row r="1">
      <c r="A1" s="5" t="inlineStr">
        <is>
          <t>单元格</t>
        </is>
      </c>
      <c r="B1" s="5" t="inlineStr">
        <is>
          <t>旧值</t>
        </is>
      </c>
      <c r="C1" s="5" t="inlineStr">
        <is>
          <t>新值</t>
        </is>
      </c>
      <c r="D1" s="5" t="inlineStr">
        <is>
          <t>性质</t>
        </is>
      </c>
      <c r="E1" s="5" t="inlineStr">
        <is>
          <t>来源</t>
        </is>
      </c>
    </row>
    <row r="2" ht="378" customHeight="1" s="1">
      <c r="A2" s="3" t="inlineStr">
        <is>
          <t>F23</t>
        </is>
      </c>
      <c r="B2" s="3" t="n">
        <v>40</v>
      </c>
      <c r="C2" s="3" t="n">
        <v>26</v>
      </c>
      <c r="D2" s="3" t="inlineStr">
        <is>
          <t>实际召回率</t>
        </is>
      </c>
      <c r="E2" s="3" t="inlineStr">
        <is>
          <t>{"k":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3" ht="378" customHeight="1" s="1">
      <c r="A3" s="3" t="inlineStr">
        <is>
          <t>F37</t>
        </is>
      </c>
      <c r="B3" s="3" t="n">
        <v>40</v>
      </c>
      <c r="C3" s="3" t="n">
        <v>26</v>
      </c>
      <c r="D3" s="3" t="inlineStr">
        <is>
          <t>实际召回率</t>
        </is>
      </c>
      <c r="E3" s="3" t="inlineStr">
        <is>
          <t>{"k":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4" ht="378" customHeight="1" s="1">
      <c r="A4" s="3" t="inlineStr">
        <is>
          <t>F51</t>
        </is>
      </c>
      <c r="B4" s="3" t="n">
        <v>40</v>
      </c>
      <c r="C4" s="3" t="n">
        <v>26</v>
      </c>
      <c r="D4" s="3" t="inlineStr">
        <is>
          <t>实际召回率</t>
        </is>
      </c>
      <c r="E4" s="3" t="inlineStr">
        <is>
          <t>{"k":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5" ht="378" customHeight="1" s="1">
      <c r="A5" s="3" t="inlineStr">
        <is>
          <t>F24</t>
        </is>
      </c>
      <c r="B5" s="3" t="n">
        <v>706.6212</v>
      </c>
      <c r="C5" s="3" t="n">
        <v>709.0436</v>
      </c>
      <c r="D5" s="3" t="inlineStr">
        <is>
          <t>用户系数调整</t>
        </is>
      </c>
      <c r="E5" s="3" t="inlineStr">
        <is>
          <t>{"k":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6" ht="378" customHeight="1" s="1">
      <c r="A6" s="3" t="inlineStr">
        <is>
          <t>F38</t>
        </is>
      </c>
      <c r="B6" s="3" t="n">
        <v>5.53724155</v>
      </c>
      <c r="C6" s="3" t="n">
        <v>5.2249631</v>
      </c>
      <c r="D6" s="3" t="inlineStr">
        <is>
          <t>用户系数调整</t>
        </is>
      </c>
      <c r="E6" s="3" t="inlineStr">
        <is>
          <t>{"k":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7" ht="378" customHeight="1" s="1">
      <c r="A7" s="3" t="inlineStr">
        <is>
          <t>F52</t>
        </is>
      </c>
      <c r="B7" s="3" t="n">
        <v>0.8618382</v>
      </c>
      <c r="C7" s="3" t="n">
        <v>0.79644474</v>
      </c>
      <c r="D7" s="3" t="inlineStr">
        <is>
          <t>用户系数调整</t>
        </is>
      </c>
      <c r="E7" s="3" t="inlineStr">
        <is>
          <t>{"k":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8" ht="378" customHeight="1" s="1">
      <c r="A8" s="3" t="inlineStr">
        <is>
          <t>G23</t>
        </is>
      </c>
      <c r="B8" s="3" t="n">
        <v>40</v>
      </c>
      <c r="C8" s="3" t="n">
        <v>26</v>
      </c>
      <c r="D8" s="3" t="inlineStr">
        <is>
          <t>实际召回率</t>
        </is>
      </c>
      <c r="E8" s="3" t="inlineStr">
        <is>
          <t>{"k":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9" ht="378" customHeight="1" s="1">
      <c r="A9" s="3" t="inlineStr">
        <is>
          <t>G37</t>
        </is>
      </c>
      <c r="B9" s="3" t="n">
        <v>40</v>
      </c>
      <c r="C9" s="3" t="n">
        <v>26</v>
      </c>
      <c r="D9" s="3" t="inlineStr">
        <is>
          <t>实际召回率</t>
        </is>
      </c>
      <c r="E9" s="3" t="inlineStr">
        <is>
          <t>{"k":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0" ht="378" customHeight="1" s="1">
      <c r="A10" s="3" t="inlineStr">
        <is>
          <t>G51</t>
        </is>
      </c>
      <c r="B10" s="3" t="n">
        <v>40</v>
      </c>
      <c r="C10" s="3" t="n">
        <v>26</v>
      </c>
      <c r="D10" s="3" t="inlineStr">
        <is>
          <t>实际召回率</t>
        </is>
      </c>
      <c r="E10" s="3" t="inlineStr">
        <is>
          <t>{"k":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1" ht="378" customHeight="1" s="1">
      <c r="A11" s="3" t="inlineStr">
        <is>
          <t>G24</t>
        </is>
      </c>
      <c r="B11" s="3" t="n">
        <v>706.6212</v>
      </c>
      <c r="C11" s="3" t="n">
        <v>709.0436</v>
      </c>
      <c r="D11" s="3" t="inlineStr">
        <is>
          <t>用户系数调整</t>
        </is>
      </c>
      <c r="E11" s="3" t="inlineStr">
        <is>
          <t>{"k":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2" ht="378" customHeight="1" s="1">
      <c r="A12" s="3" t="inlineStr">
        <is>
          <t>G38</t>
        </is>
      </c>
      <c r="B12" s="3" t="n">
        <v>5.53724155</v>
      </c>
      <c r="C12" s="3" t="n">
        <v>5.2249631</v>
      </c>
      <c r="D12" s="3" t="inlineStr">
        <is>
          <t>用户系数调整</t>
        </is>
      </c>
      <c r="E12" s="3" t="inlineStr">
        <is>
          <t>{"k":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3" ht="378" customHeight="1" s="1">
      <c r="A13" s="3" t="inlineStr">
        <is>
          <t>G52</t>
        </is>
      </c>
      <c r="B13" s="3" t="n">
        <v>0.8618382</v>
      </c>
      <c r="C13" s="3" t="n">
        <v>0.79644474</v>
      </c>
      <c r="D13" s="3" t="inlineStr">
        <is>
          <t>用户系数调整</t>
        </is>
      </c>
      <c r="E13" s="3" t="inlineStr">
        <is>
          <t>{"k":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4" ht="378" customHeight="1" s="1">
      <c r="A14" s="3" t="inlineStr">
        <is>
          <t>H23</t>
        </is>
      </c>
      <c r="B14" s="3" t="n">
        <v>40</v>
      </c>
      <c r="C14" s="3" t="n">
        <v>26</v>
      </c>
      <c r="D14" s="3" t="inlineStr">
        <is>
          <t>实际召回率</t>
        </is>
      </c>
      <c r="E14" s="3" t="inlineStr">
        <is>
          <t>{"k":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5" ht="378" customHeight="1" s="1">
      <c r="A15" s="3" t="inlineStr">
        <is>
          <t>H37</t>
        </is>
      </c>
      <c r="B15" s="3" t="n">
        <v>40</v>
      </c>
      <c r="C15" s="3" t="n">
        <v>26</v>
      </c>
      <c r="D15" s="3" t="inlineStr">
        <is>
          <t>实际召回率</t>
        </is>
      </c>
      <c r="E15" s="3" t="inlineStr">
        <is>
          <t>{"k":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6" ht="378" customHeight="1" s="1">
      <c r="A16" s="3" t="inlineStr">
        <is>
          <t>H51</t>
        </is>
      </c>
      <c r="B16" s="3" t="n">
        <v>40</v>
      </c>
      <c r="C16" s="3" t="n">
        <v>26</v>
      </c>
      <c r="D16" s="3" t="inlineStr">
        <is>
          <t>实际召回率</t>
        </is>
      </c>
      <c r="E16" s="3" t="inlineStr">
        <is>
          <t>{"k":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7" ht="378" customHeight="1" s="1">
      <c r="A17" s="3" t="inlineStr">
        <is>
          <t>H24</t>
        </is>
      </c>
      <c r="B17" s="3" t="n">
        <v>706.6212</v>
      </c>
      <c r="C17" s="3" t="n">
        <v>709.0436</v>
      </c>
      <c r="D17" s="3" t="inlineStr">
        <is>
          <t>用户系数调整</t>
        </is>
      </c>
      <c r="E17" s="3" t="inlineStr">
        <is>
          <t>{"k":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8" ht="378" customHeight="1" s="1">
      <c r="A18" s="3" t="inlineStr">
        <is>
          <t>H38</t>
        </is>
      </c>
      <c r="B18" s="3" t="n">
        <v>5.53724155</v>
      </c>
      <c r="C18" s="3" t="n">
        <v>5.2249631</v>
      </c>
      <c r="D18" s="3" t="inlineStr">
        <is>
          <t>用户系数调整</t>
        </is>
      </c>
      <c r="E18" s="3" t="inlineStr">
        <is>
          <t>{"k":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9" ht="378" customHeight="1" s="1">
      <c r="A19" s="3" t="inlineStr">
        <is>
          <t>H52</t>
        </is>
      </c>
      <c r="B19" s="3" t="n">
        <v>0.8618382</v>
      </c>
      <c r="C19" s="3" t="n">
        <v>0.79644474</v>
      </c>
      <c r="D19" s="3" t="inlineStr">
        <is>
          <t>用户系数调整</t>
        </is>
      </c>
      <c r="E19" s="3" t="inlineStr">
        <is>
          <t>{"k":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20" ht="364.5" customHeight="1" s="1">
      <c r="A20" s="3" t="inlineStr">
        <is>
          <t>I23</t>
        </is>
      </c>
      <c r="B20" s="3" t="n">
        <v>40</v>
      </c>
      <c r="C20" s="3" t="n">
        <v>31</v>
      </c>
      <c r="D20" s="3" t="inlineStr">
        <is>
          <t>实际召回率</t>
        </is>
      </c>
      <c r="E20" s="3" t="inlineStr">
        <is>
          <t>{"k": 10, "ef": 15, "probes": 1, "recall": 0.31, "query_ms": 0.9098131999999999, "verify_ms": 4.68725415, "vo_kb": 477.8562,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21" ht="364.5" customHeight="1" s="1">
      <c r="A21" s="3" t="inlineStr">
        <is>
          <t>I37</t>
        </is>
      </c>
      <c r="B21" s="3" t="n">
        <v>40</v>
      </c>
      <c r="C21" s="3" t="n">
        <v>31</v>
      </c>
      <c r="D21" s="3" t="inlineStr">
        <is>
          <t>实际召回率</t>
        </is>
      </c>
      <c r="E21" s="3" t="inlineStr">
        <is>
          <t>{"k": 10, "ef": 15, "probes": 1, "recall": 0.31, "query_ms": 0.9098131999999999, "verify_ms": 4.68725415, "vo_kb": 477.8562,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22" ht="364.5" customHeight="1" s="1">
      <c r="A22" s="3" t="inlineStr">
        <is>
          <t>I51</t>
        </is>
      </c>
      <c r="B22" s="3" t="n">
        <v>40</v>
      </c>
      <c r="C22" s="3" t="n">
        <v>31</v>
      </c>
      <c r="D22" s="3" t="inlineStr">
        <is>
          <t>实际召回率</t>
        </is>
      </c>
      <c r="E22" s="3" t="inlineStr">
        <is>
          <t>{"k": 10, "ef": 15, "probes": 1, "recall": 0.31, "query_ms": 0.9098131999999999, "verify_ms": 4.68725415, "vo_kb": 477.8562,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23" ht="364.5" customHeight="1" s="1">
      <c r="A23" s="3" t="inlineStr">
        <is>
          <t>I24</t>
        </is>
      </c>
      <c r="B23" s="3" t="n">
        <v>706.6212</v>
      </c>
      <c r="C23" s="3" t="n">
        <v>955.7124</v>
      </c>
      <c r="D23" s="3" t="inlineStr">
        <is>
          <t>用户系数调整</t>
        </is>
      </c>
      <c r="E23" s="3" t="inlineStr">
        <is>
          <t>{"k": 10, "ef": 15, "probes": 1, "recall": 0.31, "query_ms": 0.9098131999999999, "verify_ms": 4.68725415, "vo_kb": 477.8562,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24" ht="364.5" customHeight="1" s="1">
      <c r="A24" s="3" t="inlineStr">
        <is>
          <t>I38</t>
        </is>
      </c>
      <c r="B24" s="3" t="n">
        <v>5.53724155</v>
      </c>
      <c r="C24" s="3" t="n">
        <v>7.030881225</v>
      </c>
      <c r="D24" s="3" t="inlineStr">
        <is>
          <t>用户系数调整</t>
        </is>
      </c>
      <c r="E24" s="3" t="inlineStr">
        <is>
          <t>{"k": 10, "ef": 15, "probes": 1, "recall": 0.31, "query_ms": 0.9098131999999999, "verify_ms": 4.68725415, "vo_kb": 477.8562,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25" ht="364.5" customHeight="1" s="1">
      <c r="A25" s="3" t="inlineStr">
        <is>
          <t>I52</t>
        </is>
      </c>
      <c r="B25" s="3" t="n">
        <v>0.8618382</v>
      </c>
      <c r="C25" s="3" t="n">
        <v>1.09177584</v>
      </c>
      <c r="D25" s="3" t="inlineStr">
        <is>
          <t>用户系数调整</t>
        </is>
      </c>
      <c r="E25" s="3" t="inlineStr">
        <is>
          <t>{"k": 10, "ef": 15, "probes": 1, "recall": 0.31, "query_ms": 0.9098131999999999, "verify_ms": 4.68725415, "vo_kb": 477.8562,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26" ht="378" customHeight="1" s="1">
      <c r="A26" s="3" t="inlineStr">
        <is>
          <t>J23</t>
        </is>
      </c>
      <c r="B26" s="3" t="n">
        <v>40</v>
      </c>
      <c r="C26" s="3" t="n">
        <v>35.5</v>
      </c>
      <c r="D26" s="3" t="inlineStr">
        <is>
          <t>实际召回率</t>
        </is>
      </c>
      <c r="E26" s="3" t="inlineStr">
        <is>
          <t>{"k": 10, "ef": 39, "probes": 1, "recall": 0.35500000000000004, "query_ms": 1.8995268666666667, "verify_ms": 8.54740185, "vo_kb": 896.7392,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27" ht="378" customHeight="1" s="1">
      <c r="A27" s="3" t="inlineStr">
        <is>
          <t>J37</t>
        </is>
      </c>
      <c r="B27" s="3" t="n">
        <v>40</v>
      </c>
      <c r="C27" s="3" t="n">
        <v>35.5</v>
      </c>
      <c r="D27" s="3" t="inlineStr">
        <is>
          <t>实际召回率</t>
        </is>
      </c>
      <c r="E27" s="3" t="inlineStr">
        <is>
          <t>{"k": 10, "ef": 39, "probes": 1, "recall": 0.35500000000000004, "query_ms": 1.8995268666666667, "verify_ms": 8.54740185, "vo_kb": 896.7392,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28" ht="378" customHeight="1" s="1">
      <c r="A28" s="3" t="inlineStr">
        <is>
          <t>J51</t>
        </is>
      </c>
      <c r="B28" s="3" t="n">
        <v>40</v>
      </c>
      <c r="C28" s="3" t="n">
        <v>35.5</v>
      </c>
      <c r="D28" s="3" t="inlineStr">
        <is>
          <t>实际召回率</t>
        </is>
      </c>
      <c r="E28" s="3" t="inlineStr">
        <is>
          <t>{"k": 10, "ef": 39, "probes": 1, "recall": 0.35500000000000004, "query_ms": 1.8995268666666667, "verify_ms": 8.54740185, "vo_kb": 896.7392,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29" ht="378" customHeight="1" s="1">
      <c r="A29" s="3" t="inlineStr">
        <is>
          <t>J24</t>
        </is>
      </c>
      <c r="B29" s="3" t="n">
        <v>706.6212</v>
      </c>
      <c r="C29" s="3" t="n">
        <v>1793.4784</v>
      </c>
      <c r="D29" s="3" t="inlineStr">
        <is>
          <t>用户系数调整</t>
        </is>
      </c>
      <c r="E29" s="3" t="inlineStr">
        <is>
          <t>{"k": 10, "ef": 39, "probes": 1, "recall": 0.35500000000000004, "query_ms": 1.8995268666666667, "verify_ms": 8.54740185, "vo_kb": 896.7392,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30" ht="378" customHeight="1" s="1">
      <c r="A30" s="3" t="inlineStr">
        <is>
          <t>J38</t>
        </is>
      </c>
      <c r="B30" s="3" t="n">
        <v>5.53724155</v>
      </c>
      <c r="C30" s="3" t="n">
        <v>12.821102775</v>
      </c>
      <c r="D30" s="3" t="inlineStr">
        <is>
          <t>用户系数调整</t>
        </is>
      </c>
      <c r="E30" s="3" t="inlineStr">
        <is>
          <t>{"k": 10, "ef": 39, "probes": 1, "recall": 0.35500000000000004, "query_ms": 1.8995268666666667, "verify_ms": 8.54740185, "vo_kb": 896.7392,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31" ht="378" customHeight="1" s="1">
      <c r="A31" s="3" t="inlineStr">
        <is>
          <t>J52</t>
        </is>
      </c>
      <c r="B31" s="3" t="n">
        <v>0.8618382</v>
      </c>
      <c r="C31" s="3" t="n">
        <v>2.27943224</v>
      </c>
      <c r="D31" s="3" t="inlineStr">
        <is>
          <t>用户系数调整</t>
        </is>
      </c>
      <c r="E31" s="3" t="inlineStr">
        <is>
          <t>{"k": 10, "ef": 39, "probes": 1, "recall": 0.35500000000000004, "query_ms": 1.8995268666666667, "verify_ms": 8.54740185, "vo_kb": 896.7392,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32" ht="391.5" customHeight="1" s="1">
      <c r="A32" s="3" t="inlineStr">
        <is>
          <t>K23</t>
        </is>
      </c>
      <c r="B32" s="3" t="n">
        <v>40</v>
      </c>
      <c r="C32" s="3" t="n">
        <v>43.5</v>
      </c>
      <c r="D32" s="3" t="inlineStr">
        <is>
          <t>实际召回率</t>
        </is>
      </c>
      <c r="E32" s="3" t="inlineStr">
        <is>
          <t>{"k": 10, "ef": 61, "probes": 1, "recall": 0.435, "query_ms": 2.7717360833333333, "verify_ms": 12.457169316666667, "vo_kb": 1308.4596000000001,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33" ht="391.5" customHeight="1" s="1">
      <c r="A33" s="3" t="inlineStr">
        <is>
          <t>K37</t>
        </is>
      </c>
      <c r="B33" s="3" t="n">
        <v>40</v>
      </c>
      <c r="C33" s="3" t="n">
        <v>43.5</v>
      </c>
      <c r="D33" s="3" t="inlineStr">
        <is>
          <t>实际召回率</t>
        </is>
      </c>
      <c r="E33" s="3" t="inlineStr">
        <is>
          <t>{"k": 10, "ef": 61, "probes": 1, "recall": 0.435, "query_ms": 2.7717360833333333, "verify_ms": 12.457169316666667, "vo_kb": 1308.4596000000001,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34" ht="391.5" customHeight="1" s="1">
      <c r="A34" s="3" t="inlineStr">
        <is>
          <t>K51</t>
        </is>
      </c>
      <c r="B34" s="3" t="n">
        <v>40</v>
      </c>
      <c r="C34" s="3" t="n">
        <v>43.5</v>
      </c>
      <c r="D34" s="3" t="inlineStr">
        <is>
          <t>实际召回率</t>
        </is>
      </c>
      <c r="E34" s="3" t="inlineStr">
        <is>
          <t>{"k": 10, "ef": 61, "probes": 1, "recall": 0.435, "query_ms": 2.7717360833333333, "verify_ms": 12.457169316666667, "vo_kb": 1308.4596000000001,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35" ht="391.5" customHeight="1" s="1">
      <c r="A35" s="3" t="inlineStr">
        <is>
          <t>K24</t>
        </is>
      </c>
      <c r="B35" s="3" t="n">
        <v>706.6212</v>
      </c>
      <c r="C35" s="3" t="n">
        <v>2616.9192</v>
      </c>
      <c r="D35" s="3" t="inlineStr">
        <is>
          <t>用户系数调整</t>
        </is>
      </c>
      <c r="E35" s="3" t="inlineStr">
        <is>
          <t>{"k": 10, "ef": 61, "probes": 1, "recall": 0.435, "query_ms": 2.7717360833333333, "verify_ms": 12.457169316666667, "vo_kb": 1308.4596000000001,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36" ht="391.5" customHeight="1" s="1">
      <c r="A36" s="3" t="inlineStr">
        <is>
          <t>K38</t>
        </is>
      </c>
      <c r="B36" s="3" t="n">
        <v>5.53724155</v>
      </c>
      <c r="C36" s="3" t="n">
        <v>18.685753975</v>
      </c>
      <c r="D36" s="3" t="inlineStr">
        <is>
          <t>用户系数调整</t>
        </is>
      </c>
      <c r="E36" s="3" t="inlineStr">
        <is>
          <t>{"k": 10, "ef": 61, "probes": 1, "recall": 0.435, "query_ms": 2.7717360833333333, "verify_ms": 12.457169316666667, "vo_kb": 1308.4596000000001,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37" ht="391.5" customHeight="1" s="1">
      <c r="A37" s="3" t="inlineStr">
        <is>
          <t>K52</t>
        </is>
      </c>
      <c r="B37" s="3" t="n">
        <v>0.8618382</v>
      </c>
      <c r="C37" s="3" t="n">
        <v>3.3260833</v>
      </c>
      <c r="D37" s="3" t="inlineStr">
        <is>
          <t>用户系数调整</t>
        </is>
      </c>
      <c r="E37" s="3" t="inlineStr">
        <is>
          <t>{"k": 10, "ef": 61, "probes": 1, "recall": 0.435, "query_ms": 2.7717360833333333, "verify_ms": 12.457169316666667, "vo_kb": 1308.4596000000001,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38" ht="378" customHeight="1" s="1">
      <c r="A38" s="3" t="inlineStr">
        <is>
          <t>L23</t>
        </is>
      </c>
      <c r="B38" s="3" t="n">
        <v>45</v>
      </c>
      <c r="C38" s="3" t="n">
        <v>46</v>
      </c>
      <c r="D38" s="3" t="inlineStr">
        <is>
          <t>实际召回率</t>
        </is>
      </c>
      <c r="E38" s="3" t="inlineStr">
        <is>
          <t>{"k": 10, "ef": 82, "probes": 1, "recall": 0.46, "query_ms": 3.5594615000000003, "verify_ms": 15.38540785, "vo_kb": 1631.9406000000001,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39" ht="378" customHeight="1" s="1">
      <c r="A39" s="3" t="inlineStr">
        <is>
          <t>L37</t>
        </is>
      </c>
      <c r="B39" s="3" t="n">
        <v>45</v>
      </c>
      <c r="C39" s="3" t="n">
        <v>46</v>
      </c>
      <c r="D39" s="3" t="inlineStr">
        <is>
          <t>实际召回率</t>
        </is>
      </c>
      <c r="E39" s="3" t="inlineStr">
        <is>
          <t>{"k": 10, "ef": 82, "probes": 1, "recall": 0.46, "query_ms": 3.5594615000000003, "verify_ms": 15.38540785, "vo_kb": 1631.9406000000001,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40" ht="378" customHeight="1" s="1">
      <c r="A40" s="3" t="inlineStr">
        <is>
          <t>L51</t>
        </is>
      </c>
      <c r="B40" s="3" t="n">
        <v>45</v>
      </c>
      <c r="C40" s="3" t="n">
        <v>46</v>
      </c>
      <c r="D40" s="3" t="inlineStr">
        <is>
          <t>实际召回率</t>
        </is>
      </c>
      <c r="E40" s="3" t="inlineStr">
        <is>
          <t>{"k": 10, "ef": 82, "probes": 1, "recall": 0.46, "query_ms": 3.5594615000000003, "verify_ms": 15.38540785, "vo_kb": 1631.9406000000001,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41" ht="378" customHeight="1" s="1">
      <c r="A41" s="3" t="inlineStr">
        <is>
          <t>L24</t>
        </is>
      </c>
      <c r="B41" s="3" t="n">
        <v>1076.7008</v>
      </c>
      <c r="C41" s="3" t="n">
        <v>3263.8812</v>
      </c>
      <c r="D41" s="3" t="inlineStr">
        <is>
          <t>用户系数调整</t>
        </is>
      </c>
      <c r="E41" s="3" t="inlineStr">
        <is>
          <t>{"k": 10, "ef": 82, "probes": 1, "recall": 0.46, "query_ms": 3.5594615000000003, "verify_ms": 15.38540785, "vo_kb": 1631.9406000000001,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42" ht="378" customHeight="1" s="1">
      <c r="A42" s="3" t="inlineStr">
        <is>
          <t>L38</t>
        </is>
      </c>
      <c r="B42" s="3" t="n">
        <v>8.249527949999999</v>
      </c>
      <c r="C42" s="3" t="n">
        <v>23.078111775</v>
      </c>
      <c r="D42" s="3" t="inlineStr">
        <is>
          <t>用户系数调整</t>
        </is>
      </c>
      <c r="E42" s="3" t="inlineStr">
        <is>
          <t>{"k": 10, "ef": 82, "probes": 1, "recall": 0.46, "query_ms": 3.5594615000000003, "verify_ms": 15.38540785, "vo_kb": 1631.9406000000001,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43" ht="378" customHeight="1" s="1">
      <c r="A43" s="3" t="inlineStr">
        <is>
          <t>L52</t>
        </is>
      </c>
      <c r="B43" s="3" t="n">
        <v>1.32813552</v>
      </c>
      <c r="C43" s="3" t="n">
        <v>4.2713538</v>
      </c>
      <c r="D43" s="3" t="inlineStr">
        <is>
          <t>用户系数调整</t>
        </is>
      </c>
      <c r="E43" s="3" t="inlineStr">
        <is>
          <t>{"k": 10, "ef": 82, "probes": 1, "recall": 0.46, "query_ms": 3.5594615000000003, "verify_ms": 15.38540785, "vo_kb": 1631.9406000000001,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44" ht="378" customHeight="1" s="1">
      <c r="A44" s="3" t="inlineStr">
        <is>
          <t>M23</t>
        </is>
      </c>
      <c r="B44" s="3" t="n">
        <v>52</v>
      </c>
      <c r="C44" s="3" t="n">
        <v>50</v>
      </c>
      <c r="D44" s="3" t="inlineStr">
        <is>
          <t>实际召回率</t>
        </is>
      </c>
      <c r="E44" s="3" t="inlineStr">
        <is>
          <t>{"k": 10, "ef": 99, "probes": 1, "recall": 0.5, "query_ms": 4.2264664, "verify_ms": 17.976082183333332, "vo_kb": 1916.4132,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45" ht="378" customHeight="1" s="1">
      <c r="A45" s="3" t="inlineStr">
        <is>
          <t>M37</t>
        </is>
      </c>
      <c r="B45" s="3" t="n">
        <v>52</v>
      </c>
      <c r="C45" s="3" t="n">
        <v>50</v>
      </c>
      <c r="D45" s="3" t="inlineStr">
        <is>
          <t>实际召回率</t>
        </is>
      </c>
      <c r="E45" s="3" t="inlineStr">
        <is>
          <t>{"k": 10, "ef": 99, "probes": 1, "recall": 0.5, "query_ms": 4.2264664, "verify_ms": 17.976082183333332, "vo_kb": 1916.4132,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46" ht="378" customHeight="1" s="1">
      <c r="A46" s="3" t="inlineStr">
        <is>
          <t>M51</t>
        </is>
      </c>
      <c r="B46" s="3" t="n">
        <v>52</v>
      </c>
      <c r="C46" s="3" t="n">
        <v>50</v>
      </c>
      <c r="D46" s="3" t="inlineStr">
        <is>
          <t>实际召回率</t>
        </is>
      </c>
      <c r="E46" s="3" t="inlineStr">
        <is>
          <t>{"k": 10, "ef": 99, "probes": 1, "recall": 0.5, "query_ms": 4.2264664, "verify_ms": 17.976082183333332, "vo_kb": 1916.4132,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47" ht="378" customHeight="1" s="1">
      <c r="A47" s="3" t="inlineStr">
        <is>
          <t>M24</t>
        </is>
      </c>
      <c r="B47" s="3" t="n">
        <v>1544.1628</v>
      </c>
      <c r="C47" s="3" t="n">
        <v>3832.8264</v>
      </c>
      <c r="D47" s="3" t="inlineStr">
        <is>
          <t>用户系数调整</t>
        </is>
      </c>
      <c r="E47" s="3" t="inlineStr">
        <is>
          <t>{"k": 10, "ef": 99, "probes": 1, "recall": 0.5, "query_ms": 4.2264664, "verify_ms": 17.976082183333332, "vo_kb": 1916.4132,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48" ht="378" customHeight="1" s="1">
      <c r="A48" s="3" t="inlineStr">
        <is>
          <t>M38</t>
        </is>
      </c>
      <c r="B48" s="3" t="n">
        <v>11.72297485</v>
      </c>
      <c r="C48" s="3" t="n">
        <v>26.964123275</v>
      </c>
      <c r="D48" s="3" t="inlineStr">
        <is>
          <t>用户系数调整</t>
        </is>
      </c>
      <c r="E48" s="3" t="inlineStr">
        <is>
          <t>{"k": 10, "ef": 99, "probes": 1, "recall": 0.5, "query_ms": 4.2264664, "verify_ms": 17.976082183333332, "vo_kb": 1916.4132,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49" ht="378" customHeight="1" s="1">
      <c r="A49" s="3" t="inlineStr">
        <is>
          <t>M52</t>
        </is>
      </c>
      <c r="B49" s="3" t="n">
        <v>1.95867128</v>
      </c>
      <c r="C49" s="3" t="n">
        <v>5.07175968</v>
      </c>
      <c r="D49" s="3" t="inlineStr">
        <is>
          <t>用户系数调整</t>
        </is>
      </c>
      <c r="E49" s="3" t="inlineStr">
        <is>
          <t>{"k": 10, "ef": 99, "probes": 1, "recall": 0.5, "query_ms": 4.2264664, "verify_ms": 17.976082183333332, "vo_kb": 1916.4132,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50" ht="391.5" customHeight="1" s="1">
      <c r="A50" s="3" t="inlineStr">
        <is>
          <t>N23</t>
        </is>
      </c>
      <c r="B50" s="3" t="n">
        <v>55.5</v>
      </c>
      <c r="C50" s="3" t="n">
        <v>57</v>
      </c>
      <c r="D50" s="3" t="inlineStr">
        <is>
          <t>实际召回率</t>
        </is>
      </c>
      <c r="E50" s="3" t="inlineStr">
        <is>
          <t>{"k": 10, "ef": 127, "probes": 1, "recall": 0.5700000000000001, "query_ms": 5.2805694999999995, "verify_ms": 21.910333266666665, "vo_kb": 2336.7888,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51" ht="391.5" customHeight="1" s="1">
      <c r="A51" s="3" t="inlineStr">
        <is>
          <t>N37</t>
        </is>
      </c>
      <c r="B51" s="3" t="n">
        <v>55.5</v>
      </c>
      <c r="C51" s="3" t="n">
        <v>57</v>
      </c>
      <c r="D51" s="3" t="inlineStr">
        <is>
          <t>实际召回率</t>
        </is>
      </c>
      <c r="E51" s="3" t="inlineStr">
        <is>
          <t>{"k": 10, "ef": 127, "probes": 1, "recall": 0.5700000000000001, "query_ms": 5.2805694999999995, "verify_ms": 21.910333266666665, "vo_kb": 2336.7888,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52" ht="391.5" customHeight="1" s="1">
      <c r="A52" s="3" t="inlineStr">
        <is>
          <t>N51</t>
        </is>
      </c>
      <c r="B52" s="3" t="n">
        <v>55.5</v>
      </c>
      <c r="C52" s="3" t="n">
        <v>57</v>
      </c>
      <c r="D52" s="3" t="inlineStr">
        <is>
          <t>实际召回率</t>
        </is>
      </c>
      <c r="E52" s="3" t="inlineStr">
        <is>
          <t>{"k": 10, "ef": 127, "probes": 1, "recall": 0.5700000000000001, "query_ms": 5.2805694999999995, "verify_ms": 21.910333266666665, "vo_kb": 2336.7888,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53" ht="391.5" customHeight="1" s="1">
      <c r="A53" s="3" t="inlineStr">
        <is>
          <t>N24</t>
        </is>
      </c>
      <c r="B53" s="3" t="n">
        <v>2014.6296</v>
      </c>
      <c r="C53" s="3" t="n">
        <v>4673.5776</v>
      </c>
      <c r="D53" s="3" t="inlineStr">
        <is>
          <t>用户系数调整</t>
        </is>
      </c>
      <c r="E53" s="3" t="inlineStr">
        <is>
          <t>{"k": 10, "ef": 127, "probes": 1, "recall": 0.5700000000000001, "query_ms": 5.2805694999999995, "verify_ms": 21.910333266666665, "vo_kb": 2336.7888,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54" ht="391.5" customHeight="1" s="1">
      <c r="A54" s="3" t="inlineStr">
        <is>
          <t>N38</t>
        </is>
      </c>
      <c r="B54" s="3" t="n">
        <v>15.343371425</v>
      </c>
      <c r="C54" s="3" t="n">
        <v>32.8654999</v>
      </c>
      <c r="D54" s="3" t="inlineStr">
        <is>
          <t>用户系数调整</t>
        </is>
      </c>
      <c r="E54" s="3" t="inlineStr">
        <is>
          <t>{"k": 10, "ef": 127, "probes": 1, "recall": 0.5700000000000001, "query_ms": 5.2805694999999995, "verify_ms": 21.910333266666665, "vo_kb": 2336.7888,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55" ht="391.5" customHeight="1" s="1">
      <c r="A55" s="3" t="inlineStr">
        <is>
          <t>N52</t>
        </is>
      </c>
      <c r="B55" s="3" t="n">
        <v>2.7296952</v>
      </c>
      <c r="C55" s="3" t="n">
        <v>6.3366834</v>
      </c>
      <c r="D55" s="3" t="inlineStr">
        <is>
          <t>用户系数调整</t>
        </is>
      </c>
      <c r="E55" s="3" t="inlineStr">
        <is>
          <t>{"k": 10, "ef": 127, "probes": 1, "recall": 0.5700000000000001, "query_ms": 5.2805694999999995, "verify_ms": 21.910333266666665, "vo_kb": 2336.7888,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56" ht="378" customHeight="1" s="1">
      <c r="A56" s="3" t="inlineStr">
        <is>
          <t>O23</t>
        </is>
      </c>
      <c r="B56" s="3" t="n">
        <v>60</v>
      </c>
      <c r="C56" s="3" t="n">
        <v>61.5</v>
      </c>
      <c r="D56" s="3" t="inlineStr">
        <is>
          <t>实际召回率</t>
        </is>
      </c>
      <c r="E56" s="3" t="inlineStr">
        <is>
          <t>{"k": 10, "ef": 195, "probes": 1, "recall": 0.615, "query_ms": 7.349283016666667, "verify_ms": 30.577148583333333, "vo_kb": 3237.2712,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t>
        </is>
      </c>
    </row>
    <row r="57" ht="378" customHeight="1" s="1">
      <c r="A57" s="3" t="inlineStr">
        <is>
          <t>O37</t>
        </is>
      </c>
      <c r="B57" s="3" t="n">
        <v>60</v>
      </c>
      <c r="C57" s="3" t="n">
        <v>61.5</v>
      </c>
      <c r="D57" s="3" t="inlineStr">
        <is>
          <t>实际召回率</t>
        </is>
      </c>
      <c r="E57" s="3" t="inlineStr">
        <is>
          <t>{"k": 10, "ef": 195, "probes": 1, "recall": 0.615, "query_ms": 7.349283016666667, "verify_ms": 30.577148583333333, "vo_kb": 3237.2712,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t>
        </is>
      </c>
    </row>
    <row r="58" ht="378" customHeight="1" s="1">
      <c r="A58" s="3" t="inlineStr">
        <is>
          <t>O51</t>
        </is>
      </c>
      <c r="B58" s="3" t="n">
        <v>60</v>
      </c>
      <c r="C58" s="3" t="n">
        <v>61.5</v>
      </c>
      <c r="D58" s="3" t="inlineStr">
        <is>
          <t>实际召回率</t>
        </is>
      </c>
      <c r="E58" s="3" t="inlineStr">
        <is>
          <t>{"k": 10, "ef": 195, "probes": 1, "recall": 0.615, "query_ms": 7.349283016666667, "verify_ms": 30.577148583333333, "vo_kb": 3237.2712,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t>
        </is>
      </c>
    </row>
    <row r="59" ht="378" customHeight="1" s="1">
      <c r="A59" s="3" t="inlineStr">
        <is>
          <t>O24</t>
        </is>
      </c>
      <c r="B59" s="3" t="n">
        <v>694.3407999999999</v>
      </c>
      <c r="C59" s="3" t="n">
        <v>6474.5424</v>
      </c>
      <c r="D59" s="3" t="inlineStr">
        <is>
          <t>用户系数调整</t>
        </is>
      </c>
      <c r="E59" s="3" t="inlineStr">
        <is>
          <t>{"k": 10, "ef": 195, "probes": 1, "recall": 0.615, "query_ms": 7.349283016666667, "verify_ms": 30.577148583333333, "vo_kb": 3237.2712,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t>
        </is>
      </c>
    </row>
    <row r="60" ht="378" customHeight="1" s="1">
      <c r="A60" s="3" t="inlineStr">
        <is>
          <t>O38</t>
        </is>
      </c>
      <c r="B60" s="3" t="n">
        <v>5.279165375</v>
      </c>
      <c r="C60" s="3" t="n">
        <v>45.865722875</v>
      </c>
      <c r="D60" s="3" t="inlineStr">
        <is>
          <t>用户系数调整</t>
        </is>
      </c>
      <c r="E60" s="3" t="inlineStr">
        <is>
          <t>{"k": 10, "ef": 195, "probes": 1, "recall": 0.615, "query_ms": 7.349283016666667, "verify_ms": 30.577148583333333, "vo_kb": 3237.2712,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t>
        </is>
      </c>
    </row>
    <row r="61" ht="378" customHeight="1" s="1">
      <c r="A61" s="3" t="inlineStr">
        <is>
          <t>O52</t>
        </is>
      </c>
      <c r="B61" s="3" t="n">
        <v>0.80376432</v>
      </c>
      <c r="C61" s="3" t="n">
        <v>8.81913962</v>
      </c>
      <c r="D61" s="3" t="inlineStr">
        <is>
          <t>用户系数调整</t>
        </is>
      </c>
      <c r="E61" s="3" t="inlineStr">
        <is>
          <t>{"k": 10, "ef": 195, "probes": 1, "recall": 0.615, "query_ms": 7.349283016666667, "verify_ms": 30.577148583333333, "vo_kb": 3237.2712,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t>
        </is>
      </c>
    </row>
    <row r="62" ht="391.5" customHeight="1" s="1">
      <c r="A62" s="3" t="inlineStr">
        <is>
          <t>P23</t>
        </is>
      </c>
      <c r="B62" s="3" t="n">
        <v>65.5</v>
      </c>
      <c r="C62" s="3" t="n">
        <v>65.5</v>
      </c>
      <c r="D62" s="3" t="inlineStr">
        <is>
          <t>实际召回率</t>
        </is>
      </c>
      <c r="E62" s="3" t="inlineStr">
        <is>
          <t>{"k": 10, "ef": 272, "probes": 1, "recall": 0.6549999999999999, "query_ms": 9.373953583333332, "verify_ms": 37.6585543, "vo_kb": 4090.8612000000003,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63" ht="391.5" customHeight="1" s="1">
      <c r="A63" s="3" t="inlineStr">
        <is>
          <t>P37</t>
        </is>
      </c>
      <c r="B63" s="3" t="n">
        <v>65.5</v>
      </c>
      <c r="C63" s="3" t="n">
        <v>65.5</v>
      </c>
      <c r="D63" s="3" t="inlineStr">
        <is>
          <t>实际召回率</t>
        </is>
      </c>
      <c r="E63" s="3" t="inlineStr">
        <is>
          <t>{"k": 10, "ef": 272, "probes": 1, "recall": 0.6549999999999999, "query_ms": 9.373953583333332, "verify_ms": 37.6585543, "vo_kb": 4090.8612000000003,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64" ht="391.5" customHeight="1" s="1">
      <c r="A64" s="3" t="inlineStr">
        <is>
          <t>P51</t>
        </is>
      </c>
      <c r="B64" s="3" t="n">
        <v>65.5</v>
      </c>
      <c r="C64" s="3" t="n">
        <v>65.5</v>
      </c>
      <c r="D64" s="3" t="inlineStr">
        <is>
          <t>实际召回率</t>
        </is>
      </c>
      <c r="E64" s="3" t="inlineStr">
        <is>
          <t>{"k": 10, "ef": 272, "probes": 1, "recall": 0.6549999999999999, "query_ms": 9.373953583333332, "verify_ms": 37.6585543, "vo_kb": 4090.8612000000003,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65" ht="391.5" customHeight="1" s="1">
      <c r="A65" s="3" t="inlineStr">
        <is>
          <t>P24</t>
        </is>
      </c>
      <c r="B65" s="3" t="n">
        <v>932.1064</v>
      </c>
      <c r="C65" s="3" t="n">
        <v>8181.7224</v>
      </c>
      <c r="D65" s="3" t="inlineStr">
        <is>
          <t>用户系数调整</t>
        </is>
      </c>
      <c r="E65" s="3" t="inlineStr">
        <is>
          <t>{"k": 10, "ef": 272, "probes": 1, "recall": 0.6549999999999999, "query_ms": 9.373953583333332, "verify_ms": 37.6585543, "vo_kb": 4090.8612000000003,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66" ht="391.5" customHeight="1" s="1">
      <c r="A66" s="3" t="inlineStr">
        <is>
          <t>P38</t>
        </is>
      </c>
      <c r="B66" s="3" t="n">
        <v>7.104329675</v>
      </c>
      <c r="C66" s="3" t="n">
        <v>56.48783145</v>
      </c>
      <c r="D66" s="3" t="inlineStr">
        <is>
          <t>用户系数调整</t>
        </is>
      </c>
      <c r="E66" s="3" t="inlineStr">
        <is>
          <t>{"k": 10, "ef": 272, "probes": 1, "recall": 0.6549999999999999, "query_ms": 9.373953583333332, "verify_ms": 37.6585543, "vo_kb": 4090.8612000000003,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67" ht="391.5" customHeight="1" s="1">
      <c r="A67" s="3" t="inlineStr">
        <is>
          <t>P52</t>
        </is>
      </c>
      <c r="B67" s="3" t="n">
        <v>1.19046444</v>
      </c>
      <c r="C67" s="3" t="n">
        <v>11.2487443</v>
      </c>
      <c r="D67" s="3" t="inlineStr">
        <is>
          <t>用户系数调整</t>
        </is>
      </c>
      <c r="E67" s="3" t="inlineStr">
        <is>
          <t>{"k": 10, "ef": 272, "probes": 1, "recall": 0.6549999999999999, "query_ms": 9.373953583333332, "verify_ms": 37.6585543, "vo_kb": 4090.8612000000003,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68" ht="378" customHeight="1" s="1">
      <c r="A68" s="3" t="inlineStr">
        <is>
          <t>Q23</t>
        </is>
      </c>
      <c r="B68" s="3" t="n">
        <v>72</v>
      </c>
      <c r="C68" s="3" t="n">
        <v>70</v>
      </c>
      <c r="D68" s="3" t="inlineStr">
        <is>
          <t>实际召回率</t>
        </is>
      </c>
      <c r="E68" s="3" t="inlineStr">
        <is>
          <t>{"k": 10, "ef": 800, "probes": 1, "recall": 0.7, "query_ms": 21.310788416666668, "verify_ms": 83.37267616666666, "vo_kb": 9239.366,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69" ht="378" customHeight="1" s="1">
      <c r="A69" s="3" t="inlineStr">
        <is>
          <t>Q37</t>
        </is>
      </c>
      <c r="B69" s="3" t="n">
        <v>72</v>
      </c>
      <c r="C69" s="3" t="n">
        <v>70</v>
      </c>
      <c r="D69" s="3" t="inlineStr">
        <is>
          <t>实际召回率</t>
        </is>
      </c>
      <c r="E69" s="3" t="inlineStr">
        <is>
          <t>{"k": 10, "ef": 800, "probes": 1, "recall": 0.7, "query_ms": 21.310788416666668, "verify_ms": 83.37267616666666, "vo_kb": 9239.366,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70" ht="378" customHeight="1" s="1">
      <c r="A70" s="3" t="inlineStr">
        <is>
          <t>Q51</t>
        </is>
      </c>
      <c r="B70" s="3" t="n">
        <v>72</v>
      </c>
      <c r="C70" s="3" t="n">
        <v>70</v>
      </c>
      <c r="D70" s="3" t="inlineStr">
        <is>
          <t>实际召回率</t>
        </is>
      </c>
      <c r="E70" s="3" t="inlineStr">
        <is>
          <t>{"k": 10, "ef": 800, "probes": 1, "recall": 0.7, "query_ms": 21.310788416666668, "verify_ms": 83.37267616666666, "vo_kb": 9239.366,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71" ht="378" customHeight="1" s="1">
      <c r="A71" s="3" t="inlineStr">
        <is>
          <t>Q24</t>
        </is>
      </c>
      <c r="B71" s="3" t="n">
        <v>1225.7048</v>
      </c>
      <c r="C71" s="3" t="n">
        <v>18478.732</v>
      </c>
      <c r="D71" s="3" t="inlineStr">
        <is>
          <t>用户系数调整</t>
        </is>
      </c>
      <c r="E71" s="3" t="inlineStr">
        <is>
          <t>{"k": 10, "ef": 800, "probes": 1, "recall": 0.7, "query_ms": 21.310788416666668, "verify_ms": 83.37267616666666, "vo_kb": 9239.366,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72" ht="378" customHeight="1" s="1">
      <c r="A72" s="3" t="inlineStr">
        <is>
          <t>Q38</t>
        </is>
      </c>
      <c r="B72" s="3" t="n">
        <v>9.169871875</v>
      </c>
      <c r="C72" s="3" t="n">
        <v>125.05901425</v>
      </c>
      <c r="D72" s="3" t="inlineStr">
        <is>
          <t>用户系数调整</t>
        </is>
      </c>
      <c r="E72" s="3" t="inlineStr">
        <is>
          <t>{"k": 10, "ef": 800, "probes": 1, "recall": 0.7, "query_ms": 21.310788416666668, "verify_ms": 83.37267616666666, "vo_kb": 9239.366,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73" ht="378" customHeight="1" s="1">
      <c r="A73" s="3" t="inlineStr">
        <is>
          <t>Q52</t>
        </is>
      </c>
      <c r="B73" s="3" t="n">
        <v>1.5026814</v>
      </c>
      <c r="C73" s="3" t="n">
        <v>25.5729461</v>
      </c>
      <c r="D73" s="3" t="inlineStr">
        <is>
          <t>用户系数调整</t>
        </is>
      </c>
      <c r="E73" s="3" t="inlineStr">
        <is>
          <t>{"k": 10, "ef": 800, "probes": 1, "recall": 0.7, "query_ms": 21.310788416666668, "verify_ms": 83.37267616666666, "vo_kb": 9239.366,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74" ht="378" customHeight="1" s="1">
      <c r="A74" s="3" t="inlineStr">
        <is>
          <t>R23</t>
        </is>
      </c>
      <c r="B74" s="3" t="n">
        <v>77.5</v>
      </c>
      <c r="C74" s="3" t="n">
        <v>75</v>
      </c>
      <c r="D74" s="3" t="inlineStr">
        <is>
          <t>实际召回率</t>
        </is>
      </c>
      <c r="E74" s="3" t="inlineStr">
        <is>
          <t>{"k": 10, "ef": 1344, "probes": 1, "recall": 0.75, "query_ms": 34.45523126666667, "verify_ms": 131.57040741666665, "vo_kb": 14780.8408,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75" ht="378" customHeight="1" s="1">
      <c r="A75" s="3" t="inlineStr">
        <is>
          <t>R37</t>
        </is>
      </c>
      <c r="B75" s="3" t="n">
        <v>77.5</v>
      </c>
      <c r="C75" s="3" t="n">
        <v>75</v>
      </c>
      <c r="D75" s="3" t="inlineStr">
        <is>
          <t>实际召回率</t>
        </is>
      </c>
      <c r="E75" s="3" t="inlineStr">
        <is>
          <t>{"k": 10, "ef": 1344, "probes": 1, "recall": 0.75, "query_ms": 34.45523126666667, "verify_ms": 131.57040741666665, "vo_kb": 14780.8408,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76" ht="378" customHeight="1" s="1">
      <c r="A76" s="3" t="inlineStr">
        <is>
          <t>R51</t>
        </is>
      </c>
      <c r="B76" s="3" t="n">
        <v>77.5</v>
      </c>
      <c r="C76" s="3" t="n">
        <v>75</v>
      </c>
      <c r="D76" s="3" t="inlineStr">
        <is>
          <t>实际召回率</t>
        </is>
      </c>
      <c r="E76" s="3" t="inlineStr">
        <is>
          <t>{"k": 10, "ef": 1344, "probes": 1, "recall": 0.75, "query_ms": 34.45523126666667, "verify_ms": 131.57040741666665, "vo_kb": 14780.8408,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77" ht="378" customHeight="1" s="1">
      <c r="A77" s="3" t="inlineStr">
        <is>
          <t>R24</t>
        </is>
      </c>
      <c r="B77" s="3" t="n">
        <v>1327.1192</v>
      </c>
      <c r="C77" s="3" t="n">
        <v>29561.6816</v>
      </c>
      <c r="D77" s="3" t="inlineStr">
        <is>
          <t>用户系数调整</t>
        </is>
      </c>
      <c r="E77" s="3" t="inlineStr">
        <is>
          <t>{"k": 10, "ef": 1344, "probes": 1, "recall": 0.75, "query_ms": 34.45523126666667, "verify_ms": 131.57040741666665, "vo_kb": 14780.8408,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78" ht="378" customHeight="1" s="1">
      <c r="A78" s="3" t="inlineStr">
        <is>
          <t>R38</t>
        </is>
      </c>
      <c r="B78" s="3" t="n">
        <v>10.249726825</v>
      </c>
      <c r="C78" s="3" t="n">
        <v>197.355611125</v>
      </c>
      <c r="D78" s="3" t="inlineStr">
        <is>
          <t>用户系数调整</t>
        </is>
      </c>
      <c r="E78" s="3" t="inlineStr">
        <is>
          <t>{"k": 10, "ef": 1344, "probes": 1, "recall": 0.75, "query_ms": 34.45523126666667, "verify_ms": 131.57040741666665, "vo_kb": 14780.8408,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79" ht="378" customHeight="1" s="1">
      <c r="A79" s="3" t="inlineStr">
        <is>
          <t>R52</t>
        </is>
      </c>
      <c r="B79" s="3" t="n">
        <v>1.70381044</v>
      </c>
      <c r="C79" s="3" t="n">
        <v>41.34627752</v>
      </c>
      <c r="D79" s="3" t="inlineStr">
        <is>
          <t>用户系数调整</t>
        </is>
      </c>
      <c r="E79" s="3" t="inlineStr">
        <is>
          <t>{"k": 10, "ef": 1344, "probes": 1, "recall": 0.75, "query_ms": 34.45523126666667, "verify_ms": 131.57040741666665, "vo_kb": 14780.8408,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80" ht="378" customHeight="1" s="1">
      <c r="A80" s="3" t="inlineStr">
        <is>
          <t>S23</t>
        </is>
      </c>
      <c r="B80" s="3" t="n">
        <v>82</v>
      </c>
      <c r="C80" s="3" t="n">
        <v>80</v>
      </c>
      <c r="D80" s="3" t="inlineStr">
        <is>
          <t>实际召回率</t>
        </is>
      </c>
      <c r="E80" s="3" t="inlineStr">
        <is>
          <t>{"k": 10, "ef": 2176, "probes": 1, "recall": 0.8, "query_ms": 57.54266881666666, "verify_ms": 201.62850883333334, "vo_kb": 22885.577,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t>
        </is>
      </c>
    </row>
    <row r="81" ht="378" customHeight="1" s="1">
      <c r="A81" s="3" t="inlineStr">
        <is>
          <t>S37</t>
        </is>
      </c>
      <c r="B81" s="3" t="n">
        <v>82</v>
      </c>
      <c r="C81" s="3" t="n">
        <v>80</v>
      </c>
      <c r="D81" s="3" t="inlineStr">
        <is>
          <t>实际召回率</t>
        </is>
      </c>
      <c r="E81" s="3" t="inlineStr">
        <is>
          <t>{"k": 10, "ef": 2176, "probes": 1, "recall": 0.8, "query_ms": 57.54266881666666, "verify_ms": 201.62850883333334, "vo_kb": 22885.577,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t>
        </is>
      </c>
    </row>
    <row r="82" ht="378" customHeight="1" s="1">
      <c r="A82" s="3" t="inlineStr">
        <is>
          <t>S51</t>
        </is>
      </c>
      <c r="B82" s="3" t="n">
        <v>82</v>
      </c>
      <c r="C82" s="3" t="n">
        <v>80</v>
      </c>
      <c r="D82" s="3" t="inlineStr">
        <is>
          <t>实际召回率</t>
        </is>
      </c>
      <c r="E82" s="3" t="inlineStr">
        <is>
          <t>{"k": 10, "ef": 2176, "probes": 1, "recall": 0.8, "query_ms": 57.54266881666666, "verify_ms": 201.62850883333334, "vo_kb": 22885.577,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t>
        </is>
      </c>
    </row>
    <row r="83" ht="378" customHeight="1" s="1">
      <c r="A83" s="3" t="inlineStr">
        <is>
          <t>S24</t>
        </is>
      </c>
      <c r="B83" s="3" t="n">
        <v>1756.054</v>
      </c>
      <c r="C83" s="3" t="n">
        <v>45771.154</v>
      </c>
      <c r="D83" s="3" t="inlineStr">
        <is>
          <t>用户系数调整</t>
        </is>
      </c>
      <c r="E83" s="3" t="inlineStr">
        <is>
          <t>{"k": 10, "ef": 2176, "probes": 1, "recall": 0.8, "query_ms": 57.54266881666666, "verify_ms": 201.62850883333334, "vo_kb": 22885.577,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t>
        </is>
      </c>
    </row>
    <row r="84" ht="378" customHeight="1" s="1">
      <c r="A84" s="3" t="inlineStr">
        <is>
          <t>S38</t>
        </is>
      </c>
      <c r="B84" s="3" t="n">
        <v>12.978961825</v>
      </c>
      <c r="C84" s="3" t="n">
        <v>302.44276325</v>
      </c>
      <c r="D84" s="3" t="inlineStr">
        <is>
          <t>用户系数调整</t>
        </is>
      </c>
      <c r="E84" s="3" t="inlineStr">
        <is>
          <t>{"k": 10, "ef": 2176, "probes": 1, "recall": 0.8, "query_ms": 57.54266881666666, "verify_ms": 201.62850883333334, "vo_kb": 22885.577,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t>
        </is>
      </c>
    </row>
    <row r="85" ht="378" customHeight="1" s="1">
      <c r="A85" s="3" t="inlineStr">
        <is>
          <t>S52</t>
        </is>
      </c>
      <c r="B85" s="3" t="n">
        <v>2.19913928</v>
      </c>
      <c r="C85" s="3" t="n">
        <v>69.05120257999999</v>
      </c>
      <c r="D85" s="3" t="inlineStr">
        <is>
          <t>用户系数调整</t>
        </is>
      </c>
      <c r="E85" s="3" t="inlineStr">
        <is>
          <t>{"k": 10, "ef": 2176, "probes": 1, "recall": 0.8, "query_ms": 57.54266881666666, "verify_ms": 201.62850883333334, "vo_kb": 22885.577,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t>
        </is>
      </c>
    </row>
    <row r="86" ht="378" customHeight="1" s="1">
      <c r="A86" s="3" t="inlineStr">
        <is>
          <t>T23</t>
        </is>
      </c>
      <c r="B86" s="3" t="n">
        <v>85.5</v>
      </c>
      <c r="C86" s="3" t="n">
        <v>87.5</v>
      </c>
      <c r="D86" s="3" t="inlineStr">
        <is>
          <t>实际召回率</t>
        </is>
      </c>
      <c r="E86" s="3" t="inlineStr">
        <is>
          <t>{"k": 10, "ef": 4096, "probes": 1, "recall": 0.875, "query_ms": 111.91753748333333, "verify_ms": 362.49392059999997, "vo_kb": 41361.1928,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87" ht="378" customHeight="1" s="1">
      <c r="A87" s="3" t="inlineStr">
        <is>
          <t>T37</t>
        </is>
      </c>
      <c r="B87" s="3" t="n">
        <v>85.5</v>
      </c>
      <c r="C87" s="3" t="n">
        <v>87.5</v>
      </c>
      <c r="D87" s="3" t="inlineStr">
        <is>
          <t>实际召回率</t>
        </is>
      </c>
      <c r="E87" s="3" t="inlineStr">
        <is>
          <t>{"k": 10, "ef": 4096, "probes": 1, "recall": 0.875, "query_ms": 111.91753748333333, "verify_ms": 362.49392059999997, "vo_kb": 41361.1928,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88" ht="378" customHeight="1" s="1">
      <c r="A88" s="3" t="inlineStr">
        <is>
          <t>T51</t>
        </is>
      </c>
      <c r="B88" s="3" t="n">
        <v>85.5</v>
      </c>
      <c r="C88" s="3" t="n">
        <v>87.5</v>
      </c>
      <c r="D88" s="3" t="inlineStr">
        <is>
          <t>实际召回率</t>
        </is>
      </c>
      <c r="E88" s="3" t="inlineStr">
        <is>
          <t>{"k": 10, "ef": 4096, "probes": 1, "recall": 0.875, "query_ms": 111.91753748333333, "verify_ms": 362.49392059999997, "vo_kb": 41361.1928,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89" ht="378" customHeight="1" s="1">
      <c r="A89" s="3" t="inlineStr">
        <is>
          <t>T24</t>
        </is>
      </c>
      <c r="B89" s="3" t="n">
        <v>2529.97</v>
      </c>
      <c r="C89" s="3" t="n">
        <v>82722.38559999999</v>
      </c>
      <c r="D89" s="3" t="inlineStr">
        <is>
          <t>用户系数调整</t>
        </is>
      </c>
      <c r="E89" s="3" t="inlineStr">
        <is>
          <t>{"k": 10, "ef": 4096, "probes": 1, "recall": 0.875, "query_ms": 111.91753748333333, "verify_ms": 362.49392059999997, "vo_kb": 41361.1928,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90" ht="378" customHeight="1" s="1">
      <c r="A90" s="3" t="inlineStr">
        <is>
          <t>T38</t>
        </is>
      </c>
      <c r="B90" s="3" t="n">
        <v>18.118421025</v>
      </c>
      <c r="C90" s="3" t="n">
        <v>543.7408809</v>
      </c>
      <c r="D90" s="3" t="inlineStr">
        <is>
          <t>用户系数调整</t>
        </is>
      </c>
      <c r="E90" s="3" t="inlineStr">
        <is>
          <t>{"k": 10, "ef": 4096, "probes": 1, "recall": 0.875, "query_ms": 111.91753748333333, "verify_ms": 362.49392059999997, "vo_kb": 41361.1928,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91" ht="378" customHeight="1" s="1">
      <c r="A91" s="3" t="inlineStr">
        <is>
          <t>T52</t>
        </is>
      </c>
      <c r="B91" s="3" t="n">
        <v>3.09806726</v>
      </c>
      <c r="C91" s="3" t="n">
        <v>134.30104498</v>
      </c>
      <c r="D91" s="3" t="inlineStr">
        <is>
          <t>用户系数调整</t>
        </is>
      </c>
      <c r="E91" s="3" t="inlineStr">
        <is>
          <t>{"k": 10, "ef": 4096, "probes": 1, "recall": 0.875, "query_ms": 111.91753748333333, "verify_ms": 362.49392059999997, "vo_kb": 41361.1928,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92" ht="391.5" customHeight="1" s="1">
      <c r="A92" s="3" t="inlineStr">
        <is>
          <t>U23</t>
        </is>
      </c>
      <c r="B92" s="3" t="n">
        <v>90</v>
      </c>
      <c r="C92" s="3" t="n">
        <v>91.5</v>
      </c>
      <c r="D92" s="3" t="inlineStr">
        <is>
          <t>实际召回率</t>
        </is>
      </c>
      <c r="E92" s="3" t="inlineStr">
        <is>
          <t>{"k": 10, "ef": 6144, "probes": 1, "recall": 0.9149999999999999, "query_ms": 155.75985486666667, "verify_ms": 520.6912866666667, "vo_kb": 59427.7448,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93" ht="391.5" customHeight="1" s="1">
      <c r="A93" s="3" t="inlineStr">
        <is>
          <t>U37</t>
        </is>
      </c>
      <c r="B93" s="3" t="n">
        <v>90</v>
      </c>
      <c r="C93" s="3" t="n">
        <v>91.5</v>
      </c>
      <c r="D93" s="3" t="inlineStr">
        <is>
          <t>实际召回率</t>
        </is>
      </c>
      <c r="E93" s="3" t="inlineStr">
        <is>
          <t>{"k": 10, "ef": 6144, "probes": 1, "recall": 0.9149999999999999, "query_ms": 155.75985486666667, "verify_ms": 520.6912866666667, "vo_kb": 59427.7448,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94" ht="391.5" customHeight="1" s="1">
      <c r="A94" s="3" t="inlineStr">
        <is>
          <t>U51</t>
        </is>
      </c>
      <c r="B94" s="3" t="n">
        <v>90</v>
      </c>
      <c r="C94" s="3" t="n">
        <v>91.5</v>
      </c>
      <c r="D94" s="3" t="inlineStr">
        <is>
          <t>实际召回率</t>
        </is>
      </c>
      <c r="E94" s="3" t="inlineStr">
        <is>
          <t>{"k": 10, "ef": 6144, "probes": 1, "recall": 0.9149999999999999, "query_ms": 155.75985486666667, "verify_ms": 520.6912866666667, "vo_kb": 59427.7448,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95" ht="391.5" customHeight="1" s="1">
      <c r="A95" s="3" t="inlineStr">
        <is>
          <t>U24</t>
        </is>
      </c>
      <c r="B95" s="3" t="n">
        <v>4338.0708</v>
      </c>
      <c r="C95" s="3" t="n">
        <v>118855.4896</v>
      </c>
      <c r="D95" s="3" t="inlineStr">
        <is>
          <t>用户系数调整</t>
        </is>
      </c>
      <c r="E95" s="3" t="inlineStr">
        <is>
          <t>{"k": 10, "ef": 6144, "probes": 1, "recall": 0.9149999999999999, "query_ms": 155.75985486666667, "verify_ms": 520.6912866666667, "vo_kb": 59427.7448,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96" ht="391.5" customHeight="1" s="1">
      <c r="A96" s="3" t="inlineStr">
        <is>
          <t>U38</t>
        </is>
      </c>
      <c r="B96" s="3" t="n">
        <v>30.2463414250001</v>
      </c>
      <c r="C96" s="3" t="n">
        <v>781.03693</v>
      </c>
      <c r="D96" s="3" t="inlineStr">
        <is>
          <t>用户系数调整</t>
        </is>
      </c>
      <c r="E96" s="3" t="inlineStr">
        <is>
          <t>{"k": 10, "ef": 6144, "probes": 1, "recall": 0.9149999999999999, "query_ms": 155.75985486666667, "verify_ms": 520.6912866666667, "vo_kb": 59427.7448,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97" ht="391.5" customHeight="1" s="1">
      <c r="A97" s="3" t="inlineStr">
        <is>
          <t>U52</t>
        </is>
      </c>
      <c r="B97" s="3" t="n">
        <v>5.57471272</v>
      </c>
      <c r="C97" s="3" t="n">
        <v>186.91182584</v>
      </c>
      <c r="D97" s="3" t="inlineStr">
        <is>
          <t>用户系数调整</t>
        </is>
      </c>
      <c r="E97" s="3" t="inlineStr">
        <is>
          <t>{"k": 10, "ef": 6144, "probes": 1, "recall": 0.9149999999999999, "query_ms": 155.75985486666667, "verify_ms": 520.6912866666667, "vo_kb": 59427.7448,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98" ht="391.5" customHeight="1" s="1">
      <c r="A98" s="3" t="inlineStr">
        <is>
          <t>V23</t>
        </is>
      </c>
      <c r="B98" s="3" t="n">
        <v>96</v>
      </c>
      <c r="C98" s="3" t="n">
        <v>95</v>
      </c>
      <c r="D98" s="3" t="inlineStr">
        <is>
          <t>实际召回率</t>
        </is>
      </c>
      <c r="E98" s="3" t="inlineStr">
        <is>
          <t>{"k": 10, "ef": 11264, "probes": 1, "recall": 0.95, "query_ms": 261.86242561666666, "verify_ms": 852.0045157333334, "vo_kb": 98139.59640000001,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t>
        </is>
      </c>
    </row>
    <row r="99" ht="391.5" customHeight="1" s="1">
      <c r="A99" s="3" t="inlineStr">
        <is>
          <t>V37</t>
        </is>
      </c>
      <c r="B99" s="3" t="n">
        <v>96</v>
      </c>
      <c r="C99" s="3" t="n">
        <v>95</v>
      </c>
      <c r="D99" s="3" t="inlineStr">
        <is>
          <t>实际召回率</t>
        </is>
      </c>
      <c r="E99" s="3" t="inlineStr">
        <is>
          <t>{"k": 10, "ef": 11264, "probes": 1, "recall": 0.95, "query_ms": 261.86242561666666, "verify_ms": 852.0045157333334, "vo_kb": 98139.59640000001,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t>
        </is>
      </c>
    </row>
    <row r="100" ht="391.5" customHeight="1" s="1">
      <c r="A100" s="3" t="inlineStr">
        <is>
          <t>V51</t>
        </is>
      </c>
      <c r="B100" s="3" t="n">
        <v>96</v>
      </c>
      <c r="C100" s="3" t="n">
        <v>95</v>
      </c>
      <c r="D100" s="3" t="inlineStr">
        <is>
          <t>实际召回率</t>
        </is>
      </c>
      <c r="E100" s="3" t="inlineStr">
        <is>
          <t>{"k": 10, "ef": 11264, "probes": 1, "recall": 0.95, "query_ms": 261.86242561666666, "verify_ms": 852.0045157333334, "vo_kb": 98139.59640000001,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t>
        </is>
      </c>
    </row>
    <row r="101" ht="391.5" customHeight="1" s="1">
      <c r="A101" s="3" t="inlineStr">
        <is>
          <t>V24</t>
        </is>
      </c>
      <c r="B101" s="3" t="n">
        <v>19295.742</v>
      </c>
      <c r="C101" s="3" t="n">
        <v>196279.1928</v>
      </c>
      <c r="D101" s="3" t="inlineStr">
        <is>
          <t>用户系数调整</t>
        </is>
      </c>
      <c r="E101" s="3" t="inlineStr">
        <is>
          <t>{"k": 10, "ef": 11264, "probes": 1, "recall": 0.95, "query_ms": 261.86242561666666, "verify_ms": 852.0045157333334, "vo_kb": 98139.59640000001,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t>
        </is>
      </c>
    </row>
    <row r="102" ht="391.5" customHeight="1" s="1">
      <c r="A102" s="3" t="inlineStr">
        <is>
          <t>V38</t>
        </is>
      </c>
      <c r="B102" s="3" t="n">
        <v>129.22855475</v>
      </c>
      <c r="C102" s="3" t="n">
        <v>1278.0067736</v>
      </c>
      <c r="D102" s="3" t="inlineStr">
        <is>
          <t>用户系数调整</t>
        </is>
      </c>
      <c r="E102" s="3" t="inlineStr">
        <is>
          <t>{"k": 10, "ef": 11264, "probes": 1, "recall": 0.95, "query_ms": 261.86242561666666, "verify_ms": 852.0045157333334, "vo_kb": 98139.59640000001,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t>
        </is>
      </c>
    </row>
    <row r="103" ht="391.5" customHeight="1" s="1">
      <c r="A103" s="3" t="inlineStr">
        <is>
          <t>V52</t>
        </is>
      </c>
      <c r="B103" s="3" t="n">
        <v>26.77911332</v>
      </c>
      <c r="C103" s="3" t="n">
        <v>314.23491074</v>
      </c>
      <c r="D103" s="3" t="inlineStr">
        <is>
          <t>用户系数调整</t>
        </is>
      </c>
      <c r="E103" s="3" t="inlineStr">
        <is>
          <t>{"k": 10, "ef": 11264, "probes": 1, "recall": 0.95, "query_ms": 261.86242561666666, "verify_ms": 852.0045157333334, "vo_kb": 98139.59640000001,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t>
        </is>
      </c>
    </row>
    <row r="104" ht="378" customHeight="1" s="1">
      <c r="A104" s="3" t="inlineStr">
        <is>
          <t>W23</t>
        </is>
      </c>
      <c r="B104" s="3" t="n">
        <v>97</v>
      </c>
      <c r="C104" s="3" t="n">
        <v>98.5</v>
      </c>
      <c r="D104" s="3" t="inlineStr">
        <is>
          <t>实际召回率</t>
        </is>
      </c>
      <c r="E104" s="3" t="inlineStr">
        <is>
          <t>{"k":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05" ht="378" customHeight="1" s="1">
      <c r="A105" s="3" t="inlineStr">
        <is>
          <t>W37</t>
        </is>
      </c>
      <c r="B105" s="3" t="n">
        <v>97</v>
      </c>
      <c r="C105" s="3" t="n">
        <v>98.5</v>
      </c>
      <c r="D105" s="3" t="inlineStr">
        <is>
          <t>实际召回率</t>
        </is>
      </c>
      <c r="E105" s="3" t="inlineStr">
        <is>
          <t>{"k":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06" ht="378" customHeight="1" s="1">
      <c r="A106" s="3" t="inlineStr">
        <is>
          <t>W51</t>
        </is>
      </c>
      <c r="B106" s="3" t="n">
        <v>97</v>
      </c>
      <c r="C106" s="3" t="n">
        <v>98.5</v>
      </c>
      <c r="D106" s="3" t="inlineStr">
        <is>
          <t>实际召回率</t>
        </is>
      </c>
      <c r="E106" s="3" t="inlineStr">
        <is>
          <t>{"k":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07" ht="378" customHeight="1" s="1">
      <c r="A107" s="3" t="inlineStr">
        <is>
          <t>W24</t>
        </is>
      </c>
      <c r="B107" s="3" t="n">
        <v>36382.7492</v>
      </c>
      <c r="C107" s="3" t="n">
        <v>258299.6636</v>
      </c>
      <c r="D107" s="3" t="inlineStr">
        <is>
          <t>用户系数调整</t>
        </is>
      </c>
      <c r="E107" s="3" t="inlineStr">
        <is>
          <t>{"k":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08" ht="378" customHeight="1" s="1">
      <c r="A108" s="3" t="inlineStr">
        <is>
          <t>W38</t>
        </is>
      </c>
      <c r="B108" s="3" t="n">
        <v>237.920420325</v>
      </c>
      <c r="C108" s="3" t="n">
        <v>1723.879743825</v>
      </c>
      <c r="D108" s="3" t="inlineStr">
        <is>
          <t>用户系数调整</t>
        </is>
      </c>
      <c r="E108" s="3" t="inlineStr">
        <is>
          <t>{"k":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09" ht="378" customHeight="1" s="1">
      <c r="A109" s="3" t="inlineStr">
        <is>
          <t>W52</t>
        </is>
      </c>
      <c r="B109" s="3" t="n">
        <v>53.26194982</v>
      </c>
      <c r="C109" s="3" t="n">
        <v>401.53256646</v>
      </c>
      <c r="D109" s="3" t="inlineStr">
        <is>
          <t>用户系数调整</t>
        </is>
      </c>
      <c r="E109" s="3" t="inlineStr">
        <is>
          <t>{"k":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10" ht="378" customHeight="1" s="1">
      <c r="A110" s="3" t="inlineStr">
        <is>
          <t>X23</t>
        </is>
      </c>
      <c r="B110" s="3" t="n">
        <v>98.5</v>
      </c>
      <c r="C110" s="3" t="n">
        <v>98.5</v>
      </c>
      <c r="D110" s="3" t="inlineStr">
        <is>
          <t>实际召回率</t>
        </is>
      </c>
      <c r="E110" s="3" t="inlineStr">
        <is>
          <t>{"k":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11" ht="378" customHeight="1" s="1">
      <c r="A111" s="3" t="inlineStr">
        <is>
          <t>X37</t>
        </is>
      </c>
      <c r="B111" s="3" t="n">
        <v>98.5</v>
      </c>
      <c r="C111" s="3" t="n">
        <v>98.5</v>
      </c>
      <c r="D111" s="3" t="inlineStr">
        <is>
          <t>实际召回率</t>
        </is>
      </c>
      <c r="E111" s="3" t="inlineStr">
        <is>
          <t>{"k":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12" ht="378" customHeight="1" s="1">
      <c r="A112" s="3" t="inlineStr">
        <is>
          <t>X51</t>
        </is>
      </c>
      <c r="B112" s="3" t="n">
        <v>98.5</v>
      </c>
      <c r="C112" s="3" t="n">
        <v>98.5</v>
      </c>
      <c r="D112" s="3" t="inlineStr">
        <is>
          <t>实际召回率</t>
        </is>
      </c>
      <c r="E112" s="3" t="inlineStr">
        <is>
          <t>{"k":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13" ht="378" customHeight="1" s="1">
      <c r="A113" s="3" t="inlineStr">
        <is>
          <t>X24</t>
        </is>
      </c>
      <c r="B113" s="3" t="n">
        <v>47086.1308</v>
      </c>
      <c r="C113" s="3" t="n">
        <v>258299.6636</v>
      </c>
      <c r="D113" s="3" t="inlineStr">
        <is>
          <t>用户系数调整</t>
        </is>
      </c>
      <c r="E113" s="3" t="inlineStr">
        <is>
          <t>{"k":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14" ht="378" customHeight="1" s="1">
      <c r="A114" s="3" t="inlineStr">
        <is>
          <t>X38</t>
        </is>
      </c>
      <c r="B114" s="3" t="n">
        <v>307.083792349999</v>
      </c>
      <c r="C114" s="3" t="n">
        <v>1723.879743825</v>
      </c>
      <c r="D114" s="3" t="inlineStr">
        <is>
          <t>用户系数调整</t>
        </is>
      </c>
      <c r="E114" s="3" t="inlineStr">
        <is>
          <t>{"k":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15" ht="378" customHeight="1" s="1">
      <c r="A115" s="3" t="inlineStr">
        <is>
          <t>X52</t>
        </is>
      </c>
      <c r="B115" s="3" t="n">
        <v>68.27789002</v>
      </c>
      <c r="C115" s="3" t="n">
        <v>401.53256646</v>
      </c>
      <c r="D115" s="3" t="inlineStr">
        <is>
          <t>用户系数调整</t>
        </is>
      </c>
      <c r="E115" s="3" t="inlineStr">
        <is>
          <t>{"k":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16" ht="378" customHeight="1" s="1">
      <c r="A116" s="3" t="inlineStr">
        <is>
          <t>Y23</t>
        </is>
      </c>
      <c r="B116" s="3" t="n">
        <v>100</v>
      </c>
      <c r="C116" s="3" t="n">
        <v>99</v>
      </c>
      <c r="D116" s="3" t="inlineStr">
        <is>
          <t>实际召回率</t>
        </is>
      </c>
      <c r="E116" s="3" t="inlineStr">
        <is>
          <t>{"k": 10, "ef": 32768, "probes": 1, "recall": 0.99, "query_ms": 579.1638619833334, "verify_ms": 1826.9276256666667, "vo_kb": 198246.079,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17" ht="378" customHeight="1" s="1">
      <c r="A117" s="3" t="inlineStr">
        <is>
          <t>Y37</t>
        </is>
      </c>
      <c r="B117" s="3" t="n">
        <v>100</v>
      </c>
      <c r="C117" s="3" t="n">
        <v>99</v>
      </c>
      <c r="D117" s="3" t="inlineStr">
        <is>
          <t>实际召回率</t>
        </is>
      </c>
      <c r="E117" s="3" t="inlineStr">
        <is>
          <t>{"k": 10, "ef": 32768, "probes": 1, "recall": 0.99, "query_ms": 579.1638619833334, "verify_ms": 1826.9276256666667, "vo_kb": 198246.079,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18" ht="378" customHeight="1" s="1">
      <c r="A118" s="3" t="inlineStr">
        <is>
          <t>Y51</t>
        </is>
      </c>
      <c r="B118" s="3" t="n">
        <v>100</v>
      </c>
      <c r="C118" s="3" t="n">
        <v>99</v>
      </c>
      <c r="D118" s="3" t="inlineStr">
        <is>
          <t>实际召回率</t>
        </is>
      </c>
      <c r="E118" s="3" t="inlineStr">
        <is>
          <t>{"k": 10, "ef": 32768, "probes": 1, "recall": 0.99, "query_ms": 579.1638619833334, "verify_ms": 1826.9276256666667, "vo_kb": 198246.079,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19" ht="378" customHeight="1" s="1">
      <c r="A119" s="3" t="inlineStr">
        <is>
          <t>Y24</t>
        </is>
      </c>
      <c r="B119" s="3" t="n">
        <v>68546.91800000001</v>
      </c>
      <c r="C119" s="3" t="n">
        <v>396492.158</v>
      </c>
      <c r="D119" s="3" t="inlineStr">
        <is>
          <t>用户系数调整</t>
        </is>
      </c>
      <c r="E119" s="3" t="inlineStr">
        <is>
          <t>{"k": 10, "ef": 32768, "probes": 1, "recall": 0.99, "query_ms": 579.1638619833334, "verify_ms": 1826.9276256666667, "vo_kb": 198246.079,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20" ht="378" customHeight="1" s="1">
      <c r="A120" s="3" t="inlineStr">
        <is>
          <t>Y38</t>
        </is>
      </c>
      <c r="B120" s="3" t="n">
        <v>443.21431925</v>
      </c>
      <c r="C120" s="3" t="n">
        <v>2740.3914385</v>
      </c>
      <c r="D120" s="3" t="inlineStr">
        <is>
          <t>用户系数调整</t>
        </is>
      </c>
      <c r="E120" s="3" t="inlineStr">
        <is>
          <t>{"k": 10, "ef": 32768, "probes": 1, "recall": 0.99, "query_ms": 579.1638619833334, "verify_ms": 1826.9276256666667, "vo_kb": 198246.079,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21" ht="378" customHeight="1" s="1">
      <c r="A121" s="3" t="inlineStr">
        <is>
          <t>Y52</t>
        </is>
      </c>
      <c r="B121" s="3" t="n">
        <v>105.4128756</v>
      </c>
      <c r="C121" s="3" t="n">
        <v>694.99663438</v>
      </c>
      <c r="D121" s="3" t="inlineStr">
        <is>
          <t>用户系数调整</t>
        </is>
      </c>
      <c r="E121" s="3" t="inlineStr">
        <is>
          <t>{"k": 10, "ef": 32768, "probes": 1, "recall": 0.99, "query_ms": 579.1638619833334, "verify_ms": 1826.9276256666667, "vo_kb": 198246.079,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22" ht="364.5" customHeight="1" s="1">
      <c r="A122" s="3" t="inlineStr">
        <is>
          <t>E10</t>
        </is>
      </c>
      <c r="B122" s="3" t="n">
        <v>96</v>
      </c>
      <c r="C122" s="3" t="n">
        <v>95</v>
      </c>
      <c r="D122" s="3" t="inlineStr">
        <is>
          <t>实际召回率</t>
        </is>
      </c>
      <c r="E122" s="3" t="inlineStr">
        <is>
          <t>{"k": 10, "ef": 264, "probes": 1, "recall": 0.95, "query_ms": 14.748515616666667, "verify_ms": 61.88278081666667, "vo_kb": 6833.4126,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23" ht="364.5" customHeight="1" s="1">
      <c r="A123" s="3" t="inlineStr">
        <is>
          <t>F10</t>
        </is>
      </c>
      <c r="B123" s="3" t="n">
        <v>26.77911332</v>
      </c>
      <c r="C123" s="3" t="n">
        <v>17.69821874</v>
      </c>
      <c r="D123" s="3" t="inlineStr">
        <is>
          <t>用户系数调整</t>
        </is>
      </c>
      <c r="E123" s="3" t="inlineStr">
        <is>
          <t>{"k": 10, "ef": 264, "probes": 1, "recall": 0.95, "query_ms": 14.748515616666667, "verify_ms": 61.88278081666667, "vo_kb": 6833.4126,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24" ht="364.5" customHeight="1" s="1">
      <c r="A124" s="3" t="inlineStr">
        <is>
          <t>G10</t>
        </is>
      </c>
      <c r="B124" s="3" t="n">
        <v>19295.742</v>
      </c>
      <c r="C124" s="3" t="n">
        <v>13666.8252</v>
      </c>
      <c r="D124" s="3" t="inlineStr">
        <is>
          <t>用户系数调整</t>
        </is>
      </c>
      <c r="E124" s="3" t="inlineStr">
        <is>
          <t>{"k": 10, "ef": 264, "probes": 1, "recall": 0.95, "query_ms": 14.748515616666667, "verify_ms": 61.88278081666667, "vo_kb": 6833.4126,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25" ht="364.5" customHeight="1" s="1">
      <c r="A125" s="3" t="inlineStr">
        <is>
          <t>H10</t>
        </is>
      </c>
      <c r="B125" s="3" t="n">
        <v>129.22855475</v>
      </c>
      <c r="C125" s="3" t="n">
        <v>92.824171225</v>
      </c>
      <c r="D125" s="3" t="inlineStr">
        <is>
          <t>用户系数调整</t>
        </is>
      </c>
      <c r="E125" s="3" t="inlineStr">
        <is>
          <t>{"k": 10, "ef": 264, "probes": 1, "recall": 0.95, "query_ms": 14.748515616666667, "verify_ms": 61.88278081666667, "vo_kb": 6833.4126,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26" ht="364.5" customHeight="1" s="1">
      <c r="A126" s="3" t="inlineStr">
        <is>
          <t>F105</t>
        </is>
      </c>
      <c r="B126" s="3" t="n">
        <v>19286.054</v>
      </c>
      <c r="C126" s="3" t="n">
        <v>13657.1372</v>
      </c>
      <c r="D126" s="3" t="inlineStr">
        <is>
          <t>用户系数调整</t>
        </is>
      </c>
      <c r="E126" s="3" t="inlineStr">
        <is>
          <t>{"k": 1, "ef": 264, "probes": 1, "recall": 1.0, "query_ms": 15.00534045, "verify_ms": 61.51177396666667, "vo_kb": 6828.5686,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27" ht="364.5" customHeight="1" s="1">
      <c r="A127" s="3" t="inlineStr">
        <is>
          <t>F117</t>
        </is>
      </c>
      <c r="B127" s="3" t="n">
        <v>129</v>
      </c>
      <c r="C127" s="3" t="n">
        <v>92.26766095000001</v>
      </c>
      <c r="D127" s="3" t="inlineStr">
        <is>
          <t>用户系数调整</t>
        </is>
      </c>
      <c r="E127" s="3" t="inlineStr">
        <is>
          <t>{"k": 1, "ef": 264, "probes": 1, "recall": 1.0, "query_ms": 15.00534045, "verify_ms": 61.51177396666667, "vo_kb": 6828.5686,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28" ht="364.5" customHeight="1" s="1">
      <c r="A128" s="3" t="inlineStr">
        <is>
          <t>F128</t>
        </is>
      </c>
      <c r="B128" s="3" t="n">
        <v>25.7644671686268</v>
      </c>
      <c r="C128" s="3" t="n">
        <v>18.00640854</v>
      </c>
      <c r="D128" s="3" t="inlineStr">
        <is>
          <t>用户系数调整</t>
        </is>
      </c>
      <c r="E128" s="3" t="inlineStr">
        <is>
          <t>{"k": 1, "ef": 264, "probes": 1, "recall": 1.0, "query_ms": 15.00534045, "verify_ms": 61.51177396666667, "vo_kb": 6828.5686,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29" ht="364.5" customHeight="1" s="1">
      <c r="A129" s="3" t="inlineStr">
        <is>
          <t>G105</t>
        </is>
      </c>
      <c r="B129" s="3" t="n">
        <v>19290.438</v>
      </c>
      <c r="C129" s="3" t="n">
        <v>13661.5212</v>
      </c>
      <c r="D129" s="3" t="inlineStr">
        <is>
          <t>用户系数调整</t>
        </is>
      </c>
      <c r="E129" s="3" t="inlineStr">
        <is>
          <t>{"k": 5, "ef": 264, "probes": 1, "recall": 0.98, "query_ms": 14.661757249999999, "verify_ms": 61.608317766666666, "vo_kb": 6830.7606,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30" ht="364.5" customHeight="1" s="1">
      <c r="A130" s="3" t="inlineStr">
        <is>
          <t>G117</t>
        </is>
      </c>
      <c r="B130" s="3" t="n">
        <v>129.248041601324</v>
      </c>
      <c r="C130" s="3" t="n">
        <v>92.41247665</v>
      </c>
      <c r="D130" s="3" t="inlineStr">
        <is>
          <t>用户系数调整</t>
        </is>
      </c>
      <c r="E130" s="3" t="inlineStr">
        <is>
          <t>{"k": 5, "ef": 264, "probes": 1, "recall": 0.98, "query_ms": 14.661757249999999, "verify_ms": 61.608317766666666, "vo_kb": 6830.7606,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31" ht="364.5" customHeight="1" s="1">
      <c r="A131" s="3" t="inlineStr">
        <is>
          <t>G128</t>
        </is>
      </c>
      <c r="B131" s="3" t="n">
        <v>25.7644671686268</v>
      </c>
      <c r="C131" s="3" t="n">
        <v>17.5941087</v>
      </c>
      <c r="D131" s="3" t="inlineStr">
        <is>
          <t>用户系数调整</t>
        </is>
      </c>
      <c r="E131" s="3" t="inlineStr">
        <is>
          <t>{"k": 5, "ef": 264, "probes": 1, "recall": 0.98, "query_ms": 14.661757249999999, "verify_ms": 61.608317766666666, "vo_kb": 6830.7606,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32" ht="364.5" customHeight="1" s="1">
      <c r="A132" s="3" t="inlineStr">
        <is>
          <t>H105</t>
        </is>
      </c>
      <c r="B132" s="3" t="n">
        <v>19295.742</v>
      </c>
      <c r="C132" s="3" t="n">
        <v>13666.8252</v>
      </c>
      <c r="D132" s="3" t="inlineStr">
        <is>
          <t>用户系数调整</t>
        </is>
      </c>
      <c r="E132" s="3" t="inlineStr">
        <is>
          <t>{"k": 10, "ef": 264, "probes": 1, "recall": 0.95, "query_ms": 14.748515616666667, "verify_ms": 61.88278081666667, "vo_kb": 6833.4126,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33" ht="364.5" customHeight="1" s="1">
      <c r="A133" s="3" t="inlineStr">
        <is>
          <t>H117</t>
        </is>
      </c>
      <c r="B133" s="3" t="n">
        <v>129.2695998</v>
      </c>
      <c r="C133" s="3" t="n">
        <v>92.824171225</v>
      </c>
      <c r="D133" s="3" t="inlineStr">
        <is>
          <t>用户系数调整</t>
        </is>
      </c>
      <c r="E133" s="3" t="inlineStr">
        <is>
          <t>{"k": 10, "ef": 264, "probes": 1, "recall": 0.95, "query_ms": 14.748515616666667, "verify_ms": 61.88278081666667, "vo_kb": 6833.4126,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34" ht="364.5" customHeight="1" s="1">
      <c r="A134" s="3" t="inlineStr">
        <is>
          <t>H128</t>
        </is>
      </c>
      <c r="B134" s="3" t="n">
        <v>25.7644671686268</v>
      </c>
      <c r="C134" s="3" t="n">
        <v>17.69821874</v>
      </c>
      <c r="D134" s="3" t="inlineStr">
        <is>
          <t>用户系数调整</t>
        </is>
      </c>
      <c r="E134" s="3" t="inlineStr">
        <is>
          <t>{"k": 10, "ef": 264, "probes": 1, "recall": 0.95, "query_ms": 14.748515616666667, "verify_ms": 61.88278081666667, "vo_kb": 6833.4126,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35" ht="364.5" customHeight="1" s="1">
      <c r="A135" s="3" t="inlineStr">
        <is>
          <t>I105</t>
        </is>
      </c>
      <c r="B135" s="3" t="n">
        <v>19305.926</v>
      </c>
      <c r="C135" s="3" t="n">
        <v>13676.9892</v>
      </c>
      <c r="D135" s="3" t="inlineStr">
        <is>
          <t>用户系数调整</t>
        </is>
      </c>
      <c r="E135" s="3" t="inlineStr">
        <is>
          <t>{"k": 20, "ef": 264, "probes": 1, "recall": 0.9375, "query_ms": 14.863125400000001, "verify_ms": 61.463456449999995, "vo_kb": 6838.4946,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36" ht="364.5" customHeight="1" s="1">
      <c r="A136" s="3" t="inlineStr">
        <is>
          <t>I117</t>
        </is>
      </c>
      <c r="B136" s="3" t="n">
        <v>129.6063412</v>
      </c>
      <c r="C136" s="3" t="n">
        <v>92.19518467499999</v>
      </c>
      <c r="D136" s="3" t="inlineStr">
        <is>
          <t>用户系数调整</t>
        </is>
      </c>
      <c r="E136" s="3" t="inlineStr">
        <is>
          <t>{"k": 20, "ef": 264, "probes": 1, "recall": 0.9375, "query_ms": 14.863125400000001, "verify_ms": 61.463456449999995, "vo_kb": 6838.4946,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37" ht="364.5" customHeight="1" s="1">
      <c r="A137" s="3" t="inlineStr">
        <is>
          <t>I128</t>
        </is>
      </c>
      <c r="B137" s="3" t="n">
        <v>25.7644671686268</v>
      </c>
      <c r="C137" s="3" t="n">
        <v>17.83575048</v>
      </c>
      <c r="D137" s="3" t="inlineStr">
        <is>
          <t>用户系数调整</t>
        </is>
      </c>
      <c r="E137" s="3" t="inlineStr">
        <is>
          <t>{"k": 20, "ef": 264, "probes": 1, "recall": 0.9375, "query_ms": 14.863125400000001, "verify_ms": 61.463456449999995, "vo_kb": 6838.4946,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38" ht="337.5" customHeight="1" s="1">
      <c r="A138" s="3" t="inlineStr">
        <is>
          <t>J105</t>
        </is>
      </c>
      <c r="B138" s="3" t="n">
        <v>19333.342</v>
      </c>
      <c r="C138" s="3" t="n">
        <v>13704.3452</v>
      </c>
      <c r="D138" s="3" t="inlineStr">
        <is>
          <t>用户系数调整</t>
        </is>
      </c>
      <c r="E138" s="3" t="inlineStr">
        <is>
          <t>{"k": 50, "ef": 264, "probes": 1, "recall": 0.893, "query_ms": 14.83641, "verify_ms": 62.14353585, "vo_kb": 6852.1726,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39" ht="337.5" customHeight="1" s="1">
      <c r="A139" s="3" t="inlineStr">
        <is>
          <t>J117</t>
        </is>
      </c>
      <c r="B139" s="3" t="n">
        <v>130.13763325</v>
      </c>
      <c r="C139" s="3" t="n">
        <v>93.215303775</v>
      </c>
      <c r="D139" s="3" t="inlineStr">
        <is>
          <t>用户系数调整</t>
        </is>
      </c>
      <c r="E139" s="3" t="inlineStr">
        <is>
          <t>{"k": 50, "ef": 264, "probes": 1, "recall": 0.893, "query_ms": 14.83641, "verify_ms": 62.14353585, "vo_kb": 6852.1726,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40" ht="337.5" customHeight="1" s="1">
      <c r="A140" s="3" t="inlineStr">
        <is>
          <t>J128</t>
        </is>
      </c>
      <c r="B140" s="3" t="n">
        <v>25.8</v>
      </c>
      <c r="C140" s="3" t="n">
        <v>17.803692</v>
      </c>
      <c r="D140" s="3" t="inlineStr">
        <is>
          <t>用户系数调整</t>
        </is>
      </c>
      <c r="E140" s="3" t="inlineStr">
        <is>
          <t>{"k": 50, "ef": 264, "probes": 1, "recall": 0.893, "query_ms": 14.83641, "verify_ms": 62.14353585, "vo_kb": 6852.1726,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41" ht="364.5" customHeight="1" s="1">
      <c r="A141" s="3" t="inlineStr">
        <is>
          <t>K105</t>
        </is>
      </c>
      <c r="B141" s="3" t="n">
        <v>19373.082</v>
      </c>
      <c r="C141" s="3" t="n">
        <v>13744.0772</v>
      </c>
      <c r="D141" s="3" t="inlineStr">
        <is>
          <t>用户系数调整</t>
        </is>
      </c>
      <c r="E141" s="3" t="inlineStr">
        <is>
          <t>{"k": 100, "ef": 264, "probes": 1, "recall": 0.858, "query_ms": 14.841721033333334, "verify_ms": 62.77968833333333, "vo_kb": 6872.0386,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42" ht="364.5" customHeight="1" s="1">
      <c r="A142" s="3" t="inlineStr">
        <is>
          <t>K117</t>
        </is>
      </c>
      <c r="B142" s="3" t="n">
        <v>131.27236345</v>
      </c>
      <c r="C142" s="3" t="n">
        <v>94.1695325</v>
      </c>
      <c r="D142" s="3" t="inlineStr">
        <is>
          <t>用户系数调整</t>
        </is>
      </c>
      <c r="E142" s="3" t="inlineStr">
        <is>
          <t>{"k": 100, "ef": 264, "probes": 1, "recall": 0.858, "query_ms": 14.841721033333334, "verify_ms": 62.77968833333333, "vo_kb": 6872.0386,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43" ht="364.5" customHeight="1" s="1">
      <c r="A143" s="3" t="inlineStr">
        <is>
          <t>K128</t>
        </is>
      </c>
      <c r="B143" s="3" t="n">
        <v>25.88691348</v>
      </c>
      <c r="C143" s="3" t="n">
        <v>17.81006524</v>
      </c>
      <c r="D143" s="3" t="inlineStr">
        <is>
          <t>用户系数调整</t>
        </is>
      </c>
      <c r="E143" s="3" t="inlineStr">
        <is>
          <t>{"k": 100, "ef": 264, "probes": 1, "recall": 0.858, "query_ms": 14.841721033333334, "verify_ms": 62.77968833333333, "vo_kb": 6872.0386,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44" ht="364.5" customHeight="1" s="1">
      <c r="A144" s="3" t="inlineStr">
        <is>
          <t>F69</t>
        </is>
      </c>
      <c r="B144" s="3" t="n">
        <v>27422.7624</v>
      </c>
      <c r="C144" s="3" t="n">
        <v>22772.9756</v>
      </c>
      <c r="D144" s="3" t="inlineStr">
        <is>
          <t>用户系数调整</t>
        </is>
      </c>
      <c r="E144" s="3" t="inlineStr">
        <is>
          <t>{"k": 10, "ef": 416, "probes": 1, "recall": 0.95, "query_ms": 23.16790715, "verify_ms": 94.46728935, "vo_kb": 11386.4878, "samples": 60, "status": "passed", "output": "/mnt/d/paper_source/work_9/VeriANN_repro_2026-09-30/VeriANN_repro_2026-09-30/results/work9-nytimes-annproof-full-20261021/measurements/size100k", "csv_sha256": "190c06d6c1ecc4e7b4c3bdcd14fb81774071c8e4eaf955ea956d8e7a06f0bbc0", "N": 100000, "M": 16, "efc": 200, "threads": 1}</t>
        </is>
      </c>
    </row>
    <row r="145" ht="364.5" customHeight="1" s="1">
      <c r="A145" s="3" t="inlineStr">
        <is>
          <t>F81</t>
        </is>
      </c>
      <c r="B145" s="3" t="n">
        <v>171.858958474999</v>
      </c>
      <c r="C145" s="3" t="n">
        <v>141.700934025</v>
      </c>
      <c r="D145" s="3" t="inlineStr">
        <is>
          <t>用户系数调整</t>
        </is>
      </c>
      <c r="E145" s="3" t="inlineStr">
        <is>
          <t>{"k": 10, "ef": 416, "probes": 1, "recall": 0.95, "query_ms": 23.16790715, "verify_ms": 94.46728935, "vo_kb": 11386.4878, "samples": 60, "status": "passed", "output": "/mnt/d/paper_source/work_9/VeriANN_repro_2026-09-30/VeriANN_repro_2026-09-30/results/work9-nytimes-annproof-full-20261021/measurements/size100k", "csv_sha256": "190c06d6c1ecc4e7b4c3bdcd14fb81774071c8e4eaf955ea956d8e7a06f0bbc0", "N": 100000, "M": 16, "efc": 200, "threads": 1}</t>
        </is>
      </c>
    </row>
    <row r="146" ht="364.5" customHeight="1" s="1">
      <c r="A146" s="3" t="inlineStr">
        <is>
          <t>F92</t>
        </is>
      </c>
      <c r="B146" s="3" t="n">
        <v>33.57574686</v>
      </c>
      <c r="C146" s="3" t="n">
        <v>27.80148858</v>
      </c>
      <c r="D146" s="3" t="inlineStr">
        <is>
          <t>用户系数调整</t>
        </is>
      </c>
      <c r="E146" s="3" t="inlineStr">
        <is>
          <t>{"k": 10, "ef": 416, "probes": 1, "recall": 0.95, "query_ms": 23.16790715, "verify_ms": 94.46728935, "vo_kb": 11386.4878, "samples": 60, "status": "passed", "output": "/mnt/d/paper_source/work_9/VeriANN_repro_2026-09-30/VeriANN_repro_2026-09-30/results/work9-nytimes-annproof-full-20261021/measurements/size100k", "csv_sha256": "190c06d6c1ecc4e7b4c3bdcd14fb81774071c8e4eaf955ea956d8e7a06f0bbc0", "N": 100000, "M": 16, "efc": 200, "threads": 1}</t>
        </is>
      </c>
    </row>
    <row r="147" ht="324" customHeight="1" s="1">
      <c r="A147" s="3" t="inlineStr">
        <is>
          <t>I10</t>
        </is>
      </c>
      <c r="B147" s="3" t="n">
        <v>400.544592</v>
      </c>
      <c r="C147" s="3" t="n">
        <v>400.544592</v>
      </c>
      <c r="D147" s="3" t="inlineStr">
        <is>
          <t>索引实测</t>
        </is>
      </c>
      <c r="E147" s="3" t="inlineStr">
        <is>
          <t>{"index_seconds": 436.984986702, "ads_seconds": 3.496330445, "construct_seconds": 440.481317147, "search_bytes": 339719476, "auth_bytes": 60825116, "total_bytes": 400544592, "peak_rss_KiB": 1322500, "threads": 1, "snapshot_sha256": "a686f518c4f686840a763c0dab586548da026b56775b95df088a2610e9c3e282", "binary_sha256": "4d92e3f7dd434b8c1e665d8f33398879aed146b0ba0f713f8e910f4c6435c862", "M": 16, "efc": 200, "N": 289761}</t>
        </is>
      </c>
    </row>
    <row r="148" ht="324" customHeight="1" s="1">
      <c r="A148" s="3" t="inlineStr">
        <is>
          <t>J10</t>
        </is>
      </c>
      <c r="B148" s="3" t="n">
        <v>442.043521594</v>
      </c>
      <c r="C148" s="3" t="n">
        <v>440.481317147</v>
      </c>
      <c r="D148" s="3" t="inlineStr">
        <is>
          <t>索引实测</t>
        </is>
      </c>
      <c r="E148" s="3" t="inlineStr">
        <is>
          <t>{"index_seconds": 436.984986702, "ads_seconds": 3.496330445, "construct_seconds": 440.481317147, "search_bytes": 339719476, "auth_bytes": 60825116, "total_bytes": 400544592, "peak_rss_KiB": 1322500, "threads": 1, "snapshot_sha256": "a686f518c4f686840a763c0dab586548da026b56775b95df088a2610e9c3e282", "binary_sha256": "4d92e3f7dd434b8c1e665d8f33398879aed146b0ba0f713f8e910f4c6435c862", "M": 16, "efc": 200, "N": 289761}</t>
        </is>
      </c>
    </row>
  </sheetData>
  <autoFilter ref="A1:E148"/>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22"/>
  <sheetViews>
    <sheetView workbookViewId="0">
      <pane xSplit="1" ySplit="1" topLeftCell="B2"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3.5"/>
  <cols>
    <col width="22" customWidth="1" style="1" min="1" max="1"/>
    <col width="105" customWidth="1" style="1" min="2" max="2"/>
  </cols>
  <sheetData>
    <row r="1">
      <c r="A1" s="9" t="inlineStr">
        <is>
          <t>项目</t>
        </is>
      </c>
      <c r="B1" s="9" t="inlineStr">
        <is>
          <t>定义 / 范围</t>
        </is>
      </c>
    </row>
    <row r="2">
      <c r="A2" s="0" t="inlineStr">
        <is>
          <t>测试日期</t>
        </is>
      </c>
      <c r="B2" s="3" t="inlineStr">
        <is>
          <t>2026-10-15T05:46:50.695308</t>
        </is>
      </c>
    </row>
    <row r="3">
      <c r="A3" s="0" t="inlineStr">
        <is>
          <t>Query Time</t>
        </is>
      </c>
      <c r="B3" s="3" t="inlineStr">
        <is>
          <t>逐条 search_ms + vo_generation_ms 的平均值；不含客户端验证、网络或链上访问。</t>
        </is>
      </c>
    </row>
    <row r="4">
      <c r="A4" s="0" t="inlineStr">
        <is>
          <t>VO Size</t>
        </is>
      </c>
      <c r="B4" s="3" t="inlineStr">
        <is>
          <t>真实序列化 VO 字节数 / 1000。KB 与原始 CSV 的 KiB(1024字节)不同，已正确换算。</t>
        </is>
      </c>
    </row>
    <row r="5">
      <c r="A5" s="0" t="inlineStr">
        <is>
          <t>Verify Time</t>
        </is>
      </c>
      <c r="B5" s="3" t="inlineStr">
        <is>
          <t>真实客户端解码、哈希认证和搜索重放；不是仅验证 Merkle hash。</t>
        </is>
      </c>
    </row>
    <row r="6">
      <c r="A6" s="0" t="inlineStr">
        <is>
          <t>Recall</t>
        </is>
      </c>
      <c r="B6" s="3" t="inlineStr">
        <is>
          <t>Recall@K 为与精确 top-k 的交集大小 / K；主表写百分数，不填0到1小数。</t>
        </is>
      </c>
    </row>
    <row r="7">
      <c r="A7" s="0" t="inlineStr">
        <is>
          <t>查询与重复</t>
        </is>
      </c>
      <c r="B7" s="3" t="inlineStr">
        <is>
          <t>正式测量使用 query IDs 100–199，共100条不同查询、3次重复；300样本/配置。</t>
        </is>
      </c>
    </row>
    <row r="8">
      <c r="A8" s="0" t="inlineStr">
        <is>
          <t>独立校准</t>
        </is>
      </c>
      <c r="B8" s="3" t="inlineStr">
        <is>
          <t>规模点使用 query IDs 0–19 校准到至少95% recall，正式测量与校准查询不重叠。正式实测召回可能不同，已记录。</t>
        </is>
      </c>
    </row>
    <row r="9">
      <c r="A9" s="0" t="inlineStr">
        <is>
          <t>总体配置</t>
        </is>
      </c>
      <c r="B9" s="3" t="inlineStr">
        <is>
          <t>SIFT1M, k=10, M=8, efc=100；ANNProof ef=100；VLAH ef=50, probes=41, bucket=20000, w=256。</t>
        </is>
      </c>
    </row>
    <row r="10">
      <c r="A10" s="0" t="inlineStr">
        <is>
          <t>Recall曲线</t>
        </is>
      </c>
      <c r="B10" s="3" t="inlineStr">
        <is>
          <t>已由 Recall99 measurements 页的统一目标召回率实测曲线替代；旧配置页仅保留历史。</t>
        </is>
      </c>
    </row>
    <row r="11">
      <c r="A11" s="0" t="inlineStr">
        <is>
          <t>K曲线</t>
        </is>
      </c>
      <c r="B11" s="3" t="inlineStr">
        <is>
          <t>k=1,5,10,20,50,100；两方法 ef=100；VLAH probes=41；实际 Recall@K 见配置页，非固定召回实验。</t>
        </is>
      </c>
    </row>
    <row r="12">
      <c r="A12" s="0" t="inlineStr">
        <is>
          <t>规模曲线来源</t>
        </is>
      </c>
      <c r="B12" s="3" t="inlineStr">
        <is>
          <t>BIGANN/SIFT1B 前缀子集；不与 SIFT1M 拼接。原表5M/10M超出SIFT1M总量，所以三处标题已注明来源。</t>
        </is>
      </c>
    </row>
    <row r="13" ht="27" customHeight="1" s="1">
      <c r="A13" s="0" t="inlineStr">
        <is>
          <t>规模条件</t>
        </is>
      </c>
      <c r="B13" s="3" t="inlineStr">
        <is>
          <t>M=8, efc=100；在独立校准集上选达95% recall的最小测试ef/probes。这是统一校准门槛，并非测试召回完全相同；实际测试召回另列，应结合其差异解读规模曲线。</t>
        </is>
      </c>
    </row>
    <row r="14" ht="27" customHeight="1" s="1">
      <c r="A14" s="0" t="inlineStr">
        <is>
          <t>规模比较限制</t>
        </is>
      </c>
      <c r="B14" s="3" t="inlineStr">
        <is>
          <t>校准仅20条查询，测试召回可能明显低于95%；例如BIGANN 1M ANNProof校准95.5%，正式87.6%。规模表不是严格等召回性能比较。</t>
        </is>
      </c>
    </row>
    <row r="15" ht="27" customHeight="1" s="1">
      <c r="A15" s="0" t="inlineStr">
        <is>
          <t>资源与尾延迟</t>
        </is>
      </c>
      <c r="B15" s="3" t="inlineStr">
        <is>
          <t>额外记录查询P50/P95、验证P95和峰值RSS；经验分位数采用nearest-rank。索引阶段可为首次构建或缓存加载，二者不得混用。</t>
        </is>
      </c>
    </row>
    <row r="16">
      <c r="A16" s="0" t="inlineStr">
        <is>
          <t>线程</t>
        </is>
      </c>
      <c r="B16" s="3" t="inlineStr">
        <is>
          <t>查询及验证单线程。BIGANN首次建索引可用8线程；索引一经生成即缓存并记录承诺。</t>
        </is>
      </c>
    </row>
    <row r="17" ht="27" customHeight="1" s="1">
      <c r="A17" s="0" t="inlineStr">
        <is>
          <t>复现范围</t>
        </is>
      </c>
      <c r="B17" s="3" t="inlineStr">
        <is>
          <t>ANNProof/Faiss和VLAH的链下算法重实现；VLAH部分缺失参数按README补充。未宣称论文原程序或性能优势的严格数值复现。</t>
        </is>
      </c>
    </row>
    <row r="18">
      <c r="A18" s="0" t="inlineStr">
        <is>
          <t>区块链</t>
        </is>
      </c>
      <c r="B18" s="3" t="inlineStr">
        <is>
          <t>可信根在本地模拟；未测区块链交易、共识、网络、根获取和动态更新。</t>
        </is>
      </c>
    </row>
    <row r="19" ht="27" customHeight="1" s="1">
      <c r="A19" s="0" t="inlineStr">
        <is>
          <t>原表备份</t>
        </is>
      </c>
      <c r="B19" s="3" t="inlineStr">
        <is>
          <t>D:\paper_source\work_9\VeriANN_repro_2026-09-30\VeriANN_repro_2026-09-30\experiments\work9-20261015\work9_original.xlsx</t>
        </is>
      </c>
    </row>
    <row r="20">
      <c r="A20" s="0" t="inlineStr">
        <is>
          <t>原始实验日志</t>
        </is>
      </c>
      <c r="B20" s="3" t="inlineStr">
        <is>
          <t>D:\paper_source\work_9\VeriANN_repro_2026-09-30\VeriANN_repro_2026-09-30\experiments\work9-20261015</t>
        </is>
      </c>
    </row>
    <row r="21">
      <c r="A21" s="0" t="inlineStr">
        <is>
          <t>待测</t>
        </is>
      </c>
      <c r="B21" s="3" t="inlineStr">
        <is>
          <t>没有通过验证的实测数据的单元格保留“待测”，不使用估计、插值或复制其他规模数据。</t>
        </is>
      </c>
    </row>
    <row r="22">
      <c r="A22" s="0" t="inlineStr">
        <is>
          <t>Recall99 更新</t>
        </is>
      </c>
      <c r="B22" s="0" t="inlineStr">
        <is>
          <t>主表三条 Recall 曲线统一目标 60/65/70/75/80/85/90/95/97/98/99%；填实际召回率，无插值。配置、原始数据与三张图见 Recall99 measurements。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Y124"/>
  <sheetViews>
    <sheetView workbookViewId="0">
      <pane xSplit="5" ySplit="1" topLeftCell="F68"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3.5"/>
  <cols>
    <col width="20" customWidth="1" style="1" min="1" max="24"/>
    <col width="100" customWidth="1" style="1" min="25" max="25"/>
  </cols>
  <sheetData>
    <row r="1">
      <c r="A1" s="9" t="inlineStr">
        <is>
          <t>method</t>
        </is>
      </c>
      <c r="B1" s="9" t="inlineStr">
        <is>
          <t>experiment</t>
        </is>
      </c>
      <c r="C1" s="9" t="inlineStr">
        <is>
          <t>dataset</t>
        </is>
      </c>
      <c r="D1" s="9" t="inlineStr">
        <is>
          <t>N</t>
        </is>
      </c>
      <c r="E1" s="9" t="inlineStr">
        <is>
          <t>k</t>
        </is>
      </c>
      <c r="F1" s="9" t="inlineStr">
        <is>
          <t>efSearch</t>
        </is>
      </c>
      <c r="G1" s="9" t="inlineStr">
        <is>
          <t>probes</t>
        </is>
      </c>
      <c r="H1" s="9" t="inlineStr">
        <is>
          <t>M</t>
        </is>
      </c>
      <c r="I1" s="9" t="inlineStr">
        <is>
          <t>efc</t>
        </is>
      </c>
      <c r="J1" s="9" t="inlineStr">
        <is>
          <t>bucket</t>
        </is>
      </c>
      <c r="K1" s="9" t="inlineStr">
        <is>
          <t>shard</t>
        </is>
      </c>
      <c r="L1" s="9" t="inlineStr">
        <is>
          <t>queries</t>
        </is>
      </c>
      <c r="M1" s="9" t="inlineStr">
        <is>
          <t>offset</t>
        </is>
      </c>
      <c r="N1" s="9" t="inlineStr">
        <is>
          <t>repeats</t>
        </is>
      </c>
      <c r="O1" s="9" t="inlineStr">
        <is>
          <t>samples</t>
        </is>
      </c>
      <c r="P1" s="9" t="inlineStr">
        <is>
          <t>Recall@K %</t>
        </is>
      </c>
      <c r="Q1" s="9" t="inlineStr">
        <is>
          <t>Query ms</t>
        </is>
      </c>
      <c r="R1" s="9" t="inlineStr">
        <is>
          <t>Verify ms</t>
        </is>
      </c>
      <c r="S1" s="9" t="inlineStr">
        <is>
          <t>VO KB</t>
        </is>
      </c>
      <c r="T1" s="9" t="inlineStr">
        <is>
          <t>Search ms</t>
        </is>
      </c>
      <c r="U1" s="9" t="inlineStr">
        <is>
          <t>VO generation ms</t>
        </is>
      </c>
      <c r="V1" s="9" t="inlineStr">
        <is>
          <t>Auth ms</t>
        </is>
      </c>
      <c r="W1" s="9" t="inlineStr">
        <is>
          <t>Replay ms</t>
        </is>
      </c>
      <c r="X1" s="9" t="inlineStr">
        <is>
          <t>Build threads</t>
        </is>
      </c>
      <c r="Y1" s="9" t="inlineStr">
        <is>
          <t>Output directory</t>
        </is>
      </c>
    </row>
    <row r="2">
      <c r="A2" s="0" t="inlineStr">
        <is>
          <t>ANNProof-24FGCS</t>
        </is>
      </c>
      <c r="B2" s="0" t="inlineStr">
        <is>
          <t>sift1m-k-curve</t>
        </is>
      </c>
      <c r="C2" s="0" t="inlineStr">
        <is>
          <t>/mnt/d/paper_source/work_9/VeriANN_repro_2026-09-30/VeriANN_repro_2026-09-30/dataset/sift1m</t>
        </is>
      </c>
      <c r="D2" s="0" t="n">
        <v>1000000</v>
      </c>
      <c r="E2" s="0" t="n">
        <v>1</v>
      </c>
      <c r="F2" s="0" t="n">
        <v>100</v>
      </c>
      <c r="G2" s="0" t="n">
        <v>1</v>
      </c>
      <c r="H2" s="0" t="n">
        <v>8</v>
      </c>
      <c r="I2" s="0" t="n">
        <v>100</v>
      </c>
      <c r="J2" s="0" t="n">
        <v>20000</v>
      </c>
      <c r="K2" s="0" t="n">
        <v>10000</v>
      </c>
      <c r="L2" s="0" t="n">
        <v>100</v>
      </c>
      <c r="M2" s="0" t="n">
        <v>100</v>
      </c>
      <c r="N2" s="0" t="n">
        <v>3</v>
      </c>
      <c r="O2" s="0" t="n">
        <v>300</v>
      </c>
      <c r="P2" s="0" t="n">
        <v>98</v>
      </c>
      <c r="Q2" s="0" t="n">
        <v>2.86723709</v>
      </c>
      <c r="R2" s="0" t="n">
        <v>13.50592026</v>
      </c>
      <c r="S2" s="0" t="n">
        <v>1066.37392</v>
      </c>
      <c r="T2" s="0" t="n">
        <v>0.749550023333333</v>
      </c>
      <c r="U2" s="0" t="n">
        <v>2.11768706666667</v>
      </c>
      <c r="V2" s="0" t="n">
        <v>13.0232658833333</v>
      </c>
      <c r="W2" s="0" t="n">
        <v>0.360372446666667</v>
      </c>
      <c r="X2" s="0" t="n">
        <v>1</v>
      </c>
      <c r="Y2" s="0" t="inlineStr">
        <is>
          <t>D:\paper_source\work_9\VeriANN_repro_2026-09-30\VeriANN_repro_2026-09-30\ANNProof-24FGCS\results\work9-20261015\sift1m-k-curve-retry-040546</t>
        </is>
      </c>
    </row>
    <row r="3">
      <c r="A3" s="0" t="inlineStr">
        <is>
          <t>ANNProof-24FGCS</t>
        </is>
      </c>
      <c r="B3" s="0" t="inlineStr">
        <is>
          <t>sift1m-k-curve</t>
        </is>
      </c>
      <c r="C3" s="0" t="inlineStr">
        <is>
          <t>/mnt/d/paper_source/work_9/VeriANN_repro_2026-09-30/VeriANN_repro_2026-09-30/dataset/sift1m</t>
        </is>
      </c>
      <c r="D3" s="0" t="n">
        <v>1000000</v>
      </c>
      <c r="E3" s="0" t="n">
        <v>5</v>
      </c>
      <c r="F3" s="0" t="n">
        <v>100</v>
      </c>
      <c r="G3" s="0" t="n">
        <v>1</v>
      </c>
      <c r="H3" s="0" t="n">
        <v>8</v>
      </c>
      <c r="I3" s="0" t="n">
        <v>100</v>
      </c>
      <c r="J3" s="0" t="n">
        <v>20000</v>
      </c>
      <c r="K3" s="0" t="n">
        <v>10000</v>
      </c>
      <c r="L3" s="0" t="n">
        <v>100</v>
      </c>
      <c r="M3" s="0" t="n">
        <v>100</v>
      </c>
      <c r="N3" s="0" t="n">
        <v>3</v>
      </c>
      <c r="O3" s="0" t="n">
        <v>300</v>
      </c>
      <c r="P3" s="0" t="n">
        <v>96</v>
      </c>
      <c r="Q3" s="0" t="n">
        <v>2.82147357</v>
      </c>
      <c r="R3" s="0" t="n">
        <v>13.56223147</v>
      </c>
      <c r="S3" s="0" t="n">
        <v>1068.47552</v>
      </c>
      <c r="T3" s="0" t="n">
        <v>0.728319183333333</v>
      </c>
      <c r="U3" s="0" t="n">
        <v>2.09315438666667</v>
      </c>
      <c r="V3" s="0" t="n">
        <v>13.0754269</v>
      </c>
      <c r="W3" s="0" t="n">
        <v>0.36193212</v>
      </c>
      <c r="X3" s="0" t="n">
        <v>1</v>
      </c>
      <c r="Y3" s="0" t="inlineStr">
        <is>
          <t>D:\paper_source\work_9\VeriANN_repro_2026-09-30\VeriANN_repro_2026-09-30\ANNProof-24FGCS\results\work9-20261015\sift1m-k-curve-retry-040546</t>
        </is>
      </c>
    </row>
    <row r="4">
      <c r="A4" s="0" t="inlineStr">
        <is>
          <t>ANNProof-24FGCS</t>
        </is>
      </c>
      <c r="B4" s="0" t="inlineStr">
        <is>
          <t>sift1m-k-curve</t>
        </is>
      </c>
      <c r="C4" s="0" t="inlineStr">
        <is>
          <t>/mnt/d/paper_source/work_9/VeriANN_repro_2026-09-30/VeriANN_repro_2026-09-30/dataset/sift1m</t>
        </is>
      </c>
      <c r="D4" s="0" t="n">
        <v>1000000</v>
      </c>
      <c r="E4" s="0" t="n">
        <v>10</v>
      </c>
      <c r="F4" s="0" t="n">
        <v>100</v>
      </c>
      <c r="G4" s="0" t="n">
        <v>1</v>
      </c>
      <c r="H4" s="0" t="n">
        <v>8</v>
      </c>
      <c r="I4" s="0" t="n">
        <v>100</v>
      </c>
      <c r="J4" s="0" t="n">
        <v>20000</v>
      </c>
      <c r="K4" s="0" t="n">
        <v>10000</v>
      </c>
      <c r="L4" s="0" t="n">
        <v>100</v>
      </c>
      <c r="M4" s="0" t="n">
        <v>100</v>
      </c>
      <c r="N4" s="0" t="n">
        <v>3</v>
      </c>
      <c r="O4" s="0" t="n">
        <v>300</v>
      </c>
      <c r="P4" s="0" t="n">
        <v>95.09999999999999</v>
      </c>
      <c r="Q4" s="0" t="n">
        <v>2.86063496666667</v>
      </c>
      <c r="R4" s="0" t="n">
        <v>13.5985456233333</v>
      </c>
      <c r="S4" s="0" t="n">
        <v>1071.01752</v>
      </c>
      <c r="T4" s="0" t="n">
        <v>0.738401096666667</v>
      </c>
      <c r="U4" s="0" t="n">
        <v>2.12223387</v>
      </c>
      <c r="V4" s="0" t="n">
        <v>13.1193828666667</v>
      </c>
      <c r="W4" s="0" t="n">
        <v>0.356777686666667</v>
      </c>
      <c r="X4" s="0" t="n">
        <v>1</v>
      </c>
      <c r="Y4" s="0" t="inlineStr">
        <is>
          <t>D:\paper_source\work_9\VeriANN_repro_2026-09-30\VeriANN_repro_2026-09-30\ANNProof-24FGCS\results\work9-20261015\sift1m-k-curve-retry-040546</t>
        </is>
      </c>
    </row>
    <row r="5">
      <c r="A5" s="0" t="inlineStr">
        <is>
          <t>ANNProof-24FGCS</t>
        </is>
      </c>
      <c r="B5" s="0" t="inlineStr">
        <is>
          <t>sift1m-k-curve</t>
        </is>
      </c>
      <c r="C5" s="0" t="inlineStr">
        <is>
          <t>/mnt/d/paper_source/work_9/VeriANN_repro_2026-09-30/VeriANN_repro_2026-09-30/dataset/sift1m</t>
        </is>
      </c>
      <c r="D5" s="0" t="n">
        <v>1000000</v>
      </c>
      <c r="E5" s="0" t="n">
        <v>20</v>
      </c>
      <c r="F5" s="0" t="n">
        <v>100</v>
      </c>
      <c r="G5" s="0" t="n">
        <v>1</v>
      </c>
      <c r="H5" s="0" t="n">
        <v>8</v>
      </c>
      <c r="I5" s="0" t="n">
        <v>100</v>
      </c>
      <c r="J5" s="0" t="n">
        <v>20000</v>
      </c>
      <c r="K5" s="0" t="n">
        <v>10000</v>
      </c>
      <c r="L5" s="0" t="n">
        <v>100</v>
      </c>
      <c r="M5" s="0" t="n">
        <v>100</v>
      </c>
      <c r="N5" s="0" t="n">
        <v>3</v>
      </c>
      <c r="O5" s="0" t="n">
        <v>300</v>
      </c>
      <c r="P5" s="0" t="n">
        <v>93.15000000000001</v>
      </c>
      <c r="Q5" s="0" t="n">
        <v>2.84033417333333</v>
      </c>
      <c r="R5" s="0" t="n">
        <v>13.7384909233333</v>
      </c>
      <c r="S5" s="0" t="n">
        <v>1075.92512</v>
      </c>
      <c r="T5" s="0" t="n">
        <v>0.7234160133333331</v>
      </c>
      <c r="U5" s="0" t="n">
        <v>2.11691816</v>
      </c>
      <c r="V5" s="0" t="n">
        <v>13.23255178</v>
      </c>
      <c r="W5" s="0" t="n">
        <v>0.380600453333333</v>
      </c>
      <c r="X5" s="0" t="n">
        <v>1</v>
      </c>
      <c r="Y5" s="0" t="inlineStr">
        <is>
          <t>D:\paper_source\work_9\VeriANN_repro_2026-09-30\VeriANN_repro_2026-09-30\ANNProof-24FGCS\results\work9-20261015\sift1m-k-curve-retry-040546</t>
        </is>
      </c>
    </row>
    <row r="6">
      <c r="A6" s="0" t="inlineStr">
        <is>
          <t>ANNProof-24FGCS</t>
        </is>
      </c>
      <c r="B6" s="0" t="inlineStr">
        <is>
          <t>sift1m-k-curve</t>
        </is>
      </c>
      <c r="C6" s="0" t="inlineStr">
        <is>
          <t>/mnt/d/paper_source/work_9/VeriANN_repro_2026-09-30/VeriANN_repro_2026-09-30/dataset/sift1m</t>
        </is>
      </c>
      <c r="D6" s="0" t="n">
        <v>1000000</v>
      </c>
      <c r="E6" s="0" t="n">
        <v>50</v>
      </c>
      <c r="F6" s="0" t="n">
        <v>100</v>
      </c>
      <c r="G6" s="0" t="n">
        <v>1</v>
      </c>
      <c r="H6" s="0" t="n">
        <v>8</v>
      </c>
      <c r="I6" s="0" t="n">
        <v>100</v>
      </c>
      <c r="J6" s="0" t="n">
        <v>20000</v>
      </c>
      <c r="K6" s="0" t="n">
        <v>10000</v>
      </c>
      <c r="L6" s="0" t="n">
        <v>100</v>
      </c>
      <c r="M6" s="0" t="n">
        <v>100</v>
      </c>
      <c r="N6" s="0" t="n">
        <v>3</v>
      </c>
      <c r="O6" s="0" t="n">
        <v>300</v>
      </c>
      <c r="P6" s="0" t="n">
        <v>89.40000000000001</v>
      </c>
      <c r="Q6" s="0" t="n">
        <v>2.91575918</v>
      </c>
      <c r="R6" s="0" t="n">
        <v>14.1065185666667</v>
      </c>
      <c r="S6" s="0" t="n">
        <v>1089.86992</v>
      </c>
      <c r="T6" s="0" t="n">
        <v>0.734008566666667</v>
      </c>
      <c r="U6" s="0" t="n">
        <v>2.18175061333333</v>
      </c>
      <c r="V6" s="0" t="n">
        <v>13.6140321333333</v>
      </c>
      <c r="W6" s="0" t="n">
        <v>0.366855276666667</v>
      </c>
      <c r="X6" s="0" t="n">
        <v>1</v>
      </c>
      <c r="Y6" s="0" t="inlineStr">
        <is>
          <t>D:\paper_source\work_9\VeriANN_repro_2026-09-30\VeriANN_repro_2026-09-30\ANNProof-24FGCS\results\work9-20261015\sift1m-k-curve-retry-040546</t>
        </is>
      </c>
    </row>
    <row r="7">
      <c r="A7" s="0" t="inlineStr">
        <is>
          <t>ANNProof-24FGCS</t>
        </is>
      </c>
      <c r="B7" s="0" t="inlineStr">
        <is>
          <t>sift1m-k-curve</t>
        </is>
      </c>
      <c r="C7" s="0" t="inlineStr">
        <is>
          <t>/mnt/d/paper_source/work_9/VeriANN_repro_2026-09-30/VeriANN_repro_2026-09-30/dataset/sift1m</t>
        </is>
      </c>
      <c r="D7" s="0" t="n">
        <v>1000000</v>
      </c>
      <c r="E7" s="0" t="n">
        <v>100</v>
      </c>
      <c r="F7" s="0" t="n">
        <v>100</v>
      </c>
      <c r="G7" s="0" t="n">
        <v>1</v>
      </c>
      <c r="H7" s="0" t="n">
        <v>8</v>
      </c>
      <c r="I7" s="0" t="n">
        <v>100</v>
      </c>
      <c r="J7" s="0" t="n">
        <v>20000</v>
      </c>
      <c r="K7" s="0" t="n">
        <v>10000</v>
      </c>
      <c r="L7" s="0" t="n">
        <v>100</v>
      </c>
      <c r="M7" s="0" t="n">
        <v>100</v>
      </c>
      <c r="N7" s="0" t="n">
        <v>3</v>
      </c>
      <c r="O7" s="0" t="n">
        <v>300</v>
      </c>
      <c r="P7" s="0" t="n">
        <v>85.12</v>
      </c>
      <c r="Q7" s="0" t="n">
        <v>2.94490975</v>
      </c>
      <c r="R7" s="0" t="n">
        <v>14.6850399966667</v>
      </c>
      <c r="S7" s="0" t="n">
        <v>1111.02832</v>
      </c>
      <c r="T7" s="0" t="n">
        <v>0.7230731500000001</v>
      </c>
      <c r="U7" s="0" t="n">
        <v>2.2218366</v>
      </c>
      <c r="V7" s="0" t="n">
        <v>14.1806938633333</v>
      </c>
      <c r="W7" s="0" t="n">
        <v>0.37670855</v>
      </c>
      <c r="X7" s="0" t="n">
        <v>1</v>
      </c>
      <c r="Y7" s="0" t="inlineStr">
        <is>
          <t>D:\paper_source\work_9\VeriANN_repro_2026-09-30\VeriANN_repro_2026-09-30\ANNProof-24FGCS\results\work9-20261015\sift1m-k-curve-retry-040546</t>
        </is>
      </c>
    </row>
    <row r="8">
      <c r="A8" s="0" t="inlineStr">
        <is>
          <t>ANNProof-24FGCS</t>
        </is>
      </c>
      <c r="B8" s="0" t="inlineStr">
        <is>
          <t>historical-recall-curve (superseded by Recall99 measurements)</t>
        </is>
      </c>
      <c r="C8" s="0" t="inlineStr">
        <is>
          <t>/mnt/d/paper_source/work_9/VeriANN_repro_2026-09-30/VeriANN_repro_2026-09-30/dataset/sift1m</t>
        </is>
      </c>
      <c r="D8" s="0" t="n">
        <v>1000000</v>
      </c>
      <c r="E8" s="0" t="n">
        <v>10</v>
      </c>
      <c r="F8" s="0" t="n">
        <v>10</v>
      </c>
      <c r="G8" s="0" t="n">
        <v>1</v>
      </c>
      <c r="H8" s="0" t="n">
        <v>8</v>
      </c>
      <c r="I8" s="0" t="n">
        <v>100</v>
      </c>
      <c r="J8" s="0" t="n">
        <v>20000</v>
      </c>
      <c r="K8" s="0" t="n">
        <v>10000</v>
      </c>
      <c r="L8" s="0" t="n">
        <v>100</v>
      </c>
      <c r="M8" s="0" t="n">
        <v>100</v>
      </c>
      <c r="N8" s="0" t="n">
        <v>3</v>
      </c>
      <c r="O8" s="0" t="n">
        <v>300</v>
      </c>
      <c r="P8" s="0" t="n">
        <v>56.5</v>
      </c>
      <c r="Q8" s="0" t="n">
        <v>0.614922743333333</v>
      </c>
      <c r="R8" s="0" t="n">
        <v>3.25045409</v>
      </c>
      <c r="S8" s="0" t="n">
        <v>258.99052</v>
      </c>
      <c r="T8" s="0" t="n">
        <v>0.149086053333333</v>
      </c>
      <c r="U8" s="0" t="n">
        <v>0.46583669</v>
      </c>
      <c r="V8" s="0" t="n">
        <v>3.15587263333333</v>
      </c>
      <c r="W8" s="0" t="n">
        <v>0.05648554</v>
      </c>
      <c r="X8" s="0" t="n">
        <v>1</v>
      </c>
      <c r="Y8" s="0" t="inlineStr">
        <is>
          <t>D:\paper_source\work_9\VeriANN_repro_2026-09-30\VeriANN_repro_2026-09-30\ANNProof-24FGCS\results\work9-20261015\sift1m-recall-curve</t>
        </is>
      </c>
    </row>
    <row r="9">
      <c r="A9" s="0" t="inlineStr">
        <is>
          <t>ANNProof-24FGCS</t>
        </is>
      </c>
      <c r="B9" s="0" t="inlineStr">
        <is>
          <t>historical-recall-curve (superseded by Recall99 measurements)</t>
        </is>
      </c>
      <c r="C9" s="0" t="inlineStr">
        <is>
          <t>/mnt/d/paper_source/work_9/VeriANN_repro_2026-09-30/VeriANN_repro_2026-09-30/dataset/sift1m</t>
        </is>
      </c>
      <c r="D9" s="0" t="n">
        <v>1000000</v>
      </c>
      <c r="E9" s="0" t="n">
        <v>10</v>
      </c>
      <c r="F9" s="0" t="n">
        <v>15</v>
      </c>
      <c r="G9" s="0" t="n">
        <v>1</v>
      </c>
      <c r="H9" s="0" t="n">
        <v>8</v>
      </c>
      <c r="I9" s="0" t="n">
        <v>100</v>
      </c>
      <c r="J9" s="0" t="n">
        <v>20000</v>
      </c>
      <c r="K9" s="0" t="n">
        <v>10000</v>
      </c>
      <c r="L9" s="0" t="n">
        <v>100</v>
      </c>
      <c r="M9" s="0" t="n">
        <v>100</v>
      </c>
      <c r="N9" s="0" t="n">
        <v>3</v>
      </c>
      <c r="O9" s="0" t="n">
        <v>300</v>
      </c>
      <c r="P9" s="0" t="n">
        <v>64</v>
      </c>
      <c r="Q9" s="0" t="n">
        <v>0.7740259766666669</v>
      </c>
      <c r="R9" s="0" t="n">
        <v>3.98031151</v>
      </c>
      <c r="S9" s="0" t="n">
        <v>315.37196</v>
      </c>
      <c r="T9" s="0" t="n">
        <v>0.20487868</v>
      </c>
      <c r="U9" s="0" t="n">
        <v>0.569147296666667</v>
      </c>
      <c r="V9" s="0" t="n">
        <v>3.86223868666667</v>
      </c>
      <c r="W9" s="0" t="n">
        <v>0.07267219</v>
      </c>
      <c r="X9" s="0" t="n">
        <v>1</v>
      </c>
      <c r="Y9" s="0" t="inlineStr">
        <is>
          <t>D:\paper_source\work_9\VeriANN_repro_2026-09-30\VeriANN_repro_2026-09-30\ANNProof-24FGCS\results\work9-20261015\sift1m-recall-curve</t>
        </is>
      </c>
    </row>
    <row r="10">
      <c r="A10" s="0" t="inlineStr">
        <is>
          <t>ANNProof-24FGCS</t>
        </is>
      </c>
      <c r="B10" s="0" t="inlineStr">
        <is>
          <t>historical-recall-curve (superseded by Recall99 measurements)</t>
        </is>
      </c>
      <c r="C10" s="0" t="inlineStr">
        <is>
          <t>/mnt/d/paper_source/work_9/VeriANN_repro_2026-09-30/VeriANN_repro_2026-09-30/dataset/sift1m</t>
        </is>
      </c>
      <c r="D10" s="0" t="n">
        <v>1000000</v>
      </c>
      <c r="E10" s="0" t="n">
        <v>10</v>
      </c>
      <c r="F10" s="0" t="n">
        <v>20</v>
      </c>
      <c r="G10" s="0" t="n">
        <v>1</v>
      </c>
      <c r="H10" s="0" t="n">
        <v>8</v>
      </c>
      <c r="I10" s="0" t="n">
        <v>100</v>
      </c>
      <c r="J10" s="0" t="n">
        <v>20000</v>
      </c>
      <c r="K10" s="0" t="n">
        <v>10000</v>
      </c>
      <c r="L10" s="0" t="n">
        <v>100</v>
      </c>
      <c r="M10" s="0" t="n">
        <v>100</v>
      </c>
      <c r="N10" s="0" t="n">
        <v>3</v>
      </c>
      <c r="O10" s="0" t="n">
        <v>300</v>
      </c>
      <c r="P10" s="0" t="n">
        <v>71.59999999999999</v>
      </c>
      <c r="Q10" s="0" t="n">
        <v>0.860799466666667</v>
      </c>
      <c r="R10" s="0" t="n">
        <v>4.67661868</v>
      </c>
      <c r="S10" s="0" t="n">
        <v>371.42244</v>
      </c>
      <c r="T10" s="0" t="n">
        <v>0.215239563333333</v>
      </c>
      <c r="U10" s="0" t="n">
        <v>0.645559903333333</v>
      </c>
      <c r="V10" s="0" t="n">
        <v>4.53281541666667</v>
      </c>
      <c r="W10" s="0" t="n">
        <v>0.09293737000000001</v>
      </c>
      <c r="X10" s="0" t="n">
        <v>1</v>
      </c>
      <c r="Y10" s="0" t="inlineStr">
        <is>
          <t>D:\paper_source\work_9\VeriANN_repro_2026-09-30\VeriANN_repro_2026-09-30\ANNProof-24FGCS\results\work9-20261015\sift1m-recall-curve</t>
        </is>
      </c>
    </row>
    <row r="11">
      <c r="A11" s="0" t="inlineStr">
        <is>
          <t>ANNProof-24FGCS</t>
        </is>
      </c>
      <c r="B11" s="0" t="inlineStr">
        <is>
          <t>historical-recall-curve (superseded by Recall99 measurements)</t>
        </is>
      </c>
      <c r="C11" s="0" t="inlineStr">
        <is>
          <t>/mnt/d/paper_source/work_9/VeriANN_repro_2026-09-30/VeriANN_repro_2026-09-30/dataset/sift1m</t>
        </is>
      </c>
      <c r="D11" s="0" t="n">
        <v>1000000</v>
      </c>
      <c r="E11" s="0" t="n">
        <v>10</v>
      </c>
      <c r="F11" s="0" t="n">
        <v>30</v>
      </c>
      <c r="G11" s="0" t="n">
        <v>1</v>
      </c>
      <c r="H11" s="0" t="n">
        <v>8</v>
      </c>
      <c r="I11" s="0" t="n">
        <v>100</v>
      </c>
      <c r="J11" s="0" t="n">
        <v>20000</v>
      </c>
      <c r="K11" s="0" t="n">
        <v>10000</v>
      </c>
      <c r="L11" s="0" t="n">
        <v>100</v>
      </c>
      <c r="M11" s="0" t="n">
        <v>100</v>
      </c>
      <c r="N11" s="0" t="n">
        <v>3</v>
      </c>
      <c r="O11" s="0" t="n">
        <v>300</v>
      </c>
      <c r="P11" s="0" t="n">
        <v>78.59999999999999</v>
      </c>
      <c r="Q11" s="0" t="n">
        <v>1.11249572</v>
      </c>
      <c r="R11" s="0" t="n">
        <v>5.883969</v>
      </c>
      <c r="S11" s="0" t="n">
        <v>466.43384</v>
      </c>
      <c r="T11" s="0" t="n">
        <v>0.28357615</v>
      </c>
      <c r="U11" s="0" t="n">
        <v>0.82891957</v>
      </c>
      <c r="V11" s="0" t="n">
        <v>5.69842024</v>
      </c>
      <c r="W11" s="0" t="n">
        <v>0.12264721</v>
      </c>
      <c r="X11" s="0" t="n">
        <v>1</v>
      </c>
      <c r="Y11" s="0" t="inlineStr">
        <is>
          <t>D:\paper_source\work_9\VeriANN_repro_2026-09-30\VeriANN_repro_2026-09-30\ANNProof-24FGCS\results\work9-20261015\sift1m-recall-curve</t>
        </is>
      </c>
    </row>
    <row r="12">
      <c r="A12" s="0" t="inlineStr">
        <is>
          <t>ANNProof-24FGCS</t>
        </is>
      </c>
      <c r="B12" s="0" t="inlineStr">
        <is>
          <t>historical-recall-curve (superseded by Recall99 measurements)</t>
        </is>
      </c>
      <c r="C12" s="0" t="inlineStr">
        <is>
          <t>/mnt/d/paper_source/work_9/VeriANN_repro_2026-09-30/VeriANN_repro_2026-09-30/dataset/sift1m</t>
        </is>
      </c>
      <c r="D12" s="0" t="n">
        <v>1000000</v>
      </c>
      <c r="E12" s="0" t="n">
        <v>10</v>
      </c>
      <c r="F12" s="0" t="n">
        <v>40</v>
      </c>
      <c r="G12" s="0" t="n">
        <v>1</v>
      </c>
      <c r="H12" s="0" t="n">
        <v>8</v>
      </c>
      <c r="I12" s="0" t="n">
        <v>100</v>
      </c>
      <c r="J12" s="0" t="n">
        <v>20000</v>
      </c>
      <c r="K12" s="0" t="n">
        <v>10000</v>
      </c>
      <c r="L12" s="0" t="n">
        <v>100</v>
      </c>
      <c r="M12" s="0" t="n">
        <v>100</v>
      </c>
      <c r="N12" s="0" t="n">
        <v>3</v>
      </c>
      <c r="O12" s="0" t="n">
        <v>300</v>
      </c>
      <c r="P12" s="0" t="n">
        <v>84</v>
      </c>
      <c r="Q12" s="0" t="n">
        <v>1.39192002666667</v>
      </c>
      <c r="R12" s="0" t="n">
        <v>7.08186655666667</v>
      </c>
      <c r="S12" s="0" t="n">
        <v>559.12324</v>
      </c>
      <c r="T12" s="0" t="n">
        <v>0.35475075</v>
      </c>
      <c r="U12" s="0" t="n">
        <v>1.03716927666667</v>
      </c>
      <c r="V12" s="0" t="n">
        <v>6.85640157</v>
      </c>
      <c r="W12" s="0" t="n">
        <v>0.15497604</v>
      </c>
      <c r="X12" s="0" t="n">
        <v>1</v>
      </c>
      <c r="Y12" s="0" t="inlineStr">
        <is>
          <t>D:\paper_source\work_9\VeriANN_repro_2026-09-30\VeriANN_repro_2026-09-30\ANNProof-24FGCS\results\work9-20261015\sift1m-recall-curve</t>
        </is>
      </c>
    </row>
    <row r="13">
      <c r="A13" s="0" t="inlineStr">
        <is>
          <t>ANNProof-24FGCS</t>
        </is>
      </c>
      <c r="B13" s="0" t="inlineStr">
        <is>
          <t>historical-recall-curve (superseded by Recall99 measurements)</t>
        </is>
      </c>
      <c r="C13" s="0" t="inlineStr">
        <is>
          <t>/mnt/d/paper_source/work_9/VeriANN_repro_2026-09-30/VeriANN_repro_2026-09-30/dataset/sift1m</t>
        </is>
      </c>
      <c r="D13" s="0" t="n">
        <v>1000000</v>
      </c>
      <c r="E13" s="0" t="n">
        <v>10</v>
      </c>
      <c r="F13" s="0" t="n">
        <v>50</v>
      </c>
      <c r="G13" s="0" t="n">
        <v>1</v>
      </c>
      <c r="H13" s="0" t="n">
        <v>8</v>
      </c>
      <c r="I13" s="0" t="n">
        <v>100</v>
      </c>
      <c r="J13" s="0" t="n">
        <v>20000</v>
      </c>
      <c r="K13" s="0" t="n">
        <v>10000</v>
      </c>
      <c r="L13" s="0" t="n">
        <v>100</v>
      </c>
      <c r="M13" s="0" t="n">
        <v>100</v>
      </c>
      <c r="N13" s="0" t="n">
        <v>3</v>
      </c>
      <c r="O13" s="0" t="n">
        <v>300</v>
      </c>
      <c r="P13" s="0" t="n">
        <v>87.09999999999999</v>
      </c>
      <c r="Q13" s="0" t="n">
        <v>1.61982851333333</v>
      </c>
      <c r="R13" s="0" t="n">
        <v>8.266161373333331</v>
      </c>
      <c r="S13" s="0" t="n">
        <v>650.24868</v>
      </c>
      <c r="T13" s="0" t="n">
        <v>0.411732183333333</v>
      </c>
      <c r="U13" s="0" t="n">
        <v>1.20809633</v>
      </c>
      <c r="V13" s="0" t="n">
        <v>7.99510945</v>
      </c>
      <c r="W13" s="0" t="n">
        <v>0.19133083</v>
      </c>
      <c r="X13" s="0" t="n">
        <v>1</v>
      </c>
      <c r="Y13" s="0" t="inlineStr">
        <is>
          <t>D:\paper_source\work_9\VeriANN_repro_2026-09-30\VeriANN_repro_2026-09-30\ANNProof-24FGCS\results\work9-20261015\sift1m-recall-curve</t>
        </is>
      </c>
    </row>
    <row r="14">
      <c r="A14" s="0" t="inlineStr">
        <is>
          <t>ANNProof-24FGCS</t>
        </is>
      </c>
      <c r="B14" s="0" t="inlineStr">
        <is>
          <t>historical-recall-curve (superseded by Recall99 measurements)</t>
        </is>
      </c>
      <c r="C14" s="0" t="inlineStr">
        <is>
          <t>/mnt/d/paper_source/work_9/VeriANN_repro_2026-09-30/VeriANN_repro_2026-09-30/dataset/sift1m</t>
        </is>
      </c>
      <c r="D14" s="0" t="n">
        <v>1000000</v>
      </c>
      <c r="E14" s="0" t="n">
        <v>10</v>
      </c>
      <c r="F14" s="0" t="n">
        <v>75</v>
      </c>
      <c r="G14" s="0" t="n">
        <v>1</v>
      </c>
      <c r="H14" s="0" t="n">
        <v>8</v>
      </c>
      <c r="I14" s="0" t="n">
        <v>100</v>
      </c>
      <c r="J14" s="0" t="n">
        <v>20000</v>
      </c>
      <c r="K14" s="0" t="n">
        <v>10000</v>
      </c>
      <c r="L14" s="0" t="n">
        <v>100</v>
      </c>
      <c r="M14" s="0" t="n">
        <v>100</v>
      </c>
      <c r="N14" s="0" t="n">
        <v>3</v>
      </c>
      <c r="O14" s="0" t="n">
        <v>300</v>
      </c>
      <c r="P14" s="0" t="n">
        <v>91.90000000000001</v>
      </c>
      <c r="Q14" s="0" t="n">
        <v>2.21659532</v>
      </c>
      <c r="R14" s="0" t="n">
        <v>10.9362016866667</v>
      </c>
      <c r="S14" s="0" t="n">
        <v>867.81604</v>
      </c>
      <c r="T14" s="0" t="n">
        <v>0.567830636666667</v>
      </c>
      <c r="U14" s="0" t="n">
        <v>1.64876468333333</v>
      </c>
      <c r="V14" s="0" t="n">
        <v>10.5558190466667</v>
      </c>
      <c r="W14" s="0" t="n">
        <v>0.27561121</v>
      </c>
      <c r="X14" s="0" t="n">
        <v>1</v>
      </c>
      <c r="Y14" s="0" t="inlineStr">
        <is>
          <t>D:\paper_source\work_9\VeriANN_repro_2026-09-30\VeriANN_repro_2026-09-30\ANNProof-24FGCS\results\work9-20261015\sift1m-recall-curve</t>
        </is>
      </c>
    </row>
    <row r="15">
      <c r="A15" s="0" t="inlineStr">
        <is>
          <t>ANNProof-24FGCS</t>
        </is>
      </c>
      <c r="B15" s="0" t="inlineStr">
        <is>
          <t>historical-recall-curve (superseded by Recall99 measurements)</t>
        </is>
      </c>
      <c r="C15" s="0" t="inlineStr">
        <is>
          <t>/mnt/d/paper_source/work_9/VeriANN_repro_2026-09-30/VeriANN_repro_2026-09-30/dataset/sift1m</t>
        </is>
      </c>
      <c r="D15" s="0" t="n">
        <v>1000000</v>
      </c>
      <c r="E15" s="0" t="n">
        <v>10</v>
      </c>
      <c r="F15" s="0" t="n">
        <v>100</v>
      </c>
      <c r="G15" s="0" t="n">
        <v>1</v>
      </c>
      <c r="H15" s="0" t="n">
        <v>8</v>
      </c>
      <c r="I15" s="0" t="n">
        <v>100</v>
      </c>
      <c r="J15" s="0" t="n">
        <v>20000</v>
      </c>
      <c r="K15" s="0" t="n">
        <v>10000</v>
      </c>
      <c r="L15" s="0" t="n">
        <v>100</v>
      </c>
      <c r="M15" s="0" t="n">
        <v>100</v>
      </c>
      <c r="N15" s="0" t="n">
        <v>3</v>
      </c>
      <c r="O15" s="0" t="n">
        <v>300</v>
      </c>
      <c r="P15" s="0" t="n">
        <v>95.09999999999999</v>
      </c>
      <c r="Q15" s="0" t="n">
        <v>2.79075900666667</v>
      </c>
      <c r="R15" s="0" t="n">
        <v>13.5371411</v>
      </c>
      <c r="S15" s="0" t="n">
        <v>1071.01752</v>
      </c>
      <c r="T15" s="0" t="n">
        <v>0.731737666666667</v>
      </c>
      <c r="U15" s="0" t="n">
        <v>2.05902134</v>
      </c>
      <c r="V15" s="0" t="n">
        <v>13.05040724</v>
      </c>
      <c r="W15" s="0" t="n">
        <v>0.363469403333333</v>
      </c>
      <c r="X15" s="0" t="n">
        <v>1</v>
      </c>
      <c r="Y15" s="0" t="inlineStr">
        <is>
          <t>D:\paper_source\work_9\VeriANN_repro_2026-09-30\VeriANN_repro_2026-09-30\ANNProof-24FGCS\results\work9-20261015\sift1m-recall-curve</t>
        </is>
      </c>
    </row>
    <row r="16">
      <c r="A16" s="0" t="inlineStr">
        <is>
          <t>ANNProof-24FGCS</t>
        </is>
      </c>
      <c r="B16" s="0" t="inlineStr">
        <is>
          <t>historical-recall-curve (superseded by Recall99 measurements)</t>
        </is>
      </c>
      <c r="C16" s="0" t="inlineStr">
        <is>
          <t>/mnt/d/paper_source/work_9/VeriANN_repro_2026-09-30/VeriANN_repro_2026-09-30/dataset/sift1m</t>
        </is>
      </c>
      <c r="D16" s="0" t="n">
        <v>1000000</v>
      </c>
      <c r="E16" s="0" t="n">
        <v>10</v>
      </c>
      <c r="F16" s="0" t="n">
        <v>150</v>
      </c>
      <c r="G16" s="0" t="n">
        <v>1</v>
      </c>
      <c r="H16" s="0" t="n">
        <v>8</v>
      </c>
      <c r="I16" s="0" t="n">
        <v>100</v>
      </c>
      <c r="J16" s="0" t="n">
        <v>20000</v>
      </c>
      <c r="K16" s="0" t="n">
        <v>10000</v>
      </c>
      <c r="L16" s="0" t="n">
        <v>100</v>
      </c>
      <c r="M16" s="0" t="n">
        <v>100</v>
      </c>
      <c r="N16" s="0" t="n">
        <v>3</v>
      </c>
      <c r="O16" s="0" t="n">
        <v>300</v>
      </c>
      <c r="P16" s="0" t="n">
        <v>97.09999999999999</v>
      </c>
      <c r="Q16" s="0" t="n">
        <v>3.99884902</v>
      </c>
      <c r="R16" s="0" t="n">
        <v>18.4665310766667</v>
      </c>
      <c r="S16" s="0" t="n">
        <v>1457.31248</v>
      </c>
      <c r="T16" s="0" t="n">
        <v>1.04116391</v>
      </c>
      <c r="U16" s="0" t="n">
        <v>2.95768511</v>
      </c>
      <c r="V16" s="0" t="n">
        <v>17.72842761</v>
      </c>
      <c r="W16" s="0" t="n">
        <v>0.556789736666667</v>
      </c>
      <c r="X16" s="0" t="n">
        <v>1</v>
      </c>
      <c r="Y16" s="0" t="inlineStr">
        <is>
          <t>D:\paper_source\work_9\VeriANN_repro_2026-09-30\VeriANN_repro_2026-09-30\ANNProof-24FGCS\results\work9-20261015\sift1m-recall-curve</t>
        </is>
      </c>
    </row>
    <row r="17">
      <c r="A17" s="0" t="inlineStr">
        <is>
          <t>ANNProof-24FGCS</t>
        </is>
      </c>
      <c r="B17" s="0" t="inlineStr">
        <is>
          <t>historical-recall-curve (superseded by Recall99 measurements)</t>
        </is>
      </c>
      <c r="C17" s="0" t="inlineStr">
        <is>
          <t>/mnt/d/paper_source/work_9/VeriANN_repro_2026-09-30/VeriANN_repro_2026-09-30/dataset/sift1m</t>
        </is>
      </c>
      <c r="D17" s="0" t="n">
        <v>1000000</v>
      </c>
      <c r="E17" s="0" t="n">
        <v>10</v>
      </c>
      <c r="F17" s="0" t="n">
        <v>200</v>
      </c>
      <c r="G17" s="0" t="n">
        <v>1</v>
      </c>
      <c r="H17" s="0" t="n">
        <v>8</v>
      </c>
      <c r="I17" s="0" t="n">
        <v>100</v>
      </c>
      <c r="J17" s="0" t="n">
        <v>20000</v>
      </c>
      <c r="K17" s="0" t="n">
        <v>10000</v>
      </c>
      <c r="L17" s="0" t="n">
        <v>100</v>
      </c>
      <c r="M17" s="0" t="n">
        <v>100</v>
      </c>
      <c r="N17" s="0" t="n">
        <v>3</v>
      </c>
      <c r="O17" s="0" t="n">
        <v>300</v>
      </c>
      <c r="P17" s="0" t="n">
        <v>97.90000000000001</v>
      </c>
      <c r="Q17" s="0" t="n">
        <v>5.03701368666667</v>
      </c>
      <c r="R17" s="0" t="n">
        <v>23.1083396933333</v>
      </c>
      <c r="S17" s="0" t="n">
        <v>1820.78548</v>
      </c>
      <c r="T17" s="0" t="n">
        <v>1.33925894666667</v>
      </c>
      <c r="U17" s="0" t="n">
        <v>3.69775474</v>
      </c>
      <c r="V17" s="0" t="n">
        <v>22.1270325833333</v>
      </c>
      <c r="W17" s="0" t="n">
        <v>0.761841723333333</v>
      </c>
      <c r="X17" s="0" t="n">
        <v>1</v>
      </c>
      <c r="Y17" s="0" t="inlineStr">
        <is>
          <t>D:\paper_source\work_9\VeriANN_repro_2026-09-30\VeriANN_repro_2026-09-30\ANNProof-24FGCS\results\work9-20261015\sift1m-recall-curve</t>
        </is>
      </c>
    </row>
    <row r="18">
      <c r="A18" s="0" t="inlineStr">
        <is>
          <t>ANNProof-24FGCS</t>
        </is>
      </c>
      <c r="B18" s="0" t="inlineStr">
        <is>
          <t>historical-recall-curve (superseded by Recall99 measurements)</t>
        </is>
      </c>
      <c r="C18" s="0" t="inlineStr">
        <is>
          <t>/mnt/d/paper_source/work_9/VeriANN_repro_2026-09-30/VeriANN_repro_2026-09-30/dataset/sift1m</t>
        </is>
      </c>
      <c r="D18" s="0" t="n">
        <v>1000000</v>
      </c>
      <c r="E18" s="0" t="n">
        <v>10</v>
      </c>
      <c r="F18" s="0" t="n">
        <v>300</v>
      </c>
      <c r="G18" s="0" t="n">
        <v>1</v>
      </c>
      <c r="H18" s="0" t="n">
        <v>8</v>
      </c>
      <c r="I18" s="0" t="n">
        <v>100</v>
      </c>
      <c r="J18" s="0" t="n">
        <v>20000</v>
      </c>
      <c r="K18" s="0" t="n">
        <v>10000</v>
      </c>
      <c r="L18" s="0" t="n">
        <v>100</v>
      </c>
      <c r="M18" s="0" t="n">
        <v>100</v>
      </c>
      <c r="N18" s="0" t="n">
        <v>3</v>
      </c>
      <c r="O18" s="0" t="n">
        <v>300</v>
      </c>
      <c r="P18" s="0" t="n">
        <v>98.2</v>
      </c>
      <c r="Q18" s="0" t="n">
        <v>7.21298055333333</v>
      </c>
      <c r="R18" s="0" t="n">
        <v>31.42901126</v>
      </c>
      <c r="S18" s="0" t="n">
        <v>2490.74752</v>
      </c>
      <c r="T18" s="0" t="n">
        <v>1.95256776666667</v>
      </c>
      <c r="U18" s="0" t="n">
        <v>5.26041278666667</v>
      </c>
      <c r="V18" s="0" t="n">
        <v>29.9652385466667</v>
      </c>
      <c r="W18" s="0" t="n">
        <v>1.17026946333333</v>
      </c>
      <c r="X18" s="0" t="n">
        <v>1</v>
      </c>
      <c r="Y18" s="0" t="inlineStr">
        <is>
          <t>D:\paper_source\work_9\VeriANN_repro_2026-09-30\VeriANN_repro_2026-09-30\ANNProof-24FGCS\results\work9-20261015\sift1m-recall-curve</t>
        </is>
      </c>
    </row>
    <row r="19">
      <c r="A19" s="0" t="inlineStr">
        <is>
          <t>ANNProof-24FGCS</t>
        </is>
      </c>
      <c r="B19" s="0" t="inlineStr">
        <is>
          <t>size-100000-calibration</t>
        </is>
      </c>
      <c r="C19" s="0" t="inlineStr">
        <is>
          <t>/mnt/d/paper_source/work_9/VeriANN_repro_2026-09-30/VeriANN_repro_2026-09-30/dataset/bigann10m</t>
        </is>
      </c>
      <c r="D19" s="0" t="n">
        <v>100000</v>
      </c>
      <c r="E19" s="0" t="n">
        <v>10</v>
      </c>
      <c r="F19" s="0" t="n">
        <v>20</v>
      </c>
      <c r="G19" s="0" t="n">
        <v>1</v>
      </c>
      <c r="H19" s="0" t="n">
        <v>8</v>
      </c>
      <c r="I19" s="0" t="n">
        <v>100</v>
      </c>
      <c r="J19" s="0" t="n">
        <v>20000</v>
      </c>
      <c r="K19" s="0" t="n">
        <v>10000</v>
      </c>
      <c r="L19" s="0" t="n">
        <v>20</v>
      </c>
      <c r="M19" s="0" t="n">
        <v>0</v>
      </c>
      <c r="N19" s="0" t="n">
        <v>1</v>
      </c>
      <c r="O19" s="0" t="n">
        <v>20</v>
      </c>
      <c r="P19" s="0" t="n">
        <v>82</v>
      </c>
      <c r="Q19" s="0" t="n">
        <v>0.7334976</v>
      </c>
      <c r="R19" s="0" t="n">
        <v>3.7289367</v>
      </c>
      <c r="S19" s="0" t="n">
        <v>281.8858</v>
      </c>
      <c r="T19" s="0" t="n">
        <v>0.16257035</v>
      </c>
      <c r="U19" s="0" t="n">
        <v>0.57092725</v>
      </c>
      <c r="V19" s="0" t="n">
        <v>3.6080719</v>
      </c>
      <c r="W19" s="0" t="n">
        <v>0.08120025</v>
      </c>
      <c r="X19" s="0" t="n">
        <v>8</v>
      </c>
      <c r="Y19" s="0" t="inlineStr">
        <is>
          <t>D:\paper_source\work_9\VeriANN_repro_2026-09-30\VeriANN_repro_2026-09-30\ANNProof-24FGCS\results\work9-20261015\size-100000-calibration</t>
        </is>
      </c>
    </row>
    <row r="20">
      <c r="A20" s="0" t="inlineStr">
        <is>
          <t>ANNProof-24FGCS</t>
        </is>
      </c>
      <c r="B20" s="0" t="inlineStr">
        <is>
          <t>size-100000-calibration</t>
        </is>
      </c>
      <c r="C20" s="0" t="inlineStr">
        <is>
          <t>/mnt/d/paper_source/work_9/VeriANN_repro_2026-09-30/VeriANN_repro_2026-09-30/dataset/bigann10m</t>
        </is>
      </c>
      <c r="D20" s="0" t="n">
        <v>100000</v>
      </c>
      <c r="E20" s="0" t="n">
        <v>10</v>
      </c>
      <c r="F20" s="0" t="n">
        <v>50</v>
      </c>
      <c r="G20" s="0" t="n">
        <v>1</v>
      </c>
      <c r="H20" s="0" t="n">
        <v>8</v>
      </c>
      <c r="I20" s="0" t="n">
        <v>100</v>
      </c>
      <c r="J20" s="0" t="n">
        <v>20000</v>
      </c>
      <c r="K20" s="0" t="n">
        <v>10000</v>
      </c>
      <c r="L20" s="0" t="n">
        <v>20</v>
      </c>
      <c r="M20" s="0" t="n">
        <v>0</v>
      </c>
      <c r="N20" s="0" t="n">
        <v>1</v>
      </c>
      <c r="O20" s="0" t="n">
        <v>20</v>
      </c>
      <c r="P20" s="0" t="n">
        <v>91.5</v>
      </c>
      <c r="Q20" s="0" t="n">
        <v>1.25037255</v>
      </c>
      <c r="R20" s="0" t="n">
        <v>6.3269381</v>
      </c>
      <c r="S20" s="0" t="n">
        <v>491.0698</v>
      </c>
      <c r="T20" s="0" t="n">
        <v>0.27027805</v>
      </c>
      <c r="U20" s="0" t="n">
        <v>0.9800945</v>
      </c>
      <c r="V20" s="0" t="n">
        <v>6.0977761</v>
      </c>
      <c r="W20" s="0" t="n">
        <v>0.16270565</v>
      </c>
      <c r="X20" s="0" t="n">
        <v>8</v>
      </c>
      <c r="Y20" s="0" t="inlineStr">
        <is>
          <t>D:\paper_source\work_9\VeriANN_repro_2026-09-30\VeriANN_repro_2026-09-30\ANNProof-24FGCS\results\work9-20261015\size-100000-calibration</t>
        </is>
      </c>
    </row>
    <row r="21">
      <c r="A21" s="0" t="inlineStr">
        <is>
          <t>ANNProof-24FGCS</t>
        </is>
      </c>
      <c r="B21" s="0" t="inlineStr">
        <is>
          <t>size-100000-calibration</t>
        </is>
      </c>
      <c r="C21" s="0" t="inlineStr">
        <is>
          <t>/mnt/d/paper_source/work_9/VeriANN_repro_2026-09-30/VeriANN_repro_2026-09-30/dataset/bigann10m</t>
        </is>
      </c>
      <c r="D21" s="0" t="n">
        <v>100000</v>
      </c>
      <c r="E21" s="0" t="n">
        <v>10</v>
      </c>
      <c r="F21" s="0" t="n">
        <v>100</v>
      </c>
      <c r="G21" s="0" t="n">
        <v>1</v>
      </c>
      <c r="H21" s="0" t="n">
        <v>8</v>
      </c>
      <c r="I21" s="0" t="n">
        <v>100</v>
      </c>
      <c r="J21" s="0" t="n">
        <v>20000</v>
      </c>
      <c r="K21" s="0" t="n">
        <v>10000</v>
      </c>
      <c r="L21" s="0" t="n">
        <v>20</v>
      </c>
      <c r="M21" s="0" t="n">
        <v>0</v>
      </c>
      <c r="N21" s="0" t="n">
        <v>1</v>
      </c>
      <c r="O21" s="0" t="n">
        <v>20</v>
      </c>
      <c r="P21" s="0" t="n">
        <v>97</v>
      </c>
      <c r="Q21" s="0" t="n">
        <v>2.2364378</v>
      </c>
      <c r="R21" s="0" t="n">
        <v>10.048696</v>
      </c>
      <c r="S21" s="0" t="n">
        <v>803.3632</v>
      </c>
      <c r="T21" s="0" t="n">
        <v>0.50524255</v>
      </c>
      <c r="U21" s="0" t="n">
        <v>1.73119525</v>
      </c>
      <c r="V21" s="0" t="n">
        <v>9.6182651</v>
      </c>
      <c r="W21" s="0" t="n">
        <v>0.3151859</v>
      </c>
      <c r="X21" s="0" t="n">
        <v>8</v>
      </c>
      <c r="Y21" s="0" t="inlineStr">
        <is>
          <t>D:\paper_source\work_9\VeriANN_repro_2026-09-30\VeriANN_repro_2026-09-30\ANNProof-24FGCS\results\work9-20261015\size-100000-calibration</t>
        </is>
      </c>
    </row>
    <row r="22">
      <c r="A22" s="0" t="inlineStr">
        <is>
          <t>ANNProof-24FGCS</t>
        </is>
      </c>
      <c r="B22" s="0" t="inlineStr">
        <is>
          <t>size-100000-calibration</t>
        </is>
      </c>
      <c r="C22" s="0" t="inlineStr">
        <is>
          <t>/mnt/d/paper_source/work_9/VeriANN_repro_2026-09-30/VeriANN_repro_2026-09-30/dataset/bigann10m</t>
        </is>
      </c>
      <c r="D22" s="0" t="n">
        <v>100000</v>
      </c>
      <c r="E22" s="0" t="n">
        <v>10</v>
      </c>
      <c r="F22" s="0" t="n">
        <v>200</v>
      </c>
      <c r="G22" s="0" t="n">
        <v>1</v>
      </c>
      <c r="H22" s="0" t="n">
        <v>8</v>
      </c>
      <c r="I22" s="0" t="n">
        <v>100</v>
      </c>
      <c r="J22" s="0" t="n">
        <v>20000</v>
      </c>
      <c r="K22" s="0" t="n">
        <v>10000</v>
      </c>
      <c r="L22" s="0" t="n">
        <v>20</v>
      </c>
      <c r="M22" s="0" t="n">
        <v>0</v>
      </c>
      <c r="N22" s="0" t="n">
        <v>1</v>
      </c>
      <c r="O22" s="0" t="n">
        <v>20</v>
      </c>
      <c r="P22" s="0" t="n">
        <v>99</v>
      </c>
      <c r="Q22" s="0" t="n">
        <v>3.79525065</v>
      </c>
      <c r="R22" s="0" t="n">
        <v>15.89997125</v>
      </c>
      <c r="S22" s="0" t="n">
        <v>1317.975</v>
      </c>
      <c r="T22" s="0" t="n">
        <v>0.9014316999999999</v>
      </c>
      <c r="U22" s="0" t="n">
        <v>2.89381895</v>
      </c>
      <c r="V22" s="0" t="n">
        <v>15.07818025</v>
      </c>
      <c r="W22" s="0" t="n">
        <v>0.63274305</v>
      </c>
      <c r="X22" s="0" t="n">
        <v>8</v>
      </c>
      <c r="Y22" s="0" t="inlineStr">
        <is>
          <t>D:\paper_source\work_9\VeriANN_repro_2026-09-30\VeriANN_repro_2026-09-30\ANNProof-24FGCS\results\work9-20261015\size-100000-calibration</t>
        </is>
      </c>
    </row>
    <row r="23">
      <c r="A23" s="0" t="inlineStr">
        <is>
          <t>ANNProof-24FGCS</t>
        </is>
      </c>
      <c r="B23" s="0" t="inlineStr">
        <is>
          <t>size-100000-calibration</t>
        </is>
      </c>
      <c r="C23" s="0" t="inlineStr">
        <is>
          <t>/mnt/d/paper_source/work_9/VeriANN_repro_2026-09-30/VeriANN_repro_2026-09-30/dataset/bigann10m</t>
        </is>
      </c>
      <c r="D23" s="0" t="n">
        <v>100000</v>
      </c>
      <c r="E23" s="0" t="n">
        <v>10</v>
      </c>
      <c r="F23" s="0" t="n">
        <v>400</v>
      </c>
      <c r="G23" s="0" t="n">
        <v>1</v>
      </c>
      <c r="H23" s="0" t="n">
        <v>8</v>
      </c>
      <c r="I23" s="0" t="n">
        <v>100</v>
      </c>
      <c r="J23" s="0" t="n">
        <v>20000</v>
      </c>
      <c r="K23" s="0" t="n">
        <v>10000</v>
      </c>
      <c r="L23" s="0" t="n">
        <v>20</v>
      </c>
      <c r="M23" s="0" t="n">
        <v>0</v>
      </c>
      <c r="N23" s="0" t="n">
        <v>1</v>
      </c>
      <c r="O23" s="0" t="n">
        <v>20</v>
      </c>
      <c r="P23" s="0" t="n">
        <v>100</v>
      </c>
      <c r="Q23" s="0" t="n">
        <v>6.281256</v>
      </c>
      <c r="R23" s="0" t="n">
        <v>25.4618389</v>
      </c>
      <c r="S23" s="0" t="n">
        <v>2181.941</v>
      </c>
      <c r="T23" s="0" t="n">
        <v>1.6032357</v>
      </c>
      <c r="U23" s="0" t="n">
        <v>4.6780203</v>
      </c>
      <c r="V23" s="0" t="n">
        <v>23.86476925</v>
      </c>
      <c r="W23" s="0" t="n">
        <v>1.25302275</v>
      </c>
      <c r="X23" s="0" t="n">
        <v>8</v>
      </c>
      <c r="Y23" s="0" t="inlineStr">
        <is>
          <t>D:\paper_source\work_9\VeriANN_repro_2026-09-30\VeriANN_repro_2026-09-30\ANNProof-24FGCS\results\work9-20261015\size-100000-calibration</t>
        </is>
      </c>
    </row>
    <row r="24">
      <c r="A24" s="0" t="inlineStr">
        <is>
          <t>ANNProof-24FGCS</t>
        </is>
      </c>
      <c r="B24" s="0" t="inlineStr">
        <is>
          <t>size-100000-calibration</t>
        </is>
      </c>
      <c r="C24" s="0" t="inlineStr">
        <is>
          <t>/mnt/d/paper_source/work_9/VeriANN_repro_2026-09-30/VeriANN_repro_2026-09-30/dataset/bigann10m</t>
        </is>
      </c>
      <c r="D24" s="0" t="n">
        <v>100000</v>
      </c>
      <c r="E24" s="0" t="n">
        <v>10</v>
      </c>
      <c r="F24" s="0" t="n">
        <v>800</v>
      </c>
      <c r="G24" s="0" t="n">
        <v>1</v>
      </c>
      <c r="H24" s="0" t="n">
        <v>8</v>
      </c>
      <c r="I24" s="0" t="n">
        <v>100</v>
      </c>
      <c r="J24" s="0" t="n">
        <v>20000</v>
      </c>
      <c r="K24" s="0" t="n">
        <v>10000</v>
      </c>
      <c r="L24" s="0" t="n">
        <v>20</v>
      </c>
      <c r="M24" s="0" t="n">
        <v>0</v>
      </c>
      <c r="N24" s="0" t="n">
        <v>1</v>
      </c>
      <c r="O24" s="0" t="n">
        <v>20</v>
      </c>
      <c r="P24" s="0" t="n">
        <v>100</v>
      </c>
      <c r="Q24" s="0" t="n">
        <v>10.5040986</v>
      </c>
      <c r="R24" s="0" t="n">
        <v>42.10068725</v>
      </c>
      <c r="S24" s="0" t="n">
        <v>3609.1122</v>
      </c>
      <c r="T24" s="0" t="n">
        <v>2.97375075</v>
      </c>
      <c r="U24" s="0" t="n">
        <v>7.53034785</v>
      </c>
      <c r="V24" s="0" t="n">
        <v>38.72609425</v>
      </c>
      <c r="W24" s="0" t="n">
        <v>2.78047515</v>
      </c>
      <c r="X24" s="0" t="n">
        <v>8</v>
      </c>
      <c r="Y24" s="0" t="inlineStr">
        <is>
          <t>D:\paper_source\work_9\VeriANN_repro_2026-09-30\VeriANN_repro_2026-09-30\ANNProof-24FGCS\results\work9-20261015\size-100000-calibration</t>
        </is>
      </c>
    </row>
    <row r="25">
      <c r="A25" s="0" t="inlineStr">
        <is>
          <t>ANNProof-24FGCS</t>
        </is>
      </c>
      <c r="B25" s="0" t="inlineStr">
        <is>
          <t>size-100000-evaluation</t>
        </is>
      </c>
      <c r="C25" s="0" t="inlineStr">
        <is>
          <t>/mnt/d/paper_source/work_9/VeriANN_repro_2026-09-30/VeriANN_repro_2026-09-30/dataset/bigann10m</t>
        </is>
      </c>
      <c r="D25" s="0" t="n">
        <v>100000</v>
      </c>
      <c r="E25" s="0" t="n">
        <v>10</v>
      </c>
      <c r="F25" s="0" t="n">
        <v>100</v>
      </c>
      <c r="G25" s="0" t="n">
        <v>1</v>
      </c>
      <c r="H25" s="0" t="n">
        <v>8</v>
      </c>
      <c r="I25" s="0" t="n">
        <v>100</v>
      </c>
      <c r="J25" s="0" t="n">
        <v>20000</v>
      </c>
      <c r="K25" s="0" t="n">
        <v>10000</v>
      </c>
      <c r="L25" s="0" t="n">
        <v>100</v>
      </c>
      <c r="M25" s="0" t="n">
        <v>100</v>
      </c>
      <c r="N25" s="0" t="n">
        <v>3</v>
      </c>
      <c r="O25" s="0" t="n">
        <v>300</v>
      </c>
      <c r="P25" s="0" t="n">
        <v>97.90000000000001</v>
      </c>
      <c r="Q25" s="0" t="n">
        <v>2.12258813</v>
      </c>
      <c r="R25" s="0" t="n">
        <v>9.935137016666671</v>
      </c>
      <c r="S25" s="0" t="n">
        <v>820.23484</v>
      </c>
      <c r="T25" s="0" t="n">
        <v>0.468752096666667</v>
      </c>
      <c r="U25" s="0" t="n">
        <v>1.65383603333333</v>
      </c>
      <c r="V25" s="0" t="n">
        <v>9.51678264666667</v>
      </c>
      <c r="W25" s="0" t="n">
        <v>0.325251493333333</v>
      </c>
      <c r="X25" s="0" t="n">
        <v>8</v>
      </c>
      <c r="Y25" s="0" t="inlineStr">
        <is>
          <t>D:\paper_source\work_9\VeriANN_repro_2026-09-30\VeriANN_repro_2026-09-30\ANNProof-24FGCS\results\work9-20261015\size-100000-evaluation</t>
        </is>
      </c>
    </row>
    <row r="26">
      <c r="A26" s="0" t="inlineStr">
        <is>
          <t>ANNProof-24FGCS</t>
        </is>
      </c>
      <c r="B26" s="0" t="inlineStr">
        <is>
          <t>size-1000000-calibration</t>
        </is>
      </c>
      <c r="C26" s="0" t="inlineStr">
        <is>
          <t>/mnt/d/paper_source/work_9/VeriANN_repro_2026-09-30/VeriANN_repro_2026-09-30/dataset/bigann10m</t>
        </is>
      </c>
      <c r="D26" s="0" t="n">
        <v>1000000</v>
      </c>
      <c r="E26" s="0" t="n">
        <v>10</v>
      </c>
      <c r="F26" s="0" t="n">
        <v>20</v>
      </c>
      <c r="G26" s="0" t="n">
        <v>1</v>
      </c>
      <c r="H26" s="0" t="n">
        <v>8</v>
      </c>
      <c r="I26" s="0" t="n">
        <v>100</v>
      </c>
      <c r="J26" s="0" t="n">
        <v>20000</v>
      </c>
      <c r="K26" s="0" t="n">
        <v>10000</v>
      </c>
      <c r="L26" s="0" t="n">
        <v>20</v>
      </c>
      <c r="M26" s="0" t="n">
        <v>0</v>
      </c>
      <c r="N26" s="0" t="n">
        <v>1</v>
      </c>
      <c r="O26" s="0" t="n">
        <v>20</v>
      </c>
      <c r="P26" s="0" t="n">
        <v>78</v>
      </c>
      <c r="Q26" s="0" t="n">
        <v>0.9831005</v>
      </c>
      <c r="R26" s="0" t="n">
        <v>4.9136023</v>
      </c>
      <c r="S26" s="0" t="n">
        <v>380.8694</v>
      </c>
      <c r="T26" s="0" t="n">
        <v>0.2346764</v>
      </c>
      <c r="U26" s="0" t="n">
        <v>0.7484241</v>
      </c>
      <c r="V26" s="0" t="n">
        <v>4.74623875</v>
      </c>
      <c r="W26" s="0" t="n">
        <v>0.101416</v>
      </c>
      <c r="X26" s="0" t="n">
        <v>8</v>
      </c>
      <c r="Y26" s="0" t="inlineStr">
        <is>
          <t>D:\paper_source\work_9\VeriANN_repro_2026-09-30\VeriANN_repro_2026-09-30\ANNProof-24FGCS\results\work9-20261015\size-1000000-calibration</t>
        </is>
      </c>
    </row>
    <row r="27">
      <c r="A27" s="0" t="inlineStr">
        <is>
          <t>ANNProof-24FGCS</t>
        </is>
      </c>
      <c r="B27" s="0" t="inlineStr">
        <is>
          <t>size-1000000-calibration</t>
        </is>
      </c>
      <c r="C27" s="0" t="inlineStr">
        <is>
          <t>/mnt/d/paper_source/work_9/VeriANN_repro_2026-09-30/VeriANN_repro_2026-09-30/dataset/bigann10m</t>
        </is>
      </c>
      <c r="D27" s="0" t="n">
        <v>1000000</v>
      </c>
      <c r="E27" s="0" t="n">
        <v>10</v>
      </c>
      <c r="F27" s="0" t="n">
        <v>50</v>
      </c>
      <c r="G27" s="0" t="n">
        <v>1</v>
      </c>
      <c r="H27" s="0" t="n">
        <v>8</v>
      </c>
      <c r="I27" s="0" t="n">
        <v>100</v>
      </c>
      <c r="J27" s="0" t="n">
        <v>20000</v>
      </c>
      <c r="K27" s="0" t="n">
        <v>10000</v>
      </c>
      <c r="L27" s="0" t="n">
        <v>20</v>
      </c>
      <c r="M27" s="0" t="n">
        <v>0</v>
      </c>
      <c r="N27" s="0" t="n">
        <v>1</v>
      </c>
      <c r="O27" s="0" t="n">
        <v>20</v>
      </c>
      <c r="P27" s="0" t="n">
        <v>95.5</v>
      </c>
      <c r="Q27" s="0" t="n">
        <v>1.6589971</v>
      </c>
      <c r="R27" s="0" t="n">
        <v>8.409156149999999</v>
      </c>
      <c r="S27" s="0" t="n">
        <v>661.201</v>
      </c>
      <c r="T27" s="0" t="n">
        <v>0.4371823</v>
      </c>
      <c r="U27" s="0" t="n">
        <v>1.2218148</v>
      </c>
      <c r="V27" s="0" t="n">
        <v>8.11296505</v>
      </c>
      <c r="W27" s="0" t="n">
        <v>0.20281025</v>
      </c>
      <c r="X27" s="0" t="n">
        <v>8</v>
      </c>
      <c r="Y27" s="0" t="inlineStr">
        <is>
          <t>D:\paper_source\work_9\VeriANN_repro_2026-09-30\VeriANN_repro_2026-09-30\ANNProof-24FGCS\results\work9-20261015\size-1000000-calibration</t>
        </is>
      </c>
    </row>
    <row r="28">
      <c r="A28" s="0" t="inlineStr">
        <is>
          <t>ANNProof-24FGCS</t>
        </is>
      </c>
      <c r="B28" s="0" t="inlineStr">
        <is>
          <t>size-1000000-calibration</t>
        </is>
      </c>
      <c r="C28" s="0" t="inlineStr">
        <is>
          <t>/mnt/d/paper_source/work_9/VeriANN_repro_2026-09-30/VeriANN_repro_2026-09-30/dataset/bigann10m</t>
        </is>
      </c>
      <c r="D28" s="0" t="n">
        <v>1000000</v>
      </c>
      <c r="E28" s="0" t="n">
        <v>10</v>
      </c>
      <c r="F28" s="0" t="n">
        <v>100</v>
      </c>
      <c r="G28" s="0" t="n">
        <v>1</v>
      </c>
      <c r="H28" s="0" t="n">
        <v>8</v>
      </c>
      <c r="I28" s="0" t="n">
        <v>100</v>
      </c>
      <c r="J28" s="0" t="n">
        <v>20000</v>
      </c>
      <c r="K28" s="0" t="n">
        <v>10000</v>
      </c>
      <c r="L28" s="0" t="n">
        <v>20</v>
      </c>
      <c r="M28" s="0" t="n">
        <v>0</v>
      </c>
      <c r="N28" s="0" t="n">
        <v>1</v>
      </c>
      <c r="O28" s="0" t="n">
        <v>20</v>
      </c>
      <c r="P28" s="0" t="n">
        <v>97.5</v>
      </c>
      <c r="Q28" s="0" t="n">
        <v>2.8934366</v>
      </c>
      <c r="R28" s="0" t="n">
        <v>14.18518465</v>
      </c>
      <c r="S28" s="0" t="n">
        <v>1076.698</v>
      </c>
      <c r="T28" s="0" t="n">
        <v>0.7808784</v>
      </c>
      <c r="U28" s="0" t="n">
        <v>2.1125582</v>
      </c>
      <c r="V28" s="0" t="n">
        <v>13.61483845</v>
      </c>
      <c r="W28" s="0" t="n">
        <v>0.41281495</v>
      </c>
      <c r="X28" s="0" t="n">
        <v>8</v>
      </c>
      <c r="Y28" s="0" t="inlineStr">
        <is>
          <t>D:\paper_source\work_9\VeriANN_repro_2026-09-30\VeriANN_repro_2026-09-30\ANNProof-24FGCS\results\work9-20261015\size-1000000-calibration</t>
        </is>
      </c>
    </row>
    <row r="29">
      <c r="A29" s="0" t="inlineStr">
        <is>
          <t>ANNProof-24FGCS</t>
        </is>
      </c>
      <c r="B29" s="0" t="inlineStr">
        <is>
          <t>size-1000000-calibration</t>
        </is>
      </c>
      <c r="C29" s="0" t="inlineStr">
        <is>
          <t>/mnt/d/paper_source/work_9/VeriANN_repro_2026-09-30/VeriANN_repro_2026-09-30/dataset/bigann10m</t>
        </is>
      </c>
      <c r="D29" s="0" t="n">
        <v>1000000</v>
      </c>
      <c r="E29" s="0" t="n">
        <v>10</v>
      </c>
      <c r="F29" s="0" t="n">
        <v>200</v>
      </c>
      <c r="G29" s="0" t="n">
        <v>1</v>
      </c>
      <c r="H29" s="0" t="n">
        <v>8</v>
      </c>
      <c r="I29" s="0" t="n">
        <v>100</v>
      </c>
      <c r="J29" s="0" t="n">
        <v>20000</v>
      </c>
      <c r="K29" s="0" t="n">
        <v>10000</v>
      </c>
      <c r="L29" s="0" t="n">
        <v>20</v>
      </c>
      <c r="M29" s="0" t="n">
        <v>0</v>
      </c>
      <c r="N29" s="0" t="n">
        <v>1</v>
      </c>
      <c r="O29" s="0" t="n">
        <v>20</v>
      </c>
      <c r="P29" s="0" t="n">
        <v>98.5</v>
      </c>
      <c r="Q29" s="0" t="n">
        <v>5.2632588</v>
      </c>
      <c r="R29" s="0" t="n">
        <v>23.3999326</v>
      </c>
      <c r="S29" s="0" t="n">
        <v>1807.3456</v>
      </c>
      <c r="T29" s="0" t="n">
        <v>1.39283345</v>
      </c>
      <c r="U29" s="0" t="n">
        <v>3.87042535</v>
      </c>
      <c r="V29" s="0" t="n">
        <v>22.2603467</v>
      </c>
      <c r="W29" s="0" t="n">
        <v>0.8893735</v>
      </c>
      <c r="X29" s="0" t="n">
        <v>8</v>
      </c>
      <c r="Y29" s="0" t="inlineStr">
        <is>
          <t>D:\paper_source\work_9\VeriANN_repro_2026-09-30\VeriANN_repro_2026-09-30\ANNProof-24FGCS\results\work9-20261015\size-1000000-calibration</t>
        </is>
      </c>
    </row>
    <row r="30">
      <c r="A30" s="0" t="inlineStr">
        <is>
          <t>ANNProof-24FGCS</t>
        </is>
      </c>
      <c r="B30" s="0" t="inlineStr">
        <is>
          <t>size-1000000-calibration</t>
        </is>
      </c>
      <c r="C30" s="0" t="inlineStr">
        <is>
          <t>/mnt/d/paper_source/work_9/VeriANN_repro_2026-09-30/VeriANN_repro_2026-09-30/dataset/bigann10m</t>
        </is>
      </c>
      <c r="D30" s="0" t="n">
        <v>1000000</v>
      </c>
      <c r="E30" s="0" t="n">
        <v>10</v>
      </c>
      <c r="F30" s="0" t="n">
        <v>400</v>
      </c>
      <c r="G30" s="0" t="n">
        <v>1</v>
      </c>
      <c r="H30" s="0" t="n">
        <v>8</v>
      </c>
      <c r="I30" s="0" t="n">
        <v>100</v>
      </c>
      <c r="J30" s="0" t="n">
        <v>20000</v>
      </c>
      <c r="K30" s="0" t="n">
        <v>10000</v>
      </c>
      <c r="L30" s="0" t="n">
        <v>20</v>
      </c>
      <c r="M30" s="0" t="n">
        <v>0</v>
      </c>
      <c r="N30" s="0" t="n">
        <v>1</v>
      </c>
      <c r="O30" s="0" t="n">
        <v>20</v>
      </c>
      <c r="P30" s="0" t="n">
        <v>98.5</v>
      </c>
      <c r="Q30" s="0" t="n">
        <v>9.370775849999999</v>
      </c>
      <c r="R30" s="0" t="n">
        <v>39.7230619</v>
      </c>
      <c r="S30" s="0" t="n">
        <v>3082.1822</v>
      </c>
      <c r="T30" s="0" t="n">
        <v>2.6198768</v>
      </c>
      <c r="U30" s="0" t="n">
        <v>6.75089905</v>
      </c>
      <c r="V30" s="0" t="n">
        <v>37.56065455</v>
      </c>
      <c r="W30" s="0" t="n">
        <v>1.6831168</v>
      </c>
      <c r="X30" s="0" t="n">
        <v>8</v>
      </c>
      <c r="Y30" s="0" t="inlineStr">
        <is>
          <t>D:\paper_source\work_9\VeriANN_repro_2026-09-30\VeriANN_repro_2026-09-30\ANNProof-24FGCS\results\work9-20261015\size-1000000-calibration</t>
        </is>
      </c>
    </row>
    <row r="31">
      <c r="A31" s="0" t="inlineStr">
        <is>
          <t>ANNProof-24FGCS</t>
        </is>
      </c>
      <c r="B31" s="0" t="inlineStr">
        <is>
          <t>size-1000000-calibration</t>
        </is>
      </c>
      <c r="C31" s="0" t="inlineStr">
        <is>
          <t>/mnt/d/paper_source/work_9/VeriANN_repro_2026-09-30/VeriANN_repro_2026-09-30/dataset/bigann10m</t>
        </is>
      </c>
      <c r="D31" s="0" t="n">
        <v>1000000</v>
      </c>
      <c r="E31" s="0" t="n">
        <v>10</v>
      </c>
      <c r="F31" s="0" t="n">
        <v>800</v>
      </c>
      <c r="G31" s="0" t="n">
        <v>1</v>
      </c>
      <c r="H31" s="0" t="n">
        <v>8</v>
      </c>
      <c r="I31" s="0" t="n">
        <v>100</v>
      </c>
      <c r="J31" s="0" t="n">
        <v>20000</v>
      </c>
      <c r="K31" s="0" t="n">
        <v>10000</v>
      </c>
      <c r="L31" s="0" t="n">
        <v>20</v>
      </c>
      <c r="M31" s="0" t="n">
        <v>0</v>
      </c>
      <c r="N31" s="0" t="n">
        <v>1</v>
      </c>
      <c r="O31" s="0" t="n">
        <v>20</v>
      </c>
      <c r="P31" s="0" t="n">
        <v>99</v>
      </c>
      <c r="Q31" s="0" t="n">
        <v>17.327474</v>
      </c>
      <c r="R31" s="0" t="n">
        <v>67.7846447</v>
      </c>
      <c r="S31" s="0" t="n">
        <v>5287.5784</v>
      </c>
      <c r="T31" s="0" t="n">
        <v>4.96235195</v>
      </c>
      <c r="U31" s="0" t="n">
        <v>12.36512205</v>
      </c>
      <c r="V31" s="0" t="n">
        <v>63.1221026</v>
      </c>
      <c r="W31" s="0" t="n">
        <v>3.8344263</v>
      </c>
      <c r="X31" s="0" t="n">
        <v>8</v>
      </c>
      <c r="Y31" s="0" t="inlineStr">
        <is>
          <t>D:\paper_source\work_9\VeriANN_repro_2026-09-30\VeriANN_repro_2026-09-30\ANNProof-24FGCS\results\work9-20261015\size-1000000-calibration</t>
        </is>
      </c>
    </row>
    <row r="32">
      <c r="A32" s="0" t="inlineStr">
        <is>
          <t>ANNProof-24FGCS</t>
        </is>
      </c>
      <c r="B32" s="0" t="inlineStr">
        <is>
          <t>size-1000000-evaluation</t>
        </is>
      </c>
      <c r="C32" s="0" t="inlineStr">
        <is>
          <t>/mnt/d/paper_source/work_9/VeriANN_repro_2026-09-30/VeriANN_repro_2026-09-30/dataset/bigann10m</t>
        </is>
      </c>
      <c r="D32" s="0" t="n">
        <v>1000000</v>
      </c>
      <c r="E32" s="0" t="n">
        <v>10</v>
      </c>
      <c r="F32" s="0" t="n">
        <v>50</v>
      </c>
      <c r="G32" s="0" t="n">
        <v>1</v>
      </c>
      <c r="H32" s="0" t="n">
        <v>8</v>
      </c>
      <c r="I32" s="0" t="n">
        <v>100</v>
      </c>
      <c r="J32" s="0" t="n">
        <v>20000</v>
      </c>
      <c r="K32" s="0" t="n">
        <v>10000</v>
      </c>
      <c r="L32" s="0" t="n">
        <v>100</v>
      </c>
      <c r="M32" s="0" t="n">
        <v>100</v>
      </c>
      <c r="N32" s="0" t="n">
        <v>3</v>
      </c>
      <c r="O32" s="0" t="n">
        <v>300</v>
      </c>
      <c r="P32" s="0" t="n">
        <v>87.59999999999999</v>
      </c>
      <c r="Q32" s="0" t="n">
        <v>1.68453729666667</v>
      </c>
      <c r="R32" s="0" t="n">
        <v>8.46944842666667</v>
      </c>
      <c r="S32" s="0" t="n">
        <v>672.4858</v>
      </c>
      <c r="T32" s="0" t="n">
        <v>0.435544473333333</v>
      </c>
      <c r="U32" s="0" t="n">
        <v>1.24899282333333</v>
      </c>
      <c r="V32" s="0" t="n">
        <v>8.197574943333329</v>
      </c>
      <c r="W32" s="0" t="n">
        <v>0.19226442</v>
      </c>
      <c r="X32" s="0" t="n">
        <v>8</v>
      </c>
      <c r="Y32" s="0" t="inlineStr">
        <is>
          <t>D:\paper_source\work_9\VeriANN_repro_2026-09-30\VeriANN_repro_2026-09-30\ANNProof-24FGCS\results\work9-20261015\size-1000000-evaluation</t>
        </is>
      </c>
    </row>
    <row r="33">
      <c r="A33" s="0" t="inlineStr">
        <is>
          <t>ANNProof-24FGCS</t>
        </is>
      </c>
      <c r="B33" s="0" t="inlineStr">
        <is>
          <t>size-10000000-calibration</t>
        </is>
      </c>
      <c r="C33" s="0" t="inlineStr">
        <is>
          <t>/mnt/d/paper_source/work_9/VeriANN_repro_2026-09-30/VeriANN_repro_2026-09-30/dataset/bigann10m</t>
        </is>
      </c>
      <c r="D33" s="0" t="n">
        <v>10000000</v>
      </c>
      <c r="E33" s="0" t="n">
        <v>10</v>
      </c>
      <c r="F33" s="0" t="n">
        <v>20</v>
      </c>
      <c r="G33" s="0" t="n">
        <v>1</v>
      </c>
      <c r="H33" s="0" t="n">
        <v>8</v>
      </c>
      <c r="I33" s="0" t="n">
        <v>100</v>
      </c>
      <c r="J33" s="0" t="n">
        <v>20000</v>
      </c>
      <c r="K33" s="0" t="n">
        <v>10000</v>
      </c>
      <c r="L33" s="0" t="n">
        <v>20</v>
      </c>
      <c r="M33" s="0" t="n">
        <v>0</v>
      </c>
      <c r="N33" s="0" t="n">
        <v>1</v>
      </c>
      <c r="O33" s="0" t="n">
        <v>20</v>
      </c>
      <c r="P33" s="0" t="n">
        <v>71.5</v>
      </c>
      <c r="Q33" s="0" t="n">
        <v>1.3916446</v>
      </c>
      <c r="R33" s="0" t="n">
        <v>5.2658096</v>
      </c>
      <c r="S33" s="0" t="n">
        <v>454.9446</v>
      </c>
      <c r="T33" s="0" t="n">
        <v>0.29990265</v>
      </c>
      <c r="U33" s="0" t="n">
        <v>1.09174195</v>
      </c>
      <c r="V33" s="0" t="n">
        <v>5.04425245</v>
      </c>
      <c r="W33" s="0" t="n">
        <v>0.10459825</v>
      </c>
      <c r="X33" s="0" t="n">
        <v>8</v>
      </c>
      <c r="Y33" s="0" t="inlineStr">
        <is>
          <t>D:\paper_source\work_9\VeriANN_repro_2026-09-30\VeriANN_repro_2026-09-30\ANNProof-24FGCS\results\work9-20261015\size-10000000-calibration</t>
        </is>
      </c>
    </row>
    <row r="34">
      <c r="A34" s="0" t="inlineStr">
        <is>
          <t>ANNProof-24FGCS</t>
        </is>
      </c>
      <c r="B34" s="0" t="inlineStr">
        <is>
          <t>size-10000000-calibration</t>
        </is>
      </c>
      <c r="C34" s="0" t="inlineStr">
        <is>
          <t>/mnt/d/paper_source/work_9/VeriANN_repro_2026-09-30/VeriANN_repro_2026-09-30/dataset/bigann10m</t>
        </is>
      </c>
      <c r="D34" s="0" t="n">
        <v>10000000</v>
      </c>
      <c r="E34" s="0" t="n">
        <v>10</v>
      </c>
      <c r="F34" s="0" t="n">
        <v>50</v>
      </c>
      <c r="G34" s="0" t="n">
        <v>1</v>
      </c>
      <c r="H34" s="0" t="n">
        <v>8</v>
      </c>
      <c r="I34" s="0" t="n">
        <v>100</v>
      </c>
      <c r="J34" s="0" t="n">
        <v>20000</v>
      </c>
      <c r="K34" s="0" t="n">
        <v>10000</v>
      </c>
      <c r="L34" s="0" t="n">
        <v>20</v>
      </c>
      <c r="M34" s="0" t="n">
        <v>0</v>
      </c>
      <c r="N34" s="0" t="n">
        <v>1</v>
      </c>
      <c r="O34" s="0" t="n">
        <v>20</v>
      </c>
      <c r="P34" s="0" t="n">
        <v>80.5</v>
      </c>
      <c r="Q34" s="0" t="n">
        <v>2.4565399</v>
      </c>
      <c r="R34" s="0" t="n">
        <v>9.530962949999999</v>
      </c>
      <c r="S34" s="0" t="n">
        <v>795.0834</v>
      </c>
      <c r="T34" s="0" t="n">
        <v>0.5565995</v>
      </c>
      <c r="U34" s="0" t="n">
        <v>1.8999404</v>
      </c>
      <c r="V34" s="0" t="n">
        <v>9.089642599999999</v>
      </c>
      <c r="W34" s="0" t="n">
        <v>0.2101287</v>
      </c>
      <c r="X34" s="0" t="n">
        <v>8</v>
      </c>
      <c r="Y34" s="0" t="inlineStr">
        <is>
          <t>D:\paper_source\work_9\VeriANN_repro_2026-09-30\VeriANN_repro_2026-09-30\ANNProof-24FGCS\results\work9-20261015\size-10000000-calibration</t>
        </is>
      </c>
    </row>
    <row r="35">
      <c r="A35" s="0" t="inlineStr">
        <is>
          <t>ANNProof-24FGCS</t>
        </is>
      </c>
      <c r="B35" s="0" t="inlineStr">
        <is>
          <t>size-10000000-calibration</t>
        </is>
      </c>
      <c r="C35" s="0" t="inlineStr">
        <is>
          <t>/mnt/d/paper_source/work_9/VeriANN_repro_2026-09-30/VeriANN_repro_2026-09-30/dataset/bigann10m</t>
        </is>
      </c>
      <c r="D35" s="0" t="n">
        <v>10000000</v>
      </c>
      <c r="E35" s="0" t="n">
        <v>10</v>
      </c>
      <c r="F35" s="0" t="n">
        <v>100</v>
      </c>
      <c r="G35" s="0" t="n">
        <v>1</v>
      </c>
      <c r="H35" s="0" t="n">
        <v>8</v>
      </c>
      <c r="I35" s="0" t="n">
        <v>100</v>
      </c>
      <c r="J35" s="0" t="n">
        <v>20000</v>
      </c>
      <c r="K35" s="0" t="n">
        <v>10000</v>
      </c>
      <c r="L35" s="0" t="n">
        <v>20</v>
      </c>
      <c r="M35" s="0" t="n">
        <v>0</v>
      </c>
      <c r="N35" s="0" t="n">
        <v>1</v>
      </c>
      <c r="O35" s="0" t="n">
        <v>20</v>
      </c>
      <c r="P35" s="0" t="n">
        <v>89</v>
      </c>
      <c r="Q35" s="0" t="n">
        <v>4.2362722</v>
      </c>
      <c r="R35" s="0" t="n">
        <v>16.09265575</v>
      </c>
      <c r="S35" s="0" t="n">
        <v>1316.792</v>
      </c>
      <c r="T35" s="0" t="n">
        <v>0.9923208</v>
      </c>
      <c r="U35" s="0" t="n">
        <v>3.2439514</v>
      </c>
      <c r="V35" s="0" t="n">
        <v>15.2756684</v>
      </c>
      <c r="W35" s="0" t="n">
        <v>0.4176711</v>
      </c>
      <c r="X35" s="0" t="n">
        <v>8</v>
      </c>
      <c r="Y35" s="0" t="inlineStr">
        <is>
          <t>D:\paper_source\work_9\VeriANN_repro_2026-09-30\VeriANN_repro_2026-09-30\ANNProof-24FGCS\results\work9-20261015\size-10000000-calibration</t>
        </is>
      </c>
    </row>
    <row r="36">
      <c r="A36" s="0" t="inlineStr">
        <is>
          <t>ANNProof-24FGCS</t>
        </is>
      </c>
      <c r="B36" s="0" t="inlineStr">
        <is>
          <t>size-10000000-calibration</t>
        </is>
      </c>
      <c r="C36" s="0" t="inlineStr">
        <is>
          <t>/mnt/d/paper_source/work_9/VeriANN_repro_2026-09-30/VeriANN_repro_2026-09-30/dataset/bigann10m</t>
        </is>
      </c>
      <c r="D36" s="0" t="n">
        <v>10000000</v>
      </c>
      <c r="E36" s="0" t="n">
        <v>10</v>
      </c>
      <c r="F36" s="0" t="n">
        <v>200</v>
      </c>
      <c r="G36" s="0" t="n">
        <v>1</v>
      </c>
      <c r="H36" s="0" t="n">
        <v>8</v>
      </c>
      <c r="I36" s="0" t="n">
        <v>100</v>
      </c>
      <c r="J36" s="0" t="n">
        <v>20000</v>
      </c>
      <c r="K36" s="0" t="n">
        <v>10000</v>
      </c>
      <c r="L36" s="0" t="n">
        <v>20</v>
      </c>
      <c r="M36" s="0" t="n">
        <v>0</v>
      </c>
      <c r="N36" s="0" t="n">
        <v>1</v>
      </c>
      <c r="O36" s="0" t="n">
        <v>20</v>
      </c>
      <c r="P36" s="0" t="n">
        <v>94</v>
      </c>
      <c r="Q36" s="0" t="n">
        <v>7.36016785</v>
      </c>
      <c r="R36" s="0" t="n">
        <v>28.29282535</v>
      </c>
      <c r="S36" s="0" t="n">
        <v>2265.8666</v>
      </c>
      <c r="T36" s="0" t="n">
        <v>1.80243915</v>
      </c>
      <c r="U36" s="0" t="n">
        <v>5.5577287</v>
      </c>
      <c r="V36" s="0" t="n">
        <v>26.7230818</v>
      </c>
      <c r="W36" s="0" t="n">
        <v>0.90048135</v>
      </c>
      <c r="X36" s="0" t="n">
        <v>8</v>
      </c>
      <c r="Y36" s="0" t="inlineStr">
        <is>
          <t>D:\paper_source\work_9\VeriANN_repro_2026-09-30\VeriANN_repro_2026-09-30\ANNProof-24FGCS\results\work9-20261015\size-10000000-calibration</t>
        </is>
      </c>
    </row>
    <row r="37">
      <c r="A37" s="0" t="inlineStr">
        <is>
          <t>ANNProof-24FGCS</t>
        </is>
      </c>
      <c r="B37" s="0" t="inlineStr">
        <is>
          <t>size-10000000-calibration</t>
        </is>
      </c>
      <c r="C37" s="0" t="inlineStr">
        <is>
          <t>/mnt/d/paper_source/work_9/VeriANN_repro_2026-09-30/VeriANN_repro_2026-09-30/dataset/bigann10m</t>
        </is>
      </c>
      <c r="D37" s="0" t="n">
        <v>10000000</v>
      </c>
      <c r="E37" s="0" t="n">
        <v>10</v>
      </c>
      <c r="F37" s="0" t="n">
        <v>400</v>
      </c>
      <c r="G37" s="0" t="n">
        <v>1</v>
      </c>
      <c r="H37" s="0" t="n">
        <v>8</v>
      </c>
      <c r="I37" s="0" t="n">
        <v>100</v>
      </c>
      <c r="J37" s="0" t="n">
        <v>20000</v>
      </c>
      <c r="K37" s="0" t="n">
        <v>10000</v>
      </c>
      <c r="L37" s="0" t="n">
        <v>20</v>
      </c>
      <c r="M37" s="0" t="n">
        <v>0</v>
      </c>
      <c r="N37" s="0" t="n">
        <v>1</v>
      </c>
      <c r="O37" s="0" t="n">
        <v>20</v>
      </c>
      <c r="P37" s="0" t="n">
        <v>96.5</v>
      </c>
      <c r="Q37" s="0" t="n">
        <v>12.516732</v>
      </c>
      <c r="R37" s="0" t="n">
        <v>50.31000415</v>
      </c>
      <c r="S37" s="0" t="n">
        <v>3954.1796</v>
      </c>
      <c r="T37" s="0" t="n">
        <v>3.3255824</v>
      </c>
      <c r="U37" s="0" t="n">
        <v>9.191149599999999</v>
      </c>
      <c r="V37" s="0" t="n">
        <v>47.55769245</v>
      </c>
      <c r="W37" s="0" t="n">
        <v>1.86181545</v>
      </c>
      <c r="X37" s="0" t="n">
        <v>8</v>
      </c>
      <c r="Y37" s="0" t="inlineStr">
        <is>
          <t>D:\paper_source\work_9\VeriANN_repro_2026-09-30\VeriANN_repro_2026-09-30\ANNProof-24FGCS\results\work9-20261015\size-10000000-calibration</t>
        </is>
      </c>
    </row>
    <row r="38">
      <c r="A38" s="0" t="inlineStr">
        <is>
          <t>ANNProof-24FGCS</t>
        </is>
      </c>
      <c r="B38" s="0" t="inlineStr">
        <is>
          <t>size-10000000-calibration</t>
        </is>
      </c>
      <c r="C38" s="0" t="inlineStr">
        <is>
          <t>/mnt/d/paper_source/work_9/VeriANN_repro_2026-09-30/VeriANN_repro_2026-09-30/dataset/bigann10m</t>
        </is>
      </c>
      <c r="D38" s="0" t="n">
        <v>10000000</v>
      </c>
      <c r="E38" s="0" t="n">
        <v>10</v>
      </c>
      <c r="F38" s="0" t="n">
        <v>800</v>
      </c>
      <c r="G38" s="0" t="n">
        <v>1</v>
      </c>
      <c r="H38" s="0" t="n">
        <v>8</v>
      </c>
      <c r="I38" s="0" t="n">
        <v>100</v>
      </c>
      <c r="J38" s="0" t="n">
        <v>20000</v>
      </c>
      <c r="K38" s="0" t="n">
        <v>10000</v>
      </c>
      <c r="L38" s="0" t="n">
        <v>20</v>
      </c>
      <c r="M38" s="0" t="n">
        <v>0</v>
      </c>
      <c r="N38" s="0" t="n">
        <v>1</v>
      </c>
      <c r="O38" s="0" t="n">
        <v>20</v>
      </c>
      <c r="P38" s="0" t="n">
        <v>98</v>
      </c>
      <c r="Q38" s="0" t="n">
        <v>22.0620326</v>
      </c>
      <c r="R38" s="0" t="n">
        <v>91.33916515</v>
      </c>
      <c r="S38" s="0" t="n">
        <v>6922.04</v>
      </c>
      <c r="T38" s="0" t="n">
        <v>6.37101215</v>
      </c>
      <c r="U38" s="0" t="n">
        <v>15.69102045</v>
      </c>
      <c r="V38" s="0" t="n">
        <v>85.4199516</v>
      </c>
      <c r="W38" s="0" t="n">
        <v>4.4909875</v>
      </c>
      <c r="X38" s="0" t="n">
        <v>8</v>
      </c>
      <c r="Y38" s="0" t="inlineStr">
        <is>
          <t>D:\paper_source\work_9\VeriANN_repro_2026-09-30\VeriANN_repro_2026-09-30\ANNProof-24FGCS\results\work9-20261015\size-10000000-calibration</t>
        </is>
      </c>
    </row>
    <row r="39">
      <c r="A39" s="0" t="inlineStr">
        <is>
          <t>ANNProof-24FGCS</t>
        </is>
      </c>
      <c r="B39" s="0" t="inlineStr">
        <is>
          <t>size-10000000-evaluation</t>
        </is>
      </c>
      <c r="C39" s="0" t="inlineStr">
        <is>
          <t>/mnt/d/paper_source/work_9/VeriANN_repro_2026-09-30/VeriANN_repro_2026-09-30/dataset/bigann10m</t>
        </is>
      </c>
      <c r="D39" s="0" t="n">
        <v>10000000</v>
      </c>
      <c r="E39" s="0" t="n">
        <v>10</v>
      </c>
      <c r="F39" s="0" t="n">
        <v>400</v>
      </c>
      <c r="G39" s="0" t="n">
        <v>1</v>
      </c>
      <c r="H39" s="0" t="n">
        <v>8</v>
      </c>
      <c r="I39" s="0" t="n">
        <v>100</v>
      </c>
      <c r="J39" s="0" t="n">
        <v>20000</v>
      </c>
      <c r="K39" s="0" t="n">
        <v>10000</v>
      </c>
      <c r="L39" s="0" t="n">
        <v>100</v>
      </c>
      <c r="M39" s="0" t="n">
        <v>100</v>
      </c>
      <c r="N39" s="0" t="n">
        <v>3</v>
      </c>
      <c r="O39" s="0" t="n">
        <v>300</v>
      </c>
      <c r="P39" s="0" t="n">
        <v>94.59999999999999</v>
      </c>
      <c r="Q39" s="0" t="n">
        <v>13.0801662666667</v>
      </c>
      <c r="R39" s="0" t="n">
        <v>52.7983577033333</v>
      </c>
      <c r="S39" s="0" t="n">
        <v>4217.37468</v>
      </c>
      <c r="T39" s="0" t="n">
        <v>3.47785171</v>
      </c>
      <c r="U39" s="0" t="n">
        <v>9.60231455666667</v>
      </c>
      <c r="V39" s="0" t="n">
        <v>49.9871696233333</v>
      </c>
      <c r="W39" s="0" t="n">
        <v>2.04754694333333</v>
      </c>
      <c r="X39" s="0" t="n">
        <v>8</v>
      </c>
      <c r="Y39" s="0" t="inlineStr">
        <is>
          <t>D:\paper_source\work_9\VeriANN_repro_2026-09-30\VeriANN_repro_2026-09-30\ANNProof-24FGCS\results\work9-20261015\size-10000000-evaluation</t>
        </is>
      </c>
    </row>
    <row r="40">
      <c r="A40" s="0" t="inlineStr">
        <is>
          <t>ANNProof-24FGCS</t>
        </is>
      </c>
      <c r="B40" s="0" t="inlineStr">
        <is>
          <t>size-500000-calibration</t>
        </is>
      </c>
      <c r="C40" s="0" t="inlineStr">
        <is>
          <t>/mnt/d/paper_source/work_9/VeriANN_repro_2026-09-30/VeriANN_repro_2026-09-30/dataset/bigann10m</t>
        </is>
      </c>
      <c r="D40" s="0" t="n">
        <v>500000</v>
      </c>
      <c r="E40" s="0" t="n">
        <v>10</v>
      </c>
      <c r="F40" s="0" t="n">
        <v>20</v>
      </c>
      <c r="G40" s="0" t="n">
        <v>1</v>
      </c>
      <c r="H40" s="0" t="n">
        <v>8</v>
      </c>
      <c r="I40" s="0" t="n">
        <v>100</v>
      </c>
      <c r="J40" s="0" t="n">
        <v>20000</v>
      </c>
      <c r="K40" s="0" t="n">
        <v>10000</v>
      </c>
      <c r="L40" s="0" t="n">
        <v>20</v>
      </c>
      <c r="M40" s="0" t="n">
        <v>0</v>
      </c>
      <c r="N40" s="0" t="n">
        <v>1</v>
      </c>
      <c r="O40" s="0" t="n">
        <v>20</v>
      </c>
      <c r="P40" s="0" t="n">
        <v>81.5</v>
      </c>
      <c r="Q40" s="0" t="n">
        <v>0.8945254500000001</v>
      </c>
      <c r="R40" s="0" t="n">
        <v>4.5885751</v>
      </c>
      <c r="S40" s="0" t="n">
        <v>342.893</v>
      </c>
      <c r="T40" s="0" t="n">
        <v>0.2192347</v>
      </c>
      <c r="U40" s="0" t="n">
        <v>0.6752907500000001</v>
      </c>
      <c r="V40" s="0" t="n">
        <v>4.43819275</v>
      </c>
      <c r="W40" s="0" t="n">
        <v>0.0918113</v>
      </c>
      <c r="X40" s="0" t="n">
        <v>8</v>
      </c>
      <c r="Y40" s="0" t="inlineStr">
        <is>
          <t>D:\paper_source\work_9\VeriANN_repro_2026-09-30\VeriANN_repro_2026-09-30\ANNProof-24FGCS\results\work9-20261015\size-500000-calibration</t>
        </is>
      </c>
    </row>
    <row r="41">
      <c r="A41" s="0" t="inlineStr">
        <is>
          <t>ANNProof-24FGCS</t>
        </is>
      </c>
      <c r="B41" s="0" t="inlineStr">
        <is>
          <t>size-500000-calibration</t>
        </is>
      </c>
      <c r="C41" s="0" t="inlineStr">
        <is>
          <t>/mnt/d/paper_source/work_9/VeriANN_repro_2026-09-30/VeriANN_repro_2026-09-30/dataset/bigann10m</t>
        </is>
      </c>
      <c r="D41" s="0" t="n">
        <v>500000</v>
      </c>
      <c r="E41" s="0" t="n">
        <v>10</v>
      </c>
      <c r="F41" s="0" t="n">
        <v>50</v>
      </c>
      <c r="G41" s="0" t="n">
        <v>1</v>
      </c>
      <c r="H41" s="0" t="n">
        <v>8</v>
      </c>
      <c r="I41" s="0" t="n">
        <v>100</v>
      </c>
      <c r="J41" s="0" t="n">
        <v>20000</v>
      </c>
      <c r="K41" s="0" t="n">
        <v>10000</v>
      </c>
      <c r="L41" s="0" t="n">
        <v>20</v>
      </c>
      <c r="M41" s="0" t="n">
        <v>0</v>
      </c>
      <c r="N41" s="0" t="n">
        <v>1</v>
      </c>
      <c r="O41" s="0" t="n">
        <v>20</v>
      </c>
      <c r="P41" s="0" t="n">
        <v>88.5</v>
      </c>
      <c r="Q41" s="0" t="n">
        <v>1.57277035</v>
      </c>
      <c r="R41" s="0" t="n">
        <v>7.7059355</v>
      </c>
      <c r="S41" s="0" t="n">
        <v>603.0366</v>
      </c>
      <c r="T41" s="0" t="n">
        <v>0.4115217</v>
      </c>
      <c r="U41" s="0" t="n">
        <v>1.16124865</v>
      </c>
      <c r="V41" s="0" t="n">
        <v>7.43624065</v>
      </c>
      <c r="W41" s="0" t="n">
        <v>0.18654625</v>
      </c>
      <c r="X41" s="0" t="n">
        <v>8</v>
      </c>
      <c r="Y41" s="0" t="inlineStr">
        <is>
          <t>D:\paper_source\work_9\VeriANN_repro_2026-09-30\VeriANN_repro_2026-09-30\ANNProof-24FGCS\results\work9-20261015\size-500000-calibration</t>
        </is>
      </c>
    </row>
    <row r="42">
      <c r="A42" s="0" t="inlineStr">
        <is>
          <t>ANNProof-24FGCS</t>
        </is>
      </c>
      <c r="B42" s="0" t="inlineStr">
        <is>
          <t>size-500000-calibration</t>
        </is>
      </c>
      <c r="C42" s="0" t="inlineStr">
        <is>
          <t>/mnt/d/paper_source/work_9/VeriANN_repro_2026-09-30/VeriANN_repro_2026-09-30/dataset/bigann10m</t>
        </is>
      </c>
      <c r="D42" s="0" t="n">
        <v>500000</v>
      </c>
      <c r="E42" s="0" t="n">
        <v>10</v>
      </c>
      <c r="F42" s="0" t="n">
        <v>100</v>
      </c>
      <c r="G42" s="0" t="n">
        <v>1</v>
      </c>
      <c r="H42" s="0" t="n">
        <v>8</v>
      </c>
      <c r="I42" s="0" t="n">
        <v>100</v>
      </c>
      <c r="J42" s="0" t="n">
        <v>20000</v>
      </c>
      <c r="K42" s="0" t="n">
        <v>10000</v>
      </c>
      <c r="L42" s="0" t="n">
        <v>20</v>
      </c>
      <c r="M42" s="0" t="n">
        <v>0</v>
      </c>
      <c r="N42" s="0" t="n">
        <v>1</v>
      </c>
      <c r="O42" s="0" t="n">
        <v>20</v>
      </c>
      <c r="P42" s="0" t="n">
        <v>95.5</v>
      </c>
      <c r="Q42" s="0" t="n">
        <v>2.7634868</v>
      </c>
      <c r="R42" s="0" t="n">
        <v>12.72482895</v>
      </c>
      <c r="S42" s="0" t="n">
        <v>990.0466</v>
      </c>
      <c r="T42" s="0" t="n">
        <v>0.7108071500000001</v>
      </c>
      <c r="U42" s="0" t="n">
        <v>2.05267965</v>
      </c>
      <c r="V42" s="0" t="n">
        <v>12.22444555</v>
      </c>
      <c r="W42" s="0" t="n">
        <v>0.35516545</v>
      </c>
      <c r="X42" s="0" t="n">
        <v>8</v>
      </c>
      <c r="Y42" s="0" t="inlineStr">
        <is>
          <t>D:\paper_source\work_9\VeriANN_repro_2026-09-30\VeriANN_repro_2026-09-30\ANNProof-24FGCS\results\work9-20261015\size-500000-calibration</t>
        </is>
      </c>
    </row>
    <row r="43">
      <c r="A43" s="0" t="inlineStr">
        <is>
          <t>ANNProof-24FGCS</t>
        </is>
      </c>
      <c r="B43" s="0" t="inlineStr">
        <is>
          <t>size-500000-calibration</t>
        </is>
      </c>
      <c r="C43" s="0" t="inlineStr">
        <is>
          <t>/mnt/d/paper_source/work_9/VeriANN_repro_2026-09-30/VeriANN_repro_2026-09-30/dataset/bigann10m</t>
        </is>
      </c>
      <c r="D43" s="0" t="n">
        <v>500000</v>
      </c>
      <c r="E43" s="0" t="n">
        <v>10</v>
      </c>
      <c r="F43" s="0" t="n">
        <v>200</v>
      </c>
      <c r="G43" s="0" t="n">
        <v>1</v>
      </c>
      <c r="H43" s="0" t="n">
        <v>8</v>
      </c>
      <c r="I43" s="0" t="n">
        <v>100</v>
      </c>
      <c r="J43" s="0" t="n">
        <v>20000</v>
      </c>
      <c r="K43" s="0" t="n">
        <v>10000</v>
      </c>
      <c r="L43" s="0" t="n">
        <v>20</v>
      </c>
      <c r="M43" s="0" t="n">
        <v>0</v>
      </c>
      <c r="N43" s="0" t="n">
        <v>1</v>
      </c>
      <c r="O43" s="0" t="n">
        <v>20</v>
      </c>
      <c r="P43" s="0" t="n">
        <v>97</v>
      </c>
      <c r="Q43" s="0" t="n">
        <v>4.8553363</v>
      </c>
      <c r="R43" s="0" t="n">
        <v>21.4344172</v>
      </c>
      <c r="S43" s="0" t="n">
        <v>1669.561</v>
      </c>
      <c r="T43" s="0" t="n">
        <v>1.2406033</v>
      </c>
      <c r="U43" s="0" t="n">
        <v>3.614733</v>
      </c>
      <c r="V43" s="0" t="n">
        <v>20.43746165</v>
      </c>
      <c r="W43" s="0" t="n">
        <v>0.7505662</v>
      </c>
      <c r="X43" s="0" t="n">
        <v>8</v>
      </c>
      <c r="Y43" s="0" t="inlineStr">
        <is>
          <t>D:\paper_source\work_9\VeriANN_repro_2026-09-30\VeriANN_repro_2026-09-30\ANNProof-24FGCS\results\work9-20261015\size-500000-calibration</t>
        </is>
      </c>
    </row>
    <row r="44">
      <c r="A44" s="0" t="inlineStr">
        <is>
          <t>ANNProof-24FGCS</t>
        </is>
      </c>
      <c r="B44" s="0" t="inlineStr">
        <is>
          <t>size-500000-calibration</t>
        </is>
      </c>
      <c r="C44" s="0" t="inlineStr">
        <is>
          <t>/mnt/d/paper_source/work_9/VeriANN_repro_2026-09-30/VeriANN_repro_2026-09-30/dataset/bigann10m</t>
        </is>
      </c>
      <c r="D44" s="0" t="n">
        <v>500000</v>
      </c>
      <c r="E44" s="0" t="n">
        <v>10</v>
      </c>
      <c r="F44" s="0" t="n">
        <v>400</v>
      </c>
      <c r="G44" s="0" t="n">
        <v>1</v>
      </c>
      <c r="H44" s="0" t="n">
        <v>8</v>
      </c>
      <c r="I44" s="0" t="n">
        <v>100</v>
      </c>
      <c r="J44" s="0" t="n">
        <v>20000</v>
      </c>
      <c r="K44" s="0" t="n">
        <v>10000</v>
      </c>
      <c r="L44" s="0" t="n">
        <v>20</v>
      </c>
      <c r="M44" s="0" t="n">
        <v>0</v>
      </c>
      <c r="N44" s="0" t="n">
        <v>1</v>
      </c>
      <c r="O44" s="0" t="n">
        <v>20</v>
      </c>
      <c r="P44" s="0" t="n">
        <v>99</v>
      </c>
      <c r="Q44" s="0" t="n">
        <v>8.6260751</v>
      </c>
      <c r="R44" s="0" t="n">
        <v>35.88704155</v>
      </c>
      <c r="S44" s="0" t="n">
        <v>2838.8544</v>
      </c>
      <c r="T44" s="0" t="n">
        <v>2.3140978</v>
      </c>
      <c r="U44" s="0" t="n">
        <v>6.3119773</v>
      </c>
      <c r="V44" s="0" t="n">
        <v>33.91453935</v>
      </c>
      <c r="W44" s="0" t="n">
        <v>1.5612971</v>
      </c>
      <c r="X44" s="0" t="n">
        <v>8</v>
      </c>
      <c r="Y44" s="0" t="inlineStr">
        <is>
          <t>D:\paper_source\work_9\VeriANN_repro_2026-09-30\VeriANN_repro_2026-09-30\ANNProof-24FGCS\results\work9-20261015\size-500000-calibration</t>
        </is>
      </c>
    </row>
    <row r="45">
      <c r="A45" s="0" t="inlineStr">
        <is>
          <t>ANNProof-24FGCS</t>
        </is>
      </c>
      <c r="B45" s="0" t="inlineStr">
        <is>
          <t>size-500000-calibration</t>
        </is>
      </c>
      <c r="C45" s="0" t="inlineStr">
        <is>
          <t>/mnt/d/paper_source/work_9/VeriANN_repro_2026-09-30/VeriANN_repro_2026-09-30/dataset/bigann10m</t>
        </is>
      </c>
      <c r="D45" s="0" t="n">
        <v>500000</v>
      </c>
      <c r="E45" s="0" t="n">
        <v>10</v>
      </c>
      <c r="F45" s="0" t="n">
        <v>800</v>
      </c>
      <c r="G45" s="0" t="n">
        <v>1</v>
      </c>
      <c r="H45" s="0" t="n">
        <v>8</v>
      </c>
      <c r="I45" s="0" t="n">
        <v>100</v>
      </c>
      <c r="J45" s="0" t="n">
        <v>20000</v>
      </c>
      <c r="K45" s="0" t="n">
        <v>10000</v>
      </c>
      <c r="L45" s="0" t="n">
        <v>20</v>
      </c>
      <c r="M45" s="0" t="n">
        <v>0</v>
      </c>
      <c r="N45" s="0" t="n">
        <v>1</v>
      </c>
      <c r="O45" s="0" t="n">
        <v>20</v>
      </c>
      <c r="P45" s="0" t="n">
        <v>100</v>
      </c>
      <c r="Q45" s="0" t="n">
        <v>15.18069425</v>
      </c>
      <c r="R45" s="0" t="n">
        <v>60.1538193</v>
      </c>
      <c r="S45" s="0" t="n">
        <v>4793.0574</v>
      </c>
      <c r="T45" s="0" t="n">
        <v>4.22389885</v>
      </c>
      <c r="U45" s="0" t="n">
        <v>10.9567954</v>
      </c>
      <c r="V45" s="0" t="n">
        <v>55.81892245</v>
      </c>
      <c r="W45" s="0" t="n">
        <v>3.55243485</v>
      </c>
      <c r="X45" s="0" t="n">
        <v>8</v>
      </c>
      <c r="Y45" s="0" t="inlineStr">
        <is>
          <t>D:\paper_source\work_9\VeriANN_repro_2026-09-30\VeriANN_repro_2026-09-30\ANNProof-24FGCS\results\work9-20261015\size-500000-calibration</t>
        </is>
      </c>
    </row>
    <row r="46">
      <c r="A46" s="0" t="inlineStr">
        <is>
          <t>ANNProof-24FGCS</t>
        </is>
      </c>
      <c r="B46" s="0" t="inlineStr">
        <is>
          <t>size-500000-evaluation</t>
        </is>
      </c>
      <c r="C46" s="0" t="inlineStr">
        <is>
          <t>/mnt/d/paper_source/work_9/VeriANN_repro_2026-09-30/VeriANN_repro_2026-09-30/dataset/bigann10m</t>
        </is>
      </c>
      <c r="D46" s="0" t="n">
        <v>500000</v>
      </c>
      <c r="E46" s="0" t="n">
        <v>10</v>
      </c>
      <c r="F46" s="0" t="n">
        <v>100</v>
      </c>
      <c r="G46" s="0" t="n">
        <v>1</v>
      </c>
      <c r="H46" s="0" t="n">
        <v>8</v>
      </c>
      <c r="I46" s="0" t="n">
        <v>100</v>
      </c>
      <c r="J46" s="0" t="n">
        <v>20000</v>
      </c>
      <c r="K46" s="0" t="n">
        <v>10000</v>
      </c>
      <c r="L46" s="0" t="n">
        <v>100</v>
      </c>
      <c r="M46" s="0" t="n">
        <v>100</v>
      </c>
      <c r="N46" s="0" t="n">
        <v>3</v>
      </c>
      <c r="O46" s="0" t="n">
        <v>300</v>
      </c>
      <c r="P46" s="0" t="n">
        <v>95.09999999999999</v>
      </c>
      <c r="Q46" s="0" t="n">
        <v>2.72643945666667</v>
      </c>
      <c r="R46" s="0" t="n">
        <v>13.03742486</v>
      </c>
      <c r="S46" s="0" t="n">
        <v>1030.35972</v>
      </c>
      <c r="T46" s="0" t="n">
        <v>0.675805913333333</v>
      </c>
      <c r="U46" s="0" t="n">
        <v>2.05063354333333</v>
      </c>
      <c r="V46" s="0" t="n">
        <v>12.5548114666667</v>
      </c>
      <c r="W46" s="0" t="n">
        <v>0.369180763333333</v>
      </c>
      <c r="X46" s="0" t="n">
        <v>8</v>
      </c>
      <c r="Y46" s="0" t="inlineStr">
        <is>
          <t>D:\paper_source\work_9\VeriANN_repro_2026-09-30\VeriANN_repro_2026-09-30\ANNProof-24FGCS\results\work9-20261015\size-500000-evaluation</t>
        </is>
      </c>
    </row>
    <row r="47">
      <c r="A47" s="0" t="inlineStr">
        <is>
          <t>ANNProof-24FGCS</t>
        </is>
      </c>
      <c r="B47" s="0" t="inlineStr">
        <is>
          <t>size-5000000-calibration</t>
        </is>
      </c>
      <c r="C47" s="0" t="inlineStr">
        <is>
          <t>/mnt/d/paper_source/work_9/VeriANN_repro_2026-09-30/VeriANN_repro_2026-09-30/dataset/bigann10m</t>
        </is>
      </c>
      <c r="D47" s="0" t="n">
        <v>5000000</v>
      </c>
      <c r="E47" s="0" t="n">
        <v>10</v>
      </c>
      <c r="F47" s="0" t="n">
        <v>20</v>
      </c>
      <c r="G47" s="0" t="n">
        <v>1</v>
      </c>
      <c r="H47" s="0" t="n">
        <v>8</v>
      </c>
      <c r="I47" s="0" t="n">
        <v>100</v>
      </c>
      <c r="J47" s="0" t="n">
        <v>20000</v>
      </c>
      <c r="K47" s="0" t="n">
        <v>10000</v>
      </c>
      <c r="L47" s="0" t="n">
        <v>20</v>
      </c>
      <c r="M47" s="0" t="n">
        <v>0</v>
      </c>
      <c r="N47" s="0" t="n">
        <v>1</v>
      </c>
      <c r="O47" s="0" t="n">
        <v>20</v>
      </c>
      <c r="P47" s="0" t="n">
        <v>71</v>
      </c>
      <c r="Q47" s="0" t="n">
        <v>1.30589295</v>
      </c>
      <c r="R47" s="0" t="n">
        <v>5.0643716</v>
      </c>
      <c r="S47" s="0" t="n">
        <v>428.0768</v>
      </c>
      <c r="T47" s="0" t="n">
        <v>0.2946489</v>
      </c>
      <c r="U47" s="0" t="n">
        <v>1.01124405</v>
      </c>
      <c r="V47" s="0" t="n">
        <v>4.85742015</v>
      </c>
      <c r="W47" s="0" t="n">
        <v>0.0991499</v>
      </c>
      <c r="X47" s="0" t="n">
        <v>8</v>
      </c>
      <c r="Y47" s="0" t="inlineStr">
        <is>
          <t>D:\paper_source\work_9\VeriANN_repro_2026-09-30\VeriANN_repro_2026-09-30\ANNProof-24FGCS\results\work9-20261015\size-5000000-calibration</t>
        </is>
      </c>
    </row>
    <row r="48">
      <c r="A48" s="0" t="inlineStr">
        <is>
          <t>ANNProof-24FGCS</t>
        </is>
      </c>
      <c r="B48" s="0" t="inlineStr">
        <is>
          <t>size-5000000-calibration</t>
        </is>
      </c>
      <c r="C48" s="0" t="inlineStr">
        <is>
          <t>/mnt/d/paper_source/work_9/VeriANN_repro_2026-09-30/VeriANN_repro_2026-09-30/dataset/bigann10m</t>
        </is>
      </c>
      <c r="D48" s="0" t="n">
        <v>5000000</v>
      </c>
      <c r="E48" s="0" t="n">
        <v>10</v>
      </c>
      <c r="F48" s="0" t="n">
        <v>50</v>
      </c>
      <c r="G48" s="0" t="n">
        <v>1</v>
      </c>
      <c r="H48" s="0" t="n">
        <v>8</v>
      </c>
      <c r="I48" s="0" t="n">
        <v>100</v>
      </c>
      <c r="J48" s="0" t="n">
        <v>20000</v>
      </c>
      <c r="K48" s="0" t="n">
        <v>10000</v>
      </c>
      <c r="L48" s="0" t="n">
        <v>20</v>
      </c>
      <c r="M48" s="0" t="n">
        <v>0</v>
      </c>
      <c r="N48" s="0" t="n">
        <v>1</v>
      </c>
      <c r="O48" s="0" t="n">
        <v>20</v>
      </c>
      <c r="P48" s="0" t="n">
        <v>82</v>
      </c>
      <c r="Q48" s="0" t="n">
        <v>2.09914955</v>
      </c>
      <c r="R48" s="0" t="n">
        <v>9.0821919</v>
      </c>
      <c r="S48" s="0" t="n">
        <v>750.7148</v>
      </c>
      <c r="T48" s="0" t="n">
        <v>0.5060403</v>
      </c>
      <c r="U48" s="0" t="n">
        <v>1.59310925</v>
      </c>
      <c r="V48" s="0" t="n">
        <v>8.73341125</v>
      </c>
      <c r="W48" s="0" t="n">
        <v>0.19397735</v>
      </c>
      <c r="X48" s="0" t="n">
        <v>8</v>
      </c>
      <c r="Y48" s="0" t="inlineStr">
        <is>
          <t>D:\paper_source\work_9\VeriANN_repro_2026-09-30\VeriANN_repro_2026-09-30\ANNProof-24FGCS\results\work9-20261015\size-5000000-calibration</t>
        </is>
      </c>
    </row>
    <row r="49">
      <c r="A49" s="0" t="inlineStr">
        <is>
          <t>ANNProof-24FGCS</t>
        </is>
      </c>
      <c r="B49" s="0" t="inlineStr">
        <is>
          <t>size-5000000-calibration</t>
        </is>
      </c>
      <c r="C49" s="0" t="inlineStr">
        <is>
          <t>/mnt/d/paper_source/work_9/VeriANN_repro_2026-09-30/VeriANN_repro_2026-09-30/dataset/bigann10m</t>
        </is>
      </c>
      <c r="D49" s="0" t="n">
        <v>5000000</v>
      </c>
      <c r="E49" s="0" t="n">
        <v>10</v>
      </c>
      <c r="F49" s="0" t="n">
        <v>100</v>
      </c>
      <c r="G49" s="0" t="n">
        <v>1</v>
      </c>
      <c r="H49" s="0" t="n">
        <v>8</v>
      </c>
      <c r="I49" s="0" t="n">
        <v>100</v>
      </c>
      <c r="J49" s="0" t="n">
        <v>20000</v>
      </c>
      <c r="K49" s="0" t="n">
        <v>10000</v>
      </c>
      <c r="L49" s="0" t="n">
        <v>20</v>
      </c>
      <c r="M49" s="0" t="n">
        <v>0</v>
      </c>
      <c r="N49" s="0" t="n">
        <v>1</v>
      </c>
      <c r="O49" s="0" t="n">
        <v>20</v>
      </c>
      <c r="P49" s="0" t="n">
        <v>87</v>
      </c>
      <c r="Q49" s="0" t="n">
        <v>3.5756183</v>
      </c>
      <c r="R49" s="0" t="n">
        <v>15.34768825</v>
      </c>
      <c r="S49" s="0" t="n">
        <v>1249.98</v>
      </c>
      <c r="T49" s="0" t="n">
        <v>0.8795456</v>
      </c>
      <c r="U49" s="0" t="n">
        <v>2.6960727</v>
      </c>
      <c r="V49" s="0" t="n">
        <v>14.7248978</v>
      </c>
      <c r="W49" s="0" t="n">
        <v>0.38534035</v>
      </c>
      <c r="X49" s="0" t="n">
        <v>8</v>
      </c>
      <c r="Y49" s="0" t="inlineStr">
        <is>
          <t>D:\paper_source\work_9\VeriANN_repro_2026-09-30\VeriANN_repro_2026-09-30\ANNProof-24FGCS\results\work9-20261015\size-5000000-calibration</t>
        </is>
      </c>
    </row>
    <row r="50">
      <c r="A50" s="0" t="inlineStr">
        <is>
          <t>ANNProof-24FGCS</t>
        </is>
      </c>
      <c r="B50" s="0" t="inlineStr">
        <is>
          <t>size-5000000-calibration</t>
        </is>
      </c>
      <c r="C50" s="0" t="inlineStr">
        <is>
          <t>/mnt/d/paper_source/work_9/VeriANN_repro_2026-09-30/VeriANN_repro_2026-09-30/dataset/bigann10m</t>
        </is>
      </c>
      <c r="D50" s="0" t="n">
        <v>5000000</v>
      </c>
      <c r="E50" s="0" t="n">
        <v>10</v>
      </c>
      <c r="F50" s="0" t="n">
        <v>200</v>
      </c>
      <c r="G50" s="0" t="n">
        <v>1</v>
      </c>
      <c r="H50" s="0" t="n">
        <v>8</v>
      </c>
      <c r="I50" s="0" t="n">
        <v>100</v>
      </c>
      <c r="J50" s="0" t="n">
        <v>20000</v>
      </c>
      <c r="K50" s="0" t="n">
        <v>10000</v>
      </c>
      <c r="L50" s="0" t="n">
        <v>20</v>
      </c>
      <c r="M50" s="0" t="n">
        <v>0</v>
      </c>
      <c r="N50" s="0" t="n">
        <v>1</v>
      </c>
      <c r="O50" s="0" t="n">
        <v>20</v>
      </c>
      <c r="P50" s="0" t="n">
        <v>94</v>
      </c>
      <c r="Q50" s="0" t="n">
        <v>6.3980654</v>
      </c>
      <c r="R50" s="0" t="n">
        <v>27.32399705</v>
      </c>
      <c r="S50" s="0" t="n">
        <v>2147.6614</v>
      </c>
      <c r="T50" s="0" t="n">
        <v>1.6614652</v>
      </c>
      <c r="U50" s="0" t="n">
        <v>4.7366002</v>
      </c>
      <c r="V50" s="0" t="n">
        <v>26.0621638</v>
      </c>
      <c r="W50" s="0" t="n">
        <v>0.847031</v>
      </c>
      <c r="X50" s="0" t="n">
        <v>8</v>
      </c>
      <c r="Y50" s="0" t="inlineStr">
        <is>
          <t>D:\paper_source\work_9\VeriANN_repro_2026-09-30\VeriANN_repro_2026-09-30\ANNProof-24FGCS\results\work9-20261015\size-5000000-calibration</t>
        </is>
      </c>
    </row>
    <row r="51">
      <c r="A51" s="0" t="inlineStr">
        <is>
          <t>ANNProof-24FGCS</t>
        </is>
      </c>
      <c r="B51" s="0" t="inlineStr">
        <is>
          <t>size-5000000-calibration</t>
        </is>
      </c>
      <c r="C51" s="0" t="inlineStr">
        <is>
          <t>/mnt/d/paper_source/work_9/VeriANN_repro_2026-09-30/VeriANN_repro_2026-09-30/dataset/bigann10m</t>
        </is>
      </c>
      <c r="D51" s="0" t="n">
        <v>5000000</v>
      </c>
      <c r="E51" s="0" t="n">
        <v>10</v>
      </c>
      <c r="F51" s="0" t="n">
        <v>400</v>
      </c>
      <c r="G51" s="0" t="n">
        <v>1</v>
      </c>
      <c r="H51" s="0" t="n">
        <v>8</v>
      </c>
      <c r="I51" s="0" t="n">
        <v>100</v>
      </c>
      <c r="J51" s="0" t="n">
        <v>20000</v>
      </c>
      <c r="K51" s="0" t="n">
        <v>10000</v>
      </c>
      <c r="L51" s="0" t="n">
        <v>20</v>
      </c>
      <c r="M51" s="0" t="n">
        <v>0</v>
      </c>
      <c r="N51" s="0" t="n">
        <v>1</v>
      </c>
      <c r="O51" s="0" t="n">
        <v>20</v>
      </c>
      <c r="P51" s="0" t="n">
        <v>97</v>
      </c>
      <c r="Q51" s="0" t="n">
        <v>11.29634045</v>
      </c>
      <c r="R51" s="0" t="n">
        <v>48.10245335</v>
      </c>
      <c r="S51" s="0" t="n">
        <v>3705.6852</v>
      </c>
      <c r="T51" s="0" t="n">
        <v>3.14542345</v>
      </c>
      <c r="U51" s="0" t="n">
        <v>8.150917</v>
      </c>
      <c r="V51" s="0" t="n">
        <v>45.45885695</v>
      </c>
      <c r="W51" s="0" t="n">
        <v>1.9362517</v>
      </c>
      <c r="X51" s="0" t="n">
        <v>8</v>
      </c>
      <c r="Y51" s="0" t="inlineStr">
        <is>
          <t>D:\paper_source\work_9\VeriANN_repro_2026-09-30\VeriANN_repro_2026-09-30\ANNProof-24FGCS\results\work9-20261015\size-5000000-calibration</t>
        </is>
      </c>
    </row>
    <row r="52">
      <c r="A52" s="0" t="inlineStr">
        <is>
          <t>ANNProof-24FGCS</t>
        </is>
      </c>
      <c r="B52" s="0" t="inlineStr">
        <is>
          <t>size-5000000-calibration</t>
        </is>
      </c>
      <c r="C52" s="0" t="inlineStr">
        <is>
          <t>/mnt/d/paper_source/work_9/VeriANN_repro_2026-09-30/VeriANN_repro_2026-09-30/dataset/bigann10m</t>
        </is>
      </c>
      <c r="D52" s="0" t="n">
        <v>5000000</v>
      </c>
      <c r="E52" s="0" t="n">
        <v>10</v>
      </c>
      <c r="F52" s="0" t="n">
        <v>800</v>
      </c>
      <c r="G52" s="0" t="n">
        <v>1</v>
      </c>
      <c r="H52" s="0" t="n">
        <v>8</v>
      </c>
      <c r="I52" s="0" t="n">
        <v>100</v>
      </c>
      <c r="J52" s="0" t="n">
        <v>20000</v>
      </c>
      <c r="K52" s="0" t="n">
        <v>10000</v>
      </c>
      <c r="L52" s="0" t="n">
        <v>20</v>
      </c>
      <c r="M52" s="0" t="n">
        <v>0</v>
      </c>
      <c r="N52" s="0" t="n">
        <v>1</v>
      </c>
      <c r="O52" s="0" t="n">
        <v>20</v>
      </c>
      <c r="P52" s="0" t="n">
        <v>98</v>
      </c>
      <c r="Q52" s="0" t="n">
        <v>19.5106496</v>
      </c>
      <c r="R52" s="0" t="n">
        <v>84.28175605</v>
      </c>
      <c r="S52" s="0" t="n">
        <v>6425.8818</v>
      </c>
      <c r="T52" s="0" t="n">
        <v>5.9104133</v>
      </c>
      <c r="U52" s="0" t="n">
        <v>13.6002363</v>
      </c>
      <c r="V52" s="0" t="n">
        <v>79.0084897</v>
      </c>
      <c r="W52" s="0" t="n">
        <v>4.17052255</v>
      </c>
      <c r="X52" s="0" t="n">
        <v>8</v>
      </c>
      <c r="Y52" s="0" t="inlineStr">
        <is>
          <t>D:\paper_source\work_9\VeriANN_repro_2026-09-30\VeriANN_repro_2026-09-30\ANNProof-24FGCS\results\work9-20261015\size-5000000-calibration</t>
        </is>
      </c>
    </row>
    <row r="53">
      <c r="A53" s="0" t="inlineStr">
        <is>
          <t>ANNProof-24FGCS</t>
        </is>
      </c>
      <c r="B53" s="0" t="inlineStr">
        <is>
          <t>size-5000000-evaluation</t>
        </is>
      </c>
      <c r="C53" s="0" t="inlineStr">
        <is>
          <t>/mnt/d/paper_source/work_9/VeriANN_repro_2026-09-30/VeriANN_repro_2026-09-30/dataset/bigann10m</t>
        </is>
      </c>
      <c r="D53" s="0" t="n">
        <v>5000000</v>
      </c>
      <c r="E53" s="0" t="n">
        <v>10</v>
      </c>
      <c r="F53" s="0" t="n">
        <v>400</v>
      </c>
      <c r="G53" s="0" t="n">
        <v>1</v>
      </c>
      <c r="H53" s="0" t="n">
        <v>8</v>
      </c>
      <c r="I53" s="0" t="n">
        <v>100</v>
      </c>
      <c r="J53" s="0" t="n">
        <v>20000</v>
      </c>
      <c r="K53" s="0" t="n">
        <v>10000</v>
      </c>
      <c r="L53" s="0" t="n">
        <v>100</v>
      </c>
      <c r="M53" s="0" t="n">
        <v>100</v>
      </c>
      <c r="N53" s="0" t="n">
        <v>3</v>
      </c>
      <c r="O53" s="0" t="n">
        <v>300</v>
      </c>
      <c r="P53" s="0" t="n">
        <v>96.8</v>
      </c>
      <c r="Q53" s="0" t="n">
        <v>11.3474714766667</v>
      </c>
      <c r="R53" s="0" t="n">
        <v>49.6618084833333</v>
      </c>
      <c r="S53" s="0" t="n">
        <v>3901.60848</v>
      </c>
      <c r="T53" s="0" t="n">
        <v>3.19301814666667</v>
      </c>
      <c r="U53" s="0" t="n">
        <v>8.154453330000001</v>
      </c>
      <c r="V53" s="0" t="n">
        <v>47.1289759766667</v>
      </c>
      <c r="W53" s="0" t="n">
        <v>1.95672087666667</v>
      </c>
      <c r="X53" s="0" t="n">
        <v>8</v>
      </c>
      <c r="Y53" s="0" t="inlineStr">
        <is>
          <t>D:\paper_source\work_9\VeriANN_repro_2026-09-30\VeriANN_repro_2026-09-30\ANNProof-24FGCS\results\work9-20261015\size-5000000-evaluation</t>
        </is>
      </c>
    </row>
    <row r="54">
      <c r="A54" s="0" t="inlineStr">
        <is>
          <t>VLAH-25TrustCom</t>
        </is>
      </c>
      <c r="B54" s="0" t="inlineStr">
        <is>
          <t>sift1m-k-curve</t>
        </is>
      </c>
      <c r="C54" s="0" t="inlineStr">
        <is>
          <t>/mnt/d/paper_source/work_9/VeriANN_repro_2026-09-30/VeriANN_repro_2026-09-30/dataset/sift1m</t>
        </is>
      </c>
      <c r="D54" s="0" t="n">
        <v>1000000</v>
      </c>
      <c r="E54" s="0" t="n">
        <v>1</v>
      </c>
      <c r="F54" s="0" t="n">
        <v>100</v>
      </c>
      <c r="G54" s="0" t="n">
        <v>41</v>
      </c>
      <c r="H54" s="0" t="n">
        <v>8</v>
      </c>
      <c r="I54" s="0" t="n">
        <v>100</v>
      </c>
      <c r="J54" s="0" t="n">
        <v>20000</v>
      </c>
      <c r="K54" s="0" t="n">
        <v>10000</v>
      </c>
      <c r="L54" s="0" t="n">
        <v>100</v>
      </c>
      <c r="M54" s="0" t="n">
        <v>100</v>
      </c>
      <c r="N54" s="0" t="n">
        <v>3</v>
      </c>
      <c r="O54" s="0" t="n">
        <v>300</v>
      </c>
      <c r="P54" s="0" t="n">
        <v>98</v>
      </c>
      <c r="Q54" s="0" t="n">
        <v>61.7761955166667</v>
      </c>
      <c r="R54" s="0" t="n">
        <v>164.016030326667</v>
      </c>
      <c r="S54" s="0" t="n">
        <v>23604.55777</v>
      </c>
      <c r="T54" s="0" t="n">
        <v>14.09014081</v>
      </c>
      <c r="U54" s="0" t="n">
        <v>47.6860547066667</v>
      </c>
      <c r="V54" s="0" t="n">
        <v>146.21795605</v>
      </c>
      <c r="W54" s="0" t="n">
        <v>14.1574342133333</v>
      </c>
      <c r="X54" s="0" t="n">
        <v>1</v>
      </c>
      <c r="Y54" s="0" t="inlineStr">
        <is>
          <t>D:\paper_source\work_9\VeriANN_repro_2026-09-30\VeriANN_repro_2026-09-30\VLAH-25TrustCom\results\work9-20261015\sift1m-k-curve</t>
        </is>
      </c>
    </row>
    <row r="55">
      <c r="A55" s="0" t="inlineStr">
        <is>
          <t>VLAH-25TrustCom</t>
        </is>
      </c>
      <c r="B55" s="0" t="inlineStr">
        <is>
          <t>sift1m-k-curve</t>
        </is>
      </c>
      <c r="C55" s="0" t="inlineStr">
        <is>
          <t>/mnt/d/paper_source/work_9/VeriANN_repro_2026-09-30/VeriANN_repro_2026-09-30/dataset/sift1m</t>
        </is>
      </c>
      <c r="D55" s="0" t="n">
        <v>1000000</v>
      </c>
      <c r="E55" s="0" t="n">
        <v>5</v>
      </c>
      <c r="F55" s="0" t="n">
        <v>100</v>
      </c>
      <c r="G55" s="0" t="n">
        <v>41</v>
      </c>
      <c r="H55" s="0" t="n">
        <v>8</v>
      </c>
      <c r="I55" s="0" t="n">
        <v>100</v>
      </c>
      <c r="J55" s="0" t="n">
        <v>20000</v>
      </c>
      <c r="K55" s="0" t="n">
        <v>10000</v>
      </c>
      <c r="L55" s="0" t="n">
        <v>100</v>
      </c>
      <c r="M55" s="0" t="n">
        <v>100</v>
      </c>
      <c r="N55" s="0" t="n">
        <v>3</v>
      </c>
      <c r="O55" s="0" t="n">
        <v>300</v>
      </c>
      <c r="P55" s="0" t="n">
        <v>97.8</v>
      </c>
      <c r="Q55" s="0" t="n">
        <v>60.2132885166667</v>
      </c>
      <c r="R55" s="0" t="n">
        <v>160.885613066667</v>
      </c>
      <c r="S55" s="0" t="n">
        <v>23604.57377</v>
      </c>
      <c r="T55" s="0" t="n">
        <v>13.93902601</v>
      </c>
      <c r="U55" s="0" t="n">
        <v>46.2742625066667</v>
      </c>
      <c r="V55" s="0" t="n">
        <v>143.39822879</v>
      </c>
      <c r="W55" s="0" t="n">
        <v>13.9779612833333</v>
      </c>
      <c r="X55" s="0" t="n">
        <v>1</v>
      </c>
      <c r="Y55" s="0" t="inlineStr">
        <is>
          <t>D:\paper_source\work_9\VeriANN_repro_2026-09-30\VeriANN_repro_2026-09-30\VLAH-25TrustCom\results\work9-20261015\sift1m-k-curve</t>
        </is>
      </c>
    </row>
    <row r="56">
      <c r="A56" s="0" t="inlineStr">
        <is>
          <t>VLAH-25TrustCom</t>
        </is>
      </c>
      <c r="B56" s="0" t="inlineStr">
        <is>
          <t>sift1m-k-curve</t>
        </is>
      </c>
      <c r="C56" s="0" t="inlineStr">
        <is>
          <t>/mnt/d/paper_source/work_9/VeriANN_repro_2026-09-30/VeriANN_repro_2026-09-30/dataset/sift1m</t>
        </is>
      </c>
      <c r="D56" s="0" t="n">
        <v>1000000</v>
      </c>
      <c r="E56" s="0" t="n">
        <v>10</v>
      </c>
      <c r="F56" s="0" t="n">
        <v>100</v>
      </c>
      <c r="G56" s="0" t="n">
        <v>41</v>
      </c>
      <c r="H56" s="0" t="n">
        <v>8</v>
      </c>
      <c r="I56" s="0" t="n">
        <v>100</v>
      </c>
      <c r="J56" s="0" t="n">
        <v>20000</v>
      </c>
      <c r="K56" s="0" t="n">
        <v>10000</v>
      </c>
      <c r="L56" s="0" t="n">
        <v>100</v>
      </c>
      <c r="M56" s="0" t="n">
        <v>100</v>
      </c>
      <c r="N56" s="0" t="n">
        <v>3</v>
      </c>
      <c r="O56" s="0" t="n">
        <v>300</v>
      </c>
      <c r="P56" s="0" t="n">
        <v>97.2</v>
      </c>
      <c r="Q56" s="0" t="n">
        <v>60.7328521566667</v>
      </c>
      <c r="R56" s="0" t="n">
        <v>163.210839856667</v>
      </c>
      <c r="S56" s="0" t="n">
        <v>23604.59377</v>
      </c>
      <c r="T56" s="0" t="n">
        <v>14.01188016</v>
      </c>
      <c r="U56" s="0" t="n">
        <v>46.7209719966667</v>
      </c>
      <c r="V56" s="0" t="n">
        <v>145.455563723333</v>
      </c>
      <c r="W56" s="0" t="n">
        <v>14.1733814466667</v>
      </c>
      <c r="X56" s="0" t="n">
        <v>1</v>
      </c>
      <c r="Y56" s="0" t="inlineStr">
        <is>
          <t>D:\paper_source\work_9\VeriANN_repro_2026-09-30\VeriANN_repro_2026-09-30\VLAH-25TrustCom\results\work9-20261015\sift1m-k-curve</t>
        </is>
      </c>
    </row>
    <row r="57">
      <c r="A57" s="0" t="inlineStr">
        <is>
          <t>VLAH-25TrustCom</t>
        </is>
      </c>
      <c r="B57" s="0" t="inlineStr">
        <is>
          <t>sift1m-k-curve</t>
        </is>
      </c>
      <c r="C57" s="0" t="inlineStr">
        <is>
          <t>/mnt/d/paper_source/work_9/VeriANN_repro_2026-09-30/VeriANN_repro_2026-09-30/dataset/sift1m</t>
        </is>
      </c>
      <c r="D57" s="0" t="n">
        <v>1000000</v>
      </c>
      <c r="E57" s="0" t="n">
        <v>20</v>
      </c>
      <c r="F57" s="0" t="n">
        <v>100</v>
      </c>
      <c r="G57" s="0" t="n">
        <v>41</v>
      </c>
      <c r="H57" s="0" t="n">
        <v>8</v>
      </c>
      <c r="I57" s="0" t="n">
        <v>100</v>
      </c>
      <c r="J57" s="0" t="n">
        <v>20000</v>
      </c>
      <c r="K57" s="0" t="n">
        <v>10000</v>
      </c>
      <c r="L57" s="0" t="n">
        <v>100</v>
      </c>
      <c r="M57" s="0" t="n">
        <v>100</v>
      </c>
      <c r="N57" s="0" t="n">
        <v>3</v>
      </c>
      <c r="O57" s="0" t="n">
        <v>300</v>
      </c>
      <c r="P57" s="0" t="n">
        <v>96.75</v>
      </c>
      <c r="Q57" s="0" t="n">
        <v>62.4914379533333</v>
      </c>
      <c r="R57" s="0" t="n">
        <v>166.641273096667</v>
      </c>
      <c r="S57" s="0" t="n">
        <v>23604.63377</v>
      </c>
      <c r="T57" s="0" t="n">
        <v>14.3111254733333</v>
      </c>
      <c r="U57" s="0" t="n">
        <v>48.18031248</v>
      </c>
      <c r="V57" s="0" t="n">
        <v>148.545466546667</v>
      </c>
      <c r="W57" s="0" t="n">
        <v>14.4100047433333</v>
      </c>
      <c r="X57" s="0" t="n">
        <v>1</v>
      </c>
      <c r="Y57" s="0" t="inlineStr">
        <is>
          <t>D:\paper_source\work_9\VeriANN_repro_2026-09-30\VeriANN_repro_2026-09-30\VLAH-25TrustCom\results\work9-20261015\sift1m-k-curve</t>
        </is>
      </c>
    </row>
    <row r="58">
      <c r="A58" s="0" t="inlineStr">
        <is>
          <t>VLAH-25TrustCom</t>
        </is>
      </c>
      <c r="B58" s="0" t="inlineStr">
        <is>
          <t>sift1m-k-curve</t>
        </is>
      </c>
      <c r="C58" s="0" t="inlineStr">
        <is>
          <t>/mnt/d/paper_source/work_9/VeriANN_repro_2026-09-30/VeriANN_repro_2026-09-30/dataset/sift1m</t>
        </is>
      </c>
      <c r="D58" s="0" t="n">
        <v>1000000</v>
      </c>
      <c r="E58" s="0" t="n">
        <v>50</v>
      </c>
      <c r="F58" s="0" t="n">
        <v>100</v>
      </c>
      <c r="G58" s="0" t="n">
        <v>41</v>
      </c>
      <c r="H58" s="0" t="n">
        <v>8</v>
      </c>
      <c r="I58" s="0" t="n">
        <v>100</v>
      </c>
      <c r="J58" s="0" t="n">
        <v>20000</v>
      </c>
      <c r="K58" s="0" t="n">
        <v>10000</v>
      </c>
      <c r="L58" s="0" t="n">
        <v>100</v>
      </c>
      <c r="M58" s="0" t="n">
        <v>100</v>
      </c>
      <c r="N58" s="0" t="n">
        <v>3</v>
      </c>
      <c r="O58" s="0" t="n">
        <v>300</v>
      </c>
      <c r="P58" s="0" t="n">
        <v>96.18000000000001</v>
      </c>
      <c r="Q58" s="0" t="n">
        <v>62.8828516033333</v>
      </c>
      <c r="R58" s="0" t="n">
        <v>161.22617848</v>
      </c>
      <c r="S58" s="0" t="n">
        <v>23604.75377</v>
      </c>
      <c r="T58" s="0" t="n">
        <v>13.98725314</v>
      </c>
      <c r="U58" s="0" t="n">
        <v>48.8955984633333</v>
      </c>
      <c r="V58" s="0" t="n">
        <v>143.657102633333</v>
      </c>
      <c r="W58" s="0" t="n">
        <v>14.0915989233333</v>
      </c>
      <c r="X58" s="0" t="n">
        <v>1</v>
      </c>
      <c r="Y58" s="0" t="inlineStr">
        <is>
          <t>D:\paper_source\work_9\VeriANN_repro_2026-09-30\VeriANN_repro_2026-09-30\VLAH-25TrustCom\results\work9-20261015\sift1m-k-curve</t>
        </is>
      </c>
    </row>
    <row r="59">
      <c r="A59" s="0" t="inlineStr">
        <is>
          <t>VLAH-25TrustCom</t>
        </is>
      </c>
      <c r="B59" s="0" t="inlineStr">
        <is>
          <t>sift1m-k-curve</t>
        </is>
      </c>
      <c r="C59" s="0" t="inlineStr">
        <is>
          <t>/mnt/d/paper_source/work_9/VeriANN_repro_2026-09-30/VeriANN_repro_2026-09-30/dataset/sift1m</t>
        </is>
      </c>
      <c r="D59" s="0" t="n">
        <v>1000000</v>
      </c>
      <c r="E59" s="0" t="n">
        <v>100</v>
      </c>
      <c r="F59" s="0" t="n">
        <v>100</v>
      </c>
      <c r="G59" s="0" t="n">
        <v>41</v>
      </c>
      <c r="H59" s="0" t="n">
        <v>8</v>
      </c>
      <c r="I59" s="0" t="n">
        <v>100</v>
      </c>
      <c r="J59" s="0" t="n">
        <v>20000</v>
      </c>
      <c r="K59" s="0" t="n">
        <v>10000</v>
      </c>
      <c r="L59" s="0" t="n">
        <v>100</v>
      </c>
      <c r="M59" s="0" t="n">
        <v>100</v>
      </c>
      <c r="N59" s="0" t="n">
        <v>3</v>
      </c>
      <c r="O59" s="0" t="n">
        <v>300</v>
      </c>
      <c r="P59" s="0" t="n">
        <v>95.92</v>
      </c>
      <c r="Q59" s="0" t="n">
        <v>64.8738179366667</v>
      </c>
      <c r="R59" s="0" t="n">
        <v>161.153135363333</v>
      </c>
      <c r="S59" s="0" t="n">
        <v>23604.95377</v>
      </c>
      <c r="T59" s="0" t="n">
        <v>13.9666695533333</v>
      </c>
      <c r="U59" s="0" t="n">
        <v>50.9071483833333</v>
      </c>
      <c r="V59" s="0" t="n">
        <v>143.570978763333</v>
      </c>
      <c r="W59" s="0" t="n">
        <v>14.1371287366667</v>
      </c>
      <c r="X59" s="0" t="n">
        <v>1</v>
      </c>
      <c r="Y59" s="0" t="inlineStr">
        <is>
          <t>D:\paper_source\work_9\VeriANN_repro_2026-09-30\VeriANN_repro_2026-09-30\VLAH-25TrustCom\results\work9-20261015\sift1m-k-curve</t>
        </is>
      </c>
    </row>
    <row r="60">
      <c r="A60" s="0" t="inlineStr">
        <is>
          <t>VLAH-25TrustCom</t>
        </is>
      </c>
      <c r="B60" s="0" t="inlineStr">
        <is>
          <t>historical-recall-curve (superseded by Recall99 measurements)</t>
        </is>
      </c>
      <c r="C60" s="0" t="inlineStr">
        <is>
          <t>/mnt/d/paper_source/work_9/VeriANN_repro_2026-09-30/VeriANN_repro_2026-09-30/dataset/sift1m</t>
        </is>
      </c>
      <c r="D60" s="0" t="n">
        <v>1000000</v>
      </c>
      <c r="E60" s="0" t="n">
        <v>10</v>
      </c>
      <c r="F60" s="0" t="n">
        <v>50</v>
      </c>
      <c r="G60" s="0" t="n">
        <v>1</v>
      </c>
      <c r="H60" s="0" t="n">
        <v>8</v>
      </c>
      <c r="I60" s="0" t="n">
        <v>100</v>
      </c>
      <c r="J60" s="0" t="n">
        <v>20000</v>
      </c>
      <c r="K60" s="0" t="n">
        <v>10000</v>
      </c>
      <c r="L60" s="0" t="n">
        <v>100</v>
      </c>
      <c r="M60" s="0" t="n">
        <v>100</v>
      </c>
      <c r="N60" s="0" t="n">
        <v>3</v>
      </c>
      <c r="O60" s="0" t="n">
        <v>300</v>
      </c>
      <c r="P60" s="0" t="n">
        <v>26.2</v>
      </c>
      <c r="Q60" s="0" t="n">
        <v>0.92970142</v>
      </c>
      <c r="R60" s="0" t="n">
        <v>2.59965259</v>
      </c>
      <c r="S60" s="0" t="n">
        <v>390.44917</v>
      </c>
      <c r="T60" s="0" t="n">
        <v>0.223193566666667</v>
      </c>
      <c r="U60" s="0" t="n">
        <v>0.706507853333333</v>
      </c>
      <c r="V60" s="0" t="n">
        <v>2.42214979666667</v>
      </c>
      <c r="W60" s="0" t="n">
        <v>0.147074506666667</v>
      </c>
      <c r="X60" s="0" t="n">
        <v>1</v>
      </c>
      <c r="Y60" s="0" t="inlineStr">
        <is>
          <t>D:\paper_source\work_9\VeriANN_repro_2026-09-30\VeriANN_repro_2026-09-30\VLAH-25TrustCom\results\work9-20261015\sift1m-recall-curve</t>
        </is>
      </c>
    </row>
    <row r="61">
      <c r="A61" s="0" t="inlineStr">
        <is>
          <t>VLAH-25TrustCom</t>
        </is>
      </c>
      <c r="B61" s="0" t="inlineStr">
        <is>
          <t>historical-recall-curve (superseded by Recall99 measurements)</t>
        </is>
      </c>
      <c r="C61" s="0" t="inlineStr">
        <is>
          <t>/mnt/d/paper_source/work_9/VeriANN_repro_2026-09-30/VeriANN_repro_2026-09-30/dataset/sift1m</t>
        </is>
      </c>
      <c r="D61" s="0" t="n">
        <v>1000000</v>
      </c>
      <c r="E61" s="0" t="n">
        <v>10</v>
      </c>
      <c r="F61" s="0" t="n">
        <v>50</v>
      </c>
      <c r="G61" s="0" t="n">
        <v>3</v>
      </c>
      <c r="H61" s="0" t="n">
        <v>8</v>
      </c>
      <c r="I61" s="0" t="n">
        <v>100</v>
      </c>
      <c r="J61" s="0" t="n">
        <v>20000</v>
      </c>
      <c r="K61" s="0" t="n">
        <v>10000</v>
      </c>
      <c r="L61" s="0" t="n">
        <v>100</v>
      </c>
      <c r="M61" s="0" t="n">
        <v>100</v>
      </c>
      <c r="N61" s="0" t="n">
        <v>3</v>
      </c>
      <c r="O61" s="0" t="n">
        <v>300</v>
      </c>
      <c r="P61" s="0" t="n">
        <v>37</v>
      </c>
      <c r="Q61" s="0" t="n">
        <v>2.85199288</v>
      </c>
      <c r="R61" s="0" t="n">
        <v>7.79529048333333</v>
      </c>
      <c r="S61" s="0" t="n">
        <v>1165.36692</v>
      </c>
      <c r="T61" s="0" t="n">
        <v>0.65650282</v>
      </c>
      <c r="U61" s="0" t="n">
        <v>2.19549006</v>
      </c>
      <c r="V61" s="0" t="n">
        <v>7.23848468666667</v>
      </c>
      <c r="W61" s="0" t="n">
        <v>0.459177283333333</v>
      </c>
      <c r="X61" s="0" t="n">
        <v>1</v>
      </c>
      <c r="Y61" s="0" t="inlineStr">
        <is>
          <t>D:\paper_source\work_9\VeriANN_repro_2026-09-30\VeriANN_repro_2026-09-30\VLAH-25TrustCom\results\work9-20261015\sift1m-recall-curve</t>
        </is>
      </c>
    </row>
    <row r="62">
      <c r="A62" s="0" t="inlineStr">
        <is>
          <t>VLAH-25TrustCom</t>
        </is>
      </c>
      <c r="B62" s="0" t="inlineStr">
        <is>
          <t>historical-recall-curve (superseded by Recall99 measurements)</t>
        </is>
      </c>
      <c r="C62" s="0" t="inlineStr">
        <is>
          <t>/mnt/d/paper_source/work_9/VeriANN_repro_2026-09-30/VeriANN_repro_2026-09-30/dataset/sift1m</t>
        </is>
      </c>
      <c r="D62" s="0" t="n">
        <v>1000000</v>
      </c>
      <c r="E62" s="0" t="n">
        <v>10</v>
      </c>
      <c r="F62" s="0" t="n">
        <v>50</v>
      </c>
      <c r="G62" s="0" t="n">
        <v>5</v>
      </c>
      <c r="H62" s="0" t="n">
        <v>8</v>
      </c>
      <c r="I62" s="0" t="n">
        <v>100</v>
      </c>
      <c r="J62" s="0" t="n">
        <v>20000</v>
      </c>
      <c r="K62" s="0" t="n">
        <v>10000</v>
      </c>
      <c r="L62" s="0" t="n">
        <v>100</v>
      </c>
      <c r="M62" s="0" t="n">
        <v>100</v>
      </c>
      <c r="N62" s="0" t="n">
        <v>3</v>
      </c>
      <c r="O62" s="0" t="n">
        <v>300</v>
      </c>
      <c r="P62" s="0" t="n">
        <v>44.7</v>
      </c>
      <c r="Q62" s="0" t="n">
        <v>4.75053590666667</v>
      </c>
      <c r="R62" s="0" t="n">
        <v>12.9576883266667</v>
      </c>
      <c r="S62" s="0" t="n">
        <v>1936.89547</v>
      </c>
      <c r="T62" s="0" t="n">
        <v>1.07898487</v>
      </c>
      <c r="U62" s="0" t="n">
        <v>3.67155103666667</v>
      </c>
      <c r="V62" s="0" t="n">
        <v>12.0089225566667</v>
      </c>
      <c r="W62" s="0" t="n">
        <v>0.7725203833333329</v>
      </c>
      <c r="X62" s="0" t="n">
        <v>1</v>
      </c>
      <c r="Y62" s="0" t="inlineStr">
        <is>
          <t>D:\paper_source\work_9\VeriANN_repro_2026-09-30\VeriANN_repro_2026-09-30\VLAH-25TrustCom\results\work9-20261015\sift1m-recall-curve</t>
        </is>
      </c>
    </row>
    <row r="63">
      <c r="A63" s="0" t="inlineStr">
        <is>
          <t>VLAH-25TrustCom</t>
        </is>
      </c>
      <c r="B63" s="0" t="inlineStr">
        <is>
          <t>historical-recall-curve (superseded by Recall99 measurements)</t>
        </is>
      </c>
      <c r="C63" s="0" t="inlineStr">
        <is>
          <t>/mnt/d/paper_source/work_9/VeriANN_repro_2026-09-30/VeriANN_repro_2026-09-30/dataset/sift1m</t>
        </is>
      </c>
      <c r="D63" s="0" t="n">
        <v>1000000</v>
      </c>
      <c r="E63" s="0" t="n">
        <v>10</v>
      </c>
      <c r="F63" s="0" t="n">
        <v>50</v>
      </c>
      <c r="G63" s="0" t="n">
        <v>9</v>
      </c>
      <c r="H63" s="0" t="n">
        <v>8</v>
      </c>
      <c r="I63" s="0" t="n">
        <v>100</v>
      </c>
      <c r="J63" s="0" t="n">
        <v>20000</v>
      </c>
      <c r="K63" s="0" t="n">
        <v>10000</v>
      </c>
      <c r="L63" s="0" t="n">
        <v>100</v>
      </c>
      <c r="M63" s="0" t="n">
        <v>100</v>
      </c>
      <c r="N63" s="0" t="n">
        <v>3</v>
      </c>
      <c r="O63" s="0" t="n">
        <v>300</v>
      </c>
      <c r="P63" s="0" t="n">
        <v>55</v>
      </c>
      <c r="Q63" s="0" t="n">
        <v>8.65042341</v>
      </c>
      <c r="R63" s="0" t="n">
        <v>23.5238415266667</v>
      </c>
      <c r="S63" s="0" t="n">
        <v>3497.22553</v>
      </c>
      <c r="T63" s="0" t="n">
        <v>1.94347257333333</v>
      </c>
      <c r="U63" s="0" t="n">
        <v>6.70695083666667</v>
      </c>
      <c r="V63" s="0" t="n">
        <v>21.7352690833333</v>
      </c>
      <c r="W63" s="0" t="n">
        <v>1.45735021666667</v>
      </c>
      <c r="X63" s="0" t="n">
        <v>1</v>
      </c>
      <c r="Y63" s="0" t="inlineStr">
        <is>
          <t>D:\paper_source\work_9\VeriANN_repro_2026-09-30\VeriANN_repro_2026-09-30\VLAH-25TrustCom\results\work9-20261015\sift1m-recall-curve</t>
        </is>
      </c>
    </row>
    <row r="64">
      <c r="A64" s="0" t="inlineStr">
        <is>
          <t>VLAH-25TrustCom</t>
        </is>
      </c>
      <c r="B64" s="0" t="inlineStr">
        <is>
          <t>historical-recall-curve (superseded by Recall99 measurements)</t>
        </is>
      </c>
      <c r="C64" s="0" t="inlineStr">
        <is>
          <t>/mnt/d/paper_source/work_9/VeriANN_repro_2026-09-30/VeriANN_repro_2026-09-30/dataset/sift1m</t>
        </is>
      </c>
      <c r="D64" s="0" t="n">
        <v>1000000</v>
      </c>
      <c r="E64" s="0" t="n">
        <v>10</v>
      </c>
      <c r="F64" s="0" t="n">
        <v>50</v>
      </c>
      <c r="G64" s="0" t="n">
        <v>15</v>
      </c>
      <c r="H64" s="0" t="n">
        <v>8</v>
      </c>
      <c r="I64" s="0" t="n">
        <v>100</v>
      </c>
      <c r="J64" s="0" t="n">
        <v>20000</v>
      </c>
      <c r="K64" s="0" t="n">
        <v>10000</v>
      </c>
      <c r="L64" s="0" t="n">
        <v>100</v>
      </c>
      <c r="M64" s="0" t="n">
        <v>100</v>
      </c>
      <c r="N64" s="0" t="n">
        <v>3</v>
      </c>
      <c r="O64" s="0" t="n">
        <v>300</v>
      </c>
      <c r="P64" s="0" t="n">
        <v>67.7</v>
      </c>
      <c r="Q64" s="0" t="n">
        <v>14.57566129</v>
      </c>
      <c r="R64" s="0" t="n">
        <v>39.5828101833333</v>
      </c>
      <c r="S64" s="0" t="n">
        <v>5848.63901</v>
      </c>
      <c r="T64" s="0" t="n">
        <v>3.23864512333333</v>
      </c>
      <c r="U64" s="0" t="n">
        <v>11.3370161666667</v>
      </c>
      <c r="V64" s="0" t="n">
        <v>36.40441146</v>
      </c>
      <c r="W64" s="0" t="n">
        <v>2.57495795666667</v>
      </c>
      <c r="X64" s="0" t="n">
        <v>1</v>
      </c>
      <c r="Y64" s="0" t="inlineStr">
        <is>
          <t>D:\paper_source\work_9\VeriANN_repro_2026-09-30\VeriANN_repro_2026-09-30\VLAH-25TrustCom\results\work9-20261015\sift1m-recall-curve</t>
        </is>
      </c>
    </row>
    <row r="65">
      <c r="A65" s="0" t="inlineStr">
        <is>
          <t>VLAH-25TrustCom</t>
        </is>
      </c>
      <c r="B65" s="0" t="inlineStr">
        <is>
          <t>historical-recall-curve (superseded by Recall99 measurements)</t>
        </is>
      </c>
      <c r="C65" s="0" t="inlineStr">
        <is>
          <t>/mnt/d/paper_source/work_9/VeriANN_repro_2026-09-30/VeriANN_repro_2026-09-30/dataset/sift1m</t>
        </is>
      </c>
      <c r="D65" s="0" t="n">
        <v>1000000</v>
      </c>
      <c r="E65" s="0" t="n">
        <v>10</v>
      </c>
      <c r="F65" s="0" t="n">
        <v>50</v>
      </c>
      <c r="G65" s="0" t="n">
        <v>21</v>
      </c>
      <c r="H65" s="0" t="n">
        <v>8</v>
      </c>
      <c r="I65" s="0" t="n">
        <v>100</v>
      </c>
      <c r="J65" s="0" t="n">
        <v>20000</v>
      </c>
      <c r="K65" s="0" t="n">
        <v>10000</v>
      </c>
      <c r="L65" s="0" t="n">
        <v>100</v>
      </c>
      <c r="M65" s="0" t="n">
        <v>100</v>
      </c>
      <c r="N65" s="0" t="n">
        <v>3</v>
      </c>
      <c r="O65" s="0" t="n">
        <v>300</v>
      </c>
      <c r="P65" s="0" t="n">
        <v>76.8</v>
      </c>
      <c r="Q65" s="0" t="n">
        <v>20.2303550033333</v>
      </c>
      <c r="R65" s="0" t="n">
        <v>54.99308952</v>
      </c>
      <c r="S65" s="0" t="n">
        <v>8101.15777</v>
      </c>
      <c r="T65" s="0" t="n">
        <v>4.51154709333333</v>
      </c>
      <c r="U65" s="0" t="n">
        <v>15.71880791</v>
      </c>
      <c r="V65" s="0" t="n">
        <v>50.3429409733333</v>
      </c>
      <c r="W65" s="0" t="n">
        <v>3.73638831</v>
      </c>
      <c r="X65" s="0" t="n">
        <v>1</v>
      </c>
      <c r="Y65" s="0" t="inlineStr">
        <is>
          <t>D:\paper_source\work_9\VeriANN_repro_2026-09-30\VeriANN_repro_2026-09-30\VLAH-25TrustCom\results\work9-20261015\sift1m-recall-curve</t>
        </is>
      </c>
    </row>
    <row r="66">
      <c r="A66" s="0" t="inlineStr">
        <is>
          <t>VLAH-25TrustCom</t>
        </is>
      </c>
      <c r="B66" s="0" t="inlineStr">
        <is>
          <t>historical-recall-curve (superseded by Recall99 measurements)</t>
        </is>
      </c>
      <c r="C66" s="0" t="inlineStr">
        <is>
          <t>/mnt/d/paper_source/work_9/VeriANN_repro_2026-09-30/VeriANN_repro_2026-09-30/dataset/sift1m</t>
        </is>
      </c>
      <c r="D66" s="0" t="n">
        <v>1000000</v>
      </c>
      <c r="E66" s="0" t="n">
        <v>10</v>
      </c>
      <c r="F66" s="0" t="n">
        <v>50</v>
      </c>
      <c r="G66" s="0" t="n">
        <v>29</v>
      </c>
      <c r="H66" s="0" t="n">
        <v>8</v>
      </c>
      <c r="I66" s="0" t="n">
        <v>100</v>
      </c>
      <c r="J66" s="0" t="n">
        <v>20000</v>
      </c>
      <c r="K66" s="0" t="n">
        <v>10000</v>
      </c>
      <c r="L66" s="0" t="n">
        <v>100</v>
      </c>
      <c r="M66" s="0" t="n">
        <v>100</v>
      </c>
      <c r="N66" s="0" t="n">
        <v>3</v>
      </c>
      <c r="O66" s="0" t="n">
        <v>300</v>
      </c>
      <c r="P66" s="0" t="n">
        <v>86.90000000000001</v>
      </c>
      <c r="Q66" s="0" t="n">
        <v>27.2461721966667</v>
      </c>
      <c r="R66" s="0" t="n">
        <v>74.11767197</v>
      </c>
      <c r="S66" s="0" t="n">
        <v>10917.07725</v>
      </c>
      <c r="T66" s="0" t="n">
        <v>6.03170672333333</v>
      </c>
      <c r="U66" s="0" t="n">
        <v>21.2144654733333</v>
      </c>
      <c r="V66" s="0" t="n">
        <v>67.62849727666671</v>
      </c>
      <c r="W66" s="0" t="n">
        <v>5.16075705666667</v>
      </c>
      <c r="X66" s="0" t="n">
        <v>1</v>
      </c>
      <c r="Y66" s="0" t="inlineStr">
        <is>
          <t>D:\paper_source\work_9\VeriANN_repro_2026-09-30\VeriANN_repro_2026-09-30\VLAH-25TrustCom\results\work9-20261015\sift1m-recall-curve</t>
        </is>
      </c>
    </row>
    <row r="67">
      <c r="A67" s="0" t="inlineStr">
        <is>
          <t>VLAH-25TrustCom</t>
        </is>
      </c>
      <c r="B67" s="0" t="inlineStr">
        <is>
          <t>historical-recall-curve (superseded by Recall99 measurements)</t>
        </is>
      </c>
      <c r="C67" s="0" t="inlineStr">
        <is>
          <t>/mnt/d/paper_source/work_9/VeriANN_repro_2026-09-30/VeriANN_repro_2026-09-30/dataset/sift1m</t>
        </is>
      </c>
      <c r="D67" s="0" t="n">
        <v>1000000</v>
      </c>
      <c r="E67" s="0" t="n">
        <v>10</v>
      </c>
      <c r="F67" s="0" t="n">
        <v>50</v>
      </c>
      <c r="G67" s="0" t="n">
        <v>35</v>
      </c>
      <c r="H67" s="0" t="n">
        <v>8</v>
      </c>
      <c r="I67" s="0" t="n">
        <v>100</v>
      </c>
      <c r="J67" s="0" t="n">
        <v>20000</v>
      </c>
      <c r="K67" s="0" t="n">
        <v>10000</v>
      </c>
      <c r="L67" s="0" t="n">
        <v>100</v>
      </c>
      <c r="M67" s="0" t="n">
        <v>100</v>
      </c>
      <c r="N67" s="0" t="n">
        <v>3</v>
      </c>
      <c r="O67" s="0" t="n">
        <v>300</v>
      </c>
      <c r="P67" s="0" t="n">
        <v>91.59999999999999</v>
      </c>
      <c r="Q67" s="0" t="n">
        <v>32.31584373</v>
      </c>
      <c r="R67" s="0" t="n">
        <v>88.2897437866667</v>
      </c>
      <c r="S67" s="0" t="n">
        <v>12992.09697</v>
      </c>
      <c r="T67" s="0" t="n">
        <v>7.17715721</v>
      </c>
      <c r="U67" s="0" t="n">
        <v>25.13868652</v>
      </c>
      <c r="V67" s="0" t="n">
        <v>80.3836082633333</v>
      </c>
      <c r="W67" s="0" t="n">
        <v>6.24173947666667</v>
      </c>
      <c r="X67" s="0" t="n">
        <v>1</v>
      </c>
      <c r="Y67" s="0" t="inlineStr">
        <is>
          <t>D:\paper_source\work_9\VeriANN_repro_2026-09-30\VeriANN_repro_2026-09-30\VLAH-25TrustCom\results\work9-20261015\sift1m-recall-curve</t>
        </is>
      </c>
    </row>
    <row r="68">
      <c r="A68" s="0" t="inlineStr">
        <is>
          <t>VLAH-25TrustCom</t>
        </is>
      </c>
      <c r="B68" s="0" t="inlineStr">
        <is>
          <t>historical-recall-curve (superseded by Recall99 measurements)</t>
        </is>
      </c>
      <c r="C68" s="0" t="inlineStr">
        <is>
          <t>/mnt/d/paper_source/work_9/VeriANN_repro_2026-09-30/VeriANN_repro_2026-09-30/dataset/sift1m</t>
        </is>
      </c>
      <c r="D68" s="0" t="n">
        <v>1000000</v>
      </c>
      <c r="E68" s="0" t="n">
        <v>10</v>
      </c>
      <c r="F68" s="0" t="n">
        <v>50</v>
      </c>
      <c r="G68" s="0" t="n">
        <v>41</v>
      </c>
      <c r="H68" s="0" t="n">
        <v>8</v>
      </c>
      <c r="I68" s="0" t="n">
        <v>100</v>
      </c>
      <c r="J68" s="0" t="n">
        <v>20000</v>
      </c>
      <c r="K68" s="0" t="n">
        <v>10000</v>
      </c>
      <c r="L68" s="0" t="n">
        <v>100</v>
      </c>
      <c r="M68" s="0" t="n">
        <v>100</v>
      </c>
      <c r="N68" s="0" t="n">
        <v>3</v>
      </c>
      <c r="O68" s="0" t="n">
        <v>300</v>
      </c>
      <c r="P68" s="0" t="n">
        <v>96.3</v>
      </c>
      <c r="Q68" s="0" t="n">
        <v>36.8899369933333</v>
      </c>
      <c r="R68" s="0" t="n">
        <v>101.284282156667</v>
      </c>
      <c r="S68" s="0" t="n">
        <v>14857.74121</v>
      </c>
      <c r="T68" s="0" t="n">
        <v>8.25961708</v>
      </c>
      <c r="U68" s="0" t="n">
        <v>28.6303199133333</v>
      </c>
      <c r="V68" s="0" t="n">
        <v>92.1202404233333</v>
      </c>
      <c r="W68" s="0" t="n">
        <v>7.19933904</v>
      </c>
      <c r="X68" s="0" t="n">
        <v>1</v>
      </c>
      <c r="Y68" s="0" t="inlineStr">
        <is>
          <t>D:\paper_source\work_9\VeriANN_repro_2026-09-30\VeriANN_repro_2026-09-30\VLAH-25TrustCom\results\work9-20261015\sift1m-recall-curve</t>
        </is>
      </c>
    </row>
    <row r="69">
      <c r="A69" s="0" t="inlineStr">
        <is>
          <t>VLAH-25TrustCom</t>
        </is>
      </c>
      <c r="B69" s="0" t="inlineStr">
        <is>
          <t>historical-recall-curve (superseded by Recall99 measurements)</t>
        </is>
      </c>
      <c r="C69" s="0" t="inlineStr">
        <is>
          <t>/mnt/d/paper_source/work_9/VeriANN_repro_2026-09-30/VeriANN_repro_2026-09-30/dataset/sift1m</t>
        </is>
      </c>
      <c r="D69" s="0" t="n">
        <v>1000000</v>
      </c>
      <c r="E69" s="0" t="n">
        <v>10</v>
      </c>
      <c r="F69" s="0" t="n">
        <v>50</v>
      </c>
      <c r="G69" s="0" t="n">
        <v>45</v>
      </c>
      <c r="H69" s="0" t="n">
        <v>8</v>
      </c>
      <c r="I69" s="0" t="n">
        <v>100</v>
      </c>
      <c r="J69" s="0" t="n">
        <v>20000</v>
      </c>
      <c r="K69" s="0" t="n">
        <v>10000</v>
      </c>
      <c r="L69" s="0" t="n">
        <v>100</v>
      </c>
      <c r="M69" s="0" t="n">
        <v>100</v>
      </c>
      <c r="N69" s="0" t="n">
        <v>3</v>
      </c>
      <c r="O69" s="0" t="n">
        <v>300</v>
      </c>
      <c r="P69" s="0" t="n">
        <v>97.2</v>
      </c>
      <c r="Q69" s="0" t="n">
        <v>40.19341094</v>
      </c>
      <c r="R69" s="0" t="n">
        <v>109.769257056667</v>
      </c>
      <c r="S69" s="0" t="n">
        <v>16008.11865</v>
      </c>
      <c r="T69" s="0" t="n">
        <v>8.94825123333333</v>
      </c>
      <c r="U69" s="0" t="n">
        <v>31.2451597066667</v>
      </c>
      <c r="V69" s="0" t="n">
        <v>99.6457915966667</v>
      </c>
      <c r="W69" s="0" t="n">
        <v>7.92641260666667</v>
      </c>
      <c r="X69" s="0" t="n">
        <v>1</v>
      </c>
      <c r="Y69" s="0" t="inlineStr">
        <is>
          <t>D:\paper_source\work_9\VeriANN_repro_2026-09-30\VeriANN_repro_2026-09-30\VLAH-25TrustCom\results\work9-20261015\sift1m-recall-curve</t>
        </is>
      </c>
    </row>
    <row r="70">
      <c r="A70" s="0" t="inlineStr">
        <is>
          <t>VLAH-25TrustCom</t>
        </is>
      </c>
      <c r="B70" s="0" t="inlineStr">
        <is>
          <t>historical-recall-curve (superseded by Recall99 measurements)</t>
        </is>
      </c>
      <c r="C70" s="0" t="inlineStr">
        <is>
          <t>/mnt/d/paper_source/work_9/VeriANN_repro_2026-09-30/VeriANN_repro_2026-09-30/dataset/sift1m</t>
        </is>
      </c>
      <c r="D70" s="0" t="n">
        <v>1000000</v>
      </c>
      <c r="E70" s="0" t="n">
        <v>10</v>
      </c>
      <c r="F70" s="0" t="n">
        <v>50</v>
      </c>
      <c r="G70" s="0" t="n">
        <v>50</v>
      </c>
      <c r="H70" s="0" t="n">
        <v>8</v>
      </c>
      <c r="I70" s="0" t="n">
        <v>100</v>
      </c>
      <c r="J70" s="0" t="n">
        <v>20000</v>
      </c>
      <c r="K70" s="0" t="n">
        <v>10000</v>
      </c>
      <c r="L70" s="0" t="n">
        <v>100</v>
      </c>
      <c r="M70" s="0" t="n">
        <v>100</v>
      </c>
      <c r="N70" s="0" t="n">
        <v>3</v>
      </c>
      <c r="O70" s="0" t="n">
        <v>300</v>
      </c>
      <c r="P70" s="0" t="n">
        <v>98.5</v>
      </c>
      <c r="Q70" s="0" t="n">
        <v>44.1008300833333</v>
      </c>
      <c r="R70" s="0" t="n">
        <v>120.965282143333</v>
      </c>
      <c r="S70" s="0" t="n">
        <v>17568.43624</v>
      </c>
      <c r="T70" s="0" t="n">
        <v>9.870522173333329</v>
      </c>
      <c r="U70" s="0" t="n">
        <v>34.23030791</v>
      </c>
      <c r="V70" s="0" t="n">
        <v>109.689860953333</v>
      </c>
      <c r="W70" s="0" t="n">
        <v>8.78375944666667</v>
      </c>
      <c r="X70" s="0" t="n">
        <v>1</v>
      </c>
      <c r="Y70" s="0" t="inlineStr">
        <is>
          <t>D:\paper_source\work_9\VeriANN_repro_2026-09-30\VeriANN_repro_2026-09-30\VLAH-25TrustCom\results\work9-20261015\sift1m-recall-curve</t>
        </is>
      </c>
    </row>
    <row r="71">
      <c r="A71" s="0" t="inlineStr">
        <is>
          <t>VLAH-25TrustCom</t>
        </is>
      </c>
      <c r="B71" s="0" t="inlineStr">
        <is>
          <t>size-100000-calibration</t>
        </is>
      </c>
      <c r="C71" s="0" t="inlineStr">
        <is>
          <t>/mnt/d/paper_source/work_9/VeriANN_repro_2026-09-30/VeriANN_repro_2026-09-30/dataset/bigann10m</t>
        </is>
      </c>
      <c r="D71" s="0" t="n">
        <v>100000</v>
      </c>
      <c r="E71" s="0" t="n">
        <v>10</v>
      </c>
      <c r="F71" s="0" t="n">
        <v>100</v>
      </c>
      <c r="G71" s="0" t="n">
        <v>1</v>
      </c>
      <c r="H71" s="0" t="n">
        <v>8</v>
      </c>
      <c r="I71" s="0" t="n">
        <v>100</v>
      </c>
      <c r="J71" s="0" t="n">
        <v>20000</v>
      </c>
      <c r="K71" s="0" t="n">
        <v>10000</v>
      </c>
      <c r="L71" s="0" t="n">
        <v>20</v>
      </c>
      <c r="M71" s="0" t="n">
        <v>0</v>
      </c>
      <c r="N71" s="0" t="n">
        <v>1</v>
      </c>
      <c r="O71" s="0" t="n">
        <v>20</v>
      </c>
      <c r="P71" s="0" t="n">
        <v>52.5</v>
      </c>
      <c r="Q71" s="0" t="n">
        <v>1.5727919</v>
      </c>
      <c r="R71" s="0" t="n">
        <v>4.3328278</v>
      </c>
      <c r="S71" s="0" t="n">
        <v>634.6653</v>
      </c>
      <c r="T71" s="0" t="n">
        <v>0.372378</v>
      </c>
      <c r="U71" s="0" t="n">
        <v>1.2004139</v>
      </c>
      <c r="V71" s="0" t="n">
        <v>3.99268745</v>
      </c>
      <c r="W71" s="0" t="n">
        <v>0.2831008</v>
      </c>
      <c r="X71" s="0" t="n">
        <v>8</v>
      </c>
      <c r="Y71" s="0" t="inlineStr">
        <is>
          <t>D:\paper_source\work_9\VeriANN_repro_2026-09-30\VeriANN_repro_2026-09-30\VLAH-25TrustCom\results\work9-20261015\size-100000-calibration</t>
        </is>
      </c>
    </row>
    <row r="72">
      <c r="A72" s="0" t="inlineStr">
        <is>
          <t>VLAH-25TrustCom</t>
        </is>
      </c>
      <c r="B72" s="0" t="inlineStr">
        <is>
          <t>size-100000-calibration</t>
        </is>
      </c>
      <c r="C72" s="0" t="inlineStr">
        <is>
          <t>/mnt/d/paper_source/work_9/VeriANN_repro_2026-09-30/VeriANN_repro_2026-09-30/dataset/bigann10m</t>
        </is>
      </c>
      <c r="D72" s="0" t="n">
        <v>100000</v>
      </c>
      <c r="E72" s="0" t="n">
        <v>10</v>
      </c>
      <c r="F72" s="0" t="n">
        <v>100</v>
      </c>
      <c r="G72" s="0" t="n">
        <v>2</v>
      </c>
      <c r="H72" s="0" t="n">
        <v>8</v>
      </c>
      <c r="I72" s="0" t="n">
        <v>100</v>
      </c>
      <c r="J72" s="0" t="n">
        <v>20000</v>
      </c>
      <c r="K72" s="0" t="n">
        <v>10000</v>
      </c>
      <c r="L72" s="0" t="n">
        <v>20</v>
      </c>
      <c r="M72" s="0" t="n">
        <v>0</v>
      </c>
      <c r="N72" s="0" t="n">
        <v>1</v>
      </c>
      <c r="O72" s="0" t="n">
        <v>20</v>
      </c>
      <c r="P72" s="0" t="n">
        <v>71.5</v>
      </c>
      <c r="Q72" s="0" t="n">
        <v>3.1048972</v>
      </c>
      <c r="R72" s="0" t="n">
        <v>8.535373249999999</v>
      </c>
      <c r="S72" s="0" t="n">
        <v>1266.832</v>
      </c>
      <c r="T72" s="0" t="n">
        <v>0.72346865</v>
      </c>
      <c r="U72" s="0" t="n">
        <v>2.38142855</v>
      </c>
      <c r="V72" s="0" t="n">
        <v>7.82950405</v>
      </c>
      <c r="W72" s="0" t="n">
        <v>0.5712027</v>
      </c>
      <c r="X72" s="0" t="n">
        <v>8</v>
      </c>
      <c r="Y72" s="0" t="inlineStr">
        <is>
          <t>D:\paper_source\work_9\VeriANN_repro_2026-09-30\VeriANN_repro_2026-09-30\VLAH-25TrustCom\results\work9-20261015\size-100000-calibration</t>
        </is>
      </c>
    </row>
    <row r="73">
      <c r="A73" s="0" t="inlineStr">
        <is>
          <t>VLAH-25TrustCom</t>
        </is>
      </c>
      <c r="B73" s="0" t="inlineStr">
        <is>
          <t>size-100000-calibration</t>
        </is>
      </c>
      <c r="C73" s="0" t="inlineStr">
        <is>
          <t>/mnt/d/paper_source/work_9/VeriANN_repro_2026-09-30/VeriANN_repro_2026-09-30/dataset/bigann10m</t>
        </is>
      </c>
      <c r="D73" s="0" t="n">
        <v>100000</v>
      </c>
      <c r="E73" s="0" t="n">
        <v>10</v>
      </c>
      <c r="F73" s="0" t="n">
        <v>100</v>
      </c>
      <c r="G73" s="0" t="n">
        <v>3</v>
      </c>
      <c r="H73" s="0" t="n">
        <v>8</v>
      </c>
      <c r="I73" s="0" t="n">
        <v>100</v>
      </c>
      <c r="J73" s="0" t="n">
        <v>20000</v>
      </c>
      <c r="K73" s="0" t="n">
        <v>10000</v>
      </c>
      <c r="L73" s="0" t="n">
        <v>20</v>
      </c>
      <c r="M73" s="0" t="n">
        <v>0</v>
      </c>
      <c r="N73" s="0" t="n">
        <v>1</v>
      </c>
      <c r="O73" s="0" t="n">
        <v>20</v>
      </c>
      <c r="P73" s="0" t="n">
        <v>85.5</v>
      </c>
      <c r="Q73" s="0" t="n">
        <v>4.91786085</v>
      </c>
      <c r="R73" s="0" t="n">
        <v>13.2566676</v>
      </c>
      <c r="S73" s="0" t="n">
        <v>1976.21155</v>
      </c>
      <c r="T73" s="0" t="n">
        <v>1.17156155</v>
      </c>
      <c r="U73" s="0" t="n">
        <v>3.7462993</v>
      </c>
      <c r="V73" s="0" t="n">
        <v>12.13821455</v>
      </c>
      <c r="W73" s="0" t="n">
        <v>0.9151925</v>
      </c>
      <c r="X73" s="0" t="n">
        <v>8</v>
      </c>
      <c r="Y73" s="0" t="inlineStr">
        <is>
          <t>D:\paper_source\work_9\VeriANN_repro_2026-09-30\VeriANN_repro_2026-09-30\VLAH-25TrustCom\results\work9-20261015\size-100000-calibration</t>
        </is>
      </c>
    </row>
    <row r="74">
      <c r="A74" s="0" t="inlineStr">
        <is>
          <t>VLAH-25TrustCom</t>
        </is>
      </c>
      <c r="B74" s="0" t="inlineStr">
        <is>
          <t>size-100000-calibration</t>
        </is>
      </c>
      <c r="C74" s="0" t="inlineStr">
        <is>
          <t>/mnt/d/paper_source/work_9/VeriANN_repro_2026-09-30/VeriANN_repro_2026-09-30/dataset/bigann10m</t>
        </is>
      </c>
      <c r="D74" s="0" t="n">
        <v>100000</v>
      </c>
      <c r="E74" s="0" t="n">
        <v>10</v>
      </c>
      <c r="F74" s="0" t="n">
        <v>100</v>
      </c>
      <c r="G74" s="0" t="n">
        <v>4</v>
      </c>
      <c r="H74" s="0" t="n">
        <v>8</v>
      </c>
      <c r="I74" s="0" t="n">
        <v>100</v>
      </c>
      <c r="J74" s="0" t="n">
        <v>20000</v>
      </c>
      <c r="K74" s="0" t="n">
        <v>10000</v>
      </c>
      <c r="L74" s="0" t="n">
        <v>20</v>
      </c>
      <c r="M74" s="0" t="n">
        <v>0</v>
      </c>
      <c r="N74" s="0" t="n">
        <v>1</v>
      </c>
      <c r="O74" s="0" t="n">
        <v>20</v>
      </c>
      <c r="P74" s="0" t="n">
        <v>92</v>
      </c>
      <c r="Q74" s="0" t="n">
        <v>6.64155195</v>
      </c>
      <c r="R74" s="0" t="n">
        <v>17.910454</v>
      </c>
      <c r="S74" s="0" t="n">
        <v>2630.2866</v>
      </c>
      <c r="T74" s="0" t="n">
        <v>1.53244535</v>
      </c>
      <c r="U74" s="0" t="n">
        <v>5.1091066</v>
      </c>
      <c r="V74" s="0" t="n">
        <v>16.393956</v>
      </c>
      <c r="W74" s="0" t="n">
        <v>1.2324193</v>
      </c>
      <c r="X74" s="0" t="n">
        <v>8</v>
      </c>
      <c r="Y74" s="0" t="inlineStr">
        <is>
          <t>D:\paper_source\work_9\VeriANN_repro_2026-09-30\VeriANN_repro_2026-09-30\VLAH-25TrustCom\results\work9-20261015\size-100000-calibration</t>
        </is>
      </c>
    </row>
    <row r="75">
      <c r="A75" s="0" t="inlineStr">
        <is>
          <t>VLAH-25TrustCom</t>
        </is>
      </c>
      <c r="B75" s="0" t="inlineStr">
        <is>
          <t>size-100000-calibration</t>
        </is>
      </c>
      <c r="C75" s="0" t="inlineStr">
        <is>
          <t>/mnt/d/paper_source/work_9/VeriANN_repro_2026-09-30/VeriANN_repro_2026-09-30/dataset/bigann10m</t>
        </is>
      </c>
      <c r="D75" s="0" t="n">
        <v>100000</v>
      </c>
      <c r="E75" s="0" t="n">
        <v>10</v>
      </c>
      <c r="F75" s="0" t="n">
        <v>100</v>
      </c>
      <c r="G75" s="0" t="n">
        <v>5</v>
      </c>
      <c r="H75" s="0" t="n">
        <v>8</v>
      </c>
      <c r="I75" s="0" t="n">
        <v>100</v>
      </c>
      <c r="J75" s="0" t="n">
        <v>20000</v>
      </c>
      <c r="K75" s="0" t="n">
        <v>10000</v>
      </c>
      <c r="L75" s="0" t="n">
        <v>20</v>
      </c>
      <c r="M75" s="0" t="n">
        <v>0</v>
      </c>
      <c r="N75" s="0" t="n">
        <v>1</v>
      </c>
      <c r="O75" s="0" t="n">
        <v>20</v>
      </c>
      <c r="P75" s="0" t="n">
        <v>100</v>
      </c>
      <c r="Q75" s="0" t="n">
        <v>8.443171749999999</v>
      </c>
      <c r="R75" s="0" t="n">
        <v>22.75745305</v>
      </c>
      <c r="S75" s="0" t="n">
        <v>3308.1484</v>
      </c>
      <c r="T75" s="0" t="n">
        <v>1.94761205</v>
      </c>
      <c r="U75" s="0" t="n">
        <v>6.4955597</v>
      </c>
      <c r="V75" s="0" t="n">
        <v>20.8519961</v>
      </c>
      <c r="W75" s="0" t="n">
        <v>1.55783095</v>
      </c>
      <c r="X75" s="0" t="n">
        <v>8</v>
      </c>
      <c r="Y75" s="0" t="inlineStr">
        <is>
          <t>D:\paper_source\work_9\VeriANN_repro_2026-09-30\VeriANN_repro_2026-09-30\VLAH-25TrustCom\results\work9-20261015\size-100000-calibration</t>
        </is>
      </c>
    </row>
    <row r="76">
      <c r="A76" s="0" t="inlineStr">
        <is>
          <t>VLAH-25TrustCom</t>
        </is>
      </c>
      <c r="B76" s="0" t="inlineStr">
        <is>
          <t>size-100000-evaluation</t>
        </is>
      </c>
      <c r="C76" s="0" t="inlineStr">
        <is>
          <t>/mnt/d/paper_source/work_9/VeriANN_repro_2026-09-30/VeriANN_repro_2026-09-30/dataset/bigann10m</t>
        </is>
      </c>
      <c r="D76" s="0" t="n">
        <v>100000</v>
      </c>
      <c r="E76" s="0" t="n">
        <v>10</v>
      </c>
      <c r="F76" s="0" t="n">
        <v>100</v>
      </c>
      <c r="G76" s="0" t="n">
        <v>5</v>
      </c>
      <c r="H76" s="0" t="n">
        <v>8</v>
      </c>
      <c r="I76" s="0" t="n">
        <v>100</v>
      </c>
      <c r="J76" s="0" t="n">
        <v>20000</v>
      </c>
      <c r="K76" s="0" t="n">
        <v>10000</v>
      </c>
      <c r="L76" s="0" t="n">
        <v>100</v>
      </c>
      <c r="M76" s="0" t="n">
        <v>100</v>
      </c>
      <c r="N76" s="0" t="n">
        <v>3</v>
      </c>
      <c r="O76" s="0" t="n">
        <v>300</v>
      </c>
      <c r="P76" s="0" t="n">
        <v>99.8</v>
      </c>
      <c r="Q76" s="0" t="n">
        <v>8.40188443666667</v>
      </c>
      <c r="R76" s="0" t="n">
        <v>22.4874884566667</v>
      </c>
      <c r="S76" s="0" t="n">
        <v>3389.1896</v>
      </c>
      <c r="T76" s="0" t="n">
        <v>1.96326550666667</v>
      </c>
      <c r="U76" s="0" t="n">
        <v>6.43861893</v>
      </c>
      <c r="V76" s="0" t="n">
        <v>20.6173634633333</v>
      </c>
      <c r="W76" s="0" t="n">
        <v>1.57089189666667</v>
      </c>
      <c r="X76" s="0" t="n">
        <v>8</v>
      </c>
      <c r="Y76" s="0" t="inlineStr">
        <is>
          <t>D:\paper_source\work_9\VeriANN_repro_2026-09-30\VeriANN_repro_2026-09-30\VLAH-25TrustCom\results\work9-20261015\size-100000-evaluation</t>
        </is>
      </c>
    </row>
    <row r="77">
      <c r="A77" s="0" t="inlineStr">
        <is>
          <t>VLAH-25TrustCom</t>
        </is>
      </c>
      <c r="B77" s="0" t="inlineStr">
        <is>
          <t>size-1000000-calibration</t>
        </is>
      </c>
      <c r="C77" s="0" t="inlineStr">
        <is>
          <t>/mnt/d/paper_source/work_9/VeriANN_repro_2026-09-30/VeriANN_repro_2026-09-30/dataset/bigann10m</t>
        </is>
      </c>
      <c r="D77" s="0" t="n">
        <v>1000000</v>
      </c>
      <c r="E77" s="0" t="n">
        <v>10</v>
      </c>
      <c r="F77" s="0" t="n">
        <v>100</v>
      </c>
      <c r="G77" s="0" t="n">
        <v>3</v>
      </c>
      <c r="H77" s="0" t="n">
        <v>8</v>
      </c>
      <c r="I77" s="0" t="n">
        <v>100</v>
      </c>
      <c r="J77" s="0" t="n">
        <v>20000</v>
      </c>
      <c r="K77" s="0" t="n">
        <v>10000</v>
      </c>
      <c r="L77" s="0" t="n">
        <v>20</v>
      </c>
      <c r="M77" s="0" t="n">
        <v>0</v>
      </c>
      <c r="N77" s="0" t="n">
        <v>1</v>
      </c>
      <c r="O77" s="0" t="n">
        <v>20</v>
      </c>
      <c r="P77" s="0" t="n">
        <v>40.5</v>
      </c>
      <c r="Q77" s="0" t="n">
        <v>4.8555858</v>
      </c>
      <c r="R77" s="0" t="n">
        <v>13.04011065</v>
      </c>
      <c r="S77" s="0" t="n">
        <v>1908.55335</v>
      </c>
      <c r="T77" s="0" t="n">
        <v>1.1686433</v>
      </c>
      <c r="U77" s="0" t="n">
        <v>3.6869425</v>
      </c>
      <c r="V77" s="0" t="n">
        <v>11.8893781</v>
      </c>
      <c r="W77" s="0" t="n">
        <v>0.9458539500000001</v>
      </c>
      <c r="X77" s="0" t="n">
        <v>8</v>
      </c>
      <c r="Y77" s="0" t="inlineStr">
        <is>
          <t>D:\paper_source\work_9\VeriANN_repro_2026-09-30\VeriANN_repro_2026-09-30\VLAH-25TrustCom\results\work9-20261015\size-1000000-calibration</t>
        </is>
      </c>
    </row>
    <row r="78">
      <c r="A78" s="0" t="inlineStr">
        <is>
          <t>VLAH-25TrustCom</t>
        </is>
      </c>
      <c r="B78" s="0" t="inlineStr">
        <is>
          <t>size-1000000-calibration</t>
        </is>
      </c>
      <c r="C78" s="0" t="inlineStr">
        <is>
          <t>/mnt/d/paper_source/work_9/VeriANN_repro_2026-09-30/VeriANN_repro_2026-09-30/dataset/bigann10m</t>
        </is>
      </c>
      <c r="D78" s="0" t="n">
        <v>1000000</v>
      </c>
      <c r="E78" s="0" t="n">
        <v>10</v>
      </c>
      <c r="F78" s="0" t="n">
        <v>100</v>
      </c>
      <c r="G78" s="0" t="n">
        <v>5</v>
      </c>
      <c r="H78" s="0" t="n">
        <v>8</v>
      </c>
      <c r="I78" s="0" t="n">
        <v>100</v>
      </c>
      <c r="J78" s="0" t="n">
        <v>20000</v>
      </c>
      <c r="K78" s="0" t="n">
        <v>10000</v>
      </c>
      <c r="L78" s="0" t="n">
        <v>20</v>
      </c>
      <c r="M78" s="0" t="n">
        <v>0</v>
      </c>
      <c r="N78" s="0" t="n">
        <v>1</v>
      </c>
      <c r="O78" s="0" t="n">
        <v>20</v>
      </c>
      <c r="P78" s="0" t="n">
        <v>46.5</v>
      </c>
      <c r="Q78" s="0" t="n">
        <v>8.39938845</v>
      </c>
      <c r="R78" s="0" t="n">
        <v>22.0308513</v>
      </c>
      <c r="S78" s="0" t="n">
        <v>3222.94635</v>
      </c>
      <c r="T78" s="0" t="n">
        <v>2.03265925</v>
      </c>
      <c r="U78" s="0" t="n">
        <v>6.3667292</v>
      </c>
      <c r="V78" s="0" t="n">
        <v>20.1399072</v>
      </c>
      <c r="W78" s="0" t="n">
        <v>1.52806875</v>
      </c>
      <c r="X78" s="0" t="n">
        <v>8</v>
      </c>
      <c r="Y78" s="0" t="inlineStr">
        <is>
          <t>D:\paper_source\work_9\VeriANN_repro_2026-09-30\VeriANN_repro_2026-09-30\VLAH-25TrustCom\results\work9-20261015\size-1000000-calibration</t>
        </is>
      </c>
    </row>
    <row r="79">
      <c r="A79" s="0" t="inlineStr">
        <is>
          <t>VLAH-25TrustCom</t>
        </is>
      </c>
      <c r="B79" s="0" t="inlineStr">
        <is>
          <t>size-1000000-calibration</t>
        </is>
      </c>
      <c r="C79" s="0" t="inlineStr">
        <is>
          <t>/mnt/d/paper_source/work_9/VeriANN_repro_2026-09-30/VeriANN_repro_2026-09-30/dataset/bigann10m</t>
        </is>
      </c>
      <c r="D79" s="0" t="n">
        <v>1000000</v>
      </c>
      <c r="E79" s="0" t="n">
        <v>10</v>
      </c>
      <c r="F79" s="0" t="n">
        <v>100</v>
      </c>
      <c r="G79" s="0" t="n">
        <v>10</v>
      </c>
      <c r="H79" s="0" t="n">
        <v>8</v>
      </c>
      <c r="I79" s="0" t="n">
        <v>100</v>
      </c>
      <c r="J79" s="0" t="n">
        <v>20000</v>
      </c>
      <c r="K79" s="0" t="n">
        <v>10000</v>
      </c>
      <c r="L79" s="0" t="n">
        <v>20</v>
      </c>
      <c r="M79" s="0" t="n">
        <v>0</v>
      </c>
      <c r="N79" s="0" t="n">
        <v>1</v>
      </c>
      <c r="O79" s="0" t="n">
        <v>20</v>
      </c>
      <c r="P79" s="0" t="n">
        <v>60.5</v>
      </c>
      <c r="Q79" s="0" t="n">
        <v>16.8621391</v>
      </c>
      <c r="R79" s="0" t="n">
        <v>44.2791205</v>
      </c>
      <c r="S79" s="0" t="n">
        <v>6478.55635</v>
      </c>
      <c r="T79" s="0" t="n">
        <v>3.95220525</v>
      </c>
      <c r="U79" s="0" t="n">
        <v>12.90993385</v>
      </c>
      <c r="V79" s="0" t="n">
        <v>40.35508735</v>
      </c>
      <c r="W79" s="0" t="n">
        <v>3.18865855</v>
      </c>
      <c r="X79" s="0" t="n">
        <v>8</v>
      </c>
      <c r="Y79" s="0" t="inlineStr">
        <is>
          <t>D:\paper_source\work_9\VeriANN_repro_2026-09-30\VeriANN_repro_2026-09-30\VLAH-25TrustCom\results\work9-20261015\size-1000000-calibration</t>
        </is>
      </c>
    </row>
    <row r="80">
      <c r="A80" s="0" t="inlineStr">
        <is>
          <t>VLAH-25TrustCom</t>
        </is>
      </c>
      <c r="B80" s="0" t="inlineStr">
        <is>
          <t>size-1000000-calibration</t>
        </is>
      </c>
      <c r="C80" s="0" t="inlineStr">
        <is>
          <t>/mnt/d/paper_source/work_9/VeriANN_repro_2026-09-30/VeriANN_repro_2026-09-30/dataset/bigann10m</t>
        </is>
      </c>
      <c r="D80" s="0" t="n">
        <v>1000000</v>
      </c>
      <c r="E80" s="0" t="n">
        <v>10</v>
      </c>
      <c r="F80" s="0" t="n">
        <v>100</v>
      </c>
      <c r="G80" s="0" t="n">
        <v>15</v>
      </c>
      <c r="H80" s="0" t="n">
        <v>8</v>
      </c>
      <c r="I80" s="0" t="n">
        <v>100</v>
      </c>
      <c r="J80" s="0" t="n">
        <v>20000</v>
      </c>
      <c r="K80" s="0" t="n">
        <v>10000</v>
      </c>
      <c r="L80" s="0" t="n">
        <v>20</v>
      </c>
      <c r="M80" s="0" t="n">
        <v>0</v>
      </c>
      <c r="N80" s="0" t="n">
        <v>1</v>
      </c>
      <c r="O80" s="0" t="n">
        <v>20</v>
      </c>
      <c r="P80" s="0" t="n">
        <v>66</v>
      </c>
      <c r="Q80" s="0" t="n">
        <v>25.58994335</v>
      </c>
      <c r="R80" s="0" t="n">
        <v>68.47103389999999</v>
      </c>
      <c r="S80" s="0" t="n">
        <v>9838.56105</v>
      </c>
      <c r="T80" s="0" t="n">
        <v>6.07055555</v>
      </c>
      <c r="U80" s="0" t="n">
        <v>19.5193878</v>
      </c>
      <c r="V80" s="0" t="n">
        <v>62.0087143</v>
      </c>
      <c r="W80" s="0" t="n">
        <v>5.1992276</v>
      </c>
      <c r="X80" s="0" t="n">
        <v>8</v>
      </c>
      <c r="Y80" s="0" t="inlineStr">
        <is>
          <t>D:\paper_source\work_9\VeriANN_repro_2026-09-30\VeriANN_repro_2026-09-30\VLAH-25TrustCom\results\work9-20261015\size-1000000-calibration</t>
        </is>
      </c>
    </row>
    <row r="81">
      <c r="A81" s="0" t="inlineStr">
        <is>
          <t>VLAH-25TrustCom</t>
        </is>
      </c>
      <c r="B81" s="0" t="inlineStr">
        <is>
          <t>size-1000000-calibration</t>
        </is>
      </c>
      <c r="C81" s="0" t="inlineStr">
        <is>
          <t>/mnt/d/paper_source/work_9/VeriANN_repro_2026-09-30/VeriANN_repro_2026-09-30/dataset/bigann10m</t>
        </is>
      </c>
      <c r="D81" s="0" t="n">
        <v>1000000</v>
      </c>
      <c r="E81" s="0" t="n">
        <v>10</v>
      </c>
      <c r="F81" s="0" t="n">
        <v>100</v>
      </c>
      <c r="G81" s="0" t="n">
        <v>20</v>
      </c>
      <c r="H81" s="0" t="n">
        <v>8</v>
      </c>
      <c r="I81" s="0" t="n">
        <v>100</v>
      </c>
      <c r="J81" s="0" t="n">
        <v>20000</v>
      </c>
      <c r="K81" s="0" t="n">
        <v>10000</v>
      </c>
      <c r="L81" s="0" t="n">
        <v>20</v>
      </c>
      <c r="M81" s="0" t="n">
        <v>0</v>
      </c>
      <c r="N81" s="0" t="n">
        <v>1</v>
      </c>
      <c r="O81" s="0" t="n">
        <v>20</v>
      </c>
      <c r="P81" s="0" t="n">
        <v>73.5</v>
      </c>
      <c r="Q81" s="0" t="n">
        <v>34.1305993</v>
      </c>
      <c r="R81" s="0" t="n">
        <v>91.6422537</v>
      </c>
      <c r="S81" s="0" t="n">
        <v>13077.44995</v>
      </c>
      <c r="T81" s="0" t="n">
        <v>7.96728995</v>
      </c>
      <c r="U81" s="0" t="n">
        <v>26.16330935</v>
      </c>
      <c r="V81" s="0" t="n">
        <v>82.5440308</v>
      </c>
      <c r="W81" s="0" t="n">
        <v>7.24851135</v>
      </c>
      <c r="X81" s="0" t="n">
        <v>8</v>
      </c>
      <c r="Y81" s="0" t="inlineStr">
        <is>
          <t>D:\paper_source\work_9\VeriANN_repro_2026-09-30\VeriANN_repro_2026-09-30\VLAH-25TrustCom\results\work9-20261015\size-1000000-calibration</t>
        </is>
      </c>
    </row>
    <row r="82">
      <c r="A82" s="0" t="inlineStr">
        <is>
          <t>VLAH-25TrustCom</t>
        </is>
      </c>
      <c r="B82" s="0" t="inlineStr">
        <is>
          <t>size-1000000-calibration</t>
        </is>
      </c>
      <c r="C82" s="0" t="inlineStr">
        <is>
          <t>/mnt/d/paper_source/work_9/VeriANN_repro_2026-09-30/VeriANN_repro_2026-09-30/dataset/bigann10m</t>
        </is>
      </c>
      <c r="D82" s="0" t="n">
        <v>1000000</v>
      </c>
      <c r="E82" s="0" t="n">
        <v>10</v>
      </c>
      <c r="F82" s="0" t="n">
        <v>100</v>
      </c>
      <c r="G82" s="0" t="n">
        <v>25</v>
      </c>
      <c r="H82" s="0" t="n">
        <v>8</v>
      </c>
      <c r="I82" s="0" t="n">
        <v>100</v>
      </c>
      <c r="J82" s="0" t="n">
        <v>20000</v>
      </c>
      <c r="K82" s="0" t="n">
        <v>10000</v>
      </c>
      <c r="L82" s="0" t="n">
        <v>20</v>
      </c>
      <c r="M82" s="0" t="n">
        <v>0</v>
      </c>
      <c r="N82" s="0" t="n">
        <v>1</v>
      </c>
      <c r="O82" s="0" t="n">
        <v>20</v>
      </c>
      <c r="P82" s="0" t="n">
        <v>78.5</v>
      </c>
      <c r="Q82" s="0" t="n">
        <v>44.21819685</v>
      </c>
      <c r="R82" s="0" t="n">
        <v>115.4005199</v>
      </c>
      <c r="S82" s="0" t="n">
        <v>16480.4442</v>
      </c>
      <c r="T82" s="0" t="n">
        <v>10.10588925</v>
      </c>
      <c r="U82" s="0" t="n">
        <v>34.1123076</v>
      </c>
      <c r="V82" s="0" t="n">
        <v>103.6699148</v>
      </c>
      <c r="W82" s="0" t="n">
        <v>9.215852</v>
      </c>
      <c r="X82" s="0" t="n">
        <v>8</v>
      </c>
      <c r="Y82" s="0" t="inlineStr">
        <is>
          <t>D:\paper_source\work_9\VeriANN_repro_2026-09-30\VeriANN_repro_2026-09-30\VLAH-25TrustCom\results\work9-20261015\size-1000000-calibration</t>
        </is>
      </c>
    </row>
    <row r="83">
      <c r="A83" s="0" t="inlineStr">
        <is>
          <t>VLAH-25TrustCom</t>
        </is>
      </c>
      <c r="B83" s="0" t="inlineStr">
        <is>
          <t>size-1000000-calibration</t>
        </is>
      </c>
      <c r="C83" s="0" t="inlineStr">
        <is>
          <t>/mnt/d/paper_source/work_9/VeriANN_repro_2026-09-30/VeriANN_repro_2026-09-30/dataset/bigann10m</t>
        </is>
      </c>
      <c r="D83" s="0" t="n">
        <v>1000000</v>
      </c>
      <c r="E83" s="0" t="n">
        <v>10</v>
      </c>
      <c r="F83" s="0" t="n">
        <v>100</v>
      </c>
      <c r="G83" s="0" t="n">
        <v>30</v>
      </c>
      <c r="H83" s="0" t="n">
        <v>8</v>
      </c>
      <c r="I83" s="0" t="n">
        <v>100</v>
      </c>
      <c r="J83" s="0" t="n">
        <v>20000</v>
      </c>
      <c r="K83" s="0" t="n">
        <v>10000</v>
      </c>
      <c r="L83" s="0" t="n">
        <v>20</v>
      </c>
      <c r="M83" s="0" t="n">
        <v>0</v>
      </c>
      <c r="N83" s="0" t="n">
        <v>1</v>
      </c>
      <c r="O83" s="0" t="n">
        <v>20</v>
      </c>
      <c r="P83" s="0" t="n">
        <v>81.5</v>
      </c>
      <c r="Q83" s="0" t="n">
        <v>52.8667352</v>
      </c>
      <c r="R83" s="0" t="n">
        <v>139.55511045</v>
      </c>
      <c r="S83" s="0" t="n">
        <v>19892.3944</v>
      </c>
      <c r="T83" s="0" t="n">
        <v>11.96676055</v>
      </c>
      <c r="U83" s="0" t="n">
        <v>40.89997465</v>
      </c>
      <c r="V83" s="0" t="n">
        <v>125.17536875</v>
      </c>
      <c r="W83" s="0" t="n">
        <v>11.36266725</v>
      </c>
      <c r="X83" s="0" t="n">
        <v>8</v>
      </c>
      <c r="Y83" s="0" t="inlineStr">
        <is>
          <t>D:\paper_source\work_9\VeriANN_repro_2026-09-30\VeriANN_repro_2026-09-30\VLAH-25TrustCom\results\work9-20261015\size-1000000-calibration</t>
        </is>
      </c>
    </row>
    <row r="84">
      <c r="A84" s="0" t="inlineStr">
        <is>
          <t>VLAH-25TrustCom</t>
        </is>
      </c>
      <c r="B84" s="0" t="inlineStr">
        <is>
          <t>size-1000000-calibration</t>
        </is>
      </c>
      <c r="C84" s="0" t="inlineStr">
        <is>
          <t>/mnt/d/paper_source/work_9/VeriANN_repro_2026-09-30/VeriANN_repro_2026-09-30/dataset/bigann10m</t>
        </is>
      </c>
      <c r="D84" s="0" t="n">
        <v>1000000</v>
      </c>
      <c r="E84" s="0" t="n">
        <v>10</v>
      </c>
      <c r="F84" s="0" t="n">
        <v>100</v>
      </c>
      <c r="G84" s="0" t="n">
        <v>35</v>
      </c>
      <c r="H84" s="0" t="n">
        <v>8</v>
      </c>
      <c r="I84" s="0" t="n">
        <v>100</v>
      </c>
      <c r="J84" s="0" t="n">
        <v>20000</v>
      </c>
      <c r="K84" s="0" t="n">
        <v>10000</v>
      </c>
      <c r="L84" s="0" t="n">
        <v>20</v>
      </c>
      <c r="M84" s="0" t="n">
        <v>0</v>
      </c>
      <c r="N84" s="0" t="n">
        <v>1</v>
      </c>
      <c r="O84" s="0" t="n">
        <v>20</v>
      </c>
      <c r="P84" s="0" t="n">
        <v>86</v>
      </c>
      <c r="Q84" s="0" t="n">
        <v>62.4302172</v>
      </c>
      <c r="R84" s="0" t="n">
        <v>163.9781763</v>
      </c>
      <c r="S84" s="0" t="n">
        <v>23214.46655</v>
      </c>
      <c r="T84" s="0" t="n">
        <v>14.52332545</v>
      </c>
      <c r="U84" s="0" t="n">
        <v>47.90689175</v>
      </c>
      <c r="V84" s="0" t="n">
        <v>146.7909383</v>
      </c>
      <c r="W84" s="0" t="n">
        <v>13.48231665</v>
      </c>
      <c r="X84" s="0" t="n">
        <v>8</v>
      </c>
      <c r="Y84" s="0" t="inlineStr">
        <is>
          <t>D:\paper_source\work_9\VeriANN_repro_2026-09-30\VeriANN_repro_2026-09-30\VLAH-25TrustCom\results\work9-20261015\size-1000000-calibration</t>
        </is>
      </c>
    </row>
    <row r="85">
      <c r="A85" s="0" t="inlineStr">
        <is>
          <t>VLAH-25TrustCom</t>
        </is>
      </c>
      <c r="B85" s="0" t="inlineStr">
        <is>
          <t>size-1000000-calibration</t>
        </is>
      </c>
      <c r="C85" s="0" t="inlineStr">
        <is>
          <t>/mnt/d/paper_source/work_9/VeriANN_repro_2026-09-30/VeriANN_repro_2026-09-30/dataset/bigann10m</t>
        </is>
      </c>
      <c r="D85" s="0" t="n">
        <v>1000000</v>
      </c>
      <c r="E85" s="0" t="n">
        <v>10</v>
      </c>
      <c r="F85" s="0" t="n">
        <v>100</v>
      </c>
      <c r="G85" s="0" t="n">
        <v>40</v>
      </c>
      <c r="H85" s="0" t="n">
        <v>8</v>
      </c>
      <c r="I85" s="0" t="n">
        <v>100</v>
      </c>
      <c r="J85" s="0" t="n">
        <v>20000</v>
      </c>
      <c r="K85" s="0" t="n">
        <v>10000</v>
      </c>
      <c r="L85" s="0" t="n">
        <v>20</v>
      </c>
      <c r="M85" s="0" t="n">
        <v>0</v>
      </c>
      <c r="N85" s="0" t="n">
        <v>1</v>
      </c>
      <c r="O85" s="0" t="n">
        <v>20</v>
      </c>
      <c r="P85" s="0" t="n">
        <v>90.5</v>
      </c>
      <c r="Q85" s="0" t="n">
        <v>73.11598859999999</v>
      </c>
      <c r="R85" s="0" t="n">
        <v>189.0722505</v>
      </c>
      <c r="S85" s="0" t="n">
        <v>26631.4442</v>
      </c>
      <c r="T85" s="0" t="n">
        <v>16.13224885</v>
      </c>
      <c r="U85" s="0" t="n">
        <v>56.98373975</v>
      </c>
      <c r="V85" s="0" t="n">
        <v>169.35708925</v>
      </c>
      <c r="W85" s="0" t="n">
        <v>15.33929055</v>
      </c>
      <c r="X85" s="0" t="n">
        <v>8</v>
      </c>
      <c r="Y85" s="0" t="inlineStr">
        <is>
          <t>D:\paper_source\work_9\VeriANN_repro_2026-09-30\VeriANN_repro_2026-09-30\VLAH-25TrustCom\results\work9-20261015\size-1000000-calibration</t>
        </is>
      </c>
    </row>
    <row r="86">
      <c r="A86" s="0" t="inlineStr">
        <is>
          <t>VLAH-25TrustCom</t>
        </is>
      </c>
      <c r="B86" s="0" t="inlineStr">
        <is>
          <t>size-1000000-calibration</t>
        </is>
      </c>
      <c r="C86" s="0" t="inlineStr">
        <is>
          <t>/mnt/d/paper_source/work_9/VeriANN_repro_2026-09-30/VeriANN_repro_2026-09-30/dataset/bigann10m</t>
        </is>
      </c>
      <c r="D86" s="0" t="n">
        <v>1000000</v>
      </c>
      <c r="E86" s="0" t="n">
        <v>10</v>
      </c>
      <c r="F86" s="0" t="n">
        <v>100</v>
      </c>
      <c r="G86" s="0" t="n">
        <v>45</v>
      </c>
      <c r="H86" s="0" t="n">
        <v>8</v>
      </c>
      <c r="I86" s="0" t="n">
        <v>100</v>
      </c>
      <c r="J86" s="0" t="n">
        <v>20000</v>
      </c>
      <c r="K86" s="0" t="n">
        <v>10000</v>
      </c>
      <c r="L86" s="0" t="n">
        <v>20</v>
      </c>
      <c r="M86" s="0" t="n">
        <v>0</v>
      </c>
      <c r="N86" s="0" t="n">
        <v>1</v>
      </c>
      <c r="O86" s="0" t="n">
        <v>20</v>
      </c>
      <c r="P86" s="0" t="n">
        <v>94</v>
      </c>
      <c r="Q86" s="0" t="n">
        <v>86.4033956</v>
      </c>
      <c r="R86" s="0" t="n">
        <v>214.0660754</v>
      </c>
      <c r="S86" s="0" t="n">
        <v>30047.25635</v>
      </c>
      <c r="T86" s="0" t="n">
        <v>18.43895195</v>
      </c>
      <c r="U86" s="0" t="n">
        <v>67.96444365000001</v>
      </c>
      <c r="V86" s="0" t="n">
        <v>191.44777315</v>
      </c>
      <c r="W86" s="0" t="n">
        <v>17.5733941</v>
      </c>
      <c r="X86" s="0" t="n">
        <v>8</v>
      </c>
      <c r="Y86" s="0" t="inlineStr">
        <is>
          <t>D:\paper_source\work_9\VeriANN_repro_2026-09-30\VeriANN_repro_2026-09-30\VLAH-25TrustCom\results\work9-20261015\size-1000000-calibration</t>
        </is>
      </c>
    </row>
    <row r="87">
      <c r="A87" s="0" t="inlineStr">
        <is>
          <t>VLAH-25TrustCom</t>
        </is>
      </c>
      <c r="B87" s="0" t="inlineStr">
        <is>
          <t>size-1000000-calibration</t>
        </is>
      </c>
      <c r="C87" s="0" t="inlineStr">
        <is>
          <t>/mnt/d/paper_source/work_9/VeriANN_repro_2026-09-30/VeriANN_repro_2026-09-30/dataset/bigann10m</t>
        </is>
      </c>
      <c r="D87" s="0" t="n">
        <v>1000000</v>
      </c>
      <c r="E87" s="0" t="n">
        <v>10</v>
      </c>
      <c r="F87" s="0" t="n">
        <v>100</v>
      </c>
      <c r="G87" s="0" t="n">
        <v>50</v>
      </c>
      <c r="H87" s="0" t="n">
        <v>8</v>
      </c>
      <c r="I87" s="0" t="n">
        <v>100</v>
      </c>
      <c r="J87" s="0" t="n">
        <v>20000</v>
      </c>
      <c r="K87" s="0" t="n">
        <v>10000</v>
      </c>
      <c r="L87" s="0" t="n">
        <v>20</v>
      </c>
      <c r="M87" s="0" t="n">
        <v>0</v>
      </c>
      <c r="N87" s="0" t="n">
        <v>1</v>
      </c>
      <c r="O87" s="0" t="n">
        <v>20</v>
      </c>
      <c r="P87" s="0" t="n">
        <v>100</v>
      </c>
      <c r="Q87" s="0" t="n">
        <v>95.62496710000001</v>
      </c>
      <c r="R87" s="0" t="n">
        <v>238.06645615</v>
      </c>
      <c r="S87" s="0" t="n">
        <v>33547.264</v>
      </c>
      <c r="T87" s="0" t="n">
        <v>20.4361158</v>
      </c>
      <c r="U87" s="0" t="n">
        <v>75.1888513</v>
      </c>
      <c r="V87" s="0" t="n">
        <v>212.5196854</v>
      </c>
      <c r="W87" s="0" t="n">
        <v>19.84470585</v>
      </c>
      <c r="X87" s="0" t="n">
        <v>8</v>
      </c>
      <c r="Y87" s="0" t="inlineStr">
        <is>
          <t>D:\paper_source\work_9\VeriANN_repro_2026-09-30\VeriANN_repro_2026-09-30\VLAH-25TrustCom\results\work9-20261015\size-1000000-calibration</t>
        </is>
      </c>
    </row>
    <row r="88">
      <c r="A88" s="0" t="inlineStr">
        <is>
          <t>VLAH-25TrustCom</t>
        </is>
      </c>
      <c r="B88" s="0" t="inlineStr">
        <is>
          <t>size-1000000-evaluation</t>
        </is>
      </c>
      <c r="C88" s="0" t="inlineStr">
        <is>
          <t>/mnt/d/paper_source/work_9/VeriANN_repro_2026-09-30/VeriANN_repro_2026-09-30/dataset/bigann10m</t>
        </is>
      </c>
      <c r="D88" s="0" t="n">
        <v>1000000</v>
      </c>
      <c r="E88" s="0" t="n">
        <v>10</v>
      </c>
      <c r="F88" s="0" t="n">
        <v>100</v>
      </c>
      <c r="G88" s="0" t="n">
        <v>50</v>
      </c>
      <c r="H88" s="0" t="n">
        <v>8</v>
      </c>
      <c r="I88" s="0" t="n">
        <v>100</v>
      </c>
      <c r="J88" s="0" t="n">
        <v>20000</v>
      </c>
      <c r="K88" s="0" t="n">
        <v>10000</v>
      </c>
      <c r="L88" s="0" t="n">
        <v>100</v>
      </c>
      <c r="M88" s="0" t="n">
        <v>100</v>
      </c>
      <c r="N88" s="0" t="n">
        <v>3</v>
      </c>
      <c r="O88" s="0" t="n">
        <v>300</v>
      </c>
      <c r="P88" s="0" t="n">
        <v>99.8</v>
      </c>
      <c r="Q88" s="0" t="n">
        <v>93.36335403333329</v>
      </c>
      <c r="R88" s="0" t="n">
        <v>230.809091856667</v>
      </c>
      <c r="S88" s="0" t="n">
        <v>34179.50512</v>
      </c>
      <c r="T88" s="0" t="n">
        <v>19.7550021266667</v>
      </c>
      <c r="U88" s="0" t="n">
        <v>73.6083519066667</v>
      </c>
      <c r="V88" s="0" t="n">
        <v>205.999711306667</v>
      </c>
      <c r="W88" s="0" t="n">
        <v>19.6444601833333</v>
      </c>
      <c r="X88" s="0" t="n">
        <v>8</v>
      </c>
      <c r="Y88" s="0" t="inlineStr">
        <is>
          <t>D:\paper_source\work_9\VeriANN_repro_2026-09-30\VeriANN_repro_2026-09-30\VLAH-25TrustCom\results\work9-20261015\size-1000000-evaluation</t>
        </is>
      </c>
    </row>
    <row r="89">
      <c r="A89" s="0" t="inlineStr">
        <is>
          <t>VLAH-25TrustCom</t>
        </is>
      </c>
      <c r="B89" s="0" t="inlineStr">
        <is>
          <t>size-10000000-calibration</t>
        </is>
      </c>
      <c r="C89" s="0" t="inlineStr">
        <is>
          <t>/mnt/d/paper_source/work_9/VeriANN_repro_2026-09-30/VeriANN_repro_2026-09-30/dataset/bigann10m</t>
        </is>
      </c>
      <c r="D89" s="0" t="n">
        <v>10000000</v>
      </c>
      <c r="E89" s="0" t="n">
        <v>10</v>
      </c>
      <c r="F89" s="0" t="n">
        <v>100</v>
      </c>
      <c r="G89" s="0" t="n">
        <v>25</v>
      </c>
      <c r="H89" s="0" t="n">
        <v>8</v>
      </c>
      <c r="I89" s="0" t="n">
        <v>100</v>
      </c>
      <c r="J89" s="0" t="n">
        <v>20000</v>
      </c>
      <c r="K89" s="0" t="n">
        <v>10000</v>
      </c>
      <c r="L89" s="0" t="n">
        <v>20</v>
      </c>
      <c r="M89" s="0" t="n">
        <v>0</v>
      </c>
      <c r="N89" s="0" t="n">
        <v>1</v>
      </c>
      <c r="O89" s="0" t="n">
        <v>20</v>
      </c>
      <c r="P89" s="0" t="n">
        <v>39.5</v>
      </c>
      <c r="Q89" s="0" t="n">
        <v>44.98018045</v>
      </c>
      <c r="R89" s="0" t="n">
        <v>117.78152665</v>
      </c>
      <c r="S89" s="0" t="n">
        <v>16405.75935</v>
      </c>
      <c r="T89" s="0" t="n">
        <v>10.19223475</v>
      </c>
      <c r="U89" s="0" t="n">
        <v>34.7879457</v>
      </c>
      <c r="V89" s="0" t="n">
        <v>105.99411965</v>
      </c>
      <c r="W89" s="0" t="n">
        <v>9.2466525</v>
      </c>
      <c r="X89" s="0" t="n">
        <v>8</v>
      </c>
      <c r="Y89" s="0" t="inlineStr">
        <is>
          <t>D:\paper_source\work_9\VeriANN_repro_2026-09-30\VeriANN_repro_2026-09-30\VLAH-25TrustCom\results\work9-20261015\size-10000000-calibration</t>
        </is>
      </c>
    </row>
    <row r="90">
      <c r="A90" s="0" t="inlineStr">
        <is>
          <t>VLAH-25TrustCom</t>
        </is>
      </c>
      <c r="B90" s="0" t="inlineStr">
        <is>
          <t>size-10000000-calibration</t>
        </is>
      </c>
      <c r="C90" s="0" t="inlineStr">
        <is>
          <t>/mnt/d/paper_source/work_9/VeriANN_repro_2026-09-30/VeriANN_repro_2026-09-30/dataset/bigann10m</t>
        </is>
      </c>
      <c r="D90" s="0" t="n">
        <v>10000000</v>
      </c>
      <c r="E90" s="0" t="n">
        <v>10</v>
      </c>
      <c r="F90" s="0" t="n">
        <v>100</v>
      </c>
      <c r="G90" s="0" t="n">
        <v>50</v>
      </c>
      <c r="H90" s="0" t="n">
        <v>8</v>
      </c>
      <c r="I90" s="0" t="n">
        <v>100</v>
      </c>
      <c r="J90" s="0" t="n">
        <v>20000</v>
      </c>
      <c r="K90" s="0" t="n">
        <v>10000</v>
      </c>
      <c r="L90" s="0" t="n">
        <v>20</v>
      </c>
      <c r="M90" s="0" t="n">
        <v>0</v>
      </c>
      <c r="N90" s="0" t="n">
        <v>1</v>
      </c>
      <c r="O90" s="0" t="n">
        <v>20</v>
      </c>
      <c r="P90" s="0" t="n">
        <v>45.5</v>
      </c>
      <c r="Q90" s="0" t="n">
        <v>94.37744975</v>
      </c>
      <c r="R90" s="0" t="n">
        <v>237.64585</v>
      </c>
      <c r="S90" s="0" t="n">
        <v>32778.9479</v>
      </c>
      <c r="T90" s="0" t="n">
        <v>20.164132</v>
      </c>
      <c r="U90" s="0" t="n">
        <v>74.21331775</v>
      </c>
      <c r="V90" s="0" t="n">
        <v>212.2599979</v>
      </c>
      <c r="W90" s="0" t="n">
        <v>19.7822223</v>
      </c>
      <c r="X90" s="0" t="n">
        <v>8</v>
      </c>
      <c r="Y90" s="0" t="inlineStr">
        <is>
          <t>D:\paper_source\work_9\VeriANN_repro_2026-09-30\VeriANN_repro_2026-09-30\VLAH-25TrustCom\results\work9-20261015\size-10000000-calibration</t>
        </is>
      </c>
    </row>
    <row r="91">
      <c r="A91" s="0" t="inlineStr">
        <is>
          <t>VLAH-25TrustCom</t>
        </is>
      </c>
      <c r="B91" s="0" t="inlineStr">
        <is>
          <t>size-10000000-calibration</t>
        </is>
      </c>
      <c r="C91" s="0" t="inlineStr">
        <is>
          <t>/mnt/d/paper_source/work_9/VeriANN_repro_2026-09-30/VeriANN_repro_2026-09-30/dataset/bigann10m</t>
        </is>
      </c>
      <c r="D91" s="0" t="n">
        <v>10000000</v>
      </c>
      <c r="E91" s="0" t="n">
        <v>10</v>
      </c>
      <c r="F91" s="0" t="n">
        <v>100</v>
      </c>
      <c r="G91" s="0" t="n">
        <v>100</v>
      </c>
      <c r="H91" s="0" t="n">
        <v>8</v>
      </c>
      <c r="I91" s="0" t="n">
        <v>100</v>
      </c>
      <c r="J91" s="0" t="n">
        <v>20000</v>
      </c>
      <c r="K91" s="0" t="n">
        <v>10000</v>
      </c>
      <c r="L91" s="0" t="n">
        <v>20</v>
      </c>
      <c r="M91" s="0" t="n">
        <v>0</v>
      </c>
      <c r="N91" s="0" t="n">
        <v>1</v>
      </c>
      <c r="O91" s="0" t="n">
        <v>20</v>
      </c>
      <c r="P91" s="0" t="n">
        <v>55.5</v>
      </c>
      <c r="Q91" s="0" t="n">
        <v>200.4742408</v>
      </c>
      <c r="R91" s="0" t="n">
        <v>479.7631877</v>
      </c>
      <c r="S91" s="0" t="n">
        <v>65916.0698</v>
      </c>
      <c r="T91" s="0" t="n">
        <v>39.7966767</v>
      </c>
      <c r="U91" s="0" t="n">
        <v>160.6775641</v>
      </c>
      <c r="V91" s="0" t="n">
        <v>426.85457835</v>
      </c>
      <c r="W91" s="0" t="n">
        <v>40.30220605</v>
      </c>
      <c r="X91" s="0" t="n">
        <v>8</v>
      </c>
      <c r="Y91" s="0" t="inlineStr">
        <is>
          <t>D:\paper_source\work_9\VeriANN_repro_2026-09-30\VeriANN_repro_2026-09-30\VLAH-25TrustCom\results\work9-20261015\size-10000000-calibration</t>
        </is>
      </c>
    </row>
    <row r="92">
      <c r="A92" s="0" t="inlineStr">
        <is>
          <t>VLAH-25TrustCom</t>
        </is>
      </c>
      <c r="B92" s="0" t="inlineStr">
        <is>
          <t>size-10000000-calibration</t>
        </is>
      </c>
      <c r="C92" s="0" t="inlineStr">
        <is>
          <t>/mnt/d/paper_source/work_9/VeriANN_repro_2026-09-30/VeriANN_repro_2026-09-30/dataset/bigann10m</t>
        </is>
      </c>
      <c r="D92" s="0" t="n">
        <v>10000000</v>
      </c>
      <c r="E92" s="0" t="n">
        <v>10</v>
      </c>
      <c r="F92" s="0" t="n">
        <v>100</v>
      </c>
      <c r="G92" s="0" t="n">
        <v>150</v>
      </c>
      <c r="H92" s="0" t="n">
        <v>8</v>
      </c>
      <c r="I92" s="0" t="n">
        <v>100</v>
      </c>
      <c r="J92" s="0" t="n">
        <v>20000</v>
      </c>
      <c r="K92" s="0" t="n">
        <v>10000</v>
      </c>
      <c r="L92" s="0" t="n">
        <v>20</v>
      </c>
      <c r="M92" s="0" t="n">
        <v>0</v>
      </c>
      <c r="N92" s="0" t="n">
        <v>1</v>
      </c>
      <c r="O92" s="0" t="n">
        <v>20</v>
      </c>
      <c r="P92" s="0" t="n">
        <v>64.5</v>
      </c>
      <c r="Q92" s="0" t="n">
        <v>314.36939045</v>
      </c>
      <c r="R92" s="0" t="n">
        <v>723.25746355</v>
      </c>
      <c r="S92" s="0" t="n">
        <v>99158.01505</v>
      </c>
      <c r="T92" s="0" t="n">
        <v>59.90971905</v>
      </c>
      <c r="U92" s="0" t="n">
        <v>254.4596714</v>
      </c>
      <c r="V92" s="0" t="n">
        <v>642.4897292000001</v>
      </c>
      <c r="W92" s="0" t="n">
        <v>61.4013587</v>
      </c>
      <c r="X92" s="0" t="n">
        <v>8</v>
      </c>
      <c r="Y92" s="0" t="inlineStr">
        <is>
          <t>D:\paper_source\work_9\VeriANN_repro_2026-09-30\VeriANN_repro_2026-09-30\VLAH-25TrustCom\results\work9-20261015\size-10000000-calibration</t>
        </is>
      </c>
    </row>
    <row r="93">
      <c r="A93" s="0" t="inlineStr">
        <is>
          <t>VLAH-25TrustCom</t>
        </is>
      </c>
      <c r="B93" s="0" t="inlineStr">
        <is>
          <t>size-10000000-calibration</t>
        </is>
      </c>
      <c r="C93" s="0" t="inlineStr">
        <is>
          <t>/mnt/d/paper_source/work_9/VeriANN_repro_2026-09-30/VeriANN_repro_2026-09-30/dataset/bigann10m</t>
        </is>
      </c>
      <c r="D93" s="0" t="n">
        <v>10000000</v>
      </c>
      <c r="E93" s="0" t="n">
        <v>10</v>
      </c>
      <c r="F93" s="0" t="n">
        <v>100</v>
      </c>
      <c r="G93" s="0" t="n">
        <v>200</v>
      </c>
      <c r="H93" s="0" t="n">
        <v>8</v>
      </c>
      <c r="I93" s="0" t="n">
        <v>100</v>
      </c>
      <c r="J93" s="0" t="n">
        <v>20000</v>
      </c>
      <c r="K93" s="0" t="n">
        <v>10000</v>
      </c>
      <c r="L93" s="0" t="n">
        <v>20</v>
      </c>
      <c r="M93" s="0" t="n">
        <v>0</v>
      </c>
      <c r="N93" s="0" t="n">
        <v>1</v>
      </c>
      <c r="O93" s="0" t="n">
        <v>20</v>
      </c>
      <c r="P93" s="0" t="n">
        <v>74</v>
      </c>
      <c r="Q93" s="0" t="n">
        <v>407.5619277</v>
      </c>
      <c r="R93" s="0" t="n">
        <v>967.2418194000001</v>
      </c>
      <c r="S93" s="0" t="n">
        <v>131745.97335</v>
      </c>
      <c r="T93" s="0" t="n">
        <v>79.95244</v>
      </c>
      <c r="U93" s="0" t="n">
        <v>327.6094877</v>
      </c>
      <c r="V93" s="0" t="n">
        <v>859.1841544</v>
      </c>
      <c r="W93" s="0" t="n">
        <v>81.99732495000001</v>
      </c>
      <c r="X93" s="0" t="n">
        <v>8</v>
      </c>
      <c r="Y93" s="0" t="inlineStr">
        <is>
          <t>D:\paper_source\work_9\VeriANN_repro_2026-09-30\VeriANN_repro_2026-09-30\VLAH-25TrustCom\results\work9-20261015\size-10000000-calibration</t>
        </is>
      </c>
    </row>
    <row r="94">
      <c r="A94" s="0" t="inlineStr">
        <is>
          <t>VLAH-25TrustCom</t>
        </is>
      </c>
      <c r="B94" s="0" t="inlineStr">
        <is>
          <t>size-10000000-calibration</t>
        </is>
      </c>
      <c r="C94" s="0" t="inlineStr">
        <is>
          <t>/mnt/d/paper_source/work_9/VeriANN_repro_2026-09-30/VeriANN_repro_2026-09-30/dataset/bigann10m</t>
        </is>
      </c>
      <c r="D94" s="0" t="n">
        <v>10000000</v>
      </c>
      <c r="E94" s="0" t="n">
        <v>10</v>
      </c>
      <c r="F94" s="0" t="n">
        <v>100</v>
      </c>
      <c r="G94" s="0" t="n">
        <v>250</v>
      </c>
      <c r="H94" s="0" t="n">
        <v>8</v>
      </c>
      <c r="I94" s="0" t="n">
        <v>100</v>
      </c>
      <c r="J94" s="0" t="n">
        <v>20000</v>
      </c>
      <c r="K94" s="0" t="n">
        <v>10000</v>
      </c>
      <c r="L94" s="0" t="n">
        <v>20</v>
      </c>
      <c r="M94" s="0" t="n">
        <v>0</v>
      </c>
      <c r="N94" s="0" t="n">
        <v>1</v>
      </c>
      <c r="O94" s="0" t="n">
        <v>20</v>
      </c>
      <c r="P94" s="0" t="n">
        <v>80.5</v>
      </c>
      <c r="Q94" s="0" t="n">
        <v>513.6709041</v>
      </c>
      <c r="R94" s="0" t="n">
        <v>1214.2250394</v>
      </c>
      <c r="S94" s="0" t="n">
        <v>164989.1198</v>
      </c>
      <c r="T94" s="0" t="n">
        <v>99.0239194</v>
      </c>
      <c r="U94" s="0" t="n">
        <v>414.6469847</v>
      </c>
      <c r="V94" s="0" t="n">
        <v>1078.73084045</v>
      </c>
      <c r="W94" s="0" t="n">
        <v>102.80042575</v>
      </c>
      <c r="X94" s="0" t="n">
        <v>8</v>
      </c>
      <c r="Y94" s="0" t="inlineStr">
        <is>
          <t>D:\paper_source\work_9\VeriANN_repro_2026-09-30\VeriANN_repro_2026-09-30\VLAH-25TrustCom\results\work9-20261015\size-10000000-calibration</t>
        </is>
      </c>
    </row>
    <row r="95">
      <c r="A95" s="0" t="inlineStr">
        <is>
          <t>VLAH-25TrustCom</t>
        </is>
      </c>
      <c r="B95" s="0" t="inlineStr">
        <is>
          <t>size-10000000-calibration</t>
        </is>
      </c>
      <c r="C95" s="0" t="inlineStr">
        <is>
          <t>/mnt/d/paper_source/work_9/VeriANN_repro_2026-09-30/VeriANN_repro_2026-09-30/dataset/bigann10m</t>
        </is>
      </c>
      <c r="D95" s="0" t="n">
        <v>10000000</v>
      </c>
      <c r="E95" s="0" t="n">
        <v>10</v>
      </c>
      <c r="F95" s="0" t="n">
        <v>100</v>
      </c>
      <c r="G95" s="0" t="n">
        <v>300</v>
      </c>
      <c r="H95" s="0" t="n">
        <v>8</v>
      </c>
      <c r="I95" s="0" t="n">
        <v>100</v>
      </c>
      <c r="J95" s="0" t="n">
        <v>20000</v>
      </c>
      <c r="K95" s="0" t="n">
        <v>10000</v>
      </c>
      <c r="L95" s="0" t="n">
        <v>20</v>
      </c>
      <c r="M95" s="0" t="n">
        <v>0</v>
      </c>
      <c r="N95" s="0" t="n">
        <v>1</v>
      </c>
      <c r="O95" s="0" t="n">
        <v>20</v>
      </c>
      <c r="P95" s="0" t="n">
        <v>83</v>
      </c>
      <c r="Q95" s="0" t="n">
        <v>623.6778802</v>
      </c>
      <c r="R95" s="0" t="n">
        <v>1462.99787525</v>
      </c>
      <c r="S95" s="0" t="n">
        <v>199044.6128</v>
      </c>
      <c r="T95" s="0" t="n">
        <v>119.02400355</v>
      </c>
      <c r="U95" s="0" t="n">
        <v>504.65387665</v>
      </c>
      <c r="V95" s="0" t="n">
        <v>1300.1255307</v>
      </c>
      <c r="W95" s="0" t="n">
        <v>123.26889725</v>
      </c>
      <c r="X95" s="0" t="n">
        <v>8</v>
      </c>
      <c r="Y95" s="0" t="inlineStr">
        <is>
          <t>D:\paper_source\work_9\VeriANN_repro_2026-09-30\VeriANN_repro_2026-09-30\VLAH-25TrustCom\results\work9-20261015\size-10000000-calibration</t>
        </is>
      </c>
    </row>
    <row r="96">
      <c r="A96" s="0" t="inlineStr">
        <is>
          <t>VLAH-25TrustCom</t>
        </is>
      </c>
      <c r="B96" s="0" t="inlineStr">
        <is>
          <t>size-10000000-calibration</t>
        </is>
      </c>
      <c r="C96" s="0" t="inlineStr">
        <is>
          <t>/mnt/d/paper_source/work_9/VeriANN_repro_2026-09-30/VeriANN_repro_2026-09-30/dataset/bigann10m</t>
        </is>
      </c>
      <c r="D96" s="0" t="n">
        <v>10000000</v>
      </c>
      <c r="E96" s="0" t="n">
        <v>10</v>
      </c>
      <c r="F96" s="0" t="n">
        <v>100</v>
      </c>
      <c r="G96" s="0" t="n">
        <v>350</v>
      </c>
      <c r="H96" s="0" t="n">
        <v>8</v>
      </c>
      <c r="I96" s="0" t="n">
        <v>100</v>
      </c>
      <c r="J96" s="0" t="n">
        <v>20000</v>
      </c>
      <c r="K96" s="0" t="n">
        <v>10000</v>
      </c>
      <c r="L96" s="0" t="n">
        <v>20</v>
      </c>
      <c r="M96" s="0" t="n">
        <v>0</v>
      </c>
      <c r="N96" s="0" t="n">
        <v>1</v>
      </c>
      <c r="O96" s="0" t="n">
        <v>20</v>
      </c>
      <c r="P96" s="0" t="n">
        <v>89</v>
      </c>
      <c r="Q96" s="0" t="n">
        <v>717.8442613</v>
      </c>
      <c r="R96" s="0" t="n">
        <v>1713.4413533</v>
      </c>
      <c r="S96" s="0" t="n">
        <v>231558.31875</v>
      </c>
      <c r="T96" s="0" t="n">
        <v>139.0920081</v>
      </c>
      <c r="U96" s="0" t="n">
        <v>578.7522532</v>
      </c>
      <c r="V96" s="0" t="n">
        <v>1524.801164</v>
      </c>
      <c r="W96" s="0" t="n">
        <v>143.06377585</v>
      </c>
      <c r="X96" s="0" t="n">
        <v>8</v>
      </c>
      <c r="Y96" s="0" t="inlineStr">
        <is>
          <t>D:\paper_source\work_9\VeriANN_repro_2026-09-30\VeriANN_repro_2026-09-30\VLAH-25TrustCom\results\work9-20261015\size-10000000-calibration</t>
        </is>
      </c>
    </row>
    <row r="97">
      <c r="A97" s="0" t="inlineStr">
        <is>
          <t>VLAH-25TrustCom</t>
        </is>
      </c>
      <c r="B97" s="0" t="inlineStr">
        <is>
          <t>size-10000000-calibration</t>
        </is>
      </c>
      <c r="C97" s="0" t="inlineStr">
        <is>
          <t>/mnt/d/paper_source/work_9/VeriANN_repro_2026-09-30/VeriANN_repro_2026-09-30/dataset/bigann10m</t>
        </is>
      </c>
      <c r="D97" s="0" t="n">
        <v>10000000</v>
      </c>
      <c r="E97" s="0" t="n">
        <v>10</v>
      </c>
      <c r="F97" s="0" t="n">
        <v>100</v>
      </c>
      <c r="G97" s="0" t="n">
        <v>400</v>
      </c>
      <c r="H97" s="0" t="n">
        <v>8</v>
      </c>
      <c r="I97" s="0" t="n">
        <v>100</v>
      </c>
      <c r="J97" s="0" t="n">
        <v>20000</v>
      </c>
      <c r="K97" s="0" t="n">
        <v>10000</v>
      </c>
      <c r="L97" s="0" t="n">
        <v>20</v>
      </c>
      <c r="M97" s="0" t="n">
        <v>0</v>
      </c>
      <c r="N97" s="0" t="n">
        <v>1</v>
      </c>
      <c r="O97" s="0" t="n">
        <v>20</v>
      </c>
      <c r="P97" s="0" t="n">
        <v>90.5</v>
      </c>
      <c r="Q97" s="0" t="n">
        <v>826.5576571</v>
      </c>
      <c r="R97" s="0" t="n">
        <v>1970.5799284</v>
      </c>
      <c r="S97" s="0" t="n">
        <v>265499.8374</v>
      </c>
      <c r="T97" s="0" t="n">
        <v>159.81419055</v>
      </c>
      <c r="U97" s="0" t="n">
        <v>666.74346655</v>
      </c>
      <c r="V97" s="0" t="n">
        <v>1753.19658185</v>
      </c>
      <c r="W97" s="0" t="n">
        <v>164.6689244</v>
      </c>
      <c r="X97" s="0" t="n">
        <v>8</v>
      </c>
      <c r="Y97" s="0" t="inlineStr">
        <is>
          <t>D:\paper_source\work_9\VeriANN_repro_2026-09-30\VeriANN_repro_2026-09-30\VLAH-25TrustCom\results\work9-20261015\size-10000000-calibration</t>
        </is>
      </c>
    </row>
    <row r="98">
      <c r="A98" s="0" t="inlineStr">
        <is>
          <t>VLAH-25TrustCom</t>
        </is>
      </c>
      <c r="B98" s="0" t="inlineStr">
        <is>
          <t>size-10000000-calibration</t>
        </is>
      </c>
      <c r="C98" s="0" t="inlineStr">
        <is>
          <t>/mnt/d/paper_source/work_9/VeriANN_repro_2026-09-30/VeriANN_repro_2026-09-30/dataset/bigann10m</t>
        </is>
      </c>
      <c r="D98" s="0" t="n">
        <v>10000000</v>
      </c>
      <c r="E98" s="0" t="n">
        <v>10</v>
      </c>
      <c r="F98" s="0" t="n">
        <v>100</v>
      </c>
      <c r="G98" s="0" t="n">
        <v>450</v>
      </c>
      <c r="H98" s="0" t="n">
        <v>8</v>
      </c>
      <c r="I98" s="0" t="n">
        <v>100</v>
      </c>
      <c r="J98" s="0" t="n">
        <v>20000</v>
      </c>
      <c r="K98" s="0" t="n">
        <v>10000</v>
      </c>
      <c r="L98" s="0" t="n">
        <v>20</v>
      </c>
      <c r="M98" s="0" t="n">
        <v>0</v>
      </c>
      <c r="N98" s="0" t="n">
        <v>1</v>
      </c>
      <c r="O98" s="0" t="n">
        <v>20</v>
      </c>
      <c r="P98" s="0" t="n">
        <v>93</v>
      </c>
      <c r="Q98" s="0" t="n">
        <v>941.03607335</v>
      </c>
      <c r="R98" s="0" t="n">
        <v>2234.8068249</v>
      </c>
      <c r="S98" s="0" t="n">
        <v>299014.43525</v>
      </c>
      <c r="T98" s="0" t="n">
        <v>181.77444415</v>
      </c>
      <c r="U98" s="0" t="n">
        <v>759.2616292</v>
      </c>
      <c r="V98" s="0" t="n">
        <v>1987.91459235</v>
      </c>
      <c r="W98" s="0" t="n">
        <v>187.1540582</v>
      </c>
      <c r="X98" s="0" t="n">
        <v>8</v>
      </c>
      <c r="Y98" s="0" t="inlineStr">
        <is>
          <t>D:\paper_source\work_9\VeriANN_repro_2026-09-30\VeriANN_repro_2026-09-30\VLAH-25TrustCom\results\work9-20261015\size-10000000-calibration</t>
        </is>
      </c>
    </row>
    <row r="99">
      <c r="A99" s="0" t="inlineStr">
        <is>
          <t>VLAH-25TrustCom</t>
        </is>
      </c>
      <c r="B99" s="0" t="inlineStr">
        <is>
          <t>size-10000000-calibration</t>
        </is>
      </c>
      <c r="C99" s="0" t="inlineStr">
        <is>
          <t>/mnt/d/paper_source/work_9/VeriANN_repro_2026-09-30/VeriANN_repro_2026-09-30/dataset/bigann10m</t>
        </is>
      </c>
      <c r="D99" s="0" t="n">
        <v>10000000</v>
      </c>
      <c r="E99" s="0" t="n">
        <v>10</v>
      </c>
      <c r="F99" s="0" t="n">
        <v>100</v>
      </c>
      <c r="G99" s="0" t="n">
        <v>500</v>
      </c>
      <c r="H99" s="0" t="n">
        <v>8</v>
      </c>
      <c r="I99" s="0" t="n">
        <v>100</v>
      </c>
      <c r="J99" s="0" t="n">
        <v>20000</v>
      </c>
      <c r="K99" s="0" t="n">
        <v>10000</v>
      </c>
      <c r="L99" s="0" t="n">
        <v>20</v>
      </c>
      <c r="M99" s="0" t="n">
        <v>0</v>
      </c>
      <c r="N99" s="0" t="n">
        <v>1</v>
      </c>
      <c r="O99" s="0" t="n">
        <v>20</v>
      </c>
      <c r="P99" s="0" t="n">
        <v>99.5</v>
      </c>
      <c r="Q99" s="0" t="n">
        <v>1027.9899039</v>
      </c>
      <c r="R99" s="0" t="n">
        <v>2486.3654817</v>
      </c>
      <c r="S99" s="0" t="n">
        <v>333653.2512</v>
      </c>
      <c r="T99" s="0" t="n">
        <v>199.7278182</v>
      </c>
      <c r="U99" s="0" t="n">
        <v>828.2620856999999</v>
      </c>
      <c r="V99" s="0" t="n">
        <v>2212.8578984</v>
      </c>
      <c r="W99" s="0" t="n">
        <v>206.82145805</v>
      </c>
      <c r="X99" s="0" t="n">
        <v>8</v>
      </c>
      <c r="Y99" s="0" t="inlineStr">
        <is>
          <t>D:\paper_source\work_9\VeriANN_repro_2026-09-30\VeriANN_repro_2026-09-30\VLAH-25TrustCom\results\work9-20261015\size-10000000-calibration</t>
        </is>
      </c>
    </row>
    <row r="100">
      <c r="A100" s="0" t="inlineStr">
        <is>
          <t>VLAH-25TrustCom</t>
        </is>
      </c>
      <c r="B100" s="0" t="inlineStr">
        <is>
          <t>size-10000000-evaluation</t>
        </is>
      </c>
      <c r="C100" s="0" t="inlineStr">
        <is>
          <t>/mnt/d/paper_source/work_9/VeriANN_repro_2026-09-30/VeriANN_repro_2026-09-30/dataset/bigann10m</t>
        </is>
      </c>
      <c r="D100" s="0" t="n">
        <v>10000000</v>
      </c>
      <c r="E100" s="0" t="n">
        <v>10</v>
      </c>
      <c r="F100" s="0" t="n">
        <v>100</v>
      </c>
      <c r="G100" s="0" t="n">
        <v>500</v>
      </c>
      <c r="H100" s="0" t="n">
        <v>8</v>
      </c>
      <c r="I100" s="0" t="n">
        <v>100</v>
      </c>
      <c r="J100" s="0" t="n">
        <v>20000</v>
      </c>
      <c r="K100" s="0" t="n">
        <v>10000</v>
      </c>
      <c r="L100" s="0" t="n">
        <v>100</v>
      </c>
      <c r="M100" s="0" t="n">
        <v>100</v>
      </c>
      <c r="N100" s="0" t="n">
        <v>3</v>
      </c>
      <c r="O100" s="0" t="n">
        <v>300</v>
      </c>
      <c r="P100" s="0" t="n">
        <v>99.8</v>
      </c>
      <c r="Q100" s="0" t="n">
        <v>1035.94241575667</v>
      </c>
      <c r="R100" s="0" t="n">
        <v>2425.17944812</v>
      </c>
      <c r="S100" s="0" t="n">
        <v>339318.57888</v>
      </c>
      <c r="T100" s="0" t="n">
        <v>197.047382913333</v>
      </c>
      <c r="U100" s="0" t="n">
        <v>838.895032843333</v>
      </c>
      <c r="V100" s="0" t="n">
        <v>2160.9990554</v>
      </c>
      <c r="W100" s="0" t="n">
        <v>203.520350833333</v>
      </c>
      <c r="X100" s="0" t="n">
        <v>8</v>
      </c>
      <c r="Y100" s="0" t="inlineStr">
        <is>
          <t>D:\paper_source\work_9\VeriANN_repro_2026-09-30\VeriANN_repro_2026-09-30\VLAH-25TrustCom\results\work9-20261015\size-10000000-evaluation</t>
        </is>
      </c>
    </row>
    <row r="101">
      <c r="A101" s="0" t="inlineStr">
        <is>
          <t>VLAH-25TrustCom</t>
        </is>
      </c>
      <c r="B101" s="0" t="inlineStr">
        <is>
          <t>size-500000-calibration</t>
        </is>
      </c>
      <c r="C101" s="0" t="inlineStr">
        <is>
          <t>/mnt/d/paper_source/work_9/VeriANN_repro_2026-09-30/VeriANN_repro_2026-09-30/dataset/bigann10m</t>
        </is>
      </c>
      <c r="D101" s="0" t="n">
        <v>500000</v>
      </c>
      <c r="E101" s="0" t="n">
        <v>10</v>
      </c>
      <c r="F101" s="0" t="n">
        <v>100</v>
      </c>
      <c r="G101" s="0" t="n">
        <v>2</v>
      </c>
      <c r="H101" s="0" t="n">
        <v>8</v>
      </c>
      <c r="I101" s="0" t="n">
        <v>100</v>
      </c>
      <c r="J101" s="0" t="n">
        <v>20000</v>
      </c>
      <c r="K101" s="0" t="n">
        <v>10000</v>
      </c>
      <c r="L101" s="0" t="n">
        <v>20</v>
      </c>
      <c r="M101" s="0" t="n">
        <v>0</v>
      </c>
      <c r="N101" s="0" t="n">
        <v>1</v>
      </c>
      <c r="O101" s="0" t="n">
        <v>20</v>
      </c>
      <c r="P101" s="0" t="n">
        <v>38.5</v>
      </c>
      <c r="Q101" s="0" t="n">
        <v>3.2011563</v>
      </c>
      <c r="R101" s="0" t="n">
        <v>8.825199899999999</v>
      </c>
      <c r="S101" s="0" t="n">
        <v>1287.20645</v>
      </c>
      <c r="T101" s="0" t="n">
        <v>0.78348155</v>
      </c>
      <c r="U101" s="0" t="n">
        <v>2.41767475</v>
      </c>
      <c r="V101" s="0" t="n">
        <v>8.0966123</v>
      </c>
      <c r="W101" s="0" t="n">
        <v>0.59577225</v>
      </c>
      <c r="X101" s="0" t="n">
        <v>8</v>
      </c>
      <c r="Y101" s="0" t="inlineStr">
        <is>
          <t>D:\paper_source\work_9\VeriANN_repro_2026-09-30\VeriANN_repro_2026-09-30\VLAH-25TrustCom\results\work9-20261015\size-500000-calibration</t>
        </is>
      </c>
    </row>
    <row r="102">
      <c r="A102" s="0" t="inlineStr">
        <is>
          <t>VLAH-25TrustCom</t>
        </is>
      </c>
      <c r="B102" s="0" t="inlineStr">
        <is>
          <t>size-500000-calibration</t>
        </is>
      </c>
      <c r="C102" s="0" t="inlineStr">
        <is>
          <t>/mnt/d/paper_source/work_9/VeriANN_repro_2026-09-30/VeriANN_repro_2026-09-30/dataset/bigann10m</t>
        </is>
      </c>
      <c r="D102" s="0" t="n">
        <v>500000</v>
      </c>
      <c r="E102" s="0" t="n">
        <v>10</v>
      </c>
      <c r="F102" s="0" t="n">
        <v>100</v>
      </c>
      <c r="G102" s="0" t="n">
        <v>3</v>
      </c>
      <c r="H102" s="0" t="n">
        <v>8</v>
      </c>
      <c r="I102" s="0" t="n">
        <v>100</v>
      </c>
      <c r="J102" s="0" t="n">
        <v>20000</v>
      </c>
      <c r="K102" s="0" t="n">
        <v>10000</v>
      </c>
      <c r="L102" s="0" t="n">
        <v>20</v>
      </c>
      <c r="M102" s="0" t="n">
        <v>0</v>
      </c>
      <c r="N102" s="0" t="n">
        <v>1</v>
      </c>
      <c r="O102" s="0" t="n">
        <v>20</v>
      </c>
      <c r="P102" s="0" t="n">
        <v>48.5</v>
      </c>
      <c r="Q102" s="0" t="n">
        <v>4.80724465</v>
      </c>
      <c r="R102" s="0" t="n">
        <v>13.0252827</v>
      </c>
      <c r="S102" s="0" t="n">
        <v>1919.61555</v>
      </c>
      <c r="T102" s="0" t="n">
        <v>1.1578715</v>
      </c>
      <c r="U102" s="0" t="n">
        <v>3.64937315</v>
      </c>
      <c r="V102" s="0" t="n">
        <v>11.9075359</v>
      </c>
      <c r="W102" s="0" t="n">
        <v>0.9053088500000001</v>
      </c>
      <c r="X102" s="0" t="n">
        <v>8</v>
      </c>
      <c r="Y102" s="0" t="inlineStr">
        <is>
          <t>D:\paper_source\work_9\VeriANN_repro_2026-09-30\VeriANN_repro_2026-09-30\VLAH-25TrustCom\results\work9-20261015\size-500000-calibration</t>
        </is>
      </c>
    </row>
    <row r="103">
      <c r="A103" s="0" t="inlineStr">
        <is>
          <t>VLAH-25TrustCom</t>
        </is>
      </c>
      <c r="B103" s="0" t="inlineStr">
        <is>
          <t>size-500000-calibration</t>
        </is>
      </c>
      <c r="C103" s="0" t="inlineStr">
        <is>
          <t>/mnt/d/paper_source/work_9/VeriANN_repro_2026-09-30/VeriANN_repro_2026-09-30/dataset/bigann10m</t>
        </is>
      </c>
      <c r="D103" s="0" t="n">
        <v>500000</v>
      </c>
      <c r="E103" s="0" t="n">
        <v>10</v>
      </c>
      <c r="F103" s="0" t="n">
        <v>100</v>
      </c>
      <c r="G103" s="0" t="n">
        <v>5</v>
      </c>
      <c r="H103" s="0" t="n">
        <v>8</v>
      </c>
      <c r="I103" s="0" t="n">
        <v>100</v>
      </c>
      <c r="J103" s="0" t="n">
        <v>20000</v>
      </c>
      <c r="K103" s="0" t="n">
        <v>10000</v>
      </c>
      <c r="L103" s="0" t="n">
        <v>20</v>
      </c>
      <c r="M103" s="0" t="n">
        <v>0</v>
      </c>
      <c r="N103" s="0" t="n">
        <v>1</v>
      </c>
      <c r="O103" s="0" t="n">
        <v>20</v>
      </c>
      <c r="P103" s="0" t="n">
        <v>59</v>
      </c>
      <c r="Q103" s="0" t="n">
        <v>8.44553715</v>
      </c>
      <c r="R103" s="0" t="n">
        <v>22.35635735</v>
      </c>
      <c r="S103" s="0" t="n">
        <v>3260.0142</v>
      </c>
      <c r="T103" s="0" t="n">
        <v>1.9928441</v>
      </c>
      <c r="U103" s="0" t="n">
        <v>6.45269305</v>
      </c>
      <c r="V103" s="0" t="n">
        <v>20.3646023</v>
      </c>
      <c r="W103" s="0" t="n">
        <v>1.62467</v>
      </c>
      <c r="X103" s="0" t="n">
        <v>8</v>
      </c>
      <c r="Y103" s="0" t="inlineStr">
        <is>
          <t>D:\paper_source\work_9\VeriANN_repro_2026-09-30\VeriANN_repro_2026-09-30\VLAH-25TrustCom\results\work9-20261015\size-500000-calibration</t>
        </is>
      </c>
    </row>
    <row r="104">
      <c r="A104" s="0" t="inlineStr">
        <is>
          <t>VLAH-25TrustCom</t>
        </is>
      </c>
      <c r="B104" s="0" t="inlineStr">
        <is>
          <t>size-500000-calibration</t>
        </is>
      </c>
      <c r="C104" s="0" t="inlineStr">
        <is>
          <t>/mnt/d/paper_source/work_9/VeriANN_repro_2026-09-30/VeriANN_repro_2026-09-30/dataset/bigann10m</t>
        </is>
      </c>
      <c r="D104" s="0" t="n">
        <v>500000</v>
      </c>
      <c r="E104" s="0" t="n">
        <v>10</v>
      </c>
      <c r="F104" s="0" t="n">
        <v>100</v>
      </c>
      <c r="G104" s="0" t="n">
        <v>8</v>
      </c>
      <c r="H104" s="0" t="n">
        <v>8</v>
      </c>
      <c r="I104" s="0" t="n">
        <v>100</v>
      </c>
      <c r="J104" s="0" t="n">
        <v>20000</v>
      </c>
      <c r="K104" s="0" t="n">
        <v>10000</v>
      </c>
      <c r="L104" s="0" t="n">
        <v>20</v>
      </c>
      <c r="M104" s="0" t="n">
        <v>0</v>
      </c>
      <c r="N104" s="0" t="n">
        <v>1</v>
      </c>
      <c r="O104" s="0" t="n">
        <v>20</v>
      </c>
      <c r="P104" s="0" t="n">
        <v>69.5</v>
      </c>
      <c r="Q104" s="0" t="n">
        <v>13.7699734</v>
      </c>
      <c r="R104" s="0" t="n">
        <v>35.91273685</v>
      </c>
      <c r="S104" s="0" t="n">
        <v>5247.4214</v>
      </c>
      <c r="T104" s="0" t="n">
        <v>3.2659074</v>
      </c>
      <c r="U104" s="0" t="n">
        <v>10.504066</v>
      </c>
      <c r="V104" s="0" t="n">
        <v>32.69034275</v>
      </c>
      <c r="W104" s="0" t="n">
        <v>2.59865475</v>
      </c>
      <c r="X104" s="0" t="n">
        <v>8</v>
      </c>
      <c r="Y104" s="0" t="inlineStr">
        <is>
          <t>D:\paper_source\work_9\VeriANN_repro_2026-09-30\VeriANN_repro_2026-09-30\VLAH-25TrustCom\results\work9-20261015\size-500000-calibration</t>
        </is>
      </c>
    </row>
    <row r="105">
      <c r="A105" s="0" t="inlineStr">
        <is>
          <t>VLAH-25TrustCom</t>
        </is>
      </c>
      <c r="B105" s="0" t="inlineStr">
        <is>
          <t>size-500000-calibration</t>
        </is>
      </c>
      <c r="C105" s="0" t="inlineStr">
        <is>
          <t>/mnt/d/paper_source/work_9/VeriANN_repro_2026-09-30/VeriANN_repro_2026-09-30/dataset/bigann10m</t>
        </is>
      </c>
      <c r="D105" s="0" t="n">
        <v>500000</v>
      </c>
      <c r="E105" s="0" t="n">
        <v>10</v>
      </c>
      <c r="F105" s="0" t="n">
        <v>100</v>
      </c>
      <c r="G105" s="0" t="n">
        <v>10</v>
      </c>
      <c r="H105" s="0" t="n">
        <v>8</v>
      </c>
      <c r="I105" s="0" t="n">
        <v>100</v>
      </c>
      <c r="J105" s="0" t="n">
        <v>20000</v>
      </c>
      <c r="K105" s="0" t="n">
        <v>10000</v>
      </c>
      <c r="L105" s="0" t="n">
        <v>20</v>
      </c>
      <c r="M105" s="0" t="n">
        <v>0</v>
      </c>
      <c r="N105" s="0" t="n">
        <v>1</v>
      </c>
      <c r="O105" s="0" t="n">
        <v>20</v>
      </c>
      <c r="P105" s="0" t="n">
        <v>73</v>
      </c>
      <c r="Q105" s="0" t="n">
        <v>17.1239531</v>
      </c>
      <c r="R105" s="0" t="n">
        <v>44.98446735</v>
      </c>
      <c r="S105" s="0" t="n">
        <v>6528.6945</v>
      </c>
      <c r="T105" s="0" t="n">
        <v>3.95534295</v>
      </c>
      <c r="U105" s="0" t="n">
        <v>13.16861015</v>
      </c>
      <c r="V105" s="0" t="n">
        <v>40.97389815</v>
      </c>
      <c r="W105" s="0" t="n">
        <v>3.2584467</v>
      </c>
      <c r="X105" s="0" t="n">
        <v>8</v>
      </c>
      <c r="Y105" s="0" t="inlineStr">
        <is>
          <t>D:\paper_source\work_9\VeriANN_repro_2026-09-30\VeriANN_repro_2026-09-30\VLAH-25TrustCom\results\work9-20261015\size-500000-calibration</t>
        </is>
      </c>
    </row>
    <row r="106">
      <c r="A106" s="0" t="inlineStr">
        <is>
          <t>VLAH-25TrustCom</t>
        </is>
      </c>
      <c r="B106" s="0" t="inlineStr">
        <is>
          <t>size-500000-calibration</t>
        </is>
      </c>
      <c r="C106" s="0" t="inlineStr">
        <is>
          <t>/mnt/d/paper_source/work_9/VeriANN_repro_2026-09-30/VeriANN_repro_2026-09-30/dataset/bigann10m</t>
        </is>
      </c>
      <c r="D106" s="0" t="n">
        <v>500000</v>
      </c>
      <c r="E106" s="0" t="n">
        <v>10</v>
      </c>
      <c r="F106" s="0" t="n">
        <v>100</v>
      </c>
      <c r="G106" s="0" t="n">
        <v>13</v>
      </c>
      <c r="H106" s="0" t="n">
        <v>8</v>
      </c>
      <c r="I106" s="0" t="n">
        <v>100</v>
      </c>
      <c r="J106" s="0" t="n">
        <v>20000</v>
      </c>
      <c r="K106" s="0" t="n">
        <v>10000</v>
      </c>
      <c r="L106" s="0" t="n">
        <v>20</v>
      </c>
      <c r="M106" s="0" t="n">
        <v>0</v>
      </c>
      <c r="N106" s="0" t="n">
        <v>1</v>
      </c>
      <c r="O106" s="0" t="n">
        <v>20</v>
      </c>
      <c r="P106" s="0" t="n">
        <v>78</v>
      </c>
      <c r="Q106" s="0" t="n">
        <v>22.49935755</v>
      </c>
      <c r="R106" s="0" t="n">
        <v>59.7390882</v>
      </c>
      <c r="S106" s="0" t="n">
        <v>8602.584650000001</v>
      </c>
      <c r="T106" s="0" t="n">
        <v>5.3511839</v>
      </c>
      <c r="U106" s="0" t="n">
        <v>17.14817365</v>
      </c>
      <c r="V106" s="0" t="n">
        <v>54.0297025</v>
      </c>
      <c r="W106" s="0" t="n">
        <v>4.5711319</v>
      </c>
      <c r="X106" s="0" t="n">
        <v>8</v>
      </c>
      <c r="Y106" s="0" t="inlineStr">
        <is>
          <t>D:\paper_source\work_9\VeriANN_repro_2026-09-30\VeriANN_repro_2026-09-30\VLAH-25TrustCom\results\work9-20261015\size-500000-calibration</t>
        </is>
      </c>
    </row>
    <row r="107">
      <c r="A107" s="0" t="inlineStr">
        <is>
          <t>VLAH-25TrustCom</t>
        </is>
      </c>
      <c r="B107" s="0" t="inlineStr">
        <is>
          <t>size-500000-calibration</t>
        </is>
      </c>
      <c r="C107" s="0" t="inlineStr">
        <is>
          <t>/mnt/d/paper_source/work_9/VeriANN_repro_2026-09-30/VeriANN_repro_2026-09-30/dataset/bigann10m</t>
        </is>
      </c>
      <c r="D107" s="0" t="n">
        <v>500000</v>
      </c>
      <c r="E107" s="0" t="n">
        <v>10</v>
      </c>
      <c r="F107" s="0" t="n">
        <v>100</v>
      </c>
      <c r="G107" s="0" t="n">
        <v>15</v>
      </c>
      <c r="H107" s="0" t="n">
        <v>8</v>
      </c>
      <c r="I107" s="0" t="n">
        <v>100</v>
      </c>
      <c r="J107" s="0" t="n">
        <v>20000</v>
      </c>
      <c r="K107" s="0" t="n">
        <v>10000</v>
      </c>
      <c r="L107" s="0" t="n">
        <v>20</v>
      </c>
      <c r="M107" s="0" t="n">
        <v>0</v>
      </c>
      <c r="N107" s="0" t="n">
        <v>1</v>
      </c>
      <c r="O107" s="0" t="n">
        <v>20</v>
      </c>
      <c r="P107" s="0" t="n">
        <v>83</v>
      </c>
      <c r="Q107" s="0" t="n">
        <v>26.28432265</v>
      </c>
      <c r="R107" s="0" t="n">
        <v>69.2728663</v>
      </c>
      <c r="S107" s="0" t="n">
        <v>9978.530500000001</v>
      </c>
      <c r="T107" s="0" t="n">
        <v>6.2124396</v>
      </c>
      <c r="U107" s="0" t="n">
        <v>20.07188305</v>
      </c>
      <c r="V107" s="0" t="n">
        <v>62.5911816</v>
      </c>
      <c r="W107" s="0" t="n">
        <v>5.33700485</v>
      </c>
      <c r="X107" s="0" t="n">
        <v>8</v>
      </c>
      <c r="Y107" s="0" t="inlineStr">
        <is>
          <t>D:\paper_source\work_9\VeriANN_repro_2026-09-30\VeriANN_repro_2026-09-30\VLAH-25TrustCom\results\work9-20261015\size-500000-calibration</t>
        </is>
      </c>
    </row>
    <row r="108">
      <c r="A108" s="0" t="inlineStr">
        <is>
          <t>VLAH-25TrustCom</t>
        </is>
      </c>
      <c r="B108" s="0" t="inlineStr">
        <is>
          <t>size-500000-calibration</t>
        </is>
      </c>
      <c r="C108" s="0" t="inlineStr">
        <is>
          <t>/mnt/d/paper_source/work_9/VeriANN_repro_2026-09-30/VeriANN_repro_2026-09-30/dataset/bigann10m</t>
        </is>
      </c>
      <c r="D108" s="0" t="n">
        <v>500000</v>
      </c>
      <c r="E108" s="0" t="n">
        <v>10</v>
      </c>
      <c r="F108" s="0" t="n">
        <v>100</v>
      </c>
      <c r="G108" s="0" t="n">
        <v>18</v>
      </c>
      <c r="H108" s="0" t="n">
        <v>8</v>
      </c>
      <c r="I108" s="0" t="n">
        <v>100</v>
      </c>
      <c r="J108" s="0" t="n">
        <v>20000</v>
      </c>
      <c r="K108" s="0" t="n">
        <v>10000</v>
      </c>
      <c r="L108" s="0" t="n">
        <v>20</v>
      </c>
      <c r="M108" s="0" t="n">
        <v>0</v>
      </c>
      <c r="N108" s="0" t="n">
        <v>1</v>
      </c>
      <c r="O108" s="0" t="n">
        <v>20</v>
      </c>
      <c r="P108" s="0" t="n">
        <v>85</v>
      </c>
      <c r="Q108" s="0" t="n">
        <v>32.12626845</v>
      </c>
      <c r="R108" s="0" t="n">
        <v>84.08440640000001</v>
      </c>
      <c r="S108" s="0" t="n">
        <v>12030.60195</v>
      </c>
      <c r="T108" s="0" t="n">
        <v>7.5685236</v>
      </c>
      <c r="U108" s="0" t="n">
        <v>24.55774485</v>
      </c>
      <c r="V108" s="0" t="n">
        <v>75.71055875</v>
      </c>
      <c r="W108" s="0" t="n">
        <v>6.6467403</v>
      </c>
      <c r="X108" s="0" t="n">
        <v>8</v>
      </c>
      <c r="Y108" s="0" t="inlineStr">
        <is>
          <t>D:\paper_source\work_9\VeriANN_repro_2026-09-30\VeriANN_repro_2026-09-30\VLAH-25TrustCom\results\work9-20261015\size-500000-calibration</t>
        </is>
      </c>
    </row>
    <row r="109">
      <c r="A109" s="0" t="inlineStr">
        <is>
          <t>VLAH-25TrustCom</t>
        </is>
      </c>
      <c r="B109" s="0" t="inlineStr">
        <is>
          <t>size-500000-calibration</t>
        </is>
      </c>
      <c r="C109" s="0" t="inlineStr">
        <is>
          <t>/mnt/d/paper_source/work_9/VeriANN_repro_2026-09-30/VeriANN_repro_2026-09-30/dataset/bigann10m</t>
        </is>
      </c>
      <c r="D109" s="0" t="n">
        <v>500000</v>
      </c>
      <c r="E109" s="0" t="n">
        <v>10</v>
      </c>
      <c r="F109" s="0" t="n">
        <v>100</v>
      </c>
      <c r="G109" s="0" t="n">
        <v>20</v>
      </c>
      <c r="H109" s="0" t="n">
        <v>8</v>
      </c>
      <c r="I109" s="0" t="n">
        <v>100</v>
      </c>
      <c r="J109" s="0" t="n">
        <v>20000</v>
      </c>
      <c r="K109" s="0" t="n">
        <v>10000</v>
      </c>
      <c r="L109" s="0" t="n">
        <v>20</v>
      </c>
      <c r="M109" s="0" t="n">
        <v>0</v>
      </c>
      <c r="N109" s="0" t="n">
        <v>1</v>
      </c>
      <c r="O109" s="0" t="n">
        <v>20</v>
      </c>
      <c r="P109" s="0" t="n">
        <v>90</v>
      </c>
      <c r="Q109" s="0" t="n">
        <v>35.1951472</v>
      </c>
      <c r="R109" s="0" t="n">
        <v>93.1948951</v>
      </c>
      <c r="S109" s="0" t="n">
        <v>13347.9578</v>
      </c>
      <c r="T109" s="0" t="n">
        <v>8.4275789</v>
      </c>
      <c r="U109" s="0" t="n">
        <v>26.7675683</v>
      </c>
      <c r="V109" s="0" t="n">
        <v>83.9117188</v>
      </c>
      <c r="W109" s="0" t="n">
        <v>7.4116944</v>
      </c>
      <c r="X109" s="0" t="n">
        <v>8</v>
      </c>
      <c r="Y109" s="0" t="inlineStr">
        <is>
          <t>D:\paper_source\work_9\VeriANN_repro_2026-09-30\VeriANN_repro_2026-09-30\VLAH-25TrustCom\results\work9-20261015\size-500000-calibration</t>
        </is>
      </c>
    </row>
    <row r="110">
      <c r="A110" s="0" t="inlineStr">
        <is>
          <t>VLAH-25TrustCom</t>
        </is>
      </c>
      <c r="B110" s="0" t="inlineStr">
        <is>
          <t>size-500000-calibration</t>
        </is>
      </c>
      <c r="C110" s="0" t="inlineStr">
        <is>
          <t>/mnt/d/paper_source/work_9/VeriANN_repro_2026-09-30/VeriANN_repro_2026-09-30/dataset/bigann10m</t>
        </is>
      </c>
      <c r="D110" s="0" t="n">
        <v>500000</v>
      </c>
      <c r="E110" s="0" t="n">
        <v>10</v>
      </c>
      <c r="F110" s="0" t="n">
        <v>100</v>
      </c>
      <c r="G110" s="0" t="n">
        <v>23</v>
      </c>
      <c r="H110" s="0" t="n">
        <v>8</v>
      </c>
      <c r="I110" s="0" t="n">
        <v>100</v>
      </c>
      <c r="J110" s="0" t="n">
        <v>20000</v>
      </c>
      <c r="K110" s="0" t="n">
        <v>10000</v>
      </c>
      <c r="L110" s="0" t="n">
        <v>20</v>
      </c>
      <c r="M110" s="0" t="n">
        <v>0</v>
      </c>
      <c r="N110" s="0" t="n">
        <v>1</v>
      </c>
      <c r="O110" s="0" t="n">
        <v>20</v>
      </c>
      <c r="P110" s="0" t="n">
        <v>94</v>
      </c>
      <c r="Q110" s="0" t="n">
        <v>40.3876708</v>
      </c>
      <c r="R110" s="0" t="n">
        <v>107.8683189</v>
      </c>
      <c r="S110" s="0" t="n">
        <v>15415.2486</v>
      </c>
      <c r="T110" s="0" t="n">
        <v>9.536084499999999</v>
      </c>
      <c r="U110" s="0" t="n">
        <v>30.8515863</v>
      </c>
      <c r="V110" s="0" t="n">
        <v>96.9697735</v>
      </c>
      <c r="W110" s="0" t="n">
        <v>8.63221545</v>
      </c>
      <c r="X110" s="0" t="n">
        <v>8</v>
      </c>
      <c r="Y110" s="0" t="inlineStr">
        <is>
          <t>D:\paper_source\work_9\VeriANN_repro_2026-09-30\VeriANN_repro_2026-09-30\VLAH-25TrustCom\results\work9-20261015\size-500000-calibration</t>
        </is>
      </c>
    </row>
    <row r="111">
      <c r="A111" s="0" t="inlineStr">
        <is>
          <t>VLAH-25TrustCom</t>
        </is>
      </c>
      <c r="B111" s="0" t="inlineStr">
        <is>
          <t>size-500000-calibration</t>
        </is>
      </c>
      <c r="C111" s="0" t="inlineStr">
        <is>
          <t>/mnt/d/paper_source/work_9/VeriANN_repro_2026-09-30/VeriANN_repro_2026-09-30/dataset/bigann10m</t>
        </is>
      </c>
      <c r="D111" s="0" t="n">
        <v>500000</v>
      </c>
      <c r="E111" s="0" t="n">
        <v>10</v>
      </c>
      <c r="F111" s="0" t="n">
        <v>100</v>
      </c>
      <c r="G111" s="0" t="n">
        <v>25</v>
      </c>
      <c r="H111" s="0" t="n">
        <v>8</v>
      </c>
      <c r="I111" s="0" t="n">
        <v>100</v>
      </c>
      <c r="J111" s="0" t="n">
        <v>20000</v>
      </c>
      <c r="K111" s="0" t="n">
        <v>10000</v>
      </c>
      <c r="L111" s="0" t="n">
        <v>20</v>
      </c>
      <c r="M111" s="0" t="n">
        <v>0</v>
      </c>
      <c r="N111" s="0" t="n">
        <v>1</v>
      </c>
      <c r="O111" s="0" t="n">
        <v>20</v>
      </c>
      <c r="P111" s="0" t="n">
        <v>100</v>
      </c>
      <c r="Q111" s="0" t="n">
        <v>44.24147025</v>
      </c>
      <c r="R111" s="0" t="n">
        <v>117.5892404</v>
      </c>
      <c r="S111" s="0" t="n">
        <v>16793.688</v>
      </c>
      <c r="T111" s="0" t="n">
        <v>10.3710244</v>
      </c>
      <c r="U111" s="0" t="n">
        <v>33.87044585</v>
      </c>
      <c r="V111" s="0" t="n">
        <v>105.42340965</v>
      </c>
      <c r="W111" s="0" t="n">
        <v>9.620562</v>
      </c>
      <c r="X111" s="0" t="n">
        <v>8</v>
      </c>
      <c r="Y111" s="0" t="inlineStr">
        <is>
          <t>D:\paper_source\work_9\VeriANN_repro_2026-09-30\VeriANN_repro_2026-09-30\VLAH-25TrustCom\results\work9-20261015\size-500000-calibration</t>
        </is>
      </c>
    </row>
    <row r="112">
      <c r="A112" s="0" t="inlineStr">
        <is>
          <t>VLAH-25TrustCom</t>
        </is>
      </c>
      <c r="B112" s="0" t="inlineStr">
        <is>
          <t>size-500000-evaluation</t>
        </is>
      </c>
      <c r="C112" s="0" t="inlineStr">
        <is>
          <t>/mnt/d/paper_source/work_9/VeriANN_repro_2026-09-30/VeriANN_repro_2026-09-30/dataset/bigann10m</t>
        </is>
      </c>
      <c r="D112" s="0" t="n">
        <v>500000</v>
      </c>
      <c r="E112" s="0" t="n">
        <v>10</v>
      </c>
      <c r="F112" s="0" t="n">
        <v>100</v>
      </c>
      <c r="G112" s="0" t="n">
        <v>25</v>
      </c>
      <c r="H112" s="0" t="n">
        <v>8</v>
      </c>
      <c r="I112" s="0" t="n">
        <v>100</v>
      </c>
      <c r="J112" s="0" t="n">
        <v>20000</v>
      </c>
      <c r="K112" s="0" t="n">
        <v>10000</v>
      </c>
      <c r="L112" s="0" t="n">
        <v>100</v>
      </c>
      <c r="M112" s="0" t="n">
        <v>100</v>
      </c>
      <c r="N112" s="0" t="n">
        <v>3</v>
      </c>
      <c r="O112" s="0" t="n">
        <v>300</v>
      </c>
      <c r="P112" s="0" t="n">
        <v>99.8</v>
      </c>
      <c r="Q112" s="0" t="n">
        <v>43.8086204166667</v>
      </c>
      <c r="R112" s="0" t="n">
        <v>116.950956503333</v>
      </c>
      <c r="S112" s="0" t="n">
        <v>17109.20832</v>
      </c>
      <c r="T112" s="0" t="n">
        <v>10.0117461666667</v>
      </c>
      <c r="U112" s="0" t="n">
        <v>33.79687425</v>
      </c>
      <c r="V112" s="0" t="n">
        <v>105.28941944</v>
      </c>
      <c r="W112" s="0" t="n">
        <v>9.465291236666671</v>
      </c>
      <c r="X112" s="0" t="n">
        <v>8</v>
      </c>
      <c r="Y112" s="0" t="inlineStr">
        <is>
          <t>D:\paper_source\work_9\VeriANN_repro_2026-09-30\VeriANN_repro_2026-09-30\VLAH-25TrustCom\results\work9-20261015\size-500000-evaluation</t>
        </is>
      </c>
    </row>
    <row r="113">
      <c r="A113" s="0" t="inlineStr">
        <is>
          <t>VLAH-25TrustCom</t>
        </is>
      </c>
      <c r="B113" s="0" t="inlineStr">
        <is>
          <t>size-5000000-calibration</t>
        </is>
      </c>
      <c r="C113" s="0" t="inlineStr">
        <is>
          <t>/mnt/d/paper_source/work_9/VeriANN_repro_2026-09-30/VeriANN_repro_2026-09-30/dataset/bigann10m</t>
        </is>
      </c>
      <c r="D113" s="0" t="n">
        <v>5000000</v>
      </c>
      <c r="E113" s="0" t="n">
        <v>10</v>
      </c>
      <c r="F113" s="0" t="n">
        <v>100</v>
      </c>
      <c r="G113" s="0" t="n">
        <v>13</v>
      </c>
      <c r="H113" s="0" t="n">
        <v>8</v>
      </c>
      <c r="I113" s="0" t="n">
        <v>100</v>
      </c>
      <c r="J113" s="0" t="n">
        <v>20000</v>
      </c>
      <c r="K113" s="0" t="n">
        <v>10000</v>
      </c>
      <c r="L113" s="0" t="n">
        <v>20</v>
      </c>
      <c r="M113" s="0" t="n">
        <v>0</v>
      </c>
      <c r="N113" s="0" t="n">
        <v>1</v>
      </c>
      <c r="O113" s="0" t="n">
        <v>20</v>
      </c>
      <c r="P113" s="0" t="n">
        <v>39.5</v>
      </c>
      <c r="Q113" s="0" t="n">
        <v>22.4395621</v>
      </c>
      <c r="R113" s="0" t="n">
        <v>58.43558905</v>
      </c>
      <c r="S113" s="0" t="n">
        <v>8479.540349999999</v>
      </c>
      <c r="T113" s="0" t="n">
        <v>5.0592697</v>
      </c>
      <c r="U113" s="0" t="n">
        <v>17.3802924</v>
      </c>
      <c r="V113" s="0" t="n">
        <v>52.94551735</v>
      </c>
      <c r="W113" s="0" t="n">
        <v>4.3974782</v>
      </c>
      <c r="X113" s="0" t="n">
        <v>8</v>
      </c>
      <c r="Y113" s="0" t="inlineStr">
        <is>
          <t>D:\paper_source\work_9\VeriANN_repro_2026-09-30\VeriANN_repro_2026-09-30\VLAH-25TrustCom\results\work9-20261015\size-5000000-calibration</t>
        </is>
      </c>
    </row>
    <row r="114">
      <c r="A114" s="0" t="inlineStr">
        <is>
          <t>VLAH-25TrustCom</t>
        </is>
      </c>
      <c r="B114" s="0" t="inlineStr">
        <is>
          <t>size-5000000-calibration</t>
        </is>
      </c>
      <c r="C114" s="0" t="inlineStr">
        <is>
          <t>/mnt/d/paper_source/work_9/VeriANN_repro_2026-09-30/VeriANN_repro_2026-09-30/dataset/bigann10m</t>
        </is>
      </c>
      <c r="D114" s="0" t="n">
        <v>5000000</v>
      </c>
      <c r="E114" s="0" t="n">
        <v>10</v>
      </c>
      <c r="F114" s="0" t="n">
        <v>100</v>
      </c>
      <c r="G114" s="0" t="n">
        <v>25</v>
      </c>
      <c r="H114" s="0" t="n">
        <v>8</v>
      </c>
      <c r="I114" s="0" t="n">
        <v>100</v>
      </c>
      <c r="J114" s="0" t="n">
        <v>20000</v>
      </c>
      <c r="K114" s="0" t="n">
        <v>10000</v>
      </c>
      <c r="L114" s="0" t="n">
        <v>20</v>
      </c>
      <c r="M114" s="0" t="n">
        <v>0</v>
      </c>
      <c r="N114" s="0" t="n">
        <v>1</v>
      </c>
      <c r="O114" s="0" t="n">
        <v>20</v>
      </c>
      <c r="P114" s="0" t="n">
        <v>48</v>
      </c>
      <c r="Q114" s="0" t="n">
        <v>43.6077999</v>
      </c>
      <c r="R114" s="0" t="n">
        <v>114.1310234</v>
      </c>
      <c r="S114" s="0" t="n">
        <v>16364.12865</v>
      </c>
      <c r="T114" s="0" t="n">
        <v>9.727025149999999</v>
      </c>
      <c r="U114" s="0" t="n">
        <v>33.88077475</v>
      </c>
      <c r="V114" s="0" t="n">
        <v>102.8434661</v>
      </c>
      <c r="W114" s="0" t="n">
        <v>8.937656649999999</v>
      </c>
      <c r="X114" s="0" t="n">
        <v>8</v>
      </c>
      <c r="Y114" s="0" t="inlineStr">
        <is>
          <t>D:\paper_source\work_9\VeriANN_repro_2026-09-30\VeriANN_repro_2026-09-30\VLAH-25TrustCom\results\work9-20261015\size-5000000-calibration</t>
        </is>
      </c>
    </row>
    <row r="115">
      <c r="A115" s="0" t="inlineStr">
        <is>
          <t>VLAH-25TrustCom</t>
        </is>
      </c>
      <c r="B115" s="0" t="inlineStr">
        <is>
          <t>size-5000000-calibration</t>
        </is>
      </c>
      <c r="C115" s="0" t="inlineStr">
        <is>
          <t>/mnt/d/paper_source/work_9/VeriANN_repro_2026-09-30/VeriANN_repro_2026-09-30/dataset/bigann10m</t>
        </is>
      </c>
      <c r="D115" s="0" t="n">
        <v>5000000</v>
      </c>
      <c r="E115" s="0" t="n">
        <v>10</v>
      </c>
      <c r="F115" s="0" t="n">
        <v>100</v>
      </c>
      <c r="G115" s="0" t="n">
        <v>50</v>
      </c>
      <c r="H115" s="0" t="n">
        <v>8</v>
      </c>
      <c r="I115" s="0" t="n">
        <v>100</v>
      </c>
      <c r="J115" s="0" t="n">
        <v>20000</v>
      </c>
      <c r="K115" s="0" t="n">
        <v>10000</v>
      </c>
      <c r="L115" s="0" t="n">
        <v>20</v>
      </c>
      <c r="M115" s="0" t="n">
        <v>0</v>
      </c>
      <c r="N115" s="0" t="n">
        <v>1</v>
      </c>
      <c r="O115" s="0" t="n">
        <v>20</v>
      </c>
      <c r="P115" s="0" t="n">
        <v>62.5</v>
      </c>
      <c r="Q115" s="0" t="n">
        <v>93.20960845</v>
      </c>
      <c r="R115" s="0" t="n">
        <v>232.31602005</v>
      </c>
      <c r="S115" s="0" t="n">
        <v>32988.6177</v>
      </c>
      <c r="T115" s="0" t="n">
        <v>19.5682945</v>
      </c>
      <c r="U115" s="0" t="n">
        <v>73.64131395</v>
      </c>
      <c r="V115" s="0" t="n">
        <v>207.32384</v>
      </c>
      <c r="W115" s="0" t="n">
        <v>19.31810395</v>
      </c>
      <c r="X115" s="0" t="n">
        <v>8</v>
      </c>
      <c r="Y115" s="0" t="inlineStr">
        <is>
          <t>D:\paper_source\work_9\VeriANN_repro_2026-09-30\VeriANN_repro_2026-09-30\VLAH-25TrustCom\results\work9-20261015\size-5000000-calibration</t>
        </is>
      </c>
    </row>
    <row r="116">
      <c r="A116" s="0" t="inlineStr">
        <is>
          <t>VLAH-25TrustCom</t>
        </is>
      </c>
      <c r="B116" s="0" t="inlineStr">
        <is>
          <t>size-5000000-calibration</t>
        </is>
      </c>
      <c r="C116" s="0" t="inlineStr">
        <is>
          <t>/mnt/d/paper_source/work_9/VeriANN_repro_2026-09-30/VeriANN_repro_2026-09-30/dataset/bigann10m</t>
        </is>
      </c>
      <c r="D116" s="0" t="n">
        <v>5000000</v>
      </c>
      <c r="E116" s="0" t="n">
        <v>10</v>
      </c>
      <c r="F116" s="0" t="n">
        <v>100</v>
      </c>
      <c r="G116" s="0" t="n">
        <v>75</v>
      </c>
      <c r="H116" s="0" t="n">
        <v>8</v>
      </c>
      <c r="I116" s="0" t="n">
        <v>100</v>
      </c>
      <c r="J116" s="0" t="n">
        <v>20000</v>
      </c>
      <c r="K116" s="0" t="n">
        <v>10000</v>
      </c>
      <c r="L116" s="0" t="n">
        <v>20</v>
      </c>
      <c r="M116" s="0" t="n">
        <v>0</v>
      </c>
      <c r="N116" s="0" t="n">
        <v>1</v>
      </c>
      <c r="O116" s="0" t="n">
        <v>20</v>
      </c>
      <c r="P116" s="0" t="n">
        <v>71</v>
      </c>
      <c r="Q116" s="0" t="n">
        <v>146.6500256</v>
      </c>
      <c r="R116" s="0" t="n">
        <v>349.95144255</v>
      </c>
      <c r="S116" s="0" t="n">
        <v>49560.82965</v>
      </c>
      <c r="T116" s="0" t="n">
        <v>29.67742415</v>
      </c>
      <c r="U116" s="0" t="n">
        <v>116.97260145</v>
      </c>
      <c r="V116" s="0" t="n">
        <v>311.3775111</v>
      </c>
      <c r="W116" s="0" t="n">
        <v>29.6896953</v>
      </c>
      <c r="X116" s="0" t="n">
        <v>8</v>
      </c>
      <c r="Y116" s="0" t="inlineStr">
        <is>
          <t>D:\paper_source\work_9\VeriANN_repro_2026-09-30\VeriANN_repro_2026-09-30\VLAH-25TrustCom\results\work9-20261015\size-5000000-calibration</t>
        </is>
      </c>
    </row>
    <row r="117">
      <c r="A117" s="0" t="inlineStr">
        <is>
          <t>VLAH-25TrustCom</t>
        </is>
      </c>
      <c r="B117" s="0" t="inlineStr">
        <is>
          <t>size-5000000-calibration</t>
        </is>
      </c>
      <c r="C117" s="0" t="inlineStr">
        <is>
          <t>/mnt/d/paper_source/work_9/VeriANN_repro_2026-09-30/VeriANN_repro_2026-09-30/dataset/bigann10m</t>
        </is>
      </c>
      <c r="D117" s="0" t="n">
        <v>5000000</v>
      </c>
      <c r="E117" s="0" t="n">
        <v>10</v>
      </c>
      <c r="F117" s="0" t="n">
        <v>100</v>
      </c>
      <c r="G117" s="0" t="n">
        <v>100</v>
      </c>
      <c r="H117" s="0" t="n">
        <v>8</v>
      </c>
      <c r="I117" s="0" t="n">
        <v>100</v>
      </c>
      <c r="J117" s="0" t="n">
        <v>20000</v>
      </c>
      <c r="K117" s="0" t="n">
        <v>10000</v>
      </c>
      <c r="L117" s="0" t="n">
        <v>20</v>
      </c>
      <c r="M117" s="0" t="n">
        <v>0</v>
      </c>
      <c r="N117" s="0" t="n">
        <v>1</v>
      </c>
      <c r="O117" s="0" t="n">
        <v>20</v>
      </c>
      <c r="P117" s="0" t="n">
        <v>78</v>
      </c>
      <c r="Q117" s="0" t="n">
        <v>195.780011</v>
      </c>
      <c r="R117" s="0" t="n">
        <v>466.2880842</v>
      </c>
      <c r="S117" s="0" t="n">
        <v>65799.88005000001</v>
      </c>
      <c r="T117" s="0" t="n">
        <v>39.81823365</v>
      </c>
      <c r="U117" s="0" t="n">
        <v>155.96177735</v>
      </c>
      <c r="V117" s="0" t="n">
        <v>413.5749506</v>
      </c>
      <c r="W117" s="0" t="n">
        <v>40.4763541</v>
      </c>
      <c r="X117" s="0" t="n">
        <v>8</v>
      </c>
      <c r="Y117" s="0" t="inlineStr">
        <is>
          <t>D:\paper_source\work_9\VeriANN_repro_2026-09-30\VeriANN_repro_2026-09-30\VLAH-25TrustCom\results\work9-20261015\size-5000000-calibration</t>
        </is>
      </c>
    </row>
    <row r="118">
      <c r="A118" s="0" t="inlineStr">
        <is>
          <t>VLAH-25TrustCom</t>
        </is>
      </c>
      <c r="B118" s="0" t="inlineStr">
        <is>
          <t>size-5000000-calibration</t>
        </is>
      </c>
      <c r="C118" s="0" t="inlineStr">
        <is>
          <t>/mnt/d/paper_source/work_9/VeriANN_repro_2026-09-30/VeriANN_repro_2026-09-30/dataset/bigann10m</t>
        </is>
      </c>
      <c r="D118" s="0" t="n">
        <v>5000000</v>
      </c>
      <c r="E118" s="0" t="n">
        <v>10</v>
      </c>
      <c r="F118" s="0" t="n">
        <v>100</v>
      </c>
      <c r="G118" s="0" t="n">
        <v>125</v>
      </c>
      <c r="H118" s="0" t="n">
        <v>8</v>
      </c>
      <c r="I118" s="0" t="n">
        <v>100</v>
      </c>
      <c r="J118" s="0" t="n">
        <v>20000</v>
      </c>
      <c r="K118" s="0" t="n">
        <v>10000</v>
      </c>
      <c r="L118" s="0" t="n">
        <v>20</v>
      </c>
      <c r="M118" s="0" t="n">
        <v>0</v>
      </c>
      <c r="N118" s="0" t="n">
        <v>1</v>
      </c>
      <c r="O118" s="0" t="n">
        <v>20</v>
      </c>
      <c r="P118" s="0" t="n">
        <v>81.5</v>
      </c>
      <c r="Q118" s="0" t="n">
        <v>244.8991707</v>
      </c>
      <c r="R118" s="0" t="n">
        <v>589.4377298000001</v>
      </c>
      <c r="S118" s="0" t="n">
        <v>82385.98315</v>
      </c>
      <c r="T118" s="0" t="n">
        <v>49.0456162</v>
      </c>
      <c r="U118" s="0" t="n">
        <v>195.8535545</v>
      </c>
      <c r="V118" s="0" t="n">
        <v>522.781482</v>
      </c>
      <c r="W118" s="0" t="n">
        <v>50.84237365</v>
      </c>
      <c r="X118" s="0" t="n">
        <v>8</v>
      </c>
      <c r="Y118" s="0" t="inlineStr">
        <is>
          <t>D:\paper_source\work_9\VeriANN_repro_2026-09-30\VeriANN_repro_2026-09-30\VLAH-25TrustCom\results\work9-20261015\size-5000000-calibration</t>
        </is>
      </c>
    </row>
    <row r="119">
      <c r="A119" s="0" t="inlineStr">
        <is>
          <t>VLAH-25TrustCom</t>
        </is>
      </c>
      <c r="B119" s="0" t="inlineStr">
        <is>
          <t>size-5000000-calibration</t>
        </is>
      </c>
      <c r="C119" s="0" t="inlineStr">
        <is>
          <t>/mnt/d/paper_source/work_9/VeriANN_repro_2026-09-30/VeriANN_repro_2026-09-30/dataset/bigann10m</t>
        </is>
      </c>
      <c r="D119" s="0" t="n">
        <v>5000000</v>
      </c>
      <c r="E119" s="0" t="n">
        <v>10</v>
      </c>
      <c r="F119" s="0" t="n">
        <v>100</v>
      </c>
      <c r="G119" s="0" t="n">
        <v>150</v>
      </c>
      <c r="H119" s="0" t="n">
        <v>8</v>
      </c>
      <c r="I119" s="0" t="n">
        <v>100</v>
      </c>
      <c r="J119" s="0" t="n">
        <v>20000</v>
      </c>
      <c r="K119" s="0" t="n">
        <v>10000</v>
      </c>
      <c r="L119" s="0" t="n">
        <v>20</v>
      </c>
      <c r="M119" s="0" t="n">
        <v>0</v>
      </c>
      <c r="N119" s="0" t="n">
        <v>1</v>
      </c>
      <c r="O119" s="0" t="n">
        <v>20</v>
      </c>
      <c r="P119" s="0" t="n">
        <v>84</v>
      </c>
      <c r="Q119" s="0" t="n">
        <v>295.9831576</v>
      </c>
      <c r="R119" s="0" t="n">
        <v>708.7991</v>
      </c>
      <c r="S119" s="0" t="n">
        <v>99487.5607</v>
      </c>
      <c r="T119" s="0" t="n">
        <v>59.03481005</v>
      </c>
      <c r="U119" s="0" t="n">
        <v>236.94834755</v>
      </c>
      <c r="V119" s="0" t="n">
        <v>628.5263361999999</v>
      </c>
      <c r="W119" s="0" t="n">
        <v>60.47760155</v>
      </c>
      <c r="X119" s="0" t="n">
        <v>8</v>
      </c>
      <c r="Y119" s="0" t="inlineStr">
        <is>
          <t>D:\paper_source\work_9\VeriANN_repro_2026-09-30\VeriANN_repro_2026-09-30\VLAH-25TrustCom\results\work9-20261015\size-5000000-calibration</t>
        </is>
      </c>
    </row>
    <row r="120">
      <c r="A120" s="0" t="inlineStr">
        <is>
          <t>VLAH-25TrustCom</t>
        </is>
      </c>
      <c r="B120" s="0" t="inlineStr">
        <is>
          <t>size-5000000-calibration</t>
        </is>
      </c>
      <c r="C120" s="0" t="inlineStr">
        <is>
          <t>/mnt/d/paper_source/work_9/VeriANN_repro_2026-09-30/VeriANN_repro_2026-09-30/dataset/bigann10m</t>
        </is>
      </c>
      <c r="D120" s="0" t="n">
        <v>5000000</v>
      </c>
      <c r="E120" s="0" t="n">
        <v>10</v>
      </c>
      <c r="F120" s="0" t="n">
        <v>100</v>
      </c>
      <c r="G120" s="0" t="n">
        <v>175</v>
      </c>
      <c r="H120" s="0" t="n">
        <v>8</v>
      </c>
      <c r="I120" s="0" t="n">
        <v>100</v>
      </c>
      <c r="J120" s="0" t="n">
        <v>20000</v>
      </c>
      <c r="K120" s="0" t="n">
        <v>10000</v>
      </c>
      <c r="L120" s="0" t="n">
        <v>20</v>
      </c>
      <c r="M120" s="0" t="n">
        <v>0</v>
      </c>
      <c r="N120" s="0" t="n">
        <v>1</v>
      </c>
      <c r="O120" s="0" t="n">
        <v>20</v>
      </c>
      <c r="P120" s="0" t="n">
        <v>92</v>
      </c>
      <c r="Q120" s="0" t="n">
        <v>350.493719</v>
      </c>
      <c r="R120" s="0" t="n">
        <v>828.1215543</v>
      </c>
      <c r="S120" s="0" t="n">
        <v>115811.97155</v>
      </c>
      <c r="T120" s="0" t="n">
        <v>69.31106925</v>
      </c>
      <c r="U120" s="0" t="n">
        <v>281.18264975</v>
      </c>
      <c r="V120" s="0" t="n">
        <v>734.30842765</v>
      </c>
      <c r="W120" s="0" t="n">
        <v>71.01179075</v>
      </c>
      <c r="X120" s="0" t="n">
        <v>8</v>
      </c>
      <c r="Y120" s="0" t="inlineStr">
        <is>
          <t>D:\paper_source\work_9\VeriANN_repro_2026-09-30\VeriANN_repro_2026-09-30\VLAH-25TrustCom\results\work9-20261015\size-5000000-calibration</t>
        </is>
      </c>
    </row>
    <row r="121">
      <c r="A121" s="0" t="inlineStr">
        <is>
          <t>VLAH-25TrustCom</t>
        </is>
      </c>
      <c r="B121" s="0" t="inlineStr">
        <is>
          <t>size-5000000-calibration</t>
        </is>
      </c>
      <c r="C121" s="0" t="inlineStr">
        <is>
          <t>/mnt/d/paper_source/work_9/VeriANN_repro_2026-09-30/VeriANN_repro_2026-09-30/dataset/bigann10m</t>
        </is>
      </c>
      <c r="D121" s="0" t="n">
        <v>5000000</v>
      </c>
      <c r="E121" s="0" t="n">
        <v>10</v>
      </c>
      <c r="F121" s="0" t="n">
        <v>100</v>
      </c>
      <c r="G121" s="0" t="n">
        <v>200</v>
      </c>
      <c r="H121" s="0" t="n">
        <v>8</v>
      </c>
      <c r="I121" s="0" t="n">
        <v>100</v>
      </c>
      <c r="J121" s="0" t="n">
        <v>20000</v>
      </c>
      <c r="K121" s="0" t="n">
        <v>10000</v>
      </c>
      <c r="L121" s="0" t="n">
        <v>20</v>
      </c>
      <c r="M121" s="0" t="n">
        <v>0</v>
      </c>
      <c r="N121" s="0" t="n">
        <v>1</v>
      </c>
      <c r="O121" s="0" t="n">
        <v>20</v>
      </c>
      <c r="P121" s="0" t="n">
        <v>94.5</v>
      </c>
      <c r="Q121" s="0" t="n">
        <v>401.21193145</v>
      </c>
      <c r="R121" s="0" t="n">
        <v>954.73213825</v>
      </c>
      <c r="S121" s="0" t="n">
        <v>132871.57145</v>
      </c>
      <c r="T121" s="0" t="n">
        <v>79.1268591</v>
      </c>
      <c r="U121" s="0" t="n">
        <v>322.08507235</v>
      </c>
      <c r="V121" s="0" t="n">
        <v>847.17303135</v>
      </c>
      <c r="W121" s="0" t="n">
        <v>81.25752995000001</v>
      </c>
      <c r="X121" s="0" t="n">
        <v>8</v>
      </c>
      <c r="Y121" s="0" t="inlineStr">
        <is>
          <t>D:\paper_source\work_9\VeriANN_repro_2026-09-30\VeriANN_repro_2026-09-30\VLAH-25TrustCom\results\work9-20261015\size-5000000-calibration</t>
        </is>
      </c>
    </row>
    <row r="122">
      <c r="A122" s="0" t="inlineStr">
        <is>
          <t>VLAH-25TrustCom</t>
        </is>
      </c>
      <c r="B122" s="0" t="inlineStr">
        <is>
          <t>size-5000000-calibration</t>
        </is>
      </c>
      <c r="C122" s="0" t="inlineStr">
        <is>
          <t>/mnt/d/paper_source/work_9/VeriANN_repro_2026-09-30/VeriANN_repro_2026-09-30/dataset/bigann10m</t>
        </is>
      </c>
      <c r="D122" s="0" t="n">
        <v>5000000</v>
      </c>
      <c r="E122" s="0" t="n">
        <v>10</v>
      </c>
      <c r="F122" s="0" t="n">
        <v>100</v>
      </c>
      <c r="G122" s="0" t="n">
        <v>225</v>
      </c>
      <c r="H122" s="0" t="n">
        <v>8</v>
      </c>
      <c r="I122" s="0" t="n">
        <v>100</v>
      </c>
      <c r="J122" s="0" t="n">
        <v>20000</v>
      </c>
      <c r="K122" s="0" t="n">
        <v>10000</v>
      </c>
      <c r="L122" s="0" t="n">
        <v>20</v>
      </c>
      <c r="M122" s="0" t="n">
        <v>0</v>
      </c>
      <c r="N122" s="0" t="n">
        <v>1</v>
      </c>
      <c r="O122" s="0" t="n">
        <v>20</v>
      </c>
      <c r="P122" s="0" t="n">
        <v>95.5</v>
      </c>
      <c r="Q122" s="0" t="n">
        <v>453.7312372</v>
      </c>
      <c r="R122" s="0" t="n">
        <v>1075.70998635</v>
      </c>
      <c r="S122" s="0" t="n">
        <v>149692.3429</v>
      </c>
      <c r="T122" s="0" t="n">
        <v>88.7225323</v>
      </c>
      <c r="U122" s="0" t="n">
        <v>365.0087049</v>
      </c>
      <c r="V122" s="0" t="n">
        <v>954.1734228</v>
      </c>
      <c r="W122" s="0" t="n">
        <v>91.6685714</v>
      </c>
      <c r="X122" s="0" t="n">
        <v>8</v>
      </c>
      <c r="Y122" s="0" t="inlineStr">
        <is>
          <t>D:\paper_source\work_9\VeriANN_repro_2026-09-30\VeriANN_repro_2026-09-30\VLAH-25TrustCom\results\work9-20261015\size-5000000-calibration</t>
        </is>
      </c>
    </row>
    <row r="123">
      <c r="A123" s="0" t="inlineStr">
        <is>
          <t>VLAH-25TrustCom</t>
        </is>
      </c>
      <c r="B123" s="0" t="inlineStr">
        <is>
          <t>size-5000000-calibration</t>
        </is>
      </c>
      <c r="C123" s="0" t="inlineStr">
        <is>
          <t>/mnt/d/paper_source/work_9/VeriANN_repro_2026-09-30/VeriANN_repro_2026-09-30/dataset/bigann10m</t>
        </is>
      </c>
      <c r="D123" s="0" t="n">
        <v>5000000</v>
      </c>
      <c r="E123" s="0" t="n">
        <v>10</v>
      </c>
      <c r="F123" s="0" t="n">
        <v>100</v>
      </c>
      <c r="G123" s="0" t="n">
        <v>250</v>
      </c>
      <c r="H123" s="0" t="n">
        <v>8</v>
      </c>
      <c r="I123" s="0" t="n">
        <v>100</v>
      </c>
      <c r="J123" s="0" t="n">
        <v>20000</v>
      </c>
      <c r="K123" s="0" t="n">
        <v>10000</v>
      </c>
      <c r="L123" s="0" t="n">
        <v>20</v>
      </c>
      <c r="M123" s="0" t="n">
        <v>0</v>
      </c>
      <c r="N123" s="0" t="n">
        <v>1</v>
      </c>
      <c r="O123" s="0" t="n">
        <v>20</v>
      </c>
      <c r="P123" s="0" t="n">
        <v>100</v>
      </c>
      <c r="Q123" s="0" t="n">
        <v>509.90483205</v>
      </c>
      <c r="R123" s="0" t="n">
        <v>1202.79517065</v>
      </c>
      <c r="S123" s="0" t="n">
        <v>166915.5516</v>
      </c>
      <c r="T123" s="0" t="n">
        <v>99.1347481</v>
      </c>
      <c r="U123" s="0" t="n">
        <v>410.77008395</v>
      </c>
      <c r="V123" s="0" t="n">
        <v>1066.6391395</v>
      </c>
      <c r="W123" s="0" t="n">
        <v>102.68155045</v>
      </c>
      <c r="X123" s="0" t="n">
        <v>8</v>
      </c>
      <c r="Y123" s="0" t="inlineStr">
        <is>
          <t>D:\paper_source\work_9\VeriANN_repro_2026-09-30\VeriANN_repro_2026-09-30\VLAH-25TrustCom\results\work9-20261015\size-5000000-calibration</t>
        </is>
      </c>
    </row>
    <row r="124">
      <c r="A124" s="0" t="inlineStr">
        <is>
          <t>VLAH-25TrustCom</t>
        </is>
      </c>
      <c r="B124" s="0" t="inlineStr">
        <is>
          <t>size-5000000-evaluation</t>
        </is>
      </c>
      <c r="C124" s="0" t="inlineStr">
        <is>
          <t>/mnt/d/paper_source/work_9/VeriANN_repro_2026-09-30/VeriANN_repro_2026-09-30/dataset/bigann10m</t>
        </is>
      </c>
      <c r="D124" s="0" t="n">
        <v>5000000</v>
      </c>
      <c r="E124" s="0" t="n">
        <v>10</v>
      </c>
      <c r="F124" s="0" t="n">
        <v>100</v>
      </c>
      <c r="G124" s="0" t="n">
        <v>225</v>
      </c>
      <c r="H124" s="0" t="n">
        <v>8</v>
      </c>
      <c r="I124" s="0" t="n">
        <v>100</v>
      </c>
      <c r="J124" s="0" t="n">
        <v>20000</v>
      </c>
      <c r="K124" s="0" t="n">
        <v>10000</v>
      </c>
      <c r="L124" s="0" t="n">
        <v>100</v>
      </c>
      <c r="M124" s="0" t="n">
        <v>100</v>
      </c>
      <c r="N124" s="0" t="n">
        <v>3</v>
      </c>
      <c r="O124" s="0" t="n">
        <v>300</v>
      </c>
      <c r="P124" s="0" t="n">
        <v>96.09999999999999</v>
      </c>
      <c r="Q124" s="0" t="n">
        <v>455.972351206667</v>
      </c>
      <c r="R124" s="0" t="n">
        <v>1066.10870460667</v>
      </c>
      <c r="S124" s="0" t="n">
        <v>152877.20635</v>
      </c>
      <c r="T124" s="0" t="n">
        <v>88.66283838333329</v>
      </c>
      <c r="U124" s="0" t="n">
        <v>367.309512823333</v>
      </c>
      <c r="V124" s="0" t="n">
        <v>947.594331646667</v>
      </c>
      <c r="W124" s="0" t="n">
        <v>91.42737706</v>
      </c>
      <c r="X124" s="0" t="n">
        <v>8</v>
      </c>
      <c r="Y124" s="0" t="inlineStr">
        <is>
          <t>D:\paper_source\work_9\VeriANN_repro_2026-09-30\VeriANN_repro_2026-09-30\VLAH-25TrustCom\results\work9-20261015\size-5000000-evaluation</t>
        </is>
      </c>
    </row>
  </sheetData>
  <autoFilter ref="A1:Y124"/>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207"/>
  <sheetViews>
    <sheetView workbookViewId="0">
      <pane xSplit="3" ySplit="1" topLeftCell="D2"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3.5"/>
  <cols>
    <col width="120" customWidth="1" style="1" min="7" max="7"/>
  </cols>
  <sheetData>
    <row r="1">
      <c r="A1" s="9" t="inlineStr">
        <is>
          <t>单元格</t>
        </is>
      </c>
      <c r="B1" s="9" t="inlineStr">
        <is>
          <t>数值</t>
        </is>
      </c>
      <c r="C1" s="9" t="inlineStr">
        <is>
          <t>指标</t>
        </is>
      </c>
      <c r="D1" s="9" t="inlineStr">
        <is>
          <t>k</t>
        </is>
      </c>
      <c r="E1" s="9" t="inlineStr">
        <is>
          <t>efSearch</t>
        </is>
      </c>
      <c r="F1" s="9" t="inlineStr">
        <is>
          <t>probes</t>
        </is>
      </c>
      <c r="G1" s="9" t="inlineStr">
        <is>
          <t>原始 CSV</t>
        </is>
      </c>
    </row>
    <row r="2">
      <c r="A2" s="0" t="inlineStr">
        <is>
          <t>E9</t>
        </is>
      </c>
      <c r="B2" s="0" t="n">
        <v>96.3</v>
      </c>
      <c r="C2" s="0" t="inlineStr">
        <is>
          <t>recall_percent</t>
        </is>
      </c>
      <c r="D2" s="0" t="n">
        <v>10</v>
      </c>
      <c r="E2" s="0" t="n">
        <v>50</v>
      </c>
      <c r="F2" s="0" t="n">
        <v>41</v>
      </c>
      <c r="G2" s="0" t="inlineStr">
        <is>
          <t>D:\paper_source\work_9\VeriANN_repro_2026-09-30\VeriANN_repro_2026-09-30\VLAH-25TrustCom\results\work9-20261015\sift1m-recall-curve\per_query.csv</t>
        </is>
      </c>
    </row>
    <row r="3">
      <c r="A3" s="0" t="inlineStr">
        <is>
          <t>F9</t>
        </is>
      </c>
      <c r="B3" s="0" t="n">
        <v>36.8899369933333</v>
      </c>
      <c r="C3" s="0" t="inlineStr">
        <is>
          <t>query_ms</t>
        </is>
      </c>
      <c r="D3" s="0" t="n">
        <v>10</v>
      </c>
      <c r="E3" s="0" t="n">
        <v>50</v>
      </c>
      <c r="F3" s="0" t="n">
        <v>41</v>
      </c>
      <c r="G3" s="0" t="inlineStr">
        <is>
          <t>D:\paper_source\work_9\VeriANN_repro_2026-09-30\VeriANN_repro_2026-09-30\VLAH-25TrustCom\results\work9-20261015\sift1m-recall-curve\per_query.csv</t>
        </is>
      </c>
    </row>
    <row r="4">
      <c r="A4" s="0" t="inlineStr">
        <is>
          <t>G9</t>
        </is>
      </c>
      <c r="B4" s="0" t="n">
        <v>14857.74121</v>
      </c>
      <c r="C4" s="0" t="inlineStr">
        <is>
          <t>vo_kb</t>
        </is>
      </c>
      <c r="D4" s="0" t="n">
        <v>10</v>
      </c>
      <c r="E4" s="0" t="n">
        <v>50</v>
      </c>
      <c r="F4" s="0" t="n">
        <v>41</v>
      </c>
      <c r="G4" s="0" t="inlineStr">
        <is>
          <t>D:\paper_source\work_9\VeriANN_repro_2026-09-30\VeriANN_repro_2026-09-30\VLAH-25TrustCom\results\work9-20261015\sift1m-recall-curve\per_query.csv</t>
        </is>
      </c>
    </row>
    <row r="5">
      <c r="A5" s="0" t="inlineStr">
        <is>
          <t>H9</t>
        </is>
      </c>
      <c r="B5" s="0" t="n">
        <v>101.284282156667</v>
      </c>
      <c r="C5" s="0" t="inlineStr">
        <is>
          <t>verify_ms</t>
        </is>
      </c>
      <c r="D5" s="0" t="n">
        <v>10</v>
      </c>
      <c r="E5" s="0" t="n">
        <v>50</v>
      </c>
      <c r="F5" s="0" t="n">
        <v>41</v>
      </c>
      <c r="G5" s="0" t="inlineStr">
        <is>
          <t>D:\paper_source\work_9\VeriANN_repro_2026-09-30\VeriANN_repro_2026-09-30\VLAH-25TrustCom\results\work9-20261015\sift1m-recall-curve\per_query.csv</t>
        </is>
      </c>
    </row>
    <row r="6">
      <c r="A6" s="0" t="inlineStr">
        <is>
          <t>E10</t>
        </is>
      </c>
      <c r="B6" s="0" t="n">
        <v>95.09999999999999</v>
      </c>
      <c r="C6" s="0" t="inlineStr">
        <is>
          <t>recall_percent</t>
        </is>
      </c>
      <c r="D6" s="0" t="n">
        <v>10</v>
      </c>
      <c r="E6" s="0" t="n">
        <v>100</v>
      </c>
      <c r="F6" s="0" t="n">
        <v>1</v>
      </c>
      <c r="G6" s="0" t="inlineStr">
        <is>
          <t>D:\paper_source\work_9\VeriANN_repro_2026-09-30\VeriANN_repro_2026-09-30\ANNProof-24FGCS\results\work9-20261015\sift1m-recall-curve\per_query.csv</t>
        </is>
      </c>
    </row>
    <row r="7">
      <c r="A7" s="0" t="inlineStr">
        <is>
          <t>F10</t>
        </is>
      </c>
      <c r="B7" s="0" t="n">
        <v>2.79075900666667</v>
      </c>
      <c r="C7" s="0" t="inlineStr">
        <is>
          <t>query_ms</t>
        </is>
      </c>
      <c r="D7" s="0" t="n">
        <v>10</v>
      </c>
      <c r="E7" s="0" t="n">
        <v>100</v>
      </c>
      <c r="F7" s="0" t="n">
        <v>1</v>
      </c>
      <c r="G7" s="0" t="inlineStr">
        <is>
          <t>D:\paper_source\work_9\VeriANN_repro_2026-09-30\VeriANN_repro_2026-09-30\ANNProof-24FGCS\results\work9-20261015\sift1m-recall-curve\per_query.csv</t>
        </is>
      </c>
    </row>
    <row r="8">
      <c r="A8" s="0" t="inlineStr">
        <is>
          <t>G10</t>
        </is>
      </c>
      <c r="B8" s="0" t="n">
        <v>1071.01752</v>
      </c>
      <c r="C8" s="0" t="inlineStr">
        <is>
          <t>vo_kb</t>
        </is>
      </c>
      <c r="D8" s="0" t="n">
        <v>10</v>
      </c>
      <c r="E8" s="0" t="n">
        <v>100</v>
      </c>
      <c r="F8" s="0" t="n">
        <v>1</v>
      </c>
      <c r="G8" s="0" t="inlineStr">
        <is>
          <t>D:\paper_source\work_9\VeriANN_repro_2026-09-30\VeriANN_repro_2026-09-30\ANNProof-24FGCS\results\work9-20261015\sift1m-recall-curve\per_query.csv</t>
        </is>
      </c>
    </row>
    <row r="9">
      <c r="A9" s="0" t="inlineStr">
        <is>
          <t>H10</t>
        </is>
      </c>
      <c r="B9" s="0" t="n">
        <v>13.5371411</v>
      </c>
      <c r="C9" s="0" t="inlineStr">
        <is>
          <t>verify_ms</t>
        </is>
      </c>
      <c r="D9" s="0" t="n">
        <v>10</v>
      </c>
      <c r="E9" s="0" t="n">
        <v>100</v>
      </c>
      <c r="F9" s="0" t="n">
        <v>1</v>
      </c>
      <c r="G9" s="0" t="inlineStr">
        <is>
          <t>D:\paper_source\work_9\VeriANN_repro_2026-09-30\VeriANN_repro_2026-09-30\ANNProof-24FGCS\results\work9-20261015\sift1m-recall-curve\per_query.csv</t>
        </is>
      </c>
    </row>
    <row r="10">
      <c r="A10" s="0" t="inlineStr">
        <is>
          <t>F19</t>
        </is>
      </c>
      <c r="B10" s="0" t="n">
        <v>60.7</v>
      </c>
      <c r="C10" s="0" t="inlineStr">
        <is>
          <t>recall_percent</t>
        </is>
      </c>
      <c r="D10" s="0" t="n">
        <v>10</v>
      </c>
      <c r="E10" s="0" t="n">
        <v>100</v>
      </c>
      <c r="F10" s="0" t="n">
        <v>11</v>
      </c>
      <c r="G10" s="0" t="inlineStr">
        <is>
          <t>/mnt/d/paper_source/work_9/VeriANN_repro_2026-09-30/VeriANN_repro_2026-09-30/results/work9-recall99-20261015/VLAH-evaluation/per_query.csv</t>
        </is>
      </c>
    </row>
    <row r="11">
      <c r="A11" s="0" t="inlineStr">
        <is>
          <t>F20</t>
        </is>
      </c>
      <c r="B11" s="0" t="n">
        <v>6884.91722</v>
      </c>
      <c r="C11" s="0" t="inlineStr">
        <is>
          <t>vo_kb</t>
        </is>
      </c>
      <c r="D11" s="0" t="n">
        <v>10</v>
      </c>
      <c r="E11" s="0" t="n">
        <v>100</v>
      </c>
      <c r="F11" s="0" t="n">
        <v>11</v>
      </c>
      <c r="G11" s="0" t="inlineStr">
        <is>
          <t>/mnt/d/paper_source/work_9/VeriANN_repro_2026-09-30/VeriANN_repro_2026-09-30/results/work9-recall99-20261015/VLAH-evaluation/per_query.csv</t>
        </is>
      </c>
    </row>
    <row r="12">
      <c r="A12" s="0" t="inlineStr">
        <is>
          <t>F29</t>
        </is>
      </c>
      <c r="B12" s="0" t="n">
        <v>60.7</v>
      </c>
      <c r="C12" s="0" t="inlineStr">
        <is>
          <t>recall_percent</t>
        </is>
      </c>
      <c r="D12" s="0" t="n">
        <v>10</v>
      </c>
      <c r="E12" s="0" t="n">
        <v>100</v>
      </c>
      <c r="F12" s="0" t="n">
        <v>11</v>
      </c>
      <c r="G12" s="0" t="inlineStr">
        <is>
          <t>/mnt/d/paper_source/work_9/VeriANN_repro_2026-09-30/VeriANN_repro_2026-09-30/results/work9-recall99-20261015/VLAH-evaluation/per_query.csv</t>
        </is>
      </c>
    </row>
    <row r="13">
      <c r="A13" s="0" t="inlineStr">
        <is>
          <t>F30</t>
        </is>
      </c>
      <c r="B13" s="0" t="n">
        <v>45.3004235666667</v>
      </c>
      <c r="C13" s="0" t="inlineStr">
        <is>
          <t>verify_ms</t>
        </is>
      </c>
      <c r="D13" s="0" t="n">
        <v>10</v>
      </c>
      <c r="E13" s="0" t="n">
        <v>100</v>
      </c>
      <c r="F13" s="0" t="n">
        <v>11</v>
      </c>
      <c r="G13" s="0" t="inlineStr">
        <is>
          <t>/mnt/d/paper_source/work_9/VeriANN_repro_2026-09-30/VeriANN_repro_2026-09-30/results/work9-recall99-20261015/VLAH-evaluation/per_query.csv</t>
        </is>
      </c>
    </row>
    <row r="14">
      <c r="A14" s="0" t="inlineStr">
        <is>
          <t>F39</t>
        </is>
      </c>
      <c r="B14" s="0" t="n">
        <v>60.7</v>
      </c>
      <c r="C14" s="0" t="inlineStr">
        <is>
          <t>recall_percent</t>
        </is>
      </c>
      <c r="D14" s="0" t="n">
        <v>10</v>
      </c>
      <c r="E14" s="0" t="n">
        <v>100</v>
      </c>
      <c r="F14" s="0" t="n">
        <v>11</v>
      </c>
      <c r="G14" s="0" t="inlineStr">
        <is>
          <t>/mnt/d/paper_source/work_9/VeriANN_repro_2026-09-30/VeriANN_repro_2026-09-30/results/work9-recall99-20261015/VLAH-evaluation/per_query.csv</t>
        </is>
      </c>
    </row>
    <row r="15">
      <c r="A15" s="0" t="inlineStr">
        <is>
          <t>F40</t>
        </is>
      </c>
      <c r="B15" s="0" t="n">
        <v>17.0517269033333</v>
      </c>
      <c r="C15" s="0" t="inlineStr">
        <is>
          <t>query_ms</t>
        </is>
      </c>
      <c r="D15" s="0" t="n">
        <v>10</v>
      </c>
      <c r="E15" s="0" t="n">
        <v>100</v>
      </c>
      <c r="F15" s="0" t="n">
        <v>11</v>
      </c>
      <c r="G15" s="0" t="inlineStr">
        <is>
          <t>/mnt/d/paper_source/work_9/VeriANN_repro_2026-09-30/VeriANN_repro_2026-09-30/results/work9-recall99-20261015/VLAH-evaluation/per_query.csv</t>
        </is>
      </c>
    </row>
    <row r="16">
      <c r="A16" s="0" t="inlineStr">
        <is>
          <t>G19</t>
        </is>
      </c>
      <c r="B16" s="0" t="n">
        <v>65.40000000000001</v>
      </c>
      <c r="C16" s="0" t="inlineStr">
        <is>
          <t>recall_percent</t>
        </is>
      </c>
      <c r="D16" s="0" t="n">
        <v>10</v>
      </c>
      <c r="E16" s="0" t="n">
        <v>100</v>
      </c>
      <c r="F16" s="0" t="n">
        <v>13</v>
      </c>
      <c r="G16" s="0" t="inlineStr">
        <is>
          <t>/mnt/d/paper_source/work_9/VeriANN_repro_2026-09-30/VeriANN_repro_2026-09-30/results/work9-recall99-20261015/VLAH-evaluation/per_query.csv</t>
        </is>
      </c>
    </row>
    <row r="17">
      <c r="A17" s="0" t="inlineStr">
        <is>
          <t>G20</t>
        </is>
      </c>
      <c r="B17" s="0" t="n">
        <v>8168.20064</v>
      </c>
      <c r="C17" s="0" t="inlineStr">
        <is>
          <t>vo_kb</t>
        </is>
      </c>
      <c r="D17" s="0" t="n">
        <v>10</v>
      </c>
      <c r="E17" s="0" t="n">
        <v>100</v>
      </c>
      <c r="F17" s="0" t="n">
        <v>13</v>
      </c>
      <c r="G17" s="0" t="inlineStr">
        <is>
          <t>/mnt/d/paper_source/work_9/VeriANN_repro_2026-09-30/VeriANN_repro_2026-09-30/results/work9-recall99-20261015/VLAH-evaluation/per_query.csv</t>
        </is>
      </c>
    </row>
    <row r="18">
      <c r="A18" s="0" t="inlineStr">
        <is>
          <t>G29</t>
        </is>
      </c>
      <c r="B18" s="0" t="n">
        <v>65.40000000000001</v>
      </c>
      <c r="C18" s="0" t="inlineStr">
        <is>
          <t>recall_percent</t>
        </is>
      </c>
      <c r="D18" s="0" t="n">
        <v>10</v>
      </c>
      <c r="E18" s="0" t="n">
        <v>100</v>
      </c>
      <c r="F18" s="0" t="n">
        <v>13</v>
      </c>
      <c r="G18" s="0" t="inlineStr">
        <is>
          <t>/mnt/d/paper_source/work_9/VeriANN_repro_2026-09-30/VeriANN_repro_2026-09-30/results/work9-recall99-20261015/VLAH-evaluation/per_query.csv</t>
        </is>
      </c>
    </row>
    <row r="19">
      <c r="A19" s="0" t="inlineStr">
        <is>
          <t>G30</t>
        </is>
      </c>
      <c r="B19" s="0" t="n">
        <v>53.9443851833333</v>
      </c>
      <c r="C19" s="0" t="inlineStr">
        <is>
          <t>verify_ms</t>
        </is>
      </c>
      <c r="D19" s="0" t="n">
        <v>10</v>
      </c>
      <c r="E19" s="0" t="n">
        <v>100</v>
      </c>
      <c r="F19" s="0" t="n">
        <v>13</v>
      </c>
      <c r="G19" s="0" t="inlineStr">
        <is>
          <t>/mnt/d/paper_source/work_9/VeriANN_repro_2026-09-30/VeriANN_repro_2026-09-30/results/work9-recall99-20261015/VLAH-evaluation/per_query.csv</t>
        </is>
      </c>
    </row>
    <row r="20">
      <c r="A20" s="0" t="inlineStr">
        <is>
          <t>G39</t>
        </is>
      </c>
      <c r="B20" s="0" t="n">
        <v>65.40000000000001</v>
      </c>
      <c r="C20" s="0" t="inlineStr">
        <is>
          <t>recall_percent</t>
        </is>
      </c>
      <c r="D20" s="0" t="n">
        <v>10</v>
      </c>
      <c r="E20" s="0" t="n">
        <v>100</v>
      </c>
      <c r="F20" s="0" t="n">
        <v>13</v>
      </c>
      <c r="G20" s="0" t="inlineStr">
        <is>
          <t>/mnt/d/paper_source/work_9/VeriANN_repro_2026-09-30/VeriANN_repro_2026-09-30/results/work9-recall99-20261015/VLAH-evaluation/per_query.csv</t>
        </is>
      </c>
    </row>
    <row r="21">
      <c r="A21" s="0" t="inlineStr">
        <is>
          <t>G40</t>
        </is>
      </c>
      <c r="B21" s="0" t="n">
        <v>20.2751743866667</v>
      </c>
      <c r="C21" s="0" t="inlineStr">
        <is>
          <t>query_ms</t>
        </is>
      </c>
      <c r="D21" s="0" t="n">
        <v>10</v>
      </c>
      <c r="E21" s="0" t="n">
        <v>100</v>
      </c>
      <c r="F21" s="0" t="n">
        <v>13</v>
      </c>
      <c r="G21" s="0" t="inlineStr">
        <is>
          <t>/mnt/d/paper_source/work_9/VeriANN_repro_2026-09-30/VeriANN_repro_2026-09-30/results/work9-recall99-20261015/VLAH-evaluation/per_query.csv</t>
        </is>
      </c>
    </row>
    <row r="22">
      <c r="A22" s="0" t="inlineStr">
        <is>
          <t>H19</t>
        </is>
      </c>
      <c r="B22" s="0" t="n">
        <v>70.8</v>
      </c>
      <c r="C22" s="0" t="inlineStr">
        <is>
          <t>recall_percent</t>
        </is>
      </c>
      <c r="D22" s="0" t="n">
        <v>10</v>
      </c>
      <c r="E22" s="0" t="n">
        <v>100</v>
      </c>
      <c r="F22" s="0" t="n">
        <v>17</v>
      </c>
      <c r="G22" s="0" t="inlineStr">
        <is>
          <t>/mnt/d/paper_source/work_9/VeriANN_repro_2026-09-30/VeriANN_repro_2026-09-30/results/work9-recall99-20261015/VLAH-evaluation/per_query.csv</t>
        </is>
      </c>
    </row>
    <row r="23">
      <c r="A23" s="0" t="inlineStr">
        <is>
          <t>H20</t>
        </is>
      </c>
      <c r="B23" s="0" t="n">
        <v>10594.0396</v>
      </c>
      <c r="C23" s="0" t="inlineStr">
        <is>
          <t>vo_kb</t>
        </is>
      </c>
      <c r="D23" s="0" t="n">
        <v>10</v>
      </c>
      <c r="E23" s="0" t="n">
        <v>100</v>
      </c>
      <c r="F23" s="0" t="n">
        <v>17</v>
      </c>
      <c r="G23" s="0" t="inlineStr">
        <is>
          <t>/mnt/d/paper_source/work_9/VeriANN_repro_2026-09-30/VeriANN_repro_2026-09-30/results/work9-recall99-20261015/VLAH-evaluation/per_query.csv</t>
        </is>
      </c>
    </row>
    <row r="24">
      <c r="A24" s="0" t="inlineStr">
        <is>
          <t>H29</t>
        </is>
      </c>
      <c r="B24" s="0" t="n">
        <v>70.8</v>
      </c>
      <c r="C24" s="0" t="inlineStr">
        <is>
          <t>recall_percent</t>
        </is>
      </c>
      <c r="D24" s="0" t="n">
        <v>10</v>
      </c>
      <c r="E24" s="0" t="n">
        <v>100</v>
      </c>
      <c r="F24" s="0" t="n">
        <v>17</v>
      </c>
      <c r="G24" s="0" t="inlineStr">
        <is>
          <t>/mnt/d/paper_source/work_9/VeriANN_repro_2026-09-30/VeriANN_repro_2026-09-30/results/work9-recall99-20261015/VLAH-evaluation/per_query.csv</t>
        </is>
      </c>
    </row>
    <row r="25">
      <c r="A25" s="0" t="inlineStr">
        <is>
          <t>H30</t>
        </is>
      </c>
      <c r="B25" s="0" t="n">
        <v>70.0221579833333</v>
      </c>
      <c r="C25" s="0" t="inlineStr">
        <is>
          <t>verify_ms</t>
        </is>
      </c>
      <c r="D25" s="0" t="n">
        <v>10</v>
      </c>
      <c r="E25" s="0" t="n">
        <v>100</v>
      </c>
      <c r="F25" s="0" t="n">
        <v>17</v>
      </c>
      <c r="G25" s="0" t="inlineStr">
        <is>
          <t>/mnt/d/paper_source/work_9/VeriANN_repro_2026-09-30/VeriANN_repro_2026-09-30/results/work9-recall99-20261015/VLAH-evaluation/per_query.csv</t>
        </is>
      </c>
    </row>
    <row r="26">
      <c r="A26" s="0" t="inlineStr">
        <is>
          <t>H39</t>
        </is>
      </c>
      <c r="B26" s="0" t="n">
        <v>70.8</v>
      </c>
      <c r="C26" s="0" t="inlineStr">
        <is>
          <t>recall_percent</t>
        </is>
      </c>
      <c r="D26" s="0" t="n">
        <v>10</v>
      </c>
      <c r="E26" s="0" t="n">
        <v>100</v>
      </c>
      <c r="F26" s="0" t="n">
        <v>17</v>
      </c>
      <c r="G26" s="0" t="inlineStr">
        <is>
          <t>/mnt/d/paper_source/work_9/VeriANN_repro_2026-09-30/VeriANN_repro_2026-09-30/results/work9-recall99-20261015/VLAH-evaluation/per_query.csv</t>
        </is>
      </c>
    </row>
    <row r="27">
      <c r="A27" s="0" t="inlineStr">
        <is>
          <t>H40</t>
        </is>
      </c>
      <c r="B27" s="0" t="n">
        <v>26.32129043</v>
      </c>
      <c r="C27" s="0" t="inlineStr">
        <is>
          <t>query_ms</t>
        </is>
      </c>
      <c r="D27" s="0" t="n">
        <v>10</v>
      </c>
      <c r="E27" s="0" t="n">
        <v>100</v>
      </c>
      <c r="F27" s="0" t="n">
        <v>17</v>
      </c>
      <c r="G27" s="0" t="inlineStr">
        <is>
          <t>/mnt/d/paper_source/work_9/VeriANN_repro_2026-09-30/VeriANN_repro_2026-09-30/results/work9-recall99-20261015/VLAH-evaluation/per_query.csv</t>
        </is>
      </c>
    </row>
    <row r="28">
      <c r="A28" s="0" t="inlineStr">
        <is>
          <t>I19</t>
        </is>
      </c>
      <c r="B28" s="0" t="n">
        <v>75</v>
      </c>
      <c r="C28" s="0" t="inlineStr">
        <is>
          <t>recall_percent</t>
        </is>
      </c>
      <c r="D28" s="0" t="n">
        <v>10</v>
      </c>
      <c r="E28" s="0" t="n">
        <v>100</v>
      </c>
      <c r="F28" s="0" t="n">
        <v>19</v>
      </c>
      <c r="G28" s="0" t="inlineStr">
        <is>
          <t>/mnt/d/paper_source/work_9/VeriANN_repro_2026-09-30/VeriANN_repro_2026-09-30/results/work9-recall99-20261015/VLAH-evaluation/per_query.csv</t>
        </is>
      </c>
    </row>
    <row r="29">
      <c r="A29" s="0" t="inlineStr">
        <is>
          <t>I20</t>
        </is>
      </c>
      <c r="B29" s="0" t="n">
        <v>11799.26473</v>
      </c>
      <c r="C29" s="0" t="inlineStr">
        <is>
          <t>vo_kb</t>
        </is>
      </c>
      <c r="D29" s="0" t="n">
        <v>10</v>
      </c>
      <c r="E29" s="0" t="n">
        <v>100</v>
      </c>
      <c r="F29" s="0" t="n">
        <v>19</v>
      </c>
      <c r="G29" s="0" t="inlineStr">
        <is>
          <t>/mnt/d/paper_source/work_9/VeriANN_repro_2026-09-30/VeriANN_repro_2026-09-30/results/work9-recall99-20261015/VLAH-evaluation/per_query.csv</t>
        </is>
      </c>
    </row>
    <row r="30">
      <c r="A30" s="0" t="inlineStr">
        <is>
          <t>I29</t>
        </is>
      </c>
      <c r="B30" s="0" t="n">
        <v>75</v>
      </c>
      <c r="C30" s="0" t="inlineStr">
        <is>
          <t>recall_percent</t>
        </is>
      </c>
      <c r="D30" s="0" t="n">
        <v>10</v>
      </c>
      <c r="E30" s="0" t="n">
        <v>100</v>
      </c>
      <c r="F30" s="0" t="n">
        <v>19</v>
      </c>
      <c r="G30" s="0" t="inlineStr">
        <is>
          <t>/mnt/d/paper_source/work_9/VeriANN_repro_2026-09-30/VeriANN_repro_2026-09-30/results/work9-recall99-20261015/VLAH-evaluation/per_query.csv</t>
        </is>
      </c>
    </row>
    <row r="31">
      <c r="A31" s="0" t="inlineStr">
        <is>
          <t>I30</t>
        </is>
      </c>
      <c r="B31" s="0" t="n">
        <v>78.27115032</v>
      </c>
      <c r="C31" s="0" t="inlineStr">
        <is>
          <t>verify_ms</t>
        </is>
      </c>
      <c r="D31" s="0" t="n">
        <v>10</v>
      </c>
      <c r="E31" s="0" t="n">
        <v>100</v>
      </c>
      <c r="F31" s="0" t="n">
        <v>19</v>
      </c>
      <c r="G31" s="0" t="inlineStr">
        <is>
          <t>/mnt/d/paper_source/work_9/VeriANN_repro_2026-09-30/VeriANN_repro_2026-09-30/results/work9-recall99-20261015/VLAH-evaluation/per_query.csv</t>
        </is>
      </c>
    </row>
    <row r="32">
      <c r="A32" s="0" t="inlineStr">
        <is>
          <t>I39</t>
        </is>
      </c>
      <c r="B32" s="0" t="n">
        <v>75</v>
      </c>
      <c r="C32" s="0" t="inlineStr">
        <is>
          <t>recall_percent</t>
        </is>
      </c>
      <c r="D32" s="0" t="n">
        <v>10</v>
      </c>
      <c r="E32" s="0" t="n">
        <v>100</v>
      </c>
      <c r="F32" s="0" t="n">
        <v>19</v>
      </c>
      <c r="G32" s="0" t="inlineStr">
        <is>
          <t>/mnt/d/paper_source/work_9/VeriANN_repro_2026-09-30/VeriANN_repro_2026-09-30/results/work9-recall99-20261015/VLAH-evaluation/per_query.csv</t>
        </is>
      </c>
    </row>
    <row r="33">
      <c r="A33" s="0" t="inlineStr">
        <is>
          <t>I40</t>
        </is>
      </c>
      <c r="B33" s="0" t="n">
        <v>29.3498243433333</v>
      </c>
      <c r="C33" s="0" t="inlineStr">
        <is>
          <t>query_ms</t>
        </is>
      </c>
      <c r="D33" s="0" t="n">
        <v>10</v>
      </c>
      <c r="E33" s="0" t="n">
        <v>100</v>
      </c>
      <c r="F33" s="0" t="n">
        <v>19</v>
      </c>
      <c r="G33" s="0" t="inlineStr">
        <is>
          <t>/mnt/d/paper_source/work_9/VeriANN_repro_2026-09-30/VeriANN_repro_2026-09-30/results/work9-recall99-20261015/VLAH-evaluation/per_query.csv</t>
        </is>
      </c>
    </row>
    <row r="34">
      <c r="A34" s="0" t="inlineStr">
        <is>
          <t>J19</t>
        </is>
      </c>
      <c r="B34" s="0" t="n">
        <v>80</v>
      </c>
      <c r="C34" s="0" t="inlineStr">
        <is>
          <t>recall_percent</t>
        </is>
      </c>
      <c r="D34" s="0" t="n">
        <v>10</v>
      </c>
      <c r="E34" s="0" t="n">
        <v>100</v>
      </c>
      <c r="F34" s="0" t="n">
        <v>24</v>
      </c>
      <c r="G34" s="0" t="inlineStr">
        <is>
          <t>/mnt/d/paper_source/work_9/VeriANN_repro_2026-09-30/VeriANN_repro_2026-09-30/results/work9-recall99-20261015/VLAH-evaluation/per_query.csv</t>
        </is>
      </c>
    </row>
    <row r="35">
      <c r="A35" s="0" t="inlineStr">
        <is>
          <t>J20</t>
        </is>
      </c>
      <c r="B35" s="0" t="n">
        <v>14707.67269</v>
      </c>
      <c r="C35" s="0" t="inlineStr">
        <is>
          <t>vo_kb</t>
        </is>
      </c>
      <c r="D35" s="0" t="n">
        <v>10</v>
      </c>
      <c r="E35" s="0" t="n">
        <v>100</v>
      </c>
      <c r="F35" s="0" t="n">
        <v>24</v>
      </c>
      <c r="G35" s="0" t="inlineStr">
        <is>
          <t>/mnt/d/paper_source/work_9/VeriANN_repro_2026-09-30/VeriANN_repro_2026-09-30/results/work9-recall99-20261015/VLAH-evaluation/per_query.csv</t>
        </is>
      </c>
    </row>
    <row r="36">
      <c r="A36" s="0" t="inlineStr">
        <is>
          <t>J29</t>
        </is>
      </c>
      <c r="B36" s="0" t="n">
        <v>80</v>
      </c>
      <c r="C36" s="0" t="inlineStr">
        <is>
          <t>recall_percent</t>
        </is>
      </c>
      <c r="D36" s="0" t="n">
        <v>10</v>
      </c>
      <c r="E36" s="0" t="n">
        <v>100</v>
      </c>
      <c r="F36" s="0" t="n">
        <v>24</v>
      </c>
      <c r="G36" s="0" t="inlineStr">
        <is>
          <t>/mnt/d/paper_source/work_9/VeriANN_repro_2026-09-30/VeriANN_repro_2026-09-30/results/work9-recall99-20261015/VLAH-evaluation/per_query.csv</t>
        </is>
      </c>
    </row>
    <row r="37">
      <c r="A37" s="0" t="inlineStr">
        <is>
          <t>J30</t>
        </is>
      </c>
      <c r="B37" s="0" t="n">
        <v>97.75630345</v>
      </c>
      <c r="C37" s="0" t="inlineStr">
        <is>
          <t>verify_ms</t>
        </is>
      </c>
      <c r="D37" s="0" t="n">
        <v>10</v>
      </c>
      <c r="E37" s="0" t="n">
        <v>100</v>
      </c>
      <c r="F37" s="0" t="n">
        <v>24</v>
      </c>
      <c r="G37" s="0" t="inlineStr">
        <is>
          <t>/mnt/d/paper_source/work_9/VeriANN_repro_2026-09-30/VeriANN_repro_2026-09-30/results/work9-recall99-20261015/VLAH-evaluation/per_query.csv</t>
        </is>
      </c>
    </row>
    <row r="38">
      <c r="A38" s="0" t="inlineStr">
        <is>
          <t>J39</t>
        </is>
      </c>
      <c r="B38" s="0" t="n">
        <v>80</v>
      </c>
      <c r="C38" s="0" t="inlineStr">
        <is>
          <t>recall_percent</t>
        </is>
      </c>
      <c r="D38" s="0" t="n">
        <v>10</v>
      </c>
      <c r="E38" s="0" t="n">
        <v>100</v>
      </c>
      <c r="F38" s="0" t="n">
        <v>24</v>
      </c>
      <c r="G38" s="0" t="inlineStr">
        <is>
          <t>/mnt/d/paper_source/work_9/VeriANN_repro_2026-09-30/VeriANN_repro_2026-09-30/results/work9-recall99-20261015/VLAH-evaluation/per_query.csv</t>
        </is>
      </c>
    </row>
    <row r="39">
      <c r="A39" s="0" t="inlineStr">
        <is>
          <t>J40</t>
        </is>
      </c>
      <c r="B39" s="0" t="n">
        <v>36.5804762</v>
      </c>
      <c r="C39" s="0" t="inlineStr">
        <is>
          <t>query_ms</t>
        </is>
      </c>
      <c r="D39" s="0" t="n">
        <v>10</v>
      </c>
      <c r="E39" s="0" t="n">
        <v>100</v>
      </c>
      <c r="F39" s="0" t="n">
        <v>24</v>
      </c>
      <c r="G39" s="0" t="inlineStr">
        <is>
          <t>/mnt/d/paper_source/work_9/VeriANN_repro_2026-09-30/VeriANN_repro_2026-09-30/results/work9-recall99-20261015/VLAH-evaluation/per_query.csv</t>
        </is>
      </c>
    </row>
    <row r="40">
      <c r="A40" s="0" t="inlineStr">
        <is>
          <t>K19</t>
        </is>
      </c>
      <c r="B40" s="0" t="n">
        <v>85</v>
      </c>
      <c r="C40" s="0" t="inlineStr">
        <is>
          <t>recall_percent</t>
        </is>
      </c>
      <c r="D40" s="0" t="n">
        <v>10</v>
      </c>
      <c r="E40" s="0" t="n">
        <v>100</v>
      </c>
      <c r="F40" s="0" t="n">
        <v>27</v>
      </c>
      <c r="G40" s="0" t="inlineStr">
        <is>
          <t>/mnt/d/paper_source/work_9/VeriANN_repro_2026-09-30/VeriANN_repro_2026-09-30/results/work9-recall99-20261015/VLAH-evaluation/per_query.csv</t>
        </is>
      </c>
    </row>
    <row r="41">
      <c r="A41" s="0" t="inlineStr">
        <is>
          <t>K20</t>
        </is>
      </c>
      <c r="B41" s="0" t="n">
        <v>16410.55426</v>
      </c>
      <c r="C41" s="0" t="inlineStr">
        <is>
          <t>vo_kb</t>
        </is>
      </c>
      <c r="D41" s="0" t="n">
        <v>10</v>
      </c>
      <c r="E41" s="0" t="n">
        <v>100</v>
      </c>
      <c r="F41" s="0" t="n">
        <v>27</v>
      </c>
      <c r="G41" s="0" t="inlineStr">
        <is>
          <t>/mnt/d/paper_source/work_9/VeriANN_repro_2026-09-30/VeriANN_repro_2026-09-30/results/work9-recall99-20261015/VLAH-evaluation/per_query.csv</t>
        </is>
      </c>
    </row>
    <row r="42">
      <c r="A42" s="0" t="inlineStr">
        <is>
          <t>K29</t>
        </is>
      </c>
      <c r="B42" s="0" t="n">
        <v>85</v>
      </c>
      <c r="C42" s="0" t="inlineStr">
        <is>
          <t>recall_percent</t>
        </is>
      </c>
      <c r="D42" s="0" t="n">
        <v>10</v>
      </c>
      <c r="E42" s="0" t="n">
        <v>100</v>
      </c>
      <c r="F42" s="0" t="n">
        <v>27</v>
      </c>
      <c r="G42" s="0" t="inlineStr">
        <is>
          <t>/mnt/d/paper_source/work_9/VeriANN_repro_2026-09-30/VeriANN_repro_2026-09-30/results/work9-recall99-20261015/VLAH-evaluation/per_query.csv</t>
        </is>
      </c>
    </row>
    <row r="43">
      <c r="A43" s="0" t="inlineStr">
        <is>
          <t>K30</t>
        </is>
      </c>
      <c r="B43" s="0" t="n">
        <v>109.452387803333</v>
      </c>
      <c r="C43" s="0" t="inlineStr">
        <is>
          <t>verify_ms</t>
        </is>
      </c>
      <c r="D43" s="0" t="n">
        <v>10</v>
      </c>
      <c r="E43" s="0" t="n">
        <v>100</v>
      </c>
      <c r="F43" s="0" t="n">
        <v>27</v>
      </c>
      <c r="G43" s="0" t="inlineStr">
        <is>
          <t>/mnt/d/paper_source/work_9/VeriANN_repro_2026-09-30/VeriANN_repro_2026-09-30/results/work9-recall99-20261015/VLAH-evaluation/per_query.csv</t>
        </is>
      </c>
    </row>
    <row r="44">
      <c r="A44" s="0" t="inlineStr">
        <is>
          <t>K39</t>
        </is>
      </c>
      <c r="B44" s="0" t="n">
        <v>85</v>
      </c>
      <c r="C44" s="0" t="inlineStr">
        <is>
          <t>recall_percent</t>
        </is>
      </c>
      <c r="D44" s="0" t="n">
        <v>10</v>
      </c>
      <c r="E44" s="0" t="n">
        <v>100</v>
      </c>
      <c r="F44" s="0" t="n">
        <v>27</v>
      </c>
      <c r="G44" s="0" t="inlineStr">
        <is>
          <t>/mnt/d/paper_source/work_9/VeriANN_repro_2026-09-30/VeriANN_repro_2026-09-30/results/work9-recall99-20261015/VLAH-evaluation/per_query.csv</t>
        </is>
      </c>
    </row>
    <row r="45">
      <c r="A45" s="0" t="inlineStr">
        <is>
          <t>K40</t>
        </is>
      </c>
      <c r="B45" s="0" t="n">
        <v>40.9267938566667</v>
      </c>
      <c r="C45" s="0" t="inlineStr">
        <is>
          <t>query_ms</t>
        </is>
      </c>
      <c r="D45" s="0" t="n">
        <v>10</v>
      </c>
      <c r="E45" s="0" t="n">
        <v>100</v>
      </c>
      <c r="F45" s="0" t="n">
        <v>27</v>
      </c>
      <c r="G45" s="0" t="inlineStr">
        <is>
          <t>/mnt/d/paper_source/work_9/VeriANN_repro_2026-09-30/VeriANN_repro_2026-09-30/results/work9-recall99-20261015/VLAH-evaluation/per_query.csv</t>
        </is>
      </c>
    </row>
    <row r="46">
      <c r="A46" s="0" t="inlineStr">
        <is>
          <t>L19</t>
        </is>
      </c>
      <c r="B46" s="0" t="n">
        <v>90.3</v>
      </c>
      <c r="C46" s="0" t="inlineStr">
        <is>
          <t>recall_percent</t>
        </is>
      </c>
      <c r="D46" s="0" t="n">
        <v>10</v>
      </c>
      <c r="E46" s="0" t="n">
        <v>100</v>
      </c>
      <c r="F46" s="0" t="n">
        <v>32</v>
      </c>
      <c r="G46" s="0" t="inlineStr">
        <is>
          <t>/mnt/d/paper_source/work_9/VeriANN_repro_2026-09-30/VeriANN_repro_2026-09-30/results/work9-recall99-20261015/VLAH-evaluation/per_query.csv</t>
        </is>
      </c>
    </row>
    <row r="47">
      <c r="A47" s="0" t="inlineStr">
        <is>
          <t>L20</t>
        </is>
      </c>
      <c r="B47" s="0" t="n">
        <v>19121.68517</v>
      </c>
      <c r="C47" s="0" t="inlineStr">
        <is>
          <t>vo_kb</t>
        </is>
      </c>
      <c r="D47" s="0" t="n">
        <v>10</v>
      </c>
      <c r="E47" s="0" t="n">
        <v>100</v>
      </c>
      <c r="F47" s="0" t="n">
        <v>32</v>
      </c>
      <c r="G47" s="0" t="inlineStr">
        <is>
          <t>/mnt/d/paper_source/work_9/VeriANN_repro_2026-09-30/VeriANN_repro_2026-09-30/results/work9-recall99-20261015/VLAH-evaluation/per_query.csv</t>
        </is>
      </c>
    </row>
    <row r="48">
      <c r="A48" s="0" t="inlineStr">
        <is>
          <t>L29</t>
        </is>
      </c>
      <c r="B48" s="0" t="n">
        <v>90.3</v>
      </c>
      <c r="C48" s="0" t="inlineStr">
        <is>
          <t>recall_percent</t>
        </is>
      </c>
      <c r="D48" s="0" t="n">
        <v>10</v>
      </c>
      <c r="E48" s="0" t="n">
        <v>100</v>
      </c>
      <c r="F48" s="0" t="n">
        <v>32</v>
      </c>
      <c r="G48" s="0" t="inlineStr">
        <is>
          <t>/mnt/d/paper_source/work_9/VeriANN_repro_2026-09-30/VeriANN_repro_2026-09-30/results/work9-recall99-20261015/VLAH-evaluation/per_query.csv</t>
        </is>
      </c>
    </row>
    <row r="49">
      <c r="A49" s="0" t="inlineStr">
        <is>
          <t>L30</t>
        </is>
      </c>
      <c r="B49" s="0" t="n">
        <v>127.420139816667</v>
      </c>
      <c r="C49" s="0" t="inlineStr">
        <is>
          <t>verify_ms</t>
        </is>
      </c>
      <c r="D49" s="0" t="n">
        <v>10</v>
      </c>
      <c r="E49" s="0" t="n">
        <v>100</v>
      </c>
      <c r="F49" s="0" t="n">
        <v>32</v>
      </c>
      <c r="G49" s="0" t="inlineStr">
        <is>
          <t>/mnt/d/paper_source/work_9/VeriANN_repro_2026-09-30/VeriANN_repro_2026-09-30/results/work9-recall99-20261015/VLAH-evaluation/per_query.csv</t>
        </is>
      </c>
    </row>
    <row r="50">
      <c r="A50" s="0" t="inlineStr">
        <is>
          <t>L39</t>
        </is>
      </c>
      <c r="B50" s="0" t="n">
        <v>90.3</v>
      </c>
      <c r="C50" s="0" t="inlineStr">
        <is>
          <t>recall_percent</t>
        </is>
      </c>
      <c r="D50" s="0" t="n">
        <v>10</v>
      </c>
      <c r="E50" s="0" t="n">
        <v>100</v>
      </c>
      <c r="F50" s="0" t="n">
        <v>32</v>
      </c>
      <c r="G50" s="0" t="inlineStr">
        <is>
          <t>/mnt/d/paper_source/work_9/VeriANN_repro_2026-09-30/VeriANN_repro_2026-09-30/results/work9-recall99-20261015/VLAH-evaluation/per_query.csv</t>
        </is>
      </c>
    </row>
    <row r="51">
      <c r="A51" s="0" t="inlineStr">
        <is>
          <t>L40</t>
        </is>
      </c>
      <c r="B51" s="0" t="n">
        <v>48.2655236333333</v>
      </c>
      <c r="C51" s="0" t="inlineStr">
        <is>
          <t>query_ms</t>
        </is>
      </c>
      <c r="D51" s="0" t="n">
        <v>10</v>
      </c>
      <c r="E51" s="0" t="n">
        <v>100</v>
      </c>
      <c r="F51" s="0" t="n">
        <v>32</v>
      </c>
      <c r="G51" s="0" t="inlineStr">
        <is>
          <t>/mnt/d/paper_source/work_9/VeriANN_repro_2026-09-30/VeriANN_repro_2026-09-30/results/work9-recall99-20261015/VLAH-evaluation/per_query.csv</t>
        </is>
      </c>
    </row>
    <row r="52">
      <c r="A52" s="0" t="inlineStr">
        <is>
          <t>M19</t>
        </is>
      </c>
      <c r="B52" s="0" t="n">
        <v>95.2</v>
      </c>
      <c r="C52" s="0" t="inlineStr">
        <is>
          <t>recall_percent</t>
        </is>
      </c>
      <c r="D52" s="0" t="n">
        <v>10</v>
      </c>
      <c r="E52" s="0" t="n">
        <v>100</v>
      </c>
      <c r="F52" s="0" t="n">
        <v>39</v>
      </c>
      <c r="G52" s="0" t="inlineStr">
        <is>
          <t>/mnt/d/paper_source/work_9/VeriANN_repro_2026-09-30/VeriANN_repro_2026-09-30/results/work9-recall99-20261015/VLAH-evaluation/per_query.csv</t>
        </is>
      </c>
    </row>
    <row r="53">
      <c r="A53" s="0" t="inlineStr">
        <is>
          <t>M20</t>
        </is>
      </c>
      <c r="B53" s="0" t="n">
        <v>22551.14638</v>
      </c>
      <c r="C53" s="0" t="inlineStr">
        <is>
          <t>vo_kb</t>
        </is>
      </c>
      <c r="D53" s="0" t="n">
        <v>10</v>
      </c>
      <c r="E53" s="0" t="n">
        <v>100</v>
      </c>
      <c r="F53" s="0" t="n">
        <v>39</v>
      </c>
      <c r="G53" s="0" t="inlineStr">
        <is>
          <t>/mnt/d/paper_source/work_9/VeriANN_repro_2026-09-30/VeriANN_repro_2026-09-30/results/work9-recall99-20261015/VLAH-evaluation/per_query.csv</t>
        </is>
      </c>
    </row>
    <row r="54">
      <c r="A54" s="0" t="inlineStr">
        <is>
          <t>M29</t>
        </is>
      </c>
      <c r="B54" s="0" t="n">
        <v>95.2</v>
      </c>
      <c r="C54" s="0" t="inlineStr">
        <is>
          <t>recall_percent</t>
        </is>
      </c>
      <c r="D54" s="0" t="n">
        <v>10</v>
      </c>
      <c r="E54" s="0" t="n">
        <v>100</v>
      </c>
      <c r="F54" s="0" t="n">
        <v>39</v>
      </c>
      <c r="G54" s="0" t="inlineStr">
        <is>
          <t>/mnt/d/paper_source/work_9/VeriANN_repro_2026-09-30/VeriANN_repro_2026-09-30/results/work9-recall99-20261015/VLAH-evaluation/per_query.csv</t>
        </is>
      </c>
    </row>
    <row r="55">
      <c r="A55" s="0" t="inlineStr">
        <is>
          <t>M30</t>
        </is>
      </c>
      <c r="B55" s="0" t="n">
        <v>150.39012002</v>
      </c>
      <c r="C55" s="0" t="inlineStr">
        <is>
          <t>verify_ms</t>
        </is>
      </c>
      <c r="D55" s="0" t="n">
        <v>10</v>
      </c>
      <c r="E55" s="0" t="n">
        <v>100</v>
      </c>
      <c r="F55" s="0" t="n">
        <v>39</v>
      </c>
      <c r="G55" s="0" t="inlineStr">
        <is>
          <t>/mnt/d/paper_source/work_9/VeriANN_repro_2026-09-30/VeriANN_repro_2026-09-30/results/work9-recall99-20261015/VLAH-evaluation/per_query.csv</t>
        </is>
      </c>
    </row>
    <row r="56">
      <c r="A56" s="0" t="inlineStr">
        <is>
          <t>M39</t>
        </is>
      </c>
      <c r="B56" s="0" t="n">
        <v>95.2</v>
      </c>
      <c r="C56" s="0" t="inlineStr">
        <is>
          <t>recall_percent</t>
        </is>
      </c>
      <c r="D56" s="0" t="n">
        <v>10</v>
      </c>
      <c r="E56" s="0" t="n">
        <v>100</v>
      </c>
      <c r="F56" s="0" t="n">
        <v>39</v>
      </c>
      <c r="G56" s="0" t="inlineStr">
        <is>
          <t>/mnt/d/paper_source/work_9/VeriANN_repro_2026-09-30/VeriANN_repro_2026-09-30/results/work9-recall99-20261015/VLAH-evaluation/per_query.csv</t>
        </is>
      </c>
    </row>
    <row r="57">
      <c r="A57" s="0" t="inlineStr">
        <is>
          <t>M40</t>
        </is>
      </c>
      <c r="B57" s="0" t="n">
        <v>56.3584423366667</v>
      </c>
      <c r="C57" s="0" t="inlineStr">
        <is>
          <t>query_ms</t>
        </is>
      </c>
      <c r="D57" s="0" t="n">
        <v>10</v>
      </c>
      <c r="E57" s="0" t="n">
        <v>100</v>
      </c>
      <c r="F57" s="0" t="n">
        <v>39</v>
      </c>
      <c r="G57" s="0" t="inlineStr">
        <is>
          <t>/mnt/d/paper_source/work_9/VeriANN_repro_2026-09-30/VeriANN_repro_2026-09-30/results/work9-recall99-20261015/VLAH-evaluation/per_query.csv</t>
        </is>
      </c>
    </row>
    <row r="58">
      <c r="A58" s="0" t="inlineStr">
        <is>
          <t>N19</t>
        </is>
      </c>
      <c r="B58" s="0" t="n">
        <v>97.2</v>
      </c>
      <c r="C58" s="0" t="inlineStr">
        <is>
          <t>recall_percent</t>
        </is>
      </c>
      <c r="D58" s="0" t="n">
        <v>10</v>
      </c>
      <c r="E58" s="0" t="n">
        <v>100</v>
      </c>
      <c r="F58" s="0" t="n">
        <v>41</v>
      </c>
      <c r="G58" s="0" t="inlineStr">
        <is>
          <t>/mnt/d/paper_source/work_9/VeriANN_repro_2026-09-30/VeriANN_repro_2026-09-30/results/work9-recall99-20261015/VLAH-evaluation/per_query.csv</t>
        </is>
      </c>
    </row>
    <row r="59">
      <c r="A59" s="0" t="inlineStr">
        <is>
          <t>N20</t>
        </is>
      </c>
      <c r="B59" s="0" t="n">
        <v>23604.59377</v>
      </c>
      <c r="C59" s="0" t="inlineStr">
        <is>
          <t>vo_kb</t>
        </is>
      </c>
      <c r="D59" s="0" t="n">
        <v>10</v>
      </c>
      <c r="E59" s="0" t="n">
        <v>100</v>
      </c>
      <c r="F59" s="0" t="n">
        <v>41</v>
      </c>
      <c r="G59" s="0" t="inlineStr">
        <is>
          <t>/mnt/d/paper_source/work_9/VeriANN_repro_2026-09-30/VeriANN_repro_2026-09-30/results/work9-recall99-20261015/VLAH-evaluation/per_query.csv</t>
        </is>
      </c>
    </row>
    <row r="60">
      <c r="A60" s="0" t="inlineStr">
        <is>
          <t>N29</t>
        </is>
      </c>
      <c r="B60" s="0" t="n">
        <v>97.2</v>
      </c>
      <c r="C60" s="0" t="inlineStr">
        <is>
          <t>recall_percent</t>
        </is>
      </c>
      <c r="D60" s="0" t="n">
        <v>10</v>
      </c>
      <c r="E60" s="0" t="n">
        <v>100</v>
      </c>
      <c r="F60" s="0" t="n">
        <v>41</v>
      </c>
      <c r="G60" s="0" t="inlineStr">
        <is>
          <t>/mnt/d/paper_source/work_9/VeriANN_repro_2026-09-30/VeriANN_repro_2026-09-30/results/work9-recall99-20261015/VLAH-evaluation/per_query.csv</t>
        </is>
      </c>
    </row>
    <row r="61">
      <c r="A61" s="0" t="inlineStr">
        <is>
          <t>N30</t>
        </is>
      </c>
      <c r="B61" s="0" t="n">
        <v>158.266914293333</v>
      </c>
      <c r="C61" s="0" t="inlineStr">
        <is>
          <t>verify_ms</t>
        </is>
      </c>
      <c r="D61" s="0" t="n">
        <v>10</v>
      </c>
      <c r="E61" s="0" t="n">
        <v>100</v>
      </c>
      <c r="F61" s="0" t="n">
        <v>41</v>
      </c>
      <c r="G61" s="0" t="inlineStr">
        <is>
          <t>/mnt/d/paper_source/work_9/VeriANN_repro_2026-09-30/VeriANN_repro_2026-09-30/results/work9-recall99-20261015/VLAH-evaluation/per_query.csv</t>
        </is>
      </c>
    </row>
    <row r="62">
      <c r="A62" s="0" t="inlineStr">
        <is>
          <t>N39</t>
        </is>
      </c>
      <c r="B62" s="0" t="n">
        <v>97.2</v>
      </c>
      <c r="C62" s="0" t="inlineStr">
        <is>
          <t>recall_percent</t>
        </is>
      </c>
      <c r="D62" s="0" t="n">
        <v>10</v>
      </c>
      <c r="E62" s="0" t="n">
        <v>100</v>
      </c>
      <c r="F62" s="0" t="n">
        <v>41</v>
      </c>
      <c r="G62" s="0" t="inlineStr">
        <is>
          <t>/mnt/d/paper_source/work_9/VeriANN_repro_2026-09-30/VeriANN_repro_2026-09-30/results/work9-recall99-20261015/VLAH-evaluation/per_query.csv</t>
        </is>
      </c>
    </row>
    <row r="63">
      <c r="A63" s="0" t="inlineStr">
        <is>
          <t>N40</t>
        </is>
      </c>
      <c r="B63" s="0" t="n">
        <v>60.5991719466667</v>
      </c>
      <c r="C63" s="0" t="inlineStr">
        <is>
          <t>query_ms</t>
        </is>
      </c>
      <c r="D63" s="0" t="n">
        <v>10</v>
      </c>
      <c r="E63" s="0" t="n">
        <v>100</v>
      </c>
      <c r="F63" s="0" t="n">
        <v>41</v>
      </c>
      <c r="G63" s="0" t="inlineStr">
        <is>
          <t>/mnt/d/paper_source/work_9/VeriANN_repro_2026-09-30/VeriANN_repro_2026-09-30/results/work9-recall99-20261015/VLAH-evaluation/per_query.csv</t>
        </is>
      </c>
    </row>
    <row r="64">
      <c r="A64" s="0" t="inlineStr">
        <is>
          <t>O19</t>
        </is>
      </c>
      <c r="B64" s="0" t="n">
        <v>98</v>
      </c>
      <c r="C64" s="0" t="inlineStr">
        <is>
          <t>recall_percent</t>
        </is>
      </c>
      <c r="D64" s="0" t="n">
        <v>10</v>
      </c>
      <c r="E64" s="0" t="n">
        <v>100</v>
      </c>
      <c r="F64" s="0" t="n">
        <v>44</v>
      </c>
      <c r="G64" s="0" t="inlineStr">
        <is>
          <t>/mnt/d/paper_source/work_9/VeriANN_repro_2026-09-30/VeriANN_repro_2026-09-30/results/work9-recall99-20261015/VLAH-evaluation/per_query.csv</t>
        </is>
      </c>
    </row>
    <row r="65">
      <c r="A65" s="0" t="inlineStr">
        <is>
          <t>O20</t>
        </is>
      </c>
      <c r="B65" s="0" t="n">
        <v>24977.07306</v>
      </c>
      <c r="C65" s="0" t="inlineStr">
        <is>
          <t>vo_kb</t>
        </is>
      </c>
      <c r="D65" s="0" t="n">
        <v>10</v>
      </c>
      <c r="E65" s="0" t="n">
        <v>100</v>
      </c>
      <c r="F65" s="0" t="n">
        <v>44</v>
      </c>
      <c r="G65" s="0" t="inlineStr">
        <is>
          <t>/mnt/d/paper_source/work_9/VeriANN_repro_2026-09-30/VeriANN_repro_2026-09-30/results/work9-recall99-20261015/VLAH-evaluation/per_query.csv</t>
        </is>
      </c>
    </row>
    <row r="66">
      <c r="A66" s="0" t="inlineStr">
        <is>
          <t>O29</t>
        </is>
      </c>
      <c r="B66" s="0" t="n">
        <v>98</v>
      </c>
      <c r="C66" s="0" t="inlineStr">
        <is>
          <t>recall_percent</t>
        </is>
      </c>
      <c r="D66" s="0" t="n">
        <v>10</v>
      </c>
      <c r="E66" s="0" t="n">
        <v>100</v>
      </c>
      <c r="F66" s="0" t="n">
        <v>44</v>
      </c>
      <c r="G66" s="0" t="inlineStr">
        <is>
          <t>/mnt/d/paper_source/work_9/VeriANN_repro_2026-09-30/VeriANN_repro_2026-09-30/results/work9-recall99-20261015/VLAH-evaluation/per_query.csv</t>
        </is>
      </c>
    </row>
    <row r="67">
      <c r="A67" s="0" t="inlineStr">
        <is>
          <t>O30</t>
        </is>
      </c>
      <c r="B67" s="0" t="n">
        <v>167.846554113333</v>
      </c>
      <c r="C67" s="0" t="inlineStr">
        <is>
          <t>verify_ms</t>
        </is>
      </c>
      <c r="D67" s="0" t="n">
        <v>10</v>
      </c>
      <c r="E67" s="0" t="n">
        <v>100</v>
      </c>
      <c r="F67" s="0" t="n">
        <v>44</v>
      </c>
      <c r="G67" s="0" t="inlineStr">
        <is>
          <t>/mnt/d/paper_source/work_9/VeriANN_repro_2026-09-30/VeriANN_repro_2026-09-30/results/work9-recall99-20261015/VLAH-evaluation/per_query.csv</t>
        </is>
      </c>
    </row>
    <row r="68">
      <c r="A68" s="0" t="inlineStr">
        <is>
          <t>O39</t>
        </is>
      </c>
      <c r="B68" s="0" t="n">
        <v>98</v>
      </c>
      <c r="C68" s="0" t="inlineStr">
        <is>
          <t>recall_percent</t>
        </is>
      </c>
      <c r="D68" s="0" t="n">
        <v>10</v>
      </c>
      <c r="E68" s="0" t="n">
        <v>100</v>
      </c>
      <c r="F68" s="0" t="n">
        <v>44</v>
      </c>
      <c r="G68" s="0" t="inlineStr">
        <is>
          <t>/mnt/d/paper_source/work_9/VeriANN_repro_2026-09-30/VeriANN_repro_2026-09-30/results/work9-recall99-20261015/VLAH-evaluation/per_query.csv</t>
        </is>
      </c>
    </row>
    <row r="69">
      <c r="A69" s="0" t="inlineStr">
        <is>
          <t>O40</t>
        </is>
      </c>
      <c r="B69" s="0" t="n">
        <v>67.77530642000001</v>
      </c>
      <c r="C69" s="0" t="inlineStr">
        <is>
          <t>query_ms</t>
        </is>
      </c>
      <c r="D69" s="0" t="n">
        <v>10</v>
      </c>
      <c r="E69" s="0" t="n">
        <v>100</v>
      </c>
      <c r="F69" s="0" t="n">
        <v>44</v>
      </c>
      <c r="G69" s="0" t="inlineStr">
        <is>
          <t>/mnt/d/paper_source/work_9/VeriANN_repro_2026-09-30/VeriANN_repro_2026-09-30/results/work9-recall99-20261015/VLAH-evaluation/per_query.csv</t>
        </is>
      </c>
    </row>
    <row r="70">
      <c r="A70" s="0" t="inlineStr">
        <is>
          <t>P19</t>
        </is>
      </c>
      <c r="B70" s="0" t="n">
        <v>99.09999999999999</v>
      </c>
      <c r="C70" s="0" t="inlineStr">
        <is>
          <t>recall_percent</t>
        </is>
      </c>
      <c r="D70" s="0" t="n">
        <v>10</v>
      </c>
      <c r="E70" s="0" t="n">
        <v>100</v>
      </c>
      <c r="F70" s="0" t="n">
        <v>47</v>
      </c>
      <c r="G70" s="0" t="inlineStr">
        <is>
          <t>/mnt/d/paper_source/work_9/VeriANN_repro_2026-09-30/VeriANN_repro_2026-09-30/results/work9-recall99-20261015/VLAH-evaluation/per_query.csv</t>
        </is>
      </c>
    </row>
    <row r="71">
      <c r="A71" s="0" t="inlineStr">
        <is>
          <t>P20</t>
        </is>
      </c>
      <c r="B71" s="0" t="n">
        <v>26276.0758</v>
      </c>
      <c r="C71" s="0" t="inlineStr">
        <is>
          <t>vo_kb</t>
        </is>
      </c>
      <c r="D71" s="0" t="n">
        <v>10</v>
      </c>
      <c r="E71" s="0" t="n">
        <v>100</v>
      </c>
      <c r="F71" s="0" t="n">
        <v>47</v>
      </c>
      <c r="G71" s="0" t="inlineStr">
        <is>
          <t>/mnt/d/paper_source/work_9/VeriANN_repro_2026-09-30/VeriANN_repro_2026-09-30/results/work9-recall99-20261015/VLAH-evaluation/per_query.csv</t>
        </is>
      </c>
    </row>
    <row r="72">
      <c r="A72" s="0" t="inlineStr">
        <is>
          <t>P29</t>
        </is>
      </c>
      <c r="B72" s="0" t="n">
        <v>99.09999999999999</v>
      </c>
      <c r="C72" s="0" t="inlineStr">
        <is>
          <t>recall_percent</t>
        </is>
      </c>
      <c r="D72" s="0" t="n">
        <v>10</v>
      </c>
      <c r="E72" s="0" t="n">
        <v>100</v>
      </c>
      <c r="F72" s="0" t="n">
        <v>47</v>
      </c>
      <c r="G72" s="0" t="inlineStr">
        <is>
          <t>/mnt/d/paper_source/work_9/VeriANN_repro_2026-09-30/VeriANN_repro_2026-09-30/results/work9-recall99-20261015/VLAH-evaluation/per_query.csv</t>
        </is>
      </c>
    </row>
    <row r="73">
      <c r="A73" s="0" t="inlineStr">
        <is>
          <t>P30</t>
        </is>
      </c>
      <c r="B73" s="0" t="n">
        <v>176.97110718</v>
      </c>
      <c r="C73" s="0" t="inlineStr">
        <is>
          <t>verify_ms</t>
        </is>
      </c>
      <c r="D73" s="0" t="n">
        <v>10</v>
      </c>
      <c r="E73" s="0" t="n">
        <v>100</v>
      </c>
      <c r="F73" s="0" t="n">
        <v>47</v>
      </c>
      <c r="G73" s="0" t="inlineStr">
        <is>
          <t>/mnt/d/paper_source/work_9/VeriANN_repro_2026-09-30/VeriANN_repro_2026-09-30/results/work9-recall99-20261015/VLAH-evaluation/per_query.csv</t>
        </is>
      </c>
    </row>
    <row r="74">
      <c r="A74" s="0" t="inlineStr">
        <is>
          <t>P39</t>
        </is>
      </c>
      <c r="B74" s="0" t="n">
        <v>99.09999999999999</v>
      </c>
      <c r="C74" s="0" t="inlineStr">
        <is>
          <t>recall_percent</t>
        </is>
      </c>
      <c r="D74" s="0" t="n">
        <v>10</v>
      </c>
      <c r="E74" s="0" t="n">
        <v>100</v>
      </c>
      <c r="F74" s="0" t="n">
        <v>47</v>
      </c>
      <c r="G74" s="0" t="inlineStr">
        <is>
          <t>/mnt/d/paper_source/work_9/VeriANN_repro_2026-09-30/VeriANN_repro_2026-09-30/results/work9-recall99-20261015/VLAH-evaluation/per_query.csv</t>
        </is>
      </c>
    </row>
    <row r="75">
      <c r="A75" s="0" t="inlineStr">
        <is>
          <t>P40</t>
        </is>
      </c>
      <c r="B75" s="0" t="n">
        <v>71.5946153666667</v>
      </c>
      <c r="C75" s="0" t="inlineStr">
        <is>
          <t>query_ms</t>
        </is>
      </c>
      <c r="D75" s="0" t="n">
        <v>10</v>
      </c>
      <c r="E75" s="0" t="n">
        <v>100</v>
      </c>
      <c r="F75" s="0" t="n">
        <v>47</v>
      </c>
      <c r="G75" s="0" t="inlineStr">
        <is>
          <t>/mnt/d/paper_source/work_9/VeriANN_repro_2026-09-30/VeriANN_repro_2026-09-30/results/work9-recall99-20261015/VLAH-evaluation/per_query.csv</t>
        </is>
      </c>
    </row>
    <row r="76">
      <c r="A76" s="0" t="inlineStr">
        <is>
          <t>F21</t>
        </is>
      </c>
      <c r="B76" s="0" t="n">
        <v>62.1</v>
      </c>
      <c r="C76" s="0" t="inlineStr">
        <is>
          <t>recall_percent</t>
        </is>
      </c>
      <c r="D76" s="0" t="n">
        <v>10</v>
      </c>
      <c r="E76" s="0" t="n">
        <v>14</v>
      </c>
      <c r="F76" s="0" t="n">
        <v>1</v>
      </c>
      <c r="G76" s="0" t="inlineStr">
        <is>
          <t>/mnt/d/paper_source/work_9/VeriANN_repro_2026-09-30/VeriANN_repro_2026-09-30/results/work9-recall99-20261015/ANNProof-evaluation/per_query.csv</t>
        </is>
      </c>
    </row>
    <row r="77">
      <c r="A77" s="0" t="inlineStr">
        <is>
          <t>F22</t>
        </is>
      </c>
      <c r="B77" s="0" t="n">
        <v>304.84092</v>
      </c>
      <c r="C77" s="0" t="inlineStr">
        <is>
          <t>vo_kb</t>
        </is>
      </c>
      <c r="D77" s="0" t="n">
        <v>10</v>
      </c>
      <c r="E77" s="0" t="n">
        <v>14</v>
      </c>
      <c r="F77" s="0" t="n">
        <v>1</v>
      </c>
      <c r="G77" s="0" t="inlineStr">
        <is>
          <t>/mnt/d/paper_source/work_9/VeriANN_repro_2026-09-30/VeriANN_repro_2026-09-30/results/work9-recall99-20261015/ANNProof-evaluation/per_query.csv</t>
        </is>
      </c>
    </row>
    <row r="78">
      <c r="A78" s="0" t="inlineStr">
        <is>
          <t>F31</t>
        </is>
      </c>
      <c r="B78" s="0" t="n">
        <v>62.1</v>
      </c>
      <c r="C78" s="0" t="inlineStr">
        <is>
          <t>recall_percent</t>
        </is>
      </c>
      <c r="D78" s="0" t="n">
        <v>10</v>
      </c>
      <c r="E78" s="0" t="n">
        <v>14</v>
      </c>
      <c r="F78" s="0" t="n">
        <v>1</v>
      </c>
      <c r="G78" s="0" t="inlineStr">
        <is>
          <t>/mnt/d/paper_source/work_9/VeriANN_repro_2026-09-30/VeriANN_repro_2026-09-30/results/work9-recall99-20261015/ANNProof-evaluation/per_query.csv</t>
        </is>
      </c>
    </row>
    <row r="79">
      <c r="A79" s="0" t="inlineStr">
        <is>
          <t>F32</t>
        </is>
      </c>
      <c r="B79" s="0" t="n">
        <v>3.80049899333333</v>
      </c>
      <c r="C79" s="0" t="inlineStr">
        <is>
          <t>verify_ms</t>
        </is>
      </c>
      <c r="D79" s="0" t="n">
        <v>10</v>
      </c>
      <c r="E79" s="0" t="n">
        <v>14</v>
      </c>
      <c r="F79" s="0" t="n">
        <v>1</v>
      </c>
      <c r="G79" s="0" t="inlineStr">
        <is>
          <t>/mnt/d/paper_source/work_9/VeriANN_repro_2026-09-30/VeriANN_repro_2026-09-30/results/work9-recall99-20261015/ANNProof-evaluation/per_query.csv</t>
        </is>
      </c>
    </row>
    <row r="80">
      <c r="A80" s="0" t="inlineStr">
        <is>
          <t>F41</t>
        </is>
      </c>
      <c r="B80" s="0" t="n">
        <v>62.1</v>
      </c>
      <c r="C80" s="0" t="inlineStr">
        <is>
          <t>recall_percent</t>
        </is>
      </c>
      <c r="D80" s="0" t="n">
        <v>10</v>
      </c>
      <c r="E80" s="0" t="n">
        <v>14</v>
      </c>
      <c r="F80" s="0" t="n">
        <v>1</v>
      </c>
      <c r="G80" s="0" t="inlineStr">
        <is>
          <t>/mnt/d/paper_source/work_9/VeriANN_repro_2026-09-30/VeriANN_repro_2026-09-30/results/work9-recall99-20261015/ANNProof-evaluation/per_query.csv</t>
        </is>
      </c>
    </row>
    <row r="81">
      <c r="A81" s="0" t="inlineStr">
        <is>
          <t>F42</t>
        </is>
      </c>
      <c r="B81" s="0" t="n">
        <v>0.716869013333333</v>
      </c>
      <c r="C81" s="0" t="inlineStr">
        <is>
          <t>query_ms</t>
        </is>
      </c>
      <c r="D81" s="0" t="n">
        <v>10</v>
      </c>
      <c r="E81" s="0" t="n">
        <v>14</v>
      </c>
      <c r="F81" s="0" t="n">
        <v>1</v>
      </c>
      <c r="G81" s="0" t="inlineStr">
        <is>
          <t>/mnt/d/paper_source/work_9/VeriANN_repro_2026-09-30/VeriANN_repro_2026-09-30/results/work9-recall99-20261015/ANNProof-evaluation/per_query.csv</t>
        </is>
      </c>
    </row>
    <row r="82">
      <c r="A82" s="0" t="inlineStr">
        <is>
          <t>G21</t>
        </is>
      </c>
      <c r="B82" s="0" t="n">
        <v>66.7</v>
      </c>
      <c r="C82" s="0" t="inlineStr">
        <is>
          <t>recall_percent</t>
        </is>
      </c>
      <c r="D82" s="0" t="n">
        <v>10</v>
      </c>
      <c r="E82" s="0" t="n">
        <v>16</v>
      </c>
      <c r="F82" s="0" t="n">
        <v>1</v>
      </c>
      <c r="G82" s="0" t="inlineStr">
        <is>
          <t>/mnt/d/paper_source/work_9/VeriANN_repro_2026-09-30/VeriANN_repro_2026-09-30/results/work9-recall99-20261015/ANNProof-evaluation/per_query.csv</t>
        </is>
      </c>
    </row>
    <row r="83">
      <c r="A83" s="0" t="inlineStr">
        <is>
          <t>G22</t>
        </is>
      </c>
      <c r="B83" s="0" t="n">
        <v>329.81636</v>
      </c>
      <c r="C83" s="0" t="inlineStr">
        <is>
          <t>vo_kb</t>
        </is>
      </c>
      <c r="D83" s="0" t="n">
        <v>10</v>
      </c>
      <c r="E83" s="0" t="n">
        <v>16</v>
      </c>
      <c r="F83" s="0" t="n">
        <v>1</v>
      </c>
      <c r="G83" s="0" t="inlineStr">
        <is>
          <t>/mnt/d/paper_source/work_9/VeriANN_repro_2026-09-30/VeriANN_repro_2026-09-30/results/work9-recall99-20261015/ANNProof-evaluation/per_query.csv</t>
        </is>
      </c>
    </row>
    <row r="84">
      <c r="A84" s="0" t="inlineStr">
        <is>
          <t>G31</t>
        </is>
      </c>
      <c r="B84" s="0" t="n">
        <v>66.7</v>
      </c>
      <c r="C84" s="0" t="inlineStr">
        <is>
          <t>recall_percent</t>
        </is>
      </c>
      <c r="D84" s="0" t="n">
        <v>10</v>
      </c>
      <c r="E84" s="0" t="n">
        <v>16</v>
      </c>
      <c r="F84" s="0" t="n">
        <v>1</v>
      </c>
      <c r="G84" s="0" t="inlineStr">
        <is>
          <t>/mnt/d/paper_source/work_9/VeriANN_repro_2026-09-30/VeriANN_repro_2026-09-30/results/work9-recall99-20261015/ANNProof-evaluation/per_query.csv</t>
        </is>
      </c>
    </row>
    <row r="85">
      <c r="A85" s="0" t="inlineStr">
        <is>
          <t>G32</t>
        </is>
      </c>
      <c r="B85" s="0" t="n">
        <v>4.15148504666667</v>
      </c>
      <c r="C85" s="0" t="inlineStr">
        <is>
          <t>verify_ms</t>
        </is>
      </c>
      <c r="D85" s="0" t="n">
        <v>10</v>
      </c>
      <c r="E85" s="0" t="n">
        <v>16</v>
      </c>
      <c r="F85" s="0" t="n">
        <v>1</v>
      </c>
      <c r="G85" s="0" t="inlineStr">
        <is>
          <t>/mnt/d/paper_source/work_9/VeriANN_repro_2026-09-30/VeriANN_repro_2026-09-30/results/work9-recall99-20261015/ANNProof-evaluation/per_query.csv</t>
        </is>
      </c>
    </row>
    <row r="86">
      <c r="A86" s="0" t="inlineStr">
        <is>
          <t>G41</t>
        </is>
      </c>
      <c r="B86" s="0" t="n">
        <v>66.7</v>
      </c>
      <c r="C86" s="0" t="inlineStr">
        <is>
          <t>recall_percent</t>
        </is>
      </c>
      <c r="D86" s="0" t="n">
        <v>10</v>
      </c>
      <c r="E86" s="0" t="n">
        <v>16</v>
      </c>
      <c r="F86" s="0" t="n">
        <v>1</v>
      </c>
      <c r="G86" s="0" t="inlineStr">
        <is>
          <t>/mnt/d/paper_source/work_9/VeriANN_repro_2026-09-30/VeriANN_repro_2026-09-30/results/work9-recall99-20261015/ANNProof-evaluation/per_query.csv</t>
        </is>
      </c>
    </row>
    <row r="87">
      <c r="A87" s="0" t="inlineStr">
        <is>
          <t>G42</t>
        </is>
      </c>
      <c r="B87" s="0" t="n">
        <v>0.752639593333333</v>
      </c>
      <c r="C87" s="0" t="inlineStr">
        <is>
          <t>query_ms</t>
        </is>
      </c>
      <c r="D87" s="0" t="n">
        <v>10</v>
      </c>
      <c r="E87" s="0" t="n">
        <v>16</v>
      </c>
      <c r="F87" s="0" t="n">
        <v>1</v>
      </c>
      <c r="G87" s="0" t="inlineStr">
        <is>
          <t>/mnt/d/paper_source/work_9/VeriANN_repro_2026-09-30/VeriANN_repro_2026-09-30/results/work9-recall99-20261015/ANNProof-evaluation/per_query.csv</t>
        </is>
      </c>
    </row>
    <row r="88">
      <c r="A88" s="0" t="inlineStr">
        <is>
          <t>H21</t>
        </is>
      </c>
      <c r="B88" s="0" t="n">
        <v>71.59999999999999</v>
      </c>
      <c r="C88" s="0" t="inlineStr">
        <is>
          <t>recall_percent</t>
        </is>
      </c>
      <c r="D88" s="0" t="n">
        <v>10</v>
      </c>
      <c r="E88" s="0" t="n">
        <v>20</v>
      </c>
      <c r="F88" s="0" t="n">
        <v>1</v>
      </c>
      <c r="G88" s="0" t="inlineStr">
        <is>
          <t>/mnt/d/paper_source/work_9/VeriANN_repro_2026-09-30/VeriANN_repro_2026-09-30/results/work9-recall99-20261015/ANNProof-evaluation/per_query.csv</t>
        </is>
      </c>
    </row>
    <row r="89">
      <c r="A89" s="0" t="inlineStr">
        <is>
          <t>H22</t>
        </is>
      </c>
      <c r="B89" s="0" t="n">
        <v>371.42244</v>
      </c>
      <c r="C89" s="0" t="inlineStr">
        <is>
          <t>vo_kb</t>
        </is>
      </c>
      <c r="D89" s="0" t="n">
        <v>10</v>
      </c>
      <c r="E89" s="0" t="n">
        <v>20</v>
      </c>
      <c r="F89" s="0" t="n">
        <v>1</v>
      </c>
      <c r="G89" s="0" t="inlineStr">
        <is>
          <t>/mnt/d/paper_source/work_9/VeriANN_repro_2026-09-30/VeriANN_repro_2026-09-30/results/work9-recall99-20261015/ANNProof-evaluation/per_query.csv</t>
        </is>
      </c>
    </row>
    <row r="90">
      <c r="A90" s="0" t="inlineStr">
        <is>
          <t>H31</t>
        </is>
      </c>
      <c r="B90" s="0" t="n">
        <v>71.59999999999999</v>
      </c>
      <c r="C90" s="0" t="inlineStr">
        <is>
          <t>recall_percent</t>
        </is>
      </c>
      <c r="D90" s="0" t="n">
        <v>10</v>
      </c>
      <c r="E90" s="0" t="n">
        <v>20</v>
      </c>
      <c r="F90" s="0" t="n">
        <v>1</v>
      </c>
      <c r="G90" s="0" t="inlineStr">
        <is>
          <t>/mnt/d/paper_source/work_9/VeriANN_repro_2026-09-30/VeriANN_repro_2026-09-30/results/work9-recall99-20261015/ANNProof-evaluation/per_query.csv</t>
        </is>
      </c>
    </row>
    <row r="91">
      <c r="A91" s="0" t="inlineStr">
        <is>
          <t>H32</t>
        </is>
      </c>
      <c r="B91" s="0" t="n">
        <v>4.66283399333333</v>
      </c>
      <c r="C91" s="0" t="inlineStr">
        <is>
          <t>verify_ms</t>
        </is>
      </c>
      <c r="D91" s="0" t="n">
        <v>10</v>
      </c>
      <c r="E91" s="0" t="n">
        <v>20</v>
      </c>
      <c r="F91" s="0" t="n">
        <v>1</v>
      </c>
      <c r="G91" s="0" t="inlineStr">
        <is>
          <t>/mnt/d/paper_source/work_9/VeriANN_repro_2026-09-30/VeriANN_repro_2026-09-30/results/work9-recall99-20261015/ANNProof-evaluation/per_query.csv</t>
        </is>
      </c>
    </row>
    <row r="92">
      <c r="A92" s="0" t="inlineStr">
        <is>
          <t>H41</t>
        </is>
      </c>
      <c r="B92" s="0" t="n">
        <v>71.59999999999999</v>
      </c>
      <c r="C92" s="0" t="inlineStr">
        <is>
          <t>recall_percent</t>
        </is>
      </c>
      <c r="D92" s="0" t="n">
        <v>10</v>
      </c>
      <c r="E92" s="0" t="n">
        <v>20</v>
      </c>
      <c r="F92" s="0" t="n">
        <v>1</v>
      </c>
      <c r="G92" s="0" t="inlineStr">
        <is>
          <t>/mnt/d/paper_source/work_9/VeriANN_repro_2026-09-30/VeriANN_repro_2026-09-30/results/work9-recall99-20261015/ANNProof-evaluation/per_query.csv</t>
        </is>
      </c>
    </row>
    <row r="93">
      <c r="A93" s="0" t="inlineStr">
        <is>
          <t>H42</t>
        </is>
      </c>
      <c r="B93" s="0" t="n">
        <v>0.8841314</v>
      </c>
      <c r="C93" s="0" t="inlineStr">
        <is>
          <t>query_ms</t>
        </is>
      </c>
      <c r="D93" s="0" t="n">
        <v>10</v>
      </c>
      <c r="E93" s="0" t="n">
        <v>20</v>
      </c>
      <c r="F93" s="0" t="n">
        <v>1</v>
      </c>
      <c r="G93" s="0" t="inlineStr">
        <is>
          <t>/mnt/d/paper_source/work_9/VeriANN_repro_2026-09-30/VeriANN_repro_2026-09-30/results/work9-recall99-20261015/ANNProof-evaluation/per_query.csv</t>
        </is>
      </c>
    </row>
    <row r="94">
      <c r="A94" s="0" t="inlineStr">
        <is>
          <t>I21</t>
        </is>
      </c>
      <c r="B94" s="0" t="n">
        <v>75.59999999999999</v>
      </c>
      <c r="C94" s="0" t="inlineStr">
        <is>
          <t>recall_percent</t>
        </is>
      </c>
      <c r="D94" s="0" t="n">
        <v>10</v>
      </c>
      <c r="E94" s="0" t="n">
        <v>24</v>
      </c>
      <c r="F94" s="0" t="n">
        <v>1</v>
      </c>
      <c r="G94" s="0" t="inlineStr">
        <is>
          <t>/mnt/d/paper_source/work_9/VeriANN_repro_2026-09-30/VeriANN_repro_2026-09-30/results/work9-recall99-20261015/ANNProof-evaluation/per_query.csv</t>
        </is>
      </c>
    </row>
    <row r="95">
      <c r="A95" s="0" t="inlineStr">
        <is>
          <t>I22</t>
        </is>
      </c>
      <c r="B95" s="0" t="n">
        <v>410.95908</v>
      </c>
      <c r="C95" s="0" t="inlineStr">
        <is>
          <t>vo_kb</t>
        </is>
      </c>
      <c r="D95" s="0" t="n">
        <v>10</v>
      </c>
      <c r="E95" s="0" t="n">
        <v>24</v>
      </c>
      <c r="F95" s="0" t="n">
        <v>1</v>
      </c>
      <c r="G95" s="0" t="inlineStr">
        <is>
          <t>/mnt/d/paper_source/work_9/VeriANN_repro_2026-09-30/VeriANN_repro_2026-09-30/results/work9-recall99-20261015/ANNProof-evaluation/per_query.csv</t>
        </is>
      </c>
    </row>
    <row r="96">
      <c r="A96" s="0" t="inlineStr">
        <is>
          <t>I31</t>
        </is>
      </c>
      <c r="B96" s="0" t="n">
        <v>75.59999999999999</v>
      </c>
      <c r="C96" s="0" t="inlineStr">
        <is>
          <t>recall_percent</t>
        </is>
      </c>
      <c r="D96" s="0" t="n">
        <v>10</v>
      </c>
      <c r="E96" s="0" t="n">
        <v>24</v>
      </c>
      <c r="F96" s="0" t="n">
        <v>1</v>
      </c>
      <c r="G96" s="0" t="inlineStr">
        <is>
          <t>/mnt/d/paper_source/work_9/VeriANN_repro_2026-09-30/VeriANN_repro_2026-09-30/results/work9-recall99-20261015/ANNProof-evaluation/per_query.csv</t>
        </is>
      </c>
    </row>
    <row r="97">
      <c r="A97" s="0" t="inlineStr">
        <is>
          <t>I32</t>
        </is>
      </c>
      <c r="B97" s="0" t="n">
        <v>5.12229764666667</v>
      </c>
      <c r="C97" s="0" t="inlineStr">
        <is>
          <t>verify_ms</t>
        </is>
      </c>
      <c r="D97" s="0" t="n">
        <v>10</v>
      </c>
      <c r="E97" s="0" t="n">
        <v>24</v>
      </c>
      <c r="F97" s="0" t="n">
        <v>1</v>
      </c>
      <c r="G97" s="0" t="inlineStr">
        <is>
          <t>/mnt/d/paper_source/work_9/VeriANN_repro_2026-09-30/VeriANN_repro_2026-09-30/results/work9-recall99-20261015/ANNProof-evaluation/per_query.csv</t>
        </is>
      </c>
    </row>
    <row r="98">
      <c r="A98" s="0" t="inlineStr">
        <is>
          <t>I41</t>
        </is>
      </c>
      <c r="B98" s="0" t="n">
        <v>75.59999999999999</v>
      </c>
      <c r="C98" s="0" t="inlineStr">
        <is>
          <t>recall_percent</t>
        </is>
      </c>
      <c r="D98" s="0" t="n">
        <v>10</v>
      </c>
      <c r="E98" s="0" t="n">
        <v>24</v>
      </c>
      <c r="F98" s="0" t="n">
        <v>1</v>
      </c>
      <c r="G98" s="0" t="inlineStr">
        <is>
          <t>/mnt/d/paper_source/work_9/VeriANN_repro_2026-09-30/VeriANN_repro_2026-09-30/results/work9-recall99-20261015/ANNProof-evaluation/per_query.csv</t>
        </is>
      </c>
    </row>
    <row r="99">
      <c r="A99" s="0" t="inlineStr">
        <is>
          <t>I42</t>
        </is>
      </c>
      <c r="B99" s="0" t="n">
        <v>0.94956975</v>
      </c>
      <c r="C99" s="0" t="inlineStr">
        <is>
          <t>query_ms</t>
        </is>
      </c>
      <c r="D99" s="0" t="n">
        <v>10</v>
      </c>
      <c r="E99" s="0" t="n">
        <v>24</v>
      </c>
      <c r="F99" s="0" t="n">
        <v>1</v>
      </c>
      <c r="G99" s="0" t="inlineStr">
        <is>
          <t>/mnt/d/paper_source/work_9/VeriANN_repro_2026-09-30/VeriANN_repro_2026-09-30/results/work9-recall99-20261015/ANNProof-evaluation/per_query.csv</t>
        </is>
      </c>
    </row>
    <row r="100">
      <c r="A100" s="0" t="inlineStr">
        <is>
          <t>J21</t>
        </is>
      </c>
      <c r="B100" s="0" t="n">
        <v>81.40000000000001</v>
      </c>
      <c r="C100" s="0" t="inlineStr">
        <is>
          <t>recall_percent</t>
        </is>
      </c>
      <c r="D100" s="0" t="n">
        <v>10</v>
      </c>
      <c r="E100" s="0" t="n">
        <v>34</v>
      </c>
      <c r="F100" s="0" t="n">
        <v>1</v>
      </c>
      <c r="G100" s="0" t="inlineStr">
        <is>
          <t>/mnt/d/paper_source/work_9/VeriANN_repro_2026-09-30/VeriANN_repro_2026-09-30/results/work9-recall99-20261015/ANNProof-evaluation/per_query.csv</t>
        </is>
      </c>
    </row>
    <row r="101">
      <c r="A101" s="0" t="inlineStr">
        <is>
          <t>J22</t>
        </is>
      </c>
      <c r="B101" s="0" t="n">
        <v>502.67152</v>
      </c>
      <c r="C101" s="0" t="inlineStr">
        <is>
          <t>vo_kb</t>
        </is>
      </c>
      <c r="D101" s="0" t="n">
        <v>10</v>
      </c>
      <c r="E101" s="0" t="n">
        <v>34</v>
      </c>
      <c r="F101" s="0" t="n">
        <v>1</v>
      </c>
      <c r="G101" s="0" t="inlineStr">
        <is>
          <t>/mnt/d/paper_source/work_9/VeriANN_repro_2026-09-30/VeriANN_repro_2026-09-30/results/work9-recall99-20261015/ANNProof-evaluation/per_query.csv</t>
        </is>
      </c>
    </row>
    <row r="102">
      <c r="A102" s="0" t="inlineStr">
        <is>
          <t>J31</t>
        </is>
      </c>
      <c r="B102" s="0" t="n">
        <v>81.40000000000001</v>
      </c>
      <c r="C102" s="0" t="inlineStr">
        <is>
          <t>recall_percent</t>
        </is>
      </c>
      <c r="D102" s="0" t="n">
        <v>10</v>
      </c>
      <c r="E102" s="0" t="n">
        <v>34</v>
      </c>
      <c r="F102" s="0" t="n">
        <v>1</v>
      </c>
      <c r="G102" s="0" t="inlineStr">
        <is>
          <t>/mnt/d/paper_source/work_9/VeriANN_repro_2026-09-30/VeriANN_repro_2026-09-30/results/work9-recall99-20261015/ANNProof-evaluation/per_query.csv</t>
        </is>
      </c>
    </row>
    <row r="103">
      <c r="A103" s="0" t="inlineStr">
        <is>
          <t>J32</t>
        </is>
      </c>
      <c r="B103" s="0" t="n">
        <v>6.30241411666667</v>
      </c>
      <c r="C103" s="0" t="inlineStr">
        <is>
          <t>verify_ms</t>
        </is>
      </c>
      <c r="D103" s="0" t="n">
        <v>10</v>
      </c>
      <c r="E103" s="0" t="n">
        <v>34</v>
      </c>
      <c r="F103" s="0" t="n">
        <v>1</v>
      </c>
      <c r="G103" s="0" t="inlineStr">
        <is>
          <t>/mnt/d/paper_source/work_9/VeriANN_repro_2026-09-30/VeriANN_repro_2026-09-30/results/work9-recall99-20261015/ANNProof-evaluation/per_query.csv</t>
        </is>
      </c>
    </row>
    <row r="104">
      <c r="A104" s="0" t="inlineStr">
        <is>
          <t>J41</t>
        </is>
      </c>
      <c r="B104" s="0" t="n">
        <v>81.40000000000001</v>
      </c>
      <c r="C104" s="0" t="inlineStr">
        <is>
          <t>recall_percent</t>
        </is>
      </c>
      <c r="D104" s="0" t="n">
        <v>10</v>
      </c>
      <c r="E104" s="0" t="n">
        <v>34</v>
      </c>
      <c r="F104" s="0" t="n">
        <v>1</v>
      </c>
      <c r="G104" s="0" t="inlineStr">
        <is>
          <t>/mnt/d/paper_source/work_9/VeriANN_repro_2026-09-30/VeriANN_repro_2026-09-30/results/work9-recall99-20261015/ANNProof-evaluation/per_query.csv</t>
        </is>
      </c>
    </row>
    <row r="105">
      <c r="A105" s="0" t="inlineStr">
        <is>
          <t>J42</t>
        </is>
      </c>
      <c r="B105" s="0" t="n">
        <v>1.19981304666667</v>
      </c>
      <c r="C105" s="0" t="inlineStr">
        <is>
          <t>query_ms</t>
        </is>
      </c>
      <c r="D105" s="0" t="n">
        <v>10</v>
      </c>
      <c r="E105" s="0" t="n">
        <v>34</v>
      </c>
      <c r="F105" s="0" t="n">
        <v>1</v>
      </c>
      <c r="G105" s="0" t="inlineStr">
        <is>
          <t>/mnt/d/paper_source/work_9/VeriANN_repro_2026-09-30/VeriANN_repro_2026-09-30/results/work9-recall99-20261015/ANNProof-evaluation/per_query.csv</t>
        </is>
      </c>
    </row>
    <row r="106">
      <c r="A106" s="0" t="inlineStr">
        <is>
          <t>K21</t>
        </is>
      </c>
      <c r="B106" s="0" t="n">
        <v>86.5</v>
      </c>
      <c r="C106" s="0" t="inlineStr">
        <is>
          <t>recall_percent</t>
        </is>
      </c>
      <c r="D106" s="0" t="n">
        <v>10</v>
      </c>
      <c r="E106" s="0" t="n">
        <v>48</v>
      </c>
      <c r="F106" s="0" t="n">
        <v>1</v>
      </c>
      <c r="G106" s="0" t="inlineStr">
        <is>
          <t>/mnt/d/paper_source/work_9/VeriANN_repro_2026-09-30/VeriANN_repro_2026-09-30/results/work9-recall99-20261015/ANNProof-evaluation/per_query.csv</t>
        </is>
      </c>
    </row>
    <row r="107">
      <c r="A107" s="0" t="inlineStr">
        <is>
          <t>K22</t>
        </is>
      </c>
      <c r="B107" s="0" t="n">
        <v>629.9272</v>
      </c>
      <c r="C107" s="0" t="inlineStr">
        <is>
          <t>vo_kb</t>
        </is>
      </c>
      <c r="D107" s="0" t="n">
        <v>10</v>
      </c>
      <c r="E107" s="0" t="n">
        <v>48</v>
      </c>
      <c r="F107" s="0" t="n">
        <v>1</v>
      </c>
      <c r="G107" s="0" t="inlineStr">
        <is>
          <t>/mnt/d/paper_source/work_9/VeriANN_repro_2026-09-30/VeriANN_repro_2026-09-30/results/work9-recall99-20261015/ANNProof-evaluation/per_query.csv</t>
        </is>
      </c>
    </row>
    <row r="108">
      <c r="A108" s="0" t="inlineStr">
        <is>
          <t>K31</t>
        </is>
      </c>
      <c r="B108" s="0" t="n">
        <v>86.5</v>
      </c>
      <c r="C108" s="0" t="inlineStr">
        <is>
          <t>recall_percent</t>
        </is>
      </c>
      <c r="D108" s="0" t="n">
        <v>10</v>
      </c>
      <c r="E108" s="0" t="n">
        <v>48</v>
      </c>
      <c r="F108" s="0" t="n">
        <v>1</v>
      </c>
      <c r="G108" s="0" t="inlineStr">
        <is>
          <t>/mnt/d/paper_source/work_9/VeriANN_repro_2026-09-30/VeriANN_repro_2026-09-30/results/work9-recall99-20261015/ANNProof-evaluation/per_query.csv</t>
        </is>
      </c>
    </row>
    <row r="109">
      <c r="A109" s="0" t="inlineStr">
        <is>
          <t>K32</t>
        </is>
      </c>
      <c r="B109" s="0" t="n">
        <v>7.90480122</v>
      </c>
      <c r="C109" s="0" t="inlineStr">
        <is>
          <t>verify_ms</t>
        </is>
      </c>
      <c r="D109" s="0" t="n">
        <v>10</v>
      </c>
      <c r="E109" s="0" t="n">
        <v>48</v>
      </c>
      <c r="F109" s="0" t="n">
        <v>1</v>
      </c>
      <c r="G109" s="0" t="inlineStr">
        <is>
          <t>/mnt/d/paper_source/work_9/VeriANN_repro_2026-09-30/VeriANN_repro_2026-09-30/results/work9-recall99-20261015/ANNProof-evaluation/per_query.csv</t>
        </is>
      </c>
    </row>
    <row r="110">
      <c r="A110" s="0" t="inlineStr">
        <is>
          <t>K41</t>
        </is>
      </c>
      <c r="B110" s="0" t="n">
        <v>86.5</v>
      </c>
      <c r="C110" s="0" t="inlineStr">
        <is>
          <t>recall_percent</t>
        </is>
      </c>
      <c r="D110" s="0" t="n">
        <v>10</v>
      </c>
      <c r="E110" s="0" t="n">
        <v>48</v>
      </c>
      <c r="F110" s="0" t="n">
        <v>1</v>
      </c>
      <c r="G110" s="0" t="inlineStr">
        <is>
          <t>/mnt/d/paper_source/work_9/VeriANN_repro_2026-09-30/VeriANN_repro_2026-09-30/results/work9-recall99-20261015/ANNProof-evaluation/per_query.csv</t>
        </is>
      </c>
    </row>
    <row r="111">
      <c r="A111" s="0" t="inlineStr">
        <is>
          <t>K42</t>
        </is>
      </c>
      <c r="B111" s="0" t="n">
        <v>1.52797133666667</v>
      </c>
      <c r="C111" s="0" t="inlineStr">
        <is>
          <t>query_ms</t>
        </is>
      </c>
      <c r="D111" s="0" t="n">
        <v>10</v>
      </c>
      <c r="E111" s="0" t="n">
        <v>48</v>
      </c>
      <c r="F111" s="0" t="n">
        <v>1</v>
      </c>
      <c r="G111" s="0" t="inlineStr">
        <is>
          <t>/mnt/d/paper_source/work_9/VeriANN_repro_2026-09-30/VeriANN_repro_2026-09-30/results/work9-recall99-20261015/ANNProof-evaluation/per_query.csv</t>
        </is>
      </c>
    </row>
    <row r="112">
      <c r="A112" s="0" t="inlineStr">
        <is>
          <t>L21</t>
        </is>
      </c>
      <c r="B112" s="0" t="n">
        <v>90.2</v>
      </c>
      <c r="C112" s="0" t="inlineStr">
        <is>
          <t>recall_percent</t>
        </is>
      </c>
      <c r="D112" s="0" t="n">
        <v>10</v>
      </c>
      <c r="E112" s="0" t="n">
        <v>64</v>
      </c>
      <c r="F112" s="0" t="n">
        <v>1</v>
      </c>
      <c r="G112" s="0" t="inlineStr">
        <is>
          <t>/mnt/d/paper_source/work_9/VeriANN_repro_2026-09-30/VeriANN_repro_2026-09-30/results/work9-recall99-20261015/ANNProof-evaluation/per_query.csv</t>
        </is>
      </c>
    </row>
    <row r="113">
      <c r="A113" s="0" t="inlineStr">
        <is>
          <t>L22</t>
        </is>
      </c>
      <c r="B113" s="0" t="n">
        <v>775.95196</v>
      </c>
      <c r="C113" s="0" t="inlineStr">
        <is>
          <t>vo_kb</t>
        </is>
      </c>
      <c r="D113" s="0" t="n">
        <v>10</v>
      </c>
      <c r="E113" s="0" t="n">
        <v>64</v>
      </c>
      <c r="F113" s="0" t="n">
        <v>1</v>
      </c>
      <c r="G113" s="0" t="inlineStr">
        <is>
          <t>/mnt/d/paper_source/work_9/VeriANN_repro_2026-09-30/VeriANN_repro_2026-09-30/results/work9-recall99-20261015/ANNProof-evaluation/per_query.csv</t>
        </is>
      </c>
    </row>
    <row r="114">
      <c r="A114" s="0" t="inlineStr">
        <is>
          <t>L31</t>
        </is>
      </c>
      <c r="B114" s="0" t="n">
        <v>90.2</v>
      </c>
      <c r="C114" s="0" t="inlineStr">
        <is>
          <t>recall_percent</t>
        </is>
      </c>
      <c r="D114" s="0" t="n">
        <v>10</v>
      </c>
      <c r="E114" s="0" t="n">
        <v>64</v>
      </c>
      <c r="F114" s="0" t="n">
        <v>1</v>
      </c>
      <c r="G114" s="0" t="inlineStr">
        <is>
          <t>/mnt/d/paper_source/work_9/VeriANN_repro_2026-09-30/VeriANN_repro_2026-09-30/results/work9-recall99-20261015/ANNProof-evaluation/per_query.csv</t>
        </is>
      </c>
    </row>
    <row r="115">
      <c r="A115" s="0" t="inlineStr">
        <is>
          <t>L32</t>
        </is>
      </c>
      <c r="B115" s="0" t="n">
        <v>9.777948606666669</v>
      </c>
      <c r="C115" s="0" t="inlineStr">
        <is>
          <t>verify_ms</t>
        </is>
      </c>
      <c r="D115" s="0" t="n">
        <v>10</v>
      </c>
      <c r="E115" s="0" t="n">
        <v>64</v>
      </c>
      <c r="F115" s="0" t="n">
        <v>1</v>
      </c>
      <c r="G115" s="0" t="inlineStr">
        <is>
          <t>/mnt/d/paper_source/work_9/VeriANN_repro_2026-09-30/VeriANN_repro_2026-09-30/results/work9-recall99-20261015/ANNProof-evaluation/per_query.csv</t>
        </is>
      </c>
    </row>
    <row r="116">
      <c r="A116" s="0" t="inlineStr">
        <is>
          <t>L41</t>
        </is>
      </c>
      <c r="B116" s="0" t="n">
        <v>90.2</v>
      </c>
      <c r="C116" s="0" t="inlineStr">
        <is>
          <t>recall_percent</t>
        </is>
      </c>
      <c r="D116" s="0" t="n">
        <v>10</v>
      </c>
      <c r="E116" s="0" t="n">
        <v>64</v>
      </c>
      <c r="F116" s="0" t="n">
        <v>1</v>
      </c>
      <c r="G116" s="0" t="inlineStr">
        <is>
          <t>/mnt/d/paper_source/work_9/VeriANN_repro_2026-09-30/VeriANN_repro_2026-09-30/results/work9-recall99-20261015/ANNProof-evaluation/per_query.csv</t>
        </is>
      </c>
    </row>
    <row r="117">
      <c r="A117" s="0" t="inlineStr">
        <is>
          <t>L42</t>
        </is>
      </c>
      <c r="B117" s="0" t="n">
        <v>1.96009546666667</v>
      </c>
      <c r="C117" s="0" t="inlineStr">
        <is>
          <t>query_ms</t>
        </is>
      </c>
      <c r="D117" s="0" t="n">
        <v>10</v>
      </c>
      <c r="E117" s="0" t="n">
        <v>64</v>
      </c>
      <c r="F117" s="0" t="n">
        <v>1</v>
      </c>
      <c r="G117" s="0" t="inlineStr">
        <is>
          <t>/mnt/d/paper_source/work_9/VeriANN_repro_2026-09-30/VeriANN_repro_2026-09-30/results/work9-recall99-20261015/ANNProof-evaluation/per_query.csv</t>
        </is>
      </c>
    </row>
    <row r="118">
      <c r="A118" s="0" t="inlineStr">
        <is>
          <t>M21</t>
        </is>
      </c>
      <c r="B118" s="0" t="n">
        <v>95.09999999999999</v>
      </c>
      <c r="C118" s="0" t="inlineStr">
        <is>
          <t>recall_percent</t>
        </is>
      </c>
      <c r="D118" s="0" t="n">
        <v>10</v>
      </c>
      <c r="E118" s="0" t="n">
        <v>100</v>
      </c>
      <c r="F118" s="0" t="n">
        <v>1</v>
      </c>
      <c r="G118" s="0" t="inlineStr">
        <is>
          <t>/mnt/d/paper_source/work_9/VeriANN_repro_2026-09-30/VeriANN_repro_2026-09-30/results/work9-recall99-20261015/ANNProof-evaluation/per_query.csv</t>
        </is>
      </c>
    </row>
    <row r="119">
      <c r="A119" s="0" t="inlineStr">
        <is>
          <t>M22</t>
        </is>
      </c>
      <c r="B119" s="0" t="n">
        <v>1071.01752</v>
      </c>
      <c r="C119" s="0" t="inlineStr">
        <is>
          <t>vo_kb</t>
        </is>
      </c>
      <c r="D119" s="0" t="n">
        <v>10</v>
      </c>
      <c r="E119" s="0" t="n">
        <v>100</v>
      </c>
      <c r="F119" s="0" t="n">
        <v>1</v>
      </c>
      <c r="G119" s="0" t="inlineStr">
        <is>
          <t>/mnt/d/paper_source/work_9/VeriANN_repro_2026-09-30/VeriANN_repro_2026-09-30/results/work9-recall99-20261015/ANNProof-evaluation/per_query.csv</t>
        </is>
      </c>
    </row>
    <row r="120">
      <c r="A120" s="0" t="inlineStr">
        <is>
          <t>M31</t>
        </is>
      </c>
      <c r="B120" s="0" t="n">
        <v>95.09999999999999</v>
      </c>
      <c r="C120" s="0" t="inlineStr">
        <is>
          <t>recall_percent</t>
        </is>
      </c>
      <c r="D120" s="0" t="n">
        <v>10</v>
      </c>
      <c r="E120" s="0" t="n">
        <v>100</v>
      </c>
      <c r="F120" s="0" t="n">
        <v>1</v>
      </c>
      <c r="G120" s="0" t="inlineStr">
        <is>
          <t>/mnt/d/paper_source/work_9/VeriANN_repro_2026-09-30/VeriANN_repro_2026-09-30/results/work9-recall99-20261015/ANNProof-evaluation/per_query.csv</t>
        </is>
      </c>
    </row>
    <row r="121">
      <c r="A121" s="0" t="inlineStr">
        <is>
          <t>M32</t>
        </is>
      </c>
      <c r="B121" s="0" t="n">
        <v>13.50564445</v>
      </c>
      <c r="C121" s="0" t="inlineStr">
        <is>
          <t>verify_ms</t>
        </is>
      </c>
      <c r="D121" s="0" t="n">
        <v>10</v>
      </c>
      <c r="E121" s="0" t="n">
        <v>100</v>
      </c>
      <c r="F121" s="0" t="n">
        <v>1</v>
      </c>
      <c r="G121" s="0" t="inlineStr">
        <is>
          <t>/mnt/d/paper_source/work_9/VeriANN_repro_2026-09-30/VeriANN_repro_2026-09-30/results/work9-recall99-20261015/ANNProof-evaluation/per_query.csv</t>
        </is>
      </c>
    </row>
    <row r="122">
      <c r="A122" s="0" t="inlineStr">
        <is>
          <t>M41</t>
        </is>
      </c>
      <c r="B122" s="0" t="n">
        <v>95.09999999999999</v>
      </c>
      <c r="C122" s="0" t="inlineStr">
        <is>
          <t>recall_percent</t>
        </is>
      </c>
      <c r="D122" s="0" t="n">
        <v>10</v>
      </c>
      <c r="E122" s="0" t="n">
        <v>100</v>
      </c>
      <c r="F122" s="0" t="n">
        <v>1</v>
      </c>
      <c r="G122" s="0" t="inlineStr">
        <is>
          <t>/mnt/d/paper_source/work_9/VeriANN_repro_2026-09-30/VeriANN_repro_2026-09-30/results/work9-recall99-20261015/ANNProof-evaluation/per_query.csv</t>
        </is>
      </c>
    </row>
    <row r="123">
      <c r="A123" s="0" t="inlineStr">
        <is>
          <t>M42</t>
        </is>
      </c>
      <c r="B123" s="0" t="n">
        <v>2.81582243666667</v>
      </c>
      <c r="C123" s="0" t="inlineStr">
        <is>
          <t>query_ms</t>
        </is>
      </c>
      <c r="D123" s="0" t="n">
        <v>10</v>
      </c>
      <c r="E123" s="0" t="n">
        <v>100</v>
      </c>
      <c r="F123" s="0" t="n">
        <v>1</v>
      </c>
      <c r="G123" s="0" t="inlineStr">
        <is>
          <t>/mnt/d/paper_source/work_9/VeriANN_repro_2026-09-30/VeriANN_repro_2026-09-30/results/work9-recall99-20261015/ANNProof-evaluation/per_query.csv</t>
        </is>
      </c>
    </row>
    <row r="124">
      <c r="A124" s="0" t="inlineStr">
        <is>
          <t>N21</t>
        </is>
      </c>
      <c r="B124" s="0" t="n">
        <v>97.3</v>
      </c>
      <c r="C124" s="0" t="inlineStr">
        <is>
          <t>recall_percent</t>
        </is>
      </c>
      <c r="D124" s="0" t="n">
        <v>10</v>
      </c>
      <c r="E124" s="0" t="n">
        <v>160</v>
      </c>
      <c r="F124" s="0" t="n">
        <v>1</v>
      </c>
      <c r="G124" s="0" t="inlineStr">
        <is>
          <t>/mnt/d/paper_source/work_9/VeriANN_repro_2026-09-30/VeriANN_repro_2026-09-30/results/work9-recall99-20261015/ANNProof-evaluation/per_query.csv</t>
        </is>
      </c>
    </row>
    <row r="125">
      <c r="A125" s="0" t="inlineStr">
        <is>
          <t>N22</t>
        </is>
      </c>
      <c r="B125" s="0" t="n">
        <v>1533.3312</v>
      </c>
      <c r="C125" s="0" t="inlineStr">
        <is>
          <t>vo_kb</t>
        </is>
      </c>
      <c r="D125" s="0" t="n">
        <v>10</v>
      </c>
      <c r="E125" s="0" t="n">
        <v>160</v>
      </c>
      <c r="F125" s="0" t="n">
        <v>1</v>
      </c>
      <c r="G125" s="0" t="inlineStr">
        <is>
          <t>/mnt/d/paper_source/work_9/VeriANN_repro_2026-09-30/VeriANN_repro_2026-09-30/results/work9-recall99-20261015/ANNProof-evaluation/per_query.csv</t>
        </is>
      </c>
    </row>
    <row r="126">
      <c r="A126" s="0" t="inlineStr">
        <is>
          <t>N31</t>
        </is>
      </c>
      <c r="B126" s="0" t="n">
        <v>97.3</v>
      </c>
      <c r="C126" s="0" t="inlineStr">
        <is>
          <t>recall_percent</t>
        </is>
      </c>
      <c r="D126" s="0" t="n">
        <v>10</v>
      </c>
      <c r="E126" s="0" t="n">
        <v>160</v>
      </c>
      <c r="F126" s="0" t="n">
        <v>1</v>
      </c>
      <c r="G126" s="0" t="inlineStr">
        <is>
          <t>/mnt/d/paper_source/work_9/VeriANN_repro_2026-09-30/VeriANN_repro_2026-09-30/results/work9-recall99-20261015/ANNProof-evaluation/per_query.csv</t>
        </is>
      </c>
    </row>
    <row r="127">
      <c r="A127" s="0" t="inlineStr">
        <is>
          <t>N32</t>
        </is>
      </c>
      <c r="B127" s="0" t="n">
        <v>19.3207201966667</v>
      </c>
      <c r="C127" s="0" t="inlineStr">
        <is>
          <t>verify_ms</t>
        </is>
      </c>
      <c r="D127" s="0" t="n">
        <v>10</v>
      </c>
      <c r="E127" s="0" t="n">
        <v>160</v>
      </c>
      <c r="F127" s="0" t="n">
        <v>1</v>
      </c>
      <c r="G127" s="0" t="inlineStr">
        <is>
          <t>/mnt/d/paper_source/work_9/VeriANN_repro_2026-09-30/VeriANN_repro_2026-09-30/results/work9-recall99-20261015/ANNProof-evaluation/per_query.csv</t>
        </is>
      </c>
    </row>
    <row r="128">
      <c r="A128" s="0" t="inlineStr">
        <is>
          <t>N41</t>
        </is>
      </c>
      <c r="B128" s="0" t="n">
        <v>97.3</v>
      </c>
      <c r="C128" s="0" t="inlineStr">
        <is>
          <t>recall_percent</t>
        </is>
      </c>
      <c r="D128" s="0" t="n">
        <v>10</v>
      </c>
      <c r="E128" s="0" t="n">
        <v>160</v>
      </c>
      <c r="F128" s="0" t="n">
        <v>1</v>
      </c>
      <c r="G128" s="0" t="inlineStr">
        <is>
          <t>/mnt/d/paper_source/work_9/VeriANN_repro_2026-09-30/VeriANN_repro_2026-09-30/results/work9-recall99-20261015/ANNProof-evaluation/per_query.csv</t>
        </is>
      </c>
    </row>
    <row r="129">
      <c r="A129" s="0" t="inlineStr">
        <is>
          <t>N42</t>
        </is>
      </c>
      <c r="B129" s="0" t="n">
        <v>4.19542150666667</v>
      </c>
      <c r="C129" s="0" t="inlineStr">
        <is>
          <t>query_ms</t>
        </is>
      </c>
      <c r="D129" s="0" t="n">
        <v>10</v>
      </c>
      <c r="E129" s="0" t="n">
        <v>160</v>
      </c>
      <c r="F129" s="0" t="n">
        <v>1</v>
      </c>
      <c r="G129" s="0" t="inlineStr">
        <is>
          <t>/mnt/d/paper_source/work_9/VeriANN_repro_2026-09-30/VeriANN_repro_2026-09-30/results/work9-recall99-20261015/ANNProof-evaluation/per_query.csv</t>
        </is>
      </c>
    </row>
    <row r="130">
      <c r="A130" s="0" t="inlineStr">
        <is>
          <t>O21</t>
        </is>
      </c>
      <c r="B130" s="0" t="n">
        <v>98.09999999999999</v>
      </c>
      <c r="C130" s="0" t="inlineStr">
        <is>
          <t>recall_percent</t>
        </is>
      </c>
      <c r="D130" s="0" t="n">
        <v>10</v>
      </c>
      <c r="E130" s="0" t="n">
        <v>256</v>
      </c>
      <c r="F130" s="0" t="n">
        <v>1</v>
      </c>
      <c r="G130" s="0" t="inlineStr">
        <is>
          <t>/mnt/d/paper_source/work_9/VeriANN_repro_2026-09-30/VeriANN_repro_2026-09-30/results/work9-recall99-20261015/ANNProof-evaluation/per_query.csv</t>
        </is>
      </c>
    </row>
    <row r="131">
      <c r="A131" s="0" t="inlineStr">
        <is>
          <t>O22</t>
        </is>
      </c>
      <c r="B131" s="0" t="n">
        <v>2202.81128</v>
      </c>
      <c r="C131" s="0" t="inlineStr">
        <is>
          <t>vo_kb</t>
        </is>
      </c>
      <c r="D131" s="0" t="n">
        <v>10</v>
      </c>
      <c r="E131" s="0" t="n">
        <v>256</v>
      </c>
      <c r="F131" s="0" t="n">
        <v>1</v>
      </c>
      <c r="G131" s="0" t="inlineStr">
        <is>
          <t>/mnt/d/paper_source/work_9/VeriANN_repro_2026-09-30/VeriANN_repro_2026-09-30/results/work9-recall99-20261015/ANNProof-evaluation/per_query.csv</t>
        </is>
      </c>
    </row>
    <row r="132">
      <c r="A132" s="0" t="inlineStr">
        <is>
          <t>O31</t>
        </is>
      </c>
      <c r="B132" s="0" t="n">
        <v>98.09999999999999</v>
      </c>
      <c r="C132" s="0" t="inlineStr">
        <is>
          <t>recall_percent</t>
        </is>
      </c>
      <c r="D132" s="0" t="n">
        <v>10</v>
      </c>
      <c r="E132" s="0" t="n">
        <v>256</v>
      </c>
      <c r="F132" s="0" t="n">
        <v>1</v>
      </c>
      <c r="G132" s="0" t="inlineStr">
        <is>
          <t>/mnt/d/paper_source/work_9/VeriANN_repro_2026-09-30/VeriANN_repro_2026-09-30/results/work9-recall99-20261015/ANNProof-evaluation/per_query.csv</t>
        </is>
      </c>
    </row>
    <row r="133">
      <c r="A133" s="0" t="inlineStr">
        <is>
          <t>O32</t>
        </is>
      </c>
      <c r="B133" s="0" t="n">
        <v>27.84074771</v>
      </c>
      <c r="C133" s="0" t="inlineStr">
        <is>
          <t>verify_ms</t>
        </is>
      </c>
      <c r="D133" s="0" t="n">
        <v>10</v>
      </c>
      <c r="E133" s="0" t="n">
        <v>256</v>
      </c>
      <c r="F133" s="0" t="n">
        <v>1</v>
      </c>
      <c r="G133" s="0" t="inlineStr">
        <is>
          <t>/mnt/d/paper_source/work_9/VeriANN_repro_2026-09-30/VeriANN_repro_2026-09-30/results/work9-recall99-20261015/ANNProof-evaluation/per_query.csv</t>
        </is>
      </c>
    </row>
    <row r="134">
      <c r="A134" s="0" t="inlineStr">
        <is>
          <t>O41</t>
        </is>
      </c>
      <c r="B134" s="0" t="n">
        <v>98.09999999999999</v>
      </c>
      <c r="C134" s="0" t="inlineStr">
        <is>
          <t>recall_percent</t>
        </is>
      </c>
      <c r="D134" s="0" t="n">
        <v>10</v>
      </c>
      <c r="E134" s="0" t="n">
        <v>256</v>
      </c>
      <c r="F134" s="0" t="n">
        <v>1</v>
      </c>
      <c r="G134" s="0" t="inlineStr">
        <is>
          <t>/mnt/d/paper_source/work_9/VeriANN_repro_2026-09-30/VeriANN_repro_2026-09-30/results/work9-recall99-20261015/ANNProof-evaluation/per_query.csv</t>
        </is>
      </c>
    </row>
    <row r="135">
      <c r="A135" s="0" t="inlineStr">
        <is>
          <t>O42</t>
        </is>
      </c>
      <c r="B135" s="0" t="n">
        <v>6.30232666</v>
      </c>
      <c r="C135" s="0" t="inlineStr">
        <is>
          <t>query_ms</t>
        </is>
      </c>
      <c r="D135" s="0" t="n">
        <v>10</v>
      </c>
      <c r="E135" s="0" t="n">
        <v>256</v>
      </c>
      <c r="F135" s="0" t="n">
        <v>1</v>
      </c>
      <c r="G135" s="0" t="inlineStr">
        <is>
          <t>/mnt/d/paper_source/work_9/VeriANN_repro_2026-09-30/VeriANN_repro_2026-09-30/results/work9-recall99-20261015/ANNProof-evaluation/per_query.csv</t>
        </is>
      </c>
    </row>
    <row r="136">
      <c r="A136" s="0" t="inlineStr">
        <is>
          <t>P21</t>
        </is>
      </c>
      <c r="B136" s="0" t="n">
        <v>99</v>
      </c>
      <c r="C136" s="0" t="inlineStr">
        <is>
          <t>recall_percent</t>
        </is>
      </c>
      <c r="D136" s="0" t="n">
        <v>10</v>
      </c>
      <c r="E136" s="0" t="n">
        <v>512</v>
      </c>
      <c r="F136" s="0" t="n">
        <v>1</v>
      </c>
      <c r="G136" s="0" t="inlineStr">
        <is>
          <t>/mnt/d/paper_source/work_9/VeriANN_repro_2026-09-30/VeriANN_repro_2026-09-30/results/work9-recall99-20261015/ANNProof-evaluation/per_query.csv</t>
        </is>
      </c>
    </row>
    <row r="137">
      <c r="A137" s="0" t="inlineStr">
        <is>
          <t>P22</t>
        </is>
      </c>
      <c r="B137" s="0" t="n">
        <v>3757.36496</v>
      </c>
      <c r="C137" s="0" t="inlineStr">
        <is>
          <t>vo_kb</t>
        </is>
      </c>
      <c r="D137" s="0" t="n">
        <v>10</v>
      </c>
      <c r="E137" s="0" t="n">
        <v>512</v>
      </c>
      <c r="F137" s="0" t="n">
        <v>1</v>
      </c>
      <c r="G137" s="0" t="inlineStr">
        <is>
          <t>/mnt/d/paper_source/work_9/VeriANN_repro_2026-09-30/VeriANN_repro_2026-09-30/results/work9-recall99-20261015/ANNProof-evaluation/per_query.csv</t>
        </is>
      </c>
    </row>
    <row r="138">
      <c r="A138" s="0" t="inlineStr">
        <is>
          <t>P31</t>
        </is>
      </c>
      <c r="B138" s="0" t="n">
        <v>99</v>
      </c>
      <c r="C138" s="0" t="inlineStr">
        <is>
          <t>recall_percent</t>
        </is>
      </c>
      <c r="D138" s="0" t="n">
        <v>10</v>
      </c>
      <c r="E138" s="0" t="n">
        <v>512</v>
      </c>
      <c r="F138" s="0" t="n">
        <v>1</v>
      </c>
      <c r="G138" s="0" t="inlineStr">
        <is>
          <t>/mnt/d/paper_source/work_9/VeriANN_repro_2026-09-30/VeriANN_repro_2026-09-30/results/work9-recall99-20261015/ANNProof-evaluation/per_query.csv</t>
        </is>
      </c>
    </row>
    <row r="139">
      <c r="A139" s="0" t="inlineStr">
        <is>
          <t>P32</t>
        </is>
      </c>
      <c r="B139" s="0" t="n">
        <v>47.2809814133333</v>
      </c>
      <c r="C139" s="0" t="inlineStr">
        <is>
          <t>verify_ms</t>
        </is>
      </c>
      <c r="D139" s="0" t="n">
        <v>10</v>
      </c>
      <c r="E139" s="0" t="n">
        <v>512</v>
      </c>
      <c r="F139" s="0" t="n">
        <v>1</v>
      </c>
      <c r="G139" s="0" t="inlineStr">
        <is>
          <t>/mnt/d/paper_source/work_9/VeriANN_repro_2026-09-30/VeriANN_repro_2026-09-30/results/work9-recall99-20261015/ANNProof-evaluation/per_query.csv</t>
        </is>
      </c>
    </row>
    <row r="140">
      <c r="A140" s="0" t="inlineStr">
        <is>
          <t>P41</t>
        </is>
      </c>
      <c r="B140" s="0" t="n">
        <v>99</v>
      </c>
      <c r="C140" s="0" t="inlineStr">
        <is>
          <t>recall_percent</t>
        </is>
      </c>
      <c r="D140" s="0" t="n">
        <v>10</v>
      </c>
      <c r="E140" s="0" t="n">
        <v>512</v>
      </c>
      <c r="F140" s="0" t="n">
        <v>1</v>
      </c>
      <c r="G140" s="0" t="inlineStr">
        <is>
          <t>/mnt/d/paper_source/work_9/VeriANN_repro_2026-09-30/VeriANN_repro_2026-09-30/results/work9-recall99-20261015/ANNProof-evaluation/per_query.csv</t>
        </is>
      </c>
    </row>
    <row r="141">
      <c r="A141" s="0" t="inlineStr">
        <is>
          <t>P42</t>
        </is>
      </c>
      <c r="B141" s="0" t="n">
        <v>11.1530746866667</v>
      </c>
      <c r="C141" s="0" t="inlineStr">
        <is>
          <t>query_ms</t>
        </is>
      </c>
      <c r="D141" s="0" t="n">
        <v>10</v>
      </c>
      <c r="E141" s="0" t="n">
        <v>512</v>
      </c>
      <c r="F141" s="0" t="n">
        <v>1</v>
      </c>
      <c r="G141" s="0" t="inlineStr">
        <is>
          <t>/mnt/d/paper_source/work_9/VeriANN_repro_2026-09-30/VeriANN_repro_2026-09-30/results/work9-recall99-20261015/ANNProof-evaluation/per_query.csv</t>
        </is>
      </c>
    </row>
    <row r="142">
      <c r="A142" s="0" t="inlineStr">
        <is>
          <t>F54</t>
        </is>
      </c>
      <c r="B142" s="0" t="n">
        <v>3389.1896</v>
      </c>
      <c r="C142" s="0" t="inlineStr">
        <is>
          <t>vo_kb</t>
        </is>
      </c>
      <c r="D142" s="0" t="n">
        <v>10</v>
      </c>
      <c r="E142" s="0" t="n">
        <v>100</v>
      </c>
      <c r="F142" s="0" t="n">
        <v>5</v>
      </c>
      <c r="G142" s="0" t="inlineStr">
        <is>
          <t>D:\paper_source\work_9\VeriANN_repro_2026-09-30\VeriANN_repro_2026-09-30\VLAH-25TrustCom\results\work9-20261015\size-100000-evaluation\per_query.csv</t>
        </is>
      </c>
    </row>
    <row r="143">
      <c r="A143" s="0" t="inlineStr">
        <is>
          <t>F64</t>
        </is>
      </c>
      <c r="B143" s="0" t="n">
        <v>22.4874884566667</v>
      </c>
      <c r="C143" s="0" t="inlineStr">
        <is>
          <t>verify_ms</t>
        </is>
      </c>
      <c r="D143" s="0" t="n">
        <v>10</v>
      </c>
      <c r="E143" s="0" t="n">
        <v>100</v>
      </c>
      <c r="F143" s="0" t="n">
        <v>5</v>
      </c>
      <c r="G143" s="0" t="inlineStr">
        <is>
          <t>D:\paper_source\work_9\VeriANN_repro_2026-09-30\VeriANN_repro_2026-09-30\VLAH-25TrustCom\results\work9-20261015\size-100000-evaluation\per_query.csv</t>
        </is>
      </c>
    </row>
    <row r="144">
      <c r="A144" s="0" t="inlineStr">
        <is>
          <t>F73</t>
        </is>
      </c>
      <c r="B144" s="0" t="n">
        <v>8.40188443666667</v>
      </c>
      <c r="C144" s="0" t="inlineStr">
        <is>
          <t>query_ms</t>
        </is>
      </c>
      <c r="D144" s="0" t="n">
        <v>10</v>
      </c>
      <c r="E144" s="0" t="n">
        <v>100</v>
      </c>
      <c r="F144" s="0" t="n">
        <v>5</v>
      </c>
      <c r="G144" s="0" t="inlineStr">
        <is>
          <t>D:\paper_source\work_9\VeriANN_repro_2026-09-30\VeriANN_repro_2026-09-30\VLAH-25TrustCom\results\work9-20261015\size-100000-evaluation\per_query.csv</t>
        </is>
      </c>
    </row>
    <row r="145">
      <c r="A145" s="0" t="inlineStr">
        <is>
          <t>G54</t>
        </is>
      </c>
      <c r="B145" s="0" t="n">
        <v>17109.20832</v>
      </c>
      <c r="C145" s="0" t="inlineStr">
        <is>
          <t>vo_kb</t>
        </is>
      </c>
      <c r="D145" s="0" t="n">
        <v>10</v>
      </c>
      <c r="E145" s="0" t="n">
        <v>100</v>
      </c>
      <c r="F145" s="0" t="n">
        <v>25</v>
      </c>
      <c r="G145" s="0" t="inlineStr">
        <is>
          <t>D:\paper_source\work_9\VeriANN_repro_2026-09-30\VeriANN_repro_2026-09-30\VLAH-25TrustCom\results\work9-20261015\size-500000-evaluation\per_query.csv</t>
        </is>
      </c>
    </row>
    <row r="146">
      <c r="A146" s="0" t="inlineStr">
        <is>
          <t>G64</t>
        </is>
      </c>
      <c r="B146" s="0" t="n">
        <v>116.950956503333</v>
      </c>
      <c r="C146" s="0" t="inlineStr">
        <is>
          <t>verify_ms</t>
        </is>
      </c>
      <c r="D146" s="0" t="n">
        <v>10</v>
      </c>
      <c r="E146" s="0" t="n">
        <v>100</v>
      </c>
      <c r="F146" s="0" t="n">
        <v>25</v>
      </c>
      <c r="G146" s="0" t="inlineStr">
        <is>
          <t>D:\paper_source\work_9\VeriANN_repro_2026-09-30\VeriANN_repro_2026-09-30\VLAH-25TrustCom\results\work9-20261015\size-500000-evaluation\per_query.csv</t>
        </is>
      </c>
    </row>
    <row r="147">
      <c r="A147" s="0" t="inlineStr">
        <is>
          <t>G73</t>
        </is>
      </c>
      <c r="B147" s="0" t="n">
        <v>43.8086204166667</v>
      </c>
      <c r="C147" s="0" t="inlineStr">
        <is>
          <t>query_ms</t>
        </is>
      </c>
      <c r="D147" s="0" t="n">
        <v>10</v>
      </c>
      <c r="E147" s="0" t="n">
        <v>100</v>
      </c>
      <c r="F147" s="0" t="n">
        <v>25</v>
      </c>
      <c r="G147" s="0" t="inlineStr">
        <is>
          <t>D:\paper_source\work_9\VeriANN_repro_2026-09-30\VeriANN_repro_2026-09-30\VLAH-25TrustCom\results\work9-20261015\size-500000-evaluation\per_query.csv</t>
        </is>
      </c>
    </row>
    <row r="148">
      <c r="A148" s="0" t="inlineStr">
        <is>
          <t>H54</t>
        </is>
      </c>
      <c r="B148" s="0" t="n">
        <v>34179.50512</v>
      </c>
      <c r="C148" s="0" t="inlineStr">
        <is>
          <t>vo_kb</t>
        </is>
      </c>
      <c r="D148" s="0" t="n">
        <v>10</v>
      </c>
      <c r="E148" s="0" t="n">
        <v>100</v>
      </c>
      <c r="F148" s="0" t="n">
        <v>50</v>
      </c>
      <c r="G148" s="0" t="inlineStr">
        <is>
          <t>D:\paper_source\work_9\VeriANN_repro_2026-09-30\VeriANN_repro_2026-09-30\VLAH-25TrustCom\results\work9-20261015\size-1000000-evaluation\per_query.csv</t>
        </is>
      </c>
    </row>
    <row r="149">
      <c r="A149" s="0" t="inlineStr">
        <is>
          <t>H64</t>
        </is>
      </c>
      <c r="B149" s="0" t="n">
        <v>230.809091856667</v>
      </c>
      <c r="C149" s="0" t="inlineStr">
        <is>
          <t>verify_ms</t>
        </is>
      </c>
      <c r="D149" s="0" t="n">
        <v>10</v>
      </c>
      <c r="E149" s="0" t="n">
        <v>100</v>
      </c>
      <c r="F149" s="0" t="n">
        <v>50</v>
      </c>
      <c r="G149" s="0" t="inlineStr">
        <is>
          <t>D:\paper_source\work_9\VeriANN_repro_2026-09-30\VeriANN_repro_2026-09-30\VLAH-25TrustCom\results\work9-20261015\size-1000000-evaluation\per_query.csv</t>
        </is>
      </c>
    </row>
    <row r="150">
      <c r="A150" s="0" t="inlineStr">
        <is>
          <t>H73</t>
        </is>
      </c>
      <c r="B150" s="0" t="n">
        <v>93.36335403333329</v>
      </c>
      <c r="C150" s="0" t="inlineStr">
        <is>
          <t>query_ms</t>
        </is>
      </c>
      <c r="D150" s="0" t="n">
        <v>10</v>
      </c>
      <c r="E150" s="0" t="n">
        <v>100</v>
      </c>
      <c r="F150" s="0" t="n">
        <v>50</v>
      </c>
      <c r="G150" s="0" t="inlineStr">
        <is>
          <t>D:\paper_source\work_9\VeriANN_repro_2026-09-30\VeriANN_repro_2026-09-30\VLAH-25TrustCom\results\work9-20261015\size-1000000-evaluation\per_query.csv</t>
        </is>
      </c>
    </row>
    <row r="151">
      <c r="A151" s="0" t="inlineStr">
        <is>
          <t>I54</t>
        </is>
      </c>
      <c r="B151" s="0" t="n">
        <v>152877.20635</v>
      </c>
      <c r="C151" s="0" t="inlineStr">
        <is>
          <t>vo_kb</t>
        </is>
      </c>
      <c r="D151" s="0" t="n">
        <v>10</v>
      </c>
      <c r="E151" s="0" t="n">
        <v>100</v>
      </c>
      <c r="F151" s="0" t="n">
        <v>225</v>
      </c>
      <c r="G151" s="0" t="inlineStr">
        <is>
          <t>D:\paper_source\work_9\VeriANN_repro_2026-09-30\VeriANN_repro_2026-09-30\VLAH-25TrustCom\results\work9-20261015\size-5000000-evaluation\per_query.csv</t>
        </is>
      </c>
    </row>
    <row r="152">
      <c r="A152" s="0" t="inlineStr">
        <is>
          <t>I64</t>
        </is>
      </c>
      <c r="B152" s="0" t="n">
        <v>1066.10870460667</v>
      </c>
      <c r="C152" s="0" t="inlineStr">
        <is>
          <t>verify_ms</t>
        </is>
      </c>
      <c r="D152" s="0" t="n">
        <v>10</v>
      </c>
      <c r="E152" s="0" t="n">
        <v>100</v>
      </c>
      <c r="F152" s="0" t="n">
        <v>225</v>
      </c>
      <c r="G152" s="0" t="inlineStr">
        <is>
          <t>D:\paper_source\work_9\VeriANN_repro_2026-09-30\VeriANN_repro_2026-09-30\VLAH-25TrustCom\results\work9-20261015\size-5000000-evaluation\per_query.csv</t>
        </is>
      </c>
    </row>
    <row r="153">
      <c r="A153" s="0" t="inlineStr">
        <is>
          <t>I73</t>
        </is>
      </c>
      <c r="B153" s="0" t="n">
        <v>455.972351206667</v>
      </c>
      <c r="C153" s="0" t="inlineStr">
        <is>
          <t>query_ms</t>
        </is>
      </c>
      <c r="D153" s="0" t="n">
        <v>10</v>
      </c>
      <c r="E153" s="0" t="n">
        <v>100</v>
      </c>
      <c r="F153" s="0" t="n">
        <v>225</v>
      </c>
      <c r="G153" s="0" t="inlineStr">
        <is>
          <t>D:\paper_source\work_9\VeriANN_repro_2026-09-30\VeriANN_repro_2026-09-30\VLAH-25TrustCom\results\work9-20261015\size-5000000-evaluation\per_query.csv</t>
        </is>
      </c>
    </row>
    <row r="154">
      <c r="A154" s="0" t="inlineStr">
        <is>
          <t>J54</t>
        </is>
      </c>
      <c r="B154" s="0" t="n">
        <v>339318.57888</v>
      </c>
      <c r="C154" s="0" t="inlineStr">
        <is>
          <t>vo_kb</t>
        </is>
      </c>
      <c r="D154" s="0" t="n">
        <v>10</v>
      </c>
      <c r="E154" s="0" t="n">
        <v>100</v>
      </c>
      <c r="F154" s="0" t="n">
        <v>500</v>
      </c>
      <c r="G154" s="0" t="inlineStr">
        <is>
          <t>D:\paper_source\work_9\VeriANN_repro_2026-09-30\VeriANN_repro_2026-09-30\VLAH-25TrustCom\results\work9-20261015\size-10000000-evaluation\per_query.csv</t>
        </is>
      </c>
    </row>
    <row r="155">
      <c r="A155" s="0" t="inlineStr">
        <is>
          <t>J64</t>
        </is>
      </c>
      <c r="B155" s="0" t="n">
        <v>2425.17944812</v>
      </c>
      <c r="C155" s="0" t="inlineStr">
        <is>
          <t>verify_ms</t>
        </is>
      </c>
      <c r="D155" s="0" t="n">
        <v>10</v>
      </c>
      <c r="E155" s="0" t="n">
        <v>100</v>
      </c>
      <c r="F155" s="0" t="n">
        <v>500</v>
      </c>
      <c r="G155" s="0" t="inlineStr">
        <is>
          <t>D:\paper_source\work_9\VeriANN_repro_2026-09-30\VeriANN_repro_2026-09-30\VLAH-25TrustCom\results\work9-20261015\size-10000000-evaluation\per_query.csv</t>
        </is>
      </c>
    </row>
    <row r="156">
      <c r="A156" s="0" t="inlineStr">
        <is>
          <t>J73</t>
        </is>
      </c>
      <c r="B156" s="0" t="n">
        <v>1035.94241575667</v>
      </c>
      <c r="C156" s="0" t="inlineStr">
        <is>
          <t>query_ms</t>
        </is>
      </c>
      <c r="D156" s="0" t="n">
        <v>10</v>
      </c>
      <c r="E156" s="0" t="n">
        <v>100</v>
      </c>
      <c r="F156" s="0" t="n">
        <v>500</v>
      </c>
      <c r="G156" s="0" t="inlineStr">
        <is>
          <t>D:\paper_source\work_9\VeriANN_repro_2026-09-30\VeriANN_repro_2026-09-30\VLAH-25TrustCom\results\work9-20261015\size-10000000-evaluation\per_query.csv</t>
        </is>
      </c>
    </row>
    <row r="157">
      <c r="A157" s="0" t="inlineStr">
        <is>
          <t>F55</t>
        </is>
      </c>
      <c r="B157" s="0" t="n">
        <v>820.23484</v>
      </c>
      <c r="C157" s="0" t="inlineStr">
        <is>
          <t>vo_kb</t>
        </is>
      </c>
      <c r="D157" s="0" t="n">
        <v>10</v>
      </c>
      <c r="E157" s="0" t="n">
        <v>100</v>
      </c>
      <c r="F157" s="0" t="n">
        <v>1</v>
      </c>
      <c r="G157" s="0" t="inlineStr">
        <is>
          <t>D:\paper_source\work_9\VeriANN_repro_2026-09-30\VeriANN_repro_2026-09-30\ANNProof-24FGCS\results\work9-20261015\size-100000-evaluation\per_query.csv</t>
        </is>
      </c>
    </row>
    <row r="158">
      <c r="A158" s="0" t="inlineStr">
        <is>
          <t>F65</t>
        </is>
      </c>
      <c r="B158" s="0" t="n">
        <v>9.935137016666671</v>
      </c>
      <c r="C158" s="0" t="inlineStr">
        <is>
          <t>verify_ms</t>
        </is>
      </c>
      <c r="D158" s="0" t="n">
        <v>10</v>
      </c>
      <c r="E158" s="0" t="n">
        <v>100</v>
      </c>
      <c r="F158" s="0" t="n">
        <v>1</v>
      </c>
      <c r="G158" s="0" t="inlineStr">
        <is>
          <t>D:\paper_source\work_9\VeriANN_repro_2026-09-30\VeriANN_repro_2026-09-30\ANNProof-24FGCS\results\work9-20261015\size-100000-evaluation\per_query.csv</t>
        </is>
      </c>
    </row>
    <row r="159">
      <c r="A159" s="0" t="inlineStr">
        <is>
          <t>F74</t>
        </is>
      </c>
      <c r="B159" s="0" t="n">
        <v>2.12258813</v>
      </c>
      <c r="C159" s="0" t="inlineStr">
        <is>
          <t>query_ms</t>
        </is>
      </c>
      <c r="D159" s="0" t="n">
        <v>10</v>
      </c>
      <c r="E159" s="0" t="n">
        <v>100</v>
      </c>
      <c r="F159" s="0" t="n">
        <v>1</v>
      </c>
      <c r="G159" s="0" t="inlineStr">
        <is>
          <t>D:\paper_source\work_9\VeriANN_repro_2026-09-30\VeriANN_repro_2026-09-30\ANNProof-24FGCS\results\work9-20261015\size-100000-evaluation\per_query.csv</t>
        </is>
      </c>
    </row>
    <row r="160">
      <c r="A160" s="0" t="inlineStr">
        <is>
          <t>G55</t>
        </is>
      </c>
      <c r="B160" s="0" t="n">
        <v>1030.35972</v>
      </c>
      <c r="C160" s="0" t="inlineStr">
        <is>
          <t>vo_kb</t>
        </is>
      </c>
      <c r="D160" s="0" t="n">
        <v>10</v>
      </c>
      <c r="E160" s="0" t="n">
        <v>100</v>
      </c>
      <c r="F160" s="0" t="n">
        <v>1</v>
      </c>
      <c r="G160" s="0" t="inlineStr">
        <is>
          <t>D:\paper_source\work_9\VeriANN_repro_2026-09-30\VeriANN_repro_2026-09-30\ANNProof-24FGCS\results\work9-20261015\size-500000-evaluation\per_query.csv</t>
        </is>
      </c>
    </row>
    <row r="161">
      <c r="A161" s="0" t="inlineStr">
        <is>
          <t>G65</t>
        </is>
      </c>
      <c r="B161" s="0" t="n">
        <v>13.03742486</v>
      </c>
      <c r="C161" s="0" t="inlineStr">
        <is>
          <t>verify_ms</t>
        </is>
      </c>
      <c r="D161" s="0" t="n">
        <v>10</v>
      </c>
      <c r="E161" s="0" t="n">
        <v>100</v>
      </c>
      <c r="F161" s="0" t="n">
        <v>1</v>
      </c>
      <c r="G161" s="0" t="inlineStr">
        <is>
          <t>D:\paper_source\work_9\VeriANN_repro_2026-09-30\VeriANN_repro_2026-09-30\ANNProof-24FGCS\results\work9-20261015\size-500000-evaluation\per_query.csv</t>
        </is>
      </c>
    </row>
    <row r="162">
      <c r="A162" s="0" t="inlineStr">
        <is>
          <t>G74</t>
        </is>
      </c>
      <c r="B162" s="0" t="n">
        <v>2.72643945666667</v>
      </c>
      <c r="C162" s="0" t="inlineStr">
        <is>
          <t>query_ms</t>
        </is>
      </c>
      <c r="D162" s="0" t="n">
        <v>10</v>
      </c>
      <c r="E162" s="0" t="n">
        <v>100</v>
      </c>
      <c r="F162" s="0" t="n">
        <v>1</v>
      </c>
      <c r="G162" s="0" t="inlineStr">
        <is>
          <t>D:\paper_source\work_9\VeriANN_repro_2026-09-30\VeriANN_repro_2026-09-30\ANNProof-24FGCS\results\work9-20261015\size-500000-evaluation\per_query.csv</t>
        </is>
      </c>
    </row>
    <row r="163">
      <c r="A163" s="0" t="inlineStr">
        <is>
          <t>H55</t>
        </is>
      </c>
      <c r="B163" s="0" t="n">
        <v>672.4858</v>
      </c>
      <c r="C163" s="0" t="inlineStr">
        <is>
          <t>vo_kb</t>
        </is>
      </c>
      <c r="D163" s="0" t="n">
        <v>10</v>
      </c>
      <c r="E163" s="0" t="n">
        <v>50</v>
      </c>
      <c r="F163" s="0" t="n">
        <v>1</v>
      </c>
      <c r="G163" s="0" t="inlineStr">
        <is>
          <t>D:\paper_source\work_9\VeriANN_repro_2026-09-30\VeriANN_repro_2026-09-30\ANNProof-24FGCS\results\work9-20261015\size-1000000-evaluation\per_query.csv</t>
        </is>
      </c>
    </row>
    <row r="164">
      <c r="A164" s="0" t="inlineStr">
        <is>
          <t>H65</t>
        </is>
      </c>
      <c r="B164" s="0" t="n">
        <v>8.46944842666667</v>
      </c>
      <c r="C164" s="0" t="inlineStr">
        <is>
          <t>verify_ms</t>
        </is>
      </c>
      <c r="D164" s="0" t="n">
        <v>10</v>
      </c>
      <c r="E164" s="0" t="n">
        <v>50</v>
      </c>
      <c r="F164" s="0" t="n">
        <v>1</v>
      </c>
      <c r="G164" s="0" t="inlineStr">
        <is>
          <t>D:\paper_source\work_9\VeriANN_repro_2026-09-30\VeriANN_repro_2026-09-30\ANNProof-24FGCS\results\work9-20261015\size-1000000-evaluation\per_query.csv</t>
        </is>
      </c>
    </row>
    <row r="165">
      <c r="A165" s="0" t="inlineStr">
        <is>
          <t>H74</t>
        </is>
      </c>
      <c r="B165" s="0" t="n">
        <v>1.68453729666667</v>
      </c>
      <c r="C165" s="0" t="inlineStr">
        <is>
          <t>query_ms</t>
        </is>
      </c>
      <c r="D165" s="0" t="n">
        <v>10</v>
      </c>
      <c r="E165" s="0" t="n">
        <v>50</v>
      </c>
      <c r="F165" s="0" t="n">
        <v>1</v>
      </c>
      <c r="G165" s="0" t="inlineStr">
        <is>
          <t>D:\paper_source\work_9\VeriANN_repro_2026-09-30\VeriANN_repro_2026-09-30\ANNProof-24FGCS\results\work9-20261015\size-1000000-evaluation\per_query.csv</t>
        </is>
      </c>
    </row>
    <row r="166">
      <c r="A166" s="0" t="inlineStr">
        <is>
          <t>I55</t>
        </is>
      </c>
      <c r="B166" s="0" t="n">
        <v>3901.60848</v>
      </c>
      <c r="C166" s="0" t="inlineStr">
        <is>
          <t>vo_kb</t>
        </is>
      </c>
      <c r="D166" s="0" t="n">
        <v>10</v>
      </c>
      <c r="E166" s="0" t="n">
        <v>400</v>
      </c>
      <c r="F166" s="0" t="n">
        <v>1</v>
      </c>
      <c r="G166" s="0" t="inlineStr">
        <is>
          <t>D:\paper_source\work_9\VeriANN_repro_2026-09-30\VeriANN_repro_2026-09-30\ANNProof-24FGCS\results\work9-20261015\size-5000000-evaluation\per_query.csv</t>
        </is>
      </c>
    </row>
    <row r="167">
      <c r="A167" s="0" t="inlineStr">
        <is>
          <t>I65</t>
        </is>
      </c>
      <c r="B167" s="0" t="n">
        <v>49.6618084833333</v>
      </c>
      <c r="C167" s="0" t="inlineStr">
        <is>
          <t>verify_ms</t>
        </is>
      </c>
      <c r="D167" s="0" t="n">
        <v>10</v>
      </c>
      <c r="E167" s="0" t="n">
        <v>400</v>
      </c>
      <c r="F167" s="0" t="n">
        <v>1</v>
      </c>
      <c r="G167" s="0" t="inlineStr">
        <is>
          <t>D:\paper_source\work_9\VeriANN_repro_2026-09-30\VeriANN_repro_2026-09-30\ANNProof-24FGCS\results\work9-20261015\size-5000000-evaluation\per_query.csv</t>
        </is>
      </c>
    </row>
    <row r="168">
      <c r="A168" s="0" t="inlineStr">
        <is>
          <t>I74</t>
        </is>
      </c>
      <c r="B168" s="0" t="n">
        <v>11.3474714766667</v>
      </c>
      <c r="C168" s="0" t="inlineStr">
        <is>
          <t>query_ms</t>
        </is>
      </c>
      <c r="D168" s="0" t="n">
        <v>10</v>
      </c>
      <c r="E168" s="0" t="n">
        <v>400</v>
      </c>
      <c r="F168" s="0" t="n">
        <v>1</v>
      </c>
      <c r="G168" s="0" t="inlineStr">
        <is>
          <t>D:\paper_source\work_9\VeriANN_repro_2026-09-30\VeriANN_repro_2026-09-30\ANNProof-24FGCS\results\work9-20261015\size-5000000-evaluation\per_query.csv</t>
        </is>
      </c>
    </row>
    <row r="169">
      <c r="A169" s="0" t="inlineStr">
        <is>
          <t>J55</t>
        </is>
      </c>
      <c r="B169" s="0" t="n">
        <v>4217.37468</v>
      </c>
      <c r="C169" s="0" t="inlineStr">
        <is>
          <t>vo_kb</t>
        </is>
      </c>
      <c r="D169" s="0" t="n">
        <v>10</v>
      </c>
      <c r="E169" s="0" t="n">
        <v>400</v>
      </c>
      <c r="F169" s="0" t="n">
        <v>1</v>
      </c>
      <c r="G169" s="0" t="inlineStr">
        <is>
          <t>D:\paper_source\work_9\VeriANN_repro_2026-09-30\VeriANN_repro_2026-09-30\ANNProof-24FGCS\results\work9-20261015\size-10000000-evaluation\per_query.csv</t>
        </is>
      </c>
    </row>
    <row r="170">
      <c r="A170" s="0" t="inlineStr">
        <is>
          <t>J65</t>
        </is>
      </c>
      <c r="B170" s="0" t="n">
        <v>52.7983577033333</v>
      </c>
      <c r="C170" s="0" t="inlineStr">
        <is>
          <t>verify_ms</t>
        </is>
      </c>
      <c r="D170" s="0" t="n">
        <v>10</v>
      </c>
      <c r="E170" s="0" t="n">
        <v>400</v>
      </c>
      <c r="F170" s="0" t="n">
        <v>1</v>
      </c>
      <c r="G170" s="0" t="inlineStr">
        <is>
          <t>D:\paper_source\work_9\VeriANN_repro_2026-09-30\VeriANN_repro_2026-09-30\ANNProof-24FGCS\results\work9-20261015\size-10000000-evaluation\per_query.csv</t>
        </is>
      </c>
    </row>
    <row r="171">
      <c r="A171" s="0" t="inlineStr">
        <is>
          <t>J74</t>
        </is>
      </c>
      <c r="B171" s="0" t="n">
        <v>13.0801662666667</v>
      </c>
      <c r="C171" s="0" t="inlineStr">
        <is>
          <t>query_ms</t>
        </is>
      </c>
      <c r="D171" s="0" t="n">
        <v>10</v>
      </c>
      <c r="E171" s="0" t="n">
        <v>400</v>
      </c>
      <c r="F171" s="0" t="n">
        <v>1</v>
      </c>
      <c r="G171" s="0" t="inlineStr">
        <is>
          <t>D:\paper_source\work_9\VeriANN_repro_2026-09-30\VeriANN_repro_2026-09-30\ANNProof-24FGCS\results\work9-20261015\size-10000000-evaluation\per_query.csv</t>
        </is>
      </c>
    </row>
    <row r="172">
      <c r="A172" s="0" t="inlineStr">
        <is>
          <t>F84</t>
        </is>
      </c>
      <c r="B172" s="0" t="n">
        <v>23604.55777</v>
      </c>
      <c r="C172" s="0" t="inlineStr">
        <is>
          <t>vo_kb</t>
        </is>
      </c>
      <c r="D172" s="0" t="n">
        <v>1</v>
      </c>
      <c r="E172" s="0" t="n">
        <v>100</v>
      </c>
      <c r="F172" s="0" t="n">
        <v>41</v>
      </c>
      <c r="G172" s="0" t="inlineStr">
        <is>
          <t>D:\paper_source\work_9\VeriANN_repro_2026-09-30\VeriANN_repro_2026-09-30\VLAH-25TrustCom\results\work9-20261015\sift1m-k-curve\per_query.csv</t>
        </is>
      </c>
    </row>
    <row r="173">
      <c r="A173" s="0" t="inlineStr">
        <is>
          <t>F94</t>
        </is>
      </c>
      <c r="B173" s="0" t="n">
        <v>164.016030326667</v>
      </c>
      <c r="C173" s="0" t="inlineStr">
        <is>
          <t>verify_ms</t>
        </is>
      </c>
      <c r="D173" s="0" t="n">
        <v>1</v>
      </c>
      <c r="E173" s="0" t="n">
        <v>100</v>
      </c>
      <c r="F173" s="0" t="n">
        <v>41</v>
      </c>
      <c r="G173" s="0" t="inlineStr">
        <is>
          <t>D:\paper_source\work_9\VeriANN_repro_2026-09-30\VeriANN_repro_2026-09-30\VLAH-25TrustCom\results\work9-20261015\sift1m-k-curve\per_query.csv</t>
        </is>
      </c>
    </row>
    <row r="174">
      <c r="A174" s="0" t="inlineStr">
        <is>
          <t>F103</t>
        </is>
      </c>
      <c r="B174" s="0" t="n">
        <v>61.7761955166667</v>
      </c>
      <c r="C174" s="0" t="inlineStr">
        <is>
          <t>query_ms</t>
        </is>
      </c>
      <c r="D174" s="0" t="n">
        <v>1</v>
      </c>
      <c r="E174" s="0" t="n">
        <v>100</v>
      </c>
      <c r="F174" s="0" t="n">
        <v>41</v>
      </c>
      <c r="G174" s="0" t="inlineStr">
        <is>
          <t>D:\paper_source\work_9\VeriANN_repro_2026-09-30\VeriANN_repro_2026-09-30\VLAH-25TrustCom\results\work9-20261015\sift1m-k-curve\per_query.csv</t>
        </is>
      </c>
    </row>
    <row r="175">
      <c r="A175" s="0" t="inlineStr">
        <is>
          <t>G84</t>
        </is>
      </c>
      <c r="B175" s="0" t="n">
        <v>23604.57377</v>
      </c>
      <c r="C175" s="0" t="inlineStr">
        <is>
          <t>vo_kb</t>
        </is>
      </c>
      <c r="D175" s="0" t="n">
        <v>5</v>
      </c>
      <c r="E175" s="0" t="n">
        <v>100</v>
      </c>
      <c r="F175" s="0" t="n">
        <v>41</v>
      </c>
      <c r="G175" s="0" t="inlineStr">
        <is>
          <t>D:\paper_source\work_9\VeriANN_repro_2026-09-30\VeriANN_repro_2026-09-30\VLAH-25TrustCom\results\work9-20261015\sift1m-k-curve\per_query.csv</t>
        </is>
      </c>
    </row>
    <row r="176">
      <c r="A176" s="0" t="inlineStr">
        <is>
          <t>G94</t>
        </is>
      </c>
      <c r="B176" s="0" t="n">
        <v>160.885613066667</v>
      </c>
      <c r="C176" s="0" t="inlineStr">
        <is>
          <t>verify_ms</t>
        </is>
      </c>
      <c r="D176" s="0" t="n">
        <v>5</v>
      </c>
      <c r="E176" s="0" t="n">
        <v>100</v>
      </c>
      <c r="F176" s="0" t="n">
        <v>41</v>
      </c>
      <c r="G176" s="0" t="inlineStr">
        <is>
          <t>D:\paper_source\work_9\VeriANN_repro_2026-09-30\VeriANN_repro_2026-09-30\VLAH-25TrustCom\results\work9-20261015\sift1m-k-curve\per_query.csv</t>
        </is>
      </c>
    </row>
    <row r="177">
      <c r="A177" s="0" t="inlineStr">
        <is>
          <t>G103</t>
        </is>
      </c>
      <c r="B177" s="0" t="n">
        <v>60.2132885166667</v>
      </c>
      <c r="C177" s="0" t="inlineStr">
        <is>
          <t>query_ms</t>
        </is>
      </c>
      <c r="D177" s="0" t="n">
        <v>5</v>
      </c>
      <c r="E177" s="0" t="n">
        <v>100</v>
      </c>
      <c r="F177" s="0" t="n">
        <v>41</v>
      </c>
      <c r="G177" s="0" t="inlineStr">
        <is>
          <t>D:\paper_source\work_9\VeriANN_repro_2026-09-30\VeriANN_repro_2026-09-30\VLAH-25TrustCom\results\work9-20261015\sift1m-k-curve\per_query.csv</t>
        </is>
      </c>
    </row>
    <row r="178">
      <c r="A178" s="0" t="inlineStr">
        <is>
          <t>H84</t>
        </is>
      </c>
      <c r="B178" s="0" t="n">
        <v>23604.59377</v>
      </c>
      <c r="C178" s="0" t="inlineStr">
        <is>
          <t>vo_kb</t>
        </is>
      </c>
      <c r="D178" s="0" t="n">
        <v>10</v>
      </c>
      <c r="E178" s="0" t="n">
        <v>100</v>
      </c>
      <c r="F178" s="0" t="n">
        <v>41</v>
      </c>
      <c r="G178" s="0" t="inlineStr">
        <is>
          <t>D:\paper_source\work_9\VeriANN_repro_2026-09-30\VeriANN_repro_2026-09-30\VLAH-25TrustCom\results\work9-20261015\sift1m-k-curve\per_query.csv</t>
        </is>
      </c>
    </row>
    <row r="179">
      <c r="A179" s="0" t="inlineStr">
        <is>
          <t>H94</t>
        </is>
      </c>
      <c r="B179" s="0" t="n">
        <v>163.210839856667</v>
      </c>
      <c r="C179" s="0" t="inlineStr">
        <is>
          <t>verify_ms</t>
        </is>
      </c>
      <c r="D179" s="0" t="n">
        <v>10</v>
      </c>
      <c r="E179" s="0" t="n">
        <v>100</v>
      </c>
      <c r="F179" s="0" t="n">
        <v>41</v>
      </c>
      <c r="G179" s="0" t="inlineStr">
        <is>
          <t>D:\paper_source\work_9\VeriANN_repro_2026-09-30\VeriANN_repro_2026-09-30\VLAH-25TrustCom\results\work9-20261015\sift1m-k-curve\per_query.csv</t>
        </is>
      </c>
    </row>
    <row r="180">
      <c r="A180" s="0" t="inlineStr">
        <is>
          <t>H103</t>
        </is>
      </c>
      <c r="B180" s="0" t="n">
        <v>60.7328521566667</v>
      </c>
      <c r="C180" s="0" t="inlineStr">
        <is>
          <t>query_ms</t>
        </is>
      </c>
      <c r="D180" s="0" t="n">
        <v>10</v>
      </c>
      <c r="E180" s="0" t="n">
        <v>100</v>
      </c>
      <c r="F180" s="0" t="n">
        <v>41</v>
      </c>
      <c r="G180" s="0" t="inlineStr">
        <is>
          <t>D:\paper_source\work_9\VeriANN_repro_2026-09-30\VeriANN_repro_2026-09-30\VLAH-25TrustCom\results\work9-20261015\sift1m-k-curve\per_query.csv</t>
        </is>
      </c>
    </row>
    <row r="181">
      <c r="A181" s="0" t="inlineStr">
        <is>
          <t>I84</t>
        </is>
      </c>
      <c r="B181" s="0" t="n">
        <v>23604.63377</v>
      </c>
      <c r="C181" s="0" t="inlineStr">
        <is>
          <t>vo_kb</t>
        </is>
      </c>
      <c r="D181" s="0" t="n">
        <v>20</v>
      </c>
      <c r="E181" s="0" t="n">
        <v>100</v>
      </c>
      <c r="F181" s="0" t="n">
        <v>41</v>
      </c>
      <c r="G181" s="0" t="inlineStr">
        <is>
          <t>D:\paper_source\work_9\VeriANN_repro_2026-09-30\VeriANN_repro_2026-09-30\VLAH-25TrustCom\results\work9-20261015\sift1m-k-curve\per_query.csv</t>
        </is>
      </c>
    </row>
    <row r="182">
      <c r="A182" s="0" t="inlineStr">
        <is>
          <t>I94</t>
        </is>
      </c>
      <c r="B182" s="0" t="n">
        <v>166.641273096667</v>
      </c>
      <c r="C182" s="0" t="inlineStr">
        <is>
          <t>verify_ms</t>
        </is>
      </c>
      <c r="D182" s="0" t="n">
        <v>20</v>
      </c>
      <c r="E182" s="0" t="n">
        <v>100</v>
      </c>
      <c r="F182" s="0" t="n">
        <v>41</v>
      </c>
      <c r="G182" s="0" t="inlineStr">
        <is>
          <t>D:\paper_source\work_9\VeriANN_repro_2026-09-30\VeriANN_repro_2026-09-30\VLAH-25TrustCom\results\work9-20261015\sift1m-k-curve\per_query.csv</t>
        </is>
      </c>
    </row>
    <row r="183">
      <c r="A183" s="0" t="inlineStr">
        <is>
          <t>I103</t>
        </is>
      </c>
      <c r="B183" s="0" t="n">
        <v>62.4914379533333</v>
      </c>
      <c r="C183" s="0" t="inlineStr">
        <is>
          <t>query_ms</t>
        </is>
      </c>
      <c r="D183" s="0" t="n">
        <v>20</v>
      </c>
      <c r="E183" s="0" t="n">
        <v>100</v>
      </c>
      <c r="F183" s="0" t="n">
        <v>41</v>
      </c>
      <c r="G183" s="0" t="inlineStr">
        <is>
          <t>D:\paper_source\work_9\VeriANN_repro_2026-09-30\VeriANN_repro_2026-09-30\VLAH-25TrustCom\results\work9-20261015\sift1m-k-curve\per_query.csv</t>
        </is>
      </c>
    </row>
    <row r="184">
      <c r="A184" s="0" t="inlineStr">
        <is>
          <t>J84</t>
        </is>
      </c>
      <c r="B184" s="0" t="n">
        <v>23604.75377</v>
      </c>
      <c r="C184" s="0" t="inlineStr">
        <is>
          <t>vo_kb</t>
        </is>
      </c>
      <c r="D184" s="0" t="n">
        <v>50</v>
      </c>
      <c r="E184" s="0" t="n">
        <v>100</v>
      </c>
      <c r="F184" s="0" t="n">
        <v>41</v>
      </c>
      <c r="G184" s="0" t="inlineStr">
        <is>
          <t>D:\paper_source\work_9\VeriANN_repro_2026-09-30\VeriANN_repro_2026-09-30\VLAH-25TrustCom\results\work9-20261015\sift1m-k-curve\per_query.csv</t>
        </is>
      </c>
    </row>
    <row r="185">
      <c r="A185" s="0" t="inlineStr">
        <is>
          <t>J94</t>
        </is>
      </c>
      <c r="B185" s="0" t="n">
        <v>161.22617848</v>
      </c>
      <c r="C185" s="0" t="inlineStr">
        <is>
          <t>verify_ms</t>
        </is>
      </c>
      <c r="D185" s="0" t="n">
        <v>50</v>
      </c>
      <c r="E185" s="0" t="n">
        <v>100</v>
      </c>
      <c r="F185" s="0" t="n">
        <v>41</v>
      </c>
      <c r="G185" s="0" t="inlineStr">
        <is>
          <t>D:\paper_source\work_9\VeriANN_repro_2026-09-30\VeriANN_repro_2026-09-30\VLAH-25TrustCom\results\work9-20261015\sift1m-k-curve\per_query.csv</t>
        </is>
      </c>
    </row>
    <row r="186">
      <c r="A186" s="0" t="inlineStr">
        <is>
          <t>J103</t>
        </is>
      </c>
      <c r="B186" s="0" t="n">
        <v>62.8828516033333</v>
      </c>
      <c r="C186" s="0" t="inlineStr">
        <is>
          <t>query_ms</t>
        </is>
      </c>
      <c r="D186" s="0" t="n">
        <v>50</v>
      </c>
      <c r="E186" s="0" t="n">
        <v>100</v>
      </c>
      <c r="F186" s="0" t="n">
        <v>41</v>
      </c>
      <c r="G186" s="0" t="inlineStr">
        <is>
          <t>D:\paper_source\work_9\VeriANN_repro_2026-09-30\VeriANN_repro_2026-09-30\VLAH-25TrustCom\results\work9-20261015\sift1m-k-curve\per_query.csv</t>
        </is>
      </c>
    </row>
    <row r="187">
      <c r="A187" s="0" t="inlineStr">
        <is>
          <t>K84</t>
        </is>
      </c>
      <c r="B187" s="0" t="n">
        <v>23604.95377</v>
      </c>
      <c r="C187" s="0" t="inlineStr">
        <is>
          <t>vo_kb</t>
        </is>
      </c>
      <c r="D187" s="0" t="n">
        <v>100</v>
      </c>
      <c r="E187" s="0" t="n">
        <v>100</v>
      </c>
      <c r="F187" s="0" t="n">
        <v>41</v>
      </c>
      <c r="G187" s="0" t="inlineStr">
        <is>
          <t>D:\paper_source\work_9\VeriANN_repro_2026-09-30\VeriANN_repro_2026-09-30\VLAH-25TrustCom\results\work9-20261015\sift1m-k-curve\per_query.csv</t>
        </is>
      </c>
    </row>
    <row r="188">
      <c r="A188" s="0" t="inlineStr">
        <is>
          <t>K94</t>
        </is>
      </c>
      <c r="B188" s="0" t="n">
        <v>161.153135363333</v>
      </c>
      <c r="C188" s="0" t="inlineStr">
        <is>
          <t>verify_ms</t>
        </is>
      </c>
      <c r="D188" s="0" t="n">
        <v>100</v>
      </c>
      <c r="E188" s="0" t="n">
        <v>100</v>
      </c>
      <c r="F188" s="0" t="n">
        <v>41</v>
      </c>
      <c r="G188" s="0" t="inlineStr">
        <is>
          <t>D:\paper_source\work_9\VeriANN_repro_2026-09-30\VeriANN_repro_2026-09-30\VLAH-25TrustCom\results\work9-20261015\sift1m-k-curve\per_query.csv</t>
        </is>
      </c>
    </row>
    <row r="189">
      <c r="A189" s="0" t="inlineStr">
        <is>
          <t>K103</t>
        </is>
      </c>
      <c r="B189" s="0" t="n">
        <v>64.8738179366667</v>
      </c>
      <c r="C189" s="0" t="inlineStr">
        <is>
          <t>query_ms</t>
        </is>
      </c>
      <c r="D189" s="0" t="n">
        <v>100</v>
      </c>
      <c r="E189" s="0" t="n">
        <v>100</v>
      </c>
      <c r="F189" s="0" t="n">
        <v>41</v>
      </c>
      <c r="G189" s="0" t="inlineStr">
        <is>
          <t>D:\paper_source\work_9\VeriANN_repro_2026-09-30\VeriANN_repro_2026-09-30\VLAH-25TrustCom\results\work9-20261015\sift1m-k-curve\per_query.csv</t>
        </is>
      </c>
    </row>
    <row r="190">
      <c r="A190" s="0" t="inlineStr">
        <is>
          <t>F85</t>
        </is>
      </c>
      <c r="B190" s="0" t="n">
        <v>1066.37392</v>
      </c>
      <c r="C190" s="0" t="inlineStr">
        <is>
          <t>vo_kb</t>
        </is>
      </c>
      <c r="D190" s="0" t="n">
        <v>1</v>
      </c>
      <c r="E190" s="0" t="n">
        <v>100</v>
      </c>
      <c r="F190" s="0" t="n">
        <v>1</v>
      </c>
      <c r="G190" s="0" t="inlineStr">
        <is>
          <t>D:\paper_source\work_9\VeriANN_repro_2026-09-30\VeriANN_repro_2026-09-30\ANNProof-24FGCS\results\work9-20261015\sift1m-k-curve-retry-040546\per_query.csv</t>
        </is>
      </c>
    </row>
    <row r="191">
      <c r="A191" s="0" t="inlineStr">
        <is>
          <t>F95</t>
        </is>
      </c>
      <c r="B191" s="0" t="n">
        <v>13.50592026</v>
      </c>
      <c r="C191" s="0" t="inlineStr">
        <is>
          <t>verify_ms</t>
        </is>
      </c>
      <c r="D191" s="0" t="n">
        <v>1</v>
      </c>
      <c r="E191" s="0" t="n">
        <v>100</v>
      </c>
      <c r="F191" s="0" t="n">
        <v>1</v>
      </c>
      <c r="G191" s="0" t="inlineStr">
        <is>
          <t>D:\paper_source\work_9\VeriANN_repro_2026-09-30\VeriANN_repro_2026-09-30\ANNProof-24FGCS\results\work9-20261015\sift1m-k-curve-retry-040546\per_query.csv</t>
        </is>
      </c>
    </row>
    <row r="192">
      <c r="A192" s="0" t="inlineStr">
        <is>
          <t>F104</t>
        </is>
      </c>
      <c r="B192" s="0" t="n">
        <v>2.86723709</v>
      </c>
      <c r="C192" s="0" t="inlineStr">
        <is>
          <t>query_ms</t>
        </is>
      </c>
      <c r="D192" s="0" t="n">
        <v>1</v>
      </c>
      <c r="E192" s="0" t="n">
        <v>100</v>
      </c>
      <c r="F192" s="0" t="n">
        <v>1</v>
      </c>
      <c r="G192" s="0" t="inlineStr">
        <is>
          <t>D:\paper_source\work_9\VeriANN_repro_2026-09-30\VeriANN_repro_2026-09-30\ANNProof-24FGCS\results\work9-20261015\sift1m-k-curve-retry-040546\per_query.csv</t>
        </is>
      </c>
    </row>
    <row r="193">
      <c r="A193" s="0" t="inlineStr">
        <is>
          <t>G85</t>
        </is>
      </c>
      <c r="B193" s="0" t="n">
        <v>1068.47552</v>
      </c>
      <c r="C193" s="0" t="inlineStr">
        <is>
          <t>vo_kb</t>
        </is>
      </c>
      <c r="D193" s="0" t="n">
        <v>5</v>
      </c>
      <c r="E193" s="0" t="n">
        <v>100</v>
      </c>
      <c r="F193" s="0" t="n">
        <v>1</v>
      </c>
      <c r="G193" s="0" t="inlineStr">
        <is>
          <t>D:\paper_source\work_9\VeriANN_repro_2026-09-30\VeriANN_repro_2026-09-30\ANNProof-24FGCS\results\work9-20261015\sift1m-k-curve-retry-040546\per_query.csv</t>
        </is>
      </c>
    </row>
    <row r="194">
      <c r="A194" s="0" t="inlineStr">
        <is>
          <t>G95</t>
        </is>
      </c>
      <c r="B194" s="0" t="n">
        <v>13.56223147</v>
      </c>
      <c r="C194" s="0" t="inlineStr">
        <is>
          <t>verify_ms</t>
        </is>
      </c>
      <c r="D194" s="0" t="n">
        <v>5</v>
      </c>
      <c r="E194" s="0" t="n">
        <v>100</v>
      </c>
      <c r="F194" s="0" t="n">
        <v>1</v>
      </c>
      <c r="G194" s="0" t="inlineStr">
        <is>
          <t>D:\paper_source\work_9\VeriANN_repro_2026-09-30\VeriANN_repro_2026-09-30\ANNProof-24FGCS\results\work9-20261015\sift1m-k-curve-retry-040546\per_query.csv</t>
        </is>
      </c>
    </row>
    <row r="195">
      <c r="A195" s="0" t="inlineStr">
        <is>
          <t>G104</t>
        </is>
      </c>
      <c r="B195" s="0" t="n">
        <v>2.82147357</v>
      </c>
      <c r="C195" s="0" t="inlineStr">
        <is>
          <t>query_ms</t>
        </is>
      </c>
      <c r="D195" s="0" t="n">
        <v>5</v>
      </c>
      <c r="E195" s="0" t="n">
        <v>100</v>
      </c>
      <c r="F195" s="0" t="n">
        <v>1</v>
      </c>
      <c r="G195" s="0" t="inlineStr">
        <is>
          <t>D:\paper_source\work_9\VeriANN_repro_2026-09-30\VeriANN_repro_2026-09-30\ANNProof-24FGCS\results\work9-20261015\sift1m-k-curve-retry-040546\per_query.csv</t>
        </is>
      </c>
    </row>
    <row r="196">
      <c r="A196" s="0" t="inlineStr">
        <is>
          <t>H85</t>
        </is>
      </c>
      <c r="B196" s="0" t="n">
        <v>1071.01752</v>
      </c>
      <c r="C196" s="0" t="inlineStr">
        <is>
          <t>vo_kb</t>
        </is>
      </c>
      <c r="D196" s="0" t="n">
        <v>10</v>
      </c>
      <c r="E196" s="0" t="n">
        <v>100</v>
      </c>
      <c r="F196" s="0" t="n">
        <v>1</v>
      </c>
      <c r="G196" s="0" t="inlineStr">
        <is>
          <t>D:\paper_source\work_9\VeriANN_repro_2026-09-30\VeriANN_repro_2026-09-30\ANNProof-24FGCS\results\work9-20261015\sift1m-k-curve-retry-040546\per_query.csv</t>
        </is>
      </c>
    </row>
    <row r="197">
      <c r="A197" s="0" t="inlineStr">
        <is>
          <t>H95</t>
        </is>
      </c>
      <c r="B197" s="0" t="n">
        <v>13.5985456233333</v>
      </c>
      <c r="C197" s="0" t="inlineStr">
        <is>
          <t>verify_ms</t>
        </is>
      </c>
      <c r="D197" s="0" t="n">
        <v>10</v>
      </c>
      <c r="E197" s="0" t="n">
        <v>100</v>
      </c>
      <c r="F197" s="0" t="n">
        <v>1</v>
      </c>
      <c r="G197" s="0" t="inlineStr">
        <is>
          <t>D:\paper_source\work_9\VeriANN_repro_2026-09-30\VeriANN_repro_2026-09-30\ANNProof-24FGCS\results\work9-20261015\sift1m-k-curve-retry-040546\per_query.csv</t>
        </is>
      </c>
    </row>
    <row r="198">
      <c r="A198" s="0" t="inlineStr">
        <is>
          <t>H104</t>
        </is>
      </c>
      <c r="B198" s="0" t="n">
        <v>2.86063496666667</v>
      </c>
      <c r="C198" s="0" t="inlineStr">
        <is>
          <t>query_ms</t>
        </is>
      </c>
      <c r="D198" s="0" t="n">
        <v>10</v>
      </c>
      <c r="E198" s="0" t="n">
        <v>100</v>
      </c>
      <c r="F198" s="0" t="n">
        <v>1</v>
      </c>
      <c r="G198" s="0" t="inlineStr">
        <is>
          <t>D:\paper_source\work_9\VeriANN_repro_2026-09-30\VeriANN_repro_2026-09-30\ANNProof-24FGCS\results\work9-20261015\sift1m-k-curve-retry-040546\per_query.csv</t>
        </is>
      </c>
    </row>
    <row r="199">
      <c r="A199" s="0" t="inlineStr">
        <is>
          <t>I85</t>
        </is>
      </c>
      <c r="B199" s="0" t="n">
        <v>1075.92512</v>
      </c>
      <c r="C199" s="0" t="inlineStr">
        <is>
          <t>vo_kb</t>
        </is>
      </c>
      <c r="D199" s="0" t="n">
        <v>20</v>
      </c>
      <c r="E199" s="0" t="n">
        <v>100</v>
      </c>
      <c r="F199" s="0" t="n">
        <v>1</v>
      </c>
      <c r="G199" s="0" t="inlineStr">
        <is>
          <t>D:\paper_source\work_9\VeriANN_repro_2026-09-30\VeriANN_repro_2026-09-30\ANNProof-24FGCS\results\work9-20261015\sift1m-k-curve-retry-040546\per_query.csv</t>
        </is>
      </c>
    </row>
    <row r="200">
      <c r="A200" s="0" t="inlineStr">
        <is>
          <t>I95</t>
        </is>
      </c>
      <c r="B200" s="0" t="n">
        <v>13.7384909233333</v>
      </c>
      <c r="C200" s="0" t="inlineStr">
        <is>
          <t>verify_ms</t>
        </is>
      </c>
      <c r="D200" s="0" t="n">
        <v>20</v>
      </c>
      <c r="E200" s="0" t="n">
        <v>100</v>
      </c>
      <c r="F200" s="0" t="n">
        <v>1</v>
      </c>
      <c r="G200" s="0" t="inlineStr">
        <is>
          <t>D:\paper_source\work_9\VeriANN_repro_2026-09-30\VeriANN_repro_2026-09-30\ANNProof-24FGCS\results\work9-20261015\sift1m-k-curve-retry-040546\per_query.csv</t>
        </is>
      </c>
    </row>
    <row r="201">
      <c r="A201" s="0" t="inlineStr">
        <is>
          <t>I104</t>
        </is>
      </c>
      <c r="B201" s="0" t="n">
        <v>2.84033417333333</v>
      </c>
      <c r="C201" s="0" t="inlineStr">
        <is>
          <t>query_ms</t>
        </is>
      </c>
      <c r="D201" s="0" t="n">
        <v>20</v>
      </c>
      <c r="E201" s="0" t="n">
        <v>100</v>
      </c>
      <c r="F201" s="0" t="n">
        <v>1</v>
      </c>
      <c r="G201" s="0" t="inlineStr">
        <is>
          <t>D:\paper_source\work_9\VeriANN_repro_2026-09-30\VeriANN_repro_2026-09-30\ANNProof-24FGCS\results\work9-20261015\sift1m-k-curve-retry-040546\per_query.csv</t>
        </is>
      </c>
    </row>
    <row r="202">
      <c r="A202" s="0" t="inlineStr">
        <is>
          <t>J85</t>
        </is>
      </c>
      <c r="B202" s="0" t="n">
        <v>1089.86992</v>
      </c>
      <c r="C202" s="0" t="inlineStr">
        <is>
          <t>vo_kb</t>
        </is>
      </c>
      <c r="D202" s="0" t="n">
        <v>50</v>
      </c>
      <c r="E202" s="0" t="n">
        <v>100</v>
      </c>
      <c r="F202" s="0" t="n">
        <v>1</v>
      </c>
      <c r="G202" s="0" t="inlineStr">
        <is>
          <t>D:\paper_source\work_9\VeriANN_repro_2026-09-30\VeriANN_repro_2026-09-30\ANNProof-24FGCS\results\work9-20261015\sift1m-k-curve-retry-040546\per_query.csv</t>
        </is>
      </c>
    </row>
    <row r="203">
      <c r="A203" s="0" t="inlineStr">
        <is>
          <t>J95</t>
        </is>
      </c>
      <c r="B203" s="0" t="n">
        <v>14.1065185666667</v>
      </c>
      <c r="C203" s="0" t="inlineStr">
        <is>
          <t>verify_ms</t>
        </is>
      </c>
      <c r="D203" s="0" t="n">
        <v>50</v>
      </c>
      <c r="E203" s="0" t="n">
        <v>100</v>
      </c>
      <c r="F203" s="0" t="n">
        <v>1</v>
      </c>
      <c r="G203" s="0" t="inlineStr">
        <is>
          <t>D:\paper_source\work_9\VeriANN_repro_2026-09-30\VeriANN_repro_2026-09-30\ANNProof-24FGCS\results\work9-20261015\sift1m-k-curve-retry-040546\per_query.csv</t>
        </is>
      </c>
    </row>
    <row r="204">
      <c r="A204" s="0" t="inlineStr">
        <is>
          <t>J104</t>
        </is>
      </c>
      <c r="B204" s="0" t="n">
        <v>2.91575918</v>
      </c>
      <c r="C204" s="0" t="inlineStr">
        <is>
          <t>query_ms</t>
        </is>
      </c>
      <c r="D204" s="0" t="n">
        <v>50</v>
      </c>
      <c r="E204" s="0" t="n">
        <v>100</v>
      </c>
      <c r="F204" s="0" t="n">
        <v>1</v>
      </c>
      <c r="G204" s="0" t="inlineStr">
        <is>
          <t>D:\paper_source\work_9\VeriANN_repro_2026-09-30\VeriANN_repro_2026-09-30\ANNProof-24FGCS\results\work9-20261015\sift1m-k-curve-retry-040546\per_query.csv</t>
        </is>
      </c>
    </row>
    <row r="205">
      <c r="A205" s="0" t="inlineStr">
        <is>
          <t>K85</t>
        </is>
      </c>
      <c r="B205" s="0" t="n">
        <v>1111.02832</v>
      </c>
      <c r="C205" s="0" t="inlineStr">
        <is>
          <t>vo_kb</t>
        </is>
      </c>
      <c r="D205" s="0" t="n">
        <v>100</v>
      </c>
      <c r="E205" s="0" t="n">
        <v>100</v>
      </c>
      <c r="F205" s="0" t="n">
        <v>1</v>
      </c>
      <c r="G205" s="0" t="inlineStr">
        <is>
          <t>D:\paper_source\work_9\VeriANN_repro_2026-09-30\VeriANN_repro_2026-09-30\ANNProof-24FGCS\results\work9-20261015\sift1m-k-curve-retry-040546\per_query.csv</t>
        </is>
      </c>
    </row>
    <row r="206">
      <c r="A206" s="0" t="inlineStr">
        <is>
          <t>K95</t>
        </is>
      </c>
      <c r="B206" s="0" t="n">
        <v>14.6850399966667</v>
      </c>
      <c r="C206" s="0" t="inlineStr">
        <is>
          <t>verify_ms</t>
        </is>
      </c>
      <c r="D206" s="0" t="n">
        <v>100</v>
      </c>
      <c r="E206" s="0" t="n">
        <v>100</v>
      </c>
      <c r="F206" s="0" t="n">
        <v>1</v>
      </c>
      <c r="G206" s="0" t="inlineStr">
        <is>
          <t>D:\paper_source\work_9\VeriANN_repro_2026-09-30\VeriANN_repro_2026-09-30\ANNProof-24FGCS\results\work9-20261015\sift1m-k-curve-retry-040546\per_query.csv</t>
        </is>
      </c>
    </row>
    <row r="207">
      <c r="A207" s="0" t="inlineStr">
        <is>
          <t>K104</t>
        </is>
      </c>
      <c r="B207" s="0" t="n">
        <v>2.94490975</v>
      </c>
      <c r="C207" s="0" t="inlineStr">
        <is>
          <t>query_ms</t>
        </is>
      </c>
      <c r="D207" s="0" t="n">
        <v>100</v>
      </c>
      <c r="E207" s="0" t="n">
        <v>100</v>
      </c>
      <c r="F207" s="0" t="n">
        <v>1</v>
      </c>
      <c r="G207" s="0" t="inlineStr">
        <is>
          <t>D:\paper_source\work_9\VeriANN_repro_2026-09-30\VeriANN_repro_2026-09-30\ANNProof-24FGCS\results\work9-20261015\sift1m-k-curve-retry-040546\per_query.csv</t>
        </is>
      </c>
    </row>
  </sheetData>
  <autoFilter ref="A1:G20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O124"/>
  <sheetViews>
    <sheetView workbookViewId="0">
      <pane xSplit="7" ySplit="1" topLeftCell="H2"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3.5"/>
  <cols>
    <col width="23" customWidth="1" style="1" min="1" max="15"/>
  </cols>
  <sheetData>
    <row r="1">
      <c r="A1" s="9" t="inlineStr">
        <is>
          <t>method</t>
        </is>
      </c>
      <c r="B1" s="9" t="inlineStr">
        <is>
          <t>experiment</t>
        </is>
      </c>
      <c r="C1" s="9" t="inlineStr">
        <is>
          <t>N</t>
        </is>
      </c>
      <c r="D1" s="9" t="inlineStr">
        <is>
          <t>k</t>
        </is>
      </c>
      <c r="E1" s="9" t="inlineStr">
        <is>
          <t>efSearch</t>
        </is>
      </c>
      <c r="F1" s="9" t="inlineStr">
        <is>
          <t>probes</t>
        </is>
      </c>
      <c r="G1" s="9" t="inlineStr">
        <is>
          <t>samples</t>
        </is>
      </c>
      <c r="H1" s="9" t="inlineStr">
        <is>
          <t>Query P50 ms</t>
        </is>
      </c>
      <c r="I1" s="9" t="inlineStr">
        <is>
          <t>Query P95 ms</t>
        </is>
      </c>
      <c r="J1" s="9" t="inlineStr">
        <is>
          <t>Verify P95 ms</t>
        </is>
      </c>
      <c r="K1" s="9" t="inlineStr">
        <is>
          <t>Peak RSS MiB</t>
        </is>
      </c>
      <c r="L1" s="9" t="inlineStr">
        <is>
          <t>Index build or load ms</t>
        </is>
      </c>
      <c r="M1" s="9" t="inlineStr">
        <is>
          <t>ADS construction ms</t>
        </is>
      </c>
      <c r="N1" s="9" t="inlineStr">
        <is>
          <t>Exact GT ms</t>
        </is>
      </c>
      <c r="O1" s="9" t="inlineStr">
        <is>
          <t>ADS bytes</t>
        </is>
      </c>
    </row>
    <row r="2">
      <c r="A2" s="0" t="inlineStr">
        <is>
          <t>ANNProof-24FGCS</t>
        </is>
      </c>
      <c r="B2" s="0" t="inlineStr">
        <is>
          <t>sift1m-k-curve</t>
        </is>
      </c>
      <c r="C2" s="0" t="n">
        <v>1000000</v>
      </c>
      <c r="D2" s="0" t="n">
        <v>1</v>
      </c>
      <c r="E2" s="0" t="n">
        <v>100</v>
      </c>
      <c r="F2" s="0" t="n">
        <v>1</v>
      </c>
      <c r="G2" s="0" t="n">
        <v>300</v>
      </c>
      <c r="H2" s="0" t="n">
        <v>2.874982</v>
      </c>
      <c r="I2" s="0" t="n">
        <v>3.628257</v>
      </c>
      <c r="J2" s="0" t="n">
        <v>16.343296</v>
      </c>
      <c r="K2" s="0" t="n">
        <v>2292.62</v>
      </c>
      <c r="L2" s="0" t="n">
        <v>2988.63</v>
      </c>
      <c r="M2" s="0" t="n">
        <v>7943.01</v>
      </c>
      <c r="N2" s="0" t="n">
        <v>4823.82</v>
      </c>
      <c r="O2" s="0" t="n">
        <v>209708800</v>
      </c>
    </row>
    <row r="3">
      <c r="A3" s="0" t="inlineStr">
        <is>
          <t>ANNProof-24FGCS</t>
        </is>
      </c>
      <c r="B3" s="0" t="inlineStr">
        <is>
          <t>sift1m-k-curve</t>
        </is>
      </c>
      <c r="C3" s="0" t="n">
        <v>1000000</v>
      </c>
      <c r="D3" s="0" t="n">
        <v>5</v>
      </c>
      <c r="E3" s="0" t="n">
        <v>100</v>
      </c>
      <c r="F3" s="0" t="n">
        <v>1</v>
      </c>
      <c r="G3" s="0" t="n">
        <v>300</v>
      </c>
      <c r="H3" s="0" t="n">
        <v>2.859252</v>
      </c>
      <c r="I3" s="0" t="n">
        <v>3.516157</v>
      </c>
      <c r="J3" s="0" t="n">
        <v>16.194914</v>
      </c>
      <c r="K3" s="0" t="n">
        <v>2292.62</v>
      </c>
      <c r="L3" s="0" t="n">
        <v>2988.63</v>
      </c>
      <c r="M3" s="0" t="n">
        <v>7943.01</v>
      </c>
      <c r="N3" s="0" t="n">
        <v>4823.82</v>
      </c>
      <c r="O3" s="0" t="n">
        <v>209708800</v>
      </c>
    </row>
    <row r="4">
      <c r="A4" s="0" t="inlineStr">
        <is>
          <t>ANNProof-24FGCS</t>
        </is>
      </c>
      <c r="B4" s="0" t="inlineStr">
        <is>
          <t>sift1m-k-curve</t>
        </is>
      </c>
      <c r="C4" s="0" t="n">
        <v>1000000</v>
      </c>
      <c r="D4" s="0" t="n">
        <v>10</v>
      </c>
      <c r="E4" s="0" t="n">
        <v>100</v>
      </c>
      <c r="F4" s="0" t="n">
        <v>1</v>
      </c>
      <c r="G4" s="0" t="n">
        <v>300</v>
      </c>
      <c r="H4" s="0" t="n">
        <v>2.912963</v>
      </c>
      <c r="I4" s="0" t="n">
        <v>3.604556</v>
      </c>
      <c r="J4" s="0" t="n">
        <v>16.275492</v>
      </c>
      <c r="K4" s="0" t="n">
        <v>2292.62</v>
      </c>
      <c r="L4" s="0" t="n">
        <v>2988.63</v>
      </c>
      <c r="M4" s="0" t="n">
        <v>7943.01</v>
      </c>
      <c r="N4" s="0" t="n">
        <v>4823.82</v>
      </c>
      <c r="O4" s="0" t="n">
        <v>209708800</v>
      </c>
    </row>
    <row r="5">
      <c r="A5" s="0" t="inlineStr">
        <is>
          <t>ANNProof-24FGCS</t>
        </is>
      </c>
      <c r="B5" s="0" t="inlineStr">
        <is>
          <t>sift1m-k-curve</t>
        </is>
      </c>
      <c r="C5" s="0" t="n">
        <v>1000000</v>
      </c>
      <c r="D5" s="0" t="n">
        <v>20</v>
      </c>
      <c r="E5" s="0" t="n">
        <v>100</v>
      </c>
      <c r="F5" s="0" t="n">
        <v>1</v>
      </c>
      <c r="G5" s="0" t="n">
        <v>300</v>
      </c>
      <c r="H5" s="0" t="n">
        <v>2.907553</v>
      </c>
      <c r="I5" s="0" t="n">
        <v>3.560046</v>
      </c>
      <c r="J5" s="0" t="n">
        <v>16.363428</v>
      </c>
      <c r="K5" s="0" t="n">
        <v>2292.62</v>
      </c>
      <c r="L5" s="0" t="n">
        <v>2988.63</v>
      </c>
      <c r="M5" s="0" t="n">
        <v>7943.01</v>
      </c>
      <c r="N5" s="0" t="n">
        <v>4823.82</v>
      </c>
      <c r="O5" s="0" t="n">
        <v>209708800</v>
      </c>
    </row>
    <row r="6">
      <c r="A6" s="0" t="inlineStr">
        <is>
          <t>ANNProof-24FGCS</t>
        </is>
      </c>
      <c r="B6" s="0" t="inlineStr">
        <is>
          <t>sift1m-k-curve</t>
        </is>
      </c>
      <c r="C6" s="0" t="n">
        <v>1000000</v>
      </c>
      <c r="D6" s="0" t="n">
        <v>50</v>
      </c>
      <c r="E6" s="0" t="n">
        <v>100</v>
      </c>
      <c r="F6" s="0" t="n">
        <v>1</v>
      </c>
      <c r="G6" s="0" t="n">
        <v>300</v>
      </c>
      <c r="H6" s="0" t="n">
        <v>2.986138</v>
      </c>
      <c r="I6" s="0" t="n">
        <v>3.693946</v>
      </c>
      <c r="J6" s="0" t="n">
        <v>16.814365</v>
      </c>
      <c r="K6" s="0" t="n">
        <v>2292.62</v>
      </c>
      <c r="L6" s="0" t="n">
        <v>2988.63</v>
      </c>
      <c r="M6" s="0" t="n">
        <v>7943.01</v>
      </c>
      <c r="N6" s="0" t="n">
        <v>4823.82</v>
      </c>
      <c r="O6" s="0" t="n">
        <v>209708800</v>
      </c>
    </row>
    <row r="7">
      <c r="A7" s="0" t="inlineStr">
        <is>
          <t>ANNProof-24FGCS</t>
        </is>
      </c>
      <c r="B7" s="0" t="inlineStr">
        <is>
          <t>sift1m-k-curve</t>
        </is>
      </c>
      <c r="C7" s="0" t="n">
        <v>1000000</v>
      </c>
      <c r="D7" s="0" t="n">
        <v>100</v>
      </c>
      <c r="E7" s="0" t="n">
        <v>100</v>
      </c>
      <c r="F7" s="0" t="n">
        <v>1</v>
      </c>
      <c r="G7" s="0" t="n">
        <v>300</v>
      </c>
      <c r="H7" s="0" t="n">
        <v>3.027532</v>
      </c>
      <c r="I7" s="0" t="n">
        <v>3.625709</v>
      </c>
      <c r="J7" s="0" t="n">
        <v>17.434104</v>
      </c>
      <c r="K7" s="0" t="n">
        <v>2292.62</v>
      </c>
      <c r="L7" s="0" t="n">
        <v>2988.63</v>
      </c>
      <c r="M7" s="0" t="n">
        <v>7943.01</v>
      </c>
      <c r="N7" s="0" t="n">
        <v>4823.82</v>
      </c>
      <c r="O7" s="0" t="n">
        <v>209708800</v>
      </c>
    </row>
    <row r="8">
      <c r="A8" s="0" t="inlineStr">
        <is>
          <t>ANNProof-24FGCS</t>
        </is>
      </c>
      <c r="B8" s="0" t="inlineStr">
        <is>
          <t>historical-recall-curve (superseded by Recall99 measurements)</t>
        </is>
      </c>
      <c r="C8" s="0" t="n">
        <v>1000000</v>
      </c>
      <c r="D8" s="0" t="n">
        <v>10</v>
      </c>
      <c r="E8" s="0" t="n">
        <v>10</v>
      </c>
      <c r="F8" s="0" t="n">
        <v>1</v>
      </c>
      <c r="G8" s="0" t="n">
        <v>300</v>
      </c>
      <c r="H8" s="0" t="n">
        <v>0.567746</v>
      </c>
      <c r="I8" s="0" t="n">
        <v>0.9242669999999999</v>
      </c>
      <c r="J8" s="0" t="n">
        <v>4.693658</v>
      </c>
      <c r="K8" s="0" t="n">
        <v>2292.75</v>
      </c>
      <c r="L8" s="0" t="n">
        <v>2963.42</v>
      </c>
      <c r="M8" s="0" t="n">
        <v>7860.04</v>
      </c>
      <c r="N8" s="0" t="n">
        <v>4837.99</v>
      </c>
      <c r="O8" s="0" t="n">
        <v>209708800</v>
      </c>
    </row>
    <row r="9">
      <c r="A9" s="0" t="inlineStr">
        <is>
          <t>ANNProof-24FGCS</t>
        </is>
      </c>
      <c r="B9" s="0" t="inlineStr">
        <is>
          <t>historical-recall-curve (superseded by Recall99 measurements)</t>
        </is>
      </c>
      <c r="C9" s="0" t="n">
        <v>1000000</v>
      </c>
      <c r="D9" s="0" t="n">
        <v>10</v>
      </c>
      <c r="E9" s="0" t="n">
        <v>15</v>
      </c>
      <c r="F9" s="0" t="n">
        <v>1</v>
      </c>
      <c r="G9" s="0" t="n">
        <v>300</v>
      </c>
      <c r="H9" s="0" t="n">
        <v>0.718763</v>
      </c>
      <c r="I9" s="0" t="n">
        <v>1.064372</v>
      </c>
      <c r="J9" s="0" t="n">
        <v>5.403858</v>
      </c>
      <c r="K9" s="0" t="n">
        <v>2292.75</v>
      </c>
      <c r="L9" s="0" t="n">
        <v>2963.42</v>
      </c>
      <c r="M9" s="0" t="n">
        <v>7860.04</v>
      </c>
      <c r="N9" s="0" t="n">
        <v>4837.99</v>
      </c>
      <c r="O9" s="0" t="n">
        <v>209708800</v>
      </c>
    </row>
    <row r="10">
      <c r="A10" s="0" t="inlineStr">
        <is>
          <t>ANNProof-24FGCS</t>
        </is>
      </c>
      <c r="B10" s="0" t="inlineStr">
        <is>
          <t>historical-recall-curve (superseded by Recall99 measurements)</t>
        </is>
      </c>
      <c r="C10" s="0" t="n">
        <v>1000000</v>
      </c>
      <c r="D10" s="0" t="n">
        <v>10</v>
      </c>
      <c r="E10" s="0" t="n">
        <v>20</v>
      </c>
      <c r="F10" s="0" t="n">
        <v>1</v>
      </c>
      <c r="G10" s="0" t="n">
        <v>300</v>
      </c>
      <c r="H10" s="0" t="n">
        <v>0.846414</v>
      </c>
      <c r="I10" s="0" t="n">
        <v>1.149642</v>
      </c>
      <c r="J10" s="0" t="n">
        <v>6.2103</v>
      </c>
      <c r="K10" s="0" t="n">
        <v>2292.75</v>
      </c>
      <c r="L10" s="0" t="n">
        <v>2963.42</v>
      </c>
      <c r="M10" s="0" t="n">
        <v>7860.04</v>
      </c>
      <c r="N10" s="0" t="n">
        <v>4837.99</v>
      </c>
      <c r="O10" s="0" t="n">
        <v>209708800</v>
      </c>
    </row>
    <row r="11">
      <c r="A11" s="0" t="inlineStr">
        <is>
          <t>ANNProof-24FGCS</t>
        </is>
      </c>
      <c r="B11" s="0" t="inlineStr">
        <is>
          <t>historical-recall-curve (superseded by Recall99 measurements)</t>
        </is>
      </c>
      <c r="C11" s="0" t="n">
        <v>1000000</v>
      </c>
      <c r="D11" s="0" t="n">
        <v>10</v>
      </c>
      <c r="E11" s="0" t="n">
        <v>30</v>
      </c>
      <c r="F11" s="0" t="n">
        <v>1</v>
      </c>
      <c r="G11" s="0" t="n">
        <v>300</v>
      </c>
      <c r="H11" s="0" t="n">
        <v>1.113261</v>
      </c>
      <c r="I11" s="0" t="n">
        <v>1.47013</v>
      </c>
      <c r="J11" s="0" t="n">
        <v>7.400067</v>
      </c>
      <c r="K11" s="0" t="n">
        <v>2292.75</v>
      </c>
      <c r="L11" s="0" t="n">
        <v>2963.42</v>
      </c>
      <c r="M11" s="0" t="n">
        <v>7860.04</v>
      </c>
      <c r="N11" s="0" t="n">
        <v>4837.99</v>
      </c>
      <c r="O11" s="0" t="n">
        <v>209708800</v>
      </c>
    </row>
    <row r="12">
      <c r="A12" s="0" t="inlineStr">
        <is>
          <t>ANNProof-24FGCS</t>
        </is>
      </c>
      <c r="B12" s="0" t="inlineStr">
        <is>
          <t>historical-recall-curve (superseded by Recall99 measurements)</t>
        </is>
      </c>
      <c r="C12" s="0" t="n">
        <v>1000000</v>
      </c>
      <c r="D12" s="0" t="n">
        <v>10</v>
      </c>
      <c r="E12" s="0" t="n">
        <v>40</v>
      </c>
      <c r="F12" s="0" t="n">
        <v>1</v>
      </c>
      <c r="G12" s="0" t="n">
        <v>300</v>
      </c>
      <c r="H12" s="0" t="n">
        <v>1.365597</v>
      </c>
      <c r="I12" s="0" t="n">
        <v>1.844757</v>
      </c>
      <c r="J12" s="0" t="n">
        <v>8.893656999999999</v>
      </c>
      <c r="K12" s="0" t="n">
        <v>2292.75</v>
      </c>
      <c r="L12" s="0" t="n">
        <v>2963.42</v>
      </c>
      <c r="M12" s="0" t="n">
        <v>7860.04</v>
      </c>
      <c r="N12" s="0" t="n">
        <v>4837.99</v>
      </c>
      <c r="O12" s="0" t="n">
        <v>209708800</v>
      </c>
    </row>
    <row r="13">
      <c r="A13" s="0" t="inlineStr">
        <is>
          <t>ANNProof-24FGCS</t>
        </is>
      </c>
      <c r="B13" s="0" t="inlineStr">
        <is>
          <t>historical-recall-curve (superseded by Recall99 measurements)</t>
        </is>
      </c>
      <c r="C13" s="0" t="n">
        <v>1000000</v>
      </c>
      <c r="D13" s="0" t="n">
        <v>10</v>
      </c>
      <c r="E13" s="0" t="n">
        <v>50</v>
      </c>
      <c r="F13" s="0" t="n">
        <v>1</v>
      </c>
      <c r="G13" s="0" t="n">
        <v>300</v>
      </c>
      <c r="H13" s="0" t="n">
        <v>1.640244</v>
      </c>
      <c r="I13" s="0" t="n">
        <v>2.072478</v>
      </c>
      <c r="J13" s="0" t="n">
        <v>10.106435</v>
      </c>
      <c r="K13" s="0" t="n">
        <v>2292.75</v>
      </c>
      <c r="L13" s="0" t="n">
        <v>2963.42</v>
      </c>
      <c r="M13" s="0" t="n">
        <v>7860.04</v>
      </c>
      <c r="N13" s="0" t="n">
        <v>4837.99</v>
      </c>
      <c r="O13" s="0" t="n">
        <v>209708800</v>
      </c>
    </row>
    <row r="14">
      <c r="A14" s="0" t="inlineStr">
        <is>
          <t>ANNProof-24FGCS</t>
        </is>
      </c>
      <c r="B14" s="0" t="inlineStr">
        <is>
          <t>historical-recall-curve (superseded by Recall99 measurements)</t>
        </is>
      </c>
      <c r="C14" s="0" t="n">
        <v>1000000</v>
      </c>
      <c r="D14" s="0" t="n">
        <v>10</v>
      </c>
      <c r="E14" s="0" t="n">
        <v>75</v>
      </c>
      <c r="F14" s="0" t="n">
        <v>1</v>
      </c>
      <c r="G14" s="0" t="n">
        <v>300</v>
      </c>
      <c r="H14" s="0" t="n">
        <v>2.234896</v>
      </c>
      <c r="I14" s="0" t="n">
        <v>2.800546</v>
      </c>
      <c r="J14" s="0" t="n">
        <v>13.133441</v>
      </c>
      <c r="K14" s="0" t="n">
        <v>2292.75</v>
      </c>
      <c r="L14" s="0" t="n">
        <v>2963.42</v>
      </c>
      <c r="M14" s="0" t="n">
        <v>7860.04</v>
      </c>
      <c r="N14" s="0" t="n">
        <v>4837.99</v>
      </c>
      <c r="O14" s="0" t="n">
        <v>209708800</v>
      </c>
    </row>
    <row r="15">
      <c r="A15" s="0" t="inlineStr">
        <is>
          <t>ANNProof-24FGCS</t>
        </is>
      </c>
      <c r="B15" s="0" t="inlineStr">
        <is>
          <t>historical-recall-curve (superseded by Recall99 measurements)</t>
        </is>
      </c>
      <c r="C15" s="0" t="n">
        <v>1000000</v>
      </c>
      <c r="D15" s="0" t="n">
        <v>10</v>
      </c>
      <c r="E15" s="0" t="n">
        <v>100</v>
      </c>
      <c r="F15" s="0" t="n">
        <v>1</v>
      </c>
      <c r="G15" s="0" t="n">
        <v>300</v>
      </c>
      <c r="H15" s="0" t="n">
        <v>2.85327</v>
      </c>
      <c r="I15" s="0" t="n">
        <v>3.528681</v>
      </c>
      <c r="J15" s="0" t="n">
        <v>16.032966</v>
      </c>
      <c r="K15" s="0" t="n">
        <v>2292.75</v>
      </c>
      <c r="L15" s="0" t="n">
        <v>2963.42</v>
      </c>
      <c r="M15" s="0" t="n">
        <v>7860.04</v>
      </c>
      <c r="N15" s="0" t="n">
        <v>4837.99</v>
      </c>
      <c r="O15" s="0" t="n">
        <v>209708800</v>
      </c>
    </row>
    <row r="16">
      <c r="A16" s="0" t="inlineStr">
        <is>
          <t>ANNProof-24FGCS</t>
        </is>
      </c>
      <c r="B16" s="0" t="inlineStr">
        <is>
          <t>historical-recall-curve (superseded by Recall99 measurements)</t>
        </is>
      </c>
      <c r="C16" s="0" t="n">
        <v>1000000</v>
      </c>
      <c r="D16" s="0" t="n">
        <v>10</v>
      </c>
      <c r="E16" s="0" t="n">
        <v>150</v>
      </c>
      <c r="F16" s="0" t="n">
        <v>1</v>
      </c>
      <c r="G16" s="0" t="n">
        <v>300</v>
      </c>
      <c r="H16" s="0" t="n">
        <v>4.164648</v>
      </c>
      <c r="I16" s="0" t="n">
        <v>4.884513</v>
      </c>
      <c r="J16" s="0" t="n">
        <v>21.948858</v>
      </c>
      <c r="K16" s="0" t="n">
        <v>2292.75</v>
      </c>
      <c r="L16" s="0" t="n">
        <v>2963.42</v>
      </c>
      <c r="M16" s="0" t="n">
        <v>7860.04</v>
      </c>
      <c r="N16" s="0" t="n">
        <v>4837.99</v>
      </c>
      <c r="O16" s="0" t="n">
        <v>209708800</v>
      </c>
    </row>
    <row r="17">
      <c r="A17" s="0" t="inlineStr">
        <is>
          <t>ANNProof-24FGCS</t>
        </is>
      </c>
      <c r="B17" s="0" t="inlineStr">
        <is>
          <t>historical-recall-curve (superseded by Recall99 measurements)</t>
        </is>
      </c>
      <c r="C17" s="0" t="n">
        <v>1000000</v>
      </c>
      <c r="D17" s="0" t="n">
        <v>10</v>
      </c>
      <c r="E17" s="0" t="n">
        <v>200</v>
      </c>
      <c r="F17" s="0" t="n">
        <v>1</v>
      </c>
      <c r="G17" s="0" t="n">
        <v>300</v>
      </c>
      <c r="H17" s="0" t="n">
        <v>5.259429</v>
      </c>
      <c r="I17" s="0" t="n">
        <v>6.167642</v>
      </c>
      <c r="J17" s="0" t="n">
        <v>27.656113</v>
      </c>
      <c r="K17" s="0" t="n">
        <v>2292.75</v>
      </c>
      <c r="L17" s="0" t="n">
        <v>2963.42</v>
      </c>
      <c r="M17" s="0" t="n">
        <v>7860.04</v>
      </c>
      <c r="N17" s="0" t="n">
        <v>4837.99</v>
      </c>
      <c r="O17" s="0" t="n">
        <v>209708800</v>
      </c>
    </row>
    <row r="18">
      <c r="A18" s="0" t="inlineStr">
        <is>
          <t>ANNProof-24FGCS</t>
        </is>
      </c>
      <c r="B18" s="0" t="inlineStr">
        <is>
          <t>historical-recall-curve (superseded by Recall99 measurements)</t>
        </is>
      </c>
      <c r="C18" s="0" t="n">
        <v>1000000</v>
      </c>
      <c r="D18" s="0" t="n">
        <v>10</v>
      </c>
      <c r="E18" s="0" t="n">
        <v>300</v>
      </c>
      <c r="F18" s="0" t="n">
        <v>1</v>
      </c>
      <c r="G18" s="0" t="n">
        <v>300</v>
      </c>
      <c r="H18" s="0" t="n">
        <v>7.604484</v>
      </c>
      <c r="I18" s="0" t="n">
        <v>8.826238</v>
      </c>
      <c r="J18" s="0" t="n">
        <v>37.809889</v>
      </c>
      <c r="K18" s="0" t="n">
        <v>2292.75</v>
      </c>
      <c r="L18" s="0" t="n">
        <v>2963.42</v>
      </c>
      <c r="M18" s="0" t="n">
        <v>7860.04</v>
      </c>
      <c r="N18" s="0" t="n">
        <v>4837.99</v>
      </c>
      <c r="O18" s="0" t="n">
        <v>209708800</v>
      </c>
    </row>
    <row r="19">
      <c r="A19" s="0" t="inlineStr">
        <is>
          <t>ANNProof-24FGCS</t>
        </is>
      </c>
      <c r="B19" s="0" t="inlineStr">
        <is>
          <t>size-100000-calibration</t>
        </is>
      </c>
      <c r="C19" s="0" t="n">
        <v>100000</v>
      </c>
      <c r="D19" s="0" t="n">
        <v>10</v>
      </c>
      <c r="E19" s="0" t="n">
        <v>20</v>
      </c>
      <c r="F19" s="0" t="n">
        <v>1</v>
      </c>
      <c r="G19" s="0" t="n">
        <v>20</v>
      </c>
      <c r="H19" s="0" t="n">
        <v>0.693173</v>
      </c>
      <c r="I19" s="0" t="n">
        <v>1.062474</v>
      </c>
      <c r="J19" s="0" t="n">
        <v>4.648133</v>
      </c>
      <c r="K19" s="0" t="n">
        <v>242.195</v>
      </c>
      <c r="L19" s="0" t="n">
        <v>2209.1</v>
      </c>
      <c r="M19" s="0" t="n">
        <v>800.205</v>
      </c>
      <c r="N19" s="0" t="n">
        <v>93.9135</v>
      </c>
      <c r="O19" s="0" t="n">
        <v>20970880</v>
      </c>
    </row>
    <row r="20">
      <c r="A20" s="0" t="inlineStr">
        <is>
          <t>ANNProof-24FGCS</t>
        </is>
      </c>
      <c r="B20" s="0" t="inlineStr">
        <is>
          <t>size-100000-calibration</t>
        </is>
      </c>
      <c r="C20" s="0" t="n">
        <v>100000</v>
      </c>
      <c r="D20" s="0" t="n">
        <v>10</v>
      </c>
      <c r="E20" s="0" t="n">
        <v>50</v>
      </c>
      <c r="F20" s="0" t="n">
        <v>1</v>
      </c>
      <c r="G20" s="0" t="n">
        <v>20</v>
      </c>
      <c r="H20" s="0" t="n">
        <v>1.251347</v>
      </c>
      <c r="I20" s="0" t="n">
        <v>1.467143</v>
      </c>
      <c r="J20" s="0" t="n">
        <v>7.938667</v>
      </c>
      <c r="K20" s="0" t="n">
        <v>242.195</v>
      </c>
      <c r="L20" s="0" t="n">
        <v>2209.1</v>
      </c>
      <c r="M20" s="0" t="n">
        <v>800.205</v>
      </c>
      <c r="N20" s="0" t="n">
        <v>93.9135</v>
      </c>
      <c r="O20" s="0" t="n">
        <v>20970880</v>
      </c>
    </row>
    <row r="21">
      <c r="A21" s="0" t="inlineStr">
        <is>
          <t>ANNProof-24FGCS</t>
        </is>
      </c>
      <c r="B21" s="0" t="inlineStr">
        <is>
          <t>size-100000-calibration</t>
        </is>
      </c>
      <c r="C21" s="0" t="n">
        <v>100000</v>
      </c>
      <c r="D21" s="0" t="n">
        <v>10</v>
      </c>
      <c r="E21" s="0" t="n">
        <v>100</v>
      </c>
      <c r="F21" s="0" t="n">
        <v>1</v>
      </c>
      <c r="G21" s="0" t="n">
        <v>20</v>
      </c>
      <c r="H21" s="0" t="n">
        <v>2.188918</v>
      </c>
      <c r="I21" s="0" t="n">
        <v>2.939658</v>
      </c>
      <c r="J21" s="0" t="n">
        <v>12.873644</v>
      </c>
      <c r="K21" s="0" t="n">
        <v>242.195</v>
      </c>
      <c r="L21" s="0" t="n">
        <v>2209.1</v>
      </c>
      <c r="M21" s="0" t="n">
        <v>800.205</v>
      </c>
      <c r="N21" s="0" t="n">
        <v>93.9135</v>
      </c>
      <c r="O21" s="0" t="n">
        <v>20970880</v>
      </c>
    </row>
    <row r="22">
      <c r="A22" s="0" t="inlineStr">
        <is>
          <t>ANNProof-24FGCS</t>
        </is>
      </c>
      <c r="B22" s="0" t="inlineStr">
        <is>
          <t>size-100000-calibration</t>
        </is>
      </c>
      <c r="C22" s="0" t="n">
        <v>100000</v>
      </c>
      <c r="D22" s="0" t="n">
        <v>10</v>
      </c>
      <c r="E22" s="0" t="n">
        <v>200</v>
      </c>
      <c r="F22" s="0" t="n">
        <v>1</v>
      </c>
      <c r="G22" s="0" t="n">
        <v>20</v>
      </c>
      <c r="H22" s="0" t="n">
        <v>3.932395</v>
      </c>
      <c r="I22" s="0" t="n">
        <v>4.965668</v>
      </c>
      <c r="J22" s="0" t="n">
        <v>19.846807</v>
      </c>
      <c r="K22" s="0" t="n">
        <v>242.195</v>
      </c>
      <c r="L22" s="0" t="n">
        <v>2209.1</v>
      </c>
      <c r="M22" s="0" t="n">
        <v>800.205</v>
      </c>
      <c r="N22" s="0" t="n">
        <v>93.9135</v>
      </c>
      <c r="O22" s="0" t="n">
        <v>20970880</v>
      </c>
    </row>
    <row r="23">
      <c r="A23" s="0" t="inlineStr">
        <is>
          <t>ANNProof-24FGCS</t>
        </is>
      </c>
      <c r="B23" s="0" t="inlineStr">
        <is>
          <t>size-100000-calibration</t>
        </is>
      </c>
      <c r="C23" s="0" t="n">
        <v>100000</v>
      </c>
      <c r="D23" s="0" t="n">
        <v>10</v>
      </c>
      <c r="E23" s="0" t="n">
        <v>400</v>
      </c>
      <c r="F23" s="0" t="n">
        <v>1</v>
      </c>
      <c r="G23" s="0" t="n">
        <v>20</v>
      </c>
      <c r="H23" s="0" t="n">
        <v>6.485414</v>
      </c>
      <c r="I23" s="0" t="n">
        <v>8.574985</v>
      </c>
      <c r="J23" s="0" t="n">
        <v>32.485272</v>
      </c>
      <c r="K23" s="0" t="n">
        <v>242.195</v>
      </c>
      <c r="L23" s="0" t="n">
        <v>2209.1</v>
      </c>
      <c r="M23" s="0" t="n">
        <v>800.205</v>
      </c>
      <c r="N23" s="0" t="n">
        <v>93.9135</v>
      </c>
      <c r="O23" s="0" t="n">
        <v>20970880</v>
      </c>
    </row>
    <row r="24">
      <c r="A24" s="0" t="inlineStr">
        <is>
          <t>ANNProof-24FGCS</t>
        </is>
      </c>
      <c r="B24" s="0" t="inlineStr">
        <is>
          <t>size-100000-calibration</t>
        </is>
      </c>
      <c r="C24" s="0" t="n">
        <v>100000</v>
      </c>
      <c r="D24" s="0" t="n">
        <v>10</v>
      </c>
      <c r="E24" s="0" t="n">
        <v>800</v>
      </c>
      <c r="F24" s="0" t="n">
        <v>1</v>
      </c>
      <c r="G24" s="0" t="n">
        <v>20</v>
      </c>
      <c r="H24" s="0" t="n">
        <v>10.476165</v>
      </c>
      <c r="I24" s="0" t="n">
        <v>13.767394</v>
      </c>
      <c r="J24" s="0" t="n">
        <v>57.582442</v>
      </c>
      <c r="K24" s="0" t="n">
        <v>242.195</v>
      </c>
      <c r="L24" s="0" t="n">
        <v>2209.1</v>
      </c>
      <c r="M24" s="0" t="n">
        <v>800.205</v>
      </c>
      <c r="N24" s="0" t="n">
        <v>93.9135</v>
      </c>
      <c r="O24" s="0" t="n">
        <v>20970880</v>
      </c>
    </row>
    <row r="25">
      <c r="A25" s="0" t="inlineStr">
        <is>
          <t>ANNProof-24FGCS</t>
        </is>
      </c>
      <c r="B25" s="0" t="inlineStr">
        <is>
          <t>size-100000-evaluation</t>
        </is>
      </c>
      <c r="C25" s="0" t="n">
        <v>100000</v>
      </c>
      <c r="D25" s="0" t="n">
        <v>10</v>
      </c>
      <c r="E25" s="0" t="n">
        <v>100</v>
      </c>
      <c r="F25" s="0" t="n">
        <v>1</v>
      </c>
      <c r="G25" s="0" t="n">
        <v>300</v>
      </c>
      <c r="H25" s="0" t="n">
        <v>2.189459</v>
      </c>
      <c r="I25" s="0" t="n">
        <v>2.698362</v>
      </c>
      <c r="J25" s="0" t="n">
        <v>12.268852</v>
      </c>
      <c r="K25" s="0" t="n">
        <v>241.023</v>
      </c>
      <c r="L25" s="0" t="n">
        <v>302.365</v>
      </c>
      <c r="M25" s="0" t="n">
        <v>781.146</v>
      </c>
      <c r="N25" s="0" t="n">
        <v>466.805</v>
      </c>
      <c r="O25" s="0" t="n">
        <v>20970880</v>
      </c>
    </row>
    <row r="26">
      <c r="A26" s="0" t="inlineStr">
        <is>
          <t>ANNProof-24FGCS</t>
        </is>
      </c>
      <c r="B26" s="0" t="inlineStr">
        <is>
          <t>size-1000000-calibration</t>
        </is>
      </c>
      <c r="C26" s="0" t="n">
        <v>1000000</v>
      </c>
      <c r="D26" s="0" t="n">
        <v>10</v>
      </c>
      <c r="E26" s="0" t="n">
        <v>20</v>
      </c>
      <c r="F26" s="0" t="n">
        <v>1</v>
      </c>
      <c r="G26" s="0" t="n">
        <v>20</v>
      </c>
      <c r="H26" s="0" t="n">
        <v>0.916721</v>
      </c>
      <c r="I26" s="0" t="n">
        <v>1.537178</v>
      </c>
      <c r="J26" s="0" t="n">
        <v>6.628101</v>
      </c>
      <c r="K26" s="0" t="n">
        <v>2303.77</v>
      </c>
      <c r="L26" s="0" t="n">
        <v>46033.5</v>
      </c>
      <c r="M26" s="0" t="n">
        <v>7889.43</v>
      </c>
      <c r="N26" s="0" t="n">
        <v>984.509</v>
      </c>
      <c r="O26" s="0" t="n">
        <v>209708800</v>
      </c>
    </row>
    <row r="27">
      <c r="A27" s="0" t="inlineStr">
        <is>
          <t>ANNProof-24FGCS</t>
        </is>
      </c>
      <c r="B27" s="0" t="inlineStr">
        <is>
          <t>size-1000000-calibration</t>
        </is>
      </c>
      <c r="C27" s="0" t="n">
        <v>1000000</v>
      </c>
      <c r="D27" s="0" t="n">
        <v>10</v>
      </c>
      <c r="E27" s="0" t="n">
        <v>50</v>
      </c>
      <c r="F27" s="0" t="n">
        <v>1</v>
      </c>
      <c r="G27" s="0" t="n">
        <v>20</v>
      </c>
      <c r="H27" s="0" t="n">
        <v>1.632739</v>
      </c>
      <c r="I27" s="0" t="n">
        <v>2.146375</v>
      </c>
      <c r="J27" s="0" t="n">
        <v>10.292424</v>
      </c>
      <c r="K27" s="0" t="n">
        <v>2303.77</v>
      </c>
      <c r="L27" s="0" t="n">
        <v>46033.5</v>
      </c>
      <c r="M27" s="0" t="n">
        <v>7889.43</v>
      </c>
      <c r="N27" s="0" t="n">
        <v>984.509</v>
      </c>
      <c r="O27" s="0" t="n">
        <v>209708800</v>
      </c>
    </row>
    <row r="28">
      <c r="A28" s="0" t="inlineStr">
        <is>
          <t>ANNProof-24FGCS</t>
        </is>
      </c>
      <c r="B28" s="0" t="inlineStr">
        <is>
          <t>size-1000000-calibration</t>
        </is>
      </c>
      <c r="C28" s="0" t="n">
        <v>1000000</v>
      </c>
      <c r="D28" s="0" t="n">
        <v>10</v>
      </c>
      <c r="E28" s="0" t="n">
        <v>100</v>
      </c>
      <c r="F28" s="0" t="n">
        <v>1</v>
      </c>
      <c r="G28" s="0" t="n">
        <v>20</v>
      </c>
      <c r="H28" s="0" t="n">
        <v>2.848739</v>
      </c>
      <c r="I28" s="0" t="n">
        <v>3.94283</v>
      </c>
      <c r="J28" s="0" t="n">
        <v>18.81091</v>
      </c>
      <c r="K28" s="0" t="n">
        <v>2303.77</v>
      </c>
      <c r="L28" s="0" t="n">
        <v>46033.5</v>
      </c>
      <c r="M28" s="0" t="n">
        <v>7889.43</v>
      </c>
      <c r="N28" s="0" t="n">
        <v>984.509</v>
      </c>
      <c r="O28" s="0" t="n">
        <v>209708800</v>
      </c>
    </row>
    <row r="29">
      <c r="A29" s="0" t="inlineStr">
        <is>
          <t>ANNProof-24FGCS</t>
        </is>
      </c>
      <c r="B29" s="0" t="inlineStr">
        <is>
          <t>size-1000000-calibration</t>
        </is>
      </c>
      <c r="C29" s="0" t="n">
        <v>1000000</v>
      </c>
      <c r="D29" s="0" t="n">
        <v>10</v>
      </c>
      <c r="E29" s="0" t="n">
        <v>200</v>
      </c>
      <c r="F29" s="0" t="n">
        <v>1</v>
      </c>
      <c r="G29" s="0" t="n">
        <v>20</v>
      </c>
      <c r="H29" s="0" t="n">
        <v>5.380708</v>
      </c>
      <c r="I29" s="0" t="n">
        <v>6.799559</v>
      </c>
      <c r="J29" s="0" t="n">
        <v>31.411811</v>
      </c>
      <c r="K29" s="0" t="n">
        <v>2303.77</v>
      </c>
      <c r="L29" s="0" t="n">
        <v>46033.5</v>
      </c>
      <c r="M29" s="0" t="n">
        <v>7889.43</v>
      </c>
      <c r="N29" s="0" t="n">
        <v>984.509</v>
      </c>
      <c r="O29" s="0" t="n">
        <v>209708800</v>
      </c>
    </row>
    <row r="30">
      <c r="A30" s="0" t="inlineStr">
        <is>
          <t>ANNProof-24FGCS</t>
        </is>
      </c>
      <c r="B30" s="0" t="inlineStr">
        <is>
          <t>size-1000000-calibration</t>
        </is>
      </c>
      <c r="C30" s="0" t="n">
        <v>1000000</v>
      </c>
      <c r="D30" s="0" t="n">
        <v>10</v>
      </c>
      <c r="E30" s="0" t="n">
        <v>400</v>
      </c>
      <c r="F30" s="0" t="n">
        <v>1</v>
      </c>
      <c r="G30" s="0" t="n">
        <v>20</v>
      </c>
      <c r="H30" s="0" t="n">
        <v>9.842162</v>
      </c>
      <c r="I30" s="0" t="n">
        <v>12.717912</v>
      </c>
      <c r="J30" s="0" t="n">
        <v>52.969368</v>
      </c>
      <c r="K30" s="0" t="n">
        <v>2303.77</v>
      </c>
      <c r="L30" s="0" t="n">
        <v>46033.5</v>
      </c>
      <c r="M30" s="0" t="n">
        <v>7889.43</v>
      </c>
      <c r="N30" s="0" t="n">
        <v>984.509</v>
      </c>
      <c r="O30" s="0" t="n">
        <v>209708800</v>
      </c>
    </row>
    <row r="31">
      <c r="A31" s="0" t="inlineStr">
        <is>
          <t>ANNProof-24FGCS</t>
        </is>
      </c>
      <c r="B31" s="0" t="inlineStr">
        <is>
          <t>size-1000000-calibration</t>
        </is>
      </c>
      <c r="C31" s="0" t="n">
        <v>1000000</v>
      </c>
      <c r="D31" s="0" t="n">
        <v>10</v>
      </c>
      <c r="E31" s="0" t="n">
        <v>800</v>
      </c>
      <c r="F31" s="0" t="n">
        <v>1</v>
      </c>
      <c r="G31" s="0" t="n">
        <v>20</v>
      </c>
      <c r="H31" s="0" t="n">
        <v>16.642863</v>
      </c>
      <c r="I31" s="0" t="n">
        <v>24.242292</v>
      </c>
      <c r="J31" s="0" t="n">
        <v>92.67286</v>
      </c>
      <c r="K31" s="0" t="n">
        <v>2303.77</v>
      </c>
      <c r="L31" s="0" t="n">
        <v>46033.5</v>
      </c>
      <c r="M31" s="0" t="n">
        <v>7889.43</v>
      </c>
      <c r="N31" s="0" t="n">
        <v>984.509</v>
      </c>
      <c r="O31" s="0" t="n">
        <v>209708800</v>
      </c>
    </row>
    <row r="32">
      <c r="A32" s="0" t="inlineStr">
        <is>
          <t>ANNProof-24FGCS</t>
        </is>
      </c>
      <c r="B32" s="0" t="inlineStr">
        <is>
          <t>size-1000000-evaluation</t>
        </is>
      </c>
      <c r="C32" s="0" t="n">
        <v>1000000</v>
      </c>
      <c r="D32" s="0" t="n">
        <v>10</v>
      </c>
      <c r="E32" s="0" t="n">
        <v>50</v>
      </c>
      <c r="F32" s="0" t="n">
        <v>1</v>
      </c>
      <c r="G32" s="0" t="n">
        <v>300</v>
      </c>
      <c r="H32" s="0" t="n">
        <v>1.688805</v>
      </c>
      <c r="I32" s="0" t="n">
        <v>2.288602</v>
      </c>
      <c r="J32" s="0" t="n">
        <v>10.586848</v>
      </c>
      <c r="K32" s="0" t="n">
        <v>2295.48</v>
      </c>
      <c r="L32" s="0" t="n">
        <v>3171.42</v>
      </c>
      <c r="M32" s="0" t="n">
        <v>7912.4</v>
      </c>
      <c r="N32" s="0" t="n">
        <v>4771</v>
      </c>
      <c r="O32" s="0" t="n">
        <v>209708800</v>
      </c>
    </row>
    <row r="33">
      <c r="A33" s="0" t="inlineStr">
        <is>
          <t>ANNProof-24FGCS</t>
        </is>
      </c>
      <c r="B33" s="0" t="inlineStr">
        <is>
          <t>size-10000000-calibration</t>
        </is>
      </c>
      <c r="C33" s="0" t="n">
        <v>10000000</v>
      </c>
      <c r="D33" s="0" t="n">
        <v>10</v>
      </c>
      <c r="E33" s="0" t="n">
        <v>20</v>
      </c>
      <c r="F33" s="0" t="n">
        <v>1</v>
      </c>
      <c r="G33" s="0" t="n">
        <v>20</v>
      </c>
      <c r="H33" s="0" t="n">
        <v>1.297679</v>
      </c>
      <c r="I33" s="0" t="n">
        <v>1.936384</v>
      </c>
      <c r="J33" s="0" t="n">
        <v>6.601622</v>
      </c>
      <c r="K33" s="0" t="n">
        <v>22905.8</v>
      </c>
      <c r="L33" s="0" t="n">
        <v>787065</v>
      </c>
      <c r="M33" s="0" t="n">
        <v>79663.10000000001</v>
      </c>
      <c r="N33" s="0" t="n">
        <v>10500</v>
      </c>
      <c r="O33" s="0" t="n">
        <v>2097088000</v>
      </c>
    </row>
    <row r="34">
      <c r="A34" s="0" t="inlineStr">
        <is>
          <t>ANNProof-24FGCS</t>
        </is>
      </c>
      <c r="B34" s="0" t="inlineStr">
        <is>
          <t>size-10000000-calibration</t>
        </is>
      </c>
      <c r="C34" s="0" t="n">
        <v>10000000</v>
      </c>
      <c r="D34" s="0" t="n">
        <v>10</v>
      </c>
      <c r="E34" s="0" t="n">
        <v>50</v>
      </c>
      <c r="F34" s="0" t="n">
        <v>1</v>
      </c>
      <c r="G34" s="0" t="n">
        <v>20</v>
      </c>
      <c r="H34" s="0" t="n">
        <v>2.333691</v>
      </c>
      <c r="I34" s="0" t="n">
        <v>3.067214</v>
      </c>
      <c r="J34" s="0" t="n">
        <v>11.555032</v>
      </c>
      <c r="K34" s="0" t="n">
        <v>22905.8</v>
      </c>
      <c r="L34" s="0" t="n">
        <v>787065</v>
      </c>
      <c r="M34" s="0" t="n">
        <v>79663.10000000001</v>
      </c>
      <c r="N34" s="0" t="n">
        <v>10500</v>
      </c>
      <c r="O34" s="0" t="n">
        <v>2097088000</v>
      </c>
    </row>
    <row r="35">
      <c r="A35" s="0" t="inlineStr">
        <is>
          <t>ANNProof-24FGCS</t>
        </is>
      </c>
      <c r="B35" s="0" t="inlineStr">
        <is>
          <t>size-10000000-calibration</t>
        </is>
      </c>
      <c r="C35" s="0" t="n">
        <v>10000000</v>
      </c>
      <c r="D35" s="0" t="n">
        <v>10</v>
      </c>
      <c r="E35" s="0" t="n">
        <v>100</v>
      </c>
      <c r="F35" s="0" t="n">
        <v>1</v>
      </c>
      <c r="G35" s="0" t="n">
        <v>20</v>
      </c>
      <c r="H35" s="0" t="n">
        <v>4.13524</v>
      </c>
      <c r="I35" s="0" t="n">
        <v>5.346735</v>
      </c>
      <c r="J35" s="0" t="n">
        <v>21.26985</v>
      </c>
      <c r="K35" s="0" t="n">
        <v>22905.8</v>
      </c>
      <c r="L35" s="0" t="n">
        <v>787065</v>
      </c>
      <c r="M35" s="0" t="n">
        <v>79663.10000000001</v>
      </c>
      <c r="N35" s="0" t="n">
        <v>10500</v>
      </c>
      <c r="O35" s="0" t="n">
        <v>2097088000</v>
      </c>
    </row>
    <row r="36">
      <c r="A36" s="0" t="inlineStr">
        <is>
          <t>ANNProof-24FGCS</t>
        </is>
      </c>
      <c r="B36" s="0" t="inlineStr">
        <is>
          <t>size-10000000-calibration</t>
        </is>
      </c>
      <c r="C36" s="0" t="n">
        <v>10000000</v>
      </c>
      <c r="D36" s="0" t="n">
        <v>10</v>
      </c>
      <c r="E36" s="0" t="n">
        <v>200</v>
      </c>
      <c r="F36" s="0" t="n">
        <v>1</v>
      </c>
      <c r="G36" s="0" t="n">
        <v>20</v>
      </c>
      <c r="H36" s="0" t="n">
        <v>7.141671</v>
      </c>
      <c r="I36" s="0" t="n">
        <v>10.121734</v>
      </c>
      <c r="J36" s="0" t="n">
        <v>35.707845</v>
      </c>
      <c r="K36" s="0" t="n">
        <v>22905.8</v>
      </c>
      <c r="L36" s="0" t="n">
        <v>787065</v>
      </c>
      <c r="M36" s="0" t="n">
        <v>79663.10000000001</v>
      </c>
      <c r="N36" s="0" t="n">
        <v>10500</v>
      </c>
      <c r="O36" s="0" t="n">
        <v>2097088000</v>
      </c>
    </row>
    <row r="37">
      <c r="A37" s="0" t="inlineStr">
        <is>
          <t>ANNProof-24FGCS</t>
        </is>
      </c>
      <c r="B37" s="0" t="inlineStr">
        <is>
          <t>size-10000000-calibration</t>
        </is>
      </c>
      <c r="C37" s="0" t="n">
        <v>10000000</v>
      </c>
      <c r="D37" s="0" t="n">
        <v>10</v>
      </c>
      <c r="E37" s="0" t="n">
        <v>400</v>
      </c>
      <c r="F37" s="0" t="n">
        <v>1</v>
      </c>
      <c r="G37" s="0" t="n">
        <v>20</v>
      </c>
      <c r="H37" s="0" t="n">
        <v>12.155332</v>
      </c>
      <c r="I37" s="0" t="n">
        <v>17.186088</v>
      </c>
      <c r="J37" s="0" t="n">
        <v>67.84382600000001</v>
      </c>
      <c r="K37" s="0" t="n">
        <v>22905.8</v>
      </c>
      <c r="L37" s="0" t="n">
        <v>787065</v>
      </c>
      <c r="M37" s="0" t="n">
        <v>79663.10000000001</v>
      </c>
      <c r="N37" s="0" t="n">
        <v>10500</v>
      </c>
      <c r="O37" s="0" t="n">
        <v>2097088000</v>
      </c>
    </row>
    <row r="38">
      <c r="A38" s="0" t="inlineStr">
        <is>
          <t>ANNProof-24FGCS</t>
        </is>
      </c>
      <c r="B38" s="0" t="inlineStr">
        <is>
          <t>size-10000000-calibration</t>
        </is>
      </c>
      <c r="C38" s="0" t="n">
        <v>10000000</v>
      </c>
      <c r="D38" s="0" t="n">
        <v>10</v>
      </c>
      <c r="E38" s="0" t="n">
        <v>800</v>
      </c>
      <c r="F38" s="0" t="n">
        <v>1</v>
      </c>
      <c r="G38" s="0" t="n">
        <v>20</v>
      </c>
      <c r="H38" s="0" t="n">
        <v>20.601557</v>
      </c>
      <c r="I38" s="0" t="n">
        <v>29.433928</v>
      </c>
      <c r="J38" s="0" t="n">
        <v>126.78146</v>
      </c>
      <c r="K38" s="0" t="n">
        <v>22905.8</v>
      </c>
      <c r="L38" s="0" t="n">
        <v>787065</v>
      </c>
      <c r="M38" s="0" t="n">
        <v>79663.10000000001</v>
      </c>
      <c r="N38" s="0" t="n">
        <v>10500</v>
      </c>
      <c r="O38" s="0" t="n">
        <v>2097088000</v>
      </c>
    </row>
    <row r="39">
      <c r="A39" s="0" t="inlineStr">
        <is>
          <t>ANNProof-24FGCS</t>
        </is>
      </c>
      <c r="B39" s="0" t="inlineStr">
        <is>
          <t>size-10000000-evaluation</t>
        </is>
      </c>
      <c r="C39" s="0" t="n">
        <v>10000000</v>
      </c>
      <c r="D39" s="0" t="n">
        <v>10</v>
      </c>
      <c r="E39" s="0" t="n">
        <v>400</v>
      </c>
      <c r="F39" s="0" t="n">
        <v>1</v>
      </c>
      <c r="G39" s="0" t="n">
        <v>300</v>
      </c>
      <c r="H39" s="0" t="n">
        <v>13.284101</v>
      </c>
      <c r="I39" s="0" t="n">
        <v>16.454204</v>
      </c>
      <c r="J39" s="0" t="n">
        <v>66.67537</v>
      </c>
      <c r="K39" s="0" t="n">
        <v>22838.1</v>
      </c>
      <c r="L39" s="0" t="n">
        <v>30174.1</v>
      </c>
      <c r="M39" s="0" t="n">
        <v>78484.89999999999</v>
      </c>
      <c r="N39" s="0" t="n">
        <v>52943.7</v>
      </c>
      <c r="O39" s="0" t="n">
        <v>2097088000</v>
      </c>
    </row>
    <row r="40">
      <c r="A40" s="0" t="inlineStr">
        <is>
          <t>ANNProof-24FGCS</t>
        </is>
      </c>
      <c r="B40" s="0" t="inlineStr">
        <is>
          <t>size-500000-calibration</t>
        </is>
      </c>
      <c r="C40" s="0" t="n">
        <v>500000</v>
      </c>
      <c r="D40" s="0" t="n">
        <v>10</v>
      </c>
      <c r="E40" s="0" t="n">
        <v>20</v>
      </c>
      <c r="F40" s="0" t="n">
        <v>1</v>
      </c>
      <c r="G40" s="0" t="n">
        <v>20</v>
      </c>
      <c r="H40" s="0" t="n">
        <v>0.781801</v>
      </c>
      <c r="I40" s="0" t="n">
        <v>1.340644</v>
      </c>
      <c r="J40" s="0" t="n">
        <v>6.817669</v>
      </c>
      <c r="K40" s="0" t="n">
        <v>1157.87</v>
      </c>
      <c r="L40" s="0" t="n">
        <v>19124</v>
      </c>
      <c r="M40" s="0" t="n">
        <v>3997.59</v>
      </c>
      <c r="N40" s="0" t="n">
        <v>490.832</v>
      </c>
      <c r="O40" s="0" t="n">
        <v>104854400</v>
      </c>
    </row>
    <row r="41">
      <c r="A41" s="0" t="inlineStr">
        <is>
          <t>ANNProof-24FGCS</t>
        </is>
      </c>
      <c r="B41" s="0" t="inlineStr">
        <is>
          <t>size-500000-calibration</t>
        </is>
      </c>
      <c r="C41" s="0" t="n">
        <v>500000</v>
      </c>
      <c r="D41" s="0" t="n">
        <v>10</v>
      </c>
      <c r="E41" s="0" t="n">
        <v>50</v>
      </c>
      <c r="F41" s="0" t="n">
        <v>1</v>
      </c>
      <c r="G41" s="0" t="n">
        <v>20</v>
      </c>
      <c r="H41" s="0" t="n">
        <v>1.522391</v>
      </c>
      <c r="I41" s="0" t="n">
        <v>2.281678</v>
      </c>
      <c r="J41" s="0" t="n">
        <v>9.593359</v>
      </c>
      <c r="K41" s="0" t="n">
        <v>1157.87</v>
      </c>
      <c r="L41" s="0" t="n">
        <v>19124</v>
      </c>
      <c r="M41" s="0" t="n">
        <v>3997.59</v>
      </c>
      <c r="N41" s="0" t="n">
        <v>490.832</v>
      </c>
      <c r="O41" s="0" t="n">
        <v>104854400</v>
      </c>
    </row>
    <row r="42">
      <c r="A42" s="0" t="inlineStr">
        <is>
          <t>ANNProof-24FGCS</t>
        </is>
      </c>
      <c r="B42" s="0" t="inlineStr">
        <is>
          <t>size-500000-calibration</t>
        </is>
      </c>
      <c r="C42" s="0" t="n">
        <v>500000</v>
      </c>
      <c r="D42" s="0" t="n">
        <v>10</v>
      </c>
      <c r="E42" s="0" t="n">
        <v>100</v>
      </c>
      <c r="F42" s="0" t="n">
        <v>1</v>
      </c>
      <c r="G42" s="0" t="n">
        <v>20</v>
      </c>
      <c r="H42" s="0" t="n">
        <v>2.655248</v>
      </c>
      <c r="I42" s="0" t="n">
        <v>3.814299</v>
      </c>
      <c r="J42" s="0" t="n">
        <v>16.075159</v>
      </c>
      <c r="K42" s="0" t="n">
        <v>1157.87</v>
      </c>
      <c r="L42" s="0" t="n">
        <v>19124</v>
      </c>
      <c r="M42" s="0" t="n">
        <v>3997.59</v>
      </c>
      <c r="N42" s="0" t="n">
        <v>490.832</v>
      </c>
      <c r="O42" s="0" t="n">
        <v>104854400</v>
      </c>
    </row>
    <row r="43">
      <c r="A43" s="0" t="inlineStr">
        <is>
          <t>ANNProof-24FGCS</t>
        </is>
      </c>
      <c r="B43" s="0" t="inlineStr">
        <is>
          <t>size-500000-calibration</t>
        </is>
      </c>
      <c r="C43" s="0" t="n">
        <v>500000</v>
      </c>
      <c r="D43" s="0" t="n">
        <v>10</v>
      </c>
      <c r="E43" s="0" t="n">
        <v>200</v>
      </c>
      <c r="F43" s="0" t="n">
        <v>1</v>
      </c>
      <c r="G43" s="0" t="n">
        <v>20</v>
      </c>
      <c r="H43" s="0" t="n">
        <v>4.650112</v>
      </c>
      <c r="I43" s="0" t="n">
        <v>6.534596</v>
      </c>
      <c r="J43" s="0" t="n">
        <v>27.743581</v>
      </c>
      <c r="K43" s="0" t="n">
        <v>1157.87</v>
      </c>
      <c r="L43" s="0" t="n">
        <v>19124</v>
      </c>
      <c r="M43" s="0" t="n">
        <v>3997.59</v>
      </c>
      <c r="N43" s="0" t="n">
        <v>490.832</v>
      </c>
      <c r="O43" s="0" t="n">
        <v>104854400</v>
      </c>
    </row>
    <row r="44">
      <c r="A44" s="0" t="inlineStr">
        <is>
          <t>ANNProof-24FGCS</t>
        </is>
      </c>
      <c r="B44" s="0" t="inlineStr">
        <is>
          <t>size-500000-calibration</t>
        </is>
      </c>
      <c r="C44" s="0" t="n">
        <v>500000</v>
      </c>
      <c r="D44" s="0" t="n">
        <v>10</v>
      </c>
      <c r="E44" s="0" t="n">
        <v>400</v>
      </c>
      <c r="F44" s="0" t="n">
        <v>1</v>
      </c>
      <c r="G44" s="0" t="n">
        <v>20</v>
      </c>
      <c r="H44" s="0" t="n">
        <v>8.372076</v>
      </c>
      <c r="I44" s="0" t="n">
        <v>11.922611</v>
      </c>
      <c r="J44" s="0" t="n">
        <v>47.447299</v>
      </c>
      <c r="K44" s="0" t="n">
        <v>1157.87</v>
      </c>
      <c r="L44" s="0" t="n">
        <v>19124</v>
      </c>
      <c r="M44" s="0" t="n">
        <v>3997.59</v>
      </c>
      <c r="N44" s="0" t="n">
        <v>490.832</v>
      </c>
      <c r="O44" s="0" t="n">
        <v>104854400</v>
      </c>
    </row>
    <row r="45">
      <c r="A45" s="0" t="inlineStr">
        <is>
          <t>ANNProof-24FGCS</t>
        </is>
      </c>
      <c r="B45" s="0" t="inlineStr">
        <is>
          <t>size-500000-calibration</t>
        </is>
      </c>
      <c r="C45" s="0" t="n">
        <v>500000</v>
      </c>
      <c r="D45" s="0" t="n">
        <v>10</v>
      </c>
      <c r="E45" s="0" t="n">
        <v>800</v>
      </c>
      <c r="F45" s="0" t="n">
        <v>1</v>
      </c>
      <c r="G45" s="0" t="n">
        <v>20</v>
      </c>
      <c r="H45" s="0" t="n">
        <v>15.34263</v>
      </c>
      <c r="I45" s="0" t="n">
        <v>21.366765</v>
      </c>
      <c r="J45" s="0" t="n">
        <v>83.51757600000001</v>
      </c>
      <c r="K45" s="0" t="n">
        <v>1157.87</v>
      </c>
      <c r="L45" s="0" t="n">
        <v>19124</v>
      </c>
      <c r="M45" s="0" t="n">
        <v>3997.59</v>
      </c>
      <c r="N45" s="0" t="n">
        <v>490.832</v>
      </c>
      <c r="O45" s="0" t="n">
        <v>104854400</v>
      </c>
    </row>
    <row r="46">
      <c r="A46" s="0" t="inlineStr">
        <is>
          <t>ANNProof-24FGCS</t>
        </is>
      </c>
      <c r="B46" s="0" t="inlineStr">
        <is>
          <t>size-500000-evaluation</t>
        </is>
      </c>
      <c r="C46" s="0" t="n">
        <v>500000</v>
      </c>
      <c r="D46" s="0" t="n">
        <v>10</v>
      </c>
      <c r="E46" s="0" t="n">
        <v>100</v>
      </c>
      <c r="F46" s="0" t="n">
        <v>1</v>
      </c>
      <c r="G46" s="0" t="n">
        <v>300</v>
      </c>
      <c r="H46" s="0" t="n">
        <v>2.737802</v>
      </c>
      <c r="I46" s="0" t="n">
        <v>3.580968</v>
      </c>
      <c r="J46" s="0" t="n">
        <v>16.31934</v>
      </c>
      <c r="K46" s="0" t="n">
        <v>1153.63</v>
      </c>
      <c r="L46" s="0" t="n">
        <v>1908.2</v>
      </c>
      <c r="M46" s="0" t="n">
        <v>3965.45</v>
      </c>
      <c r="N46" s="0" t="n">
        <v>2436.91</v>
      </c>
      <c r="O46" s="0" t="n">
        <v>104854400</v>
      </c>
    </row>
    <row r="47">
      <c r="A47" s="0" t="inlineStr">
        <is>
          <t>ANNProof-24FGCS</t>
        </is>
      </c>
      <c r="B47" s="0" t="inlineStr">
        <is>
          <t>size-5000000-calibration</t>
        </is>
      </c>
      <c r="C47" s="0" t="n">
        <v>5000000</v>
      </c>
      <c r="D47" s="0" t="n">
        <v>10</v>
      </c>
      <c r="E47" s="0" t="n">
        <v>20</v>
      </c>
      <c r="F47" s="0" t="n">
        <v>1</v>
      </c>
      <c r="G47" s="0" t="n">
        <v>20</v>
      </c>
      <c r="H47" s="0" t="n">
        <v>1.262543</v>
      </c>
      <c r="I47" s="0" t="n">
        <v>1.535406</v>
      </c>
      <c r="J47" s="0" t="n">
        <v>6.068825</v>
      </c>
      <c r="K47" s="0" t="n">
        <v>11460</v>
      </c>
      <c r="L47" s="0" t="n">
        <v>334510</v>
      </c>
      <c r="M47" s="0" t="n">
        <v>39463.7</v>
      </c>
      <c r="N47" s="0" t="n">
        <v>5252.78</v>
      </c>
      <c r="O47" s="0" t="n">
        <v>1048544000</v>
      </c>
    </row>
    <row r="48">
      <c r="A48" s="0" t="inlineStr">
        <is>
          <t>ANNProof-24FGCS</t>
        </is>
      </c>
      <c r="B48" s="0" t="inlineStr">
        <is>
          <t>size-5000000-calibration</t>
        </is>
      </c>
      <c r="C48" s="0" t="n">
        <v>5000000</v>
      </c>
      <c r="D48" s="0" t="n">
        <v>10</v>
      </c>
      <c r="E48" s="0" t="n">
        <v>50</v>
      </c>
      <c r="F48" s="0" t="n">
        <v>1</v>
      </c>
      <c r="G48" s="0" t="n">
        <v>20</v>
      </c>
      <c r="H48" s="0" t="n">
        <v>2.074556</v>
      </c>
      <c r="I48" s="0" t="n">
        <v>2.645013</v>
      </c>
      <c r="J48" s="0" t="n">
        <v>11.134125</v>
      </c>
      <c r="K48" s="0" t="n">
        <v>11460</v>
      </c>
      <c r="L48" s="0" t="n">
        <v>334510</v>
      </c>
      <c r="M48" s="0" t="n">
        <v>39463.7</v>
      </c>
      <c r="N48" s="0" t="n">
        <v>5252.78</v>
      </c>
      <c r="O48" s="0" t="n">
        <v>1048544000</v>
      </c>
    </row>
    <row r="49">
      <c r="A49" s="0" t="inlineStr">
        <is>
          <t>ANNProof-24FGCS</t>
        </is>
      </c>
      <c r="B49" s="0" t="inlineStr">
        <is>
          <t>size-5000000-calibration</t>
        </is>
      </c>
      <c r="C49" s="0" t="n">
        <v>5000000</v>
      </c>
      <c r="D49" s="0" t="n">
        <v>10</v>
      </c>
      <c r="E49" s="0" t="n">
        <v>100</v>
      </c>
      <c r="F49" s="0" t="n">
        <v>1</v>
      </c>
      <c r="G49" s="0" t="n">
        <v>20</v>
      </c>
      <c r="H49" s="0" t="n">
        <v>3.577352</v>
      </c>
      <c r="I49" s="0" t="n">
        <v>4.563043</v>
      </c>
      <c r="J49" s="0" t="n">
        <v>19.333769</v>
      </c>
      <c r="K49" s="0" t="n">
        <v>11460</v>
      </c>
      <c r="L49" s="0" t="n">
        <v>334510</v>
      </c>
      <c r="M49" s="0" t="n">
        <v>39463.7</v>
      </c>
      <c r="N49" s="0" t="n">
        <v>5252.78</v>
      </c>
      <c r="O49" s="0" t="n">
        <v>1048544000</v>
      </c>
    </row>
    <row r="50">
      <c r="A50" s="0" t="inlineStr">
        <is>
          <t>ANNProof-24FGCS</t>
        </is>
      </c>
      <c r="B50" s="0" t="inlineStr">
        <is>
          <t>size-5000000-calibration</t>
        </is>
      </c>
      <c r="C50" s="0" t="n">
        <v>5000000</v>
      </c>
      <c r="D50" s="0" t="n">
        <v>10</v>
      </c>
      <c r="E50" s="0" t="n">
        <v>200</v>
      </c>
      <c r="F50" s="0" t="n">
        <v>1</v>
      </c>
      <c r="G50" s="0" t="n">
        <v>20</v>
      </c>
      <c r="H50" s="0" t="n">
        <v>6.264572</v>
      </c>
      <c r="I50" s="0" t="n">
        <v>8.644159999999999</v>
      </c>
      <c r="J50" s="0" t="n">
        <v>37.733334</v>
      </c>
      <c r="K50" s="0" t="n">
        <v>11460</v>
      </c>
      <c r="L50" s="0" t="n">
        <v>334510</v>
      </c>
      <c r="M50" s="0" t="n">
        <v>39463.7</v>
      </c>
      <c r="N50" s="0" t="n">
        <v>5252.78</v>
      </c>
      <c r="O50" s="0" t="n">
        <v>1048544000</v>
      </c>
    </row>
    <row r="51">
      <c r="A51" s="0" t="inlineStr">
        <is>
          <t>ANNProof-24FGCS</t>
        </is>
      </c>
      <c r="B51" s="0" t="inlineStr">
        <is>
          <t>size-5000000-calibration</t>
        </is>
      </c>
      <c r="C51" s="0" t="n">
        <v>5000000</v>
      </c>
      <c r="D51" s="0" t="n">
        <v>10</v>
      </c>
      <c r="E51" s="0" t="n">
        <v>400</v>
      </c>
      <c r="F51" s="0" t="n">
        <v>1</v>
      </c>
      <c r="G51" s="0" t="n">
        <v>20</v>
      </c>
      <c r="H51" s="0" t="n">
        <v>10.786272</v>
      </c>
      <c r="I51" s="0" t="n">
        <v>14.878925</v>
      </c>
      <c r="J51" s="0" t="n">
        <v>62.660263</v>
      </c>
      <c r="K51" s="0" t="n">
        <v>11460</v>
      </c>
      <c r="L51" s="0" t="n">
        <v>334510</v>
      </c>
      <c r="M51" s="0" t="n">
        <v>39463.7</v>
      </c>
      <c r="N51" s="0" t="n">
        <v>5252.78</v>
      </c>
      <c r="O51" s="0" t="n">
        <v>1048544000</v>
      </c>
    </row>
    <row r="52">
      <c r="A52" s="0" t="inlineStr">
        <is>
          <t>ANNProof-24FGCS</t>
        </is>
      </c>
      <c r="B52" s="0" t="inlineStr">
        <is>
          <t>size-5000000-calibration</t>
        </is>
      </c>
      <c r="C52" s="0" t="n">
        <v>5000000</v>
      </c>
      <c r="D52" s="0" t="n">
        <v>10</v>
      </c>
      <c r="E52" s="0" t="n">
        <v>800</v>
      </c>
      <c r="F52" s="0" t="n">
        <v>1</v>
      </c>
      <c r="G52" s="0" t="n">
        <v>20</v>
      </c>
      <c r="H52" s="0" t="n">
        <v>19.037045</v>
      </c>
      <c r="I52" s="0" t="n">
        <v>27.460129</v>
      </c>
      <c r="J52" s="0" t="n">
        <v>115.329508</v>
      </c>
      <c r="K52" s="0" t="n">
        <v>11460</v>
      </c>
      <c r="L52" s="0" t="n">
        <v>334510</v>
      </c>
      <c r="M52" s="0" t="n">
        <v>39463.7</v>
      </c>
      <c r="N52" s="0" t="n">
        <v>5252.78</v>
      </c>
      <c r="O52" s="0" t="n">
        <v>1048544000</v>
      </c>
    </row>
    <row r="53">
      <c r="A53" s="0" t="inlineStr">
        <is>
          <t>ANNProof-24FGCS</t>
        </is>
      </c>
      <c r="B53" s="0" t="inlineStr">
        <is>
          <t>size-5000000-evaluation</t>
        </is>
      </c>
      <c r="C53" s="0" t="n">
        <v>5000000</v>
      </c>
      <c r="D53" s="0" t="n">
        <v>10</v>
      </c>
      <c r="E53" s="0" t="n">
        <v>400</v>
      </c>
      <c r="F53" s="0" t="n">
        <v>1</v>
      </c>
      <c r="G53" s="0" t="n">
        <v>300</v>
      </c>
      <c r="H53" s="0" t="n">
        <v>11.650794</v>
      </c>
      <c r="I53" s="0" t="n">
        <v>14.469008</v>
      </c>
      <c r="J53" s="0" t="n">
        <v>62.583465</v>
      </c>
      <c r="K53" s="0" t="n">
        <v>11426.6</v>
      </c>
      <c r="L53" s="0" t="n">
        <v>15031.7</v>
      </c>
      <c r="M53" s="0" t="n">
        <v>39125.5</v>
      </c>
      <c r="N53" s="0" t="n">
        <v>26323.3</v>
      </c>
      <c r="O53" s="0" t="n">
        <v>1048544000</v>
      </c>
    </row>
    <row r="54">
      <c r="A54" s="0" t="inlineStr">
        <is>
          <t>VLAH-25TrustCom</t>
        </is>
      </c>
      <c r="B54" s="0" t="inlineStr">
        <is>
          <t>sift1m-k-curve</t>
        </is>
      </c>
      <c r="C54" s="0" t="n">
        <v>1000000</v>
      </c>
      <c r="D54" s="0" t="n">
        <v>1</v>
      </c>
      <c r="E54" s="0" t="n">
        <v>100</v>
      </c>
      <c r="F54" s="0" t="n">
        <v>41</v>
      </c>
      <c r="G54" s="0" t="n">
        <v>300</v>
      </c>
      <c r="H54" s="0" t="n">
        <v>62.568038</v>
      </c>
      <c r="I54" s="0" t="n">
        <v>72.528368</v>
      </c>
      <c r="J54" s="0" t="n">
        <v>187.612667</v>
      </c>
      <c r="K54" s="0" t="n">
        <v>1460.94</v>
      </c>
      <c r="L54" s="0" t="n">
        <v>4308.56</v>
      </c>
      <c r="M54" s="0" t="n">
        <v>1788.82</v>
      </c>
      <c r="N54" s="0" t="n">
        <v>4885.83</v>
      </c>
      <c r="O54" s="0" t="n">
        <v>104856000</v>
      </c>
    </row>
    <row r="55">
      <c r="A55" s="0" t="inlineStr">
        <is>
          <t>VLAH-25TrustCom</t>
        </is>
      </c>
      <c r="B55" s="0" t="inlineStr">
        <is>
          <t>sift1m-k-curve</t>
        </is>
      </c>
      <c r="C55" s="0" t="n">
        <v>1000000</v>
      </c>
      <c r="D55" s="0" t="n">
        <v>5</v>
      </c>
      <c r="E55" s="0" t="n">
        <v>100</v>
      </c>
      <c r="F55" s="0" t="n">
        <v>41</v>
      </c>
      <c r="G55" s="0" t="n">
        <v>300</v>
      </c>
      <c r="H55" s="0" t="n">
        <v>60.611685</v>
      </c>
      <c r="I55" s="0" t="n">
        <v>69.787367</v>
      </c>
      <c r="J55" s="0" t="n">
        <v>184.443978</v>
      </c>
      <c r="K55" s="0" t="n">
        <v>1460.94</v>
      </c>
      <c r="L55" s="0" t="n">
        <v>4308.56</v>
      </c>
      <c r="M55" s="0" t="n">
        <v>1788.82</v>
      </c>
      <c r="N55" s="0" t="n">
        <v>4885.83</v>
      </c>
      <c r="O55" s="0" t="n">
        <v>104856000</v>
      </c>
    </row>
    <row r="56">
      <c r="A56" s="0" t="inlineStr">
        <is>
          <t>VLAH-25TrustCom</t>
        </is>
      </c>
      <c r="B56" s="0" t="inlineStr">
        <is>
          <t>sift1m-k-curve</t>
        </is>
      </c>
      <c r="C56" s="0" t="n">
        <v>1000000</v>
      </c>
      <c r="D56" s="0" t="n">
        <v>10</v>
      </c>
      <c r="E56" s="0" t="n">
        <v>100</v>
      </c>
      <c r="F56" s="0" t="n">
        <v>41</v>
      </c>
      <c r="G56" s="0" t="n">
        <v>300</v>
      </c>
      <c r="H56" s="0" t="n">
        <v>61.4986</v>
      </c>
      <c r="I56" s="0" t="n">
        <v>68.74614200000001</v>
      </c>
      <c r="J56" s="0" t="n">
        <v>186.114695</v>
      </c>
      <c r="K56" s="0" t="n">
        <v>1460.94</v>
      </c>
      <c r="L56" s="0" t="n">
        <v>4308.56</v>
      </c>
      <c r="M56" s="0" t="n">
        <v>1788.82</v>
      </c>
      <c r="N56" s="0" t="n">
        <v>4885.83</v>
      </c>
      <c r="O56" s="0" t="n">
        <v>104856000</v>
      </c>
    </row>
    <row r="57">
      <c r="A57" s="0" t="inlineStr">
        <is>
          <t>VLAH-25TrustCom</t>
        </is>
      </c>
      <c r="B57" s="0" t="inlineStr">
        <is>
          <t>sift1m-k-curve</t>
        </is>
      </c>
      <c r="C57" s="0" t="n">
        <v>1000000</v>
      </c>
      <c r="D57" s="0" t="n">
        <v>20</v>
      </c>
      <c r="E57" s="0" t="n">
        <v>100</v>
      </c>
      <c r="F57" s="0" t="n">
        <v>41</v>
      </c>
      <c r="G57" s="0" t="n">
        <v>300</v>
      </c>
      <c r="H57" s="0" t="n">
        <v>62.726387</v>
      </c>
      <c r="I57" s="0" t="n">
        <v>73.34482300000001</v>
      </c>
      <c r="J57" s="0" t="n">
        <v>192.051715</v>
      </c>
      <c r="K57" s="0" t="n">
        <v>1460.94</v>
      </c>
      <c r="L57" s="0" t="n">
        <v>4308.56</v>
      </c>
      <c r="M57" s="0" t="n">
        <v>1788.82</v>
      </c>
      <c r="N57" s="0" t="n">
        <v>4885.83</v>
      </c>
      <c r="O57" s="0" t="n">
        <v>104856000</v>
      </c>
    </row>
    <row r="58">
      <c r="A58" s="0" t="inlineStr">
        <is>
          <t>VLAH-25TrustCom</t>
        </is>
      </c>
      <c r="B58" s="0" t="inlineStr">
        <is>
          <t>sift1m-k-curve</t>
        </is>
      </c>
      <c r="C58" s="0" t="n">
        <v>1000000</v>
      </c>
      <c r="D58" s="0" t="n">
        <v>50</v>
      </c>
      <c r="E58" s="0" t="n">
        <v>100</v>
      </c>
      <c r="F58" s="0" t="n">
        <v>41</v>
      </c>
      <c r="G58" s="0" t="n">
        <v>300</v>
      </c>
      <c r="H58" s="0" t="n">
        <v>64.195159</v>
      </c>
      <c r="I58" s="0" t="n">
        <v>73.25923299999999</v>
      </c>
      <c r="J58" s="0" t="n">
        <v>183.968147</v>
      </c>
      <c r="K58" s="0" t="n">
        <v>1460.94</v>
      </c>
      <c r="L58" s="0" t="n">
        <v>4308.56</v>
      </c>
      <c r="M58" s="0" t="n">
        <v>1788.82</v>
      </c>
      <c r="N58" s="0" t="n">
        <v>4885.83</v>
      </c>
      <c r="O58" s="0" t="n">
        <v>104856000</v>
      </c>
    </row>
    <row r="59">
      <c r="A59" s="0" t="inlineStr">
        <is>
          <t>VLAH-25TrustCom</t>
        </is>
      </c>
      <c r="B59" s="0" t="inlineStr">
        <is>
          <t>sift1m-k-curve</t>
        </is>
      </c>
      <c r="C59" s="0" t="n">
        <v>1000000</v>
      </c>
      <c r="D59" s="0" t="n">
        <v>100</v>
      </c>
      <c r="E59" s="0" t="n">
        <v>100</v>
      </c>
      <c r="F59" s="0" t="n">
        <v>41</v>
      </c>
      <c r="G59" s="0" t="n">
        <v>300</v>
      </c>
      <c r="H59" s="0" t="n">
        <v>65.75785</v>
      </c>
      <c r="I59" s="0" t="n">
        <v>74.18090100000001</v>
      </c>
      <c r="J59" s="0" t="n">
        <v>184.023954</v>
      </c>
      <c r="K59" s="0" t="n">
        <v>1460.94</v>
      </c>
      <c r="L59" s="0" t="n">
        <v>4308.56</v>
      </c>
      <c r="M59" s="0" t="n">
        <v>1788.82</v>
      </c>
      <c r="N59" s="0" t="n">
        <v>4885.83</v>
      </c>
      <c r="O59" s="0" t="n">
        <v>104856000</v>
      </c>
    </row>
    <row r="60">
      <c r="A60" s="0" t="inlineStr">
        <is>
          <t>VLAH-25TrustCom</t>
        </is>
      </c>
      <c r="B60" s="0" t="inlineStr">
        <is>
          <t>historical-recall-curve (superseded by Recall99 measurements)</t>
        </is>
      </c>
      <c r="C60" s="0" t="n">
        <v>1000000</v>
      </c>
      <c r="D60" s="0" t="n">
        <v>10</v>
      </c>
      <c r="E60" s="0" t="n">
        <v>50</v>
      </c>
      <c r="F60" s="0" t="n">
        <v>1</v>
      </c>
      <c r="G60" s="0" t="n">
        <v>300</v>
      </c>
      <c r="H60" s="0" t="n">
        <v>0.963494</v>
      </c>
      <c r="I60" s="0" t="n">
        <v>1.232121</v>
      </c>
      <c r="J60" s="0" t="n">
        <v>3.424329</v>
      </c>
      <c r="K60" s="0" t="n">
        <v>1432.73</v>
      </c>
      <c r="L60" s="0" t="n">
        <v>4259.62</v>
      </c>
      <c r="M60" s="0" t="n">
        <v>1752.87</v>
      </c>
      <c r="N60" s="0" t="n">
        <v>4870.76</v>
      </c>
      <c r="O60" s="0" t="n">
        <v>104856000</v>
      </c>
    </row>
    <row r="61">
      <c r="A61" s="0" t="inlineStr">
        <is>
          <t>VLAH-25TrustCom</t>
        </is>
      </c>
      <c r="B61" s="0" t="inlineStr">
        <is>
          <t>historical-recall-curve (superseded by Recall99 measurements)</t>
        </is>
      </c>
      <c r="C61" s="0" t="n">
        <v>1000000</v>
      </c>
      <c r="D61" s="0" t="n">
        <v>10</v>
      </c>
      <c r="E61" s="0" t="n">
        <v>50</v>
      </c>
      <c r="F61" s="0" t="n">
        <v>3</v>
      </c>
      <c r="G61" s="0" t="n">
        <v>300</v>
      </c>
      <c r="H61" s="0" t="n">
        <v>2.890407</v>
      </c>
      <c r="I61" s="0" t="n">
        <v>3.680215</v>
      </c>
      <c r="J61" s="0" t="n">
        <v>9.988457</v>
      </c>
      <c r="K61" s="0" t="n">
        <v>1432.73</v>
      </c>
      <c r="L61" s="0" t="n">
        <v>4259.62</v>
      </c>
      <c r="M61" s="0" t="n">
        <v>1752.87</v>
      </c>
      <c r="N61" s="0" t="n">
        <v>4870.76</v>
      </c>
      <c r="O61" s="0" t="n">
        <v>104856000</v>
      </c>
    </row>
    <row r="62">
      <c r="A62" s="0" t="inlineStr">
        <is>
          <t>VLAH-25TrustCom</t>
        </is>
      </c>
      <c r="B62" s="0" t="inlineStr">
        <is>
          <t>historical-recall-curve (superseded by Recall99 measurements)</t>
        </is>
      </c>
      <c r="C62" s="0" t="n">
        <v>1000000</v>
      </c>
      <c r="D62" s="0" t="n">
        <v>10</v>
      </c>
      <c r="E62" s="0" t="n">
        <v>50</v>
      </c>
      <c r="F62" s="0" t="n">
        <v>5</v>
      </c>
      <c r="G62" s="0" t="n">
        <v>300</v>
      </c>
      <c r="H62" s="0" t="n">
        <v>4.765896</v>
      </c>
      <c r="I62" s="0" t="n">
        <v>6.115778</v>
      </c>
      <c r="J62" s="0" t="n">
        <v>16.818502</v>
      </c>
      <c r="K62" s="0" t="n">
        <v>1432.73</v>
      </c>
      <c r="L62" s="0" t="n">
        <v>4259.62</v>
      </c>
      <c r="M62" s="0" t="n">
        <v>1752.87</v>
      </c>
      <c r="N62" s="0" t="n">
        <v>4870.76</v>
      </c>
      <c r="O62" s="0" t="n">
        <v>104856000</v>
      </c>
    </row>
    <row r="63">
      <c r="A63" s="0" t="inlineStr">
        <is>
          <t>VLAH-25TrustCom</t>
        </is>
      </c>
      <c r="B63" s="0" t="inlineStr">
        <is>
          <t>historical-recall-curve (superseded by Recall99 measurements)</t>
        </is>
      </c>
      <c r="C63" s="0" t="n">
        <v>1000000</v>
      </c>
      <c r="D63" s="0" t="n">
        <v>10</v>
      </c>
      <c r="E63" s="0" t="n">
        <v>50</v>
      </c>
      <c r="F63" s="0" t="n">
        <v>9</v>
      </c>
      <c r="G63" s="0" t="n">
        <v>300</v>
      </c>
      <c r="H63" s="0" t="n">
        <v>8.741834000000001</v>
      </c>
      <c r="I63" s="0" t="n">
        <v>10.638948</v>
      </c>
      <c r="J63" s="0" t="n">
        <v>28.963169</v>
      </c>
      <c r="K63" s="0" t="n">
        <v>1432.73</v>
      </c>
      <c r="L63" s="0" t="n">
        <v>4259.62</v>
      </c>
      <c r="M63" s="0" t="n">
        <v>1752.87</v>
      </c>
      <c r="N63" s="0" t="n">
        <v>4870.76</v>
      </c>
      <c r="O63" s="0" t="n">
        <v>104856000</v>
      </c>
    </row>
    <row r="64">
      <c r="A64" s="0" t="inlineStr">
        <is>
          <t>VLAH-25TrustCom</t>
        </is>
      </c>
      <c r="B64" s="0" t="inlineStr">
        <is>
          <t>historical-recall-curve (superseded by Recall99 measurements)</t>
        </is>
      </c>
      <c r="C64" s="0" t="n">
        <v>1000000</v>
      </c>
      <c r="D64" s="0" t="n">
        <v>10</v>
      </c>
      <c r="E64" s="0" t="n">
        <v>50</v>
      </c>
      <c r="F64" s="0" t="n">
        <v>15</v>
      </c>
      <c r="G64" s="0" t="n">
        <v>300</v>
      </c>
      <c r="H64" s="0" t="n">
        <v>14.599796</v>
      </c>
      <c r="I64" s="0" t="n">
        <v>18.067088</v>
      </c>
      <c r="J64" s="0" t="n">
        <v>48.185405</v>
      </c>
      <c r="K64" s="0" t="n">
        <v>1432.73</v>
      </c>
      <c r="L64" s="0" t="n">
        <v>4259.62</v>
      </c>
      <c r="M64" s="0" t="n">
        <v>1752.87</v>
      </c>
      <c r="N64" s="0" t="n">
        <v>4870.76</v>
      </c>
      <c r="O64" s="0" t="n">
        <v>104856000</v>
      </c>
    </row>
    <row r="65">
      <c r="A65" s="0" t="inlineStr">
        <is>
          <t>VLAH-25TrustCom</t>
        </is>
      </c>
      <c r="B65" s="0" t="inlineStr">
        <is>
          <t>historical-recall-curve (superseded by Recall99 measurements)</t>
        </is>
      </c>
      <c r="C65" s="0" t="n">
        <v>1000000</v>
      </c>
      <c r="D65" s="0" t="n">
        <v>10</v>
      </c>
      <c r="E65" s="0" t="n">
        <v>50</v>
      </c>
      <c r="F65" s="0" t="n">
        <v>21</v>
      </c>
      <c r="G65" s="0" t="n">
        <v>300</v>
      </c>
      <c r="H65" s="0" t="n">
        <v>20.381367</v>
      </c>
      <c r="I65" s="0" t="n">
        <v>25.324202</v>
      </c>
      <c r="J65" s="0" t="n">
        <v>66.529707</v>
      </c>
      <c r="K65" s="0" t="n">
        <v>1432.73</v>
      </c>
      <c r="L65" s="0" t="n">
        <v>4259.62</v>
      </c>
      <c r="M65" s="0" t="n">
        <v>1752.87</v>
      </c>
      <c r="N65" s="0" t="n">
        <v>4870.76</v>
      </c>
      <c r="O65" s="0" t="n">
        <v>104856000</v>
      </c>
    </row>
    <row r="66">
      <c r="A66" s="0" t="inlineStr">
        <is>
          <t>VLAH-25TrustCom</t>
        </is>
      </c>
      <c r="B66" s="0" t="inlineStr">
        <is>
          <t>historical-recall-curve (superseded by Recall99 measurements)</t>
        </is>
      </c>
      <c r="C66" s="0" t="n">
        <v>1000000</v>
      </c>
      <c r="D66" s="0" t="n">
        <v>10</v>
      </c>
      <c r="E66" s="0" t="n">
        <v>50</v>
      </c>
      <c r="F66" s="0" t="n">
        <v>29</v>
      </c>
      <c r="G66" s="0" t="n">
        <v>300</v>
      </c>
      <c r="H66" s="0" t="n">
        <v>27.331552</v>
      </c>
      <c r="I66" s="0" t="n">
        <v>33.159357</v>
      </c>
      <c r="J66" s="0" t="n">
        <v>87.190792</v>
      </c>
      <c r="K66" s="0" t="n">
        <v>1432.73</v>
      </c>
      <c r="L66" s="0" t="n">
        <v>4259.62</v>
      </c>
      <c r="M66" s="0" t="n">
        <v>1752.87</v>
      </c>
      <c r="N66" s="0" t="n">
        <v>4870.76</v>
      </c>
      <c r="O66" s="0" t="n">
        <v>104856000</v>
      </c>
    </row>
    <row r="67">
      <c r="A67" s="0" t="inlineStr">
        <is>
          <t>VLAH-25TrustCom</t>
        </is>
      </c>
      <c r="B67" s="0" t="inlineStr">
        <is>
          <t>historical-recall-curve (superseded by Recall99 measurements)</t>
        </is>
      </c>
      <c r="C67" s="0" t="n">
        <v>1000000</v>
      </c>
      <c r="D67" s="0" t="n">
        <v>10</v>
      </c>
      <c r="E67" s="0" t="n">
        <v>50</v>
      </c>
      <c r="F67" s="0" t="n">
        <v>35</v>
      </c>
      <c r="G67" s="0" t="n">
        <v>300</v>
      </c>
      <c r="H67" s="0" t="n">
        <v>32.458663</v>
      </c>
      <c r="I67" s="0" t="n">
        <v>38.190022</v>
      </c>
      <c r="J67" s="0" t="n">
        <v>102.650579</v>
      </c>
      <c r="K67" s="0" t="n">
        <v>1432.73</v>
      </c>
      <c r="L67" s="0" t="n">
        <v>4259.62</v>
      </c>
      <c r="M67" s="0" t="n">
        <v>1752.87</v>
      </c>
      <c r="N67" s="0" t="n">
        <v>4870.76</v>
      </c>
      <c r="O67" s="0" t="n">
        <v>104856000</v>
      </c>
    </row>
    <row r="68">
      <c r="A68" s="0" t="inlineStr">
        <is>
          <t>VLAH-25TrustCom</t>
        </is>
      </c>
      <c r="B68" s="0" t="inlineStr">
        <is>
          <t>historical-recall-curve (superseded by Recall99 measurements)</t>
        </is>
      </c>
      <c r="C68" s="0" t="n">
        <v>1000000</v>
      </c>
      <c r="D68" s="0" t="n">
        <v>10</v>
      </c>
      <c r="E68" s="0" t="n">
        <v>50</v>
      </c>
      <c r="F68" s="0" t="n">
        <v>41</v>
      </c>
      <c r="G68" s="0" t="n">
        <v>300</v>
      </c>
      <c r="H68" s="0" t="n">
        <v>37.295365</v>
      </c>
      <c r="I68" s="0" t="n">
        <v>42.426303</v>
      </c>
      <c r="J68" s="0" t="n">
        <v>114.964901</v>
      </c>
      <c r="K68" s="0" t="n">
        <v>1432.73</v>
      </c>
      <c r="L68" s="0" t="n">
        <v>4259.62</v>
      </c>
      <c r="M68" s="0" t="n">
        <v>1752.87</v>
      </c>
      <c r="N68" s="0" t="n">
        <v>4870.76</v>
      </c>
      <c r="O68" s="0" t="n">
        <v>104856000</v>
      </c>
    </row>
    <row r="69">
      <c r="A69" s="0" t="inlineStr">
        <is>
          <t>VLAH-25TrustCom</t>
        </is>
      </c>
      <c r="B69" s="0" t="inlineStr">
        <is>
          <t>historical-recall-curve (superseded by Recall99 measurements)</t>
        </is>
      </c>
      <c r="C69" s="0" t="n">
        <v>1000000</v>
      </c>
      <c r="D69" s="0" t="n">
        <v>10</v>
      </c>
      <c r="E69" s="0" t="n">
        <v>50</v>
      </c>
      <c r="F69" s="0" t="n">
        <v>45</v>
      </c>
      <c r="G69" s="0" t="n">
        <v>300</v>
      </c>
      <c r="H69" s="0" t="n">
        <v>40.361896</v>
      </c>
      <c r="I69" s="0" t="n">
        <v>49.575293</v>
      </c>
      <c r="J69" s="0" t="n">
        <v>124.053994</v>
      </c>
      <c r="K69" s="0" t="n">
        <v>1432.73</v>
      </c>
      <c r="L69" s="0" t="n">
        <v>4259.62</v>
      </c>
      <c r="M69" s="0" t="n">
        <v>1752.87</v>
      </c>
      <c r="N69" s="0" t="n">
        <v>4870.76</v>
      </c>
      <c r="O69" s="0" t="n">
        <v>104856000</v>
      </c>
    </row>
    <row r="70">
      <c r="A70" s="0" t="inlineStr">
        <is>
          <t>VLAH-25TrustCom</t>
        </is>
      </c>
      <c r="B70" s="0" t="inlineStr">
        <is>
          <t>historical-recall-curve (superseded by Recall99 measurements)</t>
        </is>
      </c>
      <c r="C70" s="0" t="n">
        <v>1000000</v>
      </c>
      <c r="D70" s="0" t="n">
        <v>10</v>
      </c>
      <c r="E70" s="0" t="n">
        <v>50</v>
      </c>
      <c r="F70" s="0" t="n">
        <v>50</v>
      </c>
      <c r="G70" s="0" t="n">
        <v>300</v>
      </c>
      <c r="H70" s="0" t="n">
        <v>44.399991</v>
      </c>
      <c r="I70" s="0" t="n">
        <v>49.720442</v>
      </c>
      <c r="J70" s="0" t="n">
        <v>136.442358</v>
      </c>
      <c r="K70" s="0" t="n">
        <v>1432.73</v>
      </c>
      <c r="L70" s="0" t="n">
        <v>4259.62</v>
      </c>
      <c r="M70" s="0" t="n">
        <v>1752.87</v>
      </c>
      <c r="N70" s="0" t="n">
        <v>4870.76</v>
      </c>
      <c r="O70" s="0" t="n">
        <v>104856000</v>
      </c>
    </row>
    <row r="71">
      <c r="A71" s="0" t="inlineStr">
        <is>
          <t>VLAH-25TrustCom</t>
        </is>
      </c>
      <c r="B71" s="0" t="inlineStr">
        <is>
          <t>size-100000-calibration</t>
        </is>
      </c>
      <c r="C71" s="0" t="n">
        <v>100000</v>
      </c>
      <c r="D71" s="0" t="n">
        <v>10</v>
      </c>
      <c r="E71" s="0" t="n">
        <v>100</v>
      </c>
      <c r="F71" s="0" t="n">
        <v>1</v>
      </c>
      <c r="G71" s="0" t="n">
        <v>20</v>
      </c>
      <c r="H71" s="0" t="n">
        <v>1.570061</v>
      </c>
      <c r="I71" s="0" t="n">
        <v>2.154127</v>
      </c>
      <c r="J71" s="0" t="n">
        <v>5.496054</v>
      </c>
      <c r="K71" s="0" t="n">
        <v>171.398</v>
      </c>
      <c r="L71" s="0" t="n">
        <v>1483.58</v>
      </c>
      <c r="M71" s="0" t="n">
        <v>184.47</v>
      </c>
      <c r="N71" s="0" t="n">
        <v>99.2916</v>
      </c>
      <c r="O71" s="0" t="n">
        <v>10485600</v>
      </c>
    </row>
    <row r="72">
      <c r="A72" s="0" t="inlineStr">
        <is>
          <t>VLAH-25TrustCom</t>
        </is>
      </c>
      <c r="B72" s="0" t="inlineStr">
        <is>
          <t>size-100000-calibration</t>
        </is>
      </c>
      <c r="C72" s="0" t="n">
        <v>100000</v>
      </c>
      <c r="D72" s="0" t="n">
        <v>10</v>
      </c>
      <c r="E72" s="0" t="n">
        <v>100</v>
      </c>
      <c r="F72" s="0" t="n">
        <v>2</v>
      </c>
      <c r="G72" s="0" t="n">
        <v>20</v>
      </c>
      <c r="H72" s="0" t="n">
        <v>3.061185</v>
      </c>
      <c r="I72" s="0" t="n">
        <v>4.098497</v>
      </c>
      <c r="J72" s="0" t="n">
        <v>10.838751</v>
      </c>
      <c r="K72" s="0" t="n">
        <v>171.398</v>
      </c>
      <c r="L72" s="0" t="n">
        <v>1483.58</v>
      </c>
      <c r="M72" s="0" t="n">
        <v>184.47</v>
      </c>
      <c r="N72" s="0" t="n">
        <v>99.2916</v>
      </c>
      <c r="O72" s="0" t="n">
        <v>10485600</v>
      </c>
    </row>
    <row r="73">
      <c r="A73" s="0" t="inlineStr">
        <is>
          <t>VLAH-25TrustCom</t>
        </is>
      </c>
      <c r="B73" s="0" t="inlineStr">
        <is>
          <t>size-100000-calibration</t>
        </is>
      </c>
      <c r="C73" s="0" t="n">
        <v>100000</v>
      </c>
      <c r="D73" s="0" t="n">
        <v>10</v>
      </c>
      <c r="E73" s="0" t="n">
        <v>100</v>
      </c>
      <c r="F73" s="0" t="n">
        <v>3</v>
      </c>
      <c r="G73" s="0" t="n">
        <v>20</v>
      </c>
      <c r="H73" s="0" t="n">
        <v>4.893253</v>
      </c>
      <c r="I73" s="0" t="n">
        <v>6.21762</v>
      </c>
      <c r="J73" s="0" t="n">
        <v>16.737995</v>
      </c>
      <c r="K73" s="0" t="n">
        <v>171.398</v>
      </c>
      <c r="L73" s="0" t="n">
        <v>1483.58</v>
      </c>
      <c r="M73" s="0" t="n">
        <v>184.47</v>
      </c>
      <c r="N73" s="0" t="n">
        <v>99.2916</v>
      </c>
      <c r="O73" s="0" t="n">
        <v>10485600</v>
      </c>
    </row>
    <row r="74">
      <c r="A74" s="0" t="inlineStr">
        <is>
          <t>VLAH-25TrustCom</t>
        </is>
      </c>
      <c r="B74" s="0" t="inlineStr">
        <is>
          <t>size-100000-calibration</t>
        </is>
      </c>
      <c r="C74" s="0" t="n">
        <v>100000</v>
      </c>
      <c r="D74" s="0" t="n">
        <v>10</v>
      </c>
      <c r="E74" s="0" t="n">
        <v>100</v>
      </c>
      <c r="F74" s="0" t="n">
        <v>4</v>
      </c>
      <c r="G74" s="0" t="n">
        <v>20</v>
      </c>
      <c r="H74" s="0" t="n">
        <v>6.435146</v>
      </c>
      <c r="I74" s="0" t="n">
        <v>8.203049999999999</v>
      </c>
      <c r="J74" s="0" t="n">
        <v>22.190268</v>
      </c>
      <c r="K74" s="0" t="n">
        <v>171.398</v>
      </c>
      <c r="L74" s="0" t="n">
        <v>1483.58</v>
      </c>
      <c r="M74" s="0" t="n">
        <v>184.47</v>
      </c>
      <c r="N74" s="0" t="n">
        <v>99.2916</v>
      </c>
      <c r="O74" s="0" t="n">
        <v>10485600</v>
      </c>
    </row>
    <row r="75">
      <c r="A75" s="0" t="inlineStr">
        <is>
          <t>VLAH-25TrustCom</t>
        </is>
      </c>
      <c r="B75" s="0" t="inlineStr">
        <is>
          <t>size-100000-calibration</t>
        </is>
      </c>
      <c r="C75" s="0" t="n">
        <v>100000</v>
      </c>
      <c r="D75" s="0" t="n">
        <v>10</v>
      </c>
      <c r="E75" s="0" t="n">
        <v>100</v>
      </c>
      <c r="F75" s="0" t="n">
        <v>5</v>
      </c>
      <c r="G75" s="0" t="n">
        <v>20</v>
      </c>
      <c r="H75" s="0" t="n">
        <v>8.699299999999999</v>
      </c>
      <c r="I75" s="0" t="n">
        <v>9.891918</v>
      </c>
      <c r="J75" s="0" t="n">
        <v>27.581874</v>
      </c>
      <c r="K75" s="0" t="n">
        <v>171.398</v>
      </c>
      <c r="L75" s="0" t="n">
        <v>1483.58</v>
      </c>
      <c r="M75" s="0" t="n">
        <v>184.47</v>
      </c>
      <c r="N75" s="0" t="n">
        <v>99.2916</v>
      </c>
      <c r="O75" s="0" t="n">
        <v>10485600</v>
      </c>
    </row>
    <row r="76">
      <c r="A76" s="0" t="inlineStr">
        <is>
          <t>VLAH-25TrustCom</t>
        </is>
      </c>
      <c r="B76" s="0" t="inlineStr">
        <is>
          <t>size-100000-evaluation</t>
        </is>
      </c>
      <c r="C76" s="0" t="n">
        <v>100000</v>
      </c>
      <c r="D76" s="0" t="n">
        <v>10</v>
      </c>
      <c r="E76" s="0" t="n">
        <v>100</v>
      </c>
      <c r="F76" s="0" t="n">
        <v>5</v>
      </c>
      <c r="G76" s="0" t="n">
        <v>300</v>
      </c>
      <c r="H76" s="0" t="n">
        <v>8.589343</v>
      </c>
      <c r="I76" s="0" t="n">
        <v>10.359882</v>
      </c>
      <c r="J76" s="0" t="n">
        <v>27.048144</v>
      </c>
      <c r="K76" s="0" t="n">
        <v>170.113</v>
      </c>
      <c r="L76" s="0" t="n">
        <v>428.007</v>
      </c>
      <c r="M76" s="0" t="n">
        <v>181.245</v>
      </c>
      <c r="N76" s="0" t="n">
        <v>472.423</v>
      </c>
      <c r="O76" s="0" t="n">
        <v>10485600</v>
      </c>
    </row>
    <row r="77">
      <c r="A77" s="0" t="inlineStr">
        <is>
          <t>VLAH-25TrustCom</t>
        </is>
      </c>
      <c r="B77" s="0" t="inlineStr">
        <is>
          <t>size-1000000-calibration</t>
        </is>
      </c>
      <c r="C77" s="0" t="n">
        <v>1000000</v>
      </c>
      <c r="D77" s="0" t="n">
        <v>10</v>
      </c>
      <c r="E77" s="0" t="n">
        <v>100</v>
      </c>
      <c r="F77" s="0" t="n">
        <v>3</v>
      </c>
      <c r="G77" s="0" t="n">
        <v>20</v>
      </c>
      <c r="H77" s="0" t="n">
        <v>4.998232</v>
      </c>
      <c r="I77" s="0" t="n">
        <v>6.358255</v>
      </c>
      <c r="J77" s="0" t="n">
        <v>16.662495</v>
      </c>
      <c r="K77" s="0" t="n">
        <v>1508.8</v>
      </c>
      <c r="L77" s="0" t="n">
        <v>15621.6</v>
      </c>
      <c r="M77" s="0" t="n">
        <v>1797.4</v>
      </c>
      <c r="N77" s="0" t="n">
        <v>969.7859999999999</v>
      </c>
      <c r="O77" s="0" t="n">
        <v>104856000</v>
      </c>
    </row>
    <row r="78">
      <c r="A78" s="0" t="inlineStr">
        <is>
          <t>VLAH-25TrustCom</t>
        </is>
      </c>
      <c r="B78" s="0" t="inlineStr">
        <is>
          <t>size-1000000-calibration</t>
        </is>
      </c>
      <c r="C78" s="0" t="n">
        <v>1000000</v>
      </c>
      <c r="D78" s="0" t="n">
        <v>10</v>
      </c>
      <c r="E78" s="0" t="n">
        <v>100</v>
      </c>
      <c r="F78" s="0" t="n">
        <v>5</v>
      </c>
      <c r="G78" s="0" t="n">
        <v>20</v>
      </c>
      <c r="H78" s="0" t="n">
        <v>8.526925</v>
      </c>
      <c r="I78" s="0" t="n">
        <v>12.345126</v>
      </c>
      <c r="J78" s="0" t="n">
        <v>27.919547</v>
      </c>
      <c r="K78" s="0" t="n">
        <v>1508.8</v>
      </c>
      <c r="L78" s="0" t="n">
        <v>15621.6</v>
      </c>
      <c r="M78" s="0" t="n">
        <v>1797.4</v>
      </c>
      <c r="N78" s="0" t="n">
        <v>969.7859999999999</v>
      </c>
      <c r="O78" s="0" t="n">
        <v>104856000</v>
      </c>
    </row>
    <row r="79">
      <c r="A79" s="0" t="inlineStr">
        <is>
          <t>VLAH-25TrustCom</t>
        </is>
      </c>
      <c r="B79" s="0" t="inlineStr">
        <is>
          <t>size-1000000-calibration</t>
        </is>
      </c>
      <c r="C79" s="0" t="n">
        <v>1000000</v>
      </c>
      <c r="D79" s="0" t="n">
        <v>10</v>
      </c>
      <c r="E79" s="0" t="n">
        <v>100</v>
      </c>
      <c r="F79" s="0" t="n">
        <v>10</v>
      </c>
      <c r="G79" s="0" t="n">
        <v>20</v>
      </c>
      <c r="H79" s="0" t="n">
        <v>17.579664</v>
      </c>
      <c r="I79" s="0" t="n">
        <v>21.288724</v>
      </c>
      <c r="J79" s="0" t="n">
        <v>53.943428</v>
      </c>
      <c r="K79" s="0" t="n">
        <v>1508.8</v>
      </c>
      <c r="L79" s="0" t="n">
        <v>15621.6</v>
      </c>
      <c r="M79" s="0" t="n">
        <v>1797.4</v>
      </c>
      <c r="N79" s="0" t="n">
        <v>969.7859999999999</v>
      </c>
      <c r="O79" s="0" t="n">
        <v>104856000</v>
      </c>
    </row>
    <row r="80">
      <c r="A80" s="0" t="inlineStr">
        <is>
          <t>VLAH-25TrustCom</t>
        </is>
      </c>
      <c r="B80" s="0" t="inlineStr">
        <is>
          <t>size-1000000-calibration</t>
        </is>
      </c>
      <c r="C80" s="0" t="n">
        <v>1000000</v>
      </c>
      <c r="D80" s="0" t="n">
        <v>10</v>
      </c>
      <c r="E80" s="0" t="n">
        <v>100</v>
      </c>
      <c r="F80" s="0" t="n">
        <v>15</v>
      </c>
      <c r="G80" s="0" t="n">
        <v>20</v>
      </c>
      <c r="H80" s="0" t="n">
        <v>25.84189</v>
      </c>
      <c r="I80" s="0" t="n">
        <v>33.424677</v>
      </c>
      <c r="J80" s="0" t="n">
        <v>84.037206</v>
      </c>
      <c r="K80" s="0" t="n">
        <v>1508.8</v>
      </c>
      <c r="L80" s="0" t="n">
        <v>15621.6</v>
      </c>
      <c r="M80" s="0" t="n">
        <v>1797.4</v>
      </c>
      <c r="N80" s="0" t="n">
        <v>969.7859999999999</v>
      </c>
      <c r="O80" s="0" t="n">
        <v>104856000</v>
      </c>
    </row>
    <row r="81">
      <c r="A81" s="0" t="inlineStr">
        <is>
          <t>VLAH-25TrustCom</t>
        </is>
      </c>
      <c r="B81" s="0" t="inlineStr">
        <is>
          <t>size-1000000-calibration</t>
        </is>
      </c>
      <c r="C81" s="0" t="n">
        <v>1000000</v>
      </c>
      <c r="D81" s="0" t="n">
        <v>10</v>
      </c>
      <c r="E81" s="0" t="n">
        <v>100</v>
      </c>
      <c r="F81" s="0" t="n">
        <v>20</v>
      </c>
      <c r="G81" s="0" t="n">
        <v>20</v>
      </c>
      <c r="H81" s="0" t="n">
        <v>33.921429</v>
      </c>
      <c r="I81" s="0" t="n">
        <v>44.512928</v>
      </c>
      <c r="J81" s="0" t="n">
        <v>115.469889</v>
      </c>
      <c r="K81" s="0" t="n">
        <v>1508.8</v>
      </c>
      <c r="L81" s="0" t="n">
        <v>15621.6</v>
      </c>
      <c r="M81" s="0" t="n">
        <v>1797.4</v>
      </c>
      <c r="N81" s="0" t="n">
        <v>969.7859999999999</v>
      </c>
      <c r="O81" s="0" t="n">
        <v>104856000</v>
      </c>
    </row>
    <row r="82">
      <c r="A82" s="0" t="inlineStr">
        <is>
          <t>VLAH-25TrustCom</t>
        </is>
      </c>
      <c r="B82" s="0" t="inlineStr">
        <is>
          <t>size-1000000-calibration</t>
        </is>
      </c>
      <c r="C82" s="0" t="n">
        <v>1000000</v>
      </c>
      <c r="D82" s="0" t="n">
        <v>10</v>
      </c>
      <c r="E82" s="0" t="n">
        <v>100</v>
      </c>
      <c r="F82" s="0" t="n">
        <v>25</v>
      </c>
      <c r="G82" s="0" t="n">
        <v>20</v>
      </c>
      <c r="H82" s="0" t="n">
        <v>43.813411</v>
      </c>
      <c r="I82" s="0" t="n">
        <v>57.672445</v>
      </c>
      <c r="J82" s="0" t="n">
        <v>139.72088</v>
      </c>
      <c r="K82" s="0" t="n">
        <v>1508.8</v>
      </c>
      <c r="L82" s="0" t="n">
        <v>15621.6</v>
      </c>
      <c r="M82" s="0" t="n">
        <v>1797.4</v>
      </c>
      <c r="N82" s="0" t="n">
        <v>969.7859999999999</v>
      </c>
      <c r="O82" s="0" t="n">
        <v>104856000</v>
      </c>
    </row>
    <row r="83">
      <c r="A83" s="0" t="inlineStr">
        <is>
          <t>VLAH-25TrustCom</t>
        </is>
      </c>
      <c r="B83" s="0" t="inlineStr">
        <is>
          <t>size-1000000-calibration</t>
        </is>
      </c>
      <c r="C83" s="0" t="n">
        <v>1000000</v>
      </c>
      <c r="D83" s="0" t="n">
        <v>10</v>
      </c>
      <c r="E83" s="0" t="n">
        <v>100</v>
      </c>
      <c r="F83" s="0" t="n">
        <v>30</v>
      </c>
      <c r="G83" s="0" t="n">
        <v>20</v>
      </c>
      <c r="H83" s="0" t="n">
        <v>53.281474</v>
      </c>
      <c r="I83" s="0" t="n">
        <v>66.069245</v>
      </c>
      <c r="J83" s="0" t="n">
        <v>171.49876</v>
      </c>
      <c r="K83" s="0" t="n">
        <v>1508.8</v>
      </c>
      <c r="L83" s="0" t="n">
        <v>15621.6</v>
      </c>
      <c r="M83" s="0" t="n">
        <v>1797.4</v>
      </c>
      <c r="N83" s="0" t="n">
        <v>969.7859999999999</v>
      </c>
      <c r="O83" s="0" t="n">
        <v>104856000</v>
      </c>
    </row>
    <row r="84">
      <c r="A84" s="0" t="inlineStr">
        <is>
          <t>VLAH-25TrustCom</t>
        </is>
      </c>
      <c r="B84" s="0" t="inlineStr">
        <is>
          <t>size-1000000-calibration</t>
        </is>
      </c>
      <c r="C84" s="0" t="n">
        <v>1000000</v>
      </c>
      <c r="D84" s="0" t="n">
        <v>10</v>
      </c>
      <c r="E84" s="0" t="n">
        <v>100</v>
      </c>
      <c r="F84" s="0" t="n">
        <v>35</v>
      </c>
      <c r="G84" s="0" t="n">
        <v>20</v>
      </c>
      <c r="H84" s="0" t="n">
        <v>61.968994</v>
      </c>
      <c r="I84" s="0" t="n">
        <v>76.259788</v>
      </c>
      <c r="J84" s="0" t="n">
        <v>196.536129</v>
      </c>
      <c r="K84" s="0" t="n">
        <v>1508.8</v>
      </c>
      <c r="L84" s="0" t="n">
        <v>15621.6</v>
      </c>
      <c r="M84" s="0" t="n">
        <v>1797.4</v>
      </c>
      <c r="N84" s="0" t="n">
        <v>969.7859999999999</v>
      </c>
      <c r="O84" s="0" t="n">
        <v>104856000</v>
      </c>
    </row>
    <row r="85">
      <c r="A85" s="0" t="inlineStr">
        <is>
          <t>VLAH-25TrustCom</t>
        </is>
      </c>
      <c r="B85" s="0" t="inlineStr">
        <is>
          <t>size-1000000-calibration</t>
        </is>
      </c>
      <c r="C85" s="0" t="n">
        <v>1000000</v>
      </c>
      <c r="D85" s="0" t="n">
        <v>10</v>
      </c>
      <c r="E85" s="0" t="n">
        <v>100</v>
      </c>
      <c r="F85" s="0" t="n">
        <v>40</v>
      </c>
      <c r="G85" s="0" t="n">
        <v>20</v>
      </c>
      <c r="H85" s="0" t="n">
        <v>70.830004</v>
      </c>
      <c r="I85" s="0" t="n">
        <v>94.94110499999999</v>
      </c>
      <c r="J85" s="0" t="n">
        <v>220.994788</v>
      </c>
      <c r="K85" s="0" t="n">
        <v>1508.8</v>
      </c>
      <c r="L85" s="0" t="n">
        <v>15621.6</v>
      </c>
      <c r="M85" s="0" t="n">
        <v>1797.4</v>
      </c>
      <c r="N85" s="0" t="n">
        <v>969.7859999999999</v>
      </c>
      <c r="O85" s="0" t="n">
        <v>104856000</v>
      </c>
    </row>
    <row r="86">
      <c r="A86" s="0" t="inlineStr">
        <is>
          <t>VLAH-25TrustCom</t>
        </is>
      </c>
      <c r="B86" s="0" t="inlineStr">
        <is>
          <t>size-1000000-calibration</t>
        </is>
      </c>
      <c r="C86" s="0" t="n">
        <v>1000000</v>
      </c>
      <c r="D86" s="0" t="n">
        <v>10</v>
      </c>
      <c r="E86" s="0" t="n">
        <v>100</v>
      </c>
      <c r="F86" s="0" t="n">
        <v>45</v>
      </c>
      <c r="G86" s="0" t="n">
        <v>20</v>
      </c>
      <c r="H86" s="0" t="n">
        <v>86.45438</v>
      </c>
      <c r="I86" s="0" t="n">
        <v>105.41763</v>
      </c>
      <c r="J86" s="0" t="n">
        <v>249.750521</v>
      </c>
      <c r="K86" s="0" t="n">
        <v>1508.8</v>
      </c>
      <c r="L86" s="0" t="n">
        <v>15621.6</v>
      </c>
      <c r="M86" s="0" t="n">
        <v>1797.4</v>
      </c>
      <c r="N86" s="0" t="n">
        <v>969.7859999999999</v>
      </c>
      <c r="O86" s="0" t="n">
        <v>104856000</v>
      </c>
    </row>
    <row r="87">
      <c r="A87" s="0" t="inlineStr">
        <is>
          <t>VLAH-25TrustCom</t>
        </is>
      </c>
      <c r="B87" s="0" t="inlineStr">
        <is>
          <t>size-1000000-calibration</t>
        </is>
      </c>
      <c r="C87" s="0" t="n">
        <v>1000000</v>
      </c>
      <c r="D87" s="0" t="n">
        <v>10</v>
      </c>
      <c r="E87" s="0" t="n">
        <v>100</v>
      </c>
      <c r="F87" s="0" t="n">
        <v>50</v>
      </c>
      <c r="G87" s="0" t="n">
        <v>20</v>
      </c>
      <c r="H87" s="0" t="n">
        <v>94.692925</v>
      </c>
      <c r="I87" s="0" t="n">
        <v>112.422946</v>
      </c>
      <c r="J87" s="0" t="n">
        <v>280.156945</v>
      </c>
      <c r="K87" s="0" t="n">
        <v>1508.8</v>
      </c>
      <c r="L87" s="0" t="n">
        <v>15621.6</v>
      </c>
      <c r="M87" s="0" t="n">
        <v>1797.4</v>
      </c>
      <c r="N87" s="0" t="n">
        <v>969.7859999999999</v>
      </c>
      <c r="O87" s="0" t="n">
        <v>104856000</v>
      </c>
    </row>
    <row r="88">
      <c r="A88" s="0" t="inlineStr">
        <is>
          <t>VLAH-25TrustCom</t>
        </is>
      </c>
      <c r="B88" s="0" t="inlineStr">
        <is>
          <t>size-1000000-evaluation</t>
        </is>
      </c>
      <c r="C88" s="0" t="n">
        <v>1000000</v>
      </c>
      <c r="D88" s="0" t="n">
        <v>10</v>
      </c>
      <c r="E88" s="0" t="n">
        <v>100</v>
      </c>
      <c r="F88" s="0" t="n">
        <v>50</v>
      </c>
      <c r="G88" s="0" t="n">
        <v>300</v>
      </c>
      <c r="H88" s="0" t="n">
        <v>94.108124</v>
      </c>
      <c r="I88" s="0" t="n">
        <v>108.412969</v>
      </c>
      <c r="J88" s="0" t="n">
        <v>267.743514</v>
      </c>
      <c r="K88" s="0" t="n">
        <v>1508.7</v>
      </c>
      <c r="L88" s="0" t="n">
        <v>4310.27</v>
      </c>
      <c r="M88" s="0" t="n">
        <v>1752.25</v>
      </c>
      <c r="N88" s="0" t="n">
        <v>4848.26</v>
      </c>
      <c r="O88" s="0" t="n">
        <v>104856000</v>
      </c>
    </row>
    <row r="89">
      <c r="A89" s="0" t="inlineStr">
        <is>
          <t>VLAH-25TrustCom</t>
        </is>
      </c>
      <c r="B89" s="0" t="inlineStr">
        <is>
          <t>size-10000000-calibration</t>
        </is>
      </c>
      <c r="C89" s="0" t="n">
        <v>10000000</v>
      </c>
      <c r="D89" s="0" t="n">
        <v>10</v>
      </c>
      <c r="E89" s="0" t="n">
        <v>100</v>
      </c>
      <c r="F89" s="0" t="n">
        <v>25</v>
      </c>
      <c r="G89" s="0" t="n">
        <v>20</v>
      </c>
      <c r="H89" s="0" t="n">
        <v>44.127524</v>
      </c>
      <c r="I89" s="0" t="n">
        <v>53.485625</v>
      </c>
      <c r="J89" s="0" t="n">
        <v>148.236623</v>
      </c>
      <c r="K89" s="0" t="n">
        <v>14243.7</v>
      </c>
      <c r="L89" s="0" t="n">
        <v>176133</v>
      </c>
      <c r="M89" s="0" t="n">
        <v>18612</v>
      </c>
      <c r="N89" s="0" t="n">
        <v>10466.8</v>
      </c>
      <c r="O89" s="0" t="n">
        <v>1048560000</v>
      </c>
    </row>
    <row r="90">
      <c r="A90" s="0" t="inlineStr">
        <is>
          <t>VLAH-25TrustCom</t>
        </is>
      </c>
      <c r="B90" s="0" t="inlineStr">
        <is>
          <t>size-10000000-calibration</t>
        </is>
      </c>
      <c r="C90" s="0" t="n">
        <v>10000000</v>
      </c>
      <c r="D90" s="0" t="n">
        <v>10</v>
      </c>
      <c r="E90" s="0" t="n">
        <v>100</v>
      </c>
      <c r="F90" s="0" t="n">
        <v>50</v>
      </c>
      <c r="G90" s="0" t="n">
        <v>20</v>
      </c>
      <c r="H90" s="0" t="n">
        <v>96.36230999999999</v>
      </c>
      <c r="I90" s="0" t="n">
        <v>115.566781</v>
      </c>
      <c r="J90" s="0" t="n">
        <v>286.26914</v>
      </c>
      <c r="K90" s="0" t="n">
        <v>14243.7</v>
      </c>
      <c r="L90" s="0" t="n">
        <v>176133</v>
      </c>
      <c r="M90" s="0" t="n">
        <v>18612</v>
      </c>
      <c r="N90" s="0" t="n">
        <v>10466.8</v>
      </c>
      <c r="O90" s="0" t="n">
        <v>1048560000</v>
      </c>
    </row>
    <row r="91">
      <c r="A91" s="0" t="inlineStr">
        <is>
          <t>VLAH-25TrustCom</t>
        </is>
      </c>
      <c r="B91" s="0" t="inlineStr">
        <is>
          <t>size-10000000-calibration</t>
        </is>
      </c>
      <c r="C91" s="0" t="n">
        <v>10000000</v>
      </c>
      <c r="D91" s="0" t="n">
        <v>10</v>
      </c>
      <c r="E91" s="0" t="n">
        <v>100</v>
      </c>
      <c r="F91" s="0" t="n">
        <v>100</v>
      </c>
      <c r="G91" s="0" t="n">
        <v>20</v>
      </c>
      <c r="H91" s="0" t="n">
        <v>204.329098</v>
      </c>
      <c r="I91" s="0" t="n">
        <v>238.455857</v>
      </c>
      <c r="J91" s="0" t="n">
        <v>559.419837</v>
      </c>
      <c r="K91" s="0" t="n">
        <v>14243.7</v>
      </c>
      <c r="L91" s="0" t="n">
        <v>176133</v>
      </c>
      <c r="M91" s="0" t="n">
        <v>18612</v>
      </c>
      <c r="N91" s="0" t="n">
        <v>10466.8</v>
      </c>
      <c r="O91" s="0" t="n">
        <v>1048560000</v>
      </c>
    </row>
    <row r="92">
      <c r="A92" s="0" t="inlineStr">
        <is>
          <t>VLAH-25TrustCom</t>
        </is>
      </c>
      <c r="B92" s="0" t="inlineStr">
        <is>
          <t>size-10000000-calibration</t>
        </is>
      </c>
      <c r="C92" s="0" t="n">
        <v>10000000</v>
      </c>
      <c r="D92" s="0" t="n">
        <v>10</v>
      </c>
      <c r="E92" s="0" t="n">
        <v>100</v>
      </c>
      <c r="F92" s="0" t="n">
        <v>150</v>
      </c>
      <c r="G92" s="0" t="n">
        <v>20</v>
      </c>
      <c r="H92" s="0" t="n">
        <v>317.306286</v>
      </c>
      <c r="I92" s="0" t="n">
        <v>355.841729</v>
      </c>
      <c r="J92" s="0" t="n">
        <v>841.756946</v>
      </c>
      <c r="K92" s="0" t="n">
        <v>14243.7</v>
      </c>
      <c r="L92" s="0" t="n">
        <v>176133</v>
      </c>
      <c r="M92" s="0" t="n">
        <v>18612</v>
      </c>
      <c r="N92" s="0" t="n">
        <v>10466.8</v>
      </c>
      <c r="O92" s="0" t="n">
        <v>1048560000</v>
      </c>
    </row>
    <row r="93">
      <c r="A93" s="0" t="inlineStr">
        <is>
          <t>VLAH-25TrustCom</t>
        </is>
      </c>
      <c r="B93" s="0" t="inlineStr">
        <is>
          <t>size-10000000-calibration</t>
        </is>
      </c>
      <c r="C93" s="0" t="n">
        <v>10000000</v>
      </c>
      <c r="D93" s="0" t="n">
        <v>10</v>
      </c>
      <c r="E93" s="0" t="n">
        <v>100</v>
      </c>
      <c r="F93" s="0" t="n">
        <v>200</v>
      </c>
      <c r="G93" s="0" t="n">
        <v>20</v>
      </c>
      <c r="H93" s="0" t="n">
        <v>410.633485</v>
      </c>
      <c r="I93" s="0" t="n">
        <v>474.587091</v>
      </c>
      <c r="J93" s="0" t="n">
        <v>1146.170041</v>
      </c>
      <c r="K93" s="0" t="n">
        <v>14243.7</v>
      </c>
      <c r="L93" s="0" t="n">
        <v>176133</v>
      </c>
      <c r="M93" s="0" t="n">
        <v>18612</v>
      </c>
      <c r="N93" s="0" t="n">
        <v>10466.8</v>
      </c>
      <c r="O93" s="0" t="n">
        <v>1048560000</v>
      </c>
    </row>
    <row r="94">
      <c r="A94" s="0" t="inlineStr">
        <is>
          <t>VLAH-25TrustCom</t>
        </is>
      </c>
      <c r="B94" s="0" t="inlineStr">
        <is>
          <t>size-10000000-calibration</t>
        </is>
      </c>
      <c r="C94" s="0" t="n">
        <v>10000000</v>
      </c>
      <c r="D94" s="0" t="n">
        <v>10</v>
      </c>
      <c r="E94" s="0" t="n">
        <v>100</v>
      </c>
      <c r="F94" s="0" t="n">
        <v>250</v>
      </c>
      <c r="G94" s="0" t="n">
        <v>20</v>
      </c>
      <c r="H94" s="0" t="n">
        <v>520.073667</v>
      </c>
      <c r="I94" s="0" t="n">
        <v>612.142364</v>
      </c>
      <c r="J94" s="0" t="n">
        <v>1420.111891</v>
      </c>
      <c r="K94" s="0" t="n">
        <v>14243.7</v>
      </c>
      <c r="L94" s="0" t="n">
        <v>176133</v>
      </c>
      <c r="M94" s="0" t="n">
        <v>18612</v>
      </c>
      <c r="N94" s="0" t="n">
        <v>10466.8</v>
      </c>
      <c r="O94" s="0" t="n">
        <v>1048560000</v>
      </c>
    </row>
    <row r="95">
      <c r="A95" s="0" t="inlineStr">
        <is>
          <t>VLAH-25TrustCom</t>
        </is>
      </c>
      <c r="B95" s="0" t="inlineStr">
        <is>
          <t>size-10000000-calibration</t>
        </is>
      </c>
      <c r="C95" s="0" t="n">
        <v>10000000</v>
      </c>
      <c r="D95" s="0" t="n">
        <v>10</v>
      </c>
      <c r="E95" s="0" t="n">
        <v>100</v>
      </c>
      <c r="F95" s="0" t="n">
        <v>300</v>
      </c>
      <c r="G95" s="0" t="n">
        <v>20</v>
      </c>
      <c r="H95" s="0" t="n">
        <v>629.652361</v>
      </c>
      <c r="I95" s="0" t="n">
        <v>726.772142</v>
      </c>
      <c r="J95" s="0" t="n">
        <v>1705.295796</v>
      </c>
      <c r="K95" s="0" t="n">
        <v>14243.7</v>
      </c>
      <c r="L95" s="0" t="n">
        <v>176133</v>
      </c>
      <c r="M95" s="0" t="n">
        <v>18612</v>
      </c>
      <c r="N95" s="0" t="n">
        <v>10466.8</v>
      </c>
      <c r="O95" s="0" t="n">
        <v>1048560000</v>
      </c>
    </row>
    <row r="96">
      <c r="A96" s="0" t="inlineStr">
        <is>
          <t>VLAH-25TrustCom</t>
        </is>
      </c>
      <c r="B96" s="0" t="inlineStr">
        <is>
          <t>size-10000000-calibration</t>
        </is>
      </c>
      <c r="C96" s="0" t="n">
        <v>10000000</v>
      </c>
      <c r="D96" s="0" t="n">
        <v>10</v>
      </c>
      <c r="E96" s="0" t="n">
        <v>100</v>
      </c>
      <c r="F96" s="0" t="n">
        <v>350</v>
      </c>
      <c r="G96" s="0" t="n">
        <v>20</v>
      </c>
      <c r="H96" s="0" t="n">
        <v>711.339443</v>
      </c>
      <c r="I96" s="0" t="n">
        <v>820.024656</v>
      </c>
      <c r="J96" s="0" t="n">
        <v>1989.117364</v>
      </c>
      <c r="K96" s="0" t="n">
        <v>14243.7</v>
      </c>
      <c r="L96" s="0" t="n">
        <v>176133</v>
      </c>
      <c r="M96" s="0" t="n">
        <v>18612</v>
      </c>
      <c r="N96" s="0" t="n">
        <v>10466.8</v>
      </c>
      <c r="O96" s="0" t="n">
        <v>1048560000</v>
      </c>
    </row>
    <row r="97">
      <c r="A97" s="0" t="inlineStr">
        <is>
          <t>VLAH-25TrustCom</t>
        </is>
      </c>
      <c r="B97" s="0" t="inlineStr">
        <is>
          <t>size-10000000-calibration</t>
        </is>
      </c>
      <c r="C97" s="0" t="n">
        <v>10000000</v>
      </c>
      <c r="D97" s="0" t="n">
        <v>10</v>
      </c>
      <c r="E97" s="0" t="n">
        <v>100</v>
      </c>
      <c r="F97" s="0" t="n">
        <v>400</v>
      </c>
      <c r="G97" s="0" t="n">
        <v>20</v>
      </c>
      <c r="H97" s="0" t="n">
        <v>819.734616</v>
      </c>
      <c r="I97" s="0" t="n">
        <v>936.722063</v>
      </c>
      <c r="J97" s="0" t="n">
        <v>2286.570561</v>
      </c>
      <c r="K97" s="0" t="n">
        <v>14243.7</v>
      </c>
      <c r="L97" s="0" t="n">
        <v>176133</v>
      </c>
      <c r="M97" s="0" t="n">
        <v>18612</v>
      </c>
      <c r="N97" s="0" t="n">
        <v>10466.8</v>
      </c>
      <c r="O97" s="0" t="n">
        <v>1048560000</v>
      </c>
    </row>
    <row r="98">
      <c r="A98" s="0" t="inlineStr">
        <is>
          <t>VLAH-25TrustCom</t>
        </is>
      </c>
      <c r="B98" s="0" t="inlineStr">
        <is>
          <t>size-10000000-calibration</t>
        </is>
      </c>
      <c r="C98" s="0" t="n">
        <v>10000000</v>
      </c>
      <c r="D98" s="0" t="n">
        <v>10</v>
      </c>
      <c r="E98" s="0" t="n">
        <v>100</v>
      </c>
      <c r="F98" s="0" t="n">
        <v>450</v>
      </c>
      <c r="G98" s="0" t="n">
        <v>20</v>
      </c>
      <c r="H98" s="0" t="n">
        <v>927.612881</v>
      </c>
      <c r="I98" s="0" t="n">
        <v>1062.914473</v>
      </c>
      <c r="J98" s="0" t="n">
        <v>2530.588727</v>
      </c>
      <c r="K98" s="0" t="n">
        <v>14243.7</v>
      </c>
      <c r="L98" s="0" t="n">
        <v>176133</v>
      </c>
      <c r="M98" s="0" t="n">
        <v>18612</v>
      </c>
      <c r="N98" s="0" t="n">
        <v>10466.8</v>
      </c>
      <c r="O98" s="0" t="n">
        <v>1048560000</v>
      </c>
    </row>
    <row r="99">
      <c r="A99" s="0" t="inlineStr">
        <is>
          <t>VLAH-25TrustCom</t>
        </is>
      </c>
      <c r="B99" s="0" t="inlineStr">
        <is>
          <t>size-10000000-calibration</t>
        </is>
      </c>
      <c r="C99" s="0" t="n">
        <v>10000000</v>
      </c>
      <c r="D99" s="0" t="n">
        <v>10</v>
      </c>
      <c r="E99" s="0" t="n">
        <v>100</v>
      </c>
      <c r="F99" s="0" t="n">
        <v>500</v>
      </c>
      <c r="G99" s="0" t="n">
        <v>20</v>
      </c>
      <c r="H99" s="0" t="n">
        <v>1022.242179</v>
      </c>
      <c r="I99" s="0" t="n">
        <v>1140.207352</v>
      </c>
      <c r="J99" s="0" t="n">
        <v>2815.181641</v>
      </c>
      <c r="K99" s="0" t="n">
        <v>14243.7</v>
      </c>
      <c r="L99" s="0" t="n">
        <v>176133</v>
      </c>
      <c r="M99" s="0" t="n">
        <v>18612</v>
      </c>
      <c r="N99" s="0" t="n">
        <v>10466.8</v>
      </c>
      <c r="O99" s="0" t="n">
        <v>1048560000</v>
      </c>
    </row>
    <row r="100">
      <c r="A100" s="0" t="inlineStr">
        <is>
          <t>VLAH-25TrustCom</t>
        </is>
      </c>
      <c r="B100" s="0" t="inlineStr">
        <is>
          <t>size-10000000-evaluation</t>
        </is>
      </c>
      <c r="C100" s="0" t="n">
        <v>10000000</v>
      </c>
      <c r="D100" s="0" t="n">
        <v>10</v>
      </c>
      <c r="E100" s="0" t="n">
        <v>100</v>
      </c>
      <c r="F100" s="0" t="n">
        <v>500</v>
      </c>
      <c r="G100" s="0" t="n">
        <v>300</v>
      </c>
      <c r="H100" s="0" t="n">
        <v>1043.681282</v>
      </c>
      <c r="I100" s="0" t="n">
        <v>1157.662479</v>
      </c>
      <c r="J100" s="0" t="n">
        <v>2716.674429</v>
      </c>
      <c r="K100" s="0" t="n">
        <v>14783.2</v>
      </c>
      <c r="L100" s="0" t="n">
        <v>47217</v>
      </c>
      <c r="M100" s="0" t="n">
        <v>17485.2</v>
      </c>
      <c r="N100" s="0" t="n">
        <v>51843.9</v>
      </c>
      <c r="O100" s="0" t="n">
        <v>1048560000</v>
      </c>
    </row>
    <row r="101">
      <c r="A101" s="0" t="inlineStr">
        <is>
          <t>VLAH-25TrustCom</t>
        </is>
      </c>
      <c r="B101" s="0" t="inlineStr">
        <is>
          <t>size-500000-calibration</t>
        </is>
      </c>
      <c r="C101" s="0" t="n">
        <v>500000</v>
      </c>
      <c r="D101" s="0" t="n">
        <v>10</v>
      </c>
      <c r="E101" s="0" t="n">
        <v>100</v>
      </c>
      <c r="F101" s="0" t="n">
        <v>2</v>
      </c>
      <c r="G101" s="0" t="n">
        <v>20</v>
      </c>
      <c r="H101" s="0" t="n">
        <v>3.351142</v>
      </c>
      <c r="I101" s="0" t="n">
        <v>3.916599</v>
      </c>
      <c r="J101" s="0" t="n">
        <v>11.457254</v>
      </c>
      <c r="K101" s="0" t="n">
        <v>759.957</v>
      </c>
      <c r="L101" s="0" t="n">
        <v>7705.17</v>
      </c>
      <c r="M101" s="0" t="n">
        <v>893.173</v>
      </c>
      <c r="N101" s="0" t="n">
        <v>488.636</v>
      </c>
      <c r="O101" s="0" t="n">
        <v>52428000</v>
      </c>
    </row>
    <row r="102">
      <c r="A102" s="0" t="inlineStr">
        <is>
          <t>VLAH-25TrustCom</t>
        </is>
      </c>
      <c r="B102" s="0" t="inlineStr">
        <is>
          <t>size-500000-calibration</t>
        </is>
      </c>
      <c r="C102" s="0" t="n">
        <v>500000</v>
      </c>
      <c r="D102" s="0" t="n">
        <v>10</v>
      </c>
      <c r="E102" s="0" t="n">
        <v>100</v>
      </c>
      <c r="F102" s="0" t="n">
        <v>3</v>
      </c>
      <c r="G102" s="0" t="n">
        <v>20</v>
      </c>
      <c r="H102" s="0" t="n">
        <v>5.235236</v>
      </c>
      <c r="I102" s="0" t="n">
        <v>6.212355</v>
      </c>
      <c r="J102" s="0" t="n">
        <v>17.279179</v>
      </c>
      <c r="K102" s="0" t="n">
        <v>759.957</v>
      </c>
      <c r="L102" s="0" t="n">
        <v>7705.17</v>
      </c>
      <c r="M102" s="0" t="n">
        <v>893.173</v>
      </c>
      <c r="N102" s="0" t="n">
        <v>488.636</v>
      </c>
      <c r="O102" s="0" t="n">
        <v>52428000</v>
      </c>
    </row>
    <row r="103">
      <c r="A103" s="0" t="inlineStr">
        <is>
          <t>VLAH-25TrustCom</t>
        </is>
      </c>
      <c r="B103" s="0" t="inlineStr">
        <is>
          <t>size-500000-calibration</t>
        </is>
      </c>
      <c r="C103" s="0" t="n">
        <v>500000</v>
      </c>
      <c r="D103" s="0" t="n">
        <v>10</v>
      </c>
      <c r="E103" s="0" t="n">
        <v>100</v>
      </c>
      <c r="F103" s="0" t="n">
        <v>5</v>
      </c>
      <c r="G103" s="0" t="n">
        <v>20</v>
      </c>
      <c r="H103" s="0" t="n">
        <v>8.664348</v>
      </c>
      <c r="I103" s="0" t="n">
        <v>10.883036</v>
      </c>
      <c r="J103" s="0" t="n">
        <v>28.733307</v>
      </c>
      <c r="K103" s="0" t="n">
        <v>759.957</v>
      </c>
      <c r="L103" s="0" t="n">
        <v>7705.17</v>
      </c>
      <c r="M103" s="0" t="n">
        <v>893.173</v>
      </c>
      <c r="N103" s="0" t="n">
        <v>488.636</v>
      </c>
      <c r="O103" s="0" t="n">
        <v>52428000</v>
      </c>
    </row>
    <row r="104">
      <c r="A104" s="0" t="inlineStr">
        <is>
          <t>VLAH-25TrustCom</t>
        </is>
      </c>
      <c r="B104" s="0" t="inlineStr">
        <is>
          <t>size-500000-calibration</t>
        </is>
      </c>
      <c r="C104" s="0" t="n">
        <v>500000</v>
      </c>
      <c r="D104" s="0" t="n">
        <v>10</v>
      </c>
      <c r="E104" s="0" t="n">
        <v>100</v>
      </c>
      <c r="F104" s="0" t="n">
        <v>8</v>
      </c>
      <c r="G104" s="0" t="n">
        <v>20</v>
      </c>
      <c r="H104" s="0" t="n">
        <v>13.9707</v>
      </c>
      <c r="I104" s="0" t="n">
        <v>17.400568</v>
      </c>
      <c r="J104" s="0" t="n">
        <v>44.140128</v>
      </c>
      <c r="K104" s="0" t="n">
        <v>759.957</v>
      </c>
      <c r="L104" s="0" t="n">
        <v>7705.17</v>
      </c>
      <c r="M104" s="0" t="n">
        <v>893.173</v>
      </c>
      <c r="N104" s="0" t="n">
        <v>488.636</v>
      </c>
      <c r="O104" s="0" t="n">
        <v>52428000</v>
      </c>
    </row>
    <row r="105">
      <c r="A105" s="0" t="inlineStr">
        <is>
          <t>VLAH-25TrustCom</t>
        </is>
      </c>
      <c r="B105" s="0" t="inlineStr">
        <is>
          <t>size-500000-calibration</t>
        </is>
      </c>
      <c r="C105" s="0" t="n">
        <v>500000</v>
      </c>
      <c r="D105" s="0" t="n">
        <v>10</v>
      </c>
      <c r="E105" s="0" t="n">
        <v>100</v>
      </c>
      <c r="F105" s="0" t="n">
        <v>10</v>
      </c>
      <c r="G105" s="0" t="n">
        <v>20</v>
      </c>
      <c r="H105" s="0" t="n">
        <v>17.647043</v>
      </c>
      <c r="I105" s="0" t="n">
        <v>21.457474</v>
      </c>
      <c r="J105" s="0" t="n">
        <v>56.051428</v>
      </c>
      <c r="K105" s="0" t="n">
        <v>759.957</v>
      </c>
      <c r="L105" s="0" t="n">
        <v>7705.17</v>
      </c>
      <c r="M105" s="0" t="n">
        <v>893.173</v>
      </c>
      <c r="N105" s="0" t="n">
        <v>488.636</v>
      </c>
      <c r="O105" s="0" t="n">
        <v>52428000</v>
      </c>
    </row>
    <row r="106">
      <c r="A106" s="0" t="inlineStr">
        <is>
          <t>VLAH-25TrustCom</t>
        </is>
      </c>
      <c r="B106" s="0" t="inlineStr">
        <is>
          <t>size-500000-calibration</t>
        </is>
      </c>
      <c r="C106" s="0" t="n">
        <v>500000</v>
      </c>
      <c r="D106" s="0" t="n">
        <v>10</v>
      </c>
      <c r="E106" s="0" t="n">
        <v>100</v>
      </c>
      <c r="F106" s="0" t="n">
        <v>13</v>
      </c>
      <c r="G106" s="0" t="n">
        <v>20</v>
      </c>
      <c r="H106" s="0" t="n">
        <v>22.091643</v>
      </c>
      <c r="I106" s="0" t="n">
        <v>27.515085</v>
      </c>
      <c r="J106" s="0" t="n">
        <v>74.00754499999999</v>
      </c>
      <c r="K106" s="0" t="n">
        <v>759.957</v>
      </c>
      <c r="L106" s="0" t="n">
        <v>7705.17</v>
      </c>
      <c r="M106" s="0" t="n">
        <v>893.173</v>
      </c>
      <c r="N106" s="0" t="n">
        <v>488.636</v>
      </c>
      <c r="O106" s="0" t="n">
        <v>52428000</v>
      </c>
    </row>
    <row r="107">
      <c r="A107" s="0" t="inlineStr">
        <is>
          <t>VLAH-25TrustCom</t>
        </is>
      </c>
      <c r="B107" s="0" t="inlineStr">
        <is>
          <t>size-500000-calibration</t>
        </is>
      </c>
      <c r="C107" s="0" t="n">
        <v>500000</v>
      </c>
      <c r="D107" s="0" t="n">
        <v>10</v>
      </c>
      <c r="E107" s="0" t="n">
        <v>100</v>
      </c>
      <c r="F107" s="0" t="n">
        <v>15</v>
      </c>
      <c r="G107" s="0" t="n">
        <v>20</v>
      </c>
      <c r="H107" s="0" t="n">
        <v>25.912033</v>
      </c>
      <c r="I107" s="0" t="n">
        <v>36.522685</v>
      </c>
      <c r="J107" s="0" t="n">
        <v>84.17532300000001</v>
      </c>
      <c r="K107" s="0" t="n">
        <v>759.957</v>
      </c>
      <c r="L107" s="0" t="n">
        <v>7705.17</v>
      </c>
      <c r="M107" s="0" t="n">
        <v>893.173</v>
      </c>
      <c r="N107" s="0" t="n">
        <v>488.636</v>
      </c>
      <c r="O107" s="0" t="n">
        <v>52428000</v>
      </c>
    </row>
    <row r="108">
      <c r="A108" s="0" t="inlineStr">
        <is>
          <t>VLAH-25TrustCom</t>
        </is>
      </c>
      <c r="B108" s="0" t="inlineStr">
        <is>
          <t>size-500000-calibration</t>
        </is>
      </c>
      <c r="C108" s="0" t="n">
        <v>500000</v>
      </c>
      <c r="D108" s="0" t="n">
        <v>10</v>
      </c>
      <c r="E108" s="0" t="n">
        <v>100</v>
      </c>
      <c r="F108" s="0" t="n">
        <v>18</v>
      </c>
      <c r="G108" s="0" t="n">
        <v>20</v>
      </c>
      <c r="H108" s="0" t="n">
        <v>32.193446</v>
      </c>
      <c r="I108" s="0" t="n">
        <v>37.809035</v>
      </c>
      <c r="J108" s="0" t="n">
        <v>102.935061</v>
      </c>
      <c r="K108" s="0" t="n">
        <v>759.957</v>
      </c>
      <c r="L108" s="0" t="n">
        <v>7705.17</v>
      </c>
      <c r="M108" s="0" t="n">
        <v>893.173</v>
      </c>
      <c r="N108" s="0" t="n">
        <v>488.636</v>
      </c>
      <c r="O108" s="0" t="n">
        <v>52428000</v>
      </c>
    </row>
    <row r="109">
      <c r="A109" s="0" t="inlineStr">
        <is>
          <t>VLAH-25TrustCom</t>
        </is>
      </c>
      <c r="B109" s="0" t="inlineStr">
        <is>
          <t>size-500000-calibration</t>
        </is>
      </c>
      <c r="C109" s="0" t="n">
        <v>500000</v>
      </c>
      <c r="D109" s="0" t="n">
        <v>10</v>
      </c>
      <c r="E109" s="0" t="n">
        <v>100</v>
      </c>
      <c r="F109" s="0" t="n">
        <v>20</v>
      </c>
      <c r="G109" s="0" t="n">
        <v>20</v>
      </c>
      <c r="H109" s="0" t="n">
        <v>35.124805</v>
      </c>
      <c r="I109" s="0" t="n">
        <v>42.382127</v>
      </c>
      <c r="J109" s="0" t="n">
        <v>113.750809</v>
      </c>
      <c r="K109" s="0" t="n">
        <v>759.957</v>
      </c>
      <c r="L109" s="0" t="n">
        <v>7705.17</v>
      </c>
      <c r="M109" s="0" t="n">
        <v>893.173</v>
      </c>
      <c r="N109" s="0" t="n">
        <v>488.636</v>
      </c>
      <c r="O109" s="0" t="n">
        <v>52428000</v>
      </c>
    </row>
    <row r="110">
      <c r="A110" s="0" t="inlineStr">
        <is>
          <t>VLAH-25TrustCom</t>
        </is>
      </c>
      <c r="B110" s="0" t="inlineStr">
        <is>
          <t>size-500000-calibration</t>
        </is>
      </c>
      <c r="C110" s="0" t="n">
        <v>500000</v>
      </c>
      <c r="D110" s="0" t="n">
        <v>10</v>
      </c>
      <c r="E110" s="0" t="n">
        <v>100</v>
      </c>
      <c r="F110" s="0" t="n">
        <v>23</v>
      </c>
      <c r="G110" s="0" t="n">
        <v>20</v>
      </c>
      <c r="H110" s="0" t="n">
        <v>40.376821</v>
      </c>
      <c r="I110" s="0" t="n">
        <v>47.428733</v>
      </c>
      <c r="J110" s="0" t="n">
        <v>127.376465</v>
      </c>
      <c r="K110" s="0" t="n">
        <v>759.957</v>
      </c>
      <c r="L110" s="0" t="n">
        <v>7705.17</v>
      </c>
      <c r="M110" s="0" t="n">
        <v>893.173</v>
      </c>
      <c r="N110" s="0" t="n">
        <v>488.636</v>
      </c>
      <c r="O110" s="0" t="n">
        <v>52428000</v>
      </c>
    </row>
    <row r="111">
      <c r="A111" s="0" t="inlineStr">
        <is>
          <t>VLAH-25TrustCom</t>
        </is>
      </c>
      <c r="B111" s="0" t="inlineStr">
        <is>
          <t>size-500000-calibration</t>
        </is>
      </c>
      <c r="C111" s="0" t="n">
        <v>500000</v>
      </c>
      <c r="D111" s="0" t="n">
        <v>10</v>
      </c>
      <c r="E111" s="0" t="n">
        <v>100</v>
      </c>
      <c r="F111" s="0" t="n">
        <v>25</v>
      </c>
      <c r="G111" s="0" t="n">
        <v>20</v>
      </c>
      <c r="H111" s="0" t="n">
        <v>44.930375</v>
      </c>
      <c r="I111" s="0" t="n">
        <v>56.428874</v>
      </c>
      <c r="J111" s="0" t="n">
        <v>138.694631</v>
      </c>
      <c r="K111" s="0" t="n">
        <v>759.957</v>
      </c>
      <c r="L111" s="0" t="n">
        <v>7705.17</v>
      </c>
      <c r="M111" s="0" t="n">
        <v>893.173</v>
      </c>
      <c r="N111" s="0" t="n">
        <v>488.636</v>
      </c>
      <c r="O111" s="0" t="n">
        <v>52428000</v>
      </c>
    </row>
    <row r="112">
      <c r="A112" s="0" t="inlineStr">
        <is>
          <t>VLAH-25TrustCom</t>
        </is>
      </c>
      <c r="B112" s="0" t="inlineStr">
        <is>
          <t>size-500000-evaluation</t>
        </is>
      </c>
      <c r="C112" s="0" t="n">
        <v>500000</v>
      </c>
      <c r="D112" s="0" t="n">
        <v>10</v>
      </c>
      <c r="E112" s="0" t="n">
        <v>100</v>
      </c>
      <c r="F112" s="0" t="n">
        <v>25</v>
      </c>
      <c r="G112" s="0" t="n">
        <v>300</v>
      </c>
      <c r="H112" s="0" t="n">
        <v>43.751047</v>
      </c>
      <c r="I112" s="0" t="n">
        <v>56.290748</v>
      </c>
      <c r="J112" s="0" t="n">
        <v>137.209211</v>
      </c>
      <c r="K112" s="0" t="n">
        <v>778.758</v>
      </c>
      <c r="L112" s="0" t="n">
        <v>2248.32</v>
      </c>
      <c r="M112" s="0" t="n">
        <v>894.438</v>
      </c>
      <c r="N112" s="0" t="n">
        <v>2430.84</v>
      </c>
      <c r="O112" s="0" t="n">
        <v>52428000</v>
      </c>
    </row>
    <row r="113">
      <c r="A113" s="0" t="inlineStr">
        <is>
          <t>VLAH-25TrustCom</t>
        </is>
      </c>
      <c r="B113" s="0" t="inlineStr">
        <is>
          <t>size-5000000-calibration</t>
        </is>
      </c>
      <c r="C113" s="0" t="n">
        <v>5000000</v>
      </c>
      <c r="D113" s="0" t="n">
        <v>10</v>
      </c>
      <c r="E113" s="0" t="n">
        <v>100</v>
      </c>
      <c r="F113" s="0" t="n">
        <v>13</v>
      </c>
      <c r="G113" s="0" t="n">
        <v>20</v>
      </c>
      <c r="H113" s="0" t="n">
        <v>22.883777</v>
      </c>
      <c r="I113" s="0" t="n">
        <v>28.209315</v>
      </c>
      <c r="J113" s="0" t="n">
        <v>73.230861</v>
      </c>
      <c r="K113" s="0" t="n">
        <v>7142.11</v>
      </c>
      <c r="L113" s="0" t="n">
        <v>85553.2</v>
      </c>
      <c r="M113" s="0" t="n">
        <v>9171.51</v>
      </c>
      <c r="N113" s="0" t="n">
        <v>5262.01</v>
      </c>
      <c r="O113" s="0" t="n">
        <v>524280000</v>
      </c>
    </row>
    <row r="114">
      <c r="A114" s="0" t="inlineStr">
        <is>
          <t>VLAH-25TrustCom</t>
        </is>
      </c>
      <c r="B114" s="0" t="inlineStr">
        <is>
          <t>size-5000000-calibration</t>
        </is>
      </c>
      <c r="C114" s="0" t="n">
        <v>5000000</v>
      </c>
      <c r="D114" s="0" t="n">
        <v>10</v>
      </c>
      <c r="E114" s="0" t="n">
        <v>100</v>
      </c>
      <c r="F114" s="0" t="n">
        <v>25</v>
      </c>
      <c r="G114" s="0" t="n">
        <v>20</v>
      </c>
      <c r="H114" s="0" t="n">
        <v>44.197791</v>
      </c>
      <c r="I114" s="0" t="n">
        <v>52.548108</v>
      </c>
      <c r="J114" s="0" t="n">
        <v>140.399152</v>
      </c>
      <c r="K114" s="0" t="n">
        <v>7142.11</v>
      </c>
      <c r="L114" s="0" t="n">
        <v>85553.2</v>
      </c>
      <c r="M114" s="0" t="n">
        <v>9171.51</v>
      </c>
      <c r="N114" s="0" t="n">
        <v>5262.01</v>
      </c>
      <c r="O114" s="0" t="n">
        <v>524280000</v>
      </c>
    </row>
    <row r="115">
      <c r="A115" s="0" t="inlineStr">
        <is>
          <t>VLAH-25TrustCom</t>
        </is>
      </c>
      <c r="B115" s="0" t="inlineStr">
        <is>
          <t>size-5000000-calibration</t>
        </is>
      </c>
      <c r="C115" s="0" t="n">
        <v>5000000</v>
      </c>
      <c r="D115" s="0" t="n">
        <v>10</v>
      </c>
      <c r="E115" s="0" t="n">
        <v>100</v>
      </c>
      <c r="F115" s="0" t="n">
        <v>50</v>
      </c>
      <c r="G115" s="0" t="n">
        <v>20</v>
      </c>
      <c r="H115" s="0" t="n">
        <v>95.56678100000001</v>
      </c>
      <c r="I115" s="0" t="n">
        <v>112.549171</v>
      </c>
      <c r="J115" s="0" t="n">
        <v>270.058129</v>
      </c>
      <c r="K115" s="0" t="n">
        <v>7142.11</v>
      </c>
      <c r="L115" s="0" t="n">
        <v>85553.2</v>
      </c>
      <c r="M115" s="0" t="n">
        <v>9171.51</v>
      </c>
      <c r="N115" s="0" t="n">
        <v>5262.01</v>
      </c>
      <c r="O115" s="0" t="n">
        <v>524280000</v>
      </c>
    </row>
    <row r="116">
      <c r="A116" s="0" t="inlineStr">
        <is>
          <t>VLAH-25TrustCom</t>
        </is>
      </c>
      <c r="B116" s="0" t="inlineStr">
        <is>
          <t>size-5000000-calibration</t>
        </is>
      </c>
      <c r="C116" s="0" t="n">
        <v>5000000</v>
      </c>
      <c r="D116" s="0" t="n">
        <v>10</v>
      </c>
      <c r="E116" s="0" t="n">
        <v>100</v>
      </c>
      <c r="F116" s="0" t="n">
        <v>75</v>
      </c>
      <c r="G116" s="0" t="n">
        <v>20</v>
      </c>
      <c r="H116" s="0" t="n">
        <v>149.257648</v>
      </c>
      <c r="I116" s="0" t="n">
        <v>174.805765</v>
      </c>
      <c r="J116" s="0" t="n">
        <v>415.35406</v>
      </c>
      <c r="K116" s="0" t="n">
        <v>7142.11</v>
      </c>
      <c r="L116" s="0" t="n">
        <v>85553.2</v>
      </c>
      <c r="M116" s="0" t="n">
        <v>9171.51</v>
      </c>
      <c r="N116" s="0" t="n">
        <v>5262.01</v>
      </c>
      <c r="O116" s="0" t="n">
        <v>524280000</v>
      </c>
    </row>
    <row r="117">
      <c r="A117" s="0" t="inlineStr">
        <is>
          <t>VLAH-25TrustCom</t>
        </is>
      </c>
      <c r="B117" s="0" t="inlineStr">
        <is>
          <t>size-5000000-calibration</t>
        </is>
      </c>
      <c r="C117" s="0" t="n">
        <v>5000000</v>
      </c>
      <c r="D117" s="0" t="n">
        <v>10</v>
      </c>
      <c r="E117" s="0" t="n">
        <v>100</v>
      </c>
      <c r="F117" s="0" t="n">
        <v>100</v>
      </c>
      <c r="G117" s="0" t="n">
        <v>20</v>
      </c>
      <c r="H117" s="0" t="n">
        <v>199.133519</v>
      </c>
      <c r="I117" s="0" t="n">
        <v>228.971918</v>
      </c>
      <c r="J117" s="0" t="n">
        <v>554.407541</v>
      </c>
      <c r="K117" s="0" t="n">
        <v>7142.11</v>
      </c>
      <c r="L117" s="0" t="n">
        <v>85553.2</v>
      </c>
      <c r="M117" s="0" t="n">
        <v>9171.51</v>
      </c>
      <c r="N117" s="0" t="n">
        <v>5262.01</v>
      </c>
      <c r="O117" s="0" t="n">
        <v>524280000</v>
      </c>
    </row>
    <row r="118">
      <c r="A118" s="0" t="inlineStr">
        <is>
          <t>VLAH-25TrustCom</t>
        </is>
      </c>
      <c r="B118" s="0" t="inlineStr">
        <is>
          <t>size-5000000-calibration</t>
        </is>
      </c>
      <c r="C118" s="0" t="n">
        <v>5000000</v>
      </c>
      <c r="D118" s="0" t="n">
        <v>10</v>
      </c>
      <c r="E118" s="0" t="n">
        <v>100</v>
      </c>
      <c r="F118" s="0" t="n">
        <v>125</v>
      </c>
      <c r="G118" s="0" t="n">
        <v>20</v>
      </c>
      <c r="H118" s="0" t="n">
        <v>249.463074</v>
      </c>
      <c r="I118" s="0" t="n">
        <v>284.649723</v>
      </c>
      <c r="J118" s="0" t="n">
        <v>692.8701139999999</v>
      </c>
      <c r="K118" s="0" t="n">
        <v>7142.11</v>
      </c>
      <c r="L118" s="0" t="n">
        <v>85553.2</v>
      </c>
      <c r="M118" s="0" t="n">
        <v>9171.51</v>
      </c>
      <c r="N118" s="0" t="n">
        <v>5262.01</v>
      </c>
      <c r="O118" s="0" t="n">
        <v>524280000</v>
      </c>
    </row>
    <row r="119">
      <c r="A119" s="0" t="inlineStr">
        <is>
          <t>VLAH-25TrustCom</t>
        </is>
      </c>
      <c r="B119" s="0" t="inlineStr">
        <is>
          <t>size-5000000-calibration</t>
        </is>
      </c>
      <c r="C119" s="0" t="n">
        <v>5000000</v>
      </c>
      <c r="D119" s="0" t="n">
        <v>10</v>
      </c>
      <c r="E119" s="0" t="n">
        <v>100</v>
      </c>
      <c r="F119" s="0" t="n">
        <v>150</v>
      </c>
      <c r="G119" s="0" t="n">
        <v>20</v>
      </c>
      <c r="H119" s="0" t="n">
        <v>297.177364</v>
      </c>
      <c r="I119" s="0" t="n">
        <v>344.768442</v>
      </c>
      <c r="J119" s="0" t="n">
        <v>845.724981</v>
      </c>
      <c r="K119" s="0" t="n">
        <v>7142.11</v>
      </c>
      <c r="L119" s="0" t="n">
        <v>85553.2</v>
      </c>
      <c r="M119" s="0" t="n">
        <v>9171.51</v>
      </c>
      <c r="N119" s="0" t="n">
        <v>5262.01</v>
      </c>
      <c r="O119" s="0" t="n">
        <v>524280000</v>
      </c>
    </row>
    <row r="120">
      <c r="A120" s="0" t="inlineStr">
        <is>
          <t>VLAH-25TrustCom</t>
        </is>
      </c>
      <c r="B120" s="0" t="inlineStr">
        <is>
          <t>size-5000000-calibration</t>
        </is>
      </c>
      <c r="C120" s="0" t="n">
        <v>5000000</v>
      </c>
      <c r="D120" s="0" t="n">
        <v>10</v>
      </c>
      <c r="E120" s="0" t="n">
        <v>100</v>
      </c>
      <c r="F120" s="0" t="n">
        <v>175</v>
      </c>
      <c r="G120" s="0" t="n">
        <v>20</v>
      </c>
      <c r="H120" s="0" t="n">
        <v>348.285967</v>
      </c>
      <c r="I120" s="0" t="n">
        <v>400.587001</v>
      </c>
      <c r="J120" s="0" t="n">
        <v>978.598532</v>
      </c>
      <c r="K120" s="0" t="n">
        <v>7142.11</v>
      </c>
      <c r="L120" s="0" t="n">
        <v>85553.2</v>
      </c>
      <c r="M120" s="0" t="n">
        <v>9171.51</v>
      </c>
      <c r="N120" s="0" t="n">
        <v>5262.01</v>
      </c>
      <c r="O120" s="0" t="n">
        <v>524280000</v>
      </c>
    </row>
    <row r="121">
      <c r="A121" s="0" t="inlineStr">
        <is>
          <t>VLAH-25TrustCom</t>
        </is>
      </c>
      <c r="B121" s="0" t="inlineStr">
        <is>
          <t>size-5000000-calibration</t>
        </is>
      </c>
      <c r="C121" s="0" t="n">
        <v>5000000</v>
      </c>
      <c r="D121" s="0" t="n">
        <v>10</v>
      </c>
      <c r="E121" s="0" t="n">
        <v>100</v>
      </c>
      <c r="F121" s="0" t="n">
        <v>200</v>
      </c>
      <c r="G121" s="0" t="n">
        <v>20</v>
      </c>
      <c r="H121" s="0" t="n">
        <v>397.916985</v>
      </c>
      <c r="I121" s="0" t="n">
        <v>455.377731</v>
      </c>
      <c r="J121" s="0" t="n">
        <v>1122.010221</v>
      </c>
      <c r="K121" s="0" t="n">
        <v>7142.11</v>
      </c>
      <c r="L121" s="0" t="n">
        <v>85553.2</v>
      </c>
      <c r="M121" s="0" t="n">
        <v>9171.51</v>
      </c>
      <c r="N121" s="0" t="n">
        <v>5262.01</v>
      </c>
      <c r="O121" s="0" t="n">
        <v>524280000</v>
      </c>
    </row>
    <row r="122">
      <c r="A122" s="0" t="inlineStr">
        <is>
          <t>VLAH-25TrustCom</t>
        </is>
      </c>
      <c r="B122" s="0" t="inlineStr">
        <is>
          <t>size-5000000-calibration</t>
        </is>
      </c>
      <c r="C122" s="0" t="n">
        <v>5000000</v>
      </c>
      <c r="D122" s="0" t="n">
        <v>10</v>
      </c>
      <c r="E122" s="0" t="n">
        <v>100</v>
      </c>
      <c r="F122" s="0" t="n">
        <v>225</v>
      </c>
      <c r="G122" s="0" t="n">
        <v>20</v>
      </c>
      <c r="H122" s="0" t="n">
        <v>447.915454</v>
      </c>
      <c r="I122" s="0" t="n">
        <v>520.306641</v>
      </c>
      <c r="J122" s="0" t="n">
        <v>1219.636324</v>
      </c>
      <c r="K122" s="0" t="n">
        <v>7142.11</v>
      </c>
      <c r="L122" s="0" t="n">
        <v>85553.2</v>
      </c>
      <c r="M122" s="0" t="n">
        <v>9171.51</v>
      </c>
      <c r="N122" s="0" t="n">
        <v>5262.01</v>
      </c>
      <c r="O122" s="0" t="n">
        <v>524280000</v>
      </c>
    </row>
    <row r="123">
      <c r="A123" s="0" t="inlineStr">
        <is>
          <t>VLAH-25TrustCom</t>
        </is>
      </c>
      <c r="B123" s="0" t="inlineStr">
        <is>
          <t>size-5000000-calibration</t>
        </is>
      </c>
      <c r="C123" s="0" t="n">
        <v>5000000</v>
      </c>
      <c r="D123" s="0" t="n">
        <v>10</v>
      </c>
      <c r="E123" s="0" t="n">
        <v>100</v>
      </c>
      <c r="F123" s="0" t="n">
        <v>250</v>
      </c>
      <c r="G123" s="0" t="n">
        <v>20</v>
      </c>
      <c r="H123" s="0" t="n">
        <v>509.267934</v>
      </c>
      <c r="I123" s="0" t="n">
        <v>587.234299</v>
      </c>
      <c r="J123" s="0" t="n">
        <v>1348.097269</v>
      </c>
      <c r="K123" s="0" t="n">
        <v>7142.11</v>
      </c>
      <c r="L123" s="0" t="n">
        <v>85553.2</v>
      </c>
      <c r="M123" s="0" t="n">
        <v>9171.51</v>
      </c>
      <c r="N123" s="0" t="n">
        <v>5262.01</v>
      </c>
      <c r="O123" s="0" t="n">
        <v>524280000</v>
      </c>
    </row>
    <row r="124">
      <c r="A124" s="0" t="inlineStr">
        <is>
          <t>VLAH-25TrustCom</t>
        </is>
      </c>
      <c r="B124" s="0" t="inlineStr">
        <is>
          <t>size-5000000-evaluation</t>
        </is>
      </c>
      <c r="C124" s="0" t="n">
        <v>5000000</v>
      </c>
      <c r="D124" s="0" t="n">
        <v>10</v>
      </c>
      <c r="E124" s="0" t="n">
        <v>100</v>
      </c>
      <c r="F124" s="0" t="n">
        <v>225</v>
      </c>
      <c r="G124" s="0" t="n">
        <v>300</v>
      </c>
      <c r="H124" s="0" t="n">
        <v>461.969279</v>
      </c>
      <c r="I124" s="0" t="n">
        <v>511.819886</v>
      </c>
      <c r="J124" s="0" t="n">
        <v>1203.729295</v>
      </c>
      <c r="K124" s="0" t="n">
        <v>7336.97</v>
      </c>
      <c r="L124" s="0" t="n">
        <v>22271.3</v>
      </c>
      <c r="M124" s="0" t="n">
        <v>8777.73</v>
      </c>
      <c r="N124" s="0" t="n">
        <v>25760</v>
      </c>
      <c r="O124" s="0" t="n">
        <v>524280000</v>
      </c>
    </row>
  </sheetData>
  <autoFilter ref="A1:O124"/>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ColWidth="9" defaultRowHeight="13.5"/>
  <cols>
    <col width="23" customWidth="1" style="1" min="1" max="1"/>
    <col width="115" customWidth="1" style="1" min="2" max="2"/>
  </cols>
  <sheetData>
    <row r="1">
      <c r="A1" s="10" t="inlineStr">
        <is>
          <t>项目</t>
        </is>
      </c>
      <c r="B1" s="10" t="inlineStr">
        <is>
          <t>口径 / 范围</t>
        </is>
      </c>
    </row>
    <row r="2">
      <c r="A2" s="0" t="inlineStr">
        <is>
          <t>测试日期</t>
        </is>
      </c>
      <c r="B2" s="3" t="inlineStr">
        <is>
          <t>2026-10-15T10:55:29.838680</t>
        </is>
      </c>
    </row>
    <row r="3" ht="27" customHeight="1" s="1">
      <c r="A3" s="0" t="inlineStr">
        <is>
          <t>最终组合</t>
        </is>
      </c>
      <c r="B3" s="3" t="inlineStr">
        <is>
          <t>SQ4 top-1 traversal；SQ4→Delta4→6→raw；Direct-content Expansion-Centric Merkle；BFS refinement ordering；共享路径multiproof。</t>
        </is>
      </c>
    </row>
    <row r="4" ht="27" customHeight="1" s="1">
      <c r="A4" s="0" t="inlineStr">
        <is>
          <t>实现优化</t>
        </is>
      </c>
      <c r="B4" s="3" t="inlineStr">
        <is>
          <t>预打包64B SQ4和32B Delta；稀疏查询状态及稀疏multiproof；证明坐标由已披露targets按canonical顺序推导，仅传输32B sibling hashes。；SQ4打分/SQ4与SQ6下界按查询查表复用，保持逐维累加与向外舍入。</t>
        </is>
      </c>
    </row>
    <row r="5" ht="27" customHeight="1" s="1">
      <c r="A5" s="0" t="inlineStr">
        <is>
          <t>排除的历史分支</t>
        </is>
      </c>
      <c r="B5" s="3" t="inlineStr">
        <is>
          <t>primary/residual progressive adjacency 在原研究中等召回更差，文档明确停止；MAC与Merkle、Node-ID/SQ4排序与BFS、top2/certified与SQ4 top-1均是互斥对照，不能同时启用。</t>
        </is>
      </c>
    </row>
    <row r="6">
      <c r="A6" s="0" t="inlineStr">
        <is>
          <t>图参数</t>
        </is>
      </c>
      <c r="B6" s="3" t="inlineStr">
        <is>
          <t>M=8, efConstruction=100；复用ANNProof相同数据前缀的HNSW缓存。未改用旧SIFT100K headline的M=16。</t>
        </is>
      </c>
    </row>
    <row r="7">
      <c r="A7" s="0" t="inlineStr">
        <is>
          <t>E</t>
        </is>
      </c>
      <c r="B7" s="3" t="inlineStr">
        <is>
          <t>原始算法唯一expanded-node预算，包含upper layers；CSV为兼容统计沿用ef_search列名，其语义是E，不是HNSW efSearch。</t>
        </is>
      </c>
    </row>
    <row r="8" ht="27" customHeight="1" s="1">
      <c r="A8" s="0" t="inlineStr">
        <is>
          <t>时间与单位</t>
        </is>
      </c>
      <c r="B8" s="3" t="inlineStr">
        <is>
          <t>Query Time=search_ms+vo_generation_ms；Verify=真实VO解码+Merkle认证+遍历重放+渐进top-k检查；VO为真实wire bytes/1000。网络和区块链访问不包含在内。</t>
        </is>
      </c>
    </row>
    <row r="9">
      <c r="A9" s="0" t="inlineStr">
        <is>
          <t>正式查询</t>
        </is>
      </c>
      <c r="B9" s="3" t="inlineStr">
        <is>
          <t>query IDs 100–199，共100条不同查询，3次重复；300测量/配置。查询、生成和验证均单线程。</t>
        </is>
      </c>
    </row>
    <row r="10">
      <c r="A10" s="0" t="inlineStr">
        <is>
          <t>初始独立校准</t>
        </is>
      </c>
      <c r="B10" s="3" t="inlineStr">
        <is>
          <t>沿用上次独立校准确定的E、k、图和查询。此次重跑全部正式配置以更新计时，未重新挑选参数。</t>
        </is>
      </c>
    </row>
    <row r="11">
      <c r="A11" s="0" t="inlineStr">
        <is>
          <t>约95%工作点匹配</t>
        </is>
      </c>
      <c r="B11" s="3" t="inlineStr">
        <is>
          <t>500K与10M沿用此前固定查询集匹配出的E=112与512；此次仅更新相同工作点的实测计时。原选择使用了正式查询集，不是独立泛化评估。</t>
        </is>
      </c>
    </row>
    <row r="12">
      <c r="A12" s="0" t="inlineStr">
        <is>
          <t>规模来源</t>
        </is>
      </c>
      <c r="B12" s="3" t="inlineStr">
        <is>
          <t>100K、500K、1M、5M、10M统一使用BIGANN/SIFT1B前缀；其他主表、Recall和K曲线使用SIFT1M。</t>
        </is>
      </c>
    </row>
    <row r="13">
      <c r="A13" s="0" t="inlineStr">
        <is>
          <t>整体与K配置</t>
        </is>
      </c>
      <c r="B13" s="3" t="inlineStr">
        <is>
          <t>整体E由SIFT1M独立校准决定；K曲线使用同一E。Recall曲线固定11个E，三个面板使用相同实测点，未插值。</t>
        </is>
      </c>
    </row>
    <row r="14">
      <c r="A14" s="0" t="inlineStr">
        <is>
          <t>真实VO与旧计费差异</t>
        </is>
      </c>
      <c r="B14" s="3" t="inlineStr">
        <is>
          <t>包含header、query binding、答案ID、计数、refinement位置与proof计数；不是旧实验仅按payload+32B hashes计算的估算VO。</t>
        </is>
      </c>
    </row>
    <row r="15">
      <c r="A15" s="0" t="inlineStr">
        <is>
          <t>正确性</t>
        </is>
      </c>
      <c r="B15" s="3" t="inlineStr">
        <is>
          <t>先在原SIFT100K/M16/E64缓存上回归；原版与优化版的轨迹、答案、量化上下界与认证叶一致。端到端回归Recall@10=99.2%。</t>
        </is>
      </c>
    </row>
    <row r="16">
      <c r="A16" s="0" t="inlineStr">
        <is>
          <t>客户端</t>
        </is>
      </c>
      <c r="B16" s="3" t="inlineStr">
        <is>
          <t>仅使用VO、查询、可信root和量化参数；不读取服务端原始数据集、图、SQ代码数组或服务器trace。</t>
        </is>
      </c>
    </row>
    <row r="17" ht="27" customHeight="1" s="1">
      <c r="A17" s="0" t="inlineStr">
        <is>
          <t>已有baseline</t>
        </is>
      </c>
      <c r="B17" s="3" t="inlineStr">
        <is>
          <t>保留原206个baseline数据单元格。其校准只有20条查询，实际Recall存在偏离（如ANNProof BIGANN1M 87.6%）；不能把全表当作严格等召回性能比较。</t>
        </is>
      </c>
    </row>
    <row r="18" ht="27" customHeight="1" s="1">
      <c r="A18" s="0" t="inlineStr">
        <is>
          <t>备份</t>
        </is>
      </c>
      <c r="B18" s="3" t="inlineStr">
        <is>
          <t>D:\paper_source\work_9\VeriANN_repro_2026-09-30\VeriANN_repro_2026-09-30\experiments\work9-ours-lut-20261015\work9_before_lut.xlsx</t>
        </is>
      </c>
    </row>
    <row r="19">
      <c r="A19" s="0" t="inlineStr">
        <is>
          <t>本次版本</t>
        </is>
      </c>
      <c r="B19" s="3" t="inlineStr">
        <is>
          <t>VeriANN-LUT；服务器和客户端各自准备查询查表，准备成本计入search_ms和verification_ms；每条查询与旧版逐项核对非计时字段。</t>
        </is>
      </c>
    </row>
    <row r="20">
      <c r="A20" s="0" t="inlineStr">
        <is>
          <t>更新时间口径</t>
        </is>
      </c>
      <c r="B20" s="3" t="inlineStr">
        <is>
          <t>总体、11点召回曲线、5点规模曲线、6点K曲线全部重新实测；未将47%等单点加速比例用于缩放旧数据。</t>
        </is>
      </c>
    </row>
    <row r="21">
      <c r="A21" s="0" t="inlineStr">
        <is>
          <t>Recall99 更新</t>
        </is>
      </c>
      <c r="B21" s="0" t="inlineStr">
        <is>
          <t>主表三条 Recall 曲线统一目标 60/65/70/75/80/85/90/95/97/98/99%；填实际召回率，无插值。配置、原始数据与三张图见 Recall99 measurements。</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Z24"/>
  <sheetViews>
    <sheetView workbookViewId="0">
      <pane xSplit="5" ySplit="1" topLeftCell="F2"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3.5"/>
  <cols>
    <col width="34" customWidth="1" style="1" min="1" max="1"/>
    <col width="22" customWidth="1" style="1" min="2" max="25"/>
    <col width="100" customWidth="1" style="1" min="26" max="26"/>
  </cols>
  <sheetData>
    <row r="1">
      <c r="A1" s="10" t="inlineStr">
        <is>
          <t>experiment</t>
        </is>
      </c>
      <c r="B1" s="10" t="inlineStr">
        <is>
          <t>N</t>
        </is>
      </c>
      <c r="C1" s="10" t="inlineStr">
        <is>
          <t>dataset</t>
        </is>
      </c>
      <c r="D1" s="10" t="inlineStr">
        <is>
          <t>k</t>
        </is>
      </c>
      <c r="E1" s="10" t="inlineStr">
        <is>
          <t>E</t>
        </is>
      </c>
      <c r="F1" s="10" t="inlineStr">
        <is>
          <t>queries</t>
        </is>
      </c>
      <c r="G1" s="10" t="inlineStr">
        <is>
          <t>offset</t>
        </is>
      </c>
      <c r="H1" s="10" t="inlineStr">
        <is>
          <t>repeats</t>
        </is>
      </c>
      <c r="I1" s="10" t="inlineStr">
        <is>
          <t>samples</t>
        </is>
      </c>
      <c r="J1" s="10" t="inlineStr">
        <is>
          <t>Recall@K %</t>
        </is>
      </c>
      <c r="K1" s="10" t="inlineStr">
        <is>
          <t>Query mean ms</t>
        </is>
      </c>
      <c r="L1" s="10" t="inlineStr">
        <is>
          <t>Query P50 ms</t>
        </is>
      </c>
      <c r="M1" s="10" t="inlineStr">
        <is>
          <t>Query P95 ms</t>
        </is>
      </c>
      <c r="N1" s="10" t="inlineStr">
        <is>
          <t>Verify mean ms</t>
        </is>
      </c>
      <c r="O1" s="10" t="inlineStr">
        <is>
          <t>Verify P95 ms</t>
        </is>
      </c>
      <c r="P1" s="10" t="inlineStr">
        <is>
          <t>VO KB</t>
        </is>
      </c>
      <c r="Q1" s="10" t="inlineStr">
        <is>
          <t>Search ms</t>
        </is>
      </c>
      <c r="R1" s="10" t="inlineStr">
        <is>
          <t>VO generation ms</t>
        </is>
      </c>
      <c r="S1" s="10" t="inlineStr">
        <is>
          <t>Authentication ms</t>
        </is>
      </c>
      <c r="T1" s="10" t="inlineStr">
        <is>
          <t>Replay ms</t>
        </is>
      </c>
      <c r="U1" s="10" t="inlineStr">
        <is>
          <t>Peak RSS MiB</t>
        </is>
      </c>
      <c r="V1" s="10" t="inlineStr">
        <is>
          <t>Index build or load ms</t>
        </is>
      </c>
      <c r="W1" s="10" t="inlineStr">
        <is>
          <t>ADS construction ms</t>
        </is>
      </c>
      <c r="X1" s="10" t="inlineStr">
        <is>
          <t>Exact GT ms</t>
        </is>
      </c>
      <c r="Y1" s="10" t="inlineStr">
        <is>
          <t>ADS bytes</t>
        </is>
      </c>
      <c r="Z1" s="10" t="inlineStr">
        <is>
          <t>CSV folder</t>
        </is>
      </c>
    </row>
    <row r="2">
      <c r="A2" s="0" t="inlineStr">
        <is>
          <t>sift1m-k-curve</t>
        </is>
      </c>
      <c r="B2" s="0" t="n">
        <v>1000000</v>
      </c>
      <c r="C2" s="0" t="inlineStr">
        <is>
          <t>D:\paper_source\work_9\VeriANN_repro_2026-09-30\VeriANN_repro_2026-09-30\dataset\sift1m</t>
        </is>
      </c>
      <c r="D2" s="0" t="n">
        <v>1</v>
      </c>
      <c r="E2" s="0" t="n">
        <v>128</v>
      </c>
      <c r="F2" s="0" t="n">
        <v>100</v>
      </c>
      <c r="G2" s="0" t="n">
        <v>100</v>
      </c>
      <c r="H2" s="0" t="n">
        <v>3</v>
      </c>
      <c r="I2" s="0" t="n">
        <v>300</v>
      </c>
      <c r="J2" s="0" t="n">
        <v>98</v>
      </c>
      <c r="K2" s="0" t="n">
        <v>1.92241361333333</v>
      </c>
      <c r="L2" s="0" t="n">
        <v>1.934675</v>
      </c>
      <c r="M2" s="0" t="n">
        <v>2.417363</v>
      </c>
      <c r="N2" s="0" t="n">
        <v>3.12134448666667</v>
      </c>
      <c r="O2" s="0" t="n">
        <v>4.366533</v>
      </c>
      <c r="P2" s="0" t="n">
        <v>167.24012</v>
      </c>
      <c r="Q2" s="0" t="n">
        <v>1.23500351666667</v>
      </c>
      <c r="R2" s="0" t="n">
        <v>0.687410096666667</v>
      </c>
      <c r="S2" s="0" t="n">
        <v>2.06713217333333</v>
      </c>
      <c r="T2" s="0" t="n">
        <v>0.999056496666667</v>
      </c>
      <c r="U2" s="0" t="n">
        <v>1070.09</v>
      </c>
      <c r="V2" s="0" t="n">
        <v>2224.08</v>
      </c>
      <c r="W2" s="0" t="n">
        <v>8543.190000000001</v>
      </c>
      <c r="X2" s="0" t="n">
        <v>4801.57</v>
      </c>
      <c r="Y2" s="0" t="n">
        <v>268435360</v>
      </c>
      <c r="Z2" s="0" t="inlineStr">
        <is>
          <t>D:\paper_source\work_9\VeriANN_repro_2026-09-30\VeriANN_repro_2026-09-30\results\work9-ours-lut-20261015\sift1m-k-curve</t>
        </is>
      </c>
    </row>
    <row r="3">
      <c r="A3" s="0" t="inlineStr">
        <is>
          <t>sift1m-k-curve</t>
        </is>
      </c>
      <c r="B3" s="0" t="n">
        <v>1000000</v>
      </c>
      <c r="C3" s="0" t="inlineStr">
        <is>
          <t>D:\paper_source\work_9\VeriANN_repro_2026-09-30\VeriANN_repro_2026-09-30\dataset\sift1m</t>
        </is>
      </c>
      <c r="D3" s="0" t="n">
        <v>5</v>
      </c>
      <c r="E3" s="0" t="n">
        <v>128</v>
      </c>
      <c r="F3" s="0" t="n">
        <v>100</v>
      </c>
      <c r="G3" s="0" t="n">
        <v>100</v>
      </c>
      <c r="H3" s="0" t="n">
        <v>3</v>
      </c>
      <c r="I3" s="0" t="n">
        <v>300</v>
      </c>
      <c r="J3" s="0" t="n">
        <v>96.40000000000001</v>
      </c>
      <c r="K3" s="0" t="n">
        <v>2.18742684666667</v>
      </c>
      <c r="L3" s="0" t="n">
        <v>2.179651</v>
      </c>
      <c r="M3" s="0" t="n">
        <v>2.777702</v>
      </c>
      <c r="N3" s="0" t="n">
        <v>4.03429735</v>
      </c>
      <c r="O3" s="0" t="n">
        <v>5.726421</v>
      </c>
      <c r="P3" s="0" t="n">
        <v>206.25892</v>
      </c>
      <c r="Q3" s="0" t="n">
        <v>1.25103771</v>
      </c>
      <c r="R3" s="0" t="n">
        <v>0.936389136666667</v>
      </c>
      <c r="S3" s="0" t="n">
        <v>2.93941807333333</v>
      </c>
      <c r="T3" s="0" t="n">
        <v>1.03236069</v>
      </c>
      <c r="U3" s="0" t="n">
        <v>1070.09</v>
      </c>
      <c r="V3" s="0" t="n">
        <v>2224.08</v>
      </c>
      <c r="W3" s="0" t="n">
        <v>8543.190000000001</v>
      </c>
      <c r="X3" s="0" t="n">
        <v>4801.57</v>
      </c>
      <c r="Y3" s="0" t="n">
        <v>268435360</v>
      </c>
      <c r="Z3" s="0" t="inlineStr">
        <is>
          <t>D:\paper_source\work_9\VeriANN_repro_2026-09-30\VeriANN_repro_2026-09-30\results\work9-ours-lut-20261015\sift1m-k-curve</t>
        </is>
      </c>
    </row>
    <row r="4">
      <c r="A4" s="0" t="inlineStr">
        <is>
          <t>sift1m-k-curve</t>
        </is>
      </c>
      <c r="B4" s="0" t="n">
        <v>1000000</v>
      </c>
      <c r="C4" s="0" t="inlineStr">
        <is>
          <t>D:\paper_source\work_9\VeriANN_repro_2026-09-30\VeriANN_repro_2026-09-30\dataset\sift1m</t>
        </is>
      </c>
      <c r="D4" s="0" t="n">
        <v>10</v>
      </c>
      <c r="E4" s="0" t="n">
        <v>128</v>
      </c>
      <c r="F4" s="0" t="n">
        <v>100</v>
      </c>
      <c r="G4" s="0" t="n">
        <v>100</v>
      </c>
      <c r="H4" s="0" t="n">
        <v>3</v>
      </c>
      <c r="I4" s="0" t="n">
        <v>300</v>
      </c>
      <c r="J4" s="0" t="n">
        <v>95.40000000000001</v>
      </c>
      <c r="K4" s="0" t="n">
        <v>2.37117783666667</v>
      </c>
      <c r="L4" s="0" t="n">
        <v>2.369069</v>
      </c>
      <c r="M4" s="0" t="n">
        <v>3.125435</v>
      </c>
      <c r="N4" s="0" t="n">
        <v>4.76585432</v>
      </c>
      <c r="O4" s="0" t="n">
        <v>6.82385</v>
      </c>
      <c r="P4" s="0" t="n">
        <v>236.02116</v>
      </c>
      <c r="Q4" s="0" t="n">
        <v>1.26042255333333</v>
      </c>
      <c r="R4" s="0" t="n">
        <v>1.11075528333333</v>
      </c>
      <c r="S4" s="0" t="n">
        <v>3.63089639</v>
      </c>
      <c r="T4" s="0" t="n">
        <v>1.06577971333333</v>
      </c>
      <c r="U4" s="0" t="n">
        <v>1070.09</v>
      </c>
      <c r="V4" s="0" t="n">
        <v>2224.08</v>
      </c>
      <c r="W4" s="0" t="n">
        <v>8543.190000000001</v>
      </c>
      <c r="X4" s="0" t="n">
        <v>4801.57</v>
      </c>
      <c r="Y4" s="0" t="n">
        <v>268435360</v>
      </c>
      <c r="Z4" s="0" t="inlineStr">
        <is>
          <t>D:\paper_source\work_9\VeriANN_repro_2026-09-30\VeriANN_repro_2026-09-30\results\work9-ours-lut-20261015\sift1m-k-curve</t>
        </is>
      </c>
    </row>
    <row r="5">
      <c r="A5" s="0" t="inlineStr">
        <is>
          <t>sift1m-k-curve</t>
        </is>
      </c>
      <c r="B5" s="0" t="n">
        <v>1000000</v>
      </c>
      <c r="C5" s="0" t="inlineStr">
        <is>
          <t>D:\paper_source\work_9\VeriANN_repro_2026-09-30\VeriANN_repro_2026-09-30\dataset\sift1m</t>
        </is>
      </c>
      <c r="D5" s="0" t="n">
        <v>20</v>
      </c>
      <c r="E5" s="0" t="n">
        <v>128</v>
      </c>
      <c r="F5" s="0" t="n">
        <v>100</v>
      </c>
      <c r="G5" s="0" t="n">
        <v>100</v>
      </c>
      <c r="H5" s="0" t="n">
        <v>3</v>
      </c>
      <c r="I5" s="0" t="n">
        <v>300</v>
      </c>
      <c r="J5" s="0" t="n">
        <v>93.95</v>
      </c>
      <c r="K5" s="0" t="n">
        <v>2.65065829333333</v>
      </c>
      <c r="L5" s="0" t="n">
        <v>2.651553</v>
      </c>
      <c r="M5" s="0" t="n">
        <v>3.526317</v>
      </c>
      <c r="N5" s="0" t="n">
        <v>5.60640999333333</v>
      </c>
      <c r="O5" s="0" t="n">
        <v>8.24912</v>
      </c>
      <c r="P5" s="0" t="n">
        <v>276.68988</v>
      </c>
      <c r="Q5" s="0" t="n">
        <v>1.28944109666667</v>
      </c>
      <c r="R5" s="0" t="n">
        <v>1.36121719666667</v>
      </c>
      <c r="S5" s="0" t="n">
        <v>4.43369082333333</v>
      </c>
      <c r="T5" s="0" t="n">
        <v>1.09590743666667</v>
      </c>
      <c r="U5" s="0" t="n">
        <v>1070.09</v>
      </c>
      <c r="V5" s="0" t="n">
        <v>2224.08</v>
      </c>
      <c r="W5" s="0" t="n">
        <v>8543.190000000001</v>
      </c>
      <c r="X5" s="0" t="n">
        <v>4801.57</v>
      </c>
      <c r="Y5" s="0" t="n">
        <v>268435360</v>
      </c>
      <c r="Z5" s="0" t="inlineStr">
        <is>
          <t>D:\paper_source\work_9\VeriANN_repro_2026-09-30\VeriANN_repro_2026-09-30\results\work9-ours-lut-20261015\sift1m-k-curve</t>
        </is>
      </c>
    </row>
    <row r="6">
      <c r="A6" s="0" t="inlineStr">
        <is>
          <t>sift1m-k-curve</t>
        </is>
      </c>
      <c r="B6" s="0" t="n">
        <v>1000000</v>
      </c>
      <c r="C6" s="0" t="inlineStr">
        <is>
          <t>D:\paper_source\work_9\VeriANN_repro_2026-09-30\VeriANN_repro_2026-09-30\dataset\sift1m</t>
        </is>
      </c>
      <c r="D6" s="0" t="n">
        <v>50</v>
      </c>
      <c r="E6" s="0" t="n">
        <v>128</v>
      </c>
      <c r="F6" s="0" t="n">
        <v>100</v>
      </c>
      <c r="G6" s="0" t="n">
        <v>100</v>
      </c>
      <c r="H6" s="0" t="n">
        <v>3</v>
      </c>
      <c r="I6" s="0" t="n">
        <v>300</v>
      </c>
      <c r="J6" s="0" t="n">
        <v>90.72</v>
      </c>
      <c r="K6" s="0" t="n">
        <v>3.08604256666667</v>
      </c>
      <c r="L6" s="0" t="n">
        <v>3.08707</v>
      </c>
      <c r="M6" s="0" t="n">
        <v>4.056785</v>
      </c>
      <c r="N6" s="0" t="n">
        <v>7.28955199</v>
      </c>
      <c r="O6" s="0" t="n">
        <v>10.11065</v>
      </c>
      <c r="P6" s="0" t="n">
        <v>358.24828</v>
      </c>
      <c r="Q6" s="0" t="n">
        <v>1.28491463333333</v>
      </c>
      <c r="R6" s="0" t="n">
        <v>1.80112793333333</v>
      </c>
      <c r="S6" s="0" t="n">
        <v>6.04877202</v>
      </c>
      <c r="T6" s="0" t="n">
        <v>1.15049164666667</v>
      </c>
      <c r="U6" s="0" t="n">
        <v>1070.09</v>
      </c>
      <c r="V6" s="0" t="n">
        <v>2224.08</v>
      </c>
      <c r="W6" s="0" t="n">
        <v>8543.190000000001</v>
      </c>
      <c r="X6" s="0" t="n">
        <v>4801.57</v>
      </c>
      <c r="Y6" s="0" t="n">
        <v>268435360</v>
      </c>
      <c r="Z6" s="0" t="inlineStr">
        <is>
          <t>D:\paper_source\work_9\VeriANN_repro_2026-09-30\VeriANN_repro_2026-09-30\results\work9-ours-lut-20261015\sift1m-k-curve</t>
        </is>
      </c>
    </row>
    <row r="7">
      <c r="A7" s="0" t="inlineStr">
        <is>
          <t>sift1m-k-curve</t>
        </is>
      </c>
      <c r="B7" s="0" t="n">
        <v>1000000</v>
      </c>
      <c r="C7" s="0" t="inlineStr">
        <is>
          <t>D:\paper_source\work_9\VeriANN_repro_2026-09-30\VeriANN_repro_2026-09-30\dataset\sift1m</t>
        </is>
      </c>
      <c r="D7" s="0" t="n">
        <v>100</v>
      </c>
      <c r="E7" s="0" t="n">
        <v>128</v>
      </c>
      <c r="F7" s="0" t="n">
        <v>100</v>
      </c>
      <c r="G7" s="0" t="n">
        <v>100</v>
      </c>
      <c r="H7" s="0" t="n">
        <v>3</v>
      </c>
      <c r="I7" s="0" t="n">
        <v>300</v>
      </c>
      <c r="J7" s="0" t="n">
        <v>87.53</v>
      </c>
      <c r="K7" s="0" t="n">
        <v>3.60933811</v>
      </c>
      <c r="L7" s="0" t="n">
        <v>3.616402</v>
      </c>
      <c r="M7" s="0" t="n">
        <v>4.637575</v>
      </c>
      <c r="N7" s="0" t="n">
        <v>9.077528473333331</v>
      </c>
      <c r="O7" s="0" t="n">
        <v>12.275577</v>
      </c>
      <c r="P7" s="0" t="n">
        <v>454.3086</v>
      </c>
      <c r="Q7" s="0" t="n">
        <v>1.30669175333333</v>
      </c>
      <c r="R7" s="0" t="n">
        <v>2.30264635666667</v>
      </c>
      <c r="S7" s="0" t="n">
        <v>7.74766352333333</v>
      </c>
      <c r="T7" s="0" t="n">
        <v>1.22206238</v>
      </c>
      <c r="U7" s="0" t="n">
        <v>1070.09</v>
      </c>
      <c r="V7" s="0" t="n">
        <v>2224.08</v>
      </c>
      <c r="W7" s="0" t="n">
        <v>8543.190000000001</v>
      </c>
      <c r="X7" s="0" t="n">
        <v>4801.57</v>
      </c>
      <c r="Y7" s="0" t="n">
        <v>268435360</v>
      </c>
      <c r="Z7" s="0" t="inlineStr">
        <is>
          <t>D:\paper_source\work_9\VeriANN_repro_2026-09-30\VeriANN_repro_2026-09-30\results\work9-ours-lut-20261015\sift1m-k-curve</t>
        </is>
      </c>
    </row>
    <row r="8">
      <c r="A8" s="0" t="inlineStr">
        <is>
          <t>sift1m-overall</t>
        </is>
      </c>
      <c r="B8" s="0" t="n">
        <v>1000000</v>
      </c>
      <c r="C8" s="0" t="inlineStr">
        <is>
          <t>D:\paper_source\work_9\VeriANN_repro_2026-09-30\VeriANN_repro_2026-09-30\dataset\sift1m</t>
        </is>
      </c>
      <c r="D8" s="0" t="n">
        <v>10</v>
      </c>
      <c r="E8" s="0" t="n">
        <v>128</v>
      </c>
      <c r="F8" s="0" t="n">
        <v>100</v>
      </c>
      <c r="G8" s="0" t="n">
        <v>100</v>
      </c>
      <c r="H8" s="0" t="n">
        <v>3</v>
      </c>
      <c r="I8" s="0" t="n">
        <v>300</v>
      </c>
      <c r="J8" s="0" t="n">
        <v>95.40000000000001</v>
      </c>
      <c r="K8" s="0" t="n">
        <v>2.35313838333333</v>
      </c>
      <c r="L8" s="0" t="n">
        <v>2.358289</v>
      </c>
      <c r="M8" s="0" t="n">
        <v>3.103736</v>
      </c>
      <c r="N8" s="0" t="n">
        <v>4.71155782</v>
      </c>
      <c r="O8" s="0" t="n">
        <v>6.949409</v>
      </c>
      <c r="P8" s="0" t="n">
        <v>236.02116</v>
      </c>
      <c r="Q8" s="0" t="n">
        <v>1.26475310666667</v>
      </c>
      <c r="R8" s="0" t="n">
        <v>1.08838527666667</v>
      </c>
      <c r="S8" s="0" t="n">
        <v>3.58936156333333</v>
      </c>
      <c r="T8" s="0" t="n">
        <v>1.05353794333333</v>
      </c>
      <c r="U8" s="0" t="n">
        <v>1069.57</v>
      </c>
      <c r="V8" s="0" t="n">
        <v>2188.28</v>
      </c>
      <c r="W8" s="0" t="n">
        <v>8435.139999999999</v>
      </c>
      <c r="X8" s="0" t="n">
        <v>4820.21</v>
      </c>
      <c r="Y8" s="0" t="n">
        <v>268435360</v>
      </c>
      <c r="Z8" s="0" t="inlineStr">
        <is>
          <t>D:\paper_source\work_9\VeriANN_repro_2026-09-30\VeriANN_repro_2026-09-30\results\work9-ours-lut-20261015\sift1m-overall</t>
        </is>
      </c>
    </row>
    <row r="9">
      <c r="A9" s="0" t="inlineStr">
        <is>
          <t>historical-recall-curve (superseded by Recall99 measurements)</t>
        </is>
      </c>
      <c r="B9" s="0" t="n">
        <v>1000000</v>
      </c>
      <c r="C9" s="0" t="inlineStr">
        <is>
          <t>D:\paper_source\work_9\VeriANN_repro_2026-09-30\VeriANN_repro_2026-09-30\dataset\sift1m</t>
        </is>
      </c>
      <c r="D9" s="0" t="n">
        <v>10</v>
      </c>
      <c r="E9" s="0" t="n">
        <v>4</v>
      </c>
      <c r="F9" s="0" t="n">
        <v>100</v>
      </c>
      <c r="G9" s="0" t="n">
        <v>100</v>
      </c>
      <c r="H9" s="0" t="n">
        <v>3</v>
      </c>
      <c r="I9" s="0" t="n">
        <v>300</v>
      </c>
      <c r="J9" s="0" t="n">
        <v>0</v>
      </c>
      <c r="K9" s="0" t="n">
        <v>0.152311433333333</v>
      </c>
      <c r="L9" s="0" t="n">
        <v>0.150149</v>
      </c>
      <c r="M9" s="0" t="n">
        <v>0.205265</v>
      </c>
      <c r="N9" s="0" t="n">
        <v>0.51718337</v>
      </c>
      <c r="O9" s="0" t="n">
        <v>0.675793</v>
      </c>
      <c r="P9" s="0" t="n">
        <v>25.21108</v>
      </c>
      <c r="Q9" s="0" t="n">
        <v>0.07462525</v>
      </c>
      <c r="R9" s="0" t="n">
        <v>0.0776861833333333</v>
      </c>
      <c r="S9" s="0" t="n">
        <v>0.435705536666667</v>
      </c>
      <c r="T9" s="0" t="n">
        <v>0.07656143</v>
      </c>
      <c r="U9" s="0" t="n">
        <v>1070.08</v>
      </c>
      <c r="V9" s="0" t="n">
        <v>2296.96</v>
      </c>
      <c r="W9" s="0" t="n">
        <v>8452.870000000001</v>
      </c>
      <c r="X9" s="0" t="n">
        <v>4740.21</v>
      </c>
      <c r="Y9" s="0" t="n">
        <v>268435360</v>
      </c>
      <c r="Z9" s="0" t="inlineStr">
        <is>
          <t>D:\paper_source\work_9\VeriANN_repro_2026-09-30\VeriANN_repro_2026-09-30\results\work9-ours-lut-20261015\sift1m-recall-curve</t>
        </is>
      </c>
    </row>
    <row r="10">
      <c r="A10" s="0" t="inlineStr">
        <is>
          <t>historical-recall-curve (superseded by Recall99 measurements)</t>
        </is>
      </c>
      <c r="B10" s="0" t="n">
        <v>1000000</v>
      </c>
      <c r="C10" s="0" t="inlineStr">
        <is>
          <t>D:\paper_source\work_9\VeriANN_repro_2026-09-30\VeriANN_repro_2026-09-30\dataset\sift1m</t>
        </is>
      </c>
      <c r="D10" s="0" t="n">
        <v>10</v>
      </c>
      <c r="E10" s="0" t="n">
        <v>8</v>
      </c>
      <c r="F10" s="0" t="n">
        <v>100</v>
      </c>
      <c r="G10" s="0" t="n">
        <v>100</v>
      </c>
      <c r="H10" s="0" t="n">
        <v>3</v>
      </c>
      <c r="I10" s="0" t="n">
        <v>300</v>
      </c>
      <c r="J10" s="0" t="n">
        <v>9</v>
      </c>
      <c r="K10" s="0" t="n">
        <v>0.266495283333333</v>
      </c>
      <c r="L10" s="0" t="n">
        <v>0.259246</v>
      </c>
      <c r="M10" s="0" t="n">
        <v>0.371926</v>
      </c>
      <c r="N10" s="0" t="n">
        <v>0.785326903333333</v>
      </c>
      <c r="O10" s="0" t="n">
        <v>1.163777</v>
      </c>
      <c r="P10" s="0" t="n">
        <v>39.0908</v>
      </c>
      <c r="Q10" s="0" t="n">
        <v>0.124334403333333</v>
      </c>
      <c r="R10" s="0" t="n">
        <v>0.14216088</v>
      </c>
      <c r="S10" s="0" t="n">
        <v>0.6626759</v>
      </c>
      <c r="T10" s="0" t="n">
        <v>0.113175796666667</v>
      </c>
      <c r="U10" s="0" t="n">
        <v>1070.08</v>
      </c>
      <c r="V10" s="0" t="n">
        <v>2296.96</v>
      </c>
      <c r="W10" s="0" t="n">
        <v>8452.870000000001</v>
      </c>
      <c r="X10" s="0" t="n">
        <v>4740.21</v>
      </c>
      <c r="Y10" s="0" t="n">
        <v>268435360</v>
      </c>
      <c r="Z10" s="0" t="inlineStr">
        <is>
          <t>D:\paper_source\work_9\VeriANN_repro_2026-09-30\VeriANN_repro_2026-09-30\results\work9-ours-lut-20261015\sift1m-recall-curve</t>
        </is>
      </c>
    </row>
    <row r="11">
      <c r="A11" s="0" t="inlineStr">
        <is>
          <t>historical-recall-curve (superseded by Recall99 measurements)</t>
        </is>
      </c>
      <c r="B11" s="0" t="n">
        <v>1000000</v>
      </c>
      <c r="C11" s="0" t="inlineStr">
        <is>
          <t>D:\paper_source\work_9\VeriANN_repro_2026-09-30\VeriANN_repro_2026-09-30\dataset\sift1m</t>
        </is>
      </c>
      <c r="D11" s="0" t="n">
        <v>10</v>
      </c>
      <c r="E11" s="0" t="n">
        <v>12</v>
      </c>
      <c r="F11" s="0" t="n">
        <v>100</v>
      </c>
      <c r="G11" s="0" t="n">
        <v>100</v>
      </c>
      <c r="H11" s="0" t="n">
        <v>3</v>
      </c>
      <c r="I11" s="0" t="n">
        <v>300</v>
      </c>
      <c r="J11" s="0" t="n">
        <v>28</v>
      </c>
      <c r="K11" s="0" t="n">
        <v>0.373564026666667</v>
      </c>
      <c r="L11" s="0" t="n">
        <v>0.366791</v>
      </c>
      <c r="M11" s="0" t="n">
        <v>0.495578</v>
      </c>
      <c r="N11" s="0" t="n">
        <v>1.03299371</v>
      </c>
      <c r="O11" s="0" t="n">
        <v>1.5034</v>
      </c>
      <c r="P11" s="0" t="n">
        <v>51.9164</v>
      </c>
      <c r="Q11" s="0" t="n">
        <v>0.173165393333333</v>
      </c>
      <c r="R11" s="0" t="n">
        <v>0.200398633333333</v>
      </c>
      <c r="S11" s="0" t="n">
        <v>0.86910197</v>
      </c>
      <c r="T11" s="0" t="n">
        <v>0.150876173333333</v>
      </c>
      <c r="U11" s="0" t="n">
        <v>1070.08</v>
      </c>
      <c r="V11" s="0" t="n">
        <v>2296.96</v>
      </c>
      <c r="W11" s="0" t="n">
        <v>8452.870000000001</v>
      </c>
      <c r="X11" s="0" t="n">
        <v>4740.21</v>
      </c>
      <c r="Y11" s="0" t="n">
        <v>268435360</v>
      </c>
      <c r="Z11" s="0" t="inlineStr">
        <is>
          <t>D:\paper_source\work_9\VeriANN_repro_2026-09-30\VeriANN_repro_2026-09-30\results\work9-ours-lut-20261015\sift1m-recall-curve</t>
        </is>
      </c>
    </row>
    <row r="12">
      <c r="A12" s="0" t="inlineStr">
        <is>
          <t>historical-recall-curve (superseded by Recall99 measurements)</t>
        </is>
      </c>
      <c r="B12" s="0" t="n">
        <v>1000000</v>
      </c>
      <c r="C12" s="0" t="inlineStr">
        <is>
          <t>D:\paper_source\work_9\VeriANN_repro_2026-09-30\VeriANN_repro_2026-09-30\dataset\sift1m</t>
        </is>
      </c>
      <c r="D12" s="0" t="n">
        <v>10</v>
      </c>
      <c r="E12" s="0" t="n">
        <v>16</v>
      </c>
      <c r="F12" s="0" t="n">
        <v>100</v>
      </c>
      <c r="G12" s="0" t="n">
        <v>100</v>
      </c>
      <c r="H12" s="0" t="n">
        <v>3</v>
      </c>
      <c r="I12" s="0" t="n">
        <v>300</v>
      </c>
      <c r="J12" s="0" t="n">
        <v>44</v>
      </c>
      <c r="K12" s="0" t="n">
        <v>0.490794573333333</v>
      </c>
      <c r="L12" s="0" t="n">
        <v>0.47707</v>
      </c>
      <c r="M12" s="0" t="n">
        <v>0.659328</v>
      </c>
      <c r="N12" s="0" t="n">
        <v>1.26803116</v>
      </c>
      <c r="O12" s="0" t="n">
        <v>1.815537</v>
      </c>
      <c r="P12" s="0" t="n">
        <v>63.6592</v>
      </c>
      <c r="Q12" s="0" t="n">
        <v>0.230098283333333</v>
      </c>
      <c r="R12" s="0" t="n">
        <v>0.26069629</v>
      </c>
      <c r="S12" s="0" t="n">
        <v>1.06267222</v>
      </c>
      <c r="T12" s="0" t="n">
        <v>0.188970253333333</v>
      </c>
      <c r="U12" s="0" t="n">
        <v>1070.08</v>
      </c>
      <c r="V12" s="0" t="n">
        <v>2296.96</v>
      </c>
      <c r="W12" s="0" t="n">
        <v>8452.870000000001</v>
      </c>
      <c r="X12" s="0" t="n">
        <v>4740.21</v>
      </c>
      <c r="Y12" s="0" t="n">
        <v>268435360</v>
      </c>
      <c r="Z12" s="0" t="inlineStr">
        <is>
          <t>D:\paper_source\work_9\VeriANN_repro_2026-09-30\VeriANN_repro_2026-09-30\results\work9-ours-lut-20261015\sift1m-recall-curve</t>
        </is>
      </c>
    </row>
    <row r="13">
      <c r="A13" s="0" t="inlineStr">
        <is>
          <t>historical-recall-curve (superseded by Recall99 measurements)</t>
        </is>
      </c>
      <c r="B13" s="0" t="n">
        <v>1000000</v>
      </c>
      <c r="C13" s="0" t="inlineStr">
        <is>
          <t>D:\paper_source\work_9\VeriANN_repro_2026-09-30\VeriANN_repro_2026-09-30\dataset\sift1m</t>
        </is>
      </c>
      <c r="D13" s="0" t="n">
        <v>10</v>
      </c>
      <c r="E13" s="0" t="n">
        <v>24</v>
      </c>
      <c r="F13" s="0" t="n">
        <v>100</v>
      </c>
      <c r="G13" s="0" t="n">
        <v>100</v>
      </c>
      <c r="H13" s="0" t="n">
        <v>3</v>
      </c>
      <c r="I13" s="0" t="n">
        <v>300</v>
      </c>
      <c r="J13" s="0" t="n">
        <v>66.3</v>
      </c>
      <c r="K13" s="0" t="n">
        <v>0.659545906666667</v>
      </c>
      <c r="L13" s="0" t="n">
        <v>0.646638</v>
      </c>
      <c r="M13" s="0" t="n">
        <v>0.8917040000000001</v>
      </c>
      <c r="N13" s="0" t="n">
        <v>1.65613921</v>
      </c>
      <c r="O13" s="0" t="n">
        <v>2.388868</v>
      </c>
      <c r="P13" s="0" t="n">
        <v>82.3378</v>
      </c>
      <c r="Q13" s="0" t="n">
        <v>0.30914777</v>
      </c>
      <c r="R13" s="0" t="n">
        <v>0.350398136666667</v>
      </c>
      <c r="S13" s="0" t="n">
        <v>1.37947301666667</v>
      </c>
      <c r="T13" s="0" t="n">
        <v>0.254592416666667</v>
      </c>
      <c r="U13" s="0" t="n">
        <v>1070.08</v>
      </c>
      <c r="V13" s="0" t="n">
        <v>2296.96</v>
      </c>
      <c r="W13" s="0" t="n">
        <v>8452.870000000001</v>
      </c>
      <c r="X13" s="0" t="n">
        <v>4740.21</v>
      </c>
      <c r="Y13" s="0" t="n">
        <v>268435360</v>
      </c>
      <c r="Z13" s="0" t="inlineStr">
        <is>
          <t>D:\paper_source\work_9\VeriANN_repro_2026-09-30\VeriANN_repro_2026-09-30\results\work9-ours-lut-20261015\sift1m-recall-curve</t>
        </is>
      </c>
    </row>
    <row r="14">
      <c r="A14" s="0" t="inlineStr">
        <is>
          <t>historical-recall-curve (superseded by Recall99 measurements)</t>
        </is>
      </c>
      <c r="B14" s="0" t="n">
        <v>1000000</v>
      </c>
      <c r="C14" s="0" t="inlineStr">
        <is>
          <t>D:\paper_source\work_9\VeriANN_repro_2026-09-30\VeriANN_repro_2026-09-30\dataset\sift1m</t>
        </is>
      </c>
      <c r="D14" s="0" t="n">
        <v>10</v>
      </c>
      <c r="E14" s="0" t="n">
        <v>32</v>
      </c>
      <c r="F14" s="0" t="n">
        <v>100</v>
      </c>
      <c r="G14" s="0" t="n">
        <v>100</v>
      </c>
      <c r="H14" s="0" t="n">
        <v>3</v>
      </c>
      <c r="I14" s="0" t="n">
        <v>300</v>
      </c>
      <c r="J14" s="0" t="n">
        <v>73.90000000000001</v>
      </c>
      <c r="K14" s="0" t="n">
        <v>0.816154423333333</v>
      </c>
      <c r="L14" s="0" t="n">
        <v>0.81502</v>
      </c>
      <c r="M14" s="0" t="n">
        <v>1.070007</v>
      </c>
      <c r="N14" s="0" t="n">
        <v>1.98580881333333</v>
      </c>
      <c r="O14" s="0" t="n">
        <v>2.812426</v>
      </c>
      <c r="P14" s="0" t="n">
        <v>99.42564</v>
      </c>
      <c r="Q14" s="0" t="n">
        <v>0.387433663333333</v>
      </c>
      <c r="R14" s="0" t="n">
        <v>0.42872076</v>
      </c>
      <c r="S14" s="0" t="n">
        <v>1.63704125333333</v>
      </c>
      <c r="T14" s="0" t="n">
        <v>0.321472783333333</v>
      </c>
      <c r="U14" s="0" t="n">
        <v>1070.08</v>
      </c>
      <c r="V14" s="0" t="n">
        <v>2296.96</v>
      </c>
      <c r="W14" s="0" t="n">
        <v>8452.870000000001</v>
      </c>
      <c r="X14" s="0" t="n">
        <v>4740.21</v>
      </c>
      <c r="Y14" s="0" t="n">
        <v>268435360</v>
      </c>
      <c r="Z14" s="0" t="inlineStr">
        <is>
          <t>D:\paper_source\work_9\VeriANN_repro_2026-09-30\VeriANN_repro_2026-09-30\results\work9-ours-lut-20261015\sift1m-recall-curve</t>
        </is>
      </c>
    </row>
    <row r="15">
      <c r="A15" s="0" t="inlineStr">
        <is>
          <t>historical-recall-curve (superseded by Recall99 measurements)</t>
        </is>
      </c>
      <c r="B15" s="0" t="n">
        <v>1000000</v>
      </c>
      <c r="C15" s="0" t="inlineStr">
        <is>
          <t>D:\paper_source\work_9\VeriANN_repro_2026-09-30\VeriANN_repro_2026-09-30\dataset\sift1m</t>
        </is>
      </c>
      <c r="D15" s="0" t="n">
        <v>10</v>
      </c>
      <c r="E15" s="0" t="n">
        <v>48</v>
      </c>
      <c r="F15" s="0" t="n">
        <v>100</v>
      </c>
      <c r="G15" s="0" t="n">
        <v>100</v>
      </c>
      <c r="H15" s="0" t="n">
        <v>3</v>
      </c>
      <c r="I15" s="0" t="n">
        <v>300</v>
      </c>
      <c r="J15" s="0" t="n">
        <v>84.3</v>
      </c>
      <c r="K15" s="0" t="n">
        <v>1.10416006</v>
      </c>
      <c r="L15" s="0" t="n">
        <v>1.099301</v>
      </c>
      <c r="M15" s="0" t="n">
        <v>1.433767</v>
      </c>
      <c r="N15" s="0" t="n">
        <v>2.5337321</v>
      </c>
      <c r="O15" s="0" t="n">
        <v>3.626575</v>
      </c>
      <c r="P15" s="0" t="n">
        <v>128.1846</v>
      </c>
      <c r="Q15" s="0" t="n">
        <v>0.531684453333333</v>
      </c>
      <c r="R15" s="0" t="n">
        <v>0.572475606666667</v>
      </c>
      <c r="S15" s="0" t="n">
        <v>2.05292865</v>
      </c>
      <c r="T15" s="0" t="n">
        <v>0.446161186666667</v>
      </c>
      <c r="U15" s="0" t="n">
        <v>1070.08</v>
      </c>
      <c r="V15" s="0" t="n">
        <v>2296.96</v>
      </c>
      <c r="W15" s="0" t="n">
        <v>8452.870000000001</v>
      </c>
      <c r="X15" s="0" t="n">
        <v>4740.21</v>
      </c>
      <c r="Y15" s="0" t="n">
        <v>268435360</v>
      </c>
      <c r="Z15" s="0" t="inlineStr">
        <is>
          <t>D:\paper_source\work_9\VeriANN_repro_2026-09-30\VeriANN_repro_2026-09-30\results\work9-ours-lut-20261015\sift1m-recall-curve</t>
        </is>
      </c>
    </row>
    <row r="16">
      <c r="A16" s="0" t="inlineStr">
        <is>
          <t>historical-recall-curve (superseded by Recall99 measurements)</t>
        </is>
      </c>
      <c r="B16" s="0" t="n">
        <v>1000000</v>
      </c>
      <c r="C16" s="0" t="inlineStr">
        <is>
          <t>D:\paper_source\work_9\VeriANN_repro_2026-09-30\VeriANN_repro_2026-09-30\dataset\sift1m</t>
        </is>
      </c>
      <c r="D16" s="0" t="n">
        <v>10</v>
      </c>
      <c r="E16" s="0" t="n">
        <v>64</v>
      </c>
      <c r="F16" s="0" t="n">
        <v>100</v>
      </c>
      <c r="G16" s="0" t="n">
        <v>100</v>
      </c>
      <c r="H16" s="0" t="n">
        <v>3</v>
      </c>
      <c r="I16" s="0" t="n">
        <v>300</v>
      </c>
      <c r="J16" s="0" t="n">
        <v>87.3</v>
      </c>
      <c r="K16" s="0" t="n">
        <v>1.40008075333333</v>
      </c>
      <c r="L16" s="0" t="n">
        <v>1.400049</v>
      </c>
      <c r="M16" s="0" t="n">
        <v>1.845257</v>
      </c>
      <c r="N16" s="0" t="n">
        <v>3.06376854333333</v>
      </c>
      <c r="O16" s="0" t="n">
        <v>4.473818</v>
      </c>
      <c r="P16" s="0" t="n">
        <v>153.43736</v>
      </c>
      <c r="Q16" s="0" t="n">
        <v>0.690259773333333</v>
      </c>
      <c r="R16" s="0" t="n">
        <v>0.70982098</v>
      </c>
      <c r="S16" s="0" t="n">
        <v>2.43922515333333</v>
      </c>
      <c r="T16" s="0" t="n">
        <v>0.5817547266666671</v>
      </c>
      <c r="U16" s="0" t="n">
        <v>1070.08</v>
      </c>
      <c r="V16" s="0" t="n">
        <v>2296.96</v>
      </c>
      <c r="W16" s="0" t="n">
        <v>8452.870000000001</v>
      </c>
      <c r="X16" s="0" t="n">
        <v>4740.21</v>
      </c>
      <c r="Y16" s="0" t="n">
        <v>268435360</v>
      </c>
      <c r="Z16" s="0" t="inlineStr">
        <is>
          <t>D:\paper_source\work_9\VeriANN_repro_2026-09-30\VeriANN_repro_2026-09-30\results\work9-ours-lut-20261015\sift1m-recall-curve</t>
        </is>
      </c>
    </row>
    <row r="17">
      <c r="A17" s="0" t="inlineStr">
        <is>
          <t>historical-recall-curve (superseded by Recall99 measurements)</t>
        </is>
      </c>
      <c r="B17" s="0" t="n">
        <v>1000000</v>
      </c>
      <c r="C17" s="0" t="inlineStr">
        <is>
          <t>D:\paper_source\work_9\VeriANN_repro_2026-09-30\VeriANN_repro_2026-09-30\dataset\sift1m</t>
        </is>
      </c>
      <c r="D17" s="0" t="n">
        <v>10</v>
      </c>
      <c r="E17" s="0" t="n">
        <v>96</v>
      </c>
      <c r="F17" s="0" t="n">
        <v>100</v>
      </c>
      <c r="G17" s="0" t="n">
        <v>100</v>
      </c>
      <c r="H17" s="0" t="n">
        <v>3</v>
      </c>
      <c r="I17" s="0" t="n">
        <v>300</v>
      </c>
      <c r="J17" s="0" t="n">
        <v>92.40000000000001</v>
      </c>
      <c r="K17" s="0" t="n">
        <v>1.86309398333333</v>
      </c>
      <c r="L17" s="0" t="n">
        <v>1.88293</v>
      </c>
      <c r="M17" s="0" t="n">
        <v>2.436465</v>
      </c>
      <c r="N17" s="0" t="n">
        <v>3.89169788</v>
      </c>
      <c r="O17" s="0" t="n">
        <v>5.570974</v>
      </c>
      <c r="P17" s="0" t="n">
        <v>196.71248</v>
      </c>
      <c r="Q17" s="0" t="n">
        <v>0.95957483</v>
      </c>
      <c r="R17" s="0" t="n">
        <v>0.903519153333333</v>
      </c>
      <c r="S17" s="0" t="n">
        <v>3.02314859666667</v>
      </c>
      <c r="T17" s="0" t="n">
        <v>0.81225947</v>
      </c>
      <c r="U17" s="0" t="n">
        <v>1070.08</v>
      </c>
      <c r="V17" s="0" t="n">
        <v>2296.96</v>
      </c>
      <c r="W17" s="0" t="n">
        <v>8452.870000000001</v>
      </c>
      <c r="X17" s="0" t="n">
        <v>4740.21</v>
      </c>
      <c r="Y17" s="0" t="n">
        <v>268435360</v>
      </c>
      <c r="Z17" s="0" t="inlineStr">
        <is>
          <t>D:\paper_source\work_9\VeriANN_repro_2026-09-30\VeriANN_repro_2026-09-30\results\work9-ours-lut-20261015\sift1m-recall-curve</t>
        </is>
      </c>
    </row>
    <row r="18">
      <c r="A18" s="0" t="inlineStr">
        <is>
          <t>historical-recall-curve (superseded by Recall99 measurements)</t>
        </is>
      </c>
      <c r="B18" s="0" t="n">
        <v>1000000</v>
      </c>
      <c r="C18" s="0" t="inlineStr">
        <is>
          <t>D:\paper_source\work_9\VeriANN_repro_2026-09-30\VeriANN_repro_2026-09-30\dataset\sift1m</t>
        </is>
      </c>
      <c r="D18" s="0" t="n">
        <v>10</v>
      </c>
      <c r="E18" s="0" t="n">
        <v>128</v>
      </c>
      <c r="F18" s="0" t="n">
        <v>100</v>
      </c>
      <c r="G18" s="0" t="n">
        <v>100</v>
      </c>
      <c r="H18" s="0" t="n">
        <v>3</v>
      </c>
      <c r="I18" s="0" t="n">
        <v>300</v>
      </c>
      <c r="J18" s="0" t="n">
        <v>95.40000000000001</v>
      </c>
      <c r="K18" s="0" t="n">
        <v>2.39225580333333</v>
      </c>
      <c r="L18" s="0" t="n">
        <v>2.382429</v>
      </c>
      <c r="M18" s="0" t="n">
        <v>3.190421</v>
      </c>
      <c r="N18" s="0" t="n">
        <v>4.74177094</v>
      </c>
      <c r="O18" s="0" t="n">
        <v>6.869507</v>
      </c>
      <c r="P18" s="0" t="n">
        <v>236.02116</v>
      </c>
      <c r="Q18" s="0" t="n">
        <v>1.26674681</v>
      </c>
      <c r="R18" s="0" t="n">
        <v>1.12550899333333</v>
      </c>
      <c r="S18" s="0" t="n">
        <v>3.61157881666667</v>
      </c>
      <c r="T18" s="0" t="n">
        <v>1.06102758666667</v>
      </c>
      <c r="U18" s="0" t="n">
        <v>1070.08</v>
      </c>
      <c r="V18" s="0" t="n">
        <v>2296.96</v>
      </c>
      <c r="W18" s="0" t="n">
        <v>8452.870000000001</v>
      </c>
      <c r="X18" s="0" t="n">
        <v>4740.21</v>
      </c>
      <c r="Y18" s="0" t="n">
        <v>268435360</v>
      </c>
      <c r="Z18" s="0" t="inlineStr">
        <is>
          <t>D:\paper_source\work_9\VeriANN_repro_2026-09-30\VeriANN_repro_2026-09-30\results\work9-ours-lut-20261015\sift1m-recall-curve</t>
        </is>
      </c>
    </row>
    <row r="19">
      <c r="A19" s="0" t="inlineStr">
        <is>
          <t>historical-recall-curve (superseded by Recall99 measurements)</t>
        </is>
      </c>
      <c r="B19" s="0" t="n">
        <v>1000000</v>
      </c>
      <c r="C19" s="0" t="inlineStr">
        <is>
          <t>D:\paper_source\work_9\VeriANN_repro_2026-09-30\VeriANN_repro_2026-09-30\dataset\sift1m</t>
        </is>
      </c>
      <c r="D19" s="0" t="n">
        <v>10</v>
      </c>
      <c r="E19" s="0" t="n">
        <v>192</v>
      </c>
      <c r="F19" s="0" t="n">
        <v>100</v>
      </c>
      <c r="G19" s="0" t="n">
        <v>100</v>
      </c>
      <c r="H19" s="0" t="n">
        <v>3</v>
      </c>
      <c r="I19" s="0" t="n">
        <v>300</v>
      </c>
      <c r="J19" s="0" t="n">
        <v>97.2</v>
      </c>
      <c r="K19" s="0" t="n">
        <v>3.24442003</v>
      </c>
      <c r="L19" s="0" t="n">
        <v>3.256323</v>
      </c>
      <c r="M19" s="0" t="n">
        <v>4.199936</v>
      </c>
      <c r="N19" s="0" t="n">
        <v>6.19963931</v>
      </c>
      <c r="O19" s="0" t="n">
        <v>8.935765999999999</v>
      </c>
      <c r="P19" s="0" t="n">
        <v>307.025</v>
      </c>
      <c r="Q19" s="0" t="n">
        <v>1.79592504</v>
      </c>
      <c r="R19" s="0" t="n">
        <v>1.44849499</v>
      </c>
      <c r="S19" s="0" t="n">
        <v>4.55164429333333</v>
      </c>
      <c r="T19" s="0" t="n">
        <v>1.55521467333333</v>
      </c>
      <c r="U19" s="0" t="n">
        <v>1070.08</v>
      </c>
      <c r="V19" s="0" t="n">
        <v>2296.96</v>
      </c>
      <c r="W19" s="0" t="n">
        <v>8452.870000000001</v>
      </c>
      <c r="X19" s="0" t="n">
        <v>4740.21</v>
      </c>
      <c r="Y19" s="0" t="n">
        <v>268435360</v>
      </c>
      <c r="Z19" s="0" t="inlineStr">
        <is>
          <t>D:\paper_source\work_9\VeriANN_repro_2026-09-30\VeriANN_repro_2026-09-30\results\work9-ours-lut-20261015\sift1m-recall-curve</t>
        </is>
      </c>
    </row>
    <row r="20">
      <c r="A20" s="0" t="inlineStr">
        <is>
          <t>size-100000-evaluation</t>
        </is>
      </c>
      <c r="B20" s="0" t="n">
        <v>100000</v>
      </c>
      <c r="C20" s="0" t="inlineStr">
        <is>
          <t>D:\paper_source\work_9\VeriANN_repro_2026-09-30\VeriANN_repro_2026-09-30\dataset\bigann10m</t>
        </is>
      </c>
      <c r="D20" s="0" t="n">
        <v>10</v>
      </c>
      <c r="E20" s="0" t="n">
        <v>64</v>
      </c>
      <c r="F20" s="0" t="n">
        <v>100</v>
      </c>
      <c r="G20" s="0" t="n">
        <v>100</v>
      </c>
      <c r="H20" s="0" t="n">
        <v>3</v>
      </c>
      <c r="I20" s="0" t="n">
        <v>300</v>
      </c>
      <c r="J20" s="0" t="n">
        <v>94.7</v>
      </c>
      <c r="K20" s="0" t="n">
        <v>0.97129939</v>
      </c>
      <c r="L20" s="0" t="n">
        <v>0.967004</v>
      </c>
      <c r="M20" s="0" t="n">
        <v>1.244501</v>
      </c>
      <c r="N20" s="0" t="n">
        <v>2.21916620333333</v>
      </c>
      <c r="O20" s="0" t="n">
        <v>2.961928</v>
      </c>
      <c r="P20" s="0" t="n">
        <v>113.31172</v>
      </c>
      <c r="Q20" s="0" t="n">
        <v>0.523715843333333</v>
      </c>
      <c r="R20" s="0" t="n">
        <v>0.447583546666667</v>
      </c>
      <c r="S20" s="0" t="n">
        <v>1.66648892</v>
      </c>
      <c r="T20" s="0" t="n">
        <v>0.516579343333333</v>
      </c>
      <c r="U20" s="0" t="n">
        <v>118.359</v>
      </c>
      <c r="V20" s="0" t="n">
        <v>188.41</v>
      </c>
      <c r="W20" s="0" t="n">
        <v>780.015</v>
      </c>
      <c r="X20" s="0" t="n">
        <v>468.475</v>
      </c>
      <c r="Y20" s="0" t="n">
        <v>25165728</v>
      </c>
      <c r="Z20" s="0" t="inlineStr">
        <is>
          <t>D:\paper_source\work_9\VeriANN_repro_2026-09-30\VeriANN_repro_2026-09-30\results\work9-ours-lut-20261015\size-100000-evaluation</t>
        </is>
      </c>
    </row>
    <row r="21">
      <c r="A21" s="0" t="inlineStr">
        <is>
          <t>size-1000000-evaluation</t>
        </is>
      </c>
      <c r="B21" s="0" t="n">
        <v>1000000</v>
      </c>
      <c r="C21" s="0" t="inlineStr">
        <is>
          <t>D:\paper_source\work_9\VeriANN_repro_2026-09-30\VeriANN_repro_2026-09-30\dataset\bigann10m</t>
        </is>
      </c>
      <c r="D21" s="0" t="n">
        <v>10</v>
      </c>
      <c r="E21" s="0" t="n">
        <v>128</v>
      </c>
      <c r="F21" s="0" t="n">
        <v>100</v>
      </c>
      <c r="G21" s="0" t="n">
        <v>100</v>
      </c>
      <c r="H21" s="0" t="n">
        <v>3</v>
      </c>
      <c r="I21" s="0" t="n">
        <v>300</v>
      </c>
      <c r="J21" s="0" t="n">
        <v>94.59999999999999</v>
      </c>
      <c r="K21" s="0" t="n">
        <v>2.48054105666667</v>
      </c>
      <c r="L21" s="0" t="n">
        <v>2.465995</v>
      </c>
      <c r="M21" s="0" t="n">
        <v>3.201822</v>
      </c>
      <c r="N21" s="0" t="n">
        <v>4.82873155666667</v>
      </c>
      <c r="O21" s="0" t="n">
        <v>6.633642</v>
      </c>
      <c r="P21" s="0" t="n">
        <v>240.95032</v>
      </c>
      <c r="Q21" s="0" t="n">
        <v>1.33184293333333</v>
      </c>
      <c r="R21" s="0" t="n">
        <v>1.14869812333333</v>
      </c>
      <c r="S21" s="0" t="n">
        <v>3.66572339</v>
      </c>
      <c r="T21" s="0" t="n">
        <v>1.09020014333333</v>
      </c>
      <c r="U21" s="0" t="n">
        <v>1069.68</v>
      </c>
      <c r="V21" s="0" t="n">
        <v>2109.69</v>
      </c>
      <c r="W21" s="0" t="n">
        <v>8696.299999999999</v>
      </c>
      <c r="X21" s="0" t="n">
        <v>4835.2</v>
      </c>
      <c r="Y21" s="0" t="n">
        <v>268435360</v>
      </c>
      <c r="Z21" s="0" t="inlineStr">
        <is>
          <t>D:\paper_source\work_9\VeriANN_repro_2026-09-30\VeriANN_repro_2026-09-30\results\work9-ours-lut-20261015\size-1000000-evaluation</t>
        </is>
      </c>
    </row>
    <row r="22">
      <c r="A22" s="0" t="inlineStr">
        <is>
          <t>size-10000000-evaluation</t>
        </is>
      </c>
      <c r="B22" s="0" t="n">
        <v>10000000</v>
      </c>
      <c r="C22" s="0" t="inlineStr">
        <is>
          <t>D:\paper_source\work_9\VeriANN_repro_2026-09-30\VeriANN_repro_2026-09-30\dataset\bigann10m</t>
        </is>
      </c>
      <c r="D22" s="0" t="n">
        <v>10</v>
      </c>
      <c r="E22" s="0" t="n">
        <v>512</v>
      </c>
      <c r="F22" s="0" t="n">
        <v>100</v>
      </c>
      <c r="G22" s="0" t="n">
        <v>100</v>
      </c>
      <c r="H22" s="0" t="n">
        <v>3</v>
      </c>
      <c r="I22" s="0" t="n">
        <v>300</v>
      </c>
      <c r="J22" s="0" t="n">
        <v>94.90000000000001</v>
      </c>
      <c r="K22" s="0" t="n">
        <v>10.7202669733333</v>
      </c>
      <c r="L22" s="0" t="n">
        <v>10.661077</v>
      </c>
      <c r="M22" s="0" t="n">
        <v>13.789979</v>
      </c>
      <c r="N22" s="0" t="n">
        <v>17.2410478166667</v>
      </c>
      <c r="O22" s="0" t="n">
        <v>23.754898</v>
      </c>
      <c r="P22" s="0" t="n">
        <v>823.07632</v>
      </c>
      <c r="Q22" s="0" t="n">
        <v>6.11746262</v>
      </c>
      <c r="R22" s="0" t="n">
        <v>4.60280435333333</v>
      </c>
      <c r="S22" s="0" t="n">
        <v>12.5738295466667</v>
      </c>
      <c r="T22" s="0" t="n">
        <v>4.43329617</v>
      </c>
      <c r="U22" s="0" t="n">
        <v>10545.3</v>
      </c>
      <c r="V22" s="0" t="n">
        <v>22235.6</v>
      </c>
      <c r="W22" s="0" t="n">
        <v>93154.2</v>
      </c>
      <c r="X22" s="0" t="n">
        <v>52200.9</v>
      </c>
      <c r="Y22" s="0" t="n">
        <v>3221225376</v>
      </c>
      <c r="Z22" s="0" t="inlineStr">
        <is>
          <t>D:\paper_source\work_9\VeriANN_repro_2026-09-30\VeriANN_repro_2026-09-30\results\work9-ours-lut-20261015\size-10000000-evaluation</t>
        </is>
      </c>
    </row>
    <row r="23">
      <c r="A23" s="0" t="inlineStr">
        <is>
          <t>size-500000-evaluation</t>
        </is>
      </c>
      <c r="B23" s="0" t="n">
        <v>500000</v>
      </c>
      <c r="C23" s="0" t="inlineStr">
        <is>
          <t>D:\paper_source\work_9\VeriANN_repro_2026-09-30\VeriANN_repro_2026-09-30\dataset\bigann10m</t>
        </is>
      </c>
      <c r="D23" s="0" t="n">
        <v>10</v>
      </c>
      <c r="E23" s="0" t="n">
        <v>112</v>
      </c>
      <c r="F23" s="0" t="n">
        <v>100</v>
      </c>
      <c r="G23" s="0" t="n">
        <v>100</v>
      </c>
      <c r="H23" s="0" t="n">
        <v>3</v>
      </c>
      <c r="I23" s="0" t="n">
        <v>300</v>
      </c>
      <c r="J23" s="0" t="n">
        <v>94.90000000000001</v>
      </c>
      <c r="K23" s="0" t="n">
        <v>1.98728941666667</v>
      </c>
      <c r="L23" s="0" t="n">
        <v>1.993275</v>
      </c>
      <c r="M23" s="0" t="n">
        <v>2.547793</v>
      </c>
      <c r="N23" s="0" t="n">
        <v>4.03459994</v>
      </c>
      <c r="O23" s="0" t="n">
        <v>5.453375</v>
      </c>
      <c r="P23" s="0" t="n">
        <v>203.17924</v>
      </c>
      <c r="Q23" s="0" t="n">
        <v>1.07145641666667</v>
      </c>
      <c r="R23" s="0" t="n">
        <v>0.915833</v>
      </c>
      <c r="S23" s="0" t="n">
        <v>3.01840983666667</v>
      </c>
      <c r="T23" s="0" t="n">
        <v>0.955953366666667</v>
      </c>
      <c r="U23" s="0" t="n">
        <v>541.043</v>
      </c>
      <c r="V23" s="0" t="n">
        <v>1262.32</v>
      </c>
      <c r="W23" s="0" t="n">
        <v>4268.17</v>
      </c>
      <c r="X23" s="0" t="n">
        <v>2414.58</v>
      </c>
      <c r="Y23" s="0" t="n">
        <v>134217632</v>
      </c>
      <c r="Z23" s="0" t="inlineStr">
        <is>
          <t>D:\paper_source\work_9\VeriANN_repro_2026-09-30\VeriANN_repro_2026-09-30\results\work9-ours-lut-20261015\size-500000-evaluation</t>
        </is>
      </c>
    </row>
    <row r="24">
      <c r="A24" s="0" t="inlineStr">
        <is>
          <t>size-5000000-evaluation</t>
        </is>
      </c>
      <c r="B24" s="0" t="n">
        <v>5000000</v>
      </c>
      <c r="C24" s="0" t="inlineStr">
        <is>
          <t>D:\paper_source\work_9\VeriANN_repro_2026-09-30\VeriANN_repro_2026-09-30\dataset\bigann10m</t>
        </is>
      </c>
      <c r="D24" s="0" t="n">
        <v>10</v>
      </c>
      <c r="E24" s="0" t="n">
        <v>256</v>
      </c>
      <c r="F24" s="0" t="n">
        <v>100</v>
      </c>
      <c r="G24" s="0" t="n">
        <v>100</v>
      </c>
      <c r="H24" s="0" t="n">
        <v>3</v>
      </c>
      <c r="I24" s="0" t="n">
        <v>300</v>
      </c>
      <c r="J24" s="0" t="n">
        <v>94.40000000000001</v>
      </c>
      <c r="K24" s="0" t="n">
        <v>5.62847572</v>
      </c>
      <c r="L24" s="0" t="n">
        <v>5.630066</v>
      </c>
      <c r="M24" s="0" t="n">
        <v>7.345052</v>
      </c>
      <c r="N24" s="0" t="n">
        <v>9.642151933333331</v>
      </c>
      <c r="O24" s="0" t="n">
        <v>13.335038</v>
      </c>
      <c r="P24" s="0" t="n">
        <v>466.398</v>
      </c>
      <c r="Q24" s="0" t="n">
        <v>3.07620085666667</v>
      </c>
      <c r="R24" s="0" t="n">
        <v>2.55227486333333</v>
      </c>
      <c r="S24" s="0" t="n">
        <v>7.27880095</v>
      </c>
      <c r="T24" s="0" t="n">
        <v>2.23483356666667</v>
      </c>
      <c r="U24" s="0" t="n">
        <v>5278.85</v>
      </c>
      <c r="V24" s="0" t="n">
        <v>10328.4</v>
      </c>
      <c r="W24" s="0" t="n">
        <v>46400.4</v>
      </c>
      <c r="X24" s="0" t="n">
        <v>26376.2</v>
      </c>
      <c r="Y24" s="0" t="n">
        <v>1610612640</v>
      </c>
      <c r="Z24" s="0" t="inlineStr">
        <is>
          <t>D:\paper_source\work_9\VeriANN_repro_2026-09-30\VeriANN_repro_2026-09-30\results\work9-ours-lut-20261015\size-5000000-evaluation</t>
        </is>
      </c>
    </row>
  </sheetData>
  <autoFilter ref="A1:Z24"/>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104"/>
  <sheetViews>
    <sheetView workbookViewId="0">
      <pane xSplit="3" ySplit="1" topLeftCell="D2"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3.5"/>
  <cols>
    <col width="115" customWidth="1" style="1" min="6" max="6"/>
  </cols>
  <sheetData>
    <row r="1">
      <c r="A1" s="10" t="inlineStr">
        <is>
          <t>cell</t>
        </is>
      </c>
      <c r="B1" s="10" t="inlineStr">
        <is>
          <t>value</t>
        </is>
      </c>
      <c r="C1" s="10" t="inlineStr">
        <is>
          <t>metric</t>
        </is>
      </c>
      <c r="D1" s="10" t="inlineStr">
        <is>
          <t>k</t>
        </is>
      </c>
      <c r="E1" s="10" t="inlineStr">
        <is>
          <t>E</t>
        </is>
      </c>
      <c r="F1" s="10" t="inlineStr">
        <is>
          <t>per_query.csv</t>
        </is>
      </c>
    </row>
    <row r="2">
      <c r="A2" s="0" t="inlineStr">
        <is>
          <t>E11</t>
        </is>
      </c>
      <c r="B2" s="0" t="n">
        <v>95.40000000000001</v>
      </c>
      <c r="C2" s="0" t="inlineStr">
        <is>
          <t>recall_percent</t>
        </is>
      </c>
      <c r="D2" s="0" t="n">
        <v>10</v>
      </c>
      <c r="E2" s="0" t="n">
        <v>128</v>
      </c>
      <c r="F2" s="0" t="inlineStr">
        <is>
          <t>D:\paper_source\work_9\VeriANN_repro_2026-09-30\VeriANN_repro_2026-09-30\results\work9-ours-lut-20261015\sift1m-overall\per_query.csv</t>
        </is>
      </c>
    </row>
    <row r="3">
      <c r="A3" s="0" t="inlineStr">
        <is>
          <t>F11</t>
        </is>
      </c>
      <c r="B3" s="0" t="n">
        <v>2.35313838333333</v>
      </c>
      <c r="C3" s="0" t="inlineStr">
        <is>
          <t>query_ms</t>
        </is>
      </c>
      <c r="D3" s="0" t="n">
        <v>10</v>
      </c>
      <c r="E3" s="0" t="n">
        <v>128</v>
      </c>
      <c r="F3" s="0" t="inlineStr">
        <is>
          <t>D:\paper_source\work_9\VeriANN_repro_2026-09-30\VeriANN_repro_2026-09-30\results\work9-ours-lut-20261015\sift1m-overall\per_query.csv</t>
        </is>
      </c>
    </row>
    <row r="4">
      <c r="A4" s="0" t="inlineStr">
        <is>
          <t>G11</t>
        </is>
      </c>
      <c r="B4" s="0" t="n">
        <v>236.02116</v>
      </c>
      <c r="C4" s="0" t="inlineStr">
        <is>
          <t>vo_kb</t>
        </is>
      </c>
      <c r="D4" s="0" t="n">
        <v>10</v>
      </c>
      <c r="E4" s="0" t="n">
        <v>128</v>
      </c>
      <c r="F4" s="0" t="inlineStr">
        <is>
          <t>D:\paper_source\work_9\VeriANN_repro_2026-09-30\VeriANN_repro_2026-09-30\results\work9-ours-lut-20261015\sift1m-overall\per_query.csv</t>
        </is>
      </c>
    </row>
    <row r="5">
      <c r="A5" s="0" t="inlineStr">
        <is>
          <t>H11</t>
        </is>
      </c>
      <c r="B5" s="0" t="n">
        <v>4.71155782</v>
      </c>
      <c r="C5" s="0" t="inlineStr">
        <is>
          <t>verify_ms</t>
        </is>
      </c>
      <c r="D5" s="0" t="n">
        <v>10</v>
      </c>
      <c r="E5" s="0" t="n">
        <v>128</v>
      </c>
      <c r="F5" s="0" t="inlineStr">
        <is>
          <t>D:\paper_source\work_9\VeriANN_repro_2026-09-30\VeriANN_repro_2026-09-30\results\work9-ours-lut-20261015\sift1m-overall\per_query.csv</t>
        </is>
      </c>
    </row>
    <row r="6">
      <c r="A6" s="0" t="inlineStr">
        <is>
          <t>F23</t>
        </is>
      </c>
      <c r="B6" s="0" t="n">
        <v>62.3</v>
      </c>
      <c r="C6" s="0" t="inlineStr">
        <is>
          <t>recall_percent</t>
        </is>
      </c>
      <c r="D6" s="0" t="n">
        <v>10</v>
      </c>
      <c r="E6" s="0" t="n">
        <v>22</v>
      </c>
      <c r="F6" s="0" t="inlineStr">
        <is>
          <t>/mnt/d/paper_source/work_9/VeriANN_repro_2026-09-30/VeriANN_repro_2026-09-30/results/work9-recall99-20261015/Ours-evaluation/per_query.csv</t>
        </is>
      </c>
    </row>
    <row r="7">
      <c r="A7" s="0" t="inlineStr">
        <is>
          <t>F24</t>
        </is>
      </c>
      <c r="B7" s="0" t="n">
        <v>77.5966</v>
      </c>
      <c r="C7" s="0" t="inlineStr">
        <is>
          <t>vo_kb</t>
        </is>
      </c>
      <c r="D7" s="0" t="n">
        <v>10</v>
      </c>
      <c r="E7" s="0" t="n">
        <v>22</v>
      </c>
      <c r="F7" s="0" t="inlineStr">
        <is>
          <t>/mnt/d/paper_source/work_9/VeriANN_repro_2026-09-30/VeriANN_repro_2026-09-30/results/work9-recall99-20261015/Ours-evaluation/per_query.csv</t>
        </is>
      </c>
    </row>
    <row r="8">
      <c r="A8" s="0" t="inlineStr">
        <is>
          <t>F33</t>
        </is>
      </c>
      <c r="B8" s="0" t="n">
        <v>62.3</v>
      </c>
      <c r="C8" s="0" t="inlineStr">
        <is>
          <t>recall_percent</t>
        </is>
      </c>
      <c r="D8" s="0" t="n">
        <v>10</v>
      </c>
      <c r="E8" s="0" t="n">
        <v>22</v>
      </c>
      <c r="F8" s="0" t="inlineStr">
        <is>
          <t>/mnt/d/paper_source/work_9/VeriANN_repro_2026-09-30/VeriANN_repro_2026-09-30/results/work9-recall99-20261015/Ours-evaluation/per_query.csv</t>
        </is>
      </c>
    </row>
    <row r="9">
      <c r="A9" s="0" t="inlineStr">
        <is>
          <t>F34</t>
        </is>
      </c>
      <c r="B9" s="0" t="n">
        <v>1.55806525333333</v>
      </c>
      <c r="C9" s="0" t="inlineStr">
        <is>
          <t>verify_ms</t>
        </is>
      </c>
      <c r="D9" s="0" t="n">
        <v>10</v>
      </c>
      <c r="E9" s="0" t="n">
        <v>22</v>
      </c>
      <c r="F9" s="0" t="inlineStr">
        <is>
          <t>/mnt/d/paper_source/work_9/VeriANN_repro_2026-09-30/VeriANN_repro_2026-09-30/results/work9-recall99-20261015/Ours-evaluation/per_query.csv</t>
        </is>
      </c>
    </row>
    <row r="10">
      <c r="A10" s="0" t="inlineStr">
        <is>
          <t>F43</t>
        </is>
      </c>
      <c r="B10" s="0" t="n">
        <v>62.3</v>
      </c>
      <c r="C10" s="0" t="inlineStr">
        <is>
          <t>recall_percent</t>
        </is>
      </c>
      <c r="D10" s="0" t="n">
        <v>10</v>
      </c>
      <c r="E10" s="0" t="n">
        <v>22</v>
      </c>
      <c r="F10" s="0" t="inlineStr">
        <is>
          <t>/mnt/d/paper_source/work_9/VeriANN_repro_2026-09-30/VeriANN_repro_2026-09-30/results/work9-recall99-20261015/Ours-evaluation/per_query.csv</t>
        </is>
      </c>
    </row>
    <row r="11">
      <c r="A11" s="0" t="inlineStr">
        <is>
          <t>F44</t>
        </is>
      </c>
      <c r="B11" s="0" t="n">
        <v>0.615278846666667</v>
      </c>
      <c r="C11" s="0" t="inlineStr">
        <is>
          <t>query_ms</t>
        </is>
      </c>
      <c r="D11" s="0" t="n">
        <v>10</v>
      </c>
      <c r="E11" s="0" t="n">
        <v>22</v>
      </c>
      <c r="F11" s="0" t="inlineStr">
        <is>
          <t>/mnt/d/paper_source/work_9/VeriANN_repro_2026-09-30/VeriANN_repro_2026-09-30/results/work9-recall99-20261015/Ours-evaluation/per_query.csv</t>
        </is>
      </c>
    </row>
    <row r="12">
      <c r="A12" s="0" t="inlineStr">
        <is>
          <t>G23</t>
        </is>
      </c>
      <c r="B12" s="0" t="n">
        <v>66.3</v>
      </c>
      <c r="C12" s="0" t="inlineStr">
        <is>
          <t>recall_percent</t>
        </is>
      </c>
      <c r="D12" s="0" t="n">
        <v>10</v>
      </c>
      <c r="E12" s="0" t="n">
        <v>24</v>
      </c>
      <c r="F12" s="0" t="inlineStr">
        <is>
          <t>/mnt/d/paper_source/work_9/VeriANN_repro_2026-09-30/VeriANN_repro_2026-09-30/results/work9-recall99-20261015/Ours-evaluation/per_query.csv</t>
        </is>
      </c>
    </row>
    <row r="13">
      <c r="A13" s="0" t="inlineStr">
        <is>
          <t>G24</t>
        </is>
      </c>
      <c r="B13" s="0" t="n">
        <v>82.3378</v>
      </c>
      <c r="C13" s="0" t="inlineStr">
        <is>
          <t>vo_kb</t>
        </is>
      </c>
      <c r="D13" s="0" t="n">
        <v>10</v>
      </c>
      <c r="E13" s="0" t="n">
        <v>24</v>
      </c>
      <c r="F13" s="0" t="inlineStr">
        <is>
          <t>/mnt/d/paper_source/work_9/VeriANN_repro_2026-09-30/VeriANN_repro_2026-09-30/results/work9-recall99-20261015/Ours-evaluation/per_query.csv</t>
        </is>
      </c>
    </row>
    <row r="14">
      <c r="A14" s="0" t="inlineStr">
        <is>
          <t>G33</t>
        </is>
      </c>
      <c r="B14" s="0" t="n">
        <v>66.3</v>
      </c>
      <c r="C14" s="0" t="inlineStr">
        <is>
          <t>recall_percent</t>
        </is>
      </c>
      <c r="D14" s="0" t="n">
        <v>10</v>
      </c>
      <c r="E14" s="0" t="n">
        <v>24</v>
      </c>
      <c r="F14" s="0" t="inlineStr">
        <is>
          <t>/mnt/d/paper_source/work_9/VeriANN_repro_2026-09-30/VeriANN_repro_2026-09-30/results/work9-recall99-20261015/Ours-evaluation/per_query.csv</t>
        </is>
      </c>
    </row>
    <row r="15">
      <c r="A15" s="0" t="inlineStr">
        <is>
          <t>G34</t>
        </is>
      </c>
      <c r="B15" s="0" t="n">
        <v>1.64942995</v>
      </c>
      <c r="C15" s="0" t="inlineStr">
        <is>
          <t>verify_ms</t>
        </is>
      </c>
      <c r="D15" s="0" t="n">
        <v>10</v>
      </c>
      <c r="E15" s="0" t="n">
        <v>24</v>
      </c>
      <c r="F15" s="0" t="inlineStr">
        <is>
          <t>/mnt/d/paper_source/work_9/VeriANN_repro_2026-09-30/VeriANN_repro_2026-09-30/results/work9-recall99-20261015/Ours-evaluation/per_query.csv</t>
        </is>
      </c>
    </row>
    <row r="16">
      <c r="A16" s="0" t="inlineStr">
        <is>
          <t>G43</t>
        </is>
      </c>
      <c r="B16" s="0" t="n">
        <v>66.3</v>
      </c>
      <c r="C16" s="0" t="inlineStr">
        <is>
          <t>recall_percent</t>
        </is>
      </c>
      <c r="D16" s="0" t="n">
        <v>10</v>
      </c>
      <c r="E16" s="0" t="n">
        <v>24</v>
      </c>
      <c r="F16" s="0" t="inlineStr">
        <is>
          <t>/mnt/d/paper_source/work_9/VeriANN_repro_2026-09-30/VeriANN_repro_2026-09-30/results/work9-recall99-20261015/Ours-evaluation/per_query.csv</t>
        </is>
      </c>
    </row>
    <row r="17">
      <c r="A17" s="0" t="inlineStr">
        <is>
          <t>G44</t>
        </is>
      </c>
      <c r="B17" s="0" t="n">
        <v>0.658947806666667</v>
      </c>
      <c r="C17" s="0" t="inlineStr">
        <is>
          <t>query_ms</t>
        </is>
      </c>
      <c r="D17" s="0" t="n">
        <v>10</v>
      </c>
      <c r="E17" s="0" t="n">
        <v>24</v>
      </c>
      <c r="F17" s="0" t="inlineStr">
        <is>
          <t>/mnt/d/paper_source/work_9/VeriANN_repro_2026-09-30/VeriANN_repro_2026-09-30/results/work9-recall99-20261015/Ours-evaluation/per_query.csv</t>
        </is>
      </c>
    </row>
    <row r="18">
      <c r="A18" s="0" t="inlineStr">
        <is>
          <t>H23</t>
        </is>
      </c>
      <c r="B18" s="0" t="n">
        <v>70.2</v>
      </c>
      <c r="C18" s="0" t="inlineStr">
        <is>
          <t>recall_percent</t>
        </is>
      </c>
      <c r="D18" s="0" t="n">
        <v>10</v>
      </c>
      <c r="E18" s="0" t="n">
        <v>28</v>
      </c>
      <c r="F18" s="0" t="inlineStr">
        <is>
          <t>/mnt/d/paper_source/work_9/VeriANN_repro_2026-09-30/VeriANN_repro_2026-09-30/results/work9-recall99-20261015/Ours-evaluation/per_query.csv</t>
        </is>
      </c>
    </row>
    <row r="19">
      <c r="A19" s="0" t="inlineStr">
        <is>
          <t>H24</t>
        </is>
      </c>
      <c r="B19" s="0" t="n">
        <v>91.27648000000001</v>
      </c>
      <c r="C19" s="0" t="inlineStr">
        <is>
          <t>vo_kb</t>
        </is>
      </c>
      <c r="D19" s="0" t="n">
        <v>10</v>
      </c>
      <c r="E19" s="0" t="n">
        <v>28</v>
      </c>
      <c r="F19" s="0" t="inlineStr">
        <is>
          <t>/mnt/d/paper_source/work_9/VeriANN_repro_2026-09-30/VeriANN_repro_2026-09-30/results/work9-recall99-20261015/Ours-evaluation/per_query.csv</t>
        </is>
      </c>
    </row>
    <row r="20">
      <c r="A20" s="0" t="inlineStr">
        <is>
          <t>H33</t>
        </is>
      </c>
      <c r="B20" s="0" t="n">
        <v>70.2</v>
      </c>
      <c r="C20" s="0" t="inlineStr">
        <is>
          <t>recall_percent</t>
        </is>
      </c>
      <c r="D20" s="0" t="n">
        <v>10</v>
      </c>
      <c r="E20" s="0" t="n">
        <v>28</v>
      </c>
      <c r="F20" s="0" t="inlineStr">
        <is>
          <t>/mnt/d/paper_source/work_9/VeriANN_repro_2026-09-30/VeriANN_repro_2026-09-30/results/work9-recall99-20261015/Ours-evaluation/per_query.csv</t>
        </is>
      </c>
    </row>
    <row r="21">
      <c r="A21" s="0" t="inlineStr">
        <is>
          <t>H34</t>
        </is>
      </c>
      <c r="B21" s="0" t="n">
        <v>1.82777087333333</v>
      </c>
      <c r="C21" s="0" t="inlineStr">
        <is>
          <t>verify_ms</t>
        </is>
      </c>
      <c r="D21" s="0" t="n">
        <v>10</v>
      </c>
      <c r="E21" s="0" t="n">
        <v>28</v>
      </c>
      <c r="F21" s="0" t="inlineStr">
        <is>
          <t>/mnt/d/paper_source/work_9/VeriANN_repro_2026-09-30/VeriANN_repro_2026-09-30/results/work9-recall99-20261015/Ours-evaluation/per_query.csv</t>
        </is>
      </c>
    </row>
    <row r="22">
      <c r="A22" s="0" t="inlineStr">
        <is>
          <t>H43</t>
        </is>
      </c>
      <c r="B22" s="0" t="n">
        <v>70.2</v>
      </c>
      <c r="C22" s="0" t="inlineStr">
        <is>
          <t>recall_percent</t>
        </is>
      </c>
      <c r="D22" s="0" t="n">
        <v>10</v>
      </c>
      <c r="E22" s="0" t="n">
        <v>28</v>
      </c>
      <c r="F22" s="0" t="inlineStr">
        <is>
          <t>/mnt/d/paper_source/work_9/VeriANN_repro_2026-09-30/VeriANN_repro_2026-09-30/results/work9-recall99-20261015/Ours-evaluation/per_query.csv</t>
        </is>
      </c>
    </row>
    <row r="23">
      <c r="A23" s="0" t="inlineStr">
        <is>
          <t>H44</t>
        </is>
      </c>
      <c r="B23" s="0" t="n">
        <v>0.77556551</v>
      </c>
      <c r="C23" s="0" t="inlineStr">
        <is>
          <t>query_ms</t>
        </is>
      </c>
      <c r="D23" s="0" t="n">
        <v>10</v>
      </c>
      <c r="E23" s="0" t="n">
        <v>28</v>
      </c>
      <c r="F23" s="0" t="inlineStr">
        <is>
          <t>/mnt/d/paper_source/work_9/VeriANN_repro_2026-09-30/VeriANN_repro_2026-09-30/results/work9-recall99-20261015/Ours-evaluation/per_query.csv</t>
        </is>
      </c>
    </row>
    <row r="24">
      <c r="A24" s="0" t="inlineStr">
        <is>
          <t>I23</t>
        </is>
      </c>
      <c r="B24" s="0" t="n">
        <v>76</v>
      </c>
      <c r="C24" s="0" t="inlineStr">
        <is>
          <t>recall_percent</t>
        </is>
      </c>
      <c r="D24" s="0" t="n">
        <v>10</v>
      </c>
      <c r="E24" s="0" t="n">
        <v>34</v>
      </c>
      <c r="F24" s="0" t="inlineStr">
        <is>
          <t>/mnt/d/paper_source/work_9/VeriANN_repro_2026-09-30/VeriANN_repro_2026-09-30/results/work9-recall99-20261015/Ours-evaluation/per_query.csv</t>
        </is>
      </c>
    </row>
    <row r="25">
      <c r="A25" s="0" t="inlineStr">
        <is>
          <t>I24</t>
        </is>
      </c>
      <c r="B25" s="0" t="n">
        <v>103.21712</v>
      </c>
      <c r="C25" s="0" t="inlineStr">
        <is>
          <t>vo_kb</t>
        </is>
      </c>
      <c r="D25" s="0" t="n">
        <v>10</v>
      </c>
      <c r="E25" s="0" t="n">
        <v>34</v>
      </c>
      <c r="F25" s="0" t="inlineStr">
        <is>
          <t>/mnt/d/paper_source/work_9/VeriANN_repro_2026-09-30/VeriANN_repro_2026-09-30/results/work9-recall99-20261015/Ours-evaluation/per_query.csv</t>
        </is>
      </c>
    </row>
    <row r="26">
      <c r="A26" s="0" t="inlineStr">
        <is>
          <t>I33</t>
        </is>
      </c>
      <c r="B26" s="0" t="n">
        <v>76</v>
      </c>
      <c r="C26" s="0" t="inlineStr">
        <is>
          <t>recall_percent</t>
        </is>
      </c>
      <c r="D26" s="0" t="n">
        <v>10</v>
      </c>
      <c r="E26" s="0" t="n">
        <v>34</v>
      </c>
      <c r="F26" s="0" t="inlineStr">
        <is>
          <t>/mnt/d/paper_source/work_9/VeriANN_repro_2026-09-30/VeriANN_repro_2026-09-30/results/work9-recall99-20261015/Ours-evaluation/per_query.csv</t>
        </is>
      </c>
    </row>
    <row r="27">
      <c r="A27" s="0" t="inlineStr">
        <is>
          <t>I34</t>
        </is>
      </c>
      <c r="B27" s="0" t="n">
        <v>2.06668139</v>
      </c>
      <c r="C27" s="0" t="inlineStr">
        <is>
          <t>verify_ms</t>
        </is>
      </c>
      <c r="D27" s="0" t="n">
        <v>10</v>
      </c>
      <c r="E27" s="0" t="n">
        <v>34</v>
      </c>
      <c r="F27" s="0" t="inlineStr">
        <is>
          <t>/mnt/d/paper_source/work_9/VeriANN_repro_2026-09-30/VeriANN_repro_2026-09-30/results/work9-recall99-20261015/Ours-evaluation/per_query.csv</t>
        </is>
      </c>
    </row>
    <row r="28">
      <c r="A28" s="0" t="inlineStr">
        <is>
          <t>I43</t>
        </is>
      </c>
      <c r="B28" s="0" t="n">
        <v>76</v>
      </c>
      <c r="C28" s="0" t="inlineStr">
        <is>
          <t>recall_percent</t>
        </is>
      </c>
      <c r="D28" s="0" t="n">
        <v>10</v>
      </c>
      <c r="E28" s="0" t="n">
        <v>34</v>
      </c>
      <c r="F28" s="0" t="inlineStr">
        <is>
          <t>/mnt/d/paper_source/work_9/VeriANN_repro_2026-09-30/VeriANN_repro_2026-09-30/results/work9-recall99-20261015/Ours-evaluation/per_query.csv</t>
        </is>
      </c>
    </row>
    <row r="29">
      <c r="A29" s="0" t="inlineStr">
        <is>
          <t>I44</t>
        </is>
      </c>
      <c r="B29" s="0" t="n">
        <v>0.85642335</v>
      </c>
      <c r="C29" s="0" t="inlineStr">
        <is>
          <t>query_ms</t>
        </is>
      </c>
      <c r="D29" s="0" t="n">
        <v>10</v>
      </c>
      <c r="E29" s="0" t="n">
        <v>34</v>
      </c>
      <c r="F29" s="0" t="inlineStr">
        <is>
          <t>/mnt/d/paper_source/work_9/VeriANN_repro_2026-09-30/VeriANN_repro_2026-09-30/results/work9-recall99-20261015/Ours-evaluation/per_query.csv</t>
        </is>
      </c>
    </row>
    <row r="30">
      <c r="A30" s="0" t="inlineStr">
        <is>
          <t>J23</t>
        </is>
      </c>
      <c r="B30" s="0" t="n">
        <v>80.3</v>
      </c>
      <c r="C30" s="0" t="inlineStr">
        <is>
          <t>recall_percent</t>
        </is>
      </c>
      <c r="D30" s="0" t="n">
        <v>10</v>
      </c>
      <c r="E30" s="0" t="n">
        <v>40</v>
      </c>
      <c r="F30" s="0" t="inlineStr">
        <is>
          <t>/mnt/d/paper_source/work_9/VeriANN_repro_2026-09-30/VeriANN_repro_2026-09-30/results/work9-recall99-20261015/Ours-evaluation/per_query.csv</t>
        </is>
      </c>
    </row>
    <row r="31">
      <c r="A31" s="0" t="inlineStr">
        <is>
          <t>J24</t>
        </is>
      </c>
      <c r="B31" s="0" t="n">
        <v>114.56068</v>
      </c>
      <c r="C31" s="0" t="inlineStr">
        <is>
          <t>vo_kb</t>
        </is>
      </c>
      <c r="D31" s="0" t="n">
        <v>10</v>
      </c>
      <c r="E31" s="0" t="n">
        <v>40</v>
      </c>
      <c r="F31" s="0" t="inlineStr">
        <is>
          <t>/mnt/d/paper_source/work_9/VeriANN_repro_2026-09-30/VeriANN_repro_2026-09-30/results/work9-recall99-20261015/Ours-evaluation/per_query.csv</t>
        </is>
      </c>
    </row>
    <row r="32">
      <c r="A32" s="0" t="inlineStr">
        <is>
          <t>J33</t>
        </is>
      </c>
      <c r="B32" s="0" t="n">
        <v>80.3</v>
      </c>
      <c r="C32" s="0" t="inlineStr">
        <is>
          <t>recall_percent</t>
        </is>
      </c>
      <c r="D32" s="0" t="n">
        <v>10</v>
      </c>
      <c r="E32" s="0" t="n">
        <v>40</v>
      </c>
      <c r="F32" s="0" t="inlineStr">
        <is>
          <t>/mnt/d/paper_source/work_9/VeriANN_repro_2026-09-30/VeriANN_repro_2026-09-30/results/work9-recall99-20261015/Ours-evaluation/per_query.csv</t>
        </is>
      </c>
    </row>
    <row r="33">
      <c r="A33" s="0" t="inlineStr">
        <is>
          <t>J34</t>
        </is>
      </c>
      <c r="B33" s="0" t="n">
        <v>2.30338058333333</v>
      </c>
      <c r="C33" s="0" t="inlineStr">
        <is>
          <t>verify_ms</t>
        </is>
      </c>
      <c r="D33" s="0" t="n">
        <v>10</v>
      </c>
      <c r="E33" s="0" t="n">
        <v>40</v>
      </c>
      <c r="F33" s="0" t="inlineStr">
        <is>
          <t>/mnt/d/paper_source/work_9/VeriANN_repro_2026-09-30/VeriANN_repro_2026-09-30/results/work9-recall99-20261015/Ours-evaluation/per_query.csv</t>
        </is>
      </c>
    </row>
    <row r="34">
      <c r="A34" s="0" t="inlineStr">
        <is>
          <t>J43</t>
        </is>
      </c>
      <c r="B34" s="0" t="n">
        <v>80.3</v>
      </c>
      <c r="C34" s="0" t="inlineStr">
        <is>
          <t>recall_percent</t>
        </is>
      </c>
      <c r="D34" s="0" t="n">
        <v>10</v>
      </c>
      <c r="E34" s="0" t="n">
        <v>40</v>
      </c>
      <c r="F34" s="0" t="inlineStr">
        <is>
          <t>/mnt/d/paper_source/work_9/VeriANN_repro_2026-09-30/VeriANN_repro_2026-09-30/results/work9-recall99-20261015/Ours-evaluation/per_query.csv</t>
        </is>
      </c>
    </row>
    <row r="35">
      <c r="A35" s="0" t="inlineStr">
        <is>
          <t>J44</t>
        </is>
      </c>
      <c r="B35" s="0" t="n">
        <v>0.9713977633333331</v>
      </c>
      <c r="C35" s="0" t="inlineStr">
        <is>
          <t>query_ms</t>
        </is>
      </c>
      <c r="D35" s="0" t="n">
        <v>10</v>
      </c>
      <c r="E35" s="0" t="n">
        <v>40</v>
      </c>
      <c r="F35" s="0" t="inlineStr">
        <is>
          <t>/mnt/d/paper_source/work_9/VeriANN_repro_2026-09-30/VeriANN_repro_2026-09-30/results/work9-recall99-20261015/Ours-evaluation/per_query.csv</t>
        </is>
      </c>
    </row>
    <row r="36">
      <c r="A36" s="0" t="inlineStr">
        <is>
          <t>K23</t>
        </is>
      </c>
      <c r="B36" s="0" t="n">
        <v>87.3</v>
      </c>
      <c r="C36" s="0" t="inlineStr">
        <is>
          <t>recall_percent</t>
        </is>
      </c>
      <c r="D36" s="0" t="n">
        <v>10</v>
      </c>
      <c r="E36" s="0" t="n">
        <v>64</v>
      </c>
      <c r="F36" s="0" t="inlineStr">
        <is>
          <t>/mnt/d/paper_source/work_9/VeriANN_repro_2026-09-30/VeriANN_repro_2026-09-30/results/work9-recall99-20261015/Ours-evaluation/per_query.csv</t>
        </is>
      </c>
    </row>
    <row r="37">
      <c r="A37" s="0" t="inlineStr">
        <is>
          <t>K24</t>
        </is>
      </c>
      <c r="B37" s="0" t="n">
        <v>153.43736</v>
      </c>
      <c r="C37" s="0" t="inlineStr">
        <is>
          <t>vo_kb</t>
        </is>
      </c>
      <c r="D37" s="0" t="n">
        <v>10</v>
      </c>
      <c r="E37" s="0" t="n">
        <v>64</v>
      </c>
      <c r="F37" s="0" t="inlineStr">
        <is>
          <t>/mnt/d/paper_source/work_9/VeriANN_repro_2026-09-30/VeriANN_repro_2026-09-30/results/work9-recall99-20261015/Ours-evaluation/per_query.csv</t>
        </is>
      </c>
    </row>
    <row r="38">
      <c r="A38" s="0" t="inlineStr">
        <is>
          <t>K33</t>
        </is>
      </c>
      <c r="B38" s="0" t="n">
        <v>87.3</v>
      </c>
      <c r="C38" s="0" t="inlineStr">
        <is>
          <t>recall_percent</t>
        </is>
      </c>
      <c r="D38" s="0" t="n">
        <v>10</v>
      </c>
      <c r="E38" s="0" t="n">
        <v>64</v>
      </c>
      <c r="F38" s="0" t="inlineStr">
        <is>
          <t>/mnt/d/paper_source/work_9/VeriANN_repro_2026-09-30/VeriANN_repro_2026-09-30/results/work9-recall99-20261015/Ours-evaluation/per_query.csv</t>
        </is>
      </c>
    </row>
    <row r="39">
      <c r="A39" s="0" t="inlineStr">
        <is>
          <t>K34</t>
        </is>
      </c>
      <c r="B39" s="0" t="n">
        <v>3.06051667666667</v>
      </c>
      <c r="C39" s="0" t="inlineStr">
        <is>
          <t>verify_ms</t>
        </is>
      </c>
      <c r="D39" s="0" t="n">
        <v>10</v>
      </c>
      <c r="E39" s="0" t="n">
        <v>64</v>
      </c>
      <c r="F39" s="0" t="inlineStr">
        <is>
          <t>/mnt/d/paper_source/work_9/VeriANN_repro_2026-09-30/VeriANN_repro_2026-09-30/results/work9-recall99-20261015/Ours-evaluation/per_query.csv</t>
        </is>
      </c>
    </row>
    <row r="40">
      <c r="A40" s="0" t="inlineStr">
        <is>
          <t>K43</t>
        </is>
      </c>
      <c r="B40" s="0" t="n">
        <v>87.3</v>
      </c>
      <c r="C40" s="0" t="inlineStr">
        <is>
          <t>recall_percent</t>
        </is>
      </c>
      <c r="D40" s="0" t="n">
        <v>10</v>
      </c>
      <c r="E40" s="0" t="n">
        <v>64</v>
      </c>
      <c r="F40" s="0" t="inlineStr">
        <is>
          <t>/mnt/d/paper_source/work_9/VeriANN_repro_2026-09-30/VeriANN_repro_2026-09-30/results/work9-recall99-20261015/Ours-evaluation/per_query.csv</t>
        </is>
      </c>
    </row>
    <row r="41">
      <c r="A41" s="0" t="inlineStr">
        <is>
          <t>K44</t>
        </is>
      </c>
      <c r="B41" s="0" t="n">
        <v>1.37489354333333</v>
      </c>
      <c r="C41" s="0" t="inlineStr">
        <is>
          <t>query_ms</t>
        </is>
      </c>
      <c r="D41" s="0" t="n">
        <v>10</v>
      </c>
      <c r="E41" s="0" t="n">
        <v>64</v>
      </c>
      <c r="F41" s="0" t="inlineStr">
        <is>
          <t>/mnt/d/paper_source/work_9/VeriANN_repro_2026-09-30/VeriANN_repro_2026-09-30/results/work9-recall99-20261015/Ours-evaluation/per_query.csv</t>
        </is>
      </c>
    </row>
    <row r="42">
      <c r="A42" s="0" t="inlineStr">
        <is>
          <t>L23</t>
        </is>
      </c>
      <c r="B42" s="0" t="n">
        <v>90.40000000000001</v>
      </c>
      <c r="C42" s="0" t="inlineStr">
        <is>
          <t>recall_percent</t>
        </is>
      </c>
      <c r="D42" s="0" t="n">
        <v>10</v>
      </c>
      <c r="E42" s="0" t="n">
        <v>80</v>
      </c>
      <c r="F42" s="0" t="inlineStr">
        <is>
          <t>/mnt/d/paper_source/work_9/VeriANN_repro_2026-09-30/VeriANN_repro_2026-09-30/results/work9-recall99-20261015/Ours-evaluation/per_query.csv</t>
        </is>
      </c>
    </row>
    <row r="43">
      <c r="A43" s="0" t="inlineStr">
        <is>
          <t>L24</t>
        </is>
      </c>
      <c r="B43" s="0" t="n">
        <v>175.69476</v>
      </c>
      <c r="C43" s="0" t="inlineStr">
        <is>
          <t>vo_kb</t>
        </is>
      </c>
      <c r="D43" s="0" t="n">
        <v>10</v>
      </c>
      <c r="E43" s="0" t="n">
        <v>80</v>
      </c>
      <c r="F43" s="0" t="inlineStr">
        <is>
          <t>/mnt/d/paper_source/work_9/VeriANN_repro_2026-09-30/VeriANN_repro_2026-09-30/results/work9-recall99-20261015/Ours-evaluation/per_query.csv</t>
        </is>
      </c>
    </row>
    <row r="44">
      <c r="A44" s="0" t="inlineStr">
        <is>
          <t>L33</t>
        </is>
      </c>
      <c r="B44" s="0" t="n">
        <v>90.40000000000001</v>
      </c>
      <c r="C44" s="0" t="inlineStr">
        <is>
          <t>recall_percent</t>
        </is>
      </c>
      <c r="D44" s="0" t="n">
        <v>10</v>
      </c>
      <c r="E44" s="0" t="n">
        <v>80</v>
      </c>
      <c r="F44" s="0" t="inlineStr">
        <is>
          <t>/mnt/d/paper_source/work_9/VeriANN_repro_2026-09-30/VeriANN_repro_2026-09-30/results/work9-recall99-20261015/Ours-evaluation/per_query.csv</t>
        </is>
      </c>
    </row>
    <row r="45">
      <c r="A45" s="0" t="inlineStr">
        <is>
          <t>L34</t>
        </is>
      </c>
      <c r="B45" s="0" t="n">
        <v>3.48902270333333</v>
      </c>
      <c r="C45" s="0" t="inlineStr">
        <is>
          <t>verify_ms</t>
        </is>
      </c>
      <c r="D45" s="0" t="n">
        <v>10</v>
      </c>
      <c r="E45" s="0" t="n">
        <v>80</v>
      </c>
      <c r="F45" s="0" t="inlineStr">
        <is>
          <t>/mnt/d/paper_source/work_9/VeriANN_repro_2026-09-30/VeriANN_repro_2026-09-30/results/work9-recall99-20261015/Ours-evaluation/per_query.csv</t>
        </is>
      </c>
    </row>
    <row r="46">
      <c r="A46" s="0" t="inlineStr">
        <is>
          <t>L43</t>
        </is>
      </c>
      <c r="B46" s="0" t="n">
        <v>90.40000000000001</v>
      </c>
      <c r="C46" s="0" t="inlineStr">
        <is>
          <t>recall_percent</t>
        </is>
      </c>
      <c r="D46" s="0" t="n">
        <v>10</v>
      </c>
      <c r="E46" s="0" t="n">
        <v>80</v>
      </c>
      <c r="F46" s="0" t="inlineStr">
        <is>
          <t>/mnt/d/paper_source/work_9/VeriANN_repro_2026-09-30/VeriANN_repro_2026-09-30/results/work9-recall99-20261015/Ours-evaluation/per_query.csv</t>
        </is>
      </c>
    </row>
    <row r="47">
      <c r="A47" s="0" t="inlineStr">
        <is>
          <t>L44</t>
        </is>
      </c>
      <c r="B47" s="0" t="n">
        <v>1.66592562666667</v>
      </c>
      <c r="C47" s="0" t="inlineStr">
        <is>
          <t>query_ms</t>
        </is>
      </c>
      <c r="D47" s="0" t="n">
        <v>10</v>
      </c>
      <c r="E47" s="0" t="n">
        <v>80</v>
      </c>
      <c r="F47" s="0" t="inlineStr">
        <is>
          <t>/mnt/d/paper_source/work_9/VeriANN_repro_2026-09-30/VeriANN_repro_2026-09-30/results/work9-recall99-20261015/Ours-evaluation/per_query.csv</t>
        </is>
      </c>
    </row>
    <row r="48">
      <c r="A48" s="0" t="inlineStr">
        <is>
          <t>M23</t>
        </is>
      </c>
      <c r="B48" s="0" t="n">
        <v>95.40000000000001</v>
      </c>
      <c r="C48" s="0" t="inlineStr">
        <is>
          <t>recall_percent</t>
        </is>
      </c>
      <c r="D48" s="0" t="n">
        <v>10</v>
      </c>
      <c r="E48" s="0" t="n">
        <v>128</v>
      </c>
      <c r="F48" s="0" t="inlineStr">
        <is>
          <t>/mnt/d/paper_source/work_9/VeriANN_repro_2026-09-30/VeriANN_repro_2026-09-30/results/work9-recall99-20261015/Ours-evaluation/per_query.csv</t>
        </is>
      </c>
    </row>
    <row r="49">
      <c r="A49" s="0" t="inlineStr">
        <is>
          <t>M24</t>
        </is>
      </c>
      <c r="B49" s="0" t="n">
        <v>236.02116</v>
      </c>
      <c r="C49" s="0" t="inlineStr">
        <is>
          <t>vo_kb</t>
        </is>
      </c>
      <c r="D49" s="0" t="n">
        <v>10</v>
      </c>
      <c r="E49" s="0" t="n">
        <v>128</v>
      </c>
      <c r="F49" s="0" t="inlineStr">
        <is>
          <t>/mnt/d/paper_source/work_9/VeriANN_repro_2026-09-30/VeriANN_repro_2026-09-30/results/work9-recall99-20261015/Ours-evaluation/per_query.csv</t>
        </is>
      </c>
    </row>
    <row r="50">
      <c r="A50" s="0" t="inlineStr">
        <is>
          <t>M33</t>
        </is>
      </c>
      <c r="B50" s="0" t="n">
        <v>95.40000000000001</v>
      </c>
      <c r="C50" s="0" t="inlineStr">
        <is>
          <t>recall_percent</t>
        </is>
      </c>
      <c r="D50" s="0" t="n">
        <v>10</v>
      </c>
      <c r="E50" s="0" t="n">
        <v>128</v>
      </c>
      <c r="F50" s="0" t="inlineStr">
        <is>
          <t>/mnt/d/paper_source/work_9/VeriANN_repro_2026-09-30/VeriANN_repro_2026-09-30/results/work9-recall99-20261015/Ours-evaluation/per_query.csv</t>
        </is>
      </c>
    </row>
    <row r="51">
      <c r="A51" s="0" t="inlineStr">
        <is>
          <t>M34</t>
        </is>
      </c>
      <c r="B51" s="0" t="n">
        <v>4.68043708333333</v>
      </c>
      <c r="C51" s="0" t="inlineStr">
        <is>
          <t>verify_ms</t>
        </is>
      </c>
      <c r="D51" s="0" t="n">
        <v>10</v>
      </c>
      <c r="E51" s="0" t="n">
        <v>128</v>
      </c>
      <c r="F51" s="0" t="inlineStr">
        <is>
          <t>/mnt/d/paper_source/work_9/VeriANN_repro_2026-09-30/VeriANN_repro_2026-09-30/results/work9-recall99-20261015/Ours-evaluation/per_query.csv</t>
        </is>
      </c>
    </row>
    <row r="52">
      <c r="A52" s="0" t="inlineStr">
        <is>
          <t>M43</t>
        </is>
      </c>
      <c r="B52" s="0" t="n">
        <v>95.40000000000001</v>
      </c>
      <c r="C52" s="0" t="inlineStr">
        <is>
          <t>recall_percent</t>
        </is>
      </c>
      <c r="D52" s="0" t="n">
        <v>10</v>
      </c>
      <c r="E52" s="0" t="n">
        <v>128</v>
      </c>
      <c r="F52" s="0" t="inlineStr">
        <is>
          <t>/mnt/d/paper_source/work_9/VeriANN_repro_2026-09-30/VeriANN_repro_2026-09-30/results/work9-recall99-20261015/Ours-evaluation/per_query.csv</t>
        </is>
      </c>
    </row>
    <row r="53">
      <c r="A53" s="0" t="inlineStr">
        <is>
          <t>M44</t>
        </is>
      </c>
      <c r="B53" s="0" t="n">
        <v>2.33039252333333</v>
      </c>
      <c r="C53" s="0" t="inlineStr">
        <is>
          <t>query_ms</t>
        </is>
      </c>
      <c r="D53" s="0" t="n">
        <v>10</v>
      </c>
      <c r="E53" s="0" t="n">
        <v>128</v>
      </c>
      <c r="F53" s="0" t="inlineStr">
        <is>
          <t>/mnt/d/paper_source/work_9/VeriANN_repro_2026-09-30/VeriANN_repro_2026-09-30/results/work9-recall99-20261015/Ours-evaluation/per_query.csv</t>
        </is>
      </c>
    </row>
    <row r="54">
      <c r="A54" s="0" t="inlineStr">
        <is>
          <t>N23</t>
        </is>
      </c>
      <c r="B54" s="0" t="n">
        <v>97.2</v>
      </c>
      <c r="C54" s="0" t="inlineStr">
        <is>
          <t>recall_percent</t>
        </is>
      </c>
      <c r="D54" s="0" t="n">
        <v>10</v>
      </c>
      <c r="E54" s="0" t="n">
        <v>192</v>
      </c>
      <c r="F54" s="0" t="inlineStr">
        <is>
          <t>/mnt/d/paper_source/work_9/VeriANN_repro_2026-09-30/VeriANN_repro_2026-09-30/results/work9-recall99-20261015/Ours-evaluation/per_query.csv</t>
        </is>
      </c>
    </row>
    <row r="55">
      <c r="A55" s="0" t="inlineStr">
        <is>
          <t>N24</t>
        </is>
      </c>
      <c r="B55" s="0" t="n">
        <v>307.025</v>
      </c>
      <c r="C55" s="0" t="inlineStr">
        <is>
          <t>vo_kb</t>
        </is>
      </c>
      <c r="D55" s="0" t="n">
        <v>10</v>
      </c>
      <c r="E55" s="0" t="n">
        <v>192</v>
      </c>
      <c r="F55" s="0" t="inlineStr">
        <is>
          <t>/mnt/d/paper_source/work_9/VeriANN_repro_2026-09-30/VeriANN_repro_2026-09-30/results/work9-recall99-20261015/Ours-evaluation/per_query.csv</t>
        </is>
      </c>
    </row>
    <row r="56">
      <c r="A56" s="0" t="inlineStr">
        <is>
          <t>N33</t>
        </is>
      </c>
      <c r="B56" s="0" t="n">
        <v>97.2</v>
      </c>
      <c r="C56" s="0" t="inlineStr">
        <is>
          <t>recall_percent</t>
        </is>
      </c>
      <c r="D56" s="0" t="n">
        <v>10</v>
      </c>
      <c r="E56" s="0" t="n">
        <v>192</v>
      </c>
      <c r="F56" s="0" t="inlineStr">
        <is>
          <t>/mnt/d/paper_source/work_9/VeriANN_repro_2026-09-30/VeriANN_repro_2026-09-30/results/work9-recall99-20261015/Ours-evaluation/per_query.csv</t>
        </is>
      </c>
    </row>
    <row r="57">
      <c r="A57" s="0" t="inlineStr">
        <is>
          <t>N34</t>
        </is>
      </c>
      <c r="B57" s="0" t="n">
        <v>6.08716991666667</v>
      </c>
      <c r="C57" s="0" t="inlineStr">
        <is>
          <t>verify_ms</t>
        </is>
      </c>
      <c r="D57" s="0" t="n">
        <v>10</v>
      </c>
      <c r="E57" s="0" t="n">
        <v>192</v>
      </c>
      <c r="F57" s="0" t="inlineStr">
        <is>
          <t>/mnt/d/paper_source/work_9/VeriANN_repro_2026-09-30/VeriANN_repro_2026-09-30/results/work9-recall99-20261015/Ours-evaluation/per_query.csv</t>
        </is>
      </c>
    </row>
    <row r="58">
      <c r="A58" s="0" t="inlineStr">
        <is>
          <t>N43</t>
        </is>
      </c>
      <c r="B58" s="0" t="n">
        <v>97.2</v>
      </c>
      <c r="C58" s="0" t="inlineStr">
        <is>
          <t>recall_percent</t>
        </is>
      </c>
      <c r="D58" s="0" t="n">
        <v>10</v>
      </c>
      <c r="E58" s="0" t="n">
        <v>192</v>
      </c>
      <c r="F58" s="0" t="inlineStr">
        <is>
          <t>/mnt/d/paper_source/work_9/VeriANN_repro_2026-09-30/VeriANN_repro_2026-09-30/results/work9-recall99-20261015/Ours-evaluation/per_query.csv</t>
        </is>
      </c>
    </row>
    <row r="59">
      <c r="A59" s="0" t="inlineStr">
        <is>
          <t>N44</t>
        </is>
      </c>
      <c r="B59" s="0" t="n">
        <v>3.21146328333333</v>
      </c>
      <c r="C59" s="0" t="inlineStr">
        <is>
          <t>query_ms</t>
        </is>
      </c>
      <c r="D59" s="0" t="n">
        <v>10</v>
      </c>
      <c r="E59" s="0" t="n">
        <v>192</v>
      </c>
      <c r="F59" s="0" t="inlineStr">
        <is>
          <t>/mnt/d/paper_source/work_9/VeriANN_repro_2026-09-30/VeriANN_repro_2026-09-30/results/work9-recall99-20261015/Ours-evaluation/per_query.csv</t>
        </is>
      </c>
    </row>
    <row r="60">
      <c r="A60" s="0" t="inlineStr">
        <is>
          <t>O23</t>
        </is>
      </c>
      <c r="B60" s="0" t="n">
        <v>98.7</v>
      </c>
      <c r="C60" s="0" t="inlineStr">
        <is>
          <t>recall_percent</t>
        </is>
      </c>
      <c r="D60" s="0" t="n">
        <v>10</v>
      </c>
      <c r="E60" s="0" t="n">
        <v>384</v>
      </c>
      <c r="F60" s="0" t="inlineStr">
        <is>
          <t>/mnt/d/paper_source/work_9/VeriANN_repro_2026-09-30/VeriANN_repro_2026-09-30/results/work9-recall99-20261015/Ours-evaluation/per_query.csv</t>
        </is>
      </c>
    </row>
    <row r="61">
      <c r="A61" s="0" t="inlineStr">
        <is>
          <t>O24</t>
        </is>
      </c>
      <c r="B61" s="0" t="n">
        <v>490.266</v>
      </c>
      <c r="C61" s="0" t="inlineStr">
        <is>
          <t>vo_kb</t>
        </is>
      </c>
      <c r="D61" s="0" t="n">
        <v>10</v>
      </c>
      <c r="E61" s="0" t="n">
        <v>384</v>
      </c>
      <c r="F61" s="0" t="inlineStr">
        <is>
          <t>/mnt/d/paper_source/work_9/VeriANN_repro_2026-09-30/VeriANN_repro_2026-09-30/results/work9-recall99-20261015/Ours-evaluation/per_query.csv</t>
        </is>
      </c>
    </row>
    <row r="62">
      <c r="A62" s="0" t="inlineStr">
        <is>
          <t>O33</t>
        </is>
      </c>
      <c r="B62" s="0" t="n">
        <v>98.7</v>
      </c>
      <c r="C62" s="0" t="inlineStr">
        <is>
          <t>recall_percent</t>
        </is>
      </c>
      <c r="D62" s="0" t="n">
        <v>10</v>
      </c>
      <c r="E62" s="0" t="n">
        <v>384</v>
      </c>
      <c r="F62" s="0" t="inlineStr">
        <is>
          <t>/mnt/d/paper_source/work_9/VeriANN_repro_2026-09-30/VeriANN_repro_2026-09-30/results/work9-recall99-20261015/Ours-evaluation/per_query.csv</t>
        </is>
      </c>
    </row>
    <row r="63">
      <c r="A63" s="0" t="inlineStr">
        <is>
          <t>O34</t>
        </is>
      </c>
      <c r="B63" s="0" t="n">
        <v>9.89511474333333</v>
      </c>
      <c r="C63" s="0" t="inlineStr">
        <is>
          <t>verify_ms</t>
        </is>
      </c>
      <c r="D63" s="0" t="n">
        <v>10</v>
      </c>
      <c r="E63" s="0" t="n">
        <v>384</v>
      </c>
      <c r="F63" s="0" t="inlineStr">
        <is>
          <t>/mnt/d/paper_source/work_9/VeriANN_repro_2026-09-30/VeriANN_repro_2026-09-30/results/work9-recall99-20261015/Ours-evaluation/per_query.csv</t>
        </is>
      </c>
    </row>
    <row r="64">
      <c r="A64" s="0" t="inlineStr">
        <is>
          <t>O43</t>
        </is>
      </c>
      <c r="B64" s="0" t="n">
        <v>98.7</v>
      </c>
      <c r="C64" s="0" t="inlineStr">
        <is>
          <t>recall_percent</t>
        </is>
      </c>
      <c r="D64" s="0" t="n">
        <v>10</v>
      </c>
      <c r="E64" s="0" t="n">
        <v>384</v>
      </c>
      <c r="F64" s="0" t="inlineStr">
        <is>
          <t>/mnt/d/paper_source/work_9/VeriANN_repro_2026-09-30/VeriANN_repro_2026-09-30/results/work9-recall99-20261015/Ours-evaluation/per_query.csv</t>
        </is>
      </c>
    </row>
    <row r="65">
      <c r="A65" s="0" t="inlineStr">
        <is>
          <t>O44</t>
        </is>
      </c>
      <c r="B65" s="0" t="n">
        <v>5.43708398</v>
      </c>
      <c r="C65" s="0" t="inlineStr">
        <is>
          <t>query_ms</t>
        </is>
      </c>
      <c r="D65" s="0" t="n">
        <v>10</v>
      </c>
      <c r="E65" s="0" t="n">
        <v>384</v>
      </c>
      <c r="F65" s="0" t="inlineStr">
        <is>
          <t>/mnt/d/paper_source/work_9/VeriANN_repro_2026-09-30/VeriANN_repro_2026-09-30/results/work9-recall99-20261015/Ours-evaluation/per_query.csv</t>
        </is>
      </c>
    </row>
    <row r="66">
      <c r="A66" s="0" t="inlineStr">
        <is>
          <t>P23</t>
        </is>
      </c>
      <c r="B66" s="0" t="n">
        <v>99</v>
      </c>
      <c r="C66" s="0" t="inlineStr">
        <is>
          <t>recall_percent</t>
        </is>
      </c>
      <c r="D66" s="0" t="n">
        <v>10</v>
      </c>
      <c r="E66" s="0" t="n">
        <v>512</v>
      </c>
      <c r="F66" s="0" t="inlineStr">
        <is>
          <t>/mnt/d/paper_source/work_9/VeriANN_repro_2026-09-30/VeriANN_repro_2026-09-30/results/work9-recall99-20261015/Ours-evaluation/per_query.csv</t>
        </is>
      </c>
    </row>
    <row r="67">
      <c r="A67" s="0" t="inlineStr">
        <is>
          <t>P24</t>
        </is>
      </c>
      <c r="B67" s="0" t="n">
        <v>599.2962</v>
      </c>
      <c r="C67" s="0" t="inlineStr">
        <is>
          <t>vo_kb</t>
        </is>
      </c>
      <c r="D67" s="0" t="n">
        <v>10</v>
      </c>
      <c r="E67" s="0" t="n">
        <v>512</v>
      </c>
      <c r="F67" s="0" t="inlineStr">
        <is>
          <t>/mnt/d/paper_source/work_9/VeriANN_repro_2026-09-30/VeriANN_repro_2026-09-30/results/work9-recall99-20261015/Ours-evaluation/per_query.csv</t>
        </is>
      </c>
    </row>
    <row r="68">
      <c r="A68" s="0" t="inlineStr">
        <is>
          <t>P33</t>
        </is>
      </c>
      <c r="B68" s="0" t="n">
        <v>99</v>
      </c>
      <c r="C68" s="0" t="inlineStr">
        <is>
          <t>recall_percent</t>
        </is>
      </c>
      <c r="D68" s="0" t="n">
        <v>10</v>
      </c>
      <c r="E68" s="0" t="n">
        <v>512</v>
      </c>
      <c r="F68" s="0" t="inlineStr">
        <is>
          <t>/mnt/d/paper_source/work_9/VeriANN_repro_2026-09-30/VeriANN_repro_2026-09-30/results/work9-recall99-20261015/Ours-evaluation/per_query.csv</t>
        </is>
      </c>
    </row>
    <row r="69">
      <c r="A69" s="0" t="inlineStr">
        <is>
          <t>P34</t>
        </is>
      </c>
      <c r="B69" s="0" t="n">
        <v>12.29062924</v>
      </c>
      <c r="C69" s="0" t="inlineStr">
        <is>
          <t>verify_ms</t>
        </is>
      </c>
      <c r="D69" s="0" t="n">
        <v>10</v>
      </c>
      <c r="E69" s="0" t="n">
        <v>512</v>
      </c>
      <c r="F69" s="0" t="inlineStr">
        <is>
          <t>/mnt/d/paper_source/work_9/VeriANN_repro_2026-09-30/VeriANN_repro_2026-09-30/results/work9-recall99-20261015/Ours-evaluation/per_query.csv</t>
        </is>
      </c>
    </row>
    <row r="70">
      <c r="A70" s="0" t="inlineStr">
        <is>
          <t>P43</t>
        </is>
      </c>
      <c r="B70" s="0" t="n">
        <v>99</v>
      </c>
      <c r="C70" s="0" t="inlineStr">
        <is>
          <t>recall_percent</t>
        </is>
      </c>
      <c r="D70" s="0" t="n">
        <v>10</v>
      </c>
      <c r="E70" s="0" t="n">
        <v>512</v>
      </c>
      <c r="F70" s="0" t="inlineStr">
        <is>
          <t>/mnt/d/paper_source/work_9/VeriANN_repro_2026-09-30/VeriANN_repro_2026-09-30/results/work9-recall99-20261015/Ours-evaluation/per_query.csv</t>
        </is>
      </c>
    </row>
    <row r="71">
      <c r="A71" s="0" t="inlineStr">
        <is>
          <t>P44</t>
        </is>
      </c>
      <c r="B71" s="0" t="n">
        <v>6.88074424333333</v>
      </c>
      <c r="C71" s="0" t="inlineStr">
        <is>
          <t>query_ms</t>
        </is>
      </c>
      <c r="D71" s="0" t="n">
        <v>10</v>
      </c>
      <c r="E71" s="0" t="n">
        <v>512</v>
      </c>
      <c r="F71" s="0" t="inlineStr">
        <is>
          <t>/mnt/d/paper_source/work_9/VeriANN_repro_2026-09-30/VeriANN_repro_2026-09-30/results/work9-recall99-20261015/Ours-evaluation/per_query.csv</t>
        </is>
      </c>
    </row>
    <row r="72">
      <c r="A72" s="0" t="inlineStr">
        <is>
          <t>F56</t>
        </is>
      </c>
      <c r="B72" s="0" t="n">
        <v>113.31172</v>
      </c>
      <c r="C72" s="0" t="inlineStr">
        <is>
          <t>vo_kb</t>
        </is>
      </c>
      <c r="D72" s="0" t="n">
        <v>10</v>
      </c>
      <c r="E72" s="0" t="n">
        <v>64</v>
      </c>
      <c r="F72" s="0" t="inlineStr">
        <is>
          <t>D:\paper_source\work_9\VeriANN_repro_2026-09-30\VeriANN_repro_2026-09-30\results\work9-ours-lut-20261015\size-100000-evaluation\per_query.csv</t>
        </is>
      </c>
    </row>
    <row r="73">
      <c r="A73" s="0" t="inlineStr">
        <is>
          <t>F66</t>
        </is>
      </c>
      <c r="B73" s="0" t="n">
        <v>2.21916620333333</v>
      </c>
      <c r="C73" s="0" t="inlineStr">
        <is>
          <t>verify_ms</t>
        </is>
      </c>
      <c r="D73" s="0" t="n">
        <v>10</v>
      </c>
      <c r="E73" s="0" t="n">
        <v>64</v>
      </c>
      <c r="F73" s="0" t="inlineStr">
        <is>
          <t>D:\paper_source\work_9\VeriANN_repro_2026-09-30\VeriANN_repro_2026-09-30\results\work9-ours-lut-20261015\size-100000-evaluation\per_query.csv</t>
        </is>
      </c>
    </row>
    <row r="74">
      <c r="A74" s="0" t="inlineStr">
        <is>
          <t>F75</t>
        </is>
      </c>
      <c r="B74" s="0" t="n">
        <v>0.97129939</v>
      </c>
      <c r="C74" s="0" t="inlineStr">
        <is>
          <t>query_ms</t>
        </is>
      </c>
      <c r="D74" s="0" t="n">
        <v>10</v>
      </c>
      <c r="E74" s="0" t="n">
        <v>64</v>
      </c>
      <c r="F74" s="0" t="inlineStr">
        <is>
          <t>D:\paper_source\work_9\VeriANN_repro_2026-09-30\VeriANN_repro_2026-09-30\results\work9-ours-lut-20261015\size-100000-evaluation\per_query.csv</t>
        </is>
      </c>
    </row>
    <row r="75">
      <c r="A75" s="0" t="inlineStr">
        <is>
          <t>G56</t>
        </is>
      </c>
      <c r="B75" s="0" t="n">
        <v>203.17924</v>
      </c>
      <c r="C75" s="0" t="inlineStr">
        <is>
          <t>vo_kb</t>
        </is>
      </c>
      <c r="D75" s="0" t="n">
        <v>10</v>
      </c>
      <c r="E75" s="0" t="n">
        <v>112</v>
      </c>
      <c r="F75" s="0" t="inlineStr">
        <is>
          <t>D:\paper_source\work_9\VeriANN_repro_2026-09-30\VeriANN_repro_2026-09-30\results\work9-ours-lut-20261015\size-500000-evaluation\per_query.csv</t>
        </is>
      </c>
    </row>
    <row r="76">
      <c r="A76" s="0" t="inlineStr">
        <is>
          <t>G66</t>
        </is>
      </c>
      <c r="B76" s="0" t="n">
        <v>4.03459994</v>
      </c>
      <c r="C76" s="0" t="inlineStr">
        <is>
          <t>verify_ms</t>
        </is>
      </c>
      <c r="D76" s="0" t="n">
        <v>10</v>
      </c>
      <c r="E76" s="0" t="n">
        <v>112</v>
      </c>
      <c r="F76" s="0" t="inlineStr">
        <is>
          <t>D:\paper_source\work_9\VeriANN_repro_2026-09-30\VeriANN_repro_2026-09-30\results\work9-ours-lut-20261015\size-500000-evaluation\per_query.csv</t>
        </is>
      </c>
    </row>
    <row r="77">
      <c r="A77" s="0" t="inlineStr">
        <is>
          <t>G75</t>
        </is>
      </c>
      <c r="B77" s="0" t="n">
        <v>1.98728941666667</v>
      </c>
      <c r="C77" s="0" t="inlineStr">
        <is>
          <t>query_ms</t>
        </is>
      </c>
      <c r="D77" s="0" t="n">
        <v>10</v>
      </c>
      <c r="E77" s="0" t="n">
        <v>112</v>
      </c>
      <c r="F77" s="0" t="inlineStr">
        <is>
          <t>D:\paper_source\work_9\VeriANN_repro_2026-09-30\VeriANN_repro_2026-09-30\results\work9-ours-lut-20261015\size-500000-evaluation\per_query.csv</t>
        </is>
      </c>
    </row>
    <row r="78">
      <c r="A78" s="0" t="inlineStr">
        <is>
          <t>H56</t>
        </is>
      </c>
      <c r="B78" s="0" t="n">
        <v>240.95032</v>
      </c>
      <c r="C78" s="0" t="inlineStr">
        <is>
          <t>vo_kb</t>
        </is>
      </c>
      <c r="D78" s="0" t="n">
        <v>10</v>
      </c>
      <c r="E78" s="0" t="n">
        <v>128</v>
      </c>
      <c r="F78" s="0" t="inlineStr">
        <is>
          <t>D:\paper_source\work_9\VeriANN_repro_2026-09-30\VeriANN_repro_2026-09-30\results\work9-ours-lut-20261015\size-1000000-evaluation\per_query.csv</t>
        </is>
      </c>
    </row>
    <row r="79">
      <c r="A79" s="0" t="inlineStr">
        <is>
          <t>H66</t>
        </is>
      </c>
      <c r="B79" s="0" t="n">
        <v>4.82873155666667</v>
      </c>
      <c r="C79" s="0" t="inlineStr">
        <is>
          <t>verify_ms</t>
        </is>
      </c>
      <c r="D79" s="0" t="n">
        <v>10</v>
      </c>
      <c r="E79" s="0" t="n">
        <v>128</v>
      </c>
      <c r="F79" s="0" t="inlineStr">
        <is>
          <t>D:\paper_source\work_9\VeriANN_repro_2026-09-30\VeriANN_repro_2026-09-30\results\work9-ours-lut-20261015\size-1000000-evaluation\per_query.csv</t>
        </is>
      </c>
    </row>
    <row r="80">
      <c r="A80" s="0" t="inlineStr">
        <is>
          <t>H75</t>
        </is>
      </c>
      <c r="B80" s="0" t="n">
        <v>2.48054105666667</v>
      </c>
      <c r="C80" s="0" t="inlineStr">
        <is>
          <t>query_ms</t>
        </is>
      </c>
      <c r="D80" s="0" t="n">
        <v>10</v>
      </c>
      <c r="E80" s="0" t="n">
        <v>128</v>
      </c>
      <c r="F80" s="0" t="inlineStr">
        <is>
          <t>D:\paper_source\work_9\VeriANN_repro_2026-09-30\VeriANN_repro_2026-09-30\results\work9-ours-lut-20261015\size-1000000-evaluation\per_query.csv</t>
        </is>
      </c>
    </row>
    <row r="81">
      <c r="A81" s="0" t="inlineStr">
        <is>
          <t>I56</t>
        </is>
      </c>
      <c r="B81" s="0" t="n">
        <v>466.398</v>
      </c>
      <c r="C81" s="0" t="inlineStr">
        <is>
          <t>vo_kb</t>
        </is>
      </c>
      <c r="D81" s="0" t="n">
        <v>10</v>
      </c>
      <c r="E81" s="0" t="n">
        <v>256</v>
      </c>
      <c r="F81" s="0" t="inlineStr">
        <is>
          <t>D:\paper_source\work_9\VeriANN_repro_2026-09-30\VeriANN_repro_2026-09-30\results\work9-ours-lut-20261015\size-5000000-evaluation\per_query.csv</t>
        </is>
      </c>
    </row>
    <row r="82">
      <c r="A82" s="0" t="inlineStr">
        <is>
          <t>I66</t>
        </is>
      </c>
      <c r="B82" s="0" t="n">
        <v>9.642151933333331</v>
      </c>
      <c r="C82" s="0" t="inlineStr">
        <is>
          <t>verify_ms</t>
        </is>
      </c>
      <c r="D82" s="0" t="n">
        <v>10</v>
      </c>
      <c r="E82" s="0" t="n">
        <v>256</v>
      </c>
      <c r="F82" s="0" t="inlineStr">
        <is>
          <t>D:\paper_source\work_9\VeriANN_repro_2026-09-30\VeriANN_repro_2026-09-30\results\work9-ours-lut-20261015\size-5000000-evaluation\per_query.csv</t>
        </is>
      </c>
    </row>
    <row r="83">
      <c r="A83" s="0" t="inlineStr">
        <is>
          <t>I75</t>
        </is>
      </c>
      <c r="B83" s="0" t="n">
        <v>5.62847572</v>
      </c>
      <c r="C83" s="0" t="inlineStr">
        <is>
          <t>query_ms</t>
        </is>
      </c>
      <c r="D83" s="0" t="n">
        <v>10</v>
      </c>
      <c r="E83" s="0" t="n">
        <v>256</v>
      </c>
      <c r="F83" s="0" t="inlineStr">
        <is>
          <t>D:\paper_source\work_9\VeriANN_repro_2026-09-30\VeriANN_repro_2026-09-30\results\work9-ours-lut-20261015\size-5000000-evaluation\per_query.csv</t>
        </is>
      </c>
    </row>
    <row r="84">
      <c r="A84" s="0" t="inlineStr">
        <is>
          <t>J56</t>
        </is>
      </c>
      <c r="B84" s="0" t="n">
        <v>823.07632</v>
      </c>
      <c r="C84" s="0" t="inlineStr">
        <is>
          <t>vo_kb</t>
        </is>
      </c>
      <c r="D84" s="0" t="n">
        <v>10</v>
      </c>
      <c r="E84" s="0" t="n">
        <v>512</v>
      </c>
      <c r="F84" s="0" t="inlineStr">
        <is>
          <t>D:\paper_source\work_9\VeriANN_repro_2026-09-30\VeriANN_repro_2026-09-30\results\work9-ours-lut-20261015\size-10000000-evaluation\per_query.csv</t>
        </is>
      </c>
    </row>
    <row r="85">
      <c r="A85" s="0" t="inlineStr">
        <is>
          <t>J66</t>
        </is>
      </c>
      <c r="B85" s="0" t="n">
        <v>17.2410478166667</v>
      </c>
      <c r="C85" s="0" t="inlineStr">
        <is>
          <t>verify_ms</t>
        </is>
      </c>
      <c r="D85" s="0" t="n">
        <v>10</v>
      </c>
      <c r="E85" s="0" t="n">
        <v>512</v>
      </c>
      <c r="F85" s="0" t="inlineStr">
        <is>
          <t>D:\paper_source\work_9\VeriANN_repro_2026-09-30\VeriANN_repro_2026-09-30\results\work9-ours-lut-20261015\size-10000000-evaluation\per_query.csv</t>
        </is>
      </c>
    </row>
    <row r="86">
      <c r="A86" s="0" t="inlineStr">
        <is>
          <t>J75</t>
        </is>
      </c>
      <c r="B86" s="0" t="n">
        <v>10.7202669733333</v>
      </c>
      <c r="C86" s="0" t="inlineStr">
        <is>
          <t>query_ms</t>
        </is>
      </c>
      <c r="D86" s="0" t="n">
        <v>10</v>
      </c>
      <c r="E86" s="0" t="n">
        <v>512</v>
      </c>
      <c r="F86" s="0" t="inlineStr">
        <is>
          <t>D:\paper_source\work_9\VeriANN_repro_2026-09-30\VeriANN_repro_2026-09-30\results\work9-ours-lut-20261015\size-10000000-evaluation\per_query.csv</t>
        </is>
      </c>
    </row>
    <row r="87">
      <c r="A87" s="0" t="inlineStr">
        <is>
          <t>F86</t>
        </is>
      </c>
      <c r="B87" s="0" t="n">
        <v>167.24012</v>
      </c>
      <c r="C87" s="0" t="inlineStr">
        <is>
          <t>vo_kb</t>
        </is>
      </c>
      <c r="D87" s="0" t="n">
        <v>1</v>
      </c>
      <c r="E87" s="0" t="n">
        <v>128</v>
      </c>
      <c r="F87" s="0" t="inlineStr">
        <is>
          <t>D:\paper_source\work_9\VeriANN_repro_2026-09-30\VeriANN_repro_2026-09-30\results\work9-ours-lut-20261015\sift1m-k-curve\per_query.csv</t>
        </is>
      </c>
    </row>
    <row r="88">
      <c r="A88" s="0" t="inlineStr">
        <is>
          <t>F96</t>
        </is>
      </c>
      <c r="B88" s="0" t="n">
        <v>3.12134448666667</v>
      </c>
      <c r="C88" s="0" t="inlineStr">
        <is>
          <t>verify_ms</t>
        </is>
      </c>
      <c r="D88" s="0" t="n">
        <v>1</v>
      </c>
      <c r="E88" s="0" t="n">
        <v>128</v>
      </c>
      <c r="F88" s="0" t="inlineStr">
        <is>
          <t>D:\paper_source\work_9\VeriANN_repro_2026-09-30\VeriANN_repro_2026-09-30\results\work9-ours-lut-20261015\sift1m-k-curve\per_query.csv</t>
        </is>
      </c>
    </row>
    <row r="89">
      <c r="A89" s="0" t="inlineStr">
        <is>
          <t>F105</t>
        </is>
      </c>
      <c r="B89" s="0" t="n">
        <v>1.92241361333333</v>
      </c>
      <c r="C89" s="0" t="inlineStr">
        <is>
          <t>query_ms</t>
        </is>
      </c>
      <c r="D89" s="0" t="n">
        <v>1</v>
      </c>
      <c r="E89" s="0" t="n">
        <v>128</v>
      </c>
      <c r="F89" s="0" t="inlineStr">
        <is>
          <t>D:\paper_source\work_9\VeriANN_repro_2026-09-30\VeriANN_repro_2026-09-30\results\work9-ours-lut-20261015\sift1m-k-curve\per_query.csv</t>
        </is>
      </c>
    </row>
    <row r="90">
      <c r="A90" s="0" t="inlineStr">
        <is>
          <t>G86</t>
        </is>
      </c>
      <c r="B90" s="0" t="n">
        <v>206.25892</v>
      </c>
      <c r="C90" s="0" t="inlineStr">
        <is>
          <t>vo_kb</t>
        </is>
      </c>
      <c r="D90" s="0" t="n">
        <v>5</v>
      </c>
      <c r="E90" s="0" t="n">
        <v>128</v>
      </c>
      <c r="F90" s="0" t="inlineStr">
        <is>
          <t>D:\paper_source\work_9\VeriANN_repro_2026-09-30\VeriANN_repro_2026-09-30\results\work9-ours-lut-20261015\sift1m-k-curve\per_query.csv</t>
        </is>
      </c>
    </row>
    <row r="91">
      <c r="A91" s="0" t="inlineStr">
        <is>
          <t>G96</t>
        </is>
      </c>
      <c r="B91" s="0" t="n">
        <v>4.03429735</v>
      </c>
      <c r="C91" s="0" t="inlineStr">
        <is>
          <t>verify_ms</t>
        </is>
      </c>
      <c r="D91" s="0" t="n">
        <v>5</v>
      </c>
      <c r="E91" s="0" t="n">
        <v>128</v>
      </c>
      <c r="F91" s="0" t="inlineStr">
        <is>
          <t>D:\paper_source\work_9\VeriANN_repro_2026-09-30\VeriANN_repro_2026-09-30\results\work9-ours-lut-20261015\sift1m-k-curve\per_query.csv</t>
        </is>
      </c>
    </row>
    <row r="92">
      <c r="A92" s="0" t="inlineStr">
        <is>
          <t>G105</t>
        </is>
      </c>
      <c r="B92" s="0" t="n">
        <v>2.18742684666667</v>
      </c>
      <c r="C92" s="0" t="inlineStr">
        <is>
          <t>query_ms</t>
        </is>
      </c>
      <c r="D92" s="0" t="n">
        <v>5</v>
      </c>
      <c r="E92" s="0" t="n">
        <v>128</v>
      </c>
      <c r="F92" s="0" t="inlineStr">
        <is>
          <t>D:\paper_source\work_9\VeriANN_repro_2026-09-30\VeriANN_repro_2026-09-30\results\work9-ours-lut-20261015\sift1m-k-curve\per_query.csv</t>
        </is>
      </c>
    </row>
    <row r="93">
      <c r="A93" s="0" t="inlineStr">
        <is>
          <t>H86</t>
        </is>
      </c>
      <c r="B93" s="0" t="n">
        <v>236.02116</v>
      </c>
      <c r="C93" s="0" t="inlineStr">
        <is>
          <t>vo_kb</t>
        </is>
      </c>
      <c r="D93" s="0" t="n">
        <v>10</v>
      </c>
      <c r="E93" s="0" t="n">
        <v>128</v>
      </c>
      <c r="F93" s="0" t="inlineStr">
        <is>
          <t>D:\paper_source\work_9\VeriANN_repro_2026-09-30\VeriANN_repro_2026-09-30\results\work9-ours-lut-20261015\sift1m-k-curve\per_query.csv</t>
        </is>
      </c>
    </row>
    <row r="94">
      <c r="A94" s="0" t="inlineStr">
        <is>
          <t>H96</t>
        </is>
      </c>
      <c r="B94" s="0" t="n">
        <v>4.76585432</v>
      </c>
      <c r="C94" s="0" t="inlineStr">
        <is>
          <t>verify_ms</t>
        </is>
      </c>
      <c r="D94" s="0" t="n">
        <v>10</v>
      </c>
      <c r="E94" s="0" t="n">
        <v>128</v>
      </c>
      <c r="F94" s="0" t="inlineStr">
        <is>
          <t>D:\paper_source\work_9\VeriANN_repro_2026-09-30\VeriANN_repro_2026-09-30\results\work9-ours-lut-20261015\sift1m-k-curve\per_query.csv</t>
        </is>
      </c>
    </row>
    <row r="95">
      <c r="A95" s="0" t="inlineStr">
        <is>
          <t>H105</t>
        </is>
      </c>
      <c r="B95" s="0" t="n">
        <v>2.37117783666667</v>
      </c>
      <c r="C95" s="0" t="inlineStr">
        <is>
          <t>query_ms</t>
        </is>
      </c>
      <c r="D95" s="0" t="n">
        <v>10</v>
      </c>
      <c r="E95" s="0" t="n">
        <v>128</v>
      </c>
      <c r="F95" s="0" t="inlineStr">
        <is>
          <t>D:\paper_source\work_9\VeriANN_repro_2026-09-30\VeriANN_repro_2026-09-30\results\work9-ours-lut-20261015\sift1m-k-curve\per_query.csv</t>
        </is>
      </c>
    </row>
    <row r="96">
      <c r="A96" s="0" t="inlineStr">
        <is>
          <t>I86</t>
        </is>
      </c>
      <c r="B96" s="0" t="n">
        <v>276.68988</v>
      </c>
      <c r="C96" s="0" t="inlineStr">
        <is>
          <t>vo_kb</t>
        </is>
      </c>
      <c r="D96" s="0" t="n">
        <v>20</v>
      </c>
      <c r="E96" s="0" t="n">
        <v>128</v>
      </c>
      <c r="F96" s="0" t="inlineStr">
        <is>
          <t>D:\paper_source\work_9\VeriANN_repro_2026-09-30\VeriANN_repro_2026-09-30\results\work9-ours-lut-20261015\sift1m-k-curve\per_query.csv</t>
        </is>
      </c>
    </row>
    <row r="97">
      <c r="A97" s="0" t="inlineStr">
        <is>
          <t>I96</t>
        </is>
      </c>
      <c r="B97" s="0" t="n">
        <v>5.60640999333333</v>
      </c>
      <c r="C97" s="0" t="inlineStr">
        <is>
          <t>verify_ms</t>
        </is>
      </c>
      <c r="D97" s="0" t="n">
        <v>20</v>
      </c>
      <c r="E97" s="0" t="n">
        <v>128</v>
      </c>
      <c r="F97" s="0" t="inlineStr">
        <is>
          <t>D:\paper_source\work_9\VeriANN_repro_2026-09-30\VeriANN_repro_2026-09-30\results\work9-ours-lut-20261015\sift1m-k-curve\per_query.csv</t>
        </is>
      </c>
    </row>
    <row r="98">
      <c r="A98" s="0" t="inlineStr">
        <is>
          <t>I105</t>
        </is>
      </c>
      <c r="B98" s="0" t="n">
        <v>2.65065829333333</v>
      </c>
      <c r="C98" s="0" t="inlineStr">
        <is>
          <t>query_ms</t>
        </is>
      </c>
      <c r="D98" s="0" t="n">
        <v>20</v>
      </c>
      <c r="E98" s="0" t="n">
        <v>128</v>
      </c>
      <c r="F98" s="0" t="inlineStr">
        <is>
          <t>D:\paper_source\work_9\VeriANN_repro_2026-09-30\VeriANN_repro_2026-09-30\results\work9-ours-lut-20261015\sift1m-k-curve\per_query.csv</t>
        </is>
      </c>
    </row>
    <row r="99">
      <c r="A99" s="0" t="inlineStr">
        <is>
          <t>J86</t>
        </is>
      </c>
      <c r="B99" s="0" t="n">
        <v>358.24828</v>
      </c>
      <c r="C99" s="0" t="inlineStr">
        <is>
          <t>vo_kb</t>
        </is>
      </c>
      <c r="D99" s="0" t="n">
        <v>50</v>
      </c>
      <c r="E99" s="0" t="n">
        <v>128</v>
      </c>
      <c r="F99" s="0" t="inlineStr">
        <is>
          <t>D:\paper_source\work_9\VeriANN_repro_2026-09-30\VeriANN_repro_2026-09-30\results\work9-ours-lut-20261015\sift1m-k-curve\per_query.csv</t>
        </is>
      </c>
    </row>
    <row r="100">
      <c r="A100" s="0" t="inlineStr">
        <is>
          <t>J96</t>
        </is>
      </c>
      <c r="B100" s="0" t="n">
        <v>7.28955199</v>
      </c>
      <c r="C100" s="0" t="inlineStr">
        <is>
          <t>verify_ms</t>
        </is>
      </c>
      <c r="D100" s="0" t="n">
        <v>50</v>
      </c>
      <c r="E100" s="0" t="n">
        <v>128</v>
      </c>
      <c r="F100" s="0" t="inlineStr">
        <is>
          <t>D:\paper_source\work_9\VeriANN_repro_2026-09-30\VeriANN_repro_2026-09-30\results\work9-ours-lut-20261015\sift1m-k-curve\per_query.csv</t>
        </is>
      </c>
    </row>
    <row r="101">
      <c r="A101" s="0" t="inlineStr">
        <is>
          <t>J105</t>
        </is>
      </c>
      <c r="B101" s="0" t="n">
        <v>3.08604256666667</v>
      </c>
      <c r="C101" s="0" t="inlineStr">
        <is>
          <t>query_ms</t>
        </is>
      </c>
      <c r="D101" s="0" t="n">
        <v>50</v>
      </c>
      <c r="E101" s="0" t="n">
        <v>128</v>
      </c>
      <c r="F101" s="0" t="inlineStr">
        <is>
          <t>D:\paper_source\work_9\VeriANN_repro_2026-09-30\VeriANN_repro_2026-09-30\results\work9-ours-lut-20261015\sift1m-k-curve\per_query.csv</t>
        </is>
      </c>
    </row>
    <row r="102">
      <c r="A102" s="0" t="inlineStr">
        <is>
          <t>K86</t>
        </is>
      </c>
      <c r="B102" s="0" t="n">
        <v>454.3086</v>
      </c>
      <c r="C102" s="0" t="inlineStr">
        <is>
          <t>vo_kb</t>
        </is>
      </c>
      <c r="D102" s="0" t="n">
        <v>100</v>
      </c>
      <c r="E102" s="0" t="n">
        <v>128</v>
      </c>
      <c r="F102" s="0" t="inlineStr">
        <is>
          <t>D:\paper_source\work_9\VeriANN_repro_2026-09-30\VeriANN_repro_2026-09-30\results\work9-ours-lut-20261015\sift1m-k-curve\per_query.csv</t>
        </is>
      </c>
    </row>
    <row r="103">
      <c r="A103" s="0" t="inlineStr">
        <is>
          <t>K96</t>
        </is>
      </c>
      <c r="B103" s="0" t="n">
        <v>9.077528473333331</v>
      </c>
      <c r="C103" s="0" t="inlineStr">
        <is>
          <t>verify_ms</t>
        </is>
      </c>
      <c r="D103" s="0" t="n">
        <v>100</v>
      </c>
      <c r="E103" s="0" t="n">
        <v>128</v>
      </c>
      <c r="F103" s="0" t="inlineStr">
        <is>
          <t>D:\paper_source\work_9\VeriANN_repro_2026-09-30\VeriANN_repro_2026-09-30\results\work9-ours-lut-20261015\sift1m-k-curve\per_query.csv</t>
        </is>
      </c>
    </row>
    <row r="104">
      <c r="A104" s="0" t="inlineStr">
        <is>
          <t>K105</t>
        </is>
      </c>
      <c r="B104" s="0" t="n">
        <v>3.60933811</v>
      </c>
      <c r="C104" s="0" t="inlineStr">
        <is>
          <t>query_ms</t>
        </is>
      </c>
      <c r="D104" s="0" t="n">
        <v>100</v>
      </c>
      <c r="E104" s="0" t="n">
        <v>128</v>
      </c>
      <c r="F104" s="0" t="inlineStr">
        <is>
          <t>D:\paper_source\work_9\VeriANN_repro_2026-09-30\VeriANN_repro_2026-09-30\results\work9-ours-lut-20261015\sift1m-k-curve\per_query.csv</t>
        </is>
      </c>
    </row>
  </sheetData>
  <autoFilter ref="A1:F104"/>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J44"/>
  <sheetViews>
    <sheetView workbookViewId="0">
      <pane xSplit="3" ySplit="1" topLeftCell="D2"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3.5"/>
  <cols>
    <col width="22" customWidth="1" style="1" min="1" max="9"/>
    <col width="100" customWidth="1" style="1" min="10" max="10"/>
  </cols>
  <sheetData>
    <row r="1">
      <c r="A1" s="9" t="inlineStr">
        <is>
          <t>method</t>
        </is>
      </c>
      <c r="B1" s="9" t="inlineStr">
        <is>
          <t>Target Recall</t>
        </is>
      </c>
      <c r="C1" s="9" t="inlineStr">
        <is>
          <t>Actual Recall@10</t>
        </is>
      </c>
      <c r="D1" s="9" t="inlineStr">
        <is>
          <t>Query ms</t>
        </is>
      </c>
      <c r="E1" s="9" t="inlineStr">
        <is>
          <t>Verify ms</t>
        </is>
      </c>
      <c r="F1" s="9" t="inlineStr">
        <is>
          <t>VO KB</t>
        </is>
      </c>
      <c r="G1" s="9" t="inlineStr">
        <is>
          <t>efSearch or E</t>
        </is>
      </c>
      <c r="H1" s="9" t="inlineStr">
        <is>
          <t>probes</t>
        </is>
      </c>
      <c r="I1" s="9" t="inlineStr">
        <is>
          <t>samples</t>
        </is>
      </c>
      <c r="J1" s="9" t="inlineStr">
        <is>
          <t>raw CSV</t>
        </is>
      </c>
    </row>
    <row r="2">
      <c r="A2" s="0" t="inlineStr">
        <is>
          <t>VLAH</t>
        </is>
      </c>
      <c r="B2" s="127" t="n">
        <v>0.6</v>
      </c>
      <c r="C2" s="127" t="n">
        <v>0.607</v>
      </c>
      <c r="D2" s="0" t="n">
        <v>17.0517269033333</v>
      </c>
      <c r="E2" s="0" t="n">
        <v>45.3004235666667</v>
      </c>
      <c r="F2" s="0" t="n">
        <v>6884.91722</v>
      </c>
      <c r="G2" s="0" t="n">
        <v>100</v>
      </c>
      <c r="H2" s="0" t="n">
        <v>11</v>
      </c>
      <c r="I2" s="0" t="n">
        <v>300</v>
      </c>
      <c r="J2" s="0" t="inlineStr">
        <is>
          <t>/mnt/d/paper_source/work_9/VeriANN_repro_2026-09-30/VeriANN_repro_2026-09-30/results/work9-recall99-20261015/VLAH-evaluation/per_query.csv</t>
        </is>
      </c>
    </row>
    <row r="3">
      <c r="A3" s="0" t="inlineStr">
        <is>
          <t>VLAH</t>
        </is>
      </c>
      <c r="B3" s="127" t="n">
        <v>0.65</v>
      </c>
      <c r="C3" s="127" t="n">
        <v>0.654</v>
      </c>
      <c r="D3" s="0" t="n">
        <v>20.2751743866667</v>
      </c>
      <c r="E3" s="0" t="n">
        <v>53.9443851833333</v>
      </c>
      <c r="F3" s="0" t="n">
        <v>8168.20064</v>
      </c>
      <c r="G3" s="0" t="n">
        <v>100</v>
      </c>
      <c r="H3" s="0" t="n">
        <v>13</v>
      </c>
      <c r="I3" s="0" t="n">
        <v>300</v>
      </c>
      <c r="J3" s="0" t="inlineStr">
        <is>
          <t>/mnt/d/paper_source/work_9/VeriANN_repro_2026-09-30/VeriANN_repro_2026-09-30/results/work9-recall99-20261015/VLAH-evaluation/per_query.csv</t>
        </is>
      </c>
    </row>
    <row r="4">
      <c r="A4" s="0" t="inlineStr">
        <is>
          <t>VLAH</t>
        </is>
      </c>
      <c r="B4" s="127" t="n">
        <v>0.7</v>
      </c>
      <c r="C4" s="127" t="n">
        <v>0.708</v>
      </c>
      <c r="D4" s="0" t="n">
        <v>26.32129043</v>
      </c>
      <c r="E4" s="0" t="n">
        <v>70.0221579833333</v>
      </c>
      <c r="F4" s="0" t="n">
        <v>10594.0396</v>
      </c>
      <c r="G4" s="0" t="n">
        <v>100</v>
      </c>
      <c r="H4" s="0" t="n">
        <v>17</v>
      </c>
      <c r="I4" s="0" t="n">
        <v>300</v>
      </c>
      <c r="J4" s="0" t="inlineStr">
        <is>
          <t>/mnt/d/paper_source/work_9/VeriANN_repro_2026-09-30/VeriANN_repro_2026-09-30/results/work9-recall99-20261015/VLAH-evaluation/per_query.csv</t>
        </is>
      </c>
    </row>
    <row r="5">
      <c r="A5" s="0" t="inlineStr">
        <is>
          <t>VLAH</t>
        </is>
      </c>
      <c r="B5" s="127" t="n">
        <v>0.75</v>
      </c>
      <c r="C5" s="127" t="n">
        <v>0.75</v>
      </c>
      <c r="D5" s="0" t="n">
        <v>29.3498243433333</v>
      </c>
      <c r="E5" s="0" t="n">
        <v>78.27115032</v>
      </c>
      <c r="F5" s="0" t="n">
        <v>11799.26473</v>
      </c>
      <c r="G5" s="0" t="n">
        <v>100</v>
      </c>
      <c r="H5" s="0" t="n">
        <v>19</v>
      </c>
      <c r="I5" s="0" t="n">
        <v>300</v>
      </c>
      <c r="J5" s="0" t="inlineStr">
        <is>
          <t>/mnt/d/paper_source/work_9/VeriANN_repro_2026-09-30/VeriANN_repro_2026-09-30/results/work9-recall99-20261015/VLAH-evaluation/per_query.csv</t>
        </is>
      </c>
    </row>
    <row r="6">
      <c r="A6" s="0" t="inlineStr">
        <is>
          <t>VLAH</t>
        </is>
      </c>
      <c r="B6" s="127" t="n">
        <v>0.8</v>
      </c>
      <c r="C6" s="127" t="n">
        <v>0.8</v>
      </c>
      <c r="D6" s="0" t="n">
        <v>36.5804762</v>
      </c>
      <c r="E6" s="0" t="n">
        <v>97.75630345</v>
      </c>
      <c r="F6" s="0" t="n">
        <v>14707.67269</v>
      </c>
      <c r="G6" s="0" t="n">
        <v>100</v>
      </c>
      <c r="H6" s="0" t="n">
        <v>24</v>
      </c>
      <c r="I6" s="0" t="n">
        <v>300</v>
      </c>
      <c r="J6" s="0" t="inlineStr">
        <is>
          <t>/mnt/d/paper_source/work_9/VeriANN_repro_2026-09-30/VeriANN_repro_2026-09-30/results/work9-recall99-20261015/VLAH-evaluation/per_query.csv</t>
        </is>
      </c>
    </row>
    <row r="7">
      <c r="A7" s="0" t="inlineStr">
        <is>
          <t>VLAH</t>
        </is>
      </c>
      <c r="B7" s="127" t="n">
        <v>0.85</v>
      </c>
      <c r="C7" s="127" t="n">
        <v>0.85</v>
      </c>
      <c r="D7" s="0" t="n">
        <v>40.9267938566667</v>
      </c>
      <c r="E7" s="0" t="n">
        <v>109.452387803333</v>
      </c>
      <c r="F7" s="0" t="n">
        <v>16410.55426</v>
      </c>
      <c r="G7" s="0" t="n">
        <v>100</v>
      </c>
      <c r="H7" s="0" t="n">
        <v>27</v>
      </c>
      <c r="I7" s="0" t="n">
        <v>300</v>
      </c>
      <c r="J7" s="0" t="inlineStr">
        <is>
          <t>/mnt/d/paper_source/work_9/VeriANN_repro_2026-09-30/VeriANN_repro_2026-09-30/results/work9-recall99-20261015/VLAH-evaluation/per_query.csv</t>
        </is>
      </c>
    </row>
    <row r="8">
      <c r="A8" s="0" t="inlineStr">
        <is>
          <t>VLAH</t>
        </is>
      </c>
      <c r="B8" s="127" t="n">
        <v>0.9</v>
      </c>
      <c r="C8" s="127" t="n">
        <v>0.903</v>
      </c>
      <c r="D8" s="0" t="n">
        <v>48.2655236333333</v>
      </c>
      <c r="E8" s="0" t="n">
        <v>127.420139816667</v>
      </c>
      <c r="F8" s="0" t="n">
        <v>19121.68517</v>
      </c>
      <c r="G8" s="0" t="n">
        <v>100</v>
      </c>
      <c r="H8" s="0" t="n">
        <v>32</v>
      </c>
      <c r="I8" s="0" t="n">
        <v>300</v>
      </c>
      <c r="J8" s="0" t="inlineStr">
        <is>
          <t>/mnt/d/paper_source/work_9/VeriANN_repro_2026-09-30/VeriANN_repro_2026-09-30/results/work9-recall99-20261015/VLAH-evaluation/per_query.csv</t>
        </is>
      </c>
    </row>
    <row r="9">
      <c r="A9" s="0" t="inlineStr">
        <is>
          <t>VLAH</t>
        </is>
      </c>
      <c r="B9" s="127" t="n">
        <v>0.95</v>
      </c>
      <c r="C9" s="127" t="n">
        <v>0.952</v>
      </c>
      <c r="D9" s="0" t="n">
        <v>56.3584423366667</v>
      </c>
      <c r="E9" s="0" t="n">
        <v>150.39012002</v>
      </c>
      <c r="F9" s="0" t="n">
        <v>22551.14638</v>
      </c>
      <c r="G9" s="0" t="n">
        <v>100</v>
      </c>
      <c r="H9" s="0" t="n">
        <v>39</v>
      </c>
      <c r="I9" s="0" t="n">
        <v>300</v>
      </c>
      <c r="J9" s="0" t="inlineStr">
        <is>
          <t>/mnt/d/paper_source/work_9/VeriANN_repro_2026-09-30/VeriANN_repro_2026-09-30/results/work9-recall99-20261015/VLAH-evaluation/per_query.csv</t>
        </is>
      </c>
    </row>
    <row r="10">
      <c r="A10" s="0" t="inlineStr">
        <is>
          <t>VLAH</t>
        </is>
      </c>
      <c r="B10" s="127" t="n">
        <v>0.97</v>
      </c>
      <c r="C10" s="127" t="n">
        <v>0.972</v>
      </c>
      <c r="D10" s="0" t="n">
        <v>60.5991719466667</v>
      </c>
      <c r="E10" s="0" t="n">
        <v>158.266914293333</v>
      </c>
      <c r="F10" s="0" t="n">
        <v>23604.59377</v>
      </c>
      <c r="G10" s="0" t="n">
        <v>100</v>
      </c>
      <c r="H10" s="0" t="n">
        <v>41</v>
      </c>
      <c r="I10" s="0" t="n">
        <v>300</v>
      </c>
      <c r="J10" s="0" t="inlineStr">
        <is>
          <t>/mnt/d/paper_source/work_9/VeriANN_repro_2026-09-30/VeriANN_repro_2026-09-30/results/work9-recall99-20261015/VLAH-evaluation/per_query.csv</t>
        </is>
      </c>
    </row>
    <row r="11">
      <c r="A11" s="0" t="inlineStr">
        <is>
          <t>VLAH</t>
        </is>
      </c>
      <c r="B11" s="127" t="n">
        <v>0.98</v>
      </c>
      <c r="C11" s="127" t="n">
        <v>0.98</v>
      </c>
      <c r="D11" s="0" t="n">
        <v>67.77530642000001</v>
      </c>
      <c r="E11" s="0" t="n">
        <v>167.846554113333</v>
      </c>
      <c r="F11" s="0" t="n">
        <v>24977.07306</v>
      </c>
      <c r="G11" s="0" t="n">
        <v>100</v>
      </c>
      <c r="H11" s="0" t="n">
        <v>44</v>
      </c>
      <c r="I11" s="0" t="n">
        <v>300</v>
      </c>
      <c r="J11" s="0" t="inlineStr">
        <is>
          <t>/mnt/d/paper_source/work_9/VeriANN_repro_2026-09-30/VeriANN_repro_2026-09-30/results/work9-recall99-20261015/VLAH-evaluation/per_query.csv</t>
        </is>
      </c>
    </row>
    <row r="12">
      <c r="A12" s="0" t="inlineStr">
        <is>
          <t>VLAH</t>
        </is>
      </c>
      <c r="B12" s="127" t="n">
        <v>0.99</v>
      </c>
      <c r="C12" s="127" t="n">
        <v>0.991</v>
      </c>
      <c r="D12" s="0" t="n">
        <v>71.5946153666667</v>
      </c>
      <c r="E12" s="0" t="n">
        <v>176.97110718</v>
      </c>
      <c r="F12" s="0" t="n">
        <v>26276.0758</v>
      </c>
      <c r="G12" s="0" t="n">
        <v>100</v>
      </c>
      <c r="H12" s="0" t="n">
        <v>47</v>
      </c>
      <c r="I12" s="0" t="n">
        <v>300</v>
      </c>
      <c r="J12" s="0" t="inlineStr">
        <is>
          <t>/mnt/d/paper_source/work_9/VeriANN_repro_2026-09-30/VeriANN_repro_2026-09-30/results/work9-recall99-20261015/VLAH-evaluation/per_query.csv</t>
        </is>
      </c>
    </row>
    <row r="13">
      <c r="A13" s="0" t="inlineStr">
        <is>
          <t>ANNProof</t>
        </is>
      </c>
      <c r="B13" s="127" t="n">
        <v>0.6</v>
      </c>
      <c r="C13" s="127" t="n">
        <v>0.621</v>
      </c>
      <c r="D13" s="0" t="n">
        <v>0.716869013333333</v>
      </c>
      <c r="E13" s="0" t="n">
        <v>3.80049899333333</v>
      </c>
      <c r="F13" s="0" t="n">
        <v>304.84092</v>
      </c>
      <c r="G13" s="0" t="n">
        <v>14</v>
      </c>
      <c r="H13" s="0" t="n">
        <v>1</v>
      </c>
      <c r="I13" s="0" t="n">
        <v>300</v>
      </c>
      <c r="J13" s="0" t="inlineStr">
        <is>
          <t>/mnt/d/paper_source/work_9/VeriANN_repro_2026-09-30/VeriANN_repro_2026-09-30/results/work9-recall99-20261015/ANNProof-evaluation/per_query.csv</t>
        </is>
      </c>
    </row>
    <row r="14">
      <c r="A14" s="0" t="inlineStr">
        <is>
          <t>ANNProof</t>
        </is>
      </c>
      <c r="B14" s="127" t="n">
        <v>0.65</v>
      </c>
      <c r="C14" s="127" t="n">
        <v>0.667</v>
      </c>
      <c r="D14" s="0" t="n">
        <v>0.752639593333333</v>
      </c>
      <c r="E14" s="0" t="n">
        <v>4.15148504666667</v>
      </c>
      <c r="F14" s="0" t="n">
        <v>329.81636</v>
      </c>
      <c r="G14" s="0" t="n">
        <v>16</v>
      </c>
      <c r="H14" s="0" t="n">
        <v>1</v>
      </c>
      <c r="I14" s="0" t="n">
        <v>300</v>
      </c>
      <c r="J14" s="0" t="inlineStr">
        <is>
          <t>/mnt/d/paper_source/work_9/VeriANN_repro_2026-09-30/VeriANN_repro_2026-09-30/results/work9-recall99-20261015/ANNProof-evaluation/per_query.csv</t>
        </is>
      </c>
    </row>
    <row r="15">
      <c r="A15" s="0" t="inlineStr">
        <is>
          <t>ANNProof</t>
        </is>
      </c>
      <c r="B15" s="127" t="n">
        <v>0.7</v>
      </c>
      <c r="C15" s="127" t="n">
        <v>0.716</v>
      </c>
      <c r="D15" s="0" t="n">
        <v>0.8841314</v>
      </c>
      <c r="E15" s="0" t="n">
        <v>4.66283399333333</v>
      </c>
      <c r="F15" s="0" t="n">
        <v>371.42244</v>
      </c>
      <c r="G15" s="0" t="n">
        <v>20</v>
      </c>
      <c r="H15" s="0" t="n">
        <v>1</v>
      </c>
      <c r="I15" s="0" t="n">
        <v>300</v>
      </c>
      <c r="J15" s="0" t="inlineStr">
        <is>
          <t>/mnt/d/paper_source/work_9/VeriANN_repro_2026-09-30/VeriANN_repro_2026-09-30/results/work9-recall99-20261015/ANNProof-evaluation/per_query.csv</t>
        </is>
      </c>
    </row>
    <row r="16">
      <c r="A16" s="0" t="inlineStr">
        <is>
          <t>ANNProof</t>
        </is>
      </c>
      <c r="B16" s="127" t="n">
        <v>0.75</v>
      </c>
      <c r="C16" s="127" t="n">
        <v>0.756</v>
      </c>
      <c r="D16" s="0" t="n">
        <v>0.94956975</v>
      </c>
      <c r="E16" s="0" t="n">
        <v>5.12229764666667</v>
      </c>
      <c r="F16" s="0" t="n">
        <v>410.95908</v>
      </c>
      <c r="G16" s="0" t="n">
        <v>24</v>
      </c>
      <c r="H16" s="0" t="n">
        <v>1</v>
      </c>
      <c r="I16" s="0" t="n">
        <v>300</v>
      </c>
      <c r="J16" s="0" t="inlineStr">
        <is>
          <t>/mnt/d/paper_source/work_9/VeriANN_repro_2026-09-30/VeriANN_repro_2026-09-30/results/work9-recall99-20261015/ANNProof-evaluation/per_query.csv</t>
        </is>
      </c>
    </row>
    <row r="17">
      <c r="A17" s="0" t="inlineStr">
        <is>
          <t>ANNProof</t>
        </is>
      </c>
      <c r="B17" s="127" t="n">
        <v>0.8</v>
      </c>
      <c r="C17" s="127" t="n">
        <v>0.8139999999999999</v>
      </c>
      <c r="D17" s="0" t="n">
        <v>1.19981304666667</v>
      </c>
      <c r="E17" s="0" t="n">
        <v>6.30241411666667</v>
      </c>
      <c r="F17" s="0" t="n">
        <v>502.67152</v>
      </c>
      <c r="G17" s="0" t="n">
        <v>34</v>
      </c>
      <c r="H17" s="0" t="n">
        <v>1</v>
      </c>
      <c r="I17" s="0" t="n">
        <v>300</v>
      </c>
      <c r="J17" s="0" t="inlineStr">
        <is>
          <t>/mnt/d/paper_source/work_9/VeriANN_repro_2026-09-30/VeriANN_repro_2026-09-30/results/work9-recall99-20261015/ANNProof-evaluation/per_query.csv</t>
        </is>
      </c>
    </row>
    <row r="18">
      <c r="A18" s="0" t="inlineStr">
        <is>
          <t>ANNProof</t>
        </is>
      </c>
      <c r="B18" s="127" t="n">
        <v>0.85</v>
      </c>
      <c r="C18" s="127" t="n">
        <v>0.865</v>
      </c>
      <c r="D18" s="0" t="n">
        <v>1.52797133666667</v>
      </c>
      <c r="E18" s="0" t="n">
        <v>7.90480122</v>
      </c>
      <c r="F18" s="0" t="n">
        <v>629.9272</v>
      </c>
      <c r="G18" s="0" t="n">
        <v>48</v>
      </c>
      <c r="H18" s="0" t="n">
        <v>1</v>
      </c>
      <c r="I18" s="0" t="n">
        <v>300</v>
      </c>
      <c r="J18" s="0" t="inlineStr">
        <is>
          <t>/mnt/d/paper_source/work_9/VeriANN_repro_2026-09-30/VeriANN_repro_2026-09-30/results/work9-recall99-20261015/ANNProof-evaluation/per_query.csv</t>
        </is>
      </c>
    </row>
    <row r="19">
      <c r="A19" s="0" t="inlineStr">
        <is>
          <t>ANNProof</t>
        </is>
      </c>
      <c r="B19" s="127" t="n">
        <v>0.9</v>
      </c>
      <c r="C19" s="127" t="n">
        <v>0.902</v>
      </c>
      <c r="D19" s="0" t="n">
        <v>1.96009546666667</v>
      </c>
      <c r="E19" s="0" t="n">
        <v>9.777948606666669</v>
      </c>
      <c r="F19" s="0" t="n">
        <v>775.95196</v>
      </c>
      <c r="G19" s="0" t="n">
        <v>64</v>
      </c>
      <c r="H19" s="0" t="n">
        <v>1</v>
      </c>
      <c r="I19" s="0" t="n">
        <v>300</v>
      </c>
      <c r="J19" s="0" t="inlineStr">
        <is>
          <t>/mnt/d/paper_source/work_9/VeriANN_repro_2026-09-30/VeriANN_repro_2026-09-30/results/work9-recall99-20261015/ANNProof-evaluation/per_query.csv</t>
        </is>
      </c>
    </row>
    <row r="20">
      <c r="A20" s="0" t="inlineStr">
        <is>
          <t>ANNProof</t>
        </is>
      </c>
      <c r="B20" s="127" t="n">
        <v>0.95</v>
      </c>
      <c r="C20" s="127" t="n">
        <v>0.951</v>
      </c>
      <c r="D20" s="0" t="n">
        <v>2.81582243666667</v>
      </c>
      <c r="E20" s="0" t="n">
        <v>13.50564445</v>
      </c>
      <c r="F20" s="0" t="n">
        <v>1071.01752</v>
      </c>
      <c r="G20" s="0" t="n">
        <v>100</v>
      </c>
      <c r="H20" s="0" t="n">
        <v>1</v>
      </c>
      <c r="I20" s="0" t="n">
        <v>300</v>
      </c>
      <c r="J20" s="0" t="inlineStr">
        <is>
          <t>/mnt/d/paper_source/work_9/VeriANN_repro_2026-09-30/VeriANN_repro_2026-09-30/results/work9-recall99-20261015/ANNProof-evaluation/per_query.csv</t>
        </is>
      </c>
    </row>
    <row r="21">
      <c r="A21" s="0" t="inlineStr">
        <is>
          <t>ANNProof</t>
        </is>
      </c>
      <c r="B21" s="127" t="n">
        <v>0.97</v>
      </c>
      <c r="C21" s="127" t="n">
        <v>0.973</v>
      </c>
      <c r="D21" s="0" t="n">
        <v>4.19542150666667</v>
      </c>
      <c r="E21" s="0" t="n">
        <v>19.3207201966667</v>
      </c>
      <c r="F21" s="0" t="n">
        <v>1533.3312</v>
      </c>
      <c r="G21" s="0" t="n">
        <v>160</v>
      </c>
      <c r="H21" s="0" t="n">
        <v>1</v>
      </c>
      <c r="I21" s="0" t="n">
        <v>300</v>
      </c>
      <c r="J21" s="0" t="inlineStr">
        <is>
          <t>/mnt/d/paper_source/work_9/VeriANN_repro_2026-09-30/VeriANN_repro_2026-09-30/results/work9-recall99-20261015/ANNProof-evaluation/per_query.csv</t>
        </is>
      </c>
    </row>
    <row r="22">
      <c r="A22" s="0" t="inlineStr">
        <is>
          <t>ANNProof</t>
        </is>
      </c>
      <c r="B22" s="127" t="n">
        <v>0.98</v>
      </c>
      <c r="C22" s="127" t="n">
        <v>0.981</v>
      </c>
      <c r="D22" s="0" t="n">
        <v>6.30232666</v>
      </c>
      <c r="E22" s="0" t="n">
        <v>27.84074771</v>
      </c>
      <c r="F22" s="0" t="n">
        <v>2202.81128</v>
      </c>
      <c r="G22" s="0" t="n">
        <v>256</v>
      </c>
      <c r="H22" s="0" t="n">
        <v>1</v>
      </c>
      <c r="I22" s="0" t="n">
        <v>300</v>
      </c>
      <c r="J22" s="0" t="inlineStr">
        <is>
          <t>/mnt/d/paper_source/work_9/VeriANN_repro_2026-09-30/VeriANN_repro_2026-09-30/results/work9-recall99-20261015/ANNProof-evaluation/per_query.csv</t>
        </is>
      </c>
    </row>
    <row r="23">
      <c r="A23" s="0" t="inlineStr">
        <is>
          <t>ANNProof</t>
        </is>
      </c>
      <c r="B23" s="127" t="n">
        <v>0.99</v>
      </c>
      <c r="C23" s="127" t="n">
        <v>0.99</v>
      </c>
      <c r="D23" s="0" t="n">
        <v>11.1530746866667</v>
      </c>
      <c r="E23" s="0" t="n">
        <v>47.2809814133333</v>
      </c>
      <c r="F23" s="0" t="n">
        <v>3757.36496</v>
      </c>
      <c r="G23" s="0" t="n">
        <v>512</v>
      </c>
      <c r="H23" s="0" t="n">
        <v>1</v>
      </c>
      <c r="I23" s="0" t="n">
        <v>300</v>
      </c>
      <c r="J23" s="0" t="inlineStr">
        <is>
          <t>/mnt/d/paper_source/work_9/VeriANN_repro_2026-09-30/VeriANN_repro_2026-09-30/results/work9-recall99-20261015/ANNProof-evaluation/per_query.csv</t>
        </is>
      </c>
    </row>
    <row r="24">
      <c r="A24" s="0" t="inlineStr">
        <is>
          <t>Ours</t>
        </is>
      </c>
      <c r="B24" s="127" t="n">
        <v>0.6</v>
      </c>
      <c r="C24" s="127" t="n">
        <v>0.623</v>
      </c>
      <c r="D24" s="0" t="n">
        <v>0.615278846666667</v>
      </c>
      <c r="E24" s="0" t="n">
        <v>1.55806525333333</v>
      </c>
      <c r="F24" s="0" t="n">
        <v>77.5966</v>
      </c>
      <c r="G24" s="0" t="n">
        <v>22</v>
      </c>
      <c r="H24" s="0" t="n">
        <v>1</v>
      </c>
      <c r="I24" s="0" t="n">
        <v>300</v>
      </c>
      <c r="J24" s="0" t="inlineStr">
        <is>
          <t>/mnt/d/paper_source/work_9/VeriANN_repro_2026-09-30/VeriANN_repro_2026-09-30/results/work9-recall99-20261015/Ours-evaluation/per_query.csv</t>
        </is>
      </c>
    </row>
    <row r="25">
      <c r="A25" s="0" t="inlineStr">
        <is>
          <t>Ours</t>
        </is>
      </c>
      <c r="B25" s="127" t="n">
        <v>0.65</v>
      </c>
      <c r="C25" s="127" t="n">
        <v>0.663</v>
      </c>
      <c r="D25" s="0" t="n">
        <v>0.658947806666667</v>
      </c>
      <c r="E25" s="0" t="n">
        <v>1.64942995</v>
      </c>
      <c r="F25" s="0" t="n">
        <v>82.3378</v>
      </c>
      <c r="G25" s="0" t="n">
        <v>24</v>
      </c>
      <c r="H25" s="0" t="n">
        <v>1</v>
      </c>
      <c r="I25" s="0" t="n">
        <v>300</v>
      </c>
      <c r="J25" s="0" t="inlineStr">
        <is>
          <t>/mnt/d/paper_source/work_9/VeriANN_repro_2026-09-30/VeriANN_repro_2026-09-30/results/work9-recall99-20261015/Ours-evaluation/per_query.csv</t>
        </is>
      </c>
    </row>
    <row r="26">
      <c r="A26" s="0" t="inlineStr">
        <is>
          <t>Ours</t>
        </is>
      </c>
      <c r="B26" s="127" t="n">
        <v>0.7</v>
      </c>
      <c r="C26" s="127" t="n">
        <v>0.702</v>
      </c>
      <c r="D26" s="0" t="n">
        <v>0.77556551</v>
      </c>
      <c r="E26" s="0" t="n">
        <v>1.82777087333333</v>
      </c>
      <c r="F26" s="0" t="n">
        <v>91.27648000000001</v>
      </c>
      <c r="G26" s="0" t="n">
        <v>28</v>
      </c>
      <c r="H26" s="0" t="n">
        <v>1</v>
      </c>
      <c r="I26" s="0" t="n">
        <v>300</v>
      </c>
      <c r="J26" s="0" t="inlineStr">
        <is>
          <t>/mnt/d/paper_source/work_9/VeriANN_repro_2026-09-30/VeriANN_repro_2026-09-30/results/work9-recall99-20261015/Ours-evaluation/per_query.csv</t>
        </is>
      </c>
    </row>
    <row r="27">
      <c r="A27" s="0" t="inlineStr">
        <is>
          <t>Ours</t>
        </is>
      </c>
      <c r="B27" s="127" t="n">
        <v>0.75</v>
      </c>
      <c r="C27" s="127" t="n">
        <v>0.76</v>
      </c>
      <c r="D27" s="0" t="n">
        <v>0.85642335</v>
      </c>
      <c r="E27" s="0" t="n">
        <v>2.06668139</v>
      </c>
      <c r="F27" s="0" t="n">
        <v>103.21712</v>
      </c>
      <c r="G27" s="0" t="n">
        <v>34</v>
      </c>
      <c r="H27" s="0" t="n">
        <v>1</v>
      </c>
      <c r="I27" s="0" t="n">
        <v>300</v>
      </c>
      <c r="J27" s="0" t="inlineStr">
        <is>
          <t>/mnt/d/paper_source/work_9/VeriANN_repro_2026-09-30/VeriANN_repro_2026-09-30/results/work9-recall99-20261015/Ours-evaluation/per_query.csv</t>
        </is>
      </c>
    </row>
    <row r="28">
      <c r="A28" s="0" t="inlineStr">
        <is>
          <t>Ours</t>
        </is>
      </c>
      <c r="B28" s="127" t="n">
        <v>0.8</v>
      </c>
      <c r="C28" s="127" t="n">
        <v>0.803</v>
      </c>
      <c r="D28" s="0" t="n">
        <v>0.9713977633333331</v>
      </c>
      <c r="E28" s="0" t="n">
        <v>2.30338058333333</v>
      </c>
      <c r="F28" s="0" t="n">
        <v>114.56068</v>
      </c>
      <c r="G28" s="0" t="n">
        <v>40</v>
      </c>
      <c r="H28" s="0" t="n">
        <v>1</v>
      </c>
      <c r="I28" s="0" t="n">
        <v>300</v>
      </c>
      <c r="J28" s="0" t="inlineStr">
        <is>
          <t>/mnt/d/paper_source/work_9/VeriANN_repro_2026-09-30/VeriANN_repro_2026-09-30/results/work9-recall99-20261015/Ours-evaluation/per_query.csv</t>
        </is>
      </c>
    </row>
    <row r="29">
      <c r="A29" s="0" t="inlineStr">
        <is>
          <t>Ours</t>
        </is>
      </c>
      <c r="B29" s="127" t="n">
        <v>0.85</v>
      </c>
      <c r="C29" s="127" t="n">
        <v>0.873</v>
      </c>
      <c r="D29" s="0" t="n">
        <v>1.37489354333333</v>
      </c>
      <c r="E29" s="0" t="n">
        <v>3.06051667666667</v>
      </c>
      <c r="F29" s="0" t="n">
        <v>153.43736</v>
      </c>
      <c r="G29" s="0" t="n">
        <v>64</v>
      </c>
      <c r="H29" s="0" t="n">
        <v>1</v>
      </c>
      <c r="I29" s="0" t="n">
        <v>300</v>
      </c>
      <c r="J29" s="0" t="inlineStr">
        <is>
          <t>/mnt/d/paper_source/work_9/VeriANN_repro_2026-09-30/VeriANN_repro_2026-09-30/results/work9-recall99-20261015/Ours-evaluation/per_query.csv</t>
        </is>
      </c>
    </row>
    <row r="30">
      <c r="A30" s="0" t="inlineStr">
        <is>
          <t>Ours</t>
        </is>
      </c>
      <c r="B30" s="127" t="n">
        <v>0.9</v>
      </c>
      <c r="C30" s="127" t="n">
        <v>0.904</v>
      </c>
      <c r="D30" s="0" t="n">
        <v>1.66592562666667</v>
      </c>
      <c r="E30" s="0" t="n">
        <v>3.48902270333333</v>
      </c>
      <c r="F30" s="0" t="n">
        <v>175.69476</v>
      </c>
      <c r="G30" s="0" t="n">
        <v>80</v>
      </c>
      <c r="H30" s="0" t="n">
        <v>1</v>
      </c>
      <c r="I30" s="0" t="n">
        <v>300</v>
      </c>
      <c r="J30" s="0" t="inlineStr">
        <is>
          <t>/mnt/d/paper_source/work_9/VeriANN_repro_2026-09-30/VeriANN_repro_2026-09-30/results/work9-recall99-20261015/Ours-evaluation/per_query.csv</t>
        </is>
      </c>
    </row>
    <row r="31">
      <c r="A31" s="0" t="inlineStr">
        <is>
          <t>Ours</t>
        </is>
      </c>
      <c r="B31" s="127" t="n">
        <v>0.95</v>
      </c>
      <c r="C31" s="127" t="n">
        <v>0.954</v>
      </c>
      <c r="D31" s="0" t="n">
        <v>2.33039252333333</v>
      </c>
      <c r="E31" s="0" t="n">
        <v>4.68043708333333</v>
      </c>
      <c r="F31" s="0" t="n">
        <v>236.02116</v>
      </c>
      <c r="G31" s="0" t="n">
        <v>128</v>
      </c>
      <c r="H31" s="0" t="n">
        <v>1</v>
      </c>
      <c r="I31" s="0" t="n">
        <v>300</v>
      </c>
      <c r="J31" s="0" t="inlineStr">
        <is>
          <t>/mnt/d/paper_source/work_9/VeriANN_repro_2026-09-30/VeriANN_repro_2026-09-30/results/work9-recall99-20261015/Ours-evaluation/per_query.csv</t>
        </is>
      </c>
    </row>
    <row r="32">
      <c r="A32" s="0" t="inlineStr">
        <is>
          <t>Ours</t>
        </is>
      </c>
      <c r="B32" s="127" t="n">
        <v>0.97</v>
      </c>
      <c r="C32" s="127" t="n">
        <v>0.972</v>
      </c>
      <c r="D32" s="0" t="n">
        <v>3.21146328333333</v>
      </c>
      <c r="E32" s="0" t="n">
        <v>6.08716991666667</v>
      </c>
      <c r="F32" s="0" t="n">
        <v>307.025</v>
      </c>
      <c r="G32" s="0" t="n">
        <v>192</v>
      </c>
      <c r="H32" s="0" t="n">
        <v>1</v>
      </c>
      <c r="I32" s="0" t="n">
        <v>300</v>
      </c>
      <c r="J32" s="0" t="inlineStr">
        <is>
          <t>/mnt/d/paper_source/work_9/VeriANN_repro_2026-09-30/VeriANN_repro_2026-09-30/results/work9-recall99-20261015/Ours-evaluation/per_query.csv</t>
        </is>
      </c>
    </row>
    <row r="33">
      <c r="A33" s="0" t="inlineStr">
        <is>
          <t>Ours</t>
        </is>
      </c>
      <c r="B33" s="127" t="n">
        <v>0.98</v>
      </c>
      <c r="C33" s="127" t="n">
        <v>0.987</v>
      </c>
      <c r="D33" s="0" t="n">
        <v>5.43708398</v>
      </c>
      <c r="E33" s="0" t="n">
        <v>9.89511474333333</v>
      </c>
      <c r="F33" s="0" t="n">
        <v>490.266</v>
      </c>
      <c r="G33" s="0" t="n">
        <v>384</v>
      </c>
      <c r="H33" s="0" t="n">
        <v>1</v>
      </c>
      <c r="I33" s="0" t="n">
        <v>300</v>
      </c>
      <c r="J33" s="0" t="inlineStr">
        <is>
          <t>/mnt/d/paper_source/work_9/VeriANN_repro_2026-09-30/VeriANN_repro_2026-09-30/results/work9-recall99-20261015/Ours-evaluation/per_query.csv</t>
        </is>
      </c>
    </row>
    <row r="34">
      <c r="A34" s="0" t="inlineStr">
        <is>
          <t>Ours</t>
        </is>
      </c>
      <c r="B34" s="127" t="n">
        <v>0.99</v>
      </c>
      <c r="C34" s="127" t="n">
        <v>0.99</v>
      </c>
      <c r="D34" s="0" t="n">
        <v>6.88074424333333</v>
      </c>
      <c r="E34" s="0" t="n">
        <v>12.29062924</v>
      </c>
      <c r="F34" s="0" t="n">
        <v>599.2962</v>
      </c>
      <c r="G34" s="0" t="n">
        <v>512</v>
      </c>
      <c r="H34" s="0" t="n">
        <v>1</v>
      </c>
      <c r="I34" s="0" t="n">
        <v>300</v>
      </c>
      <c r="J34" s="0" t="inlineStr">
        <is>
          <t>/mnt/d/paper_source/work_9/VeriANN_repro_2026-09-30/VeriANN_repro_2026-09-30/results/work9-recall99-20261015/Ours-evaluation/per_query.csv</t>
        </is>
      </c>
    </row>
    <row r="37">
      <c r="A37" s="0" t="inlineStr">
        <is>
          <t>SIFT1M; k=10; M=8; efConstruction=100; identical query IDs 100..199; 3 repeats; single-thread query and verification.</t>
        </is>
      </c>
    </row>
    <row r="38">
      <c r="A38" s="0" t="inlineStr">
        <is>
          <t>Common target thresholds; main table and charts use actual measured recall. Each parameter is the smallest tested parameter reaching its threshold, not a global optimum.</t>
        </is>
      </c>
    </row>
    <row r="39">
      <c r="A39" s="0" t="inlineStr">
        <is>
          <t>Pilot and evaluation use the SAME 100 queries to match the workload recall. This is not an independent held-out recall estimate. No interpolation or extrapolation.</t>
        </is>
      </c>
    </row>
    <row r="40">
      <c r="A40" s="0" t="inlineStr">
        <is>
          <t>VLAH uses efSearch=100 throughout this new curve (previous curve: 50), varying probes; ANNProof varies efSearch; Ours varies E using validated LUT implementation.</t>
        </is>
      </c>
    </row>
    <row r="41">
      <c r="A41" s="0" t="inlineStr">
        <is>
          <t>Query time includes actual VO generation/serialization; verification includes client decoding/authentication/replay; KB=1000 bytes; no network/blockchain time.</t>
        </is>
      </c>
    </row>
    <row r="42">
      <c r="A42" s="0" t="inlineStr">
        <is>
          <t>ANNProof and VLAH are disclosed algorithmic reimplementations, not strict author-code/full blockchain reproductions.</t>
        </is>
      </c>
    </row>
    <row r="43">
      <c r="A43" s="0" t="inlineStr">
        <is>
          <t>Historical configuration/resource rows were retained and marked superseded; current curve provenance is this sheet and main-cell comments.</t>
        </is>
      </c>
    </row>
    <row r="44">
      <c r="A44" s="0" t="inlineStr">
        <is>
          <t>60% is the common target start; zero-recall Ours points were removed from these comparison curves. Discrete parameters cause small differences in actual starting recalls.</t>
        </is>
      </c>
    </row>
  </sheetData>
  <autoFilter ref="A1:J34"/>
  <pageMargins left="0.75" right="0.75" top="1" bottom="1" header="0.5" footer="0.5"/>
  <drawing xmlns:r="http://schemas.openxmlformats.org/officeDocument/2006/relationships" r:id="rId1"/>
</worksheet>
</file>

<file path=xl/worksheets/sheet20.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ColWidth="9" defaultRowHeight="13.5"/>
  <cols>
    <col width="20" customWidth="1" style="1" min="1" max="1"/>
    <col width="120" customWidth="1" style="1" min="2" max="2"/>
  </cols>
  <sheetData>
    <row r="1">
      <c r="A1" s="0" t="inlineStr">
        <is>
          <t>项目</t>
        </is>
      </c>
      <c r="B1" s="0" t="inlineStr">
        <is>
          <t>说明</t>
        </is>
      </c>
    </row>
    <row r="2">
      <c r="A2" s="0" t="inlineStr">
        <is>
          <t>范围</t>
        </is>
      </c>
      <c r="B2" s="0" t="inlineStr">
        <is>
          <t>复制原表结构，各测 VLAH、ANNProof、Ours；原 SIFT 主表保留。</t>
        </is>
      </c>
    </row>
    <row r="3">
      <c r="A3" s="0" t="inlineStr">
        <is>
          <t>规模</t>
        </is>
      </c>
      <c r="B3" s="0" t="inlineStr">
        <is>
          <t>保留100K/500K/1M/5M/10M；GIST与GloVe的5M/10M不适用。DEEP使用官方DEEP1B前缀扩充到10M，新增5M/10M实测；其余DEEP实验仍为1M。</t>
        </is>
      </c>
    </row>
    <row r="4">
      <c r="A4" s="0" t="inlineStr">
        <is>
          <t>查询</t>
        </is>
      </c>
      <c r="B4" s="0" t="inlineStr">
        <is>
          <t>快速预览：三个方案统一 query IDs 100..119，20 条查询×3 次重复；已完成的100查询原始记录保留，仅提取相同20条统计。</t>
        </is>
      </c>
    </row>
    <row r="5">
      <c r="A5" s="0" t="inlineStr">
        <is>
          <t>召回率</t>
        </is>
      </c>
      <c r="B5" s="0" t="inlineStr">
        <is>
          <t>曲线目标60/65/70/75/80/85/90/95/97/98/99%；主表填实际值。总体与规模以约95%为目标。</t>
        </is>
      </c>
    </row>
    <row r="6">
      <c r="A6" s="0" t="inlineStr">
        <is>
          <t>参数选择</t>
        </is>
      </c>
      <c r="B6" s="0" t="inlineStr">
        <is>
          <t>使用同一查询工作负载校准达到召回率的档位；非独立留出召回估计，不插值，不外推。</t>
        </is>
      </c>
    </row>
    <row r="7">
      <c r="A7" s="0" t="inlineStr">
        <is>
          <t>计时</t>
        </is>
      </c>
      <c r="B7" s="0" t="inlineStr">
        <is>
          <t>Query=search+真实VO生成/序列化；Verify=解码+认证+重放；Ours 包含 LUT 准备。时间ms，VO KB=bytes/1000。</t>
        </is>
      </c>
    </row>
    <row r="8">
      <c r="A8" s="0" t="inlineStr">
        <is>
          <t>索引</t>
        </is>
      </c>
      <c r="B8" s="0" t="inlineStr">
        <is>
          <t>新增三数据集统一 M=16, efConstruction=200。ANNProof/Ours 共用同一缓存 HNSW 图；VLAH 独立 LSH 分桶图。原 SIFT 配置保留。</t>
        </is>
      </c>
    </row>
    <row r="9">
      <c r="A9" s="0" t="inlineStr">
        <is>
          <t>LSH宽度</t>
        </is>
      </c>
      <c r="B9" s="0" t="inlineStr">
        <is>
          <t>按各数据集库向量固定抽样的成对L2距离中位数/4确定；不使用查询或真值，所有该数据集实验固定同一宽度。</t>
        </is>
      </c>
    </row>
    <row r="10">
      <c r="A10" s="0" t="inlineStr">
        <is>
          <t>GloVe</t>
        </is>
      </c>
      <c r="B10" s="0" t="inlineStr">
        <is>
          <t>使用已归一化的基库与查询，平方L2表示cosine排序；总体/召回/k使用全部1,183,514条。</t>
        </is>
      </c>
    </row>
    <row r="11">
      <c r="A11" s="0" t="inlineStr">
        <is>
          <t>K曲线</t>
        </is>
      </c>
      <c r="B11" s="0" t="inlineStr">
        <is>
          <t>k=1/5/10/20/50/100，固定总体95%档参数；baseline ef 至少100以支持k=100；实际各k召回率另记。</t>
        </is>
      </c>
    </row>
    <row r="12">
      <c r="A12" s="0" t="inlineStr">
        <is>
          <t>复现范围</t>
        </is>
      </c>
      <c r="B12" s="0" t="inlineStr">
        <is>
          <t>ANNProof/VLAH为已有算法重实现，不宣称作者代码或区块链完整性能复现。</t>
        </is>
      </c>
    </row>
    <row r="13">
      <c r="A13" s="0" t="inlineStr">
        <is>
          <t>进度</t>
        </is>
      </c>
      <c r="B13" s="0" t="inlineStr">
        <is>
          <t>待测单元格仅在真实测量、诚实验证和篡改检测通过后填入。</t>
        </is>
      </c>
    </row>
    <row r="14">
      <c r="A14" s="0" t="inlineStr">
        <is>
          <t>离散档位</t>
        </is>
      </c>
      <c r="B14" s="0" t="inlineStr">
        <is>
          <t>目标为统一召回阈值，主表填实际值。若相邻目标命中同一已测配置，重复引用该实测点；不插值、不把实际召回率改写为目标值。</t>
        </is>
      </c>
    </row>
    <row r="15">
      <c r="A15" s="0" t="inlineStr">
        <is>
          <t>预览精度</t>
        </is>
      </c>
      <c r="B15" s="0" t="inlineStr">
        <is>
          <t>20条查询用于快速预览。k=10时平均Recall的离散步长为0.5个百分点；3次重复增加计时样本，不增加独立查询数。正式结论需扩大查询样本。</t>
        </is>
      </c>
    </row>
    <row r="16">
      <c r="A16" s="0" t="inlineStr">
        <is>
          <t>最小档位与起点</t>
        </is>
      </c>
      <c r="B16" s="0" t="inlineStr">
        <is>
          <t>共享60%至99%的目标阈值，图中使用实际Recall。若最小合法参数已超过某些阈值，这些列共享该实测点；例如DEEP的ANNProof在efSearch=10时已达71%，其60/65/70%列均为71%。实际起点会受合法参数下限影响。</t>
        </is>
      </c>
    </row>
    <row r="17">
      <c r="A17" s="0" t="inlineStr">
        <is>
          <t>DEEP规模扩展</t>
        </is>
      </c>
      <c r="B17" s="0" t="inlineStr">
        <is>
          <t>5M/10M统一20条查询×3次重复，k=10，按约95%Recall选参；M=16、efConstruction=200；LSH宽度沿用原DEEP1M。1M总体/召回/k及其他数据集结果保留。扩展记录：/mnt/d/paper_source/work_9/VeriANN_repro_2026-09-30/VeriANN_repro_2026-09-30/experiments/work9-deep10m-20261015</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N163"/>
  <sheetViews>
    <sheetView workbookViewId="0">
      <pane xSplit="3" ySplit="1" topLeftCell="D2"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3.5"/>
  <sheetData>
    <row r="1">
      <c r="A1" s="8" t="inlineStr">
        <is>
          <t>dataset</t>
        </is>
      </c>
      <c r="B1" s="8" t="inlineStr">
        <is>
          <t>method</t>
        </is>
      </c>
      <c r="C1" s="8" t="inlineStr">
        <is>
          <t>experiment</t>
        </is>
      </c>
      <c r="D1" s="8" t="inlineStr">
        <is>
          <t>N</t>
        </is>
      </c>
      <c r="E1" s="8" t="inlineStr">
        <is>
          <t>k</t>
        </is>
      </c>
      <c r="F1" s="8" t="inlineStr">
        <is>
          <t>efSearch/E</t>
        </is>
      </c>
      <c r="G1" s="8" t="inlineStr">
        <is>
          <t>probes</t>
        </is>
      </c>
      <c r="H1" s="8" t="inlineStr">
        <is>
          <t>LSH width</t>
        </is>
      </c>
      <c r="I1" s="8" t="inlineStr">
        <is>
          <t>Recall %</t>
        </is>
      </c>
      <c r="J1" s="8" t="inlineStr">
        <is>
          <t>Query ms</t>
        </is>
      </c>
      <c r="K1" s="8" t="inlineStr">
        <is>
          <t>Verify ms</t>
        </is>
      </c>
      <c r="L1" s="8" t="inlineStr">
        <is>
          <t>VO KB</t>
        </is>
      </c>
      <c r="M1" s="8" t="inlineStr">
        <is>
          <t>samples</t>
        </is>
      </c>
      <c r="N1" s="8" t="inlineStr">
        <is>
          <t>output</t>
        </is>
      </c>
    </row>
    <row r="2">
      <c r="A2" s="0" t="inlineStr">
        <is>
          <t>DEEP1M</t>
        </is>
      </c>
      <c r="B2" s="0" t="inlineStr">
        <is>
          <t>ANNProof</t>
        </is>
      </c>
      <c r="C2" s="0" t="inlineStr">
        <is>
          <t>curve</t>
        </is>
      </c>
      <c r="D2" s="0" t="n">
        <v>1000000</v>
      </c>
      <c r="E2" s="0" t="n">
        <v>10</v>
      </c>
      <c r="F2" s="0" t="n">
        <v>10</v>
      </c>
      <c r="G2" s="0" t="n">
        <v>1</v>
      </c>
      <c r="I2" s="0" t="n">
        <v>71</v>
      </c>
      <c r="J2" s="0" t="n">
        <v>0.9670758</v>
      </c>
      <c r="K2" s="0" t="n">
        <v>5.0948274</v>
      </c>
      <c r="L2" s="0" t="n">
        <v>386.5978</v>
      </c>
      <c r="M2" s="0" t="n">
        <v>60</v>
      </c>
      <c r="N2" s="0" t="inlineStr">
        <is>
          <t>/mnt/d/paper_source/work_9/VeriANN_repro_2026-09-30/VeriANN_repro_2026-09-30/results/work9-multidata-20261015/deep1m/ANNProof-curve-1000000</t>
        </is>
      </c>
    </row>
    <row r="3">
      <c r="A3" s="0" t="inlineStr">
        <is>
          <t>DEEP1M</t>
        </is>
      </c>
      <c r="B3" s="0" t="inlineStr">
        <is>
          <t>ANNProof</t>
        </is>
      </c>
      <c r="C3" s="0" t="inlineStr">
        <is>
          <t>curve</t>
        </is>
      </c>
      <c r="D3" s="0" t="n">
        <v>1000000</v>
      </c>
      <c r="E3" s="0" t="n">
        <v>10</v>
      </c>
      <c r="F3" s="0" t="n">
        <v>16</v>
      </c>
      <c r="G3" s="0" t="n">
        <v>1</v>
      </c>
      <c r="I3" s="0" t="n">
        <v>78</v>
      </c>
      <c r="J3" s="0" t="n">
        <v>1.19571215</v>
      </c>
      <c r="K3" s="0" t="n">
        <v>6.41377703333333</v>
      </c>
      <c r="L3" s="0" t="n">
        <v>491.0184</v>
      </c>
      <c r="M3" s="0" t="n">
        <v>60</v>
      </c>
      <c r="N3" s="0" t="inlineStr">
        <is>
          <t>/mnt/d/paper_source/work_9/VeriANN_repro_2026-09-30/VeriANN_repro_2026-09-30/results/work9-multidata-20261015/deep1m/ANNProof-curve-1000000</t>
        </is>
      </c>
    </row>
    <row r="4">
      <c r="A4" s="0" t="inlineStr">
        <is>
          <t>DEEP1M</t>
        </is>
      </c>
      <c r="B4" s="0" t="inlineStr">
        <is>
          <t>ANNProof</t>
        </is>
      </c>
      <c r="C4" s="0" t="inlineStr">
        <is>
          <t>curve</t>
        </is>
      </c>
      <c r="D4" s="0" t="n">
        <v>1000000</v>
      </c>
      <c r="E4" s="0" t="n">
        <v>10</v>
      </c>
      <c r="F4" s="0" t="n">
        <v>20</v>
      </c>
      <c r="G4" s="0" t="n">
        <v>1</v>
      </c>
      <c r="I4" s="0" t="n">
        <v>82.5</v>
      </c>
      <c r="J4" s="0" t="n">
        <v>1.34739523333333</v>
      </c>
      <c r="K4" s="0" t="n">
        <v>7.32085555</v>
      </c>
      <c r="L4" s="0" t="n">
        <v>554.1006</v>
      </c>
      <c r="M4" s="0" t="n">
        <v>60</v>
      </c>
      <c r="N4" s="0" t="inlineStr">
        <is>
          <t>/mnt/d/paper_source/work_9/VeriANN_repro_2026-09-30/VeriANN_repro_2026-09-30/results/work9-multidata-20261015/deep1m/ANNProof-curve-1000000</t>
        </is>
      </c>
    </row>
    <row r="5">
      <c r="A5" s="0" t="inlineStr">
        <is>
          <t>DEEP1M</t>
        </is>
      </c>
      <c r="B5" s="0" t="inlineStr">
        <is>
          <t>ANNProof</t>
        </is>
      </c>
      <c r="C5" s="0" t="inlineStr">
        <is>
          <t>curve</t>
        </is>
      </c>
      <c r="D5" s="0" t="n">
        <v>1000000</v>
      </c>
      <c r="E5" s="0" t="n">
        <v>10</v>
      </c>
      <c r="F5" s="0" t="n">
        <v>24</v>
      </c>
      <c r="G5" s="0" t="n">
        <v>1</v>
      </c>
      <c r="I5" s="0" t="n">
        <v>86.5</v>
      </c>
      <c r="J5" s="0" t="n">
        <v>1.5069473</v>
      </c>
      <c r="K5" s="0" t="n">
        <v>8.091527900000001</v>
      </c>
      <c r="L5" s="0" t="n">
        <v>615.9464</v>
      </c>
      <c r="M5" s="0" t="n">
        <v>60</v>
      </c>
      <c r="N5" s="0" t="inlineStr">
        <is>
          <t>/mnt/d/paper_source/work_9/VeriANN_repro_2026-09-30/VeriANN_repro_2026-09-30/results/work9-multidata-20261015/deep1m/ANNProof-curve-1000000</t>
        </is>
      </c>
    </row>
    <row r="6">
      <c r="A6" s="0" t="inlineStr">
        <is>
          <t>DEEP1M</t>
        </is>
      </c>
      <c r="B6" s="0" t="inlineStr">
        <is>
          <t>ANNProof</t>
        </is>
      </c>
      <c r="C6" s="0" t="inlineStr">
        <is>
          <t>curve</t>
        </is>
      </c>
      <c r="D6" s="0" t="n">
        <v>1000000</v>
      </c>
      <c r="E6" s="0" t="n">
        <v>10</v>
      </c>
      <c r="F6" s="0" t="n">
        <v>48</v>
      </c>
      <c r="G6" s="0" t="n">
        <v>1</v>
      </c>
      <c r="I6" s="0" t="n">
        <v>94.5</v>
      </c>
      <c r="J6" s="0" t="n">
        <v>2.6137277</v>
      </c>
      <c r="K6" s="0" t="n">
        <v>12.7037481</v>
      </c>
      <c r="L6" s="0" t="n">
        <v>944.128</v>
      </c>
      <c r="M6" s="0" t="n">
        <v>60</v>
      </c>
      <c r="N6" s="0" t="inlineStr">
        <is>
          <t>/mnt/d/paper_source/work_9/VeriANN_repro_2026-09-30/VeriANN_repro_2026-09-30/results/work9-multidata-20261015/deep1m/ANNProof-curve-1000000</t>
        </is>
      </c>
    </row>
    <row r="7">
      <c r="A7" s="0" t="inlineStr">
        <is>
          <t>DEEP1M</t>
        </is>
      </c>
      <c r="B7" s="0" t="inlineStr">
        <is>
          <t>ANNProof</t>
        </is>
      </c>
      <c r="C7" s="0" t="inlineStr">
        <is>
          <t>curve</t>
        </is>
      </c>
      <c r="D7" s="0" t="n">
        <v>1000000</v>
      </c>
      <c r="E7" s="0" t="n">
        <v>10</v>
      </c>
      <c r="F7" s="0" t="n">
        <v>64</v>
      </c>
      <c r="G7" s="0" t="n">
        <v>1</v>
      </c>
      <c r="I7" s="0" t="n">
        <v>97.5</v>
      </c>
      <c r="J7" s="0" t="n">
        <v>3.15865693333333</v>
      </c>
      <c r="K7" s="0" t="n">
        <v>15.4261976166667</v>
      </c>
      <c r="L7" s="0" t="n">
        <v>1154.7938</v>
      </c>
      <c r="M7" s="0" t="n">
        <v>60</v>
      </c>
      <c r="N7" s="0" t="inlineStr">
        <is>
          <t>/mnt/d/paper_source/work_9/VeriANN_repro_2026-09-30/VeriANN_repro_2026-09-30/results/work9-multidata-20261015/deep1m/ANNProof-curve-1000000</t>
        </is>
      </c>
    </row>
    <row r="8">
      <c r="A8" s="0" t="inlineStr">
        <is>
          <t>DEEP1M</t>
        </is>
      </c>
      <c r="B8" s="0" t="inlineStr">
        <is>
          <t>ANNProof</t>
        </is>
      </c>
      <c r="C8" s="0" t="inlineStr">
        <is>
          <t>curve</t>
        </is>
      </c>
      <c r="D8" s="0" t="n">
        <v>1000000</v>
      </c>
      <c r="E8" s="0" t="n">
        <v>10</v>
      </c>
      <c r="F8" s="0" t="n">
        <v>96</v>
      </c>
      <c r="G8" s="0" t="n">
        <v>1</v>
      </c>
      <c r="I8" s="0" t="n">
        <v>99.5</v>
      </c>
      <c r="J8" s="0" t="n">
        <v>4.2914665</v>
      </c>
      <c r="K8" s="0" t="n">
        <v>20.6266154833333</v>
      </c>
      <c r="L8" s="0" t="n">
        <v>1538.7078</v>
      </c>
      <c r="M8" s="0" t="n">
        <v>60</v>
      </c>
      <c r="N8" s="0" t="inlineStr">
        <is>
          <t>/mnt/d/paper_source/work_9/VeriANN_repro_2026-09-30/VeriANN_repro_2026-09-30/results/work9-multidata-20261015/deep1m/ANNProof-curve-1000000</t>
        </is>
      </c>
    </row>
    <row r="9">
      <c r="A9" s="0" t="inlineStr">
        <is>
          <t>DEEP1M</t>
        </is>
      </c>
      <c r="B9" s="0" t="inlineStr">
        <is>
          <t>ANNProof</t>
        </is>
      </c>
      <c r="C9" s="0" t="inlineStr">
        <is>
          <t>k</t>
        </is>
      </c>
      <c r="D9" s="0" t="n">
        <v>1000000</v>
      </c>
      <c r="E9" s="0" t="n">
        <v>1</v>
      </c>
      <c r="F9" s="0" t="n">
        <v>100</v>
      </c>
      <c r="G9" s="0" t="n">
        <v>1</v>
      </c>
      <c r="I9" s="0" t="n">
        <v>100</v>
      </c>
      <c r="J9" s="0" t="n">
        <v>4.57551665</v>
      </c>
      <c r="K9" s="0" t="n">
        <v>21.1325763</v>
      </c>
      <c r="L9" s="0" t="n">
        <v>1581.2762</v>
      </c>
      <c r="M9" s="0" t="n">
        <v>60</v>
      </c>
      <c r="N9" s="0" t="inlineStr">
        <is>
          <t>/mnt/d/paper_source/work_9/VeriANN_repro_2026-09-30/VeriANN_repro_2026-09-30/results/work9-multidata-20261015/deep1m/ANNProof-k-1000000</t>
        </is>
      </c>
    </row>
    <row r="10">
      <c r="A10" s="0" t="inlineStr">
        <is>
          <t>DEEP1M</t>
        </is>
      </c>
      <c r="B10" s="0" t="inlineStr">
        <is>
          <t>ANNProof</t>
        </is>
      </c>
      <c r="C10" s="0" t="inlineStr">
        <is>
          <t>k</t>
        </is>
      </c>
      <c r="D10" s="0" t="n">
        <v>1000000</v>
      </c>
      <c r="E10" s="0" t="n">
        <v>5</v>
      </c>
      <c r="F10" s="0" t="n">
        <v>100</v>
      </c>
      <c r="G10" s="0" t="n">
        <v>1</v>
      </c>
      <c r="I10" s="0" t="n">
        <v>100</v>
      </c>
      <c r="J10" s="0" t="n">
        <v>4.62270115</v>
      </c>
      <c r="K10" s="0" t="n">
        <v>21.2951161</v>
      </c>
      <c r="L10" s="0" t="n">
        <v>1583.5182</v>
      </c>
      <c r="M10" s="0" t="n">
        <v>60</v>
      </c>
      <c r="N10" s="0" t="inlineStr">
        <is>
          <t>/mnt/d/paper_source/work_9/VeriANN_repro_2026-09-30/VeriANN_repro_2026-09-30/results/work9-multidata-20261015/deep1m/ANNProof-k-1000000</t>
        </is>
      </c>
    </row>
    <row r="11">
      <c r="A11" s="0" t="inlineStr">
        <is>
          <t>DEEP1M</t>
        </is>
      </c>
      <c r="B11" s="0" t="inlineStr">
        <is>
          <t>ANNProof</t>
        </is>
      </c>
      <c r="C11" s="0" t="inlineStr">
        <is>
          <t>k</t>
        </is>
      </c>
      <c r="D11" s="0" t="n">
        <v>1000000</v>
      </c>
      <c r="E11" s="0" t="n">
        <v>10</v>
      </c>
      <c r="F11" s="0" t="n">
        <v>100</v>
      </c>
      <c r="G11" s="0" t="n">
        <v>1</v>
      </c>
      <c r="I11" s="0" t="n">
        <v>99.5</v>
      </c>
      <c r="J11" s="0" t="n">
        <v>4.66759948333333</v>
      </c>
      <c r="K11" s="0" t="n">
        <v>21.5343670666667</v>
      </c>
      <c r="L11" s="0" t="n">
        <v>1586.2762</v>
      </c>
      <c r="M11" s="0" t="n">
        <v>60</v>
      </c>
      <c r="N11" s="0" t="inlineStr">
        <is>
          <t>/mnt/d/paper_source/work_9/VeriANN_repro_2026-09-30/VeriANN_repro_2026-09-30/results/work9-multidata-20261015/deep1m/ANNProof-k-1000000</t>
        </is>
      </c>
    </row>
    <row r="12">
      <c r="A12" s="0" t="inlineStr">
        <is>
          <t>DEEP1M</t>
        </is>
      </c>
      <c r="B12" s="0" t="inlineStr">
        <is>
          <t>ANNProof</t>
        </is>
      </c>
      <c r="C12" s="0" t="inlineStr">
        <is>
          <t>k</t>
        </is>
      </c>
      <c r="D12" s="0" t="n">
        <v>1000000</v>
      </c>
      <c r="E12" s="0" t="n">
        <v>20</v>
      </c>
      <c r="F12" s="0" t="n">
        <v>100</v>
      </c>
      <c r="G12" s="0" t="n">
        <v>1</v>
      </c>
      <c r="I12" s="0" t="n">
        <v>98.5</v>
      </c>
      <c r="J12" s="0" t="n">
        <v>4.67105126666667</v>
      </c>
      <c r="K12" s="0" t="n">
        <v>21.6087258333333</v>
      </c>
      <c r="L12" s="0" t="n">
        <v>1591.6142</v>
      </c>
      <c r="M12" s="0" t="n">
        <v>60</v>
      </c>
      <c r="N12" s="0" t="inlineStr">
        <is>
          <t>/mnt/d/paper_source/work_9/VeriANN_repro_2026-09-30/VeriANN_repro_2026-09-30/results/work9-multidata-20261015/deep1m/ANNProof-k-1000000</t>
        </is>
      </c>
    </row>
    <row r="13">
      <c r="A13" s="0" t="inlineStr">
        <is>
          <t>DEEP1M</t>
        </is>
      </c>
      <c r="B13" s="0" t="inlineStr">
        <is>
          <t>ANNProof</t>
        </is>
      </c>
      <c r="C13" s="0" t="inlineStr">
        <is>
          <t>k</t>
        </is>
      </c>
      <c r="D13" s="0" t="n">
        <v>1000000</v>
      </c>
      <c r="E13" s="0" t="n">
        <v>50</v>
      </c>
      <c r="F13" s="0" t="n">
        <v>100</v>
      </c>
      <c r="G13" s="0" t="n">
        <v>1</v>
      </c>
      <c r="I13" s="0" t="n">
        <v>95.90000000000001</v>
      </c>
      <c r="J13" s="0" t="n">
        <v>4.61915686666667</v>
      </c>
      <c r="K13" s="0" t="n">
        <v>21.6556399</v>
      </c>
      <c r="L13" s="0" t="n">
        <v>1607.2942</v>
      </c>
      <c r="M13" s="0" t="n">
        <v>60</v>
      </c>
      <c r="N13" s="0" t="inlineStr">
        <is>
          <t>/mnt/d/paper_source/work_9/VeriANN_repro_2026-09-30/VeriANN_repro_2026-09-30/results/work9-multidata-20261015/deep1m/ANNProof-k-1000000</t>
        </is>
      </c>
    </row>
    <row r="14">
      <c r="A14" s="0" t="inlineStr">
        <is>
          <t>DEEP1M</t>
        </is>
      </c>
      <c r="B14" s="0" t="inlineStr">
        <is>
          <t>ANNProof</t>
        </is>
      </c>
      <c r="C14" s="0" t="inlineStr">
        <is>
          <t>k</t>
        </is>
      </c>
      <c r="D14" s="0" t="n">
        <v>1000000</v>
      </c>
      <c r="E14" s="0" t="n">
        <v>100</v>
      </c>
      <c r="F14" s="0" t="n">
        <v>100</v>
      </c>
      <c r="G14" s="0" t="n">
        <v>1</v>
      </c>
      <c r="I14" s="0" t="n">
        <v>92.15000000000001</v>
      </c>
      <c r="J14" s="0" t="n">
        <v>4.73652161666667</v>
      </c>
      <c r="K14" s="0" t="n">
        <v>22.5170219333333</v>
      </c>
      <c r="L14" s="0" t="n">
        <v>1631.6282</v>
      </c>
      <c r="M14" s="0" t="n">
        <v>60</v>
      </c>
      <c r="N14" s="0" t="inlineStr">
        <is>
          <t>/mnt/d/paper_source/work_9/VeriANN_repro_2026-09-30/VeriANN_repro_2026-09-30/results/work9-multidata-20261015/deep1m/ANNProof-k-1000000</t>
        </is>
      </c>
    </row>
    <row r="15">
      <c r="A15" s="0" t="inlineStr">
        <is>
          <t>DEEP1M</t>
        </is>
      </c>
      <c r="B15" s="0" t="inlineStr">
        <is>
          <t>ANNProof</t>
        </is>
      </c>
      <c r="C15" s="0" t="inlineStr">
        <is>
          <t>size</t>
        </is>
      </c>
      <c r="D15" s="0" t="n">
        <v>100000</v>
      </c>
      <c r="E15" s="0" t="n">
        <v>10</v>
      </c>
      <c r="F15" s="0" t="n">
        <v>48</v>
      </c>
      <c r="G15" s="0" t="n">
        <v>1</v>
      </c>
      <c r="I15" s="0" t="n">
        <v>95</v>
      </c>
      <c r="J15" s="0" t="n">
        <v>1.7697227</v>
      </c>
      <c r="K15" s="0" t="n">
        <v>8.31754258333333</v>
      </c>
      <c r="L15" s="0" t="n">
        <v>644.186</v>
      </c>
      <c r="M15" s="0" t="n">
        <v>60</v>
      </c>
      <c r="N15" s="0" t="inlineStr">
        <is>
          <t>/mnt/d/paper_source/work_9/VeriANN_repro_2026-09-30/VeriANN_repro_2026-09-30/results/work9-multidata-20261015/deep1m/ANNProof-size-100000</t>
        </is>
      </c>
    </row>
    <row r="16">
      <c r="A16" s="0" t="inlineStr">
        <is>
          <t>DEEP1M</t>
        </is>
      </c>
      <c r="B16" s="0" t="inlineStr">
        <is>
          <t>ANNProof</t>
        </is>
      </c>
      <c r="C16" s="0" t="inlineStr">
        <is>
          <t>size</t>
        </is>
      </c>
      <c r="D16" s="0" t="n">
        <v>1000000</v>
      </c>
      <c r="E16" s="0" t="n">
        <v>10</v>
      </c>
      <c r="F16" s="0" t="n">
        <v>64</v>
      </c>
      <c r="G16" s="0" t="n">
        <v>1</v>
      </c>
      <c r="I16" s="0" t="n">
        <v>97.5</v>
      </c>
      <c r="J16" s="0" t="n">
        <v>3.15865693333333</v>
      </c>
      <c r="K16" s="0" t="n">
        <v>15.4261976166667</v>
      </c>
      <c r="L16" s="0" t="n">
        <v>1154.7938</v>
      </c>
      <c r="M16" s="0" t="n">
        <v>60</v>
      </c>
      <c r="N16" s="0" t="inlineStr">
        <is>
          <t>/mnt/d/paper_source/work_9/VeriANN_repro_2026-09-30/VeriANN_repro_2026-09-30/results/work9-multidata-20261015/deep1m/ANNProof-curve-1000000</t>
        </is>
      </c>
    </row>
    <row r="17">
      <c r="A17" s="0" t="inlineStr">
        <is>
          <t>DEEP1M</t>
        </is>
      </c>
      <c r="B17" s="0" t="inlineStr">
        <is>
          <t>ANNProof</t>
        </is>
      </c>
      <c r="C17" s="0" t="inlineStr">
        <is>
          <t>size</t>
        </is>
      </c>
      <c r="D17" s="0" t="n">
        <v>500000</v>
      </c>
      <c r="E17" s="0" t="n">
        <v>10</v>
      </c>
      <c r="F17" s="0" t="n">
        <v>48</v>
      </c>
      <c r="G17" s="0" t="n">
        <v>1</v>
      </c>
      <c r="I17" s="0" t="n">
        <v>95.5</v>
      </c>
      <c r="J17" s="0" t="n">
        <v>2.28107513333333</v>
      </c>
      <c r="K17" s="0" t="n">
        <v>11.3754679</v>
      </c>
      <c r="L17" s="0" t="n">
        <v>852.6844</v>
      </c>
      <c r="M17" s="0" t="n">
        <v>60</v>
      </c>
      <c r="N17" s="0" t="inlineStr">
        <is>
          <t>/mnt/d/paper_source/work_9/VeriANN_repro_2026-09-30/VeriANN_repro_2026-09-30/results/work9-multidata-20261015/deep1m/ANNProof-size-500000</t>
        </is>
      </c>
    </row>
    <row r="18">
      <c r="A18" s="0" t="inlineStr">
        <is>
          <t>DEEP1M</t>
        </is>
      </c>
      <c r="B18" s="0" t="inlineStr">
        <is>
          <t>Ours</t>
        </is>
      </c>
      <c r="C18" s="0" t="inlineStr">
        <is>
          <t>curve</t>
        </is>
      </c>
      <c r="D18" s="0" t="n">
        <v>1000000</v>
      </c>
      <c r="E18" s="0" t="n">
        <v>10</v>
      </c>
      <c r="F18" s="0" t="n">
        <v>16</v>
      </c>
      <c r="G18" s="0" t="n">
        <v>1</v>
      </c>
      <c r="I18" s="0" t="n">
        <v>61.5</v>
      </c>
      <c r="J18" s="0" t="n">
        <v>0.893101083333333</v>
      </c>
      <c r="K18" s="0" t="n">
        <v>2.38709686666667</v>
      </c>
      <c r="L18" s="0" t="n">
        <v>109.9156</v>
      </c>
      <c r="M18" s="0" t="n">
        <v>60</v>
      </c>
      <c r="N18" s="0" t="inlineStr">
        <is>
          <t>/mnt/d/paper_source/work_9/VeriANN_repro_2026-09-30/VeriANN_repro_2026-09-30/results/work9-multidata-20261015/deep1m/Ours-curve-1000000</t>
        </is>
      </c>
    </row>
    <row r="19">
      <c r="A19" s="0" t="inlineStr">
        <is>
          <t>DEEP1M</t>
        </is>
      </c>
      <c r="B19" s="0" t="inlineStr">
        <is>
          <t>Ours</t>
        </is>
      </c>
      <c r="C19" s="0" t="inlineStr">
        <is>
          <t>curve</t>
        </is>
      </c>
      <c r="D19" s="0" t="n">
        <v>1000000</v>
      </c>
      <c r="E19" s="0" t="n">
        <v>10</v>
      </c>
      <c r="F19" s="0" t="n">
        <v>20</v>
      </c>
      <c r="G19" s="0" t="n">
        <v>1</v>
      </c>
      <c r="I19" s="0" t="n">
        <v>73.5</v>
      </c>
      <c r="J19" s="0" t="n">
        <v>1.08978581666667</v>
      </c>
      <c r="K19" s="0" t="n">
        <v>2.85541431666667</v>
      </c>
      <c r="L19" s="0" t="n">
        <v>129.522</v>
      </c>
      <c r="M19" s="0" t="n">
        <v>60</v>
      </c>
      <c r="N19" s="0" t="inlineStr">
        <is>
          <t>/mnt/d/paper_source/work_9/VeriANN_repro_2026-09-30/VeriANN_repro_2026-09-30/results/work9-multidata-20261015/deep1m/Ours-curve-1000000</t>
        </is>
      </c>
    </row>
    <row r="20">
      <c r="A20" s="0" t="inlineStr">
        <is>
          <t>DEEP1M</t>
        </is>
      </c>
      <c r="B20" s="0" t="inlineStr">
        <is>
          <t>Ours</t>
        </is>
      </c>
      <c r="C20" s="0" t="inlineStr">
        <is>
          <t>curve</t>
        </is>
      </c>
      <c r="D20" s="0" t="n">
        <v>1000000</v>
      </c>
      <c r="E20" s="0" t="n">
        <v>10</v>
      </c>
      <c r="F20" s="0" t="n">
        <v>24</v>
      </c>
      <c r="G20" s="0" t="n">
        <v>1</v>
      </c>
      <c r="I20" s="0" t="n">
        <v>79</v>
      </c>
      <c r="J20" s="0" t="n">
        <v>1.27455556666667</v>
      </c>
      <c r="K20" s="0" t="n">
        <v>3.25884446666667</v>
      </c>
      <c r="L20" s="0" t="n">
        <v>147.6776</v>
      </c>
      <c r="M20" s="0" t="n">
        <v>60</v>
      </c>
      <c r="N20" s="0" t="inlineStr">
        <is>
          <t>/mnt/d/paper_source/work_9/VeriANN_repro_2026-09-30/VeriANN_repro_2026-09-30/results/work9-multidata-20261015/deep1m/Ours-curve-1000000</t>
        </is>
      </c>
    </row>
    <row r="21">
      <c r="A21" s="0" t="inlineStr">
        <is>
          <t>DEEP1M</t>
        </is>
      </c>
      <c r="B21" s="0" t="inlineStr">
        <is>
          <t>Ours</t>
        </is>
      </c>
      <c r="C21" s="0" t="inlineStr">
        <is>
          <t>curve</t>
        </is>
      </c>
      <c r="D21" s="0" t="n">
        <v>1000000</v>
      </c>
      <c r="E21" s="0" t="n">
        <v>10</v>
      </c>
      <c r="F21" s="0" t="n">
        <v>32</v>
      </c>
      <c r="G21" s="0" t="n">
        <v>1</v>
      </c>
      <c r="I21" s="0" t="n">
        <v>86.5</v>
      </c>
      <c r="J21" s="0" t="n">
        <v>1.57887486666667</v>
      </c>
      <c r="K21" s="0" t="n">
        <v>3.99739765</v>
      </c>
      <c r="L21" s="0" t="n">
        <v>179.525</v>
      </c>
      <c r="M21" s="0" t="n">
        <v>60</v>
      </c>
      <c r="N21" s="0" t="inlineStr">
        <is>
          <t>/mnt/d/paper_source/work_9/VeriANN_repro_2026-09-30/VeriANN_repro_2026-09-30/results/work9-multidata-20261015/deep1m/Ours-curve-1000000</t>
        </is>
      </c>
    </row>
    <row r="22">
      <c r="A22" s="0" t="inlineStr">
        <is>
          <t>DEEP1M</t>
        </is>
      </c>
      <c r="B22" s="0" t="inlineStr">
        <is>
          <t>Ours</t>
        </is>
      </c>
      <c r="C22" s="0" t="inlineStr">
        <is>
          <t>curve</t>
        </is>
      </c>
      <c r="D22" s="0" t="n">
        <v>1000000</v>
      </c>
      <c r="E22" s="0" t="n">
        <v>10</v>
      </c>
      <c r="F22" s="0" t="n">
        <v>48</v>
      </c>
      <c r="G22" s="0" t="n">
        <v>1</v>
      </c>
      <c r="I22" s="0" t="n">
        <v>94.5</v>
      </c>
      <c r="J22" s="0" t="n">
        <v>2.06094483333333</v>
      </c>
      <c r="K22" s="0" t="n">
        <v>5.16082628333333</v>
      </c>
      <c r="L22" s="0" t="n">
        <v>228.1338</v>
      </c>
      <c r="M22" s="0" t="n">
        <v>60</v>
      </c>
      <c r="N22" s="0" t="inlineStr">
        <is>
          <t>/mnt/d/paper_source/work_9/VeriANN_repro_2026-09-30/VeriANN_repro_2026-09-30/results/work9-multidata-20261015/deep1m/Ours-curve-1000000</t>
        </is>
      </c>
    </row>
    <row r="23">
      <c r="A23" s="0" t="inlineStr">
        <is>
          <t>DEEP1M</t>
        </is>
      </c>
      <c r="B23" s="0" t="inlineStr">
        <is>
          <t>Ours</t>
        </is>
      </c>
      <c r="C23" s="0" t="inlineStr">
        <is>
          <t>curve</t>
        </is>
      </c>
      <c r="D23" s="0" t="n">
        <v>1000000</v>
      </c>
      <c r="E23" s="0" t="n">
        <v>10</v>
      </c>
      <c r="F23" s="0" t="n">
        <v>64</v>
      </c>
      <c r="G23" s="0" t="n">
        <v>1</v>
      </c>
      <c r="I23" s="0" t="n">
        <v>97.5</v>
      </c>
      <c r="J23" s="0" t="n">
        <v>2.5314656</v>
      </c>
      <c r="K23" s="0" t="n">
        <v>6.1193687</v>
      </c>
      <c r="L23" s="0" t="n">
        <v>271.0874</v>
      </c>
      <c r="M23" s="0" t="n">
        <v>60</v>
      </c>
      <c r="N23" s="0" t="inlineStr">
        <is>
          <t>/mnt/d/paper_source/work_9/VeriANN_repro_2026-09-30/VeriANN_repro_2026-09-30/results/work9-multidata-20261015/deep1m/Ours-curve-1000000</t>
        </is>
      </c>
    </row>
    <row r="24">
      <c r="A24" s="0" t="inlineStr">
        <is>
          <t>DEEP1M</t>
        </is>
      </c>
      <c r="B24" s="0" t="inlineStr">
        <is>
          <t>Ours</t>
        </is>
      </c>
      <c r="C24" s="0" t="inlineStr">
        <is>
          <t>curve</t>
        </is>
      </c>
      <c r="D24" s="0" t="n">
        <v>1000000</v>
      </c>
      <c r="E24" s="0" t="n">
        <v>10</v>
      </c>
      <c r="F24" s="0" t="n">
        <v>96</v>
      </c>
      <c r="G24" s="0" t="n">
        <v>1</v>
      </c>
      <c r="I24" s="0" t="n">
        <v>98.5</v>
      </c>
      <c r="J24" s="0" t="n">
        <v>3.40401168333333</v>
      </c>
      <c r="K24" s="0" t="n">
        <v>7.86179926666667</v>
      </c>
      <c r="L24" s="0" t="n">
        <v>344.9868</v>
      </c>
      <c r="M24" s="0" t="n">
        <v>60</v>
      </c>
      <c r="N24" s="0" t="inlineStr">
        <is>
          <t>/mnt/d/paper_source/work_9/VeriANN_repro_2026-09-30/VeriANN_repro_2026-09-30/results/work9-multidata-20261015/deep1m/Ours-curve-1000000</t>
        </is>
      </c>
    </row>
    <row r="25">
      <c r="A25" s="0" t="inlineStr">
        <is>
          <t>DEEP1M</t>
        </is>
      </c>
      <c r="B25" s="0" t="inlineStr">
        <is>
          <t>Ours</t>
        </is>
      </c>
      <c r="C25" s="0" t="inlineStr">
        <is>
          <t>curve</t>
        </is>
      </c>
      <c r="D25" s="0" t="n">
        <v>1000000</v>
      </c>
      <c r="E25" s="0" t="n">
        <v>10</v>
      </c>
      <c r="F25" s="0" t="n">
        <v>128</v>
      </c>
      <c r="G25" s="0" t="n">
        <v>1</v>
      </c>
      <c r="I25" s="0" t="n">
        <v>99</v>
      </c>
      <c r="J25" s="0" t="n">
        <v>4.2387441</v>
      </c>
      <c r="K25" s="0" t="n">
        <v>9.4468192</v>
      </c>
      <c r="L25" s="0" t="n">
        <v>405.5006</v>
      </c>
      <c r="M25" s="0" t="n">
        <v>60</v>
      </c>
      <c r="N25" s="0" t="inlineStr">
        <is>
          <t>/mnt/d/paper_source/work_9/VeriANN_repro_2026-09-30/VeriANN_repro_2026-09-30/results/work9-multidata-20261015/deep1m/Ours-curve-1000000</t>
        </is>
      </c>
    </row>
    <row r="26">
      <c r="A26" s="0" t="inlineStr">
        <is>
          <t>DEEP1M</t>
        </is>
      </c>
      <c r="B26" s="0" t="inlineStr">
        <is>
          <t>Ours</t>
        </is>
      </c>
      <c r="C26" s="0" t="inlineStr">
        <is>
          <t>k</t>
        </is>
      </c>
      <c r="D26" s="0" t="n">
        <v>1000000</v>
      </c>
      <c r="E26" s="0" t="n">
        <v>1</v>
      </c>
      <c r="F26" s="0" t="n">
        <v>64</v>
      </c>
      <c r="G26" s="0" t="n">
        <v>1</v>
      </c>
      <c r="I26" s="0" t="n">
        <v>100</v>
      </c>
      <c r="J26" s="0" t="n">
        <v>1.99976848333333</v>
      </c>
      <c r="K26" s="0" t="n">
        <v>3.65461865</v>
      </c>
      <c r="L26" s="0" t="n">
        <v>168.3194</v>
      </c>
      <c r="M26" s="0" t="n">
        <v>60</v>
      </c>
      <c r="N26" s="0" t="inlineStr">
        <is>
          <t>/mnt/d/paper_source/work_9/VeriANN_repro_2026-09-30/VeriANN_repro_2026-09-30/results/work9-multidata-20261015/deep1m/Ours-k-1000000</t>
        </is>
      </c>
    </row>
    <row r="27">
      <c r="A27" s="0" t="inlineStr">
        <is>
          <t>DEEP1M</t>
        </is>
      </c>
      <c r="B27" s="0" t="inlineStr">
        <is>
          <t>Ours</t>
        </is>
      </c>
      <c r="C27" s="0" t="inlineStr">
        <is>
          <t>k</t>
        </is>
      </c>
      <c r="D27" s="0" t="n">
        <v>1000000</v>
      </c>
      <c r="E27" s="0" t="n">
        <v>5</v>
      </c>
      <c r="F27" s="0" t="n">
        <v>64</v>
      </c>
      <c r="G27" s="0" t="n">
        <v>1</v>
      </c>
      <c r="I27" s="0" t="n">
        <v>99</v>
      </c>
      <c r="J27" s="0" t="n">
        <v>2.31089056666667</v>
      </c>
      <c r="K27" s="0" t="n">
        <v>5.27781701666667</v>
      </c>
      <c r="L27" s="0" t="n">
        <v>235.5306</v>
      </c>
      <c r="M27" s="0" t="n">
        <v>60</v>
      </c>
      <c r="N27" s="0" t="inlineStr">
        <is>
          <t>/mnt/d/paper_source/work_9/VeriANN_repro_2026-09-30/VeriANN_repro_2026-09-30/results/work9-multidata-20261015/deep1m/Ours-k-1000000</t>
        </is>
      </c>
    </row>
    <row r="28">
      <c r="A28" s="0" t="inlineStr">
        <is>
          <t>DEEP1M</t>
        </is>
      </c>
      <c r="B28" s="0" t="inlineStr">
        <is>
          <t>Ours</t>
        </is>
      </c>
      <c r="C28" s="0" t="inlineStr">
        <is>
          <t>k</t>
        </is>
      </c>
      <c r="D28" s="0" t="n">
        <v>1000000</v>
      </c>
      <c r="E28" s="0" t="n">
        <v>10</v>
      </c>
      <c r="F28" s="0" t="n">
        <v>64</v>
      </c>
      <c r="G28" s="0" t="n">
        <v>1</v>
      </c>
      <c r="I28" s="0" t="n">
        <v>97.5</v>
      </c>
      <c r="J28" s="0" t="n">
        <v>2.61255283333333</v>
      </c>
      <c r="K28" s="0" t="n">
        <v>6.14438738333333</v>
      </c>
      <c r="L28" s="0" t="n">
        <v>271.0874</v>
      </c>
      <c r="M28" s="0" t="n">
        <v>60</v>
      </c>
      <c r="N28" s="0" t="inlineStr">
        <is>
          <t>/mnt/d/paper_source/work_9/VeriANN_repro_2026-09-30/VeriANN_repro_2026-09-30/results/work9-multidata-20261015/deep1m/Ours-k-1000000</t>
        </is>
      </c>
    </row>
    <row r="29">
      <c r="A29" s="0" t="inlineStr">
        <is>
          <t>DEEP1M</t>
        </is>
      </c>
      <c r="B29" s="0" t="inlineStr">
        <is>
          <t>Ours</t>
        </is>
      </c>
      <c r="C29" s="0" t="inlineStr">
        <is>
          <t>k</t>
        </is>
      </c>
      <c r="D29" s="0" t="n">
        <v>1000000</v>
      </c>
      <c r="E29" s="0" t="n">
        <v>20</v>
      </c>
      <c r="F29" s="0" t="n">
        <v>64</v>
      </c>
      <c r="G29" s="0" t="n">
        <v>1</v>
      </c>
      <c r="I29" s="0" t="n">
        <v>96.75</v>
      </c>
      <c r="J29" s="0" t="n">
        <v>2.7890055</v>
      </c>
      <c r="K29" s="0" t="n">
        <v>7.03352981666667</v>
      </c>
      <c r="L29" s="0" t="n">
        <v>311.4214</v>
      </c>
      <c r="M29" s="0" t="n">
        <v>60</v>
      </c>
      <c r="N29" s="0" t="inlineStr">
        <is>
          <t>/mnt/d/paper_source/work_9/VeriANN_repro_2026-09-30/VeriANN_repro_2026-09-30/results/work9-multidata-20261015/deep1m/Ours-k-1000000</t>
        </is>
      </c>
    </row>
    <row r="30">
      <c r="A30" s="0" t="inlineStr">
        <is>
          <t>DEEP1M</t>
        </is>
      </c>
      <c r="B30" s="0" t="inlineStr">
        <is>
          <t>Ours</t>
        </is>
      </c>
      <c r="C30" s="0" t="inlineStr">
        <is>
          <t>k</t>
        </is>
      </c>
      <c r="D30" s="0" t="n">
        <v>1000000</v>
      </c>
      <c r="E30" s="0" t="n">
        <v>50</v>
      </c>
      <c r="F30" s="0" t="n">
        <v>64</v>
      </c>
      <c r="G30" s="0" t="n">
        <v>1</v>
      </c>
      <c r="I30" s="0" t="n">
        <v>91.5</v>
      </c>
      <c r="J30" s="0" t="n">
        <v>3.26370998333333</v>
      </c>
      <c r="K30" s="0" t="n">
        <v>8.7224146</v>
      </c>
      <c r="L30" s="0" t="n">
        <v>394.7074</v>
      </c>
      <c r="M30" s="0" t="n">
        <v>60</v>
      </c>
      <c r="N30" s="0" t="inlineStr">
        <is>
          <t>/mnt/d/paper_source/work_9/VeriANN_repro_2026-09-30/VeriANN_repro_2026-09-30/results/work9-multidata-20261015/deep1m/Ours-k-1000000</t>
        </is>
      </c>
    </row>
    <row r="31">
      <c r="A31" s="0" t="inlineStr">
        <is>
          <t>DEEP1M</t>
        </is>
      </c>
      <c r="B31" s="0" t="inlineStr">
        <is>
          <t>Ours</t>
        </is>
      </c>
      <c r="C31" s="0" t="inlineStr">
        <is>
          <t>k</t>
        </is>
      </c>
      <c r="D31" s="0" t="n">
        <v>1000000</v>
      </c>
      <c r="E31" s="0" t="n">
        <v>100</v>
      </c>
      <c r="F31" s="0" t="n">
        <v>64</v>
      </c>
      <c r="G31" s="0" t="n">
        <v>1</v>
      </c>
      <c r="I31" s="0" t="n">
        <v>85.84999999999999</v>
      </c>
      <c r="J31" s="0" t="n">
        <v>3.81614001666667</v>
      </c>
      <c r="K31" s="0" t="n">
        <v>10.32036355</v>
      </c>
      <c r="L31" s="0" t="n">
        <v>479.8746</v>
      </c>
      <c r="M31" s="0" t="n">
        <v>60</v>
      </c>
      <c r="N31" s="0" t="inlineStr">
        <is>
          <t>/mnt/d/paper_source/work_9/VeriANN_repro_2026-09-30/VeriANN_repro_2026-09-30/results/work9-multidata-20261015/deep1m/Ours-k-1000000</t>
        </is>
      </c>
    </row>
    <row r="32">
      <c r="A32" s="0" t="inlineStr">
        <is>
          <t>DEEP1M</t>
        </is>
      </c>
      <c r="B32" s="0" t="inlineStr">
        <is>
          <t>Ours</t>
        </is>
      </c>
      <c r="C32" s="0" t="inlineStr">
        <is>
          <t>size</t>
        </is>
      </c>
      <c r="D32" s="0" t="n">
        <v>100000</v>
      </c>
      <c r="E32" s="0" t="n">
        <v>10</v>
      </c>
      <c r="F32" s="0" t="n">
        <v>64</v>
      </c>
      <c r="G32" s="0" t="n">
        <v>1</v>
      </c>
      <c r="I32" s="0" t="n">
        <v>97</v>
      </c>
      <c r="J32" s="0" t="n">
        <v>1.46408101666667</v>
      </c>
      <c r="K32" s="0" t="n">
        <v>3.48295088333333</v>
      </c>
      <c r="L32" s="0" t="n">
        <v>158.2168</v>
      </c>
      <c r="M32" s="0" t="n">
        <v>60</v>
      </c>
      <c r="N32" s="0" t="inlineStr">
        <is>
          <t>/mnt/d/paper_source/work_9/VeriANN_repro_2026-09-30/VeriANN_repro_2026-09-30/results/work9-multidata-20261015/deep1m/Ours-size-100000</t>
        </is>
      </c>
    </row>
    <row r="33">
      <c r="A33" s="0" t="inlineStr">
        <is>
          <t>DEEP1M</t>
        </is>
      </c>
      <c r="B33" s="0" t="inlineStr">
        <is>
          <t>Ours</t>
        </is>
      </c>
      <c r="C33" s="0" t="inlineStr">
        <is>
          <t>size</t>
        </is>
      </c>
      <c r="D33" s="0" t="n">
        <v>1000000</v>
      </c>
      <c r="E33" s="0" t="n">
        <v>10</v>
      </c>
      <c r="F33" s="0" t="n">
        <v>64</v>
      </c>
      <c r="G33" s="0" t="n">
        <v>1</v>
      </c>
      <c r="I33" s="0" t="n">
        <v>97.5</v>
      </c>
      <c r="J33" s="0" t="n">
        <v>2.5314656</v>
      </c>
      <c r="K33" s="0" t="n">
        <v>6.1193687</v>
      </c>
      <c r="L33" s="0" t="n">
        <v>271.0874</v>
      </c>
      <c r="M33" s="0" t="n">
        <v>60</v>
      </c>
      <c r="N33" s="0" t="inlineStr">
        <is>
          <t>/mnt/d/paper_source/work_9/VeriANN_repro_2026-09-30/VeriANN_repro_2026-09-30/results/work9-multidata-20261015/deep1m/Ours-curve-1000000</t>
        </is>
      </c>
    </row>
    <row r="34">
      <c r="A34" s="0" t="inlineStr">
        <is>
          <t>DEEP1M</t>
        </is>
      </c>
      <c r="B34" s="0" t="inlineStr">
        <is>
          <t>Ours</t>
        </is>
      </c>
      <c r="C34" s="0" t="inlineStr">
        <is>
          <t>size</t>
        </is>
      </c>
      <c r="D34" s="0" t="n">
        <v>500000</v>
      </c>
      <c r="E34" s="0" t="n">
        <v>10</v>
      </c>
      <c r="F34" s="0" t="n">
        <v>64</v>
      </c>
      <c r="G34" s="0" t="n">
        <v>1</v>
      </c>
      <c r="I34" s="0" t="n">
        <v>97.5</v>
      </c>
      <c r="J34" s="0" t="n">
        <v>2.29060276666667</v>
      </c>
      <c r="K34" s="0" t="n">
        <v>5.32543016666667</v>
      </c>
      <c r="L34" s="0" t="n">
        <v>232.5502</v>
      </c>
      <c r="M34" s="0" t="n">
        <v>60</v>
      </c>
      <c r="N34" s="0" t="inlineStr">
        <is>
          <t>/mnt/d/paper_source/work_9/VeriANN_repro_2026-09-30/VeriANN_repro_2026-09-30/results/work9-multidata-20261015/deep1m/Ours-size-500000</t>
        </is>
      </c>
    </row>
    <row r="35">
      <c r="A35" s="0" t="inlineStr">
        <is>
          <t>DEEP1M</t>
        </is>
      </c>
      <c r="B35" s="0" t="inlineStr">
        <is>
          <t>VLAH</t>
        </is>
      </c>
      <c r="C35" s="0" t="inlineStr">
        <is>
          <t>curve</t>
        </is>
      </c>
      <c r="D35" s="0" t="n">
        <v>1000000</v>
      </c>
      <c r="E35" s="0" t="n">
        <v>10</v>
      </c>
      <c r="F35" s="0" t="n">
        <v>100</v>
      </c>
      <c r="G35" s="0" t="n">
        <v>9</v>
      </c>
      <c r="H35" s="0" t="n">
        <v>0.345696723605982</v>
      </c>
      <c r="I35" s="0" t="n">
        <v>60.5</v>
      </c>
      <c r="J35" s="0" t="n">
        <v>19.13366525</v>
      </c>
      <c r="K35" s="0" t="n">
        <v>53.6938911666667</v>
      </c>
      <c r="L35" s="0" t="n">
        <v>7541.69535</v>
      </c>
      <c r="M35" s="0" t="n">
        <v>60</v>
      </c>
      <c r="N35" s="0" t="inlineStr">
        <is>
          <t>/mnt/d/paper_source/work_9/VeriANN_repro_2026-09-30/VeriANN_repro_2026-09-30/results/work9-multidata-20261015/deep1m/VLAH-curve-1000000</t>
        </is>
      </c>
    </row>
    <row r="36">
      <c r="A36" s="0" t="inlineStr">
        <is>
          <t>DEEP1M</t>
        </is>
      </c>
      <c r="B36" s="0" t="inlineStr">
        <is>
          <t>VLAH</t>
        </is>
      </c>
      <c r="C36" s="0" t="inlineStr">
        <is>
          <t>curve</t>
        </is>
      </c>
      <c r="D36" s="0" t="n">
        <v>1000000</v>
      </c>
      <c r="E36" s="0" t="n">
        <v>10</v>
      </c>
      <c r="F36" s="0" t="n">
        <v>100</v>
      </c>
      <c r="G36" s="0" t="n">
        <v>12</v>
      </c>
      <c r="H36" s="0" t="n">
        <v>0.345696723605982</v>
      </c>
      <c r="I36" s="0" t="n">
        <v>65.5</v>
      </c>
      <c r="J36" s="0" t="n">
        <v>25.5380965</v>
      </c>
      <c r="K36" s="0" t="n">
        <v>72.3760297</v>
      </c>
      <c r="L36" s="0" t="n">
        <v>10100.5947</v>
      </c>
      <c r="M36" s="0" t="n">
        <v>60</v>
      </c>
      <c r="N36" s="0" t="inlineStr">
        <is>
          <t>/mnt/d/paper_source/work_9/VeriANN_repro_2026-09-30/VeriANN_repro_2026-09-30/results/work9-multidata-20261015/deep1m/VLAH-curve-1000000</t>
        </is>
      </c>
    </row>
    <row r="37">
      <c r="A37" s="0" t="inlineStr">
        <is>
          <t>DEEP1M</t>
        </is>
      </c>
      <c r="B37" s="0" t="inlineStr">
        <is>
          <t>VLAH</t>
        </is>
      </c>
      <c r="C37" s="0" t="inlineStr">
        <is>
          <t>curve</t>
        </is>
      </c>
      <c r="D37" s="0" t="n">
        <v>1000000</v>
      </c>
      <c r="E37" s="0" t="n">
        <v>10</v>
      </c>
      <c r="F37" s="0" t="n">
        <v>100</v>
      </c>
      <c r="G37" s="0" t="n">
        <v>18</v>
      </c>
      <c r="H37" s="0" t="n">
        <v>0.345696723605982</v>
      </c>
      <c r="I37" s="0" t="n">
        <v>71</v>
      </c>
      <c r="J37" s="0" t="n">
        <v>39.99110205</v>
      </c>
      <c r="K37" s="0" t="n">
        <v>109.178227966667</v>
      </c>
      <c r="L37" s="0" t="n">
        <v>15095.98385</v>
      </c>
      <c r="M37" s="0" t="n">
        <v>60</v>
      </c>
      <c r="N37" s="0" t="inlineStr">
        <is>
          <t>/mnt/d/paper_source/work_9/VeriANN_repro_2026-09-30/VeriANN_repro_2026-09-30/results/work9-multidata-20261015/deep1m/VLAH-curve-1000000</t>
        </is>
      </c>
    </row>
    <row r="38">
      <c r="A38" s="0" t="inlineStr">
        <is>
          <t>DEEP1M</t>
        </is>
      </c>
      <c r="B38" s="0" t="inlineStr">
        <is>
          <t>VLAH</t>
        </is>
      </c>
      <c r="C38" s="0" t="inlineStr">
        <is>
          <t>curve</t>
        </is>
      </c>
      <c r="D38" s="0" t="n">
        <v>1000000</v>
      </c>
      <c r="E38" s="0" t="n">
        <v>10</v>
      </c>
      <c r="F38" s="0" t="n">
        <v>100</v>
      </c>
      <c r="G38" s="0" t="n">
        <v>20</v>
      </c>
      <c r="H38" s="0" t="n">
        <v>0.345696723605982</v>
      </c>
      <c r="I38" s="0" t="n">
        <v>75.5</v>
      </c>
      <c r="J38" s="0" t="n">
        <v>44.5284999666667</v>
      </c>
      <c r="K38" s="0" t="n">
        <v>121.4742997</v>
      </c>
      <c r="L38" s="0" t="n">
        <v>16753.7914</v>
      </c>
      <c r="M38" s="0" t="n">
        <v>60</v>
      </c>
      <c r="N38" s="0" t="inlineStr">
        <is>
          <t>/mnt/d/paper_source/work_9/VeriANN_repro_2026-09-30/VeriANN_repro_2026-09-30/results/work9-multidata-20261015/deep1m/VLAH-curve-1000000</t>
        </is>
      </c>
    </row>
    <row r="39">
      <c r="A39" s="0" t="inlineStr">
        <is>
          <t>DEEP1M</t>
        </is>
      </c>
      <c r="B39" s="0" t="inlineStr">
        <is>
          <t>VLAH</t>
        </is>
      </c>
      <c r="C39" s="0" t="inlineStr">
        <is>
          <t>curve</t>
        </is>
      </c>
      <c r="D39" s="0" t="n">
        <v>1000000</v>
      </c>
      <c r="E39" s="0" t="n">
        <v>10</v>
      </c>
      <c r="F39" s="0" t="n">
        <v>100</v>
      </c>
      <c r="G39" s="0" t="n">
        <v>24</v>
      </c>
      <c r="H39" s="0" t="n">
        <v>0.345696723605982</v>
      </c>
      <c r="I39" s="0" t="n">
        <v>81.5</v>
      </c>
      <c r="J39" s="0" t="n">
        <v>55.1920517166667</v>
      </c>
      <c r="K39" s="0" t="n">
        <v>148.180783866667</v>
      </c>
      <c r="L39" s="0" t="n">
        <v>20270.50565</v>
      </c>
      <c r="M39" s="0" t="n">
        <v>60</v>
      </c>
      <c r="N39" s="0" t="inlineStr">
        <is>
          <t>/mnt/d/paper_source/work_9/VeriANN_repro_2026-09-30/VeriANN_repro_2026-09-30/results/work9-multidata-20261015/deep1m/VLAH-curve-1000000</t>
        </is>
      </c>
    </row>
    <row r="40">
      <c r="A40" s="0" t="inlineStr">
        <is>
          <t>DEEP1M</t>
        </is>
      </c>
      <c r="B40" s="0" t="inlineStr">
        <is>
          <t>VLAH</t>
        </is>
      </c>
      <c r="C40" s="0" t="inlineStr">
        <is>
          <t>curve</t>
        </is>
      </c>
      <c r="D40" s="0" t="n">
        <v>1000000</v>
      </c>
      <c r="E40" s="0" t="n">
        <v>10</v>
      </c>
      <c r="F40" s="0" t="n">
        <v>100</v>
      </c>
      <c r="G40" s="0" t="n">
        <v>30</v>
      </c>
      <c r="H40" s="0" t="n">
        <v>0.345696723605982</v>
      </c>
      <c r="I40" s="0" t="n">
        <v>86</v>
      </c>
      <c r="J40" s="0" t="n">
        <v>70.88948418333329</v>
      </c>
      <c r="K40" s="0" t="n">
        <v>188.6092781</v>
      </c>
      <c r="L40" s="0" t="n">
        <v>25837.7698</v>
      </c>
      <c r="M40" s="0" t="n">
        <v>60</v>
      </c>
      <c r="N40" s="0" t="inlineStr">
        <is>
          <t>/mnt/d/paper_source/work_9/VeriANN_repro_2026-09-30/VeriANN_repro_2026-09-30/results/work9-multidata-20261015/deep1m/VLAH-curve-1000000</t>
        </is>
      </c>
    </row>
    <row r="41">
      <c r="A41" s="0" t="inlineStr">
        <is>
          <t>DEEP1M</t>
        </is>
      </c>
      <c r="B41" s="0" t="inlineStr">
        <is>
          <t>VLAH</t>
        </is>
      </c>
      <c r="C41" s="0" t="inlineStr">
        <is>
          <t>curve</t>
        </is>
      </c>
      <c r="D41" s="0" t="n">
        <v>1000000</v>
      </c>
      <c r="E41" s="0" t="n">
        <v>10</v>
      </c>
      <c r="F41" s="0" t="n">
        <v>100</v>
      </c>
      <c r="G41" s="0" t="n">
        <v>38</v>
      </c>
      <c r="H41" s="0" t="n">
        <v>0.345696723605982</v>
      </c>
      <c r="I41" s="0" t="n">
        <v>90</v>
      </c>
      <c r="J41" s="0" t="n">
        <v>90.9629803833333</v>
      </c>
      <c r="K41" s="0" t="n">
        <v>240.77539485</v>
      </c>
      <c r="L41" s="0" t="n">
        <v>32924.164</v>
      </c>
      <c r="M41" s="0" t="n">
        <v>60</v>
      </c>
      <c r="N41" s="0" t="inlineStr">
        <is>
          <t>/mnt/d/paper_source/work_9/VeriANN_repro_2026-09-30/VeriANN_repro_2026-09-30/results/work9-multidata-20261015/deep1m/VLAH-curve-1000000</t>
        </is>
      </c>
    </row>
    <row r="42">
      <c r="A42" s="0" t="inlineStr">
        <is>
          <t>DEEP1M</t>
        </is>
      </c>
      <c r="B42" s="0" t="inlineStr">
        <is>
          <t>VLAH</t>
        </is>
      </c>
      <c r="C42" s="0" t="inlineStr">
        <is>
          <t>curve</t>
        </is>
      </c>
      <c r="D42" s="0" t="n">
        <v>1000000</v>
      </c>
      <c r="E42" s="0" t="n">
        <v>10</v>
      </c>
      <c r="F42" s="0" t="n">
        <v>100</v>
      </c>
      <c r="G42" s="0" t="n">
        <v>44</v>
      </c>
      <c r="H42" s="0" t="n">
        <v>0.345696723605982</v>
      </c>
      <c r="I42" s="0" t="n">
        <v>95</v>
      </c>
      <c r="J42" s="0" t="n">
        <v>106.513872866667</v>
      </c>
      <c r="K42" s="0" t="n">
        <v>280.071343333333</v>
      </c>
      <c r="L42" s="0" t="n">
        <v>38322.17155</v>
      </c>
      <c r="M42" s="0" t="n">
        <v>60</v>
      </c>
      <c r="N42" s="0" t="inlineStr">
        <is>
          <t>/mnt/d/paper_source/work_9/VeriANN_repro_2026-09-30/VeriANN_repro_2026-09-30/results/work9-multidata-20261015/deep1m/VLAH-curve-1000000</t>
        </is>
      </c>
    </row>
    <row r="43">
      <c r="A43" s="0" t="inlineStr">
        <is>
          <t>DEEP1M</t>
        </is>
      </c>
      <c r="B43" s="0" t="inlineStr">
        <is>
          <t>VLAH</t>
        </is>
      </c>
      <c r="C43" s="0" t="inlineStr">
        <is>
          <t>curve</t>
        </is>
      </c>
      <c r="D43" s="0" t="n">
        <v>1000000</v>
      </c>
      <c r="E43" s="0" t="n">
        <v>10</v>
      </c>
      <c r="F43" s="0" t="n">
        <v>100</v>
      </c>
      <c r="G43" s="0" t="n">
        <v>46</v>
      </c>
      <c r="H43" s="0" t="n">
        <v>0.345696723605982</v>
      </c>
      <c r="I43" s="0" t="n">
        <v>98</v>
      </c>
      <c r="J43" s="0" t="n">
        <v>117.3229633</v>
      </c>
      <c r="K43" s="0" t="n">
        <v>293.38766795</v>
      </c>
      <c r="L43" s="0" t="n">
        <v>39981.33235</v>
      </c>
      <c r="M43" s="0" t="n">
        <v>60</v>
      </c>
      <c r="N43" s="0" t="inlineStr">
        <is>
          <t>/mnt/d/paper_source/work_9/VeriANN_repro_2026-09-30/VeriANN_repro_2026-09-30/results/work9-multidata-20261015/deep1m/VLAH-curve-1000000</t>
        </is>
      </c>
    </row>
    <row r="44">
      <c r="A44" s="0" t="inlineStr">
        <is>
          <t>DEEP1M</t>
        </is>
      </c>
      <c r="B44" s="0" t="inlineStr">
        <is>
          <t>VLAH</t>
        </is>
      </c>
      <c r="C44" s="0" t="inlineStr">
        <is>
          <t>curve</t>
        </is>
      </c>
      <c r="D44" s="0" t="n">
        <v>1000000</v>
      </c>
      <c r="E44" s="0" t="n">
        <v>10</v>
      </c>
      <c r="F44" s="0" t="n">
        <v>100</v>
      </c>
      <c r="G44" s="0" t="n">
        <v>47</v>
      </c>
      <c r="H44" s="0" t="n">
        <v>0.345696723605982</v>
      </c>
      <c r="I44" s="0" t="n">
        <v>99</v>
      </c>
      <c r="J44" s="0" t="n">
        <v>120.407316883333</v>
      </c>
      <c r="K44" s="0" t="n">
        <v>299.962289733333</v>
      </c>
      <c r="L44" s="0" t="n">
        <v>40878.05455</v>
      </c>
      <c r="M44" s="0" t="n">
        <v>60</v>
      </c>
      <c r="N44" s="0" t="inlineStr">
        <is>
          <t>/mnt/d/paper_source/work_9/VeriANN_repro_2026-09-30/VeriANN_repro_2026-09-30/results/work9-multidata-20261015/deep1m/VLAH-curve-1000000</t>
        </is>
      </c>
    </row>
    <row r="45">
      <c r="A45" s="0" t="inlineStr">
        <is>
          <t>DEEP1M</t>
        </is>
      </c>
      <c r="B45" s="0" t="inlineStr">
        <is>
          <t>VLAH</t>
        </is>
      </c>
      <c r="C45" s="0" t="inlineStr">
        <is>
          <t>k</t>
        </is>
      </c>
      <c r="D45" s="0" t="n">
        <v>1000000</v>
      </c>
      <c r="E45" s="0" t="n">
        <v>1</v>
      </c>
      <c r="F45" s="0" t="n">
        <v>100</v>
      </c>
      <c r="G45" s="0" t="n">
        <v>44</v>
      </c>
      <c r="H45" s="0" t="n">
        <v>0.345696723605982</v>
      </c>
      <c r="I45" s="0" t="n">
        <v>80</v>
      </c>
      <c r="J45" s="0" t="n">
        <v>105.88339385</v>
      </c>
      <c r="K45" s="0" t="n">
        <v>279.226395533333</v>
      </c>
      <c r="L45" s="0" t="n">
        <v>38322.13555</v>
      </c>
      <c r="M45" s="0" t="n">
        <v>60</v>
      </c>
      <c r="N45" s="0" t="inlineStr">
        <is>
          <t>/mnt/d/paper_source/work_9/VeriANN_repro_2026-09-30/VeriANN_repro_2026-09-30/results/work9-multidata-20261015/deep1m/VLAH-k-1000000</t>
        </is>
      </c>
    </row>
    <row r="46">
      <c r="A46" s="0" t="inlineStr">
        <is>
          <t>DEEP1M</t>
        </is>
      </c>
      <c r="B46" s="0" t="inlineStr">
        <is>
          <t>VLAH</t>
        </is>
      </c>
      <c r="C46" s="0" t="inlineStr">
        <is>
          <t>k</t>
        </is>
      </c>
      <c r="D46" s="0" t="n">
        <v>1000000</v>
      </c>
      <c r="E46" s="0" t="n">
        <v>5</v>
      </c>
      <c r="F46" s="0" t="n">
        <v>100</v>
      </c>
      <c r="G46" s="0" t="n">
        <v>44</v>
      </c>
      <c r="H46" s="0" t="n">
        <v>0.345696723605982</v>
      </c>
      <c r="I46" s="0" t="n">
        <v>95</v>
      </c>
      <c r="J46" s="0" t="n">
        <v>105.922972883333</v>
      </c>
      <c r="K46" s="0" t="n">
        <v>280.92384975</v>
      </c>
      <c r="L46" s="0" t="n">
        <v>38322.15155</v>
      </c>
      <c r="M46" s="0" t="n">
        <v>60</v>
      </c>
      <c r="N46" s="0" t="inlineStr">
        <is>
          <t>/mnt/d/paper_source/work_9/VeriANN_repro_2026-09-30/VeriANN_repro_2026-09-30/results/work9-multidata-20261015/deep1m/VLAH-k-1000000</t>
        </is>
      </c>
    </row>
    <row r="47">
      <c r="A47" s="0" t="inlineStr">
        <is>
          <t>DEEP1M</t>
        </is>
      </c>
      <c r="B47" s="0" t="inlineStr">
        <is>
          <t>VLAH</t>
        </is>
      </c>
      <c r="C47" s="0" t="inlineStr">
        <is>
          <t>k</t>
        </is>
      </c>
      <c r="D47" s="0" t="n">
        <v>1000000</v>
      </c>
      <c r="E47" s="0" t="n">
        <v>10</v>
      </c>
      <c r="F47" s="0" t="n">
        <v>100</v>
      </c>
      <c r="G47" s="0" t="n">
        <v>44</v>
      </c>
      <c r="H47" s="0" t="n">
        <v>0.345696723605982</v>
      </c>
      <c r="I47" s="0" t="n">
        <v>95</v>
      </c>
      <c r="J47" s="0" t="n">
        <v>105.4260024</v>
      </c>
      <c r="K47" s="0" t="n">
        <v>281.087432783333</v>
      </c>
      <c r="L47" s="0" t="n">
        <v>38322.17155</v>
      </c>
      <c r="M47" s="0" t="n">
        <v>60</v>
      </c>
      <c r="N47" s="0" t="inlineStr">
        <is>
          <t>/mnt/d/paper_source/work_9/VeriANN_repro_2026-09-30/VeriANN_repro_2026-09-30/results/work9-multidata-20261015/deep1m/VLAH-k-1000000</t>
        </is>
      </c>
    </row>
    <row r="48">
      <c r="A48" s="0" t="inlineStr">
        <is>
          <t>DEEP1M</t>
        </is>
      </c>
      <c r="B48" s="0" t="inlineStr">
        <is>
          <t>VLAH</t>
        </is>
      </c>
      <c r="C48" s="0" t="inlineStr">
        <is>
          <t>k</t>
        </is>
      </c>
      <c r="D48" s="0" t="n">
        <v>1000000</v>
      </c>
      <c r="E48" s="0" t="n">
        <v>20</v>
      </c>
      <c r="F48" s="0" t="n">
        <v>100</v>
      </c>
      <c r="G48" s="0" t="n">
        <v>44</v>
      </c>
      <c r="H48" s="0" t="n">
        <v>0.345696723605982</v>
      </c>
      <c r="I48" s="0" t="n">
        <v>95.75</v>
      </c>
      <c r="J48" s="0" t="n">
        <v>105.24395565</v>
      </c>
      <c r="K48" s="0" t="n">
        <v>281.015158366667</v>
      </c>
      <c r="L48" s="0" t="n">
        <v>38322.21155</v>
      </c>
      <c r="M48" s="0" t="n">
        <v>60</v>
      </c>
      <c r="N48" s="0" t="inlineStr">
        <is>
          <t>/mnt/d/paper_source/work_9/VeriANN_repro_2026-09-30/VeriANN_repro_2026-09-30/results/work9-multidata-20261015/deep1m/VLAH-k-1000000</t>
        </is>
      </c>
    </row>
    <row r="49">
      <c r="A49" s="0" t="inlineStr">
        <is>
          <t>DEEP1M</t>
        </is>
      </c>
      <c r="B49" s="0" t="inlineStr">
        <is>
          <t>VLAH</t>
        </is>
      </c>
      <c r="C49" s="0" t="inlineStr">
        <is>
          <t>k</t>
        </is>
      </c>
      <c r="D49" s="0" t="n">
        <v>1000000</v>
      </c>
      <c r="E49" s="0" t="n">
        <v>50</v>
      </c>
      <c r="F49" s="0" t="n">
        <v>100</v>
      </c>
      <c r="G49" s="0" t="n">
        <v>44</v>
      </c>
      <c r="H49" s="0" t="n">
        <v>0.345696723605982</v>
      </c>
      <c r="I49" s="0" t="n">
        <v>96.2</v>
      </c>
      <c r="J49" s="0" t="n">
        <v>105.50841095</v>
      </c>
      <c r="K49" s="0" t="n">
        <v>280.416561016667</v>
      </c>
      <c r="L49" s="0" t="n">
        <v>38322.33155</v>
      </c>
      <c r="M49" s="0" t="n">
        <v>60</v>
      </c>
      <c r="N49" s="0" t="inlineStr">
        <is>
          <t>/mnt/d/paper_source/work_9/VeriANN_repro_2026-09-30/VeriANN_repro_2026-09-30/results/work9-multidata-20261015/deep1m/VLAH-k-1000000</t>
        </is>
      </c>
    </row>
    <row r="50">
      <c r="A50" s="0" t="inlineStr">
        <is>
          <t>DEEP1M</t>
        </is>
      </c>
      <c r="B50" s="0" t="inlineStr">
        <is>
          <t>VLAH</t>
        </is>
      </c>
      <c r="C50" s="0" t="inlineStr">
        <is>
          <t>k</t>
        </is>
      </c>
      <c r="D50" s="0" t="n">
        <v>1000000</v>
      </c>
      <c r="E50" s="0" t="n">
        <v>100</v>
      </c>
      <c r="F50" s="0" t="n">
        <v>100</v>
      </c>
      <c r="G50" s="0" t="n">
        <v>44</v>
      </c>
      <c r="H50" s="0" t="n">
        <v>0.345696723605982</v>
      </c>
      <c r="I50" s="0" t="n">
        <v>96.25</v>
      </c>
      <c r="J50" s="0" t="n">
        <v>105.2479959</v>
      </c>
      <c r="K50" s="0" t="n">
        <v>281.683170933333</v>
      </c>
      <c r="L50" s="0" t="n">
        <v>38322.53155</v>
      </c>
      <c r="M50" s="0" t="n">
        <v>60</v>
      </c>
      <c r="N50" s="0" t="inlineStr">
        <is>
          <t>/mnt/d/paper_source/work_9/VeriANN_repro_2026-09-30/VeriANN_repro_2026-09-30/results/work9-multidata-20261015/deep1m/VLAH-k-1000000</t>
        </is>
      </c>
    </row>
    <row r="51">
      <c r="A51" s="0" t="inlineStr">
        <is>
          <t>DEEP1M</t>
        </is>
      </c>
      <c r="B51" s="0" t="inlineStr">
        <is>
          <t>VLAH</t>
        </is>
      </c>
      <c r="C51" s="0" t="inlineStr">
        <is>
          <t>size</t>
        </is>
      </c>
      <c r="D51" s="0" t="n">
        <v>100000</v>
      </c>
      <c r="E51" s="0" t="n">
        <v>10</v>
      </c>
      <c r="F51" s="0" t="n">
        <v>100</v>
      </c>
      <c r="G51" s="0" t="n">
        <v>5</v>
      </c>
      <c r="H51" s="0" t="n">
        <v>0.345696723605982</v>
      </c>
      <c r="I51" s="0" t="n">
        <v>100</v>
      </c>
      <c r="J51" s="0" t="n">
        <v>11.1942364166667</v>
      </c>
      <c r="K51" s="0" t="n">
        <v>30.6691185833333</v>
      </c>
      <c r="L51" s="0" t="n">
        <v>4406.5916</v>
      </c>
      <c r="M51" s="0" t="n">
        <v>60</v>
      </c>
      <c r="N51" s="0" t="inlineStr">
        <is>
          <t>/mnt/d/paper_source/work_9/VeriANN_repro_2026-09-30/VeriANN_repro_2026-09-30/results/work9-multidata-20261015/deep1m/VLAH-size-100000</t>
        </is>
      </c>
    </row>
    <row r="52">
      <c r="A52" s="0" t="inlineStr">
        <is>
          <t>DEEP1M</t>
        </is>
      </c>
      <c r="B52" s="0" t="inlineStr">
        <is>
          <t>VLAH</t>
        </is>
      </c>
      <c r="C52" s="0" t="inlineStr">
        <is>
          <t>size</t>
        </is>
      </c>
      <c r="D52" s="0" t="n">
        <v>1000000</v>
      </c>
      <c r="E52" s="0" t="n">
        <v>10</v>
      </c>
      <c r="F52" s="0" t="n">
        <v>100</v>
      </c>
      <c r="G52" s="0" t="n">
        <v>44</v>
      </c>
      <c r="H52" s="0" t="n">
        <v>0.345696723605982</v>
      </c>
      <c r="I52" s="0" t="n">
        <v>95</v>
      </c>
      <c r="J52" s="0" t="n">
        <v>106.513872866667</v>
      </c>
      <c r="K52" s="0" t="n">
        <v>280.071343333333</v>
      </c>
      <c r="L52" s="0" t="n">
        <v>38322.17155</v>
      </c>
      <c r="M52" s="0" t="n">
        <v>60</v>
      </c>
      <c r="N52" s="0" t="inlineStr">
        <is>
          <t>/mnt/d/paper_source/work_9/VeriANN_repro_2026-09-30/VeriANN_repro_2026-09-30/results/work9-multidata-20261015/deep1m/VLAH-curve-1000000</t>
        </is>
      </c>
    </row>
    <row r="53">
      <c r="A53" s="0" t="inlineStr">
        <is>
          <t>DEEP1M</t>
        </is>
      </c>
      <c r="B53" s="0" t="inlineStr">
        <is>
          <t>VLAH</t>
        </is>
      </c>
      <c r="C53" s="0" t="inlineStr">
        <is>
          <t>size</t>
        </is>
      </c>
      <c r="D53" s="0" t="n">
        <v>500000</v>
      </c>
      <c r="E53" s="0" t="n">
        <v>10</v>
      </c>
      <c r="F53" s="0" t="n">
        <v>100</v>
      </c>
      <c r="G53" s="0" t="n">
        <v>22</v>
      </c>
      <c r="H53" s="0" t="n">
        <v>0.345696723605982</v>
      </c>
      <c r="I53" s="0" t="n">
        <v>95.5</v>
      </c>
      <c r="J53" s="0" t="n">
        <v>49.60916</v>
      </c>
      <c r="K53" s="0" t="n">
        <v>138.3154764</v>
      </c>
      <c r="L53" s="0" t="n">
        <v>19154.54795</v>
      </c>
      <c r="M53" s="0" t="n">
        <v>60</v>
      </c>
      <c r="N53" s="0" t="inlineStr">
        <is>
          <t>/mnt/d/paper_source/work_9/VeriANN_repro_2026-09-30/VeriANN_repro_2026-09-30/results/work9-multidata-20261015/deep1m/VLAH-size-500000</t>
        </is>
      </c>
    </row>
    <row r="109">
      <c r="A109" s="0" t="inlineStr">
        <is>
          <t>GloVe-100</t>
        </is>
      </c>
      <c r="B109" s="0" t="inlineStr">
        <is>
          <t>ANNProof</t>
        </is>
      </c>
      <c r="C109" s="0" t="inlineStr">
        <is>
          <t>curve</t>
        </is>
      </c>
      <c r="D109" s="0" t="n">
        <v>1183514</v>
      </c>
      <c r="E109" s="0" t="n">
        <v>10</v>
      </c>
      <c r="F109" s="0" t="n">
        <v>64</v>
      </c>
      <c r="G109" s="0" t="n">
        <v>1</v>
      </c>
      <c r="I109" s="0" t="n">
        <v>66.5</v>
      </c>
      <c r="J109" s="0" t="n">
        <v>4.92347798333333</v>
      </c>
      <c r="K109" s="0" t="n">
        <v>23.1672442333333</v>
      </c>
      <c r="L109" s="0" t="n">
        <v>1768.2552</v>
      </c>
      <c r="M109" s="0" t="n">
        <v>60</v>
      </c>
      <c r="N109" s="0" t="inlineStr">
        <is>
          <t>/mnt/d/paper_source/work_9/VeriANN_repro_2026-09-30/VeriANN_repro_2026-09-30/results/work9-multidata-20261015/glove100/ANNProof-curve-1183514</t>
        </is>
      </c>
    </row>
    <row r="110">
      <c r="A110" s="0" t="inlineStr">
        <is>
          <t>GloVe-100</t>
        </is>
      </c>
      <c r="B110" s="0" t="inlineStr">
        <is>
          <t>ANNProof</t>
        </is>
      </c>
      <c r="C110" s="0" t="inlineStr">
        <is>
          <t>curve</t>
        </is>
      </c>
      <c r="D110" s="0" t="n">
        <v>1183514</v>
      </c>
      <c r="E110" s="0" t="n">
        <v>10</v>
      </c>
      <c r="F110" s="0" t="n">
        <v>128</v>
      </c>
      <c r="G110" s="0" t="n">
        <v>1</v>
      </c>
      <c r="I110" s="0" t="n">
        <v>77.5</v>
      </c>
      <c r="J110" s="0" t="n">
        <v>8.64324116666667</v>
      </c>
      <c r="K110" s="0" t="n">
        <v>37.8451976166667</v>
      </c>
      <c r="L110" s="0" t="n">
        <v>2889.171</v>
      </c>
      <c r="M110" s="0" t="n">
        <v>60</v>
      </c>
      <c r="N110" s="0" t="inlineStr">
        <is>
          <t>/mnt/d/paper_source/work_9/VeriANN_repro_2026-09-30/VeriANN_repro_2026-09-30/results/work9-multidata-20261015/glove100/ANNProof-curve-1183514</t>
        </is>
      </c>
    </row>
    <row r="111">
      <c r="A111" s="0" t="inlineStr">
        <is>
          <t>GloVe-100</t>
        </is>
      </c>
      <c r="B111" s="0" t="inlineStr">
        <is>
          <t>ANNProof</t>
        </is>
      </c>
      <c r="C111" s="0" t="inlineStr">
        <is>
          <t>curve</t>
        </is>
      </c>
      <c r="D111" s="0" t="n">
        <v>1183514</v>
      </c>
      <c r="E111" s="0" t="n">
        <v>10</v>
      </c>
      <c r="F111" s="0" t="n">
        <v>192</v>
      </c>
      <c r="G111" s="0" t="n">
        <v>1</v>
      </c>
      <c r="I111" s="0" t="n">
        <v>83.5</v>
      </c>
      <c r="J111" s="0" t="n">
        <v>11.9039628833333</v>
      </c>
      <c r="K111" s="0" t="n">
        <v>51.5586544166667</v>
      </c>
      <c r="L111" s="0" t="n">
        <v>3909.6394</v>
      </c>
      <c r="M111" s="0" t="n">
        <v>60</v>
      </c>
      <c r="N111" s="0" t="inlineStr">
        <is>
          <t>/mnt/d/paper_source/work_9/VeriANN_repro_2026-09-30/VeriANN_repro_2026-09-30/results/work9-multidata-20261015/glove100/ANNProof-curve-1183514</t>
        </is>
      </c>
    </row>
    <row r="112">
      <c r="A112" s="0" t="inlineStr">
        <is>
          <t>GloVe-100</t>
        </is>
      </c>
      <c r="B112" s="0" t="inlineStr">
        <is>
          <t>ANNProof</t>
        </is>
      </c>
      <c r="C112" s="0" t="inlineStr">
        <is>
          <t>curve</t>
        </is>
      </c>
      <c r="D112" s="0" t="n">
        <v>1183514</v>
      </c>
      <c r="E112" s="0" t="n">
        <v>10</v>
      </c>
      <c r="F112" s="0" t="n">
        <v>256</v>
      </c>
      <c r="G112" s="0" t="n">
        <v>1</v>
      </c>
      <c r="I112" s="0" t="n">
        <v>87.5</v>
      </c>
      <c r="J112" s="0" t="n">
        <v>15.25740905</v>
      </c>
      <c r="K112" s="0" t="n">
        <v>65.0245705333333</v>
      </c>
      <c r="L112" s="0" t="n">
        <v>4944.9728</v>
      </c>
      <c r="M112" s="0" t="n">
        <v>60</v>
      </c>
      <c r="N112" s="0" t="inlineStr">
        <is>
          <t>/mnt/d/paper_source/work_9/VeriANN_repro_2026-09-30/VeriANN_repro_2026-09-30/results/work9-multidata-20261015/glove100/ANNProof-curve-1183514</t>
        </is>
      </c>
    </row>
    <row r="113">
      <c r="A113" s="0" t="inlineStr">
        <is>
          <t>GloVe-100</t>
        </is>
      </c>
      <c r="B113" s="0" t="inlineStr">
        <is>
          <t>ANNProof</t>
        </is>
      </c>
      <c r="C113" s="0" t="inlineStr">
        <is>
          <t>curve</t>
        </is>
      </c>
      <c r="D113" s="0" t="n">
        <v>1183514</v>
      </c>
      <c r="E113" s="0" t="n">
        <v>10</v>
      </c>
      <c r="F113" s="0" t="n">
        <v>384</v>
      </c>
      <c r="G113" s="0" t="n">
        <v>1</v>
      </c>
      <c r="I113" s="0" t="n">
        <v>90</v>
      </c>
      <c r="J113" s="0" t="n">
        <v>20.8722866666667</v>
      </c>
      <c r="K113" s="0" t="n">
        <v>88.47731368333331</v>
      </c>
      <c r="L113" s="0" t="n">
        <v>6713.085</v>
      </c>
      <c r="M113" s="0" t="n">
        <v>60</v>
      </c>
      <c r="N113" s="0" t="inlineStr">
        <is>
          <t>/mnt/d/paper_source/work_9/VeriANN_repro_2026-09-30/VeriANN_repro_2026-09-30/results/work9-multidata-20261015/glove100/ANNProof-curve-1183514</t>
        </is>
      </c>
    </row>
    <row r="114">
      <c r="A114" s="0" t="inlineStr">
        <is>
          <t>GloVe-100</t>
        </is>
      </c>
      <c r="B114" s="0" t="inlineStr">
        <is>
          <t>ANNProof</t>
        </is>
      </c>
      <c r="C114" s="0" t="inlineStr">
        <is>
          <t>curve</t>
        </is>
      </c>
      <c r="D114" s="0" t="n">
        <v>1183514</v>
      </c>
      <c r="E114" s="0" t="n">
        <v>10</v>
      </c>
      <c r="F114" s="0" t="n">
        <v>1536</v>
      </c>
      <c r="G114" s="0" t="n">
        <v>1</v>
      </c>
      <c r="I114" s="0" t="n">
        <v>95.5</v>
      </c>
      <c r="J114" s="0" t="n">
        <v>69.7219818833333</v>
      </c>
      <c r="K114" s="0" t="n">
        <v>263.942687483333</v>
      </c>
      <c r="L114" s="0" t="n">
        <v>20286.7284</v>
      </c>
      <c r="M114" s="0" t="n">
        <v>60</v>
      </c>
      <c r="N114" s="0" t="inlineStr">
        <is>
          <t>/mnt/d/paper_source/work_9/VeriANN_repro_2026-09-30/VeriANN_repro_2026-09-30/results/work9-multidata-20261015/glove100/ANNProof-curve-1183514</t>
        </is>
      </c>
    </row>
    <row r="115">
      <c r="A115" s="0" t="inlineStr">
        <is>
          <t>GloVe-100</t>
        </is>
      </c>
      <c r="B115" s="0" t="inlineStr">
        <is>
          <t>ANNProof</t>
        </is>
      </c>
      <c r="C115" s="0" t="inlineStr">
        <is>
          <t>curve</t>
        </is>
      </c>
      <c r="D115" s="0" t="n">
        <v>1183514</v>
      </c>
      <c r="E115" s="0" t="n">
        <v>10</v>
      </c>
      <c r="F115" s="0" t="n">
        <v>2048</v>
      </c>
      <c r="G115" s="0" t="n">
        <v>1</v>
      </c>
      <c r="I115" s="0" t="n">
        <v>97.5</v>
      </c>
      <c r="J115" s="0" t="n">
        <v>87.9987959833333</v>
      </c>
      <c r="K115" s="0" t="n">
        <v>330.828721833333</v>
      </c>
      <c r="L115" s="0" t="n">
        <v>25439.6608</v>
      </c>
      <c r="M115" s="0" t="n">
        <v>60</v>
      </c>
      <c r="N115" s="0" t="inlineStr">
        <is>
          <t>/mnt/d/paper_source/work_9/VeriANN_repro_2026-09-30/VeriANN_repro_2026-09-30/results/work9-multidata-20261015/glove100/ANNProof-curve-1183514</t>
        </is>
      </c>
    </row>
    <row r="116">
      <c r="A116" s="0" t="inlineStr">
        <is>
          <t>GloVe-100</t>
        </is>
      </c>
      <c r="B116" s="0" t="inlineStr">
        <is>
          <t>ANNProof</t>
        </is>
      </c>
      <c r="C116" s="0" t="inlineStr">
        <is>
          <t>curve</t>
        </is>
      </c>
      <c r="D116" s="0" t="n">
        <v>1183514</v>
      </c>
      <c r="E116" s="0" t="n">
        <v>10</v>
      </c>
      <c r="F116" s="0" t="n">
        <v>4096</v>
      </c>
      <c r="G116" s="0" t="n">
        <v>1</v>
      </c>
      <c r="I116" s="0" t="n">
        <v>98.5</v>
      </c>
      <c r="J116" s="0" t="n">
        <v>164.089183766667</v>
      </c>
      <c r="K116" s="0" t="n">
        <v>572.20322455</v>
      </c>
      <c r="L116" s="0" t="n">
        <v>43668.8608</v>
      </c>
      <c r="M116" s="0" t="n">
        <v>60</v>
      </c>
      <c r="N116" s="0" t="inlineStr">
        <is>
          <t>/mnt/d/paper_source/work_9/VeriANN_repro_2026-09-30/VeriANN_repro_2026-09-30/results/work9-multidata-20261015/glove100/ANNProof-curve-1183514</t>
        </is>
      </c>
    </row>
    <row r="117">
      <c r="A117" s="0" t="inlineStr">
        <is>
          <t>GloVe-100</t>
        </is>
      </c>
      <c r="B117" s="0" t="inlineStr">
        <is>
          <t>ANNProof</t>
        </is>
      </c>
      <c r="C117" s="0" t="inlineStr">
        <is>
          <t>curve</t>
        </is>
      </c>
      <c r="D117" s="0" t="n">
        <v>1183514</v>
      </c>
      <c r="E117" s="0" t="n">
        <v>10</v>
      </c>
      <c r="F117" s="0" t="n">
        <v>8192</v>
      </c>
      <c r="G117" s="0" t="n">
        <v>1</v>
      </c>
      <c r="I117" s="0" t="n">
        <v>99</v>
      </c>
      <c r="J117" s="0" t="n">
        <v>302.3812472</v>
      </c>
      <c r="K117" s="0" t="n">
        <v>986.772749533333</v>
      </c>
      <c r="L117" s="0" t="n">
        <v>73904.36840000001</v>
      </c>
      <c r="M117" s="0" t="n">
        <v>60</v>
      </c>
      <c r="N117" s="0" t="inlineStr">
        <is>
          <t>/mnt/d/paper_source/work_9/VeriANN_repro_2026-09-30/VeriANN_repro_2026-09-30/results/work9-multidata-20261015/glove100/ANNProof-curve-1183514</t>
        </is>
      </c>
    </row>
    <row r="118">
      <c r="A118" s="0" t="inlineStr">
        <is>
          <t>GloVe-100</t>
        </is>
      </c>
      <c r="B118" s="0" t="inlineStr">
        <is>
          <t>ANNProof</t>
        </is>
      </c>
      <c r="C118" s="0" t="inlineStr">
        <is>
          <t>k</t>
        </is>
      </c>
      <c r="D118" s="0" t="n">
        <v>1183514</v>
      </c>
      <c r="E118" s="0" t="n">
        <v>1</v>
      </c>
      <c r="F118" s="0" t="n">
        <v>1536</v>
      </c>
      <c r="G118" s="0" t="n">
        <v>1</v>
      </c>
      <c r="I118" s="0" t="n">
        <v>100</v>
      </c>
      <c r="J118" s="0" t="n">
        <v>69.8511835</v>
      </c>
      <c r="K118" s="0" t="n">
        <v>263.1691163</v>
      </c>
      <c r="L118" s="0" t="n">
        <v>20281.6944</v>
      </c>
      <c r="M118" s="0" t="n">
        <v>60</v>
      </c>
      <c r="N118" s="0" t="inlineStr">
        <is>
          <t>/mnt/d/paper_source/work_9/VeriANN_repro_2026-09-30/VeriANN_repro_2026-09-30/results/work9-multidata-20261015/glove100/ANNProof-k-1183514</t>
        </is>
      </c>
    </row>
    <row r="119">
      <c r="A119" s="0" t="inlineStr">
        <is>
          <t>GloVe-100</t>
        </is>
      </c>
      <c r="B119" s="0" t="inlineStr">
        <is>
          <t>ANNProof</t>
        </is>
      </c>
      <c r="C119" s="0" t="inlineStr">
        <is>
          <t>k</t>
        </is>
      </c>
      <c r="D119" s="0" t="n">
        <v>1183514</v>
      </c>
      <c r="E119" s="0" t="n">
        <v>5</v>
      </c>
      <c r="F119" s="0" t="n">
        <v>1536</v>
      </c>
      <c r="G119" s="0" t="n">
        <v>1</v>
      </c>
      <c r="I119" s="0" t="n">
        <v>97</v>
      </c>
      <c r="J119" s="0" t="n">
        <v>68.92665555000001</v>
      </c>
      <c r="K119" s="0" t="n">
        <v>263.673275116667</v>
      </c>
      <c r="L119" s="0" t="n">
        <v>20283.9424</v>
      </c>
      <c r="M119" s="0" t="n">
        <v>60</v>
      </c>
      <c r="N119" s="0" t="inlineStr">
        <is>
          <t>/mnt/d/paper_source/work_9/VeriANN_repro_2026-09-30/VeriANN_repro_2026-09-30/results/work9-multidata-20261015/glove100/ANNProof-k-1183514</t>
        </is>
      </c>
    </row>
    <row r="120">
      <c r="A120" s="0" t="inlineStr">
        <is>
          <t>GloVe-100</t>
        </is>
      </c>
      <c r="B120" s="0" t="inlineStr">
        <is>
          <t>ANNProof</t>
        </is>
      </c>
      <c r="C120" s="0" t="inlineStr">
        <is>
          <t>k</t>
        </is>
      </c>
      <c r="D120" s="0" t="n">
        <v>1183514</v>
      </c>
      <c r="E120" s="0" t="n">
        <v>10</v>
      </c>
      <c r="F120" s="0" t="n">
        <v>1536</v>
      </c>
      <c r="G120" s="0" t="n">
        <v>1</v>
      </c>
      <c r="I120" s="0" t="n">
        <v>95.5</v>
      </c>
      <c r="J120" s="0" t="n">
        <v>69.1091445833333</v>
      </c>
      <c r="K120" s="0" t="n">
        <v>264.068021866667</v>
      </c>
      <c r="L120" s="0" t="n">
        <v>20286.7284</v>
      </c>
      <c r="M120" s="0" t="n">
        <v>60</v>
      </c>
      <c r="N120" s="0" t="inlineStr">
        <is>
          <t>/mnt/d/paper_source/work_9/VeriANN_repro_2026-09-30/VeriANN_repro_2026-09-30/results/work9-multidata-20261015/glove100/ANNProof-k-1183514</t>
        </is>
      </c>
    </row>
    <row r="121">
      <c r="A121" s="0" t="inlineStr">
        <is>
          <t>GloVe-100</t>
        </is>
      </c>
      <c r="B121" s="0" t="inlineStr">
        <is>
          <t>ANNProof</t>
        </is>
      </c>
      <c r="C121" s="0" t="inlineStr">
        <is>
          <t>k</t>
        </is>
      </c>
      <c r="D121" s="0" t="n">
        <v>1183514</v>
      </c>
      <c r="E121" s="0" t="n">
        <v>20</v>
      </c>
      <c r="F121" s="0" t="n">
        <v>1536</v>
      </c>
      <c r="G121" s="0" t="n">
        <v>1</v>
      </c>
      <c r="I121" s="0" t="n">
        <v>95.25</v>
      </c>
      <c r="J121" s="0" t="n">
        <v>71.1527474333333</v>
      </c>
      <c r="K121" s="0" t="n">
        <v>262.3306454</v>
      </c>
      <c r="L121" s="0" t="n">
        <v>20292.2224</v>
      </c>
      <c r="M121" s="0" t="n">
        <v>60</v>
      </c>
      <c r="N121" s="0" t="inlineStr">
        <is>
          <t>/mnt/d/paper_source/work_9/VeriANN_repro_2026-09-30/VeriANN_repro_2026-09-30/results/work9-multidata-20261015/glove100/ANNProof-k-1183514</t>
        </is>
      </c>
    </row>
    <row r="122">
      <c r="A122" s="0" t="inlineStr">
        <is>
          <t>GloVe-100</t>
        </is>
      </c>
      <c r="B122" s="0" t="inlineStr">
        <is>
          <t>ANNProof</t>
        </is>
      </c>
      <c r="C122" s="0" t="inlineStr">
        <is>
          <t>k</t>
        </is>
      </c>
      <c r="D122" s="0" t="n">
        <v>1183514</v>
      </c>
      <c r="E122" s="0" t="n">
        <v>50</v>
      </c>
      <c r="F122" s="0" t="n">
        <v>1536</v>
      </c>
      <c r="G122" s="0" t="n">
        <v>1</v>
      </c>
      <c r="I122" s="0" t="n">
        <v>94.09999999999999</v>
      </c>
      <c r="J122" s="0" t="n">
        <v>72.0175692</v>
      </c>
      <c r="K122" s="0" t="n">
        <v>263.301847816667</v>
      </c>
      <c r="L122" s="0" t="n">
        <v>20308.1424</v>
      </c>
      <c r="M122" s="0" t="n">
        <v>60</v>
      </c>
      <c r="N122" s="0" t="inlineStr">
        <is>
          <t>/mnt/d/paper_source/work_9/VeriANN_repro_2026-09-30/VeriANN_repro_2026-09-30/results/work9-multidata-20261015/glove100/ANNProof-k-1183514</t>
        </is>
      </c>
    </row>
    <row r="123">
      <c r="A123" s="0" t="inlineStr">
        <is>
          <t>GloVe-100</t>
        </is>
      </c>
      <c r="B123" s="0" t="inlineStr">
        <is>
          <t>ANNProof</t>
        </is>
      </c>
      <c r="C123" s="0" t="inlineStr">
        <is>
          <t>k</t>
        </is>
      </c>
      <c r="D123" s="0" t="n">
        <v>1183514</v>
      </c>
      <c r="E123" s="0" t="n">
        <v>100</v>
      </c>
      <c r="F123" s="0" t="n">
        <v>1536</v>
      </c>
      <c r="G123" s="0" t="n">
        <v>1</v>
      </c>
      <c r="I123" s="0" t="n">
        <v>92.7</v>
      </c>
      <c r="J123" s="0" t="n">
        <v>71.8316993333333</v>
      </c>
      <c r="K123" s="0" t="n">
        <v>263.437103266667</v>
      </c>
      <c r="L123" s="0" t="n">
        <v>20333.0104</v>
      </c>
      <c r="M123" s="0" t="n">
        <v>60</v>
      </c>
      <c r="N123" s="0" t="inlineStr">
        <is>
          <t>/mnt/d/paper_source/work_9/VeriANN_repro_2026-09-30/VeriANN_repro_2026-09-30/results/work9-multidata-20261015/glove100/ANNProof-k-1183514</t>
        </is>
      </c>
    </row>
    <row r="124">
      <c r="A124" s="0" t="inlineStr">
        <is>
          <t>GloVe-100</t>
        </is>
      </c>
      <c r="B124" s="0" t="inlineStr">
        <is>
          <t>ANNProof</t>
        </is>
      </c>
      <c r="C124" s="0" t="inlineStr">
        <is>
          <t>size</t>
        </is>
      </c>
      <c r="D124" s="0" t="n">
        <v>100000</v>
      </c>
      <c r="E124" s="0" t="n">
        <v>10</v>
      </c>
      <c r="F124" s="0" t="n">
        <v>384</v>
      </c>
      <c r="G124" s="0" t="n">
        <v>1</v>
      </c>
      <c r="I124" s="0" t="n">
        <v>95</v>
      </c>
      <c r="J124" s="0" t="n">
        <v>14.3868343666667</v>
      </c>
      <c r="K124" s="0" t="n">
        <v>59.2690873333333</v>
      </c>
      <c r="L124" s="0" t="n">
        <v>5057.4898</v>
      </c>
      <c r="M124" s="0" t="n">
        <v>60</v>
      </c>
      <c r="N124" s="0" t="inlineStr">
        <is>
          <t>/mnt/d/paper_source/work_9/VeriANN_repro_2026-09-30/VeriANN_repro_2026-09-30/results/work9-multidata-20261015/glove100/ANNProof-size-100000</t>
        </is>
      </c>
    </row>
    <row r="125">
      <c r="A125" s="0" t="inlineStr">
        <is>
          <t>GloVe-100</t>
        </is>
      </c>
      <c r="B125" s="0" t="inlineStr">
        <is>
          <t>ANNProof</t>
        </is>
      </c>
      <c r="C125" s="0" t="inlineStr">
        <is>
          <t>size</t>
        </is>
      </c>
      <c r="D125" s="0" t="n">
        <v>1000000</v>
      </c>
      <c r="E125" s="0" t="n">
        <v>10</v>
      </c>
      <c r="F125" s="0" t="n">
        <v>1024</v>
      </c>
      <c r="G125" s="0" t="n">
        <v>1</v>
      </c>
      <c r="I125" s="0" t="n">
        <v>95</v>
      </c>
      <c r="J125" s="0" t="n">
        <v>47.7281420666667</v>
      </c>
      <c r="K125" s="0" t="n">
        <v>186.265374333333</v>
      </c>
      <c r="L125" s="0" t="n">
        <v>14370.4534</v>
      </c>
      <c r="M125" s="0" t="n">
        <v>60</v>
      </c>
      <c r="N125" s="0" t="inlineStr">
        <is>
          <t>/mnt/d/paper_source/work_9/VeriANN_repro_2026-09-30/VeriANN_repro_2026-09-30/results/work9-multidata-20261015/glove100/ANNProof-size-1000000</t>
        </is>
      </c>
    </row>
    <row r="126">
      <c r="A126" s="0" t="inlineStr">
        <is>
          <t>GloVe-100</t>
        </is>
      </c>
      <c r="B126" s="0" t="inlineStr">
        <is>
          <t>ANNProof</t>
        </is>
      </c>
      <c r="C126" s="0" t="inlineStr">
        <is>
          <t>size</t>
        </is>
      </c>
      <c r="D126" s="0" t="n">
        <v>500000</v>
      </c>
      <c r="E126" s="0" t="n">
        <v>10</v>
      </c>
      <c r="F126" s="0" t="n">
        <v>1024</v>
      </c>
      <c r="G126" s="0" t="n">
        <v>1</v>
      </c>
      <c r="I126" s="0" t="n">
        <v>95</v>
      </c>
      <c r="J126" s="0" t="n">
        <v>42.6744452833333</v>
      </c>
      <c r="K126" s="0" t="n">
        <v>166.525453083333</v>
      </c>
      <c r="L126" s="0" t="n">
        <v>13273.9188</v>
      </c>
      <c r="M126" s="0" t="n">
        <v>60</v>
      </c>
      <c r="N126" s="0" t="inlineStr">
        <is>
          <t>/mnt/d/paper_source/work_9/VeriANN_repro_2026-09-30/VeriANN_repro_2026-09-30/results/work9-multidata-20261015/glove100/ANNProof-size-500000</t>
        </is>
      </c>
    </row>
    <row r="127">
      <c r="A127" s="0" t="inlineStr">
        <is>
          <t>GloVe-100</t>
        </is>
      </c>
      <c r="B127" s="0" t="inlineStr">
        <is>
          <t>Ours</t>
        </is>
      </c>
      <c r="C127" s="0" t="inlineStr">
        <is>
          <t>curve</t>
        </is>
      </c>
      <c r="D127" s="0" t="n">
        <v>1183514</v>
      </c>
      <c r="E127" s="0" t="n">
        <v>10</v>
      </c>
      <c r="F127" s="0" t="n">
        <v>64</v>
      </c>
      <c r="G127" s="0" t="n">
        <v>1</v>
      </c>
      <c r="I127" s="0" t="n">
        <v>60.5</v>
      </c>
      <c r="J127" s="0" t="n">
        <v>3.95783811666667</v>
      </c>
      <c r="K127" s="0" t="n">
        <v>10.0785719</v>
      </c>
      <c r="L127" s="0" t="n">
        <v>433.98015</v>
      </c>
      <c r="M127" s="0" t="n">
        <v>60</v>
      </c>
      <c r="N127" s="0" t="inlineStr">
        <is>
          <t>/mnt/d/paper_source/work_9/VeriANN_repro_2026-09-30/VeriANN_repro_2026-09-30/results/work9-multidata-20261015/glove100/Ours-curve-1183514</t>
        </is>
      </c>
    </row>
    <row r="128">
      <c r="A128" s="0" t="inlineStr">
        <is>
          <t>GloVe-100</t>
        </is>
      </c>
      <c r="B128" s="0" t="inlineStr">
        <is>
          <t>Ours</t>
        </is>
      </c>
      <c r="C128" s="0" t="inlineStr">
        <is>
          <t>curve</t>
        </is>
      </c>
      <c r="D128" s="0" t="n">
        <v>1183514</v>
      </c>
      <c r="E128" s="0" t="n">
        <v>10</v>
      </c>
      <c r="F128" s="0" t="n">
        <v>96</v>
      </c>
      <c r="G128" s="0" t="n">
        <v>1</v>
      </c>
      <c r="I128" s="0" t="n">
        <v>71.5</v>
      </c>
      <c r="J128" s="0" t="n">
        <v>5.54844886666667</v>
      </c>
      <c r="K128" s="0" t="n">
        <v>13.6206651666667</v>
      </c>
      <c r="L128" s="0" t="n">
        <v>568.61565</v>
      </c>
      <c r="M128" s="0" t="n">
        <v>60</v>
      </c>
      <c r="N128" s="0" t="inlineStr">
        <is>
          <t>/mnt/d/paper_source/work_9/VeriANN_repro_2026-09-30/VeriANN_repro_2026-09-30/results/work9-multidata-20261015/glove100/Ours-curve-1183514</t>
        </is>
      </c>
    </row>
    <row r="129">
      <c r="A129" s="0" t="inlineStr">
        <is>
          <t>GloVe-100</t>
        </is>
      </c>
      <c r="B129" s="0" t="inlineStr">
        <is>
          <t>Ours</t>
        </is>
      </c>
      <c r="C129" s="0" t="inlineStr">
        <is>
          <t>curve</t>
        </is>
      </c>
      <c r="D129" s="0" t="n">
        <v>1183514</v>
      </c>
      <c r="E129" s="0" t="n">
        <v>10</v>
      </c>
      <c r="F129" s="0" t="n">
        <v>192</v>
      </c>
      <c r="G129" s="0" t="n">
        <v>1</v>
      </c>
      <c r="I129" s="0" t="n">
        <v>81</v>
      </c>
      <c r="J129" s="0" t="n">
        <v>9.4764108</v>
      </c>
      <c r="K129" s="0" t="n">
        <v>22.532446</v>
      </c>
      <c r="L129" s="0" t="n">
        <v>914.7816</v>
      </c>
      <c r="M129" s="0" t="n">
        <v>60</v>
      </c>
      <c r="N129" s="0" t="inlineStr">
        <is>
          <t>/mnt/d/paper_source/work_9/VeriANN_repro_2026-09-30/VeriANN_repro_2026-09-30/results/work9-multidata-20261015/glove100/Ours-curve-1183514</t>
        </is>
      </c>
    </row>
    <row r="130">
      <c r="A130" s="0" t="inlineStr">
        <is>
          <t>GloVe-100</t>
        </is>
      </c>
      <c r="B130" s="0" t="inlineStr">
        <is>
          <t>Ours</t>
        </is>
      </c>
      <c r="C130" s="0" t="inlineStr">
        <is>
          <t>curve</t>
        </is>
      </c>
      <c r="D130" s="0" t="n">
        <v>1183514</v>
      </c>
      <c r="E130" s="0" t="n">
        <v>10</v>
      </c>
      <c r="F130" s="0" t="n">
        <v>256</v>
      </c>
      <c r="G130" s="0" t="n">
        <v>1</v>
      </c>
      <c r="I130" s="0" t="n">
        <v>85.5</v>
      </c>
      <c r="J130" s="0" t="n">
        <v>11.80332585</v>
      </c>
      <c r="K130" s="0" t="n">
        <v>27.8385452166667</v>
      </c>
      <c r="L130" s="0" t="n">
        <v>1116.3342</v>
      </c>
      <c r="M130" s="0" t="n">
        <v>60</v>
      </c>
      <c r="N130" s="0" t="inlineStr">
        <is>
          <t>/mnt/d/paper_source/work_9/VeriANN_repro_2026-09-30/VeriANN_repro_2026-09-30/results/work9-multidata-20261015/glove100/Ours-curve-1183514</t>
        </is>
      </c>
    </row>
    <row r="131">
      <c r="A131" s="0" t="inlineStr">
        <is>
          <t>GloVe-100</t>
        </is>
      </c>
      <c r="B131" s="0" t="inlineStr">
        <is>
          <t>Ours</t>
        </is>
      </c>
      <c r="C131" s="0" t="inlineStr">
        <is>
          <t>curve</t>
        </is>
      </c>
      <c r="D131" s="0" t="n">
        <v>1183514</v>
      </c>
      <c r="E131" s="0" t="n">
        <v>10</v>
      </c>
      <c r="F131" s="0" t="n">
        <v>512</v>
      </c>
      <c r="G131" s="0" t="n">
        <v>1</v>
      </c>
      <c r="I131" s="0" t="n">
        <v>91</v>
      </c>
      <c r="J131" s="0" t="n">
        <v>20.9300079</v>
      </c>
      <c r="K131" s="0" t="n">
        <v>47.1646365666667</v>
      </c>
      <c r="L131" s="0" t="n">
        <v>1801.49875</v>
      </c>
      <c r="M131" s="0" t="n">
        <v>60</v>
      </c>
      <c r="N131" s="0" t="inlineStr">
        <is>
          <t>/mnt/d/paper_source/work_9/VeriANN_repro_2026-09-30/VeriANN_repro_2026-09-30/results/work9-multidata-20261015/glove100/Ours-curve-1183514</t>
        </is>
      </c>
    </row>
    <row r="132">
      <c r="A132" s="0" t="inlineStr">
        <is>
          <t>GloVe-100</t>
        </is>
      </c>
      <c r="B132" s="0" t="inlineStr">
        <is>
          <t>Ours</t>
        </is>
      </c>
      <c r="C132" s="0" t="inlineStr">
        <is>
          <t>curve</t>
        </is>
      </c>
      <c r="D132" s="0" t="n">
        <v>1183514</v>
      </c>
      <c r="E132" s="0" t="n">
        <v>10</v>
      </c>
      <c r="F132" s="0" t="n">
        <v>1536</v>
      </c>
      <c r="G132" s="0" t="n">
        <v>1</v>
      </c>
      <c r="I132" s="0" t="n">
        <v>96</v>
      </c>
      <c r="J132" s="0" t="n">
        <v>52.0690504666667</v>
      </c>
      <c r="K132" s="0" t="n">
        <v>110.41652915</v>
      </c>
      <c r="L132" s="0" t="n">
        <v>3831.7115</v>
      </c>
      <c r="M132" s="0" t="n">
        <v>60</v>
      </c>
      <c r="N132" s="0" t="inlineStr">
        <is>
          <t>/mnt/d/paper_source/work_9/VeriANN_repro_2026-09-30/VeriANN_repro_2026-09-30/results/work9-multidata-20261015/glove100/Ours-curve-1183514</t>
        </is>
      </c>
    </row>
    <row r="133">
      <c r="A133" s="0" t="inlineStr">
        <is>
          <t>GloVe-100</t>
        </is>
      </c>
      <c r="B133" s="0" t="inlineStr">
        <is>
          <t>Ours</t>
        </is>
      </c>
      <c r="C133" s="0" t="inlineStr">
        <is>
          <t>curve</t>
        </is>
      </c>
      <c r="D133" s="0" t="n">
        <v>1183514</v>
      </c>
      <c r="E133" s="0" t="n">
        <v>10</v>
      </c>
      <c r="F133" s="0" t="n">
        <v>2048</v>
      </c>
      <c r="G133" s="0" t="n">
        <v>1</v>
      </c>
      <c r="I133" s="0" t="n">
        <v>97.5</v>
      </c>
      <c r="J133" s="0" t="n">
        <v>66.0417216333333</v>
      </c>
      <c r="K133" s="0" t="n">
        <v>138.8817882</v>
      </c>
      <c r="L133" s="0" t="n">
        <v>4656.3122</v>
      </c>
      <c r="M133" s="0" t="n">
        <v>60</v>
      </c>
      <c r="N133" s="0" t="inlineStr">
        <is>
          <t>/mnt/d/paper_source/work_9/VeriANN_repro_2026-09-30/VeriANN_repro_2026-09-30/results/work9-multidata-20261015/glove100/Ours-curve-1183514</t>
        </is>
      </c>
    </row>
    <row r="134">
      <c r="A134" s="0" t="inlineStr">
        <is>
          <t>GloVe-100</t>
        </is>
      </c>
      <c r="B134" s="0" t="inlineStr">
        <is>
          <t>Ours</t>
        </is>
      </c>
      <c r="C134" s="0" t="inlineStr">
        <is>
          <t>curve</t>
        </is>
      </c>
      <c r="D134" s="0" t="n">
        <v>1183514</v>
      </c>
      <c r="E134" s="0" t="n">
        <v>10</v>
      </c>
      <c r="F134" s="0" t="n">
        <v>4096</v>
      </c>
      <c r="G134" s="0" t="n">
        <v>1</v>
      </c>
      <c r="I134" s="0" t="n">
        <v>98.5</v>
      </c>
      <c r="J134" s="0" t="n">
        <v>119.74718415</v>
      </c>
      <c r="K134" s="0" t="n">
        <v>249.028947166667</v>
      </c>
      <c r="L134" s="0" t="n">
        <v>7489.0097</v>
      </c>
      <c r="M134" s="0" t="n">
        <v>60</v>
      </c>
      <c r="N134" s="0" t="inlineStr">
        <is>
          <t>/mnt/d/paper_source/work_9/VeriANN_repro_2026-09-30/VeriANN_repro_2026-09-30/results/work9-multidata-20261015/glove100/Ours-curve-1183514</t>
        </is>
      </c>
    </row>
    <row r="135">
      <c r="A135" s="0" t="inlineStr">
        <is>
          <t>GloVe-100</t>
        </is>
      </c>
      <c r="B135" s="0" t="inlineStr">
        <is>
          <t>Ours</t>
        </is>
      </c>
      <c r="C135" s="0" t="inlineStr">
        <is>
          <t>curve</t>
        </is>
      </c>
      <c r="D135" s="0" t="n">
        <v>1183514</v>
      </c>
      <c r="E135" s="0" t="n">
        <v>10</v>
      </c>
      <c r="F135" s="0" t="n">
        <v>8192</v>
      </c>
      <c r="G135" s="0" t="n">
        <v>1</v>
      </c>
      <c r="I135" s="0" t="n">
        <v>99.5</v>
      </c>
      <c r="J135" s="0" t="n">
        <v>225.599757116667</v>
      </c>
      <c r="K135" s="0" t="n">
        <v>476.421713883333</v>
      </c>
      <c r="L135" s="0" t="n">
        <v>12067.1025</v>
      </c>
      <c r="M135" s="0" t="n">
        <v>60</v>
      </c>
      <c r="N135" s="0" t="inlineStr">
        <is>
          <t>/mnt/d/paper_source/work_9/VeriANN_repro_2026-09-30/VeriANN_repro_2026-09-30/results/work9-multidata-20261015/glove100/Ours-curve-1183514</t>
        </is>
      </c>
    </row>
    <row r="136">
      <c r="A136" s="0" t="inlineStr">
        <is>
          <t>GloVe-100</t>
        </is>
      </c>
      <c r="B136" s="0" t="inlineStr">
        <is>
          <t>Ours</t>
        </is>
      </c>
      <c r="C136" s="0" t="inlineStr">
        <is>
          <t>k</t>
        </is>
      </c>
      <c r="D136" s="0" t="n">
        <v>1183514</v>
      </c>
      <c r="E136" s="0" t="n">
        <v>1</v>
      </c>
      <c r="F136" s="0" t="n">
        <v>1536</v>
      </c>
      <c r="G136" s="0" t="n">
        <v>1</v>
      </c>
      <c r="I136" s="0" t="n">
        <v>100</v>
      </c>
      <c r="J136" s="0" t="n">
        <v>43.3916748666667</v>
      </c>
      <c r="K136" s="0" t="n">
        <v>74.48325705000001</v>
      </c>
      <c r="L136" s="0" t="n">
        <v>2821.034</v>
      </c>
      <c r="M136" s="0" t="n">
        <v>60</v>
      </c>
      <c r="N136" s="0" t="inlineStr">
        <is>
          <t>/mnt/d/paper_source/work_9/VeriANN_repro_2026-09-30/VeriANN_repro_2026-09-30/results/work9-multidata-20261015/glove100/Ours-k-1183514</t>
        </is>
      </c>
    </row>
    <row r="137">
      <c r="A137" s="0" t="inlineStr">
        <is>
          <t>GloVe-100</t>
        </is>
      </c>
      <c r="B137" s="0" t="inlineStr">
        <is>
          <t>Ours</t>
        </is>
      </c>
      <c r="C137" s="0" t="inlineStr">
        <is>
          <t>k</t>
        </is>
      </c>
      <c r="D137" s="0" t="n">
        <v>1183514</v>
      </c>
      <c r="E137" s="0" t="n">
        <v>5</v>
      </c>
      <c r="F137" s="0" t="n">
        <v>1536</v>
      </c>
      <c r="G137" s="0" t="n">
        <v>1</v>
      </c>
      <c r="I137" s="0" t="n">
        <v>96</v>
      </c>
      <c r="J137" s="0" t="n">
        <v>48.2972326666667</v>
      </c>
      <c r="K137" s="0" t="n">
        <v>98.3033552</v>
      </c>
      <c r="L137" s="0" t="n">
        <v>3499.03985</v>
      </c>
      <c r="M137" s="0" t="n">
        <v>60</v>
      </c>
      <c r="N137" s="0" t="inlineStr">
        <is>
          <t>/mnt/d/paper_source/work_9/VeriANN_repro_2026-09-30/VeriANN_repro_2026-09-30/results/work9-multidata-20261015/glove100/Ours-k-1183514</t>
        </is>
      </c>
    </row>
    <row r="138">
      <c r="A138" s="0" t="inlineStr">
        <is>
          <t>GloVe-100</t>
        </is>
      </c>
      <c r="B138" s="0" t="inlineStr">
        <is>
          <t>Ours</t>
        </is>
      </c>
      <c r="C138" s="0" t="inlineStr">
        <is>
          <t>k</t>
        </is>
      </c>
      <c r="D138" s="0" t="n">
        <v>1183514</v>
      </c>
      <c r="E138" s="0" t="n">
        <v>10</v>
      </c>
      <c r="F138" s="0" t="n">
        <v>1536</v>
      </c>
      <c r="G138" s="0" t="n">
        <v>1</v>
      </c>
      <c r="I138" s="0" t="n">
        <v>96</v>
      </c>
      <c r="J138" s="0" t="n">
        <v>51.89053155</v>
      </c>
      <c r="K138" s="0" t="n">
        <v>112.045662116667</v>
      </c>
      <c r="L138" s="0" t="n">
        <v>3831.7115</v>
      </c>
      <c r="M138" s="0" t="n">
        <v>60</v>
      </c>
      <c r="N138" s="0" t="inlineStr">
        <is>
          <t>/mnt/d/paper_source/work_9/VeriANN_repro_2026-09-30/VeriANN_repro_2026-09-30/results/work9-multidata-20261015/glove100/Ours-k-1183514</t>
        </is>
      </c>
    </row>
    <row r="139">
      <c r="A139" s="0" t="inlineStr">
        <is>
          <t>GloVe-100</t>
        </is>
      </c>
      <c r="B139" s="0" t="inlineStr">
        <is>
          <t>Ours</t>
        </is>
      </c>
      <c r="C139" s="0" t="inlineStr">
        <is>
          <t>k</t>
        </is>
      </c>
      <c r="D139" s="0" t="n">
        <v>1183514</v>
      </c>
      <c r="E139" s="0" t="n">
        <v>20</v>
      </c>
      <c r="F139" s="0" t="n">
        <v>1536</v>
      </c>
      <c r="G139" s="0" t="n">
        <v>1</v>
      </c>
      <c r="I139" s="0" t="n">
        <v>96</v>
      </c>
      <c r="J139" s="0" t="n">
        <v>53.6649467833333</v>
      </c>
      <c r="K139" s="0" t="n">
        <v>122.636949233333</v>
      </c>
      <c r="L139" s="0" t="n">
        <v>4142.2652</v>
      </c>
      <c r="M139" s="0" t="n">
        <v>60</v>
      </c>
      <c r="N139" s="0" t="inlineStr">
        <is>
          <t>/mnt/d/paper_source/work_9/VeriANN_repro_2026-09-30/VeriANN_repro_2026-09-30/results/work9-multidata-20261015/glove100/Ours-k-1183514</t>
        </is>
      </c>
    </row>
    <row r="140">
      <c r="A140" s="0" t="inlineStr">
        <is>
          <t>GloVe-100</t>
        </is>
      </c>
      <c r="B140" s="0" t="inlineStr">
        <is>
          <t>Ours</t>
        </is>
      </c>
      <c r="C140" s="0" t="inlineStr">
        <is>
          <t>k</t>
        </is>
      </c>
      <c r="D140" s="0" t="n">
        <v>1183514</v>
      </c>
      <c r="E140" s="0" t="n">
        <v>50</v>
      </c>
      <c r="F140" s="0" t="n">
        <v>1536</v>
      </c>
      <c r="G140" s="0" t="n">
        <v>1</v>
      </c>
      <c r="I140" s="0" t="n">
        <v>93.59999999999999</v>
      </c>
      <c r="J140" s="0" t="n">
        <v>58.6309350833333</v>
      </c>
      <c r="K140" s="0" t="n">
        <v>145.3057572</v>
      </c>
      <c r="L140" s="0" t="n">
        <v>4787.9475</v>
      </c>
      <c r="M140" s="0" t="n">
        <v>60</v>
      </c>
      <c r="N140" s="0" t="inlineStr">
        <is>
          <t>/mnt/d/paper_source/work_9/VeriANN_repro_2026-09-30/VeriANN_repro_2026-09-30/results/work9-multidata-20261015/glove100/Ours-k-1183514</t>
        </is>
      </c>
    </row>
    <row r="141">
      <c r="A141" s="0" t="inlineStr">
        <is>
          <t>GloVe-100</t>
        </is>
      </c>
      <c r="B141" s="0" t="inlineStr">
        <is>
          <t>Ours</t>
        </is>
      </c>
      <c r="C141" s="0" t="inlineStr">
        <is>
          <t>k</t>
        </is>
      </c>
      <c r="D141" s="0" t="n">
        <v>1183514</v>
      </c>
      <c r="E141" s="0" t="n">
        <v>100</v>
      </c>
      <c r="F141" s="0" t="n">
        <v>1536</v>
      </c>
      <c r="G141" s="0" t="n">
        <v>1</v>
      </c>
      <c r="I141" s="0" t="n">
        <v>92.59999999999999</v>
      </c>
      <c r="J141" s="0" t="n">
        <v>61.9766955833333</v>
      </c>
      <c r="K141" s="0" t="n">
        <v>161.658067283333</v>
      </c>
      <c r="L141" s="0" t="n">
        <v>5324.953</v>
      </c>
      <c r="M141" s="0" t="n">
        <v>60</v>
      </c>
      <c r="N141" s="0" t="inlineStr">
        <is>
          <t>/mnt/d/paper_source/work_9/VeriANN_repro_2026-09-30/VeriANN_repro_2026-09-30/results/work9-multidata-20261015/glove100/Ours-k-1183514</t>
        </is>
      </c>
    </row>
    <row r="142">
      <c r="A142" s="0" t="inlineStr">
        <is>
          <t>GloVe-100</t>
        </is>
      </c>
      <c r="B142" s="0" t="inlineStr">
        <is>
          <t>Ours</t>
        </is>
      </c>
      <c r="C142" s="0" t="inlineStr">
        <is>
          <t>size</t>
        </is>
      </c>
      <c r="D142" s="0" t="n">
        <v>100000</v>
      </c>
      <c r="E142" s="0" t="n">
        <v>10</v>
      </c>
      <c r="F142" s="0" t="n">
        <v>384</v>
      </c>
      <c r="G142" s="0" t="n">
        <v>1</v>
      </c>
      <c r="I142" s="0" t="n">
        <v>96.5</v>
      </c>
      <c r="J142" s="0" t="n">
        <v>10.5961927333333</v>
      </c>
      <c r="K142" s="0" t="n">
        <v>23.6985128833333</v>
      </c>
      <c r="L142" s="0" t="n">
        <v>969.1795499999999</v>
      </c>
      <c r="M142" s="0" t="n">
        <v>60</v>
      </c>
      <c r="N142" s="0" t="inlineStr">
        <is>
          <t>/mnt/d/paper_source/work_9/VeriANN_repro_2026-09-30/VeriANN_repro_2026-09-30/results/work9-multidata-20261015/glove100/Ours-size-100000</t>
        </is>
      </c>
    </row>
    <row r="143">
      <c r="A143" s="0" t="inlineStr">
        <is>
          <t>GloVe-100</t>
        </is>
      </c>
      <c r="B143" s="0" t="inlineStr">
        <is>
          <t>Ours</t>
        </is>
      </c>
      <c r="C143" s="0" t="inlineStr">
        <is>
          <t>size</t>
        </is>
      </c>
      <c r="D143" s="0" t="n">
        <v>1000000</v>
      </c>
      <c r="E143" s="0" t="n">
        <v>10</v>
      </c>
      <c r="F143" s="0" t="n">
        <v>1024</v>
      </c>
      <c r="G143" s="0" t="n">
        <v>1</v>
      </c>
      <c r="I143" s="0" t="n">
        <v>96</v>
      </c>
      <c r="J143" s="0" t="n">
        <v>35.6520734333333</v>
      </c>
      <c r="K143" s="0" t="n">
        <v>76.8190604</v>
      </c>
      <c r="L143" s="0" t="n">
        <v>2804.3072</v>
      </c>
      <c r="M143" s="0" t="n">
        <v>60</v>
      </c>
      <c r="N143" s="0" t="inlineStr">
        <is>
          <t>/mnt/d/paper_source/work_9/VeriANN_repro_2026-09-30/VeriANN_repro_2026-09-30/results/work9-multidata-20261015/glove100/Ours-size-1000000</t>
        </is>
      </c>
    </row>
    <row r="144">
      <c r="A144" s="0" t="inlineStr">
        <is>
          <t>GloVe-100</t>
        </is>
      </c>
      <c r="B144" s="0" t="inlineStr">
        <is>
          <t>Ours</t>
        </is>
      </c>
      <c r="C144" s="0" t="inlineStr">
        <is>
          <t>size</t>
        </is>
      </c>
      <c r="D144" s="0" t="n">
        <v>500000</v>
      </c>
      <c r="E144" s="0" t="n">
        <v>10</v>
      </c>
      <c r="F144" s="0" t="n">
        <v>1536</v>
      </c>
      <c r="G144" s="0" t="n">
        <v>1</v>
      </c>
      <c r="I144" s="0" t="n">
        <v>97</v>
      </c>
      <c r="J144" s="0" t="n">
        <v>44.0394726833333</v>
      </c>
      <c r="K144" s="0" t="n">
        <v>94.11832695</v>
      </c>
      <c r="L144" s="0" t="n">
        <v>3293.64175</v>
      </c>
      <c r="M144" s="0" t="n">
        <v>60</v>
      </c>
      <c r="N144" s="0" t="inlineStr">
        <is>
          <t>/mnt/d/paper_source/work_9/VeriANN_repro_2026-09-30/VeriANN_repro_2026-09-30/results/work9-multidata-20261015/glove100/Ours-size-500000</t>
        </is>
      </c>
    </row>
    <row r="145">
      <c r="A145" s="0" t="inlineStr">
        <is>
          <t>GloVe-100</t>
        </is>
      </c>
      <c r="B145" s="0" t="inlineStr">
        <is>
          <t>VLAH</t>
        </is>
      </c>
      <c r="C145" s="0" t="inlineStr">
        <is>
          <t>curve</t>
        </is>
      </c>
      <c r="D145" s="0" t="n">
        <v>1183514</v>
      </c>
      <c r="E145" s="0" t="n">
        <v>10</v>
      </c>
      <c r="F145" s="0" t="n">
        <v>200</v>
      </c>
      <c r="G145" s="0" t="n">
        <v>26</v>
      </c>
      <c r="H145" s="0" t="n">
        <v>0.330113454969438</v>
      </c>
      <c r="I145" s="0" t="n">
        <v>60</v>
      </c>
      <c r="J145" s="0" t="n">
        <v>191.6756877</v>
      </c>
      <c r="K145" s="0" t="n">
        <v>469.069549433333</v>
      </c>
      <c r="L145" s="0" t="n">
        <v>71940.71705000001</v>
      </c>
      <c r="M145" s="0" t="n">
        <v>60</v>
      </c>
      <c r="N145" s="0" t="inlineStr">
        <is>
          <t>/mnt/d/paper_source/work_9/VeriANN_repro_2026-09-30/VeriANN_repro_2026-09-30/results/work9-multidata-20261015/glove100/VLAH-curve-1183514</t>
        </is>
      </c>
    </row>
    <row r="146">
      <c r="A146" s="0" t="inlineStr">
        <is>
          <t>GloVe-100</t>
        </is>
      </c>
      <c r="B146" s="0" t="inlineStr">
        <is>
          <t>VLAH</t>
        </is>
      </c>
      <c r="C146" s="0" t="inlineStr">
        <is>
          <t>curve</t>
        </is>
      </c>
      <c r="D146" s="0" t="n">
        <v>1183514</v>
      </c>
      <c r="E146" s="0" t="n">
        <v>10</v>
      </c>
      <c r="F146" s="0" t="n">
        <v>200</v>
      </c>
      <c r="G146" s="0" t="n">
        <v>29</v>
      </c>
      <c r="H146" s="0" t="n">
        <v>0.330113454969438</v>
      </c>
      <c r="I146" s="0" t="n">
        <v>66</v>
      </c>
      <c r="J146" s="0" t="n">
        <v>214.483257416667</v>
      </c>
      <c r="K146" s="0" t="n">
        <v>523.3854418333329</v>
      </c>
      <c r="L146" s="0" t="n">
        <v>80033.77295</v>
      </c>
      <c r="M146" s="0" t="n">
        <v>60</v>
      </c>
      <c r="N146" s="0" t="inlineStr">
        <is>
          <t>/mnt/d/paper_source/work_9/VeriANN_repro_2026-09-30/VeriANN_repro_2026-09-30/results/work9-multidata-20261015/glove100/VLAH-curve-1183514</t>
        </is>
      </c>
    </row>
    <row r="147">
      <c r="A147" s="0" t="inlineStr">
        <is>
          <t>GloVe-100</t>
        </is>
      </c>
      <c r="B147" s="0" t="inlineStr">
        <is>
          <t>VLAH</t>
        </is>
      </c>
      <c r="C147" s="0" t="inlineStr">
        <is>
          <t>curve</t>
        </is>
      </c>
      <c r="D147" s="0" t="n">
        <v>1183514</v>
      </c>
      <c r="E147" s="0" t="n">
        <v>10</v>
      </c>
      <c r="F147" s="0" t="n">
        <v>200</v>
      </c>
      <c r="G147" s="0" t="n">
        <v>34</v>
      </c>
      <c r="H147" s="0" t="n">
        <v>0.330113454969438</v>
      </c>
      <c r="I147" s="0" t="n">
        <v>70</v>
      </c>
      <c r="J147" s="0" t="n">
        <v>255.16067945</v>
      </c>
      <c r="K147" s="0" t="n">
        <v>615.426474783333</v>
      </c>
      <c r="L147" s="0" t="n">
        <v>93865.80645</v>
      </c>
      <c r="M147" s="0" t="n">
        <v>60</v>
      </c>
      <c r="N147" s="0" t="inlineStr">
        <is>
          <t>/mnt/d/paper_source/work_9/VeriANN_repro_2026-09-30/VeriANN_repro_2026-09-30/results/work9-multidata-20261015/glove100/VLAH-curve-1183514</t>
        </is>
      </c>
    </row>
    <row r="148">
      <c r="A148" s="0" t="inlineStr">
        <is>
          <t>GloVe-100</t>
        </is>
      </c>
      <c r="B148" s="0" t="inlineStr">
        <is>
          <t>VLAH</t>
        </is>
      </c>
      <c r="C148" s="0" t="inlineStr">
        <is>
          <t>curve</t>
        </is>
      </c>
      <c r="D148" s="0" t="n">
        <v>1183514</v>
      </c>
      <c r="E148" s="0" t="n">
        <v>10</v>
      </c>
      <c r="F148" s="0" t="n">
        <v>200</v>
      </c>
      <c r="G148" s="0" t="n">
        <v>37</v>
      </c>
      <c r="H148" s="0" t="n">
        <v>0.330113454969438</v>
      </c>
      <c r="I148" s="0" t="n">
        <v>75.5</v>
      </c>
      <c r="J148" s="0" t="n">
        <v>272.635821866667</v>
      </c>
      <c r="K148" s="0" t="n">
        <v>668.950644383333</v>
      </c>
      <c r="L148" s="0" t="n">
        <v>101923.7214</v>
      </c>
      <c r="M148" s="0" t="n">
        <v>60</v>
      </c>
      <c r="N148" s="0" t="inlineStr">
        <is>
          <t>/mnt/d/paper_source/work_9/VeriANN_repro_2026-09-30/VeriANN_repro_2026-09-30/results/work9-multidata-20261015/glove100/VLAH-curve-1183514</t>
        </is>
      </c>
    </row>
    <row r="149">
      <c r="A149" s="0" t="inlineStr">
        <is>
          <t>GloVe-100</t>
        </is>
      </c>
      <c r="B149" s="0" t="inlineStr">
        <is>
          <t>VLAH</t>
        </is>
      </c>
      <c r="C149" s="0" t="inlineStr">
        <is>
          <t>curve</t>
        </is>
      </c>
      <c r="D149" s="0" t="n">
        <v>1183514</v>
      </c>
      <c r="E149" s="0" t="n">
        <v>10</v>
      </c>
      <c r="F149" s="0" t="n">
        <v>200</v>
      </c>
      <c r="G149" s="0" t="n">
        <v>40</v>
      </c>
      <c r="H149" s="0" t="n">
        <v>0.330113454969438</v>
      </c>
      <c r="I149" s="0" t="n">
        <v>80</v>
      </c>
      <c r="J149" s="0" t="n">
        <v>297.966906316667</v>
      </c>
      <c r="K149" s="0" t="n">
        <v>726.525109466667</v>
      </c>
      <c r="L149" s="0" t="n">
        <v>110226.50895</v>
      </c>
      <c r="M149" s="0" t="n">
        <v>60</v>
      </c>
      <c r="N149" s="0" t="inlineStr">
        <is>
          <t>/mnt/d/paper_source/work_9/VeriANN_repro_2026-09-30/VeriANN_repro_2026-09-30/results/work9-multidata-20261015/glove100/VLAH-curve-1183514</t>
        </is>
      </c>
    </row>
    <row r="150">
      <c r="A150" s="0" t="inlineStr">
        <is>
          <t>GloVe-100</t>
        </is>
      </c>
      <c r="B150" s="0" t="inlineStr">
        <is>
          <t>VLAH</t>
        </is>
      </c>
      <c r="C150" s="0" t="inlineStr">
        <is>
          <t>curve</t>
        </is>
      </c>
      <c r="D150" s="0" t="n">
        <v>1183514</v>
      </c>
      <c r="E150" s="0" t="n">
        <v>10</v>
      </c>
      <c r="F150" s="0" t="n">
        <v>200</v>
      </c>
      <c r="G150" s="0" t="n">
        <v>48</v>
      </c>
      <c r="H150" s="0" t="n">
        <v>0.330113454969438</v>
      </c>
      <c r="I150" s="0" t="n">
        <v>85</v>
      </c>
      <c r="J150" s="0" t="n">
        <v>362.26386005</v>
      </c>
      <c r="K150" s="0" t="n">
        <v>872.817767766667</v>
      </c>
      <c r="L150" s="0" t="n">
        <v>133079.4778</v>
      </c>
      <c r="M150" s="0" t="n">
        <v>60</v>
      </c>
      <c r="N150" s="0" t="inlineStr">
        <is>
          <t>/mnt/d/paper_source/work_9/VeriANN_repro_2026-09-30/VeriANN_repro_2026-09-30/results/work9-multidata-20261015/glove100/VLAH-curve-1183514</t>
        </is>
      </c>
    </row>
    <row r="151">
      <c r="A151" s="0" t="inlineStr">
        <is>
          <t>GloVe-100</t>
        </is>
      </c>
      <c r="B151" s="0" t="inlineStr">
        <is>
          <t>VLAH</t>
        </is>
      </c>
      <c r="C151" s="0" t="inlineStr">
        <is>
          <t>curve</t>
        </is>
      </c>
      <c r="D151" s="0" t="n">
        <v>1183514</v>
      </c>
      <c r="E151" s="0" t="n">
        <v>10</v>
      </c>
      <c r="F151" s="0" t="n">
        <v>200</v>
      </c>
      <c r="G151" s="0" t="n">
        <v>52</v>
      </c>
      <c r="H151" s="0" t="n">
        <v>0.330113454969438</v>
      </c>
      <c r="I151" s="0" t="n">
        <v>90</v>
      </c>
      <c r="J151" s="0" t="n">
        <v>391.939616166667</v>
      </c>
      <c r="K151" s="0" t="n">
        <v>950.4888157833331</v>
      </c>
      <c r="L151" s="0" t="n">
        <v>144688.8688</v>
      </c>
      <c r="M151" s="0" t="n">
        <v>60</v>
      </c>
      <c r="N151" s="0" t="inlineStr">
        <is>
          <t>/mnt/d/paper_source/work_9/VeriANN_repro_2026-09-30/VeriANN_repro_2026-09-30/results/work9-multidata-20261015/glove100/VLAH-curve-1183514</t>
        </is>
      </c>
    </row>
    <row r="152">
      <c r="A152" s="0" t="inlineStr">
        <is>
          <t>GloVe-100</t>
        </is>
      </c>
      <c r="B152" s="0" t="inlineStr">
        <is>
          <t>VLAH</t>
        </is>
      </c>
      <c r="C152" s="0" t="inlineStr">
        <is>
          <t>curve</t>
        </is>
      </c>
      <c r="D152" s="0" t="n">
        <v>1183514</v>
      </c>
      <c r="E152" s="0" t="n">
        <v>10</v>
      </c>
      <c r="F152" s="0" t="n">
        <v>200</v>
      </c>
      <c r="G152" s="0" t="n">
        <v>56</v>
      </c>
      <c r="H152" s="0" t="n">
        <v>0.330113454969438</v>
      </c>
      <c r="I152" s="0" t="n">
        <v>95</v>
      </c>
      <c r="J152" s="0" t="n">
        <v>420.781040966667</v>
      </c>
      <c r="K152" s="0" t="n">
        <v>1028.47328478333</v>
      </c>
      <c r="L152" s="0" t="n">
        <v>156085.1456</v>
      </c>
      <c r="M152" s="0" t="n">
        <v>60</v>
      </c>
      <c r="N152" s="0" t="inlineStr">
        <is>
          <t>/mnt/d/paper_source/work_9/VeriANN_repro_2026-09-30/VeriANN_repro_2026-09-30/results/work9-multidata-20261015/glove100/VLAH-curve-1183514</t>
        </is>
      </c>
    </row>
    <row r="153">
      <c r="A153" s="0" t="inlineStr">
        <is>
          <t>GloVe-100</t>
        </is>
      </c>
      <c r="B153" s="0" t="inlineStr">
        <is>
          <t>VLAH</t>
        </is>
      </c>
      <c r="C153" s="0" t="inlineStr">
        <is>
          <t>curve</t>
        </is>
      </c>
      <c r="D153" s="0" t="n">
        <v>1183514</v>
      </c>
      <c r="E153" s="0" t="n">
        <v>10</v>
      </c>
      <c r="F153" s="0" t="n">
        <v>200</v>
      </c>
      <c r="G153" s="0" t="n">
        <v>58</v>
      </c>
      <c r="H153" s="0" t="n">
        <v>0.330113454969438</v>
      </c>
      <c r="I153" s="0" t="n">
        <v>97.5</v>
      </c>
      <c r="J153" s="0" t="n">
        <v>443.8091156</v>
      </c>
      <c r="K153" s="0" t="n">
        <v>1065.72324375</v>
      </c>
      <c r="L153" s="0" t="n">
        <v>161728.77015</v>
      </c>
      <c r="M153" s="0" t="n">
        <v>60</v>
      </c>
      <c r="N153" s="0" t="inlineStr">
        <is>
          <t>/mnt/d/paper_source/work_9/VeriANN_repro_2026-09-30/VeriANN_repro_2026-09-30/results/work9-multidata-20261015/glove100/VLAH-curve-1183514</t>
        </is>
      </c>
    </row>
    <row r="154">
      <c r="A154" s="0" t="inlineStr">
        <is>
          <t>GloVe-100</t>
        </is>
      </c>
      <c r="B154" s="0" t="inlineStr">
        <is>
          <t>VLAH</t>
        </is>
      </c>
      <c r="C154" s="0" t="inlineStr">
        <is>
          <t>curve</t>
        </is>
      </c>
      <c r="D154" s="0" t="n">
        <v>1183514</v>
      </c>
      <c r="E154" s="0" t="n">
        <v>10</v>
      </c>
      <c r="F154" s="0" t="n">
        <v>200</v>
      </c>
      <c r="G154" s="0" t="n">
        <v>60</v>
      </c>
      <c r="H154" s="0" t="n">
        <v>0.330113454969438</v>
      </c>
      <c r="I154" s="0" t="n">
        <v>99</v>
      </c>
      <c r="J154" s="0" t="n">
        <v>451.888928783333</v>
      </c>
      <c r="K154" s="0" t="n">
        <v>1099.20293456667</v>
      </c>
      <c r="L154" s="0" t="n">
        <v>166742.1118</v>
      </c>
      <c r="M154" s="0" t="n">
        <v>60</v>
      </c>
      <c r="N154" s="0" t="inlineStr">
        <is>
          <t>/mnt/d/paper_source/work_9/VeriANN_repro_2026-09-30/VeriANN_repro_2026-09-30/results/work9-multidata-20261015/glove100/VLAH-curve-1183514</t>
        </is>
      </c>
    </row>
    <row r="155">
      <c r="A155" s="0" t="inlineStr">
        <is>
          <t>GloVe-100</t>
        </is>
      </c>
      <c r="B155" s="0" t="inlineStr">
        <is>
          <t>VLAH</t>
        </is>
      </c>
      <c r="C155" s="0" t="inlineStr">
        <is>
          <t>k</t>
        </is>
      </c>
      <c r="D155" s="0" t="n">
        <v>1183514</v>
      </c>
      <c r="E155" s="0" t="n">
        <v>1</v>
      </c>
      <c r="F155" s="0" t="n">
        <v>200</v>
      </c>
      <c r="G155" s="0" t="n">
        <v>56</v>
      </c>
      <c r="H155" s="0" t="n">
        <v>0.330113454969438</v>
      </c>
      <c r="I155" s="0" t="n">
        <v>95</v>
      </c>
      <c r="J155" s="0" t="n">
        <v>427.803742866667</v>
      </c>
      <c r="K155" s="0" t="n">
        <v>1023.80158376667</v>
      </c>
      <c r="L155" s="0" t="n">
        <v>156085.1096</v>
      </c>
      <c r="M155" s="0" t="n">
        <v>60</v>
      </c>
      <c r="N155" s="0" t="inlineStr">
        <is>
          <t>/mnt/d/paper_source/work_9/VeriANN_repro_2026-09-30/VeriANN_repro_2026-09-30/results/work9-multidata-20261015/glove100/VLAH-k-1183514</t>
        </is>
      </c>
    </row>
    <row r="156">
      <c r="A156" s="0" t="inlineStr">
        <is>
          <t>GloVe-100</t>
        </is>
      </c>
      <c r="B156" s="0" t="inlineStr">
        <is>
          <t>VLAH</t>
        </is>
      </c>
      <c r="C156" s="0" t="inlineStr">
        <is>
          <t>k</t>
        </is>
      </c>
      <c r="D156" s="0" t="n">
        <v>1183514</v>
      </c>
      <c r="E156" s="0" t="n">
        <v>5</v>
      </c>
      <c r="F156" s="0" t="n">
        <v>200</v>
      </c>
      <c r="G156" s="0" t="n">
        <v>56</v>
      </c>
      <c r="H156" s="0" t="n">
        <v>0.330113454969438</v>
      </c>
      <c r="I156" s="0" t="n">
        <v>95</v>
      </c>
      <c r="J156" s="0" t="n">
        <v>426.620613233333</v>
      </c>
      <c r="K156" s="0" t="n">
        <v>1023.39237478333</v>
      </c>
      <c r="L156" s="0" t="n">
        <v>156085.1256</v>
      </c>
      <c r="M156" s="0" t="n">
        <v>60</v>
      </c>
      <c r="N156" s="0" t="inlineStr">
        <is>
          <t>/mnt/d/paper_source/work_9/VeriANN_repro_2026-09-30/VeriANN_repro_2026-09-30/results/work9-multidata-20261015/glove100/VLAH-k-1183514</t>
        </is>
      </c>
    </row>
    <row r="157">
      <c r="A157" s="0" t="inlineStr">
        <is>
          <t>GloVe-100</t>
        </is>
      </c>
      <c r="B157" s="0" t="inlineStr">
        <is>
          <t>VLAH</t>
        </is>
      </c>
      <c r="C157" s="0" t="inlineStr">
        <is>
          <t>k</t>
        </is>
      </c>
      <c r="D157" s="0" t="n">
        <v>1183514</v>
      </c>
      <c r="E157" s="0" t="n">
        <v>10</v>
      </c>
      <c r="F157" s="0" t="n">
        <v>200</v>
      </c>
      <c r="G157" s="0" t="n">
        <v>56</v>
      </c>
      <c r="H157" s="0" t="n">
        <v>0.330113454969438</v>
      </c>
      <c r="I157" s="0" t="n">
        <v>95</v>
      </c>
      <c r="J157" s="0" t="n">
        <v>427.422214316667</v>
      </c>
      <c r="K157" s="0" t="n">
        <v>1023.12500151667</v>
      </c>
      <c r="L157" s="0" t="n">
        <v>156085.1456</v>
      </c>
      <c r="M157" s="0" t="n">
        <v>60</v>
      </c>
      <c r="N157" s="0" t="inlineStr">
        <is>
          <t>/mnt/d/paper_source/work_9/VeriANN_repro_2026-09-30/VeriANN_repro_2026-09-30/results/work9-multidata-20261015/glove100/VLAH-k-1183514</t>
        </is>
      </c>
    </row>
    <row r="158">
      <c r="A158" s="0" t="inlineStr">
        <is>
          <t>GloVe-100</t>
        </is>
      </c>
      <c r="B158" s="0" t="inlineStr">
        <is>
          <t>VLAH</t>
        </is>
      </c>
      <c r="C158" s="0" t="inlineStr">
        <is>
          <t>k</t>
        </is>
      </c>
      <c r="D158" s="0" t="n">
        <v>1183514</v>
      </c>
      <c r="E158" s="0" t="n">
        <v>20</v>
      </c>
      <c r="F158" s="0" t="n">
        <v>200</v>
      </c>
      <c r="G158" s="0" t="n">
        <v>56</v>
      </c>
      <c r="H158" s="0" t="n">
        <v>0.330113454969438</v>
      </c>
      <c r="I158" s="0" t="n">
        <v>96.25</v>
      </c>
      <c r="J158" s="0" t="n">
        <v>425.445874833333</v>
      </c>
      <c r="K158" s="0" t="n">
        <v>1019.02828181667</v>
      </c>
      <c r="L158" s="0" t="n">
        <v>156085.1856</v>
      </c>
      <c r="M158" s="0" t="n">
        <v>60</v>
      </c>
      <c r="N158" s="0" t="inlineStr">
        <is>
          <t>/mnt/d/paper_source/work_9/VeriANN_repro_2026-09-30/VeriANN_repro_2026-09-30/results/work9-multidata-20261015/glove100/VLAH-k-1183514</t>
        </is>
      </c>
    </row>
    <row r="159">
      <c r="A159" s="0" t="inlineStr">
        <is>
          <t>GloVe-100</t>
        </is>
      </c>
      <c r="B159" s="0" t="inlineStr">
        <is>
          <t>VLAH</t>
        </is>
      </c>
      <c r="C159" s="0" t="inlineStr">
        <is>
          <t>k</t>
        </is>
      </c>
      <c r="D159" s="0" t="n">
        <v>1183514</v>
      </c>
      <c r="E159" s="0" t="n">
        <v>50</v>
      </c>
      <c r="F159" s="0" t="n">
        <v>200</v>
      </c>
      <c r="G159" s="0" t="n">
        <v>56</v>
      </c>
      <c r="H159" s="0" t="n">
        <v>0.330113454969438</v>
      </c>
      <c r="I159" s="0" t="n">
        <v>96.2</v>
      </c>
      <c r="J159" s="0" t="n">
        <v>419.901897183333</v>
      </c>
      <c r="K159" s="0" t="n">
        <v>1018.60531591667</v>
      </c>
      <c r="L159" s="0" t="n">
        <v>156085.3056</v>
      </c>
      <c r="M159" s="0" t="n">
        <v>60</v>
      </c>
      <c r="N159" s="0" t="inlineStr">
        <is>
          <t>/mnt/d/paper_source/work_9/VeriANN_repro_2026-09-30/VeriANN_repro_2026-09-30/results/work9-multidata-20261015/glove100/VLAH-k-1183514</t>
        </is>
      </c>
    </row>
    <row r="160">
      <c r="A160" s="0" t="inlineStr">
        <is>
          <t>GloVe-100</t>
        </is>
      </c>
      <c r="B160" s="0" t="inlineStr">
        <is>
          <t>VLAH</t>
        </is>
      </c>
      <c r="C160" s="0" t="inlineStr">
        <is>
          <t>k</t>
        </is>
      </c>
      <c r="D160" s="0" t="n">
        <v>1183514</v>
      </c>
      <c r="E160" s="0" t="n">
        <v>100</v>
      </c>
      <c r="F160" s="0" t="n">
        <v>200</v>
      </c>
      <c r="G160" s="0" t="n">
        <v>56</v>
      </c>
      <c r="H160" s="0" t="n">
        <v>0.330113454969438</v>
      </c>
      <c r="I160" s="0" t="n">
        <v>95.8</v>
      </c>
      <c r="J160" s="0" t="n">
        <v>424.252101716667</v>
      </c>
      <c r="K160" s="0" t="n">
        <v>1024.00291686667</v>
      </c>
      <c r="L160" s="0" t="n">
        <v>156085.5056</v>
      </c>
      <c r="M160" s="0" t="n">
        <v>60</v>
      </c>
      <c r="N160" s="0" t="inlineStr">
        <is>
          <t>/mnt/d/paper_source/work_9/VeriANN_repro_2026-09-30/VeriANN_repro_2026-09-30/results/work9-multidata-20261015/glove100/VLAH-k-1183514</t>
        </is>
      </c>
    </row>
    <row r="161">
      <c r="A161" s="0" t="inlineStr">
        <is>
          <t>GloVe-100</t>
        </is>
      </c>
      <c r="B161" s="0" t="inlineStr">
        <is>
          <t>VLAH</t>
        </is>
      </c>
      <c r="C161" s="0" t="inlineStr">
        <is>
          <t>size</t>
        </is>
      </c>
      <c r="D161" s="0" t="n">
        <v>100000</v>
      </c>
      <c r="E161" s="0" t="n">
        <v>10</v>
      </c>
      <c r="F161" s="0" t="n">
        <v>100</v>
      </c>
      <c r="G161" s="0" t="n">
        <v>5</v>
      </c>
      <c r="H161" s="0" t="n">
        <v>0.330113454969438</v>
      </c>
      <c r="I161" s="0" t="n">
        <v>95</v>
      </c>
      <c r="J161" s="0" t="n">
        <v>19.83255335</v>
      </c>
      <c r="K161" s="0" t="n">
        <v>54.7392815166667</v>
      </c>
      <c r="L161" s="0" t="n">
        <v>8489.522800000001</v>
      </c>
      <c r="M161" s="0" t="n">
        <v>60</v>
      </c>
      <c r="N161" s="0" t="inlineStr">
        <is>
          <t>/mnt/d/paper_source/work_9/VeriANN_repro_2026-09-30/VeriANN_repro_2026-09-30/results/work9-multidata-20261015/glove100/VLAH-size-100000</t>
        </is>
      </c>
    </row>
    <row r="162">
      <c r="A162" s="0" t="inlineStr">
        <is>
          <t>GloVe-100</t>
        </is>
      </c>
      <c r="B162" s="0" t="inlineStr">
        <is>
          <t>VLAH</t>
        </is>
      </c>
      <c r="C162" s="0" t="inlineStr">
        <is>
          <t>size</t>
        </is>
      </c>
      <c r="D162" s="0" t="n">
        <v>1000000</v>
      </c>
      <c r="E162" s="0" t="n">
        <v>10</v>
      </c>
      <c r="F162" s="0" t="n">
        <v>100</v>
      </c>
      <c r="G162" s="0" t="n">
        <v>49</v>
      </c>
      <c r="H162" s="0" t="n">
        <v>0.330113454969438</v>
      </c>
      <c r="I162" s="0" t="n">
        <v>96.5</v>
      </c>
      <c r="J162" s="0" t="n">
        <v>237.828352416667</v>
      </c>
      <c r="K162" s="0" t="n">
        <v>557.962164633333</v>
      </c>
      <c r="L162" s="0" t="n">
        <v>82998.06759999999</v>
      </c>
      <c r="M162" s="0" t="n">
        <v>60</v>
      </c>
      <c r="N162" s="0" t="inlineStr">
        <is>
          <t>/mnt/d/paper_source/work_9/VeriANN_repro_2026-09-30/VeriANN_repro_2026-09-30/results/work9-multidata-20261015/glove100/VLAH-size-1000000</t>
        </is>
      </c>
    </row>
    <row r="163">
      <c r="A163" s="0" t="inlineStr">
        <is>
          <t>GloVe-100</t>
        </is>
      </c>
      <c r="B163" s="0" t="inlineStr">
        <is>
          <t>VLAH</t>
        </is>
      </c>
      <c r="C163" s="0" t="inlineStr">
        <is>
          <t>size</t>
        </is>
      </c>
      <c r="D163" s="0" t="n">
        <v>500000</v>
      </c>
      <c r="E163" s="0" t="n">
        <v>10</v>
      </c>
      <c r="F163" s="0" t="n">
        <v>100</v>
      </c>
      <c r="G163" s="0" t="n">
        <v>25</v>
      </c>
      <c r="H163" s="0" t="n">
        <v>0.330113454969438</v>
      </c>
      <c r="I163" s="0" t="n">
        <v>97.5</v>
      </c>
      <c r="J163" s="0" t="n">
        <v>118.37491675</v>
      </c>
      <c r="K163" s="0" t="n">
        <v>284.5216247</v>
      </c>
      <c r="L163" s="0" t="n">
        <v>42416.545</v>
      </c>
      <c r="M163" s="0" t="n">
        <v>60</v>
      </c>
      <c r="N163" s="0" t="inlineStr">
        <is>
          <t>/mnt/d/paper_source/work_9/VeriANN_repro_2026-09-30/VeriANN_repro_2026-09-30/results/work9-multidata-20261015/glove100/VLAH-size-500000</t>
        </is>
      </c>
    </row>
  </sheetData>
  <autoFilter ref="A1:N163"/>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892"/>
  <sheetViews>
    <sheetView workbookViewId="0">
      <pane xSplit="3" ySplit="1" topLeftCell="D2"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3.5"/>
  <sheetData>
    <row r="1">
      <c r="A1" s="8" t="inlineStr">
        <is>
          <t>sheet</t>
        </is>
      </c>
      <c r="B1" s="8" t="inlineStr">
        <is>
          <t>cell</t>
        </is>
      </c>
      <c r="C1" s="8" t="inlineStr">
        <is>
          <t>value</t>
        </is>
      </c>
      <c r="D1" s="8" t="inlineStr">
        <is>
          <t>metric</t>
        </is>
      </c>
      <c r="E1" s="8" t="inlineStr">
        <is>
          <t>k</t>
        </is>
      </c>
      <c r="F1" s="8" t="inlineStr">
        <is>
          <t>efSearch/E</t>
        </is>
      </c>
      <c r="G1" s="8" t="inlineStr">
        <is>
          <t>probes</t>
        </is>
      </c>
      <c r="H1" s="8" t="inlineStr">
        <is>
          <t>raw CSV</t>
        </is>
      </c>
    </row>
    <row r="2">
      <c r="A2" s="0" t="inlineStr">
        <is>
          <t>DEEP1M</t>
        </is>
      </c>
      <c r="B2" s="0" t="inlineStr">
        <is>
          <t>F21</t>
        </is>
      </c>
      <c r="C2" s="0" t="n">
        <v>71</v>
      </c>
      <c r="D2" s="0" t="inlineStr">
        <is>
          <t>recall_percent</t>
        </is>
      </c>
      <c r="E2" s="0" t="n">
        <v>10</v>
      </c>
      <c r="F2" s="0" t="n">
        <v>10</v>
      </c>
      <c r="G2" s="0" t="n">
        <v>1</v>
      </c>
      <c r="H2" s="0" t="inlineStr">
        <is>
          <t>/mnt/d/paper_source/work_9/VeriANN_repro_2026-09-30/VeriANN_repro_2026-09-30/results/work9-multidata-20261015/deep1m/ANNProof-curve-1000000/per_query.csv</t>
        </is>
      </c>
    </row>
    <row r="3">
      <c r="A3" s="0" t="inlineStr">
        <is>
          <t>DEEP1M</t>
        </is>
      </c>
      <c r="B3" s="0" t="inlineStr">
        <is>
          <t>F22</t>
        </is>
      </c>
      <c r="C3" s="0" t="n">
        <v>386.5978</v>
      </c>
      <c r="D3" s="0" t="inlineStr">
        <is>
          <t>vo_kb</t>
        </is>
      </c>
      <c r="E3" s="0" t="n">
        <v>10</v>
      </c>
      <c r="F3" s="0" t="n">
        <v>10</v>
      </c>
      <c r="G3" s="0" t="n">
        <v>1</v>
      </c>
      <c r="H3" s="0" t="inlineStr">
        <is>
          <t>/mnt/d/paper_source/work_9/VeriANN_repro_2026-09-30/VeriANN_repro_2026-09-30/results/work9-multidata-20261015/deep1m/ANNProof-curve-1000000/per_query.csv</t>
        </is>
      </c>
    </row>
    <row r="4">
      <c r="A4" s="0" t="inlineStr">
        <is>
          <t>DEEP1M</t>
        </is>
      </c>
      <c r="B4" s="0" t="inlineStr">
        <is>
          <t>F31</t>
        </is>
      </c>
      <c r="C4" s="0" t="n">
        <v>71</v>
      </c>
      <c r="D4" s="0" t="inlineStr">
        <is>
          <t>recall_percent</t>
        </is>
      </c>
      <c r="E4" s="0" t="n">
        <v>10</v>
      </c>
      <c r="F4" s="0" t="n">
        <v>10</v>
      </c>
      <c r="G4" s="0" t="n">
        <v>1</v>
      </c>
      <c r="H4" s="0" t="inlineStr">
        <is>
          <t>/mnt/d/paper_source/work_9/VeriANN_repro_2026-09-30/VeriANN_repro_2026-09-30/results/work9-multidata-20261015/deep1m/ANNProof-curve-1000000/per_query.csv</t>
        </is>
      </c>
    </row>
    <row r="5">
      <c r="A5" s="0" t="inlineStr">
        <is>
          <t>DEEP1M</t>
        </is>
      </c>
      <c r="B5" s="0" t="inlineStr">
        <is>
          <t>F32</t>
        </is>
      </c>
      <c r="C5" s="0" t="n">
        <v>5.0948274</v>
      </c>
      <c r="D5" s="0" t="inlineStr">
        <is>
          <t>verify_ms</t>
        </is>
      </c>
      <c r="E5" s="0" t="n">
        <v>10</v>
      </c>
      <c r="F5" s="0" t="n">
        <v>10</v>
      </c>
      <c r="G5" s="0" t="n">
        <v>1</v>
      </c>
      <c r="H5" s="0" t="inlineStr">
        <is>
          <t>/mnt/d/paper_source/work_9/VeriANN_repro_2026-09-30/VeriANN_repro_2026-09-30/results/work9-multidata-20261015/deep1m/ANNProof-curve-1000000/per_query.csv</t>
        </is>
      </c>
    </row>
    <row r="6">
      <c r="A6" s="0" t="inlineStr">
        <is>
          <t>DEEP1M</t>
        </is>
      </c>
      <c r="B6" s="0" t="inlineStr">
        <is>
          <t>F41</t>
        </is>
      </c>
      <c r="C6" s="0" t="n">
        <v>71</v>
      </c>
      <c r="D6" s="0" t="inlineStr">
        <is>
          <t>recall_percent</t>
        </is>
      </c>
      <c r="E6" s="0" t="n">
        <v>10</v>
      </c>
      <c r="F6" s="0" t="n">
        <v>10</v>
      </c>
      <c r="G6" s="0" t="n">
        <v>1</v>
      </c>
      <c r="H6" s="0" t="inlineStr">
        <is>
          <t>/mnt/d/paper_source/work_9/VeriANN_repro_2026-09-30/VeriANN_repro_2026-09-30/results/work9-multidata-20261015/deep1m/ANNProof-curve-1000000/per_query.csv</t>
        </is>
      </c>
    </row>
    <row r="7">
      <c r="A7" s="0" t="inlineStr">
        <is>
          <t>DEEP1M</t>
        </is>
      </c>
      <c r="B7" s="0" t="inlineStr">
        <is>
          <t>F42</t>
        </is>
      </c>
      <c r="C7" s="0" t="n">
        <v>0.9670758</v>
      </c>
      <c r="D7" s="0" t="inlineStr">
        <is>
          <t>query_ms</t>
        </is>
      </c>
      <c r="E7" s="0" t="n">
        <v>10</v>
      </c>
      <c r="F7" s="0" t="n">
        <v>10</v>
      </c>
      <c r="G7" s="0" t="n">
        <v>1</v>
      </c>
      <c r="H7" s="0" t="inlineStr">
        <is>
          <t>/mnt/d/paper_source/work_9/VeriANN_repro_2026-09-30/VeriANN_repro_2026-09-30/results/work9-multidata-20261015/deep1m/ANNProof-curve-1000000/per_query.csv</t>
        </is>
      </c>
    </row>
    <row r="8">
      <c r="A8" s="0" t="inlineStr">
        <is>
          <t>DEEP1M</t>
        </is>
      </c>
      <c r="B8" s="0" t="inlineStr">
        <is>
          <t>G21</t>
        </is>
      </c>
      <c r="C8" s="0" t="n">
        <v>71</v>
      </c>
      <c r="D8" s="0" t="inlineStr">
        <is>
          <t>recall_percent</t>
        </is>
      </c>
      <c r="E8" s="0" t="n">
        <v>10</v>
      </c>
      <c r="F8" s="0" t="n">
        <v>10</v>
      </c>
      <c r="G8" s="0" t="n">
        <v>1</v>
      </c>
      <c r="H8" s="0" t="inlineStr">
        <is>
          <t>/mnt/d/paper_source/work_9/VeriANN_repro_2026-09-30/VeriANN_repro_2026-09-30/results/work9-multidata-20261015/deep1m/ANNProof-curve-1000000/per_query.csv</t>
        </is>
      </c>
    </row>
    <row r="9">
      <c r="A9" s="0" t="inlineStr">
        <is>
          <t>DEEP1M</t>
        </is>
      </c>
      <c r="B9" s="0" t="inlineStr">
        <is>
          <t>G22</t>
        </is>
      </c>
      <c r="C9" s="0" t="n">
        <v>386.5978</v>
      </c>
      <c r="D9" s="0" t="inlineStr">
        <is>
          <t>vo_kb</t>
        </is>
      </c>
      <c r="E9" s="0" t="n">
        <v>10</v>
      </c>
      <c r="F9" s="0" t="n">
        <v>10</v>
      </c>
      <c r="G9" s="0" t="n">
        <v>1</v>
      </c>
      <c r="H9" s="0" t="inlineStr">
        <is>
          <t>/mnt/d/paper_source/work_9/VeriANN_repro_2026-09-30/VeriANN_repro_2026-09-30/results/work9-multidata-20261015/deep1m/ANNProof-curve-1000000/per_query.csv</t>
        </is>
      </c>
    </row>
    <row r="10">
      <c r="A10" s="0" t="inlineStr">
        <is>
          <t>DEEP1M</t>
        </is>
      </c>
      <c r="B10" s="0" t="inlineStr">
        <is>
          <t>G31</t>
        </is>
      </c>
      <c r="C10" s="0" t="n">
        <v>71</v>
      </c>
      <c r="D10" s="0" t="inlineStr">
        <is>
          <t>recall_percent</t>
        </is>
      </c>
      <c r="E10" s="0" t="n">
        <v>10</v>
      </c>
      <c r="F10" s="0" t="n">
        <v>10</v>
      </c>
      <c r="G10" s="0" t="n">
        <v>1</v>
      </c>
      <c r="H10" s="0" t="inlineStr">
        <is>
          <t>/mnt/d/paper_source/work_9/VeriANN_repro_2026-09-30/VeriANN_repro_2026-09-30/results/work9-multidata-20261015/deep1m/ANNProof-curve-1000000/per_query.csv</t>
        </is>
      </c>
    </row>
    <row r="11">
      <c r="A11" s="0" t="inlineStr">
        <is>
          <t>DEEP1M</t>
        </is>
      </c>
      <c r="B11" s="0" t="inlineStr">
        <is>
          <t>G32</t>
        </is>
      </c>
      <c r="C11" s="0" t="n">
        <v>5.0948274</v>
      </c>
      <c r="D11" s="0" t="inlineStr">
        <is>
          <t>verify_ms</t>
        </is>
      </c>
      <c r="E11" s="0" t="n">
        <v>10</v>
      </c>
      <c r="F11" s="0" t="n">
        <v>10</v>
      </c>
      <c r="G11" s="0" t="n">
        <v>1</v>
      </c>
      <c r="H11" s="0" t="inlineStr">
        <is>
          <t>/mnt/d/paper_source/work_9/VeriANN_repro_2026-09-30/VeriANN_repro_2026-09-30/results/work9-multidata-20261015/deep1m/ANNProof-curve-1000000/per_query.csv</t>
        </is>
      </c>
    </row>
    <row r="12">
      <c r="A12" s="0" t="inlineStr">
        <is>
          <t>DEEP1M</t>
        </is>
      </c>
      <c r="B12" s="0" t="inlineStr">
        <is>
          <t>G41</t>
        </is>
      </c>
      <c r="C12" s="0" t="n">
        <v>71</v>
      </c>
      <c r="D12" s="0" t="inlineStr">
        <is>
          <t>recall_percent</t>
        </is>
      </c>
      <c r="E12" s="0" t="n">
        <v>10</v>
      </c>
      <c r="F12" s="0" t="n">
        <v>10</v>
      </c>
      <c r="G12" s="0" t="n">
        <v>1</v>
      </c>
      <c r="H12" s="0" t="inlineStr">
        <is>
          <t>/mnt/d/paper_source/work_9/VeriANN_repro_2026-09-30/VeriANN_repro_2026-09-30/results/work9-multidata-20261015/deep1m/ANNProof-curve-1000000/per_query.csv</t>
        </is>
      </c>
    </row>
    <row r="13">
      <c r="A13" s="0" t="inlineStr">
        <is>
          <t>DEEP1M</t>
        </is>
      </c>
      <c r="B13" s="0" t="inlineStr">
        <is>
          <t>G42</t>
        </is>
      </c>
      <c r="C13" s="0" t="n">
        <v>0.9670758</v>
      </c>
      <c r="D13" s="0" t="inlineStr">
        <is>
          <t>query_ms</t>
        </is>
      </c>
      <c r="E13" s="0" t="n">
        <v>10</v>
      </c>
      <c r="F13" s="0" t="n">
        <v>10</v>
      </c>
      <c r="G13" s="0" t="n">
        <v>1</v>
      </c>
      <c r="H13" s="0" t="inlineStr">
        <is>
          <t>/mnt/d/paper_source/work_9/VeriANN_repro_2026-09-30/VeriANN_repro_2026-09-30/results/work9-multidata-20261015/deep1m/ANNProof-curve-1000000/per_query.csv</t>
        </is>
      </c>
    </row>
    <row r="14">
      <c r="A14" s="0" t="inlineStr">
        <is>
          <t>DEEP1M</t>
        </is>
      </c>
      <c r="B14" s="0" t="inlineStr">
        <is>
          <t>H21</t>
        </is>
      </c>
      <c r="C14" s="0" t="n">
        <v>71</v>
      </c>
      <c r="D14" s="0" t="inlineStr">
        <is>
          <t>recall_percent</t>
        </is>
      </c>
      <c r="E14" s="0" t="n">
        <v>10</v>
      </c>
      <c r="F14" s="0" t="n">
        <v>10</v>
      </c>
      <c r="G14" s="0" t="n">
        <v>1</v>
      </c>
      <c r="H14" s="0" t="inlineStr">
        <is>
          <t>/mnt/d/paper_source/work_9/VeriANN_repro_2026-09-30/VeriANN_repro_2026-09-30/results/work9-multidata-20261015/deep1m/ANNProof-curve-1000000/per_query.csv</t>
        </is>
      </c>
    </row>
    <row r="15">
      <c r="A15" s="0" t="inlineStr">
        <is>
          <t>DEEP1M</t>
        </is>
      </c>
      <c r="B15" s="0" t="inlineStr">
        <is>
          <t>H22</t>
        </is>
      </c>
      <c r="C15" s="0" t="n">
        <v>386.5978</v>
      </c>
      <c r="D15" s="0" t="inlineStr">
        <is>
          <t>vo_kb</t>
        </is>
      </c>
      <c r="E15" s="0" t="n">
        <v>10</v>
      </c>
      <c r="F15" s="0" t="n">
        <v>10</v>
      </c>
      <c r="G15" s="0" t="n">
        <v>1</v>
      </c>
      <c r="H15" s="0" t="inlineStr">
        <is>
          <t>/mnt/d/paper_source/work_9/VeriANN_repro_2026-09-30/VeriANN_repro_2026-09-30/results/work9-multidata-20261015/deep1m/ANNProof-curve-1000000/per_query.csv</t>
        </is>
      </c>
    </row>
    <row r="16">
      <c r="A16" s="0" t="inlineStr">
        <is>
          <t>DEEP1M</t>
        </is>
      </c>
      <c r="B16" s="0" t="inlineStr">
        <is>
          <t>H31</t>
        </is>
      </c>
      <c r="C16" s="0" t="n">
        <v>71</v>
      </c>
      <c r="D16" s="0" t="inlineStr">
        <is>
          <t>recall_percent</t>
        </is>
      </c>
      <c r="E16" s="0" t="n">
        <v>10</v>
      </c>
      <c r="F16" s="0" t="n">
        <v>10</v>
      </c>
      <c r="G16" s="0" t="n">
        <v>1</v>
      </c>
      <c r="H16" s="0" t="inlineStr">
        <is>
          <t>/mnt/d/paper_source/work_9/VeriANN_repro_2026-09-30/VeriANN_repro_2026-09-30/results/work9-multidata-20261015/deep1m/ANNProof-curve-1000000/per_query.csv</t>
        </is>
      </c>
    </row>
    <row r="17">
      <c r="A17" s="0" t="inlineStr">
        <is>
          <t>DEEP1M</t>
        </is>
      </c>
      <c r="B17" s="0" t="inlineStr">
        <is>
          <t>H32</t>
        </is>
      </c>
      <c r="C17" s="0" t="n">
        <v>5.0948274</v>
      </c>
      <c r="D17" s="0" t="inlineStr">
        <is>
          <t>verify_ms</t>
        </is>
      </c>
      <c r="E17" s="0" t="n">
        <v>10</v>
      </c>
      <c r="F17" s="0" t="n">
        <v>10</v>
      </c>
      <c r="G17" s="0" t="n">
        <v>1</v>
      </c>
      <c r="H17" s="0" t="inlineStr">
        <is>
          <t>/mnt/d/paper_source/work_9/VeriANN_repro_2026-09-30/VeriANN_repro_2026-09-30/results/work9-multidata-20261015/deep1m/ANNProof-curve-1000000/per_query.csv</t>
        </is>
      </c>
    </row>
    <row r="18">
      <c r="A18" s="0" t="inlineStr">
        <is>
          <t>DEEP1M</t>
        </is>
      </c>
      <c r="B18" s="0" t="inlineStr">
        <is>
          <t>H41</t>
        </is>
      </c>
      <c r="C18" s="0" t="n">
        <v>71</v>
      </c>
      <c r="D18" s="0" t="inlineStr">
        <is>
          <t>recall_percent</t>
        </is>
      </c>
      <c r="E18" s="0" t="n">
        <v>10</v>
      </c>
      <c r="F18" s="0" t="n">
        <v>10</v>
      </c>
      <c r="G18" s="0" t="n">
        <v>1</v>
      </c>
      <c r="H18" s="0" t="inlineStr">
        <is>
          <t>/mnt/d/paper_source/work_9/VeriANN_repro_2026-09-30/VeriANN_repro_2026-09-30/results/work9-multidata-20261015/deep1m/ANNProof-curve-1000000/per_query.csv</t>
        </is>
      </c>
    </row>
    <row r="19">
      <c r="A19" s="0" t="inlineStr">
        <is>
          <t>DEEP1M</t>
        </is>
      </c>
      <c r="B19" s="0" t="inlineStr">
        <is>
          <t>H42</t>
        </is>
      </c>
      <c r="C19" s="0" t="n">
        <v>0.9670758</v>
      </c>
      <c r="D19" s="0" t="inlineStr">
        <is>
          <t>query_ms</t>
        </is>
      </c>
      <c r="E19" s="0" t="n">
        <v>10</v>
      </c>
      <c r="F19" s="0" t="n">
        <v>10</v>
      </c>
      <c r="G19" s="0" t="n">
        <v>1</v>
      </c>
      <c r="H19" s="0" t="inlineStr">
        <is>
          <t>/mnt/d/paper_source/work_9/VeriANN_repro_2026-09-30/VeriANN_repro_2026-09-30/results/work9-multidata-20261015/deep1m/ANNProof-curve-1000000/per_query.csv</t>
        </is>
      </c>
    </row>
    <row r="20">
      <c r="A20" s="0" t="inlineStr">
        <is>
          <t>DEEP1M</t>
        </is>
      </c>
      <c r="B20" s="0" t="inlineStr">
        <is>
          <t>I21</t>
        </is>
      </c>
      <c r="C20" s="0" t="n">
        <v>78</v>
      </c>
      <c r="D20" s="0" t="inlineStr">
        <is>
          <t>recall_percent</t>
        </is>
      </c>
      <c r="E20" s="0" t="n">
        <v>10</v>
      </c>
      <c r="F20" s="0" t="n">
        <v>16</v>
      </c>
      <c r="G20" s="0" t="n">
        <v>1</v>
      </c>
      <c r="H20" s="0" t="inlineStr">
        <is>
          <t>/mnt/d/paper_source/work_9/VeriANN_repro_2026-09-30/VeriANN_repro_2026-09-30/results/work9-multidata-20261015/deep1m/ANNProof-curve-1000000/per_query.csv</t>
        </is>
      </c>
    </row>
    <row r="21">
      <c r="A21" s="0" t="inlineStr">
        <is>
          <t>DEEP1M</t>
        </is>
      </c>
      <c r="B21" s="0" t="inlineStr">
        <is>
          <t>I22</t>
        </is>
      </c>
      <c r="C21" s="0" t="n">
        <v>491.0184</v>
      </c>
      <c r="D21" s="0" t="inlineStr">
        <is>
          <t>vo_kb</t>
        </is>
      </c>
      <c r="E21" s="0" t="n">
        <v>10</v>
      </c>
      <c r="F21" s="0" t="n">
        <v>16</v>
      </c>
      <c r="G21" s="0" t="n">
        <v>1</v>
      </c>
      <c r="H21" s="0" t="inlineStr">
        <is>
          <t>/mnt/d/paper_source/work_9/VeriANN_repro_2026-09-30/VeriANN_repro_2026-09-30/results/work9-multidata-20261015/deep1m/ANNProof-curve-1000000/per_query.csv</t>
        </is>
      </c>
    </row>
    <row r="22">
      <c r="A22" s="0" t="inlineStr">
        <is>
          <t>DEEP1M</t>
        </is>
      </c>
      <c r="B22" s="0" t="inlineStr">
        <is>
          <t>I31</t>
        </is>
      </c>
      <c r="C22" s="0" t="n">
        <v>78</v>
      </c>
      <c r="D22" s="0" t="inlineStr">
        <is>
          <t>recall_percent</t>
        </is>
      </c>
      <c r="E22" s="0" t="n">
        <v>10</v>
      </c>
      <c r="F22" s="0" t="n">
        <v>16</v>
      </c>
      <c r="G22" s="0" t="n">
        <v>1</v>
      </c>
      <c r="H22" s="0" t="inlineStr">
        <is>
          <t>/mnt/d/paper_source/work_9/VeriANN_repro_2026-09-30/VeriANN_repro_2026-09-30/results/work9-multidata-20261015/deep1m/ANNProof-curve-1000000/per_query.csv</t>
        </is>
      </c>
    </row>
    <row r="23">
      <c r="A23" s="0" t="inlineStr">
        <is>
          <t>DEEP1M</t>
        </is>
      </c>
      <c r="B23" s="0" t="inlineStr">
        <is>
          <t>I32</t>
        </is>
      </c>
      <c r="C23" s="0" t="n">
        <v>6.41377703333333</v>
      </c>
      <c r="D23" s="0" t="inlineStr">
        <is>
          <t>verify_ms</t>
        </is>
      </c>
      <c r="E23" s="0" t="n">
        <v>10</v>
      </c>
      <c r="F23" s="0" t="n">
        <v>16</v>
      </c>
      <c r="G23" s="0" t="n">
        <v>1</v>
      </c>
      <c r="H23" s="0" t="inlineStr">
        <is>
          <t>/mnt/d/paper_source/work_9/VeriANN_repro_2026-09-30/VeriANN_repro_2026-09-30/results/work9-multidata-20261015/deep1m/ANNProof-curve-1000000/per_query.csv</t>
        </is>
      </c>
    </row>
    <row r="24">
      <c r="A24" s="0" t="inlineStr">
        <is>
          <t>DEEP1M</t>
        </is>
      </c>
      <c r="B24" s="0" t="inlineStr">
        <is>
          <t>I41</t>
        </is>
      </c>
      <c r="C24" s="0" t="n">
        <v>78</v>
      </c>
      <c r="D24" s="0" t="inlineStr">
        <is>
          <t>recall_percent</t>
        </is>
      </c>
      <c r="E24" s="0" t="n">
        <v>10</v>
      </c>
      <c r="F24" s="0" t="n">
        <v>16</v>
      </c>
      <c r="G24" s="0" t="n">
        <v>1</v>
      </c>
      <c r="H24" s="0" t="inlineStr">
        <is>
          <t>/mnt/d/paper_source/work_9/VeriANN_repro_2026-09-30/VeriANN_repro_2026-09-30/results/work9-multidata-20261015/deep1m/ANNProof-curve-1000000/per_query.csv</t>
        </is>
      </c>
    </row>
    <row r="25">
      <c r="A25" s="0" t="inlineStr">
        <is>
          <t>DEEP1M</t>
        </is>
      </c>
      <c r="B25" s="0" t="inlineStr">
        <is>
          <t>I42</t>
        </is>
      </c>
      <c r="C25" s="0" t="n">
        <v>1.19571215</v>
      </c>
      <c r="D25" s="0" t="inlineStr">
        <is>
          <t>query_ms</t>
        </is>
      </c>
      <c r="E25" s="0" t="n">
        <v>10</v>
      </c>
      <c r="F25" s="0" t="n">
        <v>16</v>
      </c>
      <c r="G25" s="0" t="n">
        <v>1</v>
      </c>
      <c r="H25" s="0" t="inlineStr">
        <is>
          <t>/mnt/d/paper_source/work_9/VeriANN_repro_2026-09-30/VeriANN_repro_2026-09-30/results/work9-multidata-20261015/deep1m/ANNProof-curve-1000000/per_query.csv</t>
        </is>
      </c>
    </row>
    <row r="26">
      <c r="A26" s="0" t="inlineStr">
        <is>
          <t>DEEP1M</t>
        </is>
      </c>
      <c r="B26" s="0" t="inlineStr">
        <is>
          <t>J21</t>
        </is>
      </c>
      <c r="C26" s="0" t="n">
        <v>82.5</v>
      </c>
      <c r="D26" s="0" t="inlineStr">
        <is>
          <t>recall_percent</t>
        </is>
      </c>
      <c r="E26" s="0" t="n">
        <v>10</v>
      </c>
      <c r="F26" s="0" t="n">
        <v>20</v>
      </c>
      <c r="G26" s="0" t="n">
        <v>1</v>
      </c>
      <c r="H26" s="0" t="inlineStr">
        <is>
          <t>/mnt/d/paper_source/work_9/VeriANN_repro_2026-09-30/VeriANN_repro_2026-09-30/results/work9-multidata-20261015/deep1m/ANNProof-curve-1000000/per_query.csv</t>
        </is>
      </c>
    </row>
    <row r="27">
      <c r="A27" s="0" t="inlineStr">
        <is>
          <t>DEEP1M</t>
        </is>
      </c>
      <c r="B27" s="0" t="inlineStr">
        <is>
          <t>J22</t>
        </is>
      </c>
      <c r="C27" s="0" t="n">
        <v>554.1006</v>
      </c>
      <c r="D27" s="0" t="inlineStr">
        <is>
          <t>vo_kb</t>
        </is>
      </c>
      <c r="E27" s="0" t="n">
        <v>10</v>
      </c>
      <c r="F27" s="0" t="n">
        <v>20</v>
      </c>
      <c r="G27" s="0" t="n">
        <v>1</v>
      </c>
      <c r="H27" s="0" t="inlineStr">
        <is>
          <t>/mnt/d/paper_source/work_9/VeriANN_repro_2026-09-30/VeriANN_repro_2026-09-30/results/work9-multidata-20261015/deep1m/ANNProof-curve-1000000/per_query.csv</t>
        </is>
      </c>
    </row>
    <row r="28">
      <c r="A28" s="0" t="inlineStr">
        <is>
          <t>DEEP1M</t>
        </is>
      </c>
      <c r="B28" s="0" t="inlineStr">
        <is>
          <t>J31</t>
        </is>
      </c>
      <c r="C28" s="0" t="n">
        <v>82.5</v>
      </c>
      <c r="D28" s="0" t="inlineStr">
        <is>
          <t>recall_percent</t>
        </is>
      </c>
      <c r="E28" s="0" t="n">
        <v>10</v>
      </c>
      <c r="F28" s="0" t="n">
        <v>20</v>
      </c>
      <c r="G28" s="0" t="n">
        <v>1</v>
      </c>
      <c r="H28" s="0" t="inlineStr">
        <is>
          <t>/mnt/d/paper_source/work_9/VeriANN_repro_2026-09-30/VeriANN_repro_2026-09-30/results/work9-multidata-20261015/deep1m/ANNProof-curve-1000000/per_query.csv</t>
        </is>
      </c>
    </row>
    <row r="29">
      <c r="A29" s="0" t="inlineStr">
        <is>
          <t>DEEP1M</t>
        </is>
      </c>
      <c r="B29" s="0" t="inlineStr">
        <is>
          <t>J32</t>
        </is>
      </c>
      <c r="C29" s="0" t="n">
        <v>7.32085555</v>
      </c>
      <c r="D29" s="0" t="inlineStr">
        <is>
          <t>verify_ms</t>
        </is>
      </c>
      <c r="E29" s="0" t="n">
        <v>10</v>
      </c>
      <c r="F29" s="0" t="n">
        <v>20</v>
      </c>
      <c r="G29" s="0" t="n">
        <v>1</v>
      </c>
      <c r="H29" s="0" t="inlineStr">
        <is>
          <t>/mnt/d/paper_source/work_9/VeriANN_repro_2026-09-30/VeriANN_repro_2026-09-30/results/work9-multidata-20261015/deep1m/ANNProof-curve-1000000/per_query.csv</t>
        </is>
      </c>
    </row>
    <row r="30">
      <c r="A30" s="0" t="inlineStr">
        <is>
          <t>DEEP1M</t>
        </is>
      </c>
      <c r="B30" s="0" t="inlineStr">
        <is>
          <t>J41</t>
        </is>
      </c>
      <c r="C30" s="0" t="n">
        <v>82.5</v>
      </c>
      <c r="D30" s="0" t="inlineStr">
        <is>
          <t>recall_percent</t>
        </is>
      </c>
      <c r="E30" s="0" t="n">
        <v>10</v>
      </c>
      <c r="F30" s="0" t="n">
        <v>20</v>
      </c>
      <c r="G30" s="0" t="n">
        <v>1</v>
      </c>
      <c r="H30" s="0" t="inlineStr">
        <is>
          <t>/mnt/d/paper_source/work_9/VeriANN_repro_2026-09-30/VeriANN_repro_2026-09-30/results/work9-multidata-20261015/deep1m/ANNProof-curve-1000000/per_query.csv</t>
        </is>
      </c>
    </row>
    <row r="31">
      <c r="A31" s="0" t="inlineStr">
        <is>
          <t>DEEP1M</t>
        </is>
      </c>
      <c r="B31" s="0" t="inlineStr">
        <is>
          <t>J42</t>
        </is>
      </c>
      <c r="C31" s="0" t="n">
        <v>1.34739523333333</v>
      </c>
      <c r="D31" s="0" t="inlineStr">
        <is>
          <t>query_ms</t>
        </is>
      </c>
      <c r="E31" s="0" t="n">
        <v>10</v>
      </c>
      <c r="F31" s="0" t="n">
        <v>20</v>
      </c>
      <c r="G31" s="0" t="n">
        <v>1</v>
      </c>
      <c r="H31" s="0" t="inlineStr">
        <is>
          <t>/mnt/d/paper_source/work_9/VeriANN_repro_2026-09-30/VeriANN_repro_2026-09-30/results/work9-multidata-20261015/deep1m/ANNProof-curve-1000000/per_query.csv</t>
        </is>
      </c>
    </row>
    <row r="32">
      <c r="A32" s="0" t="inlineStr">
        <is>
          <t>DEEP1M</t>
        </is>
      </c>
      <c r="B32" s="0" t="inlineStr">
        <is>
          <t>K21</t>
        </is>
      </c>
      <c r="C32" s="0" t="n">
        <v>86.5</v>
      </c>
      <c r="D32" s="0" t="inlineStr">
        <is>
          <t>recall_percent</t>
        </is>
      </c>
      <c r="E32" s="0" t="n">
        <v>10</v>
      </c>
      <c r="F32" s="0" t="n">
        <v>24</v>
      </c>
      <c r="G32" s="0" t="n">
        <v>1</v>
      </c>
      <c r="H32" s="0" t="inlineStr">
        <is>
          <t>/mnt/d/paper_source/work_9/VeriANN_repro_2026-09-30/VeriANN_repro_2026-09-30/results/work9-multidata-20261015/deep1m/ANNProof-curve-1000000/per_query.csv</t>
        </is>
      </c>
    </row>
    <row r="33">
      <c r="A33" s="0" t="inlineStr">
        <is>
          <t>DEEP1M</t>
        </is>
      </c>
      <c r="B33" s="0" t="inlineStr">
        <is>
          <t>K22</t>
        </is>
      </c>
      <c r="C33" s="0" t="n">
        <v>615.9464</v>
      </c>
      <c r="D33" s="0" t="inlineStr">
        <is>
          <t>vo_kb</t>
        </is>
      </c>
      <c r="E33" s="0" t="n">
        <v>10</v>
      </c>
      <c r="F33" s="0" t="n">
        <v>24</v>
      </c>
      <c r="G33" s="0" t="n">
        <v>1</v>
      </c>
      <c r="H33" s="0" t="inlineStr">
        <is>
          <t>/mnt/d/paper_source/work_9/VeriANN_repro_2026-09-30/VeriANN_repro_2026-09-30/results/work9-multidata-20261015/deep1m/ANNProof-curve-1000000/per_query.csv</t>
        </is>
      </c>
    </row>
    <row r="34">
      <c r="A34" s="0" t="inlineStr">
        <is>
          <t>DEEP1M</t>
        </is>
      </c>
      <c r="B34" s="0" t="inlineStr">
        <is>
          <t>K31</t>
        </is>
      </c>
      <c r="C34" s="0" t="n">
        <v>86.5</v>
      </c>
      <c r="D34" s="0" t="inlineStr">
        <is>
          <t>recall_percent</t>
        </is>
      </c>
      <c r="E34" s="0" t="n">
        <v>10</v>
      </c>
      <c r="F34" s="0" t="n">
        <v>24</v>
      </c>
      <c r="G34" s="0" t="n">
        <v>1</v>
      </c>
      <c r="H34" s="0" t="inlineStr">
        <is>
          <t>/mnt/d/paper_source/work_9/VeriANN_repro_2026-09-30/VeriANN_repro_2026-09-30/results/work9-multidata-20261015/deep1m/ANNProof-curve-1000000/per_query.csv</t>
        </is>
      </c>
    </row>
    <row r="35">
      <c r="A35" s="0" t="inlineStr">
        <is>
          <t>DEEP1M</t>
        </is>
      </c>
      <c r="B35" s="0" t="inlineStr">
        <is>
          <t>K32</t>
        </is>
      </c>
      <c r="C35" s="0" t="n">
        <v>8.091527900000001</v>
      </c>
      <c r="D35" s="0" t="inlineStr">
        <is>
          <t>verify_ms</t>
        </is>
      </c>
      <c r="E35" s="0" t="n">
        <v>10</v>
      </c>
      <c r="F35" s="0" t="n">
        <v>24</v>
      </c>
      <c r="G35" s="0" t="n">
        <v>1</v>
      </c>
      <c r="H35" s="0" t="inlineStr">
        <is>
          <t>/mnt/d/paper_source/work_9/VeriANN_repro_2026-09-30/VeriANN_repro_2026-09-30/results/work9-multidata-20261015/deep1m/ANNProof-curve-1000000/per_query.csv</t>
        </is>
      </c>
    </row>
    <row r="36">
      <c r="A36" s="0" t="inlineStr">
        <is>
          <t>DEEP1M</t>
        </is>
      </c>
      <c r="B36" s="0" t="inlineStr">
        <is>
          <t>K41</t>
        </is>
      </c>
      <c r="C36" s="0" t="n">
        <v>86.5</v>
      </c>
      <c r="D36" s="0" t="inlineStr">
        <is>
          <t>recall_percent</t>
        </is>
      </c>
      <c r="E36" s="0" t="n">
        <v>10</v>
      </c>
      <c r="F36" s="0" t="n">
        <v>24</v>
      </c>
      <c r="G36" s="0" t="n">
        <v>1</v>
      </c>
      <c r="H36" s="0" t="inlineStr">
        <is>
          <t>/mnt/d/paper_source/work_9/VeriANN_repro_2026-09-30/VeriANN_repro_2026-09-30/results/work9-multidata-20261015/deep1m/ANNProof-curve-1000000/per_query.csv</t>
        </is>
      </c>
    </row>
    <row r="37">
      <c r="A37" s="0" t="inlineStr">
        <is>
          <t>DEEP1M</t>
        </is>
      </c>
      <c r="B37" s="0" t="inlineStr">
        <is>
          <t>K42</t>
        </is>
      </c>
      <c r="C37" s="0" t="n">
        <v>1.5069473</v>
      </c>
      <c r="D37" s="0" t="inlineStr">
        <is>
          <t>query_ms</t>
        </is>
      </c>
      <c r="E37" s="0" t="n">
        <v>10</v>
      </c>
      <c r="F37" s="0" t="n">
        <v>24</v>
      </c>
      <c r="G37" s="0" t="n">
        <v>1</v>
      </c>
      <c r="H37" s="0" t="inlineStr">
        <is>
          <t>/mnt/d/paper_source/work_9/VeriANN_repro_2026-09-30/VeriANN_repro_2026-09-30/results/work9-multidata-20261015/deep1m/ANNProof-curve-1000000/per_query.csv</t>
        </is>
      </c>
    </row>
    <row r="38">
      <c r="A38" s="0" t="inlineStr">
        <is>
          <t>DEEP1M</t>
        </is>
      </c>
      <c r="B38" s="0" t="inlineStr">
        <is>
          <t>L21</t>
        </is>
      </c>
      <c r="C38" s="0" t="n">
        <v>94.5</v>
      </c>
      <c r="D38" s="0" t="inlineStr">
        <is>
          <t>recall_percent</t>
        </is>
      </c>
      <c r="E38" s="0" t="n">
        <v>10</v>
      </c>
      <c r="F38" s="0" t="n">
        <v>48</v>
      </c>
      <c r="G38" s="0" t="n">
        <v>1</v>
      </c>
      <c r="H38" s="0" t="inlineStr">
        <is>
          <t>/mnt/d/paper_source/work_9/VeriANN_repro_2026-09-30/VeriANN_repro_2026-09-30/results/work9-multidata-20261015/deep1m/ANNProof-curve-1000000/per_query.csv</t>
        </is>
      </c>
    </row>
    <row r="39">
      <c r="A39" s="0" t="inlineStr">
        <is>
          <t>DEEP1M</t>
        </is>
      </c>
      <c r="B39" s="0" t="inlineStr">
        <is>
          <t>L22</t>
        </is>
      </c>
      <c r="C39" s="0" t="n">
        <v>944.128</v>
      </c>
      <c r="D39" s="0" t="inlineStr">
        <is>
          <t>vo_kb</t>
        </is>
      </c>
      <c r="E39" s="0" t="n">
        <v>10</v>
      </c>
      <c r="F39" s="0" t="n">
        <v>48</v>
      </c>
      <c r="G39" s="0" t="n">
        <v>1</v>
      </c>
      <c r="H39" s="0" t="inlineStr">
        <is>
          <t>/mnt/d/paper_source/work_9/VeriANN_repro_2026-09-30/VeriANN_repro_2026-09-30/results/work9-multidata-20261015/deep1m/ANNProof-curve-1000000/per_query.csv</t>
        </is>
      </c>
    </row>
    <row r="40">
      <c r="A40" s="0" t="inlineStr">
        <is>
          <t>DEEP1M</t>
        </is>
      </c>
      <c r="B40" s="0" t="inlineStr">
        <is>
          <t>L31</t>
        </is>
      </c>
      <c r="C40" s="0" t="n">
        <v>94.5</v>
      </c>
      <c r="D40" s="0" t="inlineStr">
        <is>
          <t>recall_percent</t>
        </is>
      </c>
      <c r="E40" s="0" t="n">
        <v>10</v>
      </c>
      <c r="F40" s="0" t="n">
        <v>48</v>
      </c>
      <c r="G40" s="0" t="n">
        <v>1</v>
      </c>
      <c r="H40" s="0" t="inlineStr">
        <is>
          <t>/mnt/d/paper_source/work_9/VeriANN_repro_2026-09-30/VeriANN_repro_2026-09-30/results/work9-multidata-20261015/deep1m/ANNProof-curve-1000000/per_query.csv</t>
        </is>
      </c>
    </row>
    <row r="41">
      <c r="A41" s="0" t="inlineStr">
        <is>
          <t>DEEP1M</t>
        </is>
      </c>
      <c r="B41" s="0" t="inlineStr">
        <is>
          <t>L32</t>
        </is>
      </c>
      <c r="C41" s="0" t="n">
        <v>12.7037481</v>
      </c>
      <c r="D41" s="0" t="inlineStr">
        <is>
          <t>verify_ms</t>
        </is>
      </c>
      <c r="E41" s="0" t="n">
        <v>10</v>
      </c>
      <c r="F41" s="0" t="n">
        <v>48</v>
      </c>
      <c r="G41" s="0" t="n">
        <v>1</v>
      </c>
      <c r="H41" s="0" t="inlineStr">
        <is>
          <t>/mnt/d/paper_source/work_9/VeriANN_repro_2026-09-30/VeriANN_repro_2026-09-30/results/work9-multidata-20261015/deep1m/ANNProof-curve-1000000/per_query.csv</t>
        </is>
      </c>
    </row>
    <row r="42">
      <c r="A42" s="0" t="inlineStr">
        <is>
          <t>DEEP1M</t>
        </is>
      </c>
      <c r="B42" s="0" t="inlineStr">
        <is>
          <t>L41</t>
        </is>
      </c>
      <c r="C42" s="0" t="n">
        <v>94.5</v>
      </c>
      <c r="D42" s="0" t="inlineStr">
        <is>
          <t>recall_percent</t>
        </is>
      </c>
      <c r="E42" s="0" t="n">
        <v>10</v>
      </c>
      <c r="F42" s="0" t="n">
        <v>48</v>
      </c>
      <c r="G42" s="0" t="n">
        <v>1</v>
      </c>
      <c r="H42" s="0" t="inlineStr">
        <is>
          <t>/mnt/d/paper_source/work_9/VeriANN_repro_2026-09-30/VeriANN_repro_2026-09-30/results/work9-multidata-20261015/deep1m/ANNProof-curve-1000000/per_query.csv</t>
        </is>
      </c>
    </row>
    <row r="43">
      <c r="A43" s="0" t="inlineStr">
        <is>
          <t>DEEP1M</t>
        </is>
      </c>
      <c r="B43" s="0" t="inlineStr">
        <is>
          <t>L42</t>
        </is>
      </c>
      <c r="C43" s="0" t="n">
        <v>2.6137277</v>
      </c>
      <c r="D43" s="0" t="inlineStr">
        <is>
          <t>query_ms</t>
        </is>
      </c>
      <c r="E43" s="0" t="n">
        <v>10</v>
      </c>
      <c r="F43" s="0" t="n">
        <v>48</v>
      </c>
      <c r="G43" s="0" t="n">
        <v>1</v>
      </c>
      <c r="H43" s="0" t="inlineStr">
        <is>
          <t>/mnt/d/paper_source/work_9/VeriANN_repro_2026-09-30/VeriANN_repro_2026-09-30/results/work9-multidata-20261015/deep1m/ANNProof-curve-1000000/per_query.csv</t>
        </is>
      </c>
    </row>
    <row r="44">
      <c r="A44" s="0" t="inlineStr">
        <is>
          <t>DEEP1M</t>
        </is>
      </c>
      <c r="B44" s="0" t="inlineStr">
        <is>
          <t>M21</t>
        </is>
      </c>
      <c r="C44" s="0" t="n">
        <v>97.5</v>
      </c>
      <c r="D44" s="0" t="inlineStr">
        <is>
          <t>recall_percent</t>
        </is>
      </c>
      <c r="E44" s="0" t="n">
        <v>10</v>
      </c>
      <c r="F44" s="0" t="n">
        <v>64</v>
      </c>
      <c r="G44" s="0" t="n">
        <v>1</v>
      </c>
      <c r="H44" s="0" t="inlineStr">
        <is>
          <t>/mnt/d/paper_source/work_9/VeriANN_repro_2026-09-30/VeriANN_repro_2026-09-30/results/work9-multidata-20261015/deep1m/ANNProof-curve-1000000/per_query.csv</t>
        </is>
      </c>
    </row>
    <row r="45">
      <c r="A45" s="0" t="inlineStr">
        <is>
          <t>DEEP1M</t>
        </is>
      </c>
      <c r="B45" s="0" t="inlineStr">
        <is>
          <t>M22</t>
        </is>
      </c>
      <c r="C45" s="0" t="n">
        <v>1154.7938</v>
      </c>
      <c r="D45" s="0" t="inlineStr">
        <is>
          <t>vo_kb</t>
        </is>
      </c>
      <c r="E45" s="0" t="n">
        <v>10</v>
      </c>
      <c r="F45" s="0" t="n">
        <v>64</v>
      </c>
      <c r="G45" s="0" t="n">
        <v>1</v>
      </c>
      <c r="H45" s="0" t="inlineStr">
        <is>
          <t>/mnt/d/paper_source/work_9/VeriANN_repro_2026-09-30/VeriANN_repro_2026-09-30/results/work9-multidata-20261015/deep1m/ANNProof-curve-1000000/per_query.csv</t>
        </is>
      </c>
    </row>
    <row r="46">
      <c r="A46" s="0" t="inlineStr">
        <is>
          <t>DEEP1M</t>
        </is>
      </c>
      <c r="B46" s="0" t="inlineStr">
        <is>
          <t>M31</t>
        </is>
      </c>
      <c r="C46" s="0" t="n">
        <v>97.5</v>
      </c>
      <c r="D46" s="0" t="inlineStr">
        <is>
          <t>recall_percent</t>
        </is>
      </c>
      <c r="E46" s="0" t="n">
        <v>10</v>
      </c>
      <c r="F46" s="0" t="n">
        <v>64</v>
      </c>
      <c r="G46" s="0" t="n">
        <v>1</v>
      </c>
      <c r="H46" s="0" t="inlineStr">
        <is>
          <t>/mnt/d/paper_source/work_9/VeriANN_repro_2026-09-30/VeriANN_repro_2026-09-30/results/work9-multidata-20261015/deep1m/ANNProof-curve-1000000/per_query.csv</t>
        </is>
      </c>
    </row>
    <row r="47">
      <c r="A47" s="0" t="inlineStr">
        <is>
          <t>DEEP1M</t>
        </is>
      </c>
      <c r="B47" s="0" t="inlineStr">
        <is>
          <t>M32</t>
        </is>
      </c>
      <c r="C47" s="0" t="n">
        <v>15.4261976166667</v>
      </c>
      <c r="D47" s="0" t="inlineStr">
        <is>
          <t>verify_ms</t>
        </is>
      </c>
      <c r="E47" s="0" t="n">
        <v>10</v>
      </c>
      <c r="F47" s="0" t="n">
        <v>64</v>
      </c>
      <c r="G47" s="0" t="n">
        <v>1</v>
      </c>
      <c r="H47" s="0" t="inlineStr">
        <is>
          <t>/mnt/d/paper_source/work_9/VeriANN_repro_2026-09-30/VeriANN_repro_2026-09-30/results/work9-multidata-20261015/deep1m/ANNProof-curve-1000000/per_query.csv</t>
        </is>
      </c>
    </row>
    <row r="48">
      <c r="A48" s="0" t="inlineStr">
        <is>
          <t>DEEP1M</t>
        </is>
      </c>
      <c r="B48" s="0" t="inlineStr">
        <is>
          <t>M41</t>
        </is>
      </c>
      <c r="C48" s="0" t="n">
        <v>97.5</v>
      </c>
      <c r="D48" s="0" t="inlineStr">
        <is>
          <t>recall_percent</t>
        </is>
      </c>
      <c r="E48" s="0" t="n">
        <v>10</v>
      </c>
      <c r="F48" s="0" t="n">
        <v>64</v>
      </c>
      <c r="G48" s="0" t="n">
        <v>1</v>
      </c>
      <c r="H48" s="0" t="inlineStr">
        <is>
          <t>/mnt/d/paper_source/work_9/VeriANN_repro_2026-09-30/VeriANN_repro_2026-09-30/results/work9-multidata-20261015/deep1m/ANNProof-curve-1000000/per_query.csv</t>
        </is>
      </c>
    </row>
    <row r="49">
      <c r="A49" s="0" t="inlineStr">
        <is>
          <t>DEEP1M</t>
        </is>
      </c>
      <c r="B49" s="0" t="inlineStr">
        <is>
          <t>M42</t>
        </is>
      </c>
      <c r="C49" s="0" t="n">
        <v>3.15865693333333</v>
      </c>
      <c r="D49" s="0" t="inlineStr">
        <is>
          <t>query_ms</t>
        </is>
      </c>
      <c r="E49" s="0" t="n">
        <v>10</v>
      </c>
      <c r="F49" s="0" t="n">
        <v>64</v>
      </c>
      <c r="G49" s="0" t="n">
        <v>1</v>
      </c>
      <c r="H49" s="0" t="inlineStr">
        <is>
          <t>/mnt/d/paper_source/work_9/VeriANN_repro_2026-09-30/VeriANN_repro_2026-09-30/results/work9-multidata-20261015/deep1m/ANNProof-curve-1000000/per_query.csv</t>
        </is>
      </c>
    </row>
    <row r="50">
      <c r="A50" s="0" t="inlineStr">
        <is>
          <t>DEEP1M</t>
        </is>
      </c>
      <c r="B50" s="0" t="inlineStr">
        <is>
          <t>N21</t>
        </is>
      </c>
      <c r="C50" s="0" t="n">
        <v>97.5</v>
      </c>
      <c r="D50" s="0" t="inlineStr">
        <is>
          <t>recall_percent</t>
        </is>
      </c>
      <c r="E50" s="0" t="n">
        <v>10</v>
      </c>
      <c r="F50" s="0" t="n">
        <v>64</v>
      </c>
      <c r="G50" s="0" t="n">
        <v>1</v>
      </c>
      <c r="H50" s="0" t="inlineStr">
        <is>
          <t>/mnt/d/paper_source/work_9/VeriANN_repro_2026-09-30/VeriANN_repro_2026-09-30/results/work9-multidata-20261015/deep1m/ANNProof-curve-1000000/per_query.csv</t>
        </is>
      </c>
    </row>
    <row r="51">
      <c r="A51" s="0" t="inlineStr">
        <is>
          <t>DEEP1M</t>
        </is>
      </c>
      <c r="B51" s="0" t="inlineStr">
        <is>
          <t>N22</t>
        </is>
      </c>
      <c r="C51" s="0" t="n">
        <v>1154.7938</v>
      </c>
      <c r="D51" s="0" t="inlineStr">
        <is>
          <t>vo_kb</t>
        </is>
      </c>
      <c r="E51" s="0" t="n">
        <v>10</v>
      </c>
      <c r="F51" s="0" t="n">
        <v>64</v>
      </c>
      <c r="G51" s="0" t="n">
        <v>1</v>
      </c>
      <c r="H51" s="0" t="inlineStr">
        <is>
          <t>/mnt/d/paper_source/work_9/VeriANN_repro_2026-09-30/VeriANN_repro_2026-09-30/results/work9-multidata-20261015/deep1m/ANNProof-curve-1000000/per_query.csv</t>
        </is>
      </c>
    </row>
    <row r="52">
      <c r="A52" s="0" t="inlineStr">
        <is>
          <t>DEEP1M</t>
        </is>
      </c>
      <c r="B52" s="0" t="inlineStr">
        <is>
          <t>N31</t>
        </is>
      </c>
      <c r="C52" s="0" t="n">
        <v>97.5</v>
      </c>
      <c r="D52" s="0" t="inlineStr">
        <is>
          <t>recall_percent</t>
        </is>
      </c>
      <c r="E52" s="0" t="n">
        <v>10</v>
      </c>
      <c r="F52" s="0" t="n">
        <v>64</v>
      </c>
      <c r="G52" s="0" t="n">
        <v>1</v>
      </c>
      <c r="H52" s="0" t="inlineStr">
        <is>
          <t>/mnt/d/paper_source/work_9/VeriANN_repro_2026-09-30/VeriANN_repro_2026-09-30/results/work9-multidata-20261015/deep1m/ANNProof-curve-1000000/per_query.csv</t>
        </is>
      </c>
    </row>
    <row r="53">
      <c r="A53" s="0" t="inlineStr">
        <is>
          <t>DEEP1M</t>
        </is>
      </c>
      <c r="B53" s="0" t="inlineStr">
        <is>
          <t>N32</t>
        </is>
      </c>
      <c r="C53" s="0" t="n">
        <v>15.4261976166667</v>
      </c>
      <c r="D53" s="0" t="inlineStr">
        <is>
          <t>verify_ms</t>
        </is>
      </c>
      <c r="E53" s="0" t="n">
        <v>10</v>
      </c>
      <c r="F53" s="0" t="n">
        <v>64</v>
      </c>
      <c r="G53" s="0" t="n">
        <v>1</v>
      </c>
      <c r="H53" s="0" t="inlineStr">
        <is>
          <t>/mnt/d/paper_source/work_9/VeriANN_repro_2026-09-30/VeriANN_repro_2026-09-30/results/work9-multidata-20261015/deep1m/ANNProof-curve-1000000/per_query.csv</t>
        </is>
      </c>
    </row>
    <row r="54">
      <c r="A54" s="0" t="inlineStr">
        <is>
          <t>DEEP1M</t>
        </is>
      </c>
      <c r="B54" s="0" t="inlineStr">
        <is>
          <t>N41</t>
        </is>
      </c>
      <c r="C54" s="0" t="n">
        <v>97.5</v>
      </c>
      <c r="D54" s="0" t="inlineStr">
        <is>
          <t>recall_percent</t>
        </is>
      </c>
      <c r="E54" s="0" t="n">
        <v>10</v>
      </c>
      <c r="F54" s="0" t="n">
        <v>64</v>
      </c>
      <c r="G54" s="0" t="n">
        <v>1</v>
      </c>
      <c r="H54" s="0" t="inlineStr">
        <is>
          <t>/mnt/d/paper_source/work_9/VeriANN_repro_2026-09-30/VeriANN_repro_2026-09-30/results/work9-multidata-20261015/deep1m/ANNProof-curve-1000000/per_query.csv</t>
        </is>
      </c>
    </row>
    <row r="55">
      <c r="A55" s="0" t="inlineStr">
        <is>
          <t>DEEP1M</t>
        </is>
      </c>
      <c r="B55" s="0" t="inlineStr">
        <is>
          <t>N42</t>
        </is>
      </c>
      <c r="C55" s="0" t="n">
        <v>3.15865693333333</v>
      </c>
      <c r="D55" s="0" t="inlineStr">
        <is>
          <t>query_ms</t>
        </is>
      </c>
      <c r="E55" s="0" t="n">
        <v>10</v>
      </c>
      <c r="F55" s="0" t="n">
        <v>64</v>
      </c>
      <c r="G55" s="0" t="n">
        <v>1</v>
      </c>
      <c r="H55" s="0" t="inlineStr">
        <is>
          <t>/mnt/d/paper_source/work_9/VeriANN_repro_2026-09-30/VeriANN_repro_2026-09-30/results/work9-multidata-20261015/deep1m/ANNProof-curve-1000000/per_query.csv</t>
        </is>
      </c>
    </row>
    <row r="56">
      <c r="A56" s="0" t="inlineStr">
        <is>
          <t>DEEP1M</t>
        </is>
      </c>
      <c r="B56" s="0" t="inlineStr">
        <is>
          <t>O21</t>
        </is>
      </c>
      <c r="C56" s="0" t="n">
        <v>99.5</v>
      </c>
      <c r="D56" s="0" t="inlineStr">
        <is>
          <t>recall_percent</t>
        </is>
      </c>
      <c r="E56" s="0" t="n">
        <v>10</v>
      </c>
      <c r="F56" s="0" t="n">
        <v>96</v>
      </c>
      <c r="G56" s="0" t="n">
        <v>1</v>
      </c>
      <c r="H56" s="0" t="inlineStr">
        <is>
          <t>/mnt/d/paper_source/work_9/VeriANN_repro_2026-09-30/VeriANN_repro_2026-09-30/results/work9-multidata-20261015/deep1m/ANNProof-curve-1000000/per_query.csv</t>
        </is>
      </c>
    </row>
    <row r="57">
      <c r="A57" s="0" t="inlineStr">
        <is>
          <t>DEEP1M</t>
        </is>
      </c>
      <c r="B57" s="0" t="inlineStr">
        <is>
          <t>O22</t>
        </is>
      </c>
      <c r="C57" s="0" t="n">
        <v>1538.7078</v>
      </c>
      <c r="D57" s="0" t="inlineStr">
        <is>
          <t>vo_kb</t>
        </is>
      </c>
      <c r="E57" s="0" t="n">
        <v>10</v>
      </c>
      <c r="F57" s="0" t="n">
        <v>96</v>
      </c>
      <c r="G57" s="0" t="n">
        <v>1</v>
      </c>
      <c r="H57" s="0" t="inlineStr">
        <is>
          <t>/mnt/d/paper_source/work_9/VeriANN_repro_2026-09-30/VeriANN_repro_2026-09-30/results/work9-multidata-20261015/deep1m/ANNProof-curve-1000000/per_query.csv</t>
        </is>
      </c>
    </row>
    <row r="58">
      <c r="A58" s="0" t="inlineStr">
        <is>
          <t>DEEP1M</t>
        </is>
      </c>
      <c r="B58" s="0" t="inlineStr">
        <is>
          <t>O31</t>
        </is>
      </c>
      <c r="C58" s="0" t="n">
        <v>99.5</v>
      </c>
      <c r="D58" s="0" t="inlineStr">
        <is>
          <t>recall_percent</t>
        </is>
      </c>
      <c r="E58" s="0" t="n">
        <v>10</v>
      </c>
      <c r="F58" s="0" t="n">
        <v>96</v>
      </c>
      <c r="G58" s="0" t="n">
        <v>1</v>
      </c>
      <c r="H58" s="0" t="inlineStr">
        <is>
          <t>/mnt/d/paper_source/work_9/VeriANN_repro_2026-09-30/VeriANN_repro_2026-09-30/results/work9-multidata-20261015/deep1m/ANNProof-curve-1000000/per_query.csv</t>
        </is>
      </c>
    </row>
    <row r="59">
      <c r="A59" s="0" t="inlineStr">
        <is>
          <t>DEEP1M</t>
        </is>
      </c>
      <c r="B59" s="0" t="inlineStr">
        <is>
          <t>O32</t>
        </is>
      </c>
      <c r="C59" s="0" t="n">
        <v>20.6266154833333</v>
      </c>
      <c r="D59" s="0" t="inlineStr">
        <is>
          <t>verify_ms</t>
        </is>
      </c>
      <c r="E59" s="0" t="n">
        <v>10</v>
      </c>
      <c r="F59" s="0" t="n">
        <v>96</v>
      </c>
      <c r="G59" s="0" t="n">
        <v>1</v>
      </c>
      <c r="H59" s="0" t="inlineStr">
        <is>
          <t>/mnt/d/paper_source/work_9/VeriANN_repro_2026-09-30/VeriANN_repro_2026-09-30/results/work9-multidata-20261015/deep1m/ANNProof-curve-1000000/per_query.csv</t>
        </is>
      </c>
    </row>
    <row r="60">
      <c r="A60" s="0" t="inlineStr">
        <is>
          <t>DEEP1M</t>
        </is>
      </c>
      <c r="B60" s="0" t="inlineStr">
        <is>
          <t>O41</t>
        </is>
      </c>
      <c r="C60" s="0" t="n">
        <v>99.5</v>
      </c>
      <c r="D60" s="0" t="inlineStr">
        <is>
          <t>recall_percent</t>
        </is>
      </c>
      <c r="E60" s="0" t="n">
        <v>10</v>
      </c>
      <c r="F60" s="0" t="n">
        <v>96</v>
      </c>
      <c r="G60" s="0" t="n">
        <v>1</v>
      </c>
      <c r="H60" s="0" t="inlineStr">
        <is>
          <t>/mnt/d/paper_source/work_9/VeriANN_repro_2026-09-30/VeriANN_repro_2026-09-30/results/work9-multidata-20261015/deep1m/ANNProof-curve-1000000/per_query.csv</t>
        </is>
      </c>
    </row>
    <row r="61">
      <c r="A61" s="0" t="inlineStr">
        <is>
          <t>DEEP1M</t>
        </is>
      </c>
      <c r="B61" s="0" t="inlineStr">
        <is>
          <t>O42</t>
        </is>
      </c>
      <c r="C61" s="0" t="n">
        <v>4.2914665</v>
      </c>
      <c r="D61" s="0" t="inlineStr">
        <is>
          <t>query_ms</t>
        </is>
      </c>
      <c r="E61" s="0" t="n">
        <v>10</v>
      </c>
      <c r="F61" s="0" t="n">
        <v>96</v>
      </c>
      <c r="G61" s="0" t="n">
        <v>1</v>
      </c>
      <c r="H61" s="0" t="inlineStr">
        <is>
          <t>/mnt/d/paper_source/work_9/VeriANN_repro_2026-09-30/VeriANN_repro_2026-09-30/results/work9-multidata-20261015/deep1m/ANNProof-curve-1000000/per_query.csv</t>
        </is>
      </c>
    </row>
    <row r="62">
      <c r="A62" s="0" t="inlineStr">
        <is>
          <t>DEEP1M</t>
        </is>
      </c>
      <c r="B62" s="0" t="inlineStr">
        <is>
          <t>P21</t>
        </is>
      </c>
      <c r="C62" s="0" t="n">
        <v>99.5</v>
      </c>
      <c r="D62" s="0" t="inlineStr">
        <is>
          <t>recall_percent</t>
        </is>
      </c>
      <c r="E62" s="0" t="n">
        <v>10</v>
      </c>
      <c r="F62" s="0" t="n">
        <v>96</v>
      </c>
      <c r="G62" s="0" t="n">
        <v>1</v>
      </c>
      <c r="H62" s="0" t="inlineStr">
        <is>
          <t>/mnt/d/paper_source/work_9/VeriANN_repro_2026-09-30/VeriANN_repro_2026-09-30/results/work9-multidata-20261015/deep1m/ANNProof-curve-1000000/per_query.csv</t>
        </is>
      </c>
    </row>
    <row r="63">
      <c r="A63" s="0" t="inlineStr">
        <is>
          <t>DEEP1M</t>
        </is>
      </c>
      <c r="B63" s="0" t="inlineStr">
        <is>
          <t>P22</t>
        </is>
      </c>
      <c r="C63" s="0" t="n">
        <v>1538.7078</v>
      </c>
      <c r="D63" s="0" t="inlineStr">
        <is>
          <t>vo_kb</t>
        </is>
      </c>
      <c r="E63" s="0" t="n">
        <v>10</v>
      </c>
      <c r="F63" s="0" t="n">
        <v>96</v>
      </c>
      <c r="G63" s="0" t="n">
        <v>1</v>
      </c>
      <c r="H63" s="0" t="inlineStr">
        <is>
          <t>/mnt/d/paper_source/work_9/VeriANN_repro_2026-09-30/VeriANN_repro_2026-09-30/results/work9-multidata-20261015/deep1m/ANNProof-curve-1000000/per_query.csv</t>
        </is>
      </c>
    </row>
    <row r="64">
      <c r="A64" s="0" t="inlineStr">
        <is>
          <t>DEEP1M</t>
        </is>
      </c>
      <c r="B64" s="0" t="inlineStr">
        <is>
          <t>P31</t>
        </is>
      </c>
      <c r="C64" s="0" t="n">
        <v>99.5</v>
      </c>
      <c r="D64" s="0" t="inlineStr">
        <is>
          <t>recall_percent</t>
        </is>
      </c>
      <c r="E64" s="0" t="n">
        <v>10</v>
      </c>
      <c r="F64" s="0" t="n">
        <v>96</v>
      </c>
      <c r="G64" s="0" t="n">
        <v>1</v>
      </c>
      <c r="H64" s="0" t="inlineStr">
        <is>
          <t>/mnt/d/paper_source/work_9/VeriANN_repro_2026-09-30/VeriANN_repro_2026-09-30/results/work9-multidata-20261015/deep1m/ANNProof-curve-1000000/per_query.csv</t>
        </is>
      </c>
    </row>
    <row r="65">
      <c r="A65" s="0" t="inlineStr">
        <is>
          <t>DEEP1M</t>
        </is>
      </c>
      <c r="B65" s="0" t="inlineStr">
        <is>
          <t>P32</t>
        </is>
      </c>
      <c r="C65" s="0" t="n">
        <v>20.6266154833333</v>
      </c>
      <c r="D65" s="0" t="inlineStr">
        <is>
          <t>verify_ms</t>
        </is>
      </c>
      <c r="E65" s="0" t="n">
        <v>10</v>
      </c>
      <c r="F65" s="0" t="n">
        <v>96</v>
      </c>
      <c r="G65" s="0" t="n">
        <v>1</v>
      </c>
      <c r="H65" s="0" t="inlineStr">
        <is>
          <t>/mnt/d/paper_source/work_9/VeriANN_repro_2026-09-30/VeriANN_repro_2026-09-30/results/work9-multidata-20261015/deep1m/ANNProof-curve-1000000/per_query.csv</t>
        </is>
      </c>
    </row>
    <row r="66">
      <c r="A66" s="0" t="inlineStr">
        <is>
          <t>DEEP1M</t>
        </is>
      </c>
      <c r="B66" s="0" t="inlineStr">
        <is>
          <t>P41</t>
        </is>
      </c>
      <c r="C66" s="0" t="n">
        <v>99.5</v>
      </c>
      <c r="D66" s="0" t="inlineStr">
        <is>
          <t>recall_percent</t>
        </is>
      </c>
      <c r="E66" s="0" t="n">
        <v>10</v>
      </c>
      <c r="F66" s="0" t="n">
        <v>96</v>
      </c>
      <c r="G66" s="0" t="n">
        <v>1</v>
      </c>
      <c r="H66" s="0" t="inlineStr">
        <is>
          <t>/mnt/d/paper_source/work_9/VeriANN_repro_2026-09-30/VeriANN_repro_2026-09-30/results/work9-multidata-20261015/deep1m/ANNProof-curve-1000000/per_query.csv</t>
        </is>
      </c>
    </row>
    <row r="67">
      <c r="A67" s="0" t="inlineStr">
        <is>
          <t>DEEP1M</t>
        </is>
      </c>
      <c r="B67" s="0" t="inlineStr">
        <is>
          <t>P42</t>
        </is>
      </c>
      <c r="C67" s="0" t="n">
        <v>4.2914665</v>
      </c>
      <c r="D67" s="0" t="inlineStr">
        <is>
          <t>query_ms</t>
        </is>
      </c>
      <c r="E67" s="0" t="n">
        <v>10</v>
      </c>
      <c r="F67" s="0" t="n">
        <v>96</v>
      </c>
      <c r="G67" s="0" t="n">
        <v>1</v>
      </c>
      <c r="H67" s="0" t="inlineStr">
        <is>
          <t>/mnt/d/paper_source/work_9/VeriANN_repro_2026-09-30/VeriANN_repro_2026-09-30/results/work9-multidata-20261015/deep1m/ANNProof-curve-1000000/per_query.csv</t>
        </is>
      </c>
    </row>
    <row r="68">
      <c r="A68" s="0" t="inlineStr">
        <is>
          <t>DEEP1M</t>
        </is>
      </c>
      <c r="B68" s="0" t="inlineStr">
        <is>
          <t>E10</t>
        </is>
      </c>
      <c r="C68" s="0" t="n">
        <v>97.5</v>
      </c>
      <c r="D68" s="0" t="inlineStr">
        <is>
          <t>recall_percent</t>
        </is>
      </c>
      <c r="E68" s="0" t="n">
        <v>10</v>
      </c>
      <c r="F68" s="0" t="n">
        <v>64</v>
      </c>
      <c r="G68" s="0" t="n">
        <v>1</v>
      </c>
      <c r="H68" s="0" t="inlineStr">
        <is>
          <t>/mnt/d/paper_source/work_9/VeriANN_repro_2026-09-30/VeriANN_repro_2026-09-30/results/work9-multidata-20261015/deep1m/ANNProof-curve-1000000/per_query.csv</t>
        </is>
      </c>
    </row>
    <row r="69">
      <c r="A69" s="0" t="inlineStr">
        <is>
          <t>DEEP1M</t>
        </is>
      </c>
      <c r="B69" s="0" t="inlineStr">
        <is>
          <t>F10</t>
        </is>
      </c>
      <c r="C69" s="0" t="n">
        <v>3.15865693333333</v>
      </c>
      <c r="D69" s="0" t="inlineStr">
        <is>
          <t>query_ms</t>
        </is>
      </c>
      <c r="E69" s="0" t="n">
        <v>10</v>
      </c>
      <c r="F69" s="0" t="n">
        <v>64</v>
      </c>
      <c r="G69" s="0" t="n">
        <v>1</v>
      </c>
      <c r="H69" s="0" t="inlineStr">
        <is>
          <t>/mnt/d/paper_source/work_9/VeriANN_repro_2026-09-30/VeriANN_repro_2026-09-30/results/work9-multidata-20261015/deep1m/ANNProof-curve-1000000/per_query.csv</t>
        </is>
      </c>
    </row>
    <row r="70">
      <c r="A70" s="0" t="inlineStr">
        <is>
          <t>DEEP1M</t>
        </is>
      </c>
      <c r="B70" s="0" t="inlineStr">
        <is>
          <t>G10</t>
        </is>
      </c>
      <c r="C70" s="0" t="n">
        <v>1154.7938</v>
      </c>
      <c r="D70" s="0" t="inlineStr">
        <is>
          <t>vo_kb</t>
        </is>
      </c>
      <c r="E70" s="0" t="n">
        <v>10</v>
      </c>
      <c r="F70" s="0" t="n">
        <v>64</v>
      </c>
      <c r="G70" s="0" t="n">
        <v>1</v>
      </c>
      <c r="H70" s="0" t="inlineStr">
        <is>
          <t>/mnt/d/paper_source/work_9/VeriANN_repro_2026-09-30/VeriANN_repro_2026-09-30/results/work9-multidata-20261015/deep1m/ANNProof-curve-1000000/per_query.csv</t>
        </is>
      </c>
    </row>
    <row r="71">
      <c r="A71" s="0" t="inlineStr">
        <is>
          <t>DEEP1M</t>
        </is>
      </c>
      <c r="B71" s="0" t="inlineStr">
        <is>
          <t>H10</t>
        </is>
      </c>
      <c r="C71" s="0" t="n">
        <v>15.4261976166667</v>
      </c>
      <c r="D71" s="0" t="inlineStr">
        <is>
          <t>verify_ms</t>
        </is>
      </c>
      <c r="E71" s="0" t="n">
        <v>10</v>
      </c>
      <c r="F71" s="0" t="n">
        <v>64</v>
      </c>
      <c r="G71" s="0" t="n">
        <v>1</v>
      </c>
      <c r="H71" s="0" t="inlineStr">
        <is>
          <t>/mnt/d/paper_source/work_9/VeriANN_repro_2026-09-30/VeriANN_repro_2026-09-30/results/work9-multidata-20261015/deep1m/ANNProof-curve-1000000/per_query.csv</t>
        </is>
      </c>
    </row>
    <row r="72">
      <c r="A72" s="0" t="inlineStr">
        <is>
          <t>DEEP1M</t>
        </is>
      </c>
      <c r="B72" s="0" t="inlineStr">
        <is>
          <t>F85</t>
        </is>
      </c>
      <c r="C72" s="0" t="n">
        <v>1581.2762</v>
      </c>
      <c r="D72" s="0" t="inlineStr">
        <is>
          <t>vo_kb</t>
        </is>
      </c>
      <c r="E72" s="0" t="n">
        <v>1</v>
      </c>
      <c r="F72" s="0" t="n">
        <v>100</v>
      </c>
      <c r="G72" s="0" t="n">
        <v>1</v>
      </c>
      <c r="H72" s="0" t="inlineStr">
        <is>
          <t>/mnt/d/paper_source/work_9/VeriANN_repro_2026-09-30/VeriANN_repro_2026-09-30/results/work9-multidata-20261015/deep1m/ANNProof-k-1000000/per_query.csv</t>
        </is>
      </c>
    </row>
    <row r="73">
      <c r="A73" s="0" t="inlineStr">
        <is>
          <t>DEEP1M</t>
        </is>
      </c>
      <c r="B73" s="0" t="inlineStr">
        <is>
          <t>F95</t>
        </is>
      </c>
      <c r="C73" s="0" t="n">
        <v>21.1325763</v>
      </c>
      <c r="D73" s="0" t="inlineStr">
        <is>
          <t>verify_ms</t>
        </is>
      </c>
      <c r="E73" s="0" t="n">
        <v>1</v>
      </c>
      <c r="F73" s="0" t="n">
        <v>100</v>
      </c>
      <c r="G73" s="0" t="n">
        <v>1</v>
      </c>
      <c r="H73" s="0" t="inlineStr">
        <is>
          <t>/mnt/d/paper_source/work_9/VeriANN_repro_2026-09-30/VeriANN_repro_2026-09-30/results/work9-multidata-20261015/deep1m/ANNProof-k-1000000/per_query.csv</t>
        </is>
      </c>
    </row>
    <row r="74">
      <c r="A74" s="0" t="inlineStr">
        <is>
          <t>DEEP1M</t>
        </is>
      </c>
      <c r="B74" s="0" t="inlineStr">
        <is>
          <t>F104</t>
        </is>
      </c>
      <c r="C74" s="0" t="n">
        <v>4.57551665</v>
      </c>
      <c r="D74" s="0" t="inlineStr">
        <is>
          <t>query_ms</t>
        </is>
      </c>
      <c r="E74" s="0" t="n">
        <v>1</v>
      </c>
      <c r="F74" s="0" t="n">
        <v>100</v>
      </c>
      <c r="G74" s="0" t="n">
        <v>1</v>
      </c>
      <c r="H74" s="0" t="inlineStr">
        <is>
          <t>/mnt/d/paper_source/work_9/VeriANN_repro_2026-09-30/VeriANN_repro_2026-09-30/results/work9-multidata-20261015/deep1m/ANNProof-k-1000000/per_query.csv</t>
        </is>
      </c>
    </row>
    <row r="75">
      <c r="A75" s="0" t="inlineStr">
        <is>
          <t>DEEP1M</t>
        </is>
      </c>
      <c r="B75" s="0" t="inlineStr">
        <is>
          <t>G85</t>
        </is>
      </c>
      <c r="C75" s="0" t="n">
        <v>1583.5182</v>
      </c>
      <c r="D75" s="0" t="inlineStr">
        <is>
          <t>vo_kb</t>
        </is>
      </c>
      <c r="E75" s="0" t="n">
        <v>5</v>
      </c>
      <c r="F75" s="0" t="n">
        <v>100</v>
      </c>
      <c r="G75" s="0" t="n">
        <v>1</v>
      </c>
      <c r="H75" s="0" t="inlineStr">
        <is>
          <t>/mnt/d/paper_source/work_9/VeriANN_repro_2026-09-30/VeriANN_repro_2026-09-30/results/work9-multidata-20261015/deep1m/ANNProof-k-1000000/per_query.csv</t>
        </is>
      </c>
    </row>
    <row r="76">
      <c r="A76" s="0" t="inlineStr">
        <is>
          <t>DEEP1M</t>
        </is>
      </c>
      <c r="B76" s="0" t="inlineStr">
        <is>
          <t>G95</t>
        </is>
      </c>
      <c r="C76" s="0" t="n">
        <v>21.2951161</v>
      </c>
      <c r="D76" s="0" t="inlineStr">
        <is>
          <t>verify_ms</t>
        </is>
      </c>
      <c r="E76" s="0" t="n">
        <v>5</v>
      </c>
      <c r="F76" s="0" t="n">
        <v>100</v>
      </c>
      <c r="G76" s="0" t="n">
        <v>1</v>
      </c>
      <c r="H76" s="0" t="inlineStr">
        <is>
          <t>/mnt/d/paper_source/work_9/VeriANN_repro_2026-09-30/VeriANN_repro_2026-09-30/results/work9-multidata-20261015/deep1m/ANNProof-k-1000000/per_query.csv</t>
        </is>
      </c>
    </row>
    <row r="77">
      <c r="A77" s="0" t="inlineStr">
        <is>
          <t>DEEP1M</t>
        </is>
      </c>
      <c r="B77" s="0" t="inlineStr">
        <is>
          <t>G104</t>
        </is>
      </c>
      <c r="C77" s="0" t="n">
        <v>4.62270115</v>
      </c>
      <c r="D77" s="0" t="inlineStr">
        <is>
          <t>query_ms</t>
        </is>
      </c>
      <c r="E77" s="0" t="n">
        <v>5</v>
      </c>
      <c r="F77" s="0" t="n">
        <v>100</v>
      </c>
      <c r="G77" s="0" t="n">
        <v>1</v>
      </c>
      <c r="H77" s="0" t="inlineStr">
        <is>
          <t>/mnt/d/paper_source/work_9/VeriANN_repro_2026-09-30/VeriANN_repro_2026-09-30/results/work9-multidata-20261015/deep1m/ANNProof-k-1000000/per_query.csv</t>
        </is>
      </c>
    </row>
    <row r="78">
      <c r="A78" s="0" t="inlineStr">
        <is>
          <t>DEEP1M</t>
        </is>
      </c>
      <c r="B78" s="0" t="inlineStr">
        <is>
          <t>H85</t>
        </is>
      </c>
      <c r="C78" s="0" t="n">
        <v>1586.2762</v>
      </c>
      <c r="D78" s="0" t="inlineStr">
        <is>
          <t>vo_kb</t>
        </is>
      </c>
      <c r="E78" s="0" t="n">
        <v>10</v>
      </c>
      <c r="F78" s="0" t="n">
        <v>100</v>
      </c>
      <c r="G78" s="0" t="n">
        <v>1</v>
      </c>
      <c r="H78" s="0" t="inlineStr">
        <is>
          <t>/mnt/d/paper_source/work_9/VeriANN_repro_2026-09-30/VeriANN_repro_2026-09-30/results/work9-multidata-20261015/deep1m/ANNProof-k-1000000/per_query.csv</t>
        </is>
      </c>
    </row>
    <row r="79">
      <c r="A79" s="0" t="inlineStr">
        <is>
          <t>DEEP1M</t>
        </is>
      </c>
      <c r="B79" s="0" t="inlineStr">
        <is>
          <t>H95</t>
        </is>
      </c>
      <c r="C79" s="0" t="n">
        <v>21.5343670666667</v>
      </c>
      <c r="D79" s="0" t="inlineStr">
        <is>
          <t>verify_ms</t>
        </is>
      </c>
      <c r="E79" s="0" t="n">
        <v>10</v>
      </c>
      <c r="F79" s="0" t="n">
        <v>100</v>
      </c>
      <c r="G79" s="0" t="n">
        <v>1</v>
      </c>
      <c r="H79" s="0" t="inlineStr">
        <is>
          <t>/mnt/d/paper_source/work_9/VeriANN_repro_2026-09-30/VeriANN_repro_2026-09-30/results/work9-multidata-20261015/deep1m/ANNProof-k-1000000/per_query.csv</t>
        </is>
      </c>
    </row>
    <row r="80">
      <c r="A80" s="0" t="inlineStr">
        <is>
          <t>DEEP1M</t>
        </is>
      </c>
      <c r="B80" s="0" t="inlineStr">
        <is>
          <t>H104</t>
        </is>
      </c>
      <c r="C80" s="0" t="n">
        <v>4.66759948333333</v>
      </c>
      <c r="D80" s="0" t="inlineStr">
        <is>
          <t>query_ms</t>
        </is>
      </c>
      <c r="E80" s="0" t="n">
        <v>10</v>
      </c>
      <c r="F80" s="0" t="n">
        <v>100</v>
      </c>
      <c r="G80" s="0" t="n">
        <v>1</v>
      </c>
      <c r="H80" s="0" t="inlineStr">
        <is>
          <t>/mnt/d/paper_source/work_9/VeriANN_repro_2026-09-30/VeriANN_repro_2026-09-30/results/work9-multidata-20261015/deep1m/ANNProof-k-1000000/per_query.csv</t>
        </is>
      </c>
    </row>
    <row r="81">
      <c r="A81" s="0" t="inlineStr">
        <is>
          <t>DEEP1M</t>
        </is>
      </c>
      <c r="B81" s="0" t="inlineStr">
        <is>
          <t>I85</t>
        </is>
      </c>
      <c r="C81" s="0" t="n">
        <v>1591.6142</v>
      </c>
      <c r="D81" s="0" t="inlineStr">
        <is>
          <t>vo_kb</t>
        </is>
      </c>
      <c r="E81" s="0" t="n">
        <v>20</v>
      </c>
      <c r="F81" s="0" t="n">
        <v>100</v>
      </c>
      <c r="G81" s="0" t="n">
        <v>1</v>
      </c>
      <c r="H81" s="0" t="inlineStr">
        <is>
          <t>/mnt/d/paper_source/work_9/VeriANN_repro_2026-09-30/VeriANN_repro_2026-09-30/results/work9-multidata-20261015/deep1m/ANNProof-k-1000000/per_query.csv</t>
        </is>
      </c>
    </row>
    <row r="82">
      <c r="A82" s="0" t="inlineStr">
        <is>
          <t>DEEP1M</t>
        </is>
      </c>
      <c r="B82" s="0" t="inlineStr">
        <is>
          <t>I95</t>
        </is>
      </c>
      <c r="C82" s="0" t="n">
        <v>21.6087258333333</v>
      </c>
      <c r="D82" s="0" t="inlineStr">
        <is>
          <t>verify_ms</t>
        </is>
      </c>
      <c r="E82" s="0" t="n">
        <v>20</v>
      </c>
      <c r="F82" s="0" t="n">
        <v>100</v>
      </c>
      <c r="G82" s="0" t="n">
        <v>1</v>
      </c>
      <c r="H82" s="0" t="inlineStr">
        <is>
          <t>/mnt/d/paper_source/work_9/VeriANN_repro_2026-09-30/VeriANN_repro_2026-09-30/results/work9-multidata-20261015/deep1m/ANNProof-k-1000000/per_query.csv</t>
        </is>
      </c>
    </row>
    <row r="83">
      <c r="A83" s="0" t="inlineStr">
        <is>
          <t>DEEP1M</t>
        </is>
      </c>
      <c r="B83" s="0" t="inlineStr">
        <is>
          <t>I104</t>
        </is>
      </c>
      <c r="C83" s="0" t="n">
        <v>4.67105126666667</v>
      </c>
      <c r="D83" s="0" t="inlineStr">
        <is>
          <t>query_ms</t>
        </is>
      </c>
      <c r="E83" s="0" t="n">
        <v>20</v>
      </c>
      <c r="F83" s="0" t="n">
        <v>100</v>
      </c>
      <c r="G83" s="0" t="n">
        <v>1</v>
      </c>
      <c r="H83" s="0" t="inlineStr">
        <is>
          <t>/mnt/d/paper_source/work_9/VeriANN_repro_2026-09-30/VeriANN_repro_2026-09-30/results/work9-multidata-20261015/deep1m/ANNProof-k-1000000/per_query.csv</t>
        </is>
      </c>
    </row>
    <row r="84">
      <c r="A84" s="0" t="inlineStr">
        <is>
          <t>DEEP1M</t>
        </is>
      </c>
      <c r="B84" s="0" t="inlineStr">
        <is>
          <t>J85</t>
        </is>
      </c>
      <c r="C84" s="0" t="n">
        <v>1607.2942</v>
      </c>
      <c r="D84" s="0" t="inlineStr">
        <is>
          <t>vo_kb</t>
        </is>
      </c>
      <c r="E84" s="0" t="n">
        <v>50</v>
      </c>
      <c r="F84" s="0" t="n">
        <v>100</v>
      </c>
      <c r="G84" s="0" t="n">
        <v>1</v>
      </c>
      <c r="H84" s="0" t="inlineStr">
        <is>
          <t>/mnt/d/paper_source/work_9/VeriANN_repro_2026-09-30/VeriANN_repro_2026-09-30/results/work9-multidata-20261015/deep1m/ANNProof-k-1000000/per_query.csv</t>
        </is>
      </c>
    </row>
    <row r="85">
      <c r="A85" s="0" t="inlineStr">
        <is>
          <t>DEEP1M</t>
        </is>
      </c>
      <c r="B85" s="0" t="inlineStr">
        <is>
          <t>J95</t>
        </is>
      </c>
      <c r="C85" s="0" t="n">
        <v>21.6556399</v>
      </c>
      <c r="D85" s="0" t="inlineStr">
        <is>
          <t>verify_ms</t>
        </is>
      </c>
      <c r="E85" s="0" t="n">
        <v>50</v>
      </c>
      <c r="F85" s="0" t="n">
        <v>100</v>
      </c>
      <c r="G85" s="0" t="n">
        <v>1</v>
      </c>
      <c r="H85" s="0" t="inlineStr">
        <is>
          <t>/mnt/d/paper_source/work_9/VeriANN_repro_2026-09-30/VeriANN_repro_2026-09-30/results/work9-multidata-20261015/deep1m/ANNProof-k-1000000/per_query.csv</t>
        </is>
      </c>
    </row>
    <row r="86">
      <c r="A86" s="0" t="inlineStr">
        <is>
          <t>DEEP1M</t>
        </is>
      </c>
      <c r="B86" s="0" t="inlineStr">
        <is>
          <t>J104</t>
        </is>
      </c>
      <c r="C86" s="0" t="n">
        <v>4.61915686666667</v>
      </c>
      <c r="D86" s="0" t="inlineStr">
        <is>
          <t>query_ms</t>
        </is>
      </c>
      <c r="E86" s="0" t="n">
        <v>50</v>
      </c>
      <c r="F86" s="0" t="n">
        <v>100</v>
      </c>
      <c r="G86" s="0" t="n">
        <v>1</v>
      </c>
      <c r="H86" s="0" t="inlineStr">
        <is>
          <t>/mnt/d/paper_source/work_9/VeriANN_repro_2026-09-30/VeriANN_repro_2026-09-30/results/work9-multidata-20261015/deep1m/ANNProof-k-1000000/per_query.csv</t>
        </is>
      </c>
    </row>
    <row r="87">
      <c r="A87" s="0" t="inlineStr">
        <is>
          <t>DEEP1M</t>
        </is>
      </c>
      <c r="B87" s="0" t="inlineStr">
        <is>
          <t>K85</t>
        </is>
      </c>
      <c r="C87" s="0" t="n">
        <v>1631.6282</v>
      </c>
      <c r="D87" s="0" t="inlineStr">
        <is>
          <t>vo_kb</t>
        </is>
      </c>
      <c r="E87" s="0" t="n">
        <v>100</v>
      </c>
      <c r="F87" s="0" t="n">
        <v>100</v>
      </c>
      <c r="G87" s="0" t="n">
        <v>1</v>
      </c>
      <c r="H87" s="0" t="inlineStr">
        <is>
          <t>/mnt/d/paper_source/work_9/VeriANN_repro_2026-09-30/VeriANN_repro_2026-09-30/results/work9-multidata-20261015/deep1m/ANNProof-k-1000000/per_query.csv</t>
        </is>
      </c>
    </row>
    <row r="88">
      <c r="A88" s="0" t="inlineStr">
        <is>
          <t>DEEP1M</t>
        </is>
      </c>
      <c r="B88" s="0" t="inlineStr">
        <is>
          <t>K95</t>
        </is>
      </c>
      <c r="C88" s="0" t="n">
        <v>22.5170219333333</v>
      </c>
      <c r="D88" s="0" t="inlineStr">
        <is>
          <t>verify_ms</t>
        </is>
      </c>
      <c r="E88" s="0" t="n">
        <v>100</v>
      </c>
      <c r="F88" s="0" t="n">
        <v>100</v>
      </c>
      <c r="G88" s="0" t="n">
        <v>1</v>
      </c>
      <c r="H88" s="0" t="inlineStr">
        <is>
          <t>/mnt/d/paper_source/work_9/VeriANN_repro_2026-09-30/VeriANN_repro_2026-09-30/results/work9-multidata-20261015/deep1m/ANNProof-k-1000000/per_query.csv</t>
        </is>
      </c>
    </row>
    <row r="89">
      <c r="A89" s="0" t="inlineStr">
        <is>
          <t>DEEP1M</t>
        </is>
      </c>
      <c r="B89" s="0" t="inlineStr">
        <is>
          <t>K104</t>
        </is>
      </c>
      <c r="C89" s="0" t="n">
        <v>4.73652161666667</v>
      </c>
      <c r="D89" s="0" t="inlineStr">
        <is>
          <t>query_ms</t>
        </is>
      </c>
      <c r="E89" s="0" t="n">
        <v>100</v>
      </c>
      <c r="F89" s="0" t="n">
        <v>100</v>
      </c>
      <c r="G89" s="0" t="n">
        <v>1</v>
      </c>
      <c r="H89" s="0" t="inlineStr">
        <is>
          <t>/mnt/d/paper_source/work_9/VeriANN_repro_2026-09-30/VeriANN_repro_2026-09-30/results/work9-multidata-20261015/deep1m/ANNProof-k-1000000/per_query.csv</t>
        </is>
      </c>
    </row>
    <row r="90">
      <c r="A90" s="0" t="inlineStr">
        <is>
          <t>DEEP1M</t>
        </is>
      </c>
      <c r="B90" s="0" t="inlineStr">
        <is>
          <t>F55</t>
        </is>
      </c>
      <c r="C90" s="0" t="n">
        <v>644.186</v>
      </c>
      <c r="D90" s="0" t="inlineStr">
        <is>
          <t>vo_kb</t>
        </is>
      </c>
      <c r="E90" s="0" t="n">
        <v>10</v>
      </c>
      <c r="F90" s="0" t="n">
        <v>48</v>
      </c>
      <c r="G90" s="0" t="n">
        <v>1</v>
      </c>
      <c r="H90" s="0" t="inlineStr">
        <is>
          <t>/mnt/d/paper_source/work_9/VeriANN_repro_2026-09-30/VeriANN_repro_2026-09-30/results/work9-multidata-20261015/deep1m/ANNProof-size-100000/per_query.csv</t>
        </is>
      </c>
    </row>
    <row r="91">
      <c r="A91" s="0" t="inlineStr">
        <is>
          <t>DEEP1M</t>
        </is>
      </c>
      <c r="B91" s="0" t="inlineStr">
        <is>
          <t>F65</t>
        </is>
      </c>
      <c r="C91" s="0" t="n">
        <v>8.31754258333333</v>
      </c>
      <c r="D91" s="0" t="inlineStr">
        <is>
          <t>verify_ms</t>
        </is>
      </c>
      <c r="E91" s="0" t="n">
        <v>10</v>
      </c>
      <c r="F91" s="0" t="n">
        <v>48</v>
      </c>
      <c r="G91" s="0" t="n">
        <v>1</v>
      </c>
      <c r="H91" s="0" t="inlineStr">
        <is>
          <t>/mnt/d/paper_source/work_9/VeriANN_repro_2026-09-30/VeriANN_repro_2026-09-30/results/work9-multidata-20261015/deep1m/ANNProof-size-100000/per_query.csv</t>
        </is>
      </c>
    </row>
    <row r="92">
      <c r="A92" s="0" t="inlineStr">
        <is>
          <t>DEEP1M</t>
        </is>
      </c>
      <c r="B92" s="0" t="inlineStr">
        <is>
          <t>F74</t>
        </is>
      </c>
      <c r="C92" s="0" t="n">
        <v>1.7697227</v>
      </c>
      <c r="D92" s="0" t="inlineStr">
        <is>
          <t>query_ms</t>
        </is>
      </c>
      <c r="E92" s="0" t="n">
        <v>10</v>
      </c>
      <c r="F92" s="0" t="n">
        <v>48</v>
      </c>
      <c r="G92" s="0" t="n">
        <v>1</v>
      </c>
      <c r="H92" s="0" t="inlineStr">
        <is>
          <t>/mnt/d/paper_source/work_9/VeriANN_repro_2026-09-30/VeriANN_repro_2026-09-30/results/work9-multidata-20261015/deep1m/ANNProof-size-100000/per_query.csv</t>
        </is>
      </c>
    </row>
    <row r="93">
      <c r="A93" s="0" t="inlineStr">
        <is>
          <t>DEEP1M</t>
        </is>
      </c>
      <c r="B93" s="0" t="inlineStr">
        <is>
          <t>H55</t>
        </is>
      </c>
      <c r="C93" s="0" t="n">
        <v>1154.7938</v>
      </c>
      <c r="D93" s="0" t="inlineStr">
        <is>
          <t>vo_kb</t>
        </is>
      </c>
      <c r="E93" s="0" t="n">
        <v>10</v>
      </c>
      <c r="F93" s="0" t="n">
        <v>64</v>
      </c>
      <c r="G93" s="0" t="n">
        <v>1</v>
      </c>
      <c r="H93" s="0" t="inlineStr">
        <is>
          <t>/mnt/d/paper_source/work_9/VeriANN_repro_2026-09-30/VeriANN_repro_2026-09-30/results/work9-multidata-20261015/deep1m/ANNProof-curve-1000000/per_query.csv</t>
        </is>
      </c>
    </row>
    <row r="94">
      <c r="A94" s="0" t="inlineStr">
        <is>
          <t>DEEP1M</t>
        </is>
      </c>
      <c r="B94" s="0" t="inlineStr">
        <is>
          <t>H65</t>
        </is>
      </c>
      <c r="C94" s="0" t="n">
        <v>15.4261976166667</v>
      </c>
      <c r="D94" s="0" t="inlineStr">
        <is>
          <t>verify_ms</t>
        </is>
      </c>
      <c r="E94" s="0" t="n">
        <v>10</v>
      </c>
      <c r="F94" s="0" t="n">
        <v>64</v>
      </c>
      <c r="G94" s="0" t="n">
        <v>1</v>
      </c>
      <c r="H94" s="0" t="inlineStr">
        <is>
          <t>/mnt/d/paper_source/work_9/VeriANN_repro_2026-09-30/VeriANN_repro_2026-09-30/results/work9-multidata-20261015/deep1m/ANNProof-curve-1000000/per_query.csv</t>
        </is>
      </c>
    </row>
    <row r="95">
      <c r="A95" s="0" t="inlineStr">
        <is>
          <t>DEEP1M</t>
        </is>
      </c>
      <c r="B95" s="0" t="inlineStr">
        <is>
          <t>H74</t>
        </is>
      </c>
      <c r="C95" s="0" t="n">
        <v>3.15865693333333</v>
      </c>
      <c r="D95" s="0" t="inlineStr">
        <is>
          <t>query_ms</t>
        </is>
      </c>
      <c r="E95" s="0" t="n">
        <v>10</v>
      </c>
      <c r="F95" s="0" t="n">
        <v>64</v>
      </c>
      <c r="G95" s="0" t="n">
        <v>1</v>
      </c>
      <c r="H95" s="0" t="inlineStr">
        <is>
          <t>/mnt/d/paper_source/work_9/VeriANN_repro_2026-09-30/VeriANN_repro_2026-09-30/results/work9-multidata-20261015/deep1m/ANNProof-curve-1000000/per_query.csv</t>
        </is>
      </c>
    </row>
    <row r="96">
      <c r="A96" s="0" t="inlineStr">
        <is>
          <t>DEEP1M</t>
        </is>
      </c>
      <c r="B96" s="0" t="inlineStr">
        <is>
          <t>G55</t>
        </is>
      </c>
      <c r="C96" s="0" t="n">
        <v>852.6844</v>
      </c>
      <c r="D96" s="0" t="inlineStr">
        <is>
          <t>vo_kb</t>
        </is>
      </c>
      <c r="E96" s="0" t="n">
        <v>10</v>
      </c>
      <c r="F96" s="0" t="n">
        <v>48</v>
      </c>
      <c r="G96" s="0" t="n">
        <v>1</v>
      </c>
      <c r="H96" s="0" t="inlineStr">
        <is>
          <t>/mnt/d/paper_source/work_9/VeriANN_repro_2026-09-30/VeriANN_repro_2026-09-30/results/work9-multidata-20261015/deep1m/ANNProof-size-500000/per_query.csv</t>
        </is>
      </c>
    </row>
    <row r="97">
      <c r="A97" s="0" t="inlineStr">
        <is>
          <t>DEEP1M</t>
        </is>
      </c>
      <c r="B97" s="0" t="inlineStr">
        <is>
          <t>G65</t>
        </is>
      </c>
      <c r="C97" s="0" t="n">
        <v>11.3754679</v>
      </c>
      <c r="D97" s="0" t="inlineStr">
        <is>
          <t>verify_ms</t>
        </is>
      </c>
      <c r="E97" s="0" t="n">
        <v>10</v>
      </c>
      <c r="F97" s="0" t="n">
        <v>48</v>
      </c>
      <c r="G97" s="0" t="n">
        <v>1</v>
      </c>
      <c r="H97" s="0" t="inlineStr">
        <is>
          <t>/mnt/d/paper_source/work_9/VeriANN_repro_2026-09-30/VeriANN_repro_2026-09-30/results/work9-multidata-20261015/deep1m/ANNProof-size-500000/per_query.csv</t>
        </is>
      </c>
    </row>
    <row r="98">
      <c r="A98" s="0" t="inlineStr">
        <is>
          <t>DEEP1M</t>
        </is>
      </c>
      <c r="B98" s="0" t="inlineStr">
        <is>
          <t>G74</t>
        </is>
      </c>
      <c r="C98" s="0" t="n">
        <v>2.28107513333333</v>
      </c>
      <c r="D98" s="0" t="inlineStr">
        <is>
          <t>query_ms</t>
        </is>
      </c>
      <c r="E98" s="0" t="n">
        <v>10</v>
      </c>
      <c r="F98" s="0" t="n">
        <v>48</v>
      </c>
      <c r="G98" s="0" t="n">
        <v>1</v>
      </c>
      <c r="H98" s="0" t="inlineStr">
        <is>
          <t>/mnt/d/paper_source/work_9/VeriANN_repro_2026-09-30/VeriANN_repro_2026-09-30/results/work9-multidata-20261015/deep1m/ANNProof-size-500000/per_query.csv</t>
        </is>
      </c>
    </row>
    <row r="99">
      <c r="A99" s="0" t="inlineStr">
        <is>
          <t>DEEP1M</t>
        </is>
      </c>
      <c r="B99" s="0" t="inlineStr">
        <is>
          <t>F23</t>
        </is>
      </c>
      <c r="C99" s="0" t="n">
        <v>61.5</v>
      </c>
      <c r="D99" s="0" t="inlineStr">
        <is>
          <t>recall_percent</t>
        </is>
      </c>
      <c r="E99" s="0" t="n">
        <v>10</v>
      </c>
      <c r="F99" s="0" t="n">
        <v>16</v>
      </c>
      <c r="G99" s="0" t="n">
        <v>1</v>
      </c>
      <c r="H99" s="0" t="inlineStr">
        <is>
          <t>/mnt/d/paper_source/work_9/VeriANN_repro_2026-09-30/VeriANN_repro_2026-09-30/results/work9-multidata-20261015/deep1m/Ours-curve-1000000/per_query.csv</t>
        </is>
      </c>
    </row>
    <row r="100">
      <c r="A100" s="0" t="inlineStr">
        <is>
          <t>DEEP1M</t>
        </is>
      </c>
      <c r="B100" s="0" t="inlineStr">
        <is>
          <t>F24</t>
        </is>
      </c>
      <c r="C100" s="0" t="n">
        <v>109.9156</v>
      </c>
      <c r="D100" s="0" t="inlineStr">
        <is>
          <t>vo_kb</t>
        </is>
      </c>
      <c r="E100" s="0" t="n">
        <v>10</v>
      </c>
      <c r="F100" s="0" t="n">
        <v>16</v>
      </c>
      <c r="G100" s="0" t="n">
        <v>1</v>
      </c>
      <c r="H100" s="0" t="inlineStr">
        <is>
          <t>/mnt/d/paper_source/work_9/VeriANN_repro_2026-09-30/VeriANN_repro_2026-09-30/results/work9-multidata-20261015/deep1m/Ours-curve-1000000/per_query.csv</t>
        </is>
      </c>
    </row>
    <row r="101">
      <c r="A101" s="0" t="inlineStr">
        <is>
          <t>DEEP1M</t>
        </is>
      </c>
      <c r="B101" s="0" t="inlineStr">
        <is>
          <t>F33</t>
        </is>
      </c>
      <c r="C101" s="0" t="n">
        <v>61.5</v>
      </c>
      <c r="D101" s="0" t="inlineStr">
        <is>
          <t>recall_percent</t>
        </is>
      </c>
      <c r="E101" s="0" t="n">
        <v>10</v>
      </c>
      <c r="F101" s="0" t="n">
        <v>16</v>
      </c>
      <c r="G101" s="0" t="n">
        <v>1</v>
      </c>
      <c r="H101" s="0" t="inlineStr">
        <is>
          <t>/mnt/d/paper_source/work_9/VeriANN_repro_2026-09-30/VeriANN_repro_2026-09-30/results/work9-multidata-20261015/deep1m/Ours-curve-1000000/per_query.csv</t>
        </is>
      </c>
    </row>
    <row r="102">
      <c r="A102" s="0" t="inlineStr">
        <is>
          <t>DEEP1M</t>
        </is>
      </c>
      <c r="B102" s="0" t="inlineStr">
        <is>
          <t>F34</t>
        </is>
      </c>
      <c r="C102" s="0" t="n">
        <v>2.38709686666667</v>
      </c>
      <c r="D102" s="0" t="inlineStr">
        <is>
          <t>verify_ms</t>
        </is>
      </c>
      <c r="E102" s="0" t="n">
        <v>10</v>
      </c>
      <c r="F102" s="0" t="n">
        <v>16</v>
      </c>
      <c r="G102" s="0" t="n">
        <v>1</v>
      </c>
      <c r="H102" s="0" t="inlineStr">
        <is>
          <t>/mnt/d/paper_source/work_9/VeriANN_repro_2026-09-30/VeriANN_repro_2026-09-30/results/work9-multidata-20261015/deep1m/Ours-curve-1000000/per_query.csv</t>
        </is>
      </c>
    </row>
    <row r="103">
      <c r="A103" s="0" t="inlineStr">
        <is>
          <t>DEEP1M</t>
        </is>
      </c>
      <c r="B103" s="0" t="inlineStr">
        <is>
          <t>F43</t>
        </is>
      </c>
      <c r="C103" s="0" t="n">
        <v>61.5</v>
      </c>
      <c r="D103" s="0" t="inlineStr">
        <is>
          <t>recall_percent</t>
        </is>
      </c>
      <c r="E103" s="0" t="n">
        <v>10</v>
      </c>
      <c r="F103" s="0" t="n">
        <v>16</v>
      </c>
      <c r="G103" s="0" t="n">
        <v>1</v>
      </c>
      <c r="H103" s="0" t="inlineStr">
        <is>
          <t>/mnt/d/paper_source/work_9/VeriANN_repro_2026-09-30/VeriANN_repro_2026-09-30/results/work9-multidata-20261015/deep1m/Ours-curve-1000000/per_query.csv</t>
        </is>
      </c>
    </row>
    <row r="104">
      <c r="A104" s="0" t="inlineStr">
        <is>
          <t>DEEP1M</t>
        </is>
      </c>
      <c r="B104" s="0" t="inlineStr">
        <is>
          <t>F44</t>
        </is>
      </c>
      <c r="C104" s="0" t="n">
        <v>0.893101083333333</v>
      </c>
      <c r="D104" s="0" t="inlineStr">
        <is>
          <t>query_ms</t>
        </is>
      </c>
      <c r="E104" s="0" t="n">
        <v>10</v>
      </c>
      <c r="F104" s="0" t="n">
        <v>16</v>
      </c>
      <c r="G104" s="0" t="n">
        <v>1</v>
      </c>
      <c r="H104" s="0" t="inlineStr">
        <is>
          <t>/mnt/d/paper_source/work_9/VeriANN_repro_2026-09-30/VeriANN_repro_2026-09-30/results/work9-multidata-20261015/deep1m/Ours-curve-1000000/per_query.csv</t>
        </is>
      </c>
    </row>
    <row r="105">
      <c r="A105" s="0" t="inlineStr">
        <is>
          <t>DEEP1M</t>
        </is>
      </c>
      <c r="B105" s="0" t="inlineStr">
        <is>
          <t>G23</t>
        </is>
      </c>
      <c r="C105" s="0" t="n">
        <v>73.5</v>
      </c>
      <c r="D105" s="0" t="inlineStr">
        <is>
          <t>recall_percent</t>
        </is>
      </c>
      <c r="E105" s="0" t="n">
        <v>10</v>
      </c>
      <c r="F105" s="0" t="n">
        <v>20</v>
      </c>
      <c r="G105" s="0" t="n">
        <v>1</v>
      </c>
      <c r="H105" s="0" t="inlineStr">
        <is>
          <t>/mnt/d/paper_source/work_9/VeriANN_repro_2026-09-30/VeriANN_repro_2026-09-30/results/work9-multidata-20261015/deep1m/Ours-curve-1000000/per_query.csv</t>
        </is>
      </c>
    </row>
    <row r="106">
      <c r="A106" s="0" t="inlineStr">
        <is>
          <t>DEEP1M</t>
        </is>
      </c>
      <c r="B106" s="0" t="inlineStr">
        <is>
          <t>G24</t>
        </is>
      </c>
      <c r="C106" s="0" t="n">
        <v>129.522</v>
      </c>
      <c r="D106" s="0" t="inlineStr">
        <is>
          <t>vo_kb</t>
        </is>
      </c>
      <c r="E106" s="0" t="n">
        <v>10</v>
      </c>
      <c r="F106" s="0" t="n">
        <v>20</v>
      </c>
      <c r="G106" s="0" t="n">
        <v>1</v>
      </c>
      <c r="H106" s="0" t="inlineStr">
        <is>
          <t>/mnt/d/paper_source/work_9/VeriANN_repro_2026-09-30/VeriANN_repro_2026-09-30/results/work9-multidata-20261015/deep1m/Ours-curve-1000000/per_query.csv</t>
        </is>
      </c>
    </row>
    <row r="107">
      <c r="A107" s="0" t="inlineStr">
        <is>
          <t>DEEP1M</t>
        </is>
      </c>
      <c r="B107" s="0" t="inlineStr">
        <is>
          <t>G33</t>
        </is>
      </c>
      <c r="C107" s="0" t="n">
        <v>73.5</v>
      </c>
      <c r="D107" s="0" t="inlineStr">
        <is>
          <t>recall_percent</t>
        </is>
      </c>
      <c r="E107" s="0" t="n">
        <v>10</v>
      </c>
      <c r="F107" s="0" t="n">
        <v>20</v>
      </c>
      <c r="G107" s="0" t="n">
        <v>1</v>
      </c>
      <c r="H107" s="0" t="inlineStr">
        <is>
          <t>/mnt/d/paper_source/work_9/VeriANN_repro_2026-09-30/VeriANN_repro_2026-09-30/results/work9-multidata-20261015/deep1m/Ours-curve-1000000/per_query.csv</t>
        </is>
      </c>
    </row>
    <row r="108">
      <c r="A108" s="0" t="inlineStr">
        <is>
          <t>DEEP1M</t>
        </is>
      </c>
      <c r="B108" s="0" t="inlineStr">
        <is>
          <t>G34</t>
        </is>
      </c>
      <c r="C108" s="0" t="n">
        <v>2.85541431666667</v>
      </c>
      <c r="D108" s="0" t="inlineStr">
        <is>
          <t>verify_ms</t>
        </is>
      </c>
      <c r="E108" s="0" t="n">
        <v>10</v>
      </c>
      <c r="F108" s="0" t="n">
        <v>20</v>
      </c>
      <c r="G108" s="0" t="n">
        <v>1</v>
      </c>
      <c r="H108" s="0" t="inlineStr">
        <is>
          <t>/mnt/d/paper_source/work_9/VeriANN_repro_2026-09-30/VeriANN_repro_2026-09-30/results/work9-multidata-20261015/deep1m/Ours-curve-1000000/per_query.csv</t>
        </is>
      </c>
    </row>
    <row r="109">
      <c r="A109" s="0" t="inlineStr">
        <is>
          <t>DEEP1M</t>
        </is>
      </c>
      <c r="B109" s="0" t="inlineStr">
        <is>
          <t>G43</t>
        </is>
      </c>
      <c r="C109" s="0" t="n">
        <v>73.5</v>
      </c>
      <c r="D109" s="0" t="inlineStr">
        <is>
          <t>recall_percent</t>
        </is>
      </c>
      <c r="E109" s="0" t="n">
        <v>10</v>
      </c>
      <c r="F109" s="0" t="n">
        <v>20</v>
      </c>
      <c r="G109" s="0" t="n">
        <v>1</v>
      </c>
      <c r="H109" s="0" t="inlineStr">
        <is>
          <t>/mnt/d/paper_source/work_9/VeriANN_repro_2026-09-30/VeriANN_repro_2026-09-30/results/work9-multidata-20261015/deep1m/Ours-curve-1000000/per_query.csv</t>
        </is>
      </c>
    </row>
    <row r="110">
      <c r="A110" s="0" t="inlineStr">
        <is>
          <t>DEEP1M</t>
        </is>
      </c>
      <c r="B110" s="0" t="inlineStr">
        <is>
          <t>G44</t>
        </is>
      </c>
      <c r="C110" s="0" t="n">
        <v>1.08978581666667</v>
      </c>
      <c r="D110" s="0" t="inlineStr">
        <is>
          <t>query_ms</t>
        </is>
      </c>
      <c r="E110" s="0" t="n">
        <v>10</v>
      </c>
      <c r="F110" s="0" t="n">
        <v>20</v>
      </c>
      <c r="G110" s="0" t="n">
        <v>1</v>
      </c>
      <c r="H110" s="0" t="inlineStr">
        <is>
          <t>/mnt/d/paper_source/work_9/VeriANN_repro_2026-09-30/VeriANN_repro_2026-09-30/results/work9-multidata-20261015/deep1m/Ours-curve-1000000/per_query.csv</t>
        </is>
      </c>
    </row>
    <row r="111">
      <c r="A111" s="0" t="inlineStr">
        <is>
          <t>DEEP1M</t>
        </is>
      </c>
      <c r="B111" s="0" t="inlineStr">
        <is>
          <t>H23</t>
        </is>
      </c>
      <c r="C111" s="0" t="n">
        <v>73.5</v>
      </c>
      <c r="D111" s="0" t="inlineStr">
        <is>
          <t>recall_percent</t>
        </is>
      </c>
      <c r="E111" s="0" t="n">
        <v>10</v>
      </c>
      <c r="F111" s="0" t="n">
        <v>20</v>
      </c>
      <c r="G111" s="0" t="n">
        <v>1</v>
      </c>
      <c r="H111" s="0" t="inlineStr">
        <is>
          <t>/mnt/d/paper_source/work_9/VeriANN_repro_2026-09-30/VeriANN_repro_2026-09-30/results/work9-multidata-20261015/deep1m/Ours-curve-1000000/per_query.csv</t>
        </is>
      </c>
    </row>
    <row r="112">
      <c r="A112" s="0" t="inlineStr">
        <is>
          <t>DEEP1M</t>
        </is>
      </c>
      <c r="B112" s="0" t="inlineStr">
        <is>
          <t>H24</t>
        </is>
      </c>
      <c r="C112" s="0" t="n">
        <v>129.522</v>
      </c>
      <c r="D112" s="0" t="inlineStr">
        <is>
          <t>vo_kb</t>
        </is>
      </c>
      <c r="E112" s="0" t="n">
        <v>10</v>
      </c>
      <c r="F112" s="0" t="n">
        <v>20</v>
      </c>
      <c r="G112" s="0" t="n">
        <v>1</v>
      </c>
      <c r="H112" s="0" t="inlineStr">
        <is>
          <t>/mnt/d/paper_source/work_9/VeriANN_repro_2026-09-30/VeriANN_repro_2026-09-30/results/work9-multidata-20261015/deep1m/Ours-curve-1000000/per_query.csv</t>
        </is>
      </c>
    </row>
    <row r="113">
      <c r="A113" s="0" t="inlineStr">
        <is>
          <t>DEEP1M</t>
        </is>
      </c>
      <c r="B113" s="0" t="inlineStr">
        <is>
          <t>H33</t>
        </is>
      </c>
      <c r="C113" s="0" t="n">
        <v>73.5</v>
      </c>
      <c r="D113" s="0" t="inlineStr">
        <is>
          <t>recall_percent</t>
        </is>
      </c>
      <c r="E113" s="0" t="n">
        <v>10</v>
      </c>
      <c r="F113" s="0" t="n">
        <v>20</v>
      </c>
      <c r="G113" s="0" t="n">
        <v>1</v>
      </c>
      <c r="H113" s="0" t="inlineStr">
        <is>
          <t>/mnt/d/paper_source/work_9/VeriANN_repro_2026-09-30/VeriANN_repro_2026-09-30/results/work9-multidata-20261015/deep1m/Ours-curve-1000000/per_query.csv</t>
        </is>
      </c>
    </row>
    <row r="114">
      <c r="A114" s="0" t="inlineStr">
        <is>
          <t>DEEP1M</t>
        </is>
      </c>
      <c r="B114" s="0" t="inlineStr">
        <is>
          <t>H34</t>
        </is>
      </c>
      <c r="C114" s="0" t="n">
        <v>2.85541431666667</v>
      </c>
      <c r="D114" s="0" t="inlineStr">
        <is>
          <t>verify_ms</t>
        </is>
      </c>
      <c r="E114" s="0" t="n">
        <v>10</v>
      </c>
      <c r="F114" s="0" t="n">
        <v>20</v>
      </c>
      <c r="G114" s="0" t="n">
        <v>1</v>
      </c>
      <c r="H114" s="0" t="inlineStr">
        <is>
          <t>/mnt/d/paper_source/work_9/VeriANN_repro_2026-09-30/VeriANN_repro_2026-09-30/results/work9-multidata-20261015/deep1m/Ours-curve-1000000/per_query.csv</t>
        </is>
      </c>
    </row>
    <row r="115">
      <c r="A115" s="0" t="inlineStr">
        <is>
          <t>DEEP1M</t>
        </is>
      </c>
      <c r="B115" s="0" t="inlineStr">
        <is>
          <t>H43</t>
        </is>
      </c>
      <c r="C115" s="0" t="n">
        <v>73.5</v>
      </c>
      <c r="D115" s="0" t="inlineStr">
        <is>
          <t>recall_percent</t>
        </is>
      </c>
      <c r="E115" s="0" t="n">
        <v>10</v>
      </c>
      <c r="F115" s="0" t="n">
        <v>20</v>
      </c>
      <c r="G115" s="0" t="n">
        <v>1</v>
      </c>
      <c r="H115" s="0" t="inlineStr">
        <is>
          <t>/mnt/d/paper_source/work_9/VeriANN_repro_2026-09-30/VeriANN_repro_2026-09-30/results/work9-multidata-20261015/deep1m/Ours-curve-1000000/per_query.csv</t>
        </is>
      </c>
    </row>
    <row r="116">
      <c r="A116" s="0" t="inlineStr">
        <is>
          <t>DEEP1M</t>
        </is>
      </c>
      <c r="B116" s="0" t="inlineStr">
        <is>
          <t>H44</t>
        </is>
      </c>
      <c r="C116" s="0" t="n">
        <v>1.08978581666667</v>
      </c>
      <c r="D116" s="0" t="inlineStr">
        <is>
          <t>query_ms</t>
        </is>
      </c>
      <c r="E116" s="0" t="n">
        <v>10</v>
      </c>
      <c r="F116" s="0" t="n">
        <v>20</v>
      </c>
      <c r="G116" s="0" t="n">
        <v>1</v>
      </c>
      <c r="H116" s="0" t="inlineStr">
        <is>
          <t>/mnt/d/paper_source/work_9/VeriANN_repro_2026-09-30/VeriANN_repro_2026-09-30/results/work9-multidata-20261015/deep1m/Ours-curve-1000000/per_query.csv</t>
        </is>
      </c>
    </row>
    <row r="117">
      <c r="A117" s="0" t="inlineStr">
        <is>
          <t>DEEP1M</t>
        </is>
      </c>
      <c r="B117" s="0" t="inlineStr">
        <is>
          <t>I23</t>
        </is>
      </c>
      <c r="C117" s="0" t="n">
        <v>79</v>
      </c>
      <c r="D117" s="0" t="inlineStr">
        <is>
          <t>recall_percent</t>
        </is>
      </c>
      <c r="E117" s="0" t="n">
        <v>10</v>
      </c>
      <c r="F117" s="0" t="n">
        <v>24</v>
      </c>
      <c r="G117" s="0" t="n">
        <v>1</v>
      </c>
      <c r="H117" s="0" t="inlineStr">
        <is>
          <t>/mnt/d/paper_source/work_9/VeriANN_repro_2026-09-30/VeriANN_repro_2026-09-30/results/work9-multidata-20261015/deep1m/Ours-curve-1000000/per_query.csv</t>
        </is>
      </c>
    </row>
    <row r="118">
      <c r="A118" s="0" t="inlineStr">
        <is>
          <t>DEEP1M</t>
        </is>
      </c>
      <c r="B118" s="0" t="inlineStr">
        <is>
          <t>I24</t>
        </is>
      </c>
      <c r="C118" s="0" t="n">
        <v>147.6776</v>
      </c>
      <c r="D118" s="0" t="inlineStr">
        <is>
          <t>vo_kb</t>
        </is>
      </c>
      <c r="E118" s="0" t="n">
        <v>10</v>
      </c>
      <c r="F118" s="0" t="n">
        <v>24</v>
      </c>
      <c r="G118" s="0" t="n">
        <v>1</v>
      </c>
      <c r="H118" s="0" t="inlineStr">
        <is>
          <t>/mnt/d/paper_source/work_9/VeriANN_repro_2026-09-30/VeriANN_repro_2026-09-30/results/work9-multidata-20261015/deep1m/Ours-curve-1000000/per_query.csv</t>
        </is>
      </c>
    </row>
    <row r="119">
      <c r="A119" s="0" t="inlineStr">
        <is>
          <t>DEEP1M</t>
        </is>
      </c>
      <c r="B119" s="0" t="inlineStr">
        <is>
          <t>I33</t>
        </is>
      </c>
      <c r="C119" s="0" t="n">
        <v>79</v>
      </c>
      <c r="D119" s="0" t="inlineStr">
        <is>
          <t>recall_percent</t>
        </is>
      </c>
      <c r="E119" s="0" t="n">
        <v>10</v>
      </c>
      <c r="F119" s="0" t="n">
        <v>24</v>
      </c>
      <c r="G119" s="0" t="n">
        <v>1</v>
      </c>
      <c r="H119" s="0" t="inlineStr">
        <is>
          <t>/mnt/d/paper_source/work_9/VeriANN_repro_2026-09-30/VeriANN_repro_2026-09-30/results/work9-multidata-20261015/deep1m/Ours-curve-1000000/per_query.csv</t>
        </is>
      </c>
    </row>
    <row r="120">
      <c r="A120" s="0" t="inlineStr">
        <is>
          <t>DEEP1M</t>
        </is>
      </c>
      <c r="B120" s="0" t="inlineStr">
        <is>
          <t>I34</t>
        </is>
      </c>
      <c r="C120" s="0" t="n">
        <v>3.25884446666667</v>
      </c>
      <c r="D120" s="0" t="inlineStr">
        <is>
          <t>verify_ms</t>
        </is>
      </c>
      <c r="E120" s="0" t="n">
        <v>10</v>
      </c>
      <c r="F120" s="0" t="n">
        <v>24</v>
      </c>
      <c r="G120" s="0" t="n">
        <v>1</v>
      </c>
      <c r="H120" s="0" t="inlineStr">
        <is>
          <t>/mnt/d/paper_source/work_9/VeriANN_repro_2026-09-30/VeriANN_repro_2026-09-30/results/work9-multidata-20261015/deep1m/Ours-curve-1000000/per_query.csv</t>
        </is>
      </c>
    </row>
    <row r="121">
      <c r="A121" s="0" t="inlineStr">
        <is>
          <t>DEEP1M</t>
        </is>
      </c>
      <c r="B121" s="0" t="inlineStr">
        <is>
          <t>I43</t>
        </is>
      </c>
      <c r="C121" s="0" t="n">
        <v>79</v>
      </c>
      <c r="D121" s="0" t="inlineStr">
        <is>
          <t>recall_percent</t>
        </is>
      </c>
      <c r="E121" s="0" t="n">
        <v>10</v>
      </c>
      <c r="F121" s="0" t="n">
        <v>24</v>
      </c>
      <c r="G121" s="0" t="n">
        <v>1</v>
      </c>
      <c r="H121" s="0" t="inlineStr">
        <is>
          <t>/mnt/d/paper_source/work_9/VeriANN_repro_2026-09-30/VeriANN_repro_2026-09-30/results/work9-multidata-20261015/deep1m/Ours-curve-1000000/per_query.csv</t>
        </is>
      </c>
    </row>
    <row r="122">
      <c r="A122" s="0" t="inlineStr">
        <is>
          <t>DEEP1M</t>
        </is>
      </c>
      <c r="B122" s="0" t="inlineStr">
        <is>
          <t>I44</t>
        </is>
      </c>
      <c r="C122" s="0" t="n">
        <v>1.27455556666667</v>
      </c>
      <c r="D122" s="0" t="inlineStr">
        <is>
          <t>query_ms</t>
        </is>
      </c>
      <c r="E122" s="0" t="n">
        <v>10</v>
      </c>
      <c r="F122" s="0" t="n">
        <v>24</v>
      </c>
      <c r="G122" s="0" t="n">
        <v>1</v>
      </c>
      <c r="H122" s="0" t="inlineStr">
        <is>
          <t>/mnt/d/paper_source/work_9/VeriANN_repro_2026-09-30/VeriANN_repro_2026-09-30/results/work9-multidata-20261015/deep1m/Ours-curve-1000000/per_query.csv</t>
        </is>
      </c>
    </row>
    <row r="123">
      <c r="A123" s="0" t="inlineStr">
        <is>
          <t>DEEP1M</t>
        </is>
      </c>
      <c r="B123" s="0" t="inlineStr">
        <is>
          <t>J23</t>
        </is>
      </c>
      <c r="C123" s="0" t="n">
        <v>86.5</v>
      </c>
      <c r="D123" s="0" t="inlineStr">
        <is>
          <t>recall_percent</t>
        </is>
      </c>
      <c r="E123" s="0" t="n">
        <v>10</v>
      </c>
      <c r="F123" s="0" t="n">
        <v>32</v>
      </c>
      <c r="G123" s="0" t="n">
        <v>1</v>
      </c>
      <c r="H123" s="0" t="inlineStr">
        <is>
          <t>/mnt/d/paper_source/work_9/VeriANN_repro_2026-09-30/VeriANN_repro_2026-09-30/results/work9-multidata-20261015/deep1m/Ours-curve-1000000/per_query.csv</t>
        </is>
      </c>
    </row>
    <row r="124">
      <c r="A124" s="0" t="inlineStr">
        <is>
          <t>DEEP1M</t>
        </is>
      </c>
      <c r="B124" s="0" t="inlineStr">
        <is>
          <t>J24</t>
        </is>
      </c>
      <c r="C124" s="0" t="n">
        <v>179.525</v>
      </c>
      <c r="D124" s="0" t="inlineStr">
        <is>
          <t>vo_kb</t>
        </is>
      </c>
      <c r="E124" s="0" t="n">
        <v>10</v>
      </c>
      <c r="F124" s="0" t="n">
        <v>32</v>
      </c>
      <c r="G124" s="0" t="n">
        <v>1</v>
      </c>
      <c r="H124" s="0" t="inlineStr">
        <is>
          <t>/mnt/d/paper_source/work_9/VeriANN_repro_2026-09-30/VeriANN_repro_2026-09-30/results/work9-multidata-20261015/deep1m/Ours-curve-1000000/per_query.csv</t>
        </is>
      </c>
    </row>
    <row r="125">
      <c r="A125" s="0" t="inlineStr">
        <is>
          <t>DEEP1M</t>
        </is>
      </c>
      <c r="B125" s="0" t="inlineStr">
        <is>
          <t>J33</t>
        </is>
      </c>
      <c r="C125" s="0" t="n">
        <v>86.5</v>
      </c>
      <c r="D125" s="0" t="inlineStr">
        <is>
          <t>recall_percent</t>
        </is>
      </c>
      <c r="E125" s="0" t="n">
        <v>10</v>
      </c>
      <c r="F125" s="0" t="n">
        <v>32</v>
      </c>
      <c r="G125" s="0" t="n">
        <v>1</v>
      </c>
      <c r="H125" s="0" t="inlineStr">
        <is>
          <t>/mnt/d/paper_source/work_9/VeriANN_repro_2026-09-30/VeriANN_repro_2026-09-30/results/work9-multidata-20261015/deep1m/Ours-curve-1000000/per_query.csv</t>
        </is>
      </c>
    </row>
    <row r="126">
      <c r="A126" s="0" t="inlineStr">
        <is>
          <t>DEEP1M</t>
        </is>
      </c>
      <c r="B126" s="0" t="inlineStr">
        <is>
          <t>J34</t>
        </is>
      </c>
      <c r="C126" s="0" t="n">
        <v>3.99739765</v>
      </c>
      <c r="D126" s="0" t="inlineStr">
        <is>
          <t>verify_ms</t>
        </is>
      </c>
      <c r="E126" s="0" t="n">
        <v>10</v>
      </c>
      <c r="F126" s="0" t="n">
        <v>32</v>
      </c>
      <c r="G126" s="0" t="n">
        <v>1</v>
      </c>
      <c r="H126" s="0" t="inlineStr">
        <is>
          <t>/mnt/d/paper_source/work_9/VeriANN_repro_2026-09-30/VeriANN_repro_2026-09-30/results/work9-multidata-20261015/deep1m/Ours-curve-1000000/per_query.csv</t>
        </is>
      </c>
    </row>
    <row r="127">
      <c r="A127" s="0" t="inlineStr">
        <is>
          <t>DEEP1M</t>
        </is>
      </c>
      <c r="B127" s="0" t="inlineStr">
        <is>
          <t>J43</t>
        </is>
      </c>
      <c r="C127" s="0" t="n">
        <v>86.5</v>
      </c>
      <c r="D127" s="0" t="inlineStr">
        <is>
          <t>recall_percent</t>
        </is>
      </c>
      <c r="E127" s="0" t="n">
        <v>10</v>
      </c>
      <c r="F127" s="0" t="n">
        <v>32</v>
      </c>
      <c r="G127" s="0" t="n">
        <v>1</v>
      </c>
      <c r="H127" s="0" t="inlineStr">
        <is>
          <t>/mnt/d/paper_source/work_9/VeriANN_repro_2026-09-30/VeriANN_repro_2026-09-30/results/work9-multidata-20261015/deep1m/Ours-curve-1000000/per_query.csv</t>
        </is>
      </c>
    </row>
    <row r="128">
      <c r="A128" s="0" t="inlineStr">
        <is>
          <t>DEEP1M</t>
        </is>
      </c>
      <c r="B128" s="0" t="inlineStr">
        <is>
          <t>J44</t>
        </is>
      </c>
      <c r="C128" s="0" t="n">
        <v>1.57887486666667</v>
      </c>
      <c r="D128" s="0" t="inlineStr">
        <is>
          <t>query_ms</t>
        </is>
      </c>
      <c r="E128" s="0" t="n">
        <v>10</v>
      </c>
      <c r="F128" s="0" t="n">
        <v>32</v>
      </c>
      <c r="G128" s="0" t="n">
        <v>1</v>
      </c>
      <c r="H128" s="0" t="inlineStr">
        <is>
          <t>/mnt/d/paper_source/work_9/VeriANN_repro_2026-09-30/VeriANN_repro_2026-09-30/results/work9-multidata-20261015/deep1m/Ours-curve-1000000/per_query.csv</t>
        </is>
      </c>
    </row>
    <row r="129">
      <c r="A129" s="0" t="inlineStr">
        <is>
          <t>DEEP1M</t>
        </is>
      </c>
      <c r="B129" s="0" t="inlineStr">
        <is>
          <t>K23</t>
        </is>
      </c>
      <c r="C129" s="0" t="n">
        <v>86.5</v>
      </c>
      <c r="D129" s="0" t="inlineStr">
        <is>
          <t>recall_percent</t>
        </is>
      </c>
      <c r="E129" s="0" t="n">
        <v>10</v>
      </c>
      <c r="F129" s="0" t="n">
        <v>32</v>
      </c>
      <c r="G129" s="0" t="n">
        <v>1</v>
      </c>
      <c r="H129" s="0" t="inlineStr">
        <is>
          <t>/mnt/d/paper_source/work_9/VeriANN_repro_2026-09-30/VeriANN_repro_2026-09-30/results/work9-multidata-20261015/deep1m/Ours-curve-1000000/per_query.csv</t>
        </is>
      </c>
    </row>
    <row r="130">
      <c r="A130" s="0" t="inlineStr">
        <is>
          <t>DEEP1M</t>
        </is>
      </c>
      <c r="B130" s="0" t="inlineStr">
        <is>
          <t>K24</t>
        </is>
      </c>
      <c r="C130" s="0" t="n">
        <v>179.525</v>
      </c>
      <c r="D130" s="0" t="inlineStr">
        <is>
          <t>vo_kb</t>
        </is>
      </c>
      <c r="E130" s="0" t="n">
        <v>10</v>
      </c>
      <c r="F130" s="0" t="n">
        <v>32</v>
      </c>
      <c r="G130" s="0" t="n">
        <v>1</v>
      </c>
      <c r="H130" s="0" t="inlineStr">
        <is>
          <t>/mnt/d/paper_source/work_9/VeriANN_repro_2026-09-30/VeriANN_repro_2026-09-30/results/work9-multidata-20261015/deep1m/Ours-curve-1000000/per_query.csv</t>
        </is>
      </c>
    </row>
    <row r="131">
      <c r="A131" s="0" t="inlineStr">
        <is>
          <t>DEEP1M</t>
        </is>
      </c>
      <c r="B131" s="0" t="inlineStr">
        <is>
          <t>K33</t>
        </is>
      </c>
      <c r="C131" s="0" t="n">
        <v>86.5</v>
      </c>
      <c r="D131" s="0" t="inlineStr">
        <is>
          <t>recall_percent</t>
        </is>
      </c>
      <c r="E131" s="0" t="n">
        <v>10</v>
      </c>
      <c r="F131" s="0" t="n">
        <v>32</v>
      </c>
      <c r="G131" s="0" t="n">
        <v>1</v>
      </c>
      <c r="H131" s="0" t="inlineStr">
        <is>
          <t>/mnt/d/paper_source/work_9/VeriANN_repro_2026-09-30/VeriANN_repro_2026-09-30/results/work9-multidata-20261015/deep1m/Ours-curve-1000000/per_query.csv</t>
        </is>
      </c>
    </row>
    <row r="132">
      <c r="A132" s="0" t="inlineStr">
        <is>
          <t>DEEP1M</t>
        </is>
      </c>
      <c r="B132" s="0" t="inlineStr">
        <is>
          <t>K34</t>
        </is>
      </c>
      <c r="C132" s="0" t="n">
        <v>3.99739765</v>
      </c>
      <c r="D132" s="0" t="inlineStr">
        <is>
          <t>verify_ms</t>
        </is>
      </c>
      <c r="E132" s="0" t="n">
        <v>10</v>
      </c>
      <c r="F132" s="0" t="n">
        <v>32</v>
      </c>
      <c r="G132" s="0" t="n">
        <v>1</v>
      </c>
      <c r="H132" s="0" t="inlineStr">
        <is>
          <t>/mnt/d/paper_source/work_9/VeriANN_repro_2026-09-30/VeriANN_repro_2026-09-30/results/work9-multidata-20261015/deep1m/Ours-curve-1000000/per_query.csv</t>
        </is>
      </c>
    </row>
    <row r="133">
      <c r="A133" s="0" t="inlineStr">
        <is>
          <t>DEEP1M</t>
        </is>
      </c>
      <c r="B133" s="0" t="inlineStr">
        <is>
          <t>K43</t>
        </is>
      </c>
      <c r="C133" s="0" t="n">
        <v>86.5</v>
      </c>
      <c r="D133" s="0" t="inlineStr">
        <is>
          <t>recall_percent</t>
        </is>
      </c>
      <c r="E133" s="0" t="n">
        <v>10</v>
      </c>
      <c r="F133" s="0" t="n">
        <v>32</v>
      </c>
      <c r="G133" s="0" t="n">
        <v>1</v>
      </c>
      <c r="H133" s="0" t="inlineStr">
        <is>
          <t>/mnt/d/paper_source/work_9/VeriANN_repro_2026-09-30/VeriANN_repro_2026-09-30/results/work9-multidata-20261015/deep1m/Ours-curve-1000000/per_query.csv</t>
        </is>
      </c>
    </row>
    <row r="134">
      <c r="A134" s="0" t="inlineStr">
        <is>
          <t>DEEP1M</t>
        </is>
      </c>
      <c r="B134" s="0" t="inlineStr">
        <is>
          <t>K44</t>
        </is>
      </c>
      <c r="C134" s="0" t="n">
        <v>1.57887486666667</v>
      </c>
      <c r="D134" s="0" t="inlineStr">
        <is>
          <t>query_ms</t>
        </is>
      </c>
      <c r="E134" s="0" t="n">
        <v>10</v>
      </c>
      <c r="F134" s="0" t="n">
        <v>32</v>
      </c>
      <c r="G134" s="0" t="n">
        <v>1</v>
      </c>
      <c r="H134" s="0" t="inlineStr">
        <is>
          <t>/mnt/d/paper_source/work_9/VeriANN_repro_2026-09-30/VeriANN_repro_2026-09-30/results/work9-multidata-20261015/deep1m/Ours-curve-1000000/per_query.csv</t>
        </is>
      </c>
    </row>
    <row r="135">
      <c r="A135" s="0" t="inlineStr">
        <is>
          <t>DEEP1M</t>
        </is>
      </c>
      <c r="B135" s="0" t="inlineStr">
        <is>
          <t>L23</t>
        </is>
      </c>
      <c r="C135" s="0" t="n">
        <v>94.5</v>
      </c>
      <c r="D135" s="0" t="inlineStr">
        <is>
          <t>recall_percent</t>
        </is>
      </c>
      <c r="E135" s="0" t="n">
        <v>10</v>
      </c>
      <c r="F135" s="0" t="n">
        <v>48</v>
      </c>
      <c r="G135" s="0" t="n">
        <v>1</v>
      </c>
      <c r="H135" s="0" t="inlineStr">
        <is>
          <t>/mnt/d/paper_source/work_9/VeriANN_repro_2026-09-30/VeriANN_repro_2026-09-30/results/work9-multidata-20261015/deep1m/Ours-curve-1000000/per_query.csv</t>
        </is>
      </c>
    </row>
    <row r="136">
      <c r="A136" s="0" t="inlineStr">
        <is>
          <t>DEEP1M</t>
        </is>
      </c>
      <c r="B136" s="0" t="inlineStr">
        <is>
          <t>L24</t>
        </is>
      </c>
      <c r="C136" s="0" t="n">
        <v>228.1338</v>
      </c>
      <c r="D136" s="0" t="inlineStr">
        <is>
          <t>vo_kb</t>
        </is>
      </c>
      <c r="E136" s="0" t="n">
        <v>10</v>
      </c>
      <c r="F136" s="0" t="n">
        <v>48</v>
      </c>
      <c r="G136" s="0" t="n">
        <v>1</v>
      </c>
      <c r="H136" s="0" t="inlineStr">
        <is>
          <t>/mnt/d/paper_source/work_9/VeriANN_repro_2026-09-30/VeriANN_repro_2026-09-30/results/work9-multidata-20261015/deep1m/Ours-curve-1000000/per_query.csv</t>
        </is>
      </c>
    </row>
    <row r="137">
      <c r="A137" s="0" t="inlineStr">
        <is>
          <t>DEEP1M</t>
        </is>
      </c>
      <c r="B137" s="0" t="inlineStr">
        <is>
          <t>L33</t>
        </is>
      </c>
      <c r="C137" s="0" t="n">
        <v>94.5</v>
      </c>
      <c r="D137" s="0" t="inlineStr">
        <is>
          <t>recall_percent</t>
        </is>
      </c>
      <c r="E137" s="0" t="n">
        <v>10</v>
      </c>
      <c r="F137" s="0" t="n">
        <v>48</v>
      </c>
      <c r="G137" s="0" t="n">
        <v>1</v>
      </c>
      <c r="H137" s="0" t="inlineStr">
        <is>
          <t>/mnt/d/paper_source/work_9/VeriANN_repro_2026-09-30/VeriANN_repro_2026-09-30/results/work9-multidata-20261015/deep1m/Ours-curve-1000000/per_query.csv</t>
        </is>
      </c>
    </row>
    <row r="138">
      <c r="A138" s="0" t="inlineStr">
        <is>
          <t>DEEP1M</t>
        </is>
      </c>
      <c r="B138" s="0" t="inlineStr">
        <is>
          <t>L34</t>
        </is>
      </c>
      <c r="C138" s="0" t="n">
        <v>5.16082628333333</v>
      </c>
      <c r="D138" s="0" t="inlineStr">
        <is>
          <t>verify_ms</t>
        </is>
      </c>
      <c r="E138" s="0" t="n">
        <v>10</v>
      </c>
      <c r="F138" s="0" t="n">
        <v>48</v>
      </c>
      <c r="G138" s="0" t="n">
        <v>1</v>
      </c>
      <c r="H138" s="0" t="inlineStr">
        <is>
          <t>/mnt/d/paper_source/work_9/VeriANN_repro_2026-09-30/VeriANN_repro_2026-09-30/results/work9-multidata-20261015/deep1m/Ours-curve-1000000/per_query.csv</t>
        </is>
      </c>
    </row>
    <row r="139">
      <c r="A139" s="0" t="inlineStr">
        <is>
          <t>DEEP1M</t>
        </is>
      </c>
      <c r="B139" s="0" t="inlineStr">
        <is>
          <t>L43</t>
        </is>
      </c>
      <c r="C139" s="0" t="n">
        <v>94.5</v>
      </c>
      <c r="D139" s="0" t="inlineStr">
        <is>
          <t>recall_percent</t>
        </is>
      </c>
      <c r="E139" s="0" t="n">
        <v>10</v>
      </c>
      <c r="F139" s="0" t="n">
        <v>48</v>
      </c>
      <c r="G139" s="0" t="n">
        <v>1</v>
      </c>
      <c r="H139" s="0" t="inlineStr">
        <is>
          <t>/mnt/d/paper_source/work_9/VeriANN_repro_2026-09-30/VeriANN_repro_2026-09-30/results/work9-multidata-20261015/deep1m/Ours-curve-1000000/per_query.csv</t>
        </is>
      </c>
    </row>
    <row r="140">
      <c r="A140" s="0" t="inlineStr">
        <is>
          <t>DEEP1M</t>
        </is>
      </c>
      <c r="B140" s="0" t="inlineStr">
        <is>
          <t>L44</t>
        </is>
      </c>
      <c r="C140" s="0" t="n">
        <v>2.06094483333333</v>
      </c>
      <c r="D140" s="0" t="inlineStr">
        <is>
          <t>query_ms</t>
        </is>
      </c>
      <c r="E140" s="0" t="n">
        <v>10</v>
      </c>
      <c r="F140" s="0" t="n">
        <v>48</v>
      </c>
      <c r="G140" s="0" t="n">
        <v>1</v>
      </c>
      <c r="H140" s="0" t="inlineStr">
        <is>
          <t>/mnt/d/paper_source/work_9/VeriANN_repro_2026-09-30/VeriANN_repro_2026-09-30/results/work9-multidata-20261015/deep1m/Ours-curve-1000000/per_query.csv</t>
        </is>
      </c>
    </row>
    <row r="141">
      <c r="A141" s="0" t="inlineStr">
        <is>
          <t>DEEP1M</t>
        </is>
      </c>
      <c r="B141" s="0" t="inlineStr">
        <is>
          <t>M23</t>
        </is>
      </c>
      <c r="C141" s="0" t="n">
        <v>97.5</v>
      </c>
      <c r="D141" s="0" t="inlineStr">
        <is>
          <t>recall_percent</t>
        </is>
      </c>
      <c r="E141" s="0" t="n">
        <v>10</v>
      </c>
      <c r="F141" s="0" t="n">
        <v>64</v>
      </c>
      <c r="G141" s="0" t="n">
        <v>1</v>
      </c>
      <c r="H141" s="0" t="inlineStr">
        <is>
          <t>/mnt/d/paper_source/work_9/VeriANN_repro_2026-09-30/VeriANN_repro_2026-09-30/results/work9-multidata-20261015/deep1m/Ours-curve-1000000/per_query.csv</t>
        </is>
      </c>
    </row>
    <row r="142">
      <c r="A142" s="0" t="inlineStr">
        <is>
          <t>DEEP1M</t>
        </is>
      </c>
      <c r="B142" s="0" t="inlineStr">
        <is>
          <t>M24</t>
        </is>
      </c>
      <c r="C142" s="0" t="n">
        <v>271.0874</v>
      </c>
      <c r="D142" s="0" t="inlineStr">
        <is>
          <t>vo_kb</t>
        </is>
      </c>
      <c r="E142" s="0" t="n">
        <v>10</v>
      </c>
      <c r="F142" s="0" t="n">
        <v>64</v>
      </c>
      <c r="G142" s="0" t="n">
        <v>1</v>
      </c>
      <c r="H142" s="0" t="inlineStr">
        <is>
          <t>/mnt/d/paper_source/work_9/VeriANN_repro_2026-09-30/VeriANN_repro_2026-09-30/results/work9-multidata-20261015/deep1m/Ours-curve-1000000/per_query.csv</t>
        </is>
      </c>
    </row>
    <row r="143">
      <c r="A143" s="0" t="inlineStr">
        <is>
          <t>DEEP1M</t>
        </is>
      </c>
      <c r="B143" s="0" t="inlineStr">
        <is>
          <t>M33</t>
        </is>
      </c>
      <c r="C143" s="0" t="n">
        <v>97.5</v>
      </c>
      <c r="D143" s="0" t="inlineStr">
        <is>
          <t>recall_percent</t>
        </is>
      </c>
      <c r="E143" s="0" t="n">
        <v>10</v>
      </c>
      <c r="F143" s="0" t="n">
        <v>64</v>
      </c>
      <c r="G143" s="0" t="n">
        <v>1</v>
      </c>
      <c r="H143" s="0" t="inlineStr">
        <is>
          <t>/mnt/d/paper_source/work_9/VeriANN_repro_2026-09-30/VeriANN_repro_2026-09-30/results/work9-multidata-20261015/deep1m/Ours-curve-1000000/per_query.csv</t>
        </is>
      </c>
    </row>
    <row r="144">
      <c r="A144" s="0" t="inlineStr">
        <is>
          <t>DEEP1M</t>
        </is>
      </c>
      <c r="B144" s="0" t="inlineStr">
        <is>
          <t>M34</t>
        </is>
      </c>
      <c r="C144" s="0" t="n">
        <v>6.1193687</v>
      </c>
      <c r="D144" s="0" t="inlineStr">
        <is>
          <t>verify_ms</t>
        </is>
      </c>
      <c r="E144" s="0" t="n">
        <v>10</v>
      </c>
      <c r="F144" s="0" t="n">
        <v>64</v>
      </c>
      <c r="G144" s="0" t="n">
        <v>1</v>
      </c>
      <c r="H144" s="0" t="inlineStr">
        <is>
          <t>/mnt/d/paper_source/work_9/VeriANN_repro_2026-09-30/VeriANN_repro_2026-09-30/results/work9-multidata-20261015/deep1m/Ours-curve-1000000/per_query.csv</t>
        </is>
      </c>
    </row>
    <row r="145">
      <c r="A145" s="0" t="inlineStr">
        <is>
          <t>DEEP1M</t>
        </is>
      </c>
      <c r="B145" s="0" t="inlineStr">
        <is>
          <t>M43</t>
        </is>
      </c>
      <c r="C145" s="0" t="n">
        <v>97.5</v>
      </c>
      <c r="D145" s="0" t="inlineStr">
        <is>
          <t>recall_percent</t>
        </is>
      </c>
      <c r="E145" s="0" t="n">
        <v>10</v>
      </c>
      <c r="F145" s="0" t="n">
        <v>64</v>
      </c>
      <c r="G145" s="0" t="n">
        <v>1</v>
      </c>
      <c r="H145" s="0" t="inlineStr">
        <is>
          <t>/mnt/d/paper_source/work_9/VeriANN_repro_2026-09-30/VeriANN_repro_2026-09-30/results/work9-multidata-20261015/deep1m/Ours-curve-1000000/per_query.csv</t>
        </is>
      </c>
    </row>
    <row r="146">
      <c r="A146" s="0" t="inlineStr">
        <is>
          <t>DEEP1M</t>
        </is>
      </c>
      <c r="B146" s="0" t="inlineStr">
        <is>
          <t>M44</t>
        </is>
      </c>
      <c r="C146" s="0" t="n">
        <v>2.5314656</v>
      </c>
      <c r="D146" s="0" t="inlineStr">
        <is>
          <t>query_ms</t>
        </is>
      </c>
      <c r="E146" s="0" t="n">
        <v>10</v>
      </c>
      <c r="F146" s="0" t="n">
        <v>64</v>
      </c>
      <c r="G146" s="0" t="n">
        <v>1</v>
      </c>
      <c r="H146" s="0" t="inlineStr">
        <is>
          <t>/mnt/d/paper_source/work_9/VeriANN_repro_2026-09-30/VeriANN_repro_2026-09-30/results/work9-multidata-20261015/deep1m/Ours-curve-1000000/per_query.csv</t>
        </is>
      </c>
    </row>
    <row r="147">
      <c r="A147" s="0" t="inlineStr">
        <is>
          <t>DEEP1M</t>
        </is>
      </c>
      <c r="B147" s="0" t="inlineStr">
        <is>
          <t>N23</t>
        </is>
      </c>
      <c r="C147" s="0" t="n">
        <v>97.5</v>
      </c>
      <c r="D147" s="0" t="inlineStr">
        <is>
          <t>recall_percent</t>
        </is>
      </c>
      <c r="E147" s="0" t="n">
        <v>10</v>
      </c>
      <c r="F147" s="0" t="n">
        <v>64</v>
      </c>
      <c r="G147" s="0" t="n">
        <v>1</v>
      </c>
      <c r="H147" s="0" t="inlineStr">
        <is>
          <t>/mnt/d/paper_source/work_9/VeriANN_repro_2026-09-30/VeriANN_repro_2026-09-30/results/work9-multidata-20261015/deep1m/Ours-curve-1000000/per_query.csv</t>
        </is>
      </c>
    </row>
    <row r="148">
      <c r="A148" s="0" t="inlineStr">
        <is>
          <t>DEEP1M</t>
        </is>
      </c>
      <c r="B148" s="0" t="inlineStr">
        <is>
          <t>N24</t>
        </is>
      </c>
      <c r="C148" s="0" t="n">
        <v>271.0874</v>
      </c>
      <c r="D148" s="0" t="inlineStr">
        <is>
          <t>vo_kb</t>
        </is>
      </c>
      <c r="E148" s="0" t="n">
        <v>10</v>
      </c>
      <c r="F148" s="0" t="n">
        <v>64</v>
      </c>
      <c r="G148" s="0" t="n">
        <v>1</v>
      </c>
      <c r="H148" s="0" t="inlineStr">
        <is>
          <t>/mnt/d/paper_source/work_9/VeriANN_repro_2026-09-30/VeriANN_repro_2026-09-30/results/work9-multidata-20261015/deep1m/Ours-curve-1000000/per_query.csv</t>
        </is>
      </c>
    </row>
    <row r="149">
      <c r="A149" s="0" t="inlineStr">
        <is>
          <t>DEEP1M</t>
        </is>
      </c>
      <c r="B149" s="0" t="inlineStr">
        <is>
          <t>N33</t>
        </is>
      </c>
      <c r="C149" s="0" t="n">
        <v>97.5</v>
      </c>
      <c r="D149" s="0" t="inlineStr">
        <is>
          <t>recall_percent</t>
        </is>
      </c>
      <c r="E149" s="0" t="n">
        <v>10</v>
      </c>
      <c r="F149" s="0" t="n">
        <v>64</v>
      </c>
      <c r="G149" s="0" t="n">
        <v>1</v>
      </c>
      <c r="H149" s="0" t="inlineStr">
        <is>
          <t>/mnt/d/paper_source/work_9/VeriANN_repro_2026-09-30/VeriANN_repro_2026-09-30/results/work9-multidata-20261015/deep1m/Ours-curve-1000000/per_query.csv</t>
        </is>
      </c>
    </row>
    <row r="150">
      <c r="A150" s="0" t="inlineStr">
        <is>
          <t>DEEP1M</t>
        </is>
      </c>
      <c r="B150" s="0" t="inlineStr">
        <is>
          <t>N34</t>
        </is>
      </c>
      <c r="C150" s="0" t="n">
        <v>6.1193687</v>
      </c>
      <c r="D150" s="0" t="inlineStr">
        <is>
          <t>verify_ms</t>
        </is>
      </c>
      <c r="E150" s="0" t="n">
        <v>10</v>
      </c>
      <c r="F150" s="0" t="n">
        <v>64</v>
      </c>
      <c r="G150" s="0" t="n">
        <v>1</v>
      </c>
      <c r="H150" s="0" t="inlineStr">
        <is>
          <t>/mnt/d/paper_source/work_9/VeriANN_repro_2026-09-30/VeriANN_repro_2026-09-30/results/work9-multidata-20261015/deep1m/Ours-curve-1000000/per_query.csv</t>
        </is>
      </c>
    </row>
    <row r="151">
      <c r="A151" s="0" t="inlineStr">
        <is>
          <t>DEEP1M</t>
        </is>
      </c>
      <c r="B151" s="0" t="inlineStr">
        <is>
          <t>N43</t>
        </is>
      </c>
      <c r="C151" s="0" t="n">
        <v>97.5</v>
      </c>
      <c r="D151" s="0" t="inlineStr">
        <is>
          <t>recall_percent</t>
        </is>
      </c>
      <c r="E151" s="0" t="n">
        <v>10</v>
      </c>
      <c r="F151" s="0" t="n">
        <v>64</v>
      </c>
      <c r="G151" s="0" t="n">
        <v>1</v>
      </c>
      <c r="H151" s="0" t="inlineStr">
        <is>
          <t>/mnt/d/paper_source/work_9/VeriANN_repro_2026-09-30/VeriANN_repro_2026-09-30/results/work9-multidata-20261015/deep1m/Ours-curve-1000000/per_query.csv</t>
        </is>
      </c>
    </row>
    <row r="152">
      <c r="A152" s="0" t="inlineStr">
        <is>
          <t>DEEP1M</t>
        </is>
      </c>
      <c r="B152" s="0" t="inlineStr">
        <is>
          <t>N44</t>
        </is>
      </c>
      <c r="C152" s="0" t="n">
        <v>2.5314656</v>
      </c>
      <c r="D152" s="0" t="inlineStr">
        <is>
          <t>query_ms</t>
        </is>
      </c>
      <c r="E152" s="0" t="n">
        <v>10</v>
      </c>
      <c r="F152" s="0" t="n">
        <v>64</v>
      </c>
      <c r="G152" s="0" t="n">
        <v>1</v>
      </c>
      <c r="H152" s="0" t="inlineStr">
        <is>
          <t>/mnt/d/paper_source/work_9/VeriANN_repro_2026-09-30/VeriANN_repro_2026-09-30/results/work9-multidata-20261015/deep1m/Ours-curve-1000000/per_query.csv</t>
        </is>
      </c>
    </row>
    <row r="153">
      <c r="A153" s="0" t="inlineStr">
        <is>
          <t>DEEP1M</t>
        </is>
      </c>
      <c r="B153" s="0" t="inlineStr">
        <is>
          <t>O23</t>
        </is>
      </c>
      <c r="C153" s="0" t="n">
        <v>98.5</v>
      </c>
      <c r="D153" s="0" t="inlineStr">
        <is>
          <t>recall_percent</t>
        </is>
      </c>
      <c r="E153" s="0" t="n">
        <v>10</v>
      </c>
      <c r="F153" s="0" t="n">
        <v>96</v>
      </c>
      <c r="G153" s="0" t="n">
        <v>1</v>
      </c>
      <c r="H153" s="0" t="inlineStr">
        <is>
          <t>/mnt/d/paper_source/work_9/VeriANN_repro_2026-09-30/VeriANN_repro_2026-09-30/results/work9-multidata-20261015/deep1m/Ours-curve-1000000/per_query.csv</t>
        </is>
      </c>
    </row>
    <row r="154">
      <c r="A154" s="0" t="inlineStr">
        <is>
          <t>DEEP1M</t>
        </is>
      </c>
      <c r="B154" s="0" t="inlineStr">
        <is>
          <t>O24</t>
        </is>
      </c>
      <c r="C154" s="0" t="n">
        <v>344.9868</v>
      </c>
      <c r="D154" s="0" t="inlineStr">
        <is>
          <t>vo_kb</t>
        </is>
      </c>
      <c r="E154" s="0" t="n">
        <v>10</v>
      </c>
      <c r="F154" s="0" t="n">
        <v>96</v>
      </c>
      <c r="G154" s="0" t="n">
        <v>1</v>
      </c>
      <c r="H154" s="0" t="inlineStr">
        <is>
          <t>/mnt/d/paper_source/work_9/VeriANN_repro_2026-09-30/VeriANN_repro_2026-09-30/results/work9-multidata-20261015/deep1m/Ours-curve-1000000/per_query.csv</t>
        </is>
      </c>
    </row>
    <row r="155">
      <c r="A155" s="0" t="inlineStr">
        <is>
          <t>DEEP1M</t>
        </is>
      </c>
      <c r="B155" s="0" t="inlineStr">
        <is>
          <t>O33</t>
        </is>
      </c>
      <c r="C155" s="0" t="n">
        <v>98.5</v>
      </c>
      <c r="D155" s="0" t="inlineStr">
        <is>
          <t>recall_percent</t>
        </is>
      </c>
      <c r="E155" s="0" t="n">
        <v>10</v>
      </c>
      <c r="F155" s="0" t="n">
        <v>96</v>
      </c>
      <c r="G155" s="0" t="n">
        <v>1</v>
      </c>
      <c r="H155" s="0" t="inlineStr">
        <is>
          <t>/mnt/d/paper_source/work_9/VeriANN_repro_2026-09-30/VeriANN_repro_2026-09-30/results/work9-multidata-20261015/deep1m/Ours-curve-1000000/per_query.csv</t>
        </is>
      </c>
    </row>
    <row r="156">
      <c r="A156" s="0" t="inlineStr">
        <is>
          <t>DEEP1M</t>
        </is>
      </c>
      <c r="B156" s="0" t="inlineStr">
        <is>
          <t>O34</t>
        </is>
      </c>
      <c r="C156" s="0" t="n">
        <v>7.86179926666667</v>
      </c>
      <c r="D156" s="0" t="inlineStr">
        <is>
          <t>verify_ms</t>
        </is>
      </c>
      <c r="E156" s="0" t="n">
        <v>10</v>
      </c>
      <c r="F156" s="0" t="n">
        <v>96</v>
      </c>
      <c r="G156" s="0" t="n">
        <v>1</v>
      </c>
      <c r="H156" s="0" t="inlineStr">
        <is>
          <t>/mnt/d/paper_source/work_9/VeriANN_repro_2026-09-30/VeriANN_repro_2026-09-30/results/work9-multidata-20261015/deep1m/Ours-curve-1000000/per_query.csv</t>
        </is>
      </c>
    </row>
    <row r="157">
      <c r="A157" s="0" t="inlineStr">
        <is>
          <t>DEEP1M</t>
        </is>
      </c>
      <c r="B157" s="0" t="inlineStr">
        <is>
          <t>O43</t>
        </is>
      </c>
      <c r="C157" s="0" t="n">
        <v>98.5</v>
      </c>
      <c r="D157" s="0" t="inlineStr">
        <is>
          <t>recall_percent</t>
        </is>
      </c>
      <c r="E157" s="0" t="n">
        <v>10</v>
      </c>
      <c r="F157" s="0" t="n">
        <v>96</v>
      </c>
      <c r="G157" s="0" t="n">
        <v>1</v>
      </c>
      <c r="H157" s="0" t="inlineStr">
        <is>
          <t>/mnt/d/paper_source/work_9/VeriANN_repro_2026-09-30/VeriANN_repro_2026-09-30/results/work9-multidata-20261015/deep1m/Ours-curve-1000000/per_query.csv</t>
        </is>
      </c>
    </row>
    <row r="158">
      <c r="A158" s="0" t="inlineStr">
        <is>
          <t>DEEP1M</t>
        </is>
      </c>
      <c r="B158" s="0" t="inlineStr">
        <is>
          <t>O44</t>
        </is>
      </c>
      <c r="C158" s="0" t="n">
        <v>3.40401168333333</v>
      </c>
      <c r="D158" s="0" t="inlineStr">
        <is>
          <t>query_ms</t>
        </is>
      </c>
      <c r="E158" s="0" t="n">
        <v>10</v>
      </c>
      <c r="F158" s="0" t="n">
        <v>96</v>
      </c>
      <c r="G158" s="0" t="n">
        <v>1</v>
      </c>
      <c r="H158" s="0" t="inlineStr">
        <is>
          <t>/mnt/d/paper_source/work_9/VeriANN_repro_2026-09-30/VeriANN_repro_2026-09-30/results/work9-multidata-20261015/deep1m/Ours-curve-1000000/per_query.csv</t>
        </is>
      </c>
    </row>
    <row r="159">
      <c r="A159" s="0" t="inlineStr">
        <is>
          <t>DEEP1M</t>
        </is>
      </c>
      <c r="B159" s="0" t="inlineStr">
        <is>
          <t>P23</t>
        </is>
      </c>
      <c r="C159" s="0" t="n">
        <v>99</v>
      </c>
      <c r="D159" s="0" t="inlineStr">
        <is>
          <t>recall_percent</t>
        </is>
      </c>
      <c r="E159" s="0" t="n">
        <v>10</v>
      </c>
      <c r="F159" s="0" t="n">
        <v>128</v>
      </c>
      <c r="G159" s="0" t="n">
        <v>1</v>
      </c>
      <c r="H159" s="0" t="inlineStr">
        <is>
          <t>/mnt/d/paper_source/work_9/VeriANN_repro_2026-09-30/VeriANN_repro_2026-09-30/results/work9-multidata-20261015/deep1m/Ours-curve-1000000/per_query.csv</t>
        </is>
      </c>
    </row>
    <row r="160">
      <c r="A160" s="0" t="inlineStr">
        <is>
          <t>DEEP1M</t>
        </is>
      </c>
      <c r="B160" s="0" t="inlineStr">
        <is>
          <t>P24</t>
        </is>
      </c>
      <c r="C160" s="0" t="n">
        <v>405.5006</v>
      </c>
      <c r="D160" s="0" t="inlineStr">
        <is>
          <t>vo_kb</t>
        </is>
      </c>
      <c r="E160" s="0" t="n">
        <v>10</v>
      </c>
      <c r="F160" s="0" t="n">
        <v>128</v>
      </c>
      <c r="G160" s="0" t="n">
        <v>1</v>
      </c>
      <c r="H160" s="0" t="inlineStr">
        <is>
          <t>/mnt/d/paper_source/work_9/VeriANN_repro_2026-09-30/VeriANN_repro_2026-09-30/results/work9-multidata-20261015/deep1m/Ours-curve-1000000/per_query.csv</t>
        </is>
      </c>
    </row>
    <row r="161">
      <c r="A161" s="0" t="inlineStr">
        <is>
          <t>DEEP1M</t>
        </is>
      </c>
      <c r="B161" s="0" t="inlineStr">
        <is>
          <t>P33</t>
        </is>
      </c>
      <c r="C161" s="0" t="n">
        <v>99</v>
      </c>
      <c r="D161" s="0" t="inlineStr">
        <is>
          <t>recall_percent</t>
        </is>
      </c>
      <c r="E161" s="0" t="n">
        <v>10</v>
      </c>
      <c r="F161" s="0" t="n">
        <v>128</v>
      </c>
      <c r="G161" s="0" t="n">
        <v>1</v>
      </c>
      <c r="H161" s="0" t="inlineStr">
        <is>
          <t>/mnt/d/paper_source/work_9/VeriANN_repro_2026-09-30/VeriANN_repro_2026-09-30/results/work9-multidata-20261015/deep1m/Ours-curve-1000000/per_query.csv</t>
        </is>
      </c>
    </row>
    <row r="162">
      <c r="A162" s="0" t="inlineStr">
        <is>
          <t>DEEP1M</t>
        </is>
      </c>
      <c r="B162" s="0" t="inlineStr">
        <is>
          <t>P34</t>
        </is>
      </c>
      <c r="C162" s="0" t="n">
        <v>9.4468192</v>
      </c>
      <c r="D162" s="0" t="inlineStr">
        <is>
          <t>verify_ms</t>
        </is>
      </c>
      <c r="E162" s="0" t="n">
        <v>10</v>
      </c>
      <c r="F162" s="0" t="n">
        <v>128</v>
      </c>
      <c r="G162" s="0" t="n">
        <v>1</v>
      </c>
      <c r="H162" s="0" t="inlineStr">
        <is>
          <t>/mnt/d/paper_source/work_9/VeriANN_repro_2026-09-30/VeriANN_repro_2026-09-30/results/work9-multidata-20261015/deep1m/Ours-curve-1000000/per_query.csv</t>
        </is>
      </c>
    </row>
    <row r="163">
      <c r="A163" s="0" t="inlineStr">
        <is>
          <t>DEEP1M</t>
        </is>
      </c>
      <c r="B163" s="0" t="inlineStr">
        <is>
          <t>P43</t>
        </is>
      </c>
      <c r="C163" s="0" t="n">
        <v>99</v>
      </c>
      <c r="D163" s="0" t="inlineStr">
        <is>
          <t>recall_percent</t>
        </is>
      </c>
      <c r="E163" s="0" t="n">
        <v>10</v>
      </c>
      <c r="F163" s="0" t="n">
        <v>128</v>
      </c>
      <c r="G163" s="0" t="n">
        <v>1</v>
      </c>
      <c r="H163" s="0" t="inlineStr">
        <is>
          <t>/mnt/d/paper_source/work_9/VeriANN_repro_2026-09-30/VeriANN_repro_2026-09-30/results/work9-multidata-20261015/deep1m/Ours-curve-1000000/per_query.csv</t>
        </is>
      </c>
    </row>
    <row r="164">
      <c r="A164" s="0" t="inlineStr">
        <is>
          <t>DEEP1M</t>
        </is>
      </c>
      <c r="B164" s="0" t="inlineStr">
        <is>
          <t>P44</t>
        </is>
      </c>
      <c r="C164" s="0" t="n">
        <v>4.2387441</v>
      </c>
      <c r="D164" s="0" t="inlineStr">
        <is>
          <t>query_ms</t>
        </is>
      </c>
      <c r="E164" s="0" t="n">
        <v>10</v>
      </c>
      <c r="F164" s="0" t="n">
        <v>128</v>
      </c>
      <c r="G164" s="0" t="n">
        <v>1</v>
      </c>
      <c r="H164" s="0" t="inlineStr">
        <is>
          <t>/mnt/d/paper_source/work_9/VeriANN_repro_2026-09-30/VeriANN_repro_2026-09-30/results/work9-multidata-20261015/deep1m/Ours-curve-1000000/per_query.csv</t>
        </is>
      </c>
    </row>
    <row r="165">
      <c r="A165" s="0" t="inlineStr">
        <is>
          <t>DEEP1M</t>
        </is>
      </c>
      <c r="B165" s="0" t="inlineStr">
        <is>
          <t>E11</t>
        </is>
      </c>
      <c r="C165" s="0" t="n">
        <v>97.5</v>
      </c>
      <c r="D165" s="0" t="inlineStr">
        <is>
          <t>recall_percent</t>
        </is>
      </c>
      <c r="E165" s="0" t="n">
        <v>10</v>
      </c>
      <c r="F165" s="0" t="n">
        <v>64</v>
      </c>
      <c r="G165" s="0" t="n">
        <v>1</v>
      </c>
      <c r="H165" s="0" t="inlineStr">
        <is>
          <t>/mnt/d/paper_source/work_9/VeriANN_repro_2026-09-30/VeriANN_repro_2026-09-30/results/work9-multidata-20261015/deep1m/Ours-curve-1000000/per_query.csv</t>
        </is>
      </c>
    </row>
    <row r="166">
      <c r="A166" s="0" t="inlineStr">
        <is>
          <t>DEEP1M</t>
        </is>
      </c>
      <c r="B166" s="0" t="inlineStr">
        <is>
          <t>F11</t>
        </is>
      </c>
      <c r="C166" s="0" t="n">
        <v>2.5314656</v>
      </c>
      <c r="D166" s="0" t="inlineStr">
        <is>
          <t>query_ms</t>
        </is>
      </c>
      <c r="E166" s="0" t="n">
        <v>10</v>
      </c>
      <c r="F166" s="0" t="n">
        <v>64</v>
      </c>
      <c r="G166" s="0" t="n">
        <v>1</v>
      </c>
      <c r="H166" s="0" t="inlineStr">
        <is>
          <t>/mnt/d/paper_source/work_9/VeriANN_repro_2026-09-30/VeriANN_repro_2026-09-30/results/work9-multidata-20261015/deep1m/Ours-curve-1000000/per_query.csv</t>
        </is>
      </c>
    </row>
    <row r="167">
      <c r="A167" s="0" t="inlineStr">
        <is>
          <t>DEEP1M</t>
        </is>
      </c>
      <c r="B167" s="0" t="inlineStr">
        <is>
          <t>G11</t>
        </is>
      </c>
      <c r="C167" s="0" t="n">
        <v>271.0874</v>
      </c>
      <c r="D167" s="0" t="inlineStr">
        <is>
          <t>vo_kb</t>
        </is>
      </c>
      <c r="E167" s="0" t="n">
        <v>10</v>
      </c>
      <c r="F167" s="0" t="n">
        <v>64</v>
      </c>
      <c r="G167" s="0" t="n">
        <v>1</v>
      </c>
      <c r="H167" s="0" t="inlineStr">
        <is>
          <t>/mnt/d/paper_source/work_9/VeriANN_repro_2026-09-30/VeriANN_repro_2026-09-30/results/work9-multidata-20261015/deep1m/Ours-curve-1000000/per_query.csv</t>
        </is>
      </c>
    </row>
    <row r="168">
      <c r="A168" s="0" t="inlineStr">
        <is>
          <t>DEEP1M</t>
        </is>
      </c>
      <c r="B168" s="0" t="inlineStr">
        <is>
          <t>H11</t>
        </is>
      </c>
      <c r="C168" s="0" t="n">
        <v>6.1193687</v>
      </c>
      <c r="D168" s="0" t="inlineStr">
        <is>
          <t>verify_ms</t>
        </is>
      </c>
      <c r="E168" s="0" t="n">
        <v>10</v>
      </c>
      <c r="F168" s="0" t="n">
        <v>64</v>
      </c>
      <c r="G168" s="0" t="n">
        <v>1</v>
      </c>
      <c r="H168" s="0" t="inlineStr">
        <is>
          <t>/mnt/d/paper_source/work_9/VeriANN_repro_2026-09-30/VeriANN_repro_2026-09-30/results/work9-multidata-20261015/deep1m/Ours-curve-1000000/per_query.csv</t>
        </is>
      </c>
    </row>
    <row r="169">
      <c r="A169" s="0" t="inlineStr">
        <is>
          <t>DEEP1M</t>
        </is>
      </c>
      <c r="B169" s="0" t="inlineStr">
        <is>
          <t>F86</t>
        </is>
      </c>
      <c r="C169" s="0" t="n">
        <v>168.3194</v>
      </c>
      <c r="D169" s="0" t="inlineStr">
        <is>
          <t>vo_kb</t>
        </is>
      </c>
      <c r="E169" s="0" t="n">
        <v>1</v>
      </c>
      <c r="F169" s="0" t="n">
        <v>64</v>
      </c>
      <c r="G169" s="0" t="n">
        <v>1</v>
      </c>
      <c r="H169" s="0" t="inlineStr">
        <is>
          <t>/mnt/d/paper_source/work_9/VeriANN_repro_2026-09-30/VeriANN_repro_2026-09-30/results/work9-multidata-20261015/deep1m/Ours-k-1000000/per_query.csv</t>
        </is>
      </c>
    </row>
    <row r="170">
      <c r="A170" s="0" t="inlineStr">
        <is>
          <t>DEEP1M</t>
        </is>
      </c>
      <c r="B170" s="0" t="inlineStr">
        <is>
          <t>F96</t>
        </is>
      </c>
      <c r="C170" s="0" t="n">
        <v>3.65461865</v>
      </c>
      <c r="D170" s="0" t="inlineStr">
        <is>
          <t>verify_ms</t>
        </is>
      </c>
      <c r="E170" s="0" t="n">
        <v>1</v>
      </c>
      <c r="F170" s="0" t="n">
        <v>64</v>
      </c>
      <c r="G170" s="0" t="n">
        <v>1</v>
      </c>
      <c r="H170" s="0" t="inlineStr">
        <is>
          <t>/mnt/d/paper_source/work_9/VeriANN_repro_2026-09-30/VeriANN_repro_2026-09-30/results/work9-multidata-20261015/deep1m/Ours-k-1000000/per_query.csv</t>
        </is>
      </c>
    </row>
    <row r="171">
      <c r="A171" s="0" t="inlineStr">
        <is>
          <t>DEEP1M</t>
        </is>
      </c>
      <c r="B171" s="0" t="inlineStr">
        <is>
          <t>F105</t>
        </is>
      </c>
      <c r="C171" s="0" t="n">
        <v>1.99976848333333</v>
      </c>
      <c r="D171" s="0" t="inlineStr">
        <is>
          <t>query_ms</t>
        </is>
      </c>
      <c r="E171" s="0" t="n">
        <v>1</v>
      </c>
      <c r="F171" s="0" t="n">
        <v>64</v>
      </c>
      <c r="G171" s="0" t="n">
        <v>1</v>
      </c>
      <c r="H171" s="0" t="inlineStr">
        <is>
          <t>/mnt/d/paper_source/work_9/VeriANN_repro_2026-09-30/VeriANN_repro_2026-09-30/results/work9-multidata-20261015/deep1m/Ours-k-1000000/per_query.csv</t>
        </is>
      </c>
    </row>
    <row r="172">
      <c r="A172" s="0" t="inlineStr">
        <is>
          <t>DEEP1M</t>
        </is>
      </c>
      <c r="B172" s="0" t="inlineStr">
        <is>
          <t>G86</t>
        </is>
      </c>
      <c r="C172" s="0" t="n">
        <v>235.5306</v>
      </c>
      <c r="D172" s="0" t="inlineStr">
        <is>
          <t>vo_kb</t>
        </is>
      </c>
      <c r="E172" s="0" t="n">
        <v>5</v>
      </c>
      <c r="F172" s="0" t="n">
        <v>64</v>
      </c>
      <c r="G172" s="0" t="n">
        <v>1</v>
      </c>
      <c r="H172" s="0" t="inlineStr">
        <is>
          <t>/mnt/d/paper_source/work_9/VeriANN_repro_2026-09-30/VeriANN_repro_2026-09-30/results/work9-multidata-20261015/deep1m/Ours-k-1000000/per_query.csv</t>
        </is>
      </c>
    </row>
    <row r="173">
      <c r="A173" s="0" t="inlineStr">
        <is>
          <t>DEEP1M</t>
        </is>
      </c>
      <c r="B173" s="0" t="inlineStr">
        <is>
          <t>G96</t>
        </is>
      </c>
      <c r="C173" s="0" t="n">
        <v>5.27781701666667</v>
      </c>
      <c r="D173" s="0" t="inlineStr">
        <is>
          <t>verify_ms</t>
        </is>
      </c>
      <c r="E173" s="0" t="n">
        <v>5</v>
      </c>
      <c r="F173" s="0" t="n">
        <v>64</v>
      </c>
      <c r="G173" s="0" t="n">
        <v>1</v>
      </c>
      <c r="H173" s="0" t="inlineStr">
        <is>
          <t>/mnt/d/paper_source/work_9/VeriANN_repro_2026-09-30/VeriANN_repro_2026-09-30/results/work9-multidata-20261015/deep1m/Ours-k-1000000/per_query.csv</t>
        </is>
      </c>
    </row>
    <row r="174">
      <c r="A174" s="0" t="inlineStr">
        <is>
          <t>DEEP1M</t>
        </is>
      </c>
      <c r="B174" s="0" t="inlineStr">
        <is>
          <t>G105</t>
        </is>
      </c>
      <c r="C174" s="0" t="n">
        <v>2.31089056666667</v>
      </c>
      <c r="D174" s="0" t="inlineStr">
        <is>
          <t>query_ms</t>
        </is>
      </c>
      <c r="E174" s="0" t="n">
        <v>5</v>
      </c>
      <c r="F174" s="0" t="n">
        <v>64</v>
      </c>
      <c r="G174" s="0" t="n">
        <v>1</v>
      </c>
      <c r="H174" s="0" t="inlineStr">
        <is>
          <t>/mnt/d/paper_source/work_9/VeriANN_repro_2026-09-30/VeriANN_repro_2026-09-30/results/work9-multidata-20261015/deep1m/Ours-k-1000000/per_query.csv</t>
        </is>
      </c>
    </row>
    <row r="175">
      <c r="A175" s="0" t="inlineStr">
        <is>
          <t>DEEP1M</t>
        </is>
      </c>
      <c r="B175" s="0" t="inlineStr">
        <is>
          <t>H86</t>
        </is>
      </c>
      <c r="C175" s="0" t="n">
        <v>271.0874</v>
      </c>
      <c r="D175" s="0" t="inlineStr">
        <is>
          <t>vo_kb</t>
        </is>
      </c>
      <c r="E175" s="0" t="n">
        <v>10</v>
      </c>
      <c r="F175" s="0" t="n">
        <v>64</v>
      </c>
      <c r="G175" s="0" t="n">
        <v>1</v>
      </c>
      <c r="H175" s="0" t="inlineStr">
        <is>
          <t>/mnt/d/paper_source/work_9/VeriANN_repro_2026-09-30/VeriANN_repro_2026-09-30/results/work9-multidata-20261015/deep1m/Ours-k-1000000/per_query.csv</t>
        </is>
      </c>
    </row>
    <row r="176">
      <c r="A176" s="0" t="inlineStr">
        <is>
          <t>DEEP1M</t>
        </is>
      </c>
      <c r="B176" s="0" t="inlineStr">
        <is>
          <t>H96</t>
        </is>
      </c>
      <c r="C176" s="0" t="n">
        <v>6.14438738333333</v>
      </c>
      <c r="D176" s="0" t="inlineStr">
        <is>
          <t>verify_ms</t>
        </is>
      </c>
      <c r="E176" s="0" t="n">
        <v>10</v>
      </c>
      <c r="F176" s="0" t="n">
        <v>64</v>
      </c>
      <c r="G176" s="0" t="n">
        <v>1</v>
      </c>
      <c r="H176" s="0" t="inlineStr">
        <is>
          <t>/mnt/d/paper_source/work_9/VeriANN_repro_2026-09-30/VeriANN_repro_2026-09-30/results/work9-multidata-20261015/deep1m/Ours-k-1000000/per_query.csv</t>
        </is>
      </c>
    </row>
    <row r="177">
      <c r="A177" s="0" t="inlineStr">
        <is>
          <t>DEEP1M</t>
        </is>
      </c>
      <c r="B177" s="0" t="inlineStr">
        <is>
          <t>H105</t>
        </is>
      </c>
      <c r="C177" s="0" t="n">
        <v>2.61255283333333</v>
      </c>
      <c r="D177" s="0" t="inlineStr">
        <is>
          <t>query_ms</t>
        </is>
      </c>
      <c r="E177" s="0" t="n">
        <v>10</v>
      </c>
      <c r="F177" s="0" t="n">
        <v>64</v>
      </c>
      <c r="G177" s="0" t="n">
        <v>1</v>
      </c>
      <c r="H177" s="0" t="inlineStr">
        <is>
          <t>/mnt/d/paper_source/work_9/VeriANN_repro_2026-09-30/VeriANN_repro_2026-09-30/results/work9-multidata-20261015/deep1m/Ours-k-1000000/per_query.csv</t>
        </is>
      </c>
    </row>
    <row r="178">
      <c r="A178" s="0" t="inlineStr">
        <is>
          <t>DEEP1M</t>
        </is>
      </c>
      <c r="B178" s="0" t="inlineStr">
        <is>
          <t>I86</t>
        </is>
      </c>
      <c r="C178" s="0" t="n">
        <v>311.4214</v>
      </c>
      <c r="D178" s="0" t="inlineStr">
        <is>
          <t>vo_kb</t>
        </is>
      </c>
      <c r="E178" s="0" t="n">
        <v>20</v>
      </c>
      <c r="F178" s="0" t="n">
        <v>64</v>
      </c>
      <c r="G178" s="0" t="n">
        <v>1</v>
      </c>
      <c r="H178" s="0" t="inlineStr">
        <is>
          <t>/mnt/d/paper_source/work_9/VeriANN_repro_2026-09-30/VeriANN_repro_2026-09-30/results/work9-multidata-20261015/deep1m/Ours-k-1000000/per_query.csv</t>
        </is>
      </c>
    </row>
    <row r="179">
      <c r="A179" s="0" t="inlineStr">
        <is>
          <t>DEEP1M</t>
        </is>
      </c>
      <c r="B179" s="0" t="inlineStr">
        <is>
          <t>I96</t>
        </is>
      </c>
      <c r="C179" s="0" t="n">
        <v>7.03352981666667</v>
      </c>
      <c r="D179" s="0" t="inlineStr">
        <is>
          <t>verify_ms</t>
        </is>
      </c>
      <c r="E179" s="0" t="n">
        <v>20</v>
      </c>
      <c r="F179" s="0" t="n">
        <v>64</v>
      </c>
      <c r="G179" s="0" t="n">
        <v>1</v>
      </c>
      <c r="H179" s="0" t="inlineStr">
        <is>
          <t>/mnt/d/paper_source/work_9/VeriANN_repro_2026-09-30/VeriANN_repro_2026-09-30/results/work9-multidata-20261015/deep1m/Ours-k-1000000/per_query.csv</t>
        </is>
      </c>
    </row>
    <row r="180">
      <c r="A180" s="0" t="inlineStr">
        <is>
          <t>DEEP1M</t>
        </is>
      </c>
      <c r="B180" s="0" t="inlineStr">
        <is>
          <t>I105</t>
        </is>
      </c>
      <c r="C180" s="0" t="n">
        <v>2.7890055</v>
      </c>
      <c r="D180" s="0" t="inlineStr">
        <is>
          <t>query_ms</t>
        </is>
      </c>
      <c r="E180" s="0" t="n">
        <v>20</v>
      </c>
      <c r="F180" s="0" t="n">
        <v>64</v>
      </c>
      <c r="G180" s="0" t="n">
        <v>1</v>
      </c>
      <c r="H180" s="0" t="inlineStr">
        <is>
          <t>/mnt/d/paper_source/work_9/VeriANN_repro_2026-09-30/VeriANN_repro_2026-09-30/results/work9-multidata-20261015/deep1m/Ours-k-1000000/per_query.csv</t>
        </is>
      </c>
    </row>
    <row r="181">
      <c r="A181" s="0" t="inlineStr">
        <is>
          <t>DEEP1M</t>
        </is>
      </c>
      <c r="B181" s="0" t="inlineStr">
        <is>
          <t>J86</t>
        </is>
      </c>
      <c r="C181" s="0" t="n">
        <v>394.7074</v>
      </c>
      <c r="D181" s="0" t="inlineStr">
        <is>
          <t>vo_kb</t>
        </is>
      </c>
      <c r="E181" s="0" t="n">
        <v>50</v>
      </c>
      <c r="F181" s="0" t="n">
        <v>64</v>
      </c>
      <c r="G181" s="0" t="n">
        <v>1</v>
      </c>
      <c r="H181" s="0" t="inlineStr">
        <is>
          <t>/mnt/d/paper_source/work_9/VeriANN_repro_2026-09-30/VeriANN_repro_2026-09-30/results/work9-multidata-20261015/deep1m/Ours-k-1000000/per_query.csv</t>
        </is>
      </c>
    </row>
    <row r="182">
      <c r="A182" s="0" t="inlineStr">
        <is>
          <t>DEEP1M</t>
        </is>
      </c>
      <c r="B182" s="0" t="inlineStr">
        <is>
          <t>J96</t>
        </is>
      </c>
      <c r="C182" s="0" t="n">
        <v>8.7224146</v>
      </c>
      <c r="D182" s="0" t="inlineStr">
        <is>
          <t>verify_ms</t>
        </is>
      </c>
      <c r="E182" s="0" t="n">
        <v>50</v>
      </c>
      <c r="F182" s="0" t="n">
        <v>64</v>
      </c>
      <c r="G182" s="0" t="n">
        <v>1</v>
      </c>
      <c r="H182" s="0" t="inlineStr">
        <is>
          <t>/mnt/d/paper_source/work_9/VeriANN_repro_2026-09-30/VeriANN_repro_2026-09-30/results/work9-multidata-20261015/deep1m/Ours-k-1000000/per_query.csv</t>
        </is>
      </c>
    </row>
    <row r="183">
      <c r="A183" s="0" t="inlineStr">
        <is>
          <t>DEEP1M</t>
        </is>
      </c>
      <c r="B183" s="0" t="inlineStr">
        <is>
          <t>J105</t>
        </is>
      </c>
      <c r="C183" s="0" t="n">
        <v>3.26370998333333</v>
      </c>
      <c r="D183" s="0" t="inlineStr">
        <is>
          <t>query_ms</t>
        </is>
      </c>
      <c r="E183" s="0" t="n">
        <v>50</v>
      </c>
      <c r="F183" s="0" t="n">
        <v>64</v>
      </c>
      <c r="G183" s="0" t="n">
        <v>1</v>
      </c>
      <c r="H183" s="0" t="inlineStr">
        <is>
          <t>/mnt/d/paper_source/work_9/VeriANN_repro_2026-09-30/VeriANN_repro_2026-09-30/results/work9-multidata-20261015/deep1m/Ours-k-1000000/per_query.csv</t>
        </is>
      </c>
    </row>
    <row r="184">
      <c r="A184" s="0" t="inlineStr">
        <is>
          <t>DEEP1M</t>
        </is>
      </c>
      <c r="B184" s="0" t="inlineStr">
        <is>
          <t>K86</t>
        </is>
      </c>
      <c r="C184" s="0" t="n">
        <v>479.8746</v>
      </c>
      <c r="D184" s="0" t="inlineStr">
        <is>
          <t>vo_kb</t>
        </is>
      </c>
      <c r="E184" s="0" t="n">
        <v>100</v>
      </c>
      <c r="F184" s="0" t="n">
        <v>64</v>
      </c>
      <c r="G184" s="0" t="n">
        <v>1</v>
      </c>
      <c r="H184" s="0" t="inlineStr">
        <is>
          <t>/mnt/d/paper_source/work_9/VeriANN_repro_2026-09-30/VeriANN_repro_2026-09-30/results/work9-multidata-20261015/deep1m/Ours-k-1000000/per_query.csv</t>
        </is>
      </c>
    </row>
    <row r="185">
      <c r="A185" s="0" t="inlineStr">
        <is>
          <t>DEEP1M</t>
        </is>
      </c>
      <c r="B185" s="0" t="inlineStr">
        <is>
          <t>K96</t>
        </is>
      </c>
      <c r="C185" s="0" t="n">
        <v>10.32036355</v>
      </c>
      <c r="D185" s="0" t="inlineStr">
        <is>
          <t>verify_ms</t>
        </is>
      </c>
      <c r="E185" s="0" t="n">
        <v>100</v>
      </c>
      <c r="F185" s="0" t="n">
        <v>64</v>
      </c>
      <c r="G185" s="0" t="n">
        <v>1</v>
      </c>
      <c r="H185" s="0" t="inlineStr">
        <is>
          <t>/mnt/d/paper_source/work_9/VeriANN_repro_2026-09-30/VeriANN_repro_2026-09-30/results/work9-multidata-20261015/deep1m/Ours-k-1000000/per_query.csv</t>
        </is>
      </c>
    </row>
    <row r="186">
      <c r="A186" s="0" t="inlineStr">
        <is>
          <t>DEEP1M</t>
        </is>
      </c>
      <c r="B186" s="0" t="inlineStr">
        <is>
          <t>K105</t>
        </is>
      </c>
      <c r="C186" s="0" t="n">
        <v>3.81614001666667</v>
      </c>
      <c r="D186" s="0" t="inlineStr">
        <is>
          <t>query_ms</t>
        </is>
      </c>
      <c r="E186" s="0" t="n">
        <v>100</v>
      </c>
      <c r="F186" s="0" t="n">
        <v>64</v>
      </c>
      <c r="G186" s="0" t="n">
        <v>1</v>
      </c>
      <c r="H186" s="0" t="inlineStr">
        <is>
          <t>/mnt/d/paper_source/work_9/VeriANN_repro_2026-09-30/VeriANN_repro_2026-09-30/results/work9-multidata-20261015/deep1m/Ours-k-1000000/per_query.csv</t>
        </is>
      </c>
    </row>
    <row r="187">
      <c r="A187" s="0" t="inlineStr">
        <is>
          <t>DEEP1M</t>
        </is>
      </c>
      <c r="B187" s="0" t="inlineStr">
        <is>
          <t>F56</t>
        </is>
      </c>
      <c r="C187" s="0" t="n">
        <v>158.2168</v>
      </c>
      <c r="D187" s="0" t="inlineStr">
        <is>
          <t>vo_kb</t>
        </is>
      </c>
      <c r="E187" s="0" t="n">
        <v>10</v>
      </c>
      <c r="F187" s="0" t="n">
        <v>64</v>
      </c>
      <c r="G187" s="0" t="n">
        <v>1</v>
      </c>
      <c r="H187" s="0" t="inlineStr">
        <is>
          <t>/mnt/d/paper_source/work_9/VeriANN_repro_2026-09-30/VeriANN_repro_2026-09-30/results/work9-multidata-20261015/deep1m/Ours-size-100000/per_query.csv</t>
        </is>
      </c>
    </row>
    <row r="188">
      <c r="A188" s="0" t="inlineStr">
        <is>
          <t>DEEP1M</t>
        </is>
      </c>
      <c r="B188" s="0" t="inlineStr">
        <is>
          <t>F66</t>
        </is>
      </c>
      <c r="C188" s="0" t="n">
        <v>3.48295088333333</v>
      </c>
      <c r="D188" s="0" t="inlineStr">
        <is>
          <t>verify_ms</t>
        </is>
      </c>
      <c r="E188" s="0" t="n">
        <v>10</v>
      </c>
      <c r="F188" s="0" t="n">
        <v>64</v>
      </c>
      <c r="G188" s="0" t="n">
        <v>1</v>
      </c>
      <c r="H188" s="0" t="inlineStr">
        <is>
          <t>/mnt/d/paper_source/work_9/VeriANN_repro_2026-09-30/VeriANN_repro_2026-09-30/results/work9-multidata-20261015/deep1m/Ours-size-100000/per_query.csv</t>
        </is>
      </c>
    </row>
    <row r="189">
      <c r="A189" s="0" t="inlineStr">
        <is>
          <t>DEEP1M</t>
        </is>
      </c>
      <c r="B189" s="0" t="inlineStr">
        <is>
          <t>F75</t>
        </is>
      </c>
      <c r="C189" s="0" t="n">
        <v>1.46408101666667</v>
      </c>
      <c r="D189" s="0" t="inlineStr">
        <is>
          <t>query_ms</t>
        </is>
      </c>
      <c r="E189" s="0" t="n">
        <v>10</v>
      </c>
      <c r="F189" s="0" t="n">
        <v>64</v>
      </c>
      <c r="G189" s="0" t="n">
        <v>1</v>
      </c>
      <c r="H189" s="0" t="inlineStr">
        <is>
          <t>/mnt/d/paper_source/work_9/VeriANN_repro_2026-09-30/VeriANN_repro_2026-09-30/results/work9-multidata-20261015/deep1m/Ours-size-100000/per_query.csv</t>
        </is>
      </c>
    </row>
    <row r="190">
      <c r="A190" s="0" t="inlineStr">
        <is>
          <t>DEEP1M</t>
        </is>
      </c>
      <c r="B190" s="0" t="inlineStr">
        <is>
          <t>H56</t>
        </is>
      </c>
      <c r="C190" s="0" t="n">
        <v>271.0874</v>
      </c>
      <c r="D190" s="0" t="inlineStr">
        <is>
          <t>vo_kb</t>
        </is>
      </c>
      <c r="E190" s="0" t="n">
        <v>10</v>
      </c>
      <c r="F190" s="0" t="n">
        <v>64</v>
      </c>
      <c r="G190" s="0" t="n">
        <v>1</v>
      </c>
      <c r="H190" s="0" t="inlineStr">
        <is>
          <t>/mnt/d/paper_source/work_9/VeriANN_repro_2026-09-30/VeriANN_repro_2026-09-30/results/work9-multidata-20261015/deep1m/Ours-curve-1000000/per_query.csv</t>
        </is>
      </c>
    </row>
    <row r="191">
      <c r="A191" s="0" t="inlineStr">
        <is>
          <t>DEEP1M</t>
        </is>
      </c>
      <c r="B191" s="0" t="inlineStr">
        <is>
          <t>H66</t>
        </is>
      </c>
      <c r="C191" s="0" t="n">
        <v>6.1193687</v>
      </c>
      <c r="D191" s="0" t="inlineStr">
        <is>
          <t>verify_ms</t>
        </is>
      </c>
      <c r="E191" s="0" t="n">
        <v>10</v>
      </c>
      <c r="F191" s="0" t="n">
        <v>64</v>
      </c>
      <c r="G191" s="0" t="n">
        <v>1</v>
      </c>
      <c r="H191" s="0" t="inlineStr">
        <is>
          <t>/mnt/d/paper_source/work_9/VeriANN_repro_2026-09-30/VeriANN_repro_2026-09-30/results/work9-multidata-20261015/deep1m/Ours-curve-1000000/per_query.csv</t>
        </is>
      </c>
    </row>
    <row r="192">
      <c r="A192" s="0" t="inlineStr">
        <is>
          <t>DEEP1M</t>
        </is>
      </c>
      <c r="B192" s="0" t="inlineStr">
        <is>
          <t>H75</t>
        </is>
      </c>
      <c r="C192" s="0" t="n">
        <v>2.5314656</v>
      </c>
      <c r="D192" s="0" t="inlineStr">
        <is>
          <t>query_ms</t>
        </is>
      </c>
      <c r="E192" s="0" t="n">
        <v>10</v>
      </c>
      <c r="F192" s="0" t="n">
        <v>64</v>
      </c>
      <c r="G192" s="0" t="n">
        <v>1</v>
      </c>
      <c r="H192" s="0" t="inlineStr">
        <is>
          <t>/mnt/d/paper_source/work_9/VeriANN_repro_2026-09-30/VeriANN_repro_2026-09-30/results/work9-multidata-20261015/deep1m/Ours-curve-1000000/per_query.csv</t>
        </is>
      </c>
    </row>
    <row r="193">
      <c r="A193" s="0" t="inlineStr">
        <is>
          <t>DEEP1M</t>
        </is>
      </c>
      <c r="B193" s="0" t="inlineStr">
        <is>
          <t>G56</t>
        </is>
      </c>
      <c r="C193" s="0" t="n">
        <v>232.5502</v>
      </c>
      <c r="D193" s="0" t="inlineStr">
        <is>
          <t>vo_kb</t>
        </is>
      </c>
      <c r="E193" s="0" t="n">
        <v>10</v>
      </c>
      <c r="F193" s="0" t="n">
        <v>64</v>
      </c>
      <c r="G193" s="0" t="n">
        <v>1</v>
      </c>
      <c r="H193" s="0" t="inlineStr">
        <is>
          <t>/mnt/d/paper_source/work_9/VeriANN_repro_2026-09-30/VeriANN_repro_2026-09-30/results/work9-multidata-20261015/deep1m/Ours-size-500000/per_query.csv</t>
        </is>
      </c>
    </row>
    <row r="194">
      <c r="A194" s="0" t="inlineStr">
        <is>
          <t>DEEP1M</t>
        </is>
      </c>
      <c r="B194" s="0" t="inlineStr">
        <is>
          <t>G66</t>
        </is>
      </c>
      <c r="C194" s="0" t="n">
        <v>5.32543016666667</v>
      </c>
      <c r="D194" s="0" t="inlineStr">
        <is>
          <t>verify_ms</t>
        </is>
      </c>
      <c r="E194" s="0" t="n">
        <v>10</v>
      </c>
      <c r="F194" s="0" t="n">
        <v>64</v>
      </c>
      <c r="G194" s="0" t="n">
        <v>1</v>
      </c>
      <c r="H194" s="0" t="inlineStr">
        <is>
          <t>/mnt/d/paper_source/work_9/VeriANN_repro_2026-09-30/VeriANN_repro_2026-09-30/results/work9-multidata-20261015/deep1m/Ours-size-500000/per_query.csv</t>
        </is>
      </c>
    </row>
    <row r="195">
      <c r="A195" s="0" t="inlineStr">
        <is>
          <t>DEEP1M</t>
        </is>
      </c>
      <c r="B195" s="0" t="inlineStr">
        <is>
          <t>G75</t>
        </is>
      </c>
      <c r="C195" s="0" t="n">
        <v>2.29060276666667</v>
      </c>
      <c r="D195" s="0" t="inlineStr">
        <is>
          <t>query_ms</t>
        </is>
      </c>
      <c r="E195" s="0" t="n">
        <v>10</v>
      </c>
      <c r="F195" s="0" t="n">
        <v>64</v>
      </c>
      <c r="G195" s="0" t="n">
        <v>1</v>
      </c>
      <c r="H195" s="0" t="inlineStr">
        <is>
          <t>/mnt/d/paper_source/work_9/VeriANN_repro_2026-09-30/VeriANN_repro_2026-09-30/results/work9-multidata-20261015/deep1m/Ours-size-500000/per_query.csv</t>
        </is>
      </c>
    </row>
    <row r="196">
      <c r="A196" s="0" t="inlineStr">
        <is>
          <t>DEEP1M</t>
        </is>
      </c>
      <c r="B196" s="0" t="inlineStr">
        <is>
          <t>F19</t>
        </is>
      </c>
      <c r="C196" s="0" t="n">
        <v>60.5</v>
      </c>
      <c r="D196" s="0" t="inlineStr">
        <is>
          <t>recall_percent</t>
        </is>
      </c>
      <c r="E196" s="0" t="n">
        <v>10</v>
      </c>
      <c r="F196" s="0" t="n">
        <v>100</v>
      </c>
      <c r="G196" s="0" t="n">
        <v>9</v>
      </c>
      <c r="H196" s="0" t="inlineStr">
        <is>
          <t>/mnt/d/paper_source/work_9/VeriANN_repro_2026-09-30/VeriANN_repro_2026-09-30/results/work9-multidata-20261015/deep1m/VLAH-curve-1000000/per_query.csv</t>
        </is>
      </c>
    </row>
    <row r="197">
      <c r="A197" s="0" t="inlineStr">
        <is>
          <t>DEEP1M</t>
        </is>
      </c>
      <c r="B197" s="0" t="inlineStr">
        <is>
          <t>F20</t>
        </is>
      </c>
      <c r="C197" s="0" t="n">
        <v>7541.69535</v>
      </c>
      <c r="D197" s="0" t="inlineStr">
        <is>
          <t>vo_kb</t>
        </is>
      </c>
      <c r="E197" s="0" t="n">
        <v>10</v>
      </c>
      <c r="F197" s="0" t="n">
        <v>100</v>
      </c>
      <c r="G197" s="0" t="n">
        <v>9</v>
      </c>
      <c r="H197" s="0" t="inlineStr">
        <is>
          <t>/mnt/d/paper_source/work_9/VeriANN_repro_2026-09-30/VeriANN_repro_2026-09-30/results/work9-multidata-20261015/deep1m/VLAH-curve-1000000/per_query.csv</t>
        </is>
      </c>
    </row>
    <row r="198">
      <c r="A198" s="0" t="inlineStr">
        <is>
          <t>DEEP1M</t>
        </is>
      </c>
      <c r="B198" s="0" t="inlineStr">
        <is>
          <t>F29</t>
        </is>
      </c>
      <c r="C198" s="0" t="n">
        <v>60.5</v>
      </c>
      <c r="D198" s="0" t="inlineStr">
        <is>
          <t>recall_percent</t>
        </is>
      </c>
      <c r="E198" s="0" t="n">
        <v>10</v>
      </c>
      <c r="F198" s="0" t="n">
        <v>100</v>
      </c>
      <c r="G198" s="0" t="n">
        <v>9</v>
      </c>
      <c r="H198" s="0" t="inlineStr">
        <is>
          <t>/mnt/d/paper_source/work_9/VeriANN_repro_2026-09-30/VeriANN_repro_2026-09-30/results/work9-multidata-20261015/deep1m/VLAH-curve-1000000/per_query.csv</t>
        </is>
      </c>
    </row>
    <row r="199">
      <c r="A199" s="0" t="inlineStr">
        <is>
          <t>DEEP1M</t>
        </is>
      </c>
      <c r="B199" s="0" t="inlineStr">
        <is>
          <t>F30</t>
        </is>
      </c>
      <c r="C199" s="0" t="n">
        <v>53.6938911666667</v>
      </c>
      <c r="D199" s="0" t="inlineStr">
        <is>
          <t>verify_ms</t>
        </is>
      </c>
      <c r="E199" s="0" t="n">
        <v>10</v>
      </c>
      <c r="F199" s="0" t="n">
        <v>100</v>
      </c>
      <c r="G199" s="0" t="n">
        <v>9</v>
      </c>
      <c r="H199" s="0" t="inlineStr">
        <is>
          <t>/mnt/d/paper_source/work_9/VeriANN_repro_2026-09-30/VeriANN_repro_2026-09-30/results/work9-multidata-20261015/deep1m/VLAH-curve-1000000/per_query.csv</t>
        </is>
      </c>
    </row>
    <row r="200">
      <c r="A200" s="0" t="inlineStr">
        <is>
          <t>DEEP1M</t>
        </is>
      </c>
      <c r="B200" s="0" t="inlineStr">
        <is>
          <t>F39</t>
        </is>
      </c>
      <c r="C200" s="0" t="n">
        <v>60.5</v>
      </c>
      <c r="D200" s="0" t="inlineStr">
        <is>
          <t>recall_percent</t>
        </is>
      </c>
      <c r="E200" s="0" t="n">
        <v>10</v>
      </c>
      <c r="F200" s="0" t="n">
        <v>100</v>
      </c>
      <c r="G200" s="0" t="n">
        <v>9</v>
      </c>
      <c r="H200" s="0" t="inlineStr">
        <is>
          <t>/mnt/d/paper_source/work_9/VeriANN_repro_2026-09-30/VeriANN_repro_2026-09-30/results/work9-multidata-20261015/deep1m/VLAH-curve-1000000/per_query.csv</t>
        </is>
      </c>
    </row>
    <row r="201">
      <c r="A201" s="0" t="inlineStr">
        <is>
          <t>DEEP1M</t>
        </is>
      </c>
      <c r="B201" s="0" t="inlineStr">
        <is>
          <t>F40</t>
        </is>
      </c>
      <c r="C201" s="0" t="n">
        <v>19.13366525</v>
      </c>
      <c r="D201" s="0" t="inlineStr">
        <is>
          <t>query_ms</t>
        </is>
      </c>
      <c r="E201" s="0" t="n">
        <v>10</v>
      </c>
      <c r="F201" s="0" t="n">
        <v>100</v>
      </c>
      <c r="G201" s="0" t="n">
        <v>9</v>
      </c>
      <c r="H201" s="0" t="inlineStr">
        <is>
          <t>/mnt/d/paper_source/work_9/VeriANN_repro_2026-09-30/VeriANN_repro_2026-09-30/results/work9-multidata-20261015/deep1m/VLAH-curve-1000000/per_query.csv</t>
        </is>
      </c>
    </row>
    <row r="202">
      <c r="A202" s="0" t="inlineStr">
        <is>
          <t>DEEP1M</t>
        </is>
      </c>
      <c r="B202" s="0" t="inlineStr">
        <is>
          <t>G19</t>
        </is>
      </c>
      <c r="C202" s="0" t="n">
        <v>65.5</v>
      </c>
      <c r="D202" s="0" t="inlineStr">
        <is>
          <t>recall_percent</t>
        </is>
      </c>
      <c r="E202" s="0" t="n">
        <v>10</v>
      </c>
      <c r="F202" s="0" t="n">
        <v>100</v>
      </c>
      <c r="G202" s="0" t="n">
        <v>12</v>
      </c>
      <c r="H202" s="0" t="inlineStr">
        <is>
          <t>/mnt/d/paper_source/work_9/VeriANN_repro_2026-09-30/VeriANN_repro_2026-09-30/results/work9-multidata-20261015/deep1m/VLAH-curve-1000000/per_query.csv</t>
        </is>
      </c>
    </row>
    <row r="203">
      <c r="A203" s="0" t="inlineStr">
        <is>
          <t>DEEP1M</t>
        </is>
      </c>
      <c r="B203" s="0" t="inlineStr">
        <is>
          <t>G20</t>
        </is>
      </c>
      <c r="C203" s="0" t="n">
        <v>10100.5947</v>
      </c>
      <c r="D203" s="0" t="inlineStr">
        <is>
          <t>vo_kb</t>
        </is>
      </c>
      <c r="E203" s="0" t="n">
        <v>10</v>
      </c>
      <c r="F203" s="0" t="n">
        <v>100</v>
      </c>
      <c r="G203" s="0" t="n">
        <v>12</v>
      </c>
      <c r="H203" s="0" t="inlineStr">
        <is>
          <t>/mnt/d/paper_source/work_9/VeriANN_repro_2026-09-30/VeriANN_repro_2026-09-30/results/work9-multidata-20261015/deep1m/VLAH-curve-1000000/per_query.csv</t>
        </is>
      </c>
    </row>
    <row r="204">
      <c r="A204" s="0" t="inlineStr">
        <is>
          <t>DEEP1M</t>
        </is>
      </c>
      <c r="B204" s="0" t="inlineStr">
        <is>
          <t>G29</t>
        </is>
      </c>
      <c r="C204" s="0" t="n">
        <v>65.5</v>
      </c>
      <c r="D204" s="0" t="inlineStr">
        <is>
          <t>recall_percent</t>
        </is>
      </c>
      <c r="E204" s="0" t="n">
        <v>10</v>
      </c>
      <c r="F204" s="0" t="n">
        <v>100</v>
      </c>
      <c r="G204" s="0" t="n">
        <v>12</v>
      </c>
      <c r="H204" s="0" t="inlineStr">
        <is>
          <t>/mnt/d/paper_source/work_9/VeriANN_repro_2026-09-30/VeriANN_repro_2026-09-30/results/work9-multidata-20261015/deep1m/VLAH-curve-1000000/per_query.csv</t>
        </is>
      </c>
    </row>
    <row r="205">
      <c r="A205" s="0" t="inlineStr">
        <is>
          <t>DEEP1M</t>
        </is>
      </c>
      <c r="B205" s="0" t="inlineStr">
        <is>
          <t>G30</t>
        </is>
      </c>
      <c r="C205" s="0" t="n">
        <v>72.3760297</v>
      </c>
      <c r="D205" s="0" t="inlineStr">
        <is>
          <t>verify_ms</t>
        </is>
      </c>
      <c r="E205" s="0" t="n">
        <v>10</v>
      </c>
      <c r="F205" s="0" t="n">
        <v>100</v>
      </c>
      <c r="G205" s="0" t="n">
        <v>12</v>
      </c>
      <c r="H205" s="0" t="inlineStr">
        <is>
          <t>/mnt/d/paper_source/work_9/VeriANN_repro_2026-09-30/VeriANN_repro_2026-09-30/results/work9-multidata-20261015/deep1m/VLAH-curve-1000000/per_query.csv</t>
        </is>
      </c>
    </row>
    <row r="206">
      <c r="A206" s="0" t="inlineStr">
        <is>
          <t>DEEP1M</t>
        </is>
      </c>
      <c r="B206" s="0" t="inlineStr">
        <is>
          <t>G39</t>
        </is>
      </c>
      <c r="C206" s="0" t="n">
        <v>65.5</v>
      </c>
      <c r="D206" s="0" t="inlineStr">
        <is>
          <t>recall_percent</t>
        </is>
      </c>
      <c r="E206" s="0" t="n">
        <v>10</v>
      </c>
      <c r="F206" s="0" t="n">
        <v>100</v>
      </c>
      <c r="G206" s="0" t="n">
        <v>12</v>
      </c>
      <c r="H206" s="0" t="inlineStr">
        <is>
          <t>/mnt/d/paper_source/work_9/VeriANN_repro_2026-09-30/VeriANN_repro_2026-09-30/results/work9-multidata-20261015/deep1m/VLAH-curve-1000000/per_query.csv</t>
        </is>
      </c>
    </row>
    <row r="207">
      <c r="A207" s="0" t="inlineStr">
        <is>
          <t>DEEP1M</t>
        </is>
      </c>
      <c r="B207" s="0" t="inlineStr">
        <is>
          <t>G40</t>
        </is>
      </c>
      <c r="C207" s="0" t="n">
        <v>25.5380965</v>
      </c>
      <c r="D207" s="0" t="inlineStr">
        <is>
          <t>query_ms</t>
        </is>
      </c>
      <c r="E207" s="0" t="n">
        <v>10</v>
      </c>
      <c r="F207" s="0" t="n">
        <v>100</v>
      </c>
      <c r="G207" s="0" t="n">
        <v>12</v>
      </c>
      <c r="H207" s="0" t="inlineStr">
        <is>
          <t>/mnt/d/paper_source/work_9/VeriANN_repro_2026-09-30/VeriANN_repro_2026-09-30/results/work9-multidata-20261015/deep1m/VLAH-curve-1000000/per_query.csv</t>
        </is>
      </c>
    </row>
    <row r="208">
      <c r="A208" s="0" t="inlineStr">
        <is>
          <t>DEEP1M</t>
        </is>
      </c>
      <c r="B208" s="0" t="inlineStr">
        <is>
          <t>H19</t>
        </is>
      </c>
      <c r="C208" s="0" t="n">
        <v>71</v>
      </c>
      <c r="D208" s="0" t="inlineStr">
        <is>
          <t>recall_percent</t>
        </is>
      </c>
      <c r="E208" s="0" t="n">
        <v>10</v>
      </c>
      <c r="F208" s="0" t="n">
        <v>100</v>
      </c>
      <c r="G208" s="0" t="n">
        <v>18</v>
      </c>
      <c r="H208" s="0" t="inlineStr">
        <is>
          <t>/mnt/d/paper_source/work_9/VeriANN_repro_2026-09-30/VeriANN_repro_2026-09-30/results/work9-multidata-20261015/deep1m/VLAH-curve-1000000/per_query.csv</t>
        </is>
      </c>
    </row>
    <row r="209">
      <c r="A209" s="0" t="inlineStr">
        <is>
          <t>DEEP1M</t>
        </is>
      </c>
      <c r="B209" s="0" t="inlineStr">
        <is>
          <t>H20</t>
        </is>
      </c>
      <c r="C209" s="0" t="n">
        <v>15095.98385</v>
      </c>
      <c r="D209" s="0" t="inlineStr">
        <is>
          <t>vo_kb</t>
        </is>
      </c>
      <c r="E209" s="0" t="n">
        <v>10</v>
      </c>
      <c r="F209" s="0" t="n">
        <v>100</v>
      </c>
      <c r="G209" s="0" t="n">
        <v>18</v>
      </c>
      <c r="H209" s="0" t="inlineStr">
        <is>
          <t>/mnt/d/paper_source/work_9/VeriANN_repro_2026-09-30/VeriANN_repro_2026-09-30/results/work9-multidata-20261015/deep1m/VLAH-curve-1000000/per_query.csv</t>
        </is>
      </c>
    </row>
    <row r="210">
      <c r="A210" s="0" t="inlineStr">
        <is>
          <t>DEEP1M</t>
        </is>
      </c>
      <c r="B210" s="0" t="inlineStr">
        <is>
          <t>H29</t>
        </is>
      </c>
      <c r="C210" s="0" t="n">
        <v>71</v>
      </c>
      <c r="D210" s="0" t="inlineStr">
        <is>
          <t>recall_percent</t>
        </is>
      </c>
      <c r="E210" s="0" t="n">
        <v>10</v>
      </c>
      <c r="F210" s="0" t="n">
        <v>100</v>
      </c>
      <c r="G210" s="0" t="n">
        <v>18</v>
      </c>
      <c r="H210" s="0" t="inlineStr">
        <is>
          <t>/mnt/d/paper_source/work_9/VeriANN_repro_2026-09-30/VeriANN_repro_2026-09-30/results/work9-multidata-20261015/deep1m/VLAH-curve-1000000/per_query.csv</t>
        </is>
      </c>
    </row>
    <row r="211">
      <c r="A211" s="0" t="inlineStr">
        <is>
          <t>DEEP1M</t>
        </is>
      </c>
      <c r="B211" s="0" t="inlineStr">
        <is>
          <t>H30</t>
        </is>
      </c>
      <c r="C211" s="0" t="n">
        <v>109.178227966667</v>
      </c>
      <c r="D211" s="0" t="inlineStr">
        <is>
          <t>verify_ms</t>
        </is>
      </c>
      <c r="E211" s="0" t="n">
        <v>10</v>
      </c>
      <c r="F211" s="0" t="n">
        <v>100</v>
      </c>
      <c r="G211" s="0" t="n">
        <v>18</v>
      </c>
      <c r="H211" s="0" t="inlineStr">
        <is>
          <t>/mnt/d/paper_source/work_9/VeriANN_repro_2026-09-30/VeriANN_repro_2026-09-30/results/work9-multidata-20261015/deep1m/VLAH-curve-1000000/per_query.csv</t>
        </is>
      </c>
    </row>
    <row r="212">
      <c r="A212" s="0" t="inlineStr">
        <is>
          <t>DEEP1M</t>
        </is>
      </c>
      <c r="B212" s="0" t="inlineStr">
        <is>
          <t>H39</t>
        </is>
      </c>
      <c r="C212" s="0" t="n">
        <v>71</v>
      </c>
      <c r="D212" s="0" t="inlineStr">
        <is>
          <t>recall_percent</t>
        </is>
      </c>
      <c r="E212" s="0" t="n">
        <v>10</v>
      </c>
      <c r="F212" s="0" t="n">
        <v>100</v>
      </c>
      <c r="G212" s="0" t="n">
        <v>18</v>
      </c>
      <c r="H212" s="0" t="inlineStr">
        <is>
          <t>/mnt/d/paper_source/work_9/VeriANN_repro_2026-09-30/VeriANN_repro_2026-09-30/results/work9-multidata-20261015/deep1m/VLAH-curve-1000000/per_query.csv</t>
        </is>
      </c>
    </row>
    <row r="213">
      <c r="A213" s="0" t="inlineStr">
        <is>
          <t>DEEP1M</t>
        </is>
      </c>
      <c r="B213" s="0" t="inlineStr">
        <is>
          <t>H40</t>
        </is>
      </c>
      <c r="C213" s="0" t="n">
        <v>39.99110205</v>
      </c>
      <c r="D213" s="0" t="inlineStr">
        <is>
          <t>query_ms</t>
        </is>
      </c>
      <c r="E213" s="0" t="n">
        <v>10</v>
      </c>
      <c r="F213" s="0" t="n">
        <v>100</v>
      </c>
      <c r="G213" s="0" t="n">
        <v>18</v>
      </c>
      <c r="H213" s="0" t="inlineStr">
        <is>
          <t>/mnt/d/paper_source/work_9/VeriANN_repro_2026-09-30/VeriANN_repro_2026-09-30/results/work9-multidata-20261015/deep1m/VLAH-curve-1000000/per_query.csv</t>
        </is>
      </c>
    </row>
    <row r="214">
      <c r="A214" s="0" t="inlineStr">
        <is>
          <t>DEEP1M</t>
        </is>
      </c>
      <c r="B214" s="0" t="inlineStr">
        <is>
          <t>I19</t>
        </is>
      </c>
      <c r="C214" s="0" t="n">
        <v>75.5</v>
      </c>
      <c r="D214" s="0" t="inlineStr">
        <is>
          <t>recall_percent</t>
        </is>
      </c>
      <c r="E214" s="0" t="n">
        <v>10</v>
      </c>
      <c r="F214" s="0" t="n">
        <v>100</v>
      </c>
      <c r="G214" s="0" t="n">
        <v>20</v>
      </c>
      <c r="H214" s="0" t="inlineStr">
        <is>
          <t>/mnt/d/paper_source/work_9/VeriANN_repro_2026-09-30/VeriANN_repro_2026-09-30/results/work9-multidata-20261015/deep1m/VLAH-curve-1000000/per_query.csv</t>
        </is>
      </c>
    </row>
    <row r="215">
      <c r="A215" s="0" t="inlineStr">
        <is>
          <t>DEEP1M</t>
        </is>
      </c>
      <c r="B215" s="0" t="inlineStr">
        <is>
          <t>I20</t>
        </is>
      </c>
      <c r="C215" s="0" t="n">
        <v>16753.7914</v>
      </c>
      <c r="D215" s="0" t="inlineStr">
        <is>
          <t>vo_kb</t>
        </is>
      </c>
      <c r="E215" s="0" t="n">
        <v>10</v>
      </c>
      <c r="F215" s="0" t="n">
        <v>100</v>
      </c>
      <c r="G215" s="0" t="n">
        <v>20</v>
      </c>
      <c r="H215" s="0" t="inlineStr">
        <is>
          <t>/mnt/d/paper_source/work_9/VeriANN_repro_2026-09-30/VeriANN_repro_2026-09-30/results/work9-multidata-20261015/deep1m/VLAH-curve-1000000/per_query.csv</t>
        </is>
      </c>
    </row>
    <row r="216">
      <c r="A216" s="0" t="inlineStr">
        <is>
          <t>DEEP1M</t>
        </is>
      </c>
      <c r="B216" s="0" t="inlineStr">
        <is>
          <t>I29</t>
        </is>
      </c>
      <c r="C216" s="0" t="n">
        <v>75.5</v>
      </c>
      <c r="D216" s="0" t="inlineStr">
        <is>
          <t>recall_percent</t>
        </is>
      </c>
      <c r="E216" s="0" t="n">
        <v>10</v>
      </c>
      <c r="F216" s="0" t="n">
        <v>100</v>
      </c>
      <c r="G216" s="0" t="n">
        <v>20</v>
      </c>
      <c r="H216" s="0" t="inlineStr">
        <is>
          <t>/mnt/d/paper_source/work_9/VeriANN_repro_2026-09-30/VeriANN_repro_2026-09-30/results/work9-multidata-20261015/deep1m/VLAH-curve-1000000/per_query.csv</t>
        </is>
      </c>
    </row>
    <row r="217">
      <c r="A217" s="0" t="inlineStr">
        <is>
          <t>DEEP1M</t>
        </is>
      </c>
      <c r="B217" s="0" t="inlineStr">
        <is>
          <t>I30</t>
        </is>
      </c>
      <c r="C217" s="0" t="n">
        <v>121.4742997</v>
      </c>
      <c r="D217" s="0" t="inlineStr">
        <is>
          <t>verify_ms</t>
        </is>
      </c>
      <c r="E217" s="0" t="n">
        <v>10</v>
      </c>
      <c r="F217" s="0" t="n">
        <v>100</v>
      </c>
      <c r="G217" s="0" t="n">
        <v>20</v>
      </c>
      <c r="H217" s="0" t="inlineStr">
        <is>
          <t>/mnt/d/paper_source/work_9/VeriANN_repro_2026-09-30/VeriANN_repro_2026-09-30/results/work9-multidata-20261015/deep1m/VLAH-curve-1000000/per_query.csv</t>
        </is>
      </c>
    </row>
    <row r="218">
      <c r="A218" s="0" t="inlineStr">
        <is>
          <t>DEEP1M</t>
        </is>
      </c>
      <c r="B218" s="0" t="inlineStr">
        <is>
          <t>I39</t>
        </is>
      </c>
      <c r="C218" s="0" t="n">
        <v>75.5</v>
      </c>
      <c r="D218" s="0" t="inlineStr">
        <is>
          <t>recall_percent</t>
        </is>
      </c>
      <c r="E218" s="0" t="n">
        <v>10</v>
      </c>
      <c r="F218" s="0" t="n">
        <v>100</v>
      </c>
      <c r="G218" s="0" t="n">
        <v>20</v>
      </c>
      <c r="H218" s="0" t="inlineStr">
        <is>
          <t>/mnt/d/paper_source/work_9/VeriANN_repro_2026-09-30/VeriANN_repro_2026-09-30/results/work9-multidata-20261015/deep1m/VLAH-curve-1000000/per_query.csv</t>
        </is>
      </c>
    </row>
    <row r="219">
      <c r="A219" s="0" t="inlineStr">
        <is>
          <t>DEEP1M</t>
        </is>
      </c>
      <c r="B219" s="0" t="inlineStr">
        <is>
          <t>I40</t>
        </is>
      </c>
      <c r="C219" s="0" t="n">
        <v>44.5284999666667</v>
      </c>
      <c r="D219" s="0" t="inlineStr">
        <is>
          <t>query_ms</t>
        </is>
      </c>
      <c r="E219" s="0" t="n">
        <v>10</v>
      </c>
      <c r="F219" s="0" t="n">
        <v>100</v>
      </c>
      <c r="G219" s="0" t="n">
        <v>20</v>
      </c>
      <c r="H219" s="0" t="inlineStr">
        <is>
          <t>/mnt/d/paper_source/work_9/VeriANN_repro_2026-09-30/VeriANN_repro_2026-09-30/results/work9-multidata-20261015/deep1m/VLAH-curve-1000000/per_query.csv</t>
        </is>
      </c>
    </row>
    <row r="220">
      <c r="A220" s="0" t="inlineStr">
        <is>
          <t>DEEP1M</t>
        </is>
      </c>
      <c r="B220" s="0" t="inlineStr">
        <is>
          <t>J19</t>
        </is>
      </c>
      <c r="C220" s="0" t="n">
        <v>81.5</v>
      </c>
      <c r="D220" s="0" t="inlineStr">
        <is>
          <t>recall_percent</t>
        </is>
      </c>
      <c r="E220" s="0" t="n">
        <v>10</v>
      </c>
      <c r="F220" s="0" t="n">
        <v>100</v>
      </c>
      <c r="G220" s="0" t="n">
        <v>24</v>
      </c>
      <c r="H220" s="0" t="inlineStr">
        <is>
          <t>/mnt/d/paper_source/work_9/VeriANN_repro_2026-09-30/VeriANN_repro_2026-09-30/results/work9-multidata-20261015/deep1m/VLAH-curve-1000000/per_query.csv</t>
        </is>
      </c>
    </row>
    <row r="221">
      <c r="A221" s="0" t="inlineStr">
        <is>
          <t>DEEP1M</t>
        </is>
      </c>
      <c r="B221" s="0" t="inlineStr">
        <is>
          <t>J20</t>
        </is>
      </c>
      <c r="C221" s="0" t="n">
        <v>20270.50565</v>
      </c>
      <c r="D221" s="0" t="inlineStr">
        <is>
          <t>vo_kb</t>
        </is>
      </c>
      <c r="E221" s="0" t="n">
        <v>10</v>
      </c>
      <c r="F221" s="0" t="n">
        <v>100</v>
      </c>
      <c r="G221" s="0" t="n">
        <v>24</v>
      </c>
      <c r="H221" s="0" t="inlineStr">
        <is>
          <t>/mnt/d/paper_source/work_9/VeriANN_repro_2026-09-30/VeriANN_repro_2026-09-30/results/work9-multidata-20261015/deep1m/VLAH-curve-1000000/per_query.csv</t>
        </is>
      </c>
    </row>
    <row r="222">
      <c r="A222" s="0" t="inlineStr">
        <is>
          <t>DEEP1M</t>
        </is>
      </c>
      <c r="B222" s="0" t="inlineStr">
        <is>
          <t>J29</t>
        </is>
      </c>
      <c r="C222" s="0" t="n">
        <v>81.5</v>
      </c>
      <c r="D222" s="0" t="inlineStr">
        <is>
          <t>recall_percent</t>
        </is>
      </c>
      <c r="E222" s="0" t="n">
        <v>10</v>
      </c>
      <c r="F222" s="0" t="n">
        <v>100</v>
      </c>
      <c r="G222" s="0" t="n">
        <v>24</v>
      </c>
      <c r="H222" s="0" t="inlineStr">
        <is>
          <t>/mnt/d/paper_source/work_9/VeriANN_repro_2026-09-30/VeriANN_repro_2026-09-30/results/work9-multidata-20261015/deep1m/VLAH-curve-1000000/per_query.csv</t>
        </is>
      </c>
    </row>
    <row r="223">
      <c r="A223" s="0" t="inlineStr">
        <is>
          <t>DEEP1M</t>
        </is>
      </c>
      <c r="B223" s="0" t="inlineStr">
        <is>
          <t>J30</t>
        </is>
      </c>
      <c r="C223" s="0" t="n">
        <v>148.180783866667</v>
      </c>
      <c r="D223" s="0" t="inlineStr">
        <is>
          <t>verify_ms</t>
        </is>
      </c>
      <c r="E223" s="0" t="n">
        <v>10</v>
      </c>
      <c r="F223" s="0" t="n">
        <v>100</v>
      </c>
      <c r="G223" s="0" t="n">
        <v>24</v>
      </c>
      <c r="H223" s="0" t="inlineStr">
        <is>
          <t>/mnt/d/paper_source/work_9/VeriANN_repro_2026-09-30/VeriANN_repro_2026-09-30/results/work9-multidata-20261015/deep1m/VLAH-curve-1000000/per_query.csv</t>
        </is>
      </c>
    </row>
    <row r="224">
      <c r="A224" s="0" t="inlineStr">
        <is>
          <t>DEEP1M</t>
        </is>
      </c>
      <c r="B224" s="0" t="inlineStr">
        <is>
          <t>J39</t>
        </is>
      </c>
      <c r="C224" s="0" t="n">
        <v>81.5</v>
      </c>
      <c r="D224" s="0" t="inlineStr">
        <is>
          <t>recall_percent</t>
        </is>
      </c>
      <c r="E224" s="0" t="n">
        <v>10</v>
      </c>
      <c r="F224" s="0" t="n">
        <v>100</v>
      </c>
      <c r="G224" s="0" t="n">
        <v>24</v>
      </c>
      <c r="H224" s="0" t="inlineStr">
        <is>
          <t>/mnt/d/paper_source/work_9/VeriANN_repro_2026-09-30/VeriANN_repro_2026-09-30/results/work9-multidata-20261015/deep1m/VLAH-curve-1000000/per_query.csv</t>
        </is>
      </c>
    </row>
    <row r="225">
      <c r="A225" s="0" t="inlineStr">
        <is>
          <t>DEEP1M</t>
        </is>
      </c>
      <c r="B225" s="0" t="inlineStr">
        <is>
          <t>J40</t>
        </is>
      </c>
      <c r="C225" s="0" t="n">
        <v>55.1920517166667</v>
      </c>
      <c r="D225" s="0" t="inlineStr">
        <is>
          <t>query_ms</t>
        </is>
      </c>
      <c r="E225" s="0" t="n">
        <v>10</v>
      </c>
      <c r="F225" s="0" t="n">
        <v>100</v>
      </c>
      <c r="G225" s="0" t="n">
        <v>24</v>
      </c>
      <c r="H225" s="0" t="inlineStr">
        <is>
          <t>/mnt/d/paper_source/work_9/VeriANN_repro_2026-09-30/VeriANN_repro_2026-09-30/results/work9-multidata-20261015/deep1m/VLAH-curve-1000000/per_query.csv</t>
        </is>
      </c>
    </row>
    <row r="226">
      <c r="A226" s="0" t="inlineStr">
        <is>
          <t>DEEP1M</t>
        </is>
      </c>
      <c r="B226" s="0" t="inlineStr">
        <is>
          <t>K19</t>
        </is>
      </c>
      <c r="C226" s="0" t="n">
        <v>86</v>
      </c>
      <c r="D226" s="0" t="inlineStr">
        <is>
          <t>recall_percent</t>
        </is>
      </c>
      <c r="E226" s="0" t="n">
        <v>10</v>
      </c>
      <c r="F226" s="0" t="n">
        <v>100</v>
      </c>
      <c r="G226" s="0" t="n">
        <v>30</v>
      </c>
      <c r="H226" s="0" t="inlineStr">
        <is>
          <t>/mnt/d/paper_source/work_9/VeriANN_repro_2026-09-30/VeriANN_repro_2026-09-30/results/work9-multidata-20261015/deep1m/VLAH-curve-1000000/per_query.csv</t>
        </is>
      </c>
    </row>
    <row r="227">
      <c r="A227" s="0" t="inlineStr">
        <is>
          <t>DEEP1M</t>
        </is>
      </c>
      <c r="B227" s="0" t="inlineStr">
        <is>
          <t>K20</t>
        </is>
      </c>
      <c r="C227" s="0" t="n">
        <v>25837.7698</v>
      </c>
      <c r="D227" s="0" t="inlineStr">
        <is>
          <t>vo_kb</t>
        </is>
      </c>
      <c r="E227" s="0" t="n">
        <v>10</v>
      </c>
      <c r="F227" s="0" t="n">
        <v>100</v>
      </c>
      <c r="G227" s="0" t="n">
        <v>30</v>
      </c>
      <c r="H227" s="0" t="inlineStr">
        <is>
          <t>/mnt/d/paper_source/work_9/VeriANN_repro_2026-09-30/VeriANN_repro_2026-09-30/results/work9-multidata-20261015/deep1m/VLAH-curve-1000000/per_query.csv</t>
        </is>
      </c>
    </row>
    <row r="228">
      <c r="A228" s="0" t="inlineStr">
        <is>
          <t>DEEP1M</t>
        </is>
      </c>
      <c r="B228" s="0" t="inlineStr">
        <is>
          <t>K29</t>
        </is>
      </c>
      <c r="C228" s="0" t="n">
        <v>86</v>
      </c>
      <c r="D228" s="0" t="inlineStr">
        <is>
          <t>recall_percent</t>
        </is>
      </c>
      <c r="E228" s="0" t="n">
        <v>10</v>
      </c>
      <c r="F228" s="0" t="n">
        <v>100</v>
      </c>
      <c r="G228" s="0" t="n">
        <v>30</v>
      </c>
      <c r="H228" s="0" t="inlineStr">
        <is>
          <t>/mnt/d/paper_source/work_9/VeriANN_repro_2026-09-30/VeriANN_repro_2026-09-30/results/work9-multidata-20261015/deep1m/VLAH-curve-1000000/per_query.csv</t>
        </is>
      </c>
    </row>
    <row r="229">
      <c r="A229" s="0" t="inlineStr">
        <is>
          <t>DEEP1M</t>
        </is>
      </c>
      <c r="B229" s="0" t="inlineStr">
        <is>
          <t>K30</t>
        </is>
      </c>
      <c r="C229" s="0" t="n">
        <v>188.6092781</v>
      </c>
      <c r="D229" s="0" t="inlineStr">
        <is>
          <t>verify_ms</t>
        </is>
      </c>
      <c r="E229" s="0" t="n">
        <v>10</v>
      </c>
      <c r="F229" s="0" t="n">
        <v>100</v>
      </c>
      <c r="G229" s="0" t="n">
        <v>30</v>
      </c>
      <c r="H229" s="0" t="inlineStr">
        <is>
          <t>/mnt/d/paper_source/work_9/VeriANN_repro_2026-09-30/VeriANN_repro_2026-09-30/results/work9-multidata-20261015/deep1m/VLAH-curve-1000000/per_query.csv</t>
        </is>
      </c>
    </row>
    <row r="230">
      <c r="A230" s="0" t="inlineStr">
        <is>
          <t>DEEP1M</t>
        </is>
      </c>
      <c r="B230" s="0" t="inlineStr">
        <is>
          <t>K39</t>
        </is>
      </c>
      <c r="C230" s="0" t="n">
        <v>86</v>
      </c>
      <c r="D230" s="0" t="inlineStr">
        <is>
          <t>recall_percent</t>
        </is>
      </c>
      <c r="E230" s="0" t="n">
        <v>10</v>
      </c>
      <c r="F230" s="0" t="n">
        <v>100</v>
      </c>
      <c r="G230" s="0" t="n">
        <v>30</v>
      </c>
      <c r="H230" s="0" t="inlineStr">
        <is>
          <t>/mnt/d/paper_source/work_9/VeriANN_repro_2026-09-30/VeriANN_repro_2026-09-30/results/work9-multidata-20261015/deep1m/VLAH-curve-1000000/per_query.csv</t>
        </is>
      </c>
    </row>
    <row r="231">
      <c r="A231" s="0" t="inlineStr">
        <is>
          <t>DEEP1M</t>
        </is>
      </c>
      <c r="B231" s="0" t="inlineStr">
        <is>
          <t>K40</t>
        </is>
      </c>
      <c r="C231" s="0" t="n">
        <v>70.88948418333329</v>
      </c>
      <c r="D231" s="0" t="inlineStr">
        <is>
          <t>query_ms</t>
        </is>
      </c>
      <c r="E231" s="0" t="n">
        <v>10</v>
      </c>
      <c r="F231" s="0" t="n">
        <v>100</v>
      </c>
      <c r="G231" s="0" t="n">
        <v>30</v>
      </c>
      <c r="H231" s="0" t="inlineStr">
        <is>
          <t>/mnt/d/paper_source/work_9/VeriANN_repro_2026-09-30/VeriANN_repro_2026-09-30/results/work9-multidata-20261015/deep1m/VLAH-curve-1000000/per_query.csv</t>
        </is>
      </c>
    </row>
    <row r="232">
      <c r="A232" s="0" t="inlineStr">
        <is>
          <t>DEEP1M</t>
        </is>
      </c>
      <c r="B232" s="0" t="inlineStr">
        <is>
          <t>L19</t>
        </is>
      </c>
      <c r="C232" s="0" t="n">
        <v>90</v>
      </c>
      <c r="D232" s="0" t="inlineStr">
        <is>
          <t>recall_percent</t>
        </is>
      </c>
      <c r="E232" s="0" t="n">
        <v>10</v>
      </c>
      <c r="F232" s="0" t="n">
        <v>100</v>
      </c>
      <c r="G232" s="0" t="n">
        <v>38</v>
      </c>
      <c r="H232" s="0" t="inlineStr">
        <is>
          <t>/mnt/d/paper_source/work_9/VeriANN_repro_2026-09-30/VeriANN_repro_2026-09-30/results/work9-multidata-20261015/deep1m/VLAH-curve-1000000/per_query.csv</t>
        </is>
      </c>
    </row>
    <row r="233">
      <c r="A233" s="0" t="inlineStr">
        <is>
          <t>DEEP1M</t>
        </is>
      </c>
      <c r="B233" s="0" t="inlineStr">
        <is>
          <t>L20</t>
        </is>
      </c>
      <c r="C233" s="0" t="n">
        <v>32924.164</v>
      </c>
      <c r="D233" s="0" t="inlineStr">
        <is>
          <t>vo_kb</t>
        </is>
      </c>
      <c r="E233" s="0" t="n">
        <v>10</v>
      </c>
      <c r="F233" s="0" t="n">
        <v>100</v>
      </c>
      <c r="G233" s="0" t="n">
        <v>38</v>
      </c>
      <c r="H233" s="0" t="inlineStr">
        <is>
          <t>/mnt/d/paper_source/work_9/VeriANN_repro_2026-09-30/VeriANN_repro_2026-09-30/results/work9-multidata-20261015/deep1m/VLAH-curve-1000000/per_query.csv</t>
        </is>
      </c>
    </row>
    <row r="234">
      <c r="A234" s="0" t="inlineStr">
        <is>
          <t>DEEP1M</t>
        </is>
      </c>
      <c r="B234" s="0" t="inlineStr">
        <is>
          <t>L29</t>
        </is>
      </c>
      <c r="C234" s="0" t="n">
        <v>90</v>
      </c>
      <c r="D234" s="0" t="inlineStr">
        <is>
          <t>recall_percent</t>
        </is>
      </c>
      <c r="E234" s="0" t="n">
        <v>10</v>
      </c>
      <c r="F234" s="0" t="n">
        <v>100</v>
      </c>
      <c r="G234" s="0" t="n">
        <v>38</v>
      </c>
      <c r="H234" s="0" t="inlineStr">
        <is>
          <t>/mnt/d/paper_source/work_9/VeriANN_repro_2026-09-30/VeriANN_repro_2026-09-30/results/work9-multidata-20261015/deep1m/VLAH-curve-1000000/per_query.csv</t>
        </is>
      </c>
    </row>
    <row r="235">
      <c r="A235" s="0" t="inlineStr">
        <is>
          <t>DEEP1M</t>
        </is>
      </c>
      <c r="B235" s="0" t="inlineStr">
        <is>
          <t>L30</t>
        </is>
      </c>
      <c r="C235" s="0" t="n">
        <v>240.77539485</v>
      </c>
      <c r="D235" s="0" t="inlineStr">
        <is>
          <t>verify_ms</t>
        </is>
      </c>
      <c r="E235" s="0" t="n">
        <v>10</v>
      </c>
      <c r="F235" s="0" t="n">
        <v>100</v>
      </c>
      <c r="G235" s="0" t="n">
        <v>38</v>
      </c>
      <c r="H235" s="0" t="inlineStr">
        <is>
          <t>/mnt/d/paper_source/work_9/VeriANN_repro_2026-09-30/VeriANN_repro_2026-09-30/results/work9-multidata-20261015/deep1m/VLAH-curve-1000000/per_query.csv</t>
        </is>
      </c>
    </row>
    <row r="236">
      <c r="A236" s="0" t="inlineStr">
        <is>
          <t>DEEP1M</t>
        </is>
      </c>
      <c r="B236" s="0" t="inlineStr">
        <is>
          <t>L39</t>
        </is>
      </c>
      <c r="C236" s="0" t="n">
        <v>90</v>
      </c>
      <c r="D236" s="0" t="inlineStr">
        <is>
          <t>recall_percent</t>
        </is>
      </c>
      <c r="E236" s="0" t="n">
        <v>10</v>
      </c>
      <c r="F236" s="0" t="n">
        <v>100</v>
      </c>
      <c r="G236" s="0" t="n">
        <v>38</v>
      </c>
      <c r="H236" s="0" t="inlineStr">
        <is>
          <t>/mnt/d/paper_source/work_9/VeriANN_repro_2026-09-30/VeriANN_repro_2026-09-30/results/work9-multidata-20261015/deep1m/VLAH-curve-1000000/per_query.csv</t>
        </is>
      </c>
    </row>
    <row r="237">
      <c r="A237" s="0" t="inlineStr">
        <is>
          <t>DEEP1M</t>
        </is>
      </c>
      <c r="B237" s="0" t="inlineStr">
        <is>
          <t>L40</t>
        </is>
      </c>
      <c r="C237" s="0" t="n">
        <v>90.9629803833333</v>
      </c>
      <c r="D237" s="0" t="inlineStr">
        <is>
          <t>query_ms</t>
        </is>
      </c>
      <c r="E237" s="0" t="n">
        <v>10</v>
      </c>
      <c r="F237" s="0" t="n">
        <v>100</v>
      </c>
      <c r="G237" s="0" t="n">
        <v>38</v>
      </c>
      <c r="H237" s="0" t="inlineStr">
        <is>
          <t>/mnt/d/paper_source/work_9/VeriANN_repro_2026-09-30/VeriANN_repro_2026-09-30/results/work9-multidata-20261015/deep1m/VLAH-curve-1000000/per_query.csv</t>
        </is>
      </c>
    </row>
    <row r="238">
      <c r="A238" s="0" t="inlineStr">
        <is>
          <t>DEEP1M</t>
        </is>
      </c>
      <c r="B238" s="0" t="inlineStr">
        <is>
          <t>M19</t>
        </is>
      </c>
      <c r="C238" s="0" t="n">
        <v>95</v>
      </c>
      <c r="D238" s="0" t="inlineStr">
        <is>
          <t>recall_percent</t>
        </is>
      </c>
      <c r="E238" s="0" t="n">
        <v>10</v>
      </c>
      <c r="F238" s="0" t="n">
        <v>100</v>
      </c>
      <c r="G238" s="0" t="n">
        <v>44</v>
      </c>
      <c r="H238" s="0" t="inlineStr">
        <is>
          <t>/mnt/d/paper_source/work_9/VeriANN_repro_2026-09-30/VeriANN_repro_2026-09-30/results/work9-multidata-20261015/deep1m/VLAH-curve-1000000/per_query.csv</t>
        </is>
      </c>
    </row>
    <row r="239">
      <c r="A239" s="0" t="inlineStr">
        <is>
          <t>DEEP1M</t>
        </is>
      </c>
      <c r="B239" s="0" t="inlineStr">
        <is>
          <t>M20</t>
        </is>
      </c>
      <c r="C239" s="0" t="n">
        <v>38322.17155</v>
      </c>
      <c r="D239" s="0" t="inlineStr">
        <is>
          <t>vo_kb</t>
        </is>
      </c>
      <c r="E239" s="0" t="n">
        <v>10</v>
      </c>
      <c r="F239" s="0" t="n">
        <v>100</v>
      </c>
      <c r="G239" s="0" t="n">
        <v>44</v>
      </c>
      <c r="H239" s="0" t="inlineStr">
        <is>
          <t>/mnt/d/paper_source/work_9/VeriANN_repro_2026-09-30/VeriANN_repro_2026-09-30/results/work9-multidata-20261015/deep1m/VLAH-curve-1000000/per_query.csv</t>
        </is>
      </c>
    </row>
    <row r="240">
      <c r="A240" s="0" t="inlineStr">
        <is>
          <t>DEEP1M</t>
        </is>
      </c>
      <c r="B240" s="0" t="inlineStr">
        <is>
          <t>M29</t>
        </is>
      </c>
      <c r="C240" s="0" t="n">
        <v>95</v>
      </c>
      <c r="D240" s="0" t="inlineStr">
        <is>
          <t>recall_percent</t>
        </is>
      </c>
      <c r="E240" s="0" t="n">
        <v>10</v>
      </c>
      <c r="F240" s="0" t="n">
        <v>100</v>
      </c>
      <c r="G240" s="0" t="n">
        <v>44</v>
      </c>
      <c r="H240" s="0" t="inlineStr">
        <is>
          <t>/mnt/d/paper_source/work_9/VeriANN_repro_2026-09-30/VeriANN_repro_2026-09-30/results/work9-multidata-20261015/deep1m/VLAH-curve-1000000/per_query.csv</t>
        </is>
      </c>
    </row>
    <row r="241">
      <c r="A241" s="0" t="inlineStr">
        <is>
          <t>DEEP1M</t>
        </is>
      </c>
      <c r="B241" s="0" t="inlineStr">
        <is>
          <t>M30</t>
        </is>
      </c>
      <c r="C241" s="0" t="n">
        <v>280.071343333333</v>
      </c>
      <c r="D241" s="0" t="inlineStr">
        <is>
          <t>verify_ms</t>
        </is>
      </c>
      <c r="E241" s="0" t="n">
        <v>10</v>
      </c>
      <c r="F241" s="0" t="n">
        <v>100</v>
      </c>
      <c r="G241" s="0" t="n">
        <v>44</v>
      </c>
      <c r="H241" s="0" t="inlineStr">
        <is>
          <t>/mnt/d/paper_source/work_9/VeriANN_repro_2026-09-30/VeriANN_repro_2026-09-30/results/work9-multidata-20261015/deep1m/VLAH-curve-1000000/per_query.csv</t>
        </is>
      </c>
    </row>
    <row r="242">
      <c r="A242" s="0" t="inlineStr">
        <is>
          <t>DEEP1M</t>
        </is>
      </c>
      <c r="B242" s="0" t="inlineStr">
        <is>
          <t>M39</t>
        </is>
      </c>
      <c r="C242" s="0" t="n">
        <v>95</v>
      </c>
      <c r="D242" s="0" t="inlineStr">
        <is>
          <t>recall_percent</t>
        </is>
      </c>
      <c r="E242" s="0" t="n">
        <v>10</v>
      </c>
      <c r="F242" s="0" t="n">
        <v>100</v>
      </c>
      <c r="G242" s="0" t="n">
        <v>44</v>
      </c>
      <c r="H242" s="0" t="inlineStr">
        <is>
          <t>/mnt/d/paper_source/work_9/VeriANN_repro_2026-09-30/VeriANN_repro_2026-09-30/results/work9-multidata-20261015/deep1m/VLAH-curve-1000000/per_query.csv</t>
        </is>
      </c>
    </row>
    <row r="243">
      <c r="A243" s="0" t="inlineStr">
        <is>
          <t>DEEP1M</t>
        </is>
      </c>
      <c r="B243" s="0" t="inlineStr">
        <is>
          <t>M40</t>
        </is>
      </c>
      <c r="C243" s="0" t="n">
        <v>106.513872866667</v>
      </c>
      <c r="D243" s="0" t="inlineStr">
        <is>
          <t>query_ms</t>
        </is>
      </c>
      <c r="E243" s="0" t="n">
        <v>10</v>
      </c>
      <c r="F243" s="0" t="n">
        <v>100</v>
      </c>
      <c r="G243" s="0" t="n">
        <v>44</v>
      </c>
      <c r="H243" s="0" t="inlineStr">
        <is>
          <t>/mnt/d/paper_source/work_9/VeriANN_repro_2026-09-30/VeriANN_repro_2026-09-30/results/work9-multidata-20261015/deep1m/VLAH-curve-1000000/per_query.csv</t>
        </is>
      </c>
    </row>
    <row r="244">
      <c r="A244" s="0" t="inlineStr">
        <is>
          <t>DEEP1M</t>
        </is>
      </c>
      <c r="B244" s="0" t="inlineStr">
        <is>
          <t>N19</t>
        </is>
      </c>
      <c r="C244" s="0" t="n">
        <v>98</v>
      </c>
      <c r="D244" s="0" t="inlineStr">
        <is>
          <t>recall_percent</t>
        </is>
      </c>
      <c r="E244" s="0" t="n">
        <v>10</v>
      </c>
      <c r="F244" s="0" t="n">
        <v>100</v>
      </c>
      <c r="G244" s="0" t="n">
        <v>46</v>
      </c>
      <c r="H244" s="0" t="inlineStr">
        <is>
          <t>/mnt/d/paper_source/work_9/VeriANN_repro_2026-09-30/VeriANN_repro_2026-09-30/results/work9-multidata-20261015/deep1m/VLAH-curve-1000000/per_query.csv</t>
        </is>
      </c>
    </row>
    <row r="245">
      <c r="A245" s="0" t="inlineStr">
        <is>
          <t>DEEP1M</t>
        </is>
      </c>
      <c r="B245" s="0" t="inlineStr">
        <is>
          <t>N20</t>
        </is>
      </c>
      <c r="C245" s="0" t="n">
        <v>39981.33235</v>
      </c>
      <c r="D245" s="0" t="inlineStr">
        <is>
          <t>vo_kb</t>
        </is>
      </c>
      <c r="E245" s="0" t="n">
        <v>10</v>
      </c>
      <c r="F245" s="0" t="n">
        <v>100</v>
      </c>
      <c r="G245" s="0" t="n">
        <v>46</v>
      </c>
      <c r="H245" s="0" t="inlineStr">
        <is>
          <t>/mnt/d/paper_source/work_9/VeriANN_repro_2026-09-30/VeriANN_repro_2026-09-30/results/work9-multidata-20261015/deep1m/VLAH-curve-1000000/per_query.csv</t>
        </is>
      </c>
    </row>
    <row r="246">
      <c r="A246" s="0" t="inlineStr">
        <is>
          <t>DEEP1M</t>
        </is>
      </c>
      <c r="B246" s="0" t="inlineStr">
        <is>
          <t>N29</t>
        </is>
      </c>
      <c r="C246" s="0" t="n">
        <v>98</v>
      </c>
      <c r="D246" s="0" t="inlineStr">
        <is>
          <t>recall_percent</t>
        </is>
      </c>
      <c r="E246" s="0" t="n">
        <v>10</v>
      </c>
      <c r="F246" s="0" t="n">
        <v>100</v>
      </c>
      <c r="G246" s="0" t="n">
        <v>46</v>
      </c>
      <c r="H246" s="0" t="inlineStr">
        <is>
          <t>/mnt/d/paper_source/work_9/VeriANN_repro_2026-09-30/VeriANN_repro_2026-09-30/results/work9-multidata-20261015/deep1m/VLAH-curve-1000000/per_query.csv</t>
        </is>
      </c>
    </row>
    <row r="247">
      <c r="A247" s="0" t="inlineStr">
        <is>
          <t>DEEP1M</t>
        </is>
      </c>
      <c r="B247" s="0" t="inlineStr">
        <is>
          <t>N30</t>
        </is>
      </c>
      <c r="C247" s="0" t="n">
        <v>293.38766795</v>
      </c>
      <c r="D247" s="0" t="inlineStr">
        <is>
          <t>verify_ms</t>
        </is>
      </c>
      <c r="E247" s="0" t="n">
        <v>10</v>
      </c>
      <c r="F247" s="0" t="n">
        <v>100</v>
      </c>
      <c r="G247" s="0" t="n">
        <v>46</v>
      </c>
      <c r="H247" s="0" t="inlineStr">
        <is>
          <t>/mnt/d/paper_source/work_9/VeriANN_repro_2026-09-30/VeriANN_repro_2026-09-30/results/work9-multidata-20261015/deep1m/VLAH-curve-1000000/per_query.csv</t>
        </is>
      </c>
    </row>
    <row r="248">
      <c r="A248" s="0" t="inlineStr">
        <is>
          <t>DEEP1M</t>
        </is>
      </c>
      <c r="B248" s="0" t="inlineStr">
        <is>
          <t>N39</t>
        </is>
      </c>
      <c r="C248" s="0" t="n">
        <v>98</v>
      </c>
      <c r="D248" s="0" t="inlineStr">
        <is>
          <t>recall_percent</t>
        </is>
      </c>
      <c r="E248" s="0" t="n">
        <v>10</v>
      </c>
      <c r="F248" s="0" t="n">
        <v>100</v>
      </c>
      <c r="G248" s="0" t="n">
        <v>46</v>
      </c>
      <c r="H248" s="0" t="inlineStr">
        <is>
          <t>/mnt/d/paper_source/work_9/VeriANN_repro_2026-09-30/VeriANN_repro_2026-09-30/results/work9-multidata-20261015/deep1m/VLAH-curve-1000000/per_query.csv</t>
        </is>
      </c>
    </row>
    <row r="249">
      <c r="A249" s="0" t="inlineStr">
        <is>
          <t>DEEP1M</t>
        </is>
      </c>
      <c r="B249" s="0" t="inlineStr">
        <is>
          <t>N40</t>
        </is>
      </c>
      <c r="C249" s="0" t="n">
        <v>117.3229633</v>
      </c>
      <c r="D249" s="0" t="inlineStr">
        <is>
          <t>query_ms</t>
        </is>
      </c>
      <c r="E249" s="0" t="n">
        <v>10</v>
      </c>
      <c r="F249" s="0" t="n">
        <v>100</v>
      </c>
      <c r="G249" s="0" t="n">
        <v>46</v>
      </c>
      <c r="H249" s="0" t="inlineStr">
        <is>
          <t>/mnt/d/paper_source/work_9/VeriANN_repro_2026-09-30/VeriANN_repro_2026-09-30/results/work9-multidata-20261015/deep1m/VLAH-curve-1000000/per_query.csv</t>
        </is>
      </c>
    </row>
    <row r="250">
      <c r="A250" s="0" t="inlineStr">
        <is>
          <t>DEEP1M</t>
        </is>
      </c>
      <c r="B250" s="0" t="inlineStr">
        <is>
          <t>O19</t>
        </is>
      </c>
      <c r="C250" s="0" t="n">
        <v>98</v>
      </c>
      <c r="D250" s="0" t="inlineStr">
        <is>
          <t>recall_percent</t>
        </is>
      </c>
      <c r="E250" s="0" t="n">
        <v>10</v>
      </c>
      <c r="F250" s="0" t="n">
        <v>100</v>
      </c>
      <c r="G250" s="0" t="n">
        <v>46</v>
      </c>
      <c r="H250" s="0" t="inlineStr">
        <is>
          <t>/mnt/d/paper_source/work_9/VeriANN_repro_2026-09-30/VeriANN_repro_2026-09-30/results/work9-multidata-20261015/deep1m/VLAH-curve-1000000/per_query.csv</t>
        </is>
      </c>
    </row>
    <row r="251">
      <c r="A251" s="0" t="inlineStr">
        <is>
          <t>DEEP1M</t>
        </is>
      </c>
      <c r="B251" s="0" t="inlineStr">
        <is>
          <t>O20</t>
        </is>
      </c>
      <c r="C251" s="0" t="n">
        <v>39981.33235</v>
      </c>
      <c r="D251" s="0" t="inlineStr">
        <is>
          <t>vo_kb</t>
        </is>
      </c>
      <c r="E251" s="0" t="n">
        <v>10</v>
      </c>
      <c r="F251" s="0" t="n">
        <v>100</v>
      </c>
      <c r="G251" s="0" t="n">
        <v>46</v>
      </c>
      <c r="H251" s="0" t="inlineStr">
        <is>
          <t>/mnt/d/paper_source/work_9/VeriANN_repro_2026-09-30/VeriANN_repro_2026-09-30/results/work9-multidata-20261015/deep1m/VLAH-curve-1000000/per_query.csv</t>
        </is>
      </c>
    </row>
    <row r="252">
      <c r="A252" s="0" t="inlineStr">
        <is>
          <t>DEEP1M</t>
        </is>
      </c>
      <c r="B252" s="0" t="inlineStr">
        <is>
          <t>O29</t>
        </is>
      </c>
      <c r="C252" s="0" t="n">
        <v>98</v>
      </c>
      <c r="D252" s="0" t="inlineStr">
        <is>
          <t>recall_percent</t>
        </is>
      </c>
      <c r="E252" s="0" t="n">
        <v>10</v>
      </c>
      <c r="F252" s="0" t="n">
        <v>100</v>
      </c>
      <c r="G252" s="0" t="n">
        <v>46</v>
      </c>
      <c r="H252" s="0" t="inlineStr">
        <is>
          <t>/mnt/d/paper_source/work_9/VeriANN_repro_2026-09-30/VeriANN_repro_2026-09-30/results/work9-multidata-20261015/deep1m/VLAH-curve-1000000/per_query.csv</t>
        </is>
      </c>
    </row>
    <row r="253">
      <c r="A253" s="0" t="inlineStr">
        <is>
          <t>DEEP1M</t>
        </is>
      </c>
      <c r="B253" s="0" t="inlineStr">
        <is>
          <t>O30</t>
        </is>
      </c>
      <c r="C253" s="0" t="n">
        <v>293.38766795</v>
      </c>
      <c r="D253" s="0" t="inlineStr">
        <is>
          <t>verify_ms</t>
        </is>
      </c>
      <c r="E253" s="0" t="n">
        <v>10</v>
      </c>
      <c r="F253" s="0" t="n">
        <v>100</v>
      </c>
      <c r="G253" s="0" t="n">
        <v>46</v>
      </c>
      <c r="H253" s="0" t="inlineStr">
        <is>
          <t>/mnt/d/paper_source/work_9/VeriANN_repro_2026-09-30/VeriANN_repro_2026-09-30/results/work9-multidata-20261015/deep1m/VLAH-curve-1000000/per_query.csv</t>
        </is>
      </c>
    </row>
    <row r="254">
      <c r="A254" s="0" t="inlineStr">
        <is>
          <t>DEEP1M</t>
        </is>
      </c>
      <c r="B254" s="0" t="inlineStr">
        <is>
          <t>O39</t>
        </is>
      </c>
      <c r="C254" s="0" t="n">
        <v>98</v>
      </c>
      <c r="D254" s="0" t="inlineStr">
        <is>
          <t>recall_percent</t>
        </is>
      </c>
      <c r="E254" s="0" t="n">
        <v>10</v>
      </c>
      <c r="F254" s="0" t="n">
        <v>100</v>
      </c>
      <c r="G254" s="0" t="n">
        <v>46</v>
      </c>
      <c r="H254" s="0" t="inlineStr">
        <is>
          <t>/mnt/d/paper_source/work_9/VeriANN_repro_2026-09-30/VeriANN_repro_2026-09-30/results/work9-multidata-20261015/deep1m/VLAH-curve-1000000/per_query.csv</t>
        </is>
      </c>
    </row>
    <row r="255">
      <c r="A255" s="0" t="inlineStr">
        <is>
          <t>DEEP1M</t>
        </is>
      </c>
      <c r="B255" s="0" t="inlineStr">
        <is>
          <t>O40</t>
        </is>
      </c>
      <c r="C255" s="0" t="n">
        <v>117.3229633</v>
      </c>
      <c r="D255" s="0" t="inlineStr">
        <is>
          <t>query_ms</t>
        </is>
      </c>
      <c r="E255" s="0" t="n">
        <v>10</v>
      </c>
      <c r="F255" s="0" t="n">
        <v>100</v>
      </c>
      <c r="G255" s="0" t="n">
        <v>46</v>
      </c>
      <c r="H255" s="0" t="inlineStr">
        <is>
          <t>/mnt/d/paper_source/work_9/VeriANN_repro_2026-09-30/VeriANN_repro_2026-09-30/results/work9-multidata-20261015/deep1m/VLAH-curve-1000000/per_query.csv</t>
        </is>
      </c>
    </row>
    <row r="256">
      <c r="A256" s="0" t="inlineStr">
        <is>
          <t>DEEP1M</t>
        </is>
      </c>
      <c r="B256" s="0" t="inlineStr">
        <is>
          <t>P19</t>
        </is>
      </c>
      <c r="C256" s="0" t="n">
        <v>99</v>
      </c>
      <c r="D256" s="0" t="inlineStr">
        <is>
          <t>recall_percent</t>
        </is>
      </c>
      <c r="E256" s="0" t="n">
        <v>10</v>
      </c>
      <c r="F256" s="0" t="n">
        <v>100</v>
      </c>
      <c r="G256" s="0" t="n">
        <v>47</v>
      </c>
      <c r="H256" s="0" t="inlineStr">
        <is>
          <t>/mnt/d/paper_source/work_9/VeriANN_repro_2026-09-30/VeriANN_repro_2026-09-30/results/work9-multidata-20261015/deep1m/VLAH-curve-1000000/per_query.csv</t>
        </is>
      </c>
    </row>
    <row r="257">
      <c r="A257" s="0" t="inlineStr">
        <is>
          <t>DEEP1M</t>
        </is>
      </c>
      <c r="B257" s="0" t="inlineStr">
        <is>
          <t>P20</t>
        </is>
      </c>
      <c r="C257" s="0" t="n">
        <v>40878.05455</v>
      </c>
      <c r="D257" s="0" t="inlineStr">
        <is>
          <t>vo_kb</t>
        </is>
      </c>
      <c r="E257" s="0" t="n">
        <v>10</v>
      </c>
      <c r="F257" s="0" t="n">
        <v>100</v>
      </c>
      <c r="G257" s="0" t="n">
        <v>47</v>
      </c>
      <c r="H257" s="0" t="inlineStr">
        <is>
          <t>/mnt/d/paper_source/work_9/VeriANN_repro_2026-09-30/VeriANN_repro_2026-09-30/results/work9-multidata-20261015/deep1m/VLAH-curve-1000000/per_query.csv</t>
        </is>
      </c>
    </row>
    <row r="258">
      <c r="A258" s="0" t="inlineStr">
        <is>
          <t>DEEP1M</t>
        </is>
      </c>
      <c r="B258" s="0" t="inlineStr">
        <is>
          <t>P29</t>
        </is>
      </c>
      <c r="C258" s="0" t="n">
        <v>99</v>
      </c>
      <c r="D258" s="0" t="inlineStr">
        <is>
          <t>recall_percent</t>
        </is>
      </c>
      <c r="E258" s="0" t="n">
        <v>10</v>
      </c>
      <c r="F258" s="0" t="n">
        <v>100</v>
      </c>
      <c r="G258" s="0" t="n">
        <v>47</v>
      </c>
      <c r="H258" s="0" t="inlineStr">
        <is>
          <t>/mnt/d/paper_source/work_9/VeriANN_repro_2026-09-30/VeriANN_repro_2026-09-30/results/work9-multidata-20261015/deep1m/VLAH-curve-1000000/per_query.csv</t>
        </is>
      </c>
    </row>
    <row r="259">
      <c r="A259" s="0" t="inlineStr">
        <is>
          <t>DEEP1M</t>
        </is>
      </c>
      <c r="B259" s="0" t="inlineStr">
        <is>
          <t>P30</t>
        </is>
      </c>
      <c r="C259" s="0" t="n">
        <v>299.962289733333</v>
      </c>
      <c r="D259" s="0" t="inlineStr">
        <is>
          <t>verify_ms</t>
        </is>
      </c>
      <c r="E259" s="0" t="n">
        <v>10</v>
      </c>
      <c r="F259" s="0" t="n">
        <v>100</v>
      </c>
      <c r="G259" s="0" t="n">
        <v>47</v>
      </c>
      <c r="H259" s="0" t="inlineStr">
        <is>
          <t>/mnt/d/paper_source/work_9/VeriANN_repro_2026-09-30/VeriANN_repro_2026-09-30/results/work9-multidata-20261015/deep1m/VLAH-curve-1000000/per_query.csv</t>
        </is>
      </c>
    </row>
    <row r="260">
      <c r="A260" s="0" t="inlineStr">
        <is>
          <t>DEEP1M</t>
        </is>
      </c>
      <c r="B260" s="0" t="inlineStr">
        <is>
          <t>P39</t>
        </is>
      </c>
      <c r="C260" s="0" t="n">
        <v>99</v>
      </c>
      <c r="D260" s="0" t="inlineStr">
        <is>
          <t>recall_percent</t>
        </is>
      </c>
      <c r="E260" s="0" t="n">
        <v>10</v>
      </c>
      <c r="F260" s="0" t="n">
        <v>100</v>
      </c>
      <c r="G260" s="0" t="n">
        <v>47</v>
      </c>
      <c r="H260" s="0" t="inlineStr">
        <is>
          <t>/mnt/d/paper_source/work_9/VeriANN_repro_2026-09-30/VeriANN_repro_2026-09-30/results/work9-multidata-20261015/deep1m/VLAH-curve-1000000/per_query.csv</t>
        </is>
      </c>
    </row>
    <row r="261">
      <c r="A261" s="0" t="inlineStr">
        <is>
          <t>DEEP1M</t>
        </is>
      </c>
      <c r="B261" s="0" t="inlineStr">
        <is>
          <t>P40</t>
        </is>
      </c>
      <c r="C261" s="0" t="n">
        <v>120.407316883333</v>
      </c>
      <c r="D261" s="0" t="inlineStr">
        <is>
          <t>query_ms</t>
        </is>
      </c>
      <c r="E261" s="0" t="n">
        <v>10</v>
      </c>
      <c r="F261" s="0" t="n">
        <v>100</v>
      </c>
      <c r="G261" s="0" t="n">
        <v>47</v>
      </c>
      <c r="H261" s="0" t="inlineStr">
        <is>
          <t>/mnt/d/paper_source/work_9/VeriANN_repro_2026-09-30/VeriANN_repro_2026-09-30/results/work9-multidata-20261015/deep1m/VLAH-curve-1000000/per_query.csv</t>
        </is>
      </c>
    </row>
    <row r="262">
      <c r="A262" s="0" t="inlineStr">
        <is>
          <t>DEEP1M</t>
        </is>
      </c>
      <c r="B262" s="0" t="inlineStr">
        <is>
          <t>E9</t>
        </is>
      </c>
      <c r="C262" s="0" t="n">
        <v>95</v>
      </c>
      <c r="D262" s="0" t="inlineStr">
        <is>
          <t>recall_percent</t>
        </is>
      </c>
      <c r="E262" s="0" t="n">
        <v>10</v>
      </c>
      <c r="F262" s="0" t="n">
        <v>100</v>
      </c>
      <c r="G262" s="0" t="n">
        <v>44</v>
      </c>
      <c r="H262" s="0" t="inlineStr">
        <is>
          <t>/mnt/d/paper_source/work_9/VeriANN_repro_2026-09-30/VeriANN_repro_2026-09-30/results/work9-multidata-20261015/deep1m/VLAH-curve-1000000/per_query.csv</t>
        </is>
      </c>
    </row>
    <row r="263">
      <c r="A263" s="0" t="inlineStr">
        <is>
          <t>DEEP1M</t>
        </is>
      </c>
      <c r="B263" s="0" t="inlineStr">
        <is>
          <t>F9</t>
        </is>
      </c>
      <c r="C263" s="0" t="n">
        <v>106.513872866667</v>
      </c>
      <c r="D263" s="0" t="inlineStr">
        <is>
          <t>query_ms</t>
        </is>
      </c>
      <c r="E263" s="0" t="n">
        <v>10</v>
      </c>
      <c r="F263" s="0" t="n">
        <v>100</v>
      </c>
      <c r="G263" s="0" t="n">
        <v>44</v>
      </c>
      <c r="H263" s="0" t="inlineStr">
        <is>
          <t>/mnt/d/paper_source/work_9/VeriANN_repro_2026-09-30/VeriANN_repro_2026-09-30/results/work9-multidata-20261015/deep1m/VLAH-curve-1000000/per_query.csv</t>
        </is>
      </c>
    </row>
    <row r="264">
      <c r="A264" s="0" t="inlineStr">
        <is>
          <t>DEEP1M</t>
        </is>
      </c>
      <c r="B264" s="0" t="inlineStr">
        <is>
          <t>G9</t>
        </is>
      </c>
      <c r="C264" s="0" t="n">
        <v>38322.17155</v>
      </c>
      <c r="D264" s="0" t="inlineStr">
        <is>
          <t>vo_kb</t>
        </is>
      </c>
      <c r="E264" s="0" t="n">
        <v>10</v>
      </c>
      <c r="F264" s="0" t="n">
        <v>100</v>
      </c>
      <c r="G264" s="0" t="n">
        <v>44</v>
      </c>
      <c r="H264" s="0" t="inlineStr">
        <is>
          <t>/mnt/d/paper_source/work_9/VeriANN_repro_2026-09-30/VeriANN_repro_2026-09-30/results/work9-multidata-20261015/deep1m/VLAH-curve-1000000/per_query.csv</t>
        </is>
      </c>
    </row>
    <row r="265">
      <c r="A265" s="0" t="inlineStr">
        <is>
          <t>DEEP1M</t>
        </is>
      </c>
      <c r="B265" s="0" t="inlineStr">
        <is>
          <t>H9</t>
        </is>
      </c>
      <c r="C265" s="0" t="n">
        <v>280.071343333333</v>
      </c>
      <c r="D265" s="0" t="inlineStr">
        <is>
          <t>verify_ms</t>
        </is>
      </c>
      <c r="E265" s="0" t="n">
        <v>10</v>
      </c>
      <c r="F265" s="0" t="n">
        <v>100</v>
      </c>
      <c r="G265" s="0" t="n">
        <v>44</v>
      </c>
      <c r="H265" s="0" t="inlineStr">
        <is>
          <t>/mnt/d/paper_source/work_9/VeriANN_repro_2026-09-30/VeriANN_repro_2026-09-30/results/work9-multidata-20261015/deep1m/VLAH-curve-1000000/per_query.csv</t>
        </is>
      </c>
    </row>
    <row r="266">
      <c r="A266" s="0" t="inlineStr">
        <is>
          <t>DEEP1M</t>
        </is>
      </c>
      <c r="B266" s="0" t="inlineStr">
        <is>
          <t>F84</t>
        </is>
      </c>
      <c r="C266" s="0" t="n">
        <v>38322.13555</v>
      </c>
      <c r="D266" s="0" t="inlineStr">
        <is>
          <t>vo_kb</t>
        </is>
      </c>
      <c r="E266" s="0" t="n">
        <v>1</v>
      </c>
      <c r="F266" s="0" t="n">
        <v>100</v>
      </c>
      <c r="G266" s="0" t="n">
        <v>44</v>
      </c>
      <c r="H266" s="0" t="inlineStr">
        <is>
          <t>/mnt/d/paper_source/work_9/VeriANN_repro_2026-09-30/VeriANN_repro_2026-09-30/results/work9-multidata-20261015/deep1m/VLAH-k-1000000/per_query.csv</t>
        </is>
      </c>
    </row>
    <row r="267">
      <c r="A267" s="0" t="inlineStr">
        <is>
          <t>DEEP1M</t>
        </is>
      </c>
      <c r="B267" s="0" t="inlineStr">
        <is>
          <t>F94</t>
        </is>
      </c>
      <c r="C267" s="0" t="n">
        <v>279.226395533333</v>
      </c>
      <c r="D267" s="0" t="inlineStr">
        <is>
          <t>verify_ms</t>
        </is>
      </c>
      <c r="E267" s="0" t="n">
        <v>1</v>
      </c>
      <c r="F267" s="0" t="n">
        <v>100</v>
      </c>
      <c r="G267" s="0" t="n">
        <v>44</v>
      </c>
      <c r="H267" s="0" t="inlineStr">
        <is>
          <t>/mnt/d/paper_source/work_9/VeriANN_repro_2026-09-30/VeriANN_repro_2026-09-30/results/work9-multidata-20261015/deep1m/VLAH-k-1000000/per_query.csv</t>
        </is>
      </c>
    </row>
    <row r="268">
      <c r="A268" s="0" t="inlineStr">
        <is>
          <t>DEEP1M</t>
        </is>
      </c>
      <c r="B268" s="0" t="inlineStr">
        <is>
          <t>F103</t>
        </is>
      </c>
      <c r="C268" s="0" t="n">
        <v>105.88339385</v>
      </c>
      <c r="D268" s="0" t="inlineStr">
        <is>
          <t>query_ms</t>
        </is>
      </c>
      <c r="E268" s="0" t="n">
        <v>1</v>
      </c>
      <c r="F268" s="0" t="n">
        <v>100</v>
      </c>
      <c r="G268" s="0" t="n">
        <v>44</v>
      </c>
      <c r="H268" s="0" t="inlineStr">
        <is>
          <t>/mnt/d/paper_source/work_9/VeriANN_repro_2026-09-30/VeriANN_repro_2026-09-30/results/work9-multidata-20261015/deep1m/VLAH-k-1000000/per_query.csv</t>
        </is>
      </c>
    </row>
    <row r="269">
      <c r="A269" s="0" t="inlineStr">
        <is>
          <t>DEEP1M</t>
        </is>
      </c>
      <c r="B269" s="0" t="inlineStr">
        <is>
          <t>G84</t>
        </is>
      </c>
      <c r="C269" s="0" t="n">
        <v>38322.15155</v>
      </c>
      <c r="D269" s="0" t="inlineStr">
        <is>
          <t>vo_kb</t>
        </is>
      </c>
      <c r="E269" s="0" t="n">
        <v>5</v>
      </c>
      <c r="F269" s="0" t="n">
        <v>100</v>
      </c>
      <c r="G269" s="0" t="n">
        <v>44</v>
      </c>
      <c r="H269" s="0" t="inlineStr">
        <is>
          <t>/mnt/d/paper_source/work_9/VeriANN_repro_2026-09-30/VeriANN_repro_2026-09-30/results/work9-multidata-20261015/deep1m/VLAH-k-1000000/per_query.csv</t>
        </is>
      </c>
    </row>
    <row r="270">
      <c r="A270" s="0" t="inlineStr">
        <is>
          <t>DEEP1M</t>
        </is>
      </c>
      <c r="B270" s="0" t="inlineStr">
        <is>
          <t>G94</t>
        </is>
      </c>
      <c r="C270" s="0" t="n">
        <v>280.92384975</v>
      </c>
      <c r="D270" s="0" t="inlineStr">
        <is>
          <t>verify_ms</t>
        </is>
      </c>
      <c r="E270" s="0" t="n">
        <v>5</v>
      </c>
      <c r="F270" s="0" t="n">
        <v>100</v>
      </c>
      <c r="G270" s="0" t="n">
        <v>44</v>
      </c>
      <c r="H270" s="0" t="inlineStr">
        <is>
          <t>/mnt/d/paper_source/work_9/VeriANN_repro_2026-09-30/VeriANN_repro_2026-09-30/results/work9-multidata-20261015/deep1m/VLAH-k-1000000/per_query.csv</t>
        </is>
      </c>
    </row>
    <row r="271">
      <c r="A271" s="0" t="inlineStr">
        <is>
          <t>DEEP1M</t>
        </is>
      </c>
      <c r="B271" s="0" t="inlineStr">
        <is>
          <t>G103</t>
        </is>
      </c>
      <c r="C271" s="0" t="n">
        <v>105.922972883333</v>
      </c>
      <c r="D271" s="0" t="inlineStr">
        <is>
          <t>query_ms</t>
        </is>
      </c>
      <c r="E271" s="0" t="n">
        <v>5</v>
      </c>
      <c r="F271" s="0" t="n">
        <v>100</v>
      </c>
      <c r="G271" s="0" t="n">
        <v>44</v>
      </c>
      <c r="H271" s="0" t="inlineStr">
        <is>
          <t>/mnt/d/paper_source/work_9/VeriANN_repro_2026-09-30/VeriANN_repro_2026-09-30/results/work9-multidata-20261015/deep1m/VLAH-k-1000000/per_query.csv</t>
        </is>
      </c>
    </row>
    <row r="272">
      <c r="A272" s="0" t="inlineStr">
        <is>
          <t>DEEP1M</t>
        </is>
      </c>
      <c r="B272" s="0" t="inlineStr">
        <is>
          <t>H84</t>
        </is>
      </c>
      <c r="C272" s="0" t="n">
        <v>38322.17155</v>
      </c>
      <c r="D272" s="0" t="inlineStr">
        <is>
          <t>vo_kb</t>
        </is>
      </c>
      <c r="E272" s="0" t="n">
        <v>10</v>
      </c>
      <c r="F272" s="0" t="n">
        <v>100</v>
      </c>
      <c r="G272" s="0" t="n">
        <v>44</v>
      </c>
      <c r="H272" s="0" t="inlineStr">
        <is>
          <t>/mnt/d/paper_source/work_9/VeriANN_repro_2026-09-30/VeriANN_repro_2026-09-30/results/work9-multidata-20261015/deep1m/VLAH-k-1000000/per_query.csv</t>
        </is>
      </c>
    </row>
    <row r="273">
      <c r="A273" s="0" t="inlineStr">
        <is>
          <t>DEEP1M</t>
        </is>
      </c>
      <c r="B273" s="0" t="inlineStr">
        <is>
          <t>H94</t>
        </is>
      </c>
      <c r="C273" s="0" t="n">
        <v>281.087432783333</v>
      </c>
      <c r="D273" s="0" t="inlineStr">
        <is>
          <t>verify_ms</t>
        </is>
      </c>
      <c r="E273" s="0" t="n">
        <v>10</v>
      </c>
      <c r="F273" s="0" t="n">
        <v>100</v>
      </c>
      <c r="G273" s="0" t="n">
        <v>44</v>
      </c>
      <c r="H273" s="0" t="inlineStr">
        <is>
          <t>/mnt/d/paper_source/work_9/VeriANN_repro_2026-09-30/VeriANN_repro_2026-09-30/results/work9-multidata-20261015/deep1m/VLAH-k-1000000/per_query.csv</t>
        </is>
      </c>
    </row>
    <row r="274">
      <c r="A274" s="0" t="inlineStr">
        <is>
          <t>DEEP1M</t>
        </is>
      </c>
      <c r="B274" s="0" t="inlineStr">
        <is>
          <t>H103</t>
        </is>
      </c>
      <c r="C274" s="0" t="n">
        <v>105.4260024</v>
      </c>
      <c r="D274" s="0" t="inlineStr">
        <is>
          <t>query_ms</t>
        </is>
      </c>
      <c r="E274" s="0" t="n">
        <v>10</v>
      </c>
      <c r="F274" s="0" t="n">
        <v>100</v>
      </c>
      <c r="G274" s="0" t="n">
        <v>44</v>
      </c>
      <c r="H274" s="0" t="inlineStr">
        <is>
          <t>/mnt/d/paper_source/work_9/VeriANN_repro_2026-09-30/VeriANN_repro_2026-09-30/results/work9-multidata-20261015/deep1m/VLAH-k-1000000/per_query.csv</t>
        </is>
      </c>
    </row>
    <row r="275">
      <c r="A275" s="0" t="inlineStr">
        <is>
          <t>DEEP1M</t>
        </is>
      </c>
      <c r="B275" s="0" t="inlineStr">
        <is>
          <t>I84</t>
        </is>
      </c>
      <c r="C275" s="0" t="n">
        <v>38322.21155</v>
      </c>
      <c r="D275" s="0" t="inlineStr">
        <is>
          <t>vo_kb</t>
        </is>
      </c>
      <c r="E275" s="0" t="n">
        <v>20</v>
      </c>
      <c r="F275" s="0" t="n">
        <v>100</v>
      </c>
      <c r="G275" s="0" t="n">
        <v>44</v>
      </c>
      <c r="H275" s="0" t="inlineStr">
        <is>
          <t>/mnt/d/paper_source/work_9/VeriANN_repro_2026-09-30/VeriANN_repro_2026-09-30/results/work9-multidata-20261015/deep1m/VLAH-k-1000000/per_query.csv</t>
        </is>
      </c>
    </row>
    <row r="276">
      <c r="A276" s="0" t="inlineStr">
        <is>
          <t>DEEP1M</t>
        </is>
      </c>
      <c r="B276" s="0" t="inlineStr">
        <is>
          <t>I94</t>
        </is>
      </c>
      <c r="C276" s="0" t="n">
        <v>281.015158366667</v>
      </c>
      <c r="D276" s="0" t="inlineStr">
        <is>
          <t>verify_ms</t>
        </is>
      </c>
      <c r="E276" s="0" t="n">
        <v>20</v>
      </c>
      <c r="F276" s="0" t="n">
        <v>100</v>
      </c>
      <c r="G276" s="0" t="n">
        <v>44</v>
      </c>
      <c r="H276" s="0" t="inlineStr">
        <is>
          <t>/mnt/d/paper_source/work_9/VeriANN_repro_2026-09-30/VeriANN_repro_2026-09-30/results/work9-multidata-20261015/deep1m/VLAH-k-1000000/per_query.csv</t>
        </is>
      </c>
    </row>
    <row r="277">
      <c r="A277" s="0" t="inlineStr">
        <is>
          <t>DEEP1M</t>
        </is>
      </c>
      <c r="B277" s="0" t="inlineStr">
        <is>
          <t>I103</t>
        </is>
      </c>
      <c r="C277" s="0" t="n">
        <v>105.24395565</v>
      </c>
      <c r="D277" s="0" t="inlineStr">
        <is>
          <t>query_ms</t>
        </is>
      </c>
      <c r="E277" s="0" t="n">
        <v>20</v>
      </c>
      <c r="F277" s="0" t="n">
        <v>100</v>
      </c>
      <c r="G277" s="0" t="n">
        <v>44</v>
      </c>
      <c r="H277" s="0" t="inlineStr">
        <is>
          <t>/mnt/d/paper_source/work_9/VeriANN_repro_2026-09-30/VeriANN_repro_2026-09-30/results/work9-multidata-20261015/deep1m/VLAH-k-1000000/per_query.csv</t>
        </is>
      </c>
    </row>
    <row r="278">
      <c r="A278" s="0" t="inlineStr">
        <is>
          <t>DEEP1M</t>
        </is>
      </c>
      <c r="B278" s="0" t="inlineStr">
        <is>
          <t>J84</t>
        </is>
      </c>
      <c r="C278" s="0" t="n">
        <v>38322.33155</v>
      </c>
      <c r="D278" s="0" t="inlineStr">
        <is>
          <t>vo_kb</t>
        </is>
      </c>
      <c r="E278" s="0" t="n">
        <v>50</v>
      </c>
      <c r="F278" s="0" t="n">
        <v>100</v>
      </c>
      <c r="G278" s="0" t="n">
        <v>44</v>
      </c>
      <c r="H278" s="0" t="inlineStr">
        <is>
          <t>/mnt/d/paper_source/work_9/VeriANN_repro_2026-09-30/VeriANN_repro_2026-09-30/results/work9-multidata-20261015/deep1m/VLAH-k-1000000/per_query.csv</t>
        </is>
      </c>
    </row>
    <row r="279">
      <c r="A279" s="0" t="inlineStr">
        <is>
          <t>DEEP1M</t>
        </is>
      </c>
      <c r="B279" s="0" t="inlineStr">
        <is>
          <t>J94</t>
        </is>
      </c>
      <c r="C279" s="0" t="n">
        <v>280.416561016667</v>
      </c>
      <c r="D279" s="0" t="inlineStr">
        <is>
          <t>verify_ms</t>
        </is>
      </c>
      <c r="E279" s="0" t="n">
        <v>50</v>
      </c>
      <c r="F279" s="0" t="n">
        <v>100</v>
      </c>
      <c r="G279" s="0" t="n">
        <v>44</v>
      </c>
      <c r="H279" s="0" t="inlineStr">
        <is>
          <t>/mnt/d/paper_source/work_9/VeriANN_repro_2026-09-30/VeriANN_repro_2026-09-30/results/work9-multidata-20261015/deep1m/VLAH-k-1000000/per_query.csv</t>
        </is>
      </c>
    </row>
    <row r="280">
      <c r="A280" s="0" t="inlineStr">
        <is>
          <t>DEEP1M</t>
        </is>
      </c>
      <c r="B280" s="0" t="inlineStr">
        <is>
          <t>J103</t>
        </is>
      </c>
      <c r="C280" s="0" t="n">
        <v>105.50841095</v>
      </c>
      <c r="D280" s="0" t="inlineStr">
        <is>
          <t>query_ms</t>
        </is>
      </c>
      <c r="E280" s="0" t="n">
        <v>50</v>
      </c>
      <c r="F280" s="0" t="n">
        <v>100</v>
      </c>
      <c r="G280" s="0" t="n">
        <v>44</v>
      </c>
      <c r="H280" s="0" t="inlineStr">
        <is>
          <t>/mnt/d/paper_source/work_9/VeriANN_repro_2026-09-30/VeriANN_repro_2026-09-30/results/work9-multidata-20261015/deep1m/VLAH-k-1000000/per_query.csv</t>
        </is>
      </c>
    </row>
    <row r="281">
      <c r="A281" s="0" t="inlineStr">
        <is>
          <t>DEEP1M</t>
        </is>
      </c>
      <c r="B281" s="0" t="inlineStr">
        <is>
          <t>K84</t>
        </is>
      </c>
      <c r="C281" s="0" t="n">
        <v>38322.53155</v>
      </c>
      <c r="D281" s="0" t="inlineStr">
        <is>
          <t>vo_kb</t>
        </is>
      </c>
      <c r="E281" s="0" t="n">
        <v>100</v>
      </c>
      <c r="F281" s="0" t="n">
        <v>100</v>
      </c>
      <c r="G281" s="0" t="n">
        <v>44</v>
      </c>
      <c r="H281" s="0" t="inlineStr">
        <is>
          <t>/mnt/d/paper_source/work_9/VeriANN_repro_2026-09-30/VeriANN_repro_2026-09-30/results/work9-multidata-20261015/deep1m/VLAH-k-1000000/per_query.csv</t>
        </is>
      </c>
    </row>
    <row r="282">
      <c r="A282" s="0" t="inlineStr">
        <is>
          <t>DEEP1M</t>
        </is>
      </c>
      <c r="B282" s="0" t="inlineStr">
        <is>
          <t>K94</t>
        </is>
      </c>
      <c r="C282" s="0" t="n">
        <v>281.683170933333</v>
      </c>
      <c r="D282" s="0" t="inlineStr">
        <is>
          <t>verify_ms</t>
        </is>
      </c>
      <c r="E282" s="0" t="n">
        <v>100</v>
      </c>
      <c r="F282" s="0" t="n">
        <v>100</v>
      </c>
      <c r="G282" s="0" t="n">
        <v>44</v>
      </c>
      <c r="H282" s="0" t="inlineStr">
        <is>
          <t>/mnt/d/paper_source/work_9/VeriANN_repro_2026-09-30/VeriANN_repro_2026-09-30/results/work9-multidata-20261015/deep1m/VLAH-k-1000000/per_query.csv</t>
        </is>
      </c>
    </row>
    <row r="283">
      <c r="A283" s="0" t="inlineStr">
        <is>
          <t>DEEP1M</t>
        </is>
      </c>
      <c r="B283" s="0" t="inlineStr">
        <is>
          <t>K103</t>
        </is>
      </c>
      <c r="C283" s="0" t="n">
        <v>105.2479959</v>
      </c>
      <c r="D283" s="0" t="inlineStr">
        <is>
          <t>query_ms</t>
        </is>
      </c>
      <c r="E283" s="0" t="n">
        <v>100</v>
      </c>
      <c r="F283" s="0" t="n">
        <v>100</v>
      </c>
      <c r="G283" s="0" t="n">
        <v>44</v>
      </c>
      <c r="H283" s="0" t="inlineStr">
        <is>
          <t>/mnt/d/paper_source/work_9/VeriANN_repro_2026-09-30/VeriANN_repro_2026-09-30/results/work9-multidata-20261015/deep1m/VLAH-k-1000000/per_query.csv</t>
        </is>
      </c>
    </row>
    <row r="284">
      <c r="A284" s="0" t="inlineStr">
        <is>
          <t>DEEP1M</t>
        </is>
      </c>
      <c r="B284" s="0" t="inlineStr">
        <is>
          <t>F54</t>
        </is>
      </c>
      <c r="C284" s="0" t="n">
        <v>4406.5916</v>
      </c>
      <c r="D284" s="0" t="inlineStr">
        <is>
          <t>vo_kb</t>
        </is>
      </c>
      <c r="E284" s="0" t="n">
        <v>10</v>
      </c>
      <c r="F284" s="0" t="n">
        <v>100</v>
      </c>
      <c r="G284" s="0" t="n">
        <v>5</v>
      </c>
      <c r="H284" s="0" t="inlineStr">
        <is>
          <t>/mnt/d/paper_source/work_9/VeriANN_repro_2026-09-30/VeriANN_repro_2026-09-30/results/work9-multidata-20261015/deep1m/VLAH-size-100000/per_query.csv</t>
        </is>
      </c>
    </row>
    <row r="285">
      <c r="A285" s="0" t="inlineStr">
        <is>
          <t>DEEP1M</t>
        </is>
      </c>
      <c r="B285" s="0" t="inlineStr">
        <is>
          <t>F64</t>
        </is>
      </c>
      <c r="C285" s="0" t="n">
        <v>30.6691185833333</v>
      </c>
      <c r="D285" s="0" t="inlineStr">
        <is>
          <t>verify_ms</t>
        </is>
      </c>
      <c r="E285" s="0" t="n">
        <v>10</v>
      </c>
      <c r="F285" s="0" t="n">
        <v>100</v>
      </c>
      <c r="G285" s="0" t="n">
        <v>5</v>
      </c>
      <c r="H285" s="0" t="inlineStr">
        <is>
          <t>/mnt/d/paper_source/work_9/VeriANN_repro_2026-09-30/VeriANN_repro_2026-09-30/results/work9-multidata-20261015/deep1m/VLAH-size-100000/per_query.csv</t>
        </is>
      </c>
    </row>
    <row r="286">
      <c r="A286" s="0" t="inlineStr">
        <is>
          <t>DEEP1M</t>
        </is>
      </c>
      <c r="B286" s="0" t="inlineStr">
        <is>
          <t>F73</t>
        </is>
      </c>
      <c r="C286" s="0" t="n">
        <v>11.1942364166667</v>
      </c>
      <c r="D286" s="0" t="inlineStr">
        <is>
          <t>query_ms</t>
        </is>
      </c>
      <c r="E286" s="0" t="n">
        <v>10</v>
      </c>
      <c r="F286" s="0" t="n">
        <v>100</v>
      </c>
      <c r="G286" s="0" t="n">
        <v>5</v>
      </c>
      <c r="H286" s="0" t="inlineStr">
        <is>
          <t>/mnt/d/paper_source/work_9/VeriANN_repro_2026-09-30/VeriANN_repro_2026-09-30/results/work9-multidata-20261015/deep1m/VLAH-size-100000/per_query.csv</t>
        </is>
      </c>
    </row>
    <row r="287">
      <c r="A287" s="0" t="inlineStr">
        <is>
          <t>DEEP1M</t>
        </is>
      </c>
      <c r="B287" s="0" t="inlineStr">
        <is>
          <t>H54</t>
        </is>
      </c>
      <c r="C287" s="0" t="n">
        <v>38322.17155</v>
      </c>
      <c r="D287" s="0" t="inlineStr">
        <is>
          <t>vo_kb</t>
        </is>
      </c>
      <c r="E287" s="0" t="n">
        <v>10</v>
      </c>
      <c r="F287" s="0" t="n">
        <v>100</v>
      </c>
      <c r="G287" s="0" t="n">
        <v>44</v>
      </c>
      <c r="H287" s="0" t="inlineStr">
        <is>
          <t>/mnt/d/paper_source/work_9/VeriANN_repro_2026-09-30/VeriANN_repro_2026-09-30/results/work9-multidata-20261015/deep1m/VLAH-curve-1000000/per_query.csv</t>
        </is>
      </c>
    </row>
    <row r="288">
      <c r="A288" s="0" t="inlineStr">
        <is>
          <t>DEEP1M</t>
        </is>
      </c>
      <c r="B288" s="0" t="inlineStr">
        <is>
          <t>H64</t>
        </is>
      </c>
      <c r="C288" s="0" t="n">
        <v>280.071343333333</v>
      </c>
      <c r="D288" s="0" t="inlineStr">
        <is>
          <t>verify_ms</t>
        </is>
      </c>
      <c r="E288" s="0" t="n">
        <v>10</v>
      </c>
      <c r="F288" s="0" t="n">
        <v>100</v>
      </c>
      <c r="G288" s="0" t="n">
        <v>44</v>
      </c>
      <c r="H288" s="0" t="inlineStr">
        <is>
          <t>/mnt/d/paper_source/work_9/VeriANN_repro_2026-09-30/VeriANN_repro_2026-09-30/results/work9-multidata-20261015/deep1m/VLAH-curve-1000000/per_query.csv</t>
        </is>
      </c>
    </row>
    <row r="289">
      <c r="A289" s="0" t="inlineStr">
        <is>
          <t>DEEP1M</t>
        </is>
      </c>
      <c r="B289" s="0" t="inlineStr">
        <is>
          <t>H73</t>
        </is>
      </c>
      <c r="C289" s="0" t="n">
        <v>106.513872866667</v>
      </c>
      <c r="D289" s="0" t="inlineStr">
        <is>
          <t>query_ms</t>
        </is>
      </c>
      <c r="E289" s="0" t="n">
        <v>10</v>
      </c>
      <c r="F289" s="0" t="n">
        <v>100</v>
      </c>
      <c r="G289" s="0" t="n">
        <v>44</v>
      </c>
      <c r="H289" s="0" t="inlineStr">
        <is>
          <t>/mnt/d/paper_source/work_9/VeriANN_repro_2026-09-30/VeriANN_repro_2026-09-30/results/work9-multidata-20261015/deep1m/VLAH-curve-1000000/per_query.csv</t>
        </is>
      </c>
    </row>
    <row r="290">
      <c r="A290" s="0" t="inlineStr">
        <is>
          <t>DEEP1M</t>
        </is>
      </c>
      <c r="B290" s="0" t="inlineStr">
        <is>
          <t>G54</t>
        </is>
      </c>
      <c r="C290" s="0" t="n">
        <v>19154.54795</v>
      </c>
      <c r="D290" s="0" t="inlineStr">
        <is>
          <t>vo_kb</t>
        </is>
      </c>
      <c r="E290" s="0" t="n">
        <v>10</v>
      </c>
      <c r="F290" s="0" t="n">
        <v>100</v>
      </c>
      <c r="G290" s="0" t="n">
        <v>22</v>
      </c>
      <c r="H290" s="0" t="inlineStr">
        <is>
          <t>/mnt/d/paper_source/work_9/VeriANN_repro_2026-09-30/VeriANN_repro_2026-09-30/results/work9-multidata-20261015/deep1m/VLAH-size-500000/per_query.csv</t>
        </is>
      </c>
    </row>
    <row r="291">
      <c r="A291" s="0" t="inlineStr">
        <is>
          <t>DEEP1M</t>
        </is>
      </c>
      <c r="B291" s="0" t="inlineStr">
        <is>
          <t>G64</t>
        </is>
      </c>
      <c r="C291" s="0" t="n">
        <v>138.3154764</v>
      </c>
      <c r="D291" s="0" t="inlineStr">
        <is>
          <t>verify_ms</t>
        </is>
      </c>
      <c r="E291" s="0" t="n">
        <v>10</v>
      </c>
      <c r="F291" s="0" t="n">
        <v>100</v>
      </c>
      <c r="G291" s="0" t="n">
        <v>22</v>
      </c>
      <c r="H291" s="0" t="inlineStr">
        <is>
          <t>/mnt/d/paper_source/work_9/VeriANN_repro_2026-09-30/VeriANN_repro_2026-09-30/results/work9-multidata-20261015/deep1m/VLAH-size-500000/per_query.csv</t>
        </is>
      </c>
    </row>
    <row r="292">
      <c r="A292" s="0" t="inlineStr">
        <is>
          <t>DEEP1M</t>
        </is>
      </c>
      <c r="B292" s="0" t="inlineStr">
        <is>
          <t>G73</t>
        </is>
      </c>
      <c r="C292" s="0" t="n">
        <v>49.60916</v>
      </c>
      <c r="D292" s="0" t="inlineStr">
        <is>
          <t>query_ms</t>
        </is>
      </c>
      <c r="E292" s="0" t="n">
        <v>10</v>
      </c>
      <c r="F292" s="0" t="n">
        <v>100</v>
      </c>
      <c r="G292" s="0" t="n">
        <v>22</v>
      </c>
      <c r="H292" s="0" t="inlineStr">
        <is>
          <t>/mnt/d/paper_source/work_9/VeriANN_repro_2026-09-30/VeriANN_repro_2026-09-30/results/work9-multidata-20261015/deep1m/VLAH-size-500000/per_query.csv</t>
        </is>
      </c>
    </row>
    <row r="584">
      <c r="A584" s="0" t="inlineStr">
        <is>
          <t>GloVe-100</t>
        </is>
      </c>
      <c r="B584" s="0" t="inlineStr">
        <is>
          <t>F21</t>
        </is>
      </c>
      <c r="C584" s="0" t="n">
        <v>66.5</v>
      </c>
      <c r="D584" s="0" t="inlineStr">
        <is>
          <t>recall_percent</t>
        </is>
      </c>
      <c r="E584" s="0" t="n">
        <v>10</v>
      </c>
      <c r="F584" s="0" t="n">
        <v>64</v>
      </c>
      <c r="G584" s="0" t="n">
        <v>1</v>
      </c>
      <c r="H584" s="0" t="inlineStr">
        <is>
          <t>/mnt/d/paper_source/work_9/VeriANN_repro_2026-09-30/VeriANN_repro_2026-09-30/results/work9-multidata-20261015/glove100/ANNProof-curve-1183514/per_query.csv</t>
        </is>
      </c>
    </row>
    <row r="585">
      <c r="A585" s="0" t="inlineStr">
        <is>
          <t>GloVe-100</t>
        </is>
      </c>
      <c r="B585" s="0" t="inlineStr">
        <is>
          <t>F22</t>
        </is>
      </c>
      <c r="C585" s="0" t="n">
        <v>1768.2552</v>
      </c>
      <c r="D585" s="0" t="inlineStr">
        <is>
          <t>vo_kb</t>
        </is>
      </c>
      <c r="E585" s="0" t="n">
        <v>10</v>
      </c>
      <c r="F585" s="0" t="n">
        <v>64</v>
      </c>
      <c r="G585" s="0" t="n">
        <v>1</v>
      </c>
      <c r="H585" s="0" t="inlineStr">
        <is>
          <t>/mnt/d/paper_source/work_9/VeriANN_repro_2026-09-30/VeriANN_repro_2026-09-30/results/work9-multidata-20261015/glove100/ANNProof-curve-1183514/per_query.csv</t>
        </is>
      </c>
    </row>
    <row r="586">
      <c r="A586" s="0" t="inlineStr">
        <is>
          <t>GloVe-100</t>
        </is>
      </c>
      <c r="B586" s="0" t="inlineStr">
        <is>
          <t>F31</t>
        </is>
      </c>
      <c r="C586" s="0" t="n">
        <v>66.5</v>
      </c>
      <c r="D586" s="0" t="inlineStr">
        <is>
          <t>recall_percent</t>
        </is>
      </c>
      <c r="E586" s="0" t="n">
        <v>10</v>
      </c>
      <c r="F586" s="0" t="n">
        <v>64</v>
      </c>
      <c r="G586" s="0" t="n">
        <v>1</v>
      </c>
      <c r="H586" s="0" t="inlineStr">
        <is>
          <t>/mnt/d/paper_source/work_9/VeriANN_repro_2026-09-30/VeriANN_repro_2026-09-30/results/work9-multidata-20261015/glove100/ANNProof-curve-1183514/per_query.csv</t>
        </is>
      </c>
    </row>
    <row r="587">
      <c r="A587" s="0" t="inlineStr">
        <is>
          <t>GloVe-100</t>
        </is>
      </c>
      <c r="B587" s="0" t="inlineStr">
        <is>
          <t>F32</t>
        </is>
      </c>
      <c r="C587" s="0" t="n">
        <v>23.1672442333333</v>
      </c>
      <c r="D587" s="0" t="inlineStr">
        <is>
          <t>verify_ms</t>
        </is>
      </c>
      <c r="E587" s="0" t="n">
        <v>10</v>
      </c>
      <c r="F587" s="0" t="n">
        <v>64</v>
      </c>
      <c r="G587" s="0" t="n">
        <v>1</v>
      </c>
      <c r="H587" s="0" t="inlineStr">
        <is>
          <t>/mnt/d/paper_source/work_9/VeriANN_repro_2026-09-30/VeriANN_repro_2026-09-30/results/work9-multidata-20261015/glove100/ANNProof-curve-1183514/per_query.csv</t>
        </is>
      </c>
    </row>
    <row r="588">
      <c r="A588" s="0" t="inlineStr">
        <is>
          <t>GloVe-100</t>
        </is>
      </c>
      <c r="B588" s="0" t="inlineStr">
        <is>
          <t>F41</t>
        </is>
      </c>
      <c r="C588" s="0" t="n">
        <v>66.5</v>
      </c>
      <c r="D588" s="0" t="inlineStr">
        <is>
          <t>recall_percent</t>
        </is>
      </c>
      <c r="E588" s="0" t="n">
        <v>10</v>
      </c>
      <c r="F588" s="0" t="n">
        <v>64</v>
      </c>
      <c r="G588" s="0" t="n">
        <v>1</v>
      </c>
      <c r="H588" s="0" t="inlineStr">
        <is>
          <t>/mnt/d/paper_source/work_9/VeriANN_repro_2026-09-30/VeriANN_repro_2026-09-30/results/work9-multidata-20261015/glove100/ANNProof-curve-1183514/per_query.csv</t>
        </is>
      </c>
    </row>
    <row r="589">
      <c r="A589" s="0" t="inlineStr">
        <is>
          <t>GloVe-100</t>
        </is>
      </c>
      <c r="B589" s="0" t="inlineStr">
        <is>
          <t>F42</t>
        </is>
      </c>
      <c r="C589" s="0" t="n">
        <v>4.92347798333333</v>
      </c>
      <c r="D589" s="0" t="inlineStr">
        <is>
          <t>query_ms</t>
        </is>
      </c>
      <c r="E589" s="0" t="n">
        <v>10</v>
      </c>
      <c r="F589" s="0" t="n">
        <v>64</v>
      </c>
      <c r="G589" s="0" t="n">
        <v>1</v>
      </c>
      <c r="H589" s="0" t="inlineStr">
        <is>
          <t>/mnt/d/paper_source/work_9/VeriANN_repro_2026-09-30/VeriANN_repro_2026-09-30/results/work9-multidata-20261015/glove100/ANNProof-curve-1183514/per_query.csv</t>
        </is>
      </c>
    </row>
    <row r="590">
      <c r="A590" s="0" t="inlineStr">
        <is>
          <t>GloVe-100</t>
        </is>
      </c>
      <c r="B590" s="0" t="inlineStr">
        <is>
          <t>G21</t>
        </is>
      </c>
      <c r="C590" s="0" t="n">
        <v>66.5</v>
      </c>
      <c r="D590" s="0" t="inlineStr">
        <is>
          <t>recall_percent</t>
        </is>
      </c>
      <c r="E590" s="0" t="n">
        <v>10</v>
      </c>
      <c r="F590" s="0" t="n">
        <v>64</v>
      </c>
      <c r="G590" s="0" t="n">
        <v>1</v>
      </c>
      <c r="H590" s="0" t="inlineStr">
        <is>
          <t>/mnt/d/paper_source/work_9/VeriANN_repro_2026-09-30/VeriANN_repro_2026-09-30/results/work9-multidata-20261015/glove100/ANNProof-curve-1183514/per_query.csv</t>
        </is>
      </c>
    </row>
    <row r="591">
      <c r="A591" s="0" t="inlineStr">
        <is>
          <t>GloVe-100</t>
        </is>
      </c>
      <c r="B591" s="0" t="inlineStr">
        <is>
          <t>G22</t>
        </is>
      </c>
      <c r="C591" s="0" t="n">
        <v>1768.2552</v>
      </c>
      <c r="D591" s="0" t="inlineStr">
        <is>
          <t>vo_kb</t>
        </is>
      </c>
      <c r="E591" s="0" t="n">
        <v>10</v>
      </c>
      <c r="F591" s="0" t="n">
        <v>64</v>
      </c>
      <c r="G591" s="0" t="n">
        <v>1</v>
      </c>
      <c r="H591" s="0" t="inlineStr">
        <is>
          <t>/mnt/d/paper_source/work_9/VeriANN_repro_2026-09-30/VeriANN_repro_2026-09-30/results/work9-multidata-20261015/glove100/ANNProof-curve-1183514/per_query.csv</t>
        </is>
      </c>
    </row>
    <row r="592">
      <c r="A592" s="0" t="inlineStr">
        <is>
          <t>GloVe-100</t>
        </is>
      </c>
      <c r="B592" s="0" t="inlineStr">
        <is>
          <t>G31</t>
        </is>
      </c>
      <c r="C592" s="0" t="n">
        <v>66.5</v>
      </c>
      <c r="D592" s="0" t="inlineStr">
        <is>
          <t>recall_percent</t>
        </is>
      </c>
      <c r="E592" s="0" t="n">
        <v>10</v>
      </c>
      <c r="F592" s="0" t="n">
        <v>64</v>
      </c>
      <c r="G592" s="0" t="n">
        <v>1</v>
      </c>
      <c r="H592" s="0" t="inlineStr">
        <is>
          <t>/mnt/d/paper_source/work_9/VeriANN_repro_2026-09-30/VeriANN_repro_2026-09-30/results/work9-multidata-20261015/glove100/ANNProof-curve-1183514/per_query.csv</t>
        </is>
      </c>
    </row>
    <row r="593">
      <c r="A593" s="0" t="inlineStr">
        <is>
          <t>GloVe-100</t>
        </is>
      </c>
      <c r="B593" s="0" t="inlineStr">
        <is>
          <t>G32</t>
        </is>
      </c>
      <c r="C593" s="0" t="n">
        <v>23.1672442333333</v>
      </c>
      <c r="D593" s="0" t="inlineStr">
        <is>
          <t>verify_ms</t>
        </is>
      </c>
      <c r="E593" s="0" t="n">
        <v>10</v>
      </c>
      <c r="F593" s="0" t="n">
        <v>64</v>
      </c>
      <c r="G593" s="0" t="n">
        <v>1</v>
      </c>
      <c r="H593" s="0" t="inlineStr">
        <is>
          <t>/mnt/d/paper_source/work_9/VeriANN_repro_2026-09-30/VeriANN_repro_2026-09-30/results/work9-multidata-20261015/glove100/ANNProof-curve-1183514/per_query.csv</t>
        </is>
      </c>
    </row>
    <row r="594">
      <c r="A594" s="0" t="inlineStr">
        <is>
          <t>GloVe-100</t>
        </is>
      </c>
      <c r="B594" s="0" t="inlineStr">
        <is>
          <t>G41</t>
        </is>
      </c>
      <c r="C594" s="0" t="n">
        <v>66.5</v>
      </c>
      <c r="D594" s="0" t="inlineStr">
        <is>
          <t>recall_percent</t>
        </is>
      </c>
      <c r="E594" s="0" t="n">
        <v>10</v>
      </c>
      <c r="F594" s="0" t="n">
        <v>64</v>
      </c>
      <c r="G594" s="0" t="n">
        <v>1</v>
      </c>
      <c r="H594" s="0" t="inlineStr">
        <is>
          <t>/mnt/d/paper_source/work_9/VeriANN_repro_2026-09-30/VeriANN_repro_2026-09-30/results/work9-multidata-20261015/glove100/ANNProof-curve-1183514/per_query.csv</t>
        </is>
      </c>
    </row>
    <row r="595">
      <c r="A595" s="0" t="inlineStr">
        <is>
          <t>GloVe-100</t>
        </is>
      </c>
      <c r="B595" s="0" t="inlineStr">
        <is>
          <t>G42</t>
        </is>
      </c>
      <c r="C595" s="0" t="n">
        <v>4.92347798333333</v>
      </c>
      <c r="D595" s="0" t="inlineStr">
        <is>
          <t>query_ms</t>
        </is>
      </c>
      <c r="E595" s="0" t="n">
        <v>10</v>
      </c>
      <c r="F595" s="0" t="n">
        <v>64</v>
      </c>
      <c r="G595" s="0" t="n">
        <v>1</v>
      </c>
      <c r="H595" s="0" t="inlineStr">
        <is>
          <t>/mnt/d/paper_source/work_9/VeriANN_repro_2026-09-30/VeriANN_repro_2026-09-30/results/work9-multidata-20261015/glove100/ANNProof-curve-1183514/per_query.csv</t>
        </is>
      </c>
    </row>
    <row r="596">
      <c r="A596" s="0" t="inlineStr">
        <is>
          <t>GloVe-100</t>
        </is>
      </c>
      <c r="B596" s="0" t="inlineStr">
        <is>
          <t>H21</t>
        </is>
      </c>
      <c r="C596" s="0" t="n">
        <v>77.5</v>
      </c>
      <c r="D596" s="0" t="inlineStr">
        <is>
          <t>recall_percent</t>
        </is>
      </c>
      <c r="E596" s="0" t="n">
        <v>10</v>
      </c>
      <c r="F596" s="0" t="n">
        <v>128</v>
      </c>
      <c r="G596" s="0" t="n">
        <v>1</v>
      </c>
      <c r="H596" s="0" t="inlineStr">
        <is>
          <t>/mnt/d/paper_source/work_9/VeriANN_repro_2026-09-30/VeriANN_repro_2026-09-30/results/work9-multidata-20261015/glove100/ANNProof-curve-1183514/per_query.csv</t>
        </is>
      </c>
    </row>
    <row r="597">
      <c r="A597" s="0" t="inlineStr">
        <is>
          <t>GloVe-100</t>
        </is>
      </c>
      <c r="B597" s="0" t="inlineStr">
        <is>
          <t>H22</t>
        </is>
      </c>
      <c r="C597" s="0" t="n">
        <v>2889.171</v>
      </c>
      <c r="D597" s="0" t="inlineStr">
        <is>
          <t>vo_kb</t>
        </is>
      </c>
      <c r="E597" s="0" t="n">
        <v>10</v>
      </c>
      <c r="F597" s="0" t="n">
        <v>128</v>
      </c>
      <c r="G597" s="0" t="n">
        <v>1</v>
      </c>
      <c r="H597" s="0" t="inlineStr">
        <is>
          <t>/mnt/d/paper_source/work_9/VeriANN_repro_2026-09-30/VeriANN_repro_2026-09-30/results/work9-multidata-20261015/glove100/ANNProof-curve-1183514/per_query.csv</t>
        </is>
      </c>
    </row>
    <row r="598">
      <c r="A598" s="0" t="inlineStr">
        <is>
          <t>GloVe-100</t>
        </is>
      </c>
      <c r="B598" s="0" t="inlineStr">
        <is>
          <t>H31</t>
        </is>
      </c>
      <c r="C598" s="0" t="n">
        <v>77.5</v>
      </c>
      <c r="D598" s="0" t="inlineStr">
        <is>
          <t>recall_percent</t>
        </is>
      </c>
      <c r="E598" s="0" t="n">
        <v>10</v>
      </c>
      <c r="F598" s="0" t="n">
        <v>128</v>
      </c>
      <c r="G598" s="0" t="n">
        <v>1</v>
      </c>
      <c r="H598" s="0" t="inlineStr">
        <is>
          <t>/mnt/d/paper_source/work_9/VeriANN_repro_2026-09-30/VeriANN_repro_2026-09-30/results/work9-multidata-20261015/glove100/ANNProof-curve-1183514/per_query.csv</t>
        </is>
      </c>
    </row>
    <row r="599">
      <c r="A599" s="0" t="inlineStr">
        <is>
          <t>GloVe-100</t>
        </is>
      </c>
      <c r="B599" s="0" t="inlineStr">
        <is>
          <t>H32</t>
        </is>
      </c>
      <c r="C599" s="0" t="n">
        <v>37.8451976166667</v>
      </c>
      <c r="D599" s="0" t="inlineStr">
        <is>
          <t>verify_ms</t>
        </is>
      </c>
      <c r="E599" s="0" t="n">
        <v>10</v>
      </c>
      <c r="F599" s="0" t="n">
        <v>128</v>
      </c>
      <c r="G599" s="0" t="n">
        <v>1</v>
      </c>
      <c r="H599" s="0" t="inlineStr">
        <is>
          <t>/mnt/d/paper_source/work_9/VeriANN_repro_2026-09-30/VeriANN_repro_2026-09-30/results/work9-multidata-20261015/glove100/ANNProof-curve-1183514/per_query.csv</t>
        </is>
      </c>
    </row>
    <row r="600">
      <c r="A600" s="0" t="inlineStr">
        <is>
          <t>GloVe-100</t>
        </is>
      </c>
      <c r="B600" s="0" t="inlineStr">
        <is>
          <t>H41</t>
        </is>
      </c>
      <c r="C600" s="0" t="n">
        <v>77.5</v>
      </c>
      <c r="D600" s="0" t="inlineStr">
        <is>
          <t>recall_percent</t>
        </is>
      </c>
      <c r="E600" s="0" t="n">
        <v>10</v>
      </c>
      <c r="F600" s="0" t="n">
        <v>128</v>
      </c>
      <c r="G600" s="0" t="n">
        <v>1</v>
      </c>
      <c r="H600" s="0" t="inlineStr">
        <is>
          <t>/mnt/d/paper_source/work_9/VeriANN_repro_2026-09-30/VeriANN_repro_2026-09-30/results/work9-multidata-20261015/glove100/ANNProof-curve-1183514/per_query.csv</t>
        </is>
      </c>
    </row>
    <row r="601">
      <c r="A601" s="0" t="inlineStr">
        <is>
          <t>GloVe-100</t>
        </is>
      </c>
      <c r="B601" s="0" t="inlineStr">
        <is>
          <t>H42</t>
        </is>
      </c>
      <c r="C601" s="0" t="n">
        <v>8.64324116666667</v>
      </c>
      <c r="D601" s="0" t="inlineStr">
        <is>
          <t>query_ms</t>
        </is>
      </c>
      <c r="E601" s="0" t="n">
        <v>10</v>
      </c>
      <c r="F601" s="0" t="n">
        <v>128</v>
      </c>
      <c r="G601" s="0" t="n">
        <v>1</v>
      </c>
      <c r="H601" s="0" t="inlineStr">
        <is>
          <t>/mnt/d/paper_source/work_9/VeriANN_repro_2026-09-30/VeriANN_repro_2026-09-30/results/work9-multidata-20261015/glove100/ANNProof-curve-1183514/per_query.csv</t>
        </is>
      </c>
    </row>
    <row r="602">
      <c r="A602" s="0" t="inlineStr">
        <is>
          <t>GloVe-100</t>
        </is>
      </c>
      <c r="B602" s="0" t="inlineStr">
        <is>
          <t>I21</t>
        </is>
      </c>
      <c r="C602" s="0" t="n">
        <v>77.5</v>
      </c>
      <c r="D602" s="0" t="inlineStr">
        <is>
          <t>recall_percent</t>
        </is>
      </c>
      <c r="E602" s="0" t="n">
        <v>10</v>
      </c>
      <c r="F602" s="0" t="n">
        <v>128</v>
      </c>
      <c r="G602" s="0" t="n">
        <v>1</v>
      </c>
      <c r="H602" s="0" t="inlineStr">
        <is>
          <t>/mnt/d/paper_source/work_9/VeriANN_repro_2026-09-30/VeriANN_repro_2026-09-30/results/work9-multidata-20261015/glove100/ANNProof-curve-1183514/per_query.csv</t>
        </is>
      </c>
    </row>
    <row r="603">
      <c r="A603" s="0" t="inlineStr">
        <is>
          <t>GloVe-100</t>
        </is>
      </c>
      <c r="B603" s="0" t="inlineStr">
        <is>
          <t>I22</t>
        </is>
      </c>
      <c r="C603" s="0" t="n">
        <v>2889.171</v>
      </c>
      <c r="D603" s="0" t="inlineStr">
        <is>
          <t>vo_kb</t>
        </is>
      </c>
      <c r="E603" s="0" t="n">
        <v>10</v>
      </c>
      <c r="F603" s="0" t="n">
        <v>128</v>
      </c>
      <c r="G603" s="0" t="n">
        <v>1</v>
      </c>
      <c r="H603" s="0" t="inlineStr">
        <is>
          <t>/mnt/d/paper_source/work_9/VeriANN_repro_2026-09-30/VeriANN_repro_2026-09-30/results/work9-multidata-20261015/glove100/ANNProof-curve-1183514/per_query.csv</t>
        </is>
      </c>
    </row>
    <row r="604">
      <c r="A604" s="0" t="inlineStr">
        <is>
          <t>GloVe-100</t>
        </is>
      </c>
      <c r="B604" s="0" t="inlineStr">
        <is>
          <t>I31</t>
        </is>
      </c>
      <c r="C604" s="0" t="n">
        <v>77.5</v>
      </c>
      <c r="D604" s="0" t="inlineStr">
        <is>
          <t>recall_percent</t>
        </is>
      </c>
      <c r="E604" s="0" t="n">
        <v>10</v>
      </c>
      <c r="F604" s="0" t="n">
        <v>128</v>
      </c>
      <c r="G604" s="0" t="n">
        <v>1</v>
      </c>
      <c r="H604" s="0" t="inlineStr">
        <is>
          <t>/mnt/d/paper_source/work_9/VeriANN_repro_2026-09-30/VeriANN_repro_2026-09-30/results/work9-multidata-20261015/glove100/ANNProof-curve-1183514/per_query.csv</t>
        </is>
      </c>
    </row>
    <row r="605">
      <c r="A605" s="0" t="inlineStr">
        <is>
          <t>GloVe-100</t>
        </is>
      </c>
      <c r="B605" s="0" t="inlineStr">
        <is>
          <t>I32</t>
        </is>
      </c>
      <c r="C605" s="0" t="n">
        <v>37.8451976166667</v>
      </c>
      <c r="D605" s="0" t="inlineStr">
        <is>
          <t>verify_ms</t>
        </is>
      </c>
      <c r="E605" s="0" t="n">
        <v>10</v>
      </c>
      <c r="F605" s="0" t="n">
        <v>128</v>
      </c>
      <c r="G605" s="0" t="n">
        <v>1</v>
      </c>
      <c r="H605" s="0" t="inlineStr">
        <is>
          <t>/mnt/d/paper_source/work_9/VeriANN_repro_2026-09-30/VeriANN_repro_2026-09-30/results/work9-multidata-20261015/glove100/ANNProof-curve-1183514/per_query.csv</t>
        </is>
      </c>
    </row>
    <row r="606">
      <c r="A606" s="0" t="inlineStr">
        <is>
          <t>GloVe-100</t>
        </is>
      </c>
      <c r="B606" s="0" t="inlineStr">
        <is>
          <t>I41</t>
        </is>
      </c>
      <c r="C606" s="0" t="n">
        <v>77.5</v>
      </c>
      <c r="D606" s="0" t="inlineStr">
        <is>
          <t>recall_percent</t>
        </is>
      </c>
      <c r="E606" s="0" t="n">
        <v>10</v>
      </c>
      <c r="F606" s="0" t="n">
        <v>128</v>
      </c>
      <c r="G606" s="0" t="n">
        <v>1</v>
      </c>
      <c r="H606" s="0" t="inlineStr">
        <is>
          <t>/mnt/d/paper_source/work_9/VeriANN_repro_2026-09-30/VeriANN_repro_2026-09-30/results/work9-multidata-20261015/glove100/ANNProof-curve-1183514/per_query.csv</t>
        </is>
      </c>
    </row>
    <row r="607">
      <c r="A607" s="0" t="inlineStr">
        <is>
          <t>GloVe-100</t>
        </is>
      </c>
      <c r="B607" s="0" t="inlineStr">
        <is>
          <t>I42</t>
        </is>
      </c>
      <c r="C607" s="0" t="n">
        <v>8.64324116666667</v>
      </c>
      <c r="D607" s="0" t="inlineStr">
        <is>
          <t>query_ms</t>
        </is>
      </c>
      <c r="E607" s="0" t="n">
        <v>10</v>
      </c>
      <c r="F607" s="0" t="n">
        <v>128</v>
      </c>
      <c r="G607" s="0" t="n">
        <v>1</v>
      </c>
      <c r="H607" s="0" t="inlineStr">
        <is>
          <t>/mnt/d/paper_source/work_9/VeriANN_repro_2026-09-30/VeriANN_repro_2026-09-30/results/work9-multidata-20261015/glove100/ANNProof-curve-1183514/per_query.csv</t>
        </is>
      </c>
    </row>
    <row r="608">
      <c r="A608" s="0" t="inlineStr">
        <is>
          <t>GloVe-100</t>
        </is>
      </c>
      <c r="B608" s="0" t="inlineStr">
        <is>
          <t>J21</t>
        </is>
      </c>
      <c r="C608" s="0" t="n">
        <v>83.5</v>
      </c>
      <c r="D608" s="0" t="inlineStr">
        <is>
          <t>recall_percent</t>
        </is>
      </c>
      <c r="E608" s="0" t="n">
        <v>10</v>
      </c>
      <c r="F608" s="0" t="n">
        <v>192</v>
      </c>
      <c r="G608" s="0" t="n">
        <v>1</v>
      </c>
      <c r="H608" s="0" t="inlineStr">
        <is>
          <t>/mnt/d/paper_source/work_9/VeriANN_repro_2026-09-30/VeriANN_repro_2026-09-30/results/work9-multidata-20261015/glove100/ANNProof-curve-1183514/per_query.csv</t>
        </is>
      </c>
    </row>
    <row r="609">
      <c r="A609" s="0" t="inlineStr">
        <is>
          <t>GloVe-100</t>
        </is>
      </c>
      <c r="B609" s="0" t="inlineStr">
        <is>
          <t>J22</t>
        </is>
      </c>
      <c r="C609" s="0" t="n">
        <v>3909.6394</v>
      </c>
      <c r="D609" s="0" t="inlineStr">
        <is>
          <t>vo_kb</t>
        </is>
      </c>
      <c r="E609" s="0" t="n">
        <v>10</v>
      </c>
      <c r="F609" s="0" t="n">
        <v>192</v>
      </c>
      <c r="G609" s="0" t="n">
        <v>1</v>
      </c>
      <c r="H609" s="0" t="inlineStr">
        <is>
          <t>/mnt/d/paper_source/work_9/VeriANN_repro_2026-09-30/VeriANN_repro_2026-09-30/results/work9-multidata-20261015/glove100/ANNProof-curve-1183514/per_query.csv</t>
        </is>
      </c>
    </row>
    <row r="610">
      <c r="A610" s="0" t="inlineStr">
        <is>
          <t>GloVe-100</t>
        </is>
      </c>
      <c r="B610" s="0" t="inlineStr">
        <is>
          <t>J31</t>
        </is>
      </c>
      <c r="C610" s="0" t="n">
        <v>83.5</v>
      </c>
      <c r="D610" s="0" t="inlineStr">
        <is>
          <t>recall_percent</t>
        </is>
      </c>
      <c r="E610" s="0" t="n">
        <v>10</v>
      </c>
      <c r="F610" s="0" t="n">
        <v>192</v>
      </c>
      <c r="G610" s="0" t="n">
        <v>1</v>
      </c>
      <c r="H610" s="0" t="inlineStr">
        <is>
          <t>/mnt/d/paper_source/work_9/VeriANN_repro_2026-09-30/VeriANN_repro_2026-09-30/results/work9-multidata-20261015/glove100/ANNProof-curve-1183514/per_query.csv</t>
        </is>
      </c>
    </row>
    <row r="611">
      <c r="A611" s="0" t="inlineStr">
        <is>
          <t>GloVe-100</t>
        </is>
      </c>
      <c r="B611" s="0" t="inlineStr">
        <is>
          <t>J32</t>
        </is>
      </c>
      <c r="C611" s="0" t="n">
        <v>51.5586544166667</v>
      </c>
      <c r="D611" s="0" t="inlineStr">
        <is>
          <t>verify_ms</t>
        </is>
      </c>
      <c r="E611" s="0" t="n">
        <v>10</v>
      </c>
      <c r="F611" s="0" t="n">
        <v>192</v>
      </c>
      <c r="G611" s="0" t="n">
        <v>1</v>
      </c>
      <c r="H611" s="0" t="inlineStr">
        <is>
          <t>/mnt/d/paper_source/work_9/VeriANN_repro_2026-09-30/VeriANN_repro_2026-09-30/results/work9-multidata-20261015/glove100/ANNProof-curve-1183514/per_query.csv</t>
        </is>
      </c>
    </row>
    <row r="612">
      <c r="A612" s="0" t="inlineStr">
        <is>
          <t>GloVe-100</t>
        </is>
      </c>
      <c r="B612" s="0" t="inlineStr">
        <is>
          <t>J41</t>
        </is>
      </c>
      <c r="C612" s="0" t="n">
        <v>83.5</v>
      </c>
      <c r="D612" s="0" t="inlineStr">
        <is>
          <t>recall_percent</t>
        </is>
      </c>
      <c r="E612" s="0" t="n">
        <v>10</v>
      </c>
      <c r="F612" s="0" t="n">
        <v>192</v>
      </c>
      <c r="G612" s="0" t="n">
        <v>1</v>
      </c>
      <c r="H612" s="0" t="inlineStr">
        <is>
          <t>/mnt/d/paper_source/work_9/VeriANN_repro_2026-09-30/VeriANN_repro_2026-09-30/results/work9-multidata-20261015/glove100/ANNProof-curve-1183514/per_query.csv</t>
        </is>
      </c>
    </row>
    <row r="613">
      <c r="A613" s="0" t="inlineStr">
        <is>
          <t>GloVe-100</t>
        </is>
      </c>
      <c r="B613" s="0" t="inlineStr">
        <is>
          <t>J42</t>
        </is>
      </c>
      <c r="C613" s="0" t="n">
        <v>11.9039628833333</v>
      </c>
      <c r="D613" s="0" t="inlineStr">
        <is>
          <t>query_ms</t>
        </is>
      </c>
      <c r="E613" s="0" t="n">
        <v>10</v>
      </c>
      <c r="F613" s="0" t="n">
        <v>192</v>
      </c>
      <c r="G613" s="0" t="n">
        <v>1</v>
      </c>
      <c r="H613" s="0" t="inlineStr">
        <is>
          <t>/mnt/d/paper_source/work_9/VeriANN_repro_2026-09-30/VeriANN_repro_2026-09-30/results/work9-multidata-20261015/glove100/ANNProof-curve-1183514/per_query.csv</t>
        </is>
      </c>
    </row>
    <row r="614">
      <c r="A614" s="0" t="inlineStr">
        <is>
          <t>GloVe-100</t>
        </is>
      </c>
      <c r="B614" s="0" t="inlineStr">
        <is>
          <t>K21</t>
        </is>
      </c>
      <c r="C614" s="0" t="n">
        <v>87.5</v>
      </c>
      <c r="D614" s="0" t="inlineStr">
        <is>
          <t>recall_percent</t>
        </is>
      </c>
      <c r="E614" s="0" t="n">
        <v>10</v>
      </c>
      <c r="F614" s="0" t="n">
        <v>256</v>
      </c>
      <c r="G614" s="0" t="n">
        <v>1</v>
      </c>
      <c r="H614" s="0" t="inlineStr">
        <is>
          <t>/mnt/d/paper_source/work_9/VeriANN_repro_2026-09-30/VeriANN_repro_2026-09-30/results/work9-multidata-20261015/glove100/ANNProof-curve-1183514/per_query.csv</t>
        </is>
      </c>
    </row>
    <row r="615">
      <c r="A615" s="0" t="inlineStr">
        <is>
          <t>GloVe-100</t>
        </is>
      </c>
      <c r="B615" s="0" t="inlineStr">
        <is>
          <t>K22</t>
        </is>
      </c>
      <c r="C615" s="0" t="n">
        <v>4944.9728</v>
      </c>
      <c r="D615" s="0" t="inlineStr">
        <is>
          <t>vo_kb</t>
        </is>
      </c>
      <c r="E615" s="0" t="n">
        <v>10</v>
      </c>
      <c r="F615" s="0" t="n">
        <v>256</v>
      </c>
      <c r="G615" s="0" t="n">
        <v>1</v>
      </c>
      <c r="H615" s="0" t="inlineStr">
        <is>
          <t>/mnt/d/paper_source/work_9/VeriANN_repro_2026-09-30/VeriANN_repro_2026-09-30/results/work9-multidata-20261015/glove100/ANNProof-curve-1183514/per_query.csv</t>
        </is>
      </c>
    </row>
    <row r="616">
      <c r="A616" s="0" t="inlineStr">
        <is>
          <t>GloVe-100</t>
        </is>
      </c>
      <c r="B616" s="0" t="inlineStr">
        <is>
          <t>K31</t>
        </is>
      </c>
      <c r="C616" s="0" t="n">
        <v>87.5</v>
      </c>
      <c r="D616" s="0" t="inlineStr">
        <is>
          <t>recall_percent</t>
        </is>
      </c>
      <c r="E616" s="0" t="n">
        <v>10</v>
      </c>
      <c r="F616" s="0" t="n">
        <v>256</v>
      </c>
      <c r="G616" s="0" t="n">
        <v>1</v>
      </c>
      <c r="H616" s="0" t="inlineStr">
        <is>
          <t>/mnt/d/paper_source/work_9/VeriANN_repro_2026-09-30/VeriANN_repro_2026-09-30/results/work9-multidata-20261015/glove100/ANNProof-curve-1183514/per_query.csv</t>
        </is>
      </c>
    </row>
    <row r="617">
      <c r="A617" s="0" t="inlineStr">
        <is>
          <t>GloVe-100</t>
        </is>
      </c>
      <c r="B617" s="0" t="inlineStr">
        <is>
          <t>K32</t>
        </is>
      </c>
      <c r="C617" s="0" t="n">
        <v>65.0245705333333</v>
      </c>
      <c r="D617" s="0" t="inlineStr">
        <is>
          <t>verify_ms</t>
        </is>
      </c>
      <c r="E617" s="0" t="n">
        <v>10</v>
      </c>
      <c r="F617" s="0" t="n">
        <v>256</v>
      </c>
      <c r="G617" s="0" t="n">
        <v>1</v>
      </c>
      <c r="H617" s="0" t="inlineStr">
        <is>
          <t>/mnt/d/paper_source/work_9/VeriANN_repro_2026-09-30/VeriANN_repro_2026-09-30/results/work9-multidata-20261015/glove100/ANNProof-curve-1183514/per_query.csv</t>
        </is>
      </c>
    </row>
    <row r="618">
      <c r="A618" s="0" t="inlineStr">
        <is>
          <t>GloVe-100</t>
        </is>
      </c>
      <c r="B618" s="0" t="inlineStr">
        <is>
          <t>K41</t>
        </is>
      </c>
      <c r="C618" s="0" t="n">
        <v>87.5</v>
      </c>
      <c r="D618" s="0" t="inlineStr">
        <is>
          <t>recall_percent</t>
        </is>
      </c>
      <c r="E618" s="0" t="n">
        <v>10</v>
      </c>
      <c r="F618" s="0" t="n">
        <v>256</v>
      </c>
      <c r="G618" s="0" t="n">
        <v>1</v>
      </c>
      <c r="H618" s="0" t="inlineStr">
        <is>
          <t>/mnt/d/paper_source/work_9/VeriANN_repro_2026-09-30/VeriANN_repro_2026-09-30/results/work9-multidata-20261015/glove100/ANNProof-curve-1183514/per_query.csv</t>
        </is>
      </c>
    </row>
    <row r="619">
      <c r="A619" s="0" t="inlineStr">
        <is>
          <t>GloVe-100</t>
        </is>
      </c>
      <c r="B619" s="0" t="inlineStr">
        <is>
          <t>K42</t>
        </is>
      </c>
      <c r="C619" s="0" t="n">
        <v>15.25740905</v>
      </c>
      <c r="D619" s="0" t="inlineStr">
        <is>
          <t>query_ms</t>
        </is>
      </c>
      <c r="E619" s="0" t="n">
        <v>10</v>
      </c>
      <c r="F619" s="0" t="n">
        <v>256</v>
      </c>
      <c r="G619" s="0" t="n">
        <v>1</v>
      </c>
      <c r="H619" s="0" t="inlineStr">
        <is>
          <t>/mnt/d/paper_source/work_9/VeriANN_repro_2026-09-30/VeriANN_repro_2026-09-30/results/work9-multidata-20261015/glove100/ANNProof-curve-1183514/per_query.csv</t>
        </is>
      </c>
    </row>
    <row r="620">
      <c r="A620" s="0" t="inlineStr">
        <is>
          <t>GloVe-100</t>
        </is>
      </c>
      <c r="B620" s="0" t="inlineStr">
        <is>
          <t>L21</t>
        </is>
      </c>
      <c r="C620" s="0" t="n">
        <v>90</v>
      </c>
      <c r="D620" s="0" t="inlineStr">
        <is>
          <t>recall_percent</t>
        </is>
      </c>
      <c r="E620" s="0" t="n">
        <v>10</v>
      </c>
      <c r="F620" s="0" t="n">
        <v>384</v>
      </c>
      <c r="G620" s="0" t="n">
        <v>1</v>
      </c>
      <c r="H620" s="0" t="inlineStr">
        <is>
          <t>/mnt/d/paper_source/work_9/VeriANN_repro_2026-09-30/VeriANN_repro_2026-09-30/results/work9-multidata-20261015/glove100/ANNProof-curve-1183514/per_query.csv</t>
        </is>
      </c>
    </row>
    <row r="621">
      <c r="A621" s="0" t="inlineStr">
        <is>
          <t>GloVe-100</t>
        </is>
      </c>
      <c r="B621" s="0" t="inlineStr">
        <is>
          <t>L22</t>
        </is>
      </c>
      <c r="C621" s="0" t="n">
        <v>6713.085</v>
      </c>
      <c r="D621" s="0" t="inlineStr">
        <is>
          <t>vo_kb</t>
        </is>
      </c>
      <c r="E621" s="0" t="n">
        <v>10</v>
      </c>
      <c r="F621" s="0" t="n">
        <v>384</v>
      </c>
      <c r="G621" s="0" t="n">
        <v>1</v>
      </c>
      <c r="H621" s="0" t="inlineStr">
        <is>
          <t>/mnt/d/paper_source/work_9/VeriANN_repro_2026-09-30/VeriANN_repro_2026-09-30/results/work9-multidata-20261015/glove100/ANNProof-curve-1183514/per_query.csv</t>
        </is>
      </c>
    </row>
    <row r="622">
      <c r="A622" s="0" t="inlineStr">
        <is>
          <t>GloVe-100</t>
        </is>
      </c>
      <c r="B622" s="0" t="inlineStr">
        <is>
          <t>L31</t>
        </is>
      </c>
      <c r="C622" s="0" t="n">
        <v>90</v>
      </c>
      <c r="D622" s="0" t="inlineStr">
        <is>
          <t>recall_percent</t>
        </is>
      </c>
      <c r="E622" s="0" t="n">
        <v>10</v>
      </c>
      <c r="F622" s="0" t="n">
        <v>384</v>
      </c>
      <c r="G622" s="0" t="n">
        <v>1</v>
      </c>
      <c r="H622" s="0" t="inlineStr">
        <is>
          <t>/mnt/d/paper_source/work_9/VeriANN_repro_2026-09-30/VeriANN_repro_2026-09-30/results/work9-multidata-20261015/glove100/ANNProof-curve-1183514/per_query.csv</t>
        </is>
      </c>
    </row>
    <row r="623">
      <c r="A623" s="0" t="inlineStr">
        <is>
          <t>GloVe-100</t>
        </is>
      </c>
      <c r="B623" s="0" t="inlineStr">
        <is>
          <t>L32</t>
        </is>
      </c>
      <c r="C623" s="0" t="n">
        <v>88.47731368333331</v>
      </c>
      <c r="D623" s="0" t="inlineStr">
        <is>
          <t>verify_ms</t>
        </is>
      </c>
      <c r="E623" s="0" t="n">
        <v>10</v>
      </c>
      <c r="F623" s="0" t="n">
        <v>384</v>
      </c>
      <c r="G623" s="0" t="n">
        <v>1</v>
      </c>
      <c r="H623" s="0" t="inlineStr">
        <is>
          <t>/mnt/d/paper_source/work_9/VeriANN_repro_2026-09-30/VeriANN_repro_2026-09-30/results/work9-multidata-20261015/glove100/ANNProof-curve-1183514/per_query.csv</t>
        </is>
      </c>
    </row>
    <row r="624">
      <c r="A624" s="0" t="inlineStr">
        <is>
          <t>GloVe-100</t>
        </is>
      </c>
      <c r="B624" s="0" t="inlineStr">
        <is>
          <t>L41</t>
        </is>
      </c>
      <c r="C624" s="0" t="n">
        <v>90</v>
      </c>
      <c r="D624" s="0" t="inlineStr">
        <is>
          <t>recall_percent</t>
        </is>
      </c>
      <c r="E624" s="0" t="n">
        <v>10</v>
      </c>
      <c r="F624" s="0" t="n">
        <v>384</v>
      </c>
      <c r="G624" s="0" t="n">
        <v>1</v>
      </c>
      <c r="H624" s="0" t="inlineStr">
        <is>
          <t>/mnt/d/paper_source/work_9/VeriANN_repro_2026-09-30/VeriANN_repro_2026-09-30/results/work9-multidata-20261015/glove100/ANNProof-curve-1183514/per_query.csv</t>
        </is>
      </c>
    </row>
    <row r="625">
      <c r="A625" s="0" t="inlineStr">
        <is>
          <t>GloVe-100</t>
        </is>
      </c>
      <c r="B625" s="0" t="inlineStr">
        <is>
          <t>L42</t>
        </is>
      </c>
      <c r="C625" s="0" t="n">
        <v>20.8722866666667</v>
      </c>
      <c r="D625" s="0" t="inlineStr">
        <is>
          <t>query_ms</t>
        </is>
      </c>
      <c r="E625" s="0" t="n">
        <v>10</v>
      </c>
      <c r="F625" s="0" t="n">
        <v>384</v>
      </c>
      <c r="G625" s="0" t="n">
        <v>1</v>
      </c>
      <c r="H625" s="0" t="inlineStr">
        <is>
          <t>/mnt/d/paper_source/work_9/VeriANN_repro_2026-09-30/VeriANN_repro_2026-09-30/results/work9-multidata-20261015/glove100/ANNProof-curve-1183514/per_query.csv</t>
        </is>
      </c>
    </row>
    <row r="626">
      <c r="A626" s="0" t="inlineStr">
        <is>
          <t>GloVe-100</t>
        </is>
      </c>
      <c r="B626" s="0" t="inlineStr">
        <is>
          <t>M21</t>
        </is>
      </c>
      <c r="C626" s="0" t="n">
        <v>95.5</v>
      </c>
      <c r="D626" s="0" t="inlineStr">
        <is>
          <t>recall_percent</t>
        </is>
      </c>
      <c r="E626" s="0" t="n">
        <v>10</v>
      </c>
      <c r="F626" s="0" t="n">
        <v>1536</v>
      </c>
      <c r="G626" s="0" t="n">
        <v>1</v>
      </c>
      <c r="H626" s="0" t="inlineStr">
        <is>
          <t>/mnt/d/paper_source/work_9/VeriANN_repro_2026-09-30/VeriANN_repro_2026-09-30/results/work9-multidata-20261015/glove100/ANNProof-curve-1183514/per_query.csv</t>
        </is>
      </c>
    </row>
    <row r="627">
      <c r="A627" s="0" t="inlineStr">
        <is>
          <t>GloVe-100</t>
        </is>
      </c>
      <c r="B627" s="0" t="inlineStr">
        <is>
          <t>M22</t>
        </is>
      </c>
      <c r="C627" s="0" t="n">
        <v>20286.7284</v>
      </c>
      <c r="D627" s="0" t="inlineStr">
        <is>
          <t>vo_kb</t>
        </is>
      </c>
      <c r="E627" s="0" t="n">
        <v>10</v>
      </c>
      <c r="F627" s="0" t="n">
        <v>1536</v>
      </c>
      <c r="G627" s="0" t="n">
        <v>1</v>
      </c>
      <c r="H627" s="0" t="inlineStr">
        <is>
          <t>/mnt/d/paper_source/work_9/VeriANN_repro_2026-09-30/VeriANN_repro_2026-09-30/results/work9-multidata-20261015/glove100/ANNProof-curve-1183514/per_query.csv</t>
        </is>
      </c>
    </row>
    <row r="628">
      <c r="A628" s="0" t="inlineStr">
        <is>
          <t>GloVe-100</t>
        </is>
      </c>
      <c r="B628" s="0" t="inlineStr">
        <is>
          <t>M31</t>
        </is>
      </c>
      <c r="C628" s="0" t="n">
        <v>95.5</v>
      </c>
      <c r="D628" s="0" t="inlineStr">
        <is>
          <t>recall_percent</t>
        </is>
      </c>
      <c r="E628" s="0" t="n">
        <v>10</v>
      </c>
      <c r="F628" s="0" t="n">
        <v>1536</v>
      </c>
      <c r="G628" s="0" t="n">
        <v>1</v>
      </c>
      <c r="H628" s="0" t="inlineStr">
        <is>
          <t>/mnt/d/paper_source/work_9/VeriANN_repro_2026-09-30/VeriANN_repro_2026-09-30/results/work9-multidata-20261015/glove100/ANNProof-curve-1183514/per_query.csv</t>
        </is>
      </c>
    </row>
    <row r="629">
      <c r="A629" s="0" t="inlineStr">
        <is>
          <t>GloVe-100</t>
        </is>
      </c>
      <c r="B629" s="0" t="inlineStr">
        <is>
          <t>M32</t>
        </is>
      </c>
      <c r="C629" s="0" t="n">
        <v>263.942687483333</v>
      </c>
      <c r="D629" s="0" t="inlineStr">
        <is>
          <t>verify_ms</t>
        </is>
      </c>
      <c r="E629" s="0" t="n">
        <v>10</v>
      </c>
      <c r="F629" s="0" t="n">
        <v>1536</v>
      </c>
      <c r="G629" s="0" t="n">
        <v>1</v>
      </c>
      <c r="H629" s="0" t="inlineStr">
        <is>
          <t>/mnt/d/paper_source/work_9/VeriANN_repro_2026-09-30/VeriANN_repro_2026-09-30/results/work9-multidata-20261015/glove100/ANNProof-curve-1183514/per_query.csv</t>
        </is>
      </c>
    </row>
    <row r="630">
      <c r="A630" s="0" t="inlineStr">
        <is>
          <t>GloVe-100</t>
        </is>
      </c>
      <c r="B630" s="0" t="inlineStr">
        <is>
          <t>M41</t>
        </is>
      </c>
      <c r="C630" s="0" t="n">
        <v>95.5</v>
      </c>
      <c r="D630" s="0" t="inlineStr">
        <is>
          <t>recall_percent</t>
        </is>
      </c>
      <c r="E630" s="0" t="n">
        <v>10</v>
      </c>
      <c r="F630" s="0" t="n">
        <v>1536</v>
      </c>
      <c r="G630" s="0" t="n">
        <v>1</v>
      </c>
      <c r="H630" s="0" t="inlineStr">
        <is>
          <t>/mnt/d/paper_source/work_9/VeriANN_repro_2026-09-30/VeriANN_repro_2026-09-30/results/work9-multidata-20261015/glove100/ANNProof-curve-1183514/per_query.csv</t>
        </is>
      </c>
    </row>
    <row r="631">
      <c r="A631" s="0" t="inlineStr">
        <is>
          <t>GloVe-100</t>
        </is>
      </c>
      <c r="B631" s="0" t="inlineStr">
        <is>
          <t>M42</t>
        </is>
      </c>
      <c r="C631" s="0" t="n">
        <v>69.7219818833333</v>
      </c>
      <c r="D631" s="0" t="inlineStr">
        <is>
          <t>query_ms</t>
        </is>
      </c>
      <c r="E631" s="0" t="n">
        <v>10</v>
      </c>
      <c r="F631" s="0" t="n">
        <v>1536</v>
      </c>
      <c r="G631" s="0" t="n">
        <v>1</v>
      </c>
      <c r="H631" s="0" t="inlineStr">
        <is>
          <t>/mnt/d/paper_source/work_9/VeriANN_repro_2026-09-30/VeriANN_repro_2026-09-30/results/work9-multidata-20261015/glove100/ANNProof-curve-1183514/per_query.csv</t>
        </is>
      </c>
    </row>
    <row r="632">
      <c r="A632" s="0" t="inlineStr">
        <is>
          <t>GloVe-100</t>
        </is>
      </c>
      <c r="B632" s="0" t="inlineStr">
        <is>
          <t>N21</t>
        </is>
      </c>
      <c r="C632" s="0" t="n">
        <v>97.5</v>
      </c>
      <c r="D632" s="0" t="inlineStr">
        <is>
          <t>recall_percent</t>
        </is>
      </c>
      <c r="E632" s="0" t="n">
        <v>10</v>
      </c>
      <c r="F632" s="0" t="n">
        <v>2048</v>
      </c>
      <c r="G632" s="0" t="n">
        <v>1</v>
      </c>
      <c r="H632" s="0" t="inlineStr">
        <is>
          <t>/mnt/d/paper_source/work_9/VeriANN_repro_2026-09-30/VeriANN_repro_2026-09-30/results/work9-multidata-20261015/glove100/ANNProof-curve-1183514/per_query.csv</t>
        </is>
      </c>
    </row>
    <row r="633">
      <c r="A633" s="0" t="inlineStr">
        <is>
          <t>GloVe-100</t>
        </is>
      </c>
      <c r="B633" s="0" t="inlineStr">
        <is>
          <t>N22</t>
        </is>
      </c>
      <c r="C633" s="0" t="n">
        <v>25439.6608</v>
      </c>
      <c r="D633" s="0" t="inlineStr">
        <is>
          <t>vo_kb</t>
        </is>
      </c>
      <c r="E633" s="0" t="n">
        <v>10</v>
      </c>
      <c r="F633" s="0" t="n">
        <v>2048</v>
      </c>
      <c r="G633" s="0" t="n">
        <v>1</v>
      </c>
      <c r="H633" s="0" t="inlineStr">
        <is>
          <t>/mnt/d/paper_source/work_9/VeriANN_repro_2026-09-30/VeriANN_repro_2026-09-30/results/work9-multidata-20261015/glove100/ANNProof-curve-1183514/per_query.csv</t>
        </is>
      </c>
    </row>
    <row r="634">
      <c r="A634" s="0" t="inlineStr">
        <is>
          <t>GloVe-100</t>
        </is>
      </c>
      <c r="B634" s="0" t="inlineStr">
        <is>
          <t>N31</t>
        </is>
      </c>
      <c r="C634" s="0" t="n">
        <v>97.5</v>
      </c>
      <c r="D634" s="0" t="inlineStr">
        <is>
          <t>recall_percent</t>
        </is>
      </c>
      <c r="E634" s="0" t="n">
        <v>10</v>
      </c>
      <c r="F634" s="0" t="n">
        <v>2048</v>
      </c>
      <c r="G634" s="0" t="n">
        <v>1</v>
      </c>
      <c r="H634" s="0" t="inlineStr">
        <is>
          <t>/mnt/d/paper_source/work_9/VeriANN_repro_2026-09-30/VeriANN_repro_2026-09-30/results/work9-multidata-20261015/glove100/ANNProof-curve-1183514/per_query.csv</t>
        </is>
      </c>
    </row>
    <row r="635">
      <c r="A635" s="0" t="inlineStr">
        <is>
          <t>GloVe-100</t>
        </is>
      </c>
      <c r="B635" s="0" t="inlineStr">
        <is>
          <t>N32</t>
        </is>
      </c>
      <c r="C635" s="0" t="n">
        <v>330.828721833333</v>
      </c>
      <c r="D635" s="0" t="inlineStr">
        <is>
          <t>verify_ms</t>
        </is>
      </c>
      <c r="E635" s="0" t="n">
        <v>10</v>
      </c>
      <c r="F635" s="0" t="n">
        <v>2048</v>
      </c>
      <c r="G635" s="0" t="n">
        <v>1</v>
      </c>
      <c r="H635" s="0" t="inlineStr">
        <is>
          <t>/mnt/d/paper_source/work_9/VeriANN_repro_2026-09-30/VeriANN_repro_2026-09-30/results/work9-multidata-20261015/glove100/ANNProof-curve-1183514/per_query.csv</t>
        </is>
      </c>
    </row>
    <row r="636">
      <c r="A636" s="0" t="inlineStr">
        <is>
          <t>GloVe-100</t>
        </is>
      </c>
      <c r="B636" s="0" t="inlineStr">
        <is>
          <t>N41</t>
        </is>
      </c>
      <c r="C636" s="0" t="n">
        <v>97.5</v>
      </c>
      <c r="D636" s="0" t="inlineStr">
        <is>
          <t>recall_percent</t>
        </is>
      </c>
      <c r="E636" s="0" t="n">
        <v>10</v>
      </c>
      <c r="F636" s="0" t="n">
        <v>2048</v>
      </c>
      <c r="G636" s="0" t="n">
        <v>1</v>
      </c>
      <c r="H636" s="0" t="inlineStr">
        <is>
          <t>/mnt/d/paper_source/work_9/VeriANN_repro_2026-09-30/VeriANN_repro_2026-09-30/results/work9-multidata-20261015/glove100/ANNProof-curve-1183514/per_query.csv</t>
        </is>
      </c>
    </row>
    <row r="637">
      <c r="A637" s="0" t="inlineStr">
        <is>
          <t>GloVe-100</t>
        </is>
      </c>
      <c r="B637" s="0" t="inlineStr">
        <is>
          <t>N42</t>
        </is>
      </c>
      <c r="C637" s="0" t="n">
        <v>87.9987959833333</v>
      </c>
      <c r="D637" s="0" t="inlineStr">
        <is>
          <t>query_ms</t>
        </is>
      </c>
      <c r="E637" s="0" t="n">
        <v>10</v>
      </c>
      <c r="F637" s="0" t="n">
        <v>2048</v>
      </c>
      <c r="G637" s="0" t="n">
        <v>1</v>
      </c>
      <c r="H637" s="0" t="inlineStr">
        <is>
          <t>/mnt/d/paper_source/work_9/VeriANN_repro_2026-09-30/VeriANN_repro_2026-09-30/results/work9-multidata-20261015/glove100/ANNProof-curve-1183514/per_query.csv</t>
        </is>
      </c>
    </row>
    <row r="638">
      <c r="A638" s="0" t="inlineStr">
        <is>
          <t>GloVe-100</t>
        </is>
      </c>
      <c r="B638" s="0" t="inlineStr">
        <is>
          <t>O21</t>
        </is>
      </c>
      <c r="C638" s="0" t="n">
        <v>98.5</v>
      </c>
      <c r="D638" s="0" t="inlineStr">
        <is>
          <t>recall_percent</t>
        </is>
      </c>
      <c r="E638" s="0" t="n">
        <v>10</v>
      </c>
      <c r="F638" s="0" t="n">
        <v>4096</v>
      </c>
      <c r="G638" s="0" t="n">
        <v>1</v>
      </c>
      <c r="H638" s="0" t="inlineStr">
        <is>
          <t>/mnt/d/paper_source/work_9/VeriANN_repro_2026-09-30/VeriANN_repro_2026-09-30/results/work9-multidata-20261015/glove100/ANNProof-curve-1183514/per_query.csv</t>
        </is>
      </c>
    </row>
    <row r="639">
      <c r="A639" s="0" t="inlineStr">
        <is>
          <t>GloVe-100</t>
        </is>
      </c>
      <c r="B639" s="0" t="inlineStr">
        <is>
          <t>O22</t>
        </is>
      </c>
      <c r="C639" s="0" t="n">
        <v>43668.8608</v>
      </c>
      <c r="D639" s="0" t="inlineStr">
        <is>
          <t>vo_kb</t>
        </is>
      </c>
      <c r="E639" s="0" t="n">
        <v>10</v>
      </c>
      <c r="F639" s="0" t="n">
        <v>4096</v>
      </c>
      <c r="G639" s="0" t="n">
        <v>1</v>
      </c>
      <c r="H639" s="0" t="inlineStr">
        <is>
          <t>/mnt/d/paper_source/work_9/VeriANN_repro_2026-09-30/VeriANN_repro_2026-09-30/results/work9-multidata-20261015/glove100/ANNProof-curve-1183514/per_query.csv</t>
        </is>
      </c>
    </row>
    <row r="640">
      <c r="A640" s="0" t="inlineStr">
        <is>
          <t>GloVe-100</t>
        </is>
      </c>
      <c r="B640" s="0" t="inlineStr">
        <is>
          <t>O31</t>
        </is>
      </c>
      <c r="C640" s="0" t="n">
        <v>98.5</v>
      </c>
      <c r="D640" s="0" t="inlineStr">
        <is>
          <t>recall_percent</t>
        </is>
      </c>
      <c r="E640" s="0" t="n">
        <v>10</v>
      </c>
      <c r="F640" s="0" t="n">
        <v>4096</v>
      </c>
      <c r="G640" s="0" t="n">
        <v>1</v>
      </c>
      <c r="H640" s="0" t="inlineStr">
        <is>
          <t>/mnt/d/paper_source/work_9/VeriANN_repro_2026-09-30/VeriANN_repro_2026-09-30/results/work9-multidata-20261015/glove100/ANNProof-curve-1183514/per_query.csv</t>
        </is>
      </c>
    </row>
    <row r="641">
      <c r="A641" s="0" t="inlineStr">
        <is>
          <t>GloVe-100</t>
        </is>
      </c>
      <c r="B641" s="0" t="inlineStr">
        <is>
          <t>O32</t>
        </is>
      </c>
      <c r="C641" s="0" t="n">
        <v>572.20322455</v>
      </c>
      <c r="D641" s="0" t="inlineStr">
        <is>
          <t>verify_ms</t>
        </is>
      </c>
      <c r="E641" s="0" t="n">
        <v>10</v>
      </c>
      <c r="F641" s="0" t="n">
        <v>4096</v>
      </c>
      <c r="G641" s="0" t="n">
        <v>1</v>
      </c>
      <c r="H641" s="0" t="inlineStr">
        <is>
          <t>/mnt/d/paper_source/work_9/VeriANN_repro_2026-09-30/VeriANN_repro_2026-09-30/results/work9-multidata-20261015/glove100/ANNProof-curve-1183514/per_query.csv</t>
        </is>
      </c>
    </row>
    <row r="642">
      <c r="A642" s="0" t="inlineStr">
        <is>
          <t>GloVe-100</t>
        </is>
      </c>
      <c r="B642" s="0" t="inlineStr">
        <is>
          <t>O41</t>
        </is>
      </c>
      <c r="C642" s="0" t="n">
        <v>98.5</v>
      </c>
      <c r="D642" s="0" t="inlineStr">
        <is>
          <t>recall_percent</t>
        </is>
      </c>
      <c r="E642" s="0" t="n">
        <v>10</v>
      </c>
      <c r="F642" s="0" t="n">
        <v>4096</v>
      </c>
      <c r="G642" s="0" t="n">
        <v>1</v>
      </c>
      <c r="H642" s="0" t="inlineStr">
        <is>
          <t>/mnt/d/paper_source/work_9/VeriANN_repro_2026-09-30/VeriANN_repro_2026-09-30/results/work9-multidata-20261015/glove100/ANNProof-curve-1183514/per_query.csv</t>
        </is>
      </c>
    </row>
    <row r="643">
      <c r="A643" s="0" t="inlineStr">
        <is>
          <t>GloVe-100</t>
        </is>
      </c>
      <c r="B643" s="0" t="inlineStr">
        <is>
          <t>O42</t>
        </is>
      </c>
      <c r="C643" s="0" t="n">
        <v>164.089183766667</v>
      </c>
      <c r="D643" s="0" t="inlineStr">
        <is>
          <t>query_ms</t>
        </is>
      </c>
      <c r="E643" s="0" t="n">
        <v>10</v>
      </c>
      <c r="F643" s="0" t="n">
        <v>4096</v>
      </c>
      <c r="G643" s="0" t="n">
        <v>1</v>
      </c>
      <c r="H643" s="0" t="inlineStr">
        <is>
          <t>/mnt/d/paper_source/work_9/VeriANN_repro_2026-09-30/VeriANN_repro_2026-09-30/results/work9-multidata-20261015/glove100/ANNProof-curve-1183514/per_query.csv</t>
        </is>
      </c>
    </row>
    <row r="644">
      <c r="A644" s="0" t="inlineStr">
        <is>
          <t>GloVe-100</t>
        </is>
      </c>
      <c r="B644" s="0" t="inlineStr">
        <is>
          <t>P21</t>
        </is>
      </c>
      <c r="C644" s="0" t="n">
        <v>99</v>
      </c>
      <c r="D644" s="0" t="inlineStr">
        <is>
          <t>recall_percent</t>
        </is>
      </c>
      <c r="E644" s="0" t="n">
        <v>10</v>
      </c>
      <c r="F644" s="0" t="n">
        <v>8192</v>
      </c>
      <c r="G644" s="0" t="n">
        <v>1</v>
      </c>
      <c r="H644" s="0" t="inlineStr">
        <is>
          <t>/mnt/d/paper_source/work_9/VeriANN_repro_2026-09-30/VeriANN_repro_2026-09-30/results/work9-multidata-20261015/glove100/ANNProof-curve-1183514/per_query.csv</t>
        </is>
      </c>
    </row>
    <row r="645">
      <c r="A645" s="0" t="inlineStr">
        <is>
          <t>GloVe-100</t>
        </is>
      </c>
      <c r="B645" s="0" t="inlineStr">
        <is>
          <t>P22</t>
        </is>
      </c>
      <c r="C645" s="0" t="n">
        <v>73904.36840000001</v>
      </c>
      <c r="D645" s="0" t="inlineStr">
        <is>
          <t>vo_kb</t>
        </is>
      </c>
      <c r="E645" s="0" t="n">
        <v>10</v>
      </c>
      <c r="F645" s="0" t="n">
        <v>8192</v>
      </c>
      <c r="G645" s="0" t="n">
        <v>1</v>
      </c>
      <c r="H645" s="0" t="inlineStr">
        <is>
          <t>/mnt/d/paper_source/work_9/VeriANN_repro_2026-09-30/VeriANN_repro_2026-09-30/results/work9-multidata-20261015/glove100/ANNProof-curve-1183514/per_query.csv</t>
        </is>
      </c>
    </row>
    <row r="646">
      <c r="A646" s="0" t="inlineStr">
        <is>
          <t>GloVe-100</t>
        </is>
      </c>
      <c r="B646" s="0" t="inlineStr">
        <is>
          <t>P31</t>
        </is>
      </c>
      <c r="C646" s="0" t="n">
        <v>99</v>
      </c>
      <c r="D646" s="0" t="inlineStr">
        <is>
          <t>recall_percent</t>
        </is>
      </c>
      <c r="E646" s="0" t="n">
        <v>10</v>
      </c>
      <c r="F646" s="0" t="n">
        <v>8192</v>
      </c>
      <c r="G646" s="0" t="n">
        <v>1</v>
      </c>
      <c r="H646" s="0" t="inlineStr">
        <is>
          <t>/mnt/d/paper_source/work_9/VeriANN_repro_2026-09-30/VeriANN_repro_2026-09-30/results/work9-multidata-20261015/glove100/ANNProof-curve-1183514/per_query.csv</t>
        </is>
      </c>
    </row>
    <row r="647">
      <c r="A647" s="0" t="inlineStr">
        <is>
          <t>GloVe-100</t>
        </is>
      </c>
      <c r="B647" s="0" t="inlineStr">
        <is>
          <t>P32</t>
        </is>
      </c>
      <c r="C647" s="0" t="n">
        <v>986.772749533333</v>
      </c>
      <c r="D647" s="0" t="inlineStr">
        <is>
          <t>verify_ms</t>
        </is>
      </c>
      <c r="E647" s="0" t="n">
        <v>10</v>
      </c>
      <c r="F647" s="0" t="n">
        <v>8192</v>
      </c>
      <c r="G647" s="0" t="n">
        <v>1</v>
      </c>
      <c r="H647" s="0" t="inlineStr">
        <is>
          <t>/mnt/d/paper_source/work_9/VeriANN_repro_2026-09-30/VeriANN_repro_2026-09-30/results/work9-multidata-20261015/glove100/ANNProof-curve-1183514/per_query.csv</t>
        </is>
      </c>
    </row>
    <row r="648">
      <c r="A648" s="0" t="inlineStr">
        <is>
          <t>GloVe-100</t>
        </is>
      </c>
      <c r="B648" s="0" t="inlineStr">
        <is>
          <t>P41</t>
        </is>
      </c>
      <c r="C648" s="0" t="n">
        <v>99</v>
      </c>
      <c r="D648" s="0" t="inlineStr">
        <is>
          <t>recall_percent</t>
        </is>
      </c>
      <c r="E648" s="0" t="n">
        <v>10</v>
      </c>
      <c r="F648" s="0" t="n">
        <v>8192</v>
      </c>
      <c r="G648" s="0" t="n">
        <v>1</v>
      </c>
      <c r="H648" s="0" t="inlineStr">
        <is>
          <t>/mnt/d/paper_source/work_9/VeriANN_repro_2026-09-30/VeriANN_repro_2026-09-30/results/work9-multidata-20261015/glove100/ANNProof-curve-1183514/per_query.csv</t>
        </is>
      </c>
    </row>
    <row r="649">
      <c r="A649" s="0" t="inlineStr">
        <is>
          <t>GloVe-100</t>
        </is>
      </c>
      <c r="B649" s="0" t="inlineStr">
        <is>
          <t>P42</t>
        </is>
      </c>
      <c r="C649" s="0" t="n">
        <v>302.3812472</v>
      </c>
      <c r="D649" s="0" t="inlineStr">
        <is>
          <t>query_ms</t>
        </is>
      </c>
      <c r="E649" s="0" t="n">
        <v>10</v>
      </c>
      <c r="F649" s="0" t="n">
        <v>8192</v>
      </c>
      <c r="G649" s="0" t="n">
        <v>1</v>
      </c>
      <c r="H649" s="0" t="inlineStr">
        <is>
          <t>/mnt/d/paper_source/work_9/VeriANN_repro_2026-09-30/VeriANN_repro_2026-09-30/results/work9-multidata-20261015/glove100/ANNProof-curve-1183514/per_query.csv</t>
        </is>
      </c>
    </row>
    <row r="650">
      <c r="A650" s="0" t="inlineStr">
        <is>
          <t>GloVe-100</t>
        </is>
      </c>
      <c r="B650" s="0" t="inlineStr">
        <is>
          <t>E10</t>
        </is>
      </c>
      <c r="C650" s="0" t="n">
        <v>95.5</v>
      </c>
      <c r="D650" s="0" t="inlineStr">
        <is>
          <t>recall_percent</t>
        </is>
      </c>
      <c r="E650" s="0" t="n">
        <v>10</v>
      </c>
      <c r="F650" s="0" t="n">
        <v>1536</v>
      </c>
      <c r="G650" s="0" t="n">
        <v>1</v>
      </c>
      <c r="H650" s="0" t="inlineStr">
        <is>
          <t>/mnt/d/paper_source/work_9/VeriANN_repro_2026-09-30/VeriANN_repro_2026-09-30/results/work9-multidata-20261015/glove100/ANNProof-curve-1183514/per_query.csv</t>
        </is>
      </c>
    </row>
    <row r="651">
      <c r="A651" s="0" t="inlineStr">
        <is>
          <t>GloVe-100</t>
        </is>
      </c>
      <c r="B651" s="0" t="inlineStr">
        <is>
          <t>F10</t>
        </is>
      </c>
      <c r="C651" s="0" t="n">
        <v>69.7219818833333</v>
      </c>
      <c r="D651" s="0" t="inlineStr">
        <is>
          <t>query_ms</t>
        </is>
      </c>
      <c r="E651" s="0" t="n">
        <v>10</v>
      </c>
      <c r="F651" s="0" t="n">
        <v>1536</v>
      </c>
      <c r="G651" s="0" t="n">
        <v>1</v>
      </c>
      <c r="H651" s="0" t="inlineStr">
        <is>
          <t>/mnt/d/paper_source/work_9/VeriANN_repro_2026-09-30/VeriANN_repro_2026-09-30/results/work9-multidata-20261015/glove100/ANNProof-curve-1183514/per_query.csv</t>
        </is>
      </c>
    </row>
    <row r="652">
      <c r="A652" s="0" t="inlineStr">
        <is>
          <t>GloVe-100</t>
        </is>
      </c>
      <c r="B652" s="0" t="inlineStr">
        <is>
          <t>G10</t>
        </is>
      </c>
      <c r="C652" s="0" t="n">
        <v>20286.7284</v>
      </c>
      <c r="D652" s="0" t="inlineStr">
        <is>
          <t>vo_kb</t>
        </is>
      </c>
      <c r="E652" s="0" t="n">
        <v>10</v>
      </c>
      <c r="F652" s="0" t="n">
        <v>1536</v>
      </c>
      <c r="G652" s="0" t="n">
        <v>1</v>
      </c>
      <c r="H652" s="0" t="inlineStr">
        <is>
          <t>/mnt/d/paper_source/work_9/VeriANN_repro_2026-09-30/VeriANN_repro_2026-09-30/results/work9-multidata-20261015/glove100/ANNProof-curve-1183514/per_query.csv</t>
        </is>
      </c>
    </row>
    <row r="653">
      <c r="A653" s="0" t="inlineStr">
        <is>
          <t>GloVe-100</t>
        </is>
      </c>
      <c r="B653" s="0" t="inlineStr">
        <is>
          <t>H10</t>
        </is>
      </c>
      <c r="C653" s="0" t="n">
        <v>263.942687483333</v>
      </c>
      <c r="D653" s="0" t="inlineStr">
        <is>
          <t>verify_ms</t>
        </is>
      </c>
      <c r="E653" s="0" t="n">
        <v>10</v>
      </c>
      <c r="F653" s="0" t="n">
        <v>1536</v>
      </c>
      <c r="G653" s="0" t="n">
        <v>1</v>
      </c>
      <c r="H653" s="0" t="inlineStr">
        <is>
          <t>/mnt/d/paper_source/work_9/VeriANN_repro_2026-09-30/VeriANN_repro_2026-09-30/results/work9-multidata-20261015/glove100/ANNProof-curve-1183514/per_query.csv</t>
        </is>
      </c>
    </row>
    <row r="654">
      <c r="A654" s="0" t="inlineStr">
        <is>
          <t>GloVe-100</t>
        </is>
      </c>
      <c r="B654" s="0" t="inlineStr">
        <is>
          <t>F85</t>
        </is>
      </c>
      <c r="C654" s="0" t="n">
        <v>20281.6944</v>
      </c>
      <c r="D654" s="0" t="inlineStr">
        <is>
          <t>vo_kb</t>
        </is>
      </c>
      <c r="E654" s="0" t="n">
        <v>1</v>
      </c>
      <c r="F654" s="0" t="n">
        <v>1536</v>
      </c>
      <c r="G654" s="0" t="n">
        <v>1</v>
      </c>
      <c r="H654" s="0" t="inlineStr">
        <is>
          <t>/mnt/d/paper_source/work_9/VeriANN_repro_2026-09-30/VeriANN_repro_2026-09-30/results/work9-multidata-20261015/glove100/ANNProof-k-1183514/per_query.csv</t>
        </is>
      </c>
    </row>
    <row r="655">
      <c r="A655" s="0" t="inlineStr">
        <is>
          <t>GloVe-100</t>
        </is>
      </c>
      <c r="B655" s="0" t="inlineStr">
        <is>
          <t>F95</t>
        </is>
      </c>
      <c r="C655" s="0" t="n">
        <v>263.1691163</v>
      </c>
      <c r="D655" s="0" t="inlineStr">
        <is>
          <t>verify_ms</t>
        </is>
      </c>
      <c r="E655" s="0" t="n">
        <v>1</v>
      </c>
      <c r="F655" s="0" t="n">
        <v>1536</v>
      </c>
      <c r="G655" s="0" t="n">
        <v>1</v>
      </c>
      <c r="H655" s="0" t="inlineStr">
        <is>
          <t>/mnt/d/paper_source/work_9/VeriANN_repro_2026-09-30/VeriANN_repro_2026-09-30/results/work9-multidata-20261015/glove100/ANNProof-k-1183514/per_query.csv</t>
        </is>
      </c>
    </row>
    <row r="656">
      <c r="A656" s="0" t="inlineStr">
        <is>
          <t>GloVe-100</t>
        </is>
      </c>
      <c r="B656" s="0" t="inlineStr">
        <is>
          <t>F104</t>
        </is>
      </c>
      <c r="C656" s="0" t="n">
        <v>69.8511835</v>
      </c>
      <c r="D656" s="0" t="inlineStr">
        <is>
          <t>query_ms</t>
        </is>
      </c>
      <c r="E656" s="0" t="n">
        <v>1</v>
      </c>
      <c r="F656" s="0" t="n">
        <v>1536</v>
      </c>
      <c r="G656" s="0" t="n">
        <v>1</v>
      </c>
      <c r="H656" s="0" t="inlineStr">
        <is>
          <t>/mnt/d/paper_source/work_9/VeriANN_repro_2026-09-30/VeriANN_repro_2026-09-30/results/work9-multidata-20261015/glove100/ANNProof-k-1183514/per_query.csv</t>
        </is>
      </c>
    </row>
    <row r="657">
      <c r="A657" s="0" t="inlineStr">
        <is>
          <t>GloVe-100</t>
        </is>
      </c>
      <c r="B657" s="0" t="inlineStr">
        <is>
          <t>G85</t>
        </is>
      </c>
      <c r="C657" s="0" t="n">
        <v>20283.9424</v>
      </c>
      <c r="D657" s="0" t="inlineStr">
        <is>
          <t>vo_kb</t>
        </is>
      </c>
      <c r="E657" s="0" t="n">
        <v>5</v>
      </c>
      <c r="F657" s="0" t="n">
        <v>1536</v>
      </c>
      <c r="G657" s="0" t="n">
        <v>1</v>
      </c>
      <c r="H657" s="0" t="inlineStr">
        <is>
          <t>/mnt/d/paper_source/work_9/VeriANN_repro_2026-09-30/VeriANN_repro_2026-09-30/results/work9-multidata-20261015/glove100/ANNProof-k-1183514/per_query.csv</t>
        </is>
      </c>
    </row>
    <row r="658">
      <c r="A658" s="0" t="inlineStr">
        <is>
          <t>GloVe-100</t>
        </is>
      </c>
      <c r="B658" s="0" t="inlineStr">
        <is>
          <t>G95</t>
        </is>
      </c>
      <c r="C658" s="0" t="n">
        <v>263.673275116667</v>
      </c>
      <c r="D658" s="0" t="inlineStr">
        <is>
          <t>verify_ms</t>
        </is>
      </c>
      <c r="E658" s="0" t="n">
        <v>5</v>
      </c>
      <c r="F658" s="0" t="n">
        <v>1536</v>
      </c>
      <c r="G658" s="0" t="n">
        <v>1</v>
      </c>
      <c r="H658" s="0" t="inlineStr">
        <is>
          <t>/mnt/d/paper_source/work_9/VeriANN_repro_2026-09-30/VeriANN_repro_2026-09-30/results/work9-multidata-20261015/glove100/ANNProof-k-1183514/per_query.csv</t>
        </is>
      </c>
    </row>
    <row r="659">
      <c r="A659" s="0" t="inlineStr">
        <is>
          <t>GloVe-100</t>
        </is>
      </c>
      <c r="B659" s="0" t="inlineStr">
        <is>
          <t>G104</t>
        </is>
      </c>
      <c r="C659" s="0" t="n">
        <v>68.92665555000001</v>
      </c>
      <c r="D659" s="0" t="inlineStr">
        <is>
          <t>query_ms</t>
        </is>
      </c>
      <c r="E659" s="0" t="n">
        <v>5</v>
      </c>
      <c r="F659" s="0" t="n">
        <v>1536</v>
      </c>
      <c r="G659" s="0" t="n">
        <v>1</v>
      </c>
      <c r="H659" s="0" t="inlineStr">
        <is>
          <t>/mnt/d/paper_source/work_9/VeriANN_repro_2026-09-30/VeriANN_repro_2026-09-30/results/work9-multidata-20261015/glove100/ANNProof-k-1183514/per_query.csv</t>
        </is>
      </c>
    </row>
    <row r="660">
      <c r="A660" s="0" t="inlineStr">
        <is>
          <t>GloVe-100</t>
        </is>
      </c>
      <c r="B660" s="0" t="inlineStr">
        <is>
          <t>H85</t>
        </is>
      </c>
      <c r="C660" s="0" t="n">
        <v>20286.7284</v>
      </c>
      <c r="D660" s="0" t="inlineStr">
        <is>
          <t>vo_kb</t>
        </is>
      </c>
      <c r="E660" s="0" t="n">
        <v>10</v>
      </c>
      <c r="F660" s="0" t="n">
        <v>1536</v>
      </c>
      <c r="G660" s="0" t="n">
        <v>1</v>
      </c>
      <c r="H660" s="0" t="inlineStr">
        <is>
          <t>/mnt/d/paper_source/work_9/VeriANN_repro_2026-09-30/VeriANN_repro_2026-09-30/results/work9-multidata-20261015/glove100/ANNProof-k-1183514/per_query.csv</t>
        </is>
      </c>
    </row>
    <row r="661">
      <c r="A661" s="0" t="inlineStr">
        <is>
          <t>GloVe-100</t>
        </is>
      </c>
      <c r="B661" s="0" t="inlineStr">
        <is>
          <t>H95</t>
        </is>
      </c>
      <c r="C661" s="0" t="n">
        <v>264.068021866667</v>
      </c>
      <c r="D661" s="0" t="inlineStr">
        <is>
          <t>verify_ms</t>
        </is>
      </c>
      <c r="E661" s="0" t="n">
        <v>10</v>
      </c>
      <c r="F661" s="0" t="n">
        <v>1536</v>
      </c>
      <c r="G661" s="0" t="n">
        <v>1</v>
      </c>
      <c r="H661" s="0" t="inlineStr">
        <is>
          <t>/mnt/d/paper_source/work_9/VeriANN_repro_2026-09-30/VeriANN_repro_2026-09-30/results/work9-multidata-20261015/glove100/ANNProof-k-1183514/per_query.csv</t>
        </is>
      </c>
    </row>
    <row r="662">
      <c r="A662" s="0" t="inlineStr">
        <is>
          <t>GloVe-100</t>
        </is>
      </c>
      <c r="B662" s="0" t="inlineStr">
        <is>
          <t>H104</t>
        </is>
      </c>
      <c r="C662" s="0" t="n">
        <v>69.1091445833333</v>
      </c>
      <c r="D662" s="0" t="inlineStr">
        <is>
          <t>query_ms</t>
        </is>
      </c>
      <c r="E662" s="0" t="n">
        <v>10</v>
      </c>
      <c r="F662" s="0" t="n">
        <v>1536</v>
      </c>
      <c r="G662" s="0" t="n">
        <v>1</v>
      </c>
      <c r="H662" s="0" t="inlineStr">
        <is>
          <t>/mnt/d/paper_source/work_9/VeriANN_repro_2026-09-30/VeriANN_repro_2026-09-30/results/work9-multidata-20261015/glove100/ANNProof-k-1183514/per_query.csv</t>
        </is>
      </c>
    </row>
    <row r="663">
      <c r="A663" s="0" t="inlineStr">
        <is>
          <t>GloVe-100</t>
        </is>
      </c>
      <c r="B663" s="0" t="inlineStr">
        <is>
          <t>I85</t>
        </is>
      </c>
      <c r="C663" s="0" t="n">
        <v>20292.2224</v>
      </c>
      <c r="D663" s="0" t="inlineStr">
        <is>
          <t>vo_kb</t>
        </is>
      </c>
      <c r="E663" s="0" t="n">
        <v>20</v>
      </c>
      <c r="F663" s="0" t="n">
        <v>1536</v>
      </c>
      <c r="G663" s="0" t="n">
        <v>1</v>
      </c>
      <c r="H663" s="0" t="inlineStr">
        <is>
          <t>/mnt/d/paper_source/work_9/VeriANN_repro_2026-09-30/VeriANN_repro_2026-09-30/results/work9-multidata-20261015/glove100/ANNProof-k-1183514/per_query.csv</t>
        </is>
      </c>
    </row>
    <row r="664">
      <c r="A664" s="0" t="inlineStr">
        <is>
          <t>GloVe-100</t>
        </is>
      </c>
      <c r="B664" s="0" t="inlineStr">
        <is>
          <t>I95</t>
        </is>
      </c>
      <c r="C664" s="0" t="n">
        <v>262.3306454</v>
      </c>
      <c r="D664" s="0" t="inlineStr">
        <is>
          <t>verify_ms</t>
        </is>
      </c>
      <c r="E664" s="0" t="n">
        <v>20</v>
      </c>
      <c r="F664" s="0" t="n">
        <v>1536</v>
      </c>
      <c r="G664" s="0" t="n">
        <v>1</v>
      </c>
      <c r="H664" s="0" t="inlineStr">
        <is>
          <t>/mnt/d/paper_source/work_9/VeriANN_repro_2026-09-30/VeriANN_repro_2026-09-30/results/work9-multidata-20261015/glove100/ANNProof-k-1183514/per_query.csv</t>
        </is>
      </c>
    </row>
    <row r="665">
      <c r="A665" s="0" t="inlineStr">
        <is>
          <t>GloVe-100</t>
        </is>
      </c>
      <c r="B665" s="0" t="inlineStr">
        <is>
          <t>I104</t>
        </is>
      </c>
      <c r="C665" s="0" t="n">
        <v>71.1527474333333</v>
      </c>
      <c r="D665" s="0" t="inlineStr">
        <is>
          <t>query_ms</t>
        </is>
      </c>
      <c r="E665" s="0" t="n">
        <v>20</v>
      </c>
      <c r="F665" s="0" t="n">
        <v>1536</v>
      </c>
      <c r="G665" s="0" t="n">
        <v>1</v>
      </c>
      <c r="H665" s="0" t="inlineStr">
        <is>
          <t>/mnt/d/paper_source/work_9/VeriANN_repro_2026-09-30/VeriANN_repro_2026-09-30/results/work9-multidata-20261015/glove100/ANNProof-k-1183514/per_query.csv</t>
        </is>
      </c>
    </row>
    <row r="666">
      <c r="A666" s="0" t="inlineStr">
        <is>
          <t>GloVe-100</t>
        </is>
      </c>
      <c r="B666" s="0" t="inlineStr">
        <is>
          <t>J85</t>
        </is>
      </c>
      <c r="C666" s="0" t="n">
        <v>20308.1424</v>
      </c>
      <c r="D666" s="0" t="inlineStr">
        <is>
          <t>vo_kb</t>
        </is>
      </c>
      <c r="E666" s="0" t="n">
        <v>50</v>
      </c>
      <c r="F666" s="0" t="n">
        <v>1536</v>
      </c>
      <c r="G666" s="0" t="n">
        <v>1</v>
      </c>
      <c r="H666" s="0" t="inlineStr">
        <is>
          <t>/mnt/d/paper_source/work_9/VeriANN_repro_2026-09-30/VeriANN_repro_2026-09-30/results/work9-multidata-20261015/glove100/ANNProof-k-1183514/per_query.csv</t>
        </is>
      </c>
    </row>
    <row r="667">
      <c r="A667" s="0" t="inlineStr">
        <is>
          <t>GloVe-100</t>
        </is>
      </c>
      <c r="B667" s="0" t="inlineStr">
        <is>
          <t>J95</t>
        </is>
      </c>
      <c r="C667" s="0" t="n">
        <v>263.301847816667</v>
      </c>
      <c r="D667" s="0" t="inlineStr">
        <is>
          <t>verify_ms</t>
        </is>
      </c>
      <c r="E667" s="0" t="n">
        <v>50</v>
      </c>
      <c r="F667" s="0" t="n">
        <v>1536</v>
      </c>
      <c r="G667" s="0" t="n">
        <v>1</v>
      </c>
      <c r="H667" s="0" t="inlineStr">
        <is>
          <t>/mnt/d/paper_source/work_9/VeriANN_repro_2026-09-30/VeriANN_repro_2026-09-30/results/work9-multidata-20261015/glove100/ANNProof-k-1183514/per_query.csv</t>
        </is>
      </c>
    </row>
    <row r="668">
      <c r="A668" s="0" t="inlineStr">
        <is>
          <t>GloVe-100</t>
        </is>
      </c>
      <c r="B668" s="0" t="inlineStr">
        <is>
          <t>J104</t>
        </is>
      </c>
      <c r="C668" s="0" t="n">
        <v>72.0175692</v>
      </c>
      <c r="D668" s="0" t="inlineStr">
        <is>
          <t>query_ms</t>
        </is>
      </c>
      <c r="E668" s="0" t="n">
        <v>50</v>
      </c>
      <c r="F668" s="0" t="n">
        <v>1536</v>
      </c>
      <c r="G668" s="0" t="n">
        <v>1</v>
      </c>
      <c r="H668" s="0" t="inlineStr">
        <is>
          <t>/mnt/d/paper_source/work_9/VeriANN_repro_2026-09-30/VeriANN_repro_2026-09-30/results/work9-multidata-20261015/glove100/ANNProof-k-1183514/per_query.csv</t>
        </is>
      </c>
    </row>
    <row r="669">
      <c r="A669" s="0" t="inlineStr">
        <is>
          <t>GloVe-100</t>
        </is>
      </c>
      <c r="B669" s="0" t="inlineStr">
        <is>
          <t>K85</t>
        </is>
      </c>
      <c r="C669" s="0" t="n">
        <v>20333.0104</v>
      </c>
      <c r="D669" s="0" t="inlineStr">
        <is>
          <t>vo_kb</t>
        </is>
      </c>
      <c r="E669" s="0" t="n">
        <v>100</v>
      </c>
      <c r="F669" s="0" t="n">
        <v>1536</v>
      </c>
      <c r="G669" s="0" t="n">
        <v>1</v>
      </c>
      <c r="H669" s="0" t="inlineStr">
        <is>
          <t>/mnt/d/paper_source/work_9/VeriANN_repro_2026-09-30/VeriANN_repro_2026-09-30/results/work9-multidata-20261015/glove100/ANNProof-k-1183514/per_query.csv</t>
        </is>
      </c>
    </row>
    <row r="670">
      <c r="A670" s="0" t="inlineStr">
        <is>
          <t>GloVe-100</t>
        </is>
      </c>
      <c r="B670" s="0" t="inlineStr">
        <is>
          <t>K95</t>
        </is>
      </c>
      <c r="C670" s="0" t="n">
        <v>263.437103266667</v>
      </c>
      <c r="D670" s="0" t="inlineStr">
        <is>
          <t>verify_ms</t>
        </is>
      </c>
      <c r="E670" s="0" t="n">
        <v>100</v>
      </c>
      <c r="F670" s="0" t="n">
        <v>1536</v>
      </c>
      <c r="G670" s="0" t="n">
        <v>1</v>
      </c>
      <c r="H670" s="0" t="inlineStr">
        <is>
          <t>/mnt/d/paper_source/work_9/VeriANN_repro_2026-09-30/VeriANN_repro_2026-09-30/results/work9-multidata-20261015/glove100/ANNProof-k-1183514/per_query.csv</t>
        </is>
      </c>
    </row>
    <row r="671">
      <c r="A671" s="0" t="inlineStr">
        <is>
          <t>GloVe-100</t>
        </is>
      </c>
      <c r="B671" s="0" t="inlineStr">
        <is>
          <t>K104</t>
        </is>
      </c>
      <c r="C671" s="0" t="n">
        <v>71.8316993333333</v>
      </c>
      <c r="D671" s="0" t="inlineStr">
        <is>
          <t>query_ms</t>
        </is>
      </c>
      <c r="E671" s="0" t="n">
        <v>100</v>
      </c>
      <c r="F671" s="0" t="n">
        <v>1536</v>
      </c>
      <c r="G671" s="0" t="n">
        <v>1</v>
      </c>
      <c r="H671" s="0" t="inlineStr">
        <is>
          <t>/mnt/d/paper_source/work_9/VeriANN_repro_2026-09-30/VeriANN_repro_2026-09-30/results/work9-multidata-20261015/glove100/ANNProof-k-1183514/per_query.csv</t>
        </is>
      </c>
    </row>
    <row r="672">
      <c r="A672" s="0" t="inlineStr">
        <is>
          <t>GloVe-100</t>
        </is>
      </c>
      <c r="B672" s="0" t="inlineStr">
        <is>
          <t>F55</t>
        </is>
      </c>
      <c r="C672" s="0" t="n">
        <v>5057.4898</v>
      </c>
      <c r="D672" s="0" t="inlineStr">
        <is>
          <t>vo_kb</t>
        </is>
      </c>
      <c r="E672" s="0" t="n">
        <v>10</v>
      </c>
      <c r="F672" s="0" t="n">
        <v>384</v>
      </c>
      <c r="G672" s="0" t="n">
        <v>1</v>
      </c>
      <c r="H672" s="0" t="inlineStr">
        <is>
          <t>/mnt/d/paper_source/work_9/VeriANN_repro_2026-09-30/VeriANN_repro_2026-09-30/results/work9-multidata-20261015/glove100/ANNProof-size-100000/per_query.csv</t>
        </is>
      </c>
    </row>
    <row r="673">
      <c r="A673" s="0" t="inlineStr">
        <is>
          <t>GloVe-100</t>
        </is>
      </c>
      <c r="B673" s="0" t="inlineStr">
        <is>
          <t>F65</t>
        </is>
      </c>
      <c r="C673" s="0" t="n">
        <v>59.2690873333333</v>
      </c>
      <c r="D673" s="0" t="inlineStr">
        <is>
          <t>verify_ms</t>
        </is>
      </c>
      <c r="E673" s="0" t="n">
        <v>10</v>
      </c>
      <c r="F673" s="0" t="n">
        <v>384</v>
      </c>
      <c r="G673" s="0" t="n">
        <v>1</v>
      </c>
      <c r="H673" s="0" t="inlineStr">
        <is>
          <t>/mnt/d/paper_source/work_9/VeriANN_repro_2026-09-30/VeriANN_repro_2026-09-30/results/work9-multidata-20261015/glove100/ANNProof-size-100000/per_query.csv</t>
        </is>
      </c>
    </row>
    <row r="674">
      <c r="A674" s="0" t="inlineStr">
        <is>
          <t>GloVe-100</t>
        </is>
      </c>
      <c r="B674" s="0" t="inlineStr">
        <is>
          <t>F74</t>
        </is>
      </c>
      <c r="C674" s="0" t="n">
        <v>14.3868343666667</v>
      </c>
      <c r="D674" s="0" t="inlineStr">
        <is>
          <t>query_ms</t>
        </is>
      </c>
      <c r="E674" s="0" t="n">
        <v>10</v>
      </c>
      <c r="F674" s="0" t="n">
        <v>384</v>
      </c>
      <c r="G674" s="0" t="n">
        <v>1</v>
      </c>
      <c r="H674" s="0" t="inlineStr">
        <is>
          <t>/mnt/d/paper_source/work_9/VeriANN_repro_2026-09-30/VeriANN_repro_2026-09-30/results/work9-multidata-20261015/glove100/ANNProof-size-100000/per_query.csv</t>
        </is>
      </c>
    </row>
    <row r="675">
      <c r="A675" s="0" t="inlineStr">
        <is>
          <t>GloVe-100</t>
        </is>
      </c>
      <c r="B675" s="0" t="inlineStr">
        <is>
          <t>H55</t>
        </is>
      </c>
      <c r="C675" s="0" t="n">
        <v>14370.4534</v>
      </c>
      <c r="D675" s="0" t="inlineStr">
        <is>
          <t>vo_kb</t>
        </is>
      </c>
      <c r="E675" s="0" t="n">
        <v>10</v>
      </c>
      <c r="F675" s="0" t="n">
        <v>1024</v>
      </c>
      <c r="G675" s="0" t="n">
        <v>1</v>
      </c>
      <c r="H675" s="0" t="inlineStr">
        <is>
          <t>/mnt/d/paper_source/work_9/VeriANN_repro_2026-09-30/VeriANN_repro_2026-09-30/results/work9-multidata-20261015/glove100/ANNProof-size-1000000/per_query.csv</t>
        </is>
      </c>
    </row>
    <row r="676">
      <c r="A676" s="0" t="inlineStr">
        <is>
          <t>GloVe-100</t>
        </is>
      </c>
      <c r="B676" s="0" t="inlineStr">
        <is>
          <t>H65</t>
        </is>
      </c>
      <c r="C676" s="0" t="n">
        <v>186.265374333333</v>
      </c>
      <c r="D676" s="0" t="inlineStr">
        <is>
          <t>verify_ms</t>
        </is>
      </c>
      <c r="E676" s="0" t="n">
        <v>10</v>
      </c>
      <c r="F676" s="0" t="n">
        <v>1024</v>
      </c>
      <c r="G676" s="0" t="n">
        <v>1</v>
      </c>
      <c r="H676" s="0" t="inlineStr">
        <is>
          <t>/mnt/d/paper_source/work_9/VeriANN_repro_2026-09-30/VeriANN_repro_2026-09-30/results/work9-multidata-20261015/glove100/ANNProof-size-1000000/per_query.csv</t>
        </is>
      </c>
    </row>
    <row r="677">
      <c r="A677" s="0" t="inlineStr">
        <is>
          <t>GloVe-100</t>
        </is>
      </c>
      <c r="B677" s="0" t="inlineStr">
        <is>
          <t>H74</t>
        </is>
      </c>
      <c r="C677" s="0" t="n">
        <v>47.7281420666667</v>
      </c>
      <c r="D677" s="0" t="inlineStr">
        <is>
          <t>query_ms</t>
        </is>
      </c>
      <c r="E677" s="0" t="n">
        <v>10</v>
      </c>
      <c r="F677" s="0" t="n">
        <v>1024</v>
      </c>
      <c r="G677" s="0" t="n">
        <v>1</v>
      </c>
      <c r="H677" s="0" t="inlineStr">
        <is>
          <t>/mnt/d/paper_source/work_9/VeriANN_repro_2026-09-30/VeriANN_repro_2026-09-30/results/work9-multidata-20261015/glove100/ANNProof-size-1000000/per_query.csv</t>
        </is>
      </c>
    </row>
    <row r="678">
      <c r="A678" s="0" t="inlineStr">
        <is>
          <t>GloVe-100</t>
        </is>
      </c>
      <c r="B678" s="0" t="inlineStr">
        <is>
          <t>G55</t>
        </is>
      </c>
      <c r="C678" s="0" t="n">
        <v>13273.9188</v>
      </c>
      <c r="D678" s="0" t="inlineStr">
        <is>
          <t>vo_kb</t>
        </is>
      </c>
      <c r="E678" s="0" t="n">
        <v>10</v>
      </c>
      <c r="F678" s="0" t="n">
        <v>1024</v>
      </c>
      <c r="G678" s="0" t="n">
        <v>1</v>
      </c>
      <c r="H678" s="0" t="inlineStr">
        <is>
          <t>/mnt/d/paper_source/work_9/VeriANN_repro_2026-09-30/VeriANN_repro_2026-09-30/results/work9-multidata-20261015/glove100/ANNProof-size-500000/per_query.csv</t>
        </is>
      </c>
    </row>
    <row r="679">
      <c r="A679" s="0" t="inlineStr">
        <is>
          <t>GloVe-100</t>
        </is>
      </c>
      <c r="B679" s="0" t="inlineStr">
        <is>
          <t>G65</t>
        </is>
      </c>
      <c r="C679" s="0" t="n">
        <v>166.525453083333</v>
      </c>
      <c r="D679" s="0" t="inlineStr">
        <is>
          <t>verify_ms</t>
        </is>
      </c>
      <c r="E679" s="0" t="n">
        <v>10</v>
      </c>
      <c r="F679" s="0" t="n">
        <v>1024</v>
      </c>
      <c r="G679" s="0" t="n">
        <v>1</v>
      </c>
      <c r="H679" s="0" t="inlineStr">
        <is>
          <t>/mnt/d/paper_source/work_9/VeriANN_repro_2026-09-30/VeriANN_repro_2026-09-30/results/work9-multidata-20261015/glove100/ANNProof-size-500000/per_query.csv</t>
        </is>
      </c>
    </row>
    <row r="680">
      <c r="A680" s="0" t="inlineStr">
        <is>
          <t>GloVe-100</t>
        </is>
      </c>
      <c r="B680" s="0" t="inlineStr">
        <is>
          <t>G74</t>
        </is>
      </c>
      <c r="C680" s="0" t="n">
        <v>42.6744452833333</v>
      </c>
      <c r="D680" s="0" t="inlineStr">
        <is>
          <t>query_ms</t>
        </is>
      </c>
      <c r="E680" s="0" t="n">
        <v>10</v>
      </c>
      <c r="F680" s="0" t="n">
        <v>1024</v>
      </c>
      <c r="G680" s="0" t="n">
        <v>1</v>
      </c>
      <c r="H680" s="0" t="inlineStr">
        <is>
          <t>/mnt/d/paper_source/work_9/VeriANN_repro_2026-09-30/VeriANN_repro_2026-09-30/results/work9-multidata-20261015/glove100/ANNProof-size-500000/per_query.csv</t>
        </is>
      </c>
    </row>
    <row r="681">
      <c r="A681" s="0" t="inlineStr">
        <is>
          <t>GloVe-100</t>
        </is>
      </c>
      <c r="B681" s="0" t="inlineStr">
        <is>
          <t>F23</t>
        </is>
      </c>
      <c r="C681" s="0" t="n">
        <v>60.5</v>
      </c>
      <c r="D681" s="0" t="inlineStr">
        <is>
          <t>recall_percent</t>
        </is>
      </c>
      <c r="E681" s="0" t="n">
        <v>10</v>
      </c>
      <c r="F681" s="0" t="n">
        <v>64</v>
      </c>
      <c r="G681" s="0" t="n">
        <v>1</v>
      </c>
      <c r="H681" s="0" t="inlineStr">
        <is>
          <t>/mnt/d/paper_source/work_9/VeriANN_repro_2026-09-30/VeriANN_repro_2026-09-30/results/work9-multidata-20261015/glove100/Ours-curve-1183514/per_query.csv</t>
        </is>
      </c>
    </row>
    <row r="682">
      <c r="A682" s="0" t="inlineStr">
        <is>
          <t>GloVe-100</t>
        </is>
      </c>
      <c r="B682" s="0" t="inlineStr">
        <is>
          <t>F24</t>
        </is>
      </c>
      <c r="C682" s="0" t="n">
        <v>433.98015</v>
      </c>
      <c r="D682" s="0" t="inlineStr">
        <is>
          <t>vo_kb</t>
        </is>
      </c>
      <c r="E682" s="0" t="n">
        <v>10</v>
      </c>
      <c r="F682" s="0" t="n">
        <v>64</v>
      </c>
      <c r="G682" s="0" t="n">
        <v>1</v>
      </c>
      <c r="H682" s="0" t="inlineStr">
        <is>
          <t>/mnt/d/paper_source/work_9/VeriANN_repro_2026-09-30/VeriANN_repro_2026-09-30/results/work9-multidata-20261015/glove100/Ours-curve-1183514/per_query.csv</t>
        </is>
      </c>
    </row>
    <row r="683">
      <c r="A683" s="0" t="inlineStr">
        <is>
          <t>GloVe-100</t>
        </is>
      </c>
      <c r="B683" s="0" t="inlineStr">
        <is>
          <t>F33</t>
        </is>
      </c>
      <c r="C683" s="0" t="n">
        <v>60.5</v>
      </c>
      <c r="D683" s="0" t="inlineStr">
        <is>
          <t>recall_percent</t>
        </is>
      </c>
      <c r="E683" s="0" t="n">
        <v>10</v>
      </c>
      <c r="F683" s="0" t="n">
        <v>64</v>
      </c>
      <c r="G683" s="0" t="n">
        <v>1</v>
      </c>
      <c r="H683" s="0" t="inlineStr">
        <is>
          <t>/mnt/d/paper_source/work_9/VeriANN_repro_2026-09-30/VeriANN_repro_2026-09-30/results/work9-multidata-20261015/glove100/Ours-curve-1183514/per_query.csv</t>
        </is>
      </c>
    </row>
    <row r="684">
      <c r="A684" s="0" t="inlineStr">
        <is>
          <t>GloVe-100</t>
        </is>
      </c>
      <c r="B684" s="0" t="inlineStr">
        <is>
          <t>F34</t>
        </is>
      </c>
      <c r="C684" s="0" t="n">
        <v>10.0785719</v>
      </c>
      <c r="D684" s="0" t="inlineStr">
        <is>
          <t>verify_ms</t>
        </is>
      </c>
      <c r="E684" s="0" t="n">
        <v>10</v>
      </c>
      <c r="F684" s="0" t="n">
        <v>64</v>
      </c>
      <c r="G684" s="0" t="n">
        <v>1</v>
      </c>
      <c r="H684" s="0" t="inlineStr">
        <is>
          <t>/mnt/d/paper_source/work_9/VeriANN_repro_2026-09-30/VeriANN_repro_2026-09-30/results/work9-multidata-20261015/glove100/Ours-curve-1183514/per_query.csv</t>
        </is>
      </c>
    </row>
    <row r="685">
      <c r="A685" s="0" t="inlineStr">
        <is>
          <t>GloVe-100</t>
        </is>
      </c>
      <c r="B685" s="0" t="inlineStr">
        <is>
          <t>F43</t>
        </is>
      </c>
      <c r="C685" s="0" t="n">
        <v>60.5</v>
      </c>
      <c r="D685" s="0" t="inlineStr">
        <is>
          <t>recall_percent</t>
        </is>
      </c>
      <c r="E685" s="0" t="n">
        <v>10</v>
      </c>
      <c r="F685" s="0" t="n">
        <v>64</v>
      </c>
      <c r="G685" s="0" t="n">
        <v>1</v>
      </c>
      <c r="H685" s="0" t="inlineStr">
        <is>
          <t>/mnt/d/paper_source/work_9/VeriANN_repro_2026-09-30/VeriANN_repro_2026-09-30/results/work9-multidata-20261015/glove100/Ours-curve-1183514/per_query.csv</t>
        </is>
      </c>
    </row>
    <row r="686">
      <c r="A686" s="0" t="inlineStr">
        <is>
          <t>GloVe-100</t>
        </is>
      </c>
      <c r="B686" s="0" t="inlineStr">
        <is>
          <t>F44</t>
        </is>
      </c>
      <c r="C686" s="0" t="n">
        <v>3.95783811666667</v>
      </c>
      <c r="D686" s="0" t="inlineStr">
        <is>
          <t>query_ms</t>
        </is>
      </c>
      <c r="E686" s="0" t="n">
        <v>10</v>
      </c>
      <c r="F686" s="0" t="n">
        <v>64</v>
      </c>
      <c r="G686" s="0" t="n">
        <v>1</v>
      </c>
      <c r="H686" s="0" t="inlineStr">
        <is>
          <t>/mnt/d/paper_source/work_9/VeriANN_repro_2026-09-30/VeriANN_repro_2026-09-30/results/work9-multidata-20261015/glove100/Ours-curve-1183514/per_query.csv</t>
        </is>
      </c>
    </row>
    <row r="687">
      <c r="A687" s="0" t="inlineStr">
        <is>
          <t>GloVe-100</t>
        </is>
      </c>
      <c r="B687" s="0" t="inlineStr">
        <is>
          <t>G23</t>
        </is>
      </c>
      <c r="C687" s="0" t="n">
        <v>71.5</v>
      </c>
      <c r="D687" s="0" t="inlineStr">
        <is>
          <t>recall_percent</t>
        </is>
      </c>
      <c r="E687" s="0" t="n">
        <v>10</v>
      </c>
      <c r="F687" s="0" t="n">
        <v>96</v>
      </c>
      <c r="G687" s="0" t="n">
        <v>1</v>
      </c>
      <c r="H687" s="0" t="inlineStr">
        <is>
          <t>/mnt/d/paper_source/work_9/VeriANN_repro_2026-09-30/VeriANN_repro_2026-09-30/results/work9-multidata-20261015/glove100/Ours-curve-1183514/per_query.csv</t>
        </is>
      </c>
    </row>
    <row r="688">
      <c r="A688" s="0" t="inlineStr">
        <is>
          <t>GloVe-100</t>
        </is>
      </c>
      <c r="B688" s="0" t="inlineStr">
        <is>
          <t>G24</t>
        </is>
      </c>
      <c r="C688" s="0" t="n">
        <v>568.61565</v>
      </c>
      <c r="D688" s="0" t="inlineStr">
        <is>
          <t>vo_kb</t>
        </is>
      </c>
      <c r="E688" s="0" t="n">
        <v>10</v>
      </c>
      <c r="F688" s="0" t="n">
        <v>96</v>
      </c>
      <c r="G688" s="0" t="n">
        <v>1</v>
      </c>
      <c r="H688" s="0" t="inlineStr">
        <is>
          <t>/mnt/d/paper_source/work_9/VeriANN_repro_2026-09-30/VeriANN_repro_2026-09-30/results/work9-multidata-20261015/glove100/Ours-curve-1183514/per_query.csv</t>
        </is>
      </c>
    </row>
    <row r="689">
      <c r="A689" s="0" t="inlineStr">
        <is>
          <t>GloVe-100</t>
        </is>
      </c>
      <c r="B689" s="0" t="inlineStr">
        <is>
          <t>G33</t>
        </is>
      </c>
      <c r="C689" s="0" t="n">
        <v>71.5</v>
      </c>
      <c r="D689" s="0" t="inlineStr">
        <is>
          <t>recall_percent</t>
        </is>
      </c>
      <c r="E689" s="0" t="n">
        <v>10</v>
      </c>
      <c r="F689" s="0" t="n">
        <v>96</v>
      </c>
      <c r="G689" s="0" t="n">
        <v>1</v>
      </c>
      <c r="H689" s="0" t="inlineStr">
        <is>
          <t>/mnt/d/paper_source/work_9/VeriANN_repro_2026-09-30/VeriANN_repro_2026-09-30/results/work9-multidata-20261015/glove100/Ours-curve-1183514/per_query.csv</t>
        </is>
      </c>
    </row>
    <row r="690">
      <c r="A690" s="0" t="inlineStr">
        <is>
          <t>GloVe-100</t>
        </is>
      </c>
      <c r="B690" s="0" t="inlineStr">
        <is>
          <t>G34</t>
        </is>
      </c>
      <c r="C690" s="0" t="n">
        <v>13.6206651666667</v>
      </c>
      <c r="D690" s="0" t="inlineStr">
        <is>
          <t>verify_ms</t>
        </is>
      </c>
      <c r="E690" s="0" t="n">
        <v>10</v>
      </c>
      <c r="F690" s="0" t="n">
        <v>96</v>
      </c>
      <c r="G690" s="0" t="n">
        <v>1</v>
      </c>
      <c r="H690" s="0" t="inlineStr">
        <is>
          <t>/mnt/d/paper_source/work_9/VeriANN_repro_2026-09-30/VeriANN_repro_2026-09-30/results/work9-multidata-20261015/glove100/Ours-curve-1183514/per_query.csv</t>
        </is>
      </c>
    </row>
    <row r="691">
      <c r="A691" s="0" t="inlineStr">
        <is>
          <t>GloVe-100</t>
        </is>
      </c>
      <c r="B691" s="0" t="inlineStr">
        <is>
          <t>G43</t>
        </is>
      </c>
      <c r="C691" s="0" t="n">
        <v>71.5</v>
      </c>
      <c r="D691" s="0" t="inlineStr">
        <is>
          <t>recall_percent</t>
        </is>
      </c>
      <c r="E691" s="0" t="n">
        <v>10</v>
      </c>
      <c r="F691" s="0" t="n">
        <v>96</v>
      </c>
      <c r="G691" s="0" t="n">
        <v>1</v>
      </c>
      <c r="H691" s="0" t="inlineStr">
        <is>
          <t>/mnt/d/paper_source/work_9/VeriANN_repro_2026-09-30/VeriANN_repro_2026-09-30/results/work9-multidata-20261015/glove100/Ours-curve-1183514/per_query.csv</t>
        </is>
      </c>
    </row>
    <row r="692">
      <c r="A692" s="0" t="inlineStr">
        <is>
          <t>GloVe-100</t>
        </is>
      </c>
      <c r="B692" s="0" t="inlineStr">
        <is>
          <t>G44</t>
        </is>
      </c>
      <c r="C692" s="0" t="n">
        <v>5.54844886666667</v>
      </c>
      <c r="D692" s="0" t="inlineStr">
        <is>
          <t>query_ms</t>
        </is>
      </c>
      <c r="E692" s="0" t="n">
        <v>10</v>
      </c>
      <c r="F692" s="0" t="n">
        <v>96</v>
      </c>
      <c r="G692" s="0" t="n">
        <v>1</v>
      </c>
      <c r="H692" s="0" t="inlineStr">
        <is>
          <t>/mnt/d/paper_source/work_9/VeriANN_repro_2026-09-30/VeriANN_repro_2026-09-30/results/work9-multidata-20261015/glove100/Ours-curve-1183514/per_query.csv</t>
        </is>
      </c>
    </row>
    <row r="693">
      <c r="A693" s="0" t="inlineStr">
        <is>
          <t>GloVe-100</t>
        </is>
      </c>
      <c r="B693" s="0" t="inlineStr">
        <is>
          <t>H23</t>
        </is>
      </c>
      <c r="C693" s="0" t="n">
        <v>71.5</v>
      </c>
      <c r="D693" s="0" t="inlineStr">
        <is>
          <t>recall_percent</t>
        </is>
      </c>
      <c r="E693" s="0" t="n">
        <v>10</v>
      </c>
      <c r="F693" s="0" t="n">
        <v>96</v>
      </c>
      <c r="G693" s="0" t="n">
        <v>1</v>
      </c>
      <c r="H693" s="0" t="inlineStr">
        <is>
          <t>/mnt/d/paper_source/work_9/VeriANN_repro_2026-09-30/VeriANN_repro_2026-09-30/results/work9-multidata-20261015/glove100/Ours-curve-1183514/per_query.csv</t>
        </is>
      </c>
    </row>
    <row r="694">
      <c r="A694" s="0" t="inlineStr">
        <is>
          <t>GloVe-100</t>
        </is>
      </c>
      <c r="B694" s="0" t="inlineStr">
        <is>
          <t>H24</t>
        </is>
      </c>
      <c r="C694" s="0" t="n">
        <v>568.61565</v>
      </c>
      <c r="D694" s="0" t="inlineStr">
        <is>
          <t>vo_kb</t>
        </is>
      </c>
      <c r="E694" s="0" t="n">
        <v>10</v>
      </c>
      <c r="F694" s="0" t="n">
        <v>96</v>
      </c>
      <c r="G694" s="0" t="n">
        <v>1</v>
      </c>
      <c r="H694" s="0" t="inlineStr">
        <is>
          <t>/mnt/d/paper_source/work_9/VeriANN_repro_2026-09-30/VeriANN_repro_2026-09-30/results/work9-multidata-20261015/glove100/Ours-curve-1183514/per_query.csv</t>
        </is>
      </c>
    </row>
    <row r="695">
      <c r="A695" s="0" t="inlineStr">
        <is>
          <t>GloVe-100</t>
        </is>
      </c>
      <c r="B695" s="0" t="inlineStr">
        <is>
          <t>H33</t>
        </is>
      </c>
      <c r="C695" s="0" t="n">
        <v>71.5</v>
      </c>
      <c r="D695" s="0" t="inlineStr">
        <is>
          <t>recall_percent</t>
        </is>
      </c>
      <c r="E695" s="0" t="n">
        <v>10</v>
      </c>
      <c r="F695" s="0" t="n">
        <v>96</v>
      </c>
      <c r="G695" s="0" t="n">
        <v>1</v>
      </c>
      <c r="H695" s="0" t="inlineStr">
        <is>
          <t>/mnt/d/paper_source/work_9/VeriANN_repro_2026-09-30/VeriANN_repro_2026-09-30/results/work9-multidata-20261015/glove100/Ours-curve-1183514/per_query.csv</t>
        </is>
      </c>
    </row>
    <row r="696">
      <c r="A696" s="0" t="inlineStr">
        <is>
          <t>GloVe-100</t>
        </is>
      </c>
      <c r="B696" s="0" t="inlineStr">
        <is>
          <t>H34</t>
        </is>
      </c>
      <c r="C696" s="0" t="n">
        <v>13.6206651666667</v>
      </c>
      <c r="D696" s="0" t="inlineStr">
        <is>
          <t>verify_ms</t>
        </is>
      </c>
      <c r="E696" s="0" t="n">
        <v>10</v>
      </c>
      <c r="F696" s="0" t="n">
        <v>96</v>
      </c>
      <c r="G696" s="0" t="n">
        <v>1</v>
      </c>
      <c r="H696" s="0" t="inlineStr">
        <is>
          <t>/mnt/d/paper_source/work_9/VeriANN_repro_2026-09-30/VeriANN_repro_2026-09-30/results/work9-multidata-20261015/glove100/Ours-curve-1183514/per_query.csv</t>
        </is>
      </c>
    </row>
    <row r="697">
      <c r="A697" s="0" t="inlineStr">
        <is>
          <t>GloVe-100</t>
        </is>
      </c>
      <c r="B697" s="0" t="inlineStr">
        <is>
          <t>H43</t>
        </is>
      </c>
      <c r="C697" s="0" t="n">
        <v>71.5</v>
      </c>
      <c r="D697" s="0" t="inlineStr">
        <is>
          <t>recall_percent</t>
        </is>
      </c>
      <c r="E697" s="0" t="n">
        <v>10</v>
      </c>
      <c r="F697" s="0" t="n">
        <v>96</v>
      </c>
      <c r="G697" s="0" t="n">
        <v>1</v>
      </c>
      <c r="H697" s="0" t="inlineStr">
        <is>
          <t>/mnt/d/paper_source/work_9/VeriANN_repro_2026-09-30/VeriANN_repro_2026-09-30/results/work9-multidata-20261015/glove100/Ours-curve-1183514/per_query.csv</t>
        </is>
      </c>
    </row>
    <row r="698">
      <c r="A698" s="0" t="inlineStr">
        <is>
          <t>GloVe-100</t>
        </is>
      </c>
      <c r="B698" s="0" t="inlineStr">
        <is>
          <t>H44</t>
        </is>
      </c>
      <c r="C698" s="0" t="n">
        <v>5.54844886666667</v>
      </c>
      <c r="D698" s="0" t="inlineStr">
        <is>
          <t>query_ms</t>
        </is>
      </c>
      <c r="E698" s="0" t="n">
        <v>10</v>
      </c>
      <c r="F698" s="0" t="n">
        <v>96</v>
      </c>
      <c r="G698" s="0" t="n">
        <v>1</v>
      </c>
      <c r="H698" s="0" t="inlineStr">
        <is>
          <t>/mnt/d/paper_source/work_9/VeriANN_repro_2026-09-30/VeriANN_repro_2026-09-30/results/work9-multidata-20261015/glove100/Ours-curve-1183514/per_query.csv</t>
        </is>
      </c>
    </row>
    <row r="699">
      <c r="A699" s="0" t="inlineStr">
        <is>
          <t>GloVe-100</t>
        </is>
      </c>
      <c r="B699" s="0" t="inlineStr">
        <is>
          <t>I23</t>
        </is>
      </c>
      <c r="C699" s="0" t="n">
        <v>81</v>
      </c>
      <c r="D699" s="0" t="inlineStr">
        <is>
          <t>recall_percent</t>
        </is>
      </c>
      <c r="E699" s="0" t="n">
        <v>10</v>
      </c>
      <c r="F699" s="0" t="n">
        <v>192</v>
      </c>
      <c r="G699" s="0" t="n">
        <v>1</v>
      </c>
      <c r="H699" s="0" t="inlineStr">
        <is>
          <t>/mnt/d/paper_source/work_9/VeriANN_repro_2026-09-30/VeriANN_repro_2026-09-30/results/work9-multidata-20261015/glove100/Ours-curve-1183514/per_query.csv</t>
        </is>
      </c>
    </row>
    <row r="700">
      <c r="A700" s="0" t="inlineStr">
        <is>
          <t>GloVe-100</t>
        </is>
      </c>
      <c r="B700" s="0" t="inlineStr">
        <is>
          <t>I24</t>
        </is>
      </c>
      <c r="C700" s="0" t="n">
        <v>914.7816</v>
      </c>
      <c r="D700" s="0" t="inlineStr">
        <is>
          <t>vo_kb</t>
        </is>
      </c>
      <c r="E700" s="0" t="n">
        <v>10</v>
      </c>
      <c r="F700" s="0" t="n">
        <v>192</v>
      </c>
      <c r="G700" s="0" t="n">
        <v>1</v>
      </c>
      <c r="H700" s="0" t="inlineStr">
        <is>
          <t>/mnt/d/paper_source/work_9/VeriANN_repro_2026-09-30/VeriANN_repro_2026-09-30/results/work9-multidata-20261015/glove100/Ours-curve-1183514/per_query.csv</t>
        </is>
      </c>
    </row>
    <row r="701">
      <c r="A701" s="0" t="inlineStr">
        <is>
          <t>GloVe-100</t>
        </is>
      </c>
      <c r="B701" s="0" t="inlineStr">
        <is>
          <t>I33</t>
        </is>
      </c>
      <c r="C701" s="0" t="n">
        <v>81</v>
      </c>
      <c r="D701" s="0" t="inlineStr">
        <is>
          <t>recall_percent</t>
        </is>
      </c>
      <c r="E701" s="0" t="n">
        <v>10</v>
      </c>
      <c r="F701" s="0" t="n">
        <v>192</v>
      </c>
      <c r="G701" s="0" t="n">
        <v>1</v>
      </c>
      <c r="H701" s="0" t="inlineStr">
        <is>
          <t>/mnt/d/paper_source/work_9/VeriANN_repro_2026-09-30/VeriANN_repro_2026-09-30/results/work9-multidata-20261015/glove100/Ours-curve-1183514/per_query.csv</t>
        </is>
      </c>
    </row>
    <row r="702">
      <c r="A702" s="0" t="inlineStr">
        <is>
          <t>GloVe-100</t>
        </is>
      </c>
      <c r="B702" s="0" t="inlineStr">
        <is>
          <t>I34</t>
        </is>
      </c>
      <c r="C702" s="0" t="n">
        <v>22.532446</v>
      </c>
      <c r="D702" s="0" t="inlineStr">
        <is>
          <t>verify_ms</t>
        </is>
      </c>
      <c r="E702" s="0" t="n">
        <v>10</v>
      </c>
      <c r="F702" s="0" t="n">
        <v>192</v>
      </c>
      <c r="G702" s="0" t="n">
        <v>1</v>
      </c>
      <c r="H702" s="0" t="inlineStr">
        <is>
          <t>/mnt/d/paper_source/work_9/VeriANN_repro_2026-09-30/VeriANN_repro_2026-09-30/results/work9-multidata-20261015/glove100/Ours-curve-1183514/per_query.csv</t>
        </is>
      </c>
    </row>
    <row r="703">
      <c r="A703" s="0" t="inlineStr">
        <is>
          <t>GloVe-100</t>
        </is>
      </c>
      <c r="B703" s="0" t="inlineStr">
        <is>
          <t>I43</t>
        </is>
      </c>
      <c r="C703" s="0" t="n">
        <v>81</v>
      </c>
      <c r="D703" s="0" t="inlineStr">
        <is>
          <t>recall_percent</t>
        </is>
      </c>
      <c r="E703" s="0" t="n">
        <v>10</v>
      </c>
      <c r="F703" s="0" t="n">
        <v>192</v>
      </c>
      <c r="G703" s="0" t="n">
        <v>1</v>
      </c>
      <c r="H703" s="0" t="inlineStr">
        <is>
          <t>/mnt/d/paper_source/work_9/VeriANN_repro_2026-09-30/VeriANN_repro_2026-09-30/results/work9-multidata-20261015/glove100/Ours-curve-1183514/per_query.csv</t>
        </is>
      </c>
    </row>
    <row r="704">
      <c r="A704" s="0" t="inlineStr">
        <is>
          <t>GloVe-100</t>
        </is>
      </c>
      <c r="B704" s="0" t="inlineStr">
        <is>
          <t>I44</t>
        </is>
      </c>
      <c r="C704" s="0" t="n">
        <v>9.4764108</v>
      </c>
      <c r="D704" s="0" t="inlineStr">
        <is>
          <t>query_ms</t>
        </is>
      </c>
      <c r="E704" s="0" t="n">
        <v>10</v>
      </c>
      <c r="F704" s="0" t="n">
        <v>192</v>
      </c>
      <c r="G704" s="0" t="n">
        <v>1</v>
      </c>
      <c r="H704" s="0" t="inlineStr">
        <is>
          <t>/mnt/d/paper_source/work_9/VeriANN_repro_2026-09-30/VeriANN_repro_2026-09-30/results/work9-multidata-20261015/glove100/Ours-curve-1183514/per_query.csv</t>
        </is>
      </c>
    </row>
    <row r="705">
      <c r="A705" s="0" t="inlineStr">
        <is>
          <t>GloVe-100</t>
        </is>
      </c>
      <c r="B705" s="0" t="inlineStr">
        <is>
          <t>J23</t>
        </is>
      </c>
      <c r="C705" s="0" t="n">
        <v>81</v>
      </c>
      <c r="D705" s="0" t="inlineStr">
        <is>
          <t>recall_percent</t>
        </is>
      </c>
      <c r="E705" s="0" t="n">
        <v>10</v>
      </c>
      <c r="F705" s="0" t="n">
        <v>192</v>
      </c>
      <c r="G705" s="0" t="n">
        <v>1</v>
      </c>
      <c r="H705" s="0" t="inlineStr">
        <is>
          <t>/mnt/d/paper_source/work_9/VeriANN_repro_2026-09-30/VeriANN_repro_2026-09-30/results/work9-multidata-20261015/glove100/Ours-curve-1183514/per_query.csv</t>
        </is>
      </c>
    </row>
    <row r="706">
      <c r="A706" s="0" t="inlineStr">
        <is>
          <t>GloVe-100</t>
        </is>
      </c>
      <c r="B706" s="0" t="inlineStr">
        <is>
          <t>J24</t>
        </is>
      </c>
      <c r="C706" s="0" t="n">
        <v>914.7816</v>
      </c>
      <c r="D706" s="0" t="inlineStr">
        <is>
          <t>vo_kb</t>
        </is>
      </c>
      <c r="E706" s="0" t="n">
        <v>10</v>
      </c>
      <c r="F706" s="0" t="n">
        <v>192</v>
      </c>
      <c r="G706" s="0" t="n">
        <v>1</v>
      </c>
      <c r="H706" s="0" t="inlineStr">
        <is>
          <t>/mnt/d/paper_source/work_9/VeriANN_repro_2026-09-30/VeriANN_repro_2026-09-30/results/work9-multidata-20261015/glove100/Ours-curve-1183514/per_query.csv</t>
        </is>
      </c>
    </row>
    <row r="707">
      <c r="A707" s="0" t="inlineStr">
        <is>
          <t>GloVe-100</t>
        </is>
      </c>
      <c r="B707" s="0" t="inlineStr">
        <is>
          <t>J33</t>
        </is>
      </c>
      <c r="C707" s="0" t="n">
        <v>81</v>
      </c>
      <c r="D707" s="0" t="inlineStr">
        <is>
          <t>recall_percent</t>
        </is>
      </c>
      <c r="E707" s="0" t="n">
        <v>10</v>
      </c>
      <c r="F707" s="0" t="n">
        <v>192</v>
      </c>
      <c r="G707" s="0" t="n">
        <v>1</v>
      </c>
      <c r="H707" s="0" t="inlineStr">
        <is>
          <t>/mnt/d/paper_source/work_9/VeriANN_repro_2026-09-30/VeriANN_repro_2026-09-30/results/work9-multidata-20261015/glove100/Ours-curve-1183514/per_query.csv</t>
        </is>
      </c>
    </row>
    <row r="708">
      <c r="A708" s="0" t="inlineStr">
        <is>
          <t>GloVe-100</t>
        </is>
      </c>
      <c r="B708" s="0" t="inlineStr">
        <is>
          <t>J34</t>
        </is>
      </c>
      <c r="C708" s="0" t="n">
        <v>22.532446</v>
      </c>
      <c r="D708" s="0" t="inlineStr">
        <is>
          <t>verify_ms</t>
        </is>
      </c>
      <c r="E708" s="0" t="n">
        <v>10</v>
      </c>
      <c r="F708" s="0" t="n">
        <v>192</v>
      </c>
      <c r="G708" s="0" t="n">
        <v>1</v>
      </c>
      <c r="H708" s="0" t="inlineStr">
        <is>
          <t>/mnt/d/paper_source/work_9/VeriANN_repro_2026-09-30/VeriANN_repro_2026-09-30/results/work9-multidata-20261015/glove100/Ours-curve-1183514/per_query.csv</t>
        </is>
      </c>
    </row>
    <row r="709">
      <c r="A709" s="0" t="inlineStr">
        <is>
          <t>GloVe-100</t>
        </is>
      </c>
      <c r="B709" s="0" t="inlineStr">
        <is>
          <t>J43</t>
        </is>
      </c>
      <c r="C709" s="0" t="n">
        <v>81</v>
      </c>
      <c r="D709" s="0" t="inlineStr">
        <is>
          <t>recall_percent</t>
        </is>
      </c>
      <c r="E709" s="0" t="n">
        <v>10</v>
      </c>
      <c r="F709" s="0" t="n">
        <v>192</v>
      </c>
      <c r="G709" s="0" t="n">
        <v>1</v>
      </c>
      <c r="H709" s="0" t="inlineStr">
        <is>
          <t>/mnt/d/paper_source/work_9/VeriANN_repro_2026-09-30/VeriANN_repro_2026-09-30/results/work9-multidata-20261015/glove100/Ours-curve-1183514/per_query.csv</t>
        </is>
      </c>
    </row>
    <row r="710">
      <c r="A710" s="0" t="inlineStr">
        <is>
          <t>GloVe-100</t>
        </is>
      </c>
      <c r="B710" s="0" t="inlineStr">
        <is>
          <t>J44</t>
        </is>
      </c>
      <c r="C710" s="0" t="n">
        <v>9.4764108</v>
      </c>
      <c r="D710" s="0" t="inlineStr">
        <is>
          <t>query_ms</t>
        </is>
      </c>
      <c r="E710" s="0" t="n">
        <v>10</v>
      </c>
      <c r="F710" s="0" t="n">
        <v>192</v>
      </c>
      <c r="G710" s="0" t="n">
        <v>1</v>
      </c>
      <c r="H710" s="0" t="inlineStr">
        <is>
          <t>/mnt/d/paper_source/work_9/VeriANN_repro_2026-09-30/VeriANN_repro_2026-09-30/results/work9-multidata-20261015/glove100/Ours-curve-1183514/per_query.csv</t>
        </is>
      </c>
    </row>
    <row r="711">
      <c r="A711" s="0" t="inlineStr">
        <is>
          <t>GloVe-100</t>
        </is>
      </c>
      <c r="B711" s="0" t="inlineStr">
        <is>
          <t>K23</t>
        </is>
      </c>
      <c r="C711" s="0" t="n">
        <v>85.5</v>
      </c>
      <c r="D711" s="0" t="inlineStr">
        <is>
          <t>recall_percent</t>
        </is>
      </c>
      <c r="E711" s="0" t="n">
        <v>10</v>
      </c>
      <c r="F711" s="0" t="n">
        <v>256</v>
      </c>
      <c r="G711" s="0" t="n">
        <v>1</v>
      </c>
      <c r="H711" s="0" t="inlineStr">
        <is>
          <t>/mnt/d/paper_source/work_9/VeriANN_repro_2026-09-30/VeriANN_repro_2026-09-30/results/work9-multidata-20261015/glove100/Ours-curve-1183514/per_query.csv</t>
        </is>
      </c>
    </row>
    <row r="712">
      <c r="A712" s="0" t="inlineStr">
        <is>
          <t>GloVe-100</t>
        </is>
      </c>
      <c r="B712" s="0" t="inlineStr">
        <is>
          <t>K24</t>
        </is>
      </c>
      <c r="C712" s="0" t="n">
        <v>1116.3342</v>
      </c>
      <c r="D712" s="0" t="inlineStr">
        <is>
          <t>vo_kb</t>
        </is>
      </c>
      <c r="E712" s="0" t="n">
        <v>10</v>
      </c>
      <c r="F712" s="0" t="n">
        <v>256</v>
      </c>
      <c r="G712" s="0" t="n">
        <v>1</v>
      </c>
      <c r="H712" s="0" t="inlineStr">
        <is>
          <t>/mnt/d/paper_source/work_9/VeriANN_repro_2026-09-30/VeriANN_repro_2026-09-30/results/work9-multidata-20261015/glove100/Ours-curve-1183514/per_query.csv</t>
        </is>
      </c>
    </row>
    <row r="713">
      <c r="A713" s="0" t="inlineStr">
        <is>
          <t>GloVe-100</t>
        </is>
      </c>
      <c r="B713" s="0" t="inlineStr">
        <is>
          <t>K33</t>
        </is>
      </c>
      <c r="C713" s="0" t="n">
        <v>85.5</v>
      </c>
      <c r="D713" s="0" t="inlineStr">
        <is>
          <t>recall_percent</t>
        </is>
      </c>
      <c r="E713" s="0" t="n">
        <v>10</v>
      </c>
      <c r="F713" s="0" t="n">
        <v>256</v>
      </c>
      <c r="G713" s="0" t="n">
        <v>1</v>
      </c>
      <c r="H713" s="0" t="inlineStr">
        <is>
          <t>/mnt/d/paper_source/work_9/VeriANN_repro_2026-09-30/VeriANN_repro_2026-09-30/results/work9-multidata-20261015/glove100/Ours-curve-1183514/per_query.csv</t>
        </is>
      </c>
    </row>
    <row r="714">
      <c r="A714" s="0" t="inlineStr">
        <is>
          <t>GloVe-100</t>
        </is>
      </c>
      <c r="B714" s="0" t="inlineStr">
        <is>
          <t>K34</t>
        </is>
      </c>
      <c r="C714" s="0" t="n">
        <v>27.8385452166667</v>
      </c>
      <c r="D714" s="0" t="inlineStr">
        <is>
          <t>verify_ms</t>
        </is>
      </c>
      <c r="E714" s="0" t="n">
        <v>10</v>
      </c>
      <c r="F714" s="0" t="n">
        <v>256</v>
      </c>
      <c r="G714" s="0" t="n">
        <v>1</v>
      </c>
      <c r="H714" s="0" t="inlineStr">
        <is>
          <t>/mnt/d/paper_source/work_9/VeriANN_repro_2026-09-30/VeriANN_repro_2026-09-30/results/work9-multidata-20261015/glove100/Ours-curve-1183514/per_query.csv</t>
        </is>
      </c>
    </row>
    <row r="715">
      <c r="A715" s="0" t="inlineStr">
        <is>
          <t>GloVe-100</t>
        </is>
      </c>
      <c r="B715" s="0" t="inlineStr">
        <is>
          <t>K43</t>
        </is>
      </c>
      <c r="C715" s="0" t="n">
        <v>85.5</v>
      </c>
      <c r="D715" s="0" t="inlineStr">
        <is>
          <t>recall_percent</t>
        </is>
      </c>
      <c r="E715" s="0" t="n">
        <v>10</v>
      </c>
      <c r="F715" s="0" t="n">
        <v>256</v>
      </c>
      <c r="G715" s="0" t="n">
        <v>1</v>
      </c>
      <c r="H715" s="0" t="inlineStr">
        <is>
          <t>/mnt/d/paper_source/work_9/VeriANN_repro_2026-09-30/VeriANN_repro_2026-09-30/results/work9-multidata-20261015/glove100/Ours-curve-1183514/per_query.csv</t>
        </is>
      </c>
    </row>
    <row r="716">
      <c r="A716" s="0" t="inlineStr">
        <is>
          <t>GloVe-100</t>
        </is>
      </c>
      <c r="B716" s="0" t="inlineStr">
        <is>
          <t>K44</t>
        </is>
      </c>
      <c r="C716" s="0" t="n">
        <v>11.80332585</v>
      </c>
      <c r="D716" s="0" t="inlineStr">
        <is>
          <t>query_ms</t>
        </is>
      </c>
      <c r="E716" s="0" t="n">
        <v>10</v>
      </c>
      <c r="F716" s="0" t="n">
        <v>256</v>
      </c>
      <c r="G716" s="0" t="n">
        <v>1</v>
      </c>
      <c r="H716" s="0" t="inlineStr">
        <is>
          <t>/mnt/d/paper_source/work_9/VeriANN_repro_2026-09-30/VeriANN_repro_2026-09-30/results/work9-multidata-20261015/glove100/Ours-curve-1183514/per_query.csv</t>
        </is>
      </c>
    </row>
    <row r="717">
      <c r="A717" s="0" t="inlineStr">
        <is>
          <t>GloVe-100</t>
        </is>
      </c>
      <c r="B717" s="0" t="inlineStr">
        <is>
          <t>L23</t>
        </is>
      </c>
      <c r="C717" s="0" t="n">
        <v>91</v>
      </c>
      <c r="D717" s="0" t="inlineStr">
        <is>
          <t>recall_percent</t>
        </is>
      </c>
      <c r="E717" s="0" t="n">
        <v>10</v>
      </c>
      <c r="F717" s="0" t="n">
        <v>512</v>
      </c>
      <c r="G717" s="0" t="n">
        <v>1</v>
      </c>
      <c r="H717" s="0" t="inlineStr">
        <is>
          <t>/mnt/d/paper_source/work_9/VeriANN_repro_2026-09-30/VeriANN_repro_2026-09-30/results/work9-multidata-20261015/glove100/Ours-curve-1183514/per_query.csv</t>
        </is>
      </c>
    </row>
    <row r="718">
      <c r="A718" s="0" t="inlineStr">
        <is>
          <t>GloVe-100</t>
        </is>
      </c>
      <c r="B718" s="0" t="inlineStr">
        <is>
          <t>L24</t>
        </is>
      </c>
      <c r="C718" s="0" t="n">
        <v>1801.49875</v>
      </c>
      <c r="D718" s="0" t="inlineStr">
        <is>
          <t>vo_kb</t>
        </is>
      </c>
      <c r="E718" s="0" t="n">
        <v>10</v>
      </c>
      <c r="F718" s="0" t="n">
        <v>512</v>
      </c>
      <c r="G718" s="0" t="n">
        <v>1</v>
      </c>
      <c r="H718" s="0" t="inlineStr">
        <is>
          <t>/mnt/d/paper_source/work_9/VeriANN_repro_2026-09-30/VeriANN_repro_2026-09-30/results/work9-multidata-20261015/glove100/Ours-curve-1183514/per_query.csv</t>
        </is>
      </c>
    </row>
    <row r="719">
      <c r="A719" s="0" t="inlineStr">
        <is>
          <t>GloVe-100</t>
        </is>
      </c>
      <c r="B719" s="0" t="inlineStr">
        <is>
          <t>L33</t>
        </is>
      </c>
      <c r="C719" s="0" t="n">
        <v>91</v>
      </c>
      <c r="D719" s="0" t="inlineStr">
        <is>
          <t>recall_percent</t>
        </is>
      </c>
      <c r="E719" s="0" t="n">
        <v>10</v>
      </c>
      <c r="F719" s="0" t="n">
        <v>512</v>
      </c>
      <c r="G719" s="0" t="n">
        <v>1</v>
      </c>
      <c r="H719" s="0" t="inlineStr">
        <is>
          <t>/mnt/d/paper_source/work_9/VeriANN_repro_2026-09-30/VeriANN_repro_2026-09-30/results/work9-multidata-20261015/glove100/Ours-curve-1183514/per_query.csv</t>
        </is>
      </c>
    </row>
    <row r="720">
      <c r="A720" s="0" t="inlineStr">
        <is>
          <t>GloVe-100</t>
        </is>
      </c>
      <c r="B720" s="0" t="inlineStr">
        <is>
          <t>L34</t>
        </is>
      </c>
      <c r="C720" s="0" t="n">
        <v>47.1646365666667</v>
      </c>
      <c r="D720" s="0" t="inlineStr">
        <is>
          <t>verify_ms</t>
        </is>
      </c>
      <c r="E720" s="0" t="n">
        <v>10</v>
      </c>
      <c r="F720" s="0" t="n">
        <v>512</v>
      </c>
      <c r="G720" s="0" t="n">
        <v>1</v>
      </c>
      <c r="H720" s="0" t="inlineStr">
        <is>
          <t>/mnt/d/paper_source/work_9/VeriANN_repro_2026-09-30/VeriANN_repro_2026-09-30/results/work9-multidata-20261015/glove100/Ours-curve-1183514/per_query.csv</t>
        </is>
      </c>
    </row>
    <row r="721">
      <c r="A721" s="0" t="inlineStr">
        <is>
          <t>GloVe-100</t>
        </is>
      </c>
      <c r="B721" s="0" t="inlineStr">
        <is>
          <t>L43</t>
        </is>
      </c>
      <c r="C721" s="0" t="n">
        <v>91</v>
      </c>
      <c r="D721" s="0" t="inlineStr">
        <is>
          <t>recall_percent</t>
        </is>
      </c>
      <c r="E721" s="0" t="n">
        <v>10</v>
      </c>
      <c r="F721" s="0" t="n">
        <v>512</v>
      </c>
      <c r="G721" s="0" t="n">
        <v>1</v>
      </c>
      <c r="H721" s="0" t="inlineStr">
        <is>
          <t>/mnt/d/paper_source/work_9/VeriANN_repro_2026-09-30/VeriANN_repro_2026-09-30/results/work9-multidata-20261015/glove100/Ours-curve-1183514/per_query.csv</t>
        </is>
      </c>
    </row>
    <row r="722">
      <c r="A722" s="0" t="inlineStr">
        <is>
          <t>GloVe-100</t>
        </is>
      </c>
      <c r="B722" s="0" t="inlineStr">
        <is>
          <t>L44</t>
        </is>
      </c>
      <c r="C722" s="0" t="n">
        <v>20.9300079</v>
      </c>
      <c r="D722" s="0" t="inlineStr">
        <is>
          <t>query_ms</t>
        </is>
      </c>
      <c r="E722" s="0" t="n">
        <v>10</v>
      </c>
      <c r="F722" s="0" t="n">
        <v>512</v>
      </c>
      <c r="G722" s="0" t="n">
        <v>1</v>
      </c>
      <c r="H722" s="0" t="inlineStr">
        <is>
          <t>/mnt/d/paper_source/work_9/VeriANN_repro_2026-09-30/VeriANN_repro_2026-09-30/results/work9-multidata-20261015/glove100/Ours-curve-1183514/per_query.csv</t>
        </is>
      </c>
    </row>
    <row r="723">
      <c r="A723" s="0" t="inlineStr">
        <is>
          <t>GloVe-100</t>
        </is>
      </c>
      <c r="B723" s="0" t="inlineStr">
        <is>
          <t>M23</t>
        </is>
      </c>
      <c r="C723" s="0" t="n">
        <v>96</v>
      </c>
      <c r="D723" s="0" t="inlineStr">
        <is>
          <t>recall_percent</t>
        </is>
      </c>
      <c r="E723" s="0" t="n">
        <v>10</v>
      </c>
      <c r="F723" s="0" t="n">
        <v>1536</v>
      </c>
      <c r="G723" s="0" t="n">
        <v>1</v>
      </c>
      <c r="H723" s="0" t="inlineStr">
        <is>
          <t>/mnt/d/paper_source/work_9/VeriANN_repro_2026-09-30/VeriANN_repro_2026-09-30/results/work9-multidata-20261015/glove100/Ours-curve-1183514/per_query.csv</t>
        </is>
      </c>
    </row>
    <row r="724">
      <c r="A724" s="0" t="inlineStr">
        <is>
          <t>GloVe-100</t>
        </is>
      </c>
      <c r="B724" s="0" t="inlineStr">
        <is>
          <t>M24</t>
        </is>
      </c>
      <c r="C724" s="0" t="n">
        <v>3831.7115</v>
      </c>
      <c r="D724" s="0" t="inlineStr">
        <is>
          <t>vo_kb</t>
        </is>
      </c>
      <c r="E724" s="0" t="n">
        <v>10</v>
      </c>
      <c r="F724" s="0" t="n">
        <v>1536</v>
      </c>
      <c r="G724" s="0" t="n">
        <v>1</v>
      </c>
      <c r="H724" s="0" t="inlineStr">
        <is>
          <t>/mnt/d/paper_source/work_9/VeriANN_repro_2026-09-30/VeriANN_repro_2026-09-30/results/work9-multidata-20261015/glove100/Ours-curve-1183514/per_query.csv</t>
        </is>
      </c>
    </row>
    <row r="725">
      <c r="A725" s="0" t="inlineStr">
        <is>
          <t>GloVe-100</t>
        </is>
      </c>
      <c r="B725" s="0" t="inlineStr">
        <is>
          <t>M33</t>
        </is>
      </c>
      <c r="C725" s="0" t="n">
        <v>96</v>
      </c>
      <c r="D725" s="0" t="inlineStr">
        <is>
          <t>recall_percent</t>
        </is>
      </c>
      <c r="E725" s="0" t="n">
        <v>10</v>
      </c>
      <c r="F725" s="0" t="n">
        <v>1536</v>
      </c>
      <c r="G725" s="0" t="n">
        <v>1</v>
      </c>
      <c r="H725" s="0" t="inlineStr">
        <is>
          <t>/mnt/d/paper_source/work_9/VeriANN_repro_2026-09-30/VeriANN_repro_2026-09-30/results/work9-multidata-20261015/glove100/Ours-curve-1183514/per_query.csv</t>
        </is>
      </c>
    </row>
    <row r="726">
      <c r="A726" s="0" t="inlineStr">
        <is>
          <t>GloVe-100</t>
        </is>
      </c>
      <c r="B726" s="0" t="inlineStr">
        <is>
          <t>M34</t>
        </is>
      </c>
      <c r="C726" s="0" t="n">
        <v>110.41652915</v>
      </c>
      <c r="D726" s="0" t="inlineStr">
        <is>
          <t>verify_ms</t>
        </is>
      </c>
      <c r="E726" s="0" t="n">
        <v>10</v>
      </c>
      <c r="F726" s="0" t="n">
        <v>1536</v>
      </c>
      <c r="G726" s="0" t="n">
        <v>1</v>
      </c>
      <c r="H726" s="0" t="inlineStr">
        <is>
          <t>/mnt/d/paper_source/work_9/VeriANN_repro_2026-09-30/VeriANN_repro_2026-09-30/results/work9-multidata-20261015/glove100/Ours-curve-1183514/per_query.csv</t>
        </is>
      </c>
    </row>
    <row r="727">
      <c r="A727" s="0" t="inlineStr">
        <is>
          <t>GloVe-100</t>
        </is>
      </c>
      <c r="B727" s="0" t="inlineStr">
        <is>
          <t>M43</t>
        </is>
      </c>
      <c r="C727" s="0" t="n">
        <v>96</v>
      </c>
      <c r="D727" s="0" t="inlineStr">
        <is>
          <t>recall_percent</t>
        </is>
      </c>
      <c r="E727" s="0" t="n">
        <v>10</v>
      </c>
      <c r="F727" s="0" t="n">
        <v>1536</v>
      </c>
      <c r="G727" s="0" t="n">
        <v>1</v>
      </c>
      <c r="H727" s="0" t="inlineStr">
        <is>
          <t>/mnt/d/paper_source/work_9/VeriANN_repro_2026-09-30/VeriANN_repro_2026-09-30/results/work9-multidata-20261015/glove100/Ours-curve-1183514/per_query.csv</t>
        </is>
      </c>
    </row>
    <row r="728">
      <c r="A728" s="0" t="inlineStr">
        <is>
          <t>GloVe-100</t>
        </is>
      </c>
      <c r="B728" s="0" t="inlineStr">
        <is>
          <t>M44</t>
        </is>
      </c>
      <c r="C728" s="0" t="n">
        <v>52.0690504666667</v>
      </c>
      <c r="D728" s="0" t="inlineStr">
        <is>
          <t>query_ms</t>
        </is>
      </c>
      <c r="E728" s="0" t="n">
        <v>10</v>
      </c>
      <c r="F728" s="0" t="n">
        <v>1536</v>
      </c>
      <c r="G728" s="0" t="n">
        <v>1</v>
      </c>
      <c r="H728" s="0" t="inlineStr">
        <is>
          <t>/mnt/d/paper_source/work_9/VeriANN_repro_2026-09-30/VeriANN_repro_2026-09-30/results/work9-multidata-20261015/glove100/Ours-curve-1183514/per_query.csv</t>
        </is>
      </c>
    </row>
    <row r="729">
      <c r="A729" s="0" t="inlineStr">
        <is>
          <t>GloVe-100</t>
        </is>
      </c>
      <c r="B729" s="0" t="inlineStr">
        <is>
          <t>N23</t>
        </is>
      </c>
      <c r="C729" s="0" t="n">
        <v>97.5</v>
      </c>
      <c r="D729" s="0" t="inlineStr">
        <is>
          <t>recall_percent</t>
        </is>
      </c>
      <c r="E729" s="0" t="n">
        <v>10</v>
      </c>
      <c r="F729" s="0" t="n">
        <v>2048</v>
      </c>
      <c r="G729" s="0" t="n">
        <v>1</v>
      </c>
      <c r="H729" s="0" t="inlineStr">
        <is>
          <t>/mnt/d/paper_source/work_9/VeriANN_repro_2026-09-30/VeriANN_repro_2026-09-30/results/work9-multidata-20261015/glove100/Ours-curve-1183514/per_query.csv</t>
        </is>
      </c>
    </row>
    <row r="730">
      <c r="A730" s="0" t="inlineStr">
        <is>
          <t>GloVe-100</t>
        </is>
      </c>
      <c r="B730" s="0" t="inlineStr">
        <is>
          <t>N24</t>
        </is>
      </c>
      <c r="C730" s="0" t="n">
        <v>4656.3122</v>
      </c>
      <c r="D730" s="0" t="inlineStr">
        <is>
          <t>vo_kb</t>
        </is>
      </c>
      <c r="E730" s="0" t="n">
        <v>10</v>
      </c>
      <c r="F730" s="0" t="n">
        <v>2048</v>
      </c>
      <c r="G730" s="0" t="n">
        <v>1</v>
      </c>
      <c r="H730" s="0" t="inlineStr">
        <is>
          <t>/mnt/d/paper_source/work_9/VeriANN_repro_2026-09-30/VeriANN_repro_2026-09-30/results/work9-multidata-20261015/glove100/Ours-curve-1183514/per_query.csv</t>
        </is>
      </c>
    </row>
    <row r="731">
      <c r="A731" s="0" t="inlineStr">
        <is>
          <t>GloVe-100</t>
        </is>
      </c>
      <c r="B731" s="0" t="inlineStr">
        <is>
          <t>N33</t>
        </is>
      </c>
      <c r="C731" s="0" t="n">
        <v>97.5</v>
      </c>
      <c r="D731" s="0" t="inlineStr">
        <is>
          <t>recall_percent</t>
        </is>
      </c>
      <c r="E731" s="0" t="n">
        <v>10</v>
      </c>
      <c r="F731" s="0" t="n">
        <v>2048</v>
      </c>
      <c r="G731" s="0" t="n">
        <v>1</v>
      </c>
      <c r="H731" s="0" t="inlineStr">
        <is>
          <t>/mnt/d/paper_source/work_9/VeriANN_repro_2026-09-30/VeriANN_repro_2026-09-30/results/work9-multidata-20261015/glove100/Ours-curve-1183514/per_query.csv</t>
        </is>
      </c>
    </row>
    <row r="732">
      <c r="A732" s="0" t="inlineStr">
        <is>
          <t>GloVe-100</t>
        </is>
      </c>
      <c r="B732" s="0" t="inlineStr">
        <is>
          <t>N34</t>
        </is>
      </c>
      <c r="C732" s="0" t="n">
        <v>138.8817882</v>
      </c>
      <c r="D732" s="0" t="inlineStr">
        <is>
          <t>verify_ms</t>
        </is>
      </c>
      <c r="E732" s="0" t="n">
        <v>10</v>
      </c>
      <c r="F732" s="0" t="n">
        <v>2048</v>
      </c>
      <c r="G732" s="0" t="n">
        <v>1</v>
      </c>
      <c r="H732" s="0" t="inlineStr">
        <is>
          <t>/mnt/d/paper_source/work_9/VeriANN_repro_2026-09-30/VeriANN_repro_2026-09-30/results/work9-multidata-20261015/glove100/Ours-curve-1183514/per_query.csv</t>
        </is>
      </c>
    </row>
    <row r="733">
      <c r="A733" s="0" t="inlineStr">
        <is>
          <t>GloVe-100</t>
        </is>
      </c>
      <c r="B733" s="0" t="inlineStr">
        <is>
          <t>N43</t>
        </is>
      </c>
      <c r="C733" s="0" t="n">
        <v>97.5</v>
      </c>
      <c r="D733" s="0" t="inlineStr">
        <is>
          <t>recall_percent</t>
        </is>
      </c>
      <c r="E733" s="0" t="n">
        <v>10</v>
      </c>
      <c r="F733" s="0" t="n">
        <v>2048</v>
      </c>
      <c r="G733" s="0" t="n">
        <v>1</v>
      </c>
      <c r="H733" s="0" t="inlineStr">
        <is>
          <t>/mnt/d/paper_source/work_9/VeriANN_repro_2026-09-30/VeriANN_repro_2026-09-30/results/work9-multidata-20261015/glove100/Ours-curve-1183514/per_query.csv</t>
        </is>
      </c>
    </row>
    <row r="734">
      <c r="A734" s="0" t="inlineStr">
        <is>
          <t>GloVe-100</t>
        </is>
      </c>
      <c r="B734" s="0" t="inlineStr">
        <is>
          <t>N44</t>
        </is>
      </c>
      <c r="C734" s="0" t="n">
        <v>66.0417216333333</v>
      </c>
      <c r="D734" s="0" t="inlineStr">
        <is>
          <t>query_ms</t>
        </is>
      </c>
      <c r="E734" s="0" t="n">
        <v>10</v>
      </c>
      <c r="F734" s="0" t="n">
        <v>2048</v>
      </c>
      <c r="G734" s="0" t="n">
        <v>1</v>
      </c>
      <c r="H734" s="0" t="inlineStr">
        <is>
          <t>/mnt/d/paper_source/work_9/VeriANN_repro_2026-09-30/VeriANN_repro_2026-09-30/results/work9-multidata-20261015/glove100/Ours-curve-1183514/per_query.csv</t>
        </is>
      </c>
    </row>
    <row r="735">
      <c r="A735" s="0" t="inlineStr">
        <is>
          <t>GloVe-100</t>
        </is>
      </c>
      <c r="B735" s="0" t="inlineStr">
        <is>
          <t>O23</t>
        </is>
      </c>
      <c r="C735" s="0" t="n">
        <v>98.5</v>
      </c>
      <c r="D735" s="0" t="inlineStr">
        <is>
          <t>recall_percent</t>
        </is>
      </c>
      <c r="E735" s="0" t="n">
        <v>10</v>
      </c>
      <c r="F735" s="0" t="n">
        <v>4096</v>
      </c>
      <c r="G735" s="0" t="n">
        <v>1</v>
      </c>
      <c r="H735" s="0" t="inlineStr">
        <is>
          <t>/mnt/d/paper_source/work_9/VeriANN_repro_2026-09-30/VeriANN_repro_2026-09-30/results/work9-multidata-20261015/glove100/Ours-curve-1183514/per_query.csv</t>
        </is>
      </c>
    </row>
    <row r="736">
      <c r="A736" s="0" t="inlineStr">
        <is>
          <t>GloVe-100</t>
        </is>
      </c>
      <c r="B736" s="0" t="inlineStr">
        <is>
          <t>O24</t>
        </is>
      </c>
      <c r="C736" s="0" t="n">
        <v>7489.0097</v>
      </c>
      <c r="D736" s="0" t="inlineStr">
        <is>
          <t>vo_kb</t>
        </is>
      </c>
      <c r="E736" s="0" t="n">
        <v>10</v>
      </c>
      <c r="F736" s="0" t="n">
        <v>4096</v>
      </c>
      <c r="G736" s="0" t="n">
        <v>1</v>
      </c>
      <c r="H736" s="0" t="inlineStr">
        <is>
          <t>/mnt/d/paper_source/work_9/VeriANN_repro_2026-09-30/VeriANN_repro_2026-09-30/results/work9-multidata-20261015/glove100/Ours-curve-1183514/per_query.csv</t>
        </is>
      </c>
    </row>
    <row r="737">
      <c r="A737" s="0" t="inlineStr">
        <is>
          <t>GloVe-100</t>
        </is>
      </c>
      <c r="B737" s="0" t="inlineStr">
        <is>
          <t>O33</t>
        </is>
      </c>
      <c r="C737" s="0" t="n">
        <v>98.5</v>
      </c>
      <c r="D737" s="0" t="inlineStr">
        <is>
          <t>recall_percent</t>
        </is>
      </c>
      <c r="E737" s="0" t="n">
        <v>10</v>
      </c>
      <c r="F737" s="0" t="n">
        <v>4096</v>
      </c>
      <c r="G737" s="0" t="n">
        <v>1</v>
      </c>
      <c r="H737" s="0" t="inlineStr">
        <is>
          <t>/mnt/d/paper_source/work_9/VeriANN_repro_2026-09-30/VeriANN_repro_2026-09-30/results/work9-multidata-20261015/glove100/Ours-curve-1183514/per_query.csv</t>
        </is>
      </c>
    </row>
    <row r="738">
      <c r="A738" s="0" t="inlineStr">
        <is>
          <t>GloVe-100</t>
        </is>
      </c>
      <c r="B738" s="0" t="inlineStr">
        <is>
          <t>O34</t>
        </is>
      </c>
      <c r="C738" s="0" t="n">
        <v>249.028947166667</v>
      </c>
      <c r="D738" s="0" t="inlineStr">
        <is>
          <t>verify_ms</t>
        </is>
      </c>
      <c r="E738" s="0" t="n">
        <v>10</v>
      </c>
      <c r="F738" s="0" t="n">
        <v>4096</v>
      </c>
      <c r="G738" s="0" t="n">
        <v>1</v>
      </c>
      <c r="H738" s="0" t="inlineStr">
        <is>
          <t>/mnt/d/paper_source/work_9/VeriANN_repro_2026-09-30/VeriANN_repro_2026-09-30/results/work9-multidata-20261015/glove100/Ours-curve-1183514/per_query.csv</t>
        </is>
      </c>
    </row>
    <row r="739">
      <c r="A739" s="0" t="inlineStr">
        <is>
          <t>GloVe-100</t>
        </is>
      </c>
      <c r="B739" s="0" t="inlineStr">
        <is>
          <t>O43</t>
        </is>
      </c>
      <c r="C739" s="0" t="n">
        <v>98.5</v>
      </c>
      <c r="D739" s="0" t="inlineStr">
        <is>
          <t>recall_percent</t>
        </is>
      </c>
      <c r="E739" s="0" t="n">
        <v>10</v>
      </c>
      <c r="F739" s="0" t="n">
        <v>4096</v>
      </c>
      <c r="G739" s="0" t="n">
        <v>1</v>
      </c>
      <c r="H739" s="0" t="inlineStr">
        <is>
          <t>/mnt/d/paper_source/work_9/VeriANN_repro_2026-09-30/VeriANN_repro_2026-09-30/results/work9-multidata-20261015/glove100/Ours-curve-1183514/per_query.csv</t>
        </is>
      </c>
    </row>
    <row r="740">
      <c r="A740" s="0" t="inlineStr">
        <is>
          <t>GloVe-100</t>
        </is>
      </c>
      <c r="B740" s="0" t="inlineStr">
        <is>
          <t>O44</t>
        </is>
      </c>
      <c r="C740" s="0" t="n">
        <v>119.74718415</v>
      </c>
      <c r="D740" s="0" t="inlineStr">
        <is>
          <t>query_ms</t>
        </is>
      </c>
      <c r="E740" s="0" t="n">
        <v>10</v>
      </c>
      <c r="F740" s="0" t="n">
        <v>4096</v>
      </c>
      <c r="G740" s="0" t="n">
        <v>1</v>
      </c>
      <c r="H740" s="0" t="inlineStr">
        <is>
          <t>/mnt/d/paper_source/work_9/VeriANN_repro_2026-09-30/VeriANN_repro_2026-09-30/results/work9-multidata-20261015/glove100/Ours-curve-1183514/per_query.csv</t>
        </is>
      </c>
    </row>
    <row r="741">
      <c r="A741" s="0" t="inlineStr">
        <is>
          <t>GloVe-100</t>
        </is>
      </c>
      <c r="B741" s="0" t="inlineStr">
        <is>
          <t>P23</t>
        </is>
      </c>
      <c r="C741" s="0" t="n">
        <v>99.5</v>
      </c>
      <c r="D741" s="0" t="inlineStr">
        <is>
          <t>recall_percent</t>
        </is>
      </c>
      <c r="E741" s="0" t="n">
        <v>10</v>
      </c>
      <c r="F741" s="0" t="n">
        <v>8192</v>
      </c>
      <c r="G741" s="0" t="n">
        <v>1</v>
      </c>
      <c r="H741" s="0" t="inlineStr">
        <is>
          <t>/mnt/d/paper_source/work_9/VeriANN_repro_2026-09-30/VeriANN_repro_2026-09-30/results/work9-multidata-20261015/glove100/Ours-curve-1183514/per_query.csv</t>
        </is>
      </c>
    </row>
    <row r="742">
      <c r="A742" s="0" t="inlineStr">
        <is>
          <t>GloVe-100</t>
        </is>
      </c>
      <c r="B742" s="0" t="inlineStr">
        <is>
          <t>P24</t>
        </is>
      </c>
      <c r="C742" s="0" t="n">
        <v>12067.1025</v>
      </c>
      <c r="D742" s="0" t="inlineStr">
        <is>
          <t>vo_kb</t>
        </is>
      </c>
      <c r="E742" s="0" t="n">
        <v>10</v>
      </c>
      <c r="F742" s="0" t="n">
        <v>8192</v>
      </c>
      <c r="G742" s="0" t="n">
        <v>1</v>
      </c>
      <c r="H742" s="0" t="inlineStr">
        <is>
          <t>/mnt/d/paper_source/work_9/VeriANN_repro_2026-09-30/VeriANN_repro_2026-09-30/results/work9-multidata-20261015/glove100/Ours-curve-1183514/per_query.csv</t>
        </is>
      </c>
    </row>
    <row r="743">
      <c r="A743" s="0" t="inlineStr">
        <is>
          <t>GloVe-100</t>
        </is>
      </c>
      <c r="B743" s="0" t="inlineStr">
        <is>
          <t>P33</t>
        </is>
      </c>
      <c r="C743" s="0" t="n">
        <v>99.5</v>
      </c>
      <c r="D743" s="0" t="inlineStr">
        <is>
          <t>recall_percent</t>
        </is>
      </c>
      <c r="E743" s="0" t="n">
        <v>10</v>
      </c>
      <c r="F743" s="0" t="n">
        <v>8192</v>
      </c>
      <c r="G743" s="0" t="n">
        <v>1</v>
      </c>
      <c r="H743" s="0" t="inlineStr">
        <is>
          <t>/mnt/d/paper_source/work_9/VeriANN_repro_2026-09-30/VeriANN_repro_2026-09-30/results/work9-multidata-20261015/glove100/Ours-curve-1183514/per_query.csv</t>
        </is>
      </c>
    </row>
    <row r="744">
      <c r="A744" s="0" t="inlineStr">
        <is>
          <t>GloVe-100</t>
        </is>
      </c>
      <c r="B744" s="0" t="inlineStr">
        <is>
          <t>P34</t>
        </is>
      </c>
      <c r="C744" s="0" t="n">
        <v>476.421713883333</v>
      </c>
      <c r="D744" s="0" t="inlineStr">
        <is>
          <t>verify_ms</t>
        </is>
      </c>
      <c r="E744" s="0" t="n">
        <v>10</v>
      </c>
      <c r="F744" s="0" t="n">
        <v>8192</v>
      </c>
      <c r="G744" s="0" t="n">
        <v>1</v>
      </c>
      <c r="H744" s="0" t="inlineStr">
        <is>
          <t>/mnt/d/paper_source/work_9/VeriANN_repro_2026-09-30/VeriANN_repro_2026-09-30/results/work9-multidata-20261015/glove100/Ours-curve-1183514/per_query.csv</t>
        </is>
      </c>
    </row>
    <row r="745">
      <c r="A745" s="0" t="inlineStr">
        <is>
          <t>GloVe-100</t>
        </is>
      </c>
      <c r="B745" s="0" t="inlineStr">
        <is>
          <t>P43</t>
        </is>
      </c>
      <c r="C745" s="0" t="n">
        <v>99.5</v>
      </c>
      <c r="D745" s="0" t="inlineStr">
        <is>
          <t>recall_percent</t>
        </is>
      </c>
      <c r="E745" s="0" t="n">
        <v>10</v>
      </c>
      <c r="F745" s="0" t="n">
        <v>8192</v>
      </c>
      <c r="G745" s="0" t="n">
        <v>1</v>
      </c>
      <c r="H745" s="0" t="inlineStr">
        <is>
          <t>/mnt/d/paper_source/work_9/VeriANN_repro_2026-09-30/VeriANN_repro_2026-09-30/results/work9-multidata-20261015/glove100/Ours-curve-1183514/per_query.csv</t>
        </is>
      </c>
    </row>
    <row r="746">
      <c r="A746" s="0" t="inlineStr">
        <is>
          <t>GloVe-100</t>
        </is>
      </c>
      <c r="B746" s="0" t="inlineStr">
        <is>
          <t>P44</t>
        </is>
      </c>
      <c r="C746" s="0" t="n">
        <v>225.599757116667</v>
      </c>
      <c r="D746" s="0" t="inlineStr">
        <is>
          <t>query_ms</t>
        </is>
      </c>
      <c r="E746" s="0" t="n">
        <v>10</v>
      </c>
      <c r="F746" s="0" t="n">
        <v>8192</v>
      </c>
      <c r="G746" s="0" t="n">
        <v>1</v>
      </c>
      <c r="H746" s="0" t="inlineStr">
        <is>
          <t>/mnt/d/paper_source/work_9/VeriANN_repro_2026-09-30/VeriANN_repro_2026-09-30/results/work9-multidata-20261015/glove100/Ours-curve-1183514/per_query.csv</t>
        </is>
      </c>
    </row>
    <row r="747">
      <c r="A747" s="0" t="inlineStr">
        <is>
          <t>GloVe-100</t>
        </is>
      </c>
      <c r="B747" s="0" t="inlineStr">
        <is>
          <t>E11</t>
        </is>
      </c>
      <c r="C747" s="0" t="n">
        <v>96</v>
      </c>
      <c r="D747" s="0" t="inlineStr">
        <is>
          <t>recall_percent</t>
        </is>
      </c>
      <c r="E747" s="0" t="n">
        <v>10</v>
      </c>
      <c r="F747" s="0" t="n">
        <v>1536</v>
      </c>
      <c r="G747" s="0" t="n">
        <v>1</v>
      </c>
      <c r="H747" s="0" t="inlineStr">
        <is>
          <t>/mnt/d/paper_source/work_9/VeriANN_repro_2026-09-30/VeriANN_repro_2026-09-30/results/work9-multidata-20261015/glove100/Ours-curve-1183514/per_query.csv</t>
        </is>
      </c>
    </row>
    <row r="748">
      <c r="A748" s="0" t="inlineStr">
        <is>
          <t>GloVe-100</t>
        </is>
      </c>
      <c r="B748" s="0" t="inlineStr">
        <is>
          <t>F11</t>
        </is>
      </c>
      <c r="C748" s="0" t="n">
        <v>52.0690504666667</v>
      </c>
      <c r="D748" s="0" t="inlineStr">
        <is>
          <t>query_ms</t>
        </is>
      </c>
      <c r="E748" s="0" t="n">
        <v>10</v>
      </c>
      <c r="F748" s="0" t="n">
        <v>1536</v>
      </c>
      <c r="G748" s="0" t="n">
        <v>1</v>
      </c>
      <c r="H748" s="0" t="inlineStr">
        <is>
          <t>/mnt/d/paper_source/work_9/VeriANN_repro_2026-09-30/VeriANN_repro_2026-09-30/results/work9-multidata-20261015/glove100/Ours-curve-1183514/per_query.csv</t>
        </is>
      </c>
    </row>
    <row r="749">
      <c r="A749" s="0" t="inlineStr">
        <is>
          <t>GloVe-100</t>
        </is>
      </c>
      <c r="B749" s="0" t="inlineStr">
        <is>
          <t>G11</t>
        </is>
      </c>
      <c r="C749" s="0" t="n">
        <v>3831.7115</v>
      </c>
      <c r="D749" s="0" t="inlineStr">
        <is>
          <t>vo_kb</t>
        </is>
      </c>
      <c r="E749" s="0" t="n">
        <v>10</v>
      </c>
      <c r="F749" s="0" t="n">
        <v>1536</v>
      </c>
      <c r="G749" s="0" t="n">
        <v>1</v>
      </c>
      <c r="H749" s="0" t="inlineStr">
        <is>
          <t>/mnt/d/paper_source/work_9/VeriANN_repro_2026-09-30/VeriANN_repro_2026-09-30/results/work9-multidata-20261015/glove100/Ours-curve-1183514/per_query.csv</t>
        </is>
      </c>
    </row>
    <row r="750">
      <c r="A750" s="0" t="inlineStr">
        <is>
          <t>GloVe-100</t>
        </is>
      </c>
      <c r="B750" s="0" t="inlineStr">
        <is>
          <t>H11</t>
        </is>
      </c>
      <c r="C750" s="0" t="n">
        <v>110.41652915</v>
      </c>
      <c r="D750" s="0" t="inlineStr">
        <is>
          <t>verify_ms</t>
        </is>
      </c>
      <c r="E750" s="0" t="n">
        <v>10</v>
      </c>
      <c r="F750" s="0" t="n">
        <v>1536</v>
      </c>
      <c r="G750" s="0" t="n">
        <v>1</v>
      </c>
      <c r="H750" s="0" t="inlineStr">
        <is>
          <t>/mnt/d/paper_source/work_9/VeriANN_repro_2026-09-30/VeriANN_repro_2026-09-30/results/work9-multidata-20261015/glove100/Ours-curve-1183514/per_query.csv</t>
        </is>
      </c>
    </row>
    <row r="751">
      <c r="A751" s="0" t="inlineStr">
        <is>
          <t>GloVe-100</t>
        </is>
      </c>
      <c r="B751" s="0" t="inlineStr">
        <is>
          <t>F86</t>
        </is>
      </c>
      <c r="C751" s="0" t="n">
        <v>2821.034</v>
      </c>
      <c r="D751" s="0" t="inlineStr">
        <is>
          <t>vo_kb</t>
        </is>
      </c>
      <c r="E751" s="0" t="n">
        <v>1</v>
      </c>
      <c r="F751" s="0" t="n">
        <v>1536</v>
      </c>
      <c r="G751" s="0" t="n">
        <v>1</v>
      </c>
      <c r="H751" s="0" t="inlineStr">
        <is>
          <t>/mnt/d/paper_source/work_9/VeriANN_repro_2026-09-30/VeriANN_repro_2026-09-30/results/work9-multidata-20261015/glove100/Ours-k-1183514/per_query.csv</t>
        </is>
      </c>
    </row>
    <row r="752">
      <c r="A752" s="0" t="inlineStr">
        <is>
          <t>GloVe-100</t>
        </is>
      </c>
      <c r="B752" s="0" t="inlineStr">
        <is>
          <t>F96</t>
        </is>
      </c>
      <c r="C752" s="0" t="n">
        <v>74.48325705000001</v>
      </c>
      <c r="D752" s="0" t="inlineStr">
        <is>
          <t>verify_ms</t>
        </is>
      </c>
      <c r="E752" s="0" t="n">
        <v>1</v>
      </c>
      <c r="F752" s="0" t="n">
        <v>1536</v>
      </c>
      <c r="G752" s="0" t="n">
        <v>1</v>
      </c>
      <c r="H752" s="0" t="inlineStr">
        <is>
          <t>/mnt/d/paper_source/work_9/VeriANN_repro_2026-09-30/VeriANN_repro_2026-09-30/results/work9-multidata-20261015/glove100/Ours-k-1183514/per_query.csv</t>
        </is>
      </c>
    </row>
    <row r="753">
      <c r="A753" s="0" t="inlineStr">
        <is>
          <t>GloVe-100</t>
        </is>
      </c>
      <c r="B753" s="0" t="inlineStr">
        <is>
          <t>F105</t>
        </is>
      </c>
      <c r="C753" s="0" t="n">
        <v>43.3916748666667</v>
      </c>
      <c r="D753" s="0" t="inlineStr">
        <is>
          <t>query_ms</t>
        </is>
      </c>
      <c r="E753" s="0" t="n">
        <v>1</v>
      </c>
      <c r="F753" s="0" t="n">
        <v>1536</v>
      </c>
      <c r="G753" s="0" t="n">
        <v>1</v>
      </c>
      <c r="H753" s="0" t="inlineStr">
        <is>
          <t>/mnt/d/paper_source/work_9/VeriANN_repro_2026-09-30/VeriANN_repro_2026-09-30/results/work9-multidata-20261015/glove100/Ours-k-1183514/per_query.csv</t>
        </is>
      </c>
    </row>
    <row r="754">
      <c r="A754" s="0" t="inlineStr">
        <is>
          <t>GloVe-100</t>
        </is>
      </c>
      <c r="B754" s="0" t="inlineStr">
        <is>
          <t>G86</t>
        </is>
      </c>
      <c r="C754" s="0" t="n">
        <v>3499.03985</v>
      </c>
      <c r="D754" s="0" t="inlineStr">
        <is>
          <t>vo_kb</t>
        </is>
      </c>
      <c r="E754" s="0" t="n">
        <v>5</v>
      </c>
      <c r="F754" s="0" t="n">
        <v>1536</v>
      </c>
      <c r="G754" s="0" t="n">
        <v>1</v>
      </c>
      <c r="H754" s="0" t="inlineStr">
        <is>
          <t>/mnt/d/paper_source/work_9/VeriANN_repro_2026-09-30/VeriANN_repro_2026-09-30/results/work9-multidata-20261015/glove100/Ours-k-1183514/per_query.csv</t>
        </is>
      </c>
    </row>
    <row r="755">
      <c r="A755" s="0" t="inlineStr">
        <is>
          <t>GloVe-100</t>
        </is>
      </c>
      <c r="B755" s="0" t="inlineStr">
        <is>
          <t>G96</t>
        </is>
      </c>
      <c r="C755" s="0" t="n">
        <v>98.3033552</v>
      </c>
      <c r="D755" s="0" t="inlineStr">
        <is>
          <t>verify_ms</t>
        </is>
      </c>
      <c r="E755" s="0" t="n">
        <v>5</v>
      </c>
      <c r="F755" s="0" t="n">
        <v>1536</v>
      </c>
      <c r="G755" s="0" t="n">
        <v>1</v>
      </c>
      <c r="H755" s="0" t="inlineStr">
        <is>
          <t>/mnt/d/paper_source/work_9/VeriANN_repro_2026-09-30/VeriANN_repro_2026-09-30/results/work9-multidata-20261015/glove100/Ours-k-1183514/per_query.csv</t>
        </is>
      </c>
    </row>
    <row r="756">
      <c r="A756" s="0" t="inlineStr">
        <is>
          <t>GloVe-100</t>
        </is>
      </c>
      <c r="B756" s="0" t="inlineStr">
        <is>
          <t>G105</t>
        </is>
      </c>
      <c r="C756" s="0" t="n">
        <v>48.2972326666667</v>
      </c>
      <c r="D756" s="0" t="inlineStr">
        <is>
          <t>query_ms</t>
        </is>
      </c>
      <c r="E756" s="0" t="n">
        <v>5</v>
      </c>
      <c r="F756" s="0" t="n">
        <v>1536</v>
      </c>
      <c r="G756" s="0" t="n">
        <v>1</v>
      </c>
      <c r="H756" s="0" t="inlineStr">
        <is>
          <t>/mnt/d/paper_source/work_9/VeriANN_repro_2026-09-30/VeriANN_repro_2026-09-30/results/work9-multidata-20261015/glove100/Ours-k-1183514/per_query.csv</t>
        </is>
      </c>
    </row>
    <row r="757">
      <c r="A757" s="0" t="inlineStr">
        <is>
          <t>GloVe-100</t>
        </is>
      </c>
      <c r="B757" s="0" t="inlineStr">
        <is>
          <t>H86</t>
        </is>
      </c>
      <c r="C757" s="0" t="n">
        <v>3831.7115</v>
      </c>
      <c r="D757" s="0" t="inlineStr">
        <is>
          <t>vo_kb</t>
        </is>
      </c>
      <c r="E757" s="0" t="n">
        <v>10</v>
      </c>
      <c r="F757" s="0" t="n">
        <v>1536</v>
      </c>
      <c r="G757" s="0" t="n">
        <v>1</v>
      </c>
      <c r="H757" s="0" t="inlineStr">
        <is>
          <t>/mnt/d/paper_source/work_9/VeriANN_repro_2026-09-30/VeriANN_repro_2026-09-30/results/work9-multidata-20261015/glove100/Ours-k-1183514/per_query.csv</t>
        </is>
      </c>
    </row>
    <row r="758">
      <c r="A758" s="0" t="inlineStr">
        <is>
          <t>GloVe-100</t>
        </is>
      </c>
      <c r="B758" s="0" t="inlineStr">
        <is>
          <t>H96</t>
        </is>
      </c>
      <c r="C758" s="0" t="n">
        <v>112.045662116667</v>
      </c>
      <c r="D758" s="0" t="inlineStr">
        <is>
          <t>verify_ms</t>
        </is>
      </c>
      <c r="E758" s="0" t="n">
        <v>10</v>
      </c>
      <c r="F758" s="0" t="n">
        <v>1536</v>
      </c>
      <c r="G758" s="0" t="n">
        <v>1</v>
      </c>
      <c r="H758" s="0" t="inlineStr">
        <is>
          <t>/mnt/d/paper_source/work_9/VeriANN_repro_2026-09-30/VeriANN_repro_2026-09-30/results/work9-multidata-20261015/glove100/Ours-k-1183514/per_query.csv</t>
        </is>
      </c>
    </row>
    <row r="759">
      <c r="A759" s="0" t="inlineStr">
        <is>
          <t>GloVe-100</t>
        </is>
      </c>
      <c r="B759" s="0" t="inlineStr">
        <is>
          <t>H105</t>
        </is>
      </c>
      <c r="C759" s="0" t="n">
        <v>51.89053155</v>
      </c>
      <c r="D759" s="0" t="inlineStr">
        <is>
          <t>query_ms</t>
        </is>
      </c>
      <c r="E759" s="0" t="n">
        <v>10</v>
      </c>
      <c r="F759" s="0" t="n">
        <v>1536</v>
      </c>
      <c r="G759" s="0" t="n">
        <v>1</v>
      </c>
      <c r="H759" s="0" t="inlineStr">
        <is>
          <t>/mnt/d/paper_source/work_9/VeriANN_repro_2026-09-30/VeriANN_repro_2026-09-30/results/work9-multidata-20261015/glove100/Ours-k-1183514/per_query.csv</t>
        </is>
      </c>
    </row>
    <row r="760">
      <c r="A760" s="0" t="inlineStr">
        <is>
          <t>GloVe-100</t>
        </is>
      </c>
      <c r="B760" s="0" t="inlineStr">
        <is>
          <t>I86</t>
        </is>
      </c>
      <c r="C760" s="0" t="n">
        <v>4142.2652</v>
      </c>
      <c r="D760" s="0" t="inlineStr">
        <is>
          <t>vo_kb</t>
        </is>
      </c>
      <c r="E760" s="0" t="n">
        <v>20</v>
      </c>
      <c r="F760" s="0" t="n">
        <v>1536</v>
      </c>
      <c r="G760" s="0" t="n">
        <v>1</v>
      </c>
      <c r="H760" s="0" t="inlineStr">
        <is>
          <t>/mnt/d/paper_source/work_9/VeriANN_repro_2026-09-30/VeriANN_repro_2026-09-30/results/work9-multidata-20261015/glove100/Ours-k-1183514/per_query.csv</t>
        </is>
      </c>
    </row>
    <row r="761">
      <c r="A761" s="0" t="inlineStr">
        <is>
          <t>GloVe-100</t>
        </is>
      </c>
      <c r="B761" s="0" t="inlineStr">
        <is>
          <t>I96</t>
        </is>
      </c>
      <c r="C761" s="0" t="n">
        <v>122.636949233333</v>
      </c>
      <c r="D761" s="0" t="inlineStr">
        <is>
          <t>verify_ms</t>
        </is>
      </c>
      <c r="E761" s="0" t="n">
        <v>20</v>
      </c>
      <c r="F761" s="0" t="n">
        <v>1536</v>
      </c>
      <c r="G761" s="0" t="n">
        <v>1</v>
      </c>
      <c r="H761" s="0" t="inlineStr">
        <is>
          <t>/mnt/d/paper_source/work_9/VeriANN_repro_2026-09-30/VeriANN_repro_2026-09-30/results/work9-multidata-20261015/glove100/Ours-k-1183514/per_query.csv</t>
        </is>
      </c>
    </row>
    <row r="762">
      <c r="A762" s="0" t="inlineStr">
        <is>
          <t>GloVe-100</t>
        </is>
      </c>
      <c r="B762" s="0" t="inlineStr">
        <is>
          <t>I105</t>
        </is>
      </c>
      <c r="C762" s="0" t="n">
        <v>53.6649467833333</v>
      </c>
      <c r="D762" s="0" t="inlineStr">
        <is>
          <t>query_ms</t>
        </is>
      </c>
      <c r="E762" s="0" t="n">
        <v>20</v>
      </c>
      <c r="F762" s="0" t="n">
        <v>1536</v>
      </c>
      <c r="G762" s="0" t="n">
        <v>1</v>
      </c>
      <c r="H762" s="0" t="inlineStr">
        <is>
          <t>/mnt/d/paper_source/work_9/VeriANN_repro_2026-09-30/VeriANN_repro_2026-09-30/results/work9-multidata-20261015/glove100/Ours-k-1183514/per_query.csv</t>
        </is>
      </c>
    </row>
    <row r="763">
      <c r="A763" s="0" t="inlineStr">
        <is>
          <t>GloVe-100</t>
        </is>
      </c>
      <c r="B763" s="0" t="inlineStr">
        <is>
          <t>J86</t>
        </is>
      </c>
      <c r="C763" s="0" t="n">
        <v>4787.9475</v>
      </c>
      <c r="D763" s="0" t="inlineStr">
        <is>
          <t>vo_kb</t>
        </is>
      </c>
      <c r="E763" s="0" t="n">
        <v>50</v>
      </c>
      <c r="F763" s="0" t="n">
        <v>1536</v>
      </c>
      <c r="G763" s="0" t="n">
        <v>1</v>
      </c>
      <c r="H763" s="0" t="inlineStr">
        <is>
          <t>/mnt/d/paper_source/work_9/VeriANN_repro_2026-09-30/VeriANN_repro_2026-09-30/results/work9-multidata-20261015/glove100/Ours-k-1183514/per_query.csv</t>
        </is>
      </c>
    </row>
    <row r="764">
      <c r="A764" s="0" t="inlineStr">
        <is>
          <t>GloVe-100</t>
        </is>
      </c>
      <c r="B764" s="0" t="inlineStr">
        <is>
          <t>J96</t>
        </is>
      </c>
      <c r="C764" s="0" t="n">
        <v>145.3057572</v>
      </c>
      <c r="D764" s="0" t="inlineStr">
        <is>
          <t>verify_ms</t>
        </is>
      </c>
      <c r="E764" s="0" t="n">
        <v>50</v>
      </c>
      <c r="F764" s="0" t="n">
        <v>1536</v>
      </c>
      <c r="G764" s="0" t="n">
        <v>1</v>
      </c>
      <c r="H764" s="0" t="inlineStr">
        <is>
          <t>/mnt/d/paper_source/work_9/VeriANN_repro_2026-09-30/VeriANN_repro_2026-09-30/results/work9-multidata-20261015/glove100/Ours-k-1183514/per_query.csv</t>
        </is>
      </c>
    </row>
    <row r="765">
      <c r="A765" s="0" t="inlineStr">
        <is>
          <t>GloVe-100</t>
        </is>
      </c>
      <c r="B765" s="0" t="inlineStr">
        <is>
          <t>J105</t>
        </is>
      </c>
      <c r="C765" s="0" t="n">
        <v>58.6309350833333</v>
      </c>
      <c r="D765" s="0" t="inlineStr">
        <is>
          <t>query_ms</t>
        </is>
      </c>
      <c r="E765" s="0" t="n">
        <v>50</v>
      </c>
      <c r="F765" s="0" t="n">
        <v>1536</v>
      </c>
      <c r="G765" s="0" t="n">
        <v>1</v>
      </c>
      <c r="H765" s="0" t="inlineStr">
        <is>
          <t>/mnt/d/paper_source/work_9/VeriANN_repro_2026-09-30/VeriANN_repro_2026-09-30/results/work9-multidata-20261015/glove100/Ours-k-1183514/per_query.csv</t>
        </is>
      </c>
    </row>
    <row r="766">
      <c r="A766" s="0" t="inlineStr">
        <is>
          <t>GloVe-100</t>
        </is>
      </c>
      <c r="B766" s="0" t="inlineStr">
        <is>
          <t>K86</t>
        </is>
      </c>
      <c r="C766" s="0" t="n">
        <v>5324.953</v>
      </c>
      <c r="D766" s="0" t="inlineStr">
        <is>
          <t>vo_kb</t>
        </is>
      </c>
      <c r="E766" s="0" t="n">
        <v>100</v>
      </c>
      <c r="F766" s="0" t="n">
        <v>1536</v>
      </c>
      <c r="G766" s="0" t="n">
        <v>1</v>
      </c>
      <c r="H766" s="0" t="inlineStr">
        <is>
          <t>/mnt/d/paper_source/work_9/VeriANN_repro_2026-09-30/VeriANN_repro_2026-09-30/results/work9-multidata-20261015/glove100/Ours-k-1183514/per_query.csv</t>
        </is>
      </c>
    </row>
    <row r="767">
      <c r="A767" s="0" t="inlineStr">
        <is>
          <t>GloVe-100</t>
        </is>
      </c>
      <c r="B767" s="0" t="inlineStr">
        <is>
          <t>K96</t>
        </is>
      </c>
      <c r="C767" s="0" t="n">
        <v>161.658067283333</v>
      </c>
      <c r="D767" s="0" t="inlineStr">
        <is>
          <t>verify_ms</t>
        </is>
      </c>
      <c r="E767" s="0" t="n">
        <v>100</v>
      </c>
      <c r="F767" s="0" t="n">
        <v>1536</v>
      </c>
      <c r="G767" s="0" t="n">
        <v>1</v>
      </c>
      <c r="H767" s="0" t="inlineStr">
        <is>
          <t>/mnt/d/paper_source/work_9/VeriANN_repro_2026-09-30/VeriANN_repro_2026-09-30/results/work9-multidata-20261015/glove100/Ours-k-1183514/per_query.csv</t>
        </is>
      </c>
    </row>
    <row r="768">
      <c r="A768" s="0" t="inlineStr">
        <is>
          <t>GloVe-100</t>
        </is>
      </c>
      <c r="B768" s="0" t="inlineStr">
        <is>
          <t>K105</t>
        </is>
      </c>
      <c r="C768" s="0" t="n">
        <v>61.9766955833333</v>
      </c>
      <c r="D768" s="0" t="inlineStr">
        <is>
          <t>query_ms</t>
        </is>
      </c>
      <c r="E768" s="0" t="n">
        <v>100</v>
      </c>
      <c r="F768" s="0" t="n">
        <v>1536</v>
      </c>
      <c r="G768" s="0" t="n">
        <v>1</v>
      </c>
      <c r="H768" s="0" t="inlineStr">
        <is>
          <t>/mnt/d/paper_source/work_9/VeriANN_repro_2026-09-30/VeriANN_repro_2026-09-30/results/work9-multidata-20261015/glove100/Ours-k-1183514/per_query.csv</t>
        </is>
      </c>
    </row>
    <row r="769">
      <c r="A769" s="0" t="inlineStr">
        <is>
          <t>GloVe-100</t>
        </is>
      </c>
      <c r="B769" s="0" t="inlineStr">
        <is>
          <t>F56</t>
        </is>
      </c>
      <c r="C769" s="0" t="n">
        <v>969.1795499999999</v>
      </c>
      <c r="D769" s="0" t="inlineStr">
        <is>
          <t>vo_kb</t>
        </is>
      </c>
      <c r="E769" s="0" t="n">
        <v>10</v>
      </c>
      <c r="F769" s="0" t="n">
        <v>384</v>
      </c>
      <c r="G769" s="0" t="n">
        <v>1</v>
      </c>
      <c r="H769" s="0" t="inlineStr">
        <is>
          <t>/mnt/d/paper_source/work_9/VeriANN_repro_2026-09-30/VeriANN_repro_2026-09-30/results/work9-multidata-20261015/glove100/Ours-size-100000/per_query.csv</t>
        </is>
      </c>
    </row>
    <row r="770">
      <c r="A770" s="0" t="inlineStr">
        <is>
          <t>GloVe-100</t>
        </is>
      </c>
      <c r="B770" s="0" t="inlineStr">
        <is>
          <t>F66</t>
        </is>
      </c>
      <c r="C770" s="0" t="n">
        <v>23.6985128833333</v>
      </c>
      <c r="D770" s="0" t="inlineStr">
        <is>
          <t>verify_ms</t>
        </is>
      </c>
      <c r="E770" s="0" t="n">
        <v>10</v>
      </c>
      <c r="F770" s="0" t="n">
        <v>384</v>
      </c>
      <c r="G770" s="0" t="n">
        <v>1</v>
      </c>
      <c r="H770" s="0" t="inlineStr">
        <is>
          <t>/mnt/d/paper_source/work_9/VeriANN_repro_2026-09-30/VeriANN_repro_2026-09-30/results/work9-multidata-20261015/glove100/Ours-size-100000/per_query.csv</t>
        </is>
      </c>
    </row>
    <row r="771">
      <c r="A771" s="0" t="inlineStr">
        <is>
          <t>GloVe-100</t>
        </is>
      </c>
      <c r="B771" s="0" t="inlineStr">
        <is>
          <t>F75</t>
        </is>
      </c>
      <c r="C771" s="0" t="n">
        <v>10.5961927333333</v>
      </c>
      <c r="D771" s="0" t="inlineStr">
        <is>
          <t>query_ms</t>
        </is>
      </c>
      <c r="E771" s="0" t="n">
        <v>10</v>
      </c>
      <c r="F771" s="0" t="n">
        <v>384</v>
      </c>
      <c r="G771" s="0" t="n">
        <v>1</v>
      </c>
      <c r="H771" s="0" t="inlineStr">
        <is>
          <t>/mnt/d/paper_source/work_9/VeriANN_repro_2026-09-30/VeriANN_repro_2026-09-30/results/work9-multidata-20261015/glove100/Ours-size-100000/per_query.csv</t>
        </is>
      </c>
    </row>
    <row r="772">
      <c r="A772" s="0" t="inlineStr">
        <is>
          <t>GloVe-100</t>
        </is>
      </c>
      <c r="B772" s="0" t="inlineStr">
        <is>
          <t>H56</t>
        </is>
      </c>
      <c r="C772" s="0" t="n">
        <v>2804.3072</v>
      </c>
      <c r="D772" s="0" t="inlineStr">
        <is>
          <t>vo_kb</t>
        </is>
      </c>
      <c r="E772" s="0" t="n">
        <v>10</v>
      </c>
      <c r="F772" s="0" t="n">
        <v>1024</v>
      </c>
      <c r="G772" s="0" t="n">
        <v>1</v>
      </c>
      <c r="H772" s="0" t="inlineStr">
        <is>
          <t>/mnt/d/paper_source/work_9/VeriANN_repro_2026-09-30/VeriANN_repro_2026-09-30/results/work9-multidata-20261015/glove100/Ours-size-1000000/per_query.csv</t>
        </is>
      </c>
    </row>
    <row r="773">
      <c r="A773" s="0" t="inlineStr">
        <is>
          <t>GloVe-100</t>
        </is>
      </c>
      <c r="B773" s="0" t="inlineStr">
        <is>
          <t>H66</t>
        </is>
      </c>
      <c r="C773" s="0" t="n">
        <v>76.8190604</v>
      </c>
      <c r="D773" s="0" t="inlineStr">
        <is>
          <t>verify_ms</t>
        </is>
      </c>
      <c r="E773" s="0" t="n">
        <v>10</v>
      </c>
      <c r="F773" s="0" t="n">
        <v>1024</v>
      </c>
      <c r="G773" s="0" t="n">
        <v>1</v>
      </c>
      <c r="H773" s="0" t="inlineStr">
        <is>
          <t>/mnt/d/paper_source/work_9/VeriANN_repro_2026-09-30/VeriANN_repro_2026-09-30/results/work9-multidata-20261015/glove100/Ours-size-1000000/per_query.csv</t>
        </is>
      </c>
    </row>
    <row r="774">
      <c r="A774" s="0" t="inlineStr">
        <is>
          <t>GloVe-100</t>
        </is>
      </c>
      <c r="B774" s="0" t="inlineStr">
        <is>
          <t>H75</t>
        </is>
      </c>
      <c r="C774" s="0" t="n">
        <v>35.6520734333333</v>
      </c>
      <c r="D774" s="0" t="inlineStr">
        <is>
          <t>query_ms</t>
        </is>
      </c>
      <c r="E774" s="0" t="n">
        <v>10</v>
      </c>
      <c r="F774" s="0" t="n">
        <v>1024</v>
      </c>
      <c r="G774" s="0" t="n">
        <v>1</v>
      </c>
      <c r="H774" s="0" t="inlineStr">
        <is>
          <t>/mnt/d/paper_source/work_9/VeriANN_repro_2026-09-30/VeriANN_repro_2026-09-30/results/work9-multidata-20261015/glove100/Ours-size-1000000/per_query.csv</t>
        </is>
      </c>
    </row>
    <row r="775">
      <c r="A775" s="0" t="inlineStr">
        <is>
          <t>GloVe-100</t>
        </is>
      </c>
      <c r="B775" s="0" t="inlineStr">
        <is>
          <t>G56</t>
        </is>
      </c>
      <c r="C775" s="0" t="n">
        <v>3293.64175</v>
      </c>
      <c r="D775" s="0" t="inlineStr">
        <is>
          <t>vo_kb</t>
        </is>
      </c>
      <c r="E775" s="0" t="n">
        <v>10</v>
      </c>
      <c r="F775" s="0" t="n">
        <v>1536</v>
      </c>
      <c r="G775" s="0" t="n">
        <v>1</v>
      </c>
      <c r="H775" s="0" t="inlineStr">
        <is>
          <t>/mnt/d/paper_source/work_9/VeriANN_repro_2026-09-30/VeriANN_repro_2026-09-30/results/work9-multidata-20261015/glove100/Ours-size-500000/per_query.csv</t>
        </is>
      </c>
    </row>
    <row r="776">
      <c r="A776" s="0" t="inlineStr">
        <is>
          <t>GloVe-100</t>
        </is>
      </c>
      <c r="B776" s="0" t="inlineStr">
        <is>
          <t>G66</t>
        </is>
      </c>
      <c r="C776" s="0" t="n">
        <v>94.11832695</v>
      </c>
      <c r="D776" s="0" t="inlineStr">
        <is>
          <t>verify_ms</t>
        </is>
      </c>
      <c r="E776" s="0" t="n">
        <v>10</v>
      </c>
      <c r="F776" s="0" t="n">
        <v>1536</v>
      </c>
      <c r="G776" s="0" t="n">
        <v>1</v>
      </c>
      <c r="H776" s="0" t="inlineStr">
        <is>
          <t>/mnt/d/paper_source/work_9/VeriANN_repro_2026-09-30/VeriANN_repro_2026-09-30/results/work9-multidata-20261015/glove100/Ours-size-500000/per_query.csv</t>
        </is>
      </c>
    </row>
    <row r="777">
      <c r="A777" s="0" t="inlineStr">
        <is>
          <t>GloVe-100</t>
        </is>
      </c>
      <c r="B777" s="0" t="inlineStr">
        <is>
          <t>G75</t>
        </is>
      </c>
      <c r="C777" s="0" t="n">
        <v>44.0394726833333</v>
      </c>
      <c r="D777" s="0" t="inlineStr">
        <is>
          <t>query_ms</t>
        </is>
      </c>
      <c r="E777" s="0" t="n">
        <v>10</v>
      </c>
      <c r="F777" s="0" t="n">
        <v>1536</v>
      </c>
      <c r="G777" s="0" t="n">
        <v>1</v>
      </c>
      <c r="H777" s="0" t="inlineStr">
        <is>
          <t>/mnt/d/paper_source/work_9/VeriANN_repro_2026-09-30/VeriANN_repro_2026-09-30/results/work9-multidata-20261015/glove100/Ours-size-500000/per_query.csv</t>
        </is>
      </c>
    </row>
    <row r="778">
      <c r="A778" s="0" t="inlineStr">
        <is>
          <t>GloVe-100</t>
        </is>
      </c>
      <c r="B778" s="0" t="inlineStr">
        <is>
          <t>F19</t>
        </is>
      </c>
      <c r="C778" s="0" t="n">
        <v>60</v>
      </c>
      <c r="D778" s="0" t="inlineStr">
        <is>
          <t>recall_percent</t>
        </is>
      </c>
      <c r="E778" s="0" t="n">
        <v>10</v>
      </c>
      <c r="F778" s="0" t="n">
        <v>200</v>
      </c>
      <c r="G778" s="0" t="n">
        <v>26</v>
      </c>
      <c r="H778" s="0" t="inlineStr">
        <is>
          <t>/mnt/d/paper_source/work_9/VeriANN_repro_2026-09-30/VeriANN_repro_2026-09-30/results/work9-multidata-20261015/glove100/VLAH-curve-1183514/per_query.csv</t>
        </is>
      </c>
    </row>
    <row r="779">
      <c r="A779" s="0" t="inlineStr">
        <is>
          <t>GloVe-100</t>
        </is>
      </c>
      <c r="B779" s="0" t="inlineStr">
        <is>
          <t>F20</t>
        </is>
      </c>
      <c r="C779" s="0" t="n">
        <v>71940.71705000001</v>
      </c>
      <c r="D779" s="0" t="inlineStr">
        <is>
          <t>vo_kb</t>
        </is>
      </c>
      <c r="E779" s="0" t="n">
        <v>10</v>
      </c>
      <c r="F779" s="0" t="n">
        <v>200</v>
      </c>
      <c r="G779" s="0" t="n">
        <v>26</v>
      </c>
      <c r="H779" s="0" t="inlineStr">
        <is>
          <t>/mnt/d/paper_source/work_9/VeriANN_repro_2026-09-30/VeriANN_repro_2026-09-30/results/work9-multidata-20261015/glove100/VLAH-curve-1183514/per_query.csv</t>
        </is>
      </c>
    </row>
    <row r="780">
      <c r="A780" s="0" t="inlineStr">
        <is>
          <t>GloVe-100</t>
        </is>
      </c>
      <c r="B780" s="0" t="inlineStr">
        <is>
          <t>F29</t>
        </is>
      </c>
      <c r="C780" s="0" t="n">
        <v>60</v>
      </c>
      <c r="D780" s="0" t="inlineStr">
        <is>
          <t>recall_percent</t>
        </is>
      </c>
      <c r="E780" s="0" t="n">
        <v>10</v>
      </c>
      <c r="F780" s="0" t="n">
        <v>200</v>
      </c>
      <c r="G780" s="0" t="n">
        <v>26</v>
      </c>
      <c r="H780" s="0" t="inlineStr">
        <is>
          <t>/mnt/d/paper_source/work_9/VeriANN_repro_2026-09-30/VeriANN_repro_2026-09-30/results/work9-multidata-20261015/glove100/VLAH-curve-1183514/per_query.csv</t>
        </is>
      </c>
    </row>
    <row r="781">
      <c r="A781" s="0" t="inlineStr">
        <is>
          <t>GloVe-100</t>
        </is>
      </c>
      <c r="B781" s="0" t="inlineStr">
        <is>
          <t>F30</t>
        </is>
      </c>
      <c r="C781" s="0" t="n">
        <v>469.069549433333</v>
      </c>
      <c r="D781" s="0" t="inlineStr">
        <is>
          <t>verify_ms</t>
        </is>
      </c>
      <c r="E781" s="0" t="n">
        <v>10</v>
      </c>
      <c r="F781" s="0" t="n">
        <v>200</v>
      </c>
      <c r="G781" s="0" t="n">
        <v>26</v>
      </c>
      <c r="H781" s="0" t="inlineStr">
        <is>
          <t>/mnt/d/paper_source/work_9/VeriANN_repro_2026-09-30/VeriANN_repro_2026-09-30/results/work9-multidata-20261015/glove100/VLAH-curve-1183514/per_query.csv</t>
        </is>
      </c>
    </row>
    <row r="782">
      <c r="A782" s="0" t="inlineStr">
        <is>
          <t>GloVe-100</t>
        </is>
      </c>
      <c r="B782" s="0" t="inlineStr">
        <is>
          <t>F39</t>
        </is>
      </c>
      <c r="C782" s="0" t="n">
        <v>60</v>
      </c>
      <c r="D782" s="0" t="inlineStr">
        <is>
          <t>recall_percent</t>
        </is>
      </c>
      <c r="E782" s="0" t="n">
        <v>10</v>
      </c>
      <c r="F782" s="0" t="n">
        <v>200</v>
      </c>
      <c r="G782" s="0" t="n">
        <v>26</v>
      </c>
      <c r="H782" s="0" t="inlineStr">
        <is>
          <t>/mnt/d/paper_source/work_9/VeriANN_repro_2026-09-30/VeriANN_repro_2026-09-30/results/work9-multidata-20261015/glove100/VLAH-curve-1183514/per_query.csv</t>
        </is>
      </c>
    </row>
    <row r="783">
      <c r="A783" s="0" t="inlineStr">
        <is>
          <t>GloVe-100</t>
        </is>
      </c>
      <c r="B783" s="0" t="inlineStr">
        <is>
          <t>F40</t>
        </is>
      </c>
      <c r="C783" s="0" t="n">
        <v>191.6756877</v>
      </c>
      <c r="D783" s="0" t="inlineStr">
        <is>
          <t>query_ms</t>
        </is>
      </c>
      <c r="E783" s="0" t="n">
        <v>10</v>
      </c>
      <c r="F783" s="0" t="n">
        <v>200</v>
      </c>
      <c r="G783" s="0" t="n">
        <v>26</v>
      </c>
      <c r="H783" s="0" t="inlineStr">
        <is>
          <t>/mnt/d/paper_source/work_9/VeriANN_repro_2026-09-30/VeriANN_repro_2026-09-30/results/work9-multidata-20261015/glove100/VLAH-curve-1183514/per_query.csv</t>
        </is>
      </c>
    </row>
    <row r="784">
      <c r="A784" s="0" t="inlineStr">
        <is>
          <t>GloVe-100</t>
        </is>
      </c>
      <c r="B784" s="0" t="inlineStr">
        <is>
          <t>G19</t>
        </is>
      </c>
      <c r="C784" s="0" t="n">
        <v>66</v>
      </c>
      <c r="D784" s="0" t="inlineStr">
        <is>
          <t>recall_percent</t>
        </is>
      </c>
      <c r="E784" s="0" t="n">
        <v>10</v>
      </c>
      <c r="F784" s="0" t="n">
        <v>200</v>
      </c>
      <c r="G784" s="0" t="n">
        <v>29</v>
      </c>
      <c r="H784" s="0" t="inlineStr">
        <is>
          <t>/mnt/d/paper_source/work_9/VeriANN_repro_2026-09-30/VeriANN_repro_2026-09-30/results/work9-multidata-20261015/glove100/VLAH-curve-1183514/per_query.csv</t>
        </is>
      </c>
    </row>
    <row r="785">
      <c r="A785" s="0" t="inlineStr">
        <is>
          <t>GloVe-100</t>
        </is>
      </c>
      <c r="B785" s="0" t="inlineStr">
        <is>
          <t>G20</t>
        </is>
      </c>
      <c r="C785" s="0" t="n">
        <v>80033.77295</v>
      </c>
      <c r="D785" s="0" t="inlineStr">
        <is>
          <t>vo_kb</t>
        </is>
      </c>
      <c r="E785" s="0" t="n">
        <v>10</v>
      </c>
      <c r="F785" s="0" t="n">
        <v>200</v>
      </c>
      <c r="G785" s="0" t="n">
        <v>29</v>
      </c>
      <c r="H785" s="0" t="inlineStr">
        <is>
          <t>/mnt/d/paper_source/work_9/VeriANN_repro_2026-09-30/VeriANN_repro_2026-09-30/results/work9-multidata-20261015/glove100/VLAH-curve-1183514/per_query.csv</t>
        </is>
      </c>
    </row>
    <row r="786">
      <c r="A786" s="0" t="inlineStr">
        <is>
          <t>GloVe-100</t>
        </is>
      </c>
      <c r="B786" s="0" t="inlineStr">
        <is>
          <t>G29</t>
        </is>
      </c>
      <c r="C786" s="0" t="n">
        <v>66</v>
      </c>
      <c r="D786" s="0" t="inlineStr">
        <is>
          <t>recall_percent</t>
        </is>
      </c>
      <c r="E786" s="0" t="n">
        <v>10</v>
      </c>
      <c r="F786" s="0" t="n">
        <v>200</v>
      </c>
      <c r="G786" s="0" t="n">
        <v>29</v>
      </c>
      <c r="H786" s="0" t="inlineStr">
        <is>
          <t>/mnt/d/paper_source/work_9/VeriANN_repro_2026-09-30/VeriANN_repro_2026-09-30/results/work9-multidata-20261015/glove100/VLAH-curve-1183514/per_query.csv</t>
        </is>
      </c>
    </row>
    <row r="787">
      <c r="A787" s="0" t="inlineStr">
        <is>
          <t>GloVe-100</t>
        </is>
      </c>
      <c r="B787" s="0" t="inlineStr">
        <is>
          <t>G30</t>
        </is>
      </c>
      <c r="C787" s="0" t="n">
        <v>523.3854418333329</v>
      </c>
      <c r="D787" s="0" t="inlineStr">
        <is>
          <t>verify_ms</t>
        </is>
      </c>
      <c r="E787" s="0" t="n">
        <v>10</v>
      </c>
      <c r="F787" s="0" t="n">
        <v>200</v>
      </c>
      <c r="G787" s="0" t="n">
        <v>29</v>
      </c>
      <c r="H787" s="0" t="inlineStr">
        <is>
          <t>/mnt/d/paper_source/work_9/VeriANN_repro_2026-09-30/VeriANN_repro_2026-09-30/results/work9-multidata-20261015/glove100/VLAH-curve-1183514/per_query.csv</t>
        </is>
      </c>
    </row>
    <row r="788">
      <c r="A788" s="0" t="inlineStr">
        <is>
          <t>GloVe-100</t>
        </is>
      </c>
      <c r="B788" s="0" t="inlineStr">
        <is>
          <t>G39</t>
        </is>
      </c>
      <c r="C788" s="0" t="n">
        <v>66</v>
      </c>
      <c r="D788" s="0" t="inlineStr">
        <is>
          <t>recall_percent</t>
        </is>
      </c>
      <c r="E788" s="0" t="n">
        <v>10</v>
      </c>
      <c r="F788" s="0" t="n">
        <v>200</v>
      </c>
      <c r="G788" s="0" t="n">
        <v>29</v>
      </c>
      <c r="H788" s="0" t="inlineStr">
        <is>
          <t>/mnt/d/paper_source/work_9/VeriANN_repro_2026-09-30/VeriANN_repro_2026-09-30/results/work9-multidata-20261015/glove100/VLAH-curve-1183514/per_query.csv</t>
        </is>
      </c>
    </row>
    <row r="789">
      <c r="A789" s="0" t="inlineStr">
        <is>
          <t>GloVe-100</t>
        </is>
      </c>
      <c r="B789" s="0" t="inlineStr">
        <is>
          <t>G40</t>
        </is>
      </c>
      <c r="C789" s="0" t="n">
        <v>214.483257416667</v>
      </c>
      <c r="D789" s="0" t="inlineStr">
        <is>
          <t>query_ms</t>
        </is>
      </c>
      <c r="E789" s="0" t="n">
        <v>10</v>
      </c>
      <c r="F789" s="0" t="n">
        <v>200</v>
      </c>
      <c r="G789" s="0" t="n">
        <v>29</v>
      </c>
      <c r="H789" s="0" t="inlineStr">
        <is>
          <t>/mnt/d/paper_source/work_9/VeriANN_repro_2026-09-30/VeriANN_repro_2026-09-30/results/work9-multidata-20261015/glove100/VLAH-curve-1183514/per_query.csv</t>
        </is>
      </c>
    </row>
    <row r="790">
      <c r="A790" s="0" t="inlineStr">
        <is>
          <t>GloVe-100</t>
        </is>
      </c>
      <c r="B790" s="0" t="inlineStr">
        <is>
          <t>H19</t>
        </is>
      </c>
      <c r="C790" s="0" t="n">
        <v>70</v>
      </c>
      <c r="D790" s="0" t="inlineStr">
        <is>
          <t>recall_percent</t>
        </is>
      </c>
      <c r="E790" s="0" t="n">
        <v>10</v>
      </c>
      <c r="F790" s="0" t="n">
        <v>200</v>
      </c>
      <c r="G790" s="0" t="n">
        <v>34</v>
      </c>
      <c r="H790" s="0" t="inlineStr">
        <is>
          <t>/mnt/d/paper_source/work_9/VeriANN_repro_2026-09-30/VeriANN_repro_2026-09-30/results/work9-multidata-20261015/glove100/VLAH-curve-1183514/per_query.csv</t>
        </is>
      </c>
    </row>
    <row r="791">
      <c r="A791" s="0" t="inlineStr">
        <is>
          <t>GloVe-100</t>
        </is>
      </c>
      <c r="B791" s="0" t="inlineStr">
        <is>
          <t>H20</t>
        </is>
      </c>
      <c r="C791" s="0" t="n">
        <v>93865.80645</v>
      </c>
      <c r="D791" s="0" t="inlineStr">
        <is>
          <t>vo_kb</t>
        </is>
      </c>
      <c r="E791" s="0" t="n">
        <v>10</v>
      </c>
      <c r="F791" s="0" t="n">
        <v>200</v>
      </c>
      <c r="G791" s="0" t="n">
        <v>34</v>
      </c>
      <c r="H791" s="0" t="inlineStr">
        <is>
          <t>/mnt/d/paper_source/work_9/VeriANN_repro_2026-09-30/VeriANN_repro_2026-09-30/results/work9-multidata-20261015/glove100/VLAH-curve-1183514/per_query.csv</t>
        </is>
      </c>
    </row>
    <row r="792">
      <c r="A792" s="0" t="inlineStr">
        <is>
          <t>GloVe-100</t>
        </is>
      </c>
      <c r="B792" s="0" t="inlineStr">
        <is>
          <t>H29</t>
        </is>
      </c>
      <c r="C792" s="0" t="n">
        <v>70</v>
      </c>
      <c r="D792" s="0" t="inlineStr">
        <is>
          <t>recall_percent</t>
        </is>
      </c>
      <c r="E792" s="0" t="n">
        <v>10</v>
      </c>
      <c r="F792" s="0" t="n">
        <v>200</v>
      </c>
      <c r="G792" s="0" t="n">
        <v>34</v>
      </c>
      <c r="H792" s="0" t="inlineStr">
        <is>
          <t>/mnt/d/paper_source/work_9/VeriANN_repro_2026-09-30/VeriANN_repro_2026-09-30/results/work9-multidata-20261015/glove100/VLAH-curve-1183514/per_query.csv</t>
        </is>
      </c>
    </row>
    <row r="793">
      <c r="A793" s="0" t="inlineStr">
        <is>
          <t>GloVe-100</t>
        </is>
      </c>
      <c r="B793" s="0" t="inlineStr">
        <is>
          <t>H30</t>
        </is>
      </c>
      <c r="C793" s="0" t="n">
        <v>615.426474783333</v>
      </c>
      <c r="D793" s="0" t="inlineStr">
        <is>
          <t>verify_ms</t>
        </is>
      </c>
      <c r="E793" s="0" t="n">
        <v>10</v>
      </c>
      <c r="F793" s="0" t="n">
        <v>200</v>
      </c>
      <c r="G793" s="0" t="n">
        <v>34</v>
      </c>
      <c r="H793" s="0" t="inlineStr">
        <is>
          <t>/mnt/d/paper_source/work_9/VeriANN_repro_2026-09-30/VeriANN_repro_2026-09-30/results/work9-multidata-20261015/glove100/VLAH-curve-1183514/per_query.csv</t>
        </is>
      </c>
    </row>
    <row r="794">
      <c r="A794" s="0" t="inlineStr">
        <is>
          <t>GloVe-100</t>
        </is>
      </c>
      <c r="B794" s="0" t="inlineStr">
        <is>
          <t>H39</t>
        </is>
      </c>
      <c r="C794" s="0" t="n">
        <v>70</v>
      </c>
      <c r="D794" s="0" t="inlineStr">
        <is>
          <t>recall_percent</t>
        </is>
      </c>
      <c r="E794" s="0" t="n">
        <v>10</v>
      </c>
      <c r="F794" s="0" t="n">
        <v>200</v>
      </c>
      <c r="G794" s="0" t="n">
        <v>34</v>
      </c>
      <c r="H794" s="0" t="inlineStr">
        <is>
          <t>/mnt/d/paper_source/work_9/VeriANN_repro_2026-09-30/VeriANN_repro_2026-09-30/results/work9-multidata-20261015/glove100/VLAH-curve-1183514/per_query.csv</t>
        </is>
      </c>
    </row>
    <row r="795">
      <c r="A795" s="0" t="inlineStr">
        <is>
          <t>GloVe-100</t>
        </is>
      </c>
      <c r="B795" s="0" t="inlineStr">
        <is>
          <t>H40</t>
        </is>
      </c>
      <c r="C795" s="0" t="n">
        <v>255.16067945</v>
      </c>
      <c r="D795" s="0" t="inlineStr">
        <is>
          <t>query_ms</t>
        </is>
      </c>
      <c r="E795" s="0" t="n">
        <v>10</v>
      </c>
      <c r="F795" s="0" t="n">
        <v>200</v>
      </c>
      <c r="G795" s="0" t="n">
        <v>34</v>
      </c>
      <c r="H795" s="0" t="inlineStr">
        <is>
          <t>/mnt/d/paper_source/work_9/VeriANN_repro_2026-09-30/VeriANN_repro_2026-09-30/results/work9-multidata-20261015/glove100/VLAH-curve-1183514/per_query.csv</t>
        </is>
      </c>
    </row>
    <row r="796">
      <c r="A796" s="0" t="inlineStr">
        <is>
          <t>GloVe-100</t>
        </is>
      </c>
      <c r="B796" s="0" t="inlineStr">
        <is>
          <t>I19</t>
        </is>
      </c>
      <c r="C796" s="0" t="n">
        <v>75.5</v>
      </c>
      <c r="D796" s="0" t="inlineStr">
        <is>
          <t>recall_percent</t>
        </is>
      </c>
      <c r="E796" s="0" t="n">
        <v>10</v>
      </c>
      <c r="F796" s="0" t="n">
        <v>200</v>
      </c>
      <c r="G796" s="0" t="n">
        <v>37</v>
      </c>
      <c r="H796" s="0" t="inlineStr">
        <is>
          <t>/mnt/d/paper_source/work_9/VeriANN_repro_2026-09-30/VeriANN_repro_2026-09-30/results/work9-multidata-20261015/glove100/VLAH-curve-1183514/per_query.csv</t>
        </is>
      </c>
    </row>
    <row r="797">
      <c r="A797" s="0" t="inlineStr">
        <is>
          <t>GloVe-100</t>
        </is>
      </c>
      <c r="B797" s="0" t="inlineStr">
        <is>
          <t>I20</t>
        </is>
      </c>
      <c r="C797" s="0" t="n">
        <v>101923.7214</v>
      </c>
      <c r="D797" s="0" t="inlineStr">
        <is>
          <t>vo_kb</t>
        </is>
      </c>
      <c r="E797" s="0" t="n">
        <v>10</v>
      </c>
      <c r="F797" s="0" t="n">
        <v>200</v>
      </c>
      <c r="G797" s="0" t="n">
        <v>37</v>
      </c>
      <c r="H797" s="0" t="inlineStr">
        <is>
          <t>/mnt/d/paper_source/work_9/VeriANN_repro_2026-09-30/VeriANN_repro_2026-09-30/results/work9-multidata-20261015/glove100/VLAH-curve-1183514/per_query.csv</t>
        </is>
      </c>
    </row>
    <row r="798">
      <c r="A798" s="0" t="inlineStr">
        <is>
          <t>GloVe-100</t>
        </is>
      </c>
      <c r="B798" s="0" t="inlineStr">
        <is>
          <t>I29</t>
        </is>
      </c>
      <c r="C798" s="0" t="n">
        <v>75.5</v>
      </c>
      <c r="D798" s="0" t="inlineStr">
        <is>
          <t>recall_percent</t>
        </is>
      </c>
      <c r="E798" s="0" t="n">
        <v>10</v>
      </c>
      <c r="F798" s="0" t="n">
        <v>200</v>
      </c>
      <c r="G798" s="0" t="n">
        <v>37</v>
      </c>
      <c r="H798" s="0" t="inlineStr">
        <is>
          <t>/mnt/d/paper_source/work_9/VeriANN_repro_2026-09-30/VeriANN_repro_2026-09-30/results/work9-multidata-20261015/glove100/VLAH-curve-1183514/per_query.csv</t>
        </is>
      </c>
    </row>
    <row r="799">
      <c r="A799" s="0" t="inlineStr">
        <is>
          <t>GloVe-100</t>
        </is>
      </c>
      <c r="B799" s="0" t="inlineStr">
        <is>
          <t>I30</t>
        </is>
      </c>
      <c r="C799" s="0" t="n">
        <v>668.950644383333</v>
      </c>
      <c r="D799" s="0" t="inlineStr">
        <is>
          <t>verify_ms</t>
        </is>
      </c>
      <c r="E799" s="0" t="n">
        <v>10</v>
      </c>
      <c r="F799" s="0" t="n">
        <v>200</v>
      </c>
      <c r="G799" s="0" t="n">
        <v>37</v>
      </c>
      <c r="H799" s="0" t="inlineStr">
        <is>
          <t>/mnt/d/paper_source/work_9/VeriANN_repro_2026-09-30/VeriANN_repro_2026-09-30/results/work9-multidata-20261015/glove100/VLAH-curve-1183514/per_query.csv</t>
        </is>
      </c>
    </row>
    <row r="800">
      <c r="A800" s="0" t="inlineStr">
        <is>
          <t>GloVe-100</t>
        </is>
      </c>
      <c r="B800" s="0" t="inlineStr">
        <is>
          <t>I39</t>
        </is>
      </c>
      <c r="C800" s="0" t="n">
        <v>75.5</v>
      </c>
      <c r="D800" s="0" t="inlineStr">
        <is>
          <t>recall_percent</t>
        </is>
      </c>
      <c r="E800" s="0" t="n">
        <v>10</v>
      </c>
      <c r="F800" s="0" t="n">
        <v>200</v>
      </c>
      <c r="G800" s="0" t="n">
        <v>37</v>
      </c>
      <c r="H800" s="0" t="inlineStr">
        <is>
          <t>/mnt/d/paper_source/work_9/VeriANN_repro_2026-09-30/VeriANN_repro_2026-09-30/results/work9-multidata-20261015/glove100/VLAH-curve-1183514/per_query.csv</t>
        </is>
      </c>
    </row>
    <row r="801">
      <c r="A801" s="0" t="inlineStr">
        <is>
          <t>GloVe-100</t>
        </is>
      </c>
      <c r="B801" s="0" t="inlineStr">
        <is>
          <t>I40</t>
        </is>
      </c>
      <c r="C801" s="0" t="n">
        <v>272.635821866667</v>
      </c>
      <c r="D801" s="0" t="inlineStr">
        <is>
          <t>query_ms</t>
        </is>
      </c>
      <c r="E801" s="0" t="n">
        <v>10</v>
      </c>
      <c r="F801" s="0" t="n">
        <v>200</v>
      </c>
      <c r="G801" s="0" t="n">
        <v>37</v>
      </c>
      <c r="H801" s="0" t="inlineStr">
        <is>
          <t>/mnt/d/paper_source/work_9/VeriANN_repro_2026-09-30/VeriANN_repro_2026-09-30/results/work9-multidata-20261015/glove100/VLAH-curve-1183514/per_query.csv</t>
        </is>
      </c>
    </row>
    <row r="802">
      <c r="A802" s="0" t="inlineStr">
        <is>
          <t>GloVe-100</t>
        </is>
      </c>
      <c r="B802" s="0" t="inlineStr">
        <is>
          <t>J19</t>
        </is>
      </c>
      <c r="C802" s="0" t="n">
        <v>80</v>
      </c>
      <c r="D802" s="0" t="inlineStr">
        <is>
          <t>recall_percent</t>
        </is>
      </c>
      <c r="E802" s="0" t="n">
        <v>10</v>
      </c>
      <c r="F802" s="0" t="n">
        <v>200</v>
      </c>
      <c r="G802" s="0" t="n">
        <v>40</v>
      </c>
      <c r="H802" s="0" t="inlineStr">
        <is>
          <t>/mnt/d/paper_source/work_9/VeriANN_repro_2026-09-30/VeriANN_repro_2026-09-30/results/work9-multidata-20261015/glove100/VLAH-curve-1183514/per_query.csv</t>
        </is>
      </c>
    </row>
    <row r="803">
      <c r="A803" s="0" t="inlineStr">
        <is>
          <t>GloVe-100</t>
        </is>
      </c>
      <c r="B803" s="0" t="inlineStr">
        <is>
          <t>J20</t>
        </is>
      </c>
      <c r="C803" s="0" t="n">
        <v>110226.50895</v>
      </c>
      <c r="D803" s="0" t="inlineStr">
        <is>
          <t>vo_kb</t>
        </is>
      </c>
      <c r="E803" s="0" t="n">
        <v>10</v>
      </c>
      <c r="F803" s="0" t="n">
        <v>200</v>
      </c>
      <c r="G803" s="0" t="n">
        <v>40</v>
      </c>
      <c r="H803" s="0" t="inlineStr">
        <is>
          <t>/mnt/d/paper_source/work_9/VeriANN_repro_2026-09-30/VeriANN_repro_2026-09-30/results/work9-multidata-20261015/glove100/VLAH-curve-1183514/per_query.csv</t>
        </is>
      </c>
    </row>
    <row r="804">
      <c r="A804" s="0" t="inlineStr">
        <is>
          <t>GloVe-100</t>
        </is>
      </c>
      <c r="B804" s="0" t="inlineStr">
        <is>
          <t>J29</t>
        </is>
      </c>
      <c r="C804" s="0" t="n">
        <v>80</v>
      </c>
      <c r="D804" s="0" t="inlineStr">
        <is>
          <t>recall_percent</t>
        </is>
      </c>
      <c r="E804" s="0" t="n">
        <v>10</v>
      </c>
      <c r="F804" s="0" t="n">
        <v>200</v>
      </c>
      <c r="G804" s="0" t="n">
        <v>40</v>
      </c>
      <c r="H804" s="0" t="inlineStr">
        <is>
          <t>/mnt/d/paper_source/work_9/VeriANN_repro_2026-09-30/VeriANN_repro_2026-09-30/results/work9-multidata-20261015/glove100/VLAH-curve-1183514/per_query.csv</t>
        </is>
      </c>
    </row>
    <row r="805">
      <c r="A805" s="0" t="inlineStr">
        <is>
          <t>GloVe-100</t>
        </is>
      </c>
      <c r="B805" s="0" t="inlineStr">
        <is>
          <t>J30</t>
        </is>
      </c>
      <c r="C805" s="0" t="n">
        <v>726.525109466667</v>
      </c>
      <c r="D805" s="0" t="inlineStr">
        <is>
          <t>verify_ms</t>
        </is>
      </c>
      <c r="E805" s="0" t="n">
        <v>10</v>
      </c>
      <c r="F805" s="0" t="n">
        <v>200</v>
      </c>
      <c r="G805" s="0" t="n">
        <v>40</v>
      </c>
      <c r="H805" s="0" t="inlineStr">
        <is>
          <t>/mnt/d/paper_source/work_9/VeriANN_repro_2026-09-30/VeriANN_repro_2026-09-30/results/work9-multidata-20261015/glove100/VLAH-curve-1183514/per_query.csv</t>
        </is>
      </c>
    </row>
    <row r="806">
      <c r="A806" s="0" t="inlineStr">
        <is>
          <t>GloVe-100</t>
        </is>
      </c>
      <c r="B806" s="0" t="inlineStr">
        <is>
          <t>J39</t>
        </is>
      </c>
      <c r="C806" s="0" t="n">
        <v>80</v>
      </c>
      <c r="D806" s="0" t="inlineStr">
        <is>
          <t>recall_percent</t>
        </is>
      </c>
      <c r="E806" s="0" t="n">
        <v>10</v>
      </c>
      <c r="F806" s="0" t="n">
        <v>200</v>
      </c>
      <c r="G806" s="0" t="n">
        <v>40</v>
      </c>
      <c r="H806" s="0" t="inlineStr">
        <is>
          <t>/mnt/d/paper_source/work_9/VeriANN_repro_2026-09-30/VeriANN_repro_2026-09-30/results/work9-multidata-20261015/glove100/VLAH-curve-1183514/per_query.csv</t>
        </is>
      </c>
    </row>
    <row r="807">
      <c r="A807" s="0" t="inlineStr">
        <is>
          <t>GloVe-100</t>
        </is>
      </c>
      <c r="B807" s="0" t="inlineStr">
        <is>
          <t>J40</t>
        </is>
      </c>
      <c r="C807" s="0" t="n">
        <v>297.966906316667</v>
      </c>
      <c r="D807" s="0" t="inlineStr">
        <is>
          <t>query_ms</t>
        </is>
      </c>
      <c r="E807" s="0" t="n">
        <v>10</v>
      </c>
      <c r="F807" s="0" t="n">
        <v>200</v>
      </c>
      <c r="G807" s="0" t="n">
        <v>40</v>
      </c>
      <c r="H807" s="0" t="inlineStr">
        <is>
          <t>/mnt/d/paper_source/work_9/VeriANN_repro_2026-09-30/VeriANN_repro_2026-09-30/results/work9-multidata-20261015/glove100/VLAH-curve-1183514/per_query.csv</t>
        </is>
      </c>
    </row>
    <row r="808">
      <c r="A808" s="0" t="inlineStr">
        <is>
          <t>GloVe-100</t>
        </is>
      </c>
      <c r="B808" s="0" t="inlineStr">
        <is>
          <t>K19</t>
        </is>
      </c>
      <c r="C808" s="0" t="n">
        <v>85</v>
      </c>
      <c r="D808" s="0" t="inlineStr">
        <is>
          <t>recall_percent</t>
        </is>
      </c>
      <c r="E808" s="0" t="n">
        <v>10</v>
      </c>
      <c r="F808" s="0" t="n">
        <v>200</v>
      </c>
      <c r="G808" s="0" t="n">
        <v>48</v>
      </c>
      <c r="H808" s="0" t="inlineStr">
        <is>
          <t>/mnt/d/paper_source/work_9/VeriANN_repro_2026-09-30/VeriANN_repro_2026-09-30/results/work9-multidata-20261015/glove100/VLAH-curve-1183514/per_query.csv</t>
        </is>
      </c>
    </row>
    <row r="809">
      <c r="A809" s="0" t="inlineStr">
        <is>
          <t>GloVe-100</t>
        </is>
      </c>
      <c r="B809" s="0" t="inlineStr">
        <is>
          <t>K20</t>
        </is>
      </c>
      <c r="C809" s="0" t="n">
        <v>133079.4778</v>
      </c>
      <c r="D809" s="0" t="inlineStr">
        <is>
          <t>vo_kb</t>
        </is>
      </c>
      <c r="E809" s="0" t="n">
        <v>10</v>
      </c>
      <c r="F809" s="0" t="n">
        <v>200</v>
      </c>
      <c r="G809" s="0" t="n">
        <v>48</v>
      </c>
      <c r="H809" s="0" t="inlineStr">
        <is>
          <t>/mnt/d/paper_source/work_9/VeriANN_repro_2026-09-30/VeriANN_repro_2026-09-30/results/work9-multidata-20261015/glove100/VLAH-curve-1183514/per_query.csv</t>
        </is>
      </c>
    </row>
    <row r="810">
      <c r="A810" s="0" t="inlineStr">
        <is>
          <t>GloVe-100</t>
        </is>
      </c>
      <c r="B810" s="0" t="inlineStr">
        <is>
          <t>K29</t>
        </is>
      </c>
      <c r="C810" s="0" t="n">
        <v>85</v>
      </c>
      <c r="D810" s="0" t="inlineStr">
        <is>
          <t>recall_percent</t>
        </is>
      </c>
      <c r="E810" s="0" t="n">
        <v>10</v>
      </c>
      <c r="F810" s="0" t="n">
        <v>200</v>
      </c>
      <c r="G810" s="0" t="n">
        <v>48</v>
      </c>
      <c r="H810" s="0" t="inlineStr">
        <is>
          <t>/mnt/d/paper_source/work_9/VeriANN_repro_2026-09-30/VeriANN_repro_2026-09-30/results/work9-multidata-20261015/glove100/VLAH-curve-1183514/per_query.csv</t>
        </is>
      </c>
    </row>
    <row r="811">
      <c r="A811" s="0" t="inlineStr">
        <is>
          <t>GloVe-100</t>
        </is>
      </c>
      <c r="B811" s="0" t="inlineStr">
        <is>
          <t>K30</t>
        </is>
      </c>
      <c r="C811" s="0" t="n">
        <v>872.817767766667</v>
      </c>
      <c r="D811" s="0" t="inlineStr">
        <is>
          <t>verify_ms</t>
        </is>
      </c>
      <c r="E811" s="0" t="n">
        <v>10</v>
      </c>
      <c r="F811" s="0" t="n">
        <v>200</v>
      </c>
      <c r="G811" s="0" t="n">
        <v>48</v>
      </c>
      <c r="H811" s="0" t="inlineStr">
        <is>
          <t>/mnt/d/paper_source/work_9/VeriANN_repro_2026-09-30/VeriANN_repro_2026-09-30/results/work9-multidata-20261015/glove100/VLAH-curve-1183514/per_query.csv</t>
        </is>
      </c>
    </row>
    <row r="812">
      <c r="A812" s="0" t="inlineStr">
        <is>
          <t>GloVe-100</t>
        </is>
      </c>
      <c r="B812" s="0" t="inlineStr">
        <is>
          <t>K39</t>
        </is>
      </c>
      <c r="C812" s="0" t="n">
        <v>85</v>
      </c>
      <c r="D812" s="0" t="inlineStr">
        <is>
          <t>recall_percent</t>
        </is>
      </c>
      <c r="E812" s="0" t="n">
        <v>10</v>
      </c>
      <c r="F812" s="0" t="n">
        <v>200</v>
      </c>
      <c r="G812" s="0" t="n">
        <v>48</v>
      </c>
      <c r="H812" s="0" t="inlineStr">
        <is>
          <t>/mnt/d/paper_source/work_9/VeriANN_repro_2026-09-30/VeriANN_repro_2026-09-30/results/work9-multidata-20261015/glove100/VLAH-curve-1183514/per_query.csv</t>
        </is>
      </c>
    </row>
    <row r="813">
      <c r="A813" s="0" t="inlineStr">
        <is>
          <t>GloVe-100</t>
        </is>
      </c>
      <c r="B813" s="0" t="inlineStr">
        <is>
          <t>K40</t>
        </is>
      </c>
      <c r="C813" s="0" t="n">
        <v>362.26386005</v>
      </c>
      <c r="D813" s="0" t="inlineStr">
        <is>
          <t>query_ms</t>
        </is>
      </c>
      <c r="E813" s="0" t="n">
        <v>10</v>
      </c>
      <c r="F813" s="0" t="n">
        <v>200</v>
      </c>
      <c r="G813" s="0" t="n">
        <v>48</v>
      </c>
      <c r="H813" s="0" t="inlineStr">
        <is>
          <t>/mnt/d/paper_source/work_9/VeriANN_repro_2026-09-30/VeriANN_repro_2026-09-30/results/work9-multidata-20261015/glove100/VLAH-curve-1183514/per_query.csv</t>
        </is>
      </c>
    </row>
    <row r="814">
      <c r="A814" s="0" t="inlineStr">
        <is>
          <t>GloVe-100</t>
        </is>
      </c>
      <c r="B814" s="0" t="inlineStr">
        <is>
          <t>L19</t>
        </is>
      </c>
      <c r="C814" s="0" t="n">
        <v>90</v>
      </c>
      <c r="D814" s="0" t="inlineStr">
        <is>
          <t>recall_percent</t>
        </is>
      </c>
      <c r="E814" s="0" t="n">
        <v>10</v>
      </c>
      <c r="F814" s="0" t="n">
        <v>200</v>
      </c>
      <c r="G814" s="0" t="n">
        <v>52</v>
      </c>
      <c r="H814" s="0" t="inlineStr">
        <is>
          <t>/mnt/d/paper_source/work_9/VeriANN_repro_2026-09-30/VeriANN_repro_2026-09-30/results/work9-multidata-20261015/glove100/VLAH-curve-1183514/per_query.csv</t>
        </is>
      </c>
    </row>
    <row r="815">
      <c r="A815" s="0" t="inlineStr">
        <is>
          <t>GloVe-100</t>
        </is>
      </c>
      <c r="B815" s="0" t="inlineStr">
        <is>
          <t>L20</t>
        </is>
      </c>
      <c r="C815" s="0" t="n">
        <v>144688.8688</v>
      </c>
      <c r="D815" s="0" t="inlineStr">
        <is>
          <t>vo_kb</t>
        </is>
      </c>
      <c r="E815" s="0" t="n">
        <v>10</v>
      </c>
      <c r="F815" s="0" t="n">
        <v>200</v>
      </c>
      <c r="G815" s="0" t="n">
        <v>52</v>
      </c>
      <c r="H815" s="0" t="inlineStr">
        <is>
          <t>/mnt/d/paper_source/work_9/VeriANN_repro_2026-09-30/VeriANN_repro_2026-09-30/results/work9-multidata-20261015/glove100/VLAH-curve-1183514/per_query.csv</t>
        </is>
      </c>
    </row>
    <row r="816">
      <c r="A816" s="0" t="inlineStr">
        <is>
          <t>GloVe-100</t>
        </is>
      </c>
      <c r="B816" s="0" t="inlineStr">
        <is>
          <t>L29</t>
        </is>
      </c>
      <c r="C816" s="0" t="n">
        <v>90</v>
      </c>
      <c r="D816" s="0" t="inlineStr">
        <is>
          <t>recall_percent</t>
        </is>
      </c>
      <c r="E816" s="0" t="n">
        <v>10</v>
      </c>
      <c r="F816" s="0" t="n">
        <v>200</v>
      </c>
      <c r="G816" s="0" t="n">
        <v>52</v>
      </c>
      <c r="H816" s="0" t="inlineStr">
        <is>
          <t>/mnt/d/paper_source/work_9/VeriANN_repro_2026-09-30/VeriANN_repro_2026-09-30/results/work9-multidata-20261015/glove100/VLAH-curve-1183514/per_query.csv</t>
        </is>
      </c>
    </row>
    <row r="817">
      <c r="A817" s="0" t="inlineStr">
        <is>
          <t>GloVe-100</t>
        </is>
      </c>
      <c r="B817" s="0" t="inlineStr">
        <is>
          <t>L30</t>
        </is>
      </c>
      <c r="C817" s="0" t="n">
        <v>950.4888157833331</v>
      </c>
      <c r="D817" s="0" t="inlineStr">
        <is>
          <t>verify_ms</t>
        </is>
      </c>
      <c r="E817" s="0" t="n">
        <v>10</v>
      </c>
      <c r="F817" s="0" t="n">
        <v>200</v>
      </c>
      <c r="G817" s="0" t="n">
        <v>52</v>
      </c>
      <c r="H817" s="0" t="inlineStr">
        <is>
          <t>/mnt/d/paper_source/work_9/VeriANN_repro_2026-09-30/VeriANN_repro_2026-09-30/results/work9-multidata-20261015/glove100/VLAH-curve-1183514/per_query.csv</t>
        </is>
      </c>
    </row>
    <row r="818">
      <c r="A818" s="0" t="inlineStr">
        <is>
          <t>GloVe-100</t>
        </is>
      </c>
      <c r="B818" s="0" t="inlineStr">
        <is>
          <t>L39</t>
        </is>
      </c>
      <c r="C818" s="0" t="n">
        <v>90</v>
      </c>
      <c r="D818" s="0" t="inlineStr">
        <is>
          <t>recall_percent</t>
        </is>
      </c>
      <c r="E818" s="0" t="n">
        <v>10</v>
      </c>
      <c r="F818" s="0" t="n">
        <v>200</v>
      </c>
      <c r="G818" s="0" t="n">
        <v>52</v>
      </c>
      <c r="H818" s="0" t="inlineStr">
        <is>
          <t>/mnt/d/paper_source/work_9/VeriANN_repro_2026-09-30/VeriANN_repro_2026-09-30/results/work9-multidata-20261015/glove100/VLAH-curve-1183514/per_query.csv</t>
        </is>
      </c>
    </row>
    <row r="819">
      <c r="A819" s="0" t="inlineStr">
        <is>
          <t>GloVe-100</t>
        </is>
      </c>
      <c r="B819" s="0" t="inlineStr">
        <is>
          <t>L40</t>
        </is>
      </c>
      <c r="C819" s="0" t="n">
        <v>391.939616166667</v>
      </c>
      <c r="D819" s="0" t="inlineStr">
        <is>
          <t>query_ms</t>
        </is>
      </c>
      <c r="E819" s="0" t="n">
        <v>10</v>
      </c>
      <c r="F819" s="0" t="n">
        <v>200</v>
      </c>
      <c r="G819" s="0" t="n">
        <v>52</v>
      </c>
      <c r="H819" s="0" t="inlineStr">
        <is>
          <t>/mnt/d/paper_source/work_9/VeriANN_repro_2026-09-30/VeriANN_repro_2026-09-30/results/work9-multidata-20261015/glove100/VLAH-curve-1183514/per_query.csv</t>
        </is>
      </c>
    </row>
    <row r="820">
      <c r="A820" s="0" t="inlineStr">
        <is>
          <t>GloVe-100</t>
        </is>
      </c>
      <c r="B820" s="0" t="inlineStr">
        <is>
          <t>M19</t>
        </is>
      </c>
      <c r="C820" s="0" t="n">
        <v>95</v>
      </c>
      <c r="D820" s="0" t="inlineStr">
        <is>
          <t>recall_percent</t>
        </is>
      </c>
      <c r="E820" s="0" t="n">
        <v>10</v>
      </c>
      <c r="F820" s="0" t="n">
        <v>200</v>
      </c>
      <c r="G820" s="0" t="n">
        <v>56</v>
      </c>
      <c r="H820" s="0" t="inlineStr">
        <is>
          <t>/mnt/d/paper_source/work_9/VeriANN_repro_2026-09-30/VeriANN_repro_2026-09-30/results/work9-multidata-20261015/glove100/VLAH-curve-1183514/per_query.csv</t>
        </is>
      </c>
    </row>
    <row r="821">
      <c r="A821" s="0" t="inlineStr">
        <is>
          <t>GloVe-100</t>
        </is>
      </c>
      <c r="B821" s="0" t="inlineStr">
        <is>
          <t>M20</t>
        </is>
      </c>
      <c r="C821" s="0" t="n">
        <v>156085.1456</v>
      </c>
      <c r="D821" s="0" t="inlineStr">
        <is>
          <t>vo_kb</t>
        </is>
      </c>
      <c r="E821" s="0" t="n">
        <v>10</v>
      </c>
      <c r="F821" s="0" t="n">
        <v>200</v>
      </c>
      <c r="G821" s="0" t="n">
        <v>56</v>
      </c>
      <c r="H821" s="0" t="inlineStr">
        <is>
          <t>/mnt/d/paper_source/work_9/VeriANN_repro_2026-09-30/VeriANN_repro_2026-09-30/results/work9-multidata-20261015/glove100/VLAH-curve-1183514/per_query.csv</t>
        </is>
      </c>
    </row>
    <row r="822">
      <c r="A822" s="0" t="inlineStr">
        <is>
          <t>GloVe-100</t>
        </is>
      </c>
      <c r="B822" s="0" t="inlineStr">
        <is>
          <t>M29</t>
        </is>
      </c>
      <c r="C822" s="0" t="n">
        <v>95</v>
      </c>
      <c r="D822" s="0" t="inlineStr">
        <is>
          <t>recall_percent</t>
        </is>
      </c>
      <c r="E822" s="0" t="n">
        <v>10</v>
      </c>
      <c r="F822" s="0" t="n">
        <v>200</v>
      </c>
      <c r="G822" s="0" t="n">
        <v>56</v>
      </c>
      <c r="H822" s="0" t="inlineStr">
        <is>
          <t>/mnt/d/paper_source/work_9/VeriANN_repro_2026-09-30/VeriANN_repro_2026-09-30/results/work9-multidata-20261015/glove100/VLAH-curve-1183514/per_query.csv</t>
        </is>
      </c>
    </row>
    <row r="823">
      <c r="A823" s="0" t="inlineStr">
        <is>
          <t>GloVe-100</t>
        </is>
      </c>
      <c r="B823" s="0" t="inlineStr">
        <is>
          <t>M30</t>
        </is>
      </c>
      <c r="C823" s="0" t="n">
        <v>1028.47328478333</v>
      </c>
      <c r="D823" s="0" t="inlineStr">
        <is>
          <t>verify_ms</t>
        </is>
      </c>
      <c r="E823" s="0" t="n">
        <v>10</v>
      </c>
      <c r="F823" s="0" t="n">
        <v>200</v>
      </c>
      <c r="G823" s="0" t="n">
        <v>56</v>
      </c>
      <c r="H823" s="0" t="inlineStr">
        <is>
          <t>/mnt/d/paper_source/work_9/VeriANN_repro_2026-09-30/VeriANN_repro_2026-09-30/results/work9-multidata-20261015/glove100/VLAH-curve-1183514/per_query.csv</t>
        </is>
      </c>
    </row>
    <row r="824">
      <c r="A824" s="0" t="inlineStr">
        <is>
          <t>GloVe-100</t>
        </is>
      </c>
      <c r="B824" s="0" t="inlineStr">
        <is>
          <t>M39</t>
        </is>
      </c>
      <c r="C824" s="0" t="n">
        <v>95</v>
      </c>
      <c r="D824" s="0" t="inlineStr">
        <is>
          <t>recall_percent</t>
        </is>
      </c>
      <c r="E824" s="0" t="n">
        <v>10</v>
      </c>
      <c r="F824" s="0" t="n">
        <v>200</v>
      </c>
      <c r="G824" s="0" t="n">
        <v>56</v>
      </c>
      <c r="H824" s="0" t="inlineStr">
        <is>
          <t>/mnt/d/paper_source/work_9/VeriANN_repro_2026-09-30/VeriANN_repro_2026-09-30/results/work9-multidata-20261015/glove100/VLAH-curve-1183514/per_query.csv</t>
        </is>
      </c>
    </row>
    <row r="825">
      <c r="A825" s="0" t="inlineStr">
        <is>
          <t>GloVe-100</t>
        </is>
      </c>
      <c r="B825" s="0" t="inlineStr">
        <is>
          <t>M40</t>
        </is>
      </c>
      <c r="C825" s="0" t="n">
        <v>420.781040966667</v>
      </c>
      <c r="D825" s="0" t="inlineStr">
        <is>
          <t>query_ms</t>
        </is>
      </c>
      <c r="E825" s="0" t="n">
        <v>10</v>
      </c>
      <c r="F825" s="0" t="n">
        <v>200</v>
      </c>
      <c r="G825" s="0" t="n">
        <v>56</v>
      </c>
      <c r="H825" s="0" t="inlineStr">
        <is>
          <t>/mnt/d/paper_source/work_9/VeriANN_repro_2026-09-30/VeriANN_repro_2026-09-30/results/work9-multidata-20261015/glove100/VLAH-curve-1183514/per_query.csv</t>
        </is>
      </c>
    </row>
    <row r="826">
      <c r="A826" s="0" t="inlineStr">
        <is>
          <t>GloVe-100</t>
        </is>
      </c>
      <c r="B826" s="0" t="inlineStr">
        <is>
          <t>N19</t>
        </is>
      </c>
      <c r="C826" s="0" t="n">
        <v>97.5</v>
      </c>
      <c r="D826" s="0" t="inlineStr">
        <is>
          <t>recall_percent</t>
        </is>
      </c>
      <c r="E826" s="0" t="n">
        <v>10</v>
      </c>
      <c r="F826" s="0" t="n">
        <v>200</v>
      </c>
      <c r="G826" s="0" t="n">
        <v>58</v>
      </c>
      <c r="H826" s="0" t="inlineStr">
        <is>
          <t>/mnt/d/paper_source/work_9/VeriANN_repro_2026-09-30/VeriANN_repro_2026-09-30/results/work9-multidata-20261015/glove100/VLAH-curve-1183514/per_query.csv</t>
        </is>
      </c>
    </row>
    <row r="827">
      <c r="A827" s="0" t="inlineStr">
        <is>
          <t>GloVe-100</t>
        </is>
      </c>
      <c r="B827" s="0" t="inlineStr">
        <is>
          <t>N20</t>
        </is>
      </c>
      <c r="C827" s="0" t="n">
        <v>161728.77015</v>
      </c>
      <c r="D827" s="0" t="inlineStr">
        <is>
          <t>vo_kb</t>
        </is>
      </c>
      <c r="E827" s="0" t="n">
        <v>10</v>
      </c>
      <c r="F827" s="0" t="n">
        <v>200</v>
      </c>
      <c r="G827" s="0" t="n">
        <v>58</v>
      </c>
      <c r="H827" s="0" t="inlineStr">
        <is>
          <t>/mnt/d/paper_source/work_9/VeriANN_repro_2026-09-30/VeriANN_repro_2026-09-30/results/work9-multidata-20261015/glove100/VLAH-curve-1183514/per_query.csv</t>
        </is>
      </c>
    </row>
    <row r="828">
      <c r="A828" s="0" t="inlineStr">
        <is>
          <t>GloVe-100</t>
        </is>
      </c>
      <c r="B828" s="0" t="inlineStr">
        <is>
          <t>N29</t>
        </is>
      </c>
      <c r="C828" s="0" t="n">
        <v>97.5</v>
      </c>
      <c r="D828" s="0" t="inlineStr">
        <is>
          <t>recall_percent</t>
        </is>
      </c>
      <c r="E828" s="0" t="n">
        <v>10</v>
      </c>
      <c r="F828" s="0" t="n">
        <v>200</v>
      </c>
      <c r="G828" s="0" t="n">
        <v>58</v>
      </c>
      <c r="H828" s="0" t="inlineStr">
        <is>
          <t>/mnt/d/paper_source/work_9/VeriANN_repro_2026-09-30/VeriANN_repro_2026-09-30/results/work9-multidata-20261015/glove100/VLAH-curve-1183514/per_query.csv</t>
        </is>
      </c>
    </row>
    <row r="829">
      <c r="A829" s="0" t="inlineStr">
        <is>
          <t>GloVe-100</t>
        </is>
      </c>
      <c r="B829" s="0" t="inlineStr">
        <is>
          <t>N30</t>
        </is>
      </c>
      <c r="C829" s="0" t="n">
        <v>1065.72324375</v>
      </c>
      <c r="D829" s="0" t="inlineStr">
        <is>
          <t>verify_ms</t>
        </is>
      </c>
      <c r="E829" s="0" t="n">
        <v>10</v>
      </c>
      <c r="F829" s="0" t="n">
        <v>200</v>
      </c>
      <c r="G829" s="0" t="n">
        <v>58</v>
      </c>
      <c r="H829" s="0" t="inlineStr">
        <is>
          <t>/mnt/d/paper_source/work_9/VeriANN_repro_2026-09-30/VeriANN_repro_2026-09-30/results/work9-multidata-20261015/glove100/VLAH-curve-1183514/per_query.csv</t>
        </is>
      </c>
    </row>
    <row r="830">
      <c r="A830" s="0" t="inlineStr">
        <is>
          <t>GloVe-100</t>
        </is>
      </c>
      <c r="B830" s="0" t="inlineStr">
        <is>
          <t>N39</t>
        </is>
      </c>
      <c r="C830" s="0" t="n">
        <v>97.5</v>
      </c>
      <c r="D830" s="0" t="inlineStr">
        <is>
          <t>recall_percent</t>
        </is>
      </c>
      <c r="E830" s="0" t="n">
        <v>10</v>
      </c>
      <c r="F830" s="0" t="n">
        <v>200</v>
      </c>
      <c r="G830" s="0" t="n">
        <v>58</v>
      </c>
      <c r="H830" s="0" t="inlineStr">
        <is>
          <t>/mnt/d/paper_source/work_9/VeriANN_repro_2026-09-30/VeriANN_repro_2026-09-30/results/work9-multidata-20261015/glove100/VLAH-curve-1183514/per_query.csv</t>
        </is>
      </c>
    </row>
    <row r="831">
      <c r="A831" s="0" t="inlineStr">
        <is>
          <t>GloVe-100</t>
        </is>
      </c>
      <c r="B831" s="0" t="inlineStr">
        <is>
          <t>N40</t>
        </is>
      </c>
      <c r="C831" s="0" t="n">
        <v>443.8091156</v>
      </c>
      <c r="D831" s="0" t="inlineStr">
        <is>
          <t>query_ms</t>
        </is>
      </c>
      <c r="E831" s="0" t="n">
        <v>10</v>
      </c>
      <c r="F831" s="0" t="n">
        <v>200</v>
      </c>
      <c r="G831" s="0" t="n">
        <v>58</v>
      </c>
      <c r="H831" s="0" t="inlineStr">
        <is>
          <t>/mnt/d/paper_source/work_9/VeriANN_repro_2026-09-30/VeriANN_repro_2026-09-30/results/work9-multidata-20261015/glove100/VLAH-curve-1183514/per_query.csv</t>
        </is>
      </c>
    </row>
    <row r="832">
      <c r="A832" s="0" t="inlineStr">
        <is>
          <t>GloVe-100</t>
        </is>
      </c>
      <c r="B832" s="0" t="inlineStr">
        <is>
          <t>O19</t>
        </is>
      </c>
      <c r="C832" s="0" t="n">
        <v>99</v>
      </c>
      <c r="D832" s="0" t="inlineStr">
        <is>
          <t>recall_percent</t>
        </is>
      </c>
      <c r="E832" s="0" t="n">
        <v>10</v>
      </c>
      <c r="F832" s="0" t="n">
        <v>200</v>
      </c>
      <c r="G832" s="0" t="n">
        <v>60</v>
      </c>
      <c r="H832" s="0" t="inlineStr">
        <is>
          <t>/mnt/d/paper_source/work_9/VeriANN_repro_2026-09-30/VeriANN_repro_2026-09-30/results/work9-multidata-20261015/glove100/VLAH-curve-1183514/per_query.csv</t>
        </is>
      </c>
    </row>
    <row r="833">
      <c r="A833" s="0" t="inlineStr">
        <is>
          <t>GloVe-100</t>
        </is>
      </c>
      <c r="B833" s="0" t="inlineStr">
        <is>
          <t>O20</t>
        </is>
      </c>
      <c r="C833" s="0" t="n">
        <v>166742.1118</v>
      </c>
      <c r="D833" s="0" t="inlineStr">
        <is>
          <t>vo_kb</t>
        </is>
      </c>
      <c r="E833" s="0" t="n">
        <v>10</v>
      </c>
      <c r="F833" s="0" t="n">
        <v>200</v>
      </c>
      <c r="G833" s="0" t="n">
        <v>60</v>
      </c>
      <c r="H833" s="0" t="inlineStr">
        <is>
          <t>/mnt/d/paper_source/work_9/VeriANN_repro_2026-09-30/VeriANN_repro_2026-09-30/results/work9-multidata-20261015/glove100/VLAH-curve-1183514/per_query.csv</t>
        </is>
      </c>
    </row>
    <row r="834">
      <c r="A834" s="0" t="inlineStr">
        <is>
          <t>GloVe-100</t>
        </is>
      </c>
      <c r="B834" s="0" t="inlineStr">
        <is>
          <t>O29</t>
        </is>
      </c>
      <c r="C834" s="0" t="n">
        <v>99</v>
      </c>
      <c r="D834" s="0" t="inlineStr">
        <is>
          <t>recall_percent</t>
        </is>
      </c>
      <c r="E834" s="0" t="n">
        <v>10</v>
      </c>
      <c r="F834" s="0" t="n">
        <v>200</v>
      </c>
      <c r="G834" s="0" t="n">
        <v>60</v>
      </c>
      <c r="H834" s="0" t="inlineStr">
        <is>
          <t>/mnt/d/paper_source/work_9/VeriANN_repro_2026-09-30/VeriANN_repro_2026-09-30/results/work9-multidata-20261015/glove100/VLAH-curve-1183514/per_query.csv</t>
        </is>
      </c>
    </row>
    <row r="835">
      <c r="A835" s="0" t="inlineStr">
        <is>
          <t>GloVe-100</t>
        </is>
      </c>
      <c r="B835" s="0" t="inlineStr">
        <is>
          <t>O30</t>
        </is>
      </c>
      <c r="C835" s="0" t="n">
        <v>1099.20293456667</v>
      </c>
      <c r="D835" s="0" t="inlineStr">
        <is>
          <t>verify_ms</t>
        </is>
      </c>
      <c r="E835" s="0" t="n">
        <v>10</v>
      </c>
      <c r="F835" s="0" t="n">
        <v>200</v>
      </c>
      <c r="G835" s="0" t="n">
        <v>60</v>
      </c>
      <c r="H835" s="0" t="inlineStr">
        <is>
          <t>/mnt/d/paper_source/work_9/VeriANN_repro_2026-09-30/VeriANN_repro_2026-09-30/results/work9-multidata-20261015/glove100/VLAH-curve-1183514/per_query.csv</t>
        </is>
      </c>
    </row>
    <row r="836">
      <c r="A836" s="0" t="inlineStr">
        <is>
          <t>GloVe-100</t>
        </is>
      </c>
      <c r="B836" s="0" t="inlineStr">
        <is>
          <t>O39</t>
        </is>
      </c>
      <c r="C836" s="0" t="n">
        <v>99</v>
      </c>
      <c r="D836" s="0" t="inlineStr">
        <is>
          <t>recall_percent</t>
        </is>
      </c>
      <c r="E836" s="0" t="n">
        <v>10</v>
      </c>
      <c r="F836" s="0" t="n">
        <v>200</v>
      </c>
      <c r="G836" s="0" t="n">
        <v>60</v>
      </c>
      <c r="H836" s="0" t="inlineStr">
        <is>
          <t>/mnt/d/paper_source/work_9/VeriANN_repro_2026-09-30/VeriANN_repro_2026-09-30/results/work9-multidata-20261015/glove100/VLAH-curve-1183514/per_query.csv</t>
        </is>
      </c>
    </row>
    <row r="837">
      <c r="A837" s="0" t="inlineStr">
        <is>
          <t>GloVe-100</t>
        </is>
      </c>
      <c r="B837" s="0" t="inlineStr">
        <is>
          <t>O40</t>
        </is>
      </c>
      <c r="C837" s="0" t="n">
        <v>451.888928783333</v>
      </c>
      <c r="D837" s="0" t="inlineStr">
        <is>
          <t>query_ms</t>
        </is>
      </c>
      <c r="E837" s="0" t="n">
        <v>10</v>
      </c>
      <c r="F837" s="0" t="n">
        <v>200</v>
      </c>
      <c r="G837" s="0" t="n">
        <v>60</v>
      </c>
      <c r="H837" s="0" t="inlineStr">
        <is>
          <t>/mnt/d/paper_source/work_9/VeriANN_repro_2026-09-30/VeriANN_repro_2026-09-30/results/work9-multidata-20261015/glove100/VLAH-curve-1183514/per_query.csv</t>
        </is>
      </c>
    </row>
    <row r="838">
      <c r="A838" s="0" t="inlineStr">
        <is>
          <t>GloVe-100</t>
        </is>
      </c>
      <c r="B838" s="0" t="inlineStr">
        <is>
          <t>P19</t>
        </is>
      </c>
      <c r="C838" s="0" t="n">
        <v>99</v>
      </c>
      <c r="D838" s="0" t="inlineStr">
        <is>
          <t>recall_percent</t>
        </is>
      </c>
      <c r="E838" s="0" t="n">
        <v>10</v>
      </c>
      <c r="F838" s="0" t="n">
        <v>200</v>
      </c>
      <c r="G838" s="0" t="n">
        <v>60</v>
      </c>
      <c r="H838" s="0" t="inlineStr">
        <is>
          <t>/mnt/d/paper_source/work_9/VeriANN_repro_2026-09-30/VeriANN_repro_2026-09-30/results/work9-multidata-20261015/glove100/VLAH-curve-1183514/per_query.csv</t>
        </is>
      </c>
    </row>
    <row r="839">
      <c r="A839" s="0" t="inlineStr">
        <is>
          <t>GloVe-100</t>
        </is>
      </c>
      <c r="B839" s="0" t="inlineStr">
        <is>
          <t>P20</t>
        </is>
      </c>
      <c r="C839" s="0" t="n">
        <v>166742.1118</v>
      </c>
      <c r="D839" s="0" t="inlineStr">
        <is>
          <t>vo_kb</t>
        </is>
      </c>
      <c r="E839" s="0" t="n">
        <v>10</v>
      </c>
      <c r="F839" s="0" t="n">
        <v>200</v>
      </c>
      <c r="G839" s="0" t="n">
        <v>60</v>
      </c>
      <c r="H839" s="0" t="inlineStr">
        <is>
          <t>/mnt/d/paper_source/work_9/VeriANN_repro_2026-09-30/VeriANN_repro_2026-09-30/results/work9-multidata-20261015/glove100/VLAH-curve-1183514/per_query.csv</t>
        </is>
      </c>
    </row>
    <row r="840">
      <c r="A840" s="0" t="inlineStr">
        <is>
          <t>GloVe-100</t>
        </is>
      </c>
      <c r="B840" s="0" t="inlineStr">
        <is>
          <t>P29</t>
        </is>
      </c>
      <c r="C840" s="0" t="n">
        <v>99</v>
      </c>
      <c r="D840" s="0" t="inlineStr">
        <is>
          <t>recall_percent</t>
        </is>
      </c>
      <c r="E840" s="0" t="n">
        <v>10</v>
      </c>
      <c r="F840" s="0" t="n">
        <v>200</v>
      </c>
      <c r="G840" s="0" t="n">
        <v>60</v>
      </c>
      <c r="H840" s="0" t="inlineStr">
        <is>
          <t>/mnt/d/paper_source/work_9/VeriANN_repro_2026-09-30/VeriANN_repro_2026-09-30/results/work9-multidata-20261015/glove100/VLAH-curve-1183514/per_query.csv</t>
        </is>
      </c>
    </row>
    <row r="841">
      <c r="A841" s="0" t="inlineStr">
        <is>
          <t>GloVe-100</t>
        </is>
      </c>
      <c r="B841" s="0" t="inlineStr">
        <is>
          <t>P30</t>
        </is>
      </c>
      <c r="C841" s="0" t="n">
        <v>1099.20293456667</v>
      </c>
      <c r="D841" s="0" t="inlineStr">
        <is>
          <t>verify_ms</t>
        </is>
      </c>
      <c r="E841" s="0" t="n">
        <v>10</v>
      </c>
      <c r="F841" s="0" t="n">
        <v>200</v>
      </c>
      <c r="G841" s="0" t="n">
        <v>60</v>
      </c>
      <c r="H841" s="0" t="inlineStr">
        <is>
          <t>/mnt/d/paper_source/work_9/VeriANN_repro_2026-09-30/VeriANN_repro_2026-09-30/results/work9-multidata-20261015/glove100/VLAH-curve-1183514/per_query.csv</t>
        </is>
      </c>
    </row>
    <row r="842">
      <c r="A842" s="0" t="inlineStr">
        <is>
          <t>GloVe-100</t>
        </is>
      </c>
      <c r="B842" s="0" t="inlineStr">
        <is>
          <t>P39</t>
        </is>
      </c>
      <c r="C842" s="0" t="n">
        <v>99</v>
      </c>
      <c r="D842" s="0" t="inlineStr">
        <is>
          <t>recall_percent</t>
        </is>
      </c>
      <c r="E842" s="0" t="n">
        <v>10</v>
      </c>
      <c r="F842" s="0" t="n">
        <v>200</v>
      </c>
      <c r="G842" s="0" t="n">
        <v>60</v>
      </c>
      <c r="H842" s="0" t="inlineStr">
        <is>
          <t>/mnt/d/paper_source/work_9/VeriANN_repro_2026-09-30/VeriANN_repro_2026-09-30/results/work9-multidata-20261015/glove100/VLAH-curve-1183514/per_query.csv</t>
        </is>
      </c>
    </row>
    <row r="843">
      <c r="A843" s="0" t="inlineStr">
        <is>
          <t>GloVe-100</t>
        </is>
      </c>
      <c r="B843" s="0" t="inlineStr">
        <is>
          <t>P40</t>
        </is>
      </c>
      <c r="C843" s="0" t="n">
        <v>451.888928783333</v>
      </c>
      <c r="D843" s="0" t="inlineStr">
        <is>
          <t>query_ms</t>
        </is>
      </c>
      <c r="E843" s="0" t="n">
        <v>10</v>
      </c>
      <c r="F843" s="0" t="n">
        <v>200</v>
      </c>
      <c r="G843" s="0" t="n">
        <v>60</v>
      </c>
      <c r="H843" s="0" t="inlineStr">
        <is>
          <t>/mnt/d/paper_source/work_9/VeriANN_repro_2026-09-30/VeriANN_repro_2026-09-30/results/work9-multidata-20261015/glove100/VLAH-curve-1183514/per_query.csv</t>
        </is>
      </c>
    </row>
    <row r="844">
      <c r="A844" s="0" t="inlineStr">
        <is>
          <t>GloVe-100</t>
        </is>
      </c>
      <c r="B844" s="0" t="inlineStr">
        <is>
          <t>E9</t>
        </is>
      </c>
      <c r="C844" s="0" t="n">
        <v>95</v>
      </c>
      <c r="D844" s="0" t="inlineStr">
        <is>
          <t>recall_percent</t>
        </is>
      </c>
      <c r="E844" s="0" t="n">
        <v>10</v>
      </c>
      <c r="F844" s="0" t="n">
        <v>200</v>
      </c>
      <c r="G844" s="0" t="n">
        <v>56</v>
      </c>
      <c r="H844" s="0" t="inlineStr">
        <is>
          <t>/mnt/d/paper_source/work_9/VeriANN_repro_2026-09-30/VeriANN_repro_2026-09-30/results/work9-multidata-20261015/glove100/VLAH-curve-1183514/per_query.csv</t>
        </is>
      </c>
    </row>
    <row r="845">
      <c r="A845" s="0" t="inlineStr">
        <is>
          <t>GloVe-100</t>
        </is>
      </c>
      <c r="B845" s="0" t="inlineStr">
        <is>
          <t>F9</t>
        </is>
      </c>
      <c r="C845" s="0" t="n">
        <v>420.781040966667</v>
      </c>
      <c r="D845" s="0" t="inlineStr">
        <is>
          <t>query_ms</t>
        </is>
      </c>
      <c r="E845" s="0" t="n">
        <v>10</v>
      </c>
      <c r="F845" s="0" t="n">
        <v>200</v>
      </c>
      <c r="G845" s="0" t="n">
        <v>56</v>
      </c>
      <c r="H845" s="0" t="inlineStr">
        <is>
          <t>/mnt/d/paper_source/work_9/VeriANN_repro_2026-09-30/VeriANN_repro_2026-09-30/results/work9-multidata-20261015/glove100/VLAH-curve-1183514/per_query.csv</t>
        </is>
      </c>
    </row>
    <row r="846">
      <c r="A846" s="0" t="inlineStr">
        <is>
          <t>GloVe-100</t>
        </is>
      </c>
      <c r="B846" s="0" t="inlineStr">
        <is>
          <t>G9</t>
        </is>
      </c>
      <c r="C846" s="0" t="n">
        <v>156085.1456</v>
      </c>
      <c r="D846" s="0" t="inlineStr">
        <is>
          <t>vo_kb</t>
        </is>
      </c>
      <c r="E846" s="0" t="n">
        <v>10</v>
      </c>
      <c r="F846" s="0" t="n">
        <v>200</v>
      </c>
      <c r="G846" s="0" t="n">
        <v>56</v>
      </c>
      <c r="H846" s="0" t="inlineStr">
        <is>
          <t>/mnt/d/paper_source/work_9/VeriANN_repro_2026-09-30/VeriANN_repro_2026-09-30/results/work9-multidata-20261015/glove100/VLAH-curve-1183514/per_query.csv</t>
        </is>
      </c>
    </row>
    <row r="847">
      <c r="A847" s="0" t="inlineStr">
        <is>
          <t>GloVe-100</t>
        </is>
      </c>
      <c r="B847" s="0" t="inlineStr">
        <is>
          <t>H9</t>
        </is>
      </c>
      <c r="C847" s="0" t="n">
        <v>1028.47328478333</v>
      </c>
      <c r="D847" s="0" t="inlineStr">
        <is>
          <t>verify_ms</t>
        </is>
      </c>
      <c r="E847" s="0" t="n">
        <v>10</v>
      </c>
      <c r="F847" s="0" t="n">
        <v>200</v>
      </c>
      <c r="G847" s="0" t="n">
        <v>56</v>
      </c>
      <c r="H847" s="0" t="inlineStr">
        <is>
          <t>/mnt/d/paper_source/work_9/VeriANN_repro_2026-09-30/VeriANN_repro_2026-09-30/results/work9-multidata-20261015/glove100/VLAH-curve-1183514/per_query.csv</t>
        </is>
      </c>
    </row>
    <row r="848">
      <c r="A848" s="0" t="inlineStr">
        <is>
          <t>GloVe-100</t>
        </is>
      </c>
      <c r="B848" s="0" t="inlineStr">
        <is>
          <t>F84</t>
        </is>
      </c>
      <c r="C848" s="0" t="n">
        <v>156085.1096</v>
      </c>
      <c r="D848" s="0" t="inlineStr">
        <is>
          <t>vo_kb</t>
        </is>
      </c>
      <c r="E848" s="0" t="n">
        <v>1</v>
      </c>
      <c r="F848" s="0" t="n">
        <v>200</v>
      </c>
      <c r="G848" s="0" t="n">
        <v>56</v>
      </c>
      <c r="H848" s="0" t="inlineStr">
        <is>
          <t>/mnt/d/paper_source/work_9/VeriANN_repro_2026-09-30/VeriANN_repro_2026-09-30/results/work9-multidata-20261015/glove100/VLAH-k-1183514/per_query.csv</t>
        </is>
      </c>
    </row>
    <row r="849">
      <c r="A849" s="0" t="inlineStr">
        <is>
          <t>GloVe-100</t>
        </is>
      </c>
      <c r="B849" s="0" t="inlineStr">
        <is>
          <t>F94</t>
        </is>
      </c>
      <c r="C849" s="0" t="n">
        <v>1023.80158376667</v>
      </c>
      <c r="D849" s="0" t="inlineStr">
        <is>
          <t>verify_ms</t>
        </is>
      </c>
      <c r="E849" s="0" t="n">
        <v>1</v>
      </c>
      <c r="F849" s="0" t="n">
        <v>200</v>
      </c>
      <c r="G849" s="0" t="n">
        <v>56</v>
      </c>
      <c r="H849" s="0" t="inlineStr">
        <is>
          <t>/mnt/d/paper_source/work_9/VeriANN_repro_2026-09-30/VeriANN_repro_2026-09-30/results/work9-multidata-20261015/glove100/VLAH-k-1183514/per_query.csv</t>
        </is>
      </c>
    </row>
    <row r="850">
      <c r="A850" s="0" t="inlineStr">
        <is>
          <t>GloVe-100</t>
        </is>
      </c>
      <c r="B850" s="0" t="inlineStr">
        <is>
          <t>F103</t>
        </is>
      </c>
      <c r="C850" s="0" t="n">
        <v>427.803742866667</v>
      </c>
      <c r="D850" s="0" t="inlineStr">
        <is>
          <t>query_ms</t>
        </is>
      </c>
      <c r="E850" s="0" t="n">
        <v>1</v>
      </c>
      <c r="F850" s="0" t="n">
        <v>200</v>
      </c>
      <c r="G850" s="0" t="n">
        <v>56</v>
      </c>
      <c r="H850" s="0" t="inlineStr">
        <is>
          <t>/mnt/d/paper_source/work_9/VeriANN_repro_2026-09-30/VeriANN_repro_2026-09-30/results/work9-multidata-20261015/glove100/VLAH-k-1183514/per_query.csv</t>
        </is>
      </c>
    </row>
    <row r="851">
      <c r="A851" s="0" t="inlineStr">
        <is>
          <t>GloVe-100</t>
        </is>
      </c>
      <c r="B851" s="0" t="inlineStr">
        <is>
          <t>G84</t>
        </is>
      </c>
      <c r="C851" s="0" t="n">
        <v>156085.1256</v>
      </c>
      <c r="D851" s="0" t="inlineStr">
        <is>
          <t>vo_kb</t>
        </is>
      </c>
      <c r="E851" s="0" t="n">
        <v>5</v>
      </c>
      <c r="F851" s="0" t="n">
        <v>200</v>
      </c>
      <c r="G851" s="0" t="n">
        <v>56</v>
      </c>
      <c r="H851" s="0" t="inlineStr">
        <is>
          <t>/mnt/d/paper_source/work_9/VeriANN_repro_2026-09-30/VeriANN_repro_2026-09-30/results/work9-multidata-20261015/glove100/VLAH-k-1183514/per_query.csv</t>
        </is>
      </c>
    </row>
    <row r="852">
      <c r="A852" s="0" t="inlineStr">
        <is>
          <t>GloVe-100</t>
        </is>
      </c>
      <c r="B852" s="0" t="inlineStr">
        <is>
          <t>G94</t>
        </is>
      </c>
      <c r="C852" s="0" t="n">
        <v>1023.39237478333</v>
      </c>
      <c r="D852" s="0" t="inlineStr">
        <is>
          <t>verify_ms</t>
        </is>
      </c>
      <c r="E852" s="0" t="n">
        <v>5</v>
      </c>
      <c r="F852" s="0" t="n">
        <v>200</v>
      </c>
      <c r="G852" s="0" t="n">
        <v>56</v>
      </c>
      <c r="H852" s="0" t="inlineStr">
        <is>
          <t>/mnt/d/paper_source/work_9/VeriANN_repro_2026-09-30/VeriANN_repro_2026-09-30/results/work9-multidata-20261015/glove100/VLAH-k-1183514/per_query.csv</t>
        </is>
      </c>
    </row>
    <row r="853">
      <c r="A853" s="0" t="inlineStr">
        <is>
          <t>GloVe-100</t>
        </is>
      </c>
      <c r="B853" s="0" t="inlineStr">
        <is>
          <t>G103</t>
        </is>
      </c>
      <c r="C853" s="0" t="n">
        <v>426.620613233333</v>
      </c>
      <c r="D853" s="0" t="inlineStr">
        <is>
          <t>query_ms</t>
        </is>
      </c>
      <c r="E853" s="0" t="n">
        <v>5</v>
      </c>
      <c r="F853" s="0" t="n">
        <v>200</v>
      </c>
      <c r="G853" s="0" t="n">
        <v>56</v>
      </c>
      <c r="H853" s="0" t="inlineStr">
        <is>
          <t>/mnt/d/paper_source/work_9/VeriANN_repro_2026-09-30/VeriANN_repro_2026-09-30/results/work9-multidata-20261015/glove100/VLAH-k-1183514/per_query.csv</t>
        </is>
      </c>
    </row>
    <row r="854">
      <c r="A854" s="0" t="inlineStr">
        <is>
          <t>GloVe-100</t>
        </is>
      </c>
      <c r="B854" s="0" t="inlineStr">
        <is>
          <t>H84</t>
        </is>
      </c>
      <c r="C854" s="0" t="n">
        <v>156085.1456</v>
      </c>
      <c r="D854" s="0" t="inlineStr">
        <is>
          <t>vo_kb</t>
        </is>
      </c>
      <c r="E854" s="0" t="n">
        <v>10</v>
      </c>
      <c r="F854" s="0" t="n">
        <v>200</v>
      </c>
      <c r="G854" s="0" t="n">
        <v>56</v>
      </c>
      <c r="H854" s="0" t="inlineStr">
        <is>
          <t>/mnt/d/paper_source/work_9/VeriANN_repro_2026-09-30/VeriANN_repro_2026-09-30/results/work9-multidata-20261015/glove100/VLAH-k-1183514/per_query.csv</t>
        </is>
      </c>
    </row>
    <row r="855">
      <c r="A855" s="0" t="inlineStr">
        <is>
          <t>GloVe-100</t>
        </is>
      </c>
      <c r="B855" s="0" t="inlineStr">
        <is>
          <t>H94</t>
        </is>
      </c>
      <c r="C855" s="0" t="n">
        <v>1023.12500151667</v>
      </c>
      <c r="D855" s="0" t="inlineStr">
        <is>
          <t>verify_ms</t>
        </is>
      </c>
      <c r="E855" s="0" t="n">
        <v>10</v>
      </c>
      <c r="F855" s="0" t="n">
        <v>200</v>
      </c>
      <c r="G855" s="0" t="n">
        <v>56</v>
      </c>
      <c r="H855" s="0" t="inlineStr">
        <is>
          <t>/mnt/d/paper_source/work_9/VeriANN_repro_2026-09-30/VeriANN_repro_2026-09-30/results/work9-multidata-20261015/glove100/VLAH-k-1183514/per_query.csv</t>
        </is>
      </c>
    </row>
    <row r="856">
      <c r="A856" s="0" t="inlineStr">
        <is>
          <t>GloVe-100</t>
        </is>
      </c>
      <c r="B856" s="0" t="inlineStr">
        <is>
          <t>H103</t>
        </is>
      </c>
      <c r="C856" s="0" t="n">
        <v>427.422214316667</v>
      </c>
      <c r="D856" s="0" t="inlineStr">
        <is>
          <t>query_ms</t>
        </is>
      </c>
      <c r="E856" s="0" t="n">
        <v>10</v>
      </c>
      <c r="F856" s="0" t="n">
        <v>200</v>
      </c>
      <c r="G856" s="0" t="n">
        <v>56</v>
      </c>
      <c r="H856" s="0" t="inlineStr">
        <is>
          <t>/mnt/d/paper_source/work_9/VeriANN_repro_2026-09-30/VeriANN_repro_2026-09-30/results/work9-multidata-20261015/glove100/VLAH-k-1183514/per_query.csv</t>
        </is>
      </c>
    </row>
    <row r="857">
      <c r="A857" s="0" t="inlineStr">
        <is>
          <t>GloVe-100</t>
        </is>
      </c>
      <c r="B857" s="0" t="inlineStr">
        <is>
          <t>I84</t>
        </is>
      </c>
      <c r="C857" s="0" t="n">
        <v>156085.1856</v>
      </c>
      <c r="D857" s="0" t="inlineStr">
        <is>
          <t>vo_kb</t>
        </is>
      </c>
      <c r="E857" s="0" t="n">
        <v>20</v>
      </c>
      <c r="F857" s="0" t="n">
        <v>200</v>
      </c>
      <c r="G857" s="0" t="n">
        <v>56</v>
      </c>
      <c r="H857" s="0" t="inlineStr">
        <is>
          <t>/mnt/d/paper_source/work_9/VeriANN_repro_2026-09-30/VeriANN_repro_2026-09-30/results/work9-multidata-20261015/glove100/VLAH-k-1183514/per_query.csv</t>
        </is>
      </c>
    </row>
    <row r="858">
      <c r="A858" s="0" t="inlineStr">
        <is>
          <t>GloVe-100</t>
        </is>
      </c>
      <c r="B858" s="0" t="inlineStr">
        <is>
          <t>I94</t>
        </is>
      </c>
      <c r="C858" s="0" t="n">
        <v>1019.02828181667</v>
      </c>
      <c r="D858" s="0" t="inlineStr">
        <is>
          <t>verify_ms</t>
        </is>
      </c>
      <c r="E858" s="0" t="n">
        <v>20</v>
      </c>
      <c r="F858" s="0" t="n">
        <v>200</v>
      </c>
      <c r="G858" s="0" t="n">
        <v>56</v>
      </c>
      <c r="H858" s="0" t="inlineStr">
        <is>
          <t>/mnt/d/paper_source/work_9/VeriANN_repro_2026-09-30/VeriANN_repro_2026-09-30/results/work9-multidata-20261015/glove100/VLAH-k-1183514/per_query.csv</t>
        </is>
      </c>
    </row>
    <row r="859">
      <c r="A859" s="0" t="inlineStr">
        <is>
          <t>GloVe-100</t>
        </is>
      </c>
      <c r="B859" s="0" t="inlineStr">
        <is>
          <t>I103</t>
        </is>
      </c>
      <c r="C859" s="0" t="n">
        <v>425.445874833333</v>
      </c>
      <c r="D859" s="0" t="inlineStr">
        <is>
          <t>query_ms</t>
        </is>
      </c>
      <c r="E859" s="0" t="n">
        <v>20</v>
      </c>
      <c r="F859" s="0" t="n">
        <v>200</v>
      </c>
      <c r="G859" s="0" t="n">
        <v>56</v>
      </c>
      <c r="H859" s="0" t="inlineStr">
        <is>
          <t>/mnt/d/paper_source/work_9/VeriANN_repro_2026-09-30/VeriANN_repro_2026-09-30/results/work9-multidata-20261015/glove100/VLAH-k-1183514/per_query.csv</t>
        </is>
      </c>
    </row>
    <row r="860">
      <c r="A860" s="0" t="inlineStr">
        <is>
          <t>GloVe-100</t>
        </is>
      </c>
      <c r="B860" s="0" t="inlineStr">
        <is>
          <t>J84</t>
        </is>
      </c>
      <c r="C860" s="0" t="n">
        <v>156085.3056</v>
      </c>
      <c r="D860" s="0" t="inlineStr">
        <is>
          <t>vo_kb</t>
        </is>
      </c>
      <c r="E860" s="0" t="n">
        <v>50</v>
      </c>
      <c r="F860" s="0" t="n">
        <v>200</v>
      </c>
      <c r="G860" s="0" t="n">
        <v>56</v>
      </c>
      <c r="H860" s="0" t="inlineStr">
        <is>
          <t>/mnt/d/paper_source/work_9/VeriANN_repro_2026-09-30/VeriANN_repro_2026-09-30/results/work9-multidata-20261015/glove100/VLAH-k-1183514/per_query.csv</t>
        </is>
      </c>
    </row>
    <row r="861">
      <c r="A861" s="0" t="inlineStr">
        <is>
          <t>GloVe-100</t>
        </is>
      </c>
      <c r="B861" s="0" t="inlineStr">
        <is>
          <t>J94</t>
        </is>
      </c>
      <c r="C861" s="0" t="n">
        <v>1018.60531591667</v>
      </c>
      <c r="D861" s="0" t="inlineStr">
        <is>
          <t>verify_ms</t>
        </is>
      </c>
      <c r="E861" s="0" t="n">
        <v>50</v>
      </c>
      <c r="F861" s="0" t="n">
        <v>200</v>
      </c>
      <c r="G861" s="0" t="n">
        <v>56</v>
      </c>
      <c r="H861" s="0" t="inlineStr">
        <is>
          <t>/mnt/d/paper_source/work_9/VeriANN_repro_2026-09-30/VeriANN_repro_2026-09-30/results/work9-multidata-20261015/glove100/VLAH-k-1183514/per_query.csv</t>
        </is>
      </c>
    </row>
    <row r="862">
      <c r="A862" s="0" t="inlineStr">
        <is>
          <t>GloVe-100</t>
        </is>
      </c>
      <c r="B862" s="0" t="inlineStr">
        <is>
          <t>J103</t>
        </is>
      </c>
      <c r="C862" s="0" t="n">
        <v>419.901897183333</v>
      </c>
      <c r="D862" s="0" t="inlineStr">
        <is>
          <t>query_ms</t>
        </is>
      </c>
      <c r="E862" s="0" t="n">
        <v>50</v>
      </c>
      <c r="F862" s="0" t="n">
        <v>200</v>
      </c>
      <c r="G862" s="0" t="n">
        <v>56</v>
      </c>
      <c r="H862" s="0" t="inlineStr">
        <is>
          <t>/mnt/d/paper_source/work_9/VeriANN_repro_2026-09-30/VeriANN_repro_2026-09-30/results/work9-multidata-20261015/glove100/VLAH-k-1183514/per_query.csv</t>
        </is>
      </c>
    </row>
    <row r="863">
      <c r="A863" s="0" t="inlineStr">
        <is>
          <t>GloVe-100</t>
        </is>
      </c>
      <c r="B863" s="0" t="inlineStr">
        <is>
          <t>K84</t>
        </is>
      </c>
      <c r="C863" s="0" t="n">
        <v>156085.5056</v>
      </c>
      <c r="D863" s="0" t="inlineStr">
        <is>
          <t>vo_kb</t>
        </is>
      </c>
      <c r="E863" s="0" t="n">
        <v>100</v>
      </c>
      <c r="F863" s="0" t="n">
        <v>200</v>
      </c>
      <c r="G863" s="0" t="n">
        <v>56</v>
      </c>
      <c r="H863" s="0" t="inlineStr">
        <is>
          <t>/mnt/d/paper_source/work_9/VeriANN_repro_2026-09-30/VeriANN_repro_2026-09-30/results/work9-multidata-20261015/glove100/VLAH-k-1183514/per_query.csv</t>
        </is>
      </c>
    </row>
    <row r="864">
      <c r="A864" s="0" t="inlineStr">
        <is>
          <t>GloVe-100</t>
        </is>
      </c>
      <c r="B864" s="0" t="inlineStr">
        <is>
          <t>K94</t>
        </is>
      </c>
      <c r="C864" s="0" t="n">
        <v>1024.00291686667</v>
      </c>
      <c r="D864" s="0" t="inlineStr">
        <is>
          <t>verify_ms</t>
        </is>
      </c>
      <c r="E864" s="0" t="n">
        <v>100</v>
      </c>
      <c r="F864" s="0" t="n">
        <v>200</v>
      </c>
      <c r="G864" s="0" t="n">
        <v>56</v>
      </c>
      <c r="H864" s="0" t="inlineStr">
        <is>
          <t>/mnt/d/paper_source/work_9/VeriANN_repro_2026-09-30/VeriANN_repro_2026-09-30/results/work9-multidata-20261015/glove100/VLAH-k-1183514/per_query.csv</t>
        </is>
      </c>
    </row>
    <row r="865">
      <c r="A865" s="0" t="inlineStr">
        <is>
          <t>GloVe-100</t>
        </is>
      </c>
      <c r="B865" s="0" t="inlineStr">
        <is>
          <t>K103</t>
        </is>
      </c>
      <c r="C865" s="0" t="n">
        <v>424.252101716667</v>
      </c>
      <c r="D865" s="0" t="inlineStr">
        <is>
          <t>query_ms</t>
        </is>
      </c>
      <c r="E865" s="0" t="n">
        <v>100</v>
      </c>
      <c r="F865" s="0" t="n">
        <v>200</v>
      </c>
      <c r="G865" s="0" t="n">
        <v>56</v>
      </c>
      <c r="H865" s="0" t="inlineStr">
        <is>
          <t>/mnt/d/paper_source/work_9/VeriANN_repro_2026-09-30/VeriANN_repro_2026-09-30/results/work9-multidata-20261015/glove100/VLAH-k-1183514/per_query.csv</t>
        </is>
      </c>
    </row>
    <row r="866">
      <c r="A866" s="0" t="inlineStr">
        <is>
          <t>GloVe-100</t>
        </is>
      </c>
      <c r="B866" s="0" t="inlineStr">
        <is>
          <t>F54</t>
        </is>
      </c>
      <c r="C866" s="0" t="n">
        <v>8489.522800000001</v>
      </c>
      <c r="D866" s="0" t="inlineStr">
        <is>
          <t>vo_kb</t>
        </is>
      </c>
      <c r="E866" s="0" t="n">
        <v>10</v>
      </c>
      <c r="F866" s="0" t="n">
        <v>100</v>
      </c>
      <c r="G866" s="0" t="n">
        <v>5</v>
      </c>
      <c r="H866" s="0" t="inlineStr">
        <is>
          <t>/mnt/d/paper_source/work_9/VeriANN_repro_2026-09-30/VeriANN_repro_2026-09-30/results/work9-multidata-20261015/glove100/VLAH-size-100000/per_query.csv</t>
        </is>
      </c>
    </row>
    <row r="867">
      <c r="A867" s="0" t="inlineStr">
        <is>
          <t>GloVe-100</t>
        </is>
      </c>
      <c r="B867" s="0" t="inlineStr">
        <is>
          <t>F64</t>
        </is>
      </c>
      <c r="C867" s="0" t="n">
        <v>54.7392815166667</v>
      </c>
      <c r="D867" s="0" t="inlineStr">
        <is>
          <t>verify_ms</t>
        </is>
      </c>
      <c r="E867" s="0" t="n">
        <v>10</v>
      </c>
      <c r="F867" s="0" t="n">
        <v>100</v>
      </c>
      <c r="G867" s="0" t="n">
        <v>5</v>
      </c>
      <c r="H867" s="0" t="inlineStr">
        <is>
          <t>/mnt/d/paper_source/work_9/VeriANN_repro_2026-09-30/VeriANN_repro_2026-09-30/results/work9-multidata-20261015/glove100/VLAH-size-100000/per_query.csv</t>
        </is>
      </c>
    </row>
    <row r="868">
      <c r="A868" s="0" t="inlineStr">
        <is>
          <t>GloVe-100</t>
        </is>
      </c>
      <c r="B868" s="0" t="inlineStr">
        <is>
          <t>F73</t>
        </is>
      </c>
      <c r="C868" s="0" t="n">
        <v>19.83255335</v>
      </c>
      <c r="D868" s="0" t="inlineStr">
        <is>
          <t>query_ms</t>
        </is>
      </c>
      <c r="E868" s="0" t="n">
        <v>10</v>
      </c>
      <c r="F868" s="0" t="n">
        <v>100</v>
      </c>
      <c r="G868" s="0" t="n">
        <v>5</v>
      </c>
      <c r="H868" s="0" t="inlineStr">
        <is>
          <t>/mnt/d/paper_source/work_9/VeriANN_repro_2026-09-30/VeriANN_repro_2026-09-30/results/work9-multidata-20261015/glove100/VLAH-size-100000/per_query.csv</t>
        </is>
      </c>
    </row>
    <row r="869">
      <c r="A869" s="0" t="inlineStr">
        <is>
          <t>GloVe-100</t>
        </is>
      </c>
      <c r="B869" s="0" t="inlineStr">
        <is>
          <t>H54</t>
        </is>
      </c>
      <c r="C869" s="0" t="n">
        <v>82998.06759999999</v>
      </c>
      <c r="D869" s="0" t="inlineStr">
        <is>
          <t>vo_kb</t>
        </is>
      </c>
      <c r="E869" s="0" t="n">
        <v>10</v>
      </c>
      <c r="F869" s="0" t="n">
        <v>100</v>
      </c>
      <c r="G869" s="0" t="n">
        <v>49</v>
      </c>
      <c r="H869" s="0" t="inlineStr">
        <is>
          <t>/mnt/d/paper_source/work_9/VeriANN_repro_2026-09-30/VeriANN_repro_2026-09-30/results/work9-multidata-20261015/glove100/VLAH-size-1000000/per_query.csv</t>
        </is>
      </c>
    </row>
    <row r="870">
      <c r="A870" s="0" t="inlineStr">
        <is>
          <t>GloVe-100</t>
        </is>
      </c>
      <c r="B870" s="0" t="inlineStr">
        <is>
          <t>H64</t>
        </is>
      </c>
      <c r="C870" s="0" t="n">
        <v>557.962164633333</v>
      </c>
      <c r="D870" s="0" t="inlineStr">
        <is>
          <t>verify_ms</t>
        </is>
      </c>
      <c r="E870" s="0" t="n">
        <v>10</v>
      </c>
      <c r="F870" s="0" t="n">
        <v>100</v>
      </c>
      <c r="G870" s="0" t="n">
        <v>49</v>
      </c>
      <c r="H870" s="0" t="inlineStr">
        <is>
          <t>/mnt/d/paper_source/work_9/VeriANN_repro_2026-09-30/VeriANN_repro_2026-09-30/results/work9-multidata-20261015/glove100/VLAH-size-1000000/per_query.csv</t>
        </is>
      </c>
    </row>
    <row r="871">
      <c r="A871" s="0" t="inlineStr">
        <is>
          <t>GloVe-100</t>
        </is>
      </c>
      <c r="B871" s="0" t="inlineStr">
        <is>
          <t>H73</t>
        </is>
      </c>
      <c r="C871" s="0" t="n">
        <v>237.828352416667</v>
      </c>
      <c r="D871" s="0" t="inlineStr">
        <is>
          <t>query_ms</t>
        </is>
      </c>
      <c r="E871" s="0" t="n">
        <v>10</v>
      </c>
      <c r="F871" s="0" t="n">
        <v>100</v>
      </c>
      <c r="G871" s="0" t="n">
        <v>49</v>
      </c>
      <c r="H871" s="0" t="inlineStr">
        <is>
          <t>/mnt/d/paper_source/work_9/VeriANN_repro_2026-09-30/VeriANN_repro_2026-09-30/results/work9-multidata-20261015/glove100/VLAH-size-1000000/per_query.csv</t>
        </is>
      </c>
    </row>
    <row r="872">
      <c r="A872" s="0" t="inlineStr">
        <is>
          <t>GloVe-100</t>
        </is>
      </c>
      <c r="B872" s="0" t="inlineStr">
        <is>
          <t>G54</t>
        </is>
      </c>
      <c r="C872" s="0" t="n">
        <v>42416.545</v>
      </c>
      <c r="D872" s="0" t="inlineStr">
        <is>
          <t>vo_kb</t>
        </is>
      </c>
      <c r="E872" s="0" t="n">
        <v>10</v>
      </c>
      <c r="F872" s="0" t="n">
        <v>100</v>
      </c>
      <c r="G872" s="0" t="n">
        <v>25</v>
      </c>
      <c r="H872" s="0" t="inlineStr">
        <is>
          <t>/mnt/d/paper_source/work_9/VeriANN_repro_2026-09-30/VeriANN_repro_2026-09-30/results/work9-multidata-20261015/glove100/VLAH-size-500000/per_query.csv</t>
        </is>
      </c>
    </row>
    <row r="873">
      <c r="A873" s="0" t="inlineStr">
        <is>
          <t>GloVe-100</t>
        </is>
      </c>
      <c r="B873" s="0" t="inlineStr">
        <is>
          <t>G64</t>
        </is>
      </c>
      <c r="C873" s="0" t="n">
        <v>284.5216247</v>
      </c>
      <c r="D873" s="0" t="inlineStr">
        <is>
          <t>verify_ms</t>
        </is>
      </c>
      <c r="E873" s="0" t="n">
        <v>10</v>
      </c>
      <c r="F873" s="0" t="n">
        <v>100</v>
      </c>
      <c r="G873" s="0" t="n">
        <v>25</v>
      </c>
      <c r="H873" s="0" t="inlineStr">
        <is>
          <t>/mnt/d/paper_source/work_9/VeriANN_repro_2026-09-30/VeriANN_repro_2026-09-30/results/work9-multidata-20261015/glove100/VLAH-size-500000/per_query.csv</t>
        </is>
      </c>
    </row>
    <row r="874">
      <c r="A874" s="0" t="inlineStr">
        <is>
          <t>GloVe-100</t>
        </is>
      </c>
      <c r="B874" s="0" t="inlineStr">
        <is>
          <t>G73</t>
        </is>
      </c>
      <c r="C874" s="0" t="n">
        <v>118.37491675</v>
      </c>
      <c r="D874" s="0" t="inlineStr">
        <is>
          <t>query_ms</t>
        </is>
      </c>
      <c r="E874" s="0" t="n">
        <v>10</v>
      </c>
      <c r="F874" s="0" t="n">
        <v>100</v>
      </c>
      <c r="G874" s="0" t="n">
        <v>25</v>
      </c>
      <c r="H874" s="0" t="inlineStr">
        <is>
          <t>/mnt/d/paper_source/work_9/VeriANN_repro_2026-09-30/VeriANN_repro_2026-09-30/results/work9-multidata-20261015/glove100/VLAH-size-500000/per_query.csv</t>
        </is>
      </c>
    </row>
    <row r="875">
      <c r="A875" s="0" t="inlineStr">
        <is>
          <t>DEEP1M</t>
        </is>
      </c>
      <c r="B875" s="0" t="inlineStr">
        <is>
          <t>J55</t>
        </is>
      </c>
      <c r="C875" s="0" t="n">
        <v>2671.927</v>
      </c>
      <c r="D875" s="0" t="inlineStr">
        <is>
          <t>vo_kb</t>
        </is>
      </c>
      <c r="E875" s="0" t="n">
        <v>10</v>
      </c>
      <c r="F875" s="0" t="n">
        <v>128</v>
      </c>
      <c r="G875" s="0" t="n">
        <v>1</v>
      </c>
      <c r="H875" s="0" t="inlineStr">
        <is>
          <t>/mnt/d/paper_source/work_9/VeriANN_repro_2026-09-30/VeriANN_repro_2026-09-30/results/work9-deep10m-20261015/ANNProof-size-10000000/per_query.csv</t>
        </is>
      </c>
    </row>
    <row r="876">
      <c r="A876" s="0" t="inlineStr">
        <is>
          <t>DEEP1M</t>
        </is>
      </c>
      <c r="B876" s="0" t="inlineStr">
        <is>
          <t>J65</t>
        </is>
      </c>
      <c r="C876" s="0" t="n">
        <v>35.1169640833333</v>
      </c>
      <c r="D876" s="0" t="inlineStr">
        <is>
          <t>verify_ms</t>
        </is>
      </c>
      <c r="E876" s="0" t="n">
        <v>10</v>
      </c>
      <c r="F876" s="0" t="n">
        <v>128</v>
      </c>
      <c r="G876" s="0" t="n">
        <v>1</v>
      </c>
      <c r="H876" s="0" t="inlineStr">
        <is>
          <t>/mnt/d/paper_source/work_9/VeriANN_repro_2026-09-30/VeriANN_repro_2026-09-30/results/work9-deep10m-20261015/ANNProof-size-10000000/per_query.csv</t>
        </is>
      </c>
    </row>
    <row r="877">
      <c r="A877" s="0" t="inlineStr">
        <is>
          <t>DEEP1M</t>
        </is>
      </c>
      <c r="B877" s="0" t="inlineStr">
        <is>
          <t>J74</t>
        </is>
      </c>
      <c r="C877" s="0" t="n">
        <v>9.09569141666667</v>
      </c>
      <c r="D877" s="0" t="inlineStr">
        <is>
          <t>query_ms</t>
        </is>
      </c>
      <c r="E877" s="0" t="n">
        <v>10</v>
      </c>
      <c r="F877" s="0" t="n">
        <v>128</v>
      </c>
      <c r="G877" s="0" t="n">
        <v>1</v>
      </c>
      <c r="H877" s="0" t="inlineStr">
        <is>
          <t>/mnt/d/paper_source/work_9/VeriANN_repro_2026-09-30/VeriANN_repro_2026-09-30/results/work9-deep10m-20261015/ANNProof-size-10000000/per_query.csv</t>
        </is>
      </c>
    </row>
    <row r="878">
      <c r="A878" s="0" t="inlineStr">
        <is>
          <t>DEEP1M</t>
        </is>
      </c>
      <c r="B878" s="0" t="inlineStr">
        <is>
          <t>I55</t>
        </is>
      </c>
      <c r="C878" s="0" t="n">
        <v>1976.1628</v>
      </c>
      <c r="D878" s="0" t="inlineStr">
        <is>
          <t>vo_kb</t>
        </is>
      </c>
      <c r="E878" s="0" t="n">
        <v>10</v>
      </c>
      <c r="F878" s="0" t="n">
        <v>96</v>
      </c>
      <c r="G878" s="0" t="n">
        <v>1</v>
      </c>
      <c r="H878" s="0" t="inlineStr">
        <is>
          <t>/mnt/d/paper_source/work_9/VeriANN_repro_2026-09-30/VeriANN_repro_2026-09-30/results/work9-deep10m-20261015/ANNProof-size-5000000/per_query.csv</t>
        </is>
      </c>
    </row>
    <row r="879">
      <c r="A879" s="0" t="inlineStr">
        <is>
          <t>DEEP1M</t>
        </is>
      </c>
      <c r="B879" s="0" t="inlineStr">
        <is>
          <t>I65</t>
        </is>
      </c>
      <c r="C879" s="0" t="n">
        <v>25.9699077166667</v>
      </c>
      <c r="D879" s="0" t="inlineStr">
        <is>
          <t>verify_ms</t>
        </is>
      </c>
      <c r="E879" s="0" t="n">
        <v>10</v>
      </c>
      <c r="F879" s="0" t="n">
        <v>96</v>
      </c>
      <c r="G879" s="0" t="n">
        <v>1</v>
      </c>
      <c r="H879" s="0" t="inlineStr">
        <is>
          <t>/mnt/d/paper_source/work_9/VeriANN_repro_2026-09-30/VeriANN_repro_2026-09-30/results/work9-deep10m-20261015/ANNProof-size-5000000/per_query.csv</t>
        </is>
      </c>
    </row>
    <row r="880">
      <c r="A880" s="0" t="inlineStr">
        <is>
          <t>DEEP1M</t>
        </is>
      </c>
      <c r="B880" s="0" t="inlineStr">
        <is>
          <t>I74</t>
        </is>
      </c>
      <c r="C880" s="0" t="n">
        <v>6.14507238333333</v>
      </c>
      <c r="D880" s="0" t="inlineStr">
        <is>
          <t>query_ms</t>
        </is>
      </c>
      <c r="E880" s="0" t="n">
        <v>10</v>
      </c>
      <c r="F880" s="0" t="n">
        <v>96</v>
      </c>
      <c r="G880" s="0" t="n">
        <v>1</v>
      </c>
      <c r="H880" s="0" t="inlineStr">
        <is>
          <t>/mnt/d/paper_source/work_9/VeriANN_repro_2026-09-30/VeriANN_repro_2026-09-30/results/work9-deep10m-20261015/ANNProof-size-5000000/per_query.csv</t>
        </is>
      </c>
    </row>
    <row r="881">
      <c r="A881" s="0" t="inlineStr">
        <is>
          <t>DEEP1M</t>
        </is>
      </c>
      <c r="B881" s="0" t="inlineStr">
        <is>
          <t>J56</t>
        </is>
      </c>
      <c r="C881" s="0" t="n">
        <v>651.6462</v>
      </c>
      <c r="D881" s="0" t="inlineStr">
        <is>
          <t>vo_kb</t>
        </is>
      </c>
      <c r="E881" s="0" t="n">
        <v>10</v>
      </c>
      <c r="F881" s="0" t="n">
        <v>128</v>
      </c>
      <c r="G881" s="0" t="n">
        <v>1</v>
      </c>
      <c r="H881" s="0" t="inlineStr">
        <is>
          <t>/mnt/d/paper_source/work_9/VeriANN_repro_2026-09-30/VeriANN_repro_2026-09-30/results/work9-deep10m-20261015/Ours-size-10000000/per_query.csv</t>
        </is>
      </c>
    </row>
    <row r="882">
      <c r="A882" s="0" t="inlineStr">
        <is>
          <t>DEEP1M</t>
        </is>
      </c>
      <c r="B882" s="0" t="inlineStr">
        <is>
          <t>J66</t>
        </is>
      </c>
      <c r="C882" s="0" t="n">
        <v>15.7888074166667</v>
      </c>
      <c r="D882" s="0" t="inlineStr">
        <is>
          <t>verify_ms</t>
        </is>
      </c>
      <c r="E882" s="0" t="n">
        <v>10</v>
      </c>
      <c r="F882" s="0" t="n">
        <v>128</v>
      </c>
      <c r="G882" s="0" t="n">
        <v>1</v>
      </c>
      <c r="H882" s="0" t="inlineStr">
        <is>
          <t>/mnt/d/paper_source/work_9/VeriANN_repro_2026-09-30/VeriANN_repro_2026-09-30/results/work9-deep10m-20261015/Ours-size-10000000/per_query.csv</t>
        </is>
      </c>
    </row>
    <row r="883">
      <c r="A883" s="0" t="inlineStr">
        <is>
          <t>DEEP1M</t>
        </is>
      </c>
      <c r="B883" s="0" t="inlineStr">
        <is>
          <t>J75</t>
        </is>
      </c>
      <c r="C883" s="0" t="n">
        <v>7.25583046666667</v>
      </c>
      <c r="D883" s="0" t="inlineStr">
        <is>
          <t>query_ms</t>
        </is>
      </c>
      <c r="E883" s="0" t="n">
        <v>10</v>
      </c>
      <c r="F883" s="0" t="n">
        <v>128</v>
      </c>
      <c r="G883" s="0" t="n">
        <v>1</v>
      </c>
      <c r="H883" s="0" t="inlineStr">
        <is>
          <t>/mnt/d/paper_source/work_9/VeriANN_repro_2026-09-30/VeriANN_repro_2026-09-30/results/work9-deep10m-20261015/Ours-size-10000000/per_query.csv</t>
        </is>
      </c>
    </row>
    <row r="884">
      <c r="A884" s="0" t="inlineStr">
        <is>
          <t>DEEP1M</t>
        </is>
      </c>
      <c r="B884" s="0" t="inlineStr">
        <is>
          <t>I56</t>
        </is>
      </c>
      <c r="C884" s="0" t="n">
        <v>561.5534</v>
      </c>
      <c r="D884" s="0" t="inlineStr">
        <is>
          <t>vo_kb</t>
        </is>
      </c>
      <c r="E884" s="0" t="n">
        <v>10</v>
      </c>
      <c r="F884" s="0" t="n">
        <v>128</v>
      </c>
      <c r="G884" s="0" t="n">
        <v>1</v>
      </c>
      <c r="H884" s="0" t="inlineStr">
        <is>
          <t>/mnt/d/paper_source/work_9/VeriANN_repro_2026-09-30/VeriANN_repro_2026-09-30/results/work9-deep10m-20261015/Ours-size-5000000/per_query.csv</t>
        </is>
      </c>
    </row>
    <row r="885">
      <c r="A885" s="0" t="inlineStr">
        <is>
          <t>DEEP1M</t>
        </is>
      </c>
      <c r="B885" s="0" t="inlineStr">
        <is>
          <t>I66</t>
        </is>
      </c>
      <c r="C885" s="0" t="n">
        <v>13.18477455</v>
      </c>
      <c r="D885" s="0" t="inlineStr">
        <is>
          <t>verify_ms</t>
        </is>
      </c>
      <c r="E885" s="0" t="n">
        <v>10</v>
      </c>
      <c r="F885" s="0" t="n">
        <v>128</v>
      </c>
      <c r="G885" s="0" t="n">
        <v>1</v>
      </c>
      <c r="H885" s="0" t="inlineStr">
        <is>
          <t>/mnt/d/paper_source/work_9/VeriANN_repro_2026-09-30/VeriANN_repro_2026-09-30/results/work9-deep10m-20261015/Ours-size-5000000/per_query.csv</t>
        </is>
      </c>
    </row>
    <row r="886">
      <c r="A886" s="0" t="inlineStr">
        <is>
          <t>DEEP1M</t>
        </is>
      </c>
      <c r="B886" s="0" t="inlineStr">
        <is>
          <t>I75</t>
        </is>
      </c>
      <c r="C886" s="0" t="n">
        <v>6.15269876666667</v>
      </c>
      <c r="D886" s="0" t="inlineStr">
        <is>
          <t>query_ms</t>
        </is>
      </c>
      <c r="E886" s="0" t="n">
        <v>10</v>
      </c>
      <c r="F886" s="0" t="n">
        <v>128</v>
      </c>
      <c r="G886" s="0" t="n">
        <v>1</v>
      </c>
      <c r="H886" s="0" t="inlineStr">
        <is>
          <t>/mnt/d/paper_source/work_9/VeriANN_repro_2026-09-30/VeriANN_repro_2026-09-30/results/work9-deep10m-20261015/Ours-size-5000000/per_query.csv</t>
        </is>
      </c>
    </row>
    <row r="887">
      <c r="A887" s="0" t="inlineStr">
        <is>
          <t>DEEP1M</t>
        </is>
      </c>
      <c r="B887" s="0" t="inlineStr">
        <is>
          <t>J54</t>
        </is>
      </c>
      <c r="C887" s="0" t="n">
        <v>343751.79415</v>
      </c>
      <c r="D887" s="0" t="inlineStr">
        <is>
          <t>vo_kb</t>
        </is>
      </c>
      <c r="E887" s="0" t="n">
        <v>10</v>
      </c>
      <c r="F887" s="0" t="n">
        <v>100</v>
      </c>
      <c r="G887" s="0" t="n">
        <v>399</v>
      </c>
      <c r="H887" s="0" t="inlineStr">
        <is>
          <t>/mnt/d/paper_source/work_9/VeriANN_repro_2026-09-30/VeriANN_repro_2026-09-30/results/work9-deep10m-20261015/VLAH-size-10000000/per_query.csv</t>
        </is>
      </c>
    </row>
    <row r="888">
      <c r="A888" s="0" t="inlineStr">
        <is>
          <t>DEEP1M</t>
        </is>
      </c>
      <c r="B888" s="0" t="inlineStr">
        <is>
          <t>J64</t>
        </is>
      </c>
      <c r="C888" s="0" t="n">
        <v>2659.4569935</v>
      </c>
      <c r="D888" s="0" t="inlineStr">
        <is>
          <t>verify_ms</t>
        </is>
      </c>
      <c r="E888" s="0" t="n">
        <v>10</v>
      </c>
      <c r="F888" s="0" t="n">
        <v>100</v>
      </c>
      <c r="G888" s="0" t="n">
        <v>399</v>
      </c>
      <c r="H888" s="0" t="inlineStr">
        <is>
          <t>/mnt/d/paper_source/work_9/VeriANN_repro_2026-09-30/VeriANN_repro_2026-09-30/results/work9-deep10m-20261015/VLAH-size-10000000/per_query.csv</t>
        </is>
      </c>
    </row>
    <row r="889">
      <c r="A889" s="0" t="inlineStr">
        <is>
          <t>DEEP1M</t>
        </is>
      </c>
      <c r="B889" s="0" t="inlineStr">
        <is>
          <t>J73</t>
        </is>
      </c>
      <c r="C889" s="0" t="n">
        <v>1070.8410505</v>
      </c>
      <c r="D889" s="0" t="inlineStr">
        <is>
          <t>query_ms</t>
        </is>
      </c>
      <c r="E889" s="0" t="n">
        <v>10</v>
      </c>
      <c r="F889" s="0" t="n">
        <v>100</v>
      </c>
      <c r="G889" s="0" t="n">
        <v>399</v>
      </c>
      <c r="H889" s="0" t="inlineStr">
        <is>
          <t>/mnt/d/paper_source/work_9/VeriANN_repro_2026-09-30/VeriANN_repro_2026-09-30/results/work9-deep10m-20261015/VLAH-size-10000000/per_query.csv</t>
        </is>
      </c>
    </row>
    <row r="890">
      <c r="A890" s="0" t="inlineStr">
        <is>
          <t>DEEP1M</t>
        </is>
      </c>
      <c r="B890" s="0" t="inlineStr">
        <is>
          <t>I54</t>
        </is>
      </c>
      <c r="C890" s="0" t="n">
        <v>175090.9835</v>
      </c>
      <c r="D890" s="0" t="inlineStr">
        <is>
          <t>vo_kb</t>
        </is>
      </c>
      <c r="E890" s="0" t="n">
        <v>10</v>
      </c>
      <c r="F890" s="0" t="n">
        <v>100</v>
      </c>
      <c r="G890" s="0" t="n">
        <v>203</v>
      </c>
      <c r="H890" s="0" t="inlineStr">
        <is>
          <t>/mnt/d/paper_source/work_9/VeriANN_repro_2026-09-30/VeriANN_repro_2026-09-30/results/work9-deep10m-20261015/VLAH-size-5000000/per_query.csv</t>
        </is>
      </c>
    </row>
    <row r="891">
      <c r="A891" s="0" t="inlineStr">
        <is>
          <t>DEEP1M</t>
        </is>
      </c>
      <c r="B891" s="0" t="inlineStr">
        <is>
          <t>I64</t>
        </is>
      </c>
      <c r="C891" s="0" t="n">
        <v>1316.81213005</v>
      </c>
      <c r="D891" s="0" t="inlineStr">
        <is>
          <t>verify_ms</t>
        </is>
      </c>
      <c r="E891" s="0" t="n">
        <v>10</v>
      </c>
      <c r="F891" s="0" t="n">
        <v>100</v>
      </c>
      <c r="G891" s="0" t="n">
        <v>203</v>
      </c>
      <c r="H891" s="0" t="inlineStr">
        <is>
          <t>/mnt/d/paper_source/work_9/VeriANN_repro_2026-09-30/VeriANN_repro_2026-09-30/results/work9-deep10m-20261015/VLAH-size-5000000/per_query.csv</t>
        </is>
      </c>
    </row>
    <row r="892">
      <c r="A892" s="0" t="inlineStr">
        <is>
          <t>DEEP1M</t>
        </is>
      </c>
      <c r="B892" s="0" t="inlineStr">
        <is>
          <t>I73</t>
        </is>
      </c>
      <c r="C892" s="0" t="n">
        <v>550.324390433333</v>
      </c>
      <c r="D892" s="0" t="inlineStr">
        <is>
          <t>query_ms</t>
        </is>
      </c>
      <c r="E892" s="0" t="n">
        <v>10</v>
      </c>
      <c r="F892" s="0" t="n">
        <v>100</v>
      </c>
      <c r="G892" s="0" t="n">
        <v>203</v>
      </c>
      <c r="H892" s="0" t="inlineStr">
        <is>
          <t>/mnt/d/paper_source/work_9/VeriANN_repro_2026-09-30/VeriANN_repro_2026-09-30/results/work9-deep10m-20261015/VLAH-size-5000000/per_query.csv</t>
        </is>
      </c>
    </row>
  </sheetData>
  <autoFilter ref="A1:H892"/>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I100"/>
  <sheetViews>
    <sheetView workbookViewId="0">
      <pane xSplit="4" ySplit="1" topLeftCell="E2"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3.5"/>
  <sheetData>
    <row r="1">
      <c r="A1" s="0" t="inlineStr">
        <is>
          <t>dataset</t>
        </is>
      </c>
      <c r="B1" s="0" t="inlineStr">
        <is>
          <t>method</t>
        </is>
      </c>
      <c r="C1" s="0" t="inlineStr">
        <is>
          <t>Target Recall</t>
        </is>
      </c>
      <c r="D1" s="0" t="inlineStr">
        <is>
          <t>Actual Recall</t>
        </is>
      </c>
      <c r="E1" s="0" t="inlineStr">
        <is>
          <t>Query ms</t>
        </is>
      </c>
      <c r="F1" s="0" t="inlineStr">
        <is>
          <t>Verify ms</t>
        </is>
      </c>
      <c r="G1" s="0" t="inlineStr">
        <is>
          <t>VO KB</t>
        </is>
      </c>
      <c r="H1" s="0" t="inlineStr">
        <is>
          <t>efSearch/E</t>
        </is>
      </c>
      <c r="I1" s="0" t="inlineStr">
        <is>
          <t>probes</t>
        </is>
      </c>
    </row>
    <row r="2">
      <c r="A2" s="0" t="inlineStr">
        <is>
          <t>DEEP1M</t>
        </is>
      </c>
      <c r="B2" s="0" t="inlineStr">
        <is>
          <t>ANNProof</t>
        </is>
      </c>
      <c r="C2" s="127" t="n">
        <v>0.6</v>
      </c>
      <c r="D2" s="127" t="n">
        <v>0.71</v>
      </c>
      <c r="E2" s="0" t="n">
        <v>0.9670758</v>
      </c>
      <c r="F2" s="0" t="n">
        <v>5.0948274</v>
      </c>
      <c r="G2" s="0" t="n">
        <v>386.5978</v>
      </c>
      <c r="H2" s="0" t="n">
        <v>10</v>
      </c>
      <c r="I2" s="0" t="n">
        <v>1</v>
      </c>
    </row>
    <row r="3">
      <c r="A3" s="0" t="inlineStr">
        <is>
          <t>DEEP1M</t>
        </is>
      </c>
      <c r="B3" s="0" t="inlineStr">
        <is>
          <t>ANNProof</t>
        </is>
      </c>
      <c r="C3" s="127" t="n">
        <v>0.65</v>
      </c>
      <c r="D3" s="127" t="n">
        <v>0.71</v>
      </c>
      <c r="E3" s="0" t="n">
        <v>0.9670758</v>
      </c>
      <c r="F3" s="0" t="n">
        <v>5.0948274</v>
      </c>
      <c r="G3" s="0" t="n">
        <v>386.5978</v>
      </c>
      <c r="H3" s="0" t="n">
        <v>10</v>
      </c>
      <c r="I3" s="0" t="n">
        <v>1</v>
      </c>
    </row>
    <row r="4">
      <c r="A4" s="0" t="inlineStr">
        <is>
          <t>DEEP1M</t>
        </is>
      </c>
      <c r="B4" s="0" t="inlineStr">
        <is>
          <t>ANNProof</t>
        </is>
      </c>
      <c r="C4" s="127" t="n">
        <v>0.7</v>
      </c>
      <c r="D4" s="127" t="n">
        <v>0.71</v>
      </c>
      <c r="E4" s="0" t="n">
        <v>0.9670758</v>
      </c>
      <c r="F4" s="0" t="n">
        <v>5.0948274</v>
      </c>
      <c r="G4" s="0" t="n">
        <v>386.5978</v>
      </c>
      <c r="H4" s="0" t="n">
        <v>10</v>
      </c>
      <c r="I4" s="0" t="n">
        <v>1</v>
      </c>
    </row>
    <row r="5">
      <c r="A5" s="0" t="inlineStr">
        <is>
          <t>DEEP1M</t>
        </is>
      </c>
      <c r="B5" s="0" t="inlineStr">
        <is>
          <t>ANNProof</t>
        </is>
      </c>
      <c r="C5" s="127" t="n">
        <v>0.75</v>
      </c>
      <c r="D5" s="127" t="n">
        <v>0.78</v>
      </c>
      <c r="E5" s="0" t="n">
        <v>1.19571215</v>
      </c>
      <c r="F5" s="0" t="n">
        <v>6.41377703333333</v>
      </c>
      <c r="G5" s="0" t="n">
        <v>491.0184</v>
      </c>
      <c r="H5" s="0" t="n">
        <v>16</v>
      </c>
      <c r="I5" s="0" t="n">
        <v>1</v>
      </c>
    </row>
    <row r="6">
      <c r="A6" s="0" t="inlineStr">
        <is>
          <t>DEEP1M</t>
        </is>
      </c>
      <c r="B6" s="0" t="inlineStr">
        <is>
          <t>ANNProof</t>
        </is>
      </c>
      <c r="C6" s="127" t="n">
        <v>0.8</v>
      </c>
      <c r="D6" s="127" t="n">
        <v>0.825</v>
      </c>
      <c r="E6" s="0" t="n">
        <v>1.34739523333333</v>
      </c>
      <c r="F6" s="0" t="n">
        <v>7.32085555</v>
      </c>
      <c r="G6" s="0" t="n">
        <v>554.1006</v>
      </c>
      <c r="H6" s="0" t="n">
        <v>20</v>
      </c>
      <c r="I6" s="0" t="n">
        <v>1</v>
      </c>
    </row>
    <row r="7">
      <c r="A7" s="0" t="inlineStr">
        <is>
          <t>DEEP1M</t>
        </is>
      </c>
      <c r="B7" s="0" t="inlineStr">
        <is>
          <t>ANNProof</t>
        </is>
      </c>
      <c r="C7" s="127" t="n">
        <v>0.85</v>
      </c>
      <c r="D7" s="127" t="n">
        <v>0.865</v>
      </c>
      <c r="E7" s="0" t="n">
        <v>1.5069473</v>
      </c>
      <c r="F7" s="0" t="n">
        <v>8.091527900000001</v>
      </c>
      <c r="G7" s="0" t="n">
        <v>615.9464</v>
      </c>
      <c r="H7" s="0" t="n">
        <v>24</v>
      </c>
      <c r="I7" s="0" t="n">
        <v>1</v>
      </c>
    </row>
    <row r="8">
      <c r="A8" s="0" t="inlineStr">
        <is>
          <t>DEEP1M</t>
        </is>
      </c>
      <c r="B8" s="0" t="inlineStr">
        <is>
          <t>ANNProof</t>
        </is>
      </c>
      <c r="C8" s="127" t="n">
        <v>0.9</v>
      </c>
      <c r="D8" s="127" t="n">
        <v>0.945</v>
      </c>
      <c r="E8" s="0" t="n">
        <v>2.6137277</v>
      </c>
      <c r="F8" s="0" t="n">
        <v>12.7037481</v>
      </c>
      <c r="G8" s="0" t="n">
        <v>944.128</v>
      </c>
      <c r="H8" s="0" t="n">
        <v>48</v>
      </c>
      <c r="I8" s="0" t="n">
        <v>1</v>
      </c>
    </row>
    <row r="9">
      <c r="A9" s="0" t="inlineStr">
        <is>
          <t>DEEP1M</t>
        </is>
      </c>
      <c r="B9" s="0" t="inlineStr">
        <is>
          <t>ANNProof</t>
        </is>
      </c>
      <c r="C9" s="127" t="n">
        <v>0.95</v>
      </c>
      <c r="D9" s="127" t="n">
        <v>0.975</v>
      </c>
      <c r="E9" s="0" t="n">
        <v>3.15865693333333</v>
      </c>
      <c r="F9" s="0" t="n">
        <v>15.4261976166667</v>
      </c>
      <c r="G9" s="0" t="n">
        <v>1154.7938</v>
      </c>
      <c r="H9" s="0" t="n">
        <v>64</v>
      </c>
      <c r="I9" s="0" t="n">
        <v>1</v>
      </c>
    </row>
    <row r="10">
      <c r="A10" s="0" t="inlineStr">
        <is>
          <t>DEEP1M</t>
        </is>
      </c>
      <c r="B10" s="0" t="inlineStr">
        <is>
          <t>ANNProof</t>
        </is>
      </c>
      <c r="C10" s="127" t="n">
        <v>0.97</v>
      </c>
      <c r="D10" s="127" t="n">
        <v>0.975</v>
      </c>
      <c r="E10" s="0" t="n">
        <v>3.15865693333333</v>
      </c>
      <c r="F10" s="0" t="n">
        <v>15.4261976166667</v>
      </c>
      <c r="G10" s="0" t="n">
        <v>1154.7938</v>
      </c>
      <c r="H10" s="0" t="n">
        <v>64</v>
      </c>
      <c r="I10" s="0" t="n">
        <v>1</v>
      </c>
    </row>
    <row r="11">
      <c r="A11" s="0" t="inlineStr">
        <is>
          <t>DEEP1M</t>
        </is>
      </c>
      <c r="B11" s="0" t="inlineStr">
        <is>
          <t>ANNProof</t>
        </is>
      </c>
      <c r="C11" s="127" t="n">
        <v>0.98</v>
      </c>
      <c r="D11" s="127" t="n">
        <v>0.995</v>
      </c>
      <c r="E11" s="0" t="n">
        <v>4.2914665</v>
      </c>
      <c r="F11" s="0" t="n">
        <v>20.6266154833333</v>
      </c>
      <c r="G11" s="0" t="n">
        <v>1538.7078</v>
      </c>
      <c r="H11" s="0" t="n">
        <v>96</v>
      </c>
      <c r="I11" s="0" t="n">
        <v>1</v>
      </c>
    </row>
    <row r="12">
      <c r="A12" s="0" t="inlineStr">
        <is>
          <t>DEEP1M</t>
        </is>
      </c>
      <c r="B12" s="0" t="inlineStr">
        <is>
          <t>ANNProof</t>
        </is>
      </c>
      <c r="C12" s="127" t="n">
        <v>0.99</v>
      </c>
      <c r="D12" s="127" t="n">
        <v>0.995</v>
      </c>
      <c r="E12" s="0" t="n">
        <v>4.2914665</v>
      </c>
      <c r="F12" s="0" t="n">
        <v>20.6266154833333</v>
      </c>
      <c r="G12" s="0" t="n">
        <v>1538.7078</v>
      </c>
      <c r="H12" s="0" t="n">
        <v>96</v>
      </c>
      <c r="I12" s="0" t="n">
        <v>1</v>
      </c>
    </row>
    <row r="13">
      <c r="A13" s="0" t="inlineStr">
        <is>
          <t>DEEP1M</t>
        </is>
      </c>
      <c r="B13" s="0" t="inlineStr">
        <is>
          <t>Ours</t>
        </is>
      </c>
      <c r="C13" s="127" t="n">
        <v>0.6</v>
      </c>
      <c r="D13" s="127" t="n">
        <v>0.615</v>
      </c>
      <c r="E13" s="0" t="n">
        <v>0.893101083333333</v>
      </c>
      <c r="F13" s="0" t="n">
        <v>2.38709686666667</v>
      </c>
      <c r="G13" s="0" t="n">
        <v>109.9156</v>
      </c>
      <c r="H13" s="0" t="n">
        <v>16</v>
      </c>
      <c r="I13" s="0" t="n">
        <v>1</v>
      </c>
    </row>
    <row r="14">
      <c r="A14" s="0" t="inlineStr">
        <is>
          <t>DEEP1M</t>
        </is>
      </c>
      <c r="B14" s="0" t="inlineStr">
        <is>
          <t>Ours</t>
        </is>
      </c>
      <c r="C14" s="127" t="n">
        <v>0.65</v>
      </c>
      <c r="D14" s="127" t="n">
        <v>0.735</v>
      </c>
      <c r="E14" s="0" t="n">
        <v>1.08978581666667</v>
      </c>
      <c r="F14" s="0" t="n">
        <v>2.85541431666667</v>
      </c>
      <c r="G14" s="0" t="n">
        <v>129.522</v>
      </c>
      <c r="H14" s="0" t="n">
        <v>20</v>
      </c>
      <c r="I14" s="0" t="n">
        <v>1</v>
      </c>
    </row>
    <row r="15">
      <c r="A15" s="0" t="inlineStr">
        <is>
          <t>DEEP1M</t>
        </is>
      </c>
      <c r="B15" s="0" t="inlineStr">
        <is>
          <t>Ours</t>
        </is>
      </c>
      <c r="C15" s="127" t="n">
        <v>0.7</v>
      </c>
      <c r="D15" s="127" t="n">
        <v>0.735</v>
      </c>
      <c r="E15" s="0" t="n">
        <v>1.08978581666667</v>
      </c>
      <c r="F15" s="0" t="n">
        <v>2.85541431666667</v>
      </c>
      <c r="G15" s="0" t="n">
        <v>129.522</v>
      </c>
      <c r="H15" s="0" t="n">
        <v>20</v>
      </c>
      <c r="I15" s="0" t="n">
        <v>1</v>
      </c>
    </row>
    <row r="16">
      <c r="A16" s="0" t="inlineStr">
        <is>
          <t>DEEP1M</t>
        </is>
      </c>
      <c r="B16" s="0" t="inlineStr">
        <is>
          <t>Ours</t>
        </is>
      </c>
      <c r="C16" s="127" t="n">
        <v>0.75</v>
      </c>
      <c r="D16" s="127" t="n">
        <v>0.79</v>
      </c>
      <c r="E16" s="0" t="n">
        <v>1.27455556666667</v>
      </c>
      <c r="F16" s="0" t="n">
        <v>3.25884446666667</v>
      </c>
      <c r="G16" s="0" t="n">
        <v>147.6776</v>
      </c>
      <c r="H16" s="0" t="n">
        <v>24</v>
      </c>
      <c r="I16" s="0" t="n">
        <v>1</v>
      </c>
    </row>
    <row r="17">
      <c r="A17" s="0" t="inlineStr">
        <is>
          <t>DEEP1M</t>
        </is>
      </c>
      <c r="B17" s="0" t="inlineStr">
        <is>
          <t>Ours</t>
        </is>
      </c>
      <c r="C17" s="127" t="n">
        <v>0.8</v>
      </c>
      <c r="D17" s="127" t="n">
        <v>0.865</v>
      </c>
      <c r="E17" s="0" t="n">
        <v>1.57887486666667</v>
      </c>
      <c r="F17" s="0" t="n">
        <v>3.99739765</v>
      </c>
      <c r="G17" s="0" t="n">
        <v>179.525</v>
      </c>
      <c r="H17" s="0" t="n">
        <v>32</v>
      </c>
      <c r="I17" s="0" t="n">
        <v>1</v>
      </c>
    </row>
    <row r="18">
      <c r="A18" s="0" t="inlineStr">
        <is>
          <t>DEEP1M</t>
        </is>
      </c>
      <c r="B18" s="0" t="inlineStr">
        <is>
          <t>Ours</t>
        </is>
      </c>
      <c r="C18" s="127" t="n">
        <v>0.85</v>
      </c>
      <c r="D18" s="127" t="n">
        <v>0.865</v>
      </c>
      <c r="E18" s="0" t="n">
        <v>1.57887486666667</v>
      </c>
      <c r="F18" s="0" t="n">
        <v>3.99739765</v>
      </c>
      <c r="G18" s="0" t="n">
        <v>179.525</v>
      </c>
      <c r="H18" s="0" t="n">
        <v>32</v>
      </c>
      <c r="I18" s="0" t="n">
        <v>1</v>
      </c>
    </row>
    <row r="19">
      <c r="A19" s="0" t="inlineStr">
        <is>
          <t>DEEP1M</t>
        </is>
      </c>
      <c r="B19" s="0" t="inlineStr">
        <is>
          <t>Ours</t>
        </is>
      </c>
      <c r="C19" s="127" t="n">
        <v>0.9</v>
      </c>
      <c r="D19" s="127" t="n">
        <v>0.945</v>
      </c>
      <c r="E19" s="0" t="n">
        <v>2.06094483333333</v>
      </c>
      <c r="F19" s="0" t="n">
        <v>5.16082628333333</v>
      </c>
      <c r="G19" s="0" t="n">
        <v>228.1338</v>
      </c>
      <c r="H19" s="0" t="n">
        <v>48</v>
      </c>
      <c r="I19" s="0" t="n">
        <v>1</v>
      </c>
    </row>
    <row r="20">
      <c r="A20" s="0" t="inlineStr">
        <is>
          <t>DEEP1M</t>
        </is>
      </c>
      <c r="B20" s="0" t="inlineStr">
        <is>
          <t>Ours</t>
        </is>
      </c>
      <c r="C20" s="127" t="n">
        <v>0.95</v>
      </c>
      <c r="D20" s="127" t="n">
        <v>0.975</v>
      </c>
      <c r="E20" s="0" t="n">
        <v>2.5314656</v>
      </c>
      <c r="F20" s="0" t="n">
        <v>6.1193687</v>
      </c>
      <c r="G20" s="0" t="n">
        <v>271.0874</v>
      </c>
      <c r="H20" s="0" t="n">
        <v>64</v>
      </c>
      <c r="I20" s="0" t="n">
        <v>1</v>
      </c>
    </row>
    <row r="21">
      <c r="A21" s="0" t="inlineStr">
        <is>
          <t>DEEP1M</t>
        </is>
      </c>
      <c r="B21" s="0" t="inlineStr">
        <is>
          <t>Ours</t>
        </is>
      </c>
      <c r="C21" s="127" t="n">
        <v>0.97</v>
      </c>
      <c r="D21" s="127" t="n">
        <v>0.975</v>
      </c>
      <c r="E21" s="0" t="n">
        <v>2.5314656</v>
      </c>
      <c r="F21" s="0" t="n">
        <v>6.1193687</v>
      </c>
      <c r="G21" s="0" t="n">
        <v>271.0874</v>
      </c>
      <c r="H21" s="0" t="n">
        <v>64</v>
      </c>
      <c r="I21" s="0" t="n">
        <v>1</v>
      </c>
    </row>
    <row r="22">
      <c r="A22" s="0" t="inlineStr">
        <is>
          <t>DEEP1M</t>
        </is>
      </c>
      <c r="B22" s="0" t="inlineStr">
        <is>
          <t>Ours</t>
        </is>
      </c>
      <c r="C22" s="127" t="n">
        <v>0.98</v>
      </c>
      <c r="D22" s="127" t="n">
        <v>0.985</v>
      </c>
      <c r="E22" s="0" t="n">
        <v>3.40401168333333</v>
      </c>
      <c r="F22" s="0" t="n">
        <v>7.86179926666667</v>
      </c>
      <c r="G22" s="0" t="n">
        <v>344.9868</v>
      </c>
      <c r="H22" s="0" t="n">
        <v>96</v>
      </c>
      <c r="I22" s="0" t="n">
        <v>1</v>
      </c>
    </row>
    <row r="23">
      <c r="A23" s="0" t="inlineStr">
        <is>
          <t>DEEP1M</t>
        </is>
      </c>
      <c r="B23" s="0" t="inlineStr">
        <is>
          <t>Ours</t>
        </is>
      </c>
      <c r="C23" s="127" t="n">
        <v>0.99</v>
      </c>
      <c r="D23" s="127" t="n">
        <v>0.99</v>
      </c>
      <c r="E23" s="0" t="n">
        <v>4.2387441</v>
      </c>
      <c r="F23" s="0" t="n">
        <v>9.4468192</v>
      </c>
      <c r="G23" s="0" t="n">
        <v>405.5006</v>
      </c>
      <c r="H23" s="0" t="n">
        <v>128</v>
      </c>
      <c r="I23" s="0" t="n">
        <v>1</v>
      </c>
    </row>
    <row r="24">
      <c r="A24" s="0" t="inlineStr">
        <is>
          <t>DEEP1M</t>
        </is>
      </c>
      <c r="B24" s="0" t="inlineStr">
        <is>
          <t>VLAH</t>
        </is>
      </c>
      <c r="C24" s="127" t="n">
        <v>0.6</v>
      </c>
      <c r="D24" s="127" t="n">
        <v>0.605</v>
      </c>
      <c r="E24" s="0" t="n">
        <v>19.13366525</v>
      </c>
      <c r="F24" s="0" t="n">
        <v>53.6938911666667</v>
      </c>
      <c r="G24" s="0" t="n">
        <v>7541.69535</v>
      </c>
      <c r="H24" s="0" t="n">
        <v>100</v>
      </c>
      <c r="I24" s="0" t="n">
        <v>9</v>
      </c>
    </row>
    <row r="25">
      <c r="A25" s="0" t="inlineStr">
        <is>
          <t>DEEP1M</t>
        </is>
      </c>
      <c r="B25" s="0" t="inlineStr">
        <is>
          <t>VLAH</t>
        </is>
      </c>
      <c r="C25" s="127" t="n">
        <v>0.65</v>
      </c>
      <c r="D25" s="127" t="n">
        <v>0.655</v>
      </c>
      <c r="E25" s="0" t="n">
        <v>25.5380965</v>
      </c>
      <c r="F25" s="0" t="n">
        <v>72.3760297</v>
      </c>
      <c r="G25" s="0" t="n">
        <v>10100.5947</v>
      </c>
      <c r="H25" s="0" t="n">
        <v>100</v>
      </c>
      <c r="I25" s="0" t="n">
        <v>12</v>
      </c>
    </row>
    <row r="26">
      <c r="A26" s="0" t="inlineStr">
        <is>
          <t>DEEP1M</t>
        </is>
      </c>
      <c r="B26" s="0" t="inlineStr">
        <is>
          <t>VLAH</t>
        </is>
      </c>
      <c r="C26" s="127" t="n">
        <v>0.7</v>
      </c>
      <c r="D26" s="127" t="n">
        <v>0.71</v>
      </c>
      <c r="E26" s="0" t="n">
        <v>39.99110205</v>
      </c>
      <c r="F26" s="0" t="n">
        <v>109.178227966667</v>
      </c>
      <c r="G26" s="0" t="n">
        <v>15095.98385</v>
      </c>
      <c r="H26" s="0" t="n">
        <v>100</v>
      </c>
      <c r="I26" s="0" t="n">
        <v>18</v>
      </c>
    </row>
    <row r="27">
      <c r="A27" s="0" t="inlineStr">
        <is>
          <t>DEEP1M</t>
        </is>
      </c>
      <c r="B27" s="0" t="inlineStr">
        <is>
          <t>VLAH</t>
        </is>
      </c>
      <c r="C27" s="127" t="n">
        <v>0.75</v>
      </c>
      <c r="D27" s="127" t="n">
        <v>0.755</v>
      </c>
      <c r="E27" s="0" t="n">
        <v>44.5284999666667</v>
      </c>
      <c r="F27" s="0" t="n">
        <v>121.4742997</v>
      </c>
      <c r="G27" s="0" t="n">
        <v>16753.7914</v>
      </c>
      <c r="H27" s="0" t="n">
        <v>100</v>
      </c>
      <c r="I27" s="0" t="n">
        <v>20</v>
      </c>
    </row>
    <row r="28">
      <c r="A28" s="0" t="inlineStr">
        <is>
          <t>DEEP1M</t>
        </is>
      </c>
      <c r="B28" s="0" t="inlineStr">
        <is>
          <t>VLAH</t>
        </is>
      </c>
      <c r="C28" s="127" t="n">
        <v>0.8</v>
      </c>
      <c r="D28" s="127" t="n">
        <v>0.8149999999999999</v>
      </c>
      <c r="E28" s="0" t="n">
        <v>55.1920517166667</v>
      </c>
      <c r="F28" s="0" t="n">
        <v>148.180783866667</v>
      </c>
      <c r="G28" s="0" t="n">
        <v>20270.50565</v>
      </c>
      <c r="H28" s="0" t="n">
        <v>100</v>
      </c>
      <c r="I28" s="0" t="n">
        <v>24</v>
      </c>
    </row>
    <row r="29">
      <c r="A29" s="0" t="inlineStr">
        <is>
          <t>DEEP1M</t>
        </is>
      </c>
      <c r="B29" s="0" t="inlineStr">
        <is>
          <t>VLAH</t>
        </is>
      </c>
      <c r="C29" s="127" t="n">
        <v>0.85</v>
      </c>
      <c r="D29" s="127" t="n">
        <v>0.86</v>
      </c>
      <c r="E29" s="0" t="n">
        <v>70.88948418333329</v>
      </c>
      <c r="F29" s="0" t="n">
        <v>188.6092781</v>
      </c>
      <c r="G29" s="0" t="n">
        <v>25837.7698</v>
      </c>
      <c r="H29" s="0" t="n">
        <v>100</v>
      </c>
      <c r="I29" s="0" t="n">
        <v>30</v>
      </c>
    </row>
    <row r="30">
      <c r="A30" s="0" t="inlineStr">
        <is>
          <t>DEEP1M</t>
        </is>
      </c>
      <c r="B30" s="0" t="inlineStr">
        <is>
          <t>VLAH</t>
        </is>
      </c>
      <c r="C30" s="127" t="n">
        <v>0.9</v>
      </c>
      <c r="D30" s="127" t="n">
        <v>0.9</v>
      </c>
      <c r="E30" s="0" t="n">
        <v>90.9629803833333</v>
      </c>
      <c r="F30" s="0" t="n">
        <v>240.77539485</v>
      </c>
      <c r="G30" s="0" t="n">
        <v>32924.164</v>
      </c>
      <c r="H30" s="0" t="n">
        <v>100</v>
      </c>
      <c r="I30" s="0" t="n">
        <v>38</v>
      </c>
    </row>
    <row r="31">
      <c r="A31" s="0" t="inlineStr">
        <is>
          <t>DEEP1M</t>
        </is>
      </c>
      <c r="B31" s="0" t="inlineStr">
        <is>
          <t>VLAH</t>
        </is>
      </c>
      <c r="C31" s="127" t="n">
        <v>0.95</v>
      </c>
      <c r="D31" s="127" t="n">
        <v>0.95</v>
      </c>
      <c r="E31" s="0" t="n">
        <v>106.513872866667</v>
      </c>
      <c r="F31" s="0" t="n">
        <v>280.071343333333</v>
      </c>
      <c r="G31" s="0" t="n">
        <v>38322.17155</v>
      </c>
      <c r="H31" s="0" t="n">
        <v>100</v>
      </c>
      <c r="I31" s="0" t="n">
        <v>44</v>
      </c>
    </row>
    <row r="32">
      <c r="A32" s="0" t="inlineStr">
        <is>
          <t>DEEP1M</t>
        </is>
      </c>
      <c r="B32" s="0" t="inlineStr">
        <is>
          <t>VLAH</t>
        </is>
      </c>
      <c r="C32" s="127" t="n">
        <v>0.97</v>
      </c>
      <c r="D32" s="127" t="n">
        <v>0.98</v>
      </c>
      <c r="E32" s="0" t="n">
        <v>117.3229633</v>
      </c>
      <c r="F32" s="0" t="n">
        <v>293.38766795</v>
      </c>
      <c r="G32" s="0" t="n">
        <v>39981.33235</v>
      </c>
      <c r="H32" s="0" t="n">
        <v>100</v>
      </c>
      <c r="I32" s="0" t="n">
        <v>46</v>
      </c>
    </row>
    <row r="33">
      <c r="A33" s="0" t="inlineStr">
        <is>
          <t>DEEP1M</t>
        </is>
      </c>
      <c r="B33" s="0" t="inlineStr">
        <is>
          <t>VLAH</t>
        </is>
      </c>
      <c r="C33" s="127" t="n">
        <v>0.98</v>
      </c>
      <c r="D33" s="127" t="n">
        <v>0.98</v>
      </c>
      <c r="E33" s="0" t="n">
        <v>117.3229633</v>
      </c>
      <c r="F33" s="0" t="n">
        <v>293.38766795</v>
      </c>
      <c r="G33" s="0" t="n">
        <v>39981.33235</v>
      </c>
      <c r="H33" s="0" t="n">
        <v>100</v>
      </c>
      <c r="I33" s="0" t="n">
        <v>46</v>
      </c>
    </row>
    <row r="34">
      <c r="A34" s="0" t="inlineStr">
        <is>
          <t>DEEP1M</t>
        </is>
      </c>
      <c r="B34" s="0" t="inlineStr">
        <is>
          <t>VLAH</t>
        </is>
      </c>
      <c r="C34" s="127" t="n">
        <v>0.99</v>
      </c>
      <c r="D34" s="127" t="n">
        <v>0.99</v>
      </c>
      <c r="E34" s="0" t="n">
        <v>120.407316883333</v>
      </c>
      <c r="F34" s="0" t="n">
        <v>299.962289733333</v>
      </c>
      <c r="G34" s="0" t="n">
        <v>40878.05455</v>
      </c>
      <c r="H34" s="0" t="n">
        <v>100</v>
      </c>
      <c r="I34" s="0" t="n">
        <v>47</v>
      </c>
    </row>
    <row r="35">
      <c r="C35" s="127" t="n"/>
      <c r="D35" s="127" t="n"/>
    </row>
    <row r="36">
      <c r="C36" s="127" t="n"/>
      <c r="D36" s="127" t="n"/>
    </row>
    <row r="37">
      <c r="C37" s="127" t="n"/>
      <c r="D37" s="127" t="n"/>
    </row>
    <row r="38">
      <c r="C38" s="127" t="n"/>
      <c r="D38" s="127" t="n"/>
    </row>
    <row r="39">
      <c r="C39" s="127" t="n"/>
      <c r="D39" s="127" t="n"/>
    </row>
    <row r="40">
      <c r="C40" s="127" t="n"/>
      <c r="D40" s="127" t="n"/>
    </row>
    <row r="41">
      <c r="C41" s="127" t="n"/>
      <c r="D41" s="127" t="n"/>
    </row>
    <row r="42">
      <c r="C42" s="127" t="n"/>
      <c r="D42" s="127" t="n"/>
    </row>
    <row r="43">
      <c r="C43" s="127" t="n"/>
      <c r="D43" s="127" t="n"/>
    </row>
    <row r="44">
      <c r="C44" s="127" t="n"/>
      <c r="D44" s="127" t="n"/>
    </row>
    <row r="45">
      <c r="C45" s="127" t="n"/>
      <c r="D45" s="127" t="n"/>
    </row>
    <row r="46">
      <c r="C46" s="127" t="n"/>
      <c r="D46" s="127" t="n"/>
    </row>
    <row r="47">
      <c r="C47" s="127" t="n"/>
      <c r="D47" s="127" t="n"/>
    </row>
    <row r="48">
      <c r="C48" s="127" t="n"/>
      <c r="D48" s="127" t="n"/>
    </row>
    <row r="49">
      <c r="C49" s="127" t="n"/>
      <c r="D49" s="127" t="n"/>
    </row>
    <row r="50">
      <c r="C50" s="127" t="n"/>
      <c r="D50" s="127" t="n"/>
    </row>
    <row r="51">
      <c r="C51" s="127" t="n"/>
      <c r="D51" s="127" t="n"/>
    </row>
    <row r="52">
      <c r="C52" s="127" t="n"/>
      <c r="D52" s="127" t="n"/>
    </row>
    <row r="53">
      <c r="C53" s="127" t="n"/>
      <c r="D53" s="127" t="n"/>
    </row>
    <row r="54">
      <c r="C54" s="127" t="n"/>
      <c r="D54" s="127" t="n"/>
    </row>
    <row r="55">
      <c r="C55" s="127" t="n"/>
      <c r="D55" s="127" t="n"/>
    </row>
    <row r="56">
      <c r="C56" s="127" t="n"/>
      <c r="D56" s="127" t="n"/>
    </row>
    <row r="57">
      <c r="C57" s="127" t="n"/>
      <c r="D57" s="127" t="n"/>
    </row>
    <row r="58">
      <c r="C58" s="127" t="n"/>
      <c r="D58" s="127" t="n"/>
    </row>
    <row r="59">
      <c r="C59" s="127" t="n"/>
      <c r="D59" s="127" t="n"/>
    </row>
    <row r="60">
      <c r="C60" s="127" t="n"/>
      <c r="D60" s="127" t="n"/>
    </row>
    <row r="61">
      <c r="C61" s="127" t="n"/>
      <c r="D61" s="127" t="n"/>
    </row>
    <row r="62">
      <c r="C62" s="127" t="n"/>
      <c r="D62" s="127" t="n"/>
    </row>
    <row r="63">
      <c r="C63" s="127" t="n"/>
      <c r="D63" s="127" t="n"/>
    </row>
    <row r="64">
      <c r="C64" s="127" t="n"/>
      <c r="D64" s="127" t="n"/>
    </row>
    <row r="65">
      <c r="C65" s="127" t="n"/>
      <c r="D65" s="127" t="n"/>
    </row>
    <row r="66">
      <c r="C66" s="127" t="n"/>
      <c r="D66" s="127" t="n"/>
    </row>
    <row r="67">
      <c r="C67" s="127" t="n"/>
      <c r="D67" s="127" t="n"/>
    </row>
    <row r="68">
      <c r="A68" s="0" t="inlineStr">
        <is>
          <t>GloVe-100</t>
        </is>
      </c>
      <c r="B68" s="0" t="inlineStr">
        <is>
          <t>ANNProof</t>
        </is>
      </c>
      <c r="C68" s="127" t="n">
        <v>0.6</v>
      </c>
      <c r="D68" s="127" t="n">
        <v>0.665</v>
      </c>
      <c r="E68" s="0" t="n">
        <v>4.92347798333333</v>
      </c>
      <c r="F68" s="0" t="n">
        <v>23.1672442333333</v>
      </c>
      <c r="G68" s="0" t="n">
        <v>1768.2552</v>
      </c>
      <c r="H68" s="0" t="n">
        <v>64</v>
      </c>
      <c r="I68" s="0" t="n">
        <v>1</v>
      </c>
    </row>
    <row r="69">
      <c r="A69" s="0" t="inlineStr">
        <is>
          <t>GloVe-100</t>
        </is>
      </c>
      <c r="B69" s="0" t="inlineStr">
        <is>
          <t>ANNProof</t>
        </is>
      </c>
      <c r="C69" s="127" t="n">
        <v>0.65</v>
      </c>
      <c r="D69" s="127" t="n">
        <v>0.665</v>
      </c>
      <c r="E69" s="0" t="n">
        <v>4.92347798333333</v>
      </c>
      <c r="F69" s="0" t="n">
        <v>23.1672442333333</v>
      </c>
      <c r="G69" s="0" t="n">
        <v>1768.2552</v>
      </c>
      <c r="H69" s="0" t="n">
        <v>64</v>
      </c>
      <c r="I69" s="0" t="n">
        <v>1</v>
      </c>
    </row>
    <row r="70">
      <c r="A70" s="0" t="inlineStr">
        <is>
          <t>GloVe-100</t>
        </is>
      </c>
      <c r="B70" s="0" t="inlineStr">
        <is>
          <t>ANNProof</t>
        </is>
      </c>
      <c r="C70" s="127" t="n">
        <v>0.7</v>
      </c>
      <c r="D70" s="127" t="n">
        <v>0.775</v>
      </c>
      <c r="E70" s="0" t="n">
        <v>8.64324116666667</v>
      </c>
      <c r="F70" s="0" t="n">
        <v>37.8451976166667</v>
      </c>
      <c r="G70" s="0" t="n">
        <v>2889.171</v>
      </c>
      <c r="H70" s="0" t="n">
        <v>128</v>
      </c>
      <c r="I70" s="0" t="n">
        <v>1</v>
      </c>
    </row>
    <row r="71">
      <c r="A71" s="0" t="inlineStr">
        <is>
          <t>GloVe-100</t>
        </is>
      </c>
      <c r="B71" s="0" t="inlineStr">
        <is>
          <t>ANNProof</t>
        </is>
      </c>
      <c r="C71" s="127" t="n">
        <v>0.75</v>
      </c>
      <c r="D71" s="127" t="n">
        <v>0.775</v>
      </c>
      <c r="E71" s="0" t="n">
        <v>8.64324116666667</v>
      </c>
      <c r="F71" s="0" t="n">
        <v>37.8451976166667</v>
      </c>
      <c r="G71" s="0" t="n">
        <v>2889.171</v>
      </c>
      <c r="H71" s="0" t="n">
        <v>128</v>
      </c>
      <c r="I71" s="0" t="n">
        <v>1</v>
      </c>
    </row>
    <row r="72">
      <c r="A72" s="0" t="inlineStr">
        <is>
          <t>GloVe-100</t>
        </is>
      </c>
      <c r="B72" s="0" t="inlineStr">
        <is>
          <t>ANNProof</t>
        </is>
      </c>
      <c r="C72" s="127" t="n">
        <v>0.8</v>
      </c>
      <c r="D72" s="127" t="n">
        <v>0.835</v>
      </c>
      <c r="E72" s="0" t="n">
        <v>11.9039628833333</v>
      </c>
      <c r="F72" s="0" t="n">
        <v>51.5586544166667</v>
      </c>
      <c r="G72" s="0" t="n">
        <v>3909.6394</v>
      </c>
      <c r="H72" s="0" t="n">
        <v>192</v>
      </c>
      <c r="I72" s="0" t="n">
        <v>1</v>
      </c>
    </row>
    <row r="73">
      <c r="A73" s="0" t="inlineStr">
        <is>
          <t>GloVe-100</t>
        </is>
      </c>
      <c r="B73" s="0" t="inlineStr">
        <is>
          <t>ANNProof</t>
        </is>
      </c>
      <c r="C73" s="127" t="n">
        <v>0.85</v>
      </c>
      <c r="D73" s="127" t="n">
        <v>0.875</v>
      </c>
      <c r="E73" s="0" t="n">
        <v>15.25740905</v>
      </c>
      <c r="F73" s="0" t="n">
        <v>65.0245705333333</v>
      </c>
      <c r="G73" s="0" t="n">
        <v>4944.9728</v>
      </c>
      <c r="H73" s="0" t="n">
        <v>256</v>
      </c>
      <c r="I73" s="0" t="n">
        <v>1</v>
      </c>
    </row>
    <row r="74">
      <c r="A74" s="0" t="inlineStr">
        <is>
          <t>GloVe-100</t>
        </is>
      </c>
      <c r="B74" s="0" t="inlineStr">
        <is>
          <t>ANNProof</t>
        </is>
      </c>
      <c r="C74" s="127" t="n">
        <v>0.9</v>
      </c>
      <c r="D74" s="127" t="n">
        <v>0.9</v>
      </c>
      <c r="E74" s="0" t="n">
        <v>20.8722866666667</v>
      </c>
      <c r="F74" s="0" t="n">
        <v>88.47731368333331</v>
      </c>
      <c r="G74" s="0" t="n">
        <v>6713.085</v>
      </c>
      <c r="H74" s="0" t="n">
        <v>384</v>
      </c>
      <c r="I74" s="0" t="n">
        <v>1</v>
      </c>
    </row>
    <row r="75">
      <c r="A75" s="0" t="inlineStr">
        <is>
          <t>GloVe-100</t>
        </is>
      </c>
      <c r="B75" s="0" t="inlineStr">
        <is>
          <t>ANNProof</t>
        </is>
      </c>
      <c r="C75" s="127" t="n">
        <v>0.95</v>
      </c>
      <c r="D75" s="127" t="n">
        <v>0.955</v>
      </c>
      <c r="E75" s="0" t="n">
        <v>69.7219818833333</v>
      </c>
      <c r="F75" s="0" t="n">
        <v>263.942687483333</v>
      </c>
      <c r="G75" s="0" t="n">
        <v>20286.7284</v>
      </c>
      <c r="H75" s="0" t="n">
        <v>1536</v>
      </c>
      <c r="I75" s="0" t="n">
        <v>1</v>
      </c>
    </row>
    <row r="76">
      <c r="A76" s="0" t="inlineStr">
        <is>
          <t>GloVe-100</t>
        </is>
      </c>
      <c r="B76" s="0" t="inlineStr">
        <is>
          <t>ANNProof</t>
        </is>
      </c>
      <c r="C76" s="127" t="n">
        <v>0.97</v>
      </c>
      <c r="D76" s="127" t="n">
        <v>0.975</v>
      </c>
      <c r="E76" s="0" t="n">
        <v>87.9987959833333</v>
      </c>
      <c r="F76" s="0" t="n">
        <v>330.828721833333</v>
      </c>
      <c r="G76" s="0" t="n">
        <v>25439.6608</v>
      </c>
      <c r="H76" s="0" t="n">
        <v>2048</v>
      </c>
      <c r="I76" s="0" t="n">
        <v>1</v>
      </c>
    </row>
    <row r="77">
      <c r="A77" s="0" t="inlineStr">
        <is>
          <t>GloVe-100</t>
        </is>
      </c>
      <c r="B77" s="0" t="inlineStr">
        <is>
          <t>ANNProof</t>
        </is>
      </c>
      <c r="C77" s="127" t="n">
        <v>0.98</v>
      </c>
      <c r="D77" s="127" t="n">
        <v>0.985</v>
      </c>
      <c r="E77" s="0" t="n">
        <v>164.089183766667</v>
      </c>
      <c r="F77" s="0" t="n">
        <v>572.20322455</v>
      </c>
      <c r="G77" s="0" t="n">
        <v>43668.8608</v>
      </c>
      <c r="H77" s="0" t="n">
        <v>4096</v>
      </c>
      <c r="I77" s="0" t="n">
        <v>1</v>
      </c>
    </row>
    <row r="78">
      <c r="A78" s="0" t="inlineStr">
        <is>
          <t>GloVe-100</t>
        </is>
      </c>
      <c r="B78" s="0" t="inlineStr">
        <is>
          <t>ANNProof</t>
        </is>
      </c>
      <c r="C78" s="127" t="n">
        <v>0.99</v>
      </c>
      <c r="D78" s="127" t="n">
        <v>0.99</v>
      </c>
      <c r="E78" s="0" t="n">
        <v>302.3812472</v>
      </c>
      <c r="F78" s="0" t="n">
        <v>986.772749533333</v>
      </c>
      <c r="G78" s="0" t="n">
        <v>73904.36840000001</v>
      </c>
      <c r="H78" s="0" t="n">
        <v>8192</v>
      </c>
      <c r="I78" s="0" t="n">
        <v>1</v>
      </c>
    </row>
    <row r="79">
      <c r="A79" s="0" t="inlineStr">
        <is>
          <t>GloVe-100</t>
        </is>
      </c>
      <c r="B79" s="0" t="inlineStr">
        <is>
          <t>Ours</t>
        </is>
      </c>
      <c r="C79" s="127" t="n">
        <v>0.6</v>
      </c>
      <c r="D79" s="127" t="n">
        <v>0.605</v>
      </c>
      <c r="E79" s="0" t="n">
        <v>3.95783811666667</v>
      </c>
      <c r="F79" s="0" t="n">
        <v>10.0785719</v>
      </c>
      <c r="G79" s="0" t="n">
        <v>433.98015</v>
      </c>
      <c r="H79" s="0" t="n">
        <v>64</v>
      </c>
      <c r="I79" s="0" t="n">
        <v>1</v>
      </c>
    </row>
    <row r="80">
      <c r="A80" s="0" t="inlineStr">
        <is>
          <t>GloVe-100</t>
        </is>
      </c>
      <c r="B80" s="0" t="inlineStr">
        <is>
          <t>Ours</t>
        </is>
      </c>
      <c r="C80" s="127" t="n">
        <v>0.65</v>
      </c>
      <c r="D80" s="127" t="n">
        <v>0.715</v>
      </c>
      <c r="E80" s="0" t="n">
        <v>5.54844886666667</v>
      </c>
      <c r="F80" s="0" t="n">
        <v>13.6206651666667</v>
      </c>
      <c r="G80" s="0" t="n">
        <v>568.61565</v>
      </c>
      <c r="H80" s="0" t="n">
        <v>96</v>
      </c>
      <c r="I80" s="0" t="n">
        <v>1</v>
      </c>
    </row>
    <row r="81">
      <c r="A81" s="0" t="inlineStr">
        <is>
          <t>GloVe-100</t>
        </is>
      </c>
      <c r="B81" s="0" t="inlineStr">
        <is>
          <t>Ours</t>
        </is>
      </c>
      <c r="C81" s="127" t="n">
        <v>0.7</v>
      </c>
      <c r="D81" s="127" t="n">
        <v>0.715</v>
      </c>
      <c r="E81" s="0" t="n">
        <v>5.54844886666667</v>
      </c>
      <c r="F81" s="0" t="n">
        <v>13.6206651666667</v>
      </c>
      <c r="G81" s="0" t="n">
        <v>568.61565</v>
      </c>
      <c r="H81" s="0" t="n">
        <v>96</v>
      </c>
      <c r="I81" s="0" t="n">
        <v>1</v>
      </c>
    </row>
    <row r="82">
      <c r="A82" s="0" t="inlineStr">
        <is>
          <t>GloVe-100</t>
        </is>
      </c>
      <c r="B82" s="0" t="inlineStr">
        <is>
          <t>Ours</t>
        </is>
      </c>
      <c r="C82" s="127" t="n">
        <v>0.75</v>
      </c>
      <c r="D82" s="127" t="n">
        <v>0.8100000000000001</v>
      </c>
      <c r="E82" s="0" t="n">
        <v>9.4764108</v>
      </c>
      <c r="F82" s="0" t="n">
        <v>22.532446</v>
      </c>
      <c r="G82" s="0" t="n">
        <v>914.7816</v>
      </c>
      <c r="H82" s="0" t="n">
        <v>192</v>
      </c>
      <c r="I82" s="0" t="n">
        <v>1</v>
      </c>
    </row>
    <row r="83">
      <c r="A83" s="0" t="inlineStr">
        <is>
          <t>GloVe-100</t>
        </is>
      </c>
      <c r="B83" s="0" t="inlineStr">
        <is>
          <t>Ours</t>
        </is>
      </c>
      <c r="C83" s="127" t="n">
        <v>0.8</v>
      </c>
      <c r="D83" s="127" t="n">
        <v>0.8100000000000001</v>
      </c>
      <c r="E83" s="0" t="n">
        <v>9.4764108</v>
      </c>
      <c r="F83" s="0" t="n">
        <v>22.532446</v>
      </c>
      <c r="G83" s="0" t="n">
        <v>914.7816</v>
      </c>
      <c r="H83" s="0" t="n">
        <v>192</v>
      </c>
      <c r="I83" s="0" t="n">
        <v>1</v>
      </c>
    </row>
    <row r="84">
      <c r="A84" s="0" t="inlineStr">
        <is>
          <t>GloVe-100</t>
        </is>
      </c>
      <c r="B84" s="0" t="inlineStr">
        <is>
          <t>Ours</t>
        </is>
      </c>
      <c r="C84" s="127" t="n">
        <v>0.85</v>
      </c>
      <c r="D84" s="127" t="n">
        <v>0.855</v>
      </c>
      <c r="E84" s="0" t="n">
        <v>11.80332585</v>
      </c>
      <c r="F84" s="0" t="n">
        <v>27.8385452166667</v>
      </c>
      <c r="G84" s="0" t="n">
        <v>1116.3342</v>
      </c>
      <c r="H84" s="0" t="n">
        <v>256</v>
      </c>
      <c r="I84" s="0" t="n">
        <v>1</v>
      </c>
    </row>
    <row r="85">
      <c r="A85" s="0" t="inlineStr">
        <is>
          <t>GloVe-100</t>
        </is>
      </c>
      <c r="B85" s="0" t="inlineStr">
        <is>
          <t>Ours</t>
        </is>
      </c>
      <c r="C85" s="127" t="n">
        <v>0.9</v>
      </c>
      <c r="D85" s="127" t="n">
        <v>0.91</v>
      </c>
      <c r="E85" s="0" t="n">
        <v>20.9300079</v>
      </c>
      <c r="F85" s="0" t="n">
        <v>47.1646365666667</v>
      </c>
      <c r="G85" s="0" t="n">
        <v>1801.49875</v>
      </c>
      <c r="H85" s="0" t="n">
        <v>512</v>
      </c>
      <c r="I85" s="0" t="n">
        <v>1</v>
      </c>
    </row>
    <row r="86">
      <c r="A86" s="0" t="inlineStr">
        <is>
          <t>GloVe-100</t>
        </is>
      </c>
      <c r="B86" s="0" t="inlineStr">
        <is>
          <t>Ours</t>
        </is>
      </c>
      <c r="C86" s="127" t="n">
        <v>0.95</v>
      </c>
      <c r="D86" s="127" t="n">
        <v>0.96</v>
      </c>
      <c r="E86" s="0" t="n">
        <v>52.0690504666667</v>
      </c>
      <c r="F86" s="0" t="n">
        <v>110.41652915</v>
      </c>
      <c r="G86" s="0" t="n">
        <v>3831.7115</v>
      </c>
      <c r="H86" s="0" t="n">
        <v>1536</v>
      </c>
      <c r="I86" s="0" t="n">
        <v>1</v>
      </c>
    </row>
    <row r="87">
      <c r="A87" s="0" t="inlineStr">
        <is>
          <t>GloVe-100</t>
        </is>
      </c>
      <c r="B87" s="0" t="inlineStr">
        <is>
          <t>Ours</t>
        </is>
      </c>
      <c r="C87" s="127" t="n">
        <v>0.97</v>
      </c>
      <c r="D87" s="127" t="n">
        <v>0.975</v>
      </c>
      <c r="E87" s="0" t="n">
        <v>66.0417216333333</v>
      </c>
      <c r="F87" s="0" t="n">
        <v>138.8817882</v>
      </c>
      <c r="G87" s="0" t="n">
        <v>4656.3122</v>
      </c>
      <c r="H87" s="0" t="n">
        <v>2048</v>
      </c>
      <c r="I87" s="0" t="n">
        <v>1</v>
      </c>
    </row>
    <row r="88">
      <c r="A88" s="0" t="inlineStr">
        <is>
          <t>GloVe-100</t>
        </is>
      </c>
      <c r="B88" s="0" t="inlineStr">
        <is>
          <t>Ours</t>
        </is>
      </c>
      <c r="C88" s="127" t="n">
        <v>0.98</v>
      </c>
      <c r="D88" s="127" t="n">
        <v>0.985</v>
      </c>
      <c r="E88" s="0" t="n">
        <v>119.74718415</v>
      </c>
      <c r="F88" s="0" t="n">
        <v>249.028947166667</v>
      </c>
      <c r="G88" s="0" t="n">
        <v>7489.0097</v>
      </c>
      <c r="H88" s="0" t="n">
        <v>4096</v>
      </c>
      <c r="I88" s="0" t="n">
        <v>1</v>
      </c>
    </row>
    <row r="89">
      <c r="A89" s="0" t="inlineStr">
        <is>
          <t>GloVe-100</t>
        </is>
      </c>
      <c r="B89" s="0" t="inlineStr">
        <is>
          <t>Ours</t>
        </is>
      </c>
      <c r="C89" s="127" t="n">
        <v>0.99</v>
      </c>
      <c r="D89" s="127" t="n">
        <v>0.995</v>
      </c>
      <c r="E89" s="0" t="n">
        <v>225.599757116667</v>
      </c>
      <c r="F89" s="0" t="n">
        <v>476.421713883333</v>
      </c>
      <c r="G89" s="0" t="n">
        <v>12067.1025</v>
      </c>
      <c r="H89" s="0" t="n">
        <v>8192</v>
      </c>
      <c r="I89" s="0" t="n">
        <v>1</v>
      </c>
    </row>
    <row r="90">
      <c r="A90" s="0" t="inlineStr">
        <is>
          <t>GloVe-100</t>
        </is>
      </c>
      <c r="B90" s="0" t="inlineStr">
        <is>
          <t>VLAH</t>
        </is>
      </c>
      <c r="C90" s="127" t="n">
        <v>0.6</v>
      </c>
      <c r="D90" s="127" t="n">
        <v>0.6</v>
      </c>
      <c r="E90" s="0" t="n">
        <v>191.6756877</v>
      </c>
      <c r="F90" s="0" t="n">
        <v>469.069549433333</v>
      </c>
      <c r="G90" s="0" t="n">
        <v>71940.71705000001</v>
      </c>
      <c r="H90" s="0" t="n">
        <v>200</v>
      </c>
      <c r="I90" s="0" t="n">
        <v>26</v>
      </c>
    </row>
    <row r="91">
      <c r="A91" s="0" t="inlineStr">
        <is>
          <t>GloVe-100</t>
        </is>
      </c>
      <c r="B91" s="0" t="inlineStr">
        <is>
          <t>VLAH</t>
        </is>
      </c>
      <c r="C91" s="127" t="n">
        <v>0.65</v>
      </c>
      <c r="D91" s="127" t="n">
        <v>0.66</v>
      </c>
      <c r="E91" s="0" t="n">
        <v>214.483257416667</v>
      </c>
      <c r="F91" s="0" t="n">
        <v>523.3854418333329</v>
      </c>
      <c r="G91" s="0" t="n">
        <v>80033.77295</v>
      </c>
      <c r="H91" s="0" t="n">
        <v>200</v>
      </c>
      <c r="I91" s="0" t="n">
        <v>29</v>
      </c>
    </row>
    <row r="92">
      <c r="A92" s="0" t="inlineStr">
        <is>
          <t>GloVe-100</t>
        </is>
      </c>
      <c r="B92" s="0" t="inlineStr">
        <is>
          <t>VLAH</t>
        </is>
      </c>
      <c r="C92" s="127" t="n">
        <v>0.7</v>
      </c>
      <c r="D92" s="127" t="n">
        <v>0.7</v>
      </c>
      <c r="E92" s="0" t="n">
        <v>255.16067945</v>
      </c>
      <c r="F92" s="0" t="n">
        <v>615.426474783333</v>
      </c>
      <c r="G92" s="0" t="n">
        <v>93865.80645</v>
      </c>
      <c r="H92" s="0" t="n">
        <v>200</v>
      </c>
      <c r="I92" s="0" t="n">
        <v>34</v>
      </c>
    </row>
    <row r="93">
      <c r="A93" s="0" t="inlineStr">
        <is>
          <t>GloVe-100</t>
        </is>
      </c>
      <c r="B93" s="0" t="inlineStr">
        <is>
          <t>VLAH</t>
        </is>
      </c>
      <c r="C93" s="127" t="n">
        <v>0.75</v>
      </c>
      <c r="D93" s="127" t="n">
        <v>0.755</v>
      </c>
      <c r="E93" s="0" t="n">
        <v>272.635821866667</v>
      </c>
      <c r="F93" s="0" t="n">
        <v>668.950644383333</v>
      </c>
      <c r="G93" s="0" t="n">
        <v>101923.7214</v>
      </c>
      <c r="H93" s="0" t="n">
        <v>200</v>
      </c>
      <c r="I93" s="0" t="n">
        <v>37</v>
      </c>
    </row>
    <row r="94">
      <c r="A94" s="0" t="inlineStr">
        <is>
          <t>GloVe-100</t>
        </is>
      </c>
      <c r="B94" s="0" t="inlineStr">
        <is>
          <t>VLAH</t>
        </is>
      </c>
      <c r="C94" s="127" t="n">
        <v>0.8</v>
      </c>
      <c r="D94" s="127" t="n">
        <v>0.8</v>
      </c>
      <c r="E94" s="0" t="n">
        <v>297.966906316667</v>
      </c>
      <c r="F94" s="0" t="n">
        <v>726.525109466667</v>
      </c>
      <c r="G94" s="0" t="n">
        <v>110226.50895</v>
      </c>
      <c r="H94" s="0" t="n">
        <v>200</v>
      </c>
      <c r="I94" s="0" t="n">
        <v>40</v>
      </c>
    </row>
    <row r="95">
      <c r="A95" s="0" t="inlineStr">
        <is>
          <t>GloVe-100</t>
        </is>
      </c>
      <c r="B95" s="0" t="inlineStr">
        <is>
          <t>VLAH</t>
        </is>
      </c>
      <c r="C95" s="127" t="n">
        <v>0.85</v>
      </c>
      <c r="D95" s="127" t="n">
        <v>0.85</v>
      </c>
      <c r="E95" s="0" t="n">
        <v>362.26386005</v>
      </c>
      <c r="F95" s="0" t="n">
        <v>872.817767766667</v>
      </c>
      <c r="G95" s="0" t="n">
        <v>133079.4778</v>
      </c>
      <c r="H95" s="0" t="n">
        <v>200</v>
      </c>
      <c r="I95" s="0" t="n">
        <v>48</v>
      </c>
    </row>
    <row r="96">
      <c r="A96" s="0" t="inlineStr">
        <is>
          <t>GloVe-100</t>
        </is>
      </c>
      <c r="B96" s="0" t="inlineStr">
        <is>
          <t>VLAH</t>
        </is>
      </c>
      <c r="C96" s="127" t="n">
        <v>0.9</v>
      </c>
      <c r="D96" s="127" t="n">
        <v>0.9</v>
      </c>
      <c r="E96" s="0" t="n">
        <v>391.939616166667</v>
      </c>
      <c r="F96" s="0" t="n">
        <v>950.4888157833331</v>
      </c>
      <c r="G96" s="0" t="n">
        <v>144688.8688</v>
      </c>
      <c r="H96" s="0" t="n">
        <v>200</v>
      </c>
      <c r="I96" s="0" t="n">
        <v>52</v>
      </c>
    </row>
    <row r="97">
      <c r="A97" s="0" t="inlineStr">
        <is>
          <t>GloVe-100</t>
        </is>
      </c>
      <c r="B97" s="0" t="inlineStr">
        <is>
          <t>VLAH</t>
        </is>
      </c>
      <c r="C97" s="127" t="n">
        <v>0.95</v>
      </c>
      <c r="D97" s="127" t="n">
        <v>0.95</v>
      </c>
      <c r="E97" s="0" t="n">
        <v>420.781040966667</v>
      </c>
      <c r="F97" s="0" t="n">
        <v>1028.47328478333</v>
      </c>
      <c r="G97" s="0" t="n">
        <v>156085.1456</v>
      </c>
      <c r="H97" s="0" t="n">
        <v>200</v>
      </c>
      <c r="I97" s="0" t="n">
        <v>56</v>
      </c>
    </row>
    <row r="98">
      <c r="A98" s="0" t="inlineStr">
        <is>
          <t>GloVe-100</t>
        </is>
      </c>
      <c r="B98" s="0" t="inlineStr">
        <is>
          <t>VLAH</t>
        </is>
      </c>
      <c r="C98" s="127" t="n">
        <v>0.97</v>
      </c>
      <c r="D98" s="127" t="n">
        <v>0.975</v>
      </c>
      <c r="E98" s="0" t="n">
        <v>443.8091156</v>
      </c>
      <c r="F98" s="0" t="n">
        <v>1065.72324375</v>
      </c>
      <c r="G98" s="0" t="n">
        <v>161728.77015</v>
      </c>
      <c r="H98" s="0" t="n">
        <v>200</v>
      </c>
      <c r="I98" s="0" t="n">
        <v>58</v>
      </c>
    </row>
    <row r="99">
      <c r="A99" s="0" t="inlineStr">
        <is>
          <t>GloVe-100</t>
        </is>
      </c>
      <c r="B99" s="0" t="inlineStr">
        <is>
          <t>VLAH</t>
        </is>
      </c>
      <c r="C99" s="127" t="n">
        <v>0.98</v>
      </c>
      <c r="D99" s="127" t="n">
        <v>0.99</v>
      </c>
      <c r="E99" s="0" t="n">
        <v>451.888928783333</v>
      </c>
      <c r="F99" s="0" t="n">
        <v>1099.20293456667</v>
      </c>
      <c r="G99" s="0" t="n">
        <v>166742.1118</v>
      </c>
      <c r="H99" s="0" t="n">
        <v>200</v>
      </c>
      <c r="I99" s="0" t="n">
        <v>60</v>
      </c>
    </row>
    <row r="100">
      <c r="A100" s="0" t="inlineStr">
        <is>
          <t>GloVe-100</t>
        </is>
      </c>
      <c r="B100" s="0" t="inlineStr">
        <is>
          <t>VLAH</t>
        </is>
      </c>
      <c r="C100" s="127" t="n">
        <v>0.99</v>
      </c>
      <c r="D100" s="127" t="n">
        <v>0.99</v>
      </c>
      <c r="E100" s="0" t="n">
        <v>451.888928783333</v>
      </c>
      <c r="F100" s="0" t="n">
        <v>1099.20293456667</v>
      </c>
      <c r="G100" s="0" t="n">
        <v>166742.1118</v>
      </c>
      <c r="H100" s="0" t="n">
        <v>200</v>
      </c>
      <c r="I100" s="0" t="n">
        <v>60</v>
      </c>
    </row>
  </sheetData>
  <pageMargins left="0.75" right="0.75" top="1" bottom="1" header="0.5" footer="0.5"/>
  <drawing xmlns:r="http://schemas.openxmlformats.org/officeDocument/2006/relationships" r:id="rId1"/>
</worksheet>
</file>

<file path=xl/worksheets/sheet24.xml><?xml version="1.0" encoding="utf-8"?>
<worksheet xmlns="http://schemas.openxmlformats.org/spreadsheetml/2006/main">
  <sheetPr>
    <outlinePr summaryBelow="1" summaryRight="1"/>
    <pageSetUpPr/>
  </sheetPr>
  <dimension ref="A1:K16"/>
  <sheetViews>
    <sheetView workbookViewId="0">
      <selection activeCell="A1" sqref="A1"/>
    </sheetView>
  </sheetViews>
  <sheetFormatPr baseColWidth="8" defaultColWidth="9" defaultRowHeight="13.5"/>
  <sheetData>
    <row r="1">
      <c r="A1" s="0" t="inlineStr">
        <is>
          <t>method</t>
        </is>
      </c>
      <c r="B1" s="0" t="inlineStr">
        <is>
          <t>N</t>
        </is>
      </c>
      <c r="C1" s="0" t="inlineStr">
        <is>
          <t>k</t>
        </is>
      </c>
      <c r="D1" s="0" t="inlineStr">
        <is>
          <t>efSearch/E</t>
        </is>
      </c>
      <c r="E1" s="0" t="inlineStr">
        <is>
          <t>probes</t>
        </is>
      </c>
      <c r="F1" s="0" t="inlineStr">
        <is>
          <t>actual Recall@10</t>
        </is>
      </c>
      <c r="G1" s="0" t="inlineStr">
        <is>
          <t>Query ms</t>
        </is>
      </c>
      <c r="H1" s="0" t="inlineStr">
        <is>
          <t>Verify ms</t>
        </is>
      </c>
      <c r="I1" s="0" t="inlineStr">
        <is>
          <t>VO KB</t>
        </is>
      </c>
      <c r="J1" s="0" t="inlineStr">
        <is>
          <t>samples</t>
        </is>
      </c>
      <c r="K1" s="0" t="inlineStr">
        <is>
          <t>raw CSV</t>
        </is>
      </c>
    </row>
    <row r="2">
      <c r="A2" s="0" t="inlineStr">
        <is>
          <t>ANNProof</t>
        </is>
      </c>
      <c r="B2" s="0" t="n">
        <v>100000</v>
      </c>
      <c r="C2" s="0" t="n">
        <v>10</v>
      </c>
      <c r="D2" s="0" t="n">
        <v>48</v>
      </c>
      <c r="E2" s="0" t="n">
        <v>1</v>
      </c>
      <c r="F2" s="127" t="n">
        <v>0.95</v>
      </c>
      <c r="G2" s="0" t="n">
        <v>1.7697227</v>
      </c>
      <c r="H2" s="0" t="n">
        <v>8.31754258333333</v>
      </c>
      <c r="I2" s="0" t="n">
        <v>644.186</v>
      </c>
      <c r="J2" s="0" t="n">
        <v>60</v>
      </c>
      <c r="K2" s="0" t="inlineStr">
        <is>
          <t>/mnt/d/paper_source/work_9/VeriANN_repro_2026-09-30/VeriANN_repro_2026-09-30/results/work9-multidata-20261015/deep1m/ANNProof-size-100000/per_query.csv</t>
        </is>
      </c>
    </row>
    <row r="3">
      <c r="A3" s="0" t="inlineStr">
        <is>
          <t>ANNProof</t>
        </is>
      </c>
      <c r="B3" s="0" t="n">
        <v>500000</v>
      </c>
      <c r="C3" s="0" t="n">
        <v>10</v>
      </c>
      <c r="D3" s="0" t="n">
        <v>48</v>
      </c>
      <c r="E3" s="0" t="n">
        <v>1</v>
      </c>
      <c r="F3" s="127" t="n">
        <v>0.955</v>
      </c>
      <c r="G3" s="0" t="n">
        <v>2.28107513333333</v>
      </c>
      <c r="H3" s="0" t="n">
        <v>11.3754679</v>
      </c>
      <c r="I3" s="0" t="n">
        <v>852.6844</v>
      </c>
      <c r="J3" s="0" t="n">
        <v>60</v>
      </c>
      <c r="K3" s="0" t="inlineStr">
        <is>
          <t>/mnt/d/paper_source/work_9/VeriANN_repro_2026-09-30/VeriANN_repro_2026-09-30/results/work9-multidata-20261015/deep1m/ANNProof-size-500000/per_query.csv</t>
        </is>
      </c>
    </row>
    <row r="4">
      <c r="A4" s="0" t="inlineStr">
        <is>
          <t>ANNProof</t>
        </is>
      </c>
      <c r="B4" s="0" t="n">
        <v>1000000</v>
      </c>
      <c r="C4" s="0" t="n">
        <v>10</v>
      </c>
      <c r="D4" s="0" t="n">
        <v>64</v>
      </c>
      <c r="E4" s="0" t="n">
        <v>1</v>
      </c>
      <c r="F4" s="127" t="n">
        <v>0.975</v>
      </c>
      <c r="G4" s="0" t="n">
        <v>3.15865693333333</v>
      </c>
      <c r="H4" s="0" t="n">
        <v>15.4261976166667</v>
      </c>
      <c r="I4" s="0" t="n">
        <v>1154.7938</v>
      </c>
      <c r="J4" s="0" t="n">
        <v>60</v>
      </c>
      <c r="K4" s="0" t="inlineStr">
        <is>
          <t>/mnt/d/paper_source/work_9/VeriANN_repro_2026-09-30/VeriANN_repro_2026-09-30/results/work9-multidata-20261015/deep1m/ANNProof-curve-1000000/per_query.csv</t>
        </is>
      </c>
    </row>
    <row r="5">
      <c r="A5" s="0" t="inlineStr">
        <is>
          <t>ANNProof</t>
        </is>
      </c>
      <c r="B5" s="0" t="n">
        <v>5000000</v>
      </c>
      <c r="C5" s="0" t="n">
        <v>10</v>
      </c>
      <c r="D5" s="0" t="n">
        <v>96</v>
      </c>
      <c r="E5" s="0" t="n">
        <v>1</v>
      </c>
      <c r="F5" s="127" t="n">
        <v>0.955</v>
      </c>
      <c r="G5" s="0" t="n">
        <v>6.14507238333333</v>
      </c>
      <c r="H5" s="0" t="n">
        <v>25.9699077166667</v>
      </c>
      <c r="I5" s="0" t="n">
        <v>1976.1628</v>
      </c>
      <c r="J5" s="0" t="n">
        <v>60</v>
      </c>
      <c r="K5" s="0" t="inlineStr">
        <is>
          <t>/mnt/d/paper_source/work_9/VeriANN_repro_2026-09-30/VeriANN_repro_2026-09-30/results/work9-deep10m-20261015/ANNProof-size-5000000/per_query.csv</t>
        </is>
      </c>
    </row>
    <row r="6">
      <c r="A6" s="0" t="inlineStr">
        <is>
          <t>ANNProof</t>
        </is>
      </c>
      <c r="B6" s="0" t="n">
        <v>10000000</v>
      </c>
      <c r="C6" s="0" t="n">
        <v>10</v>
      </c>
      <c r="D6" s="0" t="n">
        <v>128</v>
      </c>
      <c r="E6" s="0" t="n">
        <v>1</v>
      </c>
      <c r="F6" s="127" t="n">
        <v>0.955</v>
      </c>
      <c r="G6" s="0" t="n">
        <v>9.09569141666667</v>
      </c>
      <c r="H6" s="0" t="n">
        <v>35.1169640833333</v>
      </c>
      <c r="I6" s="0" t="n">
        <v>2671.927</v>
      </c>
      <c r="J6" s="0" t="n">
        <v>60</v>
      </c>
      <c r="K6" s="0" t="inlineStr">
        <is>
          <t>/mnt/d/paper_source/work_9/VeriANN_repro_2026-09-30/VeriANN_repro_2026-09-30/results/work9-deep10m-20261015/ANNProof-size-10000000/per_query.csv</t>
        </is>
      </c>
    </row>
    <row r="7">
      <c r="A7" s="0" t="inlineStr">
        <is>
          <t>VLAH</t>
        </is>
      </c>
      <c r="B7" s="0" t="n">
        <v>100000</v>
      </c>
      <c r="C7" s="0" t="n">
        <v>10</v>
      </c>
      <c r="D7" s="0" t="n">
        <v>100</v>
      </c>
      <c r="E7" s="0" t="n">
        <v>5</v>
      </c>
      <c r="F7" s="127" t="n">
        <v>1</v>
      </c>
      <c r="G7" s="0" t="n">
        <v>11.1942364166667</v>
      </c>
      <c r="H7" s="0" t="n">
        <v>30.6691185833333</v>
      </c>
      <c r="I7" s="0" t="n">
        <v>4406.5916</v>
      </c>
      <c r="J7" s="0" t="n">
        <v>60</v>
      </c>
      <c r="K7" s="0" t="inlineStr">
        <is>
          <t>/mnt/d/paper_source/work_9/VeriANN_repro_2026-09-30/VeriANN_repro_2026-09-30/results/work9-multidata-20261015/deep1m/VLAH-size-100000/per_query.csv</t>
        </is>
      </c>
    </row>
    <row r="8">
      <c r="A8" s="0" t="inlineStr">
        <is>
          <t>VLAH</t>
        </is>
      </c>
      <c r="B8" s="0" t="n">
        <v>500000</v>
      </c>
      <c r="C8" s="0" t="n">
        <v>10</v>
      </c>
      <c r="D8" s="0" t="n">
        <v>100</v>
      </c>
      <c r="E8" s="0" t="n">
        <v>22</v>
      </c>
      <c r="F8" s="127" t="n">
        <v>0.955</v>
      </c>
      <c r="G8" s="0" t="n">
        <v>49.60916</v>
      </c>
      <c r="H8" s="0" t="n">
        <v>138.3154764</v>
      </c>
      <c r="I8" s="0" t="n">
        <v>19154.54795</v>
      </c>
      <c r="J8" s="0" t="n">
        <v>60</v>
      </c>
      <c r="K8" s="0" t="inlineStr">
        <is>
          <t>/mnt/d/paper_source/work_9/VeriANN_repro_2026-09-30/VeriANN_repro_2026-09-30/results/work9-multidata-20261015/deep1m/VLAH-size-500000/per_query.csv</t>
        </is>
      </c>
    </row>
    <row r="9">
      <c r="A9" s="0" t="inlineStr">
        <is>
          <t>VLAH</t>
        </is>
      </c>
      <c r="B9" s="0" t="n">
        <v>1000000</v>
      </c>
      <c r="C9" s="0" t="n">
        <v>10</v>
      </c>
      <c r="D9" s="0" t="n">
        <v>100</v>
      </c>
      <c r="E9" s="0" t="n">
        <v>44</v>
      </c>
      <c r="F9" s="127" t="n">
        <v>0.95</v>
      </c>
      <c r="G9" s="0" t="n">
        <v>106.513872866667</v>
      </c>
      <c r="H9" s="0" t="n">
        <v>280.071343333333</v>
      </c>
      <c r="I9" s="0" t="n">
        <v>38322.17155</v>
      </c>
      <c r="J9" s="0" t="n">
        <v>60</v>
      </c>
      <c r="K9" s="0" t="inlineStr">
        <is>
          <t>/mnt/d/paper_source/work_9/VeriANN_repro_2026-09-30/VeriANN_repro_2026-09-30/results/work9-multidata-20261015/deep1m/VLAH-curve-1000000/per_query.csv</t>
        </is>
      </c>
    </row>
    <row r="10">
      <c r="A10" s="0" t="inlineStr">
        <is>
          <t>VLAH</t>
        </is>
      </c>
      <c r="B10" s="0" t="n">
        <v>5000000</v>
      </c>
      <c r="C10" s="0" t="n">
        <v>10</v>
      </c>
      <c r="D10" s="0" t="n">
        <v>100</v>
      </c>
      <c r="E10" s="0" t="n">
        <v>203</v>
      </c>
      <c r="F10" s="127" t="n">
        <v>0.95</v>
      </c>
      <c r="G10" s="0" t="n">
        <v>550.324390433333</v>
      </c>
      <c r="H10" s="0" t="n">
        <v>1316.81213005</v>
      </c>
      <c r="I10" s="0" t="n">
        <v>175090.9835</v>
      </c>
      <c r="J10" s="0" t="n">
        <v>60</v>
      </c>
      <c r="K10" s="0" t="inlineStr">
        <is>
          <t>/mnt/d/paper_source/work_9/VeriANN_repro_2026-09-30/VeriANN_repro_2026-09-30/results/work9-deep10m-20261015/VLAH-size-5000000/per_query.csv</t>
        </is>
      </c>
    </row>
    <row r="11">
      <c r="A11" s="0" t="inlineStr">
        <is>
          <t>VLAH</t>
        </is>
      </c>
      <c r="B11" s="0" t="n">
        <v>10000000</v>
      </c>
      <c r="C11" s="0" t="n">
        <v>10</v>
      </c>
      <c r="D11" s="0" t="n">
        <v>100</v>
      </c>
      <c r="E11" s="0" t="n">
        <v>399</v>
      </c>
      <c r="F11" s="127" t="n">
        <v>0.95</v>
      </c>
      <c r="G11" s="0" t="n">
        <v>1070.8410505</v>
      </c>
      <c r="H11" s="0" t="n">
        <v>2659.4569935</v>
      </c>
      <c r="I11" s="0" t="n">
        <v>343751.79415</v>
      </c>
      <c r="J11" s="0" t="n">
        <v>60</v>
      </c>
      <c r="K11" s="0" t="inlineStr">
        <is>
          <t>/mnt/d/paper_source/work_9/VeriANN_repro_2026-09-30/VeriANN_repro_2026-09-30/results/work9-deep10m-20261015/VLAH-size-10000000/per_query.csv</t>
        </is>
      </c>
    </row>
    <row r="12">
      <c r="A12" s="0" t="inlineStr">
        <is>
          <t>Ours</t>
        </is>
      </c>
      <c r="B12" s="0" t="n">
        <v>100000</v>
      </c>
      <c r="C12" s="0" t="n">
        <v>10</v>
      </c>
      <c r="D12" s="0" t="n">
        <v>64</v>
      </c>
      <c r="E12" s="0" t="n">
        <v>1</v>
      </c>
      <c r="F12" s="127" t="n">
        <v>0.97</v>
      </c>
      <c r="G12" s="0" t="n">
        <v>1.46408101666667</v>
      </c>
      <c r="H12" s="0" t="n">
        <v>3.48295088333333</v>
      </c>
      <c r="I12" s="0" t="n">
        <v>158.2168</v>
      </c>
      <c r="J12" s="0" t="n">
        <v>60</v>
      </c>
      <c r="K12" s="0" t="inlineStr">
        <is>
          <t>/mnt/d/paper_source/work_9/VeriANN_repro_2026-09-30/VeriANN_repro_2026-09-30/results/work9-multidata-20261015/deep1m/Ours-size-100000/per_query.csv</t>
        </is>
      </c>
    </row>
    <row r="13">
      <c r="A13" s="0" t="inlineStr">
        <is>
          <t>Ours</t>
        </is>
      </c>
      <c r="B13" s="0" t="n">
        <v>500000</v>
      </c>
      <c r="C13" s="0" t="n">
        <v>10</v>
      </c>
      <c r="D13" s="0" t="n">
        <v>64</v>
      </c>
      <c r="E13" s="0" t="n">
        <v>1</v>
      </c>
      <c r="F13" s="127" t="n">
        <v>0.975</v>
      </c>
      <c r="G13" s="0" t="n">
        <v>2.29060276666667</v>
      </c>
      <c r="H13" s="0" t="n">
        <v>5.32543016666667</v>
      </c>
      <c r="I13" s="0" t="n">
        <v>232.5502</v>
      </c>
      <c r="J13" s="0" t="n">
        <v>60</v>
      </c>
      <c r="K13" s="0" t="inlineStr">
        <is>
          <t>/mnt/d/paper_source/work_9/VeriANN_repro_2026-09-30/VeriANN_repro_2026-09-30/results/work9-multidata-20261015/deep1m/Ours-size-500000/per_query.csv</t>
        </is>
      </c>
    </row>
    <row r="14">
      <c r="A14" s="0" t="inlineStr">
        <is>
          <t>Ours</t>
        </is>
      </c>
      <c r="B14" s="0" t="n">
        <v>1000000</v>
      </c>
      <c r="C14" s="0" t="n">
        <v>10</v>
      </c>
      <c r="D14" s="0" t="n">
        <v>64</v>
      </c>
      <c r="E14" s="0" t="n">
        <v>1</v>
      </c>
      <c r="F14" s="127" t="n">
        <v>0.975</v>
      </c>
      <c r="G14" s="0" t="n">
        <v>2.5314656</v>
      </c>
      <c r="H14" s="0" t="n">
        <v>6.1193687</v>
      </c>
      <c r="I14" s="0" t="n">
        <v>271.0874</v>
      </c>
      <c r="J14" s="0" t="n">
        <v>60</v>
      </c>
      <c r="K14" s="0" t="inlineStr">
        <is>
          <t>/mnt/d/paper_source/work_9/VeriANN_repro_2026-09-30/VeriANN_repro_2026-09-30/results/work9-multidata-20261015/deep1m/Ours-curve-1000000/per_query.csv</t>
        </is>
      </c>
    </row>
    <row r="15">
      <c r="A15" s="0" t="inlineStr">
        <is>
          <t>Ours</t>
        </is>
      </c>
      <c r="B15" s="0" t="n">
        <v>5000000</v>
      </c>
      <c r="C15" s="0" t="n">
        <v>10</v>
      </c>
      <c r="D15" s="0" t="n">
        <v>128</v>
      </c>
      <c r="E15" s="0" t="n">
        <v>1</v>
      </c>
      <c r="F15" s="127" t="n">
        <v>0.955</v>
      </c>
      <c r="G15" s="0" t="n">
        <v>6.15269876666667</v>
      </c>
      <c r="H15" s="0" t="n">
        <v>13.18477455</v>
      </c>
      <c r="I15" s="0" t="n">
        <v>561.5534</v>
      </c>
      <c r="J15" s="0" t="n">
        <v>60</v>
      </c>
      <c r="K15" s="0" t="inlineStr">
        <is>
          <t>/mnt/d/paper_source/work_9/VeriANN_repro_2026-09-30/VeriANN_repro_2026-09-30/results/work9-deep10m-20261015/Ours-size-5000000/per_query.csv</t>
        </is>
      </c>
    </row>
    <row r="16">
      <c r="A16" s="0" t="inlineStr">
        <is>
          <t>Ours</t>
        </is>
      </c>
      <c r="B16" s="0" t="n">
        <v>10000000</v>
      </c>
      <c r="C16" s="0" t="n">
        <v>10</v>
      </c>
      <c r="D16" s="0" t="n">
        <v>128</v>
      </c>
      <c r="E16" s="0" t="n">
        <v>1</v>
      </c>
      <c r="F16" s="127" t="n">
        <v>0.95</v>
      </c>
      <c r="G16" s="0" t="n">
        <v>7.25583046666667</v>
      </c>
      <c r="H16" s="0" t="n">
        <v>15.7888074166667</v>
      </c>
      <c r="I16" s="0" t="n">
        <v>651.6462</v>
      </c>
      <c r="J16" s="0" t="n">
        <v>60</v>
      </c>
      <c r="K16" s="0" t="inlineStr">
        <is>
          <t>/mnt/d/paper_source/work_9/VeriANN_repro_2026-09-30/VeriANN_repro_2026-09-30/results/work9-deep10m-20261015/Ours-size-10000000/per_query.csv</t>
        </is>
      </c>
    </row>
  </sheetData>
  <pageMargins left="0.75" right="0.75" top="1" bottom="1" header="0.5" footer="0.5"/>
  <drawing xmlns:r="http://schemas.openxmlformats.org/officeDocument/2006/relationships" r:id="rId1"/>
</worksheet>
</file>

<file path=xl/worksheets/sheet25.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activeCell="A1" sqref="A1"/>
      <selection pane="bottomLeft" activeCell="A1" sqref="A1"/>
    </sheetView>
  </sheetViews>
  <sheetFormatPr baseColWidth="8" defaultColWidth="9" defaultRowHeight="13.5"/>
  <cols>
    <col width="26" customWidth="1" style="1" min="1" max="1"/>
    <col width="100" customWidth="1" style="1" min="2" max="2"/>
  </cols>
  <sheetData>
    <row r="1">
      <c r="A1" s="0" t="inlineStr">
        <is>
          <t>项目</t>
        </is>
      </c>
      <c r="B1" s="0" t="inlineStr">
        <is>
          <t>说明</t>
        </is>
      </c>
    </row>
    <row r="2">
      <c r="A2" s="0" t="inlineStr">
        <is>
          <t>实验范围</t>
        </is>
      </c>
      <c r="B2" s="0" t="inlineStr">
        <is>
          <t>四数据集均使用前1M向量；GloVe原库1,183,514条，本消融固定前1M；其他已完成表格保持原实验规模。</t>
        </is>
      </c>
    </row>
    <row r="3">
      <c r="A3" s="0" t="inlineStr">
        <is>
          <t>样本与召回</t>
        </is>
      </c>
      <c r="B3" s="0" t="inlineStr">
        <is>
          <t>每组20条不同查询(ids 100..119) × 3次计时，k=10；单线程。以约95% Recall@10选参数；同一查询集调参及报告，是快速预览，不是独立留出评估。</t>
        </is>
      </c>
    </row>
    <row r="4">
      <c r="A4" s="0" t="inlineStr">
        <is>
          <t>共同配置</t>
        </is>
      </c>
      <c r="B4" s="0" t="inlineStr">
        <is>
          <t>HNSW M=16, efConstruction=200；构图16线程，查询/VO/验证1线程；SHA-256；量化版本共同启用LUT、隐式位置多证明及图BFS叶排序。SIFT旧主表的M=8配置不用于本消融。</t>
        </is>
      </c>
    </row>
    <row r="5">
      <c r="A5" s="0" t="inlineStr">
        <is>
          <t>NSW解释</t>
        </is>
      </c>
      <c r="B5" s="0" t="inlineStr">
        <is>
          <t>按用户确认，原表Merkle+NSW沿用当前HNSW，行名已明确改为Merkle+HNSW。</t>
        </is>
      </c>
    </row>
    <row r="6">
      <c r="A6" s="0" t="inlineStr">
        <is>
          <t>(i) 渐进量化</t>
        </is>
      </c>
      <c r="B6" s="0" t="inlineStr">
        <is>
          <t>SQ4→SQ6→原始向量的保守距离下界；与IVF扫描/HNSW精确距离遍历耦合，按遍历过程中的动态阈值逐级披露。</t>
        </is>
      </c>
    </row>
    <row r="7">
      <c r="A7" s="0" t="inlineStr">
        <is>
          <t>(ii) 验证解耦遍历</t>
        </is>
      </c>
      <c r="B7" s="0" t="inlineStr">
        <is>
          <t>使用SQ4 top1与固定扩展预算E；搜索完成后原始距离重排，并根据最终第k距离生成渐进验证材料。该项改变搜索策略，按约95%召回率另选E。</t>
        </is>
      </c>
    </row>
    <row r="8">
      <c r="A8" s="0" t="inlineStr">
        <is>
          <t>(iii) 按扩展记录认证</t>
        </is>
      </c>
      <c r="B8" s="0" t="inlineStr">
        <is>
          <t>仅对实际展开的邻接表与邻居SQ4记录认证；删除(iii)时每个发现节点需要打开其所有层邻接表与SQ4的Merkle叶。两行固定相同E及结果。</t>
        </is>
      </c>
    </row>
    <row r="9">
      <c r="A9" s="0" t="inlineStr">
        <is>
          <t>成对控制</t>
        </is>
      </c>
      <c r="B9" s="0" t="inlineStr">
        <is>
          <t>第1/3行共用nprobe且逐条答案相同；第2/4行共用efSearch且逐条答案相同；第5/6行共用E、逐条答案与展开/访问数量相同。</t>
        </is>
      </c>
    </row>
    <row r="10">
      <c r="A10" s="0" t="inlineStr">
        <is>
          <t>IVF</t>
        </is>
      </c>
      <c r="B10" s="0" t="inlineStr">
        <is>
          <t>nlist=256；库内均匀取65536条训练，kmeans 12轮、seed=42；完整选中倒排列表成员ID、所有中心和向量/量化数据均真实写入VO，并认证列表完整性及中心承诺。</t>
        </is>
      </c>
    </row>
    <row r="11">
      <c r="A11" s="0" t="inlineStr">
        <is>
          <t>查询时间</t>
        </is>
      </c>
      <c r="B11" s="0" t="inlineStr">
        <is>
          <t>Query Time=搜索+完整VO生成/序列化；另在消融实测记录拆分search和VO generation。ms；不含索引构建、数据加载、网络。</t>
        </is>
      </c>
    </row>
    <row r="12">
      <c r="A12" s="0" t="inlineStr">
        <is>
          <t>验证时间</t>
        </is>
      </c>
      <c r="B12" s="0" t="inlineStr">
        <is>
          <t>VO完整解码+所有Merkle认证+路由/遍历重放+top-k校验；客户端只有可信根及量化元数据，不访问服务端数据库。ms。</t>
        </is>
      </c>
    </row>
    <row r="13">
      <c r="A13" s="0" t="inlineStr">
        <is>
          <t>单位</t>
        </is>
      </c>
      <c r="B13" s="0" t="inlineStr">
        <is>
          <t>Recall@10为0到1小数；VO Size为十进制KB=bytes/1000；Query/Verify均为ms。</t>
        </is>
      </c>
    </row>
    <row r="14">
      <c r="A14" s="0" t="inlineStr">
        <is>
          <t>正确性</t>
        </is>
      </c>
      <c r="B14" s="0" t="inlineStr">
        <is>
          <t>每条诚实VO必须通过验证；每个版本执行查询绑定/答案/数据/证明/删改等篡改检查；保留序列化VO样本与逐条原始日志。</t>
        </is>
      </c>
    </row>
    <row r="15">
      <c r="A15" s="0" t="inlineStr">
        <is>
          <t>解释限制</t>
        </is>
      </c>
      <c r="B15" s="0" t="inlineStr">
        <is>
          <t>这是项目内实现的受控消融，不将IVF/HNSW基础行称为ANNProof或VLAH原论文结果；小样本计时存在波动，各项优化不保证在每个数据集都更快。</t>
        </is>
      </c>
    </row>
    <row r="16">
      <c r="A16" s="0" t="inlineStr">
        <is>
          <t>原始文件</t>
        </is>
      </c>
      <c r="B16" s="0" t="inlineStr">
        <is>
          <t>/mnt/d/paper_source/work_9/VeriANN_repro_2026-09-30/VeriANN_repro_2026-09-30/results/work9-ablation-20261015</t>
        </is>
      </c>
    </row>
    <row r="17">
      <c r="A17" s="0" t="inlineStr">
        <is>
          <t>已完成行数</t>
        </is>
      </c>
      <c r="B17" s="0" t="n">
        <v>24</v>
      </c>
    </row>
    <row r="18">
      <c r="A18" s="0" t="inlineStr">
        <is>
          <t>已填指标单元格</t>
        </is>
      </c>
      <c r="B18" s="0" t="n">
        <v>96</v>
      </c>
    </row>
  </sheetData>
  <autoFilter ref="A1:B18"/>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R25"/>
  <sheetViews>
    <sheetView workbookViewId="0">
      <pane ySplit="1" topLeftCell="A2" activePane="bottomLeft" state="frozen"/>
      <selection activeCell="A1" sqref="A1"/>
      <selection pane="bottomLeft" activeCell="A1" sqref="A1"/>
    </sheetView>
  </sheetViews>
  <sheetFormatPr baseColWidth="8" defaultColWidth="9" defaultRowHeight="13.5"/>
  <cols>
    <col width="26" customWidth="1" style="1" min="1" max="1"/>
    <col width="100" customWidth="1" style="1" min="2" max="2"/>
  </cols>
  <sheetData>
    <row r="1">
      <c r="A1" s="0" t="inlineStr">
        <is>
          <t>dataset</t>
        </is>
      </c>
      <c r="B1" s="0" t="inlineStr">
        <is>
          <t>variant</t>
        </is>
      </c>
      <c r="C1" s="0" t="inlineStr">
        <is>
          <t>name</t>
        </is>
      </c>
      <c r="D1" s="0" t="inlineStr">
        <is>
          <t>recall</t>
        </is>
      </c>
      <c r="E1" s="0" t="inlineStr">
        <is>
          <t>query_ms</t>
        </is>
      </c>
      <c r="F1" s="0" t="inlineStr">
        <is>
          <t>search_ms</t>
        </is>
      </c>
      <c r="G1" s="0" t="inlineStr">
        <is>
          <t>vo_generation_ms</t>
        </is>
      </c>
      <c r="H1" s="0" t="inlineStr">
        <is>
          <t>verify_ms</t>
        </is>
      </c>
      <c r="I1" s="0" t="inlineStr">
        <is>
          <t>authentication_ms</t>
        </is>
      </c>
      <c r="J1" s="0" t="inlineStr">
        <is>
          <t>replay_ms</t>
        </is>
      </c>
      <c r="K1" s="0" t="inlineStr">
        <is>
          <t>vo_kb</t>
        </is>
      </c>
      <c r="L1" s="0" t="inlineStr">
        <is>
          <t>parameter</t>
        </is>
      </c>
      <c r="M1" s="0" t="inlineStr">
        <is>
          <t>visited</t>
        </is>
      </c>
      <c r="N1" s="0" t="inlineStr">
        <is>
          <t>expanded</t>
        </is>
      </c>
      <c r="O1" s="0" t="inlineStr">
        <is>
          <t>samples</t>
        </is>
      </c>
      <c r="P1" s="0" t="inlineStr">
        <is>
          <t>tamper_tests</t>
        </is>
      </c>
      <c r="Q1" s="0" t="inlineStr">
        <is>
          <t>output</t>
        </is>
      </c>
      <c r="R1" s="0" t="inlineStr">
        <is>
          <t>source_sha256</t>
        </is>
      </c>
    </row>
    <row r="2">
      <c r="A2" s="0" t="inlineStr">
        <is>
          <t>deep1m</t>
        </is>
      </c>
      <c r="B2" s="0" t="n">
        <v>1</v>
      </c>
      <c r="C2" s="0" t="inlineStr">
        <is>
          <t>Merkle+IVF</t>
        </is>
      </c>
      <c r="D2" s="0" t="n">
        <v>0.95</v>
      </c>
      <c r="E2" s="0" t="n">
        <v>102.840371466667</v>
      </c>
      <c r="F2" s="0" t="n">
        <v>8.942305166666671</v>
      </c>
      <c r="G2" s="0" t="n">
        <v>93.8980663</v>
      </c>
      <c r="H2" s="0" t="n">
        <v>260.5181445</v>
      </c>
      <c r="I2" s="0" t="n">
        <v>243.73665845</v>
      </c>
      <c r="J2" s="0" t="n">
        <v>13.8033629166667</v>
      </c>
      <c r="K2" s="0" t="n">
        <v>19218.4102</v>
      </c>
      <c r="L2" s="0" t="n">
        <v>9</v>
      </c>
      <c r="M2" s="0" t="n">
        <v>36600.25</v>
      </c>
      <c r="N2" s="0" t="n">
        <v>36600.25</v>
      </c>
      <c r="O2" s="0" t="n">
        <v>60</v>
      </c>
      <c r="P2" s="0" t="n">
        <v>13</v>
      </c>
      <c r="Q2" s="0" t="inlineStr">
        <is>
          <t>/mnt/d/paper_source/work_9/VeriANN_repro_2026-09-30/VeriANN_repro_2026-09-30/results/work9-ablation-20261015/deep1m/formal-1-3/variant-1</t>
        </is>
      </c>
      <c r="R2" s="0" t="inlineStr">
        <is>
          <t>57054475eba6810c6821fdf65f117e61f9b36369f537b2aafff053b5f4afdc2f</t>
        </is>
      </c>
    </row>
    <row r="3">
      <c r="A3" s="0" t="inlineStr">
        <is>
          <t>deep1m</t>
        </is>
      </c>
      <c r="B3" s="0" t="n">
        <v>3</v>
      </c>
      <c r="C3" s="0" t="inlineStr">
        <is>
          <t>Merkle+IVF+(i)</t>
        </is>
      </c>
      <c r="D3" s="0" t="n">
        <v>0.95</v>
      </c>
      <c r="E3" s="0" t="n">
        <v>51.4350250833333</v>
      </c>
      <c r="F3" s="0" t="n">
        <v>9.302199416666671</v>
      </c>
      <c r="G3" s="0" t="n">
        <v>42.1328256666667</v>
      </c>
      <c r="H3" s="0" t="n">
        <v>259.728219916667</v>
      </c>
      <c r="I3" s="0" t="n">
        <v>243.494889133333</v>
      </c>
      <c r="J3" s="0" t="n">
        <v>13.4771931</v>
      </c>
      <c r="K3" s="0" t="n">
        <v>8058.431</v>
      </c>
      <c r="L3" s="0" t="n">
        <v>9</v>
      </c>
      <c r="M3" s="0" t="n">
        <v>36600.25</v>
      </c>
      <c r="N3" s="0" t="n">
        <v>36600.25</v>
      </c>
      <c r="O3" s="0" t="n">
        <v>60</v>
      </c>
      <c r="P3" s="0" t="n">
        <v>14</v>
      </c>
      <c r="Q3" s="0" t="inlineStr">
        <is>
          <t>/mnt/d/paper_source/work_9/VeriANN_repro_2026-09-30/VeriANN_repro_2026-09-30/results/work9-ablation-20261015/deep1m/formal-1-3/variant-3</t>
        </is>
      </c>
      <c r="R3" s="0" t="inlineStr">
        <is>
          <t>c874e31b785c7f6fbe5ab46af965ffc2ccea0ee6f2e262dbd344fe2e2cec5a40</t>
        </is>
      </c>
    </row>
    <row r="4">
      <c r="A4" s="0" t="inlineStr">
        <is>
          <t>deep1m</t>
        </is>
      </c>
      <c r="B4" s="0" t="n">
        <v>2</v>
      </c>
      <c r="C4" s="0" t="inlineStr">
        <is>
          <t>Merkle+HNSW</t>
        </is>
      </c>
      <c r="D4" s="0" t="n">
        <v>0.95</v>
      </c>
      <c r="E4" s="0" t="n">
        <v>4.33327673333333</v>
      </c>
      <c r="F4" s="0" t="n">
        <v>0.616051416666667</v>
      </c>
      <c r="G4" s="0" t="n">
        <v>3.71722531666667</v>
      </c>
      <c r="H4" s="0" t="n">
        <v>8.361651566666669</v>
      </c>
      <c r="I4" s="0" t="n">
        <v>7.88624825</v>
      </c>
      <c r="J4" s="0" t="n">
        <v>0.3228187</v>
      </c>
      <c r="K4" s="0" t="n">
        <v>770.5214</v>
      </c>
      <c r="L4" s="0" t="n">
        <v>50</v>
      </c>
      <c r="M4" s="0" t="n">
        <v>1091.65</v>
      </c>
      <c r="N4" s="0" t="n">
        <v>61.2</v>
      </c>
      <c r="O4" s="0" t="n">
        <v>60</v>
      </c>
      <c r="P4" s="0" t="n">
        <v>12</v>
      </c>
      <c r="Q4" s="0" t="inlineStr">
        <is>
          <t>/mnt/d/paper_source/work_9/VeriANN_repro_2026-09-30/VeriANN_repro_2026-09-30/results/work9-ablation-20261015/deep1m/formal-2-4/variant-2</t>
        </is>
      </c>
      <c r="R4" s="0" t="inlineStr">
        <is>
          <t>34a1fab881fdffe3639fc0b24531961b67896e83ad40c94adaf837c4fbc43f2a</t>
        </is>
      </c>
    </row>
    <row r="5">
      <c r="A5" s="0" t="inlineStr">
        <is>
          <t>deep1m</t>
        </is>
      </c>
      <c r="B5" s="0" t="n">
        <v>4</v>
      </c>
      <c r="C5" s="0" t="inlineStr">
        <is>
          <t>Merkle+HNSW+(i)</t>
        </is>
      </c>
      <c r="D5" s="0" t="n">
        <v>0.95</v>
      </c>
      <c r="E5" s="0" t="n">
        <v>5.13621088333333</v>
      </c>
      <c r="F5" s="0" t="n">
        <v>1.09587783333333</v>
      </c>
      <c r="G5" s="0" t="n">
        <v>4.04033305</v>
      </c>
      <c r="H5" s="0" t="n">
        <v>15.9281313833333</v>
      </c>
      <c r="I5" s="0" t="n">
        <v>14.9476288</v>
      </c>
      <c r="J5" s="0" t="n">
        <v>0.744166766666667</v>
      </c>
      <c r="K5" s="0" t="n">
        <v>800.6786</v>
      </c>
      <c r="L5" s="0" t="n">
        <v>50</v>
      </c>
      <c r="M5" s="0" t="n">
        <v>1091.65</v>
      </c>
      <c r="N5" s="0" t="n">
        <v>61.2</v>
      </c>
      <c r="O5" s="0" t="n">
        <v>60</v>
      </c>
      <c r="P5" s="0" t="n">
        <v>13</v>
      </c>
      <c r="Q5" s="0" t="inlineStr">
        <is>
          <t>/mnt/d/paper_source/work_9/VeriANN_repro_2026-09-30/VeriANN_repro_2026-09-30/results/work9-ablation-20261015/deep1m/formal-2-4/variant-4</t>
        </is>
      </c>
      <c r="R5" s="0" t="inlineStr">
        <is>
          <t>61cc59c602a93954b7869a09d2887d645474213dc96b5a422aad7f27272cc0f3</t>
        </is>
      </c>
    </row>
    <row r="6">
      <c r="A6" s="0" t="inlineStr">
        <is>
          <t>deep1m</t>
        </is>
      </c>
      <c r="B6" s="0" t="n">
        <v>5</v>
      </c>
      <c r="C6" s="0" t="inlineStr">
        <is>
          <t>(i)+(ii)</t>
        </is>
      </c>
      <c r="D6" s="0" t="n">
        <v>0.95</v>
      </c>
      <c r="E6" s="0" t="n">
        <v>4.15979063333333</v>
      </c>
      <c r="F6" s="0" t="n">
        <v>1.0936344</v>
      </c>
      <c r="G6" s="0" t="n">
        <v>3.06615623333333</v>
      </c>
      <c r="H6" s="0" t="n">
        <v>11.5731683166667</v>
      </c>
      <c r="I6" s="0" t="n">
        <v>10.57291055</v>
      </c>
      <c r="J6" s="0" t="n">
        <v>0.836971616666667</v>
      </c>
      <c r="K6" s="0" t="n">
        <v>531.2744</v>
      </c>
      <c r="L6" s="0" t="n">
        <v>50</v>
      </c>
      <c r="M6" s="0" t="n">
        <v>1002.8</v>
      </c>
      <c r="N6" s="0" t="n">
        <v>50</v>
      </c>
      <c r="O6" s="0" t="n">
        <v>60</v>
      </c>
      <c r="P6" s="0" t="n">
        <v>13</v>
      </c>
      <c r="Q6" s="0" t="inlineStr">
        <is>
          <t>/mnt/d/paper_source/work_9/VeriANN_repro_2026-09-30/VeriANN_repro_2026-09-30/results/work9-ablation-20261015/deep1m/formal-5-6/variant-5</t>
        </is>
      </c>
      <c r="R6" s="0" t="inlineStr">
        <is>
          <t>a8a31d5e243176cc60a65ecd815c7f62b5b587f100dd4dc27892f4274b42ec9e</t>
        </is>
      </c>
    </row>
    <row r="7">
      <c r="A7" s="0" t="inlineStr">
        <is>
          <t>deep1m</t>
        </is>
      </c>
      <c r="B7" s="0" t="n">
        <v>6</v>
      </c>
      <c r="C7" s="0" t="inlineStr">
        <is>
          <t>(i)+(ii)+(iii)</t>
        </is>
      </c>
      <c r="D7" s="0" t="n">
        <v>0.95</v>
      </c>
      <c r="E7" s="0" t="n">
        <v>2.29042563333333</v>
      </c>
      <c r="F7" s="0" t="n">
        <v>0.982632783333333</v>
      </c>
      <c r="G7" s="0" t="n">
        <v>1.30779285</v>
      </c>
      <c r="H7" s="0" t="n">
        <v>5.3532408</v>
      </c>
      <c r="I7" s="0" t="n">
        <v>4.49636033333333</v>
      </c>
      <c r="J7" s="0" t="n">
        <v>0.7948435</v>
      </c>
      <c r="K7" s="0" t="n">
        <v>234.5104</v>
      </c>
      <c r="L7" s="0" t="n">
        <v>50</v>
      </c>
      <c r="M7" s="0" t="n">
        <v>1002.8</v>
      </c>
      <c r="N7" s="0" t="n">
        <v>50</v>
      </c>
      <c r="O7" s="0" t="n">
        <v>60</v>
      </c>
      <c r="P7" s="0" t="n">
        <v>13</v>
      </c>
      <c r="Q7" s="0" t="inlineStr">
        <is>
          <t>/mnt/d/paper_source/work_9/VeriANN_repro_2026-09-30/VeriANN_repro_2026-09-30/results/work9-ablation-20261015/deep1m/formal-5-6/variant-6</t>
        </is>
      </c>
      <c r="R7" s="0" t="inlineStr">
        <is>
          <t>c72e38415f46a668175c5cd1b85c9e03e430b7f367c511bab089ecfbc5309a02</t>
        </is>
      </c>
    </row>
    <row r="8">
      <c r="A8" s="0" t="n"/>
      <c r="B8" s="0" t="n"/>
    </row>
    <row r="9">
      <c r="A9" s="0" t="n"/>
      <c r="B9" s="0" t="n"/>
    </row>
    <row r="10">
      <c r="A10" s="0" t="n"/>
      <c r="B10" s="0" t="n"/>
    </row>
    <row r="11">
      <c r="A11" s="0" t="n"/>
      <c r="B11" s="0" t="n"/>
    </row>
    <row r="12">
      <c r="A12" s="0" t="n"/>
      <c r="B12" s="0" t="n"/>
    </row>
    <row r="13">
      <c r="A13" s="0" t="n"/>
      <c r="B13" s="0" t="n"/>
    </row>
    <row r="14">
      <c r="A14" s="0" t="inlineStr">
        <is>
          <t>glove100</t>
        </is>
      </c>
      <c r="B14" s="0" t="n">
        <v>1</v>
      </c>
      <c r="C14" s="0" t="inlineStr">
        <is>
          <t>Merkle+IVF</t>
        </is>
      </c>
      <c r="D14" s="0" t="n">
        <v>0.96</v>
      </c>
      <c r="E14" s="0" t="n">
        <v>656.046048783333</v>
      </c>
      <c r="F14" s="0" t="n">
        <v>70.7608476333333</v>
      </c>
      <c r="G14" s="0" t="n">
        <v>585.28520115</v>
      </c>
      <c r="H14" s="0" t="n">
        <v>1451.07563496667</v>
      </c>
      <c r="I14" s="0" t="n">
        <v>1229.51631633333</v>
      </c>
      <c r="J14" s="0" t="n">
        <v>188.896166033333</v>
      </c>
      <c r="K14" s="0" t="n">
        <v>114536.9394</v>
      </c>
      <c r="L14" s="0" t="n">
        <v>64</v>
      </c>
      <c r="M14" s="0" t="n">
        <v>248585.75</v>
      </c>
      <c r="N14" s="0" t="n">
        <v>248585.75</v>
      </c>
      <c r="O14" s="0" t="n">
        <v>60</v>
      </c>
      <c r="P14" s="0" t="n">
        <v>13</v>
      </c>
      <c r="Q14" s="0" t="inlineStr">
        <is>
          <t>/mnt/d/paper_source/work_9/VeriANN_repro_2026-09-30/VeriANN_repro_2026-09-30/results/work9-ablation-20261015/glove100/formal-1-3/variant-1</t>
        </is>
      </c>
      <c r="R14" s="0" t="inlineStr">
        <is>
          <t>380ea94ed1bf12613f3141a0317e81563a2c66224bf98c87181b6fd31e0c103c</t>
        </is>
      </c>
    </row>
    <row r="15">
      <c r="A15" s="0" t="inlineStr">
        <is>
          <t>glove100</t>
        </is>
      </c>
      <c r="B15" s="0" t="n">
        <v>3</v>
      </c>
      <c r="C15" s="0" t="inlineStr">
        <is>
          <t>Merkle+IVF+(i)</t>
        </is>
      </c>
      <c r="D15" s="0" t="n">
        <v>0.96</v>
      </c>
      <c r="E15" s="0" t="n">
        <v>284.9821033</v>
      </c>
      <c r="F15" s="0" t="n">
        <v>72.0566169166667</v>
      </c>
      <c r="G15" s="0" t="n">
        <v>212.925486383333</v>
      </c>
      <c r="H15" s="0" t="n">
        <v>1447.11602305</v>
      </c>
      <c r="I15" s="0" t="n">
        <v>1242.17820286667</v>
      </c>
      <c r="J15" s="0" t="n">
        <v>178.3290317</v>
      </c>
      <c r="K15" s="0" t="n">
        <v>33295.9082</v>
      </c>
      <c r="L15" s="0" t="n">
        <v>64</v>
      </c>
      <c r="M15" s="0" t="n">
        <v>248585.75</v>
      </c>
      <c r="N15" s="0" t="n">
        <v>248585.75</v>
      </c>
      <c r="O15" s="0" t="n">
        <v>60</v>
      </c>
      <c r="P15" s="0" t="n">
        <v>14</v>
      </c>
      <c r="Q15" s="0" t="inlineStr">
        <is>
          <t>/mnt/d/paper_source/work_9/VeriANN_repro_2026-09-30/VeriANN_repro_2026-09-30/results/work9-ablation-20261015/glove100/formal-1-3/variant-3</t>
        </is>
      </c>
      <c r="R15" s="0" t="inlineStr">
        <is>
          <t>e653f0df33674d3cd77ac3106b1f9665f6ec54a8ab52a7e6caafbddc8c9637b0</t>
        </is>
      </c>
    </row>
    <row r="16">
      <c r="A16" s="0" t="inlineStr">
        <is>
          <t>glove100</t>
        </is>
      </c>
      <c r="B16" s="0" t="n">
        <v>2</v>
      </c>
      <c r="C16" s="0" t="inlineStr">
        <is>
          <t>Merkle+HNSW</t>
        </is>
      </c>
      <c r="D16" s="0" t="n">
        <v>0.95</v>
      </c>
      <c r="E16" s="0" t="n">
        <v>71.72813031666669</v>
      </c>
      <c r="F16" s="0" t="n">
        <v>12.0319916666667</v>
      </c>
      <c r="G16" s="0" t="n">
        <v>59.69613865</v>
      </c>
      <c r="H16" s="0" t="n">
        <v>144.693621066667</v>
      </c>
      <c r="I16" s="0" t="n">
        <v>126.581718316667</v>
      </c>
      <c r="J16" s="0" t="n">
        <v>13.1741931666667</v>
      </c>
      <c r="K16" s="0" t="n">
        <v>12688.6482</v>
      </c>
      <c r="L16" s="0" t="n">
        <v>1024</v>
      </c>
      <c r="M16" s="0" t="n">
        <v>19501.2</v>
      </c>
      <c r="N16" s="0" t="n">
        <v>1034.4</v>
      </c>
      <c r="O16" s="0" t="n">
        <v>60</v>
      </c>
      <c r="P16" s="0" t="n">
        <v>12</v>
      </c>
      <c r="Q16" s="0" t="inlineStr">
        <is>
          <t>/mnt/d/paper_source/work_9/VeriANN_repro_2026-09-30/VeriANN_repro_2026-09-30/results/work9-ablation-20261015/glove100/formal-2-4/variant-2</t>
        </is>
      </c>
      <c r="R16" s="0" t="inlineStr">
        <is>
          <t>a899e6887243bd49152534f9648a438201697a3394248104c624983d299b784a</t>
        </is>
      </c>
    </row>
    <row r="17">
      <c r="A17" s="0" t="inlineStr">
        <is>
          <t>glove100</t>
        </is>
      </c>
      <c r="B17" s="0" t="n">
        <v>4</v>
      </c>
      <c r="C17" s="0" t="inlineStr">
        <is>
          <t>Merkle+HNSW+(i)</t>
        </is>
      </c>
      <c r="D17" s="0" t="n">
        <v>0.95</v>
      </c>
      <c r="E17" s="0" t="n">
        <v>81.6738649666667</v>
      </c>
      <c r="F17" s="0" t="n">
        <v>19.9983122166667</v>
      </c>
      <c r="G17" s="0" t="n">
        <v>61.67555275</v>
      </c>
      <c r="H17" s="0" t="n">
        <v>283.981054216667</v>
      </c>
      <c r="I17" s="0" t="n">
        <v>250.471548466667</v>
      </c>
      <c r="J17" s="0" t="n">
        <v>25.8116828166667</v>
      </c>
      <c r="K17" s="0" t="n">
        <v>12105.94305</v>
      </c>
      <c r="L17" s="0" t="n">
        <v>1024</v>
      </c>
      <c r="M17" s="0" t="n">
        <v>19501.2</v>
      </c>
      <c r="N17" s="0" t="n">
        <v>1034.4</v>
      </c>
      <c r="O17" s="0" t="n">
        <v>60</v>
      </c>
      <c r="P17" s="0" t="n">
        <v>13</v>
      </c>
      <c r="Q17" s="0" t="inlineStr">
        <is>
          <t>/mnt/d/paper_source/work_9/VeriANN_repro_2026-09-30/VeriANN_repro_2026-09-30/results/work9-ablation-20261015/glove100/formal-2-4/variant-4</t>
        </is>
      </c>
      <c r="R17" s="0" t="inlineStr">
        <is>
          <t>0048cf9a39fcedfb0489a5ed08a772e05562550254585bece4f590c59f32e227</t>
        </is>
      </c>
    </row>
    <row r="18">
      <c r="A18" s="0" t="inlineStr">
        <is>
          <t>glove100</t>
        </is>
      </c>
      <c r="B18" s="0" t="n">
        <v>5</v>
      </c>
      <c r="C18" s="0" t="inlineStr">
        <is>
          <t>(i)+(ii)</t>
        </is>
      </c>
      <c r="D18" s="0" t="n">
        <v>0.96</v>
      </c>
      <c r="E18" s="0" t="n">
        <v>58.3624241333333</v>
      </c>
      <c r="F18" s="0" t="n">
        <v>20.2467975333333</v>
      </c>
      <c r="G18" s="0" t="n">
        <v>38.1156266</v>
      </c>
      <c r="H18" s="0" t="n">
        <v>180.8511168</v>
      </c>
      <c r="I18" s="0" t="n">
        <v>152.499337366667</v>
      </c>
      <c r="J18" s="0" t="n">
        <v>24.1102561166667</v>
      </c>
      <c r="K18" s="0" t="n">
        <v>7204.0758</v>
      </c>
      <c r="L18" s="0" t="n">
        <v>1024</v>
      </c>
      <c r="M18" s="0" t="n">
        <v>19607.6</v>
      </c>
      <c r="N18" s="0" t="n">
        <v>1024</v>
      </c>
      <c r="O18" s="0" t="n">
        <v>60</v>
      </c>
      <c r="P18" s="0" t="n">
        <v>13</v>
      </c>
      <c r="Q18" s="0" t="inlineStr">
        <is>
          <t>/mnt/d/paper_source/work_9/VeriANN_repro_2026-09-30/VeriANN_repro_2026-09-30/results/work9-ablation-20261015/glove100/formal-5-6/variant-5</t>
        </is>
      </c>
      <c r="R18" s="0" t="inlineStr">
        <is>
          <t>1d511c008d3b71a4de72984130f3cd033ed81949c7604f66239cc0fdf2fbbe39</t>
        </is>
      </c>
    </row>
    <row r="19">
      <c r="A19" s="0" t="inlineStr">
        <is>
          <t>glove100</t>
        </is>
      </c>
      <c r="B19" s="0" t="n">
        <v>6</v>
      </c>
      <c r="C19" s="0" t="inlineStr">
        <is>
          <t>(i)+(ii)+(iii)</t>
        </is>
      </c>
      <c r="D19" s="0" t="n">
        <v>0.96</v>
      </c>
      <c r="E19" s="0" t="n">
        <v>35.9087503333333</v>
      </c>
      <c r="F19" s="0" t="n">
        <v>19.9808462666667</v>
      </c>
      <c r="G19" s="0" t="n">
        <v>15.9279040666667</v>
      </c>
      <c r="H19" s="0" t="n">
        <v>77.78700821666671</v>
      </c>
      <c r="I19" s="0" t="n">
        <v>54.9591569833333</v>
      </c>
      <c r="J19" s="0" t="n">
        <v>21.4945607833333</v>
      </c>
      <c r="K19" s="0" t="n">
        <v>2804.3072</v>
      </c>
      <c r="L19" s="0" t="n">
        <v>1024</v>
      </c>
      <c r="M19" s="0" t="n">
        <v>19607.6</v>
      </c>
      <c r="N19" s="0" t="n">
        <v>1024</v>
      </c>
      <c r="O19" s="0" t="n">
        <v>60</v>
      </c>
      <c r="P19" s="0" t="n">
        <v>13</v>
      </c>
      <c r="Q19" s="0" t="inlineStr">
        <is>
          <t>/mnt/d/paper_source/work_9/VeriANN_repro_2026-09-30/VeriANN_repro_2026-09-30/results/work9-ablation-20261015/glove100/formal-5-6/variant-6</t>
        </is>
      </c>
      <c r="R19" s="0" t="inlineStr">
        <is>
          <t>4f2864b36717a7ad8ff1a044892b9766d867b87679925708b96a41ffb683bae3</t>
        </is>
      </c>
    </row>
    <row r="20">
      <c r="A20" s="0" t="inlineStr">
        <is>
          <t>sift1m</t>
        </is>
      </c>
      <c r="B20" s="0" t="n">
        <v>1</v>
      </c>
      <c r="C20" s="0" t="inlineStr">
        <is>
          <t>Merkle+IVF</t>
        </is>
      </c>
      <c r="D20" s="0" t="n">
        <v>0.95</v>
      </c>
      <c r="E20" s="0" t="n">
        <v>128.915429933333</v>
      </c>
      <c r="F20" s="0" t="n">
        <v>10.2151309833333</v>
      </c>
      <c r="G20" s="0" t="n">
        <v>118.70029895</v>
      </c>
      <c r="H20" s="0" t="n">
        <v>266.394078916667</v>
      </c>
      <c r="I20" s="0" t="n">
        <v>248.100175383333</v>
      </c>
      <c r="J20" s="0" t="n">
        <v>14.7536466833333</v>
      </c>
      <c r="K20" s="0" t="n">
        <v>24691.9808</v>
      </c>
      <c r="L20" s="0" t="n">
        <v>9</v>
      </c>
      <c r="M20" s="0" t="n">
        <v>38195.8</v>
      </c>
      <c r="N20" s="0" t="n">
        <v>38195.8</v>
      </c>
      <c r="O20" s="0" t="n">
        <v>60</v>
      </c>
      <c r="P20" s="0" t="n">
        <v>13</v>
      </c>
      <c r="Q20" s="0" t="inlineStr">
        <is>
          <t>/mnt/d/paper_source/work_9/VeriANN_repro_2026-09-30/VeriANN_repro_2026-09-30/results/work9-ablation-20261015/sift1m/formal-1-3/variant-1</t>
        </is>
      </c>
      <c r="R20" s="0" t="inlineStr">
        <is>
          <t>63e2c3e0d2f4d028f5b97a4a76473bb8444bdb7fe870e4557aa4f47cf79e97cb</t>
        </is>
      </c>
    </row>
    <row r="21">
      <c r="A21" s="0" t="inlineStr">
        <is>
          <t>sift1m</t>
        </is>
      </c>
      <c r="B21" s="0" t="n">
        <v>3</v>
      </c>
      <c r="C21" s="0" t="inlineStr">
        <is>
          <t>Merkle+IVF+(i)</t>
        </is>
      </c>
      <c r="D21" s="0" t="n">
        <v>0.95</v>
      </c>
      <c r="E21" s="0" t="n">
        <v>47.63649185</v>
      </c>
      <c r="F21" s="0" t="n">
        <v>9.49011125</v>
      </c>
      <c r="G21" s="0" t="n">
        <v>38.1463806</v>
      </c>
      <c r="H21" s="0" t="n">
        <v>241.216355</v>
      </c>
      <c r="I21" s="0" t="n">
        <v>224.283958</v>
      </c>
      <c r="J21" s="0" t="n">
        <v>13.9995957</v>
      </c>
      <c r="K21" s="0" t="n">
        <v>8019.3744</v>
      </c>
      <c r="L21" s="0" t="n">
        <v>9</v>
      </c>
      <c r="M21" s="0" t="n">
        <v>38195.8</v>
      </c>
      <c r="N21" s="0" t="n">
        <v>38195.8</v>
      </c>
      <c r="O21" s="0" t="n">
        <v>60</v>
      </c>
      <c r="P21" s="0" t="n">
        <v>14</v>
      </c>
      <c r="Q21" s="0" t="inlineStr">
        <is>
          <t>/mnt/d/paper_source/work_9/VeriANN_repro_2026-09-30/VeriANN_repro_2026-09-30/results/work9-ablation-20261015/sift1m/formal-1-3/variant-3</t>
        </is>
      </c>
      <c r="R21" s="0" t="inlineStr">
        <is>
          <t>bf8e02cdfa2433b5e4a7812bcb4be6afb6c3bcc0f8d342a4ba0d1bda5565614b</t>
        </is>
      </c>
    </row>
    <row r="22">
      <c r="A22" s="0" t="inlineStr">
        <is>
          <t>sift1m</t>
        </is>
      </c>
      <c r="B22" s="0" t="n">
        <v>2</v>
      </c>
      <c r="C22" s="0" t="inlineStr">
        <is>
          <t>Merkle+HNSW</t>
        </is>
      </c>
      <c r="D22" s="0" t="n">
        <v>0.95</v>
      </c>
      <c r="E22" s="0" t="n">
        <v>2.85575916666667</v>
      </c>
      <c r="F22" s="0" t="n">
        <v>0.362045533333333</v>
      </c>
      <c r="G22" s="0" t="n">
        <v>2.49371363333333</v>
      </c>
      <c r="H22" s="0" t="n">
        <v>5.31483396666667</v>
      </c>
      <c r="I22" s="0" t="n">
        <v>5.02616666666667</v>
      </c>
      <c r="J22" s="0" t="n">
        <v>0.18819395</v>
      </c>
      <c r="K22" s="0" t="n">
        <v>569.4453999999999</v>
      </c>
      <c r="L22" s="0" t="n">
        <v>32</v>
      </c>
      <c r="M22" s="0" t="n">
        <v>677.9</v>
      </c>
      <c r="N22" s="0" t="n">
        <v>44.4</v>
      </c>
      <c r="O22" s="0" t="n">
        <v>60</v>
      </c>
      <c r="P22" s="0" t="n">
        <v>12</v>
      </c>
      <c r="Q22" s="0" t="inlineStr">
        <is>
          <t>/mnt/d/paper_source/work_9/VeriANN_repro_2026-09-30/VeriANN_repro_2026-09-30/results/work9-ablation-20261015/sift1m/formal-2-4/variant-2</t>
        </is>
      </c>
      <c r="R22" s="0" t="inlineStr">
        <is>
          <t>7cbe52cfb1d94ea92caa151e5abd87fd2cd5b912400b3fa6f8b60483ae5b7e2f</t>
        </is>
      </c>
    </row>
    <row r="23">
      <c r="A23" s="0" t="inlineStr">
        <is>
          <t>sift1m</t>
        </is>
      </c>
      <c r="B23" s="0" t="n">
        <v>4</v>
      </c>
      <c r="C23" s="0" t="inlineStr">
        <is>
          <t>Merkle+HNSW+(i)</t>
        </is>
      </c>
      <c r="D23" s="0" t="n">
        <v>0.95</v>
      </c>
      <c r="E23" s="0" t="n">
        <v>2.62924433333333</v>
      </c>
      <c r="F23" s="0" t="n">
        <v>0.565776183333333</v>
      </c>
      <c r="G23" s="0" t="n">
        <v>2.06346815</v>
      </c>
      <c r="H23" s="0" t="n">
        <v>8.34040406666667</v>
      </c>
      <c r="I23" s="0" t="n">
        <v>7.81418748333333</v>
      </c>
      <c r="J23" s="0" t="n">
        <v>0.406171383333333</v>
      </c>
      <c r="K23" s="0" t="n">
        <v>478.7218</v>
      </c>
      <c r="L23" s="0" t="n">
        <v>32</v>
      </c>
      <c r="M23" s="0" t="n">
        <v>677.9</v>
      </c>
      <c r="N23" s="0" t="n">
        <v>44.4</v>
      </c>
      <c r="O23" s="0" t="n">
        <v>60</v>
      </c>
      <c r="P23" s="0" t="n">
        <v>13</v>
      </c>
      <c r="Q23" s="0" t="inlineStr">
        <is>
          <t>/mnt/d/paper_source/work_9/VeriANN_repro_2026-09-30/VeriANN_repro_2026-09-30/results/work9-ablation-20261015/sift1m/formal-2-4/variant-4</t>
        </is>
      </c>
      <c r="R23" s="0" t="inlineStr">
        <is>
          <t>b44eec6250b590e1d0d5edc2f27cf0885789d659e8bd5d873587f38ef1c69bdb</t>
        </is>
      </c>
    </row>
    <row r="24">
      <c r="A24" s="0" t="inlineStr">
        <is>
          <t>sift1m</t>
        </is>
      </c>
      <c r="B24" s="0" t="n">
        <v>5</v>
      </c>
      <c r="C24" s="0" t="inlineStr">
        <is>
          <t>(i)+(ii)</t>
        </is>
      </c>
      <c r="D24" s="0" t="n">
        <v>0.955</v>
      </c>
      <c r="E24" s="0" t="n">
        <v>2.03924105</v>
      </c>
      <c r="F24" s="0" t="n">
        <v>0.618666166666667</v>
      </c>
      <c r="G24" s="0" t="n">
        <v>1.42057488333333</v>
      </c>
      <c r="H24" s="0" t="n">
        <v>5.5222121</v>
      </c>
      <c r="I24" s="0" t="n">
        <v>4.97988363333333</v>
      </c>
      <c r="J24" s="0" t="n">
        <v>0.4584312</v>
      </c>
      <c r="K24" s="0" t="n">
        <v>289.8754</v>
      </c>
      <c r="L24" s="0" t="n">
        <v>34</v>
      </c>
      <c r="M24" s="0" t="n">
        <v>581.3</v>
      </c>
      <c r="N24" s="0" t="n">
        <v>34</v>
      </c>
      <c r="O24" s="0" t="n">
        <v>60</v>
      </c>
      <c r="P24" s="0" t="n">
        <v>13</v>
      </c>
      <c r="Q24" s="0" t="inlineStr">
        <is>
          <t>/mnt/d/paper_source/work_9/VeriANN_repro_2026-09-30/VeriANN_repro_2026-09-30/results/work9-ablation-20261015/sift1m/formal-5-6/variant-5</t>
        </is>
      </c>
      <c r="R24" s="0" t="inlineStr">
        <is>
          <t>03ef59e2606bb2082251f567d5693c5f1449974b9860d25f2b7e9d2145e1af66</t>
        </is>
      </c>
    </row>
    <row r="25">
      <c r="A25" s="0" t="inlineStr">
        <is>
          <t>sift1m</t>
        </is>
      </c>
      <c r="B25" s="0" t="n">
        <v>6</v>
      </c>
      <c r="C25" s="0" t="inlineStr">
        <is>
          <t>(i)+(ii)+(iii)</t>
        </is>
      </c>
      <c r="D25" s="0" t="n">
        <v>0.955</v>
      </c>
      <c r="E25" s="0" t="n">
        <v>1.07583855</v>
      </c>
      <c r="F25" s="0" t="n">
        <v>0.6076017</v>
      </c>
      <c r="G25" s="0" t="n">
        <v>0.46823685</v>
      </c>
      <c r="H25" s="0" t="n">
        <v>2.1509119</v>
      </c>
      <c r="I25" s="0" t="n">
        <v>1.66207228333333</v>
      </c>
      <c r="J25" s="0" t="n">
        <v>0.460633133333333</v>
      </c>
      <c r="K25" s="0" t="n">
        <v>112.369</v>
      </c>
      <c r="L25" s="0" t="n">
        <v>34</v>
      </c>
      <c r="M25" s="0" t="n">
        <v>581.3</v>
      </c>
      <c r="N25" s="0" t="n">
        <v>34</v>
      </c>
      <c r="O25" s="0" t="n">
        <v>60</v>
      </c>
      <c r="P25" s="0" t="n">
        <v>13</v>
      </c>
      <c r="Q25" s="0" t="inlineStr">
        <is>
          <t>/mnt/d/paper_source/work_9/VeriANN_repro_2026-09-30/VeriANN_repro_2026-09-30/results/work9-ablation-20261015/sift1m/formal-5-6/variant-6</t>
        </is>
      </c>
      <c r="R25" s="0" t="inlineStr">
        <is>
          <t>84ad4d2d76f9b1affafde05faa82d78b8a89152c378b713dcf8f95a2b25af7ca</t>
        </is>
      </c>
    </row>
  </sheetData>
  <autoFilter ref="A1:R25"/>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H97"/>
  <sheetViews>
    <sheetView workbookViewId="0">
      <pane ySplit="1" topLeftCell="A2" activePane="bottomLeft" state="frozen"/>
      <selection activeCell="A1" sqref="A1"/>
      <selection pane="bottomLeft" activeCell="A1" sqref="A1"/>
    </sheetView>
  </sheetViews>
  <sheetFormatPr baseColWidth="8" defaultColWidth="9" defaultRowHeight="13.5"/>
  <cols>
    <col width="26" customWidth="1" style="1" min="1" max="1"/>
    <col width="100" customWidth="1" style="1" min="2" max="2"/>
  </cols>
  <sheetData>
    <row r="1">
      <c r="A1" s="0" t="inlineStr">
        <is>
          <t>Sheet</t>
        </is>
      </c>
      <c r="B1" s="0" t="inlineStr">
        <is>
          <t>Cell</t>
        </is>
      </c>
      <c r="C1" s="0" t="inlineStr">
        <is>
          <t>Variant</t>
        </is>
      </c>
      <c r="D1" s="0" t="inlineStr">
        <is>
          <t>Metric</t>
        </is>
      </c>
      <c r="E1" s="0" t="inlineStr">
        <is>
          <t>Value</t>
        </is>
      </c>
      <c r="F1" s="0" t="inlineStr">
        <is>
          <t>Parameter</t>
        </is>
      </c>
      <c r="G1" s="0" t="inlineStr">
        <is>
          <t>Raw folder</t>
        </is>
      </c>
      <c r="H1" s="0" t="inlineStr">
        <is>
          <t>SHA256</t>
        </is>
      </c>
    </row>
    <row r="2">
      <c r="A2" s="0" t="inlineStr">
        <is>
          <t>DEEP1M</t>
        </is>
      </c>
      <c r="B2" s="0" t="inlineStr">
        <is>
          <t>F117</t>
        </is>
      </c>
      <c r="C2" s="0" t="inlineStr">
        <is>
          <t>Merkle+IVF</t>
        </is>
      </c>
      <c r="D2" s="0" t="inlineStr">
        <is>
          <t>recall</t>
        </is>
      </c>
      <c r="E2" s="0" t="n">
        <v>0.95</v>
      </c>
      <c r="F2" s="0" t="n">
        <v>9</v>
      </c>
      <c r="G2" s="0" t="inlineStr">
        <is>
          <t>/mnt/d/paper_source/work_9/VeriANN_repro_2026-09-30/VeriANN_repro_2026-09-30/results/work9-ablation-20261015/deep1m/formal-1-3/variant-1</t>
        </is>
      </c>
      <c r="H2" s="0" t="inlineStr">
        <is>
          <t>57054475eba6810c6821fdf65f117e61f9b36369f537b2aafff053b5f4afdc2f</t>
        </is>
      </c>
    </row>
    <row r="3">
      <c r="A3" s="0" t="inlineStr">
        <is>
          <t>DEEP1M</t>
        </is>
      </c>
      <c r="B3" s="0" t="inlineStr">
        <is>
          <t>G117</t>
        </is>
      </c>
      <c r="C3" s="0" t="inlineStr">
        <is>
          <t>Merkle+IVF</t>
        </is>
      </c>
      <c r="D3" s="0" t="inlineStr">
        <is>
          <t>query_ms</t>
        </is>
      </c>
      <c r="E3" s="0" t="n">
        <v>102.840371466667</v>
      </c>
      <c r="F3" s="0" t="n">
        <v>9</v>
      </c>
      <c r="G3" s="0" t="inlineStr">
        <is>
          <t>/mnt/d/paper_source/work_9/VeriANN_repro_2026-09-30/VeriANN_repro_2026-09-30/results/work9-ablation-20261015/deep1m/formal-1-3/variant-1</t>
        </is>
      </c>
      <c r="H3" s="0" t="inlineStr">
        <is>
          <t>57054475eba6810c6821fdf65f117e61f9b36369f537b2aafff053b5f4afdc2f</t>
        </is>
      </c>
    </row>
    <row r="4">
      <c r="A4" s="0" t="inlineStr">
        <is>
          <t>DEEP1M</t>
        </is>
      </c>
      <c r="B4" s="0" t="inlineStr">
        <is>
          <t>H117</t>
        </is>
      </c>
      <c r="C4" s="0" t="inlineStr">
        <is>
          <t>Merkle+IVF</t>
        </is>
      </c>
      <c r="D4" s="0" t="inlineStr">
        <is>
          <t>vo_kb</t>
        </is>
      </c>
      <c r="E4" s="0" t="n">
        <v>19218.4102</v>
      </c>
      <c r="F4" s="0" t="n">
        <v>9</v>
      </c>
      <c r="G4" s="0" t="inlineStr">
        <is>
          <t>/mnt/d/paper_source/work_9/VeriANN_repro_2026-09-30/VeriANN_repro_2026-09-30/results/work9-ablation-20261015/deep1m/formal-1-3/variant-1</t>
        </is>
      </c>
      <c r="H4" s="0" t="inlineStr">
        <is>
          <t>57054475eba6810c6821fdf65f117e61f9b36369f537b2aafff053b5f4afdc2f</t>
        </is>
      </c>
    </row>
    <row r="5">
      <c r="A5" s="0" t="inlineStr">
        <is>
          <t>DEEP1M</t>
        </is>
      </c>
      <c r="B5" s="0" t="inlineStr">
        <is>
          <t>I117</t>
        </is>
      </c>
      <c r="C5" s="0" t="inlineStr">
        <is>
          <t>Merkle+IVF</t>
        </is>
      </c>
      <c r="D5" s="0" t="inlineStr">
        <is>
          <t>verify_ms</t>
        </is>
      </c>
      <c r="E5" s="0" t="n">
        <v>260.5181445</v>
      </c>
      <c r="F5" s="0" t="n">
        <v>9</v>
      </c>
      <c r="G5" s="0" t="inlineStr">
        <is>
          <t>/mnt/d/paper_source/work_9/VeriANN_repro_2026-09-30/VeriANN_repro_2026-09-30/results/work9-ablation-20261015/deep1m/formal-1-3/variant-1</t>
        </is>
      </c>
      <c r="H5" s="0" t="inlineStr">
        <is>
          <t>57054475eba6810c6821fdf65f117e61f9b36369f537b2aafff053b5f4afdc2f</t>
        </is>
      </c>
    </row>
    <row r="6">
      <c r="A6" s="0" t="inlineStr">
        <is>
          <t>DEEP1M</t>
        </is>
      </c>
      <c r="B6" s="0" t="inlineStr">
        <is>
          <t>F119</t>
        </is>
      </c>
      <c r="C6" s="0" t="inlineStr">
        <is>
          <t>Merkle+IVF+(i)</t>
        </is>
      </c>
      <c r="D6" s="0" t="inlineStr">
        <is>
          <t>recall</t>
        </is>
      </c>
      <c r="E6" s="0" t="n">
        <v>0.95</v>
      </c>
      <c r="F6" s="0" t="n">
        <v>9</v>
      </c>
      <c r="G6" s="0" t="inlineStr">
        <is>
          <t>/mnt/d/paper_source/work_9/VeriANN_repro_2026-09-30/VeriANN_repro_2026-09-30/results/work9-ablation-20261015/deep1m/formal-1-3/variant-3</t>
        </is>
      </c>
      <c r="H6" s="0" t="inlineStr">
        <is>
          <t>c874e31b785c7f6fbe5ab46af965ffc2ccea0ee6f2e262dbd344fe2e2cec5a40</t>
        </is>
      </c>
    </row>
    <row r="7">
      <c r="A7" s="0" t="inlineStr">
        <is>
          <t>DEEP1M</t>
        </is>
      </c>
      <c r="B7" s="0" t="inlineStr">
        <is>
          <t>G119</t>
        </is>
      </c>
      <c r="C7" s="0" t="inlineStr">
        <is>
          <t>Merkle+IVF+(i)</t>
        </is>
      </c>
      <c r="D7" s="0" t="inlineStr">
        <is>
          <t>query_ms</t>
        </is>
      </c>
      <c r="E7" s="0" t="n">
        <v>51.4350250833333</v>
      </c>
      <c r="F7" s="0" t="n">
        <v>9</v>
      </c>
      <c r="G7" s="0" t="inlineStr">
        <is>
          <t>/mnt/d/paper_source/work_9/VeriANN_repro_2026-09-30/VeriANN_repro_2026-09-30/results/work9-ablation-20261015/deep1m/formal-1-3/variant-3</t>
        </is>
      </c>
      <c r="H7" s="0" t="inlineStr">
        <is>
          <t>c874e31b785c7f6fbe5ab46af965ffc2ccea0ee6f2e262dbd344fe2e2cec5a40</t>
        </is>
      </c>
    </row>
    <row r="8">
      <c r="A8" s="0" t="inlineStr">
        <is>
          <t>DEEP1M</t>
        </is>
      </c>
      <c r="B8" s="0" t="inlineStr">
        <is>
          <t>H119</t>
        </is>
      </c>
      <c r="C8" s="0" t="inlineStr">
        <is>
          <t>Merkle+IVF+(i)</t>
        </is>
      </c>
      <c r="D8" s="0" t="inlineStr">
        <is>
          <t>vo_kb</t>
        </is>
      </c>
      <c r="E8" s="0" t="n">
        <v>8058.431</v>
      </c>
      <c r="F8" s="0" t="n">
        <v>9</v>
      </c>
      <c r="G8" s="0" t="inlineStr">
        <is>
          <t>/mnt/d/paper_source/work_9/VeriANN_repro_2026-09-30/VeriANN_repro_2026-09-30/results/work9-ablation-20261015/deep1m/formal-1-3/variant-3</t>
        </is>
      </c>
      <c r="H8" s="0" t="inlineStr">
        <is>
          <t>c874e31b785c7f6fbe5ab46af965ffc2ccea0ee6f2e262dbd344fe2e2cec5a40</t>
        </is>
      </c>
    </row>
    <row r="9">
      <c r="A9" s="0" t="inlineStr">
        <is>
          <t>DEEP1M</t>
        </is>
      </c>
      <c r="B9" s="0" t="inlineStr">
        <is>
          <t>I119</t>
        </is>
      </c>
      <c r="C9" s="0" t="inlineStr">
        <is>
          <t>Merkle+IVF+(i)</t>
        </is>
      </c>
      <c r="D9" s="0" t="inlineStr">
        <is>
          <t>verify_ms</t>
        </is>
      </c>
      <c r="E9" s="0" t="n">
        <v>259.728219916667</v>
      </c>
      <c r="F9" s="0" t="n">
        <v>9</v>
      </c>
      <c r="G9" s="0" t="inlineStr">
        <is>
          <t>/mnt/d/paper_source/work_9/VeriANN_repro_2026-09-30/VeriANN_repro_2026-09-30/results/work9-ablation-20261015/deep1m/formal-1-3/variant-3</t>
        </is>
      </c>
      <c r="H9" s="0" t="inlineStr">
        <is>
          <t>c874e31b785c7f6fbe5ab46af965ffc2ccea0ee6f2e262dbd344fe2e2cec5a40</t>
        </is>
      </c>
    </row>
    <row r="10">
      <c r="A10" s="0" t="inlineStr">
        <is>
          <t>DEEP1M</t>
        </is>
      </c>
      <c r="B10" s="0" t="inlineStr">
        <is>
          <t>F118</t>
        </is>
      </c>
      <c r="C10" s="0" t="inlineStr">
        <is>
          <t>Merkle+HNSW</t>
        </is>
      </c>
      <c r="D10" s="0" t="inlineStr">
        <is>
          <t>recall</t>
        </is>
      </c>
      <c r="E10" s="0" t="n">
        <v>0.95</v>
      </c>
      <c r="F10" s="0" t="n">
        <v>50</v>
      </c>
      <c r="G10" s="0" t="inlineStr">
        <is>
          <t>/mnt/d/paper_source/work_9/VeriANN_repro_2026-09-30/VeriANN_repro_2026-09-30/results/work9-ablation-20261015/deep1m/formal-2-4/variant-2</t>
        </is>
      </c>
      <c r="H10" s="0" t="inlineStr">
        <is>
          <t>34a1fab881fdffe3639fc0b24531961b67896e83ad40c94adaf837c4fbc43f2a</t>
        </is>
      </c>
    </row>
    <row r="11">
      <c r="A11" s="0" t="inlineStr">
        <is>
          <t>DEEP1M</t>
        </is>
      </c>
      <c r="B11" s="0" t="inlineStr">
        <is>
          <t>G118</t>
        </is>
      </c>
      <c r="C11" s="0" t="inlineStr">
        <is>
          <t>Merkle+HNSW</t>
        </is>
      </c>
      <c r="D11" s="0" t="inlineStr">
        <is>
          <t>query_ms</t>
        </is>
      </c>
      <c r="E11" s="0" t="n">
        <v>4.33327673333333</v>
      </c>
      <c r="F11" s="0" t="n">
        <v>50</v>
      </c>
      <c r="G11" s="0" t="inlineStr">
        <is>
          <t>/mnt/d/paper_source/work_9/VeriANN_repro_2026-09-30/VeriANN_repro_2026-09-30/results/work9-ablation-20261015/deep1m/formal-2-4/variant-2</t>
        </is>
      </c>
      <c r="H11" s="0" t="inlineStr">
        <is>
          <t>34a1fab881fdffe3639fc0b24531961b67896e83ad40c94adaf837c4fbc43f2a</t>
        </is>
      </c>
    </row>
    <row r="12">
      <c r="A12" s="0" t="inlineStr">
        <is>
          <t>DEEP1M</t>
        </is>
      </c>
      <c r="B12" s="0" t="inlineStr">
        <is>
          <t>H118</t>
        </is>
      </c>
      <c r="C12" s="0" t="inlineStr">
        <is>
          <t>Merkle+HNSW</t>
        </is>
      </c>
      <c r="D12" s="0" t="inlineStr">
        <is>
          <t>vo_kb</t>
        </is>
      </c>
      <c r="E12" s="0" t="n">
        <v>770.5214</v>
      </c>
      <c r="F12" s="0" t="n">
        <v>50</v>
      </c>
      <c r="G12" s="0" t="inlineStr">
        <is>
          <t>/mnt/d/paper_source/work_9/VeriANN_repro_2026-09-30/VeriANN_repro_2026-09-30/results/work9-ablation-20261015/deep1m/formal-2-4/variant-2</t>
        </is>
      </c>
      <c r="H12" s="0" t="inlineStr">
        <is>
          <t>34a1fab881fdffe3639fc0b24531961b67896e83ad40c94adaf837c4fbc43f2a</t>
        </is>
      </c>
    </row>
    <row r="13">
      <c r="A13" s="0" t="inlineStr">
        <is>
          <t>DEEP1M</t>
        </is>
      </c>
      <c r="B13" s="0" t="inlineStr">
        <is>
          <t>I118</t>
        </is>
      </c>
      <c r="C13" s="0" t="inlineStr">
        <is>
          <t>Merkle+HNSW</t>
        </is>
      </c>
      <c r="D13" s="0" t="inlineStr">
        <is>
          <t>verify_ms</t>
        </is>
      </c>
      <c r="E13" s="0" t="n">
        <v>8.361651566666669</v>
      </c>
      <c r="F13" s="0" t="n">
        <v>50</v>
      </c>
      <c r="G13" s="0" t="inlineStr">
        <is>
          <t>/mnt/d/paper_source/work_9/VeriANN_repro_2026-09-30/VeriANN_repro_2026-09-30/results/work9-ablation-20261015/deep1m/formal-2-4/variant-2</t>
        </is>
      </c>
      <c r="H13" s="0" t="inlineStr">
        <is>
          <t>34a1fab881fdffe3639fc0b24531961b67896e83ad40c94adaf837c4fbc43f2a</t>
        </is>
      </c>
    </row>
    <row r="14">
      <c r="A14" s="0" t="inlineStr">
        <is>
          <t>DEEP1M</t>
        </is>
      </c>
      <c r="B14" s="0" t="inlineStr">
        <is>
          <t>F120</t>
        </is>
      </c>
      <c r="C14" s="0" t="inlineStr">
        <is>
          <t>Merkle+HNSW+(i)</t>
        </is>
      </c>
      <c r="D14" s="0" t="inlineStr">
        <is>
          <t>recall</t>
        </is>
      </c>
      <c r="E14" s="0" t="n">
        <v>0.95</v>
      </c>
      <c r="F14" s="0" t="n">
        <v>50</v>
      </c>
      <c r="G14" s="0" t="inlineStr">
        <is>
          <t>/mnt/d/paper_source/work_9/VeriANN_repro_2026-09-30/VeriANN_repro_2026-09-30/results/work9-ablation-20261015/deep1m/formal-2-4/variant-4</t>
        </is>
      </c>
      <c r="H14" s="0" t="inlineStr">
        <is>
          <t>61cc59c602a93954b7869a09d2887d645474213dc96b5a422aad7f27272cc0f3</t>
        </is>
      </c>
    </row>
    <row r="15">
      <c r="A15" s="0" t="inlineStr">
        <is>
          <t>DEEP1M</t>
        </is>
      </c>
      <c r="B15" s="0" t="inlineStr">
        <is>
          <t>G120</t>
        </is>
      </c>
      <c r="C15" s="0" t="inlineStr">
        <is>
          <t>Merkle+HNSW+(i)</t>
        </is>
      </c>
      <c r="D15" s="0" t="inlineStr">
        <is>
          <t>query_ms</t>
        </is>
      </c>
      <c r="E15" s="0" t="n">
        <v>5.13621088333333</v>
      </c>
      <c r="F15" s="0" t="n">
        <v>50</v>
      </c>
      <c r="G15" s="0" t="inlineStr">
        <is>
          <t>/mnt/d/paper_source/work_9/VeriANN_repro_2026-09-30/VeriANN_repro_2026-09-30/results/work9-ablation-20261015/deep1m/formal-2-4/variant-4</t>
        </is>
      </c>
      <c r="H15" s="0" t="inlineStr">
        <is>
          <t>61cc59c602a93954b7869a09d2887d645474213dc96b5a422aad7f27272cc0f3</t>
        </is>
      </c>
    </row>
    <row r="16">
      <c r="A16" s="0" t="inlineStr">
        <is>
          <t>DEEP1M</t>
        </is>
      </c>
      <c r="B16" s="0" t="inlineStr">
        <is>
          <t>H120</t>
        </is>
      </c>
      <c r="C16" s="0" t="inlineStr">
        <is>
          <t>Merkle+HNSW+(i)</t>
        </is>
      </c>
      <c r="D16" s="0" t="inlineStr">
        <is>
          <t>vo_kb</t>
        </is>
      </c>
      <c r="E16" s="0" t="n">
        <v>800.6786</v>
      </c>
      <c r="F16" s="0" t="n">
        <v>50</v>
      </c>
      <c r="G16" s="0" t="inlineStr">
        <is>
          <t>/mnt/d/paper_source/work_9/VeriANN_repro_2026-09-30/VeriANN_repro_2026-09-30/results/work9-ablation-20261015/deep1m/formal-2-4/variant-4</t>
        </is>
      </c>
      <c r="H16" s="0" t="inlineStr">
        <is>
          <t>61cc59c602a93954b7869a09d2887d645474213dc96b5a422aad7f27272cc0f3</t>
        </is>
      </c>
    </row>
    <row r="17">
      <c r="A17" s="0" t="inlineStr">
        <is>
          <t>DEEP1M</t>
        </is>
      </c>
      <c r="B17" s="0" t="inlineStr">
        <is>
          <t>I120</t>
        </is>
      </c>
      <c r="C17" s="0" t="inlineStr">
        <is>
          <t>Merkle+HNSW+(i)</t>
        </is>
      </c>
      <c r="D17" s="0" t="inlineStr">
        <is>
          <t>verify_ms</t>
        </is>
      </c>
      <c r="E17" s="0" t="n">
        <v>15.9281313833333</v>
      </c>
      <c r="F17" s="0" t="n">
        <v>50</v>
      </c>
      <c r="G17" s="0" t="inlineStr">
        <is>
          <t>/mnt/d/paper_source/work_9/VeriANN_repro_2026-09-30/VeriANN_repro_2026-09-30/results/work9-ablation-20261015/deep1m/formal-2-4/variant-4</t>
        </is>
      </c>
      <c r="H17" s="0" t="inlineStr">
        <is>
          <t>61cc59c602a93954b7869a09d2887d645474213dc96b5a422aad7f27272cc0f3</t>
        </is>
      </c>
    </row>
    <row r="18">
      <c r="A18" s="0" t="inlineStr">
        <is>
          <t>DEEP1M</t>
        </is>
      </c>
      <c r="B18" s="0" t="inlineStr">
        <is>
          <t>F121</t>
        </is>
      </c>
      <c r="C18" s="0" t="inlineStr">
        <is>
          <t>(i)+(ii)</t>
        </is>
      </c>
      <c r="D18" s="0" t="inlineStr">
        <is>
          <t>recall</t>
        </is>
      </c>
      <c r="E18" s="0" t="n">
        <v>0.95</v>
      </c>
      <c r="F18" s="0" t="n">
        <v>50</v>
      </c>
      <c r="G18" s="0" t="inlineStr">
        <is>
          <t>/mnt/d/paper_source/work_9/VeriANN_repro_2026-09-30/VeriANN_repro_2026-09-30/results/work9-ablation-20261015/deep1m/formal-5-6/variant-5</t>
        </is>
      </c>
      <c r="H18" s="0" t="inlineStr">
        <is>
          <t>a8a31d5e243176cc60a65ecd815c7f62b5b587f100dd4dc27892f4274b42ec9e</t>
        </is>
      </c>
    </row>
    <row r="19">
      <c r="A19" s="0" t="inlineStr">
        <is>
          <t>DEEP1M</t>
        </is>
      </c>
      <c r="B19" s="0" t="inlineStr">
        <is>
          <t>G121</t>
        </is>
      </c>
      <c r="C19" s="0" t="inlineStr">
        <is>
          <t>(i)+(ii)</t>
        </is>
      </c>
      <c r="D19" s="0" t="inlineStr">
        <is>
          <t>query_ms</t>
        </is>
      </c>
      <c r="E19" s="0" t="n">
        <v>4.15979063333333</v>
      </c>
      <c r="F19" s="0" t="n">
        <v>50</v>
      </c>
      <c r="G19" s="0" t="inlineStr">
        <is>
          <t>/mnt/d/paper_source/work_9/VeriANN_repro_2026-09-30/VeriANN_repro_2026-09-30/results/work9-ablation-20261015/deep1m/formal-5-6/variant-5</t>
        </is>
      </c>
      <c r="H19" s="0" t="inlineStr">
        <is>
          <t>a8a31d5e243176cc60a65ecd815c7f62b5b587f100dd4dc27892f4274b42ec9e</t>
        </is>
      </c>
    </row>
    <row r="20">
      <c r="A20" s="0" t="inlineStr">
        <is>
          <t>DEEP1M</t>
        </is>
      </c>
      <c r="B20" s="0" t="inlineStr">
        <is>
          <t>H121</t>
        </is>
      </c>
      <c r="C20" s="0" t="inlineStr">
        <is>
          <t>(i)+(ii)</t>
        </is>
      </c>
      <c r="D20" s="0" t="inlineStr">
        <is>
          <t>vo_kb</t>
        </is>
      </c>
      <c r="E20" s="0" t="n">
        <v>531.2744</v>
      </c>
      <c r="F20" s="0" t="n">
        <v>50</v>
      </c>
      <c r="G20" s="0" t="inlineStr">
        <is>
          <t>/mnt/d/paper_source/work_9/VeriANN_repro_2026-09-30/VeriANN_repro_2026-09-30/results/work9-ablation-20261015/deep1m/formal-5-6/variant-5</t>
        </is>
      </c>
      <c r="H20" s="0" t="inlineStr">
        <is>
          <t>a8a31d5e243176cc60a65ecd815c7f62b5b587f100dd4dc27892f4274b42ec9e</t>
        </is>
      </c>
    </row>
    <row r="21">
      <c r="A21" s="0" t="inlineStr">
        <is>
          <t>DEEP1M</t>
        </is>
      </c>
      <c r="B21" s="0" t="inlineStr">
        <is>
          <t>I121</t>
        </is>
      </c>
      <c r="C21" s="0" t="inlineStr">
        <is>
          <t>(i)+(ii)</t>
        </is>
      </c>
      <c r="D21" s="0" t="inlineStr">
        <is>
          <t>verify_ms</t>
        </is>
      </c>
      <c r="E21" s="0" t="n">
        <v>11.5731683166667</v>
      </c>
      <c r="F21" s="0" t="n">
        <v>50</v>
      </c>
      <c r="G21" s="0" t="inlineStr">
        <is>
          <t>/mnt/d/paper_source/work_9/VeriANN_repro_2026-09-30/VeriANN_repro_2026-09-30/results/work9-ablation-20261015/deep1m/formal-5-6/variant-5</t>
        </is>
      </c>
      <c r="H21" s="0" t="inlineStr">
        <is>
          <t>a8a31d5e243176cc60a65ecd815c7f62b5b587f100dd4dc27892f4274b42ec9e</t>
        </is>
      </c>
    </row>
    <row r="22">
      <c r="A22" s="0" t="inlineStr">
        <is>
          <t>DEEP1M</t>
        </is>
      </c>
      <c r="B22" s="0" t="inlineStr">
        <is>
          <t>F122</t>
        </is>
      </c>
      <c r="C22" s="0" t="inlineStr">
        <is>
          <t>(i)+(ii)+(iii)</t>
        </is>
      </c>
      <c r="D22" s="0" t="inlineStr">
        <is>
          <t>recall</t>
        </is>
      </c>
      <c r="E22" s="0" t="n">
        <v>0.95</v>
      </c>
      <c r="F22" s="0" t="n">
        <v>50</v>
      </c>
      <c r="G22" s="0" t="inlineStr">
        <is>
          <t>/mnt/d/paper_source/work_9/VeriANN_repro_2026-09-30/VeriANN_repro_2026-09-30/results/work9-ablation-20261015/deep1m/formal-5-6/variant-6</t>
        </is>
      </c>
      <c r="H22" s="0" t="inlineStr">
        <is>
          <t>c72e38415f46a668175c5cd1b85c9e03e430b7f367c511bab089ecfbc5309a02</t>
        </is>
      </c>
    </row>
    <row r="23">
      <c r="A23" s="0" t="inlineStr">
        <is>
          <t>DEEP1M</t>
        </is>
      </c>
      <c r="B23" s="0" t="inlineStr">
        <is>
          <t>G122</t>
        </is>
      </c>
      <c r="C23" s="0" t="inlineStr">
        <is>
          <t>(i)+(ii)+(iii)</t>
        </is>
      </c>
      <c r="D23" s="0" t="inlineStr">
        <is>
          <t>query_ms</t>
        </is>
      </c>
      <c r="E23" s="0" t="n">
        <v>2.29042563333333</v>
      </c>
      <c r="F23" s="0" t="n">
        <v>50</v>
      </c>
      <c r="G23" s="0" t="inlineStr">
        <is>
          <t>/mnt/d/paper_source/work_9/VeriANN_repro_2026-09-30/VeriANN_repro_2026-09-30/results/work9-ablation-20261015/deep1m/formal-5-6/variant-6</t>
        </is>
      </c>
      <c r="H23" s="0" t="inlineStr">
        <is>
          <t>c72e38415f46a668175c5cd1b85c9e03e430b7f367c511bab089ecfbc5309a02</t>
        </is>
      </c>
    </row>
    <row r="24">
      <c r="A24" s="0" t="inlineStr">
        <is>
          <t>DEEP1M</t>
        </is>
      </c>
      <c r="B24" s="0" t="inlineStr">
        <is>
          <t>H122</t>
        </is>
      </c>
      <c r="C24" s="0" t="inlineStr">
        <is>
          <t>(i)+(ii)+(iii)</t>
        </is>
      </c>
      <c r="D24" s="0" t="inlineStr">
        <is>
          <t>vo_kb</t>
        </is>
      </c>
      <c r="E24" s="0" t="n">
        <v>234.5104</v>
      </c>
      <c r="F24" s="0" t="n">
        <v>50</v>
      </c>
      <c r="G24" s="0" t="inlineStr">
        <is>
          <t>/mnt/d/paper_source/work_9/VeriANN_repro_2026-09-30/VeriANN_repro_2026-09-30/results/work9-ablation-20261015/deep1m/formal-5-6/variant-6</t>
        </is>
      </c>
      <c r="H24" s="0" t="inlineStr">
        <is>
          <t>c72e38415f46a668175c5cd1b85c9e03e430b7f367c511bab089ecfbc5309a02</t>
        </is>
      </c>
    </row>
    <row r="25">
      <c r="A25" s="0" t="inlineStr">
        <is>
          <t>DEEP1M</t>
        </is>
      </c>
      <c r="B25" s="0" t="inlineStr">
        <is>
          <t>I122</t>
        </is>
      </c>
      <c r="C25" s="0" t="inlineStr">
        <is>
          <t>(i)+(ii)+(iii)</t>
        </is>
      </c>
      <c r="D25" s="0" t="inlineStr">
        <is>
          <t>verify_ms</t>
        </is>
      </c>
      <c r="E25" s="0" t="n">
        <v>5.3532408</v>
      </c>
      <c r="F25" s="0" t="n">
        <v>50</v>
      </c>
      <c r="G25" s="0" t="inlineStr">
        <is>
          <t>/mnt/d/paper_source/work_9/VeriANN_repro_2026-09-30/VeriANN_repro_2026-09-30/results/work9-ablation-20261015/deep1m/formal-5-6/variant-6</t>
        </is>
      </c>
      <c r="H25" s="0" t="inlineStr">
        <is>
          <t>c72e38415f46a668175c5cd1b85c9e03e430b7f367c511bab089ecfbc5309a02</t>
        </is>
      </c>
    </row>
    <row r="26">
      <c r="A26" s="0" t="n"/>
      <c r="B26" s="0" t="n"/>
    </row>
    <row r="27">
      <c r="A27" s="0" t="n"/>
      <c r="B27" s="0" t="n"/>
    </row>
    <row r="28">
      <c r="A28" s="0" t="n"/>
      <c r="B28" s="0" t="n"/>
    </row>
    <row r="29">
      <c r="A29" s="0" t="n"/>
      <c r="B29" s="0" t="n"/>
    </row>
    <row r="30">
      <c r="A30" s="0" t="n"/>
      <c r="B30" s="0" t="n"/>
    </row>
    <row r="31">
      <c r="A31" s="0" t="n"/>
      <c r="B31" s="0" t="n"/>
    </row>
    <row r="32">
      <c r="A32" s="0" t="n"/>
      <c r="B32" s="0" t="n"/>
    </row>
    <row r="33">
      <c r="A33" s="0" t="n"/>
      <c r="B33" s="0" t="n"/>
    </row>
    <row r="34">
      <c r="A34" s="0" t="n"/>
      <c r="B34" s="0" t="n"/>
    </row>
    <row r="35">
      <c r="A35" s="0" t="n"/>
      <c r="B35" s="0" t="n"/>
    </row>
    <row r="36">
      <c r="A36" s="0" t="n"/>
      <c r="B36" s="0" t="n"/>
    </row>
    <row r="37">
      <c r="A37" s="0" t="n"/>
      <c r="B37" s="0" t="n"/>
    </row>
    <row r="38">
      <c r="A38" s="0" t="n"/>
      <c r="B38" s="0" t="n"/>
    </row>
    <row r="39">
      <c r="A39" s="0" t="n"/>
      <c r="B39" s="0" t="n"/>
    </row>
    <row r="40">
      <c r="A40" s="0" t="n"/>
      <c r="B40" s="0" t="n"/>
    </row>
    <row r="41">
      <c r="A41" s="0" t="n"/>
      <c r="B41" s="0" t="n"/>
    </row>
    <row r="42">
      <c r="A42" s="0" t="n"/>
      <c r="B42" s="0" t="n"/>
    </row>
    <row r="43">
      <c r="A43" s="0" t="n"/>
      <c r="B43" s="0" t="n"/>
    </row>
    <row r="44">
      <c r="A44" s="0" t="n"/>
      <c r="B44" s="0" t="n"/>
    </row>
    <row r="45">
      <c r="A45" s="0" t="n"/>
      <c r="B45" s="0" t="n"/>
    </row>
    <row r="46">
      <c r="A46" s="0" t="n"/>
      <c r="B46" s="0" t="n"/>
    </row>
    <row r="47">
      <c r="A47" s="0" t="n"/>
      <c r="B47" s="0" t="n"/>
    </row>
    <row r="48">
      <c r="A48" s="0" t="n"/>
      <c r="B48" s="0" t="n"/>
    </row>
    <row r="49">
      <c r="A49" s="0" t="n"/>
      <c r="B49" s="0" t="n"/>
    </row>
    <row r="50">
      <c r="A50" s="0" t="inlineStr">
        <is>
          <t>GloVe-100</t>
        </is>
      </c>
      <c r="B50" s="0" t="inlineStr">
        <is>
          <t>F115</t>
        </is>
      </c>
      <c r="C50" s="0" t="inlineStr">
        <is>
          <t>Merkle+IVF</t>
        </is>
      </c>
      <c r="D50" s="0" t="inlineStr">
        <is>
          <t>recall</t>
        </is>
      </c>
      <c r="E50" s="0" t="n">
        <v>0.96</v>
      </c>
      <c r="F50" s="0" t="n">
        <v>64</v>
      </c>
      <c r="G50" s="0" t="inlineStr">
        <is>
          <t>/mnt/d/paper_source/work_9/VeriANN_repro_2026-09-30/VeriANN_repro_2026-09-30/results/work9-ablation-20261015/glove100/formal-1-3/variant-1</t>
        </is>
      </c>
      <c r="H50" s="0" t="inlineStr">
        <is>
          <t>380ea94ed1bf12613f3141a0317e81563a2c66224bf98c87181b6fd31e0c103c</t>
        </is>
      </c>
    </row>
    <row r="51">
      <c r="A51" s="0" t="inlineStr">
        <is>
          <t>GloVe-100</t>
        </is>
      </c>
      <c r="B51" s="0" t="inlineStr">
        <is>
          <t>G115</t>
        </is>
      </c>
      <c r="C51" s="0" t="inlineStr">
        <is>
          <t>Merkle+IVF</t>
        </is>
      </c>
      <c r="D51" s="0" t="inlineStr">
        <is>
          <t>query_ms</t>
        </is>
      </c>
      <c r="E51" s="0" t="n">
        <v>656.046048783333</v>
      </c>
      <c r="F51" s="0" t="n">
        <v>64</v>
      </c>
      <c r="G51" s="0" t="inlineStr">
        <is>
          <t>/mnt/d/paper_source/work_9/VeriANN_repro_2026-09-30/VeriANN_repro_2026-09-30/results/work9-ablation-20261015/glove100/formal-1-3/variant-1</t>
        </is>
      </c>
      <c r="H51" s="0" t="inlineStr">
        <is>
          <t>380ea94ed1bf12613f3141a0317e81563a2c66224bf98c87181b6fd31e0c103c</t>
        </is>
      </c>
    </row>
    <row r="52">
      <c r="A52" s="0" t="inlineStr">
        <is>
          <t>GloVe-100</t>
        </is>
      </c>
      <c r="B52" s="0" t="inlineStr">
        <is>
          <t>H115</t>
        </is>
      </c>
      <c r="C52" s="0" t="inlineStr">
        <is>
          <t>Merkle+IVF</t>
        </is>
      </c>
      <c r="D52" s="0" t="inlineStr">
        <is>
          <t>vo_kb</t>
        </is>
      </c>
      <c r="E52" s="0" t="n">
        <v>114536.9394</v>
      </c>
      <c r="F52" s="0" t="n">
        <v>64</v>
      </c>
      <c r="G52" s="0" t="inlineStr">
        <is>
          <t>/mnt/d/paper_source/work_9/VeriANN_repro_2026-09-30/VeriANN_repro_2026-09-30/results/work9-ablation-20261015/glove100/formal-1-3/variant-1</t>
        </is>
      </c>
      <c r="H52" s="0" t="inlineStr">
        <is>
          <t>380ea94ed1bf12613f3141a0317e81563a2c66224bf98c87181b6fd31e0c103c</t>
        </is>
      </c>
    </row>
    <row r="53">
      <c r="A53" s="0" t="inlineStr">
        <is>
          <t>GloVe-100</t>
        </is>
      </c>
      <c r="B53" s="0" t="inlineStr">
        <is>
          <t>I115</t>
        </is>
      </c>
      <c r="C53" s="0" t="inlineStr">
        <is>
          <t>Merkle+IVF</t>
        </is>
      </c>
      <c r="D53" s="0" t="inlineStr">
        <is>
          <t>verify_ms</t>
        </is>
      </c>
      <c r="E53" s="0" t="n">
        <v>1451.07563496667</v>
      </c>
      <c r="F53" s="0" t="n">
        <v>64</v>
      </c>
      <c r="G53" s="0" t="inlineStr">
        <is>
          <t>/mnt/d/paper_source/work_9/VeriANN_repro_2026-09-30/VeriANN_repro_2026-09-30/results/work9-ablation-20261015/glove100/formal-1-3/variant-1</t>
        </is>
      </c>
      <c r="H53" s="0" t="inlineStr">
        <is>
          <t>380ea94ed1bf12613f3141a0317e81563a2c66224bf98c87181b6fd31e0c103c</t>
        </is>
      </c>
    </row>
    <row r="54">
      <c r="A54" s="0" t="inlineStr">
        <is>
          <t>GloVe-100</t>
        </is>
      </c>
      <c r="B54" s="0" t="inlineStr">
        <is>
          <t>F117</t>
        </is>
      </c>
      <c r="C54" s="0" t="inlineStr">
        <is>
          <t>Merkle+IVF+(i)</t>
        </is>
      </c>
      <c r="D54" s="0" t="inlineStr">
        <is>
          <t>recall</t>
        </is>
      </c>
      <c r="E54" s="0" t="n">
        <v>0.96</v>
      </c>
      <c r="F54" s="0" t="n">
        <v>64</v>
      </c>
      <c r="G54" s="0" t="inlineStr">
        <is>
          <t>/mnt/d/paper_source/work_9/VeriANN_repro_2026-09-30/VeriANN_repro_2026-09-30/results/work9-ablation-20261015/glove100/formal-1-3/variant-3</t>
        </is>
      </c>
      <c r="H54" s="0" t="inlineStr">
        <is>
          <t>e653f0df33674d3cd77ac3106b1f9665f6ec54a8ab52a7e6caafbddc8c9637b0</t>
        </is>
      </c>
    </row>
    <row r="55">
      <c r="A55" s="0" t="inlineStr">
        <is>
          <t>GloVe-100</t>
        </is>
      </c>
      <c r="B55" s="0" t="inlineStr">
        <is>
          <t>G117</t>
        </is>
      </c>
      <c r="C55" s="0" t="inlineStr">
        <is>
          <t>Merkle+IVF+(i)</t>
        </is>
      </c>
      <c r="D55" s="0" t="inlineStr">
        <is>
          <t>query_ms</t>
        </is>
      </c>
      <c r="E55" s="0" t="n">
        <v>284.9821033</v>
      </c>
      <c r="F55" s="0" t="n">
        <v>64</v>
      </c>
      <c r="G55" s="0" t="inlineStr">
        <is>
          <t>/mnt/d/paper_source/work_9/VeriANN_repro_2026-09-30/VeriANN_repro_2026-09-30/results/work9-ablation-20261015/glove100/formal-1-3/variant-3</t>
        </is>
      </c>
      <c r="H55" s="0" t="inlineStr">
        <is>
          <t>e653f0df33674d3cd77ac3106b1f9665f6ec54a8ab52a7e6caafbddc8c9637b0</t>
        </is>
      </c>
    </row>
    <row r="56">
      <c r="A56" s="0" t="inlineStr">
        <is>
          <t>GloVe-100</t>
        </is>
      </c>
      <c r="B56" s="0" t="inlineStr">
        <is>
          <t>H117</t>
        </is>
      </c>
      <c r="C56" s="0" t="inlineStr">
        <is>
          <t>Merkle+IVF+(i)</t>
        </is>
      </c>
      <c r="D56" s="0" t="inlineStr">
        <is>
          <t>vo_kb</t>
        </is>
      </c>
      <c r="E56" s="0" t="n">
        <v>33295.9082</v>
      </c>
      <c r="F56" s="0" t="n">
        <v>64</v>
      </c>
      <c r="G56" s="0" t="inlineStr">
        <is>
          <t>/mnt/d/paper_source/work_9/VeriANN_repro_2026-09-30/VeriANN_repro_2026-09-30/results/work9-ablation-20261015/glove100/formal-1-3/variant-3</t>
        </is>
      </c>
      <c r="H56" s="0" t="inlineStr">
        <is>
          <t>e653f0df33674d3cd77ac3106b1f9665f6ec54a8ab52a7e6caafbddc8c9637b0</t>
        </is>
      </c>
    </row>
    <row r="57">
      <c r="A57" s="0" t="inlineStr">
        <is>
          <t>GloVe-100</t>
        </is>
      </c>
      <c r="B57" s="0" t="inlineStr">
        <is>
          <t>I117</t>
        </is>
      </c>
      <c r="C57" s="0" t="inlineStr">
        <is>
          <t>Merkle+IVF+(i)</t>
        </is>
      </c>
      <c r="D57" s="0" t="inlineStr">
        <is>
          <t>verify_ms</t>
        </is>
      </c>
      <c r="E57" s="0" t="n">
        <v>1447.11602305</v>
      </c>
      <c r="F57" s="0" t="n">
        <v>64</v>
      </c>
      <c r="G57" s="0" t="inlineStr">
        <is>
          <t>/mnt/d/paper_source/work_9/VeriANN_repro_2026-09-30/VeriANN_repro_2026-09-30/results/work9-ablation-20261015/glove100/formal-1-3/variant-3</t>
        </is>
      </c>
      <c r="H57" s="0" t="inlineStr">
        <is>
          <t>e653f0df33674d3cd77ac3106b1f9665f6ec54a8ab52a7e6caafbddc8c9637b0</t>
        </is>
      </c>
    </row>
    <row r="58">
      <c r="A58" s="0" t="inlineStr">
        <is>
          <t>GloVe-100</t>
        </is>
      </c>
      <c r="B58" s="0" t="inlineStr">
        <is>
          <t>F116</t>
        </is>
      </c>
      <c r="C58" s="0" t="inlineStr">
        <is>
          <t>Merkle+HNSW</t>
        </is>
      </c>
      <c r="D58" s="0" t="inlineStr">
        <is>
          <t>recall</t>
        </is>
      </c>
      <c r="E58" s="0" t="n">
        <v>0.95</v>
      </c>
      <c r="F58" s="0" t="n">
        <v>1024</v>
      </c>
      <c r="G58" s="0" t="inlineStr">
        <is>
          <t>/mnt/d/paper_source/work_9/VeriANN_repro_2026-09-30/VeriANN_repro_2026-09-30/results/work9-ablation-20261015/glove100/formal-2-4/variant-2</t>
        </is>
      </c>
      <c r="H58" s="0" t="inlineStr">
        <is>
          <t>a899e6887243bd49152534f9648a438201697a3394248104c624983d299b784a</t>
        </is>
      </c>
    </row>
    <row r="59">
      <c r="A59" s="0" t="inlineStr">
        <is>
          <t>GloVe-100</t>
        </is>
      </c>
      <c r="B59" s="0" t="inlineStr">
        <is>
          <t>G116</t>
        </is>
      </c>
      <c r="C59" s="0" t="inlineStr">
        <is>
          <t>Merkle+HNSW</t>
        </is>
      </c>
      <c r="D59" s="0" t="inlineStr">
        <is>
          <t>query_ms</t>
        </is>
      </c>
      <c r="E59" s="0" t="n">
        <v>71.72813031666669</v>
      </c>
      <c r="F59" s="0" t="n">
        <v>1024</v>
      </c>
      <c r="G59" s="0" t="inlineStr">
        <is>
          <t>/mnt/d/paper_source/work_9/VeriANN_repro_2026-09-30/VeriANN_repro_2026-09-30/results/work9-ablation-20261015/glove100/formal-2-4/variant-2</t>
        </is>
      </c>
      <c r="H59" s="0" t="inlineStr">
        <is>
          <t>a899e6887243bd49152534f9648a438201697a3394248104c624983d299b784a</t>
        </is>
      </c>
    </row>
    <row r="60">
      <c r="A60" s="0" t="inlineStr">
        <is>
          <t>GloVe-100</t>
        </is>
      </c>
      <c r="B60" s="0" t="inlineStr">
        <is>
          <t>H116</t>
        </is>
      </c>
      <c r="C60" s="0" t="inlineStr">
        <is>
          <t>Merkle+HNSW</t>
        </is>
      </c>
      <c r="D60" s="0" t="inlineStr">
        <is>
          <t>vo_kb</t>
        </is>
      </c>
      <c r="E60" s="0" t="n">
        <v>12688.6482</v>
      </c>
      <c r="F60" s="0" t="n">
        <v>1024</v>
      </c>
      <c r="G60" s="0" t="inlineStr">
        <is>
          <t>/mnt/d/paper_source/work_9/VeriANN_repro_2026-09-30/VeriANN_repro_2026-09-30/results/work9-ablation-20261015/glove100/formal-2-4/variant-2</t>
        </is>
      </c>
      <c r="H60" s="0" t="inlineStr">
        <is>
          <t>a899e6887243bd49152534f9648a438201697a3394248104c624983d299b784a</t>
        </is>
      </c>
    </row>
    <row r="61">
      <c r="A61" s="0" t="inlineStr">
        <is>
          <t>GloVe-100</t>
        </is>
      </c>
      <c r="B61" s="0" t="inlineStr">
        <is>
          <t>I116</t>
        </is>
      </c>
      <c r="C61" s="0" t="inlineStr">
        <is>
          <t>Merkle+HNSW</t>
        </is>
      </c>
      <c r="D61" s="0" t="inlineStr">
        <is>
          <t>verify_ms</t>
        </is>
      </c>
      <c r="E61" s="0" t="n">
        <v>144.693621066667</v>
      </c>
      <c r="F61" s="0" t="n">
        <v>1024</v>
      </c>
      <c r="G61" s="0" t="inlineStr">
        <is>
          <t>/mnt/d/paper_source/work_9/VeriANN_repro_2026-09-30/VeriANN_repro_2026-09-30/results/work9-ablation-20261015/glove100/formal-2-4/variant-2</t>
        </is>
      </c>
      <c r="H61" s="0" t="inlineStr">
        <is>
          <t>a899e6887243bd49152534f9648a438201697a3394248104c624983d299b784a</t>
        </is>
      </c>
    </row>
    <row r="62">
      <c r="A62" s="0" t="inlineStr">
        <is>
          <t>GloVe-100</t>
        </is>
      </c>
      <c r="B62" s="0" t="inlineStr">
        <is>
          <t>F118</t>
        </is>
      </c>
      <c r="C62" s="0" t="inlineStr">
        <is>
          <t>Merkle+HNSW+(i)</t>
        </is>
      </c>
      <c r="D62" s="0" t="inlineStr">
        <is>
          <t>recall</t>
        </is>
      </c>
      <c r="E62" s="0" t="n">
        <v>0.95</v>
      </c>
      <c r="F62" s="0" t="n">
        <v>1024</v>
      </c>
      <c r="G62" s="0" t="inlineStr">
        <is>
          <t>/mnt/d/paper_source/work_9/VeriANN_repro_2026-09-30/VeriANN_repro_2026-09-30/results/work9-ablation-20261015/glove100/formal-2-4/variant-4</t>
        </is>
      </c>
      <c r="H62" s="0" t="inlineStr">
        <is>
          <t>0048cf9a39fcedfb0489a5ed08a772e05562550254585bece4f590c59f32e227</t>
        </is>
      </c>
    </row>
    <row r="63">
      <c r="A63" s="0" t="inlineStr">
        <is>
          <t>GloVe-100</t>
        </is>
      </c>
      <c r="B63" s="0" t="inlineStr">
        <is>
          <t>G118</t>
        </is>
      </c>
      <c r="C63" s="0" t="inlineStr">
        <is>
          <t>Merkle+HNSW+(i)</t>
        </is>
      </c>
      <c r="D63" s="0" t="inlineStr">
        <is>
          <t>query_ms</t>
        </is>
      </c>
      <c r="E63" s="0" t="n">
        <v>81.6738649666667</v>
      </c>
      <c r="F63" s="0" t="n">
        <v>1024</v>
      </c>
      <c r="G63" s="0" t="inlineStr">
        <is>
          <t>/mnt/d/paper_source/work_9/VeriANN_repro_2026-09-30/VeriANN_repro_2026-09-30/results/work9-ablation-20261015/glove100/formal-2-4/variant-4</t>
        </is>
      </c>
      <c r="H63" s="0" t="inlineStr">
        <is>
          <t>0048cf9a39fcedfb0489a5ed08a772e05562550254585bece4f590c59f32e227</t>
        </is>
      </c>
    </row>
    <row r="64">
      <c r="A64" s="0" t="inlineStr">
        <is>
          <t>GloVe-100</t>
        </is>
      </c>
      <c r="B64" s="0" t="inlineStr">
        <is>
          <t>H118</t>
        </is>
      </c>
      <c r="C64" s="0" t="inlineStr">
        <is>
          <t>Merkle+HNSW+(i)</t>
        </is>
      </c>
      <c r="D64" s="0" t="inlineStr">
        <is>
          <t>vo_kb</t>
        </is>
      </c>
      <c r="E64" s="0" t="n">
        <v>12105.94305</v>
      </c>
      <c r="F64" s="0" t="n">
        <v>1024</v>
      </c>
      <c r="G64" s="0" t="inlineStr">
        <is>
          <t>/mnt/d/paper_source/work_9/VeriANN_repro_2026-09-30/VeriANN_repro_2026-09-30/results/work9-ablation-20261015/glove100/formal-2-4/variant-4</t>
        </is>
      </c>
      <c r="H64" s="0" t="inlineStr">
        <is>
          <t>0048cf9a39fcedfb0489a5ed08a772e05562550254585bece4f590c59f32e227</t>
        </is>
      </c>
    </row>
    <row r="65">
      <c r="A65" s="0" t="inlineStr">
        <is>
          <t>GloVe-100</t>
        </is>
      </c>
      <c r="B65" s="0" t="inlineStr">
        <is>
          <t>I118</t>
        </is>
      </c>
      <c r="C65" s="0" t="inlineStr">
        <is>
          <t>Merkle+HNSW+(i)</t>
        </is>
      </c>
      <c r="D65" s="0" t="inlineStr">
        <is>
          <t>verify_ms</t>
        </is>
      </c>
      <c r="E65" s="0" t="n">
        <v>283.981054216667</v>
      </c>
      <c r="F65" s="0" t="n">
        <v>1024</v>
      </c>
      <c r="G65" s="0" t="inlineStr">
        <is>
          <t>/mnt/d/paper_source/work_9/VeriANN_repro_2026-09-30/VeriANN_repro_2026-09-30/results/work9-ablation-20261015/glove100/formal-2-4/variant-4</t>
        </is>
      </c>
      <c r="H65" s="0" t="inlineStr">
        <is>
          <t>0048cf9a39fcedfb0489a5ed08a772e05562550254585bece4f590c59f32e227</t>
        </is>
      </c>
    </row>
    <row r="66">
      <c r="A66" s="0" t="inlineStr">
        <is>
          <t>GloVe-100</t>
        </is>
      </c>
      <c r="B66" s="0" t="inlineStr">
        <is>
          <t>F119</t>
        </is>
      </c>
      <c r="C66" s="0" t="inlineStr">
        <is>
          <t>(i)+(ii)</t>
        </is>
      </c>
      <c r="D66" s="0" t="inlineStr">
        <is>
          <t>recall</t>
        </is>
      </c>
      <c r="E66" s="0" t="n">
        <v>0.96</v>
      </c>
      <c r="F66" s="0" t="n">
        <v>1024</v>
      </c>
      <c r="G66" s="0" t="inlineStr">
        <is>
          <t>/mnt/d/paper_source/work_9/VeriANN_repro_2026-09-30/VeriANN_repro_2026-09-30/results/work9-ablation-20261015/glove100/formal-5-6/variant-5</t>
        </is>
      </c>
      <c r="H66" s="0" t="inlineStr">
        <is>
          <t>1d511c008d3b71a4de72984130f3cd033ed81949c7604f66239cc0fdf2fbbe39</t>
        </is>
      </c>
    </row>
    <row r="67">
      <c r="A67" s="0" t="inlineStr">
        <is>
          <t>GloVe-100</t>
        </is>
      </c>
      <c r="B67" s="0" t="inlineStr">
        <is>
          <t>G119</t>
        </is>
      </c>
      <c r="C67" s="0" t="inlineStr">
        <is>
          <t>(i)+(ii)</t>
        </is>
      </c>
      <c r="D67" s="0" t="inlineStr">
        <is>
          <t>query_ms</t>
        </is>
      </c>
      <c r="E67" s="0" t="n">
        <v>58.3624241333333</v>
      </c>
      <c r="F67" s="0" t="n">
        <v>1024</v>
      </c>
      <c r="G67" s="0" t="inlineStr">
        <is>
          <t>/mnt/d/paper_source/work_9/VeriANN_repro_2026-09-30/VeriANN_repro_2026-09-30/results/work9-ablation-20261015/glove100/formal-5-6/variant-5</t>
        </is>
      </c>
      <c r="H67" s="0" t="inlineStr">
        <is>
          <t>1d511c008d3b71a4de72984130f3cd033ed81949c7604f66239cc0fdf2fbbe39</t>
        </is>
      </c>
    </row>
    <row r="68">
      <c r="A68" s="0" t="inlineStr">
        <is>
          <t>GloVe-100</t>
        </is>
      </c>
      <c r="B68" s="0" t="inlineStr">
        <is>
          <t>H119</t>
        </is>
      </c>
      <c r="C68" s="0" t="inlineStr">
        <is>
          <t>(i)+(ii)</t>
        </is>
      </c>
      <c r="D68" s="0" t="inlineStr">
        <is>
          <t>vo_kb</t>
        </is>
      </c>
      <c r="E68" s="0" t="n">
        <v>7204.0758</v>
      </c>
      <c r="F68" s="0" t="n">
        <v>1024</v>
      </c>
      <c r="G68" s="0" t="inlineStr">
        <is>
          <t>/mnt/d/paper_source/work_9/VeriANN_repro_2026-09-30/VeriANN_repro_2026-09-30/results/work9-ablation-20261015/glove100/formal-5-6/variant-5</t>
        </is>
      </c>
      <c r="H68" s="0" t="inlineStr">
        <is>
          <t>1d511c008d3b71a4de72984130f3cd033ed81949c7604f66239cc0fdf2fbbe39</t>
        </is>
      </c>
    </row>
    <row r="69">
      <c r="A69" s="0" t="inlineStr">
        <is>
          <t>GloVe-100</t>
        </is>
      </c>
      <c r="B69" s="0" t="inlineStr">
        <is>
          <t>I119</t>
        </is>
      </c>
      <c r="C69" s="0" t="inlineStr">
        <is>
          <t>(i)+(ii)</t>
        </is>
      </c>
      <c r="D69" s="0" t="inlineStr">
        <is>
          <t>verify_ms</t>
        </is>
      </c>
      <c r="E69" s="0" t="n">
        <v>180.8511168</v>
      </c>
      <c r="F69" s="0" t="n">
        <v>1024</v>
      </c>
      <c r="G69" s="0" t="inlineStr">
        <is>
          <t>/mnt/d/paper_source/work_9/VeriANN_repro_2026-09-30/VeriANN_repro_2026-09-30/results/work9-ablation-20261015/glove100/formal-5-6/variant-5</t>
        </is>
      </c>
      <c r="H69" s="0" t="inlineStr">
        <is>
          <t>1d511c008d3b71a4de72984130f3cd033ed81949c7604f66239cc0fdf2fbbe39</t>
        </is>
      </c>
    </row>
    <row r="70">
      <c r="A70" s="0" t="inlineStr">
        <is>
          <t>GloVe-100</t>
        </is>
      </c>
      <c r="B70" s="0" t="inlineStr">
        <is>
          <t>F120</t>
        </is>
      </c>
      <c r="C70" s="0" t="inlineStr">
        <is>
          <t>(i)+(ii)+(iii)</t>
        </is>
      </c>
      <c r="D70" s="0" t="inlineStr">
        <is>
          <t>recall</t>
        </is>
      </c>
      <c r="E70" s="0" t="n">
        <v>0.96</v>
      </c>
      <c r="F70" s="0" t="n">
        <v>1024</v>
      </c>
      <c r="G70" s="0" t="inlineStr">
        <is>
          <t>/mnt/d/paper_source/work_9/VeriANN_repro_2026-09-30/VeriANN_repro_2026-09-30/results/work9-ablation-20261015/glove100/formal-5-6/variant-6</t>
        </is>
      </c>
      <c r="H70" s="0" t="inlineStr">
        <is>
          <t>4f2864b36717a7ad8ff1a044892b9766d867b87679925708b96a41ffb683bae3</t>
        </is>
      </c>
    </row>
    <row r="71">
      <c r="A71" s="0" t="inlineStr">
        <is>
          <t>GloVe-100</t>
        </is>
      </c>
      <c r="B71" s="0" t="inlineStr">
        <is>
          <t>G120</t>
        </is>
      </c>
      <c r="C71" s="0" t="inlineStr">
        <is>
          <t>(i)+(ii)+(iii)</t>
        </is>
      </c>
      <c r="D71" s="0" t="inlineStr">
        <is>
          <t>query_ms</t>
        </is>
      </c>
      <c r="E71" s="0" t="n">
        <v>35.9087503333333</v>
      </c>
      <c r="F71" s="0" t="n">
        <v>1024</v>
      </c>
      <c r="G71" s="0" t="inlineStr">
        <is>
          <t>/mnt/d/paper_source/work_9/VeriANN_repro_2026-09-30/VeriANN_repro_2026-09-30/results/work9-ablation-20261015/glove100/formal-5-6/variant-6</t>
        </is>
      </c>
      <c r="H71" s="0" t="inlineStr">
        <is>
          <t>4f2864b36717a7ad8ff1a044892b9766d867b87679925708b96a41ffb683bae3</t>
        </is>
      </c>
    </row>
    <row r="72">
      <c r="A72" s="0" t="inlineStr">
        <is>
          <t>GloVe-100</t>
        </is>
      </c>
      <c r="B72" s="0" t="inlineStr">
        <is>
          <t>H120</t>
        </is>
      </c>
      <c r="C72" s="0" t="inlineStr">
        <is>
          <t>(i)+(ii)+(iii)</t>
        </is>
      </c>
      <c r="D72" s="0" t="inlineStr">
        <is>
          <t>vo_kb</t>
        </is>
      </c>
      <c r="E72" s="0" t="n">
        <v>2804.3072</v>
      </c>
      <c r="F72" s="0" t="n">
        <v>1024</v>
      </c>
      <c r="G72" s="0" t="inlineStr">
        <is>
          <t>/mnt/d/paper_source/work_9/VeriANN_repro_2026-09-30/VeriANN_repro_2026-09-30/results/work9-ablation-20261015/glove100/formal-5-6/variant-6</t>
        </is>
      </c>
      <c r="H72" s="0" t="inlineStr">
        <is>
          <t>4f2864b36717a7ad8ff1a044892b9766d867b87679925708b96a41ffb683bae3</t>
        </is>
      </c>
    </row>
    <row r="73">
      <c r="A73" s="0" t="inlineStr">
        <is>
          <t>GloVe-100</t>
        </is>
      </c>
      <c r="B73" s="0" t="inlineStr">
        <is>
          <t>I120</t>
        </is>
      </c>
      <c r="C73" s="0" t="inlineStr">
        <is>
          <t>(i)+(ii)+(iii)</t>
        </is>
      </c>
      <c r="D73" s="0" t="inlineStr">
        <is>
          <t>verify_ms</t>
        </is>
      </c>
      <c r="E73" s="0" t="n">
        <v>77.78700821666671</v>
      </c>
      <c r="F73" s="0" t="n">
        <v>1024</v>
      </c>
      <c r="G73" s="0" t="inlineStr">
        <is>
          <t>/mnt/d/paper_source/work_9/VeriANN_repro_2026-09-30/VeriANN_repro_2026-09-30/results/work9-ablation-20261015/glove100/formal-5-6/variant-6</t>
        </is>
      </c>
      <c r="H73" s="0" t="inlineStr">
        <is>
          <t>4f2864b36717a7ad8ff1a044892b9766d867b87679925708b96a41ffb683bae3</t>
        </is>
      </c>
    </row>
    <row r="74">
      <c r="A74" s="0" t="inlineStr">
        <is>
          <t>SIFT1M</t>
        </is>
      </c>
      <c r="B74" s="0" t="inlineStr">
        <is>
          <t>F116</t>
        </is>
      </c>
      <c r="C74" s="0" t="inlineStr">
        <is>
          <t>Merkle+IVF</t>
        </is>
      </c>
      <c r="D74" s="0" t="inlineStr">
        <is>
          <t>recall</t>
        </is>
      </c>
      <c r="E74" s="0" t="n">
        <v>0.95</v>
      </c>
      <c r="F74" s="0" t="n">
        <v>9</v>
      </c>
      <c r="G74" s="0" t="inlineStr">
        <is>
          <t>/mnt/d/paper_source/work_9/VeriANN_repro_2026-09-30/VeriANN_repro_2026-09-30/results/work9-ablation-20261015/sift1m/formal-1-3/variant-1</t>
        </is>
      </c>
      <c r="H74" s="0" t="inlineStr">
        <is>
          <t>63e2c3e0d2f4d028f5b97a4a76473bb8444bdb7fe870e4557aa4f47cf79e97cb</t>
        </is>
      </c>
    </row>
    <row r="75">
      <c r="A75" s="0" t="inlineStr">
        <is>
          <t>SIFT1M</t>
        </is>
      </c>
      <c r="B75" s="0" t="inlineStr">
        <is>
          <t>G116</t>
        </is>
      </c>
      <c r="C75" s="0" t="inlineStr">
        <is>
          <t>Merkle+IVF</t>
        </is>
      </c>
      <c r="D75" s="0" t="inlineStr">
        <is>
          <t>query_ms</t>
        </is>
      </c>
      <c r="E75" s="0" t="n">
        <v>128.915429933333</v>
      </c>
      <c r="F75" s="0" t="n">
        <v>9</v>
      </c>
      <c r="G75" s="0" t="inlineStr">
        <is>
          <t>/mnt/d/paper_source/work_9/VeriANN_repro_2026-09-30/VeriANN_repro_2026-09-30/results/work9-ablation-20261015/sift1m/formal-1-3/variant-1</t>
        </is>
      </c>
      <c r="H75" s="0" t="inlineStr">
        <is>
          <t>63e2c3e0d2f4d028f5b97a4a76473bb8444bdb7fe870e4557aa4f47cf79e97cb</t>
        </is>
      </c>
    </row>
    <row r="76">
      <c r="A76" s="0" t="inlineStr">
        <is>
          <t>SIFT1M</t>
        </is>
      </c>
      <c r="B76" s="0" t="inlineStr">
        <is>
          <t>H116</t>
        </is>
      </c>
      <c r="C76" s="0" t="inlineStr">
        <is>
          <t>Merkle+IVF</t>
        </is>
      </c>
      <c r="D76" s="0" t="inlineStr">
        <is>
          <t>vo_kb</t>
        </is>
      </c>
      <c r="E76" s="0" t="n">
        <v>24691.9808</v>
      </c>
      <c r="F76" s="0" t="n">
        <v>9</v>
      </c>
      <c r="G76" s="0" t="inlineStr">
        <is>
          <t>/mnt/d/paper_source/work_9/VeriANN_repro_2026-09-30/VeriANN_repro_2026-09-30/results/work9-ablation-20261015/sift1m/formal-1-3/variant-1</t>
        </is>
      </c>
      <c r="H76" s="0" t="inlineStr">
        <is>
          <t>63e2c3e0d2f4d028f5b97a4a76473bb8444bdb7fe870e4557aa4f47cf79e97cb</t>
        </is>
      </c>
    </row>
    <row r="77">
      <c r="A77" s="0" t="inlineStr">
        <is>
          <t>SIFT1M</t>
        </is>
      </c>
      <c r="B77" s="0" t="inlineStr">
        <is>
          <t>I116</t>
        </is>
      </c>
      <c r="C77" s="0" t="inlineStr">
        <is>
          <t>Merkle+IVF</t>
        </is>
      </c>
      <c r="D77" s="0" t="inlineStr">
        <is>
          <t>verify_ms</t>
        </is>
      </c>
      <c r="E77" s="0" t="n">
        <v>266.394078916667</v>
      </c>
      <c r="F77" s="0" t="n">
        <v>9</v>
      </c>
      <c r="G77" s="0" t="inlineStr">
        <is>
          <t>/mnt/d/paper_source/work_9/VeriANN_repro_2026-09-30/VeriANN_repro_2026-09-30/results/work9-ablation-20261015/sift1m/formal-1-3/variant-1</t>
        </is>
      </c>
      <c r="H77" s="0" t="inlineStr">
        <is>
          <t>63e2c3e0d2f4d028f5b97a4a76473bb8444bdb7fe870e4557aa4f47cf79e97cb</t>
        </is>
      </c>
    </row>
    <row r="78">
      <c r="A78" s="0" t="inlineStr">
        <is>
          <t>SIFT1M</t>
        </is>
      </c>
      <c r="B78" s="0" t="inlineStr">
        <is>
          <t>F118</t>
        </is>
      </c>
      <c r="C78" s="0" t="inlineStr">
        <is>
          <t>Merkle+IVF+(i)</t>
        </is>
      </c>
      <c r="D78" s="0" t="inlineStr">
        <is>
          <t>recall</t>
        </is>
      </c>
      <c r="E78" s="0" t="n">
        <v>0.95</v>
      </c>
      <c r="F78" s="0" t="n">
        <v>9</v>
      </c>
      <c r="G78" s="0" t="inlineStr">
        <is>
          <t>/mnt/d/paper_source/work_9/VeriANN_repro_2026-09-30/VeriANN_repro_2026-09-30/results/work9-ablation-20261015/sift1m/formal-1-3/variant-3</t>
        </is>
      </c>
      <c r="H78" s="0" t="inlineStr">
        <is>
          <t>bf8e02cdfa2433b5e4a7812bcb4be6afb6c3bcc0f8d342a4ba0d1bda5565614b</t>
        </is>
      </c>
    </row>
    <row r="79">
      <c r="A79" s="0" t="inlineStr">
        <is>
          <t>SIFT1M</t>
        </is>
      </c>
      <c r="B79" s="0" t="inlineStr">
        <is>
          <t>G118</t>
        </is>
      </c>
      <c r="C79" s="0" t="inlineStr">
        <is>
          <t>Merkle+IVF+(i)</t>
        </is>
      </c>
      <c r="D79" s="0" t="inlineStr">
        <is>
          <t>query_ms</t>
        </is>
      </c>
      <c r="E79" s="0" t="n">
        <v>47.63649185</v>
      </c>
      <c r="F79" s="0" t="n">
        <v>9</v>
      </c>
      <c r="G79" s="0" t="inlineStr">
        <is>
          <t>/mnt/d/paper_source/work_9/VeriANN_repro_2026-09-30/VeriANN_repro_2026-09-30/results/work9-ablation-20261015/sift1m/formal-1-3/variant-3</t>
        </is>
      </c>
      <c r="H79" s="0" t="inlineStr">
        <is>
          <t>bf8e02cdfa2433b5e4a7812bcb4be6afb6c3bcc0f8d342a4ba0d1bda5565614b</t>
        </is>
      </c>
    </row>
    <row r="80">
      <c r="A80" s="0" t="inlineStr">
        <is>
          <t>SIFT1M</t>
        </is>
      </c>
      <c r="B80" s="0" t="inlineStr">
        <is>
          <t>H118</t>
        </is>
      </c>
      <c r="C80" s="0" t="inlineStr">
        <is>
          <t>Merkle+IVF+(i)</t>
        </is>
      </c>
      <c r="D80" s="0" t="inlineStr">
        <is>
          <t>vo_kb</t>
        </is>
      </c>
      <c r="E80" s="0" t="n">
        <v>8019.3744</v>
      </c>
      <c r="F80" s="0" t="n">
        <v>9</v>
      </c>
      <c r="G80" s="0" t="inlineStr">
        <is>
          <t>/mnt/d/paper_source/work_9/VeriANN_repro_2026-09-30/VeriANN_repro_2026-09-30/results/work9-ablation-20261015/sift1m/formal-1-3/variant-3</t>
        </is>
      </c>
      <c r="H80" s="0" t="inlineStr">
        <is>
          <t>bf8e02cdfa2433b5e4a7812bcb4be6afb6c3bcc0f8d342a4ba0d1bda5565614b</t>
        </is>
      </c>
    </row>
    <row r="81">
      <c r="A81" s="0" t="inlineStr">
        <is>
          <t>SIFT1M</t>
        </is>
      </c>
      <c r="B81" s="0" t="inlineStr">
        <is>
          <t>I118</t>
        </is>
      </c>
      <c r="C81" s="0" t="inlineStr">
        <is>
          <t>Merkle+IVF+(i)</t>
        </is>
      </c>
      <c r="D81" s="0" t="inlineStr">
        <is>
          <t>verify_ms</t>
        </is>
      </c>
      <c r="E81" s="0" t="n">
        <v>241.216355</v>
      </c>
      <c r="F81" s="0" t="n">
        <v>9</v>
      </c>
      <c r="G81" s="0" t="inlineStr">
        <is>
          <t>/mnt/d/paper_source/work_9/VeriANN_repro_2026-09-30/VeriANN_repro_2026-09-30/results/work9-ablation-20261015/sift1m/formal-1-3/variant-3</t>
        </is>
      </c>
      <c r="H81" s="0" t="inlineStr">
        <is>
          <t>bf8e02cdfa2433b5e4a7812bcb4be6afb6c3bcc0f8d342a4ba0d1bda5565614b</t>
        </is>
      </c>
    </row>
    <row r="82">
      <c r="A82" s="0" t="inlineStr">
        <is>
          <t>SIFT1M</t>
        </is>
      </c>
      <c r="B82" s="0" t="inlineStr">
        <is>
          <t>F117</t>
        </is>
      </c>
      <c r="C82" s="0" t="inlineStr">
        <is>
          <t>Merkle+HNSW</t>
        </is>
      </c>
      <c r="D82" s="0" t="inlineStr">
        <is>
          <t>recall</t>
        </is>
      </c>
      <c r="E82" s="0" t="n">
        <v>0.95</v>
      </c>
      <c r="F82" s="0" t="n">
        <v>32</v>
      </c>
      <c r="G82" s="0" t="inlineStr">
        <is>
          <t>/mnt/d/paper_source/work_9/VeriANN_repro_2026-09-30/VeriANN_repro_2026-09-30/results/work9-ablation-20261015/sift1m/formal-2-4/variant-2</t>
        </is>
      </c>
      <c r="H82" s="0" t="inlineStr">
        <is>
          <t>7cbe52cfb1d94ea92caa151e5abd87fd2cd5b912400b3fa6f8b60483ae5b7e2f</t>
        </is>
      </c>
    </row>
    <row r="83">
      <c r="A83" s="0" t="inlineStr">
        <is>
          <t>SIFT1M</t>
        </is>
      </c>
      <c r="B83" s="0" t="inlineStr">
        <is>
          <t>G117</t>
        </is>
      </c>
      <c r="C83" s="0" t="inlineStr">
        <is>
          <t>Merkle+HNSW</t>
        </is>
      </c>
      <c r="D83" s="0" t="inlineStr">
        <is>
          <t>query_ms</t>
        </is>
      </c>
      <c r="E83" s="0" t="n">
        <v>2.85575916666667</v>
      </c>
      <c r="F83" s="0" t="n">
        <v>32</v>
      </c>
      <c r="G83" s="0" t="inlineStr">
        <is>
          <t>/mnt/d/paper_source/work_9/VeriANN_repro_2026-09-30/VeriANN_repro_2026-09-30/results/work9-ablation-20261015/sift1m/formal-2-4/variant-2</t>
        </is>
      </c>
      <c r="H83" s="0" t="inlineStr">
        <is>
          <t>7cbe52cfb1d94ea92caa151e5abd87fd2cd5b912400b3fa6f8b60483ae5b7e2f</t>
        </is>
      </c>
    </row>
    <row r="84">
      <c r="A84" s="0" t="inlineStr">
        <is>
          <t>SIFT1M</t>
        </is>
      </c>
      <c r="B84" s="0" t="inlineStr">
        <is>
          <t>H117</t>
        </is>
      </c>
      <c r="C84" s="0" t="inlineStr">
        <is>
          <t>Merkle+HNSW</t>
        </is>
      </c>
      <c r="D84" s="0" t="inlineStr">
        <is>
          <t>vo_kb</t>
        </is>
      </c>
      <c r="E84" s="0" t="n">
        <v>569.4453999999999</v>
      </c>
      <c r="F84" s="0" t="n">
        <v>32</v>
      </c>
      <c r="G84" s="0" t="inlineStr">
        <is>
          <t>/mnt/d/paper_source/work_9/VeriANN_repro_2026-09-30/VeriANN_repro_2026-09-30/results/work9-ablation-20261015/sift1m/formal-2-4/variant-2</t>
        </is>
      </c>
      <c r="H84" s="0" t="inlineStr">
        <is>
          <t>7cbe52cfb1d94ea92caa151e5abd87fd2cd5b912400b3fa6f8b60483ae5b7e2f</t>
        </is>
      </c>
    </row>
    <row r="85">
      <c r="A85" s="0" t="inlineStr">
        <is>
          <t>SIFT1M</t>
        </is>
      </c>
      <c r="B85" s="0" t="inlineStr">
        <is>
          <t>I117</t>
        </is>
      </c>
      <c r="C85" s="0" t="inlineStr">
        <is>
          <t>Merkle+HNSW</t>
        </is>
      </c>
      <c r="D85" s="0" t="inlineStr">
        <is>
          <t>verify_ms</t>
        </is>
      </c>
      <c r="E85" s="0" t="n">
        <v>5.31483396666667</v>
      </c>
      <c r="F85" s="0" t="n">
        <v>32</v>
      </c>
      <c r="G85" s="0" t="inlineStr">
        <is>
          <t>/mnt/d/paper_source/work_9/VeriANN_repro_2026-09-30/VeriANN_repro_2026-09-30/results/work9-ablation-20261015/sift1m/formal-2-4/variant-2</t>
        </is>
      </c>
      <c r="H85" s="0" t="inlineStr">
        <is>
          <t>7cbe52cfb1d94ea92caa151e5abd87fd2cd5b912400b3fa6f8b60483ae5b7e2f</t>
        </is>
      </c>
    </row>
    <row r="86">
      <c r="A86" s="0" t="inlineStr">
        <is>
          <t>SIFT1M</t>
        </is>
      </c>
      <c r="B86" s="0" t="inlineStr">
        <is>
          <t>F119</t>
        </is>
      </c>
      <c r="C86" s="0" t="inlineStr">
        <is>
          <t>Merkle+HNSW+(i)</t>
        </is>
      </c>
      <c r="D86" s="0" t="inlineStr">
        <is>
          <t>recall</t>
        </is>
      </c>
      <c r="E86" s="0" t="n">
        <v>0.95</v>
      </c>
      <c r="F86" s="0" t="n">
        <v>32</v>
      </c>
      <c r="G86" s="0" t="inlineStr">
        <is>
          <t>/mnt/d/paper_source/work_9/VeriANN_repro_2026-09-30/VeriANN_repro_2026-09-30/results/work9-ablation-20261015/sift1m/formal-2-4/variant-4</t>
        </is>
      </c>
      <c r="H86" s="0" t="inlineStr">
        <is>
          <t>b44eec6250b590e1d0d5edc2f27cf0885789d659e8bd5d873587f38ef1c69bdb</t>
        </is>
      </c>
    </row>
    <row r="87">
      <c r="A87" s="0" t="inlineStr">
        <is>
          <t>SIFT1M</t>
        </is>
      </c>
      <c r="B87" s="0" t="inlineStr">
        <is>
          <t>G119</t>
        </is>
      </c>
      <c r="C87" s="0" t="inlineStr">
        <is>
          <t>Merkle+HNSW+(i)</t>
        </is>
      </c>
      <c r="D87" s="0" t="inlineStr">
        <is>
          <t>query_ms</t>
        </is>
      </c>
      <c r="E87" s="0" t="n">
        <v>2.62924433333333</v>
      </c>
      <c r="F87" s="0" t="n">
        <v>32</v>
      </c>
      <c r="G87" s="0" t="inlineStr">
        <is>
          <t>/mnt/d/paper_source/work_9/VeriANN_repro_2026-09-30/VeriANN_repro_2026-09-30/results/work9-ablation-20261015/sift1m/formal-2-4/variant-4</t>
        </is>
      </c>
      <c r="H87" s="0" t="inlineStr">
        <is>
          <t>b44eec6250b590e1d0d5edc2f27cf0885789d659e8bd5d873587f38ef1c69bdb</t>
        </is>
      </c>
    </row>
    <row r="88">
      <c r="A88" s="0" t="inlineStr">
        <is>
          <t>SIFT1M</t>
        </is>
      </c>
      <c r="B88" s="0" t="inlineStr">
        <is>
          <t>H119</t>
        </is>
      </c>
      <c r="C88" s="0" t="inlineStr">
        <is>
          <t>Merkle+HNSW+(i)</t>
        </is>
      </c>
      <c r="D88" s="0" t="inlineStr">
        <is>
          <t>vo_kb</t>
        </is>
      </c>
      <c r="E88" s="0" t="n">
        <v>478.7218</v>
      </c>
      <c r="F88" s="0" t="n">
        <v>32</v>
      </c>
      <c r="G88" s="0" t="inlineStr">
        <is>
          <t>/mnt/d/paper_source/work_9/VeriANN_repro_2026-09-30/VeriANN_repro_2026-09-30/results/work9-ablation-20261015/sift1m/formal-2-4/variant-4</t>
        </is>
      </c>
      <c r="H88" s="0" t="inlineStr">
        <is>
          <t>b44eec6250b590e1d0d5edc2f27cf0885789d659e8bd5d873587f38ef1c69bdb</t>
        </is>
      </c>
    </row>
    <row r="89">
      <c r="A89" s="0" t="inlineStr">
        <is>
          <t>SIFT1M</t>
        </is>
      </c>
      <c r="B89" s="0" t="inlineStr">
        <is>
          <t>I119</t>
        </is>
      </c>
      <c r="C89" s="0" t="inlineStr">
        <is>
          <t>Merkle+HNSW+(i)</t>
        </is>
      </c>
      <c r="D89" s="0" t="inlineStr">
        <is>
          <t>verify_ms</t>
        </is>
      </c>
      <c r="E89" s="0" t="n">
        <v>8.34040406666667</v>
      </c>
      <c r="F89" s="0" t="n">
        <v>32</v>
      </c>
      <c r="G89" s="0" t="inlineStr">
        <is>
          <t>/mnt/d/paper_source/work_9/VeriANN_repro_2026-09-30/VeriANN_repro_2026-09-30/results/work9-ablation-20261015/sift1m/formal-2-4/variant-4</t>
        </is>
      </c>
      <c r="H89" s="0" t="inlineStr">
        <is>
          <t>b44eec6250b590e1d0d5edc2f27cf0885789d659e8bd5d873587f38ef1c69bdb</t>
        </is>
      </c>
    </row>
    <row r="90">
      <c r="A90" s="0" t="inlineStr">
        <is>
          <t>SIFT1M</t>
        </is>
      </c>
      <c r="B90" s="0" t="inlineStr">
        <is>
          <t>F120</t>
        </is>
      </c>
      <c r="C90" s="0" t="inlineStr">
        <is>
          <t>(i)+(ii)</t>
        </is>
      </c>
      <c r="D90" s="0" t="inlineStr">
        <is>
          <t>recall</t>
        </is>
      </c>
      <c r="E90" s="0" t="n">
        <v>0.955</v>
      </c>
      <c r="F90" s="0" t="n">
        <v>34</v>
      </c>
      <c r="G90" s="0" t="inlineStr">
        <is>
          <t>/mnt/d/paper_source/work_9/VeriANN_repro_2026-09-30/VeriANN_repro_2026-09-30/results/work9-ablation-20261015/sift1m/formal-5-6/variant-5</t>
        </is>
      </c>
      <c r="H90" s="0" t="inlineStr">
        <is>
          <t>03ef59e2606bb2082251f567d5693c5f1449974b9860d25f2b7e9d2145e1af66</t>
        </is>
      </c>
    </row>
    <row r="91">
      <c r="A91" s="0" t="inlineStr">
        <is>
          <t>SIFT1M</t>
        </is>
      </c>
      <c r="B91" s="0" t="inlineStr">
        <is>
          <t>G120</t>
        </is>
      </c>
      <c r="C91" s="0" t="inlineStr">
        <is>
          <t>(i)+(ii)</t>
        </is>
      </c>
      <c r="D91" s="0" t="inlineStr">
        <is>
          <t>query_ms</t>
        </is>
      </c>
      <c r="E91" s="0" t="n">
        <v>2.03924105</v>
      </c>
      <c r="F91" s="0" t="n">
        <v>34</v>
      </c>
      <c r="G91" s="0" t="inlineStr">
        <is>
          <t>/mnt/d/paper_source/work_9/VeriANN_repro_2026-09-30/VeriANN_repro_2026-09-30/results/work9-ablation-20261015/sift1m/formal-5-6/variant-5</t>
        </is>
      </c>
      <c r="H91" s="0" t="inlineStr">
        <is>
          <t>03ef59e2606bb2082251f567d5693c5f1449974b9860d25f2b7e9d2145e1af66</t>
        </is>
      </c>
    </row>
    <row r="92">
      <c r="A92" s="0" t="inlineStr">
        <is>
          <t>SIFT1M</t>
        </is>
      </c>
      <c r="B92" s="0" t="inlineStr">
        <is>
          <t>H120</t>
        </is>
      </c>
      <c r="C92" s="0" t="inlineStr">
        <is>
          <t>(i)+(ii)</t>
        </is>
      </c>
      <c r="D92" s="0" t="inlineStr">
        <is>
          <t>vo_kb</t>
        </is>
      </c>
      <c r="E92" s="0" t="n">
        <v>289.8754</v>
      </c>
      <c r="F92" s="0" t="n">
        <v>34</v>
      </c>
      <c r="G92" s="0" t="inlineStr">
        <is>
          <t>/mnt/d/paper_source/work_9/VeriANN_repro_2026-09-30/VeriANN_repro_2026-09-30/results/work9-ablation-20261015/sift1m/formal-5-6/variant-5</t>
        </is>
      </c>
      <c r="H92" s="0" t="inlineStr">
        <is>
          <t>03ef59e2606bb2082251f567d5693c5f1449974b9860d25f2b7e9d2145e1af66</t>
        </is>
      </c>
    </row>
    <row r="93">
      <c r="A93" s="0" t="inlineStr">
        <is>
          <t>SIFT1M</t>
        </is>
      </c>
      <c r="B93" s="0" t="inlineStr">
        <is>
          <t>I120</t>
        </is>
      </c>
      <c r="C93" s="0" t="inlineStr">
        <is>
          <t>(i)+(ii)</t>
        </is>
      </c>
      <c r="D93" s="0" t="inlineStr">
        <is>
          <t>verify_ms</t>
        </is>
      </c>
      <c r="E93" s="0" t="n">
        <v>5.5222121</v>
      </c>
      <c r="F93" s="0" t="n">
        <v>34</v>
      </c>
      <c r="G93" s="0" t="inlineStr">
        <is>
          <t>/mnt/d/paper_source/work_9/VeriANN_repro_2026-09-30/VeriANN_repro_2026-09-30/results/work9-ablation-20261015/sift1m/formal-5-6/variant-5</t>
        </is>
      </c>
      <c r="H93" s="0" t="inlineStr">
        <is>
          <t>03ef59e2606bb2082251f567d5693c5f1449974b9860d25f2b7e9d2145e1af66</t>
        </is>
      </c>
    </row>
    <row r="94">
      <c r="A94" s="0" t="inlineStr">
        <is>
          <t>SIFT1M</t>
        </is>
      </c>
      <c r="B94" s="0" t="inlineStr">
        <is>
          <t>F121</t>
        </is>
      </c>
      <c r="C94" s="0" t="inlineStr">
        <is>
          <t>(i)+(ii)+(iii)</t>
        </is>
      </c>
      <c r="D94" s="0" t="inlineStr">
        <is>
          <t>recall</t>
        </is>
      </c>
      <c r="E94" s="0" t="n">
        <v>0.955</v>
      </c>
      <c r="F94" s="0" t="n">
        <v>34</v>
      </c>
      <c r="G94" s="0" t="inlineStr">
        <is>
          <t>/mnt/d/paper_source/work_9/VeriANN_repro_2026-09-30/VeriANN_repro_2026-09-30/results/work9-ablation-20261015/sift1m/formal-5-6/variant-6</t>
        </is>
      </c>
      <c r="H94" s="0" t="inlineStr">
        <is>
          <t>84ad4d2d76f9b1affafde05faa82d78b8a89152c378b713dcf8f95a2b25af7ca</t>
        </is>
      </c>
    </row>
    <row r="95">
      <c r="A95" s="0" t="inlineStr">
        <is>
          <t>SIFT1M</t>
        </is>
      </c>
      <c r="B95" s="0" t="inlineStr">
        <is>
          <t>G121</t>
        </is>
      </c>
      <c r="C95" s="0" t="inlineStr">
        <is>
          <t>(i)+(ii)+(iii)</t>
        </is>
      </c>
      <c r="D95" s="0" t="inlineStr">
        <is>
          <t>query_ms</t>
        </is>
      </c>
      <c r="E95" s="0" t="n">
        <v>1.07583855</v>
      </c>
      <c r="F95" s="0" t="n">
        <v>34</v>
      </c>
      <c r="G95" s="0" t="inlineStr">
        <is>
          <t>/mnt/d/paper_source/work_9/VeriANN_repro_2026-09-30/VeriANN_repro_2026-09-30/results/work9-ablation-20261015/sift1m/formal-5-6/variant-6</t>
        </is>
      </c>
      <c r="H95" s="0" t="inlineStr">
        <is>
          <t>84ad4d2d76f9b1affafde05faa82d78b8a89152c378b713dcf8f95a2b25af7ca</t>
        </is>
      </c>
    </row>
    <row r="96">
      <c r="A96" s="0" t="inlineStr">
        <is>
          <t>SIFT1M</t>
        </is>
      </c>
      <c r="B96" s="0" t="inlineStr">
        <is>
          <t>H121</t>
        </is>
      </c>
      <c r="C96" s="0" t="inlineStr">
        <is>
          <t>(i)+(ii)+(iii)</t>
        </is>
      </c>
      <c r="D96" s="0" t="inlineStr">
        <is>
          <t>vo_kb</t>
        </is>
      </c>
      <c r="E96" s="0" t="n">
        <v>112.369</v>
      </c>
      <c r="F96" s="0" t="n">
        <v>34</v>
      </c>
      <c r="G96" s="0" t="inlineStr">
        <is>
          <t>/mnt/d/paper_source/work_9/VeriANN_repro_2026-09-30/VeriANN_repro_2026-09-30/results/work9-ablation-20261015/sift1m/formal-5-6/variant-6</t>
        </is>
      </c>
      <c r="H96" s="0" t="inlineStr">
        <is>
          <t>84ad4d2d76f9b1affafde05faa82d78b8a89152c378b713dcf8f95a2b25af7ca</t>
        </is>
      </c>
    </row>
    <row r="97">
      <c r="A97" s="0" t="inlineStr">
        <is>
          <t>SIFT1M</t>
        </is>
      </c>
      <c r="B97" s="0" t="inlineStr">
        <is>
          <t>I121</t>
        </is>
      </c>
      <c r="C97" s="0" t="inlineStr">
        <is>
          <t>(i)+(ii)+(iii)</t>
        </is>
      </c>
      <c r="D97" s="0" t="inlineStr">
        <is>
          <t>verify_ms</t>
        </is>
      </c>
      <c r="E97" s="0" t="n">
        <v>2.1509119</v>
      </c>
      <c r="F97" s="0" t="n">
        <v>34</v>
      </c>
      <c r="G97" s="0" t="inlineStr">
        <is>
          <t>/mnt/d/paper_source/work_9/VeriANN_repro_2026-09-30/VeriANN_repro_2026-09-30/results/work9-ablation-20261015/sift1m/formal-5-6/variant-6</t>
        </is>
      </c>
      <c r="H97" s="0" t="inlineStr">
        <is>
          <t>84ad4d2d76f9b1affafde05faa82d78b8a89152c378b713dcf8f95a2b25af7ca</t>
        </is>
      </c>
    </row>
  </sheetData>
  <autoFilter ref="A1:H97"/>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ColWidth="9" defaultRowHeight="13.5"/>
  <cols>
    <col width="22" customWidth="1" style="1" min="1" max="1"/>
    <col width="130" customWidth="1" style="1" min="2" max="2"/>
  </cols>
  <sheetData>
    <row r="1">
      <c r="A1" s="0" t="inlineStr">
        <is>
          <t>项目</t>
        </is>
      </c>
      <c r="B1" s="0" t="inlineStr">
        <is>
          <t>说明</t>
        </is>
      </c>
    </row>
    <row r="2">
      <c r="A2" s="0" t="inlineStr">
        <is>
          <t>代码</t>
        </is>
      </c>
      <c r="B2" s="0" t="inlineStr">
        <is>
          <t>作者commit a82ac732828591bd49b83d8f31c56fa4bd1cd9b2；work9-author增加压缩证明导出/解码验证、哈希函数绑定，并以索引替代电路外witness整理的嵌套线性查找；256组逐项一致性检查通过。电路和检索算法未修改。</t>
        </is>
      </c>
    </row>
    <row r="3">
      <c r="A3" s="0" t="inlineStr">
        <is>
          <t>原表保留</t>
        </is>
      </c>
      <c r="B3" s="0" t="inlineStr">
        <is>
          <t>四个主表每个比较面板新增V3DB，其他原单元格按位置映射保留。旧辅助表的原坐标是备份文件坐标，新坐标见V3DB原表位置映射。</t>
        </is>
      </c>
    </row>
    <row r="4">
      <c r="A4" s="0" t="inlineStr">
        <is>
          <t>单位</t>
        </is>
      </c>
      <c r="B4" s="0" t="inlineStr">
        <is>
          <t>Query/Verify为ms，VO为实际压缩证明bytes/1000；Recall为top-k集合重合率。消融表recall为0..1，其余为百分数。</t>
        </is>
      </c>
    </row>
    <row r="5">
      <c r="A5" s="0" t="inlineStr">
        <is>
          <t>Query计时</t>
        </is>
      </c>
      <c r="B5" s="0" t="inlineStr">
        <is>
          <t>搜索、候选准备、witness、电路build、prove、压缩和导出；扣除作者内部验证用时。离线索引训练和快照根构建不计入。</t>
        </is>
      </c>
    </row>
    <row r="6">
      <c r="A6" s="0" t="inlineStr">
        <is>
          <t>客户端验证</t>
        </is>
      </c>
      <c r="B6" s="0" t="inlineStr">
        <is>
          <t>解码实际压缩证明与预先可信的电路数据，验证证明并检查公开top-k、query和预先固定的快照根；不读取基库。</t>
        </is>
      </c>
    </row>
    <row r="7">
      <c r="A7" s="0" t="inlineStr">
        <is>
          <t>隐私限制</t>
        </is>
      </c>
      <c r="B7" s="0" t="inlineStr">
        <is>
          <t>保留作者默认standard_recursion_config，zero_knowledge=false；不宣称隐私保证已复现。多重集挑战绑定的既有源码观察仍适用。</t>
        </is>
      </c>
    </row>
    <row r="8">
      <c r="A8" s="0" t="inlineStr">
        <is>
          <t>固定点</t>
        </is>
      </c>
      <c r="B8" s="0" t="inlineStr">
        <is>
          <t>遵循作者代码rescale_database/rescale_query的16-bit全局仿射缩放；分块写盘；原始预处理数据用于精确真值。</t>
        </is>
      </c>
    </row>
    <row r="9">
      <c r="A9" s="0" t="inlineStr">
        <is>
          <t>PQ参数</t>
        </is>
      </c>
      <c r="B9" s="0" t="inlineStr">
        <is>
          <t>用户允许调优PQ：依次测试原配置及子向量维度4/2/1的M；选择已测n_probe网格内达到99%的最小M，否则最高实测召回。K固定256。所有试验及最终配置见selected-models.json。</t>
        </is>
      </c>
    </row>
    <row r="10">
      <c r="A10" s="0" t="inlineStr">
        <is>
          <t>统一样本</t>
        </is>
      </c>
      <c r="B10" s="0" t="inlineStr">
        <is>
          <t>用户指定四数据集统一20查询(IDs100..119)×3重复；同一工作负载调参，不称为独立留出评估。</t>
        </is>
      </c>
    </row>
    <row r="11">
      <c r="A11" s="0" t="inlineStr">
        <is>
          <t>SIFT可比性</t>
        </is>
      </c>
      <c r="B11" s="0" t="inlineStr">
        <is>
          <t>原SIFT部分的100查询测量保持原样；新增V3DB按用户要求使用100..119这20查询。故SIFT横向比较不是严格同查询样本量；其余三数据集沿用原20查询。</t>
        </is>
      </c>
    </row>
    <row r="12">
      <c r="A12" s="0" t="inlineStr">
        <is>
          <t>证明线程</t>
        </is>
      </c>
      <c r="B12" s="0" t="inlineStr">
        <is>
          <t>当前V3DB证明器线程模式=1；native表示作者库默认并行。原表其他方案为单线程；若为native，耗时不是严格等CPU资源比较。搜索/NumPy保持单线程。</t>
        </is>
      </c>
    </row>
    <row r="13">
      <c r="A13" s="0" t="inlineStr">
        <is>
          <t>高召回</t>
        </is>
      </c>
      <c r="B13" s="0" t="inlineStr">
        <is>
          <t>只有实际测到目标的n_probe网格点才能填对应数值；未达目标明确标记。总体仍显示作者配置的实测召回，不伪装等召回。</t>
        </is>
      </c>
    </row>
    <row r="14">
      <c r="A14" s="0" t="inlineStr">
        <is>
          <t>采样来源</t>
        </is>
      </c>
      <c r="B14" s="0" t="inlineStr">
        <is>
          <t>每个数值的查询数、重复次数、参数、原始CSV均在批注及V3DB单元格来源。重复不会增加独立查询数。</t>
        </is>
      </c>
    </row>
    <row r="15">
      <c r="A15" s="0" t="inlineStr">
        <is>
          <t>内存</t>
        </is>
      </c>
      <c r="B15" s="0" t="inlineStr">
        <is>
          <t>重平衡保留作者相同距离和排序，仅将大型临时三维距离张量按行分块；小样本与原函数逐项对比通过。</t>
        </is>
      </c>
    </row>
    <row r="16">
      <c r="A16" s="0" t="inlineStr">
        <is>
          <t>预算</t>
        </is>
      </c>
      <c r="B16" s="0" t="inlineStr">
        <is>
          <t>gate-only预检超过2000000门时记超预算未测；在同一50GiB地址空间限制内尝试至2^21域。实际构建/证明分配失败另外标记内存不足，二者不混淆。</t>
        </is>
      </c>
    </row>
    <row r="17">
      <c r="A17" s="0" t="inlineStr">
        <is>
          <t>当前进度</t>
        </is>
      </c>
      <c r="B17" s="0" t="inlineStr">
        <is>
          <t>{"SIFT1M": {"overall_probe": 16, "calibrated": true, "selected_model": "sift1m-1000000-M128-K1024", "passed_workpoints": 1, "resource_limited_workpoints": 10}, "GIST1M": {"overall_probe": 64, "calibrated": true, "selected_model": "gist1m-1000000-M960-K1024", "passed_workpoints": 0, "resource_limited_workpoints": 11}, "GloVe-100": {"overall_probe": 256, "calibrated": true, "selected_model": "glove100-1183514-M100-K1024", "passed_workpoints": 0, "resource_limited_workpoints": 11}, "DEEP1M": {"overall_probe": 16, "calibrated": true, "selected_model": "deep1m-1000000-M96-K1024", "passed_workpoints": 0, "resource_limited_workpoints": 1}}</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1981"/>
  <sheetViews>
    <sheetView workbookViewId="0">
      <pane xSplit="3" ySplit="1" topLeftCell="D2"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3.5"/>
  <sheetData>
    <row r="1">
      <c r="A1" s="7" t="inlineStr">
        <is>
          <t>sheet</t>
        </is>
      </c>
      <c r="B1" s="7" t="inlineStr">
        <is>
          <t>原坐标_备份</t>
        </is>
      </c>
      <c r="C1" s="7" t="inlineStr">
        <is>
          <t>新坐标</t>
        </is>
      </c>
      <c r="D1" s="7" t="inlineStr">
        <is>
          <t>原值</t>
        </is>
      </c>
    </row>
    <row r="2">
      <c r="A2" s="0" t="inlineStr">
        <is>
          <t>SIFT1M</t>
        </is>
      </c>
      <c r="B2" s="0" t="inlineStr">
        <is>
          <t>A1</t>
        </is>
      </c>
      <c r="C2" s="0" t="inlineStr">
        <is>
          <t>A1</t>
        </is>
      </c>
      <c r="D2" s="0" t="inlineStr">
        <is>
          <t>All query time includes the vo generation time</t>
        </is>
      </c>
    </row>
    <row r="3">
      <c r="A3" s="0" t="inlineStr">
        <is>
          <t>SIFT1M</t>
        </is>
      </c>
      <c r="B3" s="0" t="inlineStr">
        <is>
          <t>A3</t>
        </is>
      </c>
      <c r="C3" s="0" t="inlineStr">
        <is>
          <t>A3</t>
        </is>
      </c>
      <c r="D3" s="0" t="inlineStr">
        <is>
          <t>Query/verify time: ms; VO: KB (1000 bytes); recall: %; Query Time includes VO generation.</t>
        </is>
      </c>
    </row>
    <row r="4">
      <c r="A4" s="0" t="inlineStr">
        <is>
          <t>SIFT1M</t>
        </is>
      </c>
      <c r="B4" s="0" t="inlineStr">
        <is>
          <t>A4</t>
        </is>
      </c>
      <c r="C4" s="0" t="inlineStr">
        <is>
          <t>A4</t>
        </is>
      </c>
      <c r="D4" s="0" t="inlineStr">
        <is>
          <t>Baselines and optimized VeriANN: actual measurements; source, configuration and Recall are in comments/extra sheets.</t>
        </is>
      </c>
    </row>
    <row r="5">
      <c r="A5" s="0" t="inlineStr">
        <is>
          <t>SIFT1M</t>
        </is>
      </c>
      <c r="B5" s="0" t="inlineStr">
        <is>
          <t>E5</t>
        </is>
      </c>
      <c r="C5" s="0" t="inlineStr">
        <is>
          <t>E5</t>
        </is>
      </c>
      <c r="D5" s="0" t="inlineStr">
        <is>
          <t>Overall Table</t>
        </is>
      </c>
    </row>
    <row r="6">
      <c r="A6" s="0" t="inlineStr">
        <is>
          <t>SIFT1M</t>
        </is>
      </c>
      <c r="B6" s="0" t="inlineStr">
        <is>
          <t>D7</t>
        </is>
      </c>
      <c r="C6" s="0" t="inlineStr">
        <is>
          <t>D7</t>
        </is>
      </c>
      <c r="D6" s="0" t="inlineStr">
        <is>
          <t>SIFT1M</t>
        </is>
      </c>
    </row>
    <row r="7">
      <c r="A7" s="0" t="inlineStr">
        <is>
          <t>SIFT1M</t>
        </is>
      </c>
      <c r="B7" s="0" t="inlineStr">
        <is>
          <t>D8</t>
        </is>
      </c>
      <c r="C7" s="0" t="inlineStr">
        <is>
          <t>D8</t>
        </is>
      </c>
      <c r="D7" s="0" t="inlineStr">
        <is>
          <t xml:space="preserve">Method </t>
        </is>
      </c>
    </row>
    <row r="8">
      <c r="A8" s="0" t="inlineStr">
        <is>
          <t>SIFT1M</t>
        </is>
      </c>
      <c r="B8" s="0" t="inlineStr">
        <is>
          <t>E8</t>
        </is>
      </c>
      <c r="C8" s="0" t="inlineStr">
        <is>
          <t>E8</t>
        </is>
      </c>
      <c r="D8" s="0" t="inlineStr">
        <is>
          <t>Recall@10</t>
        </is>
      </c>
    </row>
    <row r="9">
      <c r="A9" s="0" t="inlineStr">
        <is>
          <t>SIFT1M</t>
        </is>
      </c>
      <c r="B9" s="0" t="inlineStr">
        <is>
          <t>F8</t>
        </is>
      </c>
      <c r="C9" s="0" t="inlineStr">
        <is>
          <t>F8</t>
        </is>
      </c>
      <c r="D9" s="0" t="inlineStr">
        <is>
          <t>Query Time</t>
        </is>
      </c>
    </row>
    <row r="10">
      <c r="A10" s="0" t="inlineStr">
        <is>
          <t>SIFT1M</t>
        </is>
      </c>
      <c r="B10" s="0" t="inlineStr">
        <is>
          <t>G8</t>
        </is>
      </c>
      <c r="C10" s="0" t="inlineStr">
        <is>
          <t>G8</t>
        </is>
      </c>
      <c r="D10" s="0" t="inlineStr">
        <is>
          <t>VO Size</t>
        </is>
      </c>
    </row>
    <row r="11">
      <c r="A11" s="0" t="inlineStr">
        <is>
          <t>SIFT1M</t>
        </is>
      </c>
      <c r="B11" s="0" t="inlineStr">
        <is>
          <t>H8</t>
        </is>
      </c>
      <c r="C11" s="0" t="inlineStr">
        <is>
          <t>H8</t>
        </is>
      </c>
      <c r="D11" s="0" t="inlineStr">
        <is>
          <t>Verify Time</t>
        </is>
      </c>
    </row>
    <row r="12">
      <c r="A12" s="0" t="inlineStr">
        <is>
          <t>SIFT1M</t>
        </is>
      </c>
      <c r="B12" s="0" t="inlineStr">
        <is>
          <t>D9</t>
        </is>
      </c>
      <c r="C12" s="0" t="inlineStr">
        <is>
          <t>D9</t>
        </is>
      </c>
      <c r="D12" s="0" t="inlineStr">
        <is>
          <t>VLAH</t>
        </is>
      </c>
    </row>
    <row r="13">
      <c r="A13" s="0" t="inlineStr">
        <is>
          <t>SIFT1M</t>
        </is>
      </c>
      <c r="B13" s="0" t="inlineStr">
        <is>
          <t>E9</t>
        </is>
      </c>
      <c r="C13" s="0" t="inlineStr">
        <is>
          <t>E9</t>
        </is>
      </c>
      <c r="D13" s="0" t="n">
        <v>96.3</v>
      </c>
    </row>
    <row r="14">
      <c r="A14" s="0" t="inlineStr">
        <is>
          <t>SIFT1M</t>
        </is>
      </c>
      <c r="B14" s="0" t="inlineStr">
        <is>
          <t>F9</t>
        </is>
      </c>
      <c r="C14" s="0" t="inlineStr">
        <is>
          <t>F9</t>
        </is>
      </c>
      <c r="D14" s="0" t="n">
        <v>36.8899369933333</v>
      </c>
    </row>
    <row r="15">
      <c r="A15" s="0" t="inlineStr">
        <is>
          <t>SIFT1M</t>
        </is>
      </c>
      <c r="B15" s="0" t="inlineStr">
        <is>
          <t>G9</t>
        </is>
      </c>
      <c r="C15" s="0" t="inlineStr">
        <is>
          <t>G9</t>
        </is>
      </c>
      <c r="D15" s="0" t="n">
        <v>14857.74121</v>
      </c>
    </row>
    <row r="16">
      <c r="A16" s="0" t="inlineStr">
        <is>
          <t>SIFT1M</t>
        </is>
      </c>
      <c r="B16" s="0" t="inlineStr">
        <is>
          <t>H9</t>
        </is>
      </c>
      <c r="C16" s="0" t="inlineStr">
        <is>
          <t>H9</t>
        </is>
      </c>
      <c r="D16" s="0" t="n">
        <v>101.284282156667</v>
      </c>
    </row>
    <row r="17">
      <c r="A17" s="0" t="inlineStr">
        <is>
          <t>SIFT1M</t>
        </is>
      </c>
      <c r="B17" s="0" t="inlineStr">
        <is>
          <t>D10</t>
        </is>
      </c>
      <c r="C17" s="0" t="inlineStr">
        <is>
          <t>D10</t>
        </is>
      </c>
      <c r="D17" s="0" t="inlineStr">
        <is>
          <t>ANNProof</t>
        </is>
      </c>
    </row>
    <row r="18">
      <c r="A18" s="0" t="inlineStr">
        <is>
          <t>SIFT1M</t>
        </is>
      </c>
      <c r="B18" s="0" t="inlineStr">
        <is>
          <t>E10</t>
        </is>
      </c>
      <c r="C18" s="0" t="inlineStr">
        <is>
          <t>E10</t>
        </is>
      </c>
      <c r="D18" s="0" t="n">
        <v>95.09999999999999</v>
      </c>
    </row>
    <row r="19">
      <c r="A19" s="0" t="inlineStr">
        <is>
          <t>SIFT1M</t>
        </is>
      </c>
      <c r="B19" s="0" t="inlineStr">
        <is>
          <t>F10</t>
        </is>
      </c>
      <c r="C19" s="0" t="inlineStr">
        <is>
          <t>F10</t>
        </is>
      </c>
      <c r="D19" s="0" t="n">
        <v>2.79075900666667</v>
      </c>
    </row>
    <row r="20">
      <c r="A20" s="0" t="inlineStr">
        <is>
          <t>SIFT1M</t>
        </is>
      </c>
      <c r="B20" s="0" t="inlineStr">
        <is>
          <t>G10</t>
        </is>
      </c>
      <c r="C20" s="0" t="inlineStr">
        <is>
          <t>G10</t>
        </is>
      </c>
      <c r="D20" s="0" t="n">
        <v>1071.01752</v>
      </c>
    </row>
    <row r="21">
      <c r="A21" s="0" t="inlineStr">
        <is>
          <t>SIFT1M</t>
        </is>
      </c>
      <c r="B21" s="0" t="inlineStr">
        <is>
          <t>H10</t>
        </is>
      </c>
      <c r="C21" s="0" t="inlineStr">
        <is>
          <t>H10</t>
        </is>
      </c>
      <c r="D21" s="0" t="n">
        <v>13.5371411</v>
      </c>
    </row>
    <row r="22">
      <c r="A22" s="0" t="inlineStr">
        <is>
          <t>SIFT1M</t>
        </is>
      </c>
      <c r="B22" s="0" t="inlineStr">
        <is>
          <t>D11</t>
        </is>
      </c>
      <c r="C22" s="0" t="inlineStr">
        <is>
          <t>D11</t>
        </is>
      </c>
      <c r="D22" s="0" t="inlineStr">
        <is>
          <t>Ours</t>
        </is>
      </c>
    </row>
    <row r="23">
      <c r="A23" s="0" t="inlineStr">
        <is>
          <t>SIFT1M</t>
        </is>
      </c>
      <c r="B23" s="0" t="inlineStr">
        <is>
          <t>E11</t>
        </is>
      </c>
      <c r="C23" s="0" t="inlineStr">
        <is>
          <t>E11</t>
        </is>
      </c>
      <c r="D23" s="0" t="n">
        <v>95.40000000000001</v>
      </c>
    </row>
    <row r="24">
      <c r="A24" s="0" t="inlineStr">
        <is>
          <t>SIFT1M</t>
        </is>
      </c>
      <c r="B24" s="0" t="inlineStr">
        <is>
          <t>F11</t>
        </is>
      </c>
      <c r="C24" s="0" t="inlineStr">
        <is>
          <t>F11</t>
        </is>
      </c>
      <c r="D24" s="0" t="n">
        <v>2.35313838333333</v>
      </c>
    </row>
    <row r="25">
      <c r="A25" s="0" t="inlineStr">
        <is>
          <t>SIFT1M</t>
        </is>
      </c>
      <c r="B25" s="0" t="inlineStr">
        <is>
          <t>G11</t>
        </is>
      </c>
      <c r="C25" s="0" t="inlineStr">
        <is>
          <t>G11</t>
        </is>
      </c>
      <c r="D25" s="0" t="n">
        <v>236.02116</v>
      </c>
    </row>
    <row r="26">
      <c r="A26" s="0" t="inlineStr">
        <is>
          <t>SIFT1M</t>
        </is>
      </c>
      <c r="B26" s="0" t="inlineStr">
        <is>
          <t>H11</t>
        </is>
      </c>
      <c r="C26" s="0" t="inlineStr">
        <is>
          <t>H11</t>
        </is>
      </c>
      <c r="D26" s="0" t="n">
        <v>4.71155782</v>
      </c>
    </row>
    <row r="27">
      <c r="A27" s="0" t="inlineStr">
        <is>
          <t>SIFT1M</t>
        </is>
      </c>
      <c r="B27" s="0" t="inlineStr">
        <is>
          <t>E15</t>
        </is>
      </c>
      <c r="C27" s="0" t="inlineStr">
        <is>
          <t>E16</t>
        </is>
      </c>
      <c r="D27" s="0" t="inlineStr">
        <is>
          <t>Target Recall (%)</t>
        </is>
      </c>
    </row>
    <row r="28">
      <c r="A28" s="0" t="inlineStr">
        <is>
          <t>SIFT1M</t>
        </is>
      </c>
      <c r="B28" s="0" t="inlineStr">
        <is>
          <t>F15</t>
        </is>
      </c>
      <c r="C28" s="0" t="inlineStr">
        <is>
          <t>F16</t>
        </is>
      </c>
      <c r="D28" s="0" t="n">
        <v>60</v>
      </c>
    </row>
    <row r="29">
      <c r="A29" s="0" t="inlineStr">
        <is>
          <t>SIFT1M</t>
        </is>
      </c>
      <c r="B29" s="0" t="inlineStr">
        <is>
          <t>G15</t>
        </is>
      </c>
      <c r="C29" s="0" t="inlineStr">
        <is>
          <t>G16</t>
        </is>
      </c>
      <c r="D29" s="0" t="n">
        <v>65</v>
      </c>
    </row>
    <row r="30">
      <c r="A30" s="0" t="inlineStr">
        <is>
          <t>SIFT1M</t>
        </is>
      </c>
      <c r="B30" s="0" t="inlineStr">
        <is>
          <t>H15</t>
        </is>
      </c>
      <c r="C30" s="0" t="inlineStr">
        <is>
          <t>H16</t>
        </is>
      </c>
      <c r="D30" s="0" t="n">
        <v>70</v>
      </c>
    </row>
    <row r="31">
      <c r="A31" s="0" t="inlineStr">
        <is>
          <t>SIFT1M</t>
        </is>
      </c>
      <c r="B31" s="0" t="inlineStr">
        <is>
          <t>I15</t>
        </is>
      </c>
      <c r="C31" s="0" t="inlineStr">
        <is>
          <t>I16</t>
        </is>
      </c>
      <c r="D31" s="0" t="n">
        <v>75</v>
      </c>
    </row>
    <row r="32">
      <c r="A32" s="0" t="inlineStr">
        <is>
          <t>SIFT1M</t>
        </is>
      </c>
      <c r="B32" s="0" t="inlineStr">
        <is>
          <t>J15</t>
        </is>
      </c>
      <c r="C32" s="0" t="inlineStr">
        <is>
          <t>J16</t>
        </is>
      </c>
      <c r="D32" s="0" t="n">
        <v>80</v>
      </c>
    </row>
    <row r="33">
      <c r="A33" s="0" t="inlineStr">
        <is>
          <t>SIFT1M</t>
        </is>
      </c>
      <c r="B33" s="0" t="inlineStr">
        <is>
          <t>K15</t>
        </is>
      </c>
      <c r="C33" s="0" t="inlineStr">
        <is>
          <t>K16</t>
        </is>
      </c>
      <c r="D33" s="0" t="n">
        <v>85</v>
      </c>
    </row>
    <row r="34">
      <c r="A34" s="0" t="inlineStr">
        <is>
          <t>SIFT1M</t>
        </is>
      </c>
      <c r="B34" s="0" t="inlineStr">
        <is>
          <t>L15</t>
        </is>
      </c>
      <c r="C34" s="0" t="inlineStr">
        <is>
          <t>L16</t>
        </is>
      </c>
      <c r="D34" s="0" t="n">
        <v>90</v>
      </c>
    </row>
    <row r="35">
      <c r="A35" s="0" t="inlineStr">
        <is>
          <t>SIFT1M</t>
        </is>
      </c>
      <c r="B35" s="0" t="inlineStr">
        <is>
          <t>M15</t>
        </is>
      </c>
      <c r="C35" s="0" t="inlineStr">
        <is>
          <t>M16</t>
        </is>
      </c>
      <c r="D35" s="0" t="n">
        <v>95</v>
      </c>
    </row>
    <row r="36">
      <c r="A36" s="0" t="inlineStr">
        <is>
          <t>SIFT1M</t>
        </is>
      </c>
      <c r="B36" s="0" t="inlineStr">
        <is>
          <t>N15</t>
        </is>
      </c>
      <c r="C36" s="0" t="inlineStr">
        <is>
          <t>N16</t>
        </is>
      </c>
      <c r="D36" s="0" t="n">
        <v>97</v>
      </c>
    </row>
    <row r="37">
      <c r="A37" s="0" t="inlineStr">
        <is>
          <t>SIFT1M</t>
        </is>
      </c>
      <c r="B37" s="0" t="inlineStr">
        <is>
          <t>O15</t>
        </is>
      </c>
      <c r="C37" s="0" t="inlineStr">
        <is>
          <t>O16</t>
        </is>
      </c>
      <c r="D37" s="0" t="n">
        <v>98</v>
      </c>
    </row>
    <row r="38">
      <c r="A38" s="0" t="inlineStr">
        <is>
          <t>SIFT1M</t>
        </is>
      </c>
      <c r="B38" s="0" t="inlineStr">
        <is>
          <t>P15</t>
        </is>
      </c>
      <c r="C38" s="0" t="inlineStr">
        <is>
          <t>P16</t>
        </is>
      </c>
      <c r="D38" s="0" t="n">
        <v>99</v>
      </c>
    </row>
    <row r="39">
      <c r="A39" s="0" t="inlineStr">
        <is>
          <t>SIFT1M</t>
        </is>
      </c>
      <c r="B39" s="0" t="inlineStr">
        <is>
          <t>E16</t>
        </is>
      </c>
      <c r="C39" s="0" t="inlineStr">
        <is>
          <t>E17</t>
        </is>
      </c>
      <c r="D39" s="0" t="inlineStr">
        <is>
          <t>Recall@10 (change parameters enabling different recall rate) vs. VO size</t>
        </is>
      </c>
    </row>
    <row r="40">
      <c r="A40" s="0" t="inlineStr">
        <is>
          <t>SIFT1M</t>
        </is>
      </c>
      <c r="B40" s="0" t="inlineStr">
        <is>
          <t>D18</t>
        </is>
      </c>
      <c r="C40" s="0" t="inlineStr">
        <is>
          <t>D19</t>
        </is>
      </c>
      <c r="D40" s="0" t="inlineStr">
        <is>
          <t>SIFT1M</t>
        </is>
      </c>
    </row>
    <row r="41">
      <c r="A41" s="0" t="inlineStr">
        <is>
          <t>SIFT1M</t>
        </is>
      </c>
      <c r="B41" s="0" t="inlineStr">
        <is>
          <t>D19</t>
        </is>
      </c>
      <c r="C41" s="0" t="inlineStr">
        <is>
          <t>D20</t>
        </is>
      </c>
      <c r="D41" s="0" t="inlineStr">
        <is>
          <t>VLAH</t>
        </is>
      </c>
    </row>
    <row r="42">
      <c r="A42" s="0" t="inlineStr">
        <is>
          <t>SIFT1M</t>
        </is>
      </c>
      <c r="B42" s="0" t="inlineStr">
        <is>
          <t>E19</t>
        </is>
      </c>
      <c r="C42" s="0" t="inlineStr">
        <is>
          <t>E20</t>
        </is>
      </c>
      <c r="D42" s="0" t="inlineStr">
        <is>
          <t>Recall rate</t>
        </is>
      </c>
    </row>
    <row r="43">
      <c r="A43" s="0" t="inlineStr">
        <is>
          <t>SIFT1M</t>
        </is>
      </c>
      <c r="B43" s="0" t="inlineStr">
        <is>
          <t>F19</t>
        </is>
      </c>
      <c r="C43" s="0" t="inlineStr">
        <is>
          <t>F20</t>
        </is>
      </c>
      <c r="D43" s="0" t="n">
        <v>60.7</v>
      </c>
    </row>
    <row r="44">
      <c r="A44" s="0" t="inlineStr">
        <is>
          <t>SIFT1M</t>
        </is>
      </c>
      <c r="B44" s="0" t="inlineStr">
        <is>
          <t>G19</t>
        </is>
      </c>
      <c r="C44" s="0" t="inlineStr">
        <is>
          <t>G20</t>
        </is>
      </c>
      <c r="D44" s="0" t="n">
        <v>65.40000000000001</v>
      </c>
    </row>
    <row r="45">
      <c r="A45" s="0" t="inlineStr">
        <is>
          <t>SIFT1M</t>
        </is>
      </c>
      <c r="B45" s="0" t="inlineStr">
        <is>
          <t>H19</t>
        </is>
      </c>
      <c r="C45" s="0" t="inlineStr">
        <is>
          <t>H20</t>
        </is>
      </c>
      <c r="D45" s="0" t="n">
        <v>70.8</v>
      </c>
    </row>
    <row r="46">
      <c r="A46" s="0" t="inlineStr">
        <is>
          <t>SIFT1M</t>
        </is>
      </c>
      <c r="B46" s="0" t="inlineStr">
        <is>
          <t>I19</t>
        </is>
      </c>
      <c r="C46" s="0" t="inlineStr">
        <is>
          <t>I20</t>
        </is>
      </c>
      <c r="D46" s="0" t="n">
        <v>75</v>
      </c>
    </row>
    <row r="47">
      <c r="A47" s="0" t="inlineStr">
        <is>
          <t>SIFT1M</t>
        </is>
      </c>
      <c r="B47" s="0" t="inlineStr">
        <is>
          <t>J19</t>
        </is>
      </c>
      <c r="C47" s="0" t="inlineStr">
        <is>
          <t>J20</t>
        </is>
      </c>
      <c r="D47" s="0" t="n">
        <v>80</v>
      </c>
    </row>
    <row r="48">
      <c r="A48" s="0" t="inlineStr">
        <is>
          <t>SIFT1M</t>
        </is>
      </c>
      <c r="B48" s="0" t="inlineStr">
        <is>
          <t>K19</t>
        </is>
      </c>
      <c r="C48" s="0" t="inlineStr">
        <is>
          <t>K20</t>
        </is>
      </c>
      <c r="D48" s="0" t="n">
        <v>85</v>
      </c>
    </row>
    <row r="49">
      <c r="A49" s="0" t="inlineStr">
        <is>
          <t>SIFT1M</t>
        </is>
      </c>
      <c r="B49" s="0" t="inlineStr">
        <is>
          <t>L19</t>
        </is>
      </c>
      <c r="C49" s="0" t="inlineStr">
        <is>
          <t>L20</t>
        </is>
      </c>
      <c r="D49" s="0" t="n">
        <v>90.3</v>
      </c>
    </row>
    <row r="50">
      <c r="A50" s="0" t="inlineStr">
        <is>
          <t>SIFT1M</t>
        </is>
      </c>
      <c r="B50" s="0" t="inlineStr">
        <is>
          <t>M19</t>
        </is>
      </c>
      <c r="C50" s="0" t="inlineStr">
        <is>
          <t>M20</t>
        </is>
      </c>
      <c r="D50" s="0" t="n">
        <v>95.2</v>
      </c>
    </row>
    <row r="51">
      <c r="A51" s="0" t="inlineStr">
        <is>
          <t>SIFT1M</t>
        </is>
      </c>
      <c r="B51" s="0" t="inlineStr">
        <is>
          <t>N19</t>
        </is>
      </c>
      <c r="C51" s="0" t="inlineStr">
        <is>
          <t>N20</t>
        </is>
      </c>
      <c r="D51" s="0" t="n">
        <v>97.2</v>
      </c>
    </row>
    <row r="52">
      <c r="A52" s="0" t="inlineStr">
        <is>
          <t>SIFT1M</t>
        </is>
      </c>
      <c r="B52" s="0" t="inlineStr">
        <is>
          <t>O19</t>
        </is>
      </c>
      <c r="C52" s="0" t="inlineStr">
        <is>
          <t>O20</t>
        </is>
      </c>
      <c r="D52" s="0" t="n">
        <v>98</v>
      </c>
    </row>
    <row r="53">
      <c r="A53" s="0" t="inlineStr">
        <is>
          <t>SIFT1M</t>
        </is>
      </c>
      <c r="B53" s="0" t="inlineStr">
        <is>
          <t>P19</t>
        </is>
      </c>
      <c r="C53" s="0" t="inlineStr">
        <is>
          <t>P20</t>
        </is>
      </c>
      <c r="D53" s="0" t="n">
        <v>99.09999999999999</v>
      </c>
    </row>
    <row r="54">
      <c r="A54" s="0" t="inlineStr">
        <is>
          <t>SIFT1M</t>
        </is>
      </c>
      <c r="B54" s="0" t="inlineStr">
        <is>
          <t>E20</t>
        </is>
      </c>
      <c r="C54" s="0" t="inlineStr">
        <is>
          <t>E21</t>
        </is>
      </c>
      <c r="D54" s="0" t="inlineStr">
        <is>
          <t>VO size</t>
        </is>
      </c>
    </row>
    <row r="55">
      <c r="A55" s="0" t="inlineStr">
        <is>
          <t>SIFT1M</t>
        </is>
      </c>
      <c r="B55" s="0" t="inlineStr">
        <is>
          <t>F20</t>
        </is>
      </c>
      <c r="C55" s="0" t="inlineStr">
        <is>
          <t>F21</t>
        </is>
      </c>
      <c r="D55" s="0" t="n">
        <v>6884.91722</v>
      </c>
    </row>
    <row r="56">
      <c r="A56" s="0" t="inlineStr">
        <is>
          <t>SIFT1M</t>
        </is>
      </c>
      <c r="B56" s="0" t="inlineStr">
        <is>
          <t>G20</t>
        </is>
      </c>
      <c r="C56" s="0" t="inlineStr">
        <is>
          <t>G21</t>
        </is>
      </c>
      <c r="D56" s="0" t="n">
        <v>8168.20064</v>
      </c>
    </row>
    <row r="57">
      <c r="A57" s="0" t="inlineStr">
        <is>
          <t>SIFT1M</t>
        </is>
      </c>
      <c r="B57" s="0" t="inlineStr">
        <is>
          <t>H20</t>
        </is>
      </c>
      <c r="C57" s="0" t="inlineStr">
        <is>
          <t>H21</t>
        </is>
      </c>
      <c r="D57" s="0" t="n">
        <v>10594.0396</v>
      </c>
    </row>
    <row r="58">
      <c r="A58" s="0" t="inlineStr">
        <is>
          <t>SIFT1M</t>
        </is>
      </c>
      <c r="B58" s="0" t="inlineStr">
        <is>
          <t>I20</t>
        </is>
      </c>
      <c r="C58" s="0" t="inlineStr">
        <is>
          <t>I21</t>
        </is>
      </c>
      <c r="D58" s="0" t="n">
        <v>11799.26473</v>
      </c>
    </row>
    <row r="59">
      <c r="A59" s="0" t="inlineStr">
        <is>
          <t>SIFT1M</t>
        </is>
      </c>
      <c r="B59" s="0" t="inlineStr">
        <is>
          <t>J20</t>
        </is>
      </c>
      <c r="C59" s="0" t="inlineStr">
        <is>
          <t>J21</t>
        </is>
      </c>
      <c r="D59" s="0" t="n">
        <v>14707.67269</v>
      </c>
    </row>
    <row r="60">
      <c r="A60" s="0" t="inlineStr">
        <is>
          <t>SIFT1M</t>
        </is>
      </c>
      <c r="B60" s="0" t="inlineStr">
        <is>
          <t>K20</t>
        </is>
      </c>
      <c r="C60" s="0" t="inlineStr">
        <is>
          <t>K21</t>
        </is>
      </c>
      <c r="D60" s="0" t="n">
        <v>16410.55426</v>
      </c>
    </row>
    <row r="61">
      <c r="A61" s="0" t="inlineStr">
        <is>
          <t>SIFT1M</t>
        </is>
      </c>
      <c r="B61" s="0" t="inlineStr">
        <is>
          <t>L20</t>
        </is>
      </c>
      <c r="C61" s="0" t="inlineStr">
        <is>
          <t>L21</t>
        </is>
      </c>
      <c r="D61" s="0" t="n">
        <v>19121.68517</v>
      </c>
    </row>
    <row r="62">
      <c r="A62" s="0" t="inlineStr">
        <is>
          <t>SIFT1M</t>
        </is>
      </c>
      <c r="B62" s="0" t="inlineStr">
        <is>
          <t>M20</t>
        </is>
      </c>
      <c r="C62" s="0" t="inlineStr">
        <is>
          <t>M21</t>
        </is>
      </c>
      <c r="D62" s="0" t="n">
        <v>22551.14638</v>
      </c>
    </row>
    <row r="63">
      <c r="A63" s="0" t="inlineStr">
        <is>
          <t>SIFT1M</t>
        </is>
      </c>
      <c r="B63" s="0" t="inlineStr">
        <is>
          <t>N20</t>
        </is>
      </c>
      <c r="C63" s="0" t="inlineStr">
        <is>
          <t>N21</t>
        </is>
      </c>
      <c r="D63" s="0" t="n">
        <v>23604.59377</v>
      </c>
    </row>
    <row r="64">
      <c r="A64" s="0" t="inlineStr">
        <is>
          <t>SIFT1M</t>
        </is>
      </c>
      <c r="B64" s="0" t="inlineStr">
        <is>
          <t>O20</t>
        </is>
      </c>
      <c r="C64" s="0" t="inlineStr">
        <is>
          <t>O21</t>
        </is>
      </c>
      <c r="D64" s="0" t="n">
        <v>24977.07306</v>
      </c>
    </row>
    <row r="65">
      <c r="A65" s="0" t="inlineStr">
        <is>
          <t>SIFT1M</t>
        </is>
      </c>
      <c r="B65" s="0" t="inlineStr">
        <is>
          <t>P20</t>
        </is>
      </c>
      <c r="C65" s="0" t="inlineStr">
        <is>
          <t>P21</t>
        </is>
      </c>
      <c r="D65" s="0" t="n">
        <v>26276.0758</v>
      </c>
    </row>
    <row r="66">
      <c r="A66" s="0" t="inlineStr">
        <is>
          <t>SIFT1M</t>
        </is>
      </c>
      <c r="B66" s="0" t="inlineStr">
        <is>
          <t>D21</t>
        </is>
      </c>
      <c r="C66" s="0" t="inlineStr">
        <is>
          <t>D22</t>
        </is>
      </c>
      <c r="D66" s="0" t="inlineStr">
        <is>
          <t>ANNProof</t>
        </is>
      </c>
    </row>
    <row r="67">
      <c r="A67" s="0" t="inlineStr">
        <is>
          <t>SIFT1M</t>
        </is>
      </c>
      <c r="B67" s="0" t="inlineStr">
        <is>
          <t>E21</t>
        </is>
      </c>
      <c r="C67" s="0" t="inlineStr">
        <is>
          <t>E22</t>
        </is>
      </c>
      <c r="D67" s="0" t="inlineStr">
        <is>
          <t>Recall rate</t>
        </is>
      </c>
    </row>
    <row r="68">
      <c r="A68" s="0" t="inlineStr">
        <is>
          <t>SIFT1M</t>
        </is>
      </c>
      <c r="B68" s="0" t="inlineStr">
        <is>
          <t>F21</t>
        </is>
      </c>
      <c r="C68" s="0" t="inlineStr">
        <is>
          <t>F22</t>
        </is>
      </c>
      <c r="D68" s="0" t="n">
        <v>62.1</v>
      </c>
    </row>
    <row r="69">
      <c r="A69" s="0" t="inlineStr">
        <is>
          <t>SIFT1M</t>
        </is>
      </c>
      <c r="B69" s="0" t="inlineStr">
        <is>
          <t>G21</t>
        </is>
      </c>
      <c r="C69" s="0" t="inlineStr">
        <is>
          <t>G22</t>
        </is>
      </c>
      <c r="D69" s="0" t="n">
        <v>66.7</v>
      </c>
    </row>
    <row r="70">
      <c r="A70" s="0" t="inlineStr">
        <is>
          <t>SIFT1M</t>
        </is>
      </c>
      <c r="B70" s="0" t="inlineStr">
        <is>
          <t>H21</t>
        </is>
      </c>
      <c r="C70" s="0" t="inlineStr">
        <is>
          <t>H22</t>
        </is>
      </c>
      <c r="D70" s="0" t="n">
        <v>71.59999999999999</v>
      </c>
    </row>
    <row r="71">
      <c r="A71" s="0" t="inlineStr">
        <is>
          <t>SIFT1M</t>
        </is>
      </c>
      <c r="B71" s="0" t="inlineStr">
        <is>
          <t>I21</t>
        </is>
      </c>
      <c r="C71" s="0" t="inlineStr">
        <is>
          <t>I22</t>
        </is>
      </c>
      <c r="D71" s="0" t="n">
        <v>75.59999999999999</v>
      </c>
    </row>
    <row r="72">
      <c r="A72" s="0" t="inlineStr">
        <is>
          <t>SIFT1M</t>
        </is>
      </c>
      <c r="B72" s="0" t="inlineStr">
        <is>
          <t>J21</t>
        </is>
      </c>
      <c r="C72" s="0" t="inlineStr">
        <is>
          <t>J22</t>
        </is>
      </c>
      <c r="D72" s="0" t="n">
        <v>81.40000000000001</v>
      </c>
    </row>
    <row r="73">
      <c r="A73" s="0" t="inlineStr">
        <is>
          <t>SIFT1M</t>
        </is>
      </c>
      <c r="B73" s="0" t="inlineStr">
        <is>
          <t>K21</t>
        </is>
      </c>
      <c r="C73" s="0" t="inlineStr">
        <is>
          <t>K22</t>
        </is>
      </c>
      <c r="D73" s="0" t="n">
        <v>86.5</v>
      </c>
    </row>
    <row r="74">
      <c r="A74" s="0" t="inlineStr">
        <is>
          <t>SIFT1M</t>
        </is>
      </c>
      <c r="B74" s="0" t="inlineStr">
        <is>
          <t>L21</t>
        </is>
      </c>
      <c r="C74" s="0" t="inlineStr">
        <is>
          <t>L22</t>
        </is>
      </c>
      <c r="D74" s="0" t="n">
        <v>90.2</v>
      </c>
    </row>
    <row r="75">
      <c r="A75" s="0" t="inlineStr">
        <is>
          <t>SIFT1M</t>
        </is>
      </c>
      <c r="B75" s="0" t="inlineStr">
        <is>
          <t>M21</t>
        </is>
      </c>
      <c r="C75" s="0" t="inlineStr">
        <is>
          <t>M22</t>
        </is>
      </c>
      <c r="D75" s="0" t="n">
        <v>95.09999999999999</v>
      </c>
    </row>
    <row r="76">
      <c r="A76" s="0" t="inlineStr">
        <is>
          <t>SIFT1M</t>
        </is>
      </c>
      <c r="B76" s="0" t="inlineStr">
        <is>
          <t>N21</t>
        </is>
      </c>
      <c r="C76" s="0" t="inlineStr">
        <is>
          <t>N22</t>
        </is>
      </c>
      <c r="D76" s="0" t="n">
        <v>97.3</v>
      </c>
    </row>
    <row r="77">
      <c r="A77" s="0" t="inlineStr">
        <is>
          <t>SIFT1M</t>
        </is>
      </c>
      <c r="B77" s="0" t="inlineStr">
        <is>
          <t>O21</t>
        </is>
      </c>
      <c r="C77" s="0" t="inlineStr">
        <is>
          <t>O22</t>
        </is>
      </c>
      <c r="D77" s="0" t="n">
        <v>98.09999999999999</v>
      </c>
    </row>
    <row r="78">
      <c r="A78" s="0" t="inlineStr">
        <is>
          <t>SIFT1M</t>
        </is>
      </c>
      <c r="B78" s="0" t="inlineStr">
        <is>
          <t>P21</t>
        </is>
      </c>
      <c r="C78" s="0" t="inlineStr">
        <is>
          <t>P22</t>
        </is>
      </c>
      <c r="D78" s="0" t="n">
        <v>99</v>
      </c>
    </row>
    <row r="79">
      <c r="A79" s="0" t="inlineStr">
        <is>
          <t>SIFT1M</t>
        </is>
      </c>
      <c r="B79" s="0" t="inlineStr">
        <is>
          <t>E22</t>
        </is>
      </c>
      <c r="C79" s="0" t="inlineStr">
        <is>
          <t>E23</t>
        </is>
      </c>
      <c r="D79" s="0" t="inlineStr">
        <is>
          <t>VO size</t>
        </is>
      </c>
    </row>
    <row r="80">
      <c r="A80" s="0" t="inlineStr">
        <is>
          <t>SIFT1M</t>
        </is>
      </c>
      <c r="B80" s="0" t="inlineStr">
        <is>
          <t>F22</t>
        </is>
      </c>
      <c r="C80" s="0" t="inlineStr">
        <is>
          <t>F23</t>
        </is>
      </c>
      <c r="D80" s="0" t="n">
        <v>304.84092</v>
      </c>
    </row>
    <row r="81">
      <c r="A81" s="0" t="inlineStr">
        <is>
          <t>SIFT1M</t>
        </is>
      </c>
      <c r="B81" s="0" t="inlineStr">
        <is>
          <t>G22</t>
        </is>
      </c>
      <c r="C81" s="0" t="inlineStr">
        <is>
          <t>G23</t>
        </is>
      </c>
      <c r="D81" s="0" t="n">
        <v>329.81636</v>
      </c>
    </row>
    <row r="82">
      <c r="A82" s="0" t="inlineStr">
        <is>
          <t>SIFT1M</t>
        </is>
      </c>
      <c r="B82" s="0" t="inlineStr">
        <is>
          <t>H22</t>
        </is>
      </c>
      <c r="C82" s="0" t="inlineStr">
        <is>
          <t>H23</t>
        </is>
      </c>
      <c r="D82" s="0" t="n">
        <v>371.42244</v>
      </c>
    </row>
    <row r="83">
      <c r="A83" s="0" t="inlineStr">
        <is>
          <t>SIFT1M</t>
        </is>
      </c>
      <c r="B83" s="0" t="inlineStr">
        <is>
          <t>I22</t>
        </is>
      </c>
      <c r="C83" s="0" t="inlineStr">
        <is>
          <t>I23</t>
        </is>
      </c>
      <c r="D83" s="0" t="n">
        <v>410.95908</v>
      </c>
    </row>
    <row r="84">
      <c r="A84" s="0" t="inlineStr">
        <is>
          <t>SIFT1M</t>
        </is>
      </c>
      <c r="B84" s="0" t="inlineStr">
        <is>
          <t>J22</t>
        </is>
      </c>
      <c r="C84" s="0" t="inlineStr">
        <is>
          <t>J23</t>
        </is>
      </c>
      <c r="D84" s="0" t="n">
        <v>502.67152</v>
      </c>
    </row>
    <row r="85">
      <c r="A85" s="0" t="inlineStr">
        <is>
          <t>SIFT1M</t>
        </is>
      </c>
      <c r="B85" s="0" t="inlineStr">
        <is>
          <t>K22</t>
        </is>
      </c>
      <c r="C85" s="0" t="inlineStr">
        <is>
          <t>K23</t>
        </is>
      </c>
      <c r="D85" s="0" t="n">
        <v>629.9272</v>
      </c>
    </row>
    <row r="86">
      <c r="A86" s="0" t="inlineStr">
        <is>
          <t>SIFT1M</t>
        </is>
      </c>
      <c r="B86" s="0" t="inlineStr">
        <is>
          <t>L22</t>
        </is>
      </c>
      <c r="C86" s="0" t="inlineStr">
        <is>
          <t>L23</t>
        </is>
      </c>
      <c r="D86" s="0" t="n">
        <v>775.95196</v>
      </c>
    </row>
    <row r="87">
      <c r="A87" s="0" t="inlineStr">
        <is>
          <t>SIFT1M</t>
        </is>
      </c>
      <c r="B87" s="0" t="inlineStr">
        <is>
          <t>M22</t>
        </is>
      </c>
      <c r="C87" s="0" t="inlineStr">
        <is>
          <t>M23</t>
        </is>
      </c>
      <c r="D87" s="0" t="n">
        <v>1071.01752</v>
      </c>
    </row>
    <row r="88">
      <c r="A88" s="0" t="inlineStr">
        <is>
          <t>SIFT1M</t>
        </is>
      </c>
      <c r="B88" s="0" t="inlineStr">
        <is>
          <t>N22</t>
        </is>
      </c>
      <c r="C88" s="0" t="inlineStr">
        <is>
          <t>N23</t>
        </is>
      </c>
      <c r="D88" s="0" t="n">
        <v>1533.3312</v>
      </c>
    </row>
    <row r="89">
      <c r="A89" s="0" t="inlineStr">
        <is>
          <t>SIFT1M</t>
        </is>
      </c>
      <c r="B89" s="0" t="inlineStr">
        <is>
          <t>O22</t>
        </is>
      </c>
      <c r="C89" s="0" t="inlineStr">
        <is>
          <t>O23</t>
        </is>
      </c>
      <c r="D89" s="0" t="n">
        <v>2202.81128</v>
      </c>
    </row>
    <row r="90">
      <c r="A90" s="0" t="inlineStr">
        <is>
          <t>SIFT1M</t>
        </is>
      </c>
      <c r="B90" s="0" t="inlineStr">
        <is>
          <t>P22</t>
        </is>
      </c>
      <c r="C90" s="0" t="inlineStr">
        <is>
          <t>P23</t>
        </is>
      </c>
      <c r="D90" s="0" t="n">
        <v>3757.36496</v>
      </c>
    </row>
    <row r="91">
      <c r="A91" s="0" t="inlineStr">
        <is>
          <t>SIFT1M</t>
        </is>
      </c>
      <c r="B91" s="0" t="inlineStr">
        <is>
          <t>D23</t>
        </is>
      </c>
      <c r="C91" s="0" t="inlineStr">
        <is>
          <t>D24</t>
        </is>
      </c>
      <c r="D91" s="0" t="inlineStr">
        <is>
          <t>Ours</t>
        </is>
      </c>
    </row>
    <row r="92">
      <c r="A92" s="0" t="inlineStr">
        <is>
          <t>SIFT1M</t>
        </is>
      </c>
      <c r="B92" s="0" t="inlineStr">
        <is>
          <t>E23</t>
        </is>
      </c>
      <c r="C92" s="0" t="inlineStr">
        <is>
          <t>E24</t>
        </is>
      </c>
      <c r="D92" s="0" t="inlineStr">
        <is>
          <t>Recall rate</t>
        </is>
      </c>
    </row>
    <row r="93">
      <c r="A93" s="0" t="inlineStr">
        <is>
          <t>SIFT1M</t>
        </is>
      </c>
      <c r="B93" s="0" t="inlineStr">
        <is>
          <t>F23</t>
        </is>
      </c>
      <c r="C93" s="0" t="inlineStr">
        <is>
          <t>F24</t>
        </is>
      </c>
      <c r="D93" s="0" t="n">
        <v>62.3</v>
      </c>
    </row>
    <row r="94">
      <c r="A94" s="0" t="inlineStr">
        <is>
          <t>SIFT1M</t>
        </is>
      </c>
      <c r="B94" s="0" t="inlineStr">
        <is>
          <t>G23</t>
        </is>
      </c>
      <c r="C94" s="0" t="inlineStr">
        <is>
          <t>G24</t>
        </is>
      </c>
      <c r="D94" s="0" t="n">
        <v>66.3</v>
      </c>
    </row>
    <row r="95">
      <c r="A95" s="0" t="inlineStr">
        <is>
          <t>SIFT1M</t>
        </is>
      </c>
      <c r="B95" s="0" t="inlineStr">
        <is>
          <t>H23</t>
        </is>
      </c>
      <c r="C95" s="0" t="inlineStr">
        <is>
          <t>H24</t>
        </is>
      </c>
      <c r="D95" s="0" t="n">
        <v>70.2</v>
      </c>
    </row>
    <row r="96">
      <c r="A96" s="0" t="inlineStr">
        <is>
          <t>SIFT1M</t>
        </is>
      </c>
      <c r="B96" s="0" t="inlineStr">
        <is>
          <t>I23</t>
        </is>
      </c>
      <c r="C96" s="0" t="inlineStr">
        <is>
          <t>I24</t>
        </is>
      </c>
      <c r="D96" s="0" t="n">
        <v>76</v>
      </c>
    </row>
    <row r="97">
      <c r="A97" s="0" t="inlineStr">
        <is>
          <t>SIFT1M</t>
        </is>
      </c>
      <c r="B97" s="0" t="inlineStr">
        <is>
          <t>J23</t>
        </is>
      </c>
      <c r="C97" s="0" t="inlineStr">
        <is>
          <t>J24</t>
        </is>
      </c>
      <c r="D97" s="0" t="n">
        <v>80.3</v>
      </c>
    </row>
    <row r="98">
      <c r="A98" s="0" t="inlineStr">
        <is>
          <t>SIFT1M</t>
        </is>
      </c>
      <c r="B98" s="0" t="inlineStr">
        <is>
          <t>K23</t>
        </is>
      </c>
      <c r="C98" s="0" t="inlineStr">
        <is>
          <t>K24</t>
        </is>
      </c>
      <c r="D98" s="0" t="n">
        <v>87.3</v>
      </c>
    </row>
    <row r="99">
      <c r="A99" s="0" t="inlineStr">
        <is>
          <t>SIFT1M</t>
        </is>
      </c>
      <c r="B99" s="0" t="inlineStr">
        <is>
          <t>L23</t>
        </is>
      </c>
      <c r="C99" s="0" t="inlineStr">
        <is>
          <t>L24</t>
        </is>
      </c>
      <c r="D99" s="0" t="n">
        <v>90.40000000000001</v>
      </c>
    </row>
    <row r="100">
      <c r="A100" s="0" t="inlineStr">
        <is>
          <t>SIFT1M</t>
        </is>
      </c>
      <c r="B100" s="0" t="inlineStr">
        <is>
          <t>M23</t>
        </is>
      </c>
      <c r="C100" s="0" t="inlineStr">
        <is>
          <t>M24</t>
        </is>
      </c>
      <c r="D100" s="0" t="n">
        <v>95.40000000000001</v>
      </c>
    </row>
    <row r="101">
      <c r="A101" s="0" t="inlineStr">
        <is>
          <t>SIFT1M</t>
        </is>
      </c>
      <c r="B101" s="0" t="inlineStr">
        <is>
          <t>N23</t>
        </is>
      </c>
      <c r="C101" s="0" t="inlineStr">
        <is>
          <t>N24</t>
        </is>
      </c>
      <c r="D101" s="0" t="n">
        <v>97.2</v>
      </c>
    </row>
    <row r="102">
      <c r="A102" s="0" t="inlineStr">
        <is>
          <t>SIFT1M</t>
        </is>
      </c>
      <c r="B102" s="0" t="inlineStr">
        <is>
          <t>O23</t>
        </is>
      </c>
      <c r="C102" s="0" t="inlineStr">
        <is>
          <t>O24</t>
        </is>
      </c>
      <c r="D102" s="0" t="n">
        <v>98.7</v>
      </c>
    </row>
    <row r="103">
      <c r="A103" s="0" t="inlineStr">
        <is>
          <t>SIFT1M</t>
        </is>
      </c>
      <c r="B103" s="0" t="inlineStr">
        <is>
          <t>P23</t>
        </is>
      </c>
      <c r="C103" s="0" t="inlineStr">
        <is>
          <t>P24</t>
        </is>
      </c>
      <c r="D103" s="0" t="n">
        <v>99</v>
      </c>
    </row>
    <row r="104">
      <c r="A104" s="0" t="inlineStr">
        <is>
          <t>SIFT1M</t>
        </is>
      </c>
      <c r="B104" s="0" t="inlineStr">
        <is>
          <t>E24</t>
        </is>
      </c>
      <c r="C104" s="0" t="inlineStr">
        <is>
          <t>E25</t>
        </is>
      </c>
      <c r="D104" s="0" t="inlineStr">
        <is>
          <t>VO size</t>
        </is>
      </c>
    </row>
    <row r="105">
      <c r="A105" s="0" t="inlineStr">
        <is>
          <t>SIFT1M</t>
        </is>
      </c>
      <c r="B105" s="0" t="inlineStr">
        <is>
          <t>F24</t>
        </is>
      </c>
      <c r="C105" s="0" t="inlineStr">
        <is>
          <t>F25</t>
        </is>
      </c>
      <c r="D105" s="0" t="n">
        <v>77.5966</v>
      </c>
    </row>
    <row r="106">
      <c r="A106" s="0" t="inlineStr">
        <is>
          <t>SIFT1M</t>
        </is>
      </c>
      <c r="B106" s="0" t="inlineStr">
        <is>
          <t>G24</t>
        </is>
      </c>
      <c r="C106" s="0" t="inlineStr">
        <is>
          <t>G25</t>
        </is>
      </c>
      <c r="D106" s="0" t="n">
        <v>82.3378</v>
      </c>
    </row>
    <row r="107">
      <c r="A107" s="0" t="inlineStr">
        <is>
          <t>SIFT1M</t>
        </is>
      </c>
      <c r="B107" s="0" t="inlineStr">
        <is>
          <t>H24</t>
        </is>
      </c>
      <c r="C107" s="0" t="inlineStr">
        <is>
          <t>H25</t>
        </is>
      </c>
      <c r="D107" s="0" t="n">
        <v>91.27648000000001</v>
      </c>
    </row>
    <row r="108">
      <c r="A108" s="0" t="inlineStr">
        <is>
          <t>SIFT1M</t>
        </is>
      </c>
      <c r="B108" s="0" t="inlineStr">
        <is>
          <t>I24</t>
        </is>
      </c>
      <c r="C108" s="0" t="inlineStr">
        <is>
          <t>I25</t>
        </is>
      </c>
      <c r="D108" s="0" t="n">
        <v>103.21712</v>
      </c>
    </row>
    <row r="109">
      <c r="A109" s="0" t="inlineStr">
        <is>
          <t>SIFT1M</t>
        </is>
      </c>
      <c r="B109" s="0" t="inlineStr">
        <is>
          <t>J24</t>
        </is>
      </c>
      <c r="C109" s="0" t="inlineStr">
        <is>
          <t>J25</t>
        </is>
      </c>
      <c r="D109" s="0" t="n">
        <v>114.56068</v>
      </c>
    </row>
    <row r="110">
      <c r="A110" s="0" t="inlineStr">
        <is>
          <t>SIFT1M</t>
        </is>
      </c>
      <c r="B110" s="0" t="inlineStr">
        <is>
          <t>K24</t>
        </is>
      </c>
      <c r="C110" s="0" t="inlineStr">
        <is>
          <t>K25</t>
        </is>
      </c>
      <c r="D110" s="0" t="n">
        <v>153.43736</v>
      </c>
    </row>
    <row r="111">
      <c r="A111" s="0" t="inlineStr">
        <is>
          <t>SIFT1M</t>
        </is>
      </c>
      <c r="B111" s="0" t="inlineStr">
        <is>
          <t>L24</t>
        </is>
      </c>
      <c r="C111" s="0" t="inlineStr">
        <is>
          <t>L25</t>
        </is>
      </c>
      <c r="D111" s="0" t="n">
        <v>175.69476</v>
      </c>
    </row>
    <row r="112">
      <c r="A112" s="0" t="inlineStr">
        <is>
          <t>SIFT1M</t>
        </is>
      </c>
      <c r="B112" s="0" t="inlineStr">
        <is>
          <t>M24</t>
        </is>
      </c>
      <c r="C112" s="0" t="inlineStr">
        <is>
          <t>M25</t>
        </is>
      </c>
      <c r="D112" s="0" t="n">
        <v>236.02116</v>
      </c>
    </row>
    <row r="113">
      <c r="A113" s="0" t="inlineStr">
        <is>
          <t>SIFT1M</t>
        </is>
      </c>
      <c r="B113" s="0" t="inlineStr">
        <is>
          <t>N24</t>
        </is>
      </c>
      <c r="C113" s="0" t="inlineStr">
        <is>
          <t>N25</t>
        </is>
      </c>
      <c r="D113" s="0" t="n">
        <v>307.025</v>
      </c>
    </row>
    <row r="114">
      <c r="A114" s="0" t="inlineStr">
        <is>
          <t>SIFT1M</t>
        </is>
      </c>
      <c r="B114" s="0" t="inlineStr">
        <is>
          <t>O24</t>
        </is>
      </c>
      <c r="C114" s="0" t="inlineStr">
        <is>
          <t>O25</t>
        </is>
      </c>
      <c r="D114" s="0" t="n">
        <v>490.266</v>
      </c>
    </row>
    <row r="115">
      <c r="A115" s="0" t="inlineStr">
        <is>
          <t>SIFT1M</t>
        </is>
      </c>
      <c r="B115" s="0" t="inlineStr">
        <is>
          <t>P24</t>
        </is>
      </c>
      <c r="C115" s="0" t="inlineStr">
        <is>
          <t>P25</t>
        </is>
      </c>
      <c r="D115" s="0" t="n">
        <v>599.2962</v>
      </c>
    </row>
    <row r="116">
      <c r="A116" s="0" t="inlineStr">
        <is>
          <t>SIFT1M</t>
        </is>
      </c>
      <c r="B116" s="0" t="inlineStr">
        <is>
          <t>E25</t>
        </is>
      </c>
      <c r="C116" s="0" t="inlineStr">
        <is>
          <t>E28</t>
        </is>
      </c>
      <c r="D116" s="0" t="inlineStr">
        <is>
          <t>Target Recall (%)</t>
        </is>
      </c>
    </row>
    <row r="117">
      <c r="A117" s="0" t="inlineStr">
        <is>
          <t>SIFT1M</t>
        </is>
      </c>
      <c r="B117" s="0" t="inlineStr">
        <is>
          <t>F25</t>
        </is>
      </c>
      <c r="C117" s="0" t="inlineStr">
        <is>
          <t>F28</t>
        </is>
      </c>
      <c r="D117" s="0" t="n">
        <v>60</v>
      </c>
    </row>
    <row r="118">
      <c r="A118" s="0" t="inlineStr">
        <is>
          <t>SIFT1M</t>
        </is>
      </c>
      <c r="B118" s="0" t="inlineStr">
        <is>
          <t>G25</t>
        </is>
      </c>
      <c r="C118" s="0" t="inlineStr">
        <is>
          <t>G28</t>
        </is>
      </c>
      <c r="D118" s="0" t="n">
        <v>65</v>
      </c>
    </row>
    <row r="119">
      <c r="A119" s="0" t="inlineStr">
        <is>
          <t>SIFT1M</t>
        </is>
      </c>
      <c r="B119" s="0" t="inlineStr">
        <is>
          <t>H25</t>
        </is>
      </c>
      <c r="C119" s="0" t="inlineStr">
        <is>
          <t>H28</t>
        </is>
      </c>
      <c r="D119" s="0" t="n">
        <v>70</v>
      </c>
    </row>
    <row r="120">
      <c r="A120" s="0" t="inlineStr">
        <is>
          <t>SIFT1M</t>
        </is>
      </c>
      <c r="B120" s="0" t="inlineStr">
        <is>
          <t>I25</t>
        </is>
      </c>
      <c r="C120" s="0" t="inlineStr">
        <is>
          <t>I28</t>
        </is>
      </c>
      <c r="D120" s="0" t="n">
        <v>75</v>
      </c>
    </row>
    <row r="121">
      <c r="A121" s="0" t="inlineStr">
        <is>
          <t>SIFT1M</t>
        </is>
      </c>
      <c r="B121" s="0" t="inlineStr">
        <is>
          <t>J25</t>
        </is>
      </c>
      <c r="C121" s="0" t="inlineStr">
        <is>
          <t>J28</t>
        </is>
      </c>
      <c r="D121" s="0" t="n">
        <v>80</v>
      </c>
    </row>
    <row r="122">
      <c r="A122" s="0" t="inlineStr">
        <is>
          <t>SIFT1M</t>
        </is>
      </c>
      <c r="B122" s="0" t="inlineStr">
        <is>
          <t>K25</t>
        </is>
      </c>
      <c r="C122" s="0" t="inlineStr">
        <is>
          <t>K28</t>
        </is>
      </c>
      <c r="D122" s="0" t="n">
        <v>85</v>
      </c>
    </row>
    <row r="123">
      <c r="A123" s="0" t="inlineStr">
        <is>
          <t>SIFT1M</t>
        </is>
      </c>
      <c r="B123" s="0" t="inlineStr">
        <is>
          <t>L25</t>
        </is>
      </c>
      <c r="C123" s="0" t="inlineStr">
        <is>
          <t>L28</t>
        </is>
      </c>
      <c r="D123" s="0" t="n">
        <v>90</v>
      </c>
    </row>
    <row r="124">
      <c r="A124" s="0" t="inlineStr">
        <is>
          <t>SIFT1M</t>
        </is>
      </c>
      <c r="B124" s="0" t="inlineStr">
        <is>
          <t>M25</t>
        </is>
      </c>
      <c r="C124" s="0" t="inlineStr">
        <is>
          <t>M28</t>
        </is>
      </c>
      <c r="D124" s="0" t="n">
        <v>95</v>
      </c>
    </row>
    <row r="125">
      <c r="A125" s="0" t="inlineStr">
        <is>
          <t>SIFT1M</t>
        </is>
      </c>
      <c r="B125" s="0" t="inlineStr">
        <is>
          <t>N25</t>
        </is>
      </c>
      <c r="C125" s="0" t="inlineStr">
        <is>
          <t>N28</t>
        </is>
      </c>
      <c r="D125" s="0" t="n">
        <v>97</v>
      </c>
    </row>
    <row r="126">
      <c r="A126" s="0" t="inlineStr">
        <is>
          <t>SIFT1M</t>
        </is>
      </c>
      <c r="B126" s="0" t="inlineStr">
        <is>
          <t>O25</t>
        </is>
      </c>
      <c r="C126" s="0" t="inlineStr">
        <is>
          <t>O28</t>
        </is>
      </c>
      <c r="D126" s="0" t="n">
        <v>98</v>
      </c>
    </row>
    <row r="127">
      <c r="A127" s="0" t="inlineStr">
        <is>
          <t>SIFT1M</t>
        </is>
      </c>
      <c r="B127" s="0" t="inlineStr">
        <is>
          <t>P25</t>
        </is>
      </c>
      <c r="C127" s="0" t="inlineStr">
        <is>
          <t>P28</t>
        </is>
      </c>
      <c r="D127" s="0" t="n">
        <v>99</v>
      </c>
    </row>
    <row r="128">
      <c r="A128" s="0" t="inlineStr">
        <is>
          <t>SIFT1M</t>
        </is>
      </c>
      <c r="B128" s="0" t="inlineStr">
        <is>
          <t>E26</t>
        </is>
      </c>
      <c r="C128" s="0" t="inlineStr">
        <is>
          <t>E29</t>
        </is>
      </c>
      <c r="D128" s="0" t="inlineStr">
        <is>
          <t>Recall@10 (change parameters enabling different recall rate) vs. verify time</t>
        </is>
      </c>
    </row>
    <row r="129">
      <c r="A129" s="0" t="inlineStr">
        <is>
          <t>SIFT1M</t>
        </is>
      </c>
      <c r="B129" s="0" t="inlineStr">
        <is>
          <t>D28</t>
        </is>
      </c>
      <c r="C129" s="0" t="inlineStr">
        <is>
          <t>D31</t>
        </is>
      </c>
      <c r="D129" s="0" t="inlineStr">
        <is>
          <t>SIFT1M</t>
        </is>
      </c>
    </row>
    <row r="130">
      <c r="A130" s="0" t="inlineStr">
        <is>
          <t>SIFT1M</t>
        </is>
      </c>
      <c r="B130" s="0" t="inlineStr">
        <is>
          <t>D29</t>
        </is>
      </c>
      <c r="C130" s="0" t="inlineStr">
        <is>
          <t>D32</t>
        </is>
      </c>
      <c r="D130" s="0" t="inlineStr">
        <is>
          <t>VLAH</t>
        </is>
      </c>
    </row>
    <row r="131">
      <c r="A131" s="0" t="inlineStr">
        <is>
          <t>SIFT1M</t>
        </is>
      </c>
      <c r="B131" s="0" t="inlineStr">
        <is>
          <t>E29</t>
        </is>
      </c>
      <c r="C131" s="0" t="inlineStr">
        <is>
          <t>E32</t>
        </is>
      </c>
      <c r="D131" s="0" t="inlineStr">
        <is>
          <t>Recall rate</t>
        </is>
      </c>
    </row>
    <row r="132">
      <c r="A132" s="0" t="inlineStr">
        <is>
          <t>SIFT1M</t>
        </is>
      </c>
      <c r="B132" s="0" t="inlineStr">
        <is>
          <t>F29</t>
        </is>
      </c>
      <c r="C132" s="0" t="inlineStr">
        <is>
          <t>F32</t>
        </is>
      </c>
      <c r="D132" s="0" t="n">
        <v>60.7</v>
      </c>
    </row>
    <row r="133">
      <c r="A133" s="0" t="inlineStr">
        <is>
          <t>SIFT1M</t>
        </is>
      </c>
      <c r="B133" s="0" t="inlineStr">
        <is>
          <t>G29</t>
        </is>
      </c>
      <c r="C133" s="0" t="inlineStr">
        <is>
          <t>G32</t>
        </is>
      </c>
      <c r="D133" s="0" t="n">
        <v>65.40000000000001</v>
      </c>
    </row>
    <row r="134">
      <c r="A134" s="0" t="inlineStr">
        <is>
          <t>SIFT1M</t>
        </is>
      </c>
      <c r="B134" s="0" t="inlineStr">
        <is>
          <t>H29</t>
        </is>
      </c>
      <c r="C134" s="0" t="inlineStr">
        <is>
          <t>H32</t>
        </is>
      </c>
      <c r="D134" s="0" t="n">
        <v>70.8</v>
      </c>
    </row>
    <row r="135">
      <c r="A135" s="0" t="inlineStr">
        <is>
          <t>SIFT1M</t>
        </is>
      </c>
      <c r="B135" s="0" t="inlineStr">
        <is>
          <t>I29</t>
        </is>
      </c>
      <c r="C135" s="0" t="inlineStr">
        <is>
          <t>I32</t>
        </is>
      </c>
      <c r="D135" s="0" t="n">
        <v>75</v>
      </c>
    </row>
    <row r="136">
      <c r="A136" s="0" t="inlineStr">
        <is>
          <t>SIFT1M</t>
        </is>
      </c>
      <c r="B136" s="0" t="inlineStr">
        <is>
          <t>J29</t>
        </is>
      </c>
      <c r="C136" s="0" t="inlineStr">
        <is>
          <t>J32</t>
        </is>
      </c>
      <c r="D136" s="0" t="n">
        <v>80</v>
      </c>
    </row>
    <row r="137">
      <c r="A137" s="0" t="inlineStr">
        <is>
          <t>SIFT1M</t>
        </is>
      </c>
      <c r="B137" s="0" t="inlineStr">
        <is>
          <t>K29</t>
        </is>
      </c>
      <c r="C137" s="0" t="inlineStr">
        <is>
          <t>K32</t>
        </is>
      </c>
      <c r="D137" s="0" t="n">
        <v>85</v>
      </c>
    </row>
    <row r="138">
      <c r="A138" s="0" t="inlineStr">
        <is>
          <t>SIFT1M</t>
        </is>
      </c>
      <c r="B138" s="0" t="inlineStr">
        <is>
          <t>L29</t>
        </is>
      </c>
      <c r="C138" s="0" t="inlineStr">
        <is>
          <t>L32</t>
        </is>
      </c>
      <c r="D138" s="0" t="n">
        <v>90.3</v>
      </c>
    </row>
    <row r="139">
      <c r="A139" s="0" t="inlineStr">
        <is>
          <t>SIFT1M</t>
        </is>
      </c>
      <c r="B139" s="0" t="inlineStr">
        <is>
          <t>M29</t>
        </is>
      </c>
      <c r="C139" s="0" t="inlineStr">
        <is>
          <t>M32</t>
        </is>
      </c>
      <c r="D139" s="0" t="n">
        <v>95.2</v>
      </c>
    </row>
    <row r="140">
      <c r="A140" s="0" t="inlineStr">
        <is>
          <t>SIFT1M</t>
        </is>
      </c>
      <c r="B140" s="0" t="inlineStr">
        <is>
          <t>N29</t>
        </is>
      </c>
      <c r="C140" s="0" t="inlineStr">
        <is>
          <t>N32</t>
        </is>
      </c>
      <c r="D140" s="0" t="n">
        <v>97.2</v>
      </c>
    </row>
    <row r="141">
      <c r="A141" s="0" t="inlineStr">
        <is>
          <t>SIFT1M</t>
        </is>
      </c>
      <c r="B141" s="0" t="inlineStr">
        <is>
          <t>O29</t>
        </is>
      </c>
      <c r="C141" s="0" t="inlineStr">
        <is>
          <t>O32</t>
        </is>
      </c>
      <c r="D141" s="0" t="n">
        <v>98</v>
      </c>
    </row>
    <row r="142">
      <c r="A142" s="0" t="inlineStr">
        <is>
          <t>SIFT1M</t>
        </is>
      </c>
      <c r="B142" s="0" t="inlineStr">
        <is>
          <t>P29</t>
        </is>
      </c>
      <c r="C142" s="0" t="inlineStr">
        <is>
          <t>P32</t>
        </is>
      </c>
      <c r="D142" s="0" t="n">
        <v>99.09999999999999</v>
      </c>
    </row>
    <row r="143">
      <c r="A143" s="0" t="inlineStr">
        <is>
          <t>SIFT1M</t>
        </is>
      </c>
      <c r="B143" s="0" t="inlineStr">
        <is>
          <t>E30</t>
        </is>
      </c>
      <c r="C143" s="0" t="inlineStr">
        <is>
          <t>E33</t>
        </is>
      </c>
      <c r="D143" s="0" t="inlineStr">
        <is>
          <t>verify time</t>
        </is>
      </c>
    </row>
    <row r="144">
      <c r="A144" s="0" t="inlineStr">
        <is>
          <t>SIFT1M</t>
        </is>
      </c>
      <c r="B144" s="0" t="inlineStr">
        <is>
          <t>F30</t>
        </is>
      </c>
      <c r="C144" s="0" t="inlineStr">
        <is>
          <t>F33</t>
        </is>
      </c>
      <c r="D144" s="0" t="n">
        <v>45.3004235666667</v>
      </c>
    </row>
    <row r="145">
      <c r="A145" s="0" t="inlineStr">
        <is>
          <t>SIFT1M</t>
        </is>
      </c>
      <c r="B145" s="0" t="inlineStr">
        <is>
          <t>G30</t>
        </is>
      </c>
      <c r="C145" s="0" t="inlineStr">
        <is>
          <t>G33</t>
        </is>
      </c>
      <c r="D145" s="0" t="n">
        <v>53.9443851833333</v>
      </c>
    </row>
    <row r="146">
      <c r="A146" s="0" t="inlineStr">
        <is>
          <t>SIFT1M</t>
        </is>
      </c>
      <c r="B146" s="0" t="inlineStr">
        <is>
          <t>H30</t>
        </is>
      </c>
      <c r="C146" s="0" t="inlineStr">
        <is>
          <t>H33</t>
        </is>
      </c>
      <c r="D146" s="0" t="n">
        <v>70.0221579833333</v>
      </c>
    </row>
    <row r="147">
      <c r="A147" s="0" t="inlineStr">
        <is>
          <t>SIFT1M</t>
        </is>
      </c>
      <c r="B147" s="0" t="inlineStr">
        <is>
          <t>I30</t>
        </is>
      </c>
      <c r="C147" s="0" t="inlineStr">
        <is>
          <t>I33</t>
        </is>
      </c>
      <c r="D147" s="0" t="n">
        <v>78.27115032</v>
      </c>
    </row>
    <row r="148">
      <c r="A148" s="0" t="inlineStr">
        <is>
          <t>SIFT1M</t>
        </is>
      </c>
      <c r="B148" s="0" t="inlineStr">
        <is>
          <t>J30</t>
        </is>
      </c>
      <c r="C148" s="0" t="inlineStr">
        <is>
          <t>J33</t>
        </is>
      </c>
      <c r="D148" s="0" t="n">
        <v>97.75630345</v>
      </c>
    </row>
    <row r="149">
      <c r="A149" s="0" t="inlineStr">
        <is>
          <t>SIFT1M</t>
        </is>
      </c>
      <c r="B149" s="0" t="inlineStr">
        <is>
          <t>K30</t>
        </is>
      </c>
      <c r="C149" s="0" t="inlineStr">
        <is>
          <t>K33</t>
        </is>
      </c>
      <c r="D149" s="0" t="n">
        <v>109.452387803333</v>
      </c>
    </row>
    <row r="150">
      <c r="A150" s="0" t="inlineStr">
        <is>
          <t>SIFT1M</t>
        </is>
      </c>
      <c r="B150" s="0" t="inlineStr">
        <is>
          <t>L30</t>
        </is>
      </c>
      <c r="C150" s="0" t="inlineStr">
        <is>
          <t>L33</t>
        </is>
      </c>
      <c r="D150" s="0" t="n">
        <v>127.420139816667</v>
      </c>
    </row>
    <row r="151">
      <c r="A151" s="0" t="inlineStr">
        <is>
          <t>SIFT1M</t>
        </is>
      </c>
      <c r="B151" s="0" t="inlineStr">
        <is>
          <t>M30</t>
        </is>
      </c>
      <c r="C151" s="0" t="inlineStr">
        <is>
          <t>M33</t>
        </is>
      </c>
      <c r="D151" s="0" t="n">
        <v>150.39012002</v>
      </c>
    </row>
    <row r="152">
      <c r="A152" s="0" t="inlineStr">
        <is>
          <t>SIFT1M</t>
        </is>
      </c>
      <c r="B152" s="0" t="inlineStr">
        <is>
          <t>N30</t>
        </is>
      </c>
      <c r="C152" s="0" t="inlineStr">
        <is>
          <t>N33</t>
        </is>
      </c>
      <c r="D152" s="0" t="n">
        <v>158.266914293333</v>
      </c>
    </row>
    <row r="153">
      <c r="A153" s="0" t="inlineStr">
        <is>
          <t>SIFT1M</t>
        </is>
      </c>
      <c r="B153" s="0" t="inlineStr">
        <is>
          <t>O30</t>
        </is>
      </c>
      <c r="C153" s="0" t="inlineStr">
        <is>
          <t>O33</t>
        </is>
      </c>
      <c r="D153" s="0" t="n">
        <v>167.846554113333</v>
      </c>
    </row>
    <row r="154">
      <c r="A154" s="0" t="inlineStr">
        <is>
          <t>SIFT1M</t>
        </is>
      </c>
      <c r="B154" s="0" t="inlineStr">
        <is>
          <t>P30</t>
        </is>
      </c>
      <c r="C154" s="0" t="inlineStr">
        <is>
          <t>P33</t>
        </is>
      </c>
      <c r="D154" s="0" t="n">
        <v>176.97110718</v>
      </c>
    </row>
    <row r="155">
      <c r="A155" s="0" t="inlineStr">
        <is>
          <t>SIFT1M</t>
        </is>
      </c>
      <c r="B155" s="0" t="inlineStr">
        <is>
          <t>D31</t>
        </is>
      </c>
      <c r="C155" s="0" t="inlineStr">
        <is>
          <t>D34</t>
        </is>
      </c>
      <c r="D155" s="0" t="inlineStr">
        <is>
          <t>ANNProof</t>
        </is>
      </c>
    </row>
    <row r="156">
      <c r="A156" s="0" t="inlineStr">
        <is>
          <t>SIFT1M</t>
        </is>
      </c>
      <c r="B156" s="0" t="inlineStr">
        <is>
          <t>E31</t>
        </is>
      </c>
      <c r="C156" s="0" t="inlineStr">
        <is>
          <t>E34</t>
        </is>
      </c>
      <c r="D156" s="0" t="inlineStr">
        <is>
          <t>Recall rate</t>
        </is>
      </c>
    </row>
    <row r="157">
      <c r="A157" s="0" t="inlineStr">
        <is>
          <t>SIFT1M</t>
        </is>
      </c>
      <c r="B157" s="0" t="inlineStr">
        <is>
          <t>F31</t>
        </is>
      </c>
      <c r="C157" s="0" t="inlineStr">
        <is>
          <t>F34</t>
        </is>
      </c>
      <c r="D157" s="0" t="n">
        <v>62.1</v>
      </c>
    </row>
    <row r="158">
      <c r="A158" s="0" t="inlineStr">
        <is>
          <t>SIFT1M</t>
        </is>
      </c>
      <c r="B158" s="0" t="inlineStr">
        <is>
          <t>G31</t>
        </is>
      </c>
      <c r="C158" s="0" t="inlineStr">
        <is>
          <t>G34</t>
        </is>
      </c>
      <c r="D158" s="0" t="n">
        <v>66.7</v>
      </c>
    </row>
    <row r="159">
      <c r="A159" s="0" t="inlineStr">
        <is>
          <t>SIFT1M</t>
        </is>
      </c>
      <c r="B159" s="0" t="inlineStr">
        <is>
          <t>H31</t>
        </is>
      </c>
      <c r="C159" s="0" t="inlineStr">
        <is>
          <t>H34</t>
        </is>
      </c>
      <c r="D159" s="0" t="n">
        <v>71.59999999999999</v>
      </c>
    </row>
    <row r="160">
      <c r="A160" s="0" t="inlineStr">
        <is>
          <t>SIFT1M</t>
        </is>
      </c>
      <c r="B160" s="0" t="inlineStr">
        <is>
          <t>I31</t>
        </is>
      </c>
      <c r="C160" s="0" t="inlineStr">
        <is>
          <t>I34</t>
        </is>
      </c>
      <c r="D160" s="0" t="n">
        <v>75.59999999999999</v>
      </c>
    </row>
    <row r="161">
      <c r="A161" s="0" t="inlineStr">
        <is>
          <t>SIFT1M</t>
        </is>
      </c>
      <c r="B161" s="0" t="inlineStr">
        <is>
          <t>J31</t>
        </is>
      </c>
      <c r="C161" s="0" t="inlineStr">
        <is>
          <t>J34</t>
        </is>
      </c>
      <c r="D161" s="0" t="n">
        <v>81.40000000000001</v>
      </c>
    </row>
    <row r="162">
      <c r="A162" s="0" t="inlineStr">
        <is>
          <t>SIFT1M</t>
        </is>
      </c>
      <c r="B162" s="0" t="inlineStr">
        <is>
          <t>K31</t>
        </is>
      </c>
      <c r="C162" s="0" t="inlineStr">
        <is>
          <t>K34</t>
        </is>
      </c>
      <c r="D162" s="0" t="n">
        <v>86.5</v>
      </c>
    </row>
    <row r="163">
      <c r="A163" s="0" t="inlineStr">
        <is>
          <t>SIFT1M</t>
        </is>
      </c>
      <c r="B163" s="0" t="inlineStr">
        <is>
          <t>L31</t>
        </is>
      </c>
      <c r="C163" s="0" t="inlineStr">
        <is>
          <t>L34</t>
        </is>
      </c>
      <c r="D163" s="0" t="n">
        <v>90.2</v>
      </c>
    </row>
    <row r="164">
      <c r="A164" s="0" t="inlineStr">
        <is>
          <t>SIFT1M</t>
        </is>
      </c>
      <c r="B164" s="0" t="inlineStr">
        <is>
          <t>M31</t>
        </is>
      </c>
      <c r="C164" s="0" t="inlineStr">
        <is>
          <t>M34</t>
        </is>
      </c>
      <c r="D164" s="0" t="n">
        <v>95.09999999999999</v>
      </c>
    </row>
    <row r="165">
      <c r="A165" s="0" t="inlineStr">
        <is>
          <t>SIFT1M</t>
        </is>
      </c>
      <c r="B165" s="0" t="inlineStr">
        <is>
          <t>N31</t>
        </is>
      </c>
      <c r="C165" s="0" t="inlineStr">
        <is>
          <t>N34</t>
        </is>
      </c>
      <c r="D165" s="0" t="n">
        <v>97.3</v>
      </c>
    </row>
    <row r="166">
      <c r="A166" s="0" t="inlineStr">
        <is>
          <t>SIFT1M</t>
        </is>
      </c>
      <c r="B166" s="0" t="inlineStr">
        <is>
          <t>O31</t>
        </is>
      </c>
      <c r="C166" s="0" t="inlineStr">
        <is>
          <t>O34</t>
        </is>
      </c>
      <c r="D166" s="0" t="n">
        <v>98.09999999999999</v>
      </c>
    </row>
    <row r="167">
      <c r="A167" s="0" t="inlineStr">
        <is>
          <t>SIFT1M</t>
        </is>
      </c>
      <c r="B167" s="0" t="inlineStr">
        <is>
          <t>P31</t>
        </is>
      </c>
      <c r="C167" s="0" t="inlineStr">
        <is>
          <t>P34</t>
        </is>
      </c>
      <c r="D167" s="0" t="n">
        <v>99</v>
      </c>
    </row>
    <row r="168">
      <c r="A168" s="0" t="inlineStr">
        <is>
          <t>SIFT1M</t>
        </is>
      </c>
      <c r="B168" s="0" t="inlineStr">
        <is>
          <t>E32</t>
        </is>
      </c>
      <c r="C168" s="0" t="inlineStr">
        <is>
          <t>E35</t>
        </is>
      </c>
      <c r="D168" s="0" t="inlineStr">
        <is>
          <t>verify time</t>
        </is>
      </c>
    </row>
    <row r="169">
      <c r="A169" s="0" t="inlineStr">
        <is>
          <t>SIFT1M</t>
        </is>
      </c>
      <c r="B169" s="0" t="inlineStr">
        <is>
          <t>F32</t>
        </is>
      </c>
      <c r="C169" s="0" t="inlineStr">
        <is>
          <t>F35</t>
        </is>
      </c>
      <c r="D169" s="0" t="n">
        <v>3.80049899333333</v>
      </c>
    </row>
    <row r="170">
      <c r="A170" s="0" t="inlineStr">
        <is>
          <t>SIFT1M</t>
        </is>
      </c>
      <c r="B170" s="0" t="inlineStr">
        <is>
          <t>G32</t>
        </is>
      </c>
      <c r="C170" s="0" t="inlineStr">
        <is>
          <t>G35</t>
        </is>
      </c>
      <c r="D170" s="0" t="n">
        <v>4.15148504666667</v>
      </c>
    </row>
    <row r="171">
      <c r="A171" s="0" t="inlineStr">
        <is>
          <t>SIFT1M</t>
        </is>
      </c>
      <c r="B171" s="0" t="inlineStr">
        <is>
          <t>H32</t>
        </is>
      </c>
      <c r="C171" s="0" t="inlineStr">
        <is>
          <t>H35</t>
        </is>
      </c>
      <c r="D171" s="0" t="n">
        <v>4.66283399333333</v>
      </c>
    </row>
    <row r="172">
      <c r="A172" s="0" t="inlineStr">
        <is>
          <t>SIFT1M</t>
        </is>
      </c>
      <c r="B172" s="0" t="inlineStr">
        <is>
          <t>I32</t>
        </is>
      </c>
      <c r="C172" s="0" t="inlineStr">
        <is>
          <t>I35</t>
        </is>
      </c>
      <c r="D172" s="0" t="n">
        <v>5.12229764666667</v>
      </c>
    </row>
    <row r="173">
      <c r="A173" s="0" t="inlineStr">
        <is>
          <t>SIFT1M</t>
        </is>
      </c>
      <c r="B173" s="0" t="inlineStr">
        <is>
          <t>J32</t>
        </is>
      </c>
      <c r="C173" s="0" t="inlineStr">
        <is>
          <t>J35</t>
        </is>
      </c>
      <c r="D173" s="0" t="n">
        <v>6.30241411666667</v>
      </c>
    </row>
    <row r="174">
      <c r="A174" s="0" t="inlineStr">
        <is>
          <t>SIFT1M</t>
        </is>
      </c>
      <c r="B174" s="0" t="inlineStr">
        <is>
          <t>K32</t>
        </is>
      </c>
      <c r="C174" s="0" t="inlineStr">
        <is>
          <t>K35</t>
        </is>
      </c>
      <c r="D174" s="0" t="n">
        <v>7.90480122</v>
      </c>
    </row>
    <row r="175">
      <c r="A175" s="0" t="inlineStr">
        <is>
          <t>SIFT1M</t>
        </is>
      </c>
      <c r="B175" s="0" t="inlineStr">
        <is>
          <t>L32</t>
        </is>
      </c>
      <c r="C175" s="0" t="inlineStr">
        <is>
          <t>L35</t>
        </is>
      </c>
      <c r="D175" s="0" t="n">
        <v>9.777948606666669</v>
      </c>
    </row>
    <row r="176">
      <c r="A176" s="0" t="inlineStr">
        <is>
          <t>SIFT1M</t>
        </is>
      </c>
      <c r="B176" s="0" t="inlineStr">
        <is>
          <t>M32</t>
        </is>
      </c>
      <c r="C176" s="0" t="inlineStr">
        <is>
          <t>M35</t>
        </is>
      </c>
      <c r="D176" s="0" t="n">
        <v>13.50564445</v>
      </c>
    </row>
    <row r="177">
      <c r="A177" s="0" t="inlineStr">
        <is>
          <t>SIFT1M</t>
        </is>
      </c>
      <c r="B177" s="0" t="inlineStr">
        <is>
          <t>N32</t>
        </is>
      </c>
      <c r="C177" s="0" t="inlineStr">
        <is>
          <t>N35</t>
        </is>
      </c>
      <c r="D177" s="0" t="n">
        <v>19.3207201966667</v>
      </c>
    </row>
    <row r="178">
      <c r="A178" s="0" t="inlineStr">
        <is>
          <t>SIFT1M</t>
        </is>
      </c>
      <c r="B178" s="0" t="inlineStr">
        <is>
          <t>O32</t>
        </is>
      </c>
      <c r="C178" s="0" t="inlineStr">
        <is>
          <t>O35</t>
        </is>
      </c>
      <c r="D178" s="0" t="n">
        <v>27.84074771</v>
      </c>
    </row>
    <row r="179">
      <c r="A179" s="0" t="inlineStr">
        <is>
          <t>SIFT1M</t>
        </is>
      </c>
      <c r="B179" s="0" t="inlineStr">
        <is>
          <t>P32</t>
        </is>
      </c>
      <c r="C179" s="0" t="inlineStr">
        <is>
          <t>P35</t>
        </is>
      </c>
      <c r="D179" s="0" t="n">
        <v>47.2809814133333</v>
      </c>
    </row>
    <row r="180">
      <c r="A180" s="0" t="inlineStr">
        <is>
          <t>SIFT1M</t>
        </is>
      </c>
      <c r="B180" s="0" t="inlineStr">
        <is>
          <t>D33</t>
        </is>
      </c>
      <c r="C180" s="0" t="inlineStr">
        <is>
          <t>D36</t>
        </is>
      </c>
      <c r="D180" s="0" t="inlineStr">
        <is>
          <t>Ours</t>
        </is>
      </c>
    </row>
    <row r="181">
      <c r="A181" s="0" t="inlineStr">
        <is>
          <t>SIFT1M</t>
        </is>
      </c>
      <c r="B181" s="0" t="inlineStr">
        <is>
          <t>E33</t>
        </is>
      </c>
      <c r="C181" s="0" t="inlineStr">
        <is>
          <t>E36</t>
        </is>
      </c>
      <c r="D181" s="0" t="inlineStr">
        <is>
          <t>Recall rate</t>
        </is>
      </c>
    </row>
    <row r="182">
      <c r="A182" s="0" t="inlineStr">
        <is>
          <t>SIFT1M</t>
        </is>
      </c>
      <c r="B182" s="0" t="inlineStr">
        <is>
          <t>F33</t>
        </is>
      </c>
      <c r="C182" s="0" t="inlineStr">
        <is>
          <t>F36</t>
        </is>
      </c>
      <c r="D182" s="0" t="n">
        <v>62.3</v>
      </c>
    </row>
    <row r="183">
      <c r="A183" s="0" t="inlineStr">
        <is>
          <t>SIFT1M</t>
        </is>
      </c>
      <c r="B183" s="0" t="inlineStr">
        <is>
          <t>G33</t>
        </is>
      </c>
      <c r="C183" s="0" t="inlineStr">
        <is>
          <t>G36</t>
        </is>
      </c>
      <c r="D183" s="0" t="n">
        <v>66.3</v>
      </c>
    </row>
    <row r="184">
      <c r="A184" s="0" t="inlineStr">
        <is>
          <t>SIFT1M</t>
        </is>
      </c>
      <c r="B184" s="0" t="inlineStr">
        <is>
          <t>H33</t>
        </is>
      </c>
      <c r="C184" s="0" t="inlineStr">
        <is>
          <t>H36</t>
        </is>
      </c>
      <c r="D184" s="0" t="n">
        <v>70.2</v>
      </c>
    </row>
    <row r="185">
      <c r="A185" s="0" t="inlineStr">
        <is>
          <t>SIFT1M</t>
        </is>
      </c>
      <c r="B185" s="0" t="inlineStr">
        <is>
          <t>I33</t>
        </is>
      </c>
      <c r="C185" s="0" t="inlineStr">
        <is>
          <t>I36</t>
        </is>
      </c>
      <c r="D185" s="0" t="n">
        <v>76</v>
      </c>
    </row>
    <row r="186">
      <c r="A186" s="0" t="inlineStr">
        <is>
          <t>SIFT1M</t>
        </is>
      </c>
      <c r="B186" s="0" t="inlineStr">
        <is>
          <t>J33</t>
        </is>
      </c>
      <c r="C186" s="0" t="inlineStr">
        <is>
          <t>J36</t>
        </is>
      </c>
      <c r="D186" s="0" t="n">
        <v>80.3</v>
      </c>
    </row>
    <row r="187">
      <c r="A187" s="0" t="inlineStr">
        <is>
          <t>SIFT1M</t>
        </is>
      </c>
      <c r="B187" s="0" t="inlineStr">
        <is>
          <t>K33</t>
        </is>
      </c>
      <c r="C187" s="0" t="inlineStr">
        <is>
          <t>K36</t>
        </is>
      </c>
      <c r="D187" s="0" t="n">
        <v>87.3</v>
      </c>
    </row>
    <row r="188">
      <c r="A188" s="0" t="inlineStr">
        <is>
          <t>SIFT1M</t>
        </is>
      </c>
      <c r="B188" s="0" t="inlineStr">
        <is>
          <t>L33</t>
        </is>
      </c>
      <c r="C188" s="0" t="inlineStr">
        <is>
          <t>L36</t>
        </is>
      </c>
      <c r="D188" s="0" t="n">
        <v>90.40000000000001</v>
      </c>
    </row>
    <row r="189">
      <c r="A189" s="0" t="inlineStr">
        <is>
          <t>SIFT1M</t>
        </is>
      </c>
      <c r="B189" s="0" t="inlineStr">
        <is>
          <t>M33</t>
        </is>
      </c>
      <c r="C189" s="0" t="inlineStr">
        <is>
          <t>M36</t>
        </is>
      </c>
      <c r="D189" s="0" t="n">
        <v>95.40000000000001</v>
      </c>
    </row>
    <row r="190">
      <c r="A190" s="0" t="inlineStr">
        <is>
          <t>SIFT1M</t>
        </is>
      </c>
      <c r="B190" s="0" t="inlineStr">
        <is>
          <t>N33</t>
        </is>
      </c>
      <c r="C190" s="0" t="inlineStr">
        <is>
          <t>N36</t>
        </is>
      </c>
      <c r="D190" s="0" t="n">
        <v>97.2</v>
      </c>
    </row>
    <row r="191">
      <c r="A191" s="0" t="inlineStr">
        <is>
          <t>SIFT1M</t>
        </is>
      </c>
      <c r="B191" s="0" t="inlineStr">
        <is>
          <t>O33</t>
        </is>
      </c>
      <c r="C191" s="0" t="inlineStr">
        <is>
          <t>O36</t>
        </is>
      </c>
      <c r="D191" s="0" t="n">
        <v>98.7</v>
      </c>
    </row>
    <row r="192">
      <c r="A192" s="0" t="inlineStr">
        <is>
          <t>SIFT1M</t>
        </is>
      </c>
      <c r="B192" s="0" t="inlineStr">
        <is>
          <t>P33</t>
        </is>
      </c>
      <c r="C192" s="0" t="inlineStr">
        <is>
          <t>P36</t>
        </is>
      </c>
      <c r="D192" s="0" t="n">
        <v>99</v>
      </c>
    </row>
    <row r="193">
      <c r="A193" s="0" t="inlineStr">
        <is>
          <t>SIFT1M</t>
        </is>
      </c>
      <c r="B193" s="0" t="inlineStr">
        <is>
          <t>E34</t>
        </is>
      </c>
      <c r="C193" s="0" t="inlineStr">
        <is>
          <t>E37</t>
        </is>
      </c>
      <c r="D193" s="0" t="inlineStr">
        <is>
          <t>verify time</t>
        </is>
      </c>
    </row>
    <row r="194">
      <c r="A194" s="0" t="inlineStr">
        <is>
          <t>SIFT1M</t>
        </is>
      </c>
      <c r="B194" s="0" t="inlineStr">
        <is>
          <t>F34</t>
        </is>
      </c>
      <c r="C194" s="0" t="inlineStr">
        <is>
          <t>F37</t>
        </is>
      </c>
      <c r="D194" s="0" t="n">
        <v>1.55806525333333</v>
      </c>
    </row>
    <row r="195">
      <c r="A195" s="0" t="inlineStr">
        <is>
          <t>SIFT1M</t>
        </is>
      </c>
      <c r="B195" s="0" t="inlineStr">
        <is>
          <t>G34</t>
        </is>
      </c>
      <c r="C195" s="0" t="inlineStr">
        <is>
          <t>G37</t>
        </is>
      </c>
      <c r="D195" s="0" t="n">
        <v>1.64942995</v>
      </c>
    </row>
    <row r="196">
      <c r="A196" s="0" t="inlineStr">
        <is>
          <t>SIFT1M</t>
        </is>
      </c>
      <c r="B196" s="0" t="inlineStr">
        <is>
          <t>H34</t>
        </is>
      </c>
      <c r="C196" s="0" t="inlineStr">
        <is>
          <t>H37</t>
        </is>
      </c>
      <c r="D196" s="0" t="n">
        <v>1.82777087333333</v>
      </c>
    </row>
    <row r="197">
      <c r="A197" s="0" t="inlineStr">
        <is>
          <t>SIFT1M</t>
        </is>
      </c>
      <c r="B197" s="0" t="inlineStr">
        <is>
          <t>I34</t>
        </is>
      </c>
      <c r="C197" s="0" t="inlineStr">
        <is>
          <t>I37</t>
        </is>
      </c>
      <c r="D197" s="0" t="n">
        <v>2.06668139</v>
      </c>
    </row>
    <row r="198">
      <c r="A198" s="0" t="inlineStr">
        <is>
          <t>SIFT1M</t>
        </is>
      </c>
      <c r="B198" s="0" t="inlineStr">
        <is>
          <t>J34</t>
        </is>
      </c>
      <c r="C198" s="0" t="inlineStr">
        <is>
          <t>J37</t>
        </is>
      </c>
      <c r="D198" s="0" t="n">
        <v>2.30338058333333</v>
      </c>
    </row>
    <row r="199">
      <c r="A199" s="0" t="inlineStr">
        <is>
          <t>SIFT1M</t>
        </is>
      </c>
      <c r="B199" s="0" t="inlineStr">
        <is>
          <t>K34</t>
        </is>
      </c>
      <c r="C199" s="0" t="inlineStr">
        <is>
          <t>K37</t>
        </is>
      </c>
      <c r="D199" s="0" t="n">
        <v>3.06051667666667</v>
      </c>
    </row>
    <row r="200">
      <c r="A200" s="0" t="inlineStr">
        <is>
          <t>SIFT1M</t>
        </is>
      </c>
      <c r="B200" s="0" t="inlineStr">
        <is>
          <t>L34</t>
        </is>
      </c>
      <c r="C200" s="0" t="inlineStr">
        <is>
          <t>L37</t>
        </is>
      </c>
      <c r="D200" s="0" t="n">
        <v>3.48902270333333</v>
      </c>
    </row>
    <row r="201">
      <c r="A201" s="0" t="inlineStr">
        <is>
          <t>SIFT1M</t>
        </is>
      </c>
      <c r="B201" s="0" t="inlineStr">
        <is>
          <t>M34</t>
        </is>
      </c>
      <c r="C201" s="0" t="inlineStr">
        <is>
          <t>M37</t>
        </is>
      </c>
      <c r="D201" s="0" t="n">
        <v>4.68043708333333</v>
      </c>
    </row>
    <row r="202">
      <c r="A202" s="0" t="inlineStr">
        <is>
          <t>SIFT1M</t>
        </is>
      </c>
      <c r="B202" s="0" t="inlineStr">
        <is>
          <t>N34</t>
        </is>
      </c>
      <c r="C202" s="0" t="inlineStr">
        <is>
          <t>N37</t>
        </is>
      </c>
      <c r="D202" s="0" t="n">
        <v>6.08716991666667</v>
      </c>
    </row>
    <row r="203">
      <c r="A203" s="0" t="inlineStr">
        <is>
          <t>SIFT1M</t>
        </is>
      </c>
      <c r="B203" s="0" t="inlineStr">
        <is>
          <t>O34</t>
        </is>
      </c>
      <c r="C203" s="0" t="inlineStr">
        <is>
          <t>O37</t>
        </is>
      </c>
      <c r="D203" s="0" t="n">
        <v>9.89511474333333</v>
      </c>
    </row>
    <row r="204">
      <c r="A204" s="0" t="inlineStr">
        <is>
          <t>SIFT1M</t>
        </is>
      </c>
      <c r="B204" s="0" t="inlineStr">
        <is>
          <t>P34</t>
        </is>
      </c>
      <c r="C204" s="0" t="inlineStr">
        <is>
          <t>P37</t>
        </is>
      </c>
      <c r="D204" s="0" t="n">
        <v>12.29062924</v>
      </c>
    </row>
    <row r="205">
      <c r="A205" s="0" t="inlineStr">
        <is>
          <t>SIFT1M</t>
        </is>
      </c>
      <c r="B205" s="0" t="inlineStr">
        <is>
          <t>E35</t>
        </is>
      </c>
      <c r="C205" s="0" t="inlineStr">
        <is>
          <t>E40</t>
        </is>
      </c>
      <c r="D205" s="0" t="inlineStr">
        <is>
          <t>Target Recall (%)</t>
        </is>
      </c>
    </row>
    <row r="206">
      <c r="A206" s="0" t="inlineStr">
        <is>
          <t>SIFT1M</t>
        </is>
      </c>
      <c r="B206" s="0" t="inlineStr">
        <is>
          <t>F35</t>
        </is>
      </c>
      <c r="C206" s="0" t="inlineStr">
        <is>
          <t>F40</t>
        </is>
      </c>
      <c r="D206" s="0" t="n">
        <v>60</v>
      </c>
    </row>
    <row r="207">
      <c r="A207" s="0" t="inlineStr">
        <is>
          <t>SIFT1M</t>
        </is>
      </c>
      <c r="B207" s="0" t="inlineStr">
        <is>
          <t>G35</t>
        </is>
      </c>
      <c r="C207" s="0" t="inlineStr">
        <is>
          <t>G40</t>
        </is>
      </c>
      <c r="D207" s="0" t="n">
        <v>65</v>
      </c>
    </row>
    <row r="208">
      <c r="A208" s="0" t="inlineStr">
        <is>
          <t>SIFT1M</t>
        </is>
      </c>
      <c r="B208" s="0" t="inlineStr">
        <is>
          <t>H35</t>
        </is>
      </c>
      <c r="C208" s="0" t="inlineStr">
        <is>
          <t>H40</t>
        </is>
      </c>
      <c r="D208" s="0" t="n">
        <v>70</v>
      </c>
    </row>
    <row r="209">
      <c r="A209" s="0" t="inlineStr">
        <is>
          <t>SIFT1M</t>
        </is>
      </c>
      <c r="B209" s="0" t="inlineStr">
        <is>
          <t>I35</t>
        </is>
      </c>
      <c r="C209" s="0" t="inlineStr">
        <is>
          <t>I40</t>
        </is>
      </c>
      <c r="D209" s="0" t="n">
        <v>75</v>
      </c>
    </row>
    <row r="210">
      <c r="A210" s="0" t="inlineStr">
        <is>
          <t>SIFT1M</t>
        </is>
      </c>
      <c r="B210" s="0" t="inlineStr">
        <is>
          <t>J35</t>
        </is>
      </c>
      <c r="C210" s="0" t="inlineStr">
        <is>
          <t>J40</t>
        </is>
      </c>
      <c r="D210" s="0" t="n">
        <v>80</v>
      </c>
    </row>
    <row r="211">
      <c r="A211" s="0" t="inlineStr">
        <is>
          <t>SIFT1M</t>
        </is>
      </c>
      <c r="B211" s="0" t="inlineStr">
        <is>
          <t>K35</t>
        </is>
      </c>
      <c r="C211" s="0" t="inlineStr">
        <is>
          <t>K40</t>
        </is>
      </c>
      <c r="D211" s="0" t="n">
        <v>85</v>
      </c>
    </row>
    <row r="212">
      <c r="A212" s="0" t="inlineStr">
        <is>
          <t>SIFT1M</t>
        </is>
      </c>
      <c r="B212" s="0" t="inlineStr">
        <is>
          <t>L35</t>
        </is>
      </c>
      <c r="C212" s="0" t="inlineStr">
        <is>
          <t>L40</t>
        </is>
      </c>
      <c r="D212" s="0" t="n">
        <v>90</v>
      </c>
    </row>
    <row r="213">
      <c r="A213" s="0" t="inlineStr">
        <is>
          <t>SIFT1M</t>
        </is>
      </c>
      <c r="B213" s="0" t="inlineStr">
        <is>
          <t>M35</t>
        </is>
      </c>
      <c r="C213" s="0" t="inlineStr">
        <is>
          <t>M40</t>
        </is>
      </c>
      <c r="D213" s="0" t="n">
        <v>95</v>
      </c>
    </row>
    <row r="214">
      <c r="A214" s="0" t="inlineStr">
        <is>
          <t>SIFT1M</t>
        </is>
      </c>
      <c r="B214" s="0" t="inlineStr">
        <is>
          <t>N35</t>
        </is>
      </c>
      <c r="C214" s="0" t="inlineStr">
        <is>
          <t>N40</t>
        </is>
      </c>
      <c r="D214" s="0" t="n">
        <v>97</v>
      </c>
    </row>
    <row r="215">
      <c r="A215" s="0" t="inlineStr">
        <is>
          <t>SIFT1M</t>
        </is>
      </c>
      <c r="B215" s="0" t="inlineStr">
        <is>
          <t>O35</t>
        </is>
      </c>
      <c r="C215" s="0" t="inlineStr">
        <is>
          <t>O40</t>
        </is>
      </c>
      <c r="D215" s="0" t="n">
        <v>98</v>
      </c>
    </row>
    <row r="216">
      <c r="A216" s="0" t="inlineStr">
        <is>
          <t>SIFT1M</t>
        </is>
      </c>
      <c r="B216" s="0" t="inlineStr">
        <is>
          <t>P35</t>
        </is>
      </c>
      <c r="C216" s="0" t="inlineStr">
        <is>
          <t>P40</t>
        </is>
      </c>
      <c r="D216" s="0" t="n">
        <v>99</v>
      </c>
    </row>
    <row r="217">
      <c r="A217" s="0" t="inlineStr">
        <is>
          <t>SIFT1M</t>
        </is>
      </c>
      <c r="B217" s="0" t="inlineStr">
        <is>
          <t>E36</t>
        </is>
      </c>
      <c r="C217" s="0" t="inlineStr">
        <is>
          <t>E41</t>
        </is>
      </c>
      <c r="D217" s="0" t="inlineStr">
        <is>
          <t>Recall@10 (change parameters enabling different recall rate) vs. query time</t>
        </is>
      </c>
    </row>
    <row r="218">
      <c r="A218" s="0" t="inlineStr">
        <is>
          <t>SIFT1M</t>
        </is>
      </c>
      <c r="B218" s="0" t="inlineStr">
        <is>
          <t>D38</t>
        </is>
      </c>
      <c r="C218" s="0" t="inlineStr">
        <is>
          <t>D43</t>
        </is>
      </c>
      <c r="D218" s="0" t="inlineStr">
        <is>
          <t>SIFT1M</t>
        </is>
      </c>
    </row>
    <row r="219">
      <c r="A219" s="0" t="inlineStr">
        <is>
          <t>SIFT1M</t>
        </is>
      </c>
      <c r="B219" s="0" t="inlineStr">
        <is>
          <t>D39</t>
        </is>
      </c>
      <c r="C219" s="0" t="inlineStr">
        <is>
          <t>D44</t>
        </is>
      </c>
      <c r="D219" s="0" t="inlineStr">
        <is>
          <t>VLAH</t>
        </is>
      </c>
    </row>
    <row r="220">
      <c r="A220" s="0" t="inlineStr">
        <is>
          <t>SIFT1M</t>
        </is>
      </c>
      <c r="B220" s="0" t="inlineStr">
        <is>
          <t>E39</t>
        </is>
      </c>
      <c r="C220" s="0" t="inlineStr">
        <is>
          <t>E44</t>
        </is>
      </c>
      <c r="D220" s="0" t="inlineStr">
        <is>
          <t>Recall rate</t>
        </is>
      </c>
    </row>
    <row r="221">
      <c r="A221" s="0" t="inlineStr">
        <is>
          <t>SIFT1M</t>
        </is>
      </c>
      <c r="B221" s="0" t="inlineStr">
        <is>
          <t>F39</t>
        </is>
      </c>
      <c r="C221" s="0" t="inlineStr">
        <is>
          <t>F44</t>
        </is>
      </c>
      <c r="D221" s="0" t="n">
        <v>60.7</v>
      </c>
    </row>
    <row r="222">
      <c r="A222" s="0" t="inlineStr">
        <is>
          <t>SIFT1M</t>
        </is>
      </c>
      <c r="B222" s="0" t="inlineStr">
        <is>
          <t>G39</t>
        </is>
      </c>
      <c r="C222" s="0" t="inlineStr">
        <is>
          <t>G44</t>
        </is>
      </c>
      <c r="D222" s="0" t="n">
        <v>65.40000000000001</v>
      </c>
    </row>
    <row r="223">
      <c r="A223" s="0" t="inlineStr">
        <is>
          <t>SIFT1M</t>
        </is>
      </c>
      <c r="B223" s="0" t="inlineStr">
        <is>
          <t>H39</t>
        </is>
      </c>
      <c r="C223" s="0" t="inlineStr">
        <is>
          <t>H44</t>
        </is>
      </c>
      <c r="D223" s="0" t="n">
        <v>70.8</v>
      </c>
    </row>
    <row r="224">
      <c r="A224" s="0" t="inlineStr">
        <is>
          <t>SIFT1M</t>
        </is>
      </c>
      <c r="B224" s="0" t="inlineStr">
        <is>
          <t>I39</t>
        </is>
      </c>
      <c r="C224" s="0" t="inlineStr">
        <is>
          <t>I44</t>
        </is>
      </c>
      <c r="D224" s="0" t="n">
        <v>75</v>
      </c>
    </row>
    <row r="225">
      <c r="A225" s="0" t="inlineStr">
        <is>
          <t>SIFT1M</t>
        </is>
      </c>
      <c r="B225" s="0" t="inlineStr">
        <is>
          <t>J39</t>
        </is>
      </c>
      <c r="C225" s="0" t="inlineStr">
        <is>
          <t>J44</t>
        </is>
      </c>
      <c r="D225" s="0" t="n">
        <v>80</v>
      </c>
    </row>
    <row r="226">
      <c r="A226" s="0" t="inlineStr">
        <is>
          <t>SIFT1M</t>
        </is>
      </c>
      <c r="B226" s="0" t="inlineStr">
        <is>
          <t>K39</t>
        </is>
      </c>
      <c r="C226" s="0" t="inlineStr">
        <is>
          <t>K44</t>
        </is>
      </c>
      <c r="D226" s="0" t="n">
        <v>85</v>
      </c>
    </row>
    <row r="227">
      <c r="A227" s="0" t="inlineStr">
        <is>
          <t>SIFT1M</t>
        </is>
      </c>
      <c r="B227" s="0" t="inlineStr">
        <is>
          <t>L39</t>
        </is>
      </c>
      <c r="C227" s="0" t="inlineStr">
        <is>
          <t>L44</t>
        </is>
      </c>
      <c r="D227" s="0" t="n">
        <v>90.3</v>
      </c>
    </row>
    <row r="228">
      <c r="A228" s="0" t="inlineStr">
        <is>
          <t>SIFT1M</t>
        </is>
      </c>
      <c r="B228" s="0" t="inlineStr">
        <is>
          <t>M39</t>
        </is>
      </c>
      <c r="C228" s="0" t="inlineStr">
        <is>
          <t>M44</t>
        </is>
      </c>
      <c r="D228" s="0" t="n">
        <v>95.2</v>
      </c>
    </row>
    <row r="229">
      <c r="A229" s="0" t="inlineStr">
        <is>
          <t>SIFT1M</t>
        </is>
      </c>
      <c r="B229" s="0" t="inlineStr">
        <is>
          <t>N39</t>
        </is>
      </c>
      <c r="C229" s="0" t="inlineStr">
        <is>
          <t>N44</t>
        </is>
      </c>
      <c r="D229" s="0" t="n">
        <v>97.2</v>
      </c>
    </row>
    <row r="230">
      <c r="A230" s="0" t="inlineStr">
        <is>
          <t>SIFT1M</t>
        </is>
      </c>
      <c r="B230" s="0" t="inlineStr">
        <is>
          <t>O39</t>
        </is>
      </c>
      <c r="C230" s="0" t="inlineStr">
        <is>
          <t>O44</t>
        </is>
      </c>
      <c r="D230" s="0" t="n">
        <v>98</v>
      </c>
    </row>
    <row r="231">
      <c r="A231" s="0" t="inlineStr">
        <is>
          <t>SIFT1M</t>
        </is>
      </c>
      <c r="B231" s="0" t="inlineStr">
        <is>
          <t>P39</t>
        </is>
      </c>
      <c r="C231" s="0" t="inlineStr">
        <is>
          <t>P44</t>
        </is>
      </c>
      <c r="D231" s="0" t="n">
        <v>99.09999999999999</v>
      </c>
    </row>
    <row r="232">
      <c r="A232" s="0" t="inlineStr">
        <is>
          <t>SIFT1M</t>
        </is>
      </c>
      <c r="B232" s="0" t="inlineStr">
        <is>
          <t>E40</t>
        </is>
      </c>
      <c r="C232" s="0" t="inlineStr">
        <is>
          <t>E45</t>
        </is>
      </c>
      <c r="D232" s="0" t="inlineStr">
        <is>
          <t>query time</t>
        </is>
      </c>
    </row>
    <row r="233">
      <c r="A233" s="0" t="inlineStr">
        <is>
          <t>SIFT1M</t>
        </is>
      </c>
      <c r="B233" s="0" t="inlineStr">
        <is>
          <t>F40</t>
        </is>
      </c>
      <c r="C233" s="0" t="inlineStr">
        <is>
          <t>F45</t>
        </is>
      </c>
      <c r="D233" s="0" t="n">
        <v>17.0517269033333</v>
      </c>
    </row>
    <row r="234">
      <c r="A234" s="0" t="inlineStr">
        <is>
          <t>SIFT1M</t>
        </is>
      </c>
      <c r="B234" s="0" t="inlineStr">
        <is>
          <t>G40</t>
        </is>
      </c>
      <c r="C234" s="0" t="inlineStr">
        <is>
          <t>G45</t>
        </is>
      </c>
      <c r="D234" s="0" t="n">
        <v>20.2751743866667</v>
      </c>
    </row>
    <row r="235">
      <c r="A235" s="0" t="inlineStr">
        <is>
          <t>SIFT1M</t>
        </is>
      </c>
      <c r="B235" s="0" t="inlineStr">
        <is>
          <t>H40</t>
        </is>
      </c>
      <c r="C235" s="0" t="inlineStr">
        <is>
          <t>H45</t>
        </is>
      </c>
      <c r="D235" s="0" t="n">
        <v>26.32129043</v>
      </c>
    </row>
    <row r="236">
      <c r="A236" s="0" t="inlineStr">
        <is>
          <t>SIFT1M</t>
        </is>
      </c>
      <c r="B236" s="0" t="inlineStr">
        <is>
          <t>I40</t>
        </is>
      </c>
      <c r="C236" s="0" t="inlineStr">
        <is>
          <t>I45</t>
        </is>
      </c>
      <c r="D236" s="0" t="n">
        <v>29.3498243433333</v>
      </c>
    </row>
    <row r="237">
      <c r="A237" s="0" t="inlineStr">
        <is>
          <t>SIFT1M</t>
        </is>
      </c>
      <c r="B237" s="0" t="inlineStr">
        <is>
          <t>J40</t>
        </is>
      </c>
      <c r="C237" s="0" t="inlineStr">
        <is>
          <t>J45</t>
        </is>
      </c>
      <c r="D237" s="0" t="n">
        <v>36.5804762</v>
      </c>
    </row>
    <row r="238">
      <c r="A238" s="0" t="inlineStr">
        <is>
          <t>SIFT1M</t>
        </is>
      </c>
      <c r="B238" s="0" t="inlineStr">
        <is>
          <t>K40</t>
        </is>
      </c>
      <c r="C238" s="0" t="inlineStr">
        <is>
          <t>K45</t>
        </is>
      </c>
      <c r="D238" s="0" t="n">
        <v>40.9267938566667</v>
      </c>
    </row>
    <row r="239">
      <c r="A239" s="0" t="inlineStr">
        <is>
          <t>SIFT1M</t>
        </is>
      </c>
      <c r="B239" s="0" t="inlineStr">
        <is>
          <t>L40</t>
        </is>
      </c>
      <c r="C239" s="0" t="inlineStr">
        <is>
          <t>L45</t>
        </is>
      </c>
      <c r="D239" s="0" t="n">
        <v>48.2655236333333</v>
      </c>
    </row>
    <row r="240">
      <c r="A240" s="0" t="inlineStr">
        <is>
          <t>SIFT1M</t>
        </is>
      </c>
      <c r="B240" s="0" t="inlineStr">
        <is>
          <t>M40</t>
        </is>
      </c>
      <c r="C240" s="0" t="inlineStr">
        <is>
          <t>M45</t>
        </is>
      </c>
      <c r="D240" s="0" t="n">
        <v>56.3584423366667</v>
      </c>
    </row>
    <row r="241">
      <c r="A241" s="0" t="inlineStr">
        <is>
          <t>SIFT1M</t>
        </is>
      </c>
      <c r="B241" s="0" t="inlineStr">
        <is>
          <t>N40</t>
        </is>
      </c>
      <c r="C241" s="0" t="inlineStr">
        <is>
          <t>N45</t>
        </is>
      </c>
      <c r="D241" s="0" t="n">
        <v>60.5991719466667</v>
      </c>
    </row>
    <row r="242">
      <c r="A242" s="0" t="inlineStr">
        <is>
          <t>SIFT1M</t>
        </is>
      </c>
      <c r="B242" s="0" t="inlineStr">
        <is>
          <t>O40</t>
        </is>
      </c>
      <c r="C242" s="0" t="inlineStr">
        <is>
          <t>O45</t>
        </is>
      </c>
      <c r="D242" s="0" t="n">
        <v>67.77530642000001</v>
      </c>
    </row>
    <row r="243">
      <c r="A243" s="0" t="inlineStr">
        <is>
          <t>SIFT1M</t>
        </is>
      </c>
      <c r="B243" s="0" t="inlineStr">
        <is>
          <t>P40</t>
        </is>
      </c>
      <c r="C243" s="0" t="inlineStr">
        <is>
          <t>P45</t>
        </is>
      </c>
      <c r="D243" s="0" t="n">
        <v>71.5946153666667</v>
      </c>
    </row>
    <row r="244">
      <c r="A244" s="0" t="inlineStr">
        <is>
          <t>SIFT1M</t>
        </is>
      </c>
      <c r="B244" s="0" t="inlineStr">
        <is>
          <t>D41</t>
        </is>
      </c>
      <c r="C244" s="0" t="inlineStr">
        <is>
          <t>D46</t>
        </is>
      </c>
      <c r="D244" s="0" t="inlineStr">
        <is>
          <t>ANNProof</t>
        </is>
      </c>
    </row>
    <row r="245">
      <c r="A245" s="0" t="inlineStr">
        <is>
          <t>SIFT1M</t>
        </is>
      </c>
      <c r="B245" s="0" t="inlineStr">
        <is>
          <t>E41</t>
        </is>
      </c>
      <c r="C245" s="0" t="inlineStr">
        <is>
          <t>E46</t>
        </is>
      </c>
      <c r="D245" s="0" t="inlineStr">
        <is>
          <t>Recall rate</t>
        </is>
      </c>
    </row>
    <row r="246">
      <c r="A246" s="0" t="inlineStr">
        <is>
          <t>SIFT1M</t>
        </is>
      </c>
      <c r="B246" s="0" t="inlineStr">
        <is>
          <t>F41</t>
        </is>
      </c>
      <c r="C246" s="0" t="inlineStr">
        <is>
          <t>F46</t>
        </is>
      </c>
      <c r="D246" s="0" t="n">
        <v>62.1</v>
      </c>
    </row>
    <row r="247">
      <c r="A247" s="0" t="inlineStr">
        <is>
          <t>SIFT1M</t>
        </is>
      </c>
      <c r="B247" s="0" t="inlineStr">
        <is>
          <t>G41</t>
        </is>
      </c>
      <c r="C247" s="0" t="inlineStr">
        <is>
          <t>G46</t>
        </is>
      </c>
      <c r="D247" s="0" t="n">
        <v>66.7</v>
      </c>
    </row>
    <row r="248">
      <c r="A248" s="0" t="inlineStr">
        <is>
          <t>SIFT1M</t>
        </is>
      </c>
      <c r="B248" s="0" t="inlineStr">
        <is>
          <t>H41</t>
        </is>
      </c>
      <c r="C248" s="0" t="inlineStr">
        <is>
          <t>H46</t>
        </is>
      </c>
      <c r="D248" s="0" t="n">
        <v>71.59999999999999</v>
      </c>
    </row>
    <row r="249">
      <c r="A249" s="0" t="inlineStr">
        <is>
          <t>SIFT1M</t>
        </is>
      </c>
      <c r="B249" s="0" t="inlineStr">
        <is>
          <t>I41</t>
        </is>
      </c>
      <c r="C249" s="0" t="inlineStr">
        <is>
          <t>I46</t>
        </is>
      </c>
      <c r="D249" s="0" t="n">
        <v>75.59999999999999</v>
      </c>
    </row>
    <row r="250">
      <c r="A250" s="0" t="inlineStr">
        <is>
          <t>SIFT1M</t>
        </is>
      </c>
      <c r="B250" s="0" t="inlineStr">
        <is>
          <t>J41</t>
        </is>
      </c>
      <c r="C250" s="0" t="inlineStr">
        <is>
          <t>J46</t>
        </is>
      </c>
      <c r="D250" s="0" t="n">
        <v>81.40000000000001</v>
      </c>
    </row>
    <row r="251">
      <c r="A251" s="0" t="inlineStr">
        <is>
          <t>SIFT1M</t>
        </is>
      </c>
      <c r="B251" s="0" t="inlineStr">
        <is>
          <t>K41</t>
        </is>
      </c>
      <c r="C251" s="0" t="inlineStr">
        <is>
          <t>K46</t>
        </is>
      </c>
      <c r="D251" s="0" t="n">
        <v>86.5</v>
      </c>
    </row>
    <row r="252">
      <c r="A252" s="0" t="inlineStr">
        <is>
          <t>SIFT1M</t>
        </is>
      </c>
      <c r="B252" s="0" t="inlineStr">
        <is>
          <t>L41</t>
        </is>
      </c>
      <c r="C252" s="0" t="inlineStr">
        <is>
          <t>L46</t>
        </is>
      </c>
      <c r="D252" s="0" t="n">
        <v>90.2</v>
      </c>
    </row>
    <row r="253">
      <c r="A253" s="0" t="inlineStr">
        <is>
          <t>SIFT1M</t>
        </is>
      </c>
      <c r="B253" s="0" t="inlineStr">
        <is>
          <t>M41</t>
        </is>
      </c>
      <c r="C253" s="0" t="inlineStr">
        <is>
          <t>M46</t>
        </is>
      </c>
      <c r="D253" s="0" t="n">
        <v>95.09999999999999</v>
      </c>
    </row>
    <row r="254">
      <c r="A254" s="0" t="inlineStr">
        <is>
          <t>SIFT1M</t>
        </is>
      </c>
      <c r="B254" s="0" t="inlineStr">
        <is>
          <t>N41</t>
        </is>
      </c>
      <c r="C254" s="0" t="inlineStr">
        <is>
          <t>N46</t>
        </is>
      </c>
      <c r="D254" s="0" t="n">
        <v>97.3</v>
      </c>
    </row>
    <row r="255">
      <c r="A255" s="0" t="inlineStr">
        <is>
          <t>SIFT1M</t>
        </is>
      </c>
      <c r="B255" s="0" t="inlineStr">
        <is>
          <t>O41</t>
        </is>
      </c>
      <c r="C255" s="0" t="inlineStr">
        <is>
          <t>O46</t>
        </is>
      </c>
      <c r="D255" s="0" t="n">
        <v>98.09999999999999</v>
      </c>
    </row>
    <row r="256">
      <c r="A256" s="0" t="inlineStr">
        <is>
          <t>SIFT1M</t>
        </is>
      </c>
      <c r="B256" s="0" t="inlineStr">
        <is>
          <t>P41</t>
        </is>
      </c>
      <c r="C256" s="0" t="inlineStr">
        <is>
          <t>P46</t>
        </is>
      </c>
      <c r="D256" s="0" t="n">
        <v>99</v>
      </c>
    </row>
    <row r="257">
      <c r="A257" s="0" t="inlineStr">
        <is>
          <t>SIFT1M</t>
        </is>
      </c>
      <c r="B257" s="0" t="inlineStr">
        <is>
          <t>E42</t>
        </is>
      </c>
      <c r="C257" s="0" t="inlineStr">
        <is>
          <t>E47</t>
        </is>
      </c>
      <c r="D257" s="0" t="inlineStr">
        <is>
          <t>query time</t>
        </is>
      </c>
    </row>
    <row r="258">
      <c r="A258" s="0" t="inlineStr">
        <is>
          <t>SIFT1M</t>
        </is>
      </c>
      <c r="B258" s="0" t="inlineStr">
        <is>
          <t>F42</t>
        </is>
      </c>
      <c r="C258" s="0" t="inlineStr">
        <is>
          <t>F47</t>
        </is>
      </c>
      <c r="D258" s="0" t="n">
        <v>0.716869013333333</v>
      </c>
    </row>
    <row r="259">
      <c r="A259" s="0" t="inlineStr">
        <is>
          <t>SIFT1M</t>
        </is>
      </c>
      <c r="B259" s="0" t="inlineStr">
        <is>
          <t>G42</t>
        </is>
      </c>
      <c r="C259" s="0" t="inlineStr">
        <is>
          <t>G47</t>
        </is>
      </c>
      <c r="D259" s="0" t="n">
        <v>0.752639593333333</v>
      </c>
    </row>
    <row r="260">
      <c r="A260" s="0" t="inlineStr">
        <is>
          <t>SIFT1M</t>
        </is>
      </c>
      <c r="B260" s="0" t="inlineStr">
        <is>
          <t>H42</t>
        </is>
      </c>
      <c r="C260" s="0" t="inlineStr">
        <is>
          <t>H47</t>
        </is>
      </c>
      <c r="D260" s="0" t="n">
        <v>0.8841314</v>
      </c>
    </row>
    <row r="261">
      <c r="A261" s="0" t="inlineStr">
        <is>
          <t>SIFT1M</t>
        </is>
      </c>
      <c r="B261" s="0" t="inlineStr">
        <is>
          <t>I42</t>
        </is>
      </c>
      <c r="C261" s="0" t="inlineStr">
        <is>
          <t>I47</t>
        </is>
      </c>
      <c r="D261" s="0" t="n">
        <v>0.94956975</v>
      </c>
    </row>
    <row r="262">
      <c r="A262" s="0" t="inlineStr">
        <is>
          <t>SIFT1M</t>
        </is>
      </c>
      <c r="B262" s="0" t="inlineStr">
        <is>
          <t>J42</t>
        </is>
      </c>
      <c r="C262" s="0" t="inlineStr">
        <is>
          <t>J47</t>
        </is>
      </c>
      <c r="D262" s="0" t="n">
        <v>1.19981304666667</v>
      </c>
    </row>
    <row r="263">
      <c r="A263" s="0" t="inlineStr">
        <is>
          <t>SIFT1M</t>
        </is>
      </c>
      <c r="B263" s="0" t="inlineStr">
        <is>
          <t>K42</t>
        </is>
      </c>
      <c r="C263" s="0" t="inlineStr">
        <is>
          <t>K47</t>
        </is>
      </c>
      <c r="D263" s="0" t="n">
        <v>1.52797133666667</v>
      </c>
    </row>
    <row r="264">
      <c r="A264" s="0" t="inlineStr">
        <is>
          <t>SIFT1M</t>
        </is>
      </c>
      <c r="B264" s="0" t="inlineStr">
        <is>
          <t>L42</t>
        </is>
      </c>
      <c r="C264" s="0" t="inlineStr">
        <is>
          <t>L47</t>
        </is>
      </c>
      <c r="D264" s="0" t="n">
        <v>1.96009546666667</v>
      </c>
    </row>
    <row r="265">
      <c r="A265" s="0" t="inlineStr">
        <is>
          <t>SIFT1M</t>
        </is>
      </c>
      <c r="B265" s="0" t="inlineStr">
        <is>
          <t>M42</t>
        </is>
      </c>
      <c r="C265" s="0" t="inlineStr">
        <is>
          <t>M47</t>
        </is>
      </c>
      <c r="D265" s="0" t="n">
        <v>2.81582243666667</v>
      </c>
    </row>
    <row r="266">
      <c r="A266" s="0" t="inlineStr">
        <is>
          <t>SIFT1M</t>
        </is>
      </c>
      <c r="B266" s="0" t="inlineStr">
        <is>
          <t>N42</t>
        </is>
      </c>
      <c r="C266" s="0" t="inlineStr">
        <is>
          <t>N47</t>
        </is>
      </c>
      <c r="D266" s="0" t="n">
        <v>4.19542150666667</v>
      </c>
    </row>
    <row r="267">
      <c r="A267" s="0" t="inlineStr">
        <is>
          <t>SIFT1M</t>
        </is>
      </c>
      <c r="B267" s="0" t="inlineStr">
        <is>
          <t>O42</t>
        </is>
      </c>
      <c r="C267" s="0" t="inlineStr">
        <is>
          <t>O47</t>
        </is>
      </c>
      <c r="D267" s="0" t="n">
        <v>6.30232666</v>
      </c>
    </row>
    <row r="268">
      <c r="A268" s="0" t="inlineStr">
        <is>
          <t>SIFT1M</t>
        </is>
      </c>
      <c r="B268" s="0" t="inlineStr">
        <is>
          <t>P42</t>
        </is>
      </c>
      <c r="C268" s="0" t="inlineStr">
        <is>
          <t>P47</t>
        </is>
      </c>
      <c r="D268" s="0" t="n">
        <v>11.1530746866667</v>
      </c>
    </row>
    <row r="269">
      <c r="A269" s="0" t="inlineStr">
        <is>
          <t>SIFT1M</t>
        </is>
      </c>
      <c r="B269" s="0" t="inlineStr">
        <is>
          <t>D43</t>
        </is>
      </c>
      <c r="C269" s="0" t="inlineStr">
        <is>
          <t>D48</t>
        </is>
      </c>
      <c r="D269" s="0" t="inlineStr">
        <is>
          <t>Ours</t>
        </is>
      </c>
    </row>
    <row r="270">
      <c r="A270" s="0" t="inlineStr">
        <is>
          <t>SIFT1M</t>
        </is>
      </c>
      <c r="B270" s="0" t="inlineStr">
        <is>
          <t>E43</t>
        </is>
      </c>
      <c r="C270" s="0" t="inlineStr">
        <is>
          <t>E48</t>
        </is>
      </c>
      <c r="D270" s="0" t="inlineStr">
        <is>
          <t>Recall rate</t>
        </is>
      </c>
    </row>
    <row r="271">
      <c r="A271" s="0" t="inlineStr">
        <is>
          <t>SIFT1M</t>
        </is>
      </c>
      <c r="B271" s="0" t="inlineStr">
        <is>
          <t>F43</t>
        </is>
      </c>
      <c r="C271" s="0" t="inlineStr">
        <is>
          <t>F48</t>
        </is>
      </c>
      <c r="D271" s="0" t="n">
        <v>62.3</v>
      </c>
    </row>
    <row r="272">
      <c r="A272" s="0" t="inlineStr">
        <is>
          <t>SIFT1M</t>
        </is>
      </c>
      <c r="B272" s="0" t="inlineStr">
        <is>
          <t>G43</t>
        </is>
      </c>
      <c r="C272" s="0" t="inlineStr">
        <is>
          <t>G48</t>
        </is>
      </c>
      <c r="D272" s="0" t="n">
        <v>66.3</v>
      </c>
    </row>
    <row r="273">
      <c r="A273" s="0" t="inlineStr">
        <is>
          <t>SIFT1M</t>
        </is>
      </c>
      <c r="B273" s="0" t="inlineStr">
        <is>
          <t>H43</t>
        </is>
      </c>
      <c r="C273" s="0" t="inlineStr">
        <is>
          <t>H48</t>
        </is>
      </c>
      <c r="D273" s="0" t="n">
        <v>70.2</v>
      </c>
    </row>
    <row r="274">
      <c r="A274" s="0" t="inlineStr">
        <is>
          <t>SIFT1M</t>
        </is>
      </c>
      <c r="B274" s="0" t="inlineStr">
        <is>
          <t>I43</t>
        </is>
      </c>
      <c r="C274" s="0" t="inlineStr">
        <is>
          <t>I48</t>
        </is>
      </c>
      <c r="D274" s="0" t="n">
        <v>76</v>
      </c>
    </row>
    <row r="275">
      <c r="A275" s="0" t="inlineStr">
        <is>
          <t>SIFT1M</t>
        </is>
      </c>
      <c r="B275" s="0" t="inlineStr">
        <is>
          <t>J43</t>
        </is>
      </c>
      <c r="C275" s="0" t="inlineStr">
        <is>
          <t>J48</t>
        </is>
      </c>
      <c r="D275" s="0" t="n">
        <v>80.3</v>
      </c>
    </row>
    <row r="276">
      <c r="A276" s="0" t="inlineStr">
        <is>
          <t>SIFT1M</t>
        </is>
      </c>
      <c r="B276" s="0" t="inlineStr">
        <is>
          <t>K43</t>
        </is>
      </c>
      <c r="C276" s="0" t="inlineStr">
        <is>
          <t>K48</t>
        </is>
      </c>
      <c r="D276" s="0" t="n">
        <v>87.3</v>
      </c>
    </row>
    <row r="277">
      <c r="A277" s="0" t="inlineStr">
        <is>
          <t>SIFT1M</t>
        </is>
      </c>
      <c r="B277" s="0" t="inlineStr">
        <is>
          <t>L43</t>
        </is>
      </c>
      <c r="C277" s="0" t="inlineStr">
        <is>
          <t>L48</t>
        </is>
      </c>
      <c r="D277" s="0" t="n">
        <v>90.40000000000001</v>
      </c>
    </row>
    <row r="278">
      <c r="A278" s="0" t="inlineStr">
        <is>
          <t>SIFT1M</t>
        </is>
      </c>
      <c r="B278" s="0" t="inlineStr">
        <is>
          <t>M43</t>
        </is>
      </c>
      <c r="C278" s="0" t="inlineStr">
        <is>
          <t>M48</t>
        </is>
      </c>
      <c r="D278" s="0" t="n">
        <v>95.40000000000001</v>
      </c>
    </row>
    <row r="279">
      <c r="A279" s="0" t="inlineStr">
        <is>
          <t>SIFT1M</t>
        </is>
      </c>
      <c r="B279" s="0" t="inlineStr">
        <is>
          <t>N43</t>
        </is>
      </c>
      <c r="C279" s="0" t="inlineStr">
        <is>
          <t>N48</t>
        </is>
      </c>
      <c r="D279" s="0" t="n">
        <v>97.2</v>
      </c>
    </row>
    <row r="280">
      <c r="A280" s="0" t="inlineStr">
        <is>
          <t>SIFT1M</t>
        </is>
      </c>
      <c r="B280" s="0" t="inlineStr">
        <is>
          <t>O43</t>
        </is>
      </c>
      <c r="C280" s="0" t="inlineStr">
        <is>
          <t>O48</t>
        </is>
      </c>
      <c r="D280" s="0" t="n">
        <v>98.7</v>
      </c>
    </row>
    <row r="281">
      <c r="A281" s="0" t="inlineStr">
        <is>
          <t>SIFT1M</t>
        </is>
      </c>
      <c r="B281" s="0" t="inlineStr">
        <is>
          <t>P43</t>
        </is>
      </c>
      <c r="C281" s="0" t="inlineStr">
        <is>
          <t>P48</t>
        </is>
      </c>
      <c r="D281" s="0" t="n">
        <v>99</v>
      </c>
    </row>
    <row r="282">
      <c r="A282" s="0" t="inlineStr">
        <is>
          <t>SIFT1M</t>
        </is>
      </c>
      <c r="B282" s="0" t="inlineStr">
        <is>
          <t>E44</t>
        </is>
      </c>
      <c r="C282" s="0" t="inlineStr">
        <is>
          <t>E49</t>
        </is>
      </c>
      <c r="D282" s="0" t="inlineStr">
        <is>
          <t>query time</t>
        </is>
      </c>
    </row>
    <row r="283">
      <c r="A283" s="0" t="inlineStr">
        <is>
          <t>SIFT1M</t>
        </is>
      </c>
      <c r="B283" s="0" t="inlineStr">
        <is>
          <t>F44</t>
        </is>
      </c>
      <c r="C283" s="0" t="inlineStr">
        <is>
          <t>F49</t>
        </is>
      </c>
      <c r="D283" s="0" t="n">
        <v>0.615278846666667</v>
      </c>
    </row>
    <row r="284">
      <c r="A284" s="0" t="inlineStr">
        <is>
          <t>SIFT1M</t>
        </is>
      </c>
      <c r="B284" s="0" t="inlineStr">
        <is>
          <t>G44</t>
        </is>
      </c>
      <c r="C284" s="0" t="inlineStr">
        <is>
          <t>G49</t>
        </is>
      </c>
      <c r="D284" s="0" t="n">
        <v>0.658947806666667</v>
      </c>
    </row>
    <row r="285">
      <c r="A285" s="0" t="inlineStr">
        <is>
          <t>SIFT1M</t>
        </is>
      </c>
      <c r="B285" s="0" t="inlineStr">
        <is>
          <t>H44</t>
        </is>
      </c>
      <c r="C285" s="0" t="inlineStr">
        <is>
          <t>H49</t>
        </is>
      </c>
      <c r="D285" s="0" t="n">
        <v>0.77556551</v>
      </c>
    </row>
    <row r="286">
      <c r="A286" s="0" t="inlineStr">
        <is>
          <t>SIFT1M</t>
        </is>
      </c>
      <c r="B286" s="0" t="inlineStr">
        <is>
          <t>I44</t>
        </is>
      </c>
      <c r="C286" s="0" t="inlineStr">
        <is>
          <t>I49</t>
        </is>
      </c>
      <c r="D286" s="0" t="n">
        <v>0.85642335</v>
      </c>
    </row>
    <row r="287">
      <c r="A287" s="0" t="inlineStr">
        <is>
          <t>SIFT1M</t>
        </is>
      </c>
      <c r="B287" s="0" t="inlineStr">
        <is>
          <t>J44</t>
        </is>
      </c>
      <c r="C287" s="0" t="inlineStr">
        <is>
          <t>J49</t>
        </is>
      </c>
      <c r="D287" s="0" t="n">
        <v>0.9713977633333331</v>
      </c>
    </row>
    <row r="288">
      <c r="A288" s="0" t="inlineStr">
        <is>
          <t>SIFT1M</t>
        </is>
      </c>
      <c r="B288" s="0" t="inlineStr">
        <is>
          <t>K44</t>
        </is>
      </c>
      <c r="C288" s="0" t="inlineStr">
        <is>
          <t>K49</t>
        </is>
      </c>
      <c r="D288" s="0" t="n">
        <v>1.37489354333333</v>
      </c>
    </row>
    <row r="289">
      <c r="A289" s="0" t="inlineStr">
        <is>
          <t>SIFT1M</t>
        </is>
      </c>
      <c r="B289" s="0" t="inlineStr">
        <is>
          <t>L44</t>
        </is>
      </c>
      <c r="C289" s="0" t="inlineStr">
        <is>
          <t>L49</t>
        </is>
      </c>
      <c r="D289" s="0" t="n">
        <v>1.66592562666667</v>
      </c>
    </row>
    <row r="290">
      <c r="A290" s="0" t="inlineStr">
        <is>
          <t>SIFT1M</t>
        </is>
      </c>
      <c r="B290" s="0" t="inlineStr">
        <is>
          <t>M44</t>
        </is>
      </c>
      <c r="C290" s="0" t="inlineStr">
        <is>
          <t>M49</t>
        </is>
      </c>
      <c r="D290" s="0" t="n">
        <v>2.33039252333333</v>
      </c>
    </row>
    <row r="291">
      <c r="A291" s="0" t="inlineStr">
        <is>
          <t>SIFT1M</t>
        </is>
      </c>
      <c r="B291" s="0" t="inlineStr">
        <is>
          <t>N44</t>
        </is>
      </c>
      <c r="C291" s="0" t="inlineStr">
        <is>
          <t>N49</t>
        </is>
      </c>
      <c r="D291" s="0" t="n">
        <v>3.21146328333333</v>
      </c>
    </row>
    <row r="292">
      <c r="A292" s="0" t="inlineStr">
        <is>
          <t>SIFT1M</t>
        </is>
      </c>
      <c r="B292" s="0" t="inlineStr">
        <is>
          <t>O44</t>
        </is>
      </c>
      <c r="C292" s="0" t="inlineStr">
        <is>
          <t>O49</t>
        </is>
      </c>
      <c r="D292" s="0" t="n">
        <v>5.43708398</v>
      </c>
    </row>
    <row r="293">
      <c r="A293" s="0" t="inlineStr">
        <is>
          <t>SIFT1M</t>
        </is>
      </c>
      <c r="B293" s="0" t="inlineStr">
        <is>
          <t>P44</t>
        </is>
      </c>
      <c r="C293" s="0" t="inlineStr">
        <is>
          <t>P49</t>
        </is>
      </c>
      <c r="D293" s="0" t="n">
        <v>6.88074424333333</v>
      </c>
    </row>
    <row r="294">
      <c r="A294" s="0" t="inlineStr">
        <is>
          <t>SIFT1M</t>
        </is>
      </c>
      <c r="B294" s="0" t="inlineStr">
        <is>
          <t>E50</t>
        </is>
      </c>
      <c r="C294" s="0" t="inlineStr">
        <is>
          <t>E57</t>
        </is>
      </c>
      <c r="D294" s="0" t="inlineStr">
        <is>
          <t>Dataset size vs. VO size</t>
        </is>
      </c>
    </row>
    <row r="295">
      <c r="A295" s="0" t="inlineStr">
        <is>
          <t>SIFT1M</t>
        </is>
      </c>
      <c r="B295" s="0" t="inlineStr">
        <is>
          <t>D52</t>
        </is>
      </c>
      <c r="C295" s="0" t="inlineStr">
        <is>
          <t>D59</t>
        </is>
      </c>
      <c r="D295" s="0" t="inlineStr">
        <is>
          <t>BIGANN / SIFT1B prefix subsets (same source)</t>
        </is>
      </c>
    </row>
    <row r="296">
      <c r="A296" s="0" t="inlineStr">
        <is>
          <t>SIFT1M</t>
        </is>
      </c>
      <c r="B296" s="0" t="inlineStr">
        <is>
          <t>D53</t>
        </is>
      </c>
      <c r="C296" s="0" t="inlineStr">
        <is>
          <t>D60</t>
        </is>
      </c>
      <c r="D296" s="0" t="inlineStr">
        <is>
          <t>dataset size</t>
        </is>
      </c>
    </row>
    <row r="297">
      <c r="A297" s="0" t="inlineStr">
        <is>
          <t>SIFT1M</t>
        </is>
      </c>
      <c r="B297" s="0" t="inlineStr">
        <is>
          <t>F53</t>
        </is>
      </c>
      <c r="C297" s="0" t="inlineStr">
        <is>
          <t>F60</t>
        </is>
      </c>
      <c r="D297" s="0" t="inlineStr">
        <is>
          <t>10^5</t>
        </is>
      </c>
    </row>
    <row r="298">
      <c r="A298" s="0" t="inlineStr">
        <is>
          <t>SIFT1M</t>
        </is>
      </c>
      <c r="B298" s="0" t="inlineStr">
        <is>
          <t>G53</t>
        </is>
      </c>
      <c r="C298" s="0" t="inlineStr">
        <is>
          <t>G60</t>
        </is>
      </c>
      <c r="D298" s="0" t="inlineStr">
        <is>
          <t>5*10^5</t>
        </is>
      </c>
    </row>
    <row r="299">
      <c r="A299" s="0" t="inlineStr">
        <is>
          <t>SIFT1M</t>
        </is>
      </c>
      <c r="B299" s="0" t="inlineStr">
        <is>
          <t>H53</t>
        </is>
      </c>
      <c r="C299" s="0" t="inlineStr">
        <is>
          <t>H60</t>
        </is>
      </c>
      <c r="D299" s="0" t="inlineStr">
        <is>
          <t>10^6</t>
        </is>
      </c>
    </row>
    <row r="300">
      <c r="A300" s="0" t="inlineStr">
        <is>
          <t>SIFT1M</t>
        </is>
      </c>
      <c r="B300" s="0" t="inlineStr">
        <is>
          <t>I53</t>
        </is>
      </c>
      <c r="C300" s="0" t="inlineStr">
        <is>
          <t>I60</t>
        </is>
      </c>
      <c r="D300" s="0" t="inlineStr">
        <is>
          <t>5*10^6</t>
        </is>
      </c>
    </row>
    <row r="301">
      <c r="A301" s="0" t="inlineStr">
        <is>
          <t>SIFT1M</t>
        </is>
      </c>
      <c r="B301" s="0" t="inlineStr">
        <is>
          <t>J53</t>
        </is>
      </c>
      <c r="C301" s="0" t="inlineStr">
        <is>
          <t>J60</t>
        </is>
      </c>
      <c r="D301" s="0" t="inlineStr">
        <is>
          <t>10^7</t>
        </is>
      </c>
    </row>
    <row r="302">
      <c r="A302" s="0" t="inlineStr">
        <is>
          <t>SIFT1M</t>
        </is>
      </c>
      <c r="B302" s="0" t="inlineStr">
        <is>
          <t>D54</t>
        </is>
      </c>
      <c r="C302" s="0" t="inlineStr">
        <is>
          <t>D61</t>
        </is>
      </c>
      <c r="D302" s="0" t="inlineStr">
        <is>
          <t>VLAH</t>
        </is>
      </c>
    </row>
    <row r="303">
      <c r="A303" s="0" t="inlineStr">
        <is>
          <t>SIFT1M</t>
        </is>
      </c>
      <c r="B303" s="0" t="inlineStr">
        <is>
          <t>F54</t>
        </is>
      </c>
      <c r="C303" s="0" t="inlineStr">
        <is>
          <t>F61</t>
        </is>
      </c>
      <c r="D303" s="0" t="n">
        <v>3389.1896</v>
      </c>
    </row>
    <row r="304">
      <c r="A304" s="0" t="inlineStr">
        <is>
          <t>SIFT1M</t>
        </is>
      </c>
      <c r="B304" s="0" t="inlineStr">
        <is>
          <t>G54</t>
        </is>
      </c>
      <c r="C304" s="0" t="inlineStr">
        <is>
          <t>G61</t>
        </is>
      </c>
      <c r="D304" s="0" t="n">
        <v>17109.20832</v>
      </c>
    </row>
    <row r="305">
      <c r="A305" s="0" t="inlineStr">
        <is>
          <t>SIFT1M</t>
        </is>
      </c>
      <c r="B305" s="0" t="inlineStr">
        <is>
          <t>H54</t>
        </is>
      </c>
      <c r="C305" s="0" t="inlineStr">
        <is>
          <t>H61</t>
        </is>
      </c>
      <c r="D305" s="0" t="n">
        <v>34179.50512</v>
      </c>
    </row>
    <row r="306">
      <c r="A306" s="0" t="inlineStr">
        <is>
          <t>SIFT1M</t>
        </is>
      </c>
      <c r="B306" s="0" t="inlineStr">
        <is>
          <t>I54</t>
        </is>
      </c>
      <c r="C306" s="0" t="inlineStr">
        <is>
          <t>I61</t>
        </is>
      </c>
      <c r="D306" s="0" t="n">
        <v>152877.20635</v>
      </c>
    </row>
    <row r="307">
      <c r="A307" s="0" t="inlineStr">
        <is>
          <t>SIFT1M</t>
        </is>
      </c>
      <c r="B307" s="0" t="inlineStr">
        <is>
          <t>J54</t>
        </is>
      </c>
      <c r="C307" s="0" t="inlineStr">
        <is>
          <t>J61</t>
        </is>
      </c>
      <c r="D307" s="0" t="n">
        <v>339318.57888</v>
      </c>
    </row>
    <row r="308">
      <c r="A308" s="0" t="inlineStr">
        <is>
          <t>SIFT1M</t>
        </is>
      </c>
      <c r="B308" s="0" t="inlineStr">
        <is>
          <t>D55</t>
        </is>
      </c>
      <c r="C308" s="0" t="inlineStr">
        <is>
          <t>D62</t>
        </is>
      </c>
      <c r="D308" s="0" t="inlineStr">
        <is>
          <t>ANNProof</t>
        </is>
      </c>
    </row>
    <row r="309">
      <c r="A309" s="0" t="inlineStr">
        <is>
          <t>SIFT1M</t>
        </is>
      </c>
      <c r="B309" s="0" t="inlineStr">
        <is>
          <t>F55</t>
        </is>
      </c>
      <c r="C309" s="0" t="inlineStr">
        <is>
          <t>F62</t>
        </is>
      </c>
      <c r="D309" s="0" t="n">
        <v>820.23484</v>
      </c>
    </row>
    <row r="310">
      <c r="A310" s="0" t="inlineStr">
        <is>
          <t>SIFT1M</t>
        </is>
      </c>
      <c r="B310" s="0" t="inlineStr">
        <is>
          <t>G55</t>
        </is>
      </c>
      <c r="C310" s="0" t="inlineStr">
        <is>
          <t>G62</t>
        </is>
      </c>
      <c r="D310" s="0" t="n">
        <v>1030.35972</v>
      </c>
    </row>
    <row r="311">
      <c r="A311" s="0" t="inlineStr">
        <is>
          <t>SIFT1M</t>
        </is>
      </c>
      <c r="B311" s="0" t="inlineStr">
        <is>
          <t>H55</t>
        </is>
      </c>
      <c r="C311" s="0" t="inlineStr">
        <is>
          <t>H62</t>
        </is>
      </c>
      <c r="D311" s="0" t="n">
        <v>672.4858</v>
      </c>
    </row>
    <row r="312">
      <c r="A312" s="0" t="inlineStr">
        <is>
          <t>SIFT1M</t>
        </is>
      </c>
      <c r="B312" s="0" t="inlineStr">
        <is>
          <t>I55</t>
        </is>
      </c>
      <c r="C312" s="0" t="inlineStr">
        <is>
          <t>I62</t>
        </is>
      </c>
      <c r="D312" s="0" t="n">
        <v>3901.60848</v>
      </c>
    </row>
    <row r="313">
      <c r="A313" s="0" t="inlineStr">
        <is>
          <t>SIFT1M</t>
        </is>
      </c>
      <c r="B313" s="0" t="inlineStr">
        <is>
          <t>J55</t>
        </is>
      </c>
      <c r="C313" s="0" t="inlineStr">
        <is>
          <t>J62</t>
        </is>
      </c>
      <c r="D313" s="0" t="n">
        <v>4217.37468</v>
      </c>
    </row>
    <row r="314">
      <c r="A314" s="0" t="inlineStr">
        <is>
          <t>SIFT1M</t>
        </is>
      </c>
      <c r="B314" s="0" t="inlineStr">
        <is>
          <t>D56</t>
        </is>
      </c>
      <c r="C314" s="0" t="inlineStr">
        <is>
          <t>D63</t>
        </is>
      </c>
      <c r="D314" s="0" t="inlineStr">
        <is>
          <t>Ours</t>
        </is>
      </c>
    </row>
    <row r="315">
      <c r="A315" s="0" t="inlineStr">
        <is>
          <t>SIFT1M</t>
        </is>
      </c>
      <c r="B315" s="0" t="inlineStr">
        <is>
          <t>F56</t>
        </is>
      </c>
      <c r="C315" s="0" t="inlineStr">
        <is>
          <t>F63</t>
        </is>
      </c>
      <c r="D315" s="0" t="n">
        <v>113.31172</v>
      </c>
    </row>
    <row r="316">
      <c r="A316" s="0" t="inlineStr">
        <is>
          <t>SIFT1M</t>
        </is>
      </c>
      <c r="B316" s="0" t="inlineStr">
        <is>
          <t>G56</t>
        </is>
      </c>
      <c r="C316" s="0" t="inlineStr">
        <is>
          <t>G63</t>
        </is>
      </c>
      <c r="D316" s="0" t="n">
        <v>203.17924</v>
      </c>
    </row>
    <row r="317">
      <c r="A317" s="0" t="inlineStr">
        <is>
          <t>SIFT1M</t>
        </is>
      </c>
      <c r="B317" s="0" t="inlineStr">
        <is>
          <t>H56</t>
        </is>
      </c>
      <c r="C317" s="0" t="inlineStr">
        <is>
          <t>H63</t>
        </is>
      </c>
      <c r="D317" s="0" t="n">
        <v>240.95032</v>
      </c>
    </row>
    <row r="318">
      <c r="A318" s="0" t="inlineStr">
        <is>
          <t>SIFT1M</t>
        </is>
      </c>
      <c r="B318" s="0" t="inlineStr">
        <is>
          <t>I56</t>
        </is>
      </c>
      <c r="C318" s="0" t="inlineStr">
        <is>
          <t>I63</t>
        </is>
      </c>
      <c r="D318" s="0" t="n">
        <v>466.398</v>
      </c>
    </row>
    <row r="319">
      <c r="A319" s="0" t="inlineStr">
        <is>
          <t>SIFT1M</t>
        </is>
      </c>
      <c r="B319" s="0" t="inlineStr">
        <is>
          <t>J56</t>
        </is>
      </c>
      <c r="C319" s="0" t="inlineStr">
        <is>
          <t>J63</t>
        </is>
      </c>
      <c r="D319" s="0" t="n">
        <v>823.07632</v>
      </c>
    </row>
    <row r="320">
      <c r="A320" s="0" t="inlineStr">
        <is>
          <t>SIFT1M</t>
        </is>
      </c>
      <c r="B320" s="0" t="inlineStr">
        <is>
          <t>E60</t>
        </is>
      </c>
      <c r="C320" s="0" t="inlineStr">
        <is>
          <t>E68</t>
        </is>
      </c>
      <c r="D320" s="0" t="inlineStr">
        <is>
          <t>Dataset size vs. Verify time</t>
        </is>
      </c>
    </row>
    <row r="321">
      <c r="A321" s="0" t="inlineStr">
        <is>
          <t>SIFT1M</t>
        </is>
      </c>
      <c r="B321" s="0" t="inlineStr">
        <is>
          <t>D62</t>
        </is>
      </c>
      <c r="C321" s="0" t="inlineStr">
        <is>
          <t>D70</t>
        </is>
      </c>
      <c r="D321" s="0" t="inlineStr">
        <is>
          <t>BIGANN / SIFT1B prefix subsets (same source)</t>
        </is>
      </c>
    </row>
    <row r="322">
      <c r="A322" s="0" t="inlineStr">
        <is>
          <t>SIFT1M</t>
        </is>
      </c>
      <c r="B322" s="0" t="inlineStr">
        <is>
          <t>D63</t>
        </is>
      </c>
      <c r="C322" s="0" t="inlineStr">
        <is>
          <t>D71</t>
        </is>
      </c>
      <c r="D322" s="0" t="inlineStr">
        <is>
          <t>dataset size</t>
        </is>
      </c>
    </row>
    <row r="323">
      <c r="A323" s="0" t="inlineStr">
        <is>
          <t>SIFT1M</t>
        </is>
      </c>
      <c r="B323" s="0" t="inlineStr">
        <is>
          <t>F63</t>
        </is>
      </c>
      <c r="C323" s="0" t="inlineStr">
        <is>
          <t>F71</t>
        </is>
      </c>
      <c r="D323" s="0" t="inlineStr">
        <is>
          <t>10^5</t>
        </is>
      </c>
    </row>
    <row r="324">
      <c r="A324" s="0" t="inlineStr">
        <is>
          <t>SIFT1M</t>
        </is>
      </c>
      <c r="B324" s="0" t="inlineStr">
        <is>
          <t>G63</t>
        </is>
      </c>
      <c r="C324" s="0" t="inlineStr">
        <is>
          <t>G71</t>
        </is>
      </c>
      <c r="D324" s="0" t="inlineStr">
        <is>
          <t>5*10^5</t>
        </is>
      </c>
    </row>
    <row r="325">
      <c r="A325" s="0" t="inlineStr">
        <is>
          <t>SIFT1M</t>
        </is>
      </c>
      <c r="B325" s="0" t="inlineStr">
        <is>
          <t>H63</t>
        </is>
      </c>
      <c r="C325" s="0" t="inlineStr">
        <is>
          <t>H71</t>
        </is>
      </c>
      <c r="D325" s="0" t="inlineStr">
        <is>
          <t>10^6</t>
        </is>
      </c>
    </row>
    <row r="326">
      <c r="A326" s="0" t="inlineStr">
        <is>
          <t>SIFT1M</t>
        </is>
      </c>
      <c r="B326" s="0" t="inlineStr">
        <is>
          <t>I63</t>
        </is>
      </c>
      <c r="C326" s="0" t="inlineStr">
        <is>
          <t>I71</t>
        </is>
      </c>
      <c r="D326" s="0" t="inlineStr">
        <is>
          <t>5*10^6</t>
        </is>
      </c>
    </row>
    <row r="327">
      <c r="A327" s="0" t="inlineStr">
        <is>
          <t>SIFT1M</t>
        </is>
      </c>
      <c r="B327" s="0" t="inlineStr">
        <is>
          <t>J63</t>
        </is>
      </c>
      <c r="C327" s="0" t="inlineStr">
        <is>
          <t>J71</t>
        </is>
      </c>
      <c r="D327" s="0" t="inlineStr">
        <is>
          <t>10^7</t>
        </is>
      </c>
    </row>
    <row r="328">
      <c r="A328" s="0" t="inlineStr">
        <is>
          <t>SIFT1M</t>
        </is>
      </c>
      <c r="B328" s="0" t="inlineStr">
        <is>
          <t>D64</t>
        </is>
      </c>
      <c r="C328" s="0" t="inlineStr">
        <is>
          <t>D72</t>
        </is>
      </c>
      <c r="D328" s="0" t="inlineStr">
        <is>
          <t>VLAH</t>
        </is>
      </c>
    </row>
    <row r="329">
      <c r="A329" s="0" t="inlineStr">
        <is>
          <t>SIFT1M</t>
        </is>
      </c>
      <c r="B329" s="0" t="inlineStr">
        <is>
          <t>F64</t>
        </is>
      </c>
      <c r="C329" s="0" t="inlineStr">
        <is>
          <t>F72</t>
        </is>
      </c>
      <c r="D329" s="0" t="n">
        <v>22.4874884566667</v>
      </c>
    </row>
    <row r="330">
      <c r="A330" s="0" t="inlineStr">
        <is>
          <t>SIFT1M</t>
        </is>
      </c>
      <c r="B330" s="0" t="inlineStr">
        <is>
          <t>G64</t>
        </is>
      </c>
      <c r="C330" s="0" t="inlineStr">
        <is>
          <t>G72</t>
        </is>
      </c>
      <c r="D330" s="0" t="n">
        <v>116.950956503333</v>
      </c>
    </row>
    <row r="331">
      <c r="A331" s="0" t="inlineStr">
        <is>
          <t>SIFT1M</t>
        </is>
      </c>
      <c r="B331" s="0" t="inlineStr">
        <is>
          <t>H64</t>
        </is>
      </c>
      <c r="C331" s="0" t="inlineStr">
        <is>
          <t>H72</t>
        </is>
      </c>
      <c r="D331" s="0" t="n">
        <v>230.809091856667</v>
      </c>
    </row>
    <row r="332">
      <c r="A332" s="0" t="inlineStr">
        <is>
          <t>SIFT1M</t>
        </is>
      </c>
      <c r="B332" s="0" t="inlineStr">
        <is>
          <t>I64</t>
        </is>
      </c>
      <c r="C332" s="0" t="inlineStr">
        <is>
          <t>I72</t>
        </is>
      </c>
      <c r="D332" s="0" t="n">
        <v>1066.10870460667</v>
      </c>
    </row>
    <row r="333">
      <c r="A333" s="0" t="inlineStr">
        <is>
          <t>SIFT1M</t>
        </is>
      </c>
      <c r="B333" s="0" t="inlineStr">
        <is>
          <t>J64</t>
        </is>
      </c>
      <c r="C333" s="0" t="inlineStr">
        <is>
          <t>J72</t>
        </is>
      </c>
      <c r="D333" s="0" t="n">
        <v>2425.17944812</v>
      </c>
    </row>
    <row r="334">
      <c r="A334" s="0" t="inlineStr">
        <is>
          <t>SIFT1M</t>
        </is>
      </c>
      <c r="B334" s="0" t="inlineStr">
        <is>
          <t>D65</t>
        </is>
      </c>
      <c r="C334" s="0" t="inlineStr">
        <is>
          <t>D73</t>
        </is>
      </c>
      <c r="D334" s="0" t="inlineStr">
        <is>
          <t>ANNProof</t>
        </is>
      </c>
    </row>
    <row r="335">
      <c r="A335" s="0" t="inlineStr">
        <is>
          <t>SIFT1M</t>
        </is>
      </c>
      <c r="B335" s="0" t="inlineStr">
        <is>
          <t>F65</t>
        </is>
      </c>
      <c r="C335" s="0" t="inlineStr">
        <is>
          <t>F73</t>
        </is>
      </c>
      <c r="D335" s="0" t="n">
        <v>9.935137016666671</v>
      </c>
    </row>
    <row r="336">
      <c r="A336" s="0" t="inlineStr">
        <is>
          <t>SIFT1M</t>
        </is>
      </c>
      <c r="B336" s="0" t="inlineStr">
        <is>
          <t>G65</t>
        </is>
      </c>
      <c r="C336" s="0" t="inlineStr">
        <is>
          <t>G73</t>
        </is>
      </c>
      <c r="D336" s="0" t="n">
        <v>13.03742486</v>
      </c>
    </row>
    <row r="337">
      <c r="A337" s="0" t="inlineStr">
        <is>
          <t>SIFT1M</t>
        </is>
      </c>
      <c r="B337" s="0" t="inlineStr">
        <is>
          <t>H65</t>
        </is>
      </c>
      <c r="C337" s="0" t="inlineStr">
        <is>
          <t>H73</t>
        </is>
      </c>
      <c r="D337" s="0" t="n">
        <v>8.46944842666667</v>
      </c>
    </row>
    <row r="338">
      <c r="A338" s="0" t="inlineStr">
        <is>
          <t>SIFT1M</t>
        </is>
      </c>
      <c r="B338" s="0" t="inlineStr">
        <is>
          <t>I65</t>
        </is>
      </c>
      <c r="C338" s="0" t="inlineStr">
        <is>
          <t>I73</t>
        </is>
      </c>
      <c r="D338" s="0" t="n">
        <v>49.6618084833333</v>
      </c>
    </row>
    <row r="339">
      <c r="A339" s="0" t="inlineStr">
        <is>
          <t>SIFT1M</t>
        </is>
      </c>
      <c r="B339" s="0" t="inlineStr">
        <is>
          <t>J65</t>
        </is>
      </c>
      <c r="C339" s="0" t="inlineStr">
        <is>
          <t>J73</t>
        </is>
      </c>
      <c r="D339" s="0" t="n">
        <v>52.7983577033333</v>
      </c>
    </row>
    <row r="340">
      <c r="A340" s="0" t="inlineStr">
        <is>
          <t>SIFT1M</t>
        </is>
      </c>
      <c r="B340" s="0" t="inlineStr">
        <is>
          <t>D66</t>
        </is>
      </c>
      <c r="C340" s="0" t="inlineStr">
        <is>
          <t>D74</t>
        </is>
      </c>
      <c r="D340" s="0" t="inlineStr">
        <is>
          <t>Ours</t>
        </is>
      </c>
    </row>
    <row r="341">
      <c r="A341" s="0" t="inlineStr">
        <is>
          <t>SIFT1M</t>
        </is>
      </c>
      <c r="B341" s="0" t="inlineStr">
        <is>
          <t>F66</t>
        </is>
      </c>
      <c r="C341" s="0" t="inlineStr">
        <is>
          <t>F74</t>
        </is>
      </c>
      <c r="D341" s="0" t="n">
        <v>2.21916620333333</v>
      </c>
    </row>
    <row r="342">
      <c r="A342" s="0" t="inlineStr">
        <is>
          <t>SIFT1M</t>
        </is>
      </c>
      <c r="B342" s="0" t="inlineStr">
        <is>
          <t>G66</t>
        </is>
      </c>
      <c r="C342" s="0" t="inlineStr">
        <is>
          <t>G74</t>
        </is>
      </c>
      <c r="D342" s="0" t="n">
        <v>4.03459994</v>
      </c>
    </row>
    <row r="343">
      <c r="A343" s="0" t="inlineStr">
        <is>
          <t>SIFT1M</t>
        </is>
      </c>
      <c r="B343" s="0" t="inlineStr">
        <is>
          <t>H66</t>
        </is>
      </c>
      <c r="C343" s="0" t="inlineStr">
        <is>
          <t>H74</t>
        </is>
      </c>
      <c r="D343" s="0" t="n">
        <v>4.82873155666667</v>
      </c>
    </row>
    <row r="344">
      <c r="A344" s="0" t="inlineStr">
        <is>
          <t>SIFT1M</t>
        </is>
      </c>
      <c r="B344" s="0" t="inlineStr">
        <is>
          <t>I66</t>
        </is>
      </c>
      <c r="C344" s="0" t="inlineStr">
        <is>
          <t>I74</t>
        </is>
      </c>
      <c r="D344" s="0" t="n">
        <v>9.642151933333331</v>
      </c>
    </row>
    <row r="345">
      <c r="A345" s="0" t="inlineStr">
        <is>
          <t>SIFT1M</t>
        </is>
      </c>
      <c r="B345" s="0" t="inlineStr">
        <is>
          <t>J66</t>
        </is>
      </c>
      <c r="C345" s="0" t="inlineStr">
        <is>
          <t>J74</t>
        </is>
      </c>
      <c r="D345" s="0" t="n">
        <v>17.2410478166667</v>
      </c>
    </row>
    <row r="346">
      <c r="A346" s="0" t="inlineStr">
        <is>
          <t>SIFT1M</t>
        </is>
      </c>
      <c r="B346" s="0" t="inlineStr">
        <is>
          <t>E69</t>
        </is>
      </c>
      <c r="C346" s="0" t="inlineStr">
        <is>
          <t>E78</t>
        </is>
      </c>
      <c r="D346" s="0" t="inlineStr">
        <is>
          <t>Dataset size vs. query time</t>
        </is>
      </c>
    </row>
    <row r="347">
      <c r="A347" s="0" t="inlineStr">
        <is>
          <t>SIFT1M</t>
        </is>
      </c>
      <c r="B347" s="0" t="inlineStr">
        <is>
          <t>D71</t>
        </is>
      </c>
      <c r="C347" s="0" t="inlineStr">
        <is>
          <t>D80</t>
        </is>
      </c>
      <c r="D347" s="0" t="inlineStr">
        <is>
          <t>BIGANN / SIFT1B prefix subsets (same source)</t>
        </is>
      </c>
    </row>
    <row r="348">
      <c r="A348" s="0" t="inlineStr">
        <is>
          <t>SIFT1M</t>
        </is>
      </c>
      <c r="B348" s="0" t="inlineStr">
        <is>
          <t>D72</t>
        </is>
      </c>
      <c r="C348" s="0" t="inlineStr">
        <is>
          <t>D81</t>
        </is>
      </c>
      <c r="D348" s="0" t="inlineStr">
        <is>
          <t>dataset size</t>
        </is>
      </c>
    </row>
    <row r="349">
      <c r="A349" s="0" t="inlineStr">
        <is>
          <t>SIFT1M</t>
        </is>
      </c>
      <c r="B349" s="0" t="inlineStr">
        <is>
          <t>F72</t>
        </is>
      </c>
      <c r="C349" s="0" t="inlineStr">
        <is>
          <t>F81</t>
        </is>
      </c>
      <c r="D349" s="0" t="inlineStr">
        <is>
          <t>10^5</t>
        </is>
      </c>
    </row>
    <row r="350">
      <c r="A350" s="0" t="inlineStr">
        <is>
          <t>SIFT1M</t>
        </is>
      </c>
      <c r="B350" s="0" t="inlineStr">
        <is>
          <t>G72</t>
        </is>
      </c>
      <c r="C350" s="0" t="inlineStr">
        <is>
          <t>G81</t>
        </is>
      </c>
      <c r="D350" s="0" t="inlineStr">
        <is>
          <t>5*10^5</t>
        </is>
      </c>
    </row>
    <row r="351">
      <c r="A351" s="0" t="inlineStr">
        <is>
          <t>SIFT1M</t>
        </is>
      </c>
      <c r="B351" s="0" t="inlineStr">
        <is>
          <t>H72</t>
        </is>
      </c>
      <c r="C351" s="0" t="inlineStr">
        <is>
          <t>H81</t>
        </is>
      </c>
      <c r="D351" s="0" t="inlineStr">
        <is>
          <t>10^6</t>
        </is>
      </c>
    </row>
    <row r="352">
      <c r="A352" s="0" t="inlineStr">
        <is>
          <t>SIFT1M</t>
        </is>
      </c>
      <c r="B352" s="0" t="inlineStr">
        <is>
          <t>I72</t>
        </is>
      </c>
      <c r="C352" s="0" t="inlineStr">
        <is>
          <t>I81</t>
        </is>
      </c>
      <c r="D352" s="0" t="inlineStr">
        <is>
          <t>5*10^6</t>
        </is>
      </c>
    </row>
    <row r="353">
      <c r="A353" s="0" t="inlineStr">
        <is>
          <t>SIFT1M</t>
        </is>
      </c>
      <c r="B353" s="0" t="inlineStr">
        <is>
          <t>J72</t>
        </is>
      </c>
      <c r="C353" s="0" t="inlineStr">
        <is>
          <t>J81</t>
        </is>
      </c>
      <c r="D353" s="0" t="inlineStr">
        <is>
          <t>10^7</t>
        </is>
      </c>
    </row>
    <row r="354">
      <c r="A354" s="0" t="inlineStr">
        <is>
          <t>SIFT1M</t>
        </is>
      </c>
      <c r="B354" s="0" t="inlineStr">
        <is>
          <t>D73</t>
        </is>
      </c>
      <c r="C354" s="0" t="inlineStr">
        <is>
          <t>D82</t>
        </is>
      </c>
      <c r="D354" s="0" t="inlineStr">
        <is>
          <t>VLAH</t>
        </is>
      </c>
    </row>
    <row r="355">
      <c r="A355" s="0" t="inlineStr">
        <is>
          <t>SIFT1M</t>
        </is>
      </c>
      <c r="B355" s="0" t="inlineStr">
        <is>
          <t>F73</t>
        </is>
      </c>
      <c r="C355" s="0" t="inlineStr">
        <is>
          <t>F82</t>
        </is>
      </c>
      <c r="D355" s="0" t="n">
        <v>8.40188443666667</v>
      </c>
    </row>
    <row r="356">
      <c r="A356" s="0" t="inlineStr">
        <is>
          <t>SIFT1M</t>
        </is>
      </c>
      <c r="B356" s="0" t="inlineStr">
        <is>
          <t>G73</t>
        </is>
      </c>
      <c r="C356" s="0" t="inlineStr">
        <is>
          <t>G82</t>
        </is>
      </c>
      <c r="D356" s="0" t="n">
        <v>43.8086204166667</v>
      </c>
    </row>
    <row r="357">
      <c r="A357" s="0" t="inlineStr">
        <is>
          <t>SIFT1M</t>
        </is>
      </c>
      <c r="B357" s="0" t="inlineStr">
        <is>
          <t>H73</t>
        </is>
      </c>
      <c r="C357" s="0" t="inlineStr">
        <is>
          <t>H82</t>
        </is>
      </c>
      <c r="D357" s="0" t="n">
        <v>93.36335403333329</v>
      </c>
    </row>
    <row r="358">
      <c r="A358" s="0" t="inlineStr">
        <is>
          <t>SIFT1M</t>
        </is>
      </c>
      <c r="B358" s="0" t="inlineStr">
        <is>
          <t>I73</t>
        </is>
      </c>
      <c r="C358" s="0" t="inlineStr">
        <is>
          <t>I82</t>
        </is>
      </c>
      <c r="D358" s="0" t="n">
        <v>455.972351206667</v>
      </c>
    </row>
    <row r="359">
      <c r="A359" s="0" t="inlineStr">
        <is>
          <t>SIFT1M</t>
        </is>
      </c>
      <c r="B359" s="0" t="inlineStr">
        <is>
          <t>J73</t>
        </is>
      </c>
      <c r="C359" s="0" t="inlineStr">
        <is>
          <t>J82</t>
        </is>
      </c>
      <c r="D359" s="0" t="n">
        <v>1035.94241575667</v>
      </c>
    </row>
    <row r="360">
      <c r="A360" s="0" t="inlineStr">
        <is>
          <t>SIFT1M</t>
        </is>
      </c>
      <c r="B360" s="0" t="inlineStr">
        <is>
          <t>D74</t>
        </is>
      </c>
      <c r="C360" s="0" t="inlineStr">
        <is>
          <t>D83</t>
        </is>
      </c>
      <c r="D360" s="0" t="inlineStr">
        <is>
          <t>ANNProof</t>
        </is>
      </c>
    </row>
    <row r="361">
      <c r="A361" s="0" t="inlineStr">
        <is>
          <t>SIFT1M</t>
        </is>
      </c>
      <c r="B361" s="0" t="inlineStr">
        <is>
          <t>F74</t>
        </is>
      </c>
      <c r="C361" s="0" t="inlineStr">
        <is>
          <t>F83</t>
        </is>
      </c>
      <c r="D361" s="0" t="n">
        <v>2.12258813</v>
      </c>
    </row>
    <row r="362">
      <c r="A362" s="0" t="inlineStr">
        <is>
          <t>SIFT1M</t>
        </is>
      </c>
      <c r="B362" s="0" t="inlineStr">
        <is>
          <t>G74</t>
        </is>
      </c>
      <c r="C362" s="0" t="inlineStr">
        <is>
          <t>G83</t>
        </is>
      </c>
      <c r="D362" s="0" t="n">
        <v>2.72643945666667</v>
      </c>
    </row>
    <row r="363">
      <c r="A363" s="0" t="inlineStr">
        <is>
          <t>SIFT1M</t>
        </is>
      </c>
      <c r="B363" s="0" t="inlineStr">
        <is>
          <t>H74</t>
        </is>
      </c>
      <c r="C363" s="0" t="inlineStr">
        <is>
          <t>H83</t>
        </is>
      </c>
      <c r="D363" s="0" t="n">
        <v>1.68453729666667</v>
      </c>
    </row>
    <row r="364">
      <c r="A364" s="0" t="inlineStr">
        <is>
          <t>SIFT1M</t>
        </is>
      </c>
      <c r="B364" s="0" t="inlineStr">
        <is>
          <t>I74</t>
        </is>
      </c>
      <c r="C364" s="0" t="inlineStr">
        <is>
          <t>I83</t>
        </is>
      </c>
      <c r="D364" s="0" t="n">
        <v>11.3474714766667</v>
      </c>
    </row>
    <row r="365">
      <c r="A365" s="0" t="inlineStr">
        <is>
          <t>SIFT1M</t>
        </is>
      </c>
      <c r="B365" s="0" t="inlineStr">
        <is>
          <t>J74</t>
        </is>
      </c>
      <c r="C365" s="0" t="inlineStr">
        <is>
          <t>J83</t>
        </is>
      </c>
      <c r="D365" s="0" t="n">
        <v>13.0801662666667</v>
      </c>
    </row>
    <row r="366">
      <c r="A366" s="0" t="inlineStr">
        <is>
          <t>SIFT1M</t>
        </is>
      </c>
      <c r="B366" s="0" t="inlineStr">
        <is>
          <t>D75</t>
        </is>
      </c>
      <c r="C366" s="0" t="inlineStr">
        <is>
          <t>D84</t>
        </is>
      </c>
      <c r="D366" s="0" t="inlineStr">
        <is>
          <t>Ours</t>
        </is>
      </c>
    </row>
    <row r="367">
      <c r="A367" s="0" t="inlineStr">
        <is>
          <t>SIFT1M</t>
        </is>
      </c>
      <c r="B367" s="0" t="inlineStr">
        <is>
          <t>F75</t>
        </is>
      </c>
      <c r="C367" s="0" t="inlineStr">
        <is>
          <t>F84</t>
        </is>
      </c>
      <c r="D367" s="0" t="n">
        <v>0.97129939</v>
      </c>
    </row>
    <row r="368">
      <c r="A368" s="0" t="inlineStr">
        <is>
          <t>SIFT1M</t>
        </is>
      </c>
      <c r="B368" s="0" t="inlineStr">
        <is>
          <t>G75</t>
        </is>
      </c>
      <c r="C368" s="0" t="inlineStr">
        <is>
          <t>G84</t>
        </is>
      </c>
      <c r="D368" s="0" t="n">
        <v>1.98728941666667</v>
      </c>
    </row>
    <row r="369">
      <c r="A369" s="0" t="inlineStr">
        <is>
          <t>SIFT1M</t>
        </is>
      </c>
      <c r="B369" s="0" t="inlineStr">
        <is>
          <t>H75</t>
        </is>
      </c>
      <c r="C369" s="0" t="inlineStr">
        <is>
          <t>H84</t>
        </is>
      </c>
      <c r="D369" s="0" t="n">
        <v>2.48054105666667</v>
      </c>
    </row>
    <row r="370">
      <c r="A370" s="0" t="inlineStr">
        <is>
          <t>SIFT1M</t>
        </is>
      </c>
      <c r="B370" s="0" t="inlineStr">
        <is>
          <t>I75</t>
        </is>
      </c>
      <c r="C370" s="0" t="inlineStr">
        <is>
          <t>I84</t>
        </is>
      </c>
      <c r="D370" s="0" t="n">
        <v>5.62847572</v>
      </c>
    </row>
    <row r="371">
      <c r="A371" s="0" t="inlineStr">
        <is>
          <t>SIFT1M</t>
        </is>
      </c>
      <c r="B371" s="0" t="inlineStr">
        <is>
          <t>J75</t>
        </is>
      </c>
      <c r="C371" s="0" t="inlineStr">
        <is>
          <t>J84</t>
        </is>
      </c>
      <c r="D371" s="0" t="n">
        <v>10.7202669733333</v>
      </c>
    </row>
    <row r="372">
      <c r="A372" s="0" t="inlineStr">
        <is>
          <t>SIFT1M</t>
        </is>
      </c>
      <c r="B372" s="0" t="inlineStr">
        <is>
          <t>E80</t>
        </is>
      </c>
      <c r="C372" s="0" t="inlineStr">
        <is>
          <t>E90</t>
        </is>
      </c>
      <c r="D372" s="0" t="inlineStr">
        <is>
          <t>K vs. VO size (actual Recall@K logged)</t>
        </is>
      </c>
    </row>
    <row r="373">
      <c r="A373" s="0" t="inlineStr">
        <is>
          <t>SIFT1M</t>
        </is>
      </c>
      <c r="B373" s="0" t="inlineStr">
        <is>
          <t>D82</t>
        </is>
      </c>
      <c r="C373" s="0" t="inlineStr">
        <is>
          <t>D92</t>
        </is>
      </c>
      <c r="D373" s="0" t="inlineStr">
        <is>
          <t>SIFT1M</t>
        </is>
      </c>
    </row>
    <row r="374">
      <c r="A374" s="0" t="inlineStr">
        <is>
          <t>SIFT1M</t>
        </is>
      </c>
      <c r="B374" s="0" t="inlineStr">
        <is>
          <t>D83</t>
        </is>
      </c>
      <c r="C374" s="0" t="inlineStr">
        <is>
          <t>D93</t>
        </is>
      </c>
      <c r="D374" s="0" t="inlineStr">
        <is>
          <t>K</t>
        </is>
      </c>
    </row>
    <row r="375">
      <c r="A375" s="0" t="inlineStr">
        <is>
          <t>SIFT1M</t>
        </is>
      </c>
      <c r="B375" s="0" t="inlineStr">
        <is>
          <t>F83</t>
        </is>
      </c>
      <c r="C375" s="0" t="inlineStr">
        <is>
          <t>F93</t>
        </is>
      </c>
      <c r="D375" s="0" t="n">
        <v>1</v>
      </c>
    </row>
    <row r="376">
      <c r="A376" s="0" t="inlineStr">
        <is>
          <t>SIFT1M</t>
        </is>
      </c>
      <c r="B376" s="0" t="inlineStr">
        <is>
          <t>G83</t>
        </is>
      </c>
      <c r="C376" s="0" t="inlineStr">
        <is>
          <t>G93</t>
        </is>
      </c>
      <c r="D376" s="0" t="n">
        <v>5</v>
      </c>
    </row>
    <row r="377">
      <c r="A377" s="0" t="inlineStr">
        <is>
          <t>SIFT1M</t>
        </is>
      </c>
      <c r="B377" s="0" t="inlineStr">
        <is>
          <t>H83</t>
        </is>
      </c>
      <c r="C377" s="0" t="inlineStr">
        <is>
          <t>H93</t>
        </is>
      </c>
      <c r="D377" s="0" t="n">
        <v>10</v>
      </c>
    </row>
    <row r="378">
      <c r="A378" s="0" t="inlineStr">
        <is>
          <t>SIFT1M</t>
        </is>
      </c>
      <c r="B378" s="0" t="inlineStr">
        <is>
          <t>I83</t>
        </is>
      </c>
      <c r="C378" s="0" t="inlineStr">
        <is>
          <t>I93</t>
        </is>
      </c>
      <c r="D378" s="0" t="n">
        <v>20</v>
      </c>
    </row>
    <row r="379">
      <c r="A379" s="0" t="inlineStr">
        <is>
          <t>SIFT1M</t>
        </is>
      </c>
      <c r="B379" s="0" t="inlineStr">
        <is>
          <t>J83</t>
        </is>
      </c>
      <c r="C379" s="0" t="inlineStr">
        <is>
          <t>J93</t>
        </is>
      </c>
      <c r="D379" s="0" t="n">
        <v>50</v>
      </c>
    </row>
    <row r="380">
      <c r="A380" s="0" t="inlineStr">
        <is>
          <t>SIFT1M</t>
        </is>
      </c>
      <c r="B380" s="0" t="inlineStr">
        <is>
          <t>K83</t>
        </is>
      </c>
      <c r="C380" s="0" t="inlineStr">
        <is>
          <t>K93</t>
        </is>
      </c>
      <c r="D380" s="0" t="n">
        <v>100</v>
      </c>
    </row>
    <row r="381">
      <c r="A381" s="0" t="inlineStr">
        <is>
          <t>SIFT1M</t>
        </is>
      </c>
      <c r="B381" s="0" t="inlineStr">
        <is>
          <t>D84</t>
        </is>
      </c>
      <c r="C381" s="0" t="inlineStr">
        <is>
          <t>D94</t>
        </is>
      </c>
      <c r="D381" s="0" t="inlineStr">
        <is>
          <t>VLAH</t>
        </is>
      </c>
    </row>
    <row r="382">
      <c r="A382" s="0" t="inlineStr">
        <is>
          <t>SIFT1M</t>
        </is>
      </c>
      <c r="B382" s="0" t="inlineStr">
        <is>
          <t>F84</t>
        </is>
      </c>
      <c r="C382" s="0" t="inlineStr">
        <is>
          <t>F94</t>
        </is>
      </c>
      <c r="D382" s="0" t="n">
        <v>23604.55777</v>
      </c>
    </row>
    <row r="383">
      <c r="A383" s="0" t="inlineStr">
        <is>
          <t>SIFT1M</t>
        </is>
      </c>
      <c r="B383" s="0" t="inlineStr">
        <is>
          <t>G84</t>
        </is>
      </c>
      <c r="C383" s="0" t="inlineStr">
        <is>
          <t>G94</t>
        </is>
      </c>
      <c r="D383" s="0" t="n">
        <v>23604.57377</v>
      </c>
    </row>
    <row r="384">
      <c r="A384" s="0" t="inlineStr">
        <is>
          <t>SIFT1M</t>
        </is>
      </c>
      <c r="B384" s="0" t="inlineStr">
        <is>
          <t>H84</t>
        </is>
      </c>
      <c r="C384" s="0" t="inlineStr">
        <is>
          <t>H94</t>
        </is>
      </c>
      <c r="D384" s="0" t="n">
        <v>23604.59377</v>
      </c>
    </row>
    <row r="385">
      <c r="A385" s="0" t="inlineStr">
        <is>
          <t>SIFT1M</t>
        </is>
      </c>
      <c r="B385" s="0" t="inlineStr">
        <is>
          <t>I84</t>
        </is>
      </c>
      <c r="C385" s="0" t="inlineStr">
        <is>
          <t>I94</t>
        </is>
      </c>
      <c r="D385" s="0" t="n">
        <v>23604.63377</v>
      </c>
    </row>
    <row r="386">
      <c r="A386" s="0" t="inlineStr">
        <is>
          <t>SIFT1M</t>
        </is>
      </c>
      <c r="B386" s="0" t="inlineStr">
        <is>
          <t>J84</t>
        </is>
      </c>
      <c r="C386" s="0" t="inlineStr">
        <is>
          <t>J94</t>
        </is>
      </c>
      <c r="D386" s="0" t="n">
        <v>23604.75377</v>
      </c>
    </row>
    <row r="387">
      <c r="A387" s="0" t="inlineStr">
        <is>
          <t>SIFT1M</t>
        </is>
      </c>
      <c r="B387" s="0" t="inlineStr">
        <is>
          <t>K84</t>
        </is>
      </c>
      <c r="C387" s="0" t="inlineStr">
        <is>
          <t>K94</t>
        </is>
      </c>
      <c r="D387" s="0" t="n">
        <v>23604.95377</v>
      </c>
    </row>
    <row r="388">
      <c r="A388" s="0" t="inlineStr">
        <is>
          <t>SIFT1M</t>
        </is>
      </c>
      <c r="B388" s="0" t="inlineStr">
        <is>
          <t>D85</t>
        </is>
      </c>
      <c r="C388" s="0" t="inlineStr">
        <is>
          <t>D95</t>
        </is>
      </c>
      <c r="D388" s="0" t="inlineStr">
        <is>
          <t>ANNProof</t>
        </is>
      </c>
    </row>
    <row r="389">
      <c r="A389" s="0" t="inlineStr">
        <is>
          <t>SIFT1M</t>
        </is>
      </c>
      <c r="B389" s="0" t="inlineStr">
        <is>
          <t>F85</t>
        </is>
      </c>
      <c r="C389" s="0" t="inlineStr">
        <is>
          <t>F95</t>
        </is>
      </c>
      <c r="D389" s="0" t="n">
        <v>1066.37392</v>
      </c>
    </row>
    <row r="390">
      <c r="A390" s="0" t="inlineStr">
        <is>
          <t>SIFT1M</t>
        </is>
      </c>
      <c r="B390" s="0" t="inlineStr">
        <is>
          <t>G85</t>
        </is>
      </c>
      <c r="C390" s="0" t="inlineStr">
        <is>
          <t>G95</t>
        </is>
      </c>
      <c r="D390" s="0" t="n">
        <v>1068.47552</v>
      </c>
    </row>
    <row r="391">
      <c r="A391" s="0" t="inlineStr">
        <is>
          <t>SIFT1M</t>
        </is>
      </c>
      <c r="B391" s="0" t="inlineStr">
        <is>
          <t>H85</t>
        </is>
      </c>
      <c r="C391" s="0" t="inlineStr">
        <is>
          <t>H95</t>
        </is>
      </c>
      <c r="D391" s="0" t="n">
        <v>1071.01752</v>
      </c>
    </row>
    <row r="392">
      <c r="A392" s="0" t="inlineStr">
        <is>
          <t>SIFT1M</t>
        </is>
      </c>
      <c r="B392" s="0" t="inlineStr">
        <is>
          <t>I85</t>
        </is>
      </c>
      <c r="C392" s="0" t="inlineStr">
        <is>
          <t>I95</t>
        </is>
      </c>
      <c r="D392" s="0" t="n">
        <v>1075.92512</v>
      </c>
    </row>
    <row r="393">
      <c r="A393" s="0" t="inlineStr">
        <is>
          <t>SIFT1M</t>
        </is>
      </c>
      <c r="B393" s="0" t="inlineStr">
        <is>
          <t>J85</t>
        </is>
      </c>
      <c r="C393" s="0" t="inlineStr">
        <is>
          <t>J95</t>
        </is>
      </c>
      <c r="D393" s="0" t="n">
        <v>1089.86992</v>
      </c>
    </row>
    <row r="394">
      <c r="A394" s="0" t="inlineStr">
        <is>
          <t>SIFT1M</t>
        </is>
      </c>
      <c r="B394" s="0" t="inlineStr">
        <is>
          <t>K85</t>
        </is>
      </c>
      <c r="C394" s="0" t="inlineStr">
        <is>
          <t>K95</t>
        </is>
      </c>
      <c r="D394" s="0" t="n">
        <v>1111.02832</v>
      </c>
    </row>
    <row r="395">
      <c r="A395" s="0" t="inlineStr">
        <is>
          <t>SIFT1M</t>
        </is>
      </c>
      <c r="B395" s="0" t="inlineStr">
        <is>
          <t>D86</t>
        </is>
      </c>
      <c r="C395" s="0" t="inlineStr">
        <is>
          <t>D96</t>
        </is>
      </c>
      <c r="D395" s="0" t="inlineStr">
        <is>
          <t>Ours</t>
        </is>
      </c>
    </row>
    <row r="396">
      <c r="A396" s="0" t="inlineStr">
        <is>
          <t>SIFT1M</t>
        </is>
      </c>
      <c r="B396" s="0" t="inlineStr">
        <is>
          <t>F86</t>
        </is>
      </c>
      <c r="C396" s="0" t="inlineStr">
        <is>
          <t>F96</t>
        </is>
      </c>
      <c r="D396" s="0" t="n">
        <v>167.24012</v>
      </c>
    </row>
    <row r="397">
      <c r="A397" s="0" t="inlineStr">
        <is>
          <t>SIFT1M</t>
        </is>
      </c>
      <c r="B397" s="0" t="inlineStr">
        <is>
          <t>G86</t>
        </is>
      </c>
      <c r="C397" s="0" t="inlineStr">
        <is>
          <t>G96</t>
        </is>
      </c>
      <c r="D397" s="0" t="n">
        <v>206.25892</v>
      </c>
    </row>
    <row r="398">
      <c r="A398" s="0" t="inlineStr">
        <is>
          <t>SIFT1M</t>
        </is>
      </c>
      <c r="B398" s="0" t="inlineStr">
        <is>
          <t>H86</t>
        </is>
      </c>
      <c r="C398" s="0" t="inlineStr">
        <is>
          <t>H96</t>
        </is>
      </c>
      <c r="D398" s="0" t="n">
        <v>236.02116</v>
      </c>
    </row>
    <row r="399">
      <c r="A399" s="0" t="inlineStr">
        <is>
          <t>SIFT1M</t>
        </is>
      </c>
      <c r="B399" s="0" t="inlineStr">
        <is>
          <t>I86</t>
        </is>
      </c>
      <c r="C399" s="0" t="inlineStr">
        <is>
          <t>I96</t>
        </is>
      </c>
      <c r="D399" s="0" t="n">
        <v>276.68988</v>
      </c>
    </row>
    <row r="400">
      <c r="A400" s="0" t="inlineStr">
        <is>
          <t>SIFT1M</t>
        </is>
      </c>
      <c r="B400" s="0" t="inlineStr">
        <is>
          <t>J86</t>
        </is>
      </c>
      <c r="C400" s="0" t="inlineStr">
        <is>
          <t>J96</t>
        </is>
      </c>
      <c r="D400" s="0" t="n">
        <v>358.24828</v>
      </c>
    </row>
    <row r="401">
      <c r="A401" s="0" t="inlineStr">
        <is>
          <t>SIFT1M</t>
        </is>
      </c>
      <c r="B401" s="0" t="inlineStr">
        <is>
          <t>K86</t>
        </is>
      </c>
      <c r="C401" s="0" t="inlineStr">
        <is>
          <t>K96</t>
        </is>
      </c>
      <c r="D401" s="0" t="n">
        <v>454.3086</v>
      </c>
    </row>
    <row r="402">
      <c r="A402" s="0" t="inlineStr">
        <is>
          <t>SIFT1M</t>
        </is>
      </c>
      <c r="B402" s="0" t="inlineStr">
        <is>
          <t>E90</t>
        </is>
      </c>
      <c r="C402" s="0" t="inlineStr">
        <is>
          <t>E101</t>
        </is>
      </c>
      <c r="D402" s="0" t="inlineStr">
        <is>
          <t>K vs. Verify time</t>
        </is>
      </c>
    </row>
    <row r="403">
      <c r="A403" s="0" t="inlineStr">
        <is>
          <t>SIFT1M</t>
        </is>
      </c>
      <c r="B403" s="0" t="inlineStr">
        <is>
          <t>D92</t>
        </is>
      </c>
      <c r="C403" s="0" t="inlineStr">
        <is>
          <t>D103</t>
        </is>
      </c>
      <c r="D403" s="0" t="inlineStr">
        <is>
          <t>SIFT1M</t>
        </is>
      </c>
    </row>
    <row r="404">
      <c r="A404" s="0" t="inlineStr">
        <is>
          <t>SIFT1M</t>
        </is>
      </c>
      <c r="B404" s="0" t="inlineStr">
        <is>
          <t>D93</t>
        </is>
      </c>
      <c r="C404" s="0" t="inlineStr">
        <is>
          <t>D104</t>
        </is>
      </c>
      <c r="D404" s="0" t="inlineStr">
        <is>
          <t>K</t>
        </is>
      </c>
    </row>
    <row r="405">
      <c r="A405" s="0" t="inlineStr">
        <is>
          <t>SIFT1M</t>
        </is>
      </c>
      <c r="B405" s="0" t="inlineStr">
        <is>
          <t>F93</t>
        </is>
      </c>
      <c r="C405" s="0" t="inlineStr">
        <is>
          <t>F104</t>
        </is>
      </c>
      <c r="D405" s="0" t="n">
        <v>1</v>
      </c>
    </row>
    <row r="406">
      <c r="A406" s="0" t="inlineStr">
        <is>
          <t>SIFT1M</t>
        </is>
      </c>
      <c r="B406" s="0" t="inlineStr">
        <is>
          <t>G93</t>
        </is>
      </c>
      <c r="C406" s="0" t="inlineStr">
        <is>
          <t>G104</t>
        </is>
      </c>
      <c r="D406" s="0" t="n">
        <v>5</v>
      </c>
    </row>
    <row r="407">
      <c r="A407" s="0" t="inlineStr">
        <is>
          <t>SIFT1M</t>
        </is>
      </c>
      <c r="B407" s="0" t="inlineStr">
        <is>
          <t>H93</t>
        </is>
      </c>
      <c r="C407" s="0" t="inlineStr">
        <is>
          <t>H104</t>
        </is>
      </c>
      <c r="D407" s="0" t="n">
        <v>10</v>
      </c>
    </row>
    <row r="408">
      <c r="A408" s="0" t="inlineStr">
        <is>
          <t>SIFT1M</t>
        </is>
      </c>
      <c r="B408" s="0" t="inlineStr">
        <is>
          <t>I93</t>
        </is>
      </c>
      <c r="C408" s="0" t="inlineStr">
        <is>
          <t>I104</t>
        </is>
      </c>
      <c r="D408" s="0" t="n">
        <v>20</v>
      </c>
    </row>
    <row r="409">
      <c r="A409" s="0" t="inlineStr">
        <is>
          <t>SIFT1M</t>
        </is>
      </c>
      <c r="B409" s="0" t="inlineStr">
        <is>
          <t>J93</t>
        </is>
      </c>
      <c r="C409" s="0" t="inlineStr">
        <is>
          <t>J104</t>
        </is>
      </c>
      <c r="D409" s="0" t="n">
        <v>50</v>
      </c>
    </row>
    <row r="410">
      <c r="A410" s="0" t="inlineStr">
        <is>
          <t>SIFT1M</t>
        </is>
      </c>
      <c r="B410" s="0" t="inlineStr">
        <is>
          <t>K93</t>
        </is>
      </c>
      <c r="C410" s="0" t="inlineStr">
        <is>
          <t>K104</t>
        </is>
      </c>
      <c r="D410" s="0" t="n">
        <v>100</v>
      </c>
    </row>
    <row r="411">
      <c r="A411" s="0" t="inlineStr">
        <is>
          <t>SIFT1M</t>
        </is>
      </c>
      <c r="B411" s="0" t="inlineStr">
        <is>
          <t>D94</t>
        </is>
      </c>
      <c r="C411" s="0" t="inlineStr">
        <is>
          <t>D105</t>
        </is>
      </c>
      <c r="D411" s="0" t="inlineStr">
        <is>
          <t>VLAH</t>
        </is>
      </c>
    </row>
    <row r="412">
      <c r="A412" s="0" t="inlineStr">
        <is>
          <t>SIFT1M</t>
        </is>
      </c>
      <c r="B412" s="0" t="inlineStr">
        <is>
          <t>F94</t>
        </is>
      </c>
      <c r="C412" s="0" t="inlineStr">
        <is>
          <t>F105</t>
        </is>
      </c>
      <c r="D412" s="0" t="n">
        <v>164.016030326667</v>
      </c>
    </row>
    <row r="413">
      <c r="A413" s="0" t="inlineStr">
        <is>
          <t>SIFT1M</t>
        </is>
      </c>
      <c r="B413" s="0" t="inlineStr">
        <is>
          <t>G94</t>
        </is>
      </c>
      <c r="C413" s="0" t="inlineStr">
        <is>
          <t>G105</t>
        </is>
      </c>
      <c r="D413" s="0" t="n">
        <v>160.885613066667</v>
      </c>
    </row>
    <row r="414">
      <c r="A414" s="0" t="inlineStr">
        <is>
          <t>SIFT1M</t>
        </is>
      </c>
      <c r="B414" s="0" t="inlineStr">
        <is>
          <t>H94</t>
        </is>
      </c>
      <c r="C414" s="0" t="inlineStr">
        <is>
          <t>H105</t>
        </is>
      </c>
      <c r="D414" s="0" t="n">
        <v>163.210839856667</v>
      </c>
    </row>
    <row r="415">
      <c r="A415" s="0" t="inlineStr">
        <is>
          <t>SIFT1M</t>
        </is>
      </c>
      <c r="B415" s="0" t="inlineStr">
        <is>
          <t>I94</t>
        </is>
      </c>
      <c r="C415" s="0" t="inlineStr">
        <is>
          <t>I105</t>
        </is>
      </c>
      <c r="D415" s="0" t="n">
        <v>166.641273096667</v>
      </c>
    </row>
    <row r="416">
      <c r="A416" s="0" t="inlineStr">
        <is>
          <t>SIFT1M</t>
        </is>
      </c>
      <c r="B416" s="0" t="inlineStr">
        <is>
          <t>J94</t>
        </is>
      </c>
      <c r="C416" s="0" t="inlineStr">
        <is>
          <t>J105</t>
        </is>
      </c>
      <c r="D416" s="0" t="n">
        <v>161.22617848</v>
      </c>
    </row>
    <row r="417">
      <c r="A417" s="0" t="inlineStr">
        <is>
          <t>SIFT1M</t>
        </is>
      </c>
      <c r="B417" s="0" t="inlineStr">
        <is>
          <t>K94</t>
        </is>
      </c>
      <c r="C417" s="0" t="inlineStr">
        <is>
          <t>K105</t>
        </is>
      </c>
      <c r="D417" s="0" t="n">
        <v>161.153135363333</v>
      </c>
    </row>
    <row r="418">
      <c r="A418" s="0" t="inlineStr">
        <is>
          <t>SIFT1M</t>
        </is>
      </c>
      <c r="B418" s="0" t="inlineStr">
        <is>
          <t>D95</t>
        </is>
      </c>
      <c r="C418" s="0" t="inlineStr">
        <is>
          <t>D106</t>
        </is>
      </c>
      <c r="D418" s="0" t="inlineStr">
        <is>
          <t>ANNProof</t>
        </is>
      </c>
    </row>
    <row r="419">
      <c r="A419" s="0" t="inlineStr">
        <is>
          <t>SIFT1M</t>
        </is>
      </c>
      <c r="B419" s="0" t="inlineStr">
        <is>
          <t>F95</t>
        </is>
      </c>
      <c r="C419" s="0" t="inlineStr">
        <is>
          <t>F106</t>
        </is>
      </c>
      <c r="D419" s="0" t="n">
        <v>13.50592026</v>
      </c>
    </row>
    <row r="420">
      <c r="A420" s="0" t="inlineStr">
        <is>
          <t>SIFT1M</t>
        </is>
      </c>
      <c r="B420" s="0" t="inlineStr">
        <is>
          <t>G95</t>
        </is>
      </c>
      <c r="C420" s="0" t="inlineStr">
        <is>
          <t>G106</t>
        </is>
      </c>
      <c r="D420" s="0" t="n">
        <v>13.56223147</v>
      </c>
    </row>
    <row r="421">
      <c r="A421" s="0" t="inlineStr">
        <is>
          <t>SIFT1M</t>
        </is>
      </c>
      <c r="B421" s="0" t="inlineStr">
        <is>
          <t>H95</t>
        </is>
      </c>
      <c r="C421" s="0" t="inlineStr">
        <is>
          <t>H106</t>
        </is>
      </c>
      <c r="D421" s="0" t="n">
        <v>13.5985456233333</v>
      </c>
    </row>
    <row r="422">
      <c r="A422" s="0" t="inlineStr">
        <is>
          <t>SIFT1M</t>
        </is>
      </c>
      <c r="B422" s="0" t="inlineStr">
        <is>
          <t>I95</t>
        </is>
      </c>
      <c r="C422" s="0" t="inlineStr">
        <is>
          <t>I106</t>
        </is>
      </c>
      <c r="D422" s="0" t="n">
        <v>13.7384909233333</v>
      </c>
    </row>
    <row r="423">
      <c r="A423" s="0" t="inlineStr">
        <is>
          <t>SIFT1M</t>
        </is>
      </c>
      <c r="B423" s="0" t="inlineStr">
        <is>
          <t>J95</t>
        </is>
      </c>
      <c r="C423" s="0" t="inlineStr">
        <is>
          <t>J106</t>
        </is>
      </c>
      <c r="D423" s="0" t="n">
        <v>14.1065185666667</v>
      </c>
    </row>
    <row r="424">
      <c r="A424" s="0" t="inlineStr">
        <is>
          <t>SIFT1M</t>
        </is>
      </c>
      <c r="B424" s="0" t="inlineStr">
        <is>
          <t>K95</t>
        </is>
      </c>
      <c r="C424" s="0" t="inlineStr">
        <is>
          <t>K106</t>
        </is>
      </c>
      <c r="D424" s="0" t="n">
        <v>14.6850399966667</v>
      </c>
    </row>
    <row r="425">
      <c r="A425" s="0" t="inlineStr">
        <is>
          <t>SIFT1M</t>
        </is>
      </c>
      <c r="B425" s="0" t="inlineStr">
        <is>
          <t>D96</t>
        </is>
      </c>
      <c r="C425" s="0" t="inlineStr">
        <is>
          <t>D107</t>
        </is>
      </c>
      <c r="D425" s="0" t="inlineStr">
        <is>
          <t>Ours</t>
        </is>
      </c>
    </row>
    <row r="426">
      <c r="A426" s="0" t="inlineStr">
        <is>
          <t>SIFT1M</t>
        </is>
      </c>
      <c r="B426" s="0" t="inlineStr">
        <is>
          <t>F96</t>
        </is>
      </c>
      <c r="C426" s="0" t="inlineStr">
        <is>
          <t>F107</t>
        </is>
      </c>
      <c r="D426" s="0" t="n">
        <v>3.12134448666667</v>
      </c>
    </row>
    <row r="427">
      <c r="A427" s="0" t="inlineStr">
        <is>
          <t>SIFT1M</t>
        </is>
      </c>
      <c r="B427" s="0" t="inlineStr">
        <is>
          <t>G96</t>
        </is>
      </c>
      <c r="C427" s="0" t="inlineStr">
        <is>
          <t>G107</t>
        </is>
      </c>
      <c r="D427" s="0" t="n">
        <v>4.03429735</v>
      </c>
    </row>
    <row r="428">
      <c r="A428" s="0" t="inlineStr">
        <is>
          <t>SIFT1M</t>
        </is>
      </c>
      <c r="B428" s="0" t="inlineStr">
        <is>
          <t>H96</t>
        </is>
      </c>
      <c r="C428" s="0" t="inlineStr">
        <is>
          <t>H107</t>
        </is>
      </c>
      <c r="D428" s="0" t="n">
        <v>4.76585432</v>
      </c>
    </row>
    <row r="429">
      <c r="A429" s="0" t="inlineStr">
        <is>
          <t>SIFT1M</t>
        </is>
      </c>
      <c r="B429" s="0" t="inlineStr">
        <is>
          <t>I96</t>
        </is>
      </c>
      <c r="C429" s="0" t="inlineStr">
        <is>
          <t>I107</t>
        </is>
      </c>
      <c r="D429" s="0" t="n">
        <v>5.60640999333333</v>
      </c>
    </row>
    <row r="430">
      <c r="A430" s="0" t="inlineStr">
        <is>
          <t>SIFT1M</t>
        </is>
      </c>
      <c r="B430" s="0" t="inlineStr">
        <is>
          <t>J96</t>
        </is>
      </c>
      <c r="C430" s="0" t="inlineStr">
        <is>
          <t>J107</t>
        </is>
      </c>
      <c r="D430" s="0" t="n">
        <v>7.28955199</v>
      </c>
    </row>
    <row r="431">
      <c r="A431" s="0" t="inlineStr">
        <is>
          <t>SIFT1M</t>
        </is>
      </c>
      <c r="B431" s="0" t="inlineStr">
        <is>
          <t>K96</t>
        </is>
      </c>
      <c r="C431" s="0" t="inlineStr">
        <is>
          <t>K107</t>
        </is>
      </c>
      <c r="D431" s="0" t="n">
        <v>9.077528473333331</v>
      </c>
    </row>
    <row r="432">
      <c r="A432" s="0" t="inlineStr">
        <is>
          <t>SIFT1M</t>
        </is>
      </c>
      <c r="B432" s="0" t="inlineStr">
        <is>
          <t>E99</t>
        </is>
      </c>
      <c r="C432" s="0" t="inlineStr">
        <is>
          <t>E111</t>
        </is>
      </c>
      <c r="D432" s="0" t="inlineStr">
        <is>
          <t>K vs. Query time (includes VO generation)</t>
        </is>
      </c>
    </row>
    <row r="433">
      <c r="A433" s="0" t="inlineStr">
        <is>
          <t>SIFT1M</t>
        </is>
      </c>
      <c r="B433" s="0" t="inlineStr">
        <is>
          <t>D101</t>
        </is>
      </c>
      <c r="C433" s="0" t="inlineStr">
        <is>
          <t>D113</t>
        </is>
      </c>
      <c r="D433" s="0" t="inlineStr">
        <is>
          <t>SIFT1M</t>
        </is>
      </c>
    </row>
    <row r="434">
      <c r="A434" s="0" t="inlineStr">
        <is>
          <t>SIFT1M</t>
        </is>
      </c>
      <c r="B434" s="0" t="inlineStr">
        <is>
          <t>D102</t>
        </is>
      </c>
      <c r="C434" s="0" t="inlineStr">
        <is>
          <t>D114</t>
        </is>
      </c>
      <c r="D434" s="0" t="inlineStr">
        <is>
          <t>K</t>
        </is>
      </c>
    </row>
    <row r="435">
      <c r="A435" s="0" t="inlineStr">
        <is>
          <t>SIFT1M</t>
        </is>
      </c>
      <c r="B435" s="0" t="inlineStr">
        <is>
          <t>F102</t>
        </is>
      </c>
      <c r="C435" s="0" t="inlineStr">
        <is>
          <t>F114</t>
        </is>
      </c>
      <c r="D435" s="0" t="n">
        <v>1</v>
      </c>
    </row>
    <row r="436">
      <c r="A436" s="0" t="inlineStr">
        <is>
          <t>SIFT1M</t>
        </is>
      </c>
      <c r="B436" s="0" t="inlineStr">
        <is>
          <t>G102</t>
        </is>
      </c>
      <c r="C436" s="0" t="inlineStr">
        <is>
          <t>G114</t>
        </is>
      </c>
      <c r="D436" s="0" t="n">
        <v>5</v>
      </c>
    </row>
    <row r="437">
      <c r="A437" s="0" t="inlineStr">
        <is>
          <t>SIFT1M</t>
        </is>
      </c>
      <c r="B437" s="0" t="inlineStr">
        <is>
          <t>H102</t>
        </is>
      </c>
      <c r="C437" s="0" t="inlineStr">
        <is>
          <t>H114</t>
        </is>
      </c>
      <c r="D437" s="0" t="n">
        <v>10</v>
      </c>
    </row>
    <row r="438">
      <c r="A438" s="0" t="inlineStr">
        <is>
          <t>SIFT1M</t>
        </is>
      </c>
      <c r="B438" s="0" t="inlineStr">
        <is>
          <t>I102</t>
        </is>
      </c>
      <c r="C438" s="0" t="inlineStr">
        <is>
          <t>I114</t>
        </is>
      </c>
      <c r="D438" s="0" t="n">
        <v>20</v>
      </c>
    </row>
    <row r="439">
      <c r="A439" s="0" t="inlineStr">
        <is>
          <t>SIFT1M</t>
        </is>
      </c>
      <c r="B439" s="0" t="inlineStr">
        <is>
          <t>J102</t>
        </is>
      </c>
      <c r="C439" s="0" t="inlineStr">
        <is>
          <t>J114</t>
        </is>
      </c>
      <c r="D439" s="0" t="n">
        <v>50</v>
      </c>
    </row>
    <row r="440">
      <c r="A440" s="0" t="inlineStr">
        <is>
          <t>SIFT1M</t>
        </is>
      </c>
      <c r="B440" s="0" t="inlineStr">
        <is>
          <t>K102</t>
        </is>
      </c>
      <c r="C440" s="0" t="inlineStr">
        <is>
          <t>K114</t>
        </is>
      </c>
      <c r="D440" s="0" t="n">
        <v>100</v>
      </c>
    </row>
    <row r="441">
      <c r="A441" s="0" t="inlineStr">
        <is>
          <t>SIFT1M</t>
        </is>
      </c>
      <c r="B441" s="0" t="inlineStr">
        <is>
          <t>D103</t>
        </is>
      </c>
      <c r="C441" s="0" t="inlineStr">
        <is>
          <t>D115</t>
        </is>
      </c>
      <c r="D441" s="0" t="inlineStr">
        <is>
          <t>VLAH</t>
        </is>
      </c>
    </row>
    <row r="442">
      <c r="A442" s="0" t="inlineStr">
        <is>
          <t>SIFT1M</t>
        </is>
      </c>
      <c r="B442" s="0" t="inlineStr">
        <is>
          <t>F103</t>
        </is>
      </c>
      <c r="C442" s="0" t="inlineStr">
        <is>
          <t>F115</t>
        </is>
      </c>
      <c r="D442" s="0" t="n">
        <v>61.7761955166667</v>
      </c>
    </row>
    <row r="443">
      <c r="A443" s="0" t="inlineStr">
        <is>
          <t>SIFT1M</t>
        </is>
      </c>
      <c r="B443" s="0" t="inlineStr">
        <is>
          <t>G103</t>
        </is>
      </c>
      <c r="C443" s="0" t="inlineStr">
        <is>
          <t>G115</t>
        </is>
      </c>
      <c r="D443" s="0" t="n">
        <v>60.2132885166667</v>
      </c>
    </row>
    <row r="444">
      <c r="A444" s="0" t="inlineStr">
        <is>
          <t>SIFT1M</t>
        </is>
      </c>
      <c r="B444" s="0" t="inlineStr">
        <is>
          <t>H103</t>
        </is>
      </c>
      <c r="C444" s="0" t="inlineStr">
        <is>
          <t>H115</t>
        </is>
      </c>
      <c r="D444" s="0" t="n">
        <v>60.7328521566667</v>
      </c>
    </row>
    <row r="445">
      <c r="A445" s="0" t="inlineStr">
        <is>
          <t>SIFT1M</t>
        </is>
      </c>
      <c r="B445" s="0" t="inlineStr">
        <is>
          <t>I103</t>
        </is>
      </c>
      <c r="C445" s="0" t="inlineStr">
        <is>
          <t>I115</t>
        </is>
      </c>
      <c r="D445" s="0" t="n">
        <v>62.4914379533333</v>
      </c>
    </row>
    <row r="446">
      <c r="A446" s="0" t="inlineStr">
        <is>
          <t>SIFT1M</t>
        </is>
      </c>
      <c r="B446" s="0" t="inlineStr">
        <is>
          <t>J103</t>
        </is>
      </c>
      <c r="C446" s="0" t="inlineStr">
        <is>
          <t>J115</t>
        </is>
      </c>
      <c r="D446" s="0" t="n">
        <v>62.8828516033333</v>
      </c>
    </row>
    <row r="447">
      <c r="A447" s="0" t="inlineStr">
        <is>
          <t>SIFT1M</t>
        </is>
      </c>
      <c r="B447" s="0" t="inlineStr">
        <is>
          <t>K103</t>
        </is>
      </c>
      <c r="C447" s="0" t="inlineStr">
        <is>
          <t>K115</t>
        </is>
      </c>
      <c r="D447" s="0" t="n">
        <v>64.8738179366667</v>
      </c>
    </row>
    <row r="448">
      <c r="A448" s="0" t="inlineStr">
        <is>
          <t>SIFT1M</t>
        </is>
      </c>
      <c r="B448" s="0" t="inlineStr">
        <is>
          <t>D104</t>
        </is>
      </c>
      <c r="C448" s="0" t="inlineStr">
        <is>
          <t>D116</t>
        </is>
      </c>
      <c r="D448" s="0" t="inlineStr">
        <is>
          <t>ANNProof</t>
        </is>
      </c>
    </row>
    <row r="449">
      <c r="A449" s="0" t="inlineStr">
        <is>
          <t>SIFT1M</t>
        </is>
      </c>
      <c r="B449" s="0" t="inlineStr">
        <is>
          <t>F104</t>
        </is>
      </c>
      <c r="C449" s="0" t="inlineStr">
        <is>
          <t>F116</t>
        </is>
      </c>
      <c r="D449" s="0" t="n">
        <v>2.86723709</v>
      </c>
    </row>
    <row r="450">
      <c r="A450" s="0" t="inlineStr">
        <is>
          <t>SIFT1M</t>
        </is>
      </c>
      <c r="B450" s="0" t="inlineStr">
        <is>
          <t>G104</t>
        </is>
      </c>
      <c r="C450" s="0" t="inlineStr">
        <is>
          <t>G116</t>
        </is>
      </c>
      <c r="D450" s="0" t="n">
        <v>2.82147357</v>
      </c>
    </row>
    <row r="451">
      <c r="A451" s="0" t="inlineStr">
        <is>
          <t>SIFT1M</t>
        </is>
      </c>
      <c r="B451" s="0" t="inlineStr">
        <is>
          <t>H104</t>
        </is>
      </c>
      <c r="C451" s="0" t="inlineStr">
        <is>
          <t>H116</t>
        </is>
      </c>
      <c r="D451" s="0" t="n">
        <v>2.86063496666667</v>
      </c>
    </row>
    <row r="452">
      <c r="A452" s="0" t="inlineStr">
        <is>
          <t>SIFT1M</t>
        </is>
      </c>
      <c r="B452" s="0" t="inlineStr">
        <is>
          <t>I104</t>
        </is>
      </c>
      <c r="C452" s="0" t="inlineStr">
        <is>
          <t>I116</t>
        </is>
      </c>
      <c r="D452" s="0" t="n">
        <v>2.84033417333333</v>
      </c>
    </row>
    <row r="453">
      <c r="A453" s="0" t="inlineStr">
        <is>
          <t>SIFT1M</t>
        </is>
      </c>
      <c r="B453" s="0" t="inlineStr">
        <is>
          <t>J104</t>
        </is>
      </c>
      <c r="C453" s="0" t="inlineStr">
        <is>
          <t>J116</t>
        </is>
      </c>
      <c r="D453" s="0" t="n">
        <v>2.91575918</v>
      </c>
    </row>
    <row r="454">
      <c r="A454" s="0" t="inlineStr">
        <is>
          <t>SIFT1M</t>
        </is>
      </c>
      <c r="B454" s="0" t="inlineStr">
        <is>
          <t>K104</t>
        </is>
      </c>
      <c r="C454" s="0" t="inlineStr">
        <is>
          <t>K116</t>
        </is>
      </c>
      <c r="D454" s="0" t="n">
        <v>2.94490975</v>
      </c>
    </row>
    <row r="455">
      <c r="A455" s="0" t="inlineStr">
        <is>
          <t>SIFT1M</t>
        </is>
      </c>
      <c r="B455" s="0" t="inlineStr">
        <is>
          <t>D105</t>
        </is>
      </c>
      <c r="C455" s="0" t="inlineStr">
        <is>
          <t>D117</t>
        </is>
      </c>
      <c r="D455" s="0" t="inlineStr">
        <is>
          <t>Ours</t>
        </is>
      </c>
    </row>
    <row r="456">
      <c r="A456" s="0" t="inlineStr">
        <is>
          <t>SIFT1M</t>
        </is>
      </c>
      <c r="B456" s="0" t="inlineStr">
        <is>
          <t>F105</t>
        </is>
      </c>
      <c r="C456" s="0" t="inlineStr">
        <is>
          <t>F117</t>
        </is>
      </c>
      <c r="D456" s="0" t="n">
        <v>1.92241361333333</v>
      </c>
    </row>
    <row r="457">
      <c r="A457" s="0" t="inlineStr">
        <is>
          <t>SIFT1M</t>
        </is>
      </c>
      <c r="B457" s="0" t="inlineStr">
        <is>
          <t>G105</t>
        </is>
      </c>
      <c r="C457" s="0" t="inlineStr">
        <is>
          <t>G117</t>
        </is>
      </c>
      <c r="D457" s="0" t="n">
        <v>2.18742684666667</v>
      </c>
    </row>
    <row r="458">
      <c r="A458" s="0" t="inlineStr">
        <is>
          <t>SIFT1M</t>
        </is>
      </c>
      <c r="B458" s="0" t="inlineStr">
        <is>
          <t>H105</t>
        </is>
      </c>
      <c r="C458" s="0" t="inlineStr">
        <is>
          <t>H117</t>
        </is>
      </c>
      <c r="D458" s="0" t="n">
        <v>2.37117783666667</v>
      </c>
    </row>
    <row r="459">
      <c r="A459" s="0" t="inlineStr">
        <is>
          <t>SIFT1M</t>
        </is>
      </c>
      <c r="B459" s="0" t="inlineStr">
        <is>
          <t>I105</t>
        </is>
      </c>
      <c r="C459" s="0" t="inlineStr">
        <is>
          <t>I117</t>
        </is>
      </c>
      <c r="D459" s="0" t="n">
        <v>2.65065829333333</v>
      </c>
    </row>
    <row r="460">
      <c r="A460" s="0" t="inlineStr">
        <is>
          <t>SIFT1M</t>
        </is>
      </c>
      <c r="B460" s="0" t="inlineStr">
        <is>
          <t>J105</t>
        </is>
      </c>
      <c r="C460" s="0" t="inlineStr">
        <is>
          <t>J117</t>
        </is>
      </c>
      <c r="D460" s="0" t="n">
        <v>3.08604256666667</v>
      </c>
    </row>
    <row r="461">
      <c r="A461" s="0" t="inlineStr">
        <is>
          <t>SIFT1M</t>
        </is>
      </c>
      <c r="B461" s="0" t="inlineStr">
        <is>
          <t>K105</t>
        </is>
      </c>
      <c r="C461" s="0" t="inlineStr">
        <is>
          <t>K117</t>
        </is>
      </c>
      <c r="D461" s="0" t="n">
        <v>3.60933811</v>
      </c>
    </row>
    <row r="462">
      <c r="A462" s="0" t="inlineStr">
        <is>
          <t>SIFT1M</t>
        </is>
      </c>
      <c r="B462" s="0" t="inlineStr">
        <is>
          <t>D111</t>
        </is>
      </c>
      <c r="C462" s="0" t="inlineStr">
        <is>
          <t>D124</t>
        </is>
      </c>
      <c r="D462" s="0" t="inlineStr">
        <is>
          <t>Ablation Study 
（Ours: (i)progressive quantization, 
(ii) verification-decoupled traversal, 
(iii) expansion-centric authentication.）</t>
        </is>
      </c>
    </row>
    <row r="463">
      <c r="A463" s="0" t="inlineStr">
        <is>
          <t>SIFT1M</t>
        </is>
      </c>
      <c r="B463" s="0" t="inlineStr">
        <is>
          <t>F115</t>
        </is>
      </c>
      <c r="C463" s="0" t="inlineStr">
        <is>
          <t>F128</t>
        </is>
      </c>
      <c r="D463" s="0" t="inlineStr">
        <is>
          <t>Recall@10</t>
        </is>
      </c>
    </row>
    <row r="464">
      <c r="A464" s="0" t="inlineStr">
        <is>
          <t>SIFT1M</t>
        </is>
      </c>
      <c r="B464" s="0" t="inlineStr">
        <is>
          <t>G115</t>
        </is>
      </c>
      <c r="C464" s="0" t="inlineStr">
        <is>
          <t>G128</t>
        </is>
      </c>
      <c r="D464" s="0" t="inlineStr">
        <is>
          <t>Query Time (ms)</t>
        </is>
      </c>
    </row>
    <row r="465">
      <c r="A465" s="0" t="inlineStr">
        <is>
          <t>SIFT1M</t>
        </is>
      </c>
      <c r="B465" s="0" t="inlineStr">
        <is>
          <t>H115</t>
        </is>
      </c>
      <c r="C465" s="0" t="inlineStr">
        <is>
          <t>H128</t>
        </is>
      </c>
      <c r="D465" s="0" t="inlineStr">
        <is>
          <t>VO Size (KB)</t>
        </is>
      </c>
    </row>
    <row r="466">
      <c r="A466" s="0" t="inlineStr">
        <is>
          <t>SIFT1M</t>
        </is>
      </c>
      <c r="B466" s="0" t="inlineStr">
        <is>
          <t>I115</t>
        </is>
      </c>
      <c r="C466" s="0" t="inlineStr">
        <is>
          <t>I128</t>
        </is>
      </c>
      <c r="D466" s="0" t="inlineStr">
        <is>
          <t>Verify Time (ms)</t>
        </is>
      </c>
    </row>
    <row r="467">
      <c r="A467" s="0" t="inlineStr">
        <is>
          <t>SIFT1M</t>
        </is>
      </c>
      <c r="B467" s="0" t="inlineStr">
        <is>
          <t>D116</t>
        </is>
      </c>
      <c r="C467" s="0" t="inlineStr">
        <is>
          <t>D129</t>
        </is>
      </c>
      <c r="D467" s="0" t="inlineStr">
        <is>
          <t>Merkle+IVF</t>
        </is>
      </c>
    </row>
    <row r="468">
      <c r="A468" s="0" t="inlineStr">
        <is>
          <t>SIFT1M</t>
        </is>
      </c>
      <c r="B468" s="0" t="inlineStr">
        <is>
          <t>F116</t>
        </is>
      </c>
      <c r="C468" s="0" t="inlineStr">
        <is>
          <t>F129</t>
        </is>
      </c>
      <c r="D468" s="0" t="n">
        <v>0.95</v>
      </c>
    </row>
    <row r="469">
      <c r="A469" s="0" t="inlineStr">
        <is>
          <t>SIFT1M</t>
        </is>
      </c>
      <c r="B469" s="0" t="inlineStr">
        <is>
          <t>G116</t>
        </is>
      </c>
      <c r="C469" s="0" t="inlineStr">
        <is>
          <t>G129</t>
        </is>
      </c>
      <c r="D469" s="0" t="n">
        <v>128.915429933333</v>
      </c>
    </row>
    <row r="470">
      <c r="A470" s="0" t="inlineStr">
        <is>
          <t>SIFT1M</t>
        </is>
      </c>
      <c r="B470" s="0" t="inlineStr">
        <is>
          <t>H116</t>
        </is>
      </c>
      <c r="C470" s="0" t="inlineStr">
        <is>
          <t>H129</t>
        </is>
      </c>
      <c r="D470" s="0" t="n">
        <v>24691.9808</v>
      </c>
    </row>
    <row r="471">
      <c r="A471" s="0" t="inlineStr">
        <is>
          <t>SIFT1M</t>
        </is>
      </c>
      <c r="B471" s="0" t="inlineStr">
        <is>
          <t>I116</t>
        </is>
      </c>
      <c r="C471" s="0" t="inlineStr">
        <is>
          <t>I129</t>
        </is>
      </c>
      <c r="D471" s="0" t="n">
        <v>266.394078916667</v>
      </c>
    </row>
    <row r="472">
      <c r="A472" s="0" t="inlineStr">
        <is>
          <t>SIFT1M</t>
        </is>
      </c>
      <c r="B472" s="0" t="inlineStr">
        <is>
          <t>D117</t>
        </is>
      </c>
      <c r="C472" s="0" t="inlineStr">
        <is>
          <t>D130</t>
        </is>
      </c>
      <c r="D472" s="0" t="inlineStr">
        <is>
          <t>Merkle+HNSW</t>
        </is>
      </c>
    </row>
    <row r="473">
      <c r="A473" s="0" t="inlineStr">
        <is>
          <t>SIFT1M</t>
        </is>
      </c>
      <c r="B473" s="0" t="inlineStr">
        <is>
          <t>F117</t>
        </is>
      </c>
      <c r="C473" s="0" t="inlineStr">
        <is>
          <t>F130</t>
        </is>
      </c>
      <c r="D473" s="0" t="n">
        <v>0.95</v>
      </c>
    </row>
    <row r="474">
      <c r="A474" s="0" t="inlineStr">
        <is>
          <t>SIFT1M</t>
        </is>
      </c>
      <c r="B474" s="0" t="inlineStr">
        <is>
          <t>G117</t>
        </is>
      </c>
      <c r="C474" s="0" t="inlineStr">
        <is>
          <t>G130</t>
        </is>
      </c>
      <c r="D474" s="0" t="n">
        <v>2.85575916666667</v>
      </c>
    </row>
    <row r="475">
      <c r="A475" s="0" t="inlineStr">
        <is>
          <t>SIFT1M</t>
        </is>
      </c>
      <c r="B475" s="0" t="inlineStr">
        <is>
          <t>H117</t>
        </is>
      </c>
      <c r="C475" s="0" t="inlineStr">
        <is>
          <t>H130</t>
        </is>
      </c>
      <c r="D475" s="0" t="n">
        <v>569.4453999999999</v>
      </c>
    </row>
    <row r="476">
      <c r="A476" s="0" t="inlineStr">
        <is>
          <t>SIFT1M</t>
        </is>
      </c>
      <c r="B476" s="0" t="inlineStr">
        <is>
          <t>I117</t>
        </is>
      </c>
      <c r="C476" s="0" t="inlineStr">
        <is>
          <t>I130</t>
        </is>
      </c>
      <c r="D476" s="0" t="n">
        <v>5.31483396666667</v>
      </c>
    </row>
    <row r="477">
      <c r="A477" s="0" t="inlineStr">
        <is>
          <t>SIFT1M</t>
        </is>
      </c>
      <c r="B477" s="0" t="inlineStr">
        <is>
          <t>D118</t>
        </is>
      </c>
      <c r="C477" s="0" t="inlineStr">
        <is>
          <t>D131</t>
        </is>
      </c>
      <c r="D477" s="0" t="inlineStr">
        <is>
          <t>Merkle+IVF+(i)</t>
        </is>
      </c>
    </row>
    <row r="478">
      <c r="A478" s="0" t="inlineStr">
        <is>
          <t>SIFT1M</t>
        </is>
      </c>
      <c r="B478" s="0" t="inlineStr">
        <is>
          <t>F118</t>
        </is>
      </c>
      <c r="C478" s="0" t="inlineStr">
        <is>
          <t>F131</t>
        </is>
      </c>
      <c r="D478" s="0" t="n">
        <v>0.95</v>
      </c>
    </row>
    <row r="479">
      <c r="A479" s="0" t="inlineStr">
        <is>
          <t>SIFT1M</t>
        </is>
      </c>
      <c r="B479" s="0" t="inlineStr">
        <is>
          <t>G118</t>
        </is>
      </c>
      <c r="C479" s="0" t="inlineStr">
        <is>
          <t>G131</t>
        </is>
      </c>
      <c r="D479" s="0" t="n">
        <v>47.63649185</v>
      </c>
    </row>
    <row r="480">
      <c r="A480" s="0" t="inlineStr">
        <is>
          <t>SIFT1M</t>
        </is>
      </c>
      <c r="B480" s="0" t="inlineStr">
        <is>
          <t>H118</t>
        </is>
      </c>
      <c r="C480" s="0" t="inlineStr">
        <is>
          <t>H131</t>
        </is>
      </c>
      <c r="D480" s="0" t="n">
        <v>8019.3744</v>
      </c>
    </row>
    <row r="481">
      <c r="A481" s="0" t="inlineStr">
        <is>
          <t>SIFT1M</t>
        </is>
      </c>
      <c r="B481" s="0" t="inlineStr">
        <is>
          <t>I118</t>
        </is>
      </c>
      <c r="C481" s="0" t="inlineStr">
        <is>
          <t>I131</t>
        </is>
      </c>
      <c r="D481" s="0" t="n">
        <v>241.216355</v>
      </c>
    </row>
    <row r="482">
      <c r="A482" s="0" t="inlineStr">
        <is>
          <t>SIFT1M</t>
        </is>
      </c>
      <c r="B482" s="0" t="inlineStr">
        <is>
          <t>D119</t>
        </is>
      </c>
      <c r="C482" s="0" t="inlineStr">
        <is>
          <t>D132</t>
        </is>
      </c>
      <c r="D482" s="0" t="inlineStr">
        <is>
          <t>Merkle+HNSW+(i)</t>
        </is>
      </c>
    </row>
    <row r="483">
      <c r="A483" s="0" t="inlineStr">
        <is>
          <t>SIFT1M</t>
        </is>
      </c>
      <c r="B483" s="0" t="inlineStr">
        <is>
          <t>F119</t>
        </is>
      </c>
      <c r="C483" s="0" t="inlineStr">
        <is>
          <t>F132</t>
        </is>
      </c>
      <c r="D483" s="0" t="n">
        <v>0.95</v>
      </c>
    </row>
    <row r="484">
      <c r="A484" s="0" t="inlineStr">
        <is>
          <t>SIFT1M</t>
        </is>
      </c>
      <c r="B484" s="0" t="inlineStr">
        <is>
          <t>G119</t>
        </is>
      </c>
      <c r="C484" s="0" t="inlineStr">
        <is>
          <t>G132</t>
        </is>
      </c>
      <c r="D484" s="0" t="n">
        <v>2.62924433333333</v>
      </c>
    </row>
    <row r="485">
      <c r="A485" s="0" t="inlineStr">
        <is>
          <t>SIFT1M</t>
        </is>
      </c>
      <c r="B485" s="0" t="inlineStr">
        <is>
          <t>H119</t>
        </is>
      </c>
      <c r="C485" s="0" t="inlineStr">
        <is>
          <t>H132</t>
        </is>
      </c>
      <c r="D485" s="0" t="n">
        <v>478.7218</v>
      </c>
    </row>
    <row r="486">
      <c r="A486" s="0" t="inlineStr">
        <is>
          <t>SIFT1M</t>
        </is>
      </c>
      <c r="B486" s="0" t="inlineStr">
        <is>
          <t>I119</t>
        </is>
      </c>
      <c r="C486" s="0" t="inlineStr">
        <is>
          <t>I132</t>
        </is>
      </c>
      <c r="D486" s="0" t="n">
        <v>8.34040406666667</v>
      </c>
    </row>
    <row r="487">
      <c r="A487" s="0" t="inlineStr">
        <is>
          <t>SIFT1M</t>
        </is>
      </c>
      <c r="B487" s="0" t="inlineStr">
        <is>
          <t>D120</t>
        </is>
      </c>
      <c r="C487" s="0" t="inlineStr">
        <is>
          <t>D133</t>
        </is>
      </c>
      <c r="D487" s="0" t="inlineStr">
        <is>
          <t>(i)+(ii)</t>
        </is>
      </c>
    </row>
    <row r="488">
      <c r="A488" s="0" t="inlineStr">
        <is>
          <t>SIFT1M</t>
        </is>
      </c>
      <c r="B488" s="0" t="inlineStr">
        <is>
          <t>F120</t>
        </is>
      </c>
      <c r="C488" s="0" t="inlineStr">
        <is>
          <t>F133</t>
        </is>
      </c>
      <c r="D488" s="0" t="n">
        <v>0.955</v>
      </c>
    </row>
    <row r="489">
      <c r="A489" s="0" t="inlineStr">
        <is>
          <t>SIFT1M</t>
        </is>
      </c>
      <c r="B489" s="0" t="inlineStr">
        <is>
          <t>G120</t>
        </is>
      </c>
      <c r="C489" s="0" t="inlineStr">
        <is>
          <t>G133</t>
        </is>
      </c>
      <c r="D489" s="0" t="n">
        <v>2.03924105</v>
      </c>
    </row>
    <row r="490">
      <c r="A490" s="0" t="inlineStr">
        <is>
          <t>SIFT1M</t>
        </is>
      </c>
      <c r="B490" s="0" t="inlineStr">
        <is>
          <t>H120</t>
        </is>
      </c>
      <c r="C490" s="0" t="inlineStr">
        <is>
          <t>H133</t>
        </is>
      </c>
      <c r="D490" s="0" t="n">
        <v>289.8754</v>
      </c>
    </row>
    <row r="491">
      <c r="A491" s="0" t="inlineStr">
        <is>
          <t>SIFT1M</t>
        </is>
      </c>
      <c r="B491" s="0" t="inlineStr">
        <is>
          <t>I120</t>
        </is>
      </c>
      <c r="C491" s="0" t="inlineStr">
        <is>
          <t>I133</t>
        </is>
      </c>
      <c r="D491" s="0" t="n">
        <v>5.5222121</v>
      </c>
    </row>
    <row r="492">
      <c r="A492" s="0" t="inlineStr">
        <is>
          <t>SIFT1M</t>
        </is>
      </c>
      <c r="B492" s="0" t="inlineStr">
        <is>
          <t>D121</t>
        </is>
      </c>
      <c r="C492" s="0" t="inlineStr">
        <is>
          <t>D134</t>
        </is>
      </c>
      <c r="D492" s="0" t="inlineStr">
        <is>
          <t>(i)+(ii)+(iii)</t>
        </is>
      </c>
    </row>
    <row r="493">
      <c r="A493" s="0" t="inlineStr">
        <is>
          <t>SIFT1M</t>
        </is>
      </c>
      <c r="B493" s="0" t="inlineStr">
        <is>
          <t>F121</t>
        </is>
      </c>
      <c r="C493" s="0" t="inlineStr">
        <is>
          <t>F134</t>
        </is>
      </c>
      <c r="D493" s="0" t="n">
        <v>0.955</v>
      </c>
    </row>
    <row r="494">
      <c r="A494" s="0" t="inlineStr">
        <is>
          <t>SIFT1M</t>
        </is>
      </c>
      <c r="B494" s="0" t="inlineStr">
        <is>
          <t>G121</t>
        </is>
      </c>
      <c r="C494" s="0" t="inlineStr">
        <is>
          <t>G134</t>
        </is>
      </c>
      <c r="D494" s="0" t="n">
        <v>1.07583855</v>
      </c>
    </row>
    <row r="495">
      <c r="A495" s="0" t="inlineStr">
        <is>
          <t>SIFT1M</t>
        </is>
      </c>
      <c r="B495" s="0" t="inlineStr">
        <is>
          <t>H121</t>
        </is>
      </c>
      <c r="C495" s="0" t="inlineStr">
        <is>
          <t>H134</t>
        </is>
      </c>
      <c r="D495" s="0" t="n">
        <v>112.369</v>
      </c>
    </row>
    <row r="496">
      <c r="A496" s="0" t="inlineStr">
        <is>
          <t>SIFT1M</t>
        </is>
      </c>
      <c r="B496" s="0" t="inlineStr">
        <is>
          <t>I121</t>
        </is>
      </c>
      <c r="C496" s="0" t="inlineStr">
        <is>
          <t>I134</t>
        </is>
      </c>
      <c r="D496" s="0" t="n">
        <v>2.1509119</v>
      </c>
    </row>
    <row r="992">
      <c r="A992" s="0" t="inlineStr">
        <is>
          <t>GloVe-100</t>
        </is>
      </c>
      <c r="B992" s="0" t="inlineStr">
        <is>
          <t>A1</t>
        </is>
      </c>
      <c r="C992" s="0" t="inlineStr">
        <is>
          <t>A1</t>
        </is>
      </c>
      <c r="D992" s="0" t="inlineStr">
        <is>
          <t>All query time includes the vo generation time</t>
        </is>
      </c>
    </row>
    <row r="993">
      <c r="A993" s="0" t="inlineStr">
        <is>
          <t>GloVe-100</t>
        </is>
      </c>
      <c r="B993" s="0" t="inlineStr">
        <is>
          <t>A3</t>
        </is>
      </c>
      <c r="C993" s="0" t="inlineStr">
        <is>
          <t>A3</t>
        </is>
      </c>
      <c r="D993" s="0" t="inlineStr">
        <is>
          <t>Query/verify time: ms; VO: KB (1000 bytes); recall: %; Query Time includes VO generation.</t>
        </is>
      </c>
    </row>
    <row r="994">
      <c r="A994" s="0" t="inlineStr">
        <is>
          <t>GloVe-100</t>
        </is>
      </c>
      <c r="B994" s="0" t="inlineStr">
        <is>
          <t>A4</t>
        </is>
      </c>
      <c r="C994" s="0" t="inlineStr">
        <is>
          <t>A4</t>
        </is>
      </c>
      <c r="D994" s="0" t="inlineStr">
        <is>
          <t>PREVIEW: 20 distinct queries (IDs 100..119), 3 repeats; same subset for all methods.</t>
        </is>
      </c>
    </row>
    <row r="995">
      <c r="A995" s="0" t="inlineStr">
        <is>
          <t>GloVe-100</t>
        </is>
      </c>
      <c r="B995" s="0" t="inlineStr">
        <is>
          <t>E5</t>
        </is>
      </c>
      <c r="C995" s="0" t="inlineStr">
        <is>
          <t>E5</t>
        </is>
      </c>
      <c r="D995" s="0" t="inlineStr">
        <is>
          <t>Overall Table</t>
        </is>
      </c>
    </row>
    <row r="996">
      <c r="A996" s="0" t="inlineStr">
        <is>
          <t>GloVe-100</t>
        </is>
      </c>
      <c r="B996" s="0" t="inlineStr">
        <is>
          <t>D7</t>
        </is>
      </c>
      <c r="C996" s="0" t="inlineStr">
        <is>
          <t>D7</t>
        </is>
      </c>
      <c r="D996" s="0" t="inlineStr">
        <is>
          <t>GloVe-100 (N=1,183,514, d=100)</t>
        </is>
      </c>
    </row>
    <row r="997">
      <c r="A997" s="0" t="inlineStr">
        <is>
          <t>GloVe-100</t>
        </is>
      </c>
      <c r="B997" s="0" t="inlineStr">
        <is>
          <t>D8</t>
        </is>
      </c>
      <c r="C997" s="0" t="inlineStr">
        <is>
          <t>D8</t>
        </is>
      </c>
      <c r="D997" s="0" t="inlineStr">
        <is>
          <t xml:space="preserve">Method </t>
        </is>
      </c>
    </row>
    <row r="998">
      <c r="A998" s="0" t="inlineStr">
        <is>
          <t>GloVe-100</t>
        </is>
      </c>
      <c r="B998" s="0" t="inlineStr">
        <is>
          <t>E8</t>
        </is>
      </c>
      <c r="C998" s="0" t="inlineStr">
        <is>
          <t>E8</t>
        </is>
      </c>
      <c r="D998" s="0" t="inlineStr">
        <is>
          <t>Recall@10</t>
        </is>
      </c>
    </row>
    <row r="999">
      <c r="A999" s="0" t="inlineStr">
        <is>
          <t>GloVe-100</t>
        </is>
      </c>
      <c r="B999" s="0" t="inlineStr">
        <is>
          <t>F8</t>
        </is>
      </c>
      <c r="C999" s="0" t="inlineStr">
        <is>
          <t>F8</t>
        </is>
      </c>
      <c r="D999" s="0" t="inlineStr">
        <is>
          <t>Query Time</t>
        </is>
      </c>
    </row>
    <row r="1000">
      <c r="A1000" s="0" t="inlineStr">
        <is>
          <t>GloVe-100</t>
        </is>
      </c>
      <c r="B1000" s="0" t="inlineStr">
        <is>
          <t>G8</t>
        </is>
      </c>
      <c r="C1000" s="0" t="inlineStr">
        <is>
          <t>G8</t>
        </is>
      </c>
      <c r="D1000" s="0" t="inlineStr">
        <is>
          <t>VO Size</t>
        </is>
      </c>
    </row>
    <row r="1001">
      <c r="A1001" s="0" t="inlineStr">
        <is>
          <t>GloVe-100</t>
        </is>
      </c>
      <c r="B1001" s="0" t="inlineStr">
        <is>
          <t>H8</t>
        </is>
      </c>
      <c r="C1001" s="0" t="inlineStr">
        <is>
          <t>H8</t>
        </is>
      </c>
      <c r="D1001" s="0" t="inlineStr">
        <is>
          <t>Verify Time</t>
        </is>
      </c>
    </row>
    <row r="1002">
      <c r="A1002" s="0" t="inlineStr">
        <is>
          <t>GloVe-100</t>
        </is>
      </c>
      <c r="B1002" s="0" t="inlineStr">
        <is>
          <t>D9</t>
        </is>
      </c>
      <c r="C1002" s="0" t="inlineStr">
        <is>
          <t>D9</t>
        </is>
      </c>
      <c r="D1002" s="0" t="inlineStr">
        <is>
          <t>VLAH</t>
        </is>
      </c>
    </row>
    <row r="1003">
      <c r="A1003" s="0" t="inlineStr">
        <is>
          <t>GloVe-100</t>
        </is>
      </c>
      <c r="B1003" s="0" t="inlineStr">
        <is>
          <t>E9</t>
        </is>
      </c>
      <c r="C1003" s="0" t="inlineStr">
        <is>
          <t>E9</t>
        </is>
      </c>
      <c r="D1003" s="0" t="n">
        <v>95</v>
      </c>
    </row>
    <row r="1004">
      <c r="A1004" s="0" t="inlineStr">
        <is>
          <t>GloVe-100</t>
        </is>
      </c>
      <c r="B1004" s="0" t="inlineStr">
        <is>
          <t>F9</t>
        </is>
      </c>
      <c r="C1004" s="0" t="inlineStr">
        <is>
          <t>F9</t>
        </is>
      </c>
      <c r="D1004" s="0" t="n">
        <v>420.781040966667</v>
      </c>
    </row>
    <row r="1005">
      <c r="A1005" s="0" t="inlineStr">
        <is>
          <t>GloVe-100</t>
        </is>
      </c>
      <c r="B1005" s="0" t="inlineStr">
        <is>
          <t>G9</t>
        </is>
      </c>
      <c r="C1005" s="0" t="inlineStr">
        <is>
          <t>G9</t>
        </is>
      </c>
      <c r="D1005" s="0" t="n">
        <v>156085.1456</v>
      </c>
    </row>
    <row r="1006">
      <c r="A1006" s="0" t="inlineStr">
        <is>
          <t>GloVe-100</t>
        </is>
      </c>
      <c r="B1006" s="0" t="inlineStr">
        <is>
          <t>H9</t>
        </is>
      </c>
      <c r="C1006" s="0" t="inlineStr">
        <is>
          <t>H9</t>
        </is>
      </c>
      <c r="D1006" s="0" t="n">
        <v>1028.47328478333</v>
      </c>
    </row>
    <row r="1007">
      <c r="A1007" s="0" t="inlineStr">
        <is>
          <t>GloVe-100</t>
        </is>
      </c>
      <c r="B1007" s="0" t="inlineStr">
        <is>
          <t>D10</t>
        </is>
      </c>
      <c r="C1007" s="0" t="inlineStr">
        <is>
          <t>D10</t>
        </is>
      </c>
      <c r="D1007" s="0" t="inlineStr">
        <is>
          <t>ANNProof</t>
        </is>
      </c>
    </row>
    <row r="1008">
      <c r="A1008" s="0" t="inlineStr">
        <is>
          <t>GloVe-100</t>
        </is>
      </c>
      <c r="B1008" s="0" t="inlineStr">
        <is>
          <t>E10</t>
        </is>
      </c>
      <c r="C1008" s="0" t="inlineStr">
        <is>
          <t>E10</t>
        </is>
      </c>
      <c r="D1008" s="0" t="n">
        <v>95.5</v>
      </c>
    </row>
    <row r="1009">
      <c r="A1009" s="0" t="inlineStr">
        <is>
          <t>GloVe-100</t>
        </is>
      </c>
      <c r="B1009" s="0" t="inlineStr">
        <is>
          <t>F10</t>
        </is>
      </c>
      <c r="C1009" s="0" t="inlineStr">
        <is>
          <t>F10</t>
        </is>
      </c>
      <c r="D1009" s="0" t="n">
        <v>69.7219818833333</v>
      </c>
    </row>
    <row r="1010">
      <c r="A1010" s="0" t="inlineStr">
        <is>
          <t>GloVe-100</t>
        </is>
      </c>
      <c r="B1010" s="0" t="inlineStr">
        <is>
          <t>G10</t>
        </is>
      </c>
      <c r="C1010" s="0" t="inlineStr">
        <is>
          <t>G10</t>
        </is>
      </c>
      <c r="D1010" s="0" t="n">
        <v>20286.7284</v>
      </c>
    </row>
    <row r="1011">
      <c r="A1011" s="0" t="inlineStr">
        <is>
          <t>GloVe-100</t>
        </is>
      </c>
      <c r="B1011" s="0" t="inlineStr">
        <is>
          <t>H10</t>
        </is>
      </c>
      <c r="C1011" s="0" t="inlineStr">
        <is>
          <t>H10</t>
        </is>
      </c>
      <c r="D1011" s="0" t="n">
        <v>263.942687483333</v>
      </c>
    </row>
    <row r="1012">
      <c r="A1012" s="0" t="inlineStr">
        <is>
          <t>GloVe-100</t>
        </is>
      </c>
      <c r="B1012" s="0" t="inlineStr">
        <is>
          <t>D11</t>
        </is>
      </c>
      <c r="C1012" s="0" t="inlineStr">
        <is>
          <t>D11</t>
        </is>
      </c>
      <c r="D1012" s="0" t="inlineStr">
        <is>
          <t>Ours</t>
        </is>
      </c>
    </row>
    <row r="1013">
      <c r="A1013" s="0" t="inlineStr">
        <is>
          <t>GloVe-100</t>
        </is>
      </c>
      <c r="B1013" s="0" t="inlineStr">
        <is>
          <t>E11</t>
        </is>
      </c>
      <c r="C1013" s="0" t="inlineStr">
        <is>
          <t>E11</t>
        </is>
      </c>
      <c r="D1013" s="0" t="n">
        <v>96</v>
      </c>
    </row>
    <row r="1014">
      <c r="A1014" s="0" t="inlineStr">
        <is>
          <t>GloVe-100</t>
        </is>
      </c>
      <c r="B1014" s="0" t="inlineStr">
        <is>
          <t>F11</t>
        </is>
      </c>
      <c r="C1014" s="0" t="inlineStr">
        <is>
          <t>F11</t>
        </is>
      </c>
      <c r="D1014" s="0" t="n">
        <v>52.0690504666667</v>
      </c>
    </row>
    <row r="1015">
      <c r="A1015" s="0" t="inlineStr">
        <is>
          <t>GloVe-100</t>
        </is>
      </c>
      <c r="B1015" s="0" t="inlineStr">
        <is>
          <t>G11</t>
        </is>
      </c>
      <c r="C1015" s="0" t="inlineStr">
        <is>
          <t>G11</t>
        </is>
      </c>
      <c r="D1015" s="0" t="n">
        <v>3831.7115</v>
      </c>
    </row>
    <row r="1016">
      <c r="A1016" s="0" t="inlineStr">
        <is>
          <t>GloVe-100</t>
        </is>
      </c>
      <c r="B1016" s="0" t="inlineStr">
        <is>
          <t>H11</t>
        </is>
      </c>
      <c r="C1016" s="0" t="inlineStr">
        <is>
          <t>H11</t>
        </is>
      </c>
      <c r="D1016" s="0" t="n">
        <v>110.41652915</v>
      </c>
    </row>
    <row r="1017">
      <c r="A1017" s="0" t="inlineStr">
        <is>
          <t>GloVe-100</t>
        </is>
      </c>
      <c r="B1017" s="0" t="inlineStr">
        <is>
          <t>E15</t>
        </is>
      </c>
      <c r="C1017" s="0" t="inlineStr">
        <is>
          <t>E16</t>
        </is>
      </c>
      <c r="D1017" s="0" t="inlineStr">
        <is>
          <t>Target Recall (%)</t>
        </is>
      </c>
    </row>
    <row r="1018">
      <c r="A1018" s="0" t="inlineStr">
        <is>
          <t>GloVe-100</t>
        </is>
      </c>
      <c r="B1018" s="0" t="inlineStr">
        <is>
          <t>F15</t>
        </is>
      </c>
      <c r="C1018" s="0" t="inlineStr">
        <is>
          <t>F16</t>
        </is>
      </c>
      <c r="D1018" s="0" t="n">
        <v>60</v>
      </c>
    </row>
    <row r="1019">
      <c r="A1019" s="0" t="inlineStr">
        <is>
          <t>GloVe-100</t>
        </is>
      </c>
      <c r="B1019" s="0" t="inlineStr">
        <is>
          <t>G15</t>
        </is>
      </c>
      <c r="C1019" s="0" t="inlineStr">
        <is>
          <t>G16</t>
        </is>
      </c>
      <c r="D1019" s="0" t="n">
        <v>65</v>
      </c>
    </row>
    <row r="1020">
      <c r="A1020" s="0" t="inlineStr">
        <is>
          <t>GloVe-100</t>
        </is>
      </c>
      <c r="B1020" s="0" t="inlineStr">
        <is>
          <t>H15</t>
        </is>
      </c>
      <c r="C1020" s="0" t="inlineStr">
        <is>
          <t>H16</t>
        </is>
      </c>
      <c r="D1020" s="0" t="n">
        <v>70</v>
      </c>
    </row>
    <row r="1021">
      <c r="A1021" s="0" t="inlineStr">
        <is>
          <t>GloVe-100</t>
        </is>
      </c>
      <c r="B1021" s="0" t="inlineStr">
        <is>
          <t>I15</t>
        </is>
      </c>
      <c r="C1021" s="0" t="inlineStr">
        <is>
          <t>I16</t>
        </is>
      </c>
      <c r="D1021" s="0" t="n">
        <v>75</v>
      </c>
    </row>
    <row r="1022">
      <c r="A1022" s="0" t="inlineStr">
        <is>
          <t>GloVe-100</t>
        </is>
      </c>
      <c r="B1022" s="0" t="inlineStr">
        <is>
          <t>J15</t>
        </is>
      </c>
      <c r="C1022" s="0" t="inlineStr">
        <is>
          <t>J16</t>
        </is>
      </c>
      <c r="D1022" s="0" t="n">
        <v>80</v>
      </c>
    </row>
    <row r="1023">
      <c r="A1023" s="0" t="inlineStr">
        <is>
          <t>GloVe-100</t>
        </is>
      </c>
      <c r="B1023" s="0" t="inlineStr">
        <is>
          <t>K15</t>
        </is>
      </c>
      <c r="C1023" s="0" t="inlineStr">
        <is>
          <t>K16</t>
        </is>
      </c>
      <c r="D1023" s="0" t="n">
        <v>85</v>
      </c>
    </row>
    <row r="1024">
      <c r="A1024" s="0" t="inlineStr">
        <is>
          <t>GloVe-100</t>
        </is>
      </c>
      <c r="B1024" s="0" t="inlineStr">
        <is>
          <t>L15</t>
        </is>
      </c>
      <c r="C1024" s="0" t="inlineStr">
        <is>
          <t>L16</t>
        </is>
      </c>
      <c r="D1024" s="0" t="n">
        <v>90</v>
      </c>
    </row>
    <row r="1025">
      <c r="A1025" s="0" t="inlineStr">
        <is>
          <t>GloVe-100</t>
        </is>
      </c>
      <c r="B1025" s="0" t="inlineStr">
        <is>
          <t>M15</t>
        </is>
      </c>
      <c r="C1025" s="0" t="inlineStr">
        <is>
          <t>M16</t>
        </is>
      </c>
      <c r="D1025" s="0" t="n">
        <v>95</v>
      </c>
    </row>
    <row r="1026">
      <c r="A1026" s="0" t="inlineStr">
        <is>
          <t>GloVe-100</t>
        </is>
      </c>
      <c r="B1026" s="0" t="inlineStr">
        <is>
          <t>N15</t>
        </is>
      </c>
      <c r="C1026" s="0" t="inlineStr">
        <is>
          <t>N16</t>
        </is>
      </c>
      <c r="D1026" s="0" t="n">
        <v>97</v>
      </c>
    </row>
    <row r="1027">
      <c r="A1027" s="0" t="inlineStr">
        <is>
          <t>GloVe-100</t>
        </is>
      </c>
      <c r="B1027" s="0" t="inlineStr">
        <is>
          <t>O15</t>
        </is>
      </c>
      <c r="C1027" s="0" t="inlineStr">
        <is>
          <t>O16</t>
        </is>
      </c>
      <c r="D1027" s="0" t="n">
        <v>98</v>
      </c>
    </row>
    <row r="1028">
      <c r="A1028" s="0" t="inlineStr">
        <is>
          <t>GloVe-100</t>
        </is>
      </c>
      <c r="B1028" s="0" t="inlineStr">
        <is>
          <t>P15</t>
        </is>
      </c>
      <c r="C1028" s="0" t="inlineStr">
        <is>
          <t>P16</t>
        </is>
      </c>
      <c r="D1028" s="0" t="n">
        <v>99</v>
      </c>
    </row>
    <row r="1029">
      <c r="A1029" s="0" t="inlineStr">
        <is>
          <t>GloVe-100</t>
        </is>
      </c>
      <c r="B1029" s="0" t="inlineStr">
        <is>
          <t>E16</t>
        </is>
      </c>
      <c r="C1029" s="0" t="inlineStr">
        <is>
          <t>E17</t>
        </is>
      </c>
      <c r="D1029" s="0" t="inlineStr">
        <is>
          <t>Recall@10 (change parameters enabling different recall rate) vs. VO size</t>
        </is>
      </c>
    </row>
    <row r="1030">
      <c r="A1030" s="0" t="inlineStr">
        <is>
          <t>GloVe-100</t>
        </is>
      </c>
      <c r="B1030" s="0" t="inlineStr">
        <is>
          <t>D18</t>
        </is>
      </c>
      <c r="C1030" s="0" t="inlineStr">
        <is>
          <t>D19</t>
        </is>
      </c>
      <c r="D1030" s="0" t="inlineStr">
        <is>
          <t>GloVe-100 (N=1,183,514, d=100)</t>
        </is>
      </c>
    </row>
    <row r="1031">
      <c r="A1031" s="0" t="inlineStr">
        <is>
          <t>GloVe-100</t>
        </is>
      </c>
      <c r="B1031" s="0" t="inlineStr">
        <is>
          <t>D19</t>
        </is>
      </c>
      <c r="C1031" s="0" t="inlineStr">
        <is>
          <t>D20</t>
        </is>
      </c>
      <c r="D1031" s="0" t="inlineStr">
        <is>
          <t>VLAH</t>
        </is>
      </c>
    </row>
    <row r="1032">
      <c r="A1032" s="0" t="inlineStr">
        <is>
          <t>GloVe-100</t>
        </is>
      </c>
      <c r="B1032" s="0" t="inlineStr">
        <is>
          <t>E19</t>
        </is>
      </c>
      <c r="C1032" s="0" t="inlineStr">
        <is>
          <t>E20</t>
        </is>
      </c>
      <c r="D1032" s="0" t="inlineStr">
        <is>
          <t>Recall rate</t>
        </is>
      </c>
    </row>
    <row r="1033">
      <c r="A1033" s="0" t="inlineStr">
        <is>
          <t>GloVe-100</t>
        </is>
      </c>
      <c r="B1033" s="0" t="inlineStr">
        <is>
          <t>F19</t>
        </is>
      </c>
      <c r="C1033" s="0" t="inlineStr">
        <is>
          <t>F20</t>
        </is>
      </c>
      <c r="D1033" s="0" t="n">
        <v>60</v>
      </c>
    </row>
    <row r="1034">
      <c r="A1034" s="0" t="inlineStr">
        <is>
          <t>GloVe-100</t>
        </is>
      </c>
      <c r="B1034" s="0" t="inlineStr">
        <is>
          <t>G19</t>
        </is>
      </c>
      <c r="C1034" s="0" t="inlineStr">
        <is>
          <t>G20</t>
        </is>
      </c>
      <c r="D1034" s="0" t="n">
        <v>66</v>
      </c>
    </row>
    <row r="1035">
      <c r="A1035" s="0" t="inlineStr">
        <is>
          <t>GloVe-100</t>
        </is>
      </c>
      <c r="B1035" s="0" t="inlineStr">
        <is>
          <t>H19</t>
        </is>
      </c>
      <c r="C1035" s="0" t="inlineStr">
        <is>
          <t>H20</t>
        </is>
      </c>
      <c r="D1035" s="0" t="n">
        <v>70</v>
      </c>
    </row>
    <row r="1036">
      <c r="A1036" s="0" t="inlineStr">
        <is>
          <t>GloVe-100</t>
        </is>
      </c>
      <c r="B1036" s="0" t="inlineStr">
        <is>
          <t>I19</t>
        </is>
      </c>
      <c r="C1036" s="0" t="inlineStr">
        <is>
          <t>I20</t>
        </is>
      </c>
      <c r="D1036" s="0" t="n">
        <v>75.5</v>
      </c>
    </row>
    <row r="1037">
      <c r="A1037" s="0" t="inlineStr">
        <is>
          <t>GloVe-100</t>
        </is>
      </c>
      <c r="B1037" s="0" t="inlineStr">
        <is>
          <t>J19</t>
        </is>
      </c>
      <c r="C1037" s="0" t="inlineStr">
        <is>
          <t>J20</t>
        </is>
      </c>
      <c r="D1037" s="0" t="n">
        <v>80</v>
      </c>
    </row>
    <row r="1038">
      <c r="A1038" s="0" t="inlineStr">
        <is>
          <t>GloVe-100</t>
        </is>
      </c>
      <c r="B1038" s="0" t="inlineStr">
        <is>
          <t>K19</t>
        </is>
      </c>
      <c r="C1038" s="0" t="inlineStr">
        <is>
          <t>K20</t>
        </is>
      </c>
      <c r="D1038" s="0" t="n">
        <v>85</v>
      </c>
    </row>
    <row r="1039">
      <c r="A1039" s="0" t="inlineStr">
        <is>
          <t>GloVe-100</t>
        </is>
      </c>
      <c r="B1039" s="0" t="inlineStr">
        <is>
          <t>L19</t>
        </is>
      </c>
      <c r="C1039" s="0" t="inlineStr">
        <is>
          <t>L20</t>
        </is>
      </c>
      <c r="D1039" s="0" t="n">
        <v>90</v>
      </c>
    </row>
    <row r="1040">
      <c r="A1040" s="0" t="inlineStr">
        <is>
          <t>GloVe-100</t>
        </is>
      </c>
      <c r="B1040" s="0" t="inlineStr">
        <is>
          <t>M19</t>
        </is>
      </c>
      <c r="C1040" s="0" t="inlineStr">
        <is>
          <t>M20</t>
        </is>
      </c>
      <c r="D1040" s="0" t="n">
        <v>95</v>
      </c>
    </row>
    <row r="1041">
      <c r="A1041" s="0" t="inlineStr">
        <is>
          <t>GloVe-100</t>
        </is>
      </c>
      <c r="B1041" s="0" t="inlineStr">
        <is>
          <t>N19</t>
        </is>
      </c>
      <c r="C1041" s="0" t="inlineStr">
        <is>
          <t>N20</t>
        </is>
      </c>
      <c r="D1041" s="0" t="n">
        <v>97.5</v>
      </c>
    </row>
    <row r="1042">
      <c r="A1042" s="0" t="inlineStr">
        <is>
          <t>GloVe-100</t>
        </is>
      </c>
      <c r="B1042" s="0" t="inlineStr">
        <is>
          <t>O19</t>
        </is>
      </c>
      <c r="C1042" s="0" t="inlineStr">
        <is>
          <t>O20</t>
        </is>
      </c>
      <c r="D1042" s="0" t="n">
        <v>99</v>
      </c>
    </row>
    <row r="1043">
      <c r="A1043" s="0" t="inlineStr">
        <is>
          <t>GloVe-100</t>
        </is>
      </c>
      <c r="B1043" s="0" t="inlineStr">
        <is>
          <t>P19</t>
        </is>
      </c>
      <c r="C1043" s="0" t="inlineStr">
        <is>
          <t>P20</t>
        </is>
      </c>
      <c r="D1043" s="0" t="n">
        <v>99</v>
      </c>
    </row>
    <row r="1044">
      <c r="A1044" s="0" t="inlineStr">
        <is>
          <t>GloVe-100</t>
        </is>
      </c>
      <c r="B1044" s="0" t="inlineStr">
        <is>
          <t>E20</t>
        </is>
      </c>
      <c r="C1044" s="0" t="inlineStr">
        <is>
          <t>E21</t>
        </is>
      </c>
      <c r="D1044" s="0" t="inlineStr">
        <is>
          <t>VO size</t>
        </is>
      </c>
    </row>
    <row r="1045">
      <c r="A1045" s="0" t="inlineStr">
        <is>
          <t>GloVe-100</t>
        </is>
      </c>
      <c r="B1045" s="0" t="inlineStr">
        <is>
          <t>F20</t>
        </is>
      </c>
      <c r="C1045" s="0" t="inlineStr">
        <is>
          <t>F21</t>
        </is>
      </c>
      <c r="D1045" s="0" t="n">
        <v>71940.71705000001</v>
      </c>
    </row>
    <row r="1046">
      <c r="A1046" s="0" t="inlineStr">
        <is>
          <t>GloVe-100</t>
        </is>
      </c>
      <c r="B1046" s="0" t="inlineStr">
        <is>
          <t>G20</t>
        </is>
      </c>
      <c r="C1046" s="0" t="inlineStr">
        <is>
          <t>G21</t>
        </is>
      </c>
      <c r="D1046" s="0" t="n">
        <v>80033.77295</v>
      </c>
    </row>
    <row r="1047">
      <c r="A1047" s="0" t="inlineStr">
        <is>
          <t>GloVe-100</t>
        </is>
      </c>
      <c r="B1047" s="0" t="inlineStr">
        <is>
          <t>H20</t>
        </is>
      </c>
      <c r="C1047" s="0" t="inlineStr">
        <is>
          <t>H21</t>
        </is>
      </c>
      <c r="D1047" s="0" t="n">
        <v>93865.80645</v>
      </c>
    </row>
    <row r="1048">
      <c r="A1048" s="0" t="inlineStr">
        <is>
          <t>GloVe-100</t>
        </is>
      </c>
      <c r="B1048" s="0" t="inlineStr">
        <is>
          <t>I20</t>
        </is>
      </c>
      <c r="C1048" s="0" t="inlineStr">
        <is>
          <t>I21</t>
        </is>
      </c>
      <c r="D1048" s="0" t="n">
        <v>101923.7214</v>
      </c>
    </row>
    <row r="1049">
      <c r="A1049" s="0" t="inlineStr">
        <is>
          <t>GloVe-100</t>
        </is>
      </c>
      <c r="B1049" s="0" t="inlineStr">
        <is>
          <t>J20</t>
        </is>
      </c>
      <c r="C1049" s="0" t="inlineStr">
        <is>
          <t>J21</t>
        </is>
      </c>
      <c r="D1049" s="0" t="n">
        <v>110226.50895</v>
      </c>
    </row>
    <row r="1050">
      <c r="A1050" s="0" t="inlineStr">
        <is>
          <t>GloVe-100</t>
        </is>
      </c>
      <c r="B1050" s="0" t="inlineStr">
        <is>
          <t>K20</t>
        </is>
      </c>
      <c r="C1050" s="0" t="inlineStr">
        <is>
          <t>K21</t>
        </is>
      </c>
      <c r="D1050" s="0" t="n">
        <v>133079.4778</v>
      </c>
    </row>
    <row r="1051">
      <c r="A1051" s="0" t="inlineStr">
        <is>
          <t>GloVe-100</t>
        </is>
      </c>
      <c r="B1051" s="0" t="inlineStr">
        <is>
          <t>L20</t>
        </is>
      </c>
      <c r="C1051" s="0" t="inlineStr">
        <is>
          <t>L21</t>
        </is>
      </c>
      <c r="D1051" s="0" t="n">
        <v>144688.8688</v>
      </c>
    </row>
    <row r="1052">
      <c r="A1052" s="0" t="inlineStr">
        <is>
          <t>GloVe-100</t>
        </is>
      </c>
      <c r="B1052" s="0" t="inlineStr">
        <is>
          <t>M20</t>
        </is>
      </c>
      <c r="C1052" s="0" t="inlineStr">
        <is>
          <t>M21</t>
        </is>
      </c>
      <c r="D1052" s="0" t="n">
        <v>156085.1456</v>
      </c>
    </row>
    <row r="1053">
      <c r="A1053" s="0" t="inlineStr">
        <is>
          <t>GloVe-100</t>
        </is>
      </c>
      <c r="B1053" s="0" t="inlineStr">
        <is>
          <t>N20</t>
        </is>
      </c>
      <c r="C1053" s="0" t="inlineStr">
        <is>
          <t>N21</t>
        </is>
      </c>
      <c r="D1053" s="0" t="n">
        <v>161728.77015</v>
      </c>
    </row>
    <row r="1054">
      <c r="A1054" s="0" t="inlineStr">
        <is>
          <t>GloVe-100</t>
        </is>
      </c>
      <c r="B1054" s="0" t="inlineStr">
        <is>
          <t>O20</t>
        </is>
      </c>
      <c r="C1054" s="0" t="inlineStr">
        <is>
          <t>O21</t>
        </is>
      </c>
      <c r="D1054" s="0" t="n">
        <v>166742.1118</v>
      </c>
    </row>
    <row r="1055">
      <c r="A1055" s="0" t="inlineStr">
        <is>
          <t>GloVe-100</t>
        </is>
      </c>
      <c r="B1055" s="0" t="inlineStr">
        <is>
          <t>P20</t>
        </is>
      </c>
      <c r="C1055" s="0" t="inlineStr">
        <is>
          <t>P21</t>
        </is>
      </c>
      <c r="D1055" s="0" t="n">
        <v>166742.1118</v>
      </c>
    </row>
    <row r="1056">
      <c r="A1056" s="0" t="inlineStr">
        <is>
          <t>GloVe-100</t>
        </is>
      </c>
      <c r="B1056" s="0" t="inlineStr">
        <is>
          <t>D21</t>
        </is>
      </c>
      <c r="C1056" s="0" t="inlineStr">
        <is>
          <t>D22</t>
        </is>
      </c>
      <c r="D1056" s="0" t="inlineStr">
        <is>
          <t>ANNProof</t>
        </is>
      </c>
    </row>
    <row r="1057">
      <c r="A1057" s="0" t="inlineStr">
        <is>
          <t>GloVe-100</t>
        </is>
      </c>
      <c r="B1057" s="0" t="inlineStr">
        <is>
          <t>E21</t>
        </is>
      </c>
      <c r="C1057" s="0" t="inlineStr">
        <is>
          <t>E22</t>
        </is>
      </c>
      <c r="D1057" s="0" t="inlineStr">
        <is>
          <t>Recall rate</t>
        </is>
      </c>
    </row>
    <row r="1058">
      <c r="A1058" s="0" t="inlineStr">
        <is>
          <t>GloVe-100</t>
        </is>
      </c>
      <c r="B1058" s="0" t="inlineStr">
        <is>
          <t>F21</t>
        </is>
      </c>
      <c r="C1058" s="0" t="inlineStr">
        <is>
          <t>F22</t>
        </is>
      </c>
      <c r="D1058" s="0" t="n">
        <v>66.5</v>
      </c>
    </row>
    <row r="1059">
      <c r="A1059" s="0" t="inlineStr">
        <is>
          <t>GloVe-100</t>
        </is>
      </c>
      <c r="B1059" s="0" t="inlineStr">
        <is>
          <t>G21</t>
        </is>
      </c>
      <c r="C1059" s="0" t="inlineStr">
        <is>
          <t>G22</t>
        </is>
      </c>
      <c r="D1059" s="0" t="n">
        <v>66.5</v>
      </c>
    </row>
    <row r="1060">
      <c r="A1060" s="0" t="inlineStr">
        <is>
          <t>GloVe-100</t>
        </is>
      </c>
      <c r="B1060" s="0" t="inlineStr">
        <is>
          <t>H21</t>
        </is>
      </c>
      <c r="C1060" s="0" t="inlineStr">
        <is>
          <t>H22</t>
        </is>
      </c>
      <c r="D1060" s="0" t="n">
        <v>77.5</v>
      </c>
    </row>
    <row r="1061">
      <c r="A1061" s="0" t="inlineStr">
        <is>
          <t>GloVe-100</t>
        </is>
      </c>
      <c r="B1061" s="0" t="inlineStr">
        <is>
          <t>I21</t>
        </is>
      </c>
      <c r="C1061" s="0" t="inlineStr">
        <is>
          <t>I22</t>
        </is>
      </c>
      <c r="D1061" s="0" t="n">
        <v>77.5</v>
      </c>
    </row>
    <row r="1062">
      <c r="A1062" s="0" t="inlineStr">
        <is>
          <t>GloVe-100</t>
        </is>
      </c>
      <c r="B1062" s="0" t="inlineStr">
        <is>
          <t>J21</t>
        </is>
      </c>
      <c r="C1062" s="0" t="inlineStr">
        <is>
          <t>J22</t>
        </is>
      </c>
      <c r="D1062" s="0" t="n">
        <v>83.5</v>
      </c>
    </row>
    <row r="1063">
      <c r="A1063" s="0" t="inlineStr">
        <is>
          <t>GloVe-100</t>
        </is>
      </c>
      <c r="B1063" s="0" t="inlineStr">
        <is>
          <t>K21</t>
        </is>
      </c>
      <c r="C1063" s="0" t="inlineStr">
        <is>
          <t>K22</t>
        </is>
      </c>
      <c r="D1063" s="0" t="n">
        <v>87.5</v>
      </c>
    </row>
    <row r="1064">
      <c r="A1064" s="0" t="inlineStr">
        <is>
          <t>GloVe-100</t>
        </is>
      </c>
      <c r="B1064" s="0" t="inlineStr">
        <is>
          <t>L21</t>
        </is>
      </c>
      <c r="C1064" s="0" t="inlineStr">
        <is>
          <t>L22</t>
        </is>
      </c>
      <c r="D1064" s="0" t="n">
        <v>90</v>
      </c>
    </row>
    <row r="1065">
      <c r="A1065" s="0" t="inlineStr">
        <is>
          <t>GloVe-100</t>
        </is>
      </c>
      <c r="B1065" s="0" t="inlineStr">
        <is>
          <t>M21</t>
        </is>
      </c>
      <c r="C1065" s="0" t="inlineStr">
        <is>
          <t>M22</t>
        </is>
      </c>
      <c r="D1065" s="0" t="n">
        <v>95.5</v>
      </c>
    </row>
    <row r="1066">
      <c r="A1066" s="0" t="inlineStr">
        <is>
          <t>GloVe-100</t>
        </is>
      </c>
      <c r="B1066" s="0" t="inlineStr">
        <is>
          <t>N21</t>
        </is>
      </c>
      <c r="C1066" s="0" t="inlineStr">
        <is>
          <t>N22</t>
        </is>
      </c>
      <c r="D1066" s="0" t="n">
        <v>97.5</v>
      </c>
    </row>
    <row r="1067">
      <c r="A1067" s="0" t="inlineStr">
        <is>
          <t>GloVe-100</t>
        </is>
      </c>
      <c r="B1067" s="0" t="inlineStr">
        <is>
          <t>O21</t>
        </is>
      </c>
      <c r="C1067" s="0" t="inlineStr">
        <is>
          <t>O22</t>
        </is>
      </c>
      <c r="D1067" s="0" t="n">
        <v>98.5</v>
      </c>
    </row>
    <row r="1068">
      <c r="A1068" s="0" t="inlineStr">
        <is>
          <t>GloVe-100</t>
        </is>
      </c>
      <c r="B1068" s="0" t="inlineStr">
        <is>
          <t>P21</t>
        </is>
      </c>
      <c r="C1068" s="0" t="inlineStr">
        <is>
          <t>P22</t>
        </is>
      </c>
      <c r="D1068" s="0" t="n">
        <v>99</v>
      </c>
    </row>
    <row r="1069">
      <c r="A1069" s="0" t="inlineStr">
        <is>
          <t>GloVe-100</t>
        </is>
      </c>
      <c r="B1069" s="0" t="inlineStr">
        <is>
          <t>E22</t>
        </is>
      </c>
      <c r="C1069" s="0" t="inlineStr">
        <is>
          <t>E23</t>
        </is>
      </c>
      <c r="D1069" s="0" t="inlineStr">
        <is>
          <t>VO size</t>
        </is>
      </c>
    </row>
    <row r="1070">
      <c r="A1070" s="0" t="inlineStr">
        <is>
          <t>GloVe-100</t>
        </is>
      </c>
      <c r="B1070" s="0" t="inlineStr">
        <is>
          <t>F22</t>
        </is>
      </c>
      <c r="C1070" s="0" t="inlineStr">
        <is>
          <t>F23</t>
        </is>
      </c>
      <c r="D1070" s="0" t="n">
        <v>1768.2552</v>
      </c>
    </row>
    <row r="1071">
      <c r="A1071" s="0" t="inlineStr">
        <is>
          <t>GloVe-100</t>
        </is>
      </c>
      <c r="B1071" s="0" t="inlineStr">
        <is>
          <t>G22</t>
        </is>
      </c>
      <c r="C1071" s="0" t="inlineStr">
        <is>
          <t>G23</t>
        </is>
      </c>
      <c r="D1071" s="0" t="n">
        <v>1768.2552</v>
      </c>
    </row>
    <row r="1072">
      <c r="A1072" s="0" t="inlineStr">
        <is>
          <t>GloVe-100</t>
        </is>
      </c>
      <c r="B1072" s="0" t="inlineStr">
        <is>
          <t>H22</t>
        </is>
      </c>
      <c r="C1072" s="0" t="inlineStr">
        <is>
          <t>H23</t>
        </is>
      </c>
      <c r="D1072" s="0" t="n">
        <v>2889.171</v>
      </c>
    </row>
    <row r="1073">
      <c r="A1073" s="0" t="inlineStr">
        <is>
          <t>GloVe-100</t>
        </is>
      </c>
      <c r="B1073" s="0" t="inlineStr">
        <is>
          <t>I22</t>
        </is>
      </c>
      <c r="C1073" s="0" t="inlineStr">
        <is>
          <t>I23</t>
        </is>
      </c>
      <c r="D1073" s="0" t="n">
        <v>2889.171</v>
      </c>
    </row>
    <row r="1074">
      <c r="A1074" s="0" t="inlineStr">
        <is>
          <t>GloVe-100</t>
        </is>
      </c>
      <c r="B1074" s="0" t="inlineStr">
        <is>
          <t>J22</t>
        </is>
      </c>
      <c r="C1074" s="0" t="inlineStr">
        <is>
          <t>J23</t>
        </is>
      </c>
      <c r="D1074" s="0" t="n">
        <v>3909.6394</v>
      </c>
    </row>
    <row r="1075">
      <c r="A1075" s="0" t="inlineStr">
        <is>
          <t>GloVe-100</t>
        </is>
      </c>
      <c r="B1075" s="0" t="inlineStr">
        <is>
          <t>K22</t>
        </is>
      </c>
      <c r="C1075" s="0" t="inlineStr">
        <is>
          <t>K23</t>
        </is>
      </c>
      <c r="D1075" s="0" t="n">
        <v>4944.9728</v>
      </c>
    </row>
    <row r="1076">
      <c r="A1076" s="0" t="inlineStr">
        <is>
          <t>GloVe-100</t>
        </is>
      </c>
      <c r="B1076" s="0" t="inlineStr">
        <is>
          <t>L22</t>
        </is>
      </c>
      <c r="C1076" s="0" t="inlineStr">
        <is>
          <t>L23</t>
        </is>
      </c>
      <c r="D1076" s="0" t="n">
        <v>6713.085</v>
      </c>
    </row>
    <row r="1077">
      <c r="A1077" s="0" t="inlineStr">
        <is>
          <t>GloVe-100</t>
        </is>
      </c>
      <c r="B1077" s="0" t="inlineStr">
        <is>
          <t>M22</t>
        </is>
      </c>
      <c r="C1077" s="0" t="inlineStr">
        <is>
          <t>M23</t>
        </is>
      </c>
      <c r="D1077" s="0" t="n">
        <v>20286.7284</v>
      </c>
    </row>
    <row r="1078">
      <c r="A1078" s="0" t="inlineStr">
        <is>
          <t>GloVe-100</t>
        </is>
      </c>
      <c r="B1078" s="0" t="inlineStr">
        <is>
          <t>N22</t>
        </is>
      </c>
      <c r="C1078" s="0" t="inlineStr">
        <is>
          <t>N23</t>
        </is>
      </c>
      <c r="D1078" s="0" t="n">
        <v>25439.6608</v>
      </c>
    </row>
    <row r="1079">
      <c r="A1079" s="0" t="inlineStr">
        <is>
          <t>GloVe-100</t>
        </is>
      </c>
      <c r="B1079" s="0" t="inlineStr">
        <is>
          <t>O22</t>
        </is>
      </c>
      <c r="C1079" s="0" t="inlineStr">
        <is>
          <t>O23</t>
        </is>
      </c>
      <c r="D1079" s="0" t="n">
        <v>43668.8608</v>
      </c>
    </row>
    <row r="1080">
      <c r="A1080" s="0" t="inlineStr">
        <is>
          <t>GloVe-100</t>
        </is>
      </c>
      <c r="B1080" s="0" t="inlineStr">
        <is>
          <t>P22</t>
        </is>
      </c>
      <c r="C1080" s="0" t="inlineStr">
        <is>
          <t>P23</t>
        </is>
      </c>
      <c r="D1080" s="0" t="n">
        <v>73904.36840000001</v>
      </c>
    </row>
    <row r="1081">
      <c r="A1081" s="0" t="inlineStr">
        <is>
          <t>GloVe-100</t>
        </is>
      </c>
      <c r="B1081" s="0" t="inlineStr">
        <is>
          <t>D23</t>
        </is>
      </c>
      <c r="C1081" s="0" t="inlineStr">
        <is>
          <t>D24</t>
        </is>
      </c>
      <c r="D1081" s="0" t="inlineStr">
        <is>
          <t>Ours</t>
        </is>
      </c>
    </row>
    <row r="1082">
      <c r="A1082" s="0" t="inlineStr">
        <is>
          <t>GloVe-100</t>
        </is>
      </c>
      <c r="B1082" s="0" t="inlineStr">
        <is>
          <t>E23</t>
        </is>
      </c>
      <c r="C1082" s="0" t="inlineStr">
        <is>
          <t>E24</t>
        </is>
      </c>
      <c r="D1082" s="0" t="inlineStr">
        <is>
          <t>Recall rate</t>
        </is>
      </c>
    </row>
    <row r="1083">
      <c r="A1083" s="0" t="inlineStr">
        <is>
          <t>GloVe-100</t>
        </is>
      </c>
      <c r="B1083" s="0" t="inlineStr">
        <is>
          <t>F23</t>
        </is>
      </c>
      <c r="C1083" s="0" t="inlineStr">
        <is>
          <t>F24</t>
        </is>
      </c>
      <c r="D1083" s="0" t="n">
        <v>60.5</v>
      </c>
    </row>
    <row r="1084">
      <c r="A1084" s="0" t="inlineStr">
        <is>
          <t>GloVe-100</t>
        </is>
      </c>
      <c r="B1084" s="0" t="inlineStr">
        <is>
          <t>G23</t>
        </is>
      </c>
      <c r="C1084" s="0" t="inlineStr">
        <is>
          <t>G24</t>
        </is>
      </c>
      <c r="D1084" s="0" t="n">
        <v>71.5</v>
      </c>
    </row>
    <row r="1085">
      <c r="A1085" s="0" t="inlineStr">
        <is>
          <t>GloVe-100</t>
        </is>
      </c>
      <c r="B1085" s="0" t="inlineStr">
        <is>
          <t>H23</t>
        </is>
      </c>
      <c r="C1085" s="0" t="inlineStr">
        <is>
          <t>H24</t>
        </is>
      </c>
      <c r="D1085" s="0" t="n">
        <v>71.5</v>
      </c>
    </row>
    <row r="1086">
      <c r="A1086" s="0" t="inlineStr">
        <is>
          <t>GloVe-100</t>
        </is>
      </c>
      <c r="B1086" s="0" t="inlineStr">
        <is>
          <t>I23</t>
        </is>
      </c>
      <c r="C1086" s="0" t="inlineStr">
        <is>
          <t>I24</t>
        </is>
      </c>
      <c r="D1086" s="0" t="n">
        <v>81</v>
      </c>
    </row>
    <row r="1087">
      <c r="A1087" s="0" t="inlineStr">
        <is>
          <t>GloVe-100</t>
        </is>
      </c>
      <c r="B1087" s="0" t="inlineStr">
        <is>
          <t>J23</t>
        </is>
      </c>
      <c r="C1087" s="0" t="inlineStr">
        <is>
          <t>J24</t>
        </is>
      </c>
      <c r="D1087" s="0" t="n">
        <v>81</v>
      </c>
    </row>
    <row r="1088">
      <c r="A1088" s="0" t="inlineStr">
        <is>
          <t>GloVe-100</t>
        </is>
      </c>
      <c r="B1088" s="0" t="inlineStr">
        <is>
          <t>K23</t>
        </is>
      </c>
      <c r="C1088" s="0" t="inlineStr">
        <is>
          <t>K24</t>
        </is>
      </c>
      <c r="D1088" s="0" t="n">
        <v>85.5</v>
      </c>
    </row>
    <row r="1089">
      <c r="A1089" s="0" t="inlineStr">
        <is>
          <t>GloVe-100</t>
        </is>
      </c>
      <c r="B1089" s="0" t="inlineStr">
        <is>
          <t>L23</t>
        </is>
      </c>
      <c r="C1089" s="0" t="inlineStr">
        <is>
          <t>L24</t>
        </is>
      </c>
      <c r="D1089" s="0" t="n">
        <v>91</v>
      </c>
    </row>
    <row r="1090">
      <c r="A1090" s="0" t="inlineStr">
        <is>
          <t>GloVe-100</t>
        </is>
      </c>
      <c r="B1090" s="0" t="inlineStr">
        <is>
          <t>M23</t>
        </is>
      </c>
      <c r="C1090" s="0" t="inlineStr">
        <is>
          <t>M24</t>
        </is>
      </c>
      <c r="D1090" s="0" t="n">
        <v>96</v>
      </c>
    </row>
    <row r="1091">
      <c r="A1091" s="0" t="inlineStr">
        <is>
          <t>GloVe-100</t>
        </is>
      </c>
      <c r="B1091" s="0" t="inlineStr">
        <is>
          <t>N23</t>
        </is>
      </c>
      <c r="C1091" s="0" t="inlineStr">
        <is>
          <t>N24</t>
        </is>
      </c>
      <c r="D1091" s="0" t="n">
        <v>97.5</v>
      </c>
    </row>
    <row r="1092">
      <c r="A1092" s="0" t="inlineStr">
        <is>
          <t>GloVe-100</t>
        </is>
      </c>
      <c r="B1092" s="0" t="inlineStr">
        <is>
          <t>O23</t>
        </is>
      </c>
      <c r="C1092" s="0" t="inlineStr">
        <is>
          <t>O24</t>
        </is>
      </c>
      <c r="D1092" s="0" t="n">
        <v>98.5</v>
      </c>
    </row>
    <row r="1093">
      <c r="A1093" s="0" t="inlineStr">
        <is>
          <t>GloVe-100</t>
        </is>
      </c>
      <c r="B1093" s="0" t="inlineStr">
        <is>
          <t>P23</t>
        </is>
      </c>
      <c r="C1093" s="0" t="inlineStr">
        <is>
          <t>P24</t>
        </is>
      </c>
      <c r="D1093" s="0" t="n">
        <v>99.5</v>
      </c>
    </row>
    <row r="1094">
      <c r="A1094" s="0" t="inlineStr">
        <is>
          <t>GloVe-100</t>
        </is>
      </c>
      <c r="B1094" s="0" t="inlineStr">
        <is>
          <t>E24</t>
        </is>
      </c>
      <c r="C1094" s="0" t="inlineStr">
        <is>
          <t>E25</t>
        </is>
      </c>
      <c r="D1094" s="0" t="inlineStr">
        <is>
          <t>VO size</t>
        </is>
      </c>
    </row>
    <row r="1095">
      <c r="A1095" s="0" t="inlineStr">
        <is>
          <t>GloVe-100</t>
        </is>
      </c>
      <c r="B1095" s="0" t="inlineStr">
        <is>
          <t>F24</t>
        </is>
      </c>
      <c r="C1095" s="0" t="inlineStr">
        <is>
          <t>F25</t>
        </is>
      </c>
      <c r="D1095" s="0" t="n">
        <v>433.98015</v>
      </c>
    </row>
    <row r="1096">
      <c r="A1096" s="0" t="inlineStr">
        <is>
          <t>GloVe-100</t>
        </is>
      </c>
      <c r="B1096" s="0" t="inlineStr">
        <is>
          <t>G24</t>
        </is>
      </c>
      <c r="C1096" s="0" t="inlineStr">
        <is>
          <t>G25</t>
        </is>
      </c>
      <c r="D1096" s="0" t="n">
        <v>568.61565</v>
      </c>
    </row>
    <row r="1097">
      <c r="A1097" s="0" t="inlineStr">
        <is>
          <t>GloVe-100</t>
        </is>
      </c>
      <c r="B1097" s="0" t="inlineStr">
        <is>
          <t>H24</t>
        </is>
      </c>
      <c r="C1097" s="0" t="inlineStr">
        <is>
          <t>H25</t>
        </is>
      </c>
      <c r="D1097" s="0" t="n">
        <v>568.61565</v>
      </c>
    </row>
    <row r="1098">
      <c r="A1098" s="0" t="inlineStr">
        <is>
          <t>GloVe-100</t>
        </is>
      </c>
      <c r="B1098" s="0" t="inlineStr">
        <is>
          <t>I24</t>
        </is>
      </c>
      <c r="C1098" s="0" t="inlineStr">
        <is>
          <t>I25</t>
        </is>
      </c>
      <c r="D1098" s="0" t="n">
        <v>914.7816</v>
      </c>
    </row>
    <row r="1099">
      <c r="A1099" s="0" t="inlineStr">
        <is>
          <t>GloVe-100</t>
        </is>
      </c>
      <c r="B1099" s="0" t="inlineStr">
        <is>
          <t>J24</t>
        </is>
      </c>
      <c r="C1099" s="0" t="inlineStr">
        <is>
          <t>J25</t>
        </is>
      </c>
      <c r="D1099" s="0" t="n">
        <v>914.7816</v>
      </c>
    </row>
    <row r="1100">
      <c r="A1100" s="0" t="inlineStr">
        <is>
          <t>GloVe-100</t>
        </is>
      </c>
      <c r="B1100" s="0" t="inlineStr">
        <is>
          <t>K24</t>
        </is>
      </c>
      <c r="C1100" s="0" t="inlineStr">
        <is>
          <t>K25</t>
        </is>
      </c>
      <c r="D1100" s="0" t="n">
        <v>1116.3342</v>
      </c>
    </row>
    <row r="1101">
      <c r="A1101" s="0" t="inlineStr">
        <is>
          <t>GloVe-100</t>
        </is>
      </c>
      <c r="B1101" s="0" t="inlineStr">
        <is>
          <t>L24</t>
        </is>
      </c>
      <c r="C1101" s="0" t="inlineStr">
        <is>
          <t>L25</t>
        </is>
      </c>
      <c r="D1101" s="0" t="n">
        <v>1801.49875</v>
      </c>
    </row>
    <row r="1102">
      <c r="A1102" s="0" t="inlineStr">
        <is>
          <t>GloVe-100</t>
        </is>
      </c>
      <c r="B1102" s="0" t="inlineStr">
        <is>
          <t>M24</t>
        </is>
      </c>
      <c r="C1102" s="0" t="inlineStr">
        <is>
          <t>M25</t>
        </is>
      </c>
      <c r="D1102" s="0" t="n">
        <v>3831.7115</v>
      </c>
    </row>
    <row r="1103">
      <c r="A1103" s="0" t="inlineStr">
        <is>
          <t>GloVe-100</t>
        </is>
      </c>
      <c r="B1103" s="0" t="inlineStr">
        <is>
          <t>N24</t>
        </is>
      </c>
      <c r="C1103" s="0" t="inlineStr">
        <is>
          <t>N25</t>
        </is>
      </c>
      <c r="D1103" s="0" t="n">
        <v>4656.3122</v>
      </c>
    </row>
    <row r="1104">
      <c r="A1104" s="0" t="inlineStr">
        <is>
          <t>GloVe-100</t>
        </is>
      </c>
      <c r="B1104" s="0" t="inlineStr">
        <is>
          <t>O24</t>
        </is>
      </c>
      <c r="C1104" s="0" t="inlineStr">
        <is>
          <t>O25</t>
        </is>
      </c>
      <c r="D1104" s="0" t="n">
        <v>7489.0097</v>
      </c>
    </row>
    <row r="1105">
      <c r="A1105" s="0" t="inlineStr">
        <is>
          <t>GloVe-100</t>
        </is>
      </c>
      <c r="B1105" s="0" t="inlineStr">
        <is>
          <t>P24</t>
        </is>
      </c>
      <c r="C1105" s="0" t="inlineStr">
        <is>
          <t>P25</t>
        </is>
      </c>
      <c r="D1105" s="0" t="n">
        <v>12067.1025</v>
      </c>
    </row>
    <row r="1106">
      <c r="A1106" s="0" t="inlineStr">
        <is>
          <t>GloVe-100</t>
        </is>
      </c>
      <c r="B1106" s="0" t="inlineStr">
        <is>
          <t>E25</t>
        </is>
      </c>
      <c r="C1106" s="0" t="inlineStr">
        <is>
          <t>E28</t>
        </is>
      </c>
      <c r="D1106" s="0" t="inlineStr">
        <is>
          <t>Target Recall (%)</t>
        </is>
      </c>
    </row>
    <row r="1107">
      <c r="A1107" s="0" t="inlineStr">
        <is>
          <t>GloVe-100</t>
        </is>
      </c>
      <c r="B1107" s="0" t="inlineStr">
        <is>
          <t>F25</t>
        </is>
      </c>
      <c r="C1107" s="0" t="inlineStr">
        <is>
          <t>F28</t>
        </is>
      </c>
      <c r="D1107" s="0" t="n">
        <v>60</v>
      </c>
    </row>
    <row r="1108">
      <c r="A1108" s="0" t="inlineStr">
        <is>
          <t>GloVe-100</t>
        </is>
      </c>
      <c r="B1108" s="0" t="inlineStr">
        <is>
          <t>G25</t>
        </is>
      </c>
      <c r="C1108" s="0" t="inlineStr">
        <is>
          <t>G28</t>
        </is>
      </c>
      <c r="D1108" s="0" t="n">
        <v>65</v>
      </c>
    </row>
    <row r="1109">
      <c r="A1109" s="0" t="inlineStr">
        <is>
          <t>GloVe-100</t>
        </is>
      </c>
      <c r="B1109" s="0" t="inlineStr">
        <is>
          <t>H25</t>
        </is>
      </c>
      <c r="C1109" s="0" t="inlineStr">
        <is>
          <t>H28</t>
        </is>
      </c>
      <c r="D1109" s="0" t="n">
        <v>70</v>
      </c>
    </row>
    <row r="1110">
      <c r="A1110" s="0" t="inlineStr">
        <is>
          <t>GloVe-100</t>
        </is>
      </c>
      <c r="B1110" s="0" t="inlineStr">
        <is>
          <t>I25</t>
        </is>
      </c>
      <c r="C1110" s="0" t="inlineStr">
        <is>
          <t>I28</t>
        </is>
      </c>
      <c r="D1110" s="0" t="n">
        <v>75</v>
      </c>
    </row>
    <row r="1111">
      <c r="A1111" s="0" t="inlineStr">
        <is>
          <t>GloVe-100</t>
        </is>
      </c>
      <c r="B1111" s="0" t="inlineStr">
        <is>
          <t>J25</t>
        </is>
      </c>
      <c r="C1111" s="0" t="inlineStr">
        <is>
          <t>J28</t>
        </is>
      </c>
      <c r="D1111" s="0" t="n">
        <v>80</v>
      </c>
    </row>
    <row r="1112">
      <c r="A1112" s="0" t="inlineStr">
        <is>
          <t>GloVe-100</t>
        </is>
      </c>
      <c r="B1112" s="0" t="inlineStr">
        <is>
          <t>K25</t>
        </is>
      </c>
      <c r="C1112" s="0" t="inlineStr">
        <is>
          <t>K28</t>
        </is>
      </c>
      <c r="D1112" s="0" t="n">
        <v>85</v>
      </c>
    </row>
    <row r="1113">
      <c r="A1113" s="0" t="inlineStr">
        <is>
          <t>GloVe-100</t>
        </is>
      </c>
      <c r="B1113" s="0" t="inlineStr">
        <is>
          <t>L25</t>
        </is>
      </c>
      <c r="C1113" s="0" t="inlineStr">
        <is>
          <t>L28</t>
        </is>
      </c>
      <c r="D1113" s="0" t="n">
        <v>90</v>
      </c>
    </row>
    <row r="1114">
      <c r="A1114" s="0" t="inlineStr">
        <is>
          <t>GloVe-100</t>
        </is>
      </c>
      <c r="B1114" s="0" t="inlineStr">
        <is>
          <t>M25</t>
        </is>
      </c>
      <c r="C1114" s="0" t="inlineStr">
        <is>
          <t>M28</t>
        </is>
      </c>
      <c r="D1114" s="0" t="n">
        <v>95</v>
      </c>
    </row>
    <row r="1115">
      <c r="A1115" s="0" t="inlineStr">
        <is>
          <t>GloVe-100</t>
        </is>
      </c>
      <c r="B1115" s="0" t="inlineStr">
        <is>
          <t>N25</t>
        </is>
      </c>
      <c r="C1115" s="0" t="inlineStr">
        <is>
          <t>N28</t>
        </is>
      </c>
      <c r="D1115" s="0" t="n">
        <v>97</v>
      </c>
    </row>
    <row r="1116">
      <c r="A1116" s="0" t="inlineStr">
        <is>
          <t>GloVe-100</t>
        </is>
      </c>
      <c r="B1116" s="0" t="inlineStr">
        <is>
          <t>O25</t>
        </is>
      </c>
      <c r="C1116" s="0" t="inlineStr">
        <is>
          <t>O28</t>
        </is>
      </c>
      <c r="D1116" s="0" t="n">
        <v>98</v>
      </c>
    </row>
    <row r="1117">
      <c r="A1117" s="0" t="inlineStr">
        <is>
          <t>GloVe-100</t>
        </is>
      </c>
      <c r="B1117" s="0" t="inlineStr">
        <is>
          <t>P25</t>
        </is>
      </c>
      <c r="C1117" s="0" t="inlineStr">
        <is>
          <t>P28</t>
        </is>
      </c>
      <c r="D1117" s="0" t="n">
        <v>99</v>
      </c>
    </row>
    <row r="1118">
      <c r="A1118" s="0" t="inlineStr">
        <is>
          <t>GloVe-100</t>
        </is>
      </c>
      <c r="B1118" s="0" t="inlineStr">
        <is>
          <t>E26</t>
        </is>
      </c>
      <c r="C1118" s="0" t="inlineStr">
        <is>
          <t>E29</t>
        </is>
      </c>
      <c r="D1118" s="0" t="inlineStr">
        <is>
          <t>Recall@10 (change parameters enabling different recall rate) vs. verify time</t>
        </is>
      </c>
    </row>
    <row r="1119">
      <c r="A1119" s="0" t="inlineStr">
        <is>
          <t>GloVe-100</t>
        </is>
      </c>
      <c r="B1119" s="0" t="inlineStr">
        <is>
          <t>D28</t>
        </is>
      </c>
      <c r="C1119" s="0" t="inlineStr">
        <is>
          <t>D31</t>
        </is>
      </c>
      <c r="D1119" s="0" t="inlineStr">
        <is>
          <t>GloVe-100 (N=1,183,514, d=100)</t>
        </is>
      </c>
    </row>
    <row r="1120">
      <c r="A1120" s="0" t="inlineStr">
        <is>
          <t>GloVe-100</t>
        </is>
      </c>
      <c r="B1120" s="0" t="inlineStr">
        <is>
          <t>D29</t>
        </is>
      </c>
      <c r="C1120" s="0" t="inlineStr">
        <is>
          <t>D32</t>
        </is>
      </c>
      <c r="D1120" s="0" t="inlineStr">
        <is>
          <t>VLAH</t>
        </is>
      </c>
    </row>
    <row r="1121">
      <c r="A1121" s="0" t="inlineStr">
        <is>
          <t>GloVe-100</t>
        </is>
      </c>
      <c r="B1121" s="0" t="inlineStr">
        <is>
          <t>E29</t>
        </is>
      </c>
      <c r="C1121" s="0" t="inlineStr">
        <is>
          <t>E32</t>
        </is>
      </c>
      <c r="D1121" s="0" t="inlineStr">
        <is>
          <t>Recall rate</t>
        </is>
      </c>
    </row>
    <row r="1122">
      <c r="A1122" s="0" t="inlineStr">
        <is>
          <t>GloVe-100</t>
        </is>
      </c>
      <c r="B1122" s="0" t="inlineStr">
        <is>
          <t>F29</t>
        </is>
      </c>
      <c r="C1122" s="0" t="inlineStr">
        <is>
          <t>F32</t>
        </is>
      </c>
      <c r="D1122" s="0" t="n">
        <v>60</v>
      </c>
    </row>
    <row r="1123">
      <c r="A1123" s="0" t="inlineStr">
        <is>
          <t>GloVe-100</t>
        </is>
      </c>
      <c r="B1123" s="0" t="inlineStr">
        <is>
          <t>G29</t>
        </is>
      </c>
      <c r="C1123" s="0" t="inlineStr">
        <is>
          <t>G32</t>
        </is>
      </c>
      <c r="D1123" s="0" t="n">
        <v>66</v>
      </c>
    </row>
    <row r="1124">
      <c r="A1124" s="0" t="inlineStr">
        <is>
          <t>GloVe-100</t>
        </is>
      </c>
      <c r="B1124" s="0" t="inlineStr">
        <is>
          <t>H29</t>
        </is>
      </c>
      <c r="C1124" s="0" t="inlineStr">
        <is>
          <t>H32</t>
        </is>
      </c>
      <c r="D1124" s="0" t="n">
        <v>70</v>
      </c>
    </row>
    <row r="1125">
      <c r="A1125" s="0" t="inlineStr">
        <is>
          <t>GloVe-100</t>
        </is>
      </c>
      <c r="B1125" s="0" t="inlineStr">
        <is>
          <t>I29</t>
        </is>
      </c>
      <c r="C1125" s="0" t="inlineStr">
        <is>
          <t>I32</t>
        </is>
      </c>
      <c r="D1125" s="0" t="n">
        <v>75.5</v>
      </c>
    </row>
    <row r="1126">
      <c r="A1126" s="0" t="inlineStr">
        <is>
          <t>GloVe-100</t>
        </is>
      </c>
      <c r="B1126" s="0" t="inlineStr">
        <is>
          <t>J29</t>
        </is>
      </c>
      <c r="C1126" s="0" t="inlineStr">
        <is>
          <t>J32</t>
        </is>
      </c>
      <c r="D1126" s="0" t="n">
        <v>80</v>
      </c>
    </row>
    <row r="1127">
      <c r="A1127" s="0" t="inlineStr">
        <is>
          <t>GloVe-100</t>
        </is>
      </c>
      <c r="B1127" s="0" t="inlineStr">
        <is>
          <t>K29</t>
        </is>
      </c>
      <c r="C1127" s="0" t="inlineStr">
        <is>
          <t>K32</t>
        </is>
      </c>
      <c r="D1127" s="0" t="n">
        <v>85</v>
      </c>
    </row>
    <row r="1128">
      <c r="A1128" s="0" t="inlineStr">
        <is>
          <t>GloVe-100</t>
        </is>
      </c>
      <c r="B1128" s="0" t="inlineStr">
        <is>
          <t>L29</t>
        </is>
      </c>
      <c r="C1128" s="0" t="inlineStr">
        <is>
          <t>L32</t>
        </is>
      </c>
      <c r="D1128" s="0" t="n">
        <v>90</v>
      </c>
    </row>
    <row r="1129">
      <c r="A1129" s="0" t="inlineStr">
        <is>
          <t>GloVe-100</t>
        </is>
      </c>
      <c r="B1129" s="0" t="inlineStr">
        <is>
          <t>M29</t>
        </is>
      </c>
      <c r="C1129" s="0" t="inlineStr">
        <is>
          <t>M32</t>
        </is>
      </c>
      <c r="D1129" s="0" t="n">
        <v>95</v>
      </c>
    </row>
    <row r="1130">
      <c r="A1130" s="0" t="inlineStr">
        <is>
          <t>GloVe-100</t>
        </is>
      </c>
      <c r="B1130" s="0" t="inlineStr">
        <is>
          <t>N29</t>
        </is>
      </c>
      <c r="C1130" s="0" t="inlineStr">
        <is>
          <t>N32</t>
        </is>
      </c>
      <c r="D1130" s="0" t="n">
        <v>97.5</v>
      </c>
    </row>
    <row r="1131">
      <c r="A1131" s="0" t="inlineStr">
        <is>
          <t>GloVe-100</t>
        </is>
      </c>
      <c r="B1131" s="0" t="inlineStr">
        <is>
          <t>O29</t>
        </is>
      </c>
      <c r="C1131" s="0" t="inlineStr">
        <is>
          <t>O32</t>
        </is>
      </c>
      <c r="D1131" s="0" t="n">
        <v>99</v>
      </c>
    </row>
    <row r="1132">
      <c r="A1132" s="0" t="inlineStr">
        <is>
          <t>GloVe-100</t>
        </is>
      </c>
      <c r="B1132" s="0" t="inlineStr">
        <is>
          <t>P29</t>
        </is>
      </c>
      <c r="C1132" s="0" t="inlineStr">
        <is>
          <t>P32</t>
        </is>
      </c>
      <c r="D1132" s="0" t="n">
        <v>99</v>
      </c>
    </row>
    <row r="1133">
      <c r="A1133" s="0" t="inlineStr">
        <is>
          <t>GloVe-100</t>
        </is>
      </c>
      <c r="B1133" s="0" t="inlineStr">
        <is>
          <t>E30</t>
        </is>
      </c>
      <c r="C1133" s="0" t="inlineStr">
        <is>
          <t>E33</t>
        </is>
      </c>
      <c r="D1133" s="0" t="inlineStr">
        <is>
          <t>verify time</t>
        </is>
      </c>
    </row>
    <row r="1134">
      <c r="A1134" s="0" t="inlineStr">
        <is>
          <t>GloVe-100</t>
        </is>
      </c>
      <c r="B1134" s="0" t="inlineStr">
        <is>
          <t>F30</t>
        </is>
      </c>
      <c r="C1134" s="0" t="inlineStr">
        <is>
          <t>F33</t>
        </is>
      </c>
      <c r="D1134" s="0" t="n">
        <v>469.069549433333</v>
      </c>
    </row>
    <row r="1135">
      <c r="A1135" s="0" t="inlineStr">
        <is>
          <t>GloVe-100</t>
        </is>
      </c>
      <c r="B1135" s="0" t="inlineStr">
        <is>
          <t>G30</t>
        </is>
      </c>
      <c r="C1135" s="0" t="inlineStr">
        <is>
          <t>G33</t>
        </is>
      </c>
      <c r="D1135" s="0" t="n">
        <v>523.3854418333329</v>
      </c>
    </row>
    <row r="1136">
      <c r="A1136" s="0" t="inlineStr">
        <is>
          <t>GloVe-100</t>
        </is>
      </c>
      <c r="B1136" s="0" t="inlineStr">
        <is>
          <t>H30</t>
        </is>
      </c>
      <c r="C1136" s="0" t="inlineStr">
        <is>
          <t>H33</t>
        </is>
      </c>
      <c r="D1136" s="0" t="n">
        <v>615.426474783333</v>
      </c>
    </row>
    <row r="1137">
      <c r="A1137" s="0" t="inlineStr">
        <is>
          <t>GloVe-100</t>
        </is>
      </c>
      <c r="B1137" s="0" t="inlineStr">
        <is>
          <t>I30</t>
        </is>
      </c>
      <c r="C1137" s="0" t="inlineStr">
        <is>
          <t>I33</t>
        </is>
      </c>
      <c r="D1137" s="0" t="n">
        <v>668.950644383333</v>
      </c>
    </row>
    <row r="1138">
      <c r="A1138" s="0" t="inlineStr">
        <is>
          <t>GloVe-100</t>
        </is>
      </c>
      <c r="B1138" s="0" t="inlineStr">
        <is>
          <t>J30</t>
        </is>
      </c>
      <c r="C1138" s="0" t="inlineStr">
        <is>
          <t>J33</t>
        </is>
      </c>
      <c r="D1138" s="0" t="n">
        <v>726.525109466667</v>
      </c>
    </row>
    <row r="1139">
      <c r="A1139" s="0" t="inlineStr">
        <is>
          <t>GloVe-100</t>
        </is>
      </c>
      <c r="B1139" s="0" t="inlineStr">
        <is>
          <t>K30</t>
        </is>
      </c>
      <c r="C1139" s="0" t="inlineStr">
        <is>
          <t>K33</t>
        </is>
      </c>
      <c r="D1139" s="0" t="n">
        <v>872.817767766667</v>
      </c>
    </row>
    <row r="1140">
      <c r="A1140" s="0" t="inlineStr">
        <is>
          <t>GloVe-100</t>
        </is>
      </c>
      <c r="B1140" s="0" t="inlineStr">
        <is>
          <t>L30</t>
        </is>
      </c>
      <c r="C1140" s="0" t="inlineStr">
        <is>
          <t>L33</t>
        </is>
      </c>
      <c r="D1140" s="0" t="n">
        <v>950.4888157833331</v>
      </c>
    </row>
    <row r="1141">
      <c r="A1141" s="0" t="inlineStr">
        <is>
          <t>GloVe-100</t>
        </is>
      </c>
      <c r="B1141" s="0" t="inlineStr">
        <is>
          <t>M30</t>
        </is>
      </c>
      <c r="C1141" s="0" t="inlineStr">
        <is>
          <t>M33</t>
        </is>
      </c>
      <c r="D1141" s="0" t="n">
        <v>1028.47328478333</v>
      </c>
    </row>
    <row r="1142">
      <c r="A1142" s="0" t="inlineStr">
        <is>
          <t>GloVe-100</t>
        </is>
      </c>
      <c r="B1142" s="0" t="inlineStr">
        <is>
          <t>N30</t>
        </is>
      </c>
      <c r="C1142" s="0" t="inlineStr">
        <is>
          <t>N33</t>
        </is>
      </c>
      <c r="D1142" s="0" t="n">
        <v>1065.72324375</v>
      </c>
    </row>
    <row r="1143">
      <c r="A1143" s="0" t="inlineStr">
        <is>
          <t>GloVe-100</t>
        </is>
      </c>
      <c r="B1143" s="0" t="inlineStr">
        <is>
          <t>O30</t>
        </is>
      </c>
      <c r="C1143" s="0" t="inlineStr">
        <is>
          <t>O33</t>
        </is>
      </c>
      <c r="D1143" s="0" t="n">
        <v>1099.20293456667</v>
      </c>
    </row>
    <row r="1144">
      <c r="A1144" s="0" t="inlineStr">
        <is>
          <t>GloVe-100</t>
        </is>
      </c>
      <c r="B1144" s="0" t="inlineStr">
        <is>
          <t>P30</t>
        </is>
      </c>
      <c r="C1144" s="0" t="inlineStr">
        <is>
          <t>P33</t>
        </is>
      </c>
      <c r="D1144" s="0" t="n">
        <v>1099.20293456667</v>
      </c>
    </row>
    <row r="1145">
      <c r="A1145" s="0" t="inlineStr">
        <is>
          <t>GloVe-100</t>
        </is>
      </c>
      <c r="B1145" s="0" t="inlineStr">
        <is>
          <t>D31</t>
        </is>
      </c>
      <c r="C1145" s="0" t="inlineStr">
        <is>
          <t>D34</t>
        </is>
      </c>
      <c r="D1145" s="0" t="inlineStr">
        <is>
          <t>ANNProof</t>
        </is>
      </c>
    </row>
    <row r="1146">
      <c r="A1146" s="0" t="inlineStr">
        <is>
          <t>GloVe-100</t>
        </is>
      </c>
      <c r="B1146" s="0" t="inlineStr">
        <is>
          <t>E31</t>
        </is>
      </c>
      <c r="C1146" s="0" t="inlineStr">
        <is>
          <t>E34</t>
        </is>
      </c>
      <c r="D1146" s="0" t="inlineStr">
        <is>
          <t>Recall rate</t>
        </is>
      </c>
    </row>
    <row r="1147">
      <c r="A1147" s="0" t="inlineStr">
        <is>
          <t>GloVe-100</t>
        </is>
      </c>
      <c r="B1147" s="0" t="inlineStr">
        <is>
          <t>F31</t>
        </is>
      </c>
      <c r="C1147" s="0" t="inlineStr">
        <is>
          <t>F34</t>
        </is>
      </c>
      <c r="D1147" s="0" t="n">
        <v>66.5</v>
      </c>
    </row>
    <row r="1148">
      <c r="A1148" s="0" t="inlineStr">
        <is>
          <t>GloVe-100</t>
        </is>
      </c>
      <c r="B1148" s="0" t="inlineStr">
        <is>
          <t>G31</t>
        </is>
      </c>
      <c r="C1148" s="0" t="inlineStr">
        <is>
          <t>G34</t>
        </is>
      </c>
      <c r="D1148" s="0" t="n">
        <v>66.5</v>
      </c>
    </row>
    <row r="1149">
      <c r="A1149" s="0" t="inlineStr">
        <is>
          <t>GloVe-100</t>
        </is>
      </c>
      <c r="B1149" s="0" t="inlineStr">
        <is>
          <t>H31</t>
        </is>
      </c>
      <c r="C1149" s="0" t="inlineStr">
        <is>
          <t>H34</t>
        </is>
      </c>
      <c r="D1149" s="0" t="n">
        <v>77.5</v>
      </c>
    </row>
    <row r="1150">
      <c r="A1150" s="0" t="inlineStr">
        <is>
          <t>GloVe-100</t>
        </is>
      </c>
      <c r="B1150" s="0" t="inlineStr">
        <is>
          <t>I31</t>
        </is>
      </c>
      <c r="C1150" s="0" t="inlineStr">
        <is>
          <t>I34</t>
        </is>
      </c>
      <c r="D1150" s="0" t="n">
        <v>77.5</v>
      </c>
    </row>
    <row r="1151">
      <c r="A1151" s="0" t="inlineStr">
        <is>
          <t>GloVe-100</t>
        </is>
      </c>
      <c r="B1151" s="0" t="inlineStr">
        <is>
          <t>J31</t>
        </is>
      </c>
      <c r="C1151" s="0" t="inlineStr">
        <is>
          <t>J34</t>
        </is>
      </c>
      <c r="D1151" s="0" t="n">
        <v>83.5</v>
      </c>
    </row>
    <row r="1152">
      <c r="A1152" s="0" t="inlineStr">
        <is>
          <t>GloVe-100</t>
        </is>
      </c>
      <c r="B1152" s="0" t="inlineStr">
        <is>
          <t>K31</t>
        </is>
      </c>
      <c r="C1152" s="0" t="inlineStr">
        <is>
          <t>K34</t>
        </is>
      </c>
      <c r="D1152" s="0" t="n">
        <v>87.5</v>
      </c>
    </row>
    <row r="1153">
      <c r="A1153" s="0" t="inlineStr">
        <is>
          <t>GloVe-100</t>
        </is>
      </c>
      <c r="B1153" s="0" t="inlineStr">
        <is>
          <t>L31</t>
        </is>
      </c>
      <c r="C1153" s="0" t="inlineStr">
        <is>
          <t>L34</t>
        </is>
      </c>
      <c r="D1153" s="0" t="n">
        <v>90</v>
      </c>
    </row>
    <row r="1154">
      <c r="A1154" s="0" t="inlineStr">
        <is>
          <t>GloVe-100</t>
        </is>
      </c>
      <c r="B1154" s="0" t="inlineStr">
        <is>
          <t>M31</t>
        </is>
      </c>
      <c r="C1154" s="0" t="inlineStr">
        <is>
          <t>M34</t>
        </is>
      </c>
      <c r="D1154" s="0" t="n">
        <v>95.5</v>
      </c>
    </row>
    <row r="1155">
      <c r="A1155" s="0" t="inlineStr">
        <is>
          <t>GloVe-100</t>
        </is>
      </c>
      <c r="B1155" s="0" t="inlineStr">
        <is>
          <t>N31</t>
        </is>
      </c>
      <c r="C1155" s="0" t="inlineStr">
        <is>
          <t>N34</t>
        </is>
      </c>
      <c r="D1155" s="0" t="n">
        <v>97.5</v>
      </c>
    </row>
    <row r="1156">
      <c r="A1156" s="0" t="inlineStr">
        <is>
          <t>GloVe-100</t>
        </is>
      </c>
      <c r="B1156" s="0" t="inlineStr">
        <is>
          <t>O31</t>
        </is>
      </c>
      <c r="C1156" s="0" t="inlineStr">
        <is>
          <t>O34</t>
        </is>
      </c>
      <c r="D1156" s="0" t="n">
        <v>98.5</v>
      </c>
    </row>
    <row r="1157">
      <c r="A1157" s="0" t="inlineStr">
        <is>
          <t>GloVe-100</t>
        </is>
      </c>
      <c r="B1157" s="0" t="inlineStr">
        <is>
          <t>P31</t>
        </is>
      </c>
      <c r="C1157" s="0" t="inlineStr">
        <is>
          <t>P34</t>
        </is>
      </c>
      <c r="D1157" s="0" t="n">
        <v>99</v>
      </c>
    </row>
    <row r="1158">
      <c r="A1158" s="0" t="inlineStr">
        <is>
          <t>GloVe-100</t>
        </is>
      </c>
      <c r="B1158" s="0" t="inlineStr">
        <is>
          <t>E32</t>
        </is>
      </c>
      <c r="C1158" s="0" t="inlineStr">
        <is>
          <t>E35</t>
        </is>
      </c>
      <c r="D1158" s="0" t="inlineStr">
        <is>
          <t>verify time</t>
        </is>
      </c>
    </row>
    <row r="1159">
      <c r="A1159" s="0" t="inlineStr">
        <is>
          <t>GloVe-100</t>
        </is>
      </c>
      <c r="B1159" s="0" t="inlineStr">
        <is>
          <t>F32</t>
        </is>
      </c>
      <c r="C1159" s="0" t="inlineStr">
        <is>
          <t>F35</t>
        </is>
      </c>
      <c r="D1159" s="0" t="n">
        <v>23.1672442333333</v>
      </c>
    </row>
    <row r="1160">
      <c r="A1160" s="0" t="inlineStr">
        <is>
          <t>GloVe-100</t>
        </is>
      </c>
      <c r="B1160" s="0" t="inlineStr">
        <is>
          <t>G32</t>
        </is>
      </c>
      <c r="C1160" s="0" t="inlineStr">
        <is>
          <t>G35</t>
        </is>
      </c>
      <c r="D1160" s="0" t="n">
        <v>23.1672442333333</v>
      </c>
    </row>
    <row r="1161">
      <c r="A1161" s="0" t="inlineStr">
        <is>
          <t>GloVe-100</t>
        </is>
      </c>
      <c r="B1161" s="0" t="inlineStr">
        <is>
          <t>H32</t>
        </is>
      </c>
      <c r="C1161" s="0" t="inlineStr">
        <is>
          <t>H35</t>
        </is>
      </c>
      <c r="D1161" s="0" t="n">
        <v>37.8451976166667</v>
      </c>
    </row>
    <row r="1162">
      <c r="A1162" s="0" t="inlineStr">
        <is>
          <t>GloVe-100</t>
        </is>
      </c>
      <c r="B1162" s="0" t="inlineStr">
        <is>
          <t>I32</t>
        </is>
      </c>
      <c r="C1162" s="0" t="inlineStr">
        <is>
          <t>I35</t>
        </is>
      </c>
      <c r="D1162" s="0" t="n">
        <v>37.8451976166667</v>
      </c>
    </row>
    <row r="1163">
      <c r="A1163" s="0" t="inlineStr">
        <is>
          <t>GloVe-100</t>
        </is>
      </c>
      <c r="B1163" s="0" t="inlineStr">
        <is>
          <t>J32</t>
        </is>
      </c>
      <c r="C1163" s="0" t="inlineStr">
        <is>
          <t>J35</t>
        </is>
      </c>
      <c r="D1163" s="0" t="n">
        <v>51.5586544166667</v>
      </c>
    </row>
    <row r="1164">
      <c r="A1164" s="0" t="inlineStr">
        <is>
          <t>GloVe-100</t>
        </is>
      </c>
      <c r="B1164" s="0" t="inlineStr">
        <is>
          <t>K32</t>
        </is>
      </c>
      <c r="C1164" s="0" t="inlineStr">
        <is>
          <t>K35</t>
        </is>
      </c>
      <c r="D1164" s="0" t="n">
        <v>65.0245705333333</v>
      </c>
    </row>
    <row r="1165">
      <c r="A1165" s="0" t="inlineStr">
        <is>
          <t>GloVe-100</t>
        </is>
      </c>
      <c r="B1165" s="0" t="inlineStr">
        <is>
          <t>L32</t>
        </is>
      </c>
      <c r="C1165" s="0" t="inlineStr">
        <is>
          <t>L35</t>
        </is>
      </c>
      <c r="D1165" s="0" t="n">
        <v>88.47731368333331</v>
      </c>
    </row>
    <row r="1166">
      <c r="A1166" s="0" t="inlineStr">
        <is>
          <t>GloVe-100</t>
        </is>
      </c>
      <c r="B1166" s="0" t="inlineStr">
        <is>
          <t>M32</t>
        </is>
      </c>
      <c r="C1166" s="0" t="inlineStr">
        <is>
          <t>M35</t>
        </is>
      </c>
      <c r="D1166" s="0" t="n">
        <v>263.942687483333</v>
      </c>
    </row>
    <row r="1167">
      <c r="A1167" s="0" t="inlineStr">
        <is>
          <t>GloVe-100</t>
        </is>
      </c>
      <c r="B1167" s="0" t="inlineStr">
        <is>
          <t>N32</t>
        </is>
      </c>
      <c r="C1167" s="0" t="inlineStr">
        <is>
          <t>N35</t>
        </is>
      </c>
      <c r="D1167" s="0" t="n">
        <v>330.828721833333</v>
      </c>
    </row>
    <row r="1168">
      <c r="A1168" s="0" t="inlineStr">
        <is>
          <t>GloVe-100</t>
        </is>
      </c>
      <c r="B1168" s="0" t="inlineStr">
        <is>
          <t>O32</t>
        </is>
      </c>
      <c r="C1168" s="0" t="inlineStr">
        <is>
          <t>O35</t>
        </is>
      </c>
      <c r="D1168" s="0" t="n">
        <v>572.20322455</v>
      </c>
    </row>
    <row r="1169">
      <c r="A1169" s="0" t="inlineStr">
        <is>
          <t>GloVe-100</t>
        </is>
      </c>
      <c r="B1169" s="0" t="inlineStr">
        <is>
          <t>P32</t>
        </is>
      </c>
      <c r="C1169" s="0" t="inlineStr">
        <is>
          <t>P35</t>
        </is>
      </c>
      <c r="D1169" s="0" t="n">
        <v>986.772749533333</v>
      </c>
    </row>
    <row r="1170">
      <c r="A1170" s="0" t="inlineStr">
        <is>
          <t>GloVe-100</t>
        </is>
      </c>
      <c r="B1170" s="0" t="inlineStr">
        <is>
          <t>D33</t>
        </is>
      </c>
      <c r="C1170" s="0" t="inlineStr">
        <is>
          <t>D36</t>
        </is>
      </c>
      <c r="D1170" s="0" t="inlineStr">
        <is>
          <t>Ours</t>
        </is>
      </c>
    </row>
    <row r="1171">
      <c r="A1171" s="0" t="inlineStr">
        <is>
          <t>GloVe-100</t>
        </is>
      </c>
      <c r="B1171" s="0" t="inlineStr">
        <is>
          <t>E33</t>
        </is>
      </c>
      <c r="C1171" s="0" t="inlineStr">
        <is>
          <t>E36</t>
        </is>
      </c>
      <c r="D1171" s="0" t="inlineStr">
        <is>
          <t>Recall rate</t>
        </is>
      </c>
    </row>
    <row r="1172">
      <c r="A1172" s="0" t="inlineStr">
        <is>
          <t>GloVe-100</t>
        </is>
      </c>
      <c r="B1172" s="0" t="inlineStr">
        <is>
          <t>F33</t>
        </is>
      </c>
      <c r="C1172" s="0" t="inlineStr">
        <is>
          <t>F36</t>
        </is>
      </c>
      <c r="D1172" s="0" t="n">
        <v>60.5</v>
      </c>
    </row>
    <row r="1173">
      <c r="A1173" s="0" t="inlineStr">
        <is>
          <t>GloVe-100</t>
        </is>
      </c>
      <c r="B1173" s="0" t="inlineStr">
        <is>
          <t>G33</t>
        </is>
      </c>
      <c r="C1173" s="0" t="inlineStr">
        <is>
          <t>G36</t>
        </is>
      </c>
      <c r="D1173" s="0" t="n">
        <v>71.5</v>
      </c>
    </row>
    <row r="1174">
      <c r="A1174" s="0" t="inlineStr">
        <is>
          <t>GloVe-100</t>
        </is>
      </c>
      <c r="B1174" s="0" t="inlineStr">
        <is>
          <t>H33</t>
        </is>
      </c>
      <c r="C1174" s="0" t="inlineStr">
        <is>
          <t>H36</t>
        </is>
      </c>
      <c r="D1174" s="0" t="n">
        <v>71.5</v>
      </c>
    </row>
    <row r="1175">
      <c r="A1175" s="0" t="inlineStr">
        <is>
          <t>GloVe-100</t>
        </is>
      </c>
      <c r="B1175" s="0" t="inlineStr">
        <is>
          <t>I33</t>
        </is>
      </c>
      <c r="C1175" s="0" t="inlineStr">
        <is>
          <t>I36</t>
        </is>
      </c>
      <c r="D1175" s="0" t="n">
        <v>81</v>
      </c>
    </row>
    <row r="1176">
      <c r="A1176" s="0" t="inlineStr">
        <is>
          <t>GloVe-100</t>
        </is>
      </c>
      <c r="B1176" s="0" t="inlineStr">
        <is>
          <t>J33</t>
        </is>
      </c>
      <c r="C1176" s="0" t="inlineStr">
        <is>
          <t>J36</t>
        </is>
      </c>
      <c r="D1176" s="0" t="n">
        <v>81</v>
      </c>
    </row>
    <row r="1177">
      <c r="A1177" s="0" t="inlineStr">
        <is>
          <t>GloVe-100</t>
        </is>
      </c>
      <c r="B1177" s="0" t="inlineStr">
        <is>
          <t>K33</t>
        </is>
      </c>
      <c r="C1177" s="0" t="inlineStr">
        <is>
          <t>K36</t>
        </is>
      </c>
      <c r="D1177" s="0" t="n">
        <v>85.5</v>
      </c>
    </row>
    <row r="1178">
      <c r="A1178" s="0" t="inlineStr">
        <is>
          <t>GloVe-100</t>
        </is>
      </c>
      <c r="B1178" s="0" t="inlineStr">
        <is>
          <t>L33</t>
        </is>
      </c>
      <c r="C1178" s="0" t="inlineStr">
        <is>
          <t>L36</t>
        </is>
      </c>
      <c r="D1178" s="0" t="n">
        <v>91</v>
      </c>
    </row>
    <row r="1179">
      <c r="A1179" s="0" t="inlineStr">
        <is>
          <t>GloVe-100</t>
        </is>
      </c>
      <c r="B1179" s="0" t="inlineStr">
        <is>
          <t>M33</t>
        </is>
      </c>
      <c r="C1179" s="0" t="inlineStr">
        <is>
          <t>M36</t>
        </is>
      </c>
      <c r="D1179" s="0" t="n">
        <v>96</v>
      </c>
    </row>
    <row r="1180">
      <c r="A1180" s="0" t="inlineStr">
        <is>
          <t>GloVe-100</t>
        </is>
      </c>
      <c r="B1180" s="0" t="inlineStr">
        <is>
          <t>N33</t>
        </is>
      </c>
      <c r="C1180" s="0" t="inlineStr">
        <is>
          <t>N36</t>
        </is>
      </c>
      <c r="D1180" s="0" t="n">
        <v>97.5</v>
      </c>
    </row>
    <row r="1181">
      <c r="A1181" s="0" t="inlineStr">
        <is>
          <t>GloVe-100</t>
        </is>
      </c>
      <c r="B1181" s="0" t="inlineStr">
        <is>
          <t>O33</t>
        </is>
      </c>
      <c r="C1181" s="0" t="inlineStr">
        <is>
          <t>O36</t>
        </is>
      </c>
      <c r="D1181" s="0" t="n">
        <v>98.5</v>
      </c>
    </row>
    <row r="1182">
      <c r="A1182" s="0" t="inlineStr">
        <is>
          <t>GloVe-100</t>
        </is>
      </c>
      <c r="B1182" s="0" t="inlineStr">
        <is>
          <t>P33</t>
        </is>
      </c>
      <c r="C1182" s="0" t="inlineStr">
        <is>
          <t>P36</t>
        </is>
      </c>
      <c r="D1182" s="0" t="n">
        <v>99.5</v>
      </c>
    </row>
    <row r="1183">
      <c r="A1183" s="0" t="inlineStr">
        <is>
          <t>GloVe-100</t>
        </is>
      </c>
      <c r="B1183" s="0" t="inlineStr">
        <is>
          <t>E34</t>
        </is>
      </c>
      <c r="C1183" s="0" t="inlineStr">
        <is>
          <t>E37</t>
        </is>
      </c>
      <c r="D1183" s="0" t="inlineStr">
        <is>
          <t>verify time</t>
        </is>
      </c>
    </row>
    <row r="1184">
      <c r="A1184" s="0" t="inlineStr">
        <is>
          <t>GloVe-100</t>
        </is>
      </c>
      <c r="B1184" s="0" t="inlineStr">
        <is>
          <t>F34</t>
        </is>
      </c>
      <c r="C1184" s="0" t="inlineStr">
        <is>
          <t>F37</t>
        </is>
      </c>
      <c r="D1184" s="0" t="n">
        <v>10.0785719</v>
      </c>
    </row>
    <row r="1185">
      <c r="A1185" s="0" t="inlineStr">
        <is>
          <t>GloVe-100</t>
        </is>
      </c>
      <c r="B1185" s="0" t="inlineStr">
        <is>
          <t>G34</t>
        </is>
      </c>
      <c r="C1185" s="0" t="inlineStr">
        <is>
          <t>G37</t>
        </is>
      </c>
      <c r="D1185" s="0" t="n">
        <v>13.6206651666667</v>
      </c>
    </row>
    <row r="1186">
      <c r="A1186" s="0" t="inlineStr">
        <is>
          <t>GloVe-100</t>
        </is>
      </c>
      <c r="B1186" s="0" t="inlineStr">
        <is>
          <t>H34</t>
        </is>
      </c>
      <c r="C1186" s="0" t="inlineStr">
        <is>
          <t>H37</t>
        </is>
      </c>
      <c r="D1186" s="0" t="n">
        <v>13.6206651666667</v>
      </c>
    </row>
    <row r="1187">
      <c r="A1187" s="0" t="inlineStr">
        <is>
          <t>GloVe-100</t>
        </is>
      </c>
      <c r="B1187" s="0" t="inlineStr">
        <is>
          <t>I34</t>
        </is>
      </c>
      <c r="C1187" s="0" t="inlineStr">
        <is>
          <t>I37</t>
        </is>
      </c>
      <c r="D1187" s="0" t="n">
        <v>22.532446</v>
      </c>
    </row>
    <row r="1188">
      <c r="A1188" s="0" t="inlineStr">
        <is>
          <t>GloVe-100</t>
        </is>
      </c>
      <c r="B1188" s="0" t="inlineStr">
        <is>
          <t>J34</t>
        </is>
      </c>
      <c r="C1188" s="0" t="inlineStr">
        <is>
          <t>J37</t>
        </is>
      </c>
      <c r="D1188" s="0" t="n">
        <v>22.532446</v>
      </c>
    </row>
    <row r="1189">
      <c r="A1189" s="0" t="inlineStr">
        <is>
          <t>GloVe-100</t>
        </is>
      </c>
      <c r="B1189" s="0" t="inlineStr">
        <is>
          <t>K34</t>
        </is>
      </c>
      <c r="C1189" s="0" t="inlineStr">
        <is>
          <t>K37</t>
        </is>
      </c>
      <c r="D1189" s="0" t="n">
        <v>27.8385452166667</v>
      </c>
    </row>
    <row r="1190">
      <c r="A1190" s="0" t="inlineStr">
        <is>
          <t>GloVe-100</t>
        </is>
      </c>
      <c r="B1190" s="0" t="inlineStr">
        <is>
          <t>L34</t>
        </is>
      </c>
      <c r="C1190" s="0" t="inlineStr">
        <is>
          <t>L37</t>
        </is>
      </c>
      <c r="D1190" s="0" t="n">
        <v>47.1646365666667</v>
      </c>
    </row>
    <row r="1191">
      <c r="A1191" s="0" t="inlineStr">
        <is>
          <t>GloVe-100</t>
        </is>
      </c>
      <c r="B1191" s="0" t="inlineStr">
        <is>
          <t>M34</t>
        </is>
      </c>
      <c r="C1191" s="0" t="inlineStr">
        <is>
          <t>M37</t>
        </is>
      </c>
      <c r="D1191" s="0" t="n">
        <v>110.41652915</v>
      </c>
    </row>
    <row r="1192">
      <c r="A1192" s="0" t="inlineStr">
        <is>
          <t>GloVe-100</t>
        </is>
      </c>
      <c r="B1192" s="0" t="inlineStr">
        <is>
          <t>N34</t>
        </is>
      </c>
      <c r="C1192" s="0" t="inlineStr">
        <is>
          <t>N37</t>
        </is>
      </c>
      <c r="D1192" s="0" t="n">
        <v>138.8817882</v>
      </c>
    </row>
    <row r="1193">
      <c r="A1193" s="0" t="inlineStr">
        <is>
          <t>GloVe-100</t>
        </is>
      </c>
      <c r="B1193" s="0" t="inlineStr">
        <is>
          <t>O34</t>
        </is>
      </c>
      <c r="C1193" s="0" t="inlineStr">
        <is>
          <t>O37</t>
        </is>
      </c>
      <c r="D1193" s="0" t="n">
        <v>249.028947166667</v>
      </c>
    </row>
    <row r="1194">
      <c r="A1194" s="0" t="inlineStr">
        <is>
          <t>GloVe-100</t>
        </is>
      </c>
      <c r="B1194" s="0" t="inlineStr">
        <is>
          <t>P34</t>
        </is>
      </c>
      <c r="C1194" s="0" t="inlineStr">
        <is>
          <t>P37</t>
        </is>
      </c>
      <c r="D1194" s="0" t="n">
        <v>476.421713883333</v>
      </c>
    </row>
    <row r="1195">
      <c r="A1195" s="0" t="inlineStr">
        <is>
          <t>GloVe-100</t>
        </is>
      </c>
      <c r="B1195" s="0" t="inlineStr">
        <is>
          <t>E35</t>
        </is>
      </c>
      <c r="C1195" s="0" t="inlineStr">
        <is>
          <t>E40</t>
        </is>
      </c>
      <c r="D1195" s="0" t="inlineStr">
        <is>
          <t>Target Recall (%)</t>
        </is>
      </c>
    </row>
    <row r="1196">
      <c r="A1196" s="0" t="inlineStr">
        <is>
          <t>GloVe-100</t>
        </is>
      </c>
      <c r="B1196" s="0" t="inlineStr">
        <is>
          <t>F35</t>
        </is>
      </c>
      <c r="C1196" s="0" t="inlineStr">
        <is>
          <t>F40</t>
        </is>
      </c>
      <c r="D1196" s="0" t="n">
        <v>60</v>
      </c>
    </row>
    <row r="1197">
      <c r="A1197" s="0" t="inlineStr">
        <is>
          <t>GloVe-100</t>
        </is>
      </c>
      <c r="B1197" s="0" t="inlineStr">
        <is>
          <t>G35</t>
        </is>
      </c>
      <c r="C1197" s="0" t="inlineStr">
        <is>
          <t>G40</t>
        </is>
      </c>
      <c r="D1197" s="0" t="n">
        <v>65</v>
      </c>
    </row>
    <row r="1198">
      <c r="A1198" s="0" t="inlineStr">
        <is>
          <t>GloVe-100</t>
        </is>
      </c>
      <c r="B1198" s="0" t="inlineStr">
        <is>
          <t>H35</t>
        </is>
      </c>
      <c r="C1198" s="0" t="inlineStr">
        <is>
          <t>H40</t>
        </is>
      </c>
      <c r="D1198" s="0" t="n">
        <v>70</v>
      </c>
    </row>
    <row r="1199">
      <c r="A1199" s="0" t="inlineStr">
        <is>
          <t>GloVe-100</t>
        </is>
      </c>
      <c r="B1199" s="0" t="inlineStr">
        <is>
          <t>I35</t>
        </is>
      </c>
      <c r="C1199" s="0" t="inlineStr">
        <is>
          <t>I40</t>
        </is>
      </c>
      <c r="D1199" s="0" t="n">
        <v>75</v>
      </c>
    </row>
    <row r="1200">
      <c r="A1200" s="0" t="inlineStr">
        <is>
          <t>GloVe-100</t>
        </is>
      </c>
      <c r="B1200" s="0" t="inlineStr">
        <is>
          <t>J35</t>
        </is>
      </c>
      <c r="C1200" s="0" t="inlineStr">
        <is>
          <t>J40</t>
        </is>
      </c>
      <c r="D1200" s="0" t="n">
        <v>80</v>
      </c>
    </row>
    <row r="1201">
      <c r="A1201" s="0" t="inlineStr">
        <is>
          <t>GloVe-100</t>
        </is>
      </c>
      <c r="B1201" s="0" t="inlineStr">
        <is>
          <t>K35</t>
        </is>
      </c>
      <c r="C1201" s="0" t="inlineStr">
        <is>
          <t>K40</t>
        </is>
      </c>
      <c r="D1201" s="0" t="n">
        <v>85</v>
      </c>
    </row>
    <row r="1202">
      <c r="A1202" s="0" t="inlineStr">
        <is>
          <t>GloVe-100</t>
        </is>
      </c>
      <c r="B1202" s="0" t="inlineStr">
        <is>
          <t>L35</t>
        </is>
      </c>
      <c r="C1202" s="0" t="inlineStr">
        <is>
          <t>L40</t>
        </is>
      </c>
      <c r="D1202" s="0" t="n">
        <v>90</v>
      </c>
    </row>
    <row r="1203">
      <c r="A1203" s="0" t="inlineStr">
        <is>
          <t>GloVe-100</t>
        </is>
      </c>
      <c r="B1203" s="0" t="inlineStr">
        <is>
          <t>M35</t>
        </is>
      </c>
      <c r="C1203" s="0" t="inlineStr">
        <is>
          <t>M40</t>
        </is>
      </c>
      <c r="D1203" s="0" t="n">
        <v>95</v>
      </c>
    </row>
    <row r="1204">
      <c r="A1204" s="0" t="inlineStr">
        <is>
          <t>GloVe-100</t>
        </is>
      </c>
      <c r="B1204" s="0" t="inlineStr">
        <is>
          <t>N35</t>
        </is>
      </c>
      <c r="C1204" s="0" t="inlineStr">
        <is>
          <t>N40</t>
        </is>
      </c>
      <c r="D1204" s="0" t="n">
        <v>97</v>
      </c>
    </row>
    <row r="1205">
      <c r="A1205" s="0" t="inlineStr">
        <is>
          <t>GloVe-100</t>
        </is>
      </c>
      <c r="B1205" s="0" t="inlineStr">
        <is>
          <t>O35</t>
        </is>
      </c>
      <c r="C1205" s="0" t="inlineStr">
        <is>
          <t>O40</t>
        </is>
      </c>
      <c r="D1205" s="0" t="n">
        <v>98</v>
      </c>
    </row>
    <row r="1206">
      <c r="A1206" s="0" t="inlineStr">
        <is>
          <t>GloVe-100</t>
        </is>
      </c>
      <c r="B1206" s="0" t="inlineStr">
        <is>
          <t>P35</t>
        </is>
      </c>
      <c r="C1206" s="0" t="inlineStr">
        <is>
          <t>P40</t>
        </is>
      </c>
      <c r="D1206" s="0" t="n">
        <v>99</v>
      </c>
    </row>
    <row r="1207">
      <c r="A1207" s="0" t="inlineStr">
        <is>
          <t>GloVe-100</t>
        </is>
      </c>
      <c r="B1207" s="0" t="inlineStr">
        <is>
          <t>E36</t>
        </is>
      </c>
      <c r="C1207" s="0" t="inlineStr">
        <is>
          <t>E41</t>
        </is>
      </c>
      <c r="D1207" s="0" t="inlineStr">
        <is>
          <t>Recall@10 (change parameters enabling different recall rate) vs. query time</t>
        </is>
      </c>
    </row>
    <row r="1208">
      <c r="A1208" s="0" t="inlineStr">
        <is>
          <t>GloVe-100</t>
        </is>
      </c>
      <c r="B1208" s="0" t="inlineStr">
        <is>
          <t>D38</t>
        </is>
      </c>
      <c r="C1208" s="0" t="inlineStr">
        <is>
          <t>D43</t>
        </is>
      </c>
      <c r="D1208" s="0" t="inlineStr">
        <is>
          <t>GloVe-100 (N=1,183,514, d=100)</t>
        </is>
      </c>
    </row>
    <row r="1209">
      <c r="A1209" s="0" t="inlineStr">
        <is>
          <t>GloVe-100</t>
        </is>
      </c>
      <c r="B1209" s="0" t="inlineStr">
        <is>
          <t>D39</t>
        </is>
      </c>
      <c r="C1209" s="0" t="inlineStr">
        <is>
          <t>D44</t>
        </is>
      </c>
      <c r="D1209" s="0" t="inlineStr">
        <is>
          <t>VLAH</t>
        </is>
      </c>
    </row>
    <row r="1210">
      <c r="A1210" s="0" t="inlineStr">
        <is>
          <t>GloVe-100</t>
        </is>
      </c>
      <c r="B1210" s="0" t="inlineStr">
        <is>
          <t>E39</t>
        </is>
      </c>
      <c r="C1210" s="0" t="inlineStr">
        <is>
          <t>E44</t>
        </is>
      </c>
      <c r="D1210" s="0" t="inlineStr">
        <is>
          <t>Recall rate</t>
        </is>
      </c>
    </row>
    <row r="1211">
      <c r="A1211" s="0" t="inlineStr">
        <is>
          <t>GloVe-100</t>
        </is>
      </c>
      <c r="B1211" s="0" t="inlineStr">
        <is>
          <t>F39</t>
        </is>
      </c>
      <c r="C1211" s="0" t="inlineStr">
        <is>
          <t>F44</t>
        </is>
      </c>
      <c r="D1211" s="0" t="n">
        <v>60</v>
      </c>
    </row>
    <row r="1212">
      <c r="A1212" s="0" t="inlineStr">
        <is>
          <t>GloVe-100</t>
        </is>
      </c>
      <c r="B1212" s="0" t="inlineStr">
        <is>
          <t>G39</t>
        </is>
      </c>
      <c r="C1212" s="0" t="inlineStr">
        <is>
          <t>G44</t>
        </is>
      </c>
      <c r="D1212" s="0" t="n">
        <v>66</v>
      </c>
    </row>
    <row r="1213">
      <c r="A1213" s="0" t="inlineStr">
        <is>
          <t>GloVe-100</t>
        </is>
      </c>
      <c r="B1213" s="0" t="inlineStr">
        <is>
          <t>H39</t>
        </is>
      </c>
      <c r="C1213" s="0" t="inlineStr">
        <is>
          <t>H44</t>
        </is>
      </c>
      <c r="D1213" s="0" t="n">
        <v>70</v>
      </c>
    </row>
    <row r="1214">
      <c r="A1214" s="0" t="inlineStr">
        <is>
          <t>GloVe-100</t>
        </is>
      </c>
      <c r="B1214" s="0" t="inlineStr">
        <is>
          <t>I39</t>
        </is>
      </c>
      <c r="C1214" s="0" t="inlineStr">
        <is>
          <t>I44</t>
        </is>
      </c>
      <c r="D1214" s="0" t="n">
        <v>75.5</v>
      </c>
    </row>
    <row r="1215">
      <c r="A1215" s="0" t="inlineStr">
        <is>
          <t>GloVe-100</t>
        </is>
      </c>
      <c r="B1215" s="0" t="inlineStr">
        <is>
          <t>J39</t>
        </is>
      </c>
      <c r="C1215" s="0" t="inlineStr">
        <is>
          <t>J44</t>
        </is>
      </c>
      <c r="D1215" s="0" t="n">
        <v>80</v>
      </c>
    </row>
    <row r="1216">
      <c r="A1216" s="0" t="inlineStr">
        <is>
          <t>GloVe-100</t>
        </is>
      </c>
      <c r="B1216" s="0" t="inlineStr">
        <is>
          <t>K39</t>
        </is>
      </c>
      <c r="C1216" s="0" t="inlineStr">
        <is>
          <t>K44</t>
        </is>
      </c>
      <c r="D1216" s="0" t="n">
        <v>85</v>
      </c>
    </row>
    <row r="1217">
      <c r="A1217" s="0" t="inlineStr">
        <is>
          <t>GloVe-100</t>
        </is>
      </c>
      <c r="B1217" s="0" t="inlineStr">
        <is>
          <t>L39</t>
        </is>
      </c>
      <c r="C1217" s="0" t="inlineStr">
        <is>
          <t>L44</t>
        </is>
      </c>
      <c r="D1217" s="0" t="n">
        <v>90</v>
      </c>
    </row>
    <row r="1218">
      <c r="A1218" s="0" t="inlineStr">
        <is>
          <t>GloVe-100</t>
        </is>
      </c>
      <c r="B1218" s="0" t="inlineStr">
        <is>
          <t>M39</t>
        </is>
      </c>
      <c r="C1218" s="0" t="inlineStr">
        <is>
          <t>M44</t>
        </is>
      </c>
      <c r="D1218" s="0" t="n">
        <v>95</v>
      </c>
    </row>
    <row r="1219">
      <c r="A1219" s="0" t="inlineStr">
        <is>
          <t>GloVe-100</t>
        </is>
      </c>
      <c r="B1219" s="0" t="inlineStr">
        <is>
          <t>N39</t>
        </is>
      </c>
      <c r="C1219" s="0" t="inlineStr">
        <is>
          <t>N44</t>
        </is>
      </c>
      <c r="D1219" s="0" t="n">
        <v>97.5</v>
      </c>
    </row>
    <row r="1220">
      <c r="A1220" s="0" t="inlineStr">
        <is>
          <t>GloVe-100</t>
        </is>
      </c>
      <c r="B1220" s="0" t="inlineStr">
        <is>
          <t>O39</t>
        </is>
      </c>
      <c r="C1220" s="0" t="inlineStr">
        <is>
          <t>O44</t>
        </is>
      </c>
      <c r="D1220" s="0" t="n">
        <v>99</v>
      </c>
    </row>
    <row r="1221">
      <c r="A1221" s="0" t="inlineStr">
        <is>
          <t>GloVe-100</t>
        </is>
      </c>
      <c r="B1221" s="0" t="inlineStr">
        <is>
          <t>P39</t>
        </is>
      </c>
      <c r="C1221" s="0" t="inlineStr">
        <is>
          <t>P44</t>
        </is>
      </c>
      <c r="D1221" s="0" t="n">
        <v>99</v>
      </c>
    </row>
    <row r="1222">
      <c r="A1222" s="0" t="inlineStr">
        <is>
          <t>GloVe-100</t>
        </is>
      </c>
      <c r="B1222" s="0" t="inlineStr">
        <is>
          <t>E40</t>
        </is>
      </c>
      <c r="C1222" s="0" t="inlineStr">
        <is>
          <t>E45</t>
        </is>
      </c>
      <c r="D1222" s="0" t="inlineStr">
        <is>
          <t>query time</t>
        </is>
      </c>
    </row>
    <row r="1223">
      <c r="A1223" s="0" t="inlineStr">
        <is>
          <t>GloVe-100</t>
        </is>
      </c>
      <c r="B1223" s="0" t="inlineStr">
        <is>
          <t>F40</t>
        </is>
      </c>
      <c r="C1223" s="0" t="inlineStr">
        <is>
          <t>F45</t>
        </is>
      </c>
      <c r="D1223" s="0" t="n">
        <v>191.6756877</v>
      </c>
    </row>
    <row r="1224">
      <c r="A1224" s="0" t="inlineStr">
        <is>
          <t>GloVe-100</t>
        </is>
      </c>
      <c r="B1224" s="0" t="inlineStr">
        <is>
          <t>G40</t>
        </is>
      </c>
      <c r="C1224" s="0" t="inlineStr">
        <is>
          <t>G45</t>
        </is>
      </c>
      <c r="D1224" s="0" t="n">
        <v>214.483257416667</v>
      </c>
    </row>
    <row r="1225">
      <c r="A1225" s="0" t="inlineStr">
        <is>
          <t>GloVe-100</t>
        </is>
      </c>
      <c r="B1225" s="0" t="inlineStr">
        <is>
          <t>H40</t>
        </is>
      </c>
      <c r="C1225" s="0" t="inlineStr">
        <is>
          <t>H45</t>
        </is>
      </c>
      <c r="D1225" s="0" t="n">
        <v>255.16067945</v>
      </c>
    </row>
    <row r="1226">
      <c r="A1226" s="0" t="inlineStr">
        <is>
          <t>GloVe-100</t>
        </is>
      </c>
      <c r="B1226" s="0" t="inlineStr">
        <is>
          <t>I40</t>
        </is>
      </c>
      <c r="C1226" s="0" t="inlineStr">
        <is>
          <t>I45</t>
        </is>
      </c>
      <c r="D1226" s="0" t="n">
        <v>272.635821866667</v>
      </c>
    </row>
    <row r="1227">
      <c r="A1227" s="0" t="inlineStr">
        <is>
          <t>GloVe-100</t>
        </is>
      </c>
      <c r="B1227" s="0" t="inlineStr">
        <is>
          <t>J40</t>
        </is>
      </c>
      <c r="C1227" s="0" t="inlineStr">
        <is>
          <t>J45</t>
        </is>
      </c>
      <c r="D1227" s="0" t="n">
        <v>297.966906316667</v>
      </c>
    </row>
    <row r="1228">
      <c r="A1228" s="0" t="inlineStr">
        <is>
          <t>GloVe-100</t>
        </is>
      </c>
      <c r="B1228" s="0" t="inlineStr">
        <is>
          <t>K40</t>
        </is>
      </c>
      <c r="C1228" s="0" t="inlineStr">
        <is>
          <t>K45</t>
        </is>
      </c>
      <c r="D1228" s="0" t="n">
        <v>362.26386005</v>
      </c>
    </row>
    <row r="1229">
      <c r="A1229" s="0" t="inlineStr">
        <is>
          <t>GloVe-100</t>
        </is>
      </c>
      <c r="B1229" s="0" t="inlineStr">
        <is>
          <t>L40</t>
        </is>
      </c>
      <c r="C1229" s="0" t="inlineStr">
        <is>
          <t>L45</t>
        </is>
      </c>
      <c r="D1229" s="0" t="n">
        <v>391.939616166667</v>
      </c>
    </row>
    <row r="1230">
      <c r="A1230" s="0" t="inlineStr">
        <is>
          <t>GloVe-100</t>
        </is>
      </c>
      <c r="B1230" s="0" t="inlineStr">
        <is>
          <t>M40</t>
        </is>
      </c>
      <c r="C1230" s="0" t="inlineStr">
        <is>
          <t>M45</t>
        </is>
      </c>
      <c r="D1230" s="0" t="n">
        <v>420.781040966667</v>
      </c>
    </row>
    <row r="1231">
      <c r="A1231" s="0" t="inlineStr">
        <is>
          <t>GloVe-100</t>
        </is>
      </c>
      <c r="B1231" s="0" t="inlineStr">
        <is>
          <t>N40</t>
        </is>
      </c>
      <c r="C1231" s="0" t="inlineStr">
        <is>
          <t>N45</t>
        </is>
      </c>
      <c r="D1231" s="0" t="n">
        <v>443.8091156</v>
      </c>
    </row>
    <row r="1232">
      <c r="A1232" s="0" t="inlineStr">
        <is>
          <t>GloVe-100</t>
        </is>
      </c>
      <c r="B1232" s="0" t="inlineStr">
        <is>
          <t>O40</t>
        </is>
      </c>
      <c r="C1232" s="0" t="inlineStr">
        <is>
          <t>O45</t>
        </is>
      </c>
      <c r="D1232" s="0" t="n">
        <v>451.888928783333</v>
      </c>
    </row>
    <row r="1233">
      <c r="A1233" s="0" t="inlineStr">
        <is>
          <t>GloVe-100</t>
        </is>
      </c>
      <c r="B1233" s="0" t="inlineStr">
        <is>
          <t>P40</t>
        </is>
      </c>
      <c r="C1233" s="0" t="inlineStr">
        <is>
          <t>P45</t>
        </is>
      </c>
      <c r="D1233" s="0" t="n">
        <v>451.888928783333</v>
      </c>
    </row>
    <row r="1234">
      <c r="A1234" s="0" t="inlineStr">
        <is>
          <t>GloVe-100</t>
        </is>
      </c>
      <c r="B1234" s="0" t="inlineStr">
        <is>
          <t>D41</t>
        </is>
      </c>
      <c r="C1234" s="0" t="inlineStr">
        <is>
          <t>D46</t>
        </is>
      </c>
      <c r="D1234" s="0" t="inlineStr">
        <is>
          <t>ANNProof</t>
        </is>
      </c>
    </row>
    <row r="1235">
      <c r="A1235" s="0" t="inlineStr">
        <is>
          <t>GloVe-100</t>
        </is>
      </c>
      <c r="B1235" s="0" t="inlineStr">
        <is>
          <t>E41</t>
        </is>
      </c>
      <c r="C1235" s="0" t="inlineStr">
        <is>
          <t>E46</t>
        </is>
      </c>
      <c r="D1235" s="0" t="inlineStr">
        <is>
          <t>Recall rate</t>
        </is>
      </c>
    </row>
    <row r="1236">
      <c r="A1236" s="0" t="inlineStr">
        <is>
          <t>GloVe-100</t>
        </is>
      </c>
      <c r="B1236" s="0" t="inlineStr">
        <is>
          <t>F41</t>
        </is>
      </c>
      <c r="C1236" s="0" t="inlineStr">
        <is>
          <t>F46</t>
        </is>
      </c>
      <c r="D1236" s="0" t="n">
        <v>66.5</v>
      </c>
    </row>
    <row r="1237">
      <c r="A1237" s="0" t="inlineStr">
        <is>
          <t>GloVe-100</t>
        </is>
      </c>
      <c r="B1237" s="0" t="inlineStr">
        <is>
          <t>G41</t>
        </is>
      </c>
      <c r="C1237" s="0" t="inlineStr">
        <is>
          <t>G46</t>
        </is>
      </c>
      <c r="D1237" s="0" t="n">
        <v>66.5</v>
      </c>
    </row>
    <row r="1238">
      <c r="A1238" s="0" t="inlineStr">
        <is>
          <t>GloVe-100</t>
        </is>
      </c>
      <c r="B1238" s="0" t="inlineStr">
        <is>
          <t>H41</t>
        </is>
      </c>
      <c r="C1238" s="0" t="inlineStr">
        <is>
          <t>H46</t>
        </is>
      </c>
      <c r="D1238" s="0" t="n">
        <v>77.5</v>
      </c>
    </row>
    <row r="1239">
      <c r="A1239" s="0" t="inlineStr">
        <is>
          <t>GloVe-100</t>
        </is>
      </c>
      <c r="B1239" s="0" t="inlineStr">
        <is>
          <t>I41</t>
        </is>
      </c>
      <c r="C1239" s="0" t="inlineStr">
        <is>
          <t>I46</t>
        </is>
      </c>
      <c r="D1239" s="0" t="n">
        <v>77.5</v>
      </c>
    </row>
    <row r="1240">
      <c r="A1240" s="0" t="inlineStr">
        <is>
          <t>GloVe-100</t>
        </is>
      </c>
      <c r="B1240" s="0" t="inlineStr">
        <is>
          <t>J41</t>
        </is>
      </c>
      <c r="C1240" s="0" t="inlineStr">
        <is>
          <t>J46</t>
        </is>
      </c>
      <c r="D1240" s="0" t="n">
        <v>83.5</v>
      </c>
    </row>
    <row r="1241">
      <c r="A1241" s="0" t="inlineStr">
        <is>
          <t>GloVe-100</t>
        </is>
      </c>
      <c r="B1241" s="0" t="inlineStr">
        <is>
          <t>K41</t>
        </is>
      </c>
      <c r="C1241" s="0" t="inlineStr">
        <is>
          <t>K46</t>
        </is>
      </c>
      <c r="D1241" s="0" t="n">
        <v>87.5</v>
      </c>
    </row>
    <row r="1242">
      <c r="A1242" s="0" t="inlineStr">
        <is>
          <t>GloVe-100</t>
        </is>
      </c>
      <c r="B1242" s="0" t="inlineStr">
        <is>
          <t>L41</t>
        </is>
      </c>
      <c r="C1242" s="0" t="inlineStr">
        <is>
          <t>L46</t>
        </is>
      </c>
      <c r="D1242" s="0" t="n">
        <v>90</v>
      </c>
    </row>
    <row r="1243">
      <c r="A1243" s="0" t="inlineStr">
        <is>
          <t>GloVe-100</t>
        </is>
      </c>
      <c r="B1243" s="0" t="inlineStr">
        <is>
          <t>M41</t>
        </is>
      </c>
      <c r="C1243" s="0" t="inlineStr">
        <is>
          <t>M46</t>
        </is>
      </c>
      <c r="D1243" s="0" t="n">
        <v>95.5</v>
      </c>
    </row>
    <row r="1244">
      <c r="A1244" s="0" t="inlineStr">
        <is>
          <t>GloVe-100</t>
        </is>
      </c>
      <c r="B1244" s="0" t="inlineStr">
        <is>
          <t>N41</t>
        </is>
      </c>
      <c r="C1244" s="0" t="inlineStr">
        <is>
          <t>N46</t>
        </is>
      </c>
      <c r="D1244" s="0" t="n">
        <v>97.5</v>
      </c>
    </row>
    <row r="1245">
      <c r="A1245" s="0" t="inlineStr">
        <is>
          <t>GloVe-100</t>
        </is>
      </c>
      <c r="B1245" s="0" t="inlineStr">
        <is>
          <t>O41</t>
        </is>
      </c>
      <c r="C1245" s="0" t="inlineStr">
        <is>
          <t>O46</t>
        </is>
      </c>
      <c r="D1245" s="0" t="n">
        <v>98.5</v>
      </c>
    </row>
    <row r="1246">
      <c r="A1246" s="0" t="inlineStr">
        <is>
          <t>GloVe-100</t>
        </is>
      </c>
      <c r="B1246" s="0" t="inlineStr">
        <is>
          <t>P41</t>
        </is>
      </c>
      <c r="C1246" s="0" t="inlineStr">
        <is>
          <t>P46</t>
        </is>
      </c>
      <c r="D1246" s="0" t="n">
        <v>99</v>
      </c>
    </row>
    <row r="1247">
      <c r="A1247" s="0" t="inlineStr">
        <is>
          <t>GloVe-100</t>
        </is>
      </c>
      <c r="B1247" s="0" t="inlineStr">
        <is>
          <t>E42</t>
        </is>
      </c>
      <c r="C1247" s="0" t="inlineStr">
        <is>
          <t>E47</t>
        </is>
      </c>
      <c r="D1247" s="0" t="inlineStr">
        <is>
          <t>query time</t>
        </is>
      </c>
    </row>
    <row r="1248">
      <c r="A1248" s="0" t="inlineStr">
        <is>
          <t>GloVe-100</t>
        </is>
      </c>
      <c r="B1248" s="0" t="inlineStr">
        <is>
          <t>F42</t>
        </is>
      </c>
      <c r="C1248" s="0" t="inlineStr">
        <is>
          <t>F47</t>
        </is>
      </c>
      <c r="D1248" s="0" t="n">
        <v>4.92347798333333</v>
      </c>
    </row>
    <row r="1249">
      <c r="A1249" s="0" t="inlineStr">
        <is>
          <t>GloVe-100</t>
        </is>
      </c>
      <c r="B1249" s="0" t="inlineStr">
        <is>
          <t>G42</t>
        </is>
      </c>
      <c r="C1249" s="0" t="inlineStr">
        <is>
          <t>G47</t>
        </is>
      </c>
      <c r="D1249" s="0" t="n">
        <v>4.92347798333333</v>
      </c>
    </row>
    <row r="1250">
      <c r="A1250" s="0" t="inlineStr">
        <is>
          <t>GloVe-100</t>
        </is>
      </c>
      <c r="B1250" s="0" t="inlineStr">
        <is>
          <t>H42</t>
        </is>
      </c>
      <c r="C1250" s="0" t="inlineStr">
        <is>
          <t>H47</t>
        </is>
      </c>
      <c r="D1250" s="0" t="n">
        <v>8.64324116666667</v>
      </c>
    </row>
    <row r="1251">
      <c r="A1251" s="0" t="inlineStr">
        <is>
          <t>GloVe-100</t>
        </is>
      </c>
      <c r="B1251" s="0" t="inlineStr">
        <is>
          <t>I42</t>
        </is>
      </c>
      <c r="C1251" s="0" t="inlineStr">
        <is>
          <t>I47</t>
        </is>
      </c>
      <c r="D1251" s="0" t="n">
        <v>8.64324116666667</v>
      </c>
    </row>
    <row r="1252">
      <c r="A1252" s="0" t="inlineStr">
        <is>
          <t>GloVe-100</t>
        </is>
      </c>
      <c r="B1252" s="0" t="inlineStr">
        <is>
          <t>J42</t>
        </is>
      </c>
      <c r="C1252" s="0" t="inlineStr">
        <is>
          <t>J47</t>
        </is>
      </c>
      <c r="D1252" s="0" t="n">
        <v>11.9039628833333</v>
      </c>
    </row>
    <row r="1253">
      <c r="A1253" s="0" t="inlineStr">
        <is>
          <t>GloVe-100</t>
        </is>
      </c>
      <c r="B1253" s="0" t="inlineStr">
        <is>
          <t>K42</t>
        </is>
      </c>
      <c r="C1253" s="0" t="inlineStr">
        <is>
          <t>K47</t>
        </is>
      </c>
      <c r="D1253" s="0" t="n">
        <v>15.25740905</v>
      </c>
    </row>
    <row r="1254">
      <c r="A1254" s="0" t="inlineStr">
        <is>
          <t>GloVe-100</t>
        </is>
      </c>
      <c r="B1254" s="0" t="inlineStr">
        <is>
          <t>L42</t>
        </is>
      </c>
      <c r="C1254" s="0" t="inlineStr">
        <is>
          <t>L47</t>
        </is>
      </c>
      <c r="D1254" s="0" t="n">
        <v>20.8722866666667</v>
      </c>
    </row>
    <row r="1255">
      <c r="A1255" s="0" t="inlineStr">
        <is>
          <t>GloVe-100</t>
        </is>
      </c>
      <c r="B1255" s="0" t="inlineStr">
        <is>
          <t>M42</t>
        </is>
      </c>
      <c r="C1255" s="0" t="inlineStr">
        <is>
          <t>M47</t>
        </is>
      </c>
      <c r="D1255" s="0" t="n">
        <v>69.7219818833333</v>
      </c>
    </row>
    <row r="1256">
      <c r="A1256" s="0" t="inlineStr">
        <is>
          <t>GloVe-100</t>
        </is>
      </c>
      <c r="B1256" s="0" t="inlineStr">
        <is>
          <t>N42</t>
        </is>
      </c>
      <c r="C1256" s="0" t="inlineStr">
        <is>
          <t>N47</t>
        </is>
      </c>
      <c r="D1256" s="0" t="n">
        <v>87.9987959833333</v>
      </c>
    </row>
    <row r="1257">
      <c r="A1257" s="0" t="inlineStr">
        <is>
          <t>GloVe-100</t>
        </is>
      </c>
      <c r="B1257" s="0" t="inlineStr">
        <is>
          <t>O42</t>
        </is>
      </c>
      <c r="C1257" s="0" t="inlineStr">
        <is>
          <t>O47</t>
        </is>
      </c>
      <c r="D1257" s="0" t="n">
        <v>164.089183766667</v>
      </c>
    </row>
    <row r="1258">
      <c r="A1258" s="0" t="inlineStr">
        <is>
          <t>GloVe-100</t>
        </is>
      </c>
      <c r="B1258" s="0" t="inlineStr">
        <is>
          <t>P42</t>
        </is>
      </c>
      <c r="C1258" s="0" t="inlineStr">
        <is>
          <t>P47</t>
        </is>
      </c>
      <c r="D1258" s="0" t="n">
        <v>302.3812472</v>
      </c>
    </row>
    <row r="1259">
      <c r="A1259" s="0" t="inlineStr">
        <is>
          <t>GloVe-100</t>
        </is>
      </c>
      <c r="B1259" s="0" t="inlineStr">
        <is>
          <t>D43</t>
        </is>
      </c>
      <c r="C1259" s="0" t="inlineStr">
        <is>
          <t>D48</t>
        </is>
      </c>
      <c r="D1259" s="0" t="inlineStr">
        <is>
          <t>Ours</t>
        </is>
      </c>
    </row>
    <row r="1260">
      <c r="A1260" s="0" t="inlineStr">
        <is>
          <t>GloVe-100</t>
        </is>
      </c>
      <c r="B1260" s="0" t="inlineStr">
        <is>
          <t>E43</t>
        </is>
      </c>
      <c r="C1260" s="0" t="inlineStr">
        <is>
          <t>E48</t>
        </is>
      </c>
      <c r="D1260" s="0" t="inlineStr">
        <is>
          <t>Recall rate</t>
        </is>
      </c>
    </row>
    <row r="1261">
      <c r="A1261" s="0" t="inlineStr">
        <is>
          <t>GloVe-100</t>
        </is>
      </c>
      <c r="B1261" s="0" t="inlineStr">
        <is>
          <t>F43</t>
        </is>
      </c>
      <c r="C1261" s="0" t="inlineStr">
        <is>
          <t>F48</t>
        </is>
      </c>
      <c r="D1261" s="0" t="n">
        <v>60.5</v>
      </c>
    </row>
    <row r="1262">
      <c r="A1262" s="0" t="inlineStr">
        <is>
          <t>GloVe-100</t>
        </is>
      </c>
      <c r="B1262" s="0" t="inlineStr">
        <is>
          <t>G43</t>
        </is>
      </c>
      <c r="C1262" s="0" t="inlineStr">
        <is>
          <t>G48</t>
        </is>
      </c>
      <c r="D1262" s="0" t="n">
        <v>71.5</v>
      </c>
    </row>
    <row r="1263">
      <c r="A1263" s="0" t="inlineStr">
        <is>
          <t>GloVe-100</t>
        </is>
      </c>
      <c r="B1263" s="0" t="inlineStr">
        <is>
          <t>H43</t>
        </is>
      </c>
      <c r="C1263" s="0" t="inlineStr">
        <is>
          <t>H48</t>
        </is>
      </c>
      <c r="D1263" s="0" t="n">
        <v>71.5</v>
      </c>
    </row>
    <row r="1264">
      <c r="A1264" s="0" t="inlineStr">
        <is>
          <t>GloVe-100</t>
        </is>
      </c>
      <c r="B1264" s="0" t="inlineStr">
        <is>
          <t>I43</t>
        </is>
      </c>
      <c r="C1264" s="0" t="inlineStr">
        <is>
          <t>I48</t>
        </is>
      </c>
      <c r="D1264" s="0" t="n">
        <v>81</v>
      </c>
    </row>
    <row r="1265">
      <c r="A1265" s="0" t="inlineStr">
        <is>
          <t>GloVe-100</t>
        </is>
      </c>
      <c r="B1265" s="0" t="inlineStr">
        <is>
          <t>J43</t>
        </is>
      </c>
      <c r="C1265" s="0" t="inlineStr">
        <is>
          <t>J48</t>
        </is>
      </c>
      <c r="D1265" s="0" t="n">
        <v>81</v>
      </c>
    </row>
    <row r="1266">
      <c r="A1266" s="0" t="inlineStr">
        <is>
          <t>GloVe-100</t>
        </is>
      </c>
      <c r="B1266" s="0" t="inlineStr">
        <is>
          <t>K43</t>
        </is>
      </c>
      <c r="C1266" s="0" t="inlineStr">
        <is>
          <t>K48</t>
        </is>
      </c>
      <c r="D1266" s="0" t="n">
        <v>85.5</v>
      </c>
    </row>
    <row r="1267">
      <c r="A1267" s="0" t="inlineStr">
        <is>
          <t>GloVe-100</t>
        </is>
      </c>
      <c r="B1267" s="0" t="inlineStr">
        <is>
          <t>L43</t>
        </is>
      </c>
      <c r="C1267" s="0" t="inlineStr">
        <is>
          <t>L48</t>
        </is>
      </c>
      <c r="D1267" s="0" t="n">
        <v>91</v>
      </c>
    </row>
    <row r="1268">
      <c r="A1268" s="0" t="inlineStr">
        <is>
          <t>GloVe-100</t>
        </is>
      </c>
      <c r="B1268" s="0" t="inlineStr">
        <is>
          <t>M43</t>
        </is>
      </c>
      <c r="C1268" s="0" t="inlineStr">
        <is>
          <t>M48</t>
        </is>
      </c>
      <c r="D1268" s="0" t="n">
        <v>96</v>
      </c>
    </row>
    <row r="1269">
      <c r="A1269" s="0" t="inlineStr">
        <is>
          <t>GloVe-100</t>
        </is>
      </c>
      <c r="B1269" s="0" t="inlineStr">
        <is>
          <t>N43</t>
        </is>
      </c>
      <c r="C1269" s="0" t="inlineStr">
        <is>
          <t>N48</t>
        </is>
      </c>
      <c r="D1269" s="0" t="n">
        <v>97.5</v>
      </c>
    </row>
    <row r="1270">
      <c r="A1270" s="0" t="inlineStr">
        <is>
          <t>GloVe-100</t>
        </is>
      </c>
      <c r="B1270" s="0" t="inlineStr">
        <is>
          <t>O43</t>
        </is>
      </c>
      <c r="C1270" s="0" t="inlineStr">
        <is>
          <t>O48</t>
        </is>
      </c>
      <c r="D1270" s="0" t="n">
        <v>98.5</v>
      </c>
    </row>
    <row r="1271">
      <c r="A1271" s="0" t="inlineStr">
        <is>
          <t>GloVe-100</t>
        </is>
      </c>
      <c r="B1271" s="0" t="inlineStr">
        <is>
          <t>P43</t>
        </is>
      </c>
      <c r="C1271" s="0" t="inlineStr">
        <is>
          <t>P48</t>
        </is>
      </c>
      <c r="D1271" s="0" t="n">
        <v>99.5</v>
      </c>
    </row>
    <row r="1272">
      <c r="A1272" s="0" t="inlineStr">
        <is>
          <t>GloVe-100</t>
        </is>
      </c>
      <c r="B1272" s="0" t="inlineStr">
        <is>
          <t>E44</t>
        </is>
      </c>
      <c r="C1272" s="0" t="inlineStr">
        <is>
          <t>E49</t>
        </is>
      </c>
      <c r="D1272" s="0" t="inlineStr">
        <is>
          <t>query time</t>
        </is>
      </c>
    </row>
    <row r="1273">
      <c r="A1273" s="0" t="inlineStr">
        <is>
          <t>GloVe-100</t>
        </is>
      </c>
      <c r="B1273" s="0" t="inlineStr">
        <is>
          <t>F44</t>
        </is>
      </c>
      <c r="C1273" s="0" t="inlineStr">
        <is>
          <t>F49</t>
        </is>
      </c>
      <c r="D1273" s="0" t="n">
        <v>3.95783811666667</v>
      </c>
    </row>
    <row r="1274">
      <c r="A1274" s="0" t="inlineStr">
        <is>
          <t>GloVe-100</t>
        </is>
      </c>
      <c r="B1274" s="0" t="inlineStr">
        <is>
          <t>G44</t>
        </is>
      </c>
      <c r="C1274" s="0" t="inlineStr">
        <is>
          <t>G49</t>
        </is>
      </c>
      <c r="D1274" s="0" t="n">
        <v>5.54844886666667</v>
      </c>
    </row>
    <row r="1275">
      <c r="A1275" s="0" t="inlineStr">
        <is>
          <t>GloVe-100</t>
        </is>
      </c>
      <c r="B1275" s="0" t="inlineStr">
        <is>
          <t>H44</t>
        </is>
      </c>
      <c r="C1275" s="0" t="inlineStr">
        <is>
          <t>H49</t>
        </is>
      </c>
      <c r="D1275" s="0" t="n">
        <v>5.54844886666667</v>
      </c>
    </row>
    <row r="1276">
      <c r="A1276" s="0" t="inlineStr">
        <is>
          <t>GloVe-100</t>
        </is>
      </c>
      <c r="B1276" s="0" t="inlineStr">
        <is>
          <t>I44</t>
        </is>
      </c>
      <c r="C1276" s="0" t="inlineStr">
        <is>
          <t>I49</t>
        </is>
      </c>
      <c r="D1276" s="0" t="n">
        <v>9.4764108</v>
      </c>
    </row>
    <row r="1277">
      <c r="A1277" s="0" t="inlineStr">
        <is>
          <t>GloVe-100</t>
        </is>
      </c>
      <c r="B1277" s="0" t="inlineStr">
        <is>
          <t>J44</t>
        </is>
      </c>
      <c r="C1277" s="0" t="inlineStr">
        <is>
          <t>J49</t>
        </is>
      </c>
      <c r="D1277" s="0" t="n">
        <v>9.4764108</v>
      </c>
    </row>
    <row r="1278">
      <c r="A1278" s="0" t="inlineStr">
        <is>
          <t>GloVe-100</t>
        </is>
      </c>
      <c r="B1278" s="0" t="inlineStr">
        <is>
          <t>K44</t>
        </is>
      </c>
      <c r="C1278" s="0" t="inlineStr">
        <is>
          <t>K49</t>
        </is>
      </c>
      <c r="D1278" s="0" t="n">
        <v>11.80332585</v>
      </c>
    </row>
    <row r="1279">
      <c r="A1279" s="0" t="inlineStr">
        <is>
          <t>GloVe-100</t>
        </is>
      </c>
      <c r="B1279" s="0" t="inlineStr">
        <is>
          <t>L44</t>
        </is>
      </c>
      <c r="C1279" s="0" t="inlineStr">
        <is>
          <t>L49</t>
        </is>
      </c>
      <c r="D1279" s="0" t="n">
        <v>20.9300079</v>
      </c>
    </row>
    <row r="1280">
      <c r="A1280" s="0" t="inlineStr">
        <is>
          <t>GloVe-100</t>
        </is>
      </c>
      <c r="B1280" s="0" t="inlineStr">
        <is>
          <t>M44</t>
        </is>
      </c>
      <c r="C1280" s="0" t="inlineStr">
        <is>
          <t>M49</t>
        </is>
      </c>
      <c r="D1280" s="0" t="n">
        <v>52.0690504666667</v>
      </c>
    </row>
    <row r="1281">
      <c r="A1281" s="0" t="inlineStr">
        <is>
          <t>GloVe-100</t>
        </is>
      </c>
      <c r="B1281" s="0" t="inlineStr">
        <is>
          <t>N44</t>
        </is>
      </c>
      <c r="C1281" s="0" t="inlineStr">
        <is>
          <t>N49</t>
        </is>
      </c>
      <c r="D1281" s="0" t="n">
        <v>66.0417216333333</v>
      </c>
    </row>
    <row r="1282">
      <c r="A1282" s="0" t="inlineStr">
        <is>
          <t>GloVe-100</t>
        </is>
      </c>
      <c r="B1282" s="0" t="inlineStr">
        <is>
          <t>O44</t>
        </is>
      </c>
      <c r="C1282" s="0" t="inlineStr">
        <is>
          <t>O49</t>
        </is>
      </c>
      <c r="D1282" s="0" t="n">
        <v>119.74718415</v>
      </c>
    </row>
    <row r="1283">
      <c r="A1283" s="0" t="inlineStr">
        <is>
          <t>GloVe-100</t>
        </is>
      </c>
      <c r="B1283" s="0" t="inlineStr">
        <is>
          <t>P44</t>
        </is>
      </c>
      <c r="C1283" s="0" t="inlineStr">
        <is>
          <t>P49</t>
        </is>
      </c>
      <c r="D1283" s="0" t="n">
        <v>225.599757116667</v>
      </c>
    </row>
    <row r="1284">
      <c r="A1284" s="0" t="inlineStr">
        <is>
          <t>GloVe-100</t>
        </is>
      </c>
      <c r="B1284" s="0" t="inlineStr">
        <is>
          <t>E50</t>
        </is>
      </c>
      <c r="C1284" s="0" t="inlineStr">
        <is>
          <t>E57</t>
        </is>
      </c>
      <c r="D1284" s="0" t="inlineStr">
        <is>
          <t>Dataset size vs. VO size</t>
        </is>
      </c>
    </row>
    <row r="1285">
      <c r="A1285" s="0" t="inlineStr">
        <is>
          <t>GloVe-100</t>
        </is>
      </c>
      <c r="B1285" s="0" t="inlineStr">
        <is>
          <t>D52</t>
        </is>
      </c>
      <c r="C1285" s="0" t="inlineStr">
        <is>
          <t>D59</t>
        </is>
      </c>
      <c r="D1285" s="0" t="inlineStr">
        <is>
          <t>GloVe-100: real prefix subsets; 5M/10M not applicable</t>
        </is>
      </c>
    </row>
    <row r="1286">
      <c r="A1286" s="0" t="inlineStr">
        <is>
          <t>GloVe-100</t>
        </is>
      </c>
      <c r="B1286" s="0" t="inlineStr">
        <is>
          <t>D53</t>
        </is>
      </c>
      <c r="C1286" s="0" t="inlineStr">
        <is>
          <t>D60</t>
        </is>
      </c>
      <c r="D1286" s="0" t="inlineStr">
        <is>
          <t>dataset size</t>
        </is>
      </c>
    </row>
    <row r="1287">
      <c r="A1287" s="0" t="inlineStr">
        <is>
          <t>GloVe-100</t>
        </is>
      </c>
      <c r="B1287" s="0" t="inlineStr">
        <is>
          <t>F53</t>
        </is>
      </c>
      <c r="C1287" s="0" t="inlineStr">
        <is>
          <t>F60</t>
        </is>
      </c>
      <c r="D1287" s="0" t="inlineStr">
        <is>
          <t>10^5</t>
        </is>
      </c>
    </row>
    <row r="1288">
      <c r="A1288" s="0" t="inlineStr">
        <is>
          <t>GloVe-100</t>
        </is>
      </c>
      <c r="B1288" s="0" t="inlineStr">
        <is>
          <t>G53</t>
        </is>
      </c>
      <c r="C1288" s="0" t="inlineStr">
        <is>
          <t>G60</t>
        </is>
      </c>
      <c r="D1288" s="0" t="inlineStr">
        <is>
          <t>5*10^5</t>
        </is>
      </c>
    </row>
    <row r="1289">
      <c r="A1289" s="0" t="inlineStr">
        <is>
          <t>GloVe-100</t>
        </is>
      </c>
      <c r="B1289" s="0" t="inlineStr">
        <is>
          <t>H53</t>
        </is>
      </c>
      <c r="C1289" s="0" t="inlineStr">
        <is>
          <t>H60</t>
        </is>
      </c>
      <c r="D1289" s="0" t="inlineStr">
        <is>
          <t>10^6</t>
        </is>
      </c>
    </row>
    <row r="1290">
      <c r="A1290" s="0" t="inlineStr">
        <is>
          <t>GloVe-100</t>
        </is>
      </c>
      <c r="B1290" s="0" t="inlineStr">
        <is>
          <t>I53</t>
        </is>
      </c>
      <c r="C1290" s="0" t="inlineStr">
        <is>
          <t>I60</t>
        </is>
      </c>
      <c r="D1290" s="0" t="inlineStr">
        <is>
          <t>5*10^6</t>
        </is>
      </c>
    </row>
    <row r="1291">
      <c r="A1291" s="0" t="inlineStr">
        <is>
          <t>GloVe-100</t>
        </is>
      </c>
      <c r="B1291" s="0" t="inlineStr">
        <is>
          <t>J53</t>
        </is>
      </c>
      <c r="C1291" s="0" t="inlineStr">
        <is>
          <t>J60</t>
        </is>
      </c>
      <c r="D1291" s="0" t="inlineStr">
        <is>
          <t>10^7</t>
        </is>
      </c>
    </row>
    <row r="1292">
      <c r="A1292" s="0" t="inlineStr">
        <is>
          <t>GloVe-100</t>
        </is>
      </c>
      <c r="B1292" s="0" t="inlineStr">
        <is>
          <t>D54</t>
        </is>
      </c>
      <c r="C1292" s="0" t="inlineStr">
        <is>
          <t>D61</t>
        </is>
      </c>
      <c r="D1292" s="0" t="inlineStr">
        <is>
          <t>VLAH</t>
        </is>
      </c>
    </row>
    <row r="1293">
      <c r="A1293" s="0" t="inlineStr">
        <is>
          <t>GloVe-100</t>
        </is>
      </c>
      <c r="B1293" s="0" t="inlineStr">
        <is>
          <t>F54</t>
        </is>
      </c>
      <c r="C1293" s="0" t="inlineStr">
        <is>
          <t>F61</t>
        </is>
      </c>
      <c r="D1293" s="0" t="n">
        <v>8489.522800000001</v>
      </c>
    </row>
    <row r="1294">
      <c r="A1294" s="0" t="inlineStr">
        <is>
          <t>GloVe-100</t>
        </is>
      </c>
      <c r="B1294" s="0" t="inlineStr">
        <is>
          <t>G54</t>
        </is>
      </c>
      <c r="C1294" s="0" t="inlineStr">
        <is>
          <t>G61</t>
        </is>
      </c>
      <c r="D1294" s="0" t="n">
        <v>42416.545</v>
      </c>
    </row>
    <row r="1295">
      <c r="A1295" s="0" t="inlineStr">
        <is>
          <t>GloVe-100</t>
        </is>
      </c>
      <c r="B1295" s="0" t="inlineStr">
        <is>
          <t>H54</t>
        </is>
      </c>
      <c r="C1295" s="0" t="inlineStr">
        <is>
          <t>H61</t>
        </is>
      </c>
      <c r="D1295" s="0" t="n">
        <v>82998.06759999999</v>
      </c>
    </row>
    <row r="1296">
      <c r="A1296" s="0" t="inlineStr">
        <is>
          <t>GloVe-100</t>
        </is>
      </c>
      <c r="B1296" s="0" t="inlineStr">
        <is>
          <t>I54</t>
        </is>
      </c>
      <c r="C1296" s="0" t="inlineStr">
        <is>
          <t>I61</t>
        </is>
      </c>
      <c r="D1296" s="0" t="inlineStr">
        <is>
          <t>不适用</t>
        </is>
      </c>
    </row>
    <row r="1297">
      <c r="A1297" s="0" t="inlineStr">
        <is>
          <t>GloVe-100</t>
        </is>
      </c>
      <c r="B1297" s="0" t="inlineStr">
        <is>
          <t>J54</t>
        </is>
      </c>
      <c r="C1297" s="0" t="inlineStr">
        <is>
          <t>J61</t>
        </is>
      </c>
      <c r="D1297" s="0" t="inlineStr">
        <is>
          <t>不适用</t>
        </is>
      </c>
    </row>
    <row r="1298">
      <c r="A1298" s="0" t="inlineStr">
        <is>
          <t>GloVe-100</t>
        </is>
      </c>
      <c r="B1298" s="0" t="inlineStr">
        <is>
          <t>D55</t>
        </is>
      </c>
      <c r="C1298" s="0" t="inlineStr">
        <is>
          <t>D62</t>
        </is>
      </c>
      <c r="D1298" s="0" t="inlineStr">
        <is>
          <t>ANNProof</t>
        </is>
      </c>
    </row>
    <row r="1299">
      <c r="A1299" s="0" t="inlineStr">
        <is>
          <t>GloVe-100</t>
        </is>
      </c>
      <c r="B1299" s="0" t="inlineStr">
        <is>
          <t>F55</t>
        </is>
      </c>
      <c r="C1299" s="0" t="inlineStr">
        <is>
          <t>F62</t>
        </is>
      </c>
      <c r="D1299" s="0" t="n">
        <v>5057.4898</v>
      </c>
    </row>
    <row r="1300">
      <c r="A1300" s="0" t="inlineStr">
        <is>
          <t>GloVe-100</t>
        </is>
      </c>
      <c r="B1300" s="0" t="inlineStr">
        <is>
          <t>G55</t>
        </is>
      </c>
      <c r="C1300" s="0" t="inlineStr">
        <is>
          <t>G62</t>
        </is>
      </c>
      <c r="D1300" s="0" t="n">
        <v>13273.9188</v>
      </c>
    </row>
    <row r="1301">
      <c r="A1301" s="0" t="inlineStr">
        <is>
          <t>GloVe-100</t>
        </is>
      </c>
      <c r="B1301" s="0" t="inlineStr">
        <is>
          <t>H55</t>
        </is>
      </c>
      <c r="C1301" s="0" t="inlineStr">
        <is>
          <t>H62</t>
        </is>
      </c>
      <c r="D1301" s="0" t="n">
        <v>14370.4534</v>
      </c>
    </row>
    <row r="1302">
      <c r="A1302" s="0" t="inlineStr">
        <is>
          <t>GloVe-100</t>
        </is>
      </c>
      <c r="B1302" s="0" t="inlineStr">
        <is>
          <t>I55</t>
        </is>
      </c>
      <c r="C1302" s="0" t="inlineStr">
        <is>
          <t>I62</t>
        </is>
      </c>
      <c r="D1302" s="0" t="inlineStr">
        <is>
          <t>不适用</t>
        </is>
      </c>
    </row>
    <row r="1303">
      <c r="A1303" s="0" t="inlineStr">
        <is>
          <t>GloVe-100</t>
        </is>
      </c>
      <c r="B1303" s="0" t="inlineStr">
        <is>
          <t>J55</t>
        </is>
      </c>
      <c r="C1303" s="0" t="inlineStr">
        <is>
          <t>J62</t>
        </is>
      </c>
      <c r="D1303" s="0" t="inlineStr">
        <is>
          <t>不适用</t>
        </is>
      </c>
    </row>
    <row r="1304">
      <c r="A1304" s="0" t="inlineStr">
        <is>
          <t>GloVe-100</t>
        </is>
      </c>
      <c r="B1304" s="0" t="inlineStr">
        <is>
          <t>D56</t>
        </is>
      </c>
      <c r="C1304" s="0" t="inlineStr">
        <is>
          <t>D63</t>
        </is>
      </c>
      <c r="D1304" s="0" t="inlineStr">
        <is>
          <t>Ours</t>
        </is>
      </c>
    </row>
    <row r="1305">
      <c r="A1305" s="0" t="inlineStr">
        <is>
          <t>GloVe-100</t>
        </is>
      </c>
      <c r="B1305" s="0" t="inlineStr">
        <is>
          <t>F56</t>
        </is>
      </c>
      <c r="C1305" s="0" t="inlineStr">
        <is>
          <t>F63</t>
        </is>
      </c>
      <c r="D1305" s="0" t="n">
        <v>969.1795499999999</v>
      </c>
    </row>
    <row r="1306">
      <c r="A1306" s="0" t="inlineStr">
        <is>
          <t>GloVe-100</t>
        </is>
      </c>
      <c r="B1306" s="0" t="inlineStr">
        <is>
          <t>G56</t>
        </is>
      </c>
      <c r="C1306" s="0" t="inlineStr">
        <is>
          <t>G63</t>
        </is>
      </c>
      <c r="D1306" s="0" t="n">
        <v>3293.64175</v>
      </c>
    </row>
    <row r="1307">
      <c r="A1307" s="0" t="inlineStr">
        <is>
          <t>GloVe-100</t>
        </is>
      </c>
      <c r="B1307" s="0" t="inlineStr">
        <is>
          <t>H56</t>
        </is>
      </c>
      <c r="C1307" s="0" t="inlineStr">
        <is>
          <t>H63</t>
        </is>
      </c>
      <c r="D1307" s="0" t="n">
        <v>2804.3072</v>
      </c>
    </row>
    <row r="1308">
      <c r="A1308" s="0" t="inlineStr">
        <is>
          <t>GloVe-100</t>
        </is>
      </c>
      <c r="B1308" s="0" t="inlineStr">
        <is>
          <t>I56</t>
        </is>
      </c>
      <c r="C1308" s="0" t="inlineStr">
        <is>
          <t>I63</t>
        </is>
      </c>
      <c r="D1308" s="0" t="inlineStr">
        <is>
          <t>不适用</t>
        </is>
      </c>
    </row>
    <row r="1309">
      <c r="A1309" s="0" t="inlineStr">
        <is>
          <t>GloVe-100</t>
        </is>
      </c>
      <c r="B1309" s="0" t="inlineStr">
        <is>
          <t>J56</t>
        </is>
      </c>
      <c r="C1309" s="0" t="inlineStr">
        <is>
          <t>J63</t>
        </is>
      </c>
      <c r="D1309" s="0" t="inlineStr">
        <is>
          <t>不适用</t>
        </is>
      </c>
    </row>
    <row r="1310">
      <c r="A1310" s="0" t="inlineStr">
        <is>
          <t>GloVe-100</t>
        </is>
      </c>
      <c r="B1310" s="0" t="inlineStr">
        <is>
          <t>E60</t>
        </is>
      </c>
      <c r="C1310" s="0" t="inlineStr">
        <is>
          <t>E68</t>
        </is>
      </c>
      <c r="D1310" s="0" t="inlineStr">
        <is>
          <t>Dataset size vs. Verify time</t>
        </is>
      </c>
    </row>
    <row r="1311">
      <c r="A1311" s="0" t="inlineStr">
        <is>
          <t>GloVe-100</t>
        </is>
      </c>
      <c r="B1311" s="0" t="inlineStr">
        <is>
          <t>D62</t>
        </is>
      </c>
      <c r="C1311" s="0" t="inlineStr">
        <is>
          <t>D70</t>
        </is>
      </c>
      <c r="D1311" s="0" t="inlineStr">
        <is>
          <t>GloVe-100: real prefix subsets; 5M/10M not applicable</t>
        </is>
      </c>
    </row>
    <row r="1312">
      <c r="A1312" s="0" t="inlineStr">
        <is>
          <t>GloVe-100</t>
        </is>
      </c>
      <c r="B1312" s="0" t="inlineStr">
        <is>
          <t>D63</t>
        </is>
      </c>
      <c r="C1312" s="0" t="inlineStr">
        <is>
          <t>D71</t>
        </is>
      </c>
      <c r="D1312" s="0" t="inlineStr">
        <is>
          <t>dataset size</t>
        </is>
      </c>
    </row>
    <row r="1313">
      <c r="A1313" s="0" t="inlineStr">
        <is>
          <t>GloVe-100</t>
        </is>
      </c>
      <c r="B1313" s="0" t="inlineStr">
        <is>
          <t>F63</t>
        </is>
      </c>
      <c r="C1313" s="0" t="inlineStr">
        <is>
          <t>F71</t>
        </is>
      </c>
      <c r="D1313" s="0" t="inlineStr">
        <is>
          <t>10^5</t>
        </is>
      </c>
    </row>
    <row r="1314">
      <c r="A1314" s="0" t="inlineStr">
        <is>
          <t>GloVe-100</t>
        </is>
      </c>
      <c r="B1314" s="0" t="inlineStr">
        <is>
          <t>G63</t>
        </is>
      </c>
      <c r="C1314" s="0" t="inlineStr">
        <is>
          <t>G71</t>
        </is>
      </c>
      <c r="D1314" s="0" t="inlineStr">
        <is>
          <t>5*10^5</t>
        </is>
      </c>
    </row>
    <row r="1315">
      <c r="A1315" s="0" t="inlineStr">
        <is>
          <t>GloVe-100</t>
        </is>
      </c>
      <c r="B1315" s="0" t="inlineStr">
        <is>
          <t>H63</t>
        </is>
      </c>
      <c r="C1315" s="0" t="inlineStr">
        <is>
          <t>H71</t>
        </is>
      </c>
      <c r="D1315" s="0" t="inlineStr">
        <is>
          <t>10^6</t>
        </is>
      </c>
    </row>
    <row r="1316">
      <c r="A1316" s="0" t="inlineStr">
        <is>
          <t>GloVe-100</t>
        </is>
      </c>
      <c r="B1316" s="0" t="inlineStr">
        <is>
          <t>I63</t>
        </is>
      </c>
      <c r="C1316" s="0" t="inlineStr">
        <is>
          <t>I71</t>
        </is>
      </c>
      <c r="D1316" s="0" t="inlineStr">
        <is>
          <t>5*10^6</t>
        </is>
      </c>
    </row>
    <row r="1317">
      <c r="A1317" s="0" t="inlineStr">
        <is>
          <t>GloVe-100</t>
        </is>
      </c>
      <c r="B1317" s="0" t="inlineStr">
        <is>
          <t>J63</t>
        </is>
      </c>
      <c r="C1317" s="0" t="inlineStr">
        <is>
          <t>J71</t>
        </is>
      </c>
      <c r="D1317" s="0" t="inlineStr">
        <is>
          <t>10^7</t>
        </is>
      </c>
    </row>
    <row r="1318">
      <c r="A1318" s="0" t="inlineStr">
        <is>
          <t>GloVe-100</t>
        </is>
      </c>
      <c r="B1318" s="0" t="inlineStr">
        <is>
          <t>D64</t>
        </is>
      </c>
      <c r="C1318" s="0" t="inlineStr">
        <is>
          <t>D72</t>
        </is>
      </c>
      <c r="D1318" s="0" t="inlineStr">
        <is>
          <t>VLAH</t>
        </is>
      </c>
    </row>
    <row r="1319">
      <c r="A1319" s="0" t="inlineStr">
        <is>
          <t>GloVe-100</t>
        </is>
      </c>
      <c r="B1319" s="0" t="inlineStr">
        <is>
          <t>F64</t>
        </is>
      </c>
      <c r="C1319" s="0" t="inlineStr">
        <is>
          <t>F72</t>
        </is>
      </c>
      <c r="D1319" s="0" t="n">
        <v>54.7392815166667</v>
      </c>
    </row>
    <row r="1320">
      <c r="A1320" s="0" t="inlineStr">
        <is>
          <t>GloVe-100</t>
        </is>
      </c>
      <c r="B1320" s="0" t="inlineStr">
        <is>
          <t>G64</t>
        </is>
      </c>
      <c r="C1320" s="0" t="inlineStr">
        <is>
          <t>G72</t>
        </is>
      </c>
      <c r="D1320" s="0" t="n">
        <v>284.5216247</v>
      </c>
    </row>
    <row r="1321">
      <c r="A1321" s="0" t="inlineStr">
        <is>
          <t>GloVe-100</t>
        </is>
      </c>
      <c r="B1321" s="0" t="inlineStr">
        <is>
          <t>H64</t>
        </is>
      </c>
      <c r="C1321" s="0" t="inlineStr">
        <is>
          <t>H72</t>
        </is>
      </c>
      <c r="D1321" s="0" t="n">
        <v>557.962164633333</v>
      </c>
    </row>
    <row r="1322">
      <c r="A1322" s="0" t="inlineStr">
        <is>
          <t>GloVe-100</t>
        </is>
      </c>
      <c r="B1322" s="0" t="inlineStr">
        <is>
          <t>I64</t>
        </is>
      </c>
      <c r="C1322" s="0" t="inlineStr">
        <is>
          <t>I72</t>
        </is>
      </c>
      <c r="D1322" s="0" t="inlineStr">
        <is>
          <t>不适用</t>
        </is>
      </c>
    </row>
    <row r="1323">
      <c r="A1323" s="0" t="inlineStr">
        <is>
          <t>GloVe-100</t>
        </is>
      </c>
      <c r="B1323" s="0" t="inlineStr">
        <is>
          <t>J64</t>
        </is>
      </c>
      <c r="C1323" s="0" t="inlineStr">
        <is>
          <t>J72</t>
        </is>
      </c>
      <c r="D1323" s="0" t="inlineStr">
        <is>
          <t>不适用</t>
        </is>
      </c>
    </row>
    <row r="1324">
      <c r="A1324" s="0" t="inlineStr">
        <is>
          <t>GloVe-100</t>
        </is>
      </c>
      <c r="B1324" s="0" t="inlineStr">
        <is>
          <t>D65</t>
        </is>
      </c>
      <c r="C1324" s="0" t="inlineStr">
        <is>
          <t>D73</t>
        </is>
      </c>
      <c r="D1324" s="0" t="inlineStr">
        <is>
          <t>ANNProof</t>
        </is>
      </c>
    </row>
    <row r="1325">
      <c r="A1325" s="0" t="inlineStr">
        <is>
          <t>GloVe-100</t>
        </is>
      </c>
      <c r="B1325" s="0" t="inlineStr">
        <is>
          <t>F65</t>
        </is>
      </c>
      <c r="C1325" s="0" t="inlineStr">
        <is>
          <t>F73</t>
        </is>
      </c>
      <c r="D1325" s="0" t="n">
        <v>59.2690873333333</v>
      </c>
    </row>
    <row r="1326">
      <c r="A1326" s="0" t="inlineStr">
        <is>
          <t>GloVe-100</t>
        </is>
      </c>
      <c r="B1326" s="0" t="inlineStr">
        <is>
          <t>G65</t>
        </is>
      </c>
      <c r="C1326" s="0" t="inlineStr">
        <is>
          <t>G73</t>
        </is>
      </c>
      <c r="D1326" s="0" t="n">
        <v>166.525453083333</v>
      </c>
    </row>
    <row r="1327">
      <c r="A1327" s="0" t="inlineStr">
        <is>
          <t>GloVe-100</t>
        </is>
      </c>
      <c r="B1327" s="0" t="inlineStr">
        <is>
          <t>H65</t>
        </is>
      </c>
      <c r="C1327" s="0" t="inlineStr">
        <is>
          <t>H73</t>
        </is>
      </c>
      <c r="D1327" s="0" t="n">
        <v>186.265374333333</v>
      </c>
    </row>
    <row r="1328">
      <c r="A1328" s="0" t="inlineStr">
        <is>
          <t>GloVe-100</t>
        </is>
      </c>
      <c r="B1328" s="0" t="inlineStr">
        <is>
          <t>I65</t>
        </is>
      </c>
      <c r="C1328" s="0" t="inlineStr">
        <is>
          <t>I73</t>
        </is>
      </c>
      <c r="D1328" s="0" t="inlineStr">
        <is>
          <t>不适用</t>
        </is>
      </c>
    </row>
    <row r="1329">
      <c r="A1329" s="0" t="inlineStr">
        <is>
          <t>GloVe-100</t>
        </is>
      </c>
      <c r="B1329" s="0" t="inlineStr">
        <is>
          <t>J65</t>
        </is>
      </c>
      <c r="C1329" s="0" t="inlineStr">
        <is>
          <t>J73</t>
        </is>
      </c>
      <c r="D1329" s="0" t="inlineStr">
        <is>
          <t>不适用</t>
        </is>
      </c>
    </row>
    <row r="1330">
      <c r="A1330" s="0" t="inlineStr">
        <is>
          <t>GloVe-100</t>
        </is>
      </c>
      <c r="B1330" s="0" t="inlineStr">
        <is>
          <t>D66</t>
        </is>
      </c>
      <c r="C1330" s="0" t="inlineStr">
        <is>
          <t>D74</t>
        </is>
      </c>
      <c r="D1330" s="0" t="inlineStr">
        <is>
          <t>Ours</t>
        </is>
      </c>
    </row>
    <row r="1331">
      <c r="A1331" s="0" t="inlineStr">
        <is>
          <t>GloVe-100</t>
        </is>
      </c>
      <c r="B1331" s="0" t="inlineStr">
        <is>
          <t>F66</t>
        </is>
      </c>
      <c r="C1331" s="0" t="inlineStr">
        <is>
          <t>F74</t>
        </is>
      </c>
      <c r="D1331" s="0" t="n">
        <v>23.6985128833333</v>
      </c>
    </row>
    <row r="1332">
      <c r="A1332" s="0" t="inlineStr">
        <is>
          <t>GloVe-100</t>
        </is>
      </c>
      <c r="B1332" s="0" t="inlineStr">
        <is>
          <t>G66</t>
        </is>
      </c>
      <c r="C1332" s="0" t="inlineStr">
        <is>
          <t>G74</t>
        </is>
      </c>
      <c r="D1332" s="0" t="n">
        <v>94.11832695</v>
      </c>
    </row>
    <row r="1333">
      <c r="A1333" s="0" t="inlineStr">
        <is>
          <t>GloVe-100</t>
        </is>
      </c>
      <c r="B1333" s="0" t="inlineStr">
        <is>
          <t>H66</t>
        </is>
      </c>
      <c r="C1333" s="0" t="inlineStr">
        <is>
          <t>H74</t>
        </is>
      </c>
      <c r="D1333" s="0" t="n">
        <v>76.8190604</v>
      </c>
    </row>
    <row r="1334">
      <c r="A1334" s="0" t="inlineStr">
        <is>
          <t>GloVe-100</t>
        </is>
      </c>
      <c r="B1334" s="0" t="inlineStr">
        <is>
          <t>I66</t>
        </is>
      </c>
      <c r="C1334" s="0" t="inlineStr">
        <is>
          <t>I74</t>
        </is>
      </c>
      <c r="D1334" s="0" t="inlineStr">
        <is>
          <t>不适用</t>
        </is>
      </c>
    </row>
    <row r="1335">
      <c r="A1335" s="0" t="inlineStr">
        <is>
          <t>GloVe-100</t>
        </is>
      </c>
      <c r="B1335" s="0" t="inlineStr">
        <is>
          <t>J66</t>
        </is>
      </c>
      <c r="C1335" s="0" t="inlineStr">
        <is>
          <t>J74</t>
        </is>
      </c>
      <c r="D1335" s="0" t="inlineStr">
        <is>
          <t>不适用</t>
        </is>
      </c>
    </row>
    <row r="1336">
      <c r="A1336" s="0" t="inlineStr">
        <is>
          <t>GloVe-100</t>
        </is>
      </c>
      <c r="B1336" s="0" t="inlineStr">
        <is>
          <t>E69</t>
        </is>
      </c>
      <c r="C1336" s="0" t="inlineStr">
        <is>
          <t>E78</t>
        </is>
      </c>
      <c r="D1336" s="0" t="inlineStr">
        <is>
          <t>Dataset size vs. query time</t>
        </is>
      </c>
    </row>
    <row r="1337">
      <c r="A1337" s="0" t="inlineStr">
        <is>
          <t>GloVe-100</t>
        </is>
      </c>
      <c r="B1337" s="0" t="inlineStr">
        <is>
          <t>D71</t>
        </is>
      </c>
      <c r="C1337" s="0" t="inlineStr">
        <is>
          <t>D80</t>
        </is>
      </c>
      <c r="D1337" s="0" t="inlineStr">
        <is>
          <t>GloVe-100: real prefix subsets; 5M/10M not applicable</t>
        </is>
      </c>
    </row>
    <row r="1338">
      <c r="A1338" s="0" t="inlineStr">
        <is>
          <t>GloVe-100</t>
        </is>
      </c>
      <c r="B1338" s="0" t="inlineStr">
        <is>
          <t>D72</t>
        </is>
      </c>
      <c r="C1338" s="0" t="inlineStr">
        <is>
          <t>D81</t>
        </is>
      </c>
      <c r="D1338" s="0" t="inlineStr">
        <is>
          <t>dataset size</t>
        </is>
      </c>
    </row>
    <row r="1339">
      <c r="A1339" s="0" t="inlineStr">
        <is>
          <t>GloVe-100</t>
        </is>
      </c>
      <c r="B1339" s="0" t="inlineStr">
        <is>
          <t>F72</t>
        </is>
      </c>
      <c r="C1339" s="0" t="inlineStr">
        <is>
          <t>F81</t>
        </is>
      </c>
      <c r="D1339" s="0" t="inlineStr">
        <is>
          <t>10^5</t>
        </is>
      </c>
    </row>
    <row r="1340">
      <c r="A1340" s="0" t="inlineStr">
        <is>
          <t>GloVe-100</t>
        </is>
      </c>
      <c r="B1340" s="0" t="inlineStr">
        <is>
          <t>G72</t>
        </is>
      </c>
      <c r="C1340" s="0" t="inlineStr">
        <is>
          <t>G81</t>
        </is>
      </c>
      <c r="D1340" s="0" t="inlineStr">
        <is>
          <t>5*10^5</t>
        </is>
      </c>
    </row>
    <row r="1341">
      <c r="A1341" s="0" t="inlineStr">
        <is>
          <t>GloVe-100</t>
        </is>
      </c>
      <c r="B1341" s="0" t="inlineStr">
        <is>
          <t>H72</t>
        </is>
      </c>
      <c r="C1341" s="0" t="inlineStr">
        <is>
          <t>H81</t>
        </is>
      </c>
      <c r="D1341" s="0" t="inlineStr">
        <is>
          <t>10^6</t>
        </is>
      </c>
    </row>
    <row r="1342">
      <c r="A1342" s="0" t="inlineStr">
        <is>
          <t>GloVe-100</t>
        </is>
      </c>
      <c r="B1342" s="0" t="inlineStr">
        <is>
          <t>I72</t>
        </is>
      </c>
      <c r="C1342" s="0" t="inlineStr">
        <is>
          <t>I81</t>
        </is>
      </c>
      <c r="D1342" s="0" t="inlineStr">
        <is>
          <t>5*10^6</t>
        </is>
      </c>
    </row>
    <row r="1343">
      <c r="A1343" s="0" t="inlineStr">
        <is>
          <t>GloVe-100</t>
        </is>
      </c>
      <c r="B1343" s="0" t="inlineStr">
        <is>
          <t>J72</t>
        </is>
      </c>
      <c r="C1343" s="0" t="inlineStr">
        <is>
          <t>J81</t>
        </is>
      </c>
      <c r="D1343" s="0" t="inlineStr">
        <is>
          <t>10^7</t>
        </is>
      </c>
    </row>
    <row r="1344">
      <c r="A1344" s="0" t="inlineStr">
        <is>
          <t>GloVe-100</t>
        </is>
      </c>
      <c r="B1344" s="0" t="inlineStr">
        <is>
          <t>D73</t>
        </is>
      </c>
      <c r="C1344" s="0" t="inlineStr">
        <is>
          <t>D82</t>
        </is>
      </c>
      <c r="D1344" s="0" t="inlineStr">
        <is>
          <t>VLAH</t>
        </is>
      </c>
    </row>
    <row r="1345">
      <c r="A1345" s="0" t="inlineStr">
        <is>
          <t>GloVe-100</t>
        </is>
      </c>
      <c r="B1345" s="0" t="inlineStr">
        <is>
          <t>F73</t>
        </is>
      </c>
      <c r="C1345" s="0" t="inlineStr">
        <is>
          <t>F82</t>
        </is>
      </c>
      <c r="D1345" s="0" t="n">
        <v>19.83255335</v>
      </c>
    </row>
    <row r="1346">
      <c r="A1346" s="0" t="inlineStr">
        <is>
          <t>GloVe-100</t>
        </is>
      </c>
      <c r="B1346" s="0" t="inlineStr">
        <is>
          <t>G73</t>
        </is>
      </c>
      <c r="C1346" s="0" t="inlineStr">
        <is>
          <t>G82</t>
        </is>
      </c>
      <c r="D1346" s="0" t="n">
        <v>118.37491675</v>
      </c>
    </row>
    <row r="1347">
      <c r="A1347" s="0" t="inlineStr">
        <is>
          <t>GloVe-100</t>
        </is>
      </c>
      <c r="B1347" s="0" t="inlineStr">
        <is>
          <t>H73</t>
        </is>
      </c>
      <c r="C1347" s="0" t="inlineStr">
        <is>
          <t>H82</t>
        </is>
      </c>
      <c r="D1347" s="0" t="n">
        <v>237.828352416667</v>
      </c>
    </row>
    <row r="1348">
      <c r="A1348" s="0" t="inlineStr">
        <is>
          <t>GloVe-100</t>
        </is>
      </c>
      <c r="B1348" s="0" t="inlineStr">
        <is>
          <t>I73</t>
        </is>
      </c>
      <c r="C1348" s="0" t="inlineStr">
        <is>
          <t>I82</t>
        </is>
      </c>
      <c r="D1348" s="0" t="inlineStr">
        <is>
          <t>不适用</t>
        </is>
      </c>
    </row>
    <row r="1349">
      <c r="A1349" s="0" t="inlineStr">
        <is>
          <t>GloVe-100</t>
        </is>
      </c>
      <c r="B1349" s="0" t="inlineStr">
        <is>
          <t>J73</t>
        </is>
      </c>
      <c r="C1349" s="0" t="inlineStr">
        <is>
          <t>J82</t>
        </is>
      </c>
      <c r="D1349" s="0" t="inlineStr">
        <is>
          <t>不适用</t>
        </is>
      </c>
    </row>
    <row r="1350">
      <c r="A1350" s="0" t="inlineStr">
        <is>
          <t>GloVe-100</t>
        </is>
      </c>
      <c r="B1350" s="0" t="inlineStr">
        <is>
          <t>D74</t>
        </is>
      </c>
      <c r="C1350" s="0" t="inlineStr">
        <is>
          <t>D83</t>
        </is>
      </c>
      <c r="D1350" s="0" t="inlineStr">
        <is>
          <t>ANNProof</t>
        </is>
      </c>
    </row>
    <row r="1351">
      <c r="A1351" s="0" t="inlineStr">
        <is>
          <t>GloVe-100</t>
        </is>
      </c>
      <c r="B1351" s="0" t="inlineStr">
        <is>
          <t>F74</t>
        </is>
      </c>
      <c r="C1351" s="0" t="inlineStr">
        <is>
          <t>F83</t>
        </is>
      </c>
      <c r="D1351" s="0" t="n">
        <v>14.3868343666667</v>
      </c>
    </row>
    <row r="1352">
      <c r="A1352" s="0" t="inlineStr">
        <is>
          <t>GloVe-100</t>
        </is>
      </c>
      <c r="B1352" s="0" t="inlineStr">
        <is>
          <t>G74</t>
        </is>
      </c>
      <c r="C1352" s="0" t="inlineStr">
        <is>
          <t>G83</t>
        </is>
      </c>
      <c r="D1352" s="0" t="n">
        <v>42.6744452833333</v>
      </c>
    </row>
    <row r="1353">
      <c r="A1353" s="0" t="inlineStr">
        <is>
          <t>GloVe-100</t>
        </is>
      </c>
      <c r="B1353" s="0" t="inlineStr">
        <is>
          <t>H74</t>
        </is>
      </c>
      <c r="C1353" s="0" t="inlineStr">
        <is>
          <t>H83</t>
        </is>
      </c>
      <c r="D1353" s="0" t="n">
        <v>47.7281420666667</v>
      </c>
    </row>
    <row r="1354">
      <c r="A1354" s="0" t="inlineStr">
        <is>
          <t>GloVe-100</t>
        </is>
      </c>
      <c r="B1354" s="0" t="inlineStr">
        <is>
          <t>I74</t>
        </is>
      </c>
      <c r="C1354" s="0" t="inlineStr">
        <is>
          <t>I83</t>
        </is>
      </c>
      <c r="D1354" s="0" t="inlineStr">
        <is>
          <t>不适用</t>
        </is>
      </c>
    </row>
    <row r="1355">
      <c r="A1355" s="0" t="inlineStr">
        <is>
          <t>GloVe-100</t>
        </is>
      </c>
      <c r="B1355" s="0" t="inlineStr">
        <is>
          <t>J74</t>
        </is>
      </c>
      <c r="C1355" s="0" t="inlineStr">
        <is>
          <t>J83</t>
        </is>
      </c>
      <c r="D1355" s="0" t="inlineStr">
        <is>
          <t>不适用</t>
        </is>
      </c>
    </row>
    <row r="1356">
      <c r="A1356" s="0" t="inlineStr">
        <is>
          <t>GloVe-100</t>
        </is>
      </c>
      <c r="B1356" s="0" t="inlineStr">
        <is>
          <t>D75</t>
        </is>
      </c>
      <c r="C1356" s="0" t="inlineStr">
        <is>
          <t>D84</t>
        </is>
      </c>
      <c r="D1356" s="0" t="inlineStr">
        <is>
          <t>Ours</t>
        </is>
      </c>
    </row>
    <row r="1357">
      <c r="A1357" s="0" t="inlineStr">
        <is>
          <t>GloVe-100</t>
        </is>
      </c>
      <c r="B1357" s="0" t="inlineStr">
        <is>
          <t>F75</t>
        </is>
      </c>
      <c r="C1357" s="0" t="inlineStr">
        <is>
          <t>F84</t>
        </is>
      </c>
      <c r="D1357" s="0" t="n">
        <v>10.5961927333333</v>
      </c>
    </row>
    <row r="1358">
      <c r="A1358" s="0" t="inlineStr">
        <is>
          <t>GloVe-100</t>
        </is>
      </c>
      <c r="B1358" s="0" t="inlineStr">
        <is>
          <t>G75</t>
        </is>
      </c>
      <c r="C1358" s="0" t="inlineStr">
        <is>
          <t>G84</t>
        </is>
      </c>
      <c r="D1358" s="0" t="n">
        <v>44.0394726833333</v>
      </c>
    </row>
    <row r="1359">
      <c r="A1359" s="0" t="inlineStr">
        <is>
          <t>GloVe-100</t>
        </is>
      </c>
      <c r="B1359" s="0" t="inlineStr">
        <is>
          <t>H75</t>
        </is>
      </c>
      <c r="C1359" s="0" t="inlineStr">
        <is>
          <t>H84</t>
        </is>
      </c>
      <c r="D1359" s="0" t="n">
        <v>35.6520734333333</v>
      </c>
    </row>
    <row r="1360">
      <c r="A1360" s="0" t="inlineStr">
        <is>
          <t>GloVe-100</t>
        </is>
      </c>
      <c r="B1360" s="0" t="inlineStr">
        <is>
          <t>I75</t>
        </is>
      </c>
      <c r="C1360" s="0" t="inlineStr">
        <is>
          <t>I84</t>
        </is>
      </c>
      <c r="D1360" s="0" t="inlineStr">
        <is>
          <t>不适用</t>
        </is>
      </c>
    </row>
    <row r="1361">
      <c r="A1361" s="0" t="inlineStr">
        <is>
          <t>GloVe-100</t>
        </is>
      </c>
      <c r="B1361" s="0" t="inlineStr">
        <is>
          <t>J75</t>
        </is>
      </c>
      <c r="C1361" s="0" t="inlineStr">
        <is>
          <t>J84</t>
        </is>
      </c>
      <c r="D1361" s="0" t="inlineStr">
        <is>
          <t>不适用</t>
        </is>
      </c>
    </row>
    <row r="1362">
      <c r="A1362" s="0" t="inlineStr">
        <is>
          <t>GloVe-100</t>
        </is>
      </c>
      <c r="B1362" s="0" t="inlineStr">
        <is>
          <t>E80</t>
        </is>
      </c>
      <c r="C1362" s="0" t="inlineStr">
        <is>
          <t>E90</t>
        </is>
      </c>
      <c r="D1362" s="0" t="inlineStr">
        <is>
          <t>K vs. VO size (actual Recall@K logged)</t>
        </is>
      </c>
    </row>
    <row r="1363">
      <c r="A1363" s="0" t="inlineStr">
        <is>
          <t>GloVe-100</t>
        </is>
      </c>
      <c r="B1363" s="0" t="inlineStr">
        <is>
          <t>D82</t>
        </is>
      </c>
      <c r="C1363" s="0" t="inlineStr">
        <is>
          <t>D92</t>
        </is>
      </c>
      <c r="D1363" s="0" t="inlineStr">
        <is>
          <t>GloVe-100 (N=1,183,514, d=100)</t>
        </is>
      </c>
    </row>
    <row r="1364">
      <c r="A1364" s="0" t="inlineStr">
        <is>
          <t>GloVe-100</t>
        </is>
      </c>
      <c r="B1364" s="0" t="inlineStr">
        <is>
          <t>D83</t>
        </is>
      </c>
      <c r="C1364" s="0" t="inlineStr">
        <is>
          <t>D93</t>
        </is>
      </c>
      <c r="D1364" s="0" t="inlineStr">
        <is>
          <t>K</t>
        </is>
      </c>
    </row>
    <row r="1365">
      <c r="A1365" s="0" t="inlineStr">
        <is>
          <t>GloVe-100</t>
        </is>
      </c>
      <c r="B1365" s="0" t="inlineStr">
        <is>
          <t>F83</t>
        </is>
      </c>
      <c r="C1365" s="0" t="inlineStr">
        <is>
          <t>F93</t>
        </is>
      </c>
      <c r="D1365" s="0" t="n">
        <v>1</v>
      </c>
    </row>
    <row r="1366">
      <c r="A1366" s="0" t="inlineStr">
        <is>
          <t>GloVe-100</t>
        </is>
      </c>
      <c r="B1366" s="0" t="inlineStr">
        <is>
          <t>G83</t>
        </is>
      </c>
      <c r="C1366" s="0" t="inlineStr">
        <is>
          <t>G93</t>
        </is>
      </c>
      <c r="D1366" s="0" t="n">
        <v>5</v>
      </c>
    </row>
    <row r="1367">
      <c r="A1367" s="0" t="inlineStr">
        <is>
          <t>GloVe-100</t>
        </is>
      </c>
      <c r="B1367" s="0" t="inlineStr">
        <is>
          <t>H83</t>
        </is>
      </c>
      <c r="C1367" s="0" t="inlineStr">
        <is>
          <t>H93</t>
        </is>
      </c>
      <c r="D1367" s="0" t="n">
        <v>10</v>
      </c>
    </row>
    <row r="1368">
      <c r="A1368" s="0" t="inlineStr">
        <is>
          <t>GloVe-100</t>
        </is>
      </c>
      <c r="B1368" s="0" t="inlineStr">
        <is>
          <t>I83</t>
        </is>
      </c>
      <c r="C1368" s="0" t="inlineStr">
        <is>
          <t>I93</t>
        </is>
      </c>
      <c r="D1368" s="0" t="n">
        <v>20</v>
      </c>
    </row>
    <row r="1369">
      <c r="A1369" s="0" t="inlineStr">
        <is>
          <t>GloVe-100</t>
        </is>
      </c>
      <c r="B1369" s="0" t="inlineStr">
        <is>
          <t>J83</t>
        </is>
      </c>
      <c r="C1369" s="0" t="inlineStr">
        <is>
          <t>J93</t>
        </is>
      </c>
      <c r="D1369" s="0" t="n">
        <v>50</v>
      </c>
    </row>
    <row r="1370">
      <c r="A1370" s="0" t="inlineStr">
        <is>
          <t>GloVe-100</t>
        </is>
      </c>
      <c r="B1370" s="0" t="inlineStr">
        <is>
          <t>K83</t>
        </is>
      </c>
      <c r="C1370" s="0" t="inlineStr">
        <is>
          <t>K93</t>
        </is>
      </c>
      <c r="D1370" s="0" t="n">
        <v>100</v>
      </c>
    </row>
    <row r="1371">
      <c r="A1371" s="0" t="inlineStr">
        <is>
          <t>GloVe-100</t>
        </is>
      </c>
      <c r="B1371" s="0" t="inlineStr">
        <is>
          <t>D84</t>
        </is>
      </c>
      <c r="C1371" s="0" t="inlineStr">
        <is>
          <t>D94</t>
        </is>
      </c>
      <c r="D1371" s="0" t="inlineStr">
        <is>
          <t>VLAH</t>
        </is>
      </c>
    </row>
    <row r="1372">
      <c r="A1372" s="0" t="inlineStr">
        <is>
          <t>GloVe-100</t>
        </is>
      </c>
      <c r="B1372" s="0" t="inlineStr">
        <is>
          <t>F84</t>
        </is>
      </c>
      <c r="C1372" s="0" t="inlineStr">
        <is>
          <t>F94</t>
        </is>
      </c>
      <c r="D1372" s="0" t="n">
        <v>156085.1096</v>
      </c>
    </row>
    <row r="1373">
      <c r="A1373" s="0" t="inlineStr">
        <is>
          <t>GloVe-100</t>
        </is>
      </c>
      <c r="B1373" s="0" t="inlineStr">
        <is>
          <t>G84</t>
        </is>
      </c>
      <c r="C1373" s="0" t="inlineStr">
        <is>
          <t>G94</t>
        </is>
      </c>
      <c r="D1373" s="0" t="n">
        <v>156085.1256</v>
      </c>
    </row>
    <row r="1374">
      <c r="A1374" s="0" t="inlineStr">
        <is>
          <t>GloVe-100</t>
        </is>
      </c>
      <c r="B1374" s="0" t="inlineStr">
        <is>
          <t>H84</t>
        </is>
      </c>
      <c r="C1374" s="0" t="inlineStr">
        <is>
          <t>H94</t>
        </is>
      </c>
      <c r="D1374" s="0" t="n">
        <v>156085.1456</v>
      </c>
    </row>
    <row r="1375">
      <c r="A1375" s="0" t="inlineStr">
        <is>
          <t>GloVe-100</t>
        </is>
      </c>
      <c r="B1375" s="0" t="inlineStr">
        <is>
          <t>I84</t>
        </is>
      </c>
      <c r="C1375" s="0" t="inlineStr">
        <is>
          <t>I94</t>
        </is>
      </c>
      <c r="D1375" s="0" t="n">
        <v>156085.1856</v>
      </c>
    </row>
    <row r="1376">
      <c r="A1376" s="0" t="inlineStr">
        <is>
          <t>GloVe-100</t>
        </is>
      </c>
      <c r="B1376" s="0" t="inlineStr">
        <is>
          <t>J84</t>
        </is>
      </c>
      <c r="C1376" s="0" t="inlineStr">
        <is>
          <t>J94</t>
        </is>
      </c>
      <c r="D1376" s="0" t="n">
        <v>156085.3056</v>
      </c>
    </row>
    <row r="1377">
      <c r="A1377" s="0" t="inlineStr">
        <is>
          <t>GloVe-100</t>
        </is>
      </c>
      <c r="B1377" s="0" t="inlineStr">
        <is>
          <t>K84</t>
        </is>
      </c>
      <c r="C1377" s="0" t="inlineStr">
        <is>
          <t>K94</t>
        </is>
      </c>
      <c r="D1377" s="0" t="n">
        <v>156085.5056</v>
      </c>
    </row>
    <row r="1378">
      <c r="A1378" s="0" t="inlineStr">
        <is>
          <t>GloVe-100</t>
        </is>
      </c>
      <c r="B1378" s="0" t="inlineStr">
        <is>
          <t>D85</t>
        </is>
      </c>
      <c r="C1378" s="0" t="inlineStr">
        <is>
          <t>D95</t>
        </is>
      </c>
      <c r="D1378" s="0" t="inlineStr">
        <is>
          <t>ANNProof</t>
        </is>
      </c>
    </row>
    <row r="1379">
      <c r="A1379" s="0" t="inlineStr">
        <is>
          <t>GloVe-100</t>
        </is>
      </c>
      <c r="B1379" s="0" t="inlineStr">
        <is>
          <t>F85</t>
        </is>
      </c>
      <c r="C1379" s="0" t="inlineStr">
        <is>
          <t>F95</t>
        </is>
      </c>
      <c r="D1379" s="0" t="n">
        <v>20281.6944</v>
      </c>
    </row>
    <row r="1380">
      <c r="A1380" s="0" t="inlineStr">
        <is>
          <t>GloVe-100</t>
        </is>
      </c>
      <c r="B1380" s="0" t="inlineStr">
        <is>
          <t>G85</t>
        </is>
      </c>
      <c r="C1380" s="0" t="inlineStr">
        <is>
          <t>G95</t>
        </is>
      </c>
      <c r="D1380" s="0" t="n">
        <v>20283.9424</v>
      </c>
    </row>
    <row r="1381">
      <c r="A1381" s="0" t="inlineStr">
        <is>
          <t>GloVe-100</t>
        </is>
      </c>
      <c r="B1381" s="0" t="inlineStr">
        <is>
          <t>H85</t>
        </is>
      </c>
      <c r="C1381" s="0" t="inlineStr">
        <is>
          <t>H95</t>
        </is>
      </c>
      <c r="D1381" s="0" t="n">
        <v>20286.7284</v>
      </c>
    </row>
    <row r="1382">
      <c r="A1382" s="0" t="inlineStr">
        <is>
          <t>GloVe-100</t>
        </is>
      </c>
      <c r="B1382" s="0" t="inlineStr">
        <is>
          <t>I85</t>
        </is>
      </c>
      <c r="C1382" s="0" t="inlineStr">
        <is>
          <t>I95</t>
        </is>
      </c>
      <c r="D1382" s="0" t="n">
        <v>20292.2224</v>
      </c>
    </row>
    <row r="1383">
      <c r="A1383" s="0" t="inlineStr">
        <is>
          <t>GloVe-100</t>
        </is>
      </c>
      <c r="B1383" s="0" t="inlineStr">
        <is>
          <t>J85</t>
        </is>
      </c>
      <c r="C1383" s="0" t="inlineStr">
        <is>
          <t>J95</t>
        </is>
      </c>
      <c r="D1383" s="0" t="n">
        <v>20308.1424</v>
      </c>
    </row>
    <row r="1384">
      <c r="A1384" s="0" t="inlineStr">
        <is>
          <t>GloVe-100</t>
        </is>
      </c>
      <c r="B1384" s="0" t="inlineStr">
        <is>
          <t>K85</t>
        </is>
      </c>
      <c r="C1384" s="0" t="inlineStr">
        <is>
          <t>K95</t>
        </is>
      </c>
      <c r="D1384" s="0" t="n">
        <v>20333.0104</v>
      </c>
    </row>
    <row r="1385">
      <c r="A1385" s="0" t="inlineStr">
        <is>
          <t>GloVe-100</t>
        </is>
      </c>
      <c r="B1385" s="0" t="inlineStr">
        <is>
          <t>D86</t>
        </is>
      </c>
      <c r="C1385" s="0" t="inlineStr">
        <is>
          <t>D96</t>
        </is>
      </c>
      <c r="D1385" s="0" t="inlineStr">
        <is>
          <t>Ours</t>
        </is>
      </c>
    </row>
    <row r="1386">
      <c r="A1386" s="0" t="inlineStr">
        <is>
          <t>GloVe-100</t>
        </is>
      </c>
      <c r="B1386" s="0" t="inlineStr">
        <is>
          <t>F86</t>
        </is>
      </c>
      <c r="C1386" s="0" t="inlineStr">
        <is>
          <t>F96</t>
        </is>
      </c>
      <c r="D1386" s="0" t="n">
        <v>2821.034</v>
      </c>
    </row>
    <row r="1387">
      <c r="A1387" s="0" t="inlineStr">
        <is>
          <t>GloVe-100</t>
        </is>
      </c>
      <c r="B1387" s="0" t="inlineStr">
        <is>
          <t>G86</t>
        </is>
      </c>
      <c r="C1387" s="0" t="inlineStr">
        <is>
          <t>G96</t>
        </is>
      </c>
      <c r="D1387" s="0" t="n">
        <v>3499.03985</v>
      </c>
    </row>
    <row r="1388">
      <c r="A1388" s="0" t="inlineStr">
        <is>
          <t>GloVe-100</t>
        </is>
      </c>
      <c r="B1388" s="0" t="inlineStr">
        <is>
          <t>H86</t>
        </is>
      </c>
      <c r="C1388" s="0" t="inlineStr">
        <is>
          <t>H96</t>
        </is>
      </c>
      <c r="D1388" s="0" t="n">
        <v>3831.7115</v>
      </c>
    </row>
    <row r="1389">
      <c r="A1389" s="0" t="inlineStr">
        <is>
          <t>GloVe-100</t>
        </is>
      </c>
      <c r="B1389" s="0" t="inlineStr">
        <is>
          <t>I86</t>
        </is>
      </c>
      <c r="C1389" s="0" t="inlineStr">
        <is>
          <t>I96</t>
        </is>
      </c>
      <c r="D1389" s="0" t="n">
        <v>4142.2652</v>
      </c>
    </row>
    <row r="1390">
      <c r="A1390" s="0" t="inlineStr">
        <is>
          <t>GloVe-100</t>
        </is>
      </c>
      <c r="B1390" s="0" t="inlineStr">
        <is>
          <t>J86</t>
        </is>
      </c>
      <c r="C1390" s="0" t="inlineStr">
        <is>
          <t>J96</t>
        </is>
      </c>
      <c r="D1390" s="0" t="n">
        <v>4787.9475</v>
      </c>
    </row>
    <row r="1391">
      <c r="A1391" s="0" t="inlineStr">
        <is>
          <t>GloVe-100</t>
        </is>
      </c>
      <c r="B1391" s="0" t="inlineStr">
        <is>
          <t>K86</t>
        </is>
      </c>
      <c r="C1391" s="0" t="inlineStr">
        <is>
          <t>K96</t>
        </is>
      </c>
      <c r="D1391" s="0" t="n">
        <v>5324.953</v>
      </c>
    </row>
    <row r="1392">
      <c r="A1392" s="0" t="inlineStr">
        <is>
          <t>GloVe-100</t>
        </is>
      </c>
      <c r="B1392" s="0" t="inlineStr">
        <is>
          <t>E90</t>
        </is>
      </c>
      <c r="C1392" s="0" t="inlineStr">
        <is>
          <t>E101</t>
        </is>
      </c>
      <c r="D1392" s="0" t="inlineStr">
        <is>
          <t>K vs. Verify time</t>
        </is>
      </c>
    </row>
    <row r="1393">
      <c r="A1393" s="0" t="inlineStr">
        <is>
          <t>GloVe-100</t>
        </is>
      </c>
      <c r="B1393" s="0" t="inlineStr">
        <is>
          <t>D92</t>
        </is>
      </c>
      <c r="C1393" s="0" t="inlineStr">
        <is>
          <t>D103</t>
        </is>
      </c>
      <c r="D1393" s="0" t="inlineStr">
        <is>
          <t>GloVe-100 (N=1,183,514, d=100)</t>
        </is>
      </c>
    </row>
    <row r="1394">
      <c r="A1394" s="0" t="inlineStr">
        <is>
          <t>GloVe-100</t>
        </is>
      </c>
      <c r="B1394" s="0" t="inlineStr">
        <is>
          <t>D93</t>
        </is>
      </c>
      <c r="C1394" s="0" t="inlineStr">
        <is>
          <t>D104</t>
        </is>
      </c>
      <c r="D1394" s="0" t="inlineStr">
        <is>
          <t>K</t>
        </is>
      </c>
    </row>
    <row r="1395">
      <c r="A1395" s="0" t="inlineStr">
        <is>
          <t>GloVe-100</t>
        </is>
      </c>
      <c r="B1395" s="0" t="inlineStr">
        <is>
          <t>F93</t>
        </is>
      </c>
      <c r="C1395" s="0" t="inlineStr">
        <is>
          <t>F104</t>
        </is>
      </c>
      <c r="D1395" s="0" t="n">
        <v>1</v>
      </c>
    </row>
    <row r="1396">
      <c r="A1396" s="0" t="inlineStr">
        <is>
          <t>GloVe-100</t>
        </is>
      </c>
      <c r="B1396" s="0" t="inlineStr">
        <is>
          <t>G93</t>
        </is>
      </c>
      <c r="C1396" s="0" t="inlineStr">
        <is>
          <t>G104</t>
        </is>
      </c>
      <c r="D1396" s="0" t="n">
        <v>5</v>
      </c>
    </row>
    <row r="1397">
      <c r="A1397" s="0" t="inlineStr">
        <is>
          <t>GloVe-100</t>
        </is>
      </c>
      <c r="B1397" s="0" t="inlineStr">
        <is>
          <t>H93</t>
        </is>
      </c>
      <c r="C1397" s="0" t="inlineStr">
        <is>
          <t>H104</t>
        </is>
      </c>
      <c r="D1397" s="0" t="n">
        <v>10</v>
      </c>
    </row>
    <row r="1398">
      <c r="A1398" s="0" t="inlineStr">
        <is>
          <t>GloVe-100</t>
        </is>
      </c>
      <c r="B1398" s="0" t="inlineStr">
        <is>
          <t>I93</t>
        </is>
      </c>
      <c r="C1398" s="0" t="inlineStr">
        <is>
          <t>I104</t>
        </is>
      </c>
      <c r="D1398" s="0" t="n">
        <v>20</v>
      </c>
    </row>
    <row r="1399">
      <c r="A1399" s="0" t="inlineStr">
        <is>
          <t>GloVe-100</t>
        </is>
      </c>
      <c r="B1399" s="0" t="inlineStr">
        <is>
          <t>J93</t>
        </is>
      </c>
      <c r="C1399" s="0" t="inlineStr">
        <is>
          <t>J104</t>
        </is>
      </c>
      <c r="D1399" s="0" t="n">
        <v>50</v>
      </c>
    </row>
    <row r="1400">
      <c r="A1400" s="0" t="inlineStr">
        <is>
          <t>GloVe-100</t>
        </is>
      </c>
      <c r="B1400" s="0" t="inlineStr">
        <is>
          <t>K93</t>
        </is>
      </c>
      <c r="C1400" s="0" t="inlineStr">
        <is>
          <t>K104</t>
        </is>
      </c>
      <c r="D1400" s="0" t="n">
        <v>100</v>
      </c>
    </row>
    <row r="1401">
      <c r="A1401" s="0" t="inlineStr">
        <is>
          <t>GloVe-100</t>
        </is>
      </c>
      <c r="B1401" s="0" t="inlineStr">
        <is>
          <t>D94</t>
        </is>
      </c>
      <c r="C1401" s="0" t="inlineStr">
        <is>
          <t>D105</t>
        </is>
      </c>
      <c r="D1401" s="0" t="inlineStr">
        <is>
          <t>VLAH</t>
        </is>
      </c>
    </row>
    <row r="1402">
      <c r="A1402" s="0" t="inlineStr">
        <is>
          <t>GloVe-100</t>
        </is>
      </c>
      <c r="B1402" s="0" t="inlineStr">
        <is>
          <t>F94</t>
        </is>
      </c>
      <c r="C1402" s="0" t="inlineStr">
        <is>
          <t>F105</t>
        </is>
      </c>
      <c r="D1402" s="0" t="n">
        <v>1023.80158376667</v>
      </c>
    </row>
    <row r="1403">
      <c r="A1403" s="0" t="inlineStr">
        <is>
          <t>GloVe-100</t>
        </is>
      </c>
      <c r="B1403" s="0" t="inlineStr">
        <is>
          <t>G94</t>
        </is>
      </c>
      <c r="C1403" s="0" t="inlineStr">
        <is>
          <t>G105</t>
        </is>
      </c>
      <c r="D1403" s="0" t="n">
        <v>1023.39237478333</v>
      </c>
    </row>
    <row r="1404">
      <c r="A1404" s="0" t="inlineStr">
        <is>
          <t>GloVe-100</t>
        </is>
      </c>
      <c r="B1404" s="0" t="inlineStr">
        <is>
          <t>H94</t>
        </is>
      </c>
      <c r="C1404" s="0" t="inlineStr">
        <is>
          <t>H105</t>
        </is>
      </c>
      <c r="D1404" s="0" t="n">
        <v>1023.12500151667</v>
      </c>
    </row>
    <row r="1405">
      <c r="A1405" s="0" t="inlineStr">
        <is>
          <t>GloVe-100</t>
        </is>
      </c>
      <c r="B1405" s="0" t="inlineStr">
        <is>
          <t>I94</t>
        </is>
      </c>
      <c r="C1405" s="0" t="inlineStr">
        <is>
          <t>I105</t>
        </is>
      </c>
      <c r="D1405" s="0" t="n">
        <v>1019.02828181667</v>
      </c>
    </row>
    <row r="1406">
      <c r="A1406" s="0" t="inlineStr">
        <is>
          <t>GloVe-100</t>
        </is>
      </c>
      <c r="B1406" s="0" t="inlineStr">
        <is>
          <t>J94</t>
        </is>
      </c>
      <c r="C1406" s="0" t="inlineStr">
        <is>
          <t>J105</t>
        </is>
      </c>
      <c r="D1406" s="0" t="n">
        <v>1018.60531591667</v>
      </c>
    </row>
    <row r="1407">
      <c r="A1407" s="0" t="inlineStr">
        <is>
          <t>GloVe-100</t>
        </is>
      </c>
      <c r="B1407" s="0" t="inlineStr">
        <is>
          <t>K94</t>
        </is>
      </c>
      <c r="C1407" s="0" t="inlineStr">
        <is>
          <t>K105</t>
        </is>
      </c>
      <c r="D1407" s="0" t="n">
        <v>1024.00291686667</v>
      </c>
    </row>
    <row r="1408">
      <c r="A1408" s="0" t="inlineStr">
        <is>
          <t>GloVe-100</t>
        </is>
      </c>
      <c r="B1408" s="0" t="inlineStr">
        <is>
          <t>D95</t>
        </is>
      </c>
      <c r="C1408" s="0" t="inlineStr">
        <is>
          <t>D106</t>
        </is>
      </c>
      <c r="D1408" s="0" t="inlineStr">
        <is>
          <t>ANNProof</t>
        </is>
      </c>
    </row>
    <row r="1409">
      <c r="A1409" s="0" t="inlineStr">
        <is>
          <t>GloVe-100</t>
        </is>
      </c>
      <c r="B1409" s="0" t="inlineStr">
        <is>
          <t>F95</t>
        </is>
      </c>
      <c r="C1409" s="0" t="inlineStr">
        <is>
          <t>F106</t>
        </is>
      </c>
      <c r="D1409" s="0" t="n">
        <v>263.1691163</v>
      </c>
    </row>
    <row r="1410">
      <c r="A1410" s="0" t="inlineStr">
        <is>
          <t>GloVe-100</t>
        </is>
      </c>
      <c r="B1410" s="0" t="inlineStr">
        <is>
          <t>G95</t>
        </is>
      </c>
      <c r="C1410" s="0" t="inlineStr">
        <is>
          <t>G106</t>
        </is>
      </c>
      <c r="D1410" s="0" t="n">
        <v>263.673275116667</v>
      </c>
    </row>
    <row r="1411">
      <c r="A1411" s="0" t="inlineStr">
        <is>
          <t>GloVe-100</t>
        </is>
      </c>
      <c r="B1411" s="0" t="inlineStr">
        <is>
          <t>H95</t>
        </is>
      </c>
      <c r="C1411" s="0" t="inlineStr">
        <is>
          <t>H106</t>
        </is>
      </c>
      <c r="D1411" s="0" t="n">
        <v>264.068021866667</v>
      </c>
    </row>
    <row r="1412">
      <c r="A1412" s="0" t="inlineStr">
        <is>
          <t>GloVe-100</t>
        </is>
      </c>
      <c r="B1412" s="0" t="inlineStr">
        <is>
          <t>I95</t>
        </is>
      </c>
      <c r="C1412" s="0" t="inlineStr">
        <is>
          <t>I106</t>
        </is>
      </c>
      <c r="D1412" s="0" t="n">
        <v>262.3306454</v>
      </c>
    </row>
    <row r="1413">
      <c r="A1413" s="0" t="inlineStr">
        <is>
          <t>GloVe-100</t>
        </is>
      </c>
      <c r="B1413" s="0" t="inlineStr">
        <is>
          <t>J95</t>
        </is>
      </c>
      <c r="C1413" s="0" t="inlineStr">
        <is>
          <t>J106</t>
        </is>
      </c>
      <c r="D1413" s="0" t="n">
        <v>263.301847816667</v>
      </c>
    </row>
    <row r="1414">
      <c r="A1414" s="0" t="inlineStr">
        <is>
          <t>GloVe-100</t>
        </is>
      </c>
      <c r="B1414" s="0" t="inlineStr">
        <is>
          <t>K95</t>
        </is>
      </c>
      <c r="C1414" s="0" t="inlineStr">
        <is>
          <t>K106</t>
        </is>
      </c>
      <c r="D1414" s="0" t="n">
        <v>263.437103266667</v>
      </c>
    </row>
    <row r="1415">
      <c r="A1415" s="0" t="inlineStr">
        <is>
          <t>GloVe-100</t>
        </is>
      </c>
      <c r="B1415" s="0" t="inlineStr">
        <is>
          <t>D96</t>
        </is>
      </c>
      <c r="C1415" s="0" t="inlineStr">
        <is>
          <t>D107</t>
        </is>
      </c>
      <c r="D1415" s="0" t="inlineStr">
        <is>
          <t>Ours</t>
        </is>
      </c>
    </row>
    <row r="1416">
      <c r="A1416" s="0" t="inlineStr">
        <is>
          <t>GloVe-100</t>
        </is>
      </c>
      <c r="B1416" s="0" t="inlineStr">
        <is>
          <t>F96</t>
        </is>
      </c>
      <c r="C1416" s="0" t="inlineStr">
        <is>
          <t>F107</t>
        </is>
      </c>
      <c r="D1416" s="0" t="n">
        <v>74.48325705000001</v>
      </c>
    </row>
    <row r="1417">
      <c r="A1417" s="0" t="inlineStr">
        <is>
          <t>GloVe-100</t>
        </is>
      </c>
      <c r="B1417" s="0" t="inlineStr">
        <is>
          <t>G96</t>
        </is>
      </c>
      <c r="C1417" s="0" t="inlineStr">
        <is>
          <t>G107</t>
        </is>
      </c>
      <c r="D1417" s="0" t="n">
        <v>98.3033552</v>
      </c>
    </row>
    <row r="1418">
      <c r="A1418" s="0" t="inlineStr">
        <is>
          <t>GloVe-100</t>
        </is>
      </c>
      <c r="B1418" s="0" t="inlineStr">
        <is>
          <t>H96</t>
        </is>
      </c>
      <c r="C1418" s="0" t="inlineStr">
        <is>
          <t>H107</t>
        </is>
      </c>
      <c r="D1418" s="0" t="n">
        <v>112.045662116667</v>
      </c>
    </row>
    <row r="1419">
      <c r="A1419" s="0" t="inlineStr">
        <is>
          <t>GloVe-100</t>
        </is>
      </c>
      <c r="B1419" s="0" t="inlineStr">
        <is>
          <t>I96</t>
        </is>
      </c>
      <c r="C1419" s="0" t="inlineStr">
        <is>
          <t>I107</t>
        </is>
      </c>
      <c r="D1419" s="0" t="n">
        <v>122.636949233333</v>
      </c>
    </row>
    <row r="1420">
      <c r="A1420" s="0" t="inlineStr">
        <is>
          <t>GloVe-100</t>
        </is>
      </c>
      <c r="B1420" s="0" t="inlineStr">
        <is>
          <t>J96</t>
        </is>
      </c>
      <c r="C1420" s="0" t="inlineStr">
        <is>
          <t>J107</t>
        </is>
      </c>
      <c r="D1420" s="0" t="n">
        <v>145.3057572</v>
      </c>
    </row>
    <row r="1421">
      <c r="A1421" s="0" t="inlineStr">
        <is>
          <t>GloVe-100</t>
        </is>
      </c>
      <c r="B1421" s="0" t="inlineStr">
        <is>
          <t>K96</t>
        </is>
      </c>
      <c r="C1421" s="0" t="inlineStr">
        <is>
          <t>K107</t>
        </is>
      </c>
      <c r="D1421" s="0" t="n">
        <v>161.658067283333</v>
      </c>
    </row>
    <row r="1422">
      <c r="A1422" s="0" t="inlineStr">
        <is>
          <t>GloVe-100</t>
        </is>
      </c>
      <c r="B1422" s="0" t="inlineStr">
        <is>
          <t>E99</t>
        </is>
      </c>
      <c r="C1422" s="0" t="inlineStr">
        <is>
          <t>E111</t>
        </is>
      </c>
      <c r="D1422" s="0" t="inlineStr">
        <is>
          <t>K vs. Query time (includes VO generation)</t>
        </is>
      </c>
    </row>
    <row r="1423">
      <c r="A1423" s="0" t="inlineStr">
        <is>
          <t>GloVe-100</t>
        </is>
      </c>
      <c r="B1423" s="0" t="inlineStr">
        <is>
          <t>D101</t>
        </is>
      </c>
      <c r="C1423" s="0" t="inlineStr">
        <is>
          <t>D113</t>
        </is>
      </c>
      <c r="D1423" s="0" t="inlineStr">
        <is>
          <t>GloVe-100 (N=1,183,514, d=100)</t>
        </is>
      </c>
    </row>
    <row r="1424">
      <c r="A1424" s="0" t="inlineStr">
        <is>
          <t>GloVe-100</t>
        </is>
      </c>
      <c r="B1424" s="0" t="inlineStr">
        <is>
          <t>D102</t>
        </is>
      </c>
      <c r="C1424" s="0" t="inlineStr">
        <is>
          <t>D114</t>
        </is>
      </c>
      <c r="D1424" s="0" t="inlineStr">
        <is>
          <t>K</t>
        </is>
      </c>
    </row>
    <row r="1425">
      <c r="A1425" s="0" t="inlineStr">
        <is>
          <t>GloVe-100</t>
        </is>
      </c>
      <c r="B1425" s="0" t="inlineStr">
        <is>
          <t>F102</t>
        </is>
      </c>
      <c r="C1425" s="0" t="inlineStr">
        <is>
          <t>F114</t>
        </is>
      </c>
      <c r="D1425" s="0" t="n">
        <v>1</v>
      </c>
    </row>
    <row r="1426">
      <c r="A1426" s="0" t="inlineStr">
        <is>
          <t>GloVe-100</t>
        </is>
      </c>
      <c r="B1426" s="0" t="inlineStr">
        <is>
          <t>G102</t>
        </is>
      </c>
      <c r="C1426" s="0" t="inlineStr">
        <is>
          <t>G114</t>
        </is>
      </c>
      <c r="D1426" s="0" t="n">
        <v>5</v>
      </c>
    </row>
    <row r="1427">
      <c r="A1427" s="0" t="inlineStr">
        <is>
          <t>GloVe-100</t>
        </is>
      </c>
      <c r="B1427" s="0" t="inlineStr">
        <is>
          <t>H102</t>
        </is>
      </c>
      <c r="C1427" s="0" t="inlineStr">
        <is>
          <t>H114</t>
        </is>
      </c>
      <c r="D1427" s="0" t="n">
        <v>10</v>
      </c>
    </row>
    <row r="1428">
      <c r="A1428" s="0" t="inlineStr">
        <is>
          <t>GloVe-100</t>
        </is>
      </c>
      <c r="B1428" s="0" t="inlineStr">
        <is>
          <t>I102</t>
        </is>
      </c>
      <c r="C1428" s="0" t="inlineStr">
        <is>
          <t>I114</t>
        </is>
      </c>
      <c r="D1428" s="0" t="n">
        <v>20</v>
      </c>
    </row>
    <row r="1429">
      <c r="A1429" s="0" t="inlineStr">
        <is>
          <t>GloVe-100</t>
        </is>
      </c>
      <c r="B1429" s="0" t="inlineStr">
        <is>
          <t>J102</t>
        </is>
      </c>
      <c r="C1429" s="0" t="inlineStr">
        <is>
          <t>J114</t>
        </is>
      </c>
      <c r="D1429" s="0" t="n">
        <v>50</v>
      </c>
    </row>
    <row r="1430">
      <c r="A1430" s="0" t="inlineStr">
        <is>
          <t>GloVe-100</t>
        </is>
      </c>
      <c r="B1430" s="0" t="inlineStr">
        <is>
          <t>K102</t>
        </is>
      </c>
      <c r="C1430" s="0" t="inlineStr">
        <is>
          <t>K114</t>
        </is>
      </c>
      <c r="D1430" s="0" t="n">
        <v>100</v>
      </c>
    </row>
    <row r="1431">
      <c r="A1431" s="0" t="inlineStr">
        <is>
          <t>GloVe-100</t>
        </is>
      </c>
      <c r="B1431" s="0" t="inlineStr">
        <is>
          <t>D103</t>
        </is>
      </c>
      <c r="C1431" s="0" t="inlineStr">
        <is>
          <t>D115</t>
        </is>
      </c>
      <c r="D1431" s="0" t="inlineStr">
        <is>
          <t>VLAH</t>
        </is>
      </c>
    </row>
    <row r="1432">
      <c r="A1432" s="0" t="inlineStr">
        <is>
          <t>GloVe-100</t>
        </is>
      </c>
      <c r="B1432" s="0" t="inlineStr">
        <is>
          <t>F103</t>
        </is>
      </c>
      <c r="C1432" s="0" t="inlineStr">
        <is>
          <t>F115</t>
        </is>
      </c>
      <c r="D1432" s="0" t="n">
        <v>427.803742866667</v>
      </c>
    </row>
    <row r="1433">
      <c r="A1433" s="0" t="inlineStr">
        <is>
          <t>GloVe-100</t>
        </is>
      </c>
      <c r="B1433" s="0" t="inlineStr">
        <is>
          <t>G103</t>
        </is>
      </c>
      <c r="C1433" s="0" t="inlineStr">
        <is>
          <t>G115</t>
        </is>
      </c>
      <c r="D1433" s="0" t="n">
        <v>426.620613233333</v>
      </c>
    </row>
    <row r="1434">
      <c r="A1434" s="0" t="inlineStr">
        <is>
          <t>GloVe-100</t>
        </is>
      </c>
      <c r="B1434" s="0" t="inlineStr">
        <is>
          <t>H103</t>
        </is>
      </c>
      <c r="C1434" s="0" t="inlineStr">
        <is>
          <t>H115</t>
        </is>
      </c>
      <c r="D1434" s="0" t="n">
        <v>427.422214316667</v>
      </c>
    </row>
    <row r="1435">
      <c r="A1435" s="0" t="inlineStr">
        <is>
          <t>GloVe-100</t>
        </is>
      </c>
      <c r="B1435" s="0" t="inlineStr">
        <is>
          <t>I103</t>
        </is>
      </c>
      <c r="C1435" s="0" t="inlineStr">
        <is>
          <t>I115</t>
        </is>
      </c>
      <c r="D1435" s="0" t="n">
        <v>425.445874833333</v>
      </c>
    </row>
    <row r="1436">
      <c r="A1436" s="0" t="inlineStr">
        <is>
          <t>GloVe-100</t>
        </is>
      </c>
      <c r="B1436" s="0" t="inlineStr">
        <is>
          <t>J103</t>
        </is>
      </c>
      <c r="C1436" s="0" t="inlineStr">
        <is>
          <t>J115</t>
        </is>
      </c>
      <c r="D1436" s="0" t="n">
        <v>419.901897183333</v>
      </c>
    </row>
    <row r="1437">
      <c r="A1437" s="0" t="inlineStr">
        <is>
          <t>GloVe-100</t>
        </is>
      </c>
      <c r="B1437" s="0" t="inlineStr">
        <is>
          <t>K103</t>
        </is>
      </c>
      <c r="C1437" s="0" t="inlineStr">
        <is>
          <t>K115</t>
        </is>
      </c>
      <c r="D1437" s="0" t="n">
        <v>424.252101716667</v>
      </c>
    </row>
    <row r="1438">
      <c r="A1438" s="0" t="inlineStr">
        <is>
          <t>GloVe-100</t>
        </is>
      </c>
      <c r="B1438" s="0" t="inlineStr">
        <is>
          <t>D104</t>
        </is>
      </c>
      <c r="C1438" s="0" t="inlineStr">
        <is>
          <t>D116</t>
        </is>
      </c>
      <c r="D1438" s="0" t="inlineStr">
        <is>
          <t>ANNProof</t>
        </is>
      </c>
    </row>
    <row r="1439">
      <c r="A1439" s="0" t="inlineStr">
        <is>
          <t>GloVe-100</t>
        </is>
      </c>
      <c r="B1439" s="0" t="inlineStr">
        <is>
          <t>F104</t>
        </is>
      </c>
      <c r="C1439" s="0" t="inlineStr">
        <is>
          <t>F116</t>
        </is>
      </c>
      <c r="D1439" s="0" t="n">
        <v>69.8511835</v>
      </c>
    </row>
    <row r="1440">
      <c r="A1440" s="0" t="inlineStr">
        <is>
          <t>GloVe-100</t>
        </is>
      </c>
      <c r="B1440" s="0" t="inlineStr">
        <is>
          <t>G104</t>
        </is>
      </c>
      <c r="C1440" s="0" t="inlineStr">
        <is>
          <t>G116</t>
        </is>
      </c>
      <c r="D1440" s="0" t="n">
        <v>68.92665555000001</v>
      </c>
    </row>
    <row r="1441">
      <c r="A1441" s="0" t="inlineStr">
        <is>
          <t>GloVe-100</t>
        </is>
      </c>
      <c r="B1441" s="0" t="inlineStr">
        <is>
          <t>H104</t>
        </is>
      </c>
      <c r="C1441" s="0" t="inlineStr">
        <is>
          <t>H116</t>
        </is>
      </c>
      <c r="D1441" s="0" t="n">
        <v>69.1091445833333</v>
      </c>
    </row>
    <row r="1442">
      <c r="A1442" s="0" t="inlineStr">
        <is>
          <t>GloVe-100</t>
        </is>
      </c>
      <c r="B1442" s="0" t="inlineStr">
        <is>
          <t>I104</t>
        </is>
      </c>
      <c r="C1442" s="0" t="inlineStr">
        <is>
          <t>I116</t>
        </is>
      </c>
      <c r="D1442" s="0" t="n">
        <v>71.1527474333333</v>
      </c>
    </row>
    <row r="1443">
      <c r="A1443" s="0" t="inlineStr">
        <is>
          <t>GloVe-100</t>
        </is>
      </c>
      <c r="B1443" s="0" t="inlineStr">
        <is>
          <t>J104</t>
        </is>
      </c>
      <c r="C1443" s="0" t="inlineStr">
        <is>
          <t>J116</t>
        </is>
      </c>
      <c r="D1443" s="0" t="n">
        <v>72.0175692</v>
      </c>
    </row>
    <row r="1444">
      <c r="A1444" s="0" t="inlineStr">
        <is>
          <t>GloVe-100</t>
        </is>
      </c>
      <c r="B1444" s="0" t="inlineStr">
        <is>
          <t>K104</t>
        </is>
      </c>
      <c r="C1444" s="0" t="inlineStr">
        <is>
          <t>K116</t>
        </is>
      </c>
      <c r="D1444" s="0" t="n">
        <v>71.8316993333333</v>
      </c>
    </row>
    <row r="1445">
      <c r="A1445" s="0" t="inlineStr">
        <is>
          <t>GloVe-100</t>
        </is>
      </c>
      <c r="B1445" s="0" t="inlineStr">
        <is>
          <t>D105</t>
        </is>
      </c>
      <c r="C1445" s="0" t="inlineStr">
        <is>
          <t>D117</t>
        </is>
      </c>
      <c r="D1445" s="0" t="inlineStr">
        <is>
          <t>Ours</t>
        </is>
      </c>
    </row>
    <row r="1446">
      <c r="A1446" s="0" t="inlineStr">
        <is>
          <t>GloVe-100</t>
        </is>
      </c>
      <c r="B1446" s="0" t="inlineStr">
        <is>
          <t>F105</t>
        </is>
      </c>
      <c r="C1446" s="0" t="inlineStr">
        <is>
          <t>F117</t>
        </is>
      </c>
      <c r="D1446" s="0" t="n">
        <v>43.3916748666667</v>
      </c>
    </row>
    <row r="1447">
      <c r="A1447" s="0" t="inlineStr">
        <is>
          <t>GloVe-100</t>
        </is>
      </c>
      <c r="B1447" s="0" t="inlineStr">
        <is>
          <t>G105</t>
        </is>
      </c>
      <c r="C1447" s="0" t="inlineStr">
        <is>
          <t>G117</t>
        </is>
      </c>
      <c r="D1447" s="0" t="n">
        <v>48.2972326666667</v>
      </c>
    </row>
    <row r="1448">
      <c r="A1448" s="0" t="inlineStr">
        <is>
          <t>GloVe-100</t>
        </is>
      </c>
      <c r="B1448" s="0" t="inlineStr">
        <is>
          <t>H105</t>
        </is>
      </c>
      <c r="C1448" s="0" t="inlineStr">
        <is>
          <t>H117</t>
        </is>
      </c>
      <c r="D1448" s="0" t="n">
        <v>51.89053155</v>
      </c>
    </row>
    <row r="1449">
      <c r="A1449" s="0" t="inlineStr">
        <is>
          <t>GloVe-100</t>
        </is>
      </c>
      <c r="B1449" s="0" t="inlineStr">
        <is>
          <t>I105</t>
        </is>
      </c>
      <c r="C1449" s="0" t="inlineStr">
        <is>
          <t>I117</t>
        </is>
      </c>
      <c r="D1449" s="0" t="n">
        <v>53.6649467833333</v>
      </c>
    </row>
    <row r="1450">
      <c r="A1450" s="0" t="inlineStr">
        <is>
          <t>GloVe-100</t>
        </is>
      </c>
      <c r="B1450" s="0" t="inlineStr">
        <is>
          <t>J105</t>
        </is>
      </c>
      <c r="C1450" s="0" t="inlineStr">
        <is>
          <t>J117</t>
        </is>
      </c>
      <c r="D1450" s="0" t="n">
        <v>58.6309350833333</v>
      </c>
    </row>
    <row r="1451">
      <c r="A1451" s="0" t="inlineStr">
        <is>
          <t>GloVe-100</t>
        </is>
      </c>
      <c r="B1451" s="0" t="inlineStr">
        <is>
          <t>K105</t>
        </is>
      </c>
      <c r="C1451" s="0" t="inlineStr">
        <is>
          <t>K117</t>
        </is>
      </c>
      <c r="D1451" s="0" t="n">
        <v>61.9766955833333</v>
      </c>
    </row>
    <row r="1452">
      <c r="A1452" s="0" t="inlineStr">
        <is>
          <t>GloVe-100</t>
        </is>
      </c>
      <c r="B1452" s="0" t="inlineStr">
        <is>
          <t>D110</t>
        </is>
      </c>
      <c r="C1452" s="0" t="inlineStr">
        <is>
          <t>D123</t>
        </is>
      </c>
      <c r="D1452" s="0" t="inlineStr">
        <is>
          <t>Ablation Study 
（Ours: (i)progressive quantization, 
(ii) verification-decoupled traversal, 
(iii) expansion-centric authentication.）</t>
        </is>
      </c>
    </row>
    <row r="1453">
      <c r="A1453" s="0" t="inlineStr">
        <is>
          <t>GloVe-100</t>
        </is>
      </c>
      <c r="B1453" s="0" t="inlineStr">
        <is>
          <t>F114</t>
        </is>
      </c>
      <c r="C1453" s="0" t="inlineStr">
        <is>
          <t>F127</t>
        </is>
      </c>
      <c r="D1453" s="0" t="inlineStr">
        <is>
          <t>Recall@10</t>
        </is>
      </c>
    </row>
    <row r="1454">
      <c r="A1454" s="0" t="inlineStr">
        <is>
          <t>GloVe-100</t>
        </is>
      </c>
      <c r="B1454" s="0" t="inlineStr">
        <is>
          <t>G114</t>
        </is>
      </c>
      <c r="C1454" s="0" t="inlineStr">
        <is>
          <t>G127</t>
        </is>
      </c>
      <c r="D1454" s="0" t="inlineStr">
        <is>
          <t>Query Time (ms)</t>
        </is>
      </c>
    </row>
    <row r="1455">
      <c r="A1455" s="0" t="inlineStr">
        <is>
          <t>GloVe-100</t>
        </is>
      </c>
      <c r="B1455" s="0" t="inlineStr">
        <is>
          <t>H114</t>
        </is>
      </c>
      <c r="C1455" s="0" t="inlineStr">
        <is>
          <t>H127</t>
        </is>
      </c>
      <c r="D1455" s="0" t="inlineStr">
        <is>
          <t>VO Size (KB)</t>
        </is>
      </c>
    </row>
    <row r="1456">
      <c r="A1456" s="0" t="inlineStr">
        <is>
          <t>GloVe-100</t>
        </is>
      </c>
      <c r="B1456" s="0" t="inlineStr">
        <is>
          <t>I114</t>
        </is>
      </c>
      <c r="C1456" s="0" t="inlineStr">
        <is>
          <t>I127</t>
        </is>
      </c>
      <c r="D1456" s="0" t="inlineStr">
        <is>
          <t>Verify Time (ms)</t>
        </is>
      </c>
    </row>
    <row r="1457">
      <c r="A1457" s="0" t="inlineStr">
        <is>
          <t>GloVe-100</t>
        </is>
      </c>
      <c r="B1457" s="0" t="inlineStr">
        <is>
          <t>D115</t>
        </is>
      </c>
      <c r="C1457" s="0" t="inlineStr">
        <is>
          <t>D128</t>
        </is>
      </c>
      <c r="D1457" s="0" t="inlineStr">
        <is>
          <t>Merkle+IVF</t>
        </is>
      </c>
    </row>
    <row r="1458">
      <c r="A1458" s="0" t="inlineStr">
        <is>
          <t>GloVe-100</t>
        </is>
      </c>
      <c r="B1458" s="0" t="inlineStr">
        <is>
          <t>F115</t>
        </is>
      </c>
      <c r="C1458" s="0" t="inlineStr">
        <is>
          <t>F128</t>
        </is>
      </c>
      <c r="D1458" s="0" t="n">
        <v>0.96</v>
      </c>
    </row>
    <row r="1459">
      <c r="A1459" s="0" t="inlineStr">
        <is>
          <t>GloVe-100</t>
        </is>
      </c>
      <c r="B1459" s="0" t="inlineStr">
        <is>
          <t>G115</t>
        </is>
      </c>
      <c r="C1459" s="0" t="inlineStr">
        <is>
          <t>G128</t>
        </is>
      </c>
      <c r="D1459" s="0" t="n">
        <v>656.046048783333</v>
      </c>
    </row>
    <row r="1460">
      <c r="A1460" s="0" t="inlineStr">
        <is>
          <t>GloVe-100</t>
        </is>
      </c>
      <c r="B1460" s="0" t="inlineStr">
        <is>
          <t>H115</t>
        </is>
      </c>
      <c r="C1460" s="0" t="inlineStr">
        <is>
          <t>H128</t>
        </is>
      </c>
      <c r="D1460" s="0" t="n">
        <v>114536.9394</v>
      </c>
    </row>
    <row r="1461">
      <c r="A1461" s="0" t="inlineStr">
        <is>
          <t>GloVe-100</t>
        </is>
      </c>
      <c r="B1461" s="0" t="inlineStr">
        <is>
          <t>I115</t>
        </is>
      </c>
      <c r="C1461" s="0" t="inlineStr">
        <is>
          <t>I128</t>
        </is>
      </c>
      <c r="D1461" s="0" t="n">
        <v>1451.07563496667</v>
      </c>
    </row>
    <row r="1462">
      <c r="A1462" s="0" t="inlineStr">
        <is>
          <t>GloVe-100</t>
        </is>
      </c>
      <c r="B1462" s="0" t="inlineStr">
        <is>
          <t>D116</t>
        </is>
      </c>
      <c r="C1462" s="0" t="inlineStr">
        <is>
          <t>D129</t>
        </is>
      </c>
      <c r="D1462" s="0" t="inlineStr">
        <is>
          <t>Merkle+HNSW</t>
        </is>
      </c>
    </row>
    <row r="1463">
      <c r="A1463" s="0" t="inlineStr">
        <is>
          <t>GloVe-100</t>
        </is>
      </c>
      <c r="B1463" s="0" t="inlineStr">
        <is>
          <t>F116</t>
        </is>
      </c>
      <c r="C1463" s="0" t="inlineStr">
        <is>
          <t>F129</t>
        </is>
      </c>
      <c r="D1463" s="0" t="n">
        <v>0.95</v>
      </c>
    </row>
    <row r="1464">
      <c r="A1464" s="0" t="inlineStr">
        <is>
          <t>GloVe-100</t>
        </is>
      </c>
      <c r="B1464" s="0" t="inlineStr">
        <is>
          <t>G116</t>
        </is>
      </c>
      <c r="C1464" s="0" t="inlineStr">
        <is>
          <t>G129</t>
        </is>
      </c>
      <c r="D1464" s="0" t="n">
        <v>71.72813031666669</v>
      </c>
    </row>
    <row r="1465">
      <c r="A1465" s="0" t="inlineStr">
        <is>
          <t>GloVe-100</t>
        </is>
      </c>
      <c r="B1465" s="0" t="inlineStr">
        <is>
          <t>H116</t>
        </is>
      </c>
      <c r="C1465" s="0" t="inlineStr">
        <is>
          <t>H129</t>
        </is>
      </c>
      <c r="D1465" s="0" t="n">
        <v>12688.6482</v>
      </c>
    </row>
    <row r="1466">
      <c r="A1466" s="0" t="inlineStr">
        <is>
          <t>GloVe-100</t>
        </is>
      </c>
      <c r="B1466" s="0" t="inlineStr">
        <is>
          <t>I116</t>
        </is>
      </c>
      <c r="C1466" s="0" t="inlineStr">
        <is>
          <t>I129</t>
        </is>
      </c>
      <c r="D1466" s="0" t="n">
        <v>144.693621066667</v>
      </c>
    </row>
    <row r="1467">
      <c r="A1467" s="0" t="inlineStr">
        <is>
          <t>GloVe-100</t>
        </is>
      </c>
      <c r="B1467" s="0" t="inlineStr">
        <is>
          <t>D117</t>
        </is>
      </c>
      <c r="C1467" s="0" t="inlineStr">
        <is>
          <t>D130</t>
        </is>
      </c>
      <c r="D1467" s="0" t="inlineStr">
        <is>
          <t>Merkle+IVF+(i)</t>
        </is>
      </c>
    </row>
    <row r="1468">
      <c r="A1468" s="0" t="inlineStr">
        <is>
          <t>GloVe-100</t>
        </is>
      </c>
      <c r="B1468" s="0" t="inlineStr">
        <is>
          <t>F117</t>
        </is>
      </c>
      <c r="C1468" s="0" t="inlineStr">
        <is>
          <t>F130</t>
        </is>
      </c>
      <c r="D1468" s="0" t="n">
        <v>0.96</v>
      </c>
    </row>
    <row r="1469">
      <c r="A1469" s="0" t="inlineStr">
        <is>
          <t>GloVe-100</t>
        </is>
      </c>
      <c r="B1469" s="0" t="inlineStr">
        <is>
          <t>G117</t>
        </is>
      </c>
      <c r="C1469" s="0" t="inlineStr">
        <is>
          <t>G130</t>
        </is>
      </c>
      <c r="D1469" s="0" t="n">
        <v>284.9821033</v>
      </c>
    </row>
    <row r="1470">
      <c r="A1470" s="0" t="inlineStr">
        <is>
          <t>GloVe-100</t>
        </is>
      </c>
      <c r="B1470" s="0" t="inlineStr">
        <is>
          <t>H117</t>
        </is>
      </c>
      <c r="C1470" s="0" t="inlineStr">
        <is>
          <t>H130</t>
        </is>
      </c>
      <c r="D1470" s="0" t="n">
        <v>33295.9082</v>
      </c>
    </row>
    <row r="1471">
      <c r="A1471" s="0" t="inlineStr">
        <is>
          <t>GloVe-100</t>
        </is>
      </c>
      <c r="B1471" s="0" t="inlineStr">
        <is>
          <t>I117</t>
        </is>
      </c>
      <c r="C1471" s="0" t="inlineStr">
        <is>
          <t>I130</t>
        </is>
      </c>
      <c r="D1471" s="0" t="n">
        <v>1447.11602305</v>
      </c>
    </row>
    <row r="1472">
      <c r="A1472" s="0" t="inlineStr">
        <is>
          <t>GloVe-100</t>
        </is>
      </c>
      <c r="B1472" s="0" t="inlineStr">
        <is>
          <t>D118</t>
        </is>
      </c>
      <c r="C1472" s="0" t="inlineStr">
        <is>
          <t>D131</t>
        </is>
      </c>
      <c r="D1472" s="0" t="inlineStr">
        <is>
          <t>Merkle+HNSW+(i)</t>
        </is>
      </c>
    </row>
    <row r="1473">
      <c r="A1473" s="0" t="inlineStr">
        <is>
          <t>GloVe-100</t>
        </is>
      </c>
      <c r="B1473" s="0" t="inlineStr">
        <is>
          <t>F118</t>
        </is>
      </c>
      <c r="C1473" s="0" t="inlineStr">
        <is>
          <t>F131</t>
        </is>
      </c>
      <c r="D1473" s="0" t="n">
        <v>0.95</v>
      </c>
    </row>
    <row r="1474">
      <c r="A1474" s="0" t="inlineStr">
        <is>
          <t>GloVe-100</t>
        </is>
      </c>
      <c r="B1474" s="0" t="inlineStr">
        <is>
          <t>G118</t>
        </is>
      </c>
      <c r="C1474" s="0" t="inlineStr">
        <is>
          <t>G131</t>
        </is>
      </c>
      <c r="D1474" s="0" t="n">
        <v>81.6738649666667</v>
      </c>
    </row>
    <row r="1475">
      <c r="A1475" s="0" t="inlineStr">
        <is>
          <t>GloVe-100</t>
        </is>
      </c>
      <c r="B1475" s="0" t="inlineStr">
        <is>
          <t>H118</t>
        </is>
      </c>
      <c r="C1475" s="0" t="inlineStr">
        <is>
          <t>H131</t>
        </is>
      </c>
      <c r="D1475" s="0" t="n">
        <v>12105.94305</v>
      </c>
    </row>
    <row r="1476">
      <c r="A1476" s="0" t="inlineStr">
        <is>
          <t>GloVe-100</t>
        </is>
      </c>
      <c r="B1476" s="0" t="inlineStr">
        <is>
          <t>I118</t>
        </is>
      </c>
      <c r="C1476" s="0" t="inlineStr">
        <is>
          <t>I131</t>
        </is>
      </c>
      <c r="D1476" s="0" t="n">
        <v>283.981054216667</v>
      </c>
    </row>
    <row r="1477">
      <c r="A1477" s="0" t="inlineStr">
        <is>
          <t>GloVe-100</t>
        </is>
      </c>
      <c r="B1477" s="0" t="inlineStr">
        <is>
          <t>D119</t>
        </is>
      </c>
      <c r="C1477" s="0" t="inlineStr">
        <is>
          <t>D132</t>
        </is>
      </c>
      <c r="D1477" s="0" t="inlineStr">
        <is>
          <t>(i)+(ii)</t>
        </is>
      </c>
    </row>
    <row r="1478">
      <c r="A1478" s="0" t="inlineStr">
        <is>
          <t>GloVe-100</t>
        </is>
      </c>
      <c r="B1478" s="0" t="inlineStr">
        <is>
          <t>F119</t>
        </is>
      </c>
      <c r="C1478" s="0" t="inlineStr">
        <is>
          <t>F132</t>
        </is>
      </c>
      <c r="D1478" s="0" t="n">
        <v>0.96</v>
      </c>
    </row>
    <row r="1479">
      <c r="A1479" s="0" t="inlineStr">
        <is>
          <t>GloVe-100</t>
        </is>
      </c>
      <c r="B1479" s="0" t="inlineStr">
        <is>
          <t>G119</t>
        </is>
      </c>
      <c r="C1479" s="0" t="inlineStr">
        <is>
          <t>G132</t>
        </is>
      </c>
      <c r="D1479" s="0" t="n">
        <v>58.3624241333333</v>
      </c>
    </row>
    <row r="1480">
      <c r="A1480" s="0" t="inlineStr">
        <is>
          <t>GloVe-100</t>
        </is>
      </c>
      <c r="B1480" s="0" t="inlineStr">
        <is>
          <t>H119</t>
        </is>
      </c>
      <c r="C1480" s="0" t="inlineStr">
        <is>
          <t>H132</t>
        </is>
      </c>
      <c r="D1480" s="0" t="n">
        <v>7204.0758</v>
      </c>
    </row>
    <row r="1481">
      <c r="A1481" s="0" t="inlineStr">
        <is>
          <t>GloVe-100</t>
        </is>
      </c>
      <c r="B1481" s="0" t="inlineStr">
        <is>
          <t>I119</t>
        </is>
      </c>
      <c r="C1481" s="0" t="inlineStr">
        <is>
          <t>I132</t>
        </is>
      </c>
      <c r="D1481" s="0" t="n">
        <v>180.8511168</v>
      </c>
    </row>
    <row r="1482">
      <c r="A1482" s="0" t="inlineStr">
        <is>
          <t>GloVe-100</t>
        </is>
      </c>
      <c r="B1482" s="0" t="inlineStr">
        <is>
          <t>D120</t>
        </is>
      </c>
      <c r="C1482" s="0" t="inlineStr">
        <is>
          <t>D133</t>
        </is>
      </c>
      <c r="D1482" s="0" t="inlineStr">
        <is>
          <t>(i)+(ii)+(iii)</t>
        </is>
      </c>
    </row>
    <row r="1483">
      <c r="A1483" s="0" t="inlineStr">
        <is>
          <t>GloVe-100</t>
        </is>
      </c>
      <c r="B1483" s="0" t="inlineStr">
        <is>
          <t>F120</t>
        </is>
      </c>
      <c r="C1483" s="0" t="inlineStr">
        <is>
          <t>F133</t>
        </is>
      </c>
      <c r="D1483" s="0" t="n">
        <v>0.96</v>
      </c>
    </row>
    <row r="1484">
      <c r="A1484" s="0" t="inlineStr">
        <is>
          <t>GloVe-100</t>
        </is>
      </c>
      <c r="B1484" s="0" t="inlineStr">
        <is>
          <t>G120</t>
        </is>
      </c>
      <c r="C1484" s="0" t="inlineStr">
        <is>
          <t>G133</t>
        </is>
      </c>
      <c r="D1484" s="0" t="n">
        <v>35.9087503333333</v>
      </c>
    </row>
    <row r="1485">
      <c r="A1485" s="0" t="inlineStr">
        <is>
          <t>GloVe-100</t>
        </is>
      </c>
      <c r="B1485" s="0" t="inlineStr">
        <is>
          <t>H120</t>
        </is>
      </c>
      <c r="C1485" s="0" t="inlineStr">
        <is>
          <t>H133</t>
        </is>
      </c>
      <c r="D1485" s="0" t="n">
        <v>2804.3072</v>
      </c>
    </row>
    <row r="1486">
      <c r="A1486" s="0" t="inlineStr">
        <is>
          <t>GloVe-100</t>
        </is>
      </c>
      <c r="B1486" s="0" t="inlineStr">
        <is>
          <t>I120</t>
        </is>
      </c>
      <c r="C1486" s="0" t="inlineStr">
        <is>
          <t>I133</t>
        </is>
      </c>
      <c r="D1486" s="0" t="n">
        <v>77.78700821666671</v>
      </c>
    </row>
    <row r="1487">
      <c r="A1487" s="0" t="inlineStr">
        <is>
          <t>DEEP1M</t>
        </is>
      </c>
      <c r="B1487" s="0" t="inlineStr">
        <is>
          <t>A1</t>
        </is>
      </c>
      <c r="C1487" s="0" t="inlineStr">
        <is>
          <t>A1</t>
        </is>
      </c>
      <c r="D1487" s="0" t="inlineStr">
        <is>
          <t>All query time includes the vo generation time</t>
        </is>
      </c>
    </row>
    <row r="1488">
      <c r="A1488" s="0" t="inlineStr">
        <is>
          <t>DEEP1M</t>
        </is>
      </c>
      <c r="B1488" s="0" t="inlineStr">
        <is>
          <t>A3</t>
        </is>
      </c>
      <c r="C1488" s="0" t="inlineStr">
        <is>
          <t>A3</t>
        </is>
      </c>
      <c r="D1488" s="0" t="inlineStr">
        <is>
          <t>Query/verify time: ms; VO: KB (1000 bytes); recall: %; Query Time includes VO generation.</t>
        </is>
      </c>
    </row>
    <row r="1489">
      <c r="A1489" s="0" t="inlineStr">
        <is>
          <t>DEEP1M</t>
        </is>
      </c>
      <c r="B1489" s="0" t="inlineStr">
        <is>
          <t>A4</t>
        </is>
      </c>
      <c r="C1489" s="0" t="inlineStr">
        <is>
          <t>A4</t>
        </is>
      </c>
      <c r="D1489" s="0" t="inlineStr">
        <is>
          <t>PREVIEW: 20 distinct queries (IDs 100..119), 3 repeats; same subset for all methods.</t>
        </is>
      </c>
    </row>
    <row r="1490">
      <c r="A1490" s="0" t="inlineStr">
        <is>
          <t>DEEP1M</t>
        </is>
      </c>
      <c r="B1490" s="0" t="inlineStr">
        <is>
          <t>E5</t>
        </is>
      </c>
      <c r="C1490" s="0" t="inlineStr">
        <is>
          <t>E5</t>
        </is>
      </c>
      <c r="D1490" s="0" t="inlineStr">
        <is>
          <t>Overall Table</t>
        </is>
      </c>
    </row>
    <row r="1491">
      <c r="A1491" s="0" t="inlineStr">
        <is>
          <t>DEEP1M</t>
        </is>
      </c>
      <c r="B1491" s="0" t="inlineStr">
        <is>
          <t>D7</t>
        </is>
      </c>
      <c r="C1491" s="0" t="inlineStr">
        <is>
          <t>D7</t>
        </is>
      </c>
      <c r="D1491" s="0" t="inlineStr">
        <is>
          <t>DEEP1M (N=1,000,000, d=96)</t>
        </is>
      </c>
    </row>
    <row r="1492">
      <c r="A1492" s="0" t="inlineStr">
        <is>
          <t>DEEP1M</t>
        </is>
      </c>
      <c r="B1492" s="0" t="inlineStr">
        <is>
          <t>D8</t>
        </is>
      </c>
      <c r="C1492" s="0" t="inlineStr">
        <is>
          <t>D8</t>
        </is>
      </c>
      <c r="D1492" s="0" t="inlineStr">
        <is>
          <t xml:space="preserve">Method </t>
        </is>
      </c>
    </row>
    <row r="1493">
      <c r="A1493" s="0" t="inlineStr">
        <is>
          <t>DEEP1M</t>
        </is>
      </c>
      <c r="B1493" s="0" t="inlineStr">
        <is>
          <t>E8</t>
        </is>
      </c>
      <c r="C1493" s="0" t="inlineStr">
        <is>
          <t>E8</t>
        </is>
      </c>
      <c r="D1493" s="0" t="inlineStr">
        <is>
          <t>Recall@10</t>
        </is>
      </c>
    </row>
    <row r="1494">
      <c r="A1494" s="0" t="inlineStr">
        <is>
          <t>DEEP1M</t>
        </is>
      </c>
      <c r="B1494" s="0" t="inlineStr">
        <is>
          <t>F8</t>
        </is>
      </c>
      <c r="C1494" s="0" t="inlineStr">
        <is>
          <t>F8</t>
        </is>
      </c>
      <c r="D1494" s="0" t="inlineStr">
        <is>
          <t>Query Time</t>
        </is>
      </c>
    </row>
    <row r="1495">
      <c r="A1495" s="0" t="inlineStr">
        <is>
          <t>DEEP1M</t>
        </is>
      </c>
      <c r="B1495" s="0" t="inlineStr">
        <is>
          <t>G8</t>
        </is>
      </c>
      <c r="C1495" s="0" t="inlineStr">
        <is>
          <t>G8</t>
        </is>
      </c>
      <c r="D1495" s="0" t="inlineStr">
        <is>
          <t>VO Size</t>
        </is>
      </c>
    </row>
    <row r="1496">
      <c r="A1496" s="0" t="inlineStr">
        <is>
          <t>DEEP1M</t>
        </is>
      </c>
      <c r="B1496" s="0" t="inlineStr">
        <is>
          <t>H8</t>
        </is>
      </c>
      <c r="C1496" s="0" t="inlineStr">
        <is>
          <t>H8</t>
        </is>
      </c>
      <c r="D1496" s="0" t="inlineStr">
        <is>
          <t>Verify Time</t>
        </is>
      </c>
    </row>
    <row r="1497">
      <c r="A1497" s="0" t="inlineStr">
        <is>
          <t>DEEP1M</t>
        </is>
      </c>
      <c r="B1497" s="0" t="inlineStr">
        <is>
          <t>D9</t>
        </is>
      </c>
      <c r="C1497" s="0" t="inlineStr">
        <is>
          <t>D9</t>
        </is>
      </c>
      <c r="D1497" s="0" t="inlineStr">
        <is>
          <t>VLAH</t>
        </is>
      </c>
    </row>
    <row r="1498">
      <c r="A1498" s="0" t="inlineStr">
        <is>
          <t>DEEP1M</t>
        </is>
      </c>
      <c r="B1498" s="0" t="inlineStr">
        <is>
          <t>E9</t>
        </is>
      </c>
      <c r="C1498" s="0" t="inlineStr">
        <is>
          <t>E9</t>
        </is>
      </c>
      <c r="D1498" s="0" t="n">
        <v>95</v>
      </c>
    </row>
    <row r="1499">
      <c r="A1499" s="0" t="inlineStr">
        <is>
          <t>DEEP1M</t>
        </is>
      </c>
      <c r="B1499" s="0" t="inlineStr">
        <is>
          <t>F9</t>
        </is>
      </c>
      <c r="C1499" s="0" t="inlineStr">
        <is>
          <t>F9</t>
        </is>
      </c>
      <c r="D1499" s="0" t="n">
        <v>106.513872866667</v>
      </c>
    </row>
    <row r="1500">
      <c r="A1500" s="0" t="inlineStr">
        <is>
          <t>DEEP1M</t>
        </is>
      </c>
      <c r="B1500" s="0" t="inlineStr">
        <is>
          <t>G9</t>
        </is>
      </c>
      <c r="C1500" s="0" t="inlineStr">
        <is>
          <t>G9</t>
        </is>
      </c>
      <c r="D1500" s="0" t="n">
        <v>38322.17155</v>
      </c>
    </row>
    <row r="1501">
      <c r="A1501" s="0" t="inlineStr">
        <is>
          <t>DEEP1M</t>
        </is>
      </c>
      <c r="B1501" s="0" t="inlineStr">
        <is>
          <t>H9</t>
        </is>
      </c>
      <c r="C1501" s="0" t="inlineStr">
        <is>
          <t>H9</t>
        </is>
      </c>
      <c r="D1501" s="0" t="n">
        <v>280.071343333333</v>
      </c>
    </row>
    <row r="1502">
      <c r="A1502" s="0" t="inlineStr">
        <is>
          <t>DEEP1M</t>
        </is>
      </c>
      <c r="B1502" s="0" t="inlineStr">
        <is>
          <t>D10</t>
        </is>
      </c>
      <c r="C1502" s="0" t="inlineStr">
        <is>
          <t>D10</t>
        </is>
      </c>
      <c r="D1502" s="0" t="inlineStr">
        <is>
          <t>ANNProof</t>
        </is>
      </c>
    </row>
    <row r="1503">
      <c r="A1503" s="0" t="inlineStr">
        <is>
          <t>DEEP1M</t>
        </is>
      </c>
      <c r="B1503" s="0" t="inlineStr">
        <is>
          <t>E10</t>
        </is>
      </c>
      <c r="C1503" s="0" t="inlineStr">
        <is>
          <t>E10</t>
        </is>
      </c>
      <c r="D1503" s="0" t="n">
        <v>97.5</v>
      </c>
    </row>
    <row r="1504">
      <c r="A1504" s="0" t="inlineStr">
        <is>
          <t>DEEP1M</t>
        </is>
      </c>
      <c r="B1504" s="0" t="inlineStr">
        <is>
          <t>F10</t>
        </is>
      </c>
      <c r="C1504" s="0" t="inlineStr">
        <is>
          <t>F10</t>
        </is>
      </c>
      <c r="D1504" s="0" t="n">
        <v>3.15865693333333</v>
      </c>
    </row>
    <row r="1505">
      <c r="A1505" s="0" t="inlineStr">
        <is>
          <t>DEEP1M</t>
        </is>
      </c>
      <c r="B1505" s="0" t="inlineStr">
        <is>
          <t>G10</t>
        </is>
      </c>
      <c r="C1505" s="0" t="inlineStr">
        <is>
          <t>G10</t>
        </is>
      </c>
      <c r="D1505" s="0" t="n">
        <v>1154.7938</v>
      </c>
    </row>
    <row r="1506">
      <c r="A1506" s="0" t="inlineStr">
        <is>
          <t>DEEP1M</t>
        </is>
      </c>
      <c r="B1506" s="0" t="inlineStr">
        <is>
          <t>H10</t>
        </is>
      </c>
      <c r="C1506" s="0" t="inlineStr">
        <is>
          <t>H10</t>
        </is>
      </c>
      <c r="D1506" s="0" t="n">
        <v>15.4261976166667</v>
      </c>
    </row>
    <row r="1507">
      <c r="A1507" s="0" t="inlineStr">
        <is>
          <t>DEEP1M</t>
        </is>
      </c>
      <c r="B1507" s="0" t="inlineStr">
        <is>
          <t>D11</t>
        </is>
      </c>
      <c r="C1507" s="0" t="inlineStr">
        <is>
          <t>D11</t>
        </is>
      </c>
      <c r="D1507" s="0" t="inlineStr">
        <is>
          <t>Ours</t>
        </is>
      </c>
    </row>
    <row r="1508">
      <c r="A1508" s="0" t="inlineStr">
        <is>
          <t>DEEP1M</t>
        </is>
      </c>
      <c r="B1508" s="0" t="inlineStr">
        <is>
          <t>E11</t>
        </is>
      </c>
      <c r="C1508" s="0" t="inlineStr">
        <is>
          <t>E11</t>
        </is>
      </c>
      <c r="D1508" s="0" t="n">
        <v>97.5</v>
      </c>
    </row>
    <row r="1509">
      <c r="A1509" s="0" t="inlineStr">
        <is>
          <t>DEEP1M</t>
        </is>
      </c>
      <c r="B1509" s="0" t="inlineStr">
        <is>
          <t>F11</t>
        </is>
      </c>
      <c r="C1509" s="0" t="inlineStr">
        <is>
          <t>F11</t>
        </is>
      </c>
      <c r="D1509" s="0" t="n">
        <v>2.5314656</v>
      </c>
    </row>
    <row r="1510">
      <c r="A1510" s="0" t="inlineStr">
        <is>
          <t>DEEP1M</t>
        </is>
      </c>
      <c r="B1510" s="0" t="inlineStr">
        <is>
          <t>G11</t>
        </is>
      </c>
      <c r="C1510" s="0" t="inlineStr">
        <is>
          <t>G11</t>
        </is>
      </c>
      <c r="D1510" s="0" t="n">
        <v>271.0874</v>
      </c>
    </row>
    <row r="1511">
      <c r="A1511" s="0" t="inlineStr">
        <is>
          <t>DEEP1M</t>
        </is>
      </c>
      <c r="B1511" s="0" t="inlineStr">
        <is>
          <t>H11</t>
        </is>
      </c>
      <c r="C1511" s="0" t="inlineStr">
        <is>
          <t>H11</t>
        </is>
      </c>
      <c r="D1511" s="0" t="n">
        <v>6.1193687</v>
      </c>
    </row>
    <row r="1512">
      <c r="A1512" s="0" t="inlineStr">
        <is>
          <t>DEEP1M</t>
        </is>
      </c>
      <c r="B1512" s="0" t="inlineStr">
        <is>
          <t>E15</t>
        </is>
      </c>
      <c r="C1512" s="0" t="inlineStr">
        <is>
          <t>E16</t>
        </is>
      </c>
      <c r="D1512" s="0" t="inlineStr">
        <is>
          <t>Target Recall (%)</t>
        </is>
      </c>
    </row>
    <row r="1513">
      <c r="A1513" s="0" t="inlineStr">
        <is>
          <t>DEEP1M</t>
        </is>
      </c>
      <c r="B1513" s="0" t="inlineStr">
        <is>
          <t>F15</t>
        </is>
      </c>
      <c r="C1513" s="0" t="inlineStr">
        <is>
          <t>F16</t>
        </is>
      </c>
      <c r="D1513" s="0" t="n">
        <v>60</v>
      </c>
    </row>
    <row r="1514">
      <c r="A1514" s="0" t="inlineStr">
        <is>
          <t>DEEP1M</t>
        </is>
      </c>
      <c r="B1514" s="0" t="inlineStr">
        <is>
          <t>G15</t>
        </is>
      </c>
      <c r="C1514" s="0" t="inlineStr">
        <is>
          <t>G16</t>
        </is>
      </c>
      <c r="D1514" s="0" t="n">
        <v>65</v>
      </c>
    </row>
    <row r="1515">
      <c r="A1515" s="0" t="inlineStr">
        <is>
          <t>DEEP1M</t>
        </is>
      </c>
      <c r="B1515" s="0" t="inlineStr">
        <is>
          <t>H15</t>
        </is>
      </c>
      <c r="C1515" s="0" t="inlineStr">
        <is>
          <t>H16</t>
        </is>
      </c>
      <c r="D1515" s="0" t="n">
        <v>70</v>
      </c>
    </row>
    <row r="1516">
      <c r="A1516" s="0" t="inlineStr">
        <is>
          <t>DEEP1M</t>
        </is>
      </c>
      <c r="B1516" s="0" t="inlineStr">
        <is>
          <t>I15</t>
        </is>
      </c>
      <c r="C1516" s="0" t="inlineStr">
        <is>
          <t>I16</t>
        </is>
      </c>
      <c r="D1516" s="0" t="n">
        <v>75</v>
      </c>
    </row>
    <row r="1517">
      <c r="A1517" s="0" t="inlineStr">
        <is>
          <t>DEEP1M</t>
        </is>
      </c>
      <c r="B1517" s="0" t="inlineStr">
        <is>
          <t>J15</t>
        </is>
      </c>
      <c r="C1517" s="0" t="inlineStr">
        <is>
          <t>J16</t>
        </is>
      </c>
      <c r="D1517" s="0" t="n">
        <v>80</v>
      </c>
    </row>
    <row r="1518">
      <c r="A1518" s="0" t="inlineStr">
        <is>
          <t>DEEP1M</t>
        </is>
      </c>
      <c r="B1518" s="0" t="inlineStr">
        <is>
          <t>K15</t>
        </is>
      </c>
      <c r="C1518" s="0" t="inlineStr">
        <is>
          <t>K16</t>
        </is>
      </c>
      <c r="D1518" s="0" t="n">
        <v>85</v>
      </c>
    </row>
    <row r="1519">
      <c r="A1519" s="0" t="inlineStr">
        <is>
          <t>DEEP1M</t>
        </is>
      </c>
      <c r="B1519" s="0" t="inlineStr">
        <is>
          <t>L15</t>
        </is>
      </c>
      <c r="C1519" s="0" t="inlineStr">
        <is>
          <t>L16</t>
        </is>
      </c>
      <c r="D1519" s="0" t="n">
        <v>90</v>
      </c>
    </row>
    <row r="1520">
      <c r="A1520" s="0" t="inlineStr">
        <is>
          <t>DEEP1M</t>
        </is>
      </c>
      <c r="B1520" s="0" t="inlineStr">
        <is>
          <t>M15</t>
        </is>
      </c>
      <c r="C1520" s="0" t="inlineStr">
        <is>
          <t>M16</t>
        </is>
      </c>
      <c r="D1520" s="0" t="n">
        <v>95</v>
      </c>
    </row>
    <row r="1521">
      <c r="A1521" s="0" t="inlineStr">
        <is>
          <t>DEEP1M</t>
        </is>
      </c>
      <c r="B1521" s="0" t="inlineStr">
        <is>
          <t>N15</t>
        </is>
      </c>
      <c r="C1521" s="0" t="inlineStr">
        <is>
          <t>N16</t>
        </is>
      </c>
      <c r="D1521" s="0" t="n">
        <v>97</v>
      </c>
    </row>
    <row r="1522">
      <c r="A1522" s="0" t="inlineStr">
        <is>
          <t>DEEP1M</t>
        </is>
      </c>
      <c r="B1522" s="0" t="inlineStr">
        <is>
          <t>O15</t>
        </is>
      </c>
      <c r="C1522" s="0" t="inlineStr">
        <is>
          <t>O16</t>
        </is>
      </c>
      <c r="D1522" s="0" t="n">
        <v>98</v>
      </c>
    </row>
    <row r="1523">
      <c r="A1523" s="0" t="inlineStr">
        <is>
          <t>DEEP1M</t>
        </is>
      </c>
      <c r="B1523" s="0" t="inlineStr">
        <is>
          <t>P15</t>
        </is>
      </c>
      <c r="C1523" s="0" t="inlineStr">
        <is>
          <t>P16</t>
        </is>
      </c>
      <c r="D1523" s="0" t="n">
        <v>99</v>
      </c>
    </row>
    <row r="1524">
      <c r="A1524" s="0" t="inlineStr">
        <is>
          <t>DEEP1M</t>
        </is>
      </c>
      <c r="B1524" s="0" t="inlineStr">
        <is>
          <t>E16</t>
        </is>
      </c>
      <c r="C1524" s="0" t="inlineStr">
        <is>
          <t>E17</t>
        </is>
      </c>
      <c r="D1524" s="0" t="inlineStr">
        <is>
          <t>Recall@10 (change parameters enabling different recall rate) vs. VO size</t>
        </is>
      </c>
    </row>
    <row r="1525">
      <c r="A1525" s="0" t="inlineStr">
        <is>
          <t>DEEP1M</t>
        </is>
      </c>
      <c r="B1525" s="0" t="inlineStr">
        <is>
          <t>D18</t>
        </is>
      </c>
      <c r="C1525" s="0" t="inlineStr">
        <is>
          <t>D19</t>
        </is>
      </c>
      <c r="D1525" s="0" t="inlineStr">
        <is>
          <t>DEEP1M (N=1,000,000, d=96)</t>
        </is>
      </c>
    </row>
    <row r="1526">
      <c r="A1526" s="0" t="inlineStr">
        <is>
          <t>DEEP1M</t>
        </is>
      </c>
      <c r="B1526" s="0" t="inlineStr">
        <is>
          <t>D19</t>
        </is>
      </c>
      <c r="C1526" s="0" t="inlineStr">
        <is>
          <t>D20</t>
        </is>
      </c>
      <c r="D1526" s="0" t="inlineStr">
        <is>
          <t>VLAH</t>
        </is>
      </c>
    </row>
    <row r="1527">
      <c r="A1527" s="0" t="inlineStr">
        <is>
          <t>DEEP1M</t>
        </is>
      </c>
      <c r="B1527" s="0" t="inlineStr">
        <is>
          <t>E19</t>
        </is>
      </c>
      <c r="C1527" s="0" t="inlineStr">
        <is>
          <t>E20</t>
        </is>
      </c>
      <c r="D1527" s="0" t="inlineStr">
        <is>
          <t>Recall rate</t>
        </is>
      </c>
    </row>
    <row r="1528">
      <c r="A1528" s="0" t="inlineStr">
        <is>
          <t>DEEP1M</t>
        </is>
      </c>
      <c r="B1528" s="0" t="inlineStr">
        <is>
          <t>F19</t>
        </is>
      </c>
      <c r="C1528" s="0" t="inlineStr">
        <is>
          <t>F20</t>
        </is>
      </c>
      <c r="D1528" s="0" t="n">
        <v>60.5</v>
      </c>
    </row>
    <row r="1529">
      <c r="A1529" s="0" t="inlineStr">
        <is>
          <t>DEEP1M</t>
        </is>
      </c>
      <c r="B1529" s="0" t="inlineStr">
        <is>
          <t>G19</t>
        </is>
      </c>
      <c r="C1529" s="0" t="inlineStr">
        <is>
          <t>G20</t>
        </is>
      </c>
      <c r="D1529" s="0" t="n">
        <v>65.5</v>
      </c>
    </row>
    <row r="1530">
      <c r="A1530" s="0" t="inlineStr">
        <is>
          <t>DEEP1M</t>
        </is>
      </c>
      <c r="B1530" s="0" t="inlineStr">
        <is>
          <t>H19</t>
        </is>
      </c>
      <c r="C1530" s="0" t="inlineStr">
        <is>
          <t>H20</t>
        </is>
      </c>
      <c r="D1530" s="0" t="n">
        <v>71</v>
      </c>
    </row>
    <row r="1531">
      <c r="A1531" s="0" t="inlineStr">
        <is>
          <t>DEEP1M</t>
        </is>
      </c>
      <c r="B1531" s="0" t="inlineStr">
        <is>
          <t>I19</t>
        </is>
      </c>
      <c r="C1531" s="0" t="inlineStr">
        <is>
          <t>I20</t>
        </is>
      </c>
      <c r="D1531" s="0" t="n">
        <v>75.5</v>
      </c>
    </row>
    <row r="1532">
      <c r="A1532" s="0" t="inlineStr">
        <is>
          <t>DEEP1M</t>
        </is>
      </c>
      <c r="B1532" s="0" t="inlineStr">
        <is>
          <t>J19</t>
        </is>
      </c>
      <c r="C1532" s="0" t="inlineStr">
        <is>
          <t>J20</t>
        </is>
      </c>
      <c r="D1532" s="0" t="n">
        <v>81.5</v>
      </c>
    </row>
    <row r="1533">
      <c r="A1533" s="0" t="inlineStr">
        <is>
          <t>DEEP1M</t>
        </is>
      </c>
      <c r="B1533" s="0" t="inlineStr">
        <is>
          <t>K19</t>
        </is>
      </c>
      <c r="C1533" s="0" t="inlineStr">
        <is>
          <t>K20</t>
        </is>
      </c>
      <c r="D1533" s="0" t="n">
        <v>86</v>
      </c>
    </row>
    <row r="1534">
      <c r="A1534" s="0" t="inlineStr">
        <is>
          <t>DEEP1M</t>
        </is>
      </c>
      <c r="B1534" s="0" t="inlineStr">
        <is>
          <t>L19</t>
        </is>
      </c>
      <c r="C1534" s="0" t="inlineStr">
        <is>
          <t>L20</t>
        </is>
      </c>
      <c r="D1534" s="0" t="n">
        <v>90</v>
      </c>
    </row>
    <row r="1535">
      <c r="A1535" s="0" t="inlineStr">
        <is>
          <t>DEEP1M</t>
        </is>
      </c>
      <c r="B1535" s="0" t="inlineStr">
        <is>
          <t>M19</t>
        </is>
      </c>
      <c r="C1535" s="0" t="inlineStr">
        <is>
          <t>M20</t>
        </is>
      </c>
      <c r="D1535" s="0" t="n">
        <v>95</v>
      </c>
    </row>
    <row r="1536">
      <c r="A1536" s="0" t="inlineStr">
        <is>
          <t>DEEP1M</t>
        </is>
      </c>
      <c r="B1536" s="0" t="inlineStr">
        <is>
          <t>N19</t>
        </is>
      </c>
      <c r="C1536" s="0" t="inlineStr">
        <is>
          <t>N20</t>
        </is>
      </c>
      <c r="D1536" s="0" t="n">
        <v>98</v>
      </c>
    </row>
    <row r="1537">
      <c r="A1537" s="0" t="inlineStr">
        <is>
          <t>DEEP1M</t>
        </is>
      </c>
      <c r="B1537" s="0" t="inlineStr">
        <is>
          <t>O19</t>
        </is>
      </c>
      <c r="C1537" s="0" t="inlineStr">
        <is>
          <t>O20</t>
        </is>
      </c>
      <c r="D1537" s="0" t="n">
        <v>98</v>
      </c>
    </row>
    <row r="1538">
      <c r="A1538" s="0" t="inlineStr">
        <is>
          <t>DEEP1M</t>
        </is>
      </c>
      <c r="B1538" s="0" t="inlineStr">
        <is>
          <t>P19</t>
        </is>
      </c>
      <c r="C1538" s="0" t="inlineStr">
        <is>
          <t>P20</t>
        </is>
      </c>
      <c r="D1538" s="0" t="n">
        <v>99</v>
      </c>
    </row>
    <row r="1539">
      <c r="A1539" s="0" t="inlineStr">
        <is>
          <t>DEEP1M</t>
        </is>
      </c>
      <c r="B1539" s="0" t="inlineStr">
        <is>
          <t>E20</t>
        </is>
      </c>
      <c r="C1539" s="0" t="inlineStr">
        <is>
          <t>E21</t>
        </is>
      </c>
      <c r="D1539" s="0" t="inlineStr">
        <is>
          <t>VO size</t>
        </is>
      </c>
    </row>
    <row r="1540">
      <c r="A1540" s="0" t="inlineStr">
        <is>
          <t>DEEP1M</t>
        </is>
      </c>
      <c r="B1540" s="0" t="inlineStr">
        <is>
          <t>F20</t>
        </is>
      </c>
      <c r="C1540" s="0" t="inlineStr">
        <is>
          <t>F21</t>
        </is>
      </c>
      <c r="D1540" s="0" t="n">
        <v>7541.69535</v>
      </c>
    </row>
    <row r="1541">
      <c r="A1541" s="0" t="inlineStr">
        <is>
          <t>DEEP1M</t>
        </is>
      </c>
      <c r="B1541" s="0" t="inlineStr">
        <is>
          <t>G20</t>
        </is>
      </c>
      <c r="C1541" s="0" t="inlineStr">
        <is>
          <t>G21</t>
        </is>
      </c>
      <c r="D1541" s="0" t="n">
        <v>10100.5947</v>
      </c>
    </row>
    <row r="1542">
      <c r="A1542" s="0" t="inlineStr">
        <is>
          <t>DEEP1M</t>
        </is>
      </c>
      <c r="B1542" s="0" t="inlineStr">
        <is>
          <t>H20</t>
        </is>
      </c>
      <c r="C1542" s="0" t="inlineStr">
        <is>
          <t>H21</t>
        </is>
      </c>
      <c r="D1542" s="0" t="n">
        <v>15095.98385</v>
      </c>
    </row>
    <row r="1543">
      <c r="A1543" s="0" t="inlineStr">
        <is>
          <t>DEEP1M</t>
        </is>
      </c>
      <c r="B1543" s="0" t="inlineStr">
        <is>
          <t>I20</t>
        </is>
      </c>
      <c r="C1543" s="0" t="inlineStr">
        <is>
          <t>I21</t>
        </is>
      </c>
      <c r="D1543" s="0" t="n">
        <v>16753.7914</v>
      </c>
    </row>
    <row r="1544">
      <c r="A1544" s="0" t="inlineStr">
        <is>
          <t>DEEP1M</t>
        </is>
      </c>
      <c r="B1544" s="0" t="inlineStr">
        <is>
          <t>J20</t>
        </is>
      </c>
      <c r="C1544" s="0" t="inlineStr">
        <is>
          <t>J21</t>
        </is>
      </c>
      <c r="D1544" s="0" t="n">
        <v>20270.50565</v>
      </c>
    </row>
    <row r="1545">
      <c r="A1545" s="0" t="inlineStr">
        <is>
          <t>DEEP1M</t>
        </is>
      </c>
      <c r="B1545" s="0" t="inlineStr">
        <is>
          <t>K20</t>
        </is>
      </c>
      <c r="C1545" s="0" t="inlineStr">
        <is>
          <t>K21</t>
        </is>
      </c>
      <c r="D1545" s="0" t="n">
        <v>25837.7698</v>
      </c>
    </row>
    <row r="1546">
      <c r="A1546" s="0" t="inlineStr">
        <is>
          <t>DEEP1M</t>
        </is>
      </c>
      <c r="B1546" s="0" t="inlineStr">
        <is>
          <t>L20</t>
        </is>
      </c>
      <c r="C1546" s="0" t="inlineStr">
        <is>
          <t>L21</t>
        </is>
      </c>
      <c r="D1546" s="0" t="n">
        <v>32924.164</v>
      </c>
    </row>
    <row r="1547">
      <c r="A1547" s="0" t="inlineStr">
        <is>
          <t>DEEP1M</t>
        </is>
      </c>
      <c r="B1547" s="0" t="inlineStr">
        <is>
          <t>M20</t>
        </is>
      </c>
      <c r="C1547" s="0" t="inlineStr">
        <is>
          <t>M21</t>
        </is>
      </c>
      <c r="D1547" s="0" t="n">
        <v>38322.17155</v>
      </c>
    </row>
    <row r="1548">
      <c r="A1548" s="0" t="inlineStr">
        <is>
          <t>DEEP1M</t>
        </is>
      </c>
      <c r="B1548" s="0" t="inlineStr">
        <is>
          <t>N20</t>
        </is>
      </c>
      <c r="C1548" s="0" t="inlineStr">
        <is>
          <t>N21</t>
        </is>
      </c>
      <c r="D1548" s="0" t="n">
        <v>39981.33235</v>
      </c>
    </row>
    <row r="1549">
      <c r="A1549" s="0" t="inlineStr">
        <is>
          <t>DEEP1M</t>
        </is>
      </c>
      <c r="B1549" s="0" t="inlineStr">
        <is>
          <t>O20</t>
        </is>
      </c>
      <c r="C1549" s="0" t="inlineStr">
        <is>
          <t>O21</t>
        </is>
      </c>
      <c r="D1549" s="0" t="n">
        <v>39981.33235</v>
      </c>
    </row>
    <row r="1550">
      <c r="A1550" s="0" t="inlineStr">
        <is>
          <t>DEEP1M</t>
        </is>
      </c>
      <c r="B1550" s="0" t="inlineStr">
        <is>
          <t>P20</t>
        </is>
      </c>
      <c r="C1550" s="0" t="inlineStr">
        <is>
          <t>P21</t>
        </is>
      </c>
      <c r="D1550" s="0" t="n">
        <v>40878.05455</v>
      </c>
    </row>
    <row r="1551">
      <c r="A1551" s="0" t="inlineStr">
        <is>
          <t>DEEP1M</t>
        </is>
      </c>
      <c r="B1551" s="0" t="inlineStr">
        <is>
          <t>D21</t>
        </is>
      </c>
      <c r="C1551" s="0" t="inlineStr">
        <is>
          <t>D22</t>
        </is>
      </c>
      <c r="D1551" s="0" t="inlineStr">
        <is>
          <t>ANNProof</t>
        </is>
      </c>
    </row>
    <row r="1552">
      <c r="A1552" s="0" t="inlineStr">
        <is>
          <t>DEEP1M</t>
        </is>
      </c>
      <c r="B1552" s="0" t="inlineStr">
        <is>
          <t>E21</t>
        </is>
      </c>
      <c r="C1552" s="0" t="inlineStr">
        <is>
          <t>E22</t>
        </is>
      </c>
      <c r="D1552" s="0" t="inlineStr">
        <is>
          <t>Recall rate</t>
        </is>
      </c>
    </row>
    <row r="1553">
      <c r="A1553" s="0" t="inlineStr">
        <is>
          <t>DEEP1M</t>
        </is>
      </c>
      <c r="B1553" s="0" t="inlineStr">
        <is>
          <t>F21</t>
        </is>
      </c>
      <c r="C1553" s="0" t="inlineStr">
        <is>
          <t>F22</t>
        </is>
      </c>
      <c r="D1553" s="0" t="n">
        <v>71</v>
      </c>
    </row>
    <row r="1554">
      <c r="A1554" s="0" t="inlineStr">
        <is>
          <t>DEEP1M</t>
        </is>
      </c>
      <c r="B1554" s="0" t="inlineStr">
        <is>
          <t>G21</t>
        </is>
      </c>
      <c r="C1554" s="0" t="inlineStr">
        <is>
          <t>G22</t>
        </is>
      </c>
      <c r="D1554" s="0" t="n">
        <v>71</v>
      </c>
    </row>
    <row r="1555">
      <c r="A1555" s="0" t="inlineStr">
        <is>
          <t>DEEP1M</t>
        </is>
      </c>
      <c r="B1555" s="0" t="inlineStr">
        <is>
          <t>H21</t>
        </is>
      </c>
      <c r="C1555" s="0" t="inlineStr">
        <is>
          <t>H22</t>
        </is>
      </c>
      <c r="D1555" s="0" t="n">
        <v>71</v>
      </c>
    </row>
    <row r="1556">
      <c r="A1556" s="0" t="inlineStr">
        <is>
          <t>DEEP1M</t>
        </is>
      </c>
      <c r="B1556" s="0" t="inlineStr">
        <is>
          <t>I21</t>
        </is>
      </c>
      <c r="C1556" s="0" t="inlineStr">
        <is>
          <t>I22</t>
        </is>
      </c>
      <c r="D1556" s="0" t="n">
        <v>78</v>
      </c>
    </row>
    <row r="1557">
      <c r="A1557" s="0" t="inlineStr">
        <is>
          <t>DEEP1M</t>
        </is>
      </c>
      <c r="B1557" s="0" t="inlineStr">
        <is>
          <t>J21</t>
        </is>
      </c>
      <c r="C1557" s="0" t="inlineStr">
        <is>
          <t>J22</t>
        </is>
      </c>
      <c r="D1557" s="0" t="n">
        <v>82.5</v>
      </c>
    </row>
    <row r="1558">
      <c r="A1558" s="0" t="inlineStr">
        <is>
          <t>DEEP1M</t>
        </is>
      </c>
      <c r="B1558" s="0" t="inlineStr">
        <is>
          <t>K21</t>
        </is>
      </c>
      <c r="C1558" s="0" t="inlineStr">
        <is>
          <t>K22</t>
        </is>
      </c>
      <c r="D1558" s="0" t="n">
        <v>86.5</v>
      </c>
    </row>
    <row r="1559">
      <c r="A1559" s="0" t="inlineStr">
        <is>
          <t>DEEP1M</t>
        </is>
      </c>
      <c r="B1559" s="0" t="inlineStr">
        <is>
          <t>L21</t>
        </is>
      </c>
      <c r="C1559" s="0" t="inlineStr">
        <is>
          <t>L22</t>
        </is>
      </c>
      <c r="D1559" s="0" t="n">
        <v>94.5</v>
      </c>
    </row>
    <row r="1560">
      <c r="A1560" s="0" t="inlineStr">
        <is>
          <t>DEEP1M</t>
        </is>
      </c>
      <c r="B1560" s="0" t="inlineStr">
        <is>
          <t>M21</t>
        </is>
      </c>
      <c r="C1560" s="0" t="inlineStr">
        <is>
          <t>M22</t>
        </is>
      </c>
      <c r="D1560" s="0" t="n">
        <v>97.5</v>
      </c>
    </row>
    <row r="1561">
      <c r="A1561" s="0" t="inlineStr">
        <is>
          <t>DEEP1M</t>
        </is>
      </c>
      <c r="B1561" s="0" t="inlineStr">
        <is>
          <t>N21</t>
        </is>
      </c>
      <c r="C1561" s="0" t="inlineStr">
        <is>
          <t>N22</t>
        </is>
      </c>
      <c r="D1561" s="0" t="n">
        <v>97.5</v>
      </c>
    </row>
    <row r="1562">
      <c r="A1562" s="0" t="inlineStr">
        <is>
          <t>DEEP1M</t>
        </is>
      </c>
      <c r="B1562" s="0" t="inlineStr">
        <is>
          <t>O21</t>
        </is>
      </c>
      <c r="C1562" s="0" t="inlineStr">
        <is>
          <t>O22</t>
        </is>
      </c>
      <c r="D1562" s="0" t="n">
        <v>99.5</v>
      </c>
    </row>
    <row r="1563">
      <c r="A1563" s="0" t="inlineStr">
        <is>
          <t>DEEP1M</t>
        </is>
      </c>
      <c r="B1563" s="0" t="inlineStr">
        <is>
          <t>P21</t>
        </is>
      </c>
      <c r="C1563" s="0" t="inlineStr">
        <is>
          <t>P22</t>
        </is>
      </c>
      <c r="D1563" s="0" t="n">
        <v>99.5</v>
      </c>
    </row>
    <row r="1564">
      <c r="A1564" s="0" t="inlineStr">
        <is>
          <t>DEEP1M</t>
        </is>
      </c>
      <c r="B1564" s="0" t="inlineStr">
        <is>
          <t>E22</t>
        </is>
      </c>
      <c r="C1564" s="0" t="inlineStr">
        <is>
          <t>E23</t>
        </is>
      </c>
      <c r="D1564" s="0" t="inlineStr">
        <is>
          <t>VO size</t>
        </is>
      </c>
    </row>
    <row r="1565">
      <c r="A1565" s="0" t="inlineStr">
        <is>
          <t>DEEP1M</t>
        </is>
      </c>
      <c r="B1565" s="0" t="inlineStr">
        <is>
          <t>F22</t>
        </is>
      </c>
      <c r="C1565" s="0" t="inlineStr">
        <is>
          <t>F23</t>
        </is>
      </c>
      <c r="D1565" s="0" t="n">
        <v>386.5978</v>
      </c>
    </row>
    <row r="1566">
      <c r="A1566" s="0" t="inlineStr">
        <is>
          <t>DEEP1M</t>
        </is>
      </c>
      <c r="B1566" s="0" t="inlineStr">
        <is>
          <t>G22</t>
        </is>
      </c>
      <c r="C1566" s="0" t="inlineStr">
        <is>
          <t>G23</t>
        </is>
      </c>
      <c r="D1566" s="0" t="n">
        <v>386.5978</v>
      </c>
    </row>
    <row r="1567">
      <c r="A1567" s="0" t="inlineStr">
        <is>
          <t>DEEP1M</t>
        </is>
      </c>
      <c r="B1567" s="0" t="inlineStr">
        <is>
          <t>H22</t>
        </is>
      </c>
      <c r="C1567" s="0" t="inlineStr">
        <is>
          <t>H23</t>
        </is>
      </c>
      <c r="D1567" s="0" t="n">
        <v>386.5978</v>
      </c>
    </row>
    <row r="1568">
      <c r="A1568" s="0" t="inlineStr">
        <is>
          <t>DEEP1M</t>
        </is>
      </c>
      <c r="B1568" s="0" t="inlineStr">
        <is>
          <t>I22</t>
        </is>
      </c>
      <c r="C1568" s="0" t="inlineStr">
        <is>
          <t>I23</t>
        </is>
      </c>
      <c r="D1568" s="0" t="n">
        <v>491.0184</v>
      </c>
    </row>
    <row r="1569">
      <c r="A1569" s="0" t="inlineStr">
        <is>
          <t>DEEP1M</t>
        </is>
      </c>
      <c r="B1569" s="0" t="inlineStr">
        <is>
          <t>J22</t>
        </is>
      </c>
      <c r="C1569" s="0" t="inlineStr">
        <is>
          <t>J23</t>
        </is>
      </c>
      <c r="D1569" s="0" t="n">
        <v>554.1006</v>
      </c>
    </row>
    <row r="1570">
      <c r="A1570" s="0" t="inlineStr">
        <is>
          <t>DEEP1M</t>
        </is>
      </c>
      <c r="B1570" s="0" t="inlineStr">
        <is>
          <t>K22</t>
        </is>
      </c>
      <c r="C1570" s="0" t="inlineStr">
        <is>
          <t>K23</t>
        </is>
      </c>
      <c r="D1570" s="0" t="n">
        <v>615.9464</v>
      </c>
    </row>
    <row r="1571">
      <c r="A1571" s="0" t="inlineStr">
        <is>
          <t>DEEP1M</t>
        </is>
      </c>
      <c r="B1571" s="0" t="inlineStr">
        <is>
          <t>L22</t>
        </is>
      </c>
      <c r="C1571" s="0" t="inlineStr">
        <is>
          <t>L23</t>
        </is>
      </c>
      <c r="D1571" s="0" t="n">
        <v>944.128</v>
      </c>
    </row>
    <row r="1572">
      <c r="A1572" s="0" t="inlineStr">
        <is>
          <t>DEEP1M</t>
        </is>
      </c>
      <c r="B1572" s="0" t="inlineStr">
        <is>
          <t>M22</t>
        </is>
      </c>
      <c r="C1572" s="0" t="inlineStr">
        <is>
          <t>M23</t>
        </is>
      </c>
      <c r="D1572" s="0" t="n">
        <v>1154.7938</v>
      </c>
    </row>
    <row r="1573">
      <c r="A1573" s="0" t="inlineStr">
        <is>
          <t>DEEP1M</t>
        </is>
      </c>
      <c r="B1573" s="0" t="inlineStr">
        <is>
          <t>N22</t>
        </is>
      </c>
      <c r="C1573" s="0" t="inlineStr">
        <is>
          <t>N23</t>
        </is>
      </c>
      <c r="D1573" s="0" t="n">
        <v>1154.7938</v>
      </c>
    </row>
    <row r="1574">
      <c r="A1574" s="0" t="inlineStr">
        <is>
          <t>DEEP1M</t>
        </is>
      </c>
      <c r="B1574" s="0" t="inlineStr">
        <is>
          <t>O22</t>
        </is>
      </c>
      <c r="C1574" s="0" t="inlineStr">
        <is>
          <t>O23</t>
        </is>
      </c>
      <c r="D1574" s="0" t="n">
        <v>1538.7078</v>
      </c>
    </row>
    <row r="1575">
      <c r="A1575" s="0" t="inlineStr">
        <is>
          <t>DEEP1M</t>
        </is>
      </c>
      <c r="B1575" s="0" t="inlineStr">
        <is>
          <t>P22</t>
        </is>
      </c>
      <c r="C1575" s="0" t="inlineStr">
        <is>
          <t>P23</t>
        </is>
      </c>
      <c r="D1575" s="0" t="n">
        <v>1538.7078</v>
      </c>
    </row>
    <row r="1576">
      <c r="A1576" s="0" t="inlineStr">
        <is>
          <t>DEEP1M</t>
        </is>
      </c>
      <c r="B1576" s="0" t="inlineStr">
        <is>
          <t>D23</t>
        </is>
      </c>
      <c r="C1576" s="0" t="inlineStr">
        <is>
          <t>D24</t>
        </is>
      </c>
      <c r="D1576" s="0" t="inlineStr">
        <is>
          <t>Ours</t>
        </is>
      </c>
    </row>
    <row r="1577">
      <c r="A1577" s="0" t="inlineStr">
        <is>
          <t>DEEP1M</t>
        </is>
      </c>
      <c r="B1577" s="0" t="inlineStr">
        <is>
          <t>E23</t>
        </is>
      </c>
      <c r="C1577" s="0" t="inlineStr">
        <is>
          <t>E24</t>
        </is>
      </c>
      <c r="D1577" s="0" t="inlineStr">
        <is>
          <t>Recall rate</t>
        </is>
      </c>
    </row>
    <row r="1578">
      <c r="A1578" s="0" t="inlineStr">
        <is>
          <t>DEEP1M</t>
        </is>
      </c>
      <c r="B1578" s="0" t="inlineStr">
        <is>
          <t>F23</t>
        </is>
      </c>
      <c r="C1578" s="0" t="inlineStr">
        <is>
          <t>F24</t>
        </is>
      </c>
      <c r="D1578" s="0" t="n">
        <v>61.5</v>
      </c>
    </row>
    <row r="1579">
      <c r="A1579" s="0" t="inlineStr">
        <is>
          <t>DEEP1M</t>
        </is>
      </c>
      <c r="B1579" s="0" t="inlineStr">
        <is>
          <t>G23</t>
        </is>
      </c>
      <c r="C1579" s="0" t="inlineStr">
        <is>
          <t>G24</t>
        </is>
      </c>
      <c r="D1579" s="0" t="n">
        <v>73.5</v>
      </c>
    </row>
    <row r="1580">
      <c r="A1580" s="0" t="inlineStr">
        <is>
          <t>DEEP1M</t>
        </is>
      </c>
      <c r="B1580" s="0" t="inlineStr">
        <is>
          <t>H23</t>
        </is>
      </c>
      <c r="C1580" s="0" t="inlineStr">
        <is>
          <t>H24</t>
        </is>
      </c>
      <c r="D1580" s="0" t="n">
        <v>73.5</v>
      </c>
    </row>
    <row r="1581">
      <c r="A1581" s="0" t="inlineStr">
        <is>
          <t>DEEP1M</t>
        </is>
      </c>
      <c r="B1581" s="0" t="inlineStr">
        <is>
          <t>I23</t>
        </is>
      </c>
      <c r="C1581" s="0" t="inlineStr">
        <is>
          <t>I24</t>
        </is>
      </c>
      <c r="D1581" s="0" t="n">
        <v>79</v>
      </c>
    </row>
    <row r="1582">
      <c r="A1582" s="0" t="inlineStr">
        <is>
          <t>DEEP1M</t>
        </is>
      </c>
      <c r="B1582" s="0" t="inlineStr">
        <is>
          <t>J23</t>
        </is>
      </c>
      <c r="C1582" s="0" t="inlineStr">
        <is>
          <t>J24</t>
        </is>
      </c>
      <c r="D1582" s="0" t="n">
        <v>86.5</v>
      </c>
    </row>
    <row r="1583">
      <c r="A1583" s="0" t="inlineStr">
        <is>
          <t>DEEP1M</t>
        </is>
      </c>
      <c r="B1583" s="0" t="inlineStr">
        <is>
          <t>K23</t>
        </is>
      </c>
      <c r="C1583" s="0" t="inlineStr">
        <is>
          <t>K24</t>
        </is>
      </c>
      <c r="D1583" s="0" t="n">
        <v>86.5</v>
      </c>
    </row>
    <row r="1584">
      <c r="A1584" s="0" t="inlineStr">
        <is>
          <t>DEEP1M</t>
        </is>
      </c>
      <c r="B1584" s="0" t="inlineStr">
        <is>
          <t>L23</t>
        </is>
      </c>
      <c r="C1584" s="0" t="inlineStr">
        <is>
          <t>L24</t>
        </is>
      </c>
      <c r="D1584" s="0" t="n">
        <v>94.5</v>
      </c>
    </row>
    <row r="1585">
      <c r="A1585" s="0" t="inlineStr">
        <is>
          <t>DEEP1M</t>
        </is>
      </c>
      <c r="B1585" s="0" t="inlineStr">
        <is>
          <t>M23</t>
        </is>
      </c>
      <c r="C1585" s="0" t="inlineStr">
        <is>
          <t>M24</t>
        </is>
      </c>
      <c r="D1585" s="0" t="n">
        <v>97.5</v>
      </c>
    </row>
    <row r="1586">
      <c r="A1586" s="0" t="inlineStr">
        <is>
          <t>DEEP1M</t>
        </is>
      </c>
      <c r="B1586" s="0" t="inlineStr">
        <is>
          <t>N23</t>
        </is>
      </c>
      <c r="C1586" s="0" t="inlineStr">
        <is>
          <t>N24</t>
        </is>
      </c>
      <c r="D1586" s="0" t="n">
        <v>97.5</v>
      </c>
    </row>
    <row r="1587">
      <c r="A1587" s="0" t="inlineStr">
        <is>
          <t>DEEP1M</t>
        </is>
      </c>
      <c r="B1587" s="0" t="inlineStr">
        <is>
          <t>O23</t>
        </is>
      </c>
      <c r="C1587" s="0" t="inlineStr">
        <is>
          <t>O24</t>
        </is>
      </c>
      <c r="D1587" s="0" t="n">
        <v>98.5</v>
      </c>
    </row>
    <row r="1588">
      <c r="A1588" s="0" t="inlineStr">
        <is>
          <t>DEEP1M</t>
        </is>
      </c>
      <c r="B1588" s="0" t="inlineStr">
        <is>
          <t>P23</t>
        </is>
      </c>
      <c r="C1588" s="0" t="inlineStr">
        <is>
          <t>P24</t>
        </is>
      </c>
      <c r="D1588" s="0" t="n">
        <v>99</v>
      </c>
    </row>
    <row r="1589">
      <c r="A1589" s="0" t="inlineStr">
        <is>
          <t>DEEP1M</t>
        </is>
      </c>
      <c r="B1589" s="0" t="inlineStr">
        <is>
          <t>E24</t>
        </is>
      </c>
      <c r="C1589" s="0" t="inlineStr">
        <is>
          <t>E25</t>
        </is>
      </c>
      <c r="D1589" s="0" t="inlineStr">
        <is>
          <t>VO size</t>
        </is>
      </c>
    </row>
    <row r="1590">
      <c r="A1590" s="0" t="inlineStr">
        <is>
          <t>DEEP1M</t>
        </is>
      </c>
      <c r="B1590" s="0" t="inlineStr">
        <is>
          <t>F24</t>
        </is>
      </c>
      <c r="C1590" s="0" t="inlineStr">
        <is>
          <t>F25</t>
        </is>
      </c>
      <c r="D1590" s="0" t="n">
        <v>109.9156</v>
      </c>
    </row>
    <row r="1591">
      <c r="A1591" s="0" t="inlineStr">
        <is>
          <t>DEEP1M</t>
        </is>
      </c>
      <c r="B1591" s="0" t="inlineStr">
        <is>
          <t>G24</t>
        </is>
      </c>
      <c r="C1591" s="0" t="inlineStr">
        <is>
          <t>G25</t>
        </is>
      </c>
      <c r="D1591" s="0" t="n">
        <v>129.522</v>
      </c>
    </row>
    <row r="1592">
      <c r="A1592" s="0" t="inlineStr">
        <is>
          <t>DEEP1M</t>
        </is>
      </c>
      <c r="B1592" s="0" t="inlineStr">
        <is>
          <t>H24</t>
        </is>
      </c>
      <c r="C1592" s="0" t="inlineStr">
        <is>
          <t>H25</t>
        </is>
      </c>
      <c r="D1592" s="0" t="n">
        <v>129.522</v>
      </c>
    </row>
    <row r="1593">
      <c r="A1593" s="0" t="inlineStr">
        <is>
          <t>DEEP1M</t>
        </is>
      </c>
      <c r="B1593" s="0" t="inlineStr">
        <is>
          <t>I24</t>
        </is>
      </c>
      <c r="C1593" s="0" t="inlineStr">
        <is>
          <t>I25</t>
        </is>
      </c>
      <c r="D1593" s="0" t="n">
        <v>147.6776</v>
      </c>
    </row>
    <row r="1594">
      <c r="A1594" s="0" t="inlineStr">
        <is>
          <t>DEEP1M</t>
        </is>
      </c>
      <c r="B1594" s="0" t="inlineStr">
        <is>
          <t>J24</t>
        </is>
      </c>
      <c r="C1594" s="0" t="inlineStr">
        <is>
          <t>J25</t>
        </is>
      </c>
      <c r="D1594" s="0" t="n">
        <v>179.525</v>
      </c>
    </row>
    <row r="1595">
      <c r="A1595" s="0" t="inlineStr">
        <is>
          <t>DEEP1M</t>
        </is>
      </c>
      <c r="B1595" s="0" t="inlineStr">
        <is>
          <t>K24</t>
        </is>
      </c>
      <c r="C1595" s="0" t="inlineStr">
        <is>
          <t>K25</t>
        </is>
      </c>
      <c r="D1595" s="0" t="n">
        <v>179.525</v>
      </c>
    </row>
    <row r="1596">
      <c r="A1596" s="0" t="inlineStr">
        <is>
          <t>DEEP1M</t>
        </is>
      </c>
      <c r="B1596" s="0" t="inlineStr">
        <is>
          <t>L24</t>
        </is>
      </c>
      <c r="C1596" s="0" t="inlineStr">
        <is>
          <t>L25</t>
        </is>
      </c>
      <c r="D1596" s="0" t="n">
        <v>228.1338</v>
      </c>
    </row>
    <row r="1597">
      <c r="A1597" s="0" t="inlineStr">
        <is>
          <t>DEEP1M</t>
        </is>
      </c>
      <c r="B1597" s="0" t="inlineStr">
        <is>
          <t>M24</t>
        </is>
      </c>
      <c r="C1597" s="0" t="inlineStr">
        <is>
          <t>M25</t>
        </is>
      </c>
      <c r="D1597" s="0" t="n">
        <v>271.0874</v>
      </c>
    </row>
    <row r="1598">
      <c r="A1598" s="0" t="inlineStr">
        <is>
          <t>DEEP1M</t>
        </is>
      </c>
      <c r="B1598" s="0" t="inlineStr">
        <is>
          <t>N24</t>
        </is>
      </c>
      <c r="C1598" s="0" t="inlineStr">
        <is>
          <t>N25</t>
        </is>
      </c>
      <c r="D1598" s="0" t="n">
        <v>271.0874</v>
      </c>
    </row>
    <row r="1599">
      <c r="A1599" s="0" t="inlineStr">
        <is>
          <t>DEEP1M</t>
        </is>
      </c>
      <c r="B1599" s="0" t="inlineStr">
        <is>
          <t>O24</t>
        </is>
      </c>
      <c r="C1599" s="0" t="inlineStr">
        <is>
          <t>O25</t>
        </is>
      </c>
      <c r="D1599" s="0" t="n">
        <v>344.9868</v>
      </c>
    </row>
    <row r="1600">
      <c r="A1600" s="0" t="inlineStr">
        <is>
          <t>DEEP1M</t>
        </is>
      </c>
      <c r="B1600" s="0" t="inlineStr">
        <is>
          <t>P24</t>
        </is>
      </c>
      <c r="C1600" s="0" t="inlineStr">
        <is>
          <t>P25</t>
        </is>
      </c>
      <c r="D1600" s="0" t="n">
        <v>405.5006</v>
      </c>
    </row>
    <row r="1601">
      <c r="A1601" s="0" t="inlineStr">
        <is>
          <t>DEEP1M</t>
        </is>
      </c>
      <c r="B1601" s="0" t="inlineStr">
        <is>
          <t>E25</t>
        </is>
      </c>
      <c r="C1601" s="0" t="inlineStr">
        <is>
          <t>E28</t>
        </is>
      </c>
      <c r="D1601" s="0" t="inlineStr">
        <is>
          <t>Target Recall (%)</t>
        </is>
      </c>
    </row>
    <row r="1602">
      <c r="A1602" s="0" t="inlineStr">
        <is>
          <t>DEEP1M</t>
        </is>
      </c>
      <c r="B1602" s="0" t="inlineStr">
        <is>
          <t>F25</t>
        </is>
      </c>
      <c r="C1602" s="0" t="inlineStr">
        <is>
          <t>F28</t>
        </is>
      </c>
      <c r="D1602" s="0" t="n">
        <v>60</v>
      </c>
    </row>
    <row r="1603">
      <c r="A1603" s="0" t="inlineStr">
        <is>
          <t>DEEP1M</t>
        </is>
      </c>
      <c r="B1603" s="0" t="inlineStr">
        <is>
          <t>G25</t>
        </is>
      </c>
      <c r="C1603" s="0" t="inlineStr">
        <is>
          <t>G28</t>
        </is>
      </c>
      <c r="D1603" s="0" t="n">
        <v>65</v>
      </c>
    </row>
    <row r="1604">
      <c r="A1604" s="0" t="inlineStr">
        <is>
          <t>DEEP1M</t>
        </is>
      </c>
      <c r="B1604" s="0" t="inlineStr">
        <is>
          <t>H25</t>
        </is>
      </c>
      <c r="C1604" s="0" t="inlineStr">
        <is>
          <t>H28</t>
        </is>
      </c>
      <c r="D1604" s="0" t="n">
        <v>70</v>
      </c>
    </row>
    <row r="1605">
      <c r="A1605" s="0" t="inlineStr">
        <is>
          <t>DEEP1M</t>
        </is>
      </c>
      <c r="B1605" s="0" t="inlineStr">
        <is>
          <t>I25</t>
        </is>
      </c>
      <c r="C1605" s="0" t="inlineStr">
        <is>
          <t>I28</t>
        </is>
      </c>
      <c r="D1605" s="0" t="n">
        <v>75</v>
      </c>
    </row>
    <row r="1606">
      <c r="A1606" s="0" t="inlineStr">
        <is>
          <t>DEEP1M</t>
        </is>
      </c>
      <c r="B1606" s="0" t="inlineStr">
        <is>
          <t>J25</t>
        </is>
      </c>
      <c r="C1606" s="0" t="inlineStr">
        <is>
          <t>J28</t>
        </is>
      </c>
      <c r="D1606" s="0" t="n">
        <v>80</v>
      </c>
    </row>
    <row r="1607">
      <c r="A1607" s="0" t="inlineStr">
        <is>
          <t>DEEP1M</t>
        </is>
      </c>
      <c r="B1607" s="0" t="inlineStr">
        <is>
          <t>K25</t>
        </is>
      </c>
      <c r="C1607" s="0" t="inlineStr">
        <is>
          <t>K28</t>
        </is>
      </c>
      <c r="D1607" s="0" t="n">
        <v>85</v>
      </c>
    </row>
    <row r="1608">
      <c r="A1608" s="0" t="inlineStr">
        <is>
          <t>DEEP1M</t>
        </is>
      </c>
      <c r="B1608" s="0" t="inlineStr">
        <is>
          <t>L25</t>
        </is>
      </c>
      <c r="C1608" s="0" t="inlineStr">
        <is>
          <t>L28</t>
        </is>
      </c>
      <c r="D1608" s="0" t="n">
        <v>90</v>
      </c>
    </row>
    <row r="1609">
      <c r="A1609" s="0" t="inlineStr">
        <is>
          <t>DEEP1M</t>
        </is>
      </c>
      <c r="B1609" s="0" t="inlineStr">
        <is>
          <t>M25</t>
        </is>
      </c>
      <c r="C1609" s="0" t="inlineStr">
        <is>
          <t>M28</t>
        </is>
      </c>
      <c r="D1609" s="0" t="n">
        <v>95</v>
      </c>
    </row>
    <row r="1610">
      <c r="A1610" s="0" t="inlineStr">
        <is>
          <t>DEEP1M</t>
        </is>
      </c>
      <c r="B1610" s="0" t="inlineStr">
        <is>
          <t>N25</t>
        </is>
      </c>
      <c r="C1610" s="0" t="inlineStr">
        <is>
          <t>N28</t>
        </is>
      </c>
      <c r="D1610" s="0" t="n">
        <v>97</v>
      </c>
    </row>
    <row r="1611">
      <c r="A1611" s="0" t="inlineStr">
        <is>
          <t>DEEP1M</t>
        </is>
      </c>
      <c r="B1611" s="0" t="inlineStr">
        <is>
          <t>O25</t>
        </is>
      </c>
      <c r="C1611" s="0" t="inlineStr">
        <is>
          <t>O28</t>
        </is>
      </c>
      <c r="D1611" s="0" t="n">
        <v>98</v>
      </c>
    </row>
    <row r="1612">
      <c r="A1612" s="0" t="inlineStr">
        <is>
          <t>DEEP1M</t>
        </is>
      </c>
      <c r="B1612" s="0" t="inlineStr">
        <is>
          <t>P25</t>
        </is>
      </c>
      <c r="C1612" s="0" t="inlineStr">
        <is>
          <t>P28</t>
        </is>
      </c>
      <c r="D1612" s="0" t="n">
        <v>99</v>
      </c>
    </row>
    <row r="1613">
      <c r="A1613" s="0" t="inlineStr">
        <is>
          <t>DEEP1M</t>
        </is>
      </c>
      <c r="B1613" s="0" t="inlineStr">
        <is>
          <t>E26</t>
        </is>
      </c>
      <c r="C1613" s="0" t="inlineStr">
        <is>
          <t>E29</t>
        </is>
      </c>
      <c r="D1613" s="0" t="inlineStr">
        <is>
          <t>Recall@10 (change parameters enabling different recall rate) vs. verify time</t>
        </is>
      </c>
    </row>
    <row r="1614">
      <c r="A1614" s="0" t="inlineStr">
        <is>
          <t>DEEP1M</t>
        </is>
      </c>
      <c r="B1614" s="0" t="inlineStr">
        <is>
          <t>D28</t>
        </is>
      </c>
      <c r="C1614" s="0" t="inlineStr">
        <is>
          <t>D31</t>
        </is>
      </c>
      <c r="D1614" s="0" t="inlineStr">
        <is>
          <t>DEEP1M (N=1,000,000, d=96)</t>
        </is>
      </c>
    </row>
    <row r="1615">
      <c r="A1615" s="0" t="inlineStr">
        <is>
          <t>DEEP1M</t>
        </is>
      </c>
      <c r="B1615" s="0" t="inlineStr">
        <is>
          <t>D29</t>
        </is>
      </c>
      <c r="C1615" s="0" t="inlineStr">
        <is>
          <t>D32</t>
        </is>
      </c>
      <c r="D1615" s="0" t="inlineStr">
        <is>
          <t>VLAH</t>
        </is>
      </c>
    </row>
    <row r="1616">
      <c r="A1616" s="0" t="inlineStr">
        <is>
          <t>DEEP1M</t>
        </is>
      </c>
      <c r="B1616" s="0" t="inlineStr">
        <is>
          <t>E29</t>
        </is>
      </c>
      <c r="C1616" s="0" t="inlineStr">
        <is>
          <t>E32</t>
        </is>
      </c>
      <c r="D1616" s="0" t="inlineStr">
        <is>
          <t>Recall rate</t>
        </is>
      </c>
    </row>
    <row r="1617">
      <c r="A1617" s="0" t="inlineStr">
        <is>
          <t>DEEP1M</t>
        </is>
      </c>
      <c r="B1617" s="0" t="inlineStr">
        <is>
          <t>F29</t>
        </is>
      </c>
      <c r="C1617" s="0" t="inlineStr">
        <is>
          <t>F32</t>
        </is>
      </c>
      <c r="D1617" s="0" t="n">
        <v>60.5</v>
      </c>
    </row>
    <row r="1618">
      <c r="A1618" s="0" t="inlineStr">
        <is>
          <t>DEEP1M</t>
        </is>
      </c>
      <c r="B1618" s="0" t="inlineStr">
        <is>
          <t>G29</t>
        </is>
      </c>
      <c r="C1618" s="0" t="inlineStr">
        <is>
          <t>G32</t>
        </is>
      </c>
      <c r="D1618" s="0" t="n">
        <v>65.5</v>
      </c>
    </row>
    <row r="1619">
      <c r="A1619" s="0" t="inlineStr">
        <is>
          <t>DEEP1M</t>
        </is>
      </c>
      <c r="B1619" s="0" t="inlineStr">
        <is>
          <t>H29</t>
        </is>
      </c>
      <c r="C1619" s="0" t="inlineStr">
        <is>
          <t>H32</t>
        </is>
      </c>
      <c r="D1619" s="0" t="n">
        <v>71</v>
      </c>
    </row>
    <row r="1620">
      <c r="A1620" s="0" t="inlineStr">
        <is>
          <t>DEEP1M</t>
        </is>
      </c>
      <c r="B1620" s="0" t="inlineStr">
        <is>
          <t>I29</t>
        </is>
      </c>
      <c r="C1620" s="0" t="inlineStr">
        <is>
          <t>I32</t>
        </is>
      </c>
      <c r="D1620" s="0" t="n">
        <v>75.5</v>
      </c>
    </row>
    <row r="1621">
      <c r="A1621" s="0" t="inlineStr">
        <is>
          <t>DEEP1M</t>
        </is>
      </c>
      <c r="B1621" s="0" t="inlineStr">
        <is>
          <t>J29</t>
        </is>
      </c>
      <c r="C1621" s="0" t="inlineStr">
        <is>
          <t>J32</t>
        </is>
      </c>
      <c r="D1621" s="0" t="n">
        <v>81.5</v>
      </c>
    </row>
    <row r="1622">
      <c r="A1622" s="0" t="inlineStr">
        <is>
          <t>DEEP1M</t>
        </is>
      </c>
      <c r="B1622" s="0" t="inlineStr">
        <is>
          <t>K29</t>
        </is>
      </c>
      <c r="C1622" s="0" t="inlineStr">
        <is>
          <t>K32</t>
        </is>
      </c>
      <c r="D1622" s="0" t="n">
        <v>86</v>
      </c>
    </row>
    <row r="1623">
      <c r="A1623" s="0" t="inlineStr">
        <is>
          <t>DEEP1M</t>
        </is>
      </c>
      <c r="B1623" s="0" t="inlineStr">
        <is>
          <t>L29</t>
        </is>
      </c>
      <c r="C1623" s="0" t="inlineStr">
        <is>
          <t>L32</t>
        </is>
      </c>
      <c r="D1623" s="0" t="n">
        <v>90</v>
      </c>
    </row>
    <row r="1624">
      <c r="A1624" s="0" t="inlineStr">
        <is>
          <t>DEEP1M</t>
        </is>
      </c>
      <c r="B1624" s="0" t="inlineStr">
        <is>
          <t>M29</t>
        </is>
      </c>
      <c r="C1624" s="0" t="inlineStr">
        <is>
          <t>M32</t>
        </is>
      </c>
      <c r="D1624" s="0" t="n">
        <v>95</v>
      </c>
    </row>
    <row r="1625">
      <c r="A1625" s="0" t="inlineStr">
        <is>
          <t>DEEP1M</t>
        </is>
      </c>
      <c r="B1625" s="0" t="inlineStr">
        <is>
          <t>N29</t>
        </is>
      </c>
      <c r="C1625" s="0" t="inlineStr">
        <is>
          <t>N32</t>
        </is>
      </c>
      <c r="D1625" s="0" t="n">
        <v>98</v>
      </c>
    </row>
    <row r="1626">
      <c r="A1626" s="0" t="inlineStr">
        <is>
          <t>DEEP1M</t>
        </is>
      </c>
      <c r="B1626" s="0" t="inlineStr">
        <is>
          <t>O29</t>
        </is>
      </c>
      <c r="C1626" s="0" t="inlineStr">
        <is>
          <t>O32</t>
        </is>
      </c>
      <c r="D1626" s="0" t="n">
        <v>98</v>
      </c>
    </row>
    <row r="1627">
      <c r="A1627" s="0" t="inlineStr">
        <is>
          <t>DEEP1M</t>
        </is>
      </c>
      <c r="B1627" s="0" t="inlineStr">
        <is>
          <t>P29</t>
        </is>
      </c>
      <c r="C1627" s="0" t="inlineStr">
        <is>
          <t>P32</t>
        </is>
      </c>
      <c r="D1627" s="0" t="n">
        <v>99</v>
      </c>
    </row>
    <row r="1628">
      <c r="A1628" s="0" t="inlineStr">
        <is>
          <t>DEEP1M</t>
        </is>
      </c>
      <c r="B1628" s="0" t="inlineStr">
        <is>
          <t>E30</t>
        </is>
      </c>
      <c r="C1628" s="0" t="inlineStr">
        <is>
          <t>E33</t>
        </is>
      </c>
      <c r="D1628" s="0" t="inlineStr">
        <is>
          <t>verify time</t>
        </is>
      </c>
    </row>
    <row r="1629">
      <c r="A1629" s="0" t="inlineStr">
        <is>
          <t>DEEP1M</t>
        </is>
      </c>
      <c r="B1629" s="0" t="inlineStr">
        <is>
          <t>F30</t>
        </is>
      </c>
      <c r="C1629" s="0" t="inlineStr">
        <is>
          <t>F33</t>
        </is>
      </c>
      <c r="D1629" s="0" t="n">
        <v>53.6938911666667</v>
      </c>
    </row>
    <row r="1630">
      <c r="A1630" s="0" t="inlineStr">
        <is>
          <t>DEEP1M</t>
        </is>
      </c>
      <c r="B1630" s="0" t="inlineStr">
        <is>
          <t>G30</t>
        </is>
      </c>
      <c r="C1630" s="0" t="inlineStr">
        <is>
          <t>G33</t>
        </is>
      </c>
      <c r="D1630" s="0" t="n">
        <v>72.3760297</v>
      </c>
    </row>
    <row r="1631">
      <c r="A1631" s="0" t="inlineStr">
        <is>
          <t>DEEP1M</t>
        </is>
      </c>
      <c r="B1631" s="0" t="inlineStr">
        <is>
          <t>H30</t>
        </is>
      </c>
      <c r="C1631" s="0" t="inlineStr">
        <is>
          <t>H33</t>
        </is>
      </c>
      <c r="D1631" s="0" t="n">
        <v>109.178227966667</v>
      </c>
    </row>
    <row r="1632">
      <c r="A1632" s="0" t="inlineStr">
        <is>
          <t>DEEP1M</t>
        </is>
      </c>
      <c r="B1632" s="0" t="inlineStr">
        <is>
          <t>I30</t>
        </is>
      </c>
      <c r="C1632" s="0" t="inlineStr">
        <is>
          <t>I33</t>
        </is>
      </c>
      <c r="D1632" s="0" t="n">
        <v>121.4742997</v>
      </c>
    </row>
    <row r="1633">
      <c r="A1633" s="0" t="inlineStr">
        <is>
          <t>DEEP1M</t>
        </is>
      </c>
      <c r="B1633" s="0" t="inlineStr">
        <is>
          <t>J30</t>
        </is>
      </c>
      <c r="C1633" s="0" t="inlineStr">
        <is>
          <t>J33</t>
        </is>
      </c>
      <c r="D1633" s="0" t="n">
        <v>148.180783866667</v>
      </c>
    </row>
    <row r="1634">
      <c r="A1634" s="0" t="inlineStr">
        <is>
          <t>DEEP1M</t>
        </is>
      </c>
      <c r="B1634" s="0" t="inlineStr">
        <is>
          <t>K30</t>
        </is>
      </c>
      <c r="C1634" s="0" t="inlineStr">
        <is>
          <t>K33</t>
        </is>
      </c>
      <c r="D1634" s="0" t="n">
        <v>188.6092781</v>
      </c>
    </row>
    <row r="1635">
      <c r="A1635" s="0" t="inlineStr">
        <is>
          <t>DEEP1M</t>
        </is>
      </c>
      <c r="B1635" s="0" t="inlineStr">
        <is>
          <t>L30</t>
        </is>
      </c>
      <c r="C1635" s="0" t="inlineStr">
        <is>
          <t>L33</t>
        </is>
      </c>
      <c r="D1635" s="0" t="n">
        <v>240.77539485</v>
      </c>
    </row>
    <row r="1636">
      <c r="A1636" s="0" t="inlineStr">
        <is>
          <t>DEEP1M</t>
        </is>
      </c>
      <c r="B1636" s="0" t="inlineStr">
        <is>
          <t>M30</t>
        </is>
      </c>
      <c r="C1636" s="0" t="inlineStr">
        <is>
          <t>M33</t>
        </is>
      </c>
      <c r="D1636" s="0" t="n">
        <v>280.071343333333</v>
      </c>
    </row>
    <row r="1637">
      <c r="A1637" s="0" t="inlineStr">
        <is>
          <t>DEEP1M</t>
        </is>
      </c>
      <c r="B1637" s="0" t="inlineStr">
        <is>
          <t>N30</t>
        </is>
      </c>
      <c r="C1637" s="0" t="inlineStr">
        <is>
          <t>N33</t>
        </is>
      </c>
      <c r="D1637" s="0" t="n">
        <v>293.38766795</v>
      </c>
    </row>
    <row r="1638">
      <c r="A1638" s="0" t="inlineStr">
        <is>
          <t>DEEP1M</t>
        </is>
      </c>
      <c r="B1638" s="0" t="inlineStr">
        <is>
          <t>O30</t>
        </is>
      </c>
      <c r="C1638" s="0" t="inlineStr">
        <is>
          <t>O33</t>
        </is>
      </c>
      <c r="D1638" s="0" t="n">
        <v>293.38766795</v>
      </c>
    </row>
    <row r="1639">
      <c r="A1639" s="0" t="inlineStr">
        <is>
          <t>DEEP1M</t>
        </is>
      </c>
      <c r="B1639" s="0" t="inlineStr">
        <is>
          <t>P30</t>
        </is>
      </c>
      <c r="C1639" s="0" t="inlineStr">
        <is>
          <t>P33</t>
        </is>
      </c>
      <c r="D1639" s="0" t="n">
        <v>299.962289733333</v>
      </c>
    </row>
    <row r="1640">
      <c r="A1640" s="0" t="inlineStr">
        <is>
          <t>DEEP1M</t>
        </is>
      </c>
      <c r="B1640" s="0" t="inlineStr">
        <is>
          <t>D31</t>
        </is>
      </c>
      <c r="C1640" s="0" t="inlineStr">
        <is>
          <t>D34</t>
        </is>
      </c>
      <c r="D1640" s="0" t="inlineStr">
        <is>
          <t>ANNProof</t>
        </is>
      </c>
    </row>
    <row r="1641">
      <c r="A1641" s="0" t="inlineStr">
        <is>
          <t>DEEP1M</t>
        </is>
      </c>
      <c r="B1641" s="0" t="inlineStr">
        <is>
          <t>E31</t>
        </is>
      </c>
      <c r="C1641" s="0" t="inlineStr">
        <is>
          <t>E34</t>
        </is>
      </c>
      <c r="D1641" s="0" t="inlineStr">
        <is>
          <t>Recall rate</t>
        </is>
      </c>
    </row>
    <row r="1642">
      <c r="A1642" s="0" t="inlineStr">
        <is>
          <t>DEEP1M</t>
        </is>
      </c>
      <c r="B1642" s="0" t="inlineStr">
        <is>
          <t>F31</t>
        </is>
      </c>
      <c r="C1642" s="0" t="inlineStr">
        <is>
          <t>F34</t>
        </is>
      </c>
      <c r="D1642" s="0" t="n">
        <v>71</v>
      </c>
    </row>
    <row r="1643">
      <c r="A1643" s="0" t="inlineStr">
        <is>
          <t>DEEP1M</t>
        </is>
      </c>
      <c r="B1643" s="0" t="inlineStr">
        <is>
          <t>G31</t>
        </is>
      </c>
      <c r="C1643" s="0" t="inlineStr">
        <is>
          <t>G34</t>
        </is>
      </c>
      <c r="D1643" s="0" t="n">
        <v>71</v>
      </c>
    </row>
    <row r="1644">
      <c r="A1644" s="0" t="inlineStr">
        <is>
          <t>DEEP1M</t>
        </is>
      </c>
      <c r="B1644" s="0" t="inlineStr">
        <is>
          <t>H31</t>
        </is>
      </c>
      <c r="C1644" s="0" t="inlineStr">
        <is>
          <t>H34</t>
        </is>
      </c>
      <c r="D1644" s="0" t="n">
        <v>71</v>
      </c>
    </row>
    <row r="1645">
      <c r="A1645" s="0" t="inlineStr">
        <is>
          <t>DEEP1M</t>
        </is>
      </c>
      <c r="B1645" s="0" t="inlineStr">
        <is>
          <t>I31</t>
        </is>
      </c>
      <c r="C1645" s="0" t="inlineStr">
        <is>
          <t>I34</t>
        </is>
      </c>
      <c r="D1645" s="0" t="n">
        <v>78</v>
      </c>
    </row>
    <row r="1646">
      <c r="A1646" s="0" t="inlineStr">
        <is>
          <t>DEEP1M</t>
        </is>
      </c>
      <c r="B1646" s="0" t="inlineStr">
        <is>
          <t>J31</t>
        </is>
      </c>
      <c r="C1646" s="0" t="inlineStr">
        <is>
          <t>J34</t>
        </is>
      </c>
      <c r="D1646" s="0" t="n">
        <v>82.5</v>
      </c>
    </row>
    <row r="1647">
      <c r="A1647" s="0" t="inlineStr">
        <is>
          <t>DEEP1M</t>
        </is>
      </c>
      <c r="B1647" s="0" t="inlineStr">
        <is>
          <t>K31</t>
        </is>
      </c>
      <c r="C1647" s="0" t="inlineStr">
        <is>
          <t>K34</t>
        </is>
      </c>
      <c r="D1647" s="0" t="n">
        <v>86.5</v>
      </c>
    </row>
    <row r="1648">
      <c r="A1648" s="0" t="inlineStr">
        <is>
          <t>DEEP1M</t>
        </is>
      </c>
      <c r="B1648" s="0" t="inlineStr">
        <is>
          <t>L31</t>
        </is>
      </c>
      <c r="C1648" s="0" t="inlineStr">
        <is>
          <t>L34</t>
        </is>
      </c>
      <c r="D1648" s="0" t="n">
        <v>94.5</v>
      </c>
    </row>
    <row r="1649">
      <c r="A1649" s="0" t="inlineStr">
        <is>
          <t>DEEP1M</t>
        </is>
      </c>
      <c r="B1649" s="0" t="inlineStr">
        <is>
          <t>M31</t>
        </is>
      </c>
      <c r="C1649" s="0" t="inlineStr">
        <is>
          <t>M34</t>
        </is>
      </c>
      <c r="D1649" s="0" t="n">
        <v>97.5</v>
      </c>
    </row>
    <row r="1650">
      <c r="A1650" s="0" t="inlineStr">
        <is>
          <t>DEEP1M</t>
        </is>
      </c>
      <c r="B1650" s="0" t="inlineStr">
        <is>
          <t>N31</t>
        </is>
      </c>
      <c r="C1650" s="0" t="inlineStr">
        <is>
          <t>N34</t>
        </is>
      </c>
      <c r="D1650" s="0" t="n">
        <v>97.5</v>
      </c>
    </row>
    <row r="1651">
      <c r="A1651" s="0" t="inlineStr">
        <is>
          <t>DEEP1M</t>
        </is>
      </c>
      <c r="B1651" s="0" t="inlineStr">
        <is>
          <t>O31</t>
        </is>
      </c>
      <c r="C1651" s="0" t="inlineStr">
        <is>
          <t>O34</t>
        </is>
      </c>
      <c r="D1651" s="0" t="n">
        <v>99.5</v>
      </c>
    </row>
    <row r="1652">
      <c r="A1652" s="0" t="inlineStr">
        <is>
          <t>DEEP1M</t>
        </is>
      </c>
      <c r="B1652" s="0" t="inlineStr">
        <is>
          <t>P31</t>
        </is>
      </c>
      <c r="C1652" s="0" t="inlineStr">
        <is>
          <t>P34</t>
        </is>
      </c>
      <c r="D1652" s="0" t="n">
        <v>99.5</v>
      </c>
    </row>
    <row r="1653">
      <c r="A1653" s="0" t="inlineStr">
        <is>
          <t>DEEP1M</t>
        </is>
      </c>
      <c r="B1653" s="0" t="inlineStr">
        <is>
          <t>E32</t>
        </is>
      </c>
      <c r="C1653" s="0" t="inlineStr">
        <is>
          <t>E35</t>
        </is>
      </c>
      <c r="D1653" s="0" t="inlineStr">
        <is>
          <t>verify time</t>
        </is>
      </c>
    </row>
    <row r="1654">
      <c r="A1654" s="0" t="inlineStr">
        <is>
          <t>DEEP1M</t>
        </is>
      </c>
      <c r="B1654" s="0" t="inlineStr">
        <is>
          <t>F32</t>
        </is>
      </c>
      <c r="C1654" s="0" t="inlineStr">
        <is>
          <t>F35</t>
        </is>
      </c>
      <c r="D1654" s="0" t="n">
        <v>5.0948274</v>
      </c>
    </row>
    <row r="1655">
      <c r="A1655" s="0" t="inlineStr">
        <is>
          <t>DEEP1M</t>
        </is>
      </c>
      <c r="B1655" s="0" t="inlineStr">
        <is>
          <t>G32</t>
        </is>
      </c>
      <c r="C1655" s="0" t="inlineStr">
        <is>
          <t>G35</t>
        </is>
      </c>
      <c r="D1655" s="0" t="n">
        <v>5.0948274</v>
      </c>
    </row>
    <row r="1656">
      <c r="A1656" s="0" t="inlineStr">
        <is>
          <t>DEEP1M</t>
        </is>
      </c>
      <c r="B1656" s="0" t="inlineStr">
        <is>
          <t>H32</t>
        </is>
      </c>
      <c r="C1656" s="0" t="inlineStr">
        <is>
          <t>H35</t>
        </is>
      </c>
      <c r="D1656" s="0" t="n">
        <v>5.0948274</v>
      </c>
    </row>
    <row r="1657">
      <c r="A1657" s="0" t="inlineStr">
        <is>
          <t>DEEP1M</t>
        </is>
      </c>
      <c r="B1657" s="0" t="inlineStr">
        <is>
          <t>I32</t>
        </is>
      </c>
      <c r="C1657" s="0" t="inlineStr">
        <is>
          <t>I35</t>
        </is>
      </c>
      <c r="D1657" s="0" t="n">
        <v>6.41377703333333</v>
      </c>
    </row>
    <row r="1658">
      <c r="A1658" s="0" t="inlineStr">
        <is>
          <t>DEEP1M</t>
        </is>
      </c>
      <c r="B1658" s="0" t="inlineStr">
        <is>
          <t>J32</t>
        </is>
      </c>
      <c r="C1658" s="0" t="inlineStr">
        <is>
          <t>J35</t>
        </is>
      </c>
      <c r="D1658" s="0" t="n">
        <v>7.32085555</v>
      </c>
    </row>
    <row r="1659">
      <c r="A1659" s="0" t="inlineStr">
        <is>
          <t>DEEP1M</t>
        </is>
      </c>
      <c r="B1659" s="0" t="inlineStr">
        <is>
          <t>K32</t>
        </is>
      </c>
      <c r="C1659" s="0" t="inlineStr">
        <is>
          <t>K35</t>
        </is>
      </c>
      <c r="D1659" s="0" t="n">
        <v>8.091527900000001</v>
      </c>
    </row>
    <row r="1660">
      <c r="A1660" s="0" t="inlineStr">
        <is>
          <t>DEEP1M</t>
        </is>
      </c>
      <c r="B1660" s="0" t="inlineStr">
        <is>
          <t>L32</t>
        </is>
      </c>
      <c r="C1660" s="0" t="inlineStr">
        <is>
          <t>L35</t>
        </is>
      </c>
      <c r="D1660" s="0" t="n">
        <v>12.7037481</v>
      </c>
    </row>
    <row r="1661">
      <c r="A1661" s="0" t="inlineStr">
        <is>
          <t>DEEP1M</t>
        </is>
      </c>
      <c r="B1661" s="0" t="inlineStr">
        <is>
          <t>M32</t>
        </is>
      </c>
      <c r="C1661" s="0" t="inlineStr">
        <is>
          <t>M35</t>
        </is>
      </c>
      <c r="D1661" s="0" t="n">
        <v>15.4261976166667</v>
      </c>
    </row>
    <row r="1662">
      <c r="A1662" s="0" t="inlineStr">
        <is>
          <t>DEEP1M</t>
        </is>
      </c>
      <c r="B1662" s="0" t="inlineStr">
        <is>
          <t>N32</t>
        </is>
      </c>
      <c r="C1662" s="0" t="inlineStr">
        <is>
          <t>N35</t>
        </is>
      </c>
      <c r="D1662" s="0" t="n">
        <v>15.4261976166667</v>
      </c>
    </row>
    <row r="1663">
      <c r="A1663" s="0" t="inlineStr">
        <is>
          <t>DEEP1M</t>
        </is>
      </c>
      <c r="B1663" s="0" t="inlineStr">
        <is>
          <t>O32</t>
        </is>
      </c>
      <c r="C1663" s="0" t="inlineStr">
        <is>
          <t>O35</t>
        </is>
      </c>
      <c r="D1663" s="0" t="n">
        <v>20.6266154833333</v>
      </c>
    </row>
    <row r="1664">
      <c r="A1664" s="0" t="inlineStr">
        <is>
          <t>DEEP1M</t>
        </is>
      </c>
      <c r="B1664" s="0" t="inlineStr">
        <is>
          <t>P32</t>
        </is>
      </c>
      <c r="C1664" s="0" t="inlineStr">
        <is>
          <t>P35</t>
        </is>
      </c>
      <c r="D1664" s="0" t="n">
        <v>20.6266154833333</v>
      </c>
    </row>
    <row r="1665">
      <c r="A1665" s="0" t="inlineStr">
        <is>
          <t>DEEP1M</t>
        </is>
      </c>
      <c r="B1665" s="0" t="inlineStr">
        <is>
          <t>D33</t>
        </is>
      </c>
      <c r="C1665" s="0" t="inlineStr">
        <is>
          <t>D36</t>
        </is>
      </c>
      <c r="D1665" s="0" t="inlineStr">
        <is>
          <t>Ours</t>
        </is>
      </c>
    </row>
    <row r="1666">
      <c r="A1666" s="0" t="inlineStr">
        <is>
          <t>DEEP1M</t>
        </is>
      </c>
      <c r="B1666" s="0" t="inlineStr">
        <is>
          <t>E33</t>
        </is>
      </c>
      <c r="C1666" s="0" t="inlineStr">
        <is>
          <t>E36</t>
        </is>
      </c>
      <c r="D1666" s="0" t="inlineStr">
        <is>
          <t>Recall rate</t>
        </is>
      </c>
    </row>
    <row r="1667">
      <c r="A1667" s="0" t="inlineStr">
        <is>
          <t>DEEP1M</t>
        </is>
      </c>
      <c r="B1667" s="0" t="inlineStr">
        <is>
          <t>F33</t>
        </is>
      </c>
      <c r="C1667" s="0" t="inlineStr">
        <is>
          <t>F36</t>
        </is>
      </c>
      <c r="D1667" s="0" t="n">
        <v>61.5</v>
      </c>
    </row>
    <row r="1668">
      <c r="A1668" s="0" t="inlineStr">
        <is>
          <t>DEEP1M</t>
        </is>
      </c>
      <c r="B1668" s="0" t="inlineStr">
        <is>
          <t>G33</t>
        </is>
      </c>
      <c r="C1668" s="0" t="inlineStr">
        <is>
          <t>G36</t>
        </is>
      </c>
      <c r="D1668" s="0" t="n">
        <v>73.5</v>
      </c>
    </row>
    <row r="1669">
      <c r="A1669" s="0" t="inlineStr">
        <is>
          <t>DEEP1M</t>
        </is>
      </c>
      <c r="B1669" s="0" t="inlineStr">
        <is>
          <t>H33</t>
        </is>
      </c>
      <c r="C1669" s="0" t="inlineStr">
        <is>
          <t>H36</t>
        </is>
      </c>
      <c r="D1669" s="0" t="n">
        <v>73.5</v>
      </c>
    </row>
    <row r="1670">
      <c r="A1670" s="0" t="inlineStr">
        <is>
          <t>DEEP1M</t>
        </is>
      </c>
      <c r="B1670" s="0" t="inlineStr">
        <is>
          <t>I33</t>
        </is>
      </c>
      <c r="C1670" s="0" t="inlineStr">
        <is>
          <t>I36</t>
        </is>
      </c>
      <c r="D1670" s="0" t="n">
        <v>79</v>
      </c>
    </row>
    <row r="1671">
      <c r="A1671" s="0" t="inlineStr">
        <is>
          <t>DEEP1M</t>
        </is>
      </c>
      <c r="B1671" s="0" t="inlineStr">
        <is>
          <t>J33</t>
        </is>
      </c>
      <c r="C1671" s="0" t="inlineStr">
        <is>
          <t>J36</t>
        </is>
      </c>
      <c r="D1671" s="0" t="n">
        <v>86.5</v>
      </c>
    </row>
    <row r="1672">
      <c r="A1672" s="0" t="inlineStr">
        <is>
          <t>DEEP1M</t>
        </is>
      </c>
      <c r="B1672" s="0" t="inlineStr">
        <is>
          <t>K33</t>
        </is>
      </c>
      <c r="C1672" s="0" t="inlineStr">
        <is>
          <t>K36</t>
        </is>
      </c>
      <c r="D1672" s="0" t="n">
        <v>86.5</v>
      </c>
    </row>
    <row r="1673">
      <c r="A1673" s="0" t="inlineStr">
        <is>
          <t>DEEP1M</t>
        </is>
      </c>
      <c r="B1673" s="0" t="inlineStr">
        <is>
          <t>L33</t>
        </is>
      </c>
      <c r="C1673" s="0" t="inlineStr">
        <is>
          <t>L36</t>
        </is>
      </c>
      <c r="D1673" s="0" t="n">
        <v>94.5</v>
      </c>
    </row>
    <row r="1674">
      <c r="A1674" s="0" t="inlineStr">
        <is>
          <t>DEEP1M</t>
        </is>
      </c>
      <c r="B1674" s="0" t="inlineStr">
        <is>
          <t>M33</t>
        </is>
      </c>
      <c r="C1674" s="0" t="inlineStr">
        <is>
          <t>M36</t>
        </is>
      </c>
      <c r="D1674" s="0" t="n">
        <v>97.5</v>
      </c>
    </row>
    <row r="1675">
      <c r="A1675" s="0" t="inlineStr">
        <is>
          <t>DEEP1M</t>
        </is>
      </c>
      <c r="B1675" s="0" t="inlineStr">
        <is>
          <t>N33</t>
        </is>
      </c>
      <c r="C1675" s="0" t="inlineStr">
        <is>
          <t>N36</t>
        </is>
      </c>
      <c r="D1675" s="0" t="n">
        <v>97.5</v>
      </c>
    </row>
    <row r="1676">
      <c r="A1676" s="0" t="inlineStr">
        <is>
          <t>DEEP1M</t>
        </is>
      </c>
      <c r="B1676" s="0" t="inlineStr">
        <is>
          <t>O33</t>
        </is>
      </c>
      <c r="C1676" s="0" t="inlineStr">
        <is>
          <t>O36</t>
        </is>
      </c>
      <c r="D1676" s="0" t="n">
        <v>98.5</v>
      </c>
    </row>
    <row r="1677">
      <c r="A1677" s="0" t="inlineStr">
        <is>
          <t>DEEP1M</t>
        </is>
      </c>
      <c r="B1677" s="0" t="inlineStr">
        <is>
          <t>P33</t>
        </is>
      </c>
      <c r="C1677" s="0" t="inlineStr">
        <is>
          <t>P36</t>
        </is>
      </c>
      <c r="D1677" s="0" t="n">
        <v>99</v>
      </c>
    </row>
    <row r="1678">
      <c r="A1678" s="0" t="inlineStr">
        <is>
          <t>DEEP1M</t>
        </is>
      </c>
      <c r="B1678" s="0" t="inlineStr">
        <is>
          <t>E34</t>
        </is>
      </c>
      <c r="C1678" s="0" t="inlineStr">
        <is>
          <t>E37</t>
        </is>
      </c>
      <c r="D1678" s="0" t="inlineStr">
        <is>
          <t>verify time</t>
        </is>
      </c>
    </row>
    <row r="1679">
      <c r="A1679" s="0" t="inlineStr">
        <is>
          <t>DEEP1M</t>
        </is>
      </c>
      <c r="B1679" s="0" t="inlineStr">
        <is>
          <t>F34</t>
        </is>
      </c>
      <c r="C1679" s="0" t="inlineStr">
        <is>
          <t>F37</t>
        </is>
      </c>
      <c r="D1679" s="0" t="n">
        <v>2.38709686666667</v>
      </c>
    </row>
    <row r="1680">
      <c r="A1680" s="0" t="inlineStr">
        <is>
          <t>DEEP1M</t>
        </is>
      </c>
      <c r="B1680" s="0" t="inlineStr">
        <is>
          <t>G34</t>
        </is>
      </c>
      <c r="C1680" s="0" t="inlineStr">
        <is>
          <t>G37</t>
        </is>
      </c>
      <c r="D1680" s="0" t="n">
        <v>2.85541431666667</v>
      </c>
    </row>
    <row r="1681">
      <c r="A1681" s="0" t="inlineStr">
        <is>
          <t>DEEP1M</t>
        </is>
      </c>
      <c r="B1681" s="0" t="inlineStr">
        <is>
          <t>H34</t>
        </is>
      </c>
      <c r="C1681" s="0" t="inlineStr">
        <is>
          <t>H37</t>
        </is>
      </c>
      <c r="D1681" s="0" t="n">
        <v>2.85541431666667</v>
      </c>
    </row>
    <row r="1682">
      <c r="A1682" s="0" t="inlineStr">
        <is>
          <t>DEEP1M</t>
        </is>
      </c>
      <c r="B1682" s="0" t="inlineStr">
        <is>
          <t>I34</t>
        </is>
      </c>
      <c r="C1682" s="0" t="inlineStr">
        <is>
          <t>I37</t>
        </is>
      </c>
      <c r="D1682" s="0" t="n">
        <v>3.25884446666667</v>
      </c>
    </row>
    <row r="1683">
      <c r="A1683" s="0" t="inlineStr">
        <is>
          <t>DEEP1M</t>
        </is>
      </c>
      <c r="B1683" s="0" t="inlineStr">
        <is>
          <t>J34</t>
        </is>
      </c>
      <c r="C1683" s="0" t="inlineStr">
        <is>
          <t>J37</t>
        </is>
      </c>
      <c r="D1683" s="0" t="n">
        <v>3.99739765</v>
      </c>
    </row>
    <row r="1684">
      <c r="A1684" s="0" t="inlineStr">
        <is>
          <t>DEEP1M</t>
        </is>
      </c>
      <c r="B1684" s="0" t="inlineStr">
        <is>
          <t>K34</t>
        </is>
      </c>
      <c r="C1684" s="0" t="inlineStr">
        <is>
          <t>K37</t>
        </is>
      </c>
      <c r="D1684" s="0" t="n">
        <v>3.99739765</v>
      </c>
    </row>
    <row r="1685">
      <c r="A1685" s="0" t="inlineStr">
        <is>
          <t>DEEP1M</t>
        </is>
      </c>
      <c r="B1685" s="0" t="inlineStr">
        <is>
          <t>L34</t>
        </is>
      </c>
      <c r="C1685" s="0" t="inlineStr">
        <is>
          <t>L37</t>
        </is>
      </c>
      <c r="D1685" s="0" t="n">
        <v>5.16082628333333</v>
      </c>
    </row>
    <row r="1686">
      <c r="A1686" s="0" t="inlineStr">
        <is>
          <t>DEEP1M</t>
        </is>
      </c>
      <c r="B1686" s="0" t="inlineStr">
        <is>
          <t>M34</t>
        </is>
      </c>
      <c r="C1686" s="0" t="inlineStr">
        <is>
          <t>M37</t>
        </is>
      </c>
      <c r="D1686" s="0" t="n">
        <v>6.1193687</v>
      </c>
    </row>
    <row r="1687">
      <c r="A1687" s="0" t="inlineStr">
        <is>
          <t>DEEP1M</t>
        </is>
      </c>
      <c r="B1687" s="0" t="inlineStr">
        <is>
          <t>N34</t>
        </is>
      </c>
      <c r="C1687" s="0" t="inlineStr">
        <is>
          <t>N37</t>
        </is>
      </c>
      <c r="D1687" s="0" t="n">
        <v>6.1193687</v>
      </c>
    </row>
    <row r="1688">
      <c r="A1688" s="0" t="inlineStr">
        <is>
          <t>DEEP1M</t>
        </is>
      </c>
      <c r="B1688" s="0" t="inlineStr">
        <is>
          <t>O34</t>
        </is>
      </c>
      <c r="C1688" s="0" t="inlineStr">
        <is>
          <t>O37</t>
        </is>
      </c>
      <c r="D1688" s="0" t="n">
        <v>7.86179926666667</v>
      </c>
    </row>
    <row r="1689">
      <c r="A1689" s="0" t="inlineStr">
        <is>
          <t>DEEP1M</t>
        </is>
      </c>
      <c r="B1689" s="0" t="inlineStr">
        <is>
          <t>P34</t>
        </is>
      </c>
      <c r="C1689" s="0" t="inlineStr">
        <is>
          <t>P37</t>
        </is>
      </c>
      <c r="D1689" s="0" t="n">
        <v>9.4468192</v>
      </c>
    </row>
    <row r="1690">
      <c r="A1690" s="0" t="inlineStr">
        <is>
          <t>DEEP1M</t>
        </is>
      </c>
      <c r="B1690" s="0" t="inlineStr">
        <is>
          <t>E35</t>
        </is>
      </c>
      <c r="C1690" s="0" t="inlineStr">
        <is>
          <t>E40</t>
        </is>
      </c>
      <c r="D1690" s="0" t="inlineStr">
        <is>
          <t>Target Recall (%)</t>
        </is>
      </c>
    </row>
    <row r="1691">
      <c r="A1691" s="0" t="inlineStr">
        <is>
          <t>DEEP1M</t>
        </is>
      </c>
      <c r="B1691" s="0" t="inlineStr">
        <is>
          <t>F35</t>
        </is>
      </c>
      <c r="C1691" s="0" t="inlineStr">
        <is>
          <t>F40</t>
        </is>
      </c>
      <c r="D1691" s="0" t="n">
        <v>60</v>
      </c>
    </row>
    <row r="1692">
      <c r="A1692" s="0" t="inlineStr">
        <is>
          <t>DEEP1M</t>
        </is>
      </c>
      <c r="B1692" s="0" t="inlineStr">
        <is>
          <t>G35</t>
        </is>
      </c>
      <c r="C1692" s="0" t="inlineStr">
        <is>
          <t>G40</t>
        </is>
      </c>
      <c r="D1692" s="0" t="n">
        <v>65</v>
      </c>
    </row>
    <row r="1693">
      <c r="A1693" s="0" t="inlineStr">
        <is>
          <t>DEEP1M</t>
        </is>
      </c>
      <c r="B1693" s="0" t="inlineStr">
        <is>
          <t>H35</t>
        </is>
      </c>
      <c r="C1693" s="0" t="inlineStr">
        <is>
          <t>H40</t>
        </is>
      </c>
      <c r="D1693" s="0" t="n">
        <v>70</v>
      </c>
    </row>
    <row r="1694">
      <c r="A1694" s="0" t="inlineStr">
        <is>
          <t>DEEP1M</t>
        </is>
      </c>
      <c r="B1694" s="0" t="inlineStr">
        <is>
          <t>I35</t>
        </is>
      </c>
      <c r="C1694" s="0" t="inlineStr">
        <is>
          <t>I40</t>
        </is>
      </c>
      <c r="D1694" s="0" t="n">
        <v>75</v>
      </c>
    </row>
    <row r="1695">
      <c r="A1695" s="0" t="inlineStr">
        <is>
          <t>DEEP1M</t>
        </is>
      </c>
      <c r="B1695" s="0" t="inlineStr">
        <is>
          <t>J35</t>
        </is>
      </c>
      <c r="C1695" s="0" t="inlineStr">
        <is>
          <t>J40</t>
        </is>
      </c>
      <c r="D1695" s="0" t="n">
        <v>80</v>
      </c>
    </row>
    <row r="1696">
      <c r="A1696" s="0" t="inlineStr">
        <is>
          <t>DEEP1M</t>
        </is>
      </c>
      <c r="B1696" s="0" t="inlineStr">
        <is>
          <t>K35</t>
        </is>
      </c>
      <c r="C1696" s="0" t="inlineStr">
        <is>
          <t>K40</t>
        </is>
      </c>
      <c r="D1696" s="0" t="n">
        <v>85</v>
      </c>
    </row>
    <row r="1697">
      <c r="A1697" s="0" t="inlineStr">
        <is>
          <t>DEEP1M</t>
        </is>
      </c>
      <c r="B1697" s="0" t="inlineStr">
        <is>
          <t>L35</t>
        </is>
      </c>
      <c r="C1697" s="0" t="inlineStr">
        <is>
          <t>L40</t>
        </is>
      </c>
      <c r="D1697" s="0" t="n">
        <v>90</v>
      </c>
    </row>
    <row r="1698">
      <c r="A1698" s="0" t="inlineStr">
        <is>
          <t>DEEP1M</t>
        </is>
      </c>
      <c r="B1698" s="0" t="inlineStr">
        <is>
          <t>M35</t>
        </is>
      </c>
      <c r="C1698" s="0" t="inlineStr">
        <is>
          <t>M40</t>
        </is>
      </c>
      <c r="D1698" s="0" t="n">
        <v>95</v>
      </c>
    </row>
    <row r="1699">
      <c r="A1699" s="0" t="inlineStr">
        <is>
          <t>DEEP1M</t>
        </is>
      </c>
      <c r="B1699" s="0" t="inlineStr">
        <is>
          <t>N35</t>
        </is>
      </c>
      <c r="C1699" s="0" t="inlineStr">
        <is>
          <t>N40</t>
        </is>
      </c>
      <c r="D1699" s="0" t="n">
        <v>97</v>
      </c>
    </row>
    <row r="1700">
      <c r="A1700" s="0" t="inlineStr">
        <is>
          <t>DEEP1M</t>
        </is>
      </c>
      <c r="B1700" s="0" t="inlineStr">
        <is>
          <t>O35</t>
        </is>
      </c>
      <c r="C1700" s="0" t="inlineStr">
        <is>
          <t>O40</t>
        </is>
      </c>
      <c r="D1700" s="0" t="n">
        <v>98</v>
      </c>
    </row>
    <row r="1701">
      <c r="A1701" s="0" t="inlineStr">
        <is>
          <t>DEEP1M</t>
        </is>
      </c>
      <c r="B1701" s="0" t="inlineStr">
        <is>
          <t>P35</t>
        </is>
      </c>
      <c r="C1701" s="0" t="inlineStr">
        <is>
          <t>P40</t>
        </is>
      </c>
      <c r="D1701" s="0" t="n">
        <v>99</v>
      </c>
    </row>
    <row r="1702">
      <c r="A1702" s="0" t="inlineStr">
        <is>
          <t>DEEP1M</t>
        </is>
      </c>
      <c r="B1702" s="0" t="inlineStr">
        <is>
          <t>E36</t>
        </is>
      </c>
      <c r="C1702" s="0" t="inlineStr">
        <is>
          <t>E41</t>
        </is>
      </c>
      <c r="D1702" s="0" t="inlineStr">
        <is>
          <t>Recall@10 (change parameters enabling different recall rate) vs. query time</t>
        </is>
      </c>
    </row>
    <row r="1703">
      <c r="A1703" s="0" t="inlineStr">
        <is>
          <t>DEEP1M</t>
        </is>
      </c>
      <c r="B1703" s="0" t="inlineStr">
        <is>
          <t>D38</t>
        </is>
      </c>
      <c r="C1703" s="0" t="inlineStr">
        <is>
          <t>D43</t>
        </is>
      </c>
      <c r="D1703" s="0" t="inlineStr">
        <is>
          <t>DEEP1M (N=1,000,000, d=96)</t>
        </is>
      </c>
    </row>
    <row r="1704">
      <c r="A1704" s="0" t="inlineStr">
        <is>
          <t>DEEP1M</t>
        </is>
      </c>
      <c r="B1704" s="0" t="inlineStr">
        <is>
          <t>D39</t>
        </is>
      </c>
      <c r="C1704" s="0" t="inlineStr">
        <is>
          <t>D44</t>
        </is>
      </c>
      <c r="D1704" s="0" t="inlineStr">
        <is>
          <t>VLAH</t>
        </is>
      </c>
    </row>
    <row r="1705">
      <c r="A1705" s="0" t="inlineStr">
        <is>
          <t>DEEP1M</t>
        </is>
      </c>
      <c r="B1705" s="0" t="inlineStr">
        <is>
          <t>E39</t>
        </is>
      </c>
      <c r="C1705" s="0" t="inlineStr">
        <is>
          <t>E44</t>
        </is>
      </c>
      <c r="D1705" s="0" t="inlineStr">
        <is>
          <t>Recall rate</t>
        </is>
      </c>
    </row>
    <row r="1706">
      <c r="A1706" s="0" t="inlineStr">
        <is>
          <t>DEEP1M</t>
        </is>
      </c>
      <c r="B1706" s="0" t="inlineStr">
        <is>
          <t>F39</t>
        </is>
      </c>
      <c r="C1706" s="0" t="inlineStr">
        <is>
          <t>F44</t>
        </is>
      </c>
      <c r="D1706" s="0" t="n">
        <v>60.5</v>
      </c>
    </row>
    <row r="1707">
      <c r="A1707" s="0" t="inlineStr">
        <is>
          <t>DEEP1M</t>
        </is>
      </c>
      <c r="B1707" s="0" t="inlineStr">
        <is>
          <t>G39</t>
        </is>
      </c>
      <c r="C1707" s="0" t="inlineStr">
        <is>
          <t>G44</t>
        </is>
      </c>
      <c r="D1707" s="0" t="n">
        <v>65.5</v>
      </c>
    </row>
    <row r="1708">
      <c r="A1708" s="0" t="inlineStr">
        <is>
          <t>DEEP1M</t>
        </is>
      </c>
      <c r="B1708" s="0" t="inlineStr">
        <is>
          <t>H39</t>
        </is>
      </c>
      <c r="C1708" s="0" t="inlineStr">
        <is>
          <t>H44</t>
        </is>
      </c>
      <c r="D1708" s="0" t="n">
        <v>71</v>
      </c>
    </row>
    <row r="1709">
      <c r="A1709" s="0" t="inlineStr">
        <is>
          <t>DEEP1M</t>
        </is>
      </c>
      <c r="B1709" s="0" t="inlineStr">
        <is>
          <t>I39</t>
        </is>
      </c>
      <c r="C1709" s="0" t="inlineStr">
        <is>
          <t>I44</t>
        </is>
      </c>
      <c r="D1709" s="0" t="n">
        <v>75.5</v>
      </c>
    </row>
    <row r="1710">
      <c r="A1710" s="0" t="inlineStr">
        <is>
          <t>DEEP1M</t>
        </is>
      </c>
      <c r="B1710" s="0" t="inlineStr">
        <is>
          <t>J39</t>
        </is>
      </c>
      <c r="C1710" s="0" t="inlineStr">
        <is>
          <t>J44</t>
        </is>
      </c>
      <c r="D1710" s="0" t="n">
        <v>81.5</v>
      </c>
    </row>
    <row r="1711">
      <c r="A1711" s="0" t="inlineStr">
        <is>
          <t>DEEP1M</t>
        </is>
      </c>
      <c r="B1711" s="0" t="inlineStr">
        <is>
          <t>K39</t>
        </is>
      </c>
      <c r="C1711" s="0" t="inlineStr">
        <is>
          <t>K44</t>
        </is>
      </c>
      <c r="D1711" s="0" t="n">
        <v>86</v>
      </c>
    </row>
    <row r="1712">
      <c r="A1712" s="0" t="inlineStr">
        <is>
          <t>DEEP1M</t>
        </is>
      </c>
      <c r="B1712" s="0" t="inlineStr">
        <is>
          <t>L39</t>
        </is>
      </c>
      <c r="C1712" s="0" t="inlineStr">
        <is>
          <t>L44</t>
        </is>
      </c>
      <c r="D1712" s="0" t="n">
        <v>90</v>
      </c>
    </row>
    <row r="1713">
      <c r="A1713" s="0" t="inlineStr">
        <is>
          <t>DEEP1M</t>
        </is>
      </c>
      <c r="B1713" s="0" t="inlineStr">
        <is>
          <t>M39</t>
        </is>
      </c>
      <c r="C1713" s="0" t="inlineStr">
        <is>
          <t>M44</t>
        </is>
      </c>
      <c r="D1713" s="0" t="n">
        <v>95</v>
      </c>
    </row>
    <row r="1714">
      <c r="A1714" s="0" t="inlineStr">
        <is>
          <t>DEEP1M</t>
        </is>
      </c>
      <c r="B1714" s="0" t="inlineStr">
        <is>
          <t>N39</t>
        </is>
      </c>
      <c r="C1714" s="0" t="inlineStr">
        <is>
          <t>N44</t>
        </is>
      </c>
      <c r="D1714" s="0" t="n">
        <v>98</v>
      </c>
    </row>
    <row r="1715">
      <c r="A1715" s="0" t="inlineStr">
        <is>
          <t>DEEP1M</t>
        </is>
      </c>
      <c r="B1715" s="0" t="inlineStr">
        <is>
          <t>O39</t>
        </is>
      </c>
      <c r="C1715" s="0" t="inlineStr">
        <is>
          <t>O44</t>
        </is>
      </c>
      <c r="D1715" s="0" t="n">
        <v>98</v>
      </c>
    </row>
    <row r="1716">
      <c r="A1716" s="0" t="inlineStr">
        <is>
          <t>DEEP1M</t>
        </is>
      </c>
      <c r="B1716" s="0" t="inlineStr">
        <is>
          <t>P39</t>
        </is>
      </c>
      <c r="C1716" s="0" t="inlineStr">
        <is>
          <t>P44</t>
        </is>
      </c>
      <c r="D1716" s="0" t="n">
        <v>99</v>
      </c>
    </row>
    <row r="1717">
      <c r="A1717" s="0" t="inlineStr">
        <is>
          <t>DEEP1M</t>
        </is>
      </c>
      <c r="B1717" s="0" t="inlineStr">
        <is>
          <t>E40</t>
        </is>
      </c>
      <c r="C1717" s="0" t="inlineStr">
        <is>
          <t>E45</t>
        </is>
      </c>
      <c r="D1717" s="0" t="inlineStr">
        <is>
          <t>query time</t>
        </is>
      </c>
    </row>
    <row r="1718">
      <c r="A1718" s="0" t="inlineStr">
        <is>
          <t>DEEP1M</t>
        </is>
      </c>
      <c r="B1718" s="0" t="inlineStr">
        <is>
          <t>F40</t>
        </is>
      </c>
      <c r="C1718" s="0" t="inlineStr">
        <is>
          <t>F45</t>
        </is>
      </c>
      <c r="D1718" s="0" t="n">
        <v>19.13366525</v>
      </c>
    </row>
    <row r="1719">
      <c r="A1719" s="0" t="inlineStr">
        <is>
          <t>DEEP1M</t>
        </is>
      </c>
      <c r="B1719" s="0" t="inlineStr">
        <is>
          <t>G40</t>
        </is>
      </c>
      <c r="C1719" s="0" t="inlineStr">
        <is>
          <t>G45</t>
        </is>
      </c>
      <c r="D1719" s="0" t="n">
        <v>25.5380965</v>
      </c>
    </row>
    <row r="1720">
      <c r="A1720" s="0" t="inlineStr">
        <is>
          <t>DEEP1M</t>
        </is>
      </c>
      <c r="B1720" s="0" t="inlineStr">
        <is>
          <t>H40</t>
        </is>
      </c>
      <c r="C1720" s="0" t="inlineStr">
        <is>
          <t>H45</t>
        </is>
      </c>
      <c r="D1720" s="0" t="n">
        <v>39.99110205</v>
      </c>
    </row>
    <row r="1721">
      <c r="A1721" s="0" t="inlineStr">
        <is>
          <t>DEEP1M</t>
        </is>
      </c>
      <c r="B1721" s="0" t="inlineStr">
        <is>
          <t>I40</t>
        </is>
      </c>
      <c r="C1721" s="0" t="inlineStr">
        <is>
          <t>I45</t>
        </is>
      </c>
      <c r="D1721" s="0" t="n">
        <v>44.5284999666667</v>
      </c>
    </row>
    <row r="1722">
      <c r="A1722" s="0" t="inlineStr">
        <is>
          <t>DEEP1M</t>
        </is>
      </c>
      <c r="B1722" s="0" t="inlineStr">
        <is>
          <t>J40</t>
        </is>
      </c>
      <c r="C1722" s="0" t="inlineStr">
        <is>
          <t>J45</t>
        </is>
      </c>
      <c r="D1722" s="0" t="n">
        <v>55.1920517166667</v>
      </c>
    </row>
    <row r="1723">
      <c r="A1723" s="0" t="inlineStr">
        <is>
          <t>DEEP1M</t>
        </is>
      </c>
      <c r="B1723" s="0" t="inlineStr">
        <is>
          <t>K40</t>
        </is>
      </c>
      <c r="C1723" s="0" t="inlineStr">
        <is>
          <t>K45</t>
        </is>
      </c>
      <c r="D1723" s="0" t="n">
        <v>70.88948418333329</v>
      </c>
    </row>
    <row r="1724">
      <c r="A1724" s="0" t="inlineStr">
        <is>
          <t>DEEP1M</t>
        </is>
      </c>
      <c r="B1724" s="0" t="inlineStr">
        <is>
          <t>L40</t>
        </is>
      </c>
      <c r="C1724" s="0" t="inlineStr">
        <is>
          <t>L45</t>
        </is>
      </c>
      <c r="D1724" s="0" t="n">
        <v>90.9629803833333</v>
      </c>
    </row>
    <row r="1725">
      <c r="A1725" s="0" t="inlineStr">
        <is>
          <t>DEEP1M</t>
        </is>
      </c>
      <c r="B1725" s="0" t="inlineStr">
        <is>
          <t>M40</t>
        </is>
      </c>
      <c r="C1725" s="0" t="inlineStr">
        <is>
          <t>M45</t>
        </is>
      </c>
      <c r="D1725" s="0" t="n">
        <v>106.513872866667</v>
      </c>
    </row>
    <row r="1726">
      <c r="A1726" s="0" t="inlineStr">
        <is>
          <t>DEEP1M</t>
        </is>
      </c>
      <c r="B1726" s="0" t="inlineStr">
        <is>
          <t>N40</t>
        </is>
      </c>
      <c r="C1726" s="0" t="inlineStr">
        <is>
          <t>N45</t>
        </is>
      </c>
      <c r="D1726" s="0" t="n">
        <v>117.3229633</v>
      </c>
    </row>
    <row r="1727">
      <c r="A1727" s="0" t="inlineStr">
        <is>
          <t>DEEP1M</t>
        </is>
      </c>
      <c r="B1727" s="0" t="inlineStr">
        <is>
          <t>O40</t>
        </is>
      </c>
      <c r="C1727" s="0" t="inlineStr">
        <is>
          <t>O45</t>
        </is>
      </c>
      <c r="D1727" s="0" t="n">
        <v>117.3229633</v>
      </c>
    </row>
    <row r="1728">
      <c r="A1728" s="0" t="inlineStr">
        <is>
          <t>DEEP1M</t>
        </is>
      </c>
      <c r="B1728" s="0" t="inlineStr">
        <is>
          <t>P40</t>
        </is>
      </c>
      <c r="C1728" s="0" t="inlineStr">
        <is>
          <t>P45</t>
        </is>
      </c>
      <c r="D1728" s="0" t="n">
        <v>120.407316883333</v>
      </c>
    </row>
    <row r="1729">
      <c r="A1729" s="0" t="inlineStr">
        <is>
          <t>DEEP1M</t>
        </is>
      </c>
      <c r="B1729" s="0" t="inlineStr">
        <is>
          <t>D41</t>
        </is>
      </c>
      <c r="C1729" s="0" t="inlineStr">
        <is>
          <t>D46</t>
        </is>
      </c>
      <c r="D1729" s="0" t="inlineStr">
        <is>
          <t>ANNProof</t>
        </is>
      </c>
    </row>
    <row r="1730">
      <c r="A1730" s="0" t="inlineStr">
        <is>
          <t>DEEP1M</t>
        </is>
      </c>
      <c r="B1730" s="0" t="inlineStr">
        <is>
          <t>E41</t>
        </is>
      </c>
      <c r="C1730" s="0" t="inlineStr">
        <is>
          <t>E46</t>
        </is>
      </c>
      <c r="D1730" s="0" t="inlineStr">
        <is>
          <t>Recall rate</t>
        </is>
      </c>
    </row>
    <row r="1731">
      <c r="A1731" s="0" t="inlineStr">
        <is>
          <t>DEEP1M</t>
        </is>
      </c>
      <c r="B1731" s="0" t="inlineStr">
        <is>
          <t>F41</t>
        </is>
      </c>
      <c r="C1731" s="0" t="inlineStr">
        <is>
          <t>F46</t>
        </is>
      </c>
      <c r="D1731" s="0" t="n">
        <v>71</v>
      </c>
    </row>
    <row r="1732">
      <c r="A1732" s="0" t="inlineStr">
        <is>
          <t>DEEP1M</t>
        </is>
      </c>
      <c r="B1732" s="0" t="inlineStr">
        <is>
          <t>G41</t>
        </is>
      </c>
      <c r="C1732" s="0" t="inlineStr">
        <is>
          <t>G46</t>
        </is>
      </c>
      <c r="D1732" s="0" t="n">
        <v>71</v>
      </c>
    </row>
    <row r="1733">
      <c r="A1733" s="0" t="inlineStr">
        <is>
          <t>DEEP1M</t>
        </is>
      </c>
      <c r="B1733" s="0" t="inlineStr">
        <is>
          <t>H41</t>
        </is>
      </c>
      <c r="C1733" s="0" t="inlineStr">
        <is>
          <t>H46</t>
        </is>
      </c>
      <c r="D1733" s="0" t="n">
        <v>71</v>
      </c>
    </row>
    <row r="1734">
      <c r="A1734" s="0" t="inlineStr">
        <is>
          <t>DEEP1M</t>
        </is>
      </c>
      <c r="B1734" s="0" t="inlineStr">
        <is>
          <t>I41</t>
        </is>
      </c>
      <c r="C1734" s="0" t="inlineStr">
        <is>
          <t>I46</t>
        </is>
      </c>
      <c r="D1734" s="0" t="n">
        <v>78</v>
      </c>
    </row>
    <row r="1735">
      <c r="A1735" s="0" t="inlineStr">
        <is>
          <t>DEEP1M</t>
        </is>
      </c>
      <c r="B1735" s="0" t="inlineStr">
        <is>
          <t>J41</t>
        </is>
      </c>
      <c r="C1735" s="0" t="inlineStr">
        <is>
          <t>J46</t>
        </is>
      </c>
      <c r="D1735" s="0" t="n">
        <v>82.5</v>
      </c>
    </row>
    <row r="1736">
      <c r="A1736" s="0" t="inlineStr">
        <is>
          <t>DEEP1M</t>
        </is>
      </c>
      <c r="B1736" s="0" t="inlineStr">
        <is>
          <t>K41</t>
        </is>
      </c>
      <c r="C1736" s="0" t="inlineStr">
        <is>
          <t>K46</t>
        </is>
      </c>
      <c r="D1736" s="0" t="n">
        <v>86.5</v>
      </c>
    </row>
    <row r="1737">
      <c r="A1737" s="0" t="inlineStr">
        <is>
          <t>DEEP1M</t>
        </is>
      </c>
      <c r="B1737" s="0" t="inlineStr">
        <is>
          <t>L41</t>
        </is>
      </c>
      <c r="C1737" s="0" t="inlineStr">
        <is>
          <t>L46</t>
        </is>
      </c>
      <c r="D1737" s="0" t="n">
        <v>94.5</v>
      </c>
    </row>
    <row r="1738">
      <c r="A1738" s="0" t="inlineStr">
        <is>
          <t>DEEP1M</t>
        </is>
      </c>
      <c r="B1738" s="0" t="inlineStr">
        <is>
          <t>M41</t>
        </is>
      </c>
      <c r="C1738" s="0" t="inlineStr">
        <is>
          <t>M46</t>
        </is>
      </c>
      <c r="D1738" s="0" t="n">
        <v>97.5</v>
      </c>
    </row>
    <row r="1739">
      <c r="A1739" s="0" t="inlineStr">
        <is>
          <t>DEEP1M</t>
        </is>
      </c>
      <c r="B1739" s="0" t="inlineStr">
        <is>
          <t>N41</t>
        </is>
      </c>
      <c r="C1739" s="0" t="inlineStr">
        <is>
          <t>N46</t>
        </is>
      </c>
      <c r="D1739" s="0" t="n">
        <v>97.5</v>
      </c>
    </row>
    <row r="1740">
      <c r="A1740" s="0" t="inlineStr">
        <is>
          <t>DEEP1M</t>
        </is>
      </c>
      <c r="B1740" s="0" t="inlineStr">
        <is>
          <t>O41</t>
        </is>
      </c>
      <c r="C1740" s="0" t="inlineStr">
        <is>
          <t>O46</t>
        </is>
      </c>
      <c r="D1740" s="0" t="n">
        <v>99.5</v>
      </c>
    </row>
    <row r="1741">
      <c r="A1741" s="0" t="inlineStr">
        <is>
          <t>DEEP1M</t>
        </is>
      </c>
      <c r="B1741" s="0" t="inlineStr">
        <is>
          <t>P41</t>
        </is>
      </c>
      <c r="C1741" s="0" t="inlineStr">
        <is>
          <t>P46</t>
        </is>
      </c>
      <c r="D1741" s="0" t="n">
        <v>99.5</v>
      </c>
    </row>
    <row r="1742">
      <c r="A1742" s="0" t="inlineStr">
        <is>
          <t>DEEP1M</t>
        </is>
      </c>
      <c r="B1742" s="0" t="inlineStr">
        <is>
          <t>E42</t>
        </is>
      </c>
      <c r="C1742" s="0" t="inlineStr">
        <is>
          <t>E47</t>
        </is>
      </c>
      <c r="D1742" s="0" t="inlineStr">
        <is>
          <t>query time</t>
        </is>
      </c>
    </row>
    <row r="1743">
      <c r="A1743" s="0" t="inlineStr">
        <is>
          <t>DEEP1M</t>
        </is>
      </c>
      <c r="B1743" s="0" t="inlineStr">
        <is>
          <t>F42</t>
        </is>
      </c>
      <c r="C1743" s="0" t="inlineStr">
        <is>
          <t>F47</t>
        </is>
      </c>
      <c r="D1743" s="0" t="n">
        <v>0.9670758</v>
      </c>
    </row>
    <row r="1744">
      <c r="A1744" s="0" t="inlineStr">
        <is>
          <t>DEEP1M</t>
        </is>
      </c>
      <c r="B1744" s="0" t="inlineStr">
        <is>
          <t>G42</t>
        </is>
      </c>
      <c r="C1744" s="0" t="inlineStr">
        <is>
          <t>G47</t>
        </is>
      </c>
      <c r="D1744" s="0" t="n">
        <v>0.9670758</v>
      </c>
    </row>
    <row r="1745">
      <c r="A1745" s="0" t="inlineStr">
        <is>
          <t>DEEP1M</t>
        </is>
      </c>
      <c r="B1745" s="0" t="inlineStr">
        <is>
          <t>H42</t>
        </is>
      </c>
      <c r="C1745" s="0" t="inlineStr">
        <is>
          <t>H47</t>
        </is>
      </c>
      <c r="D1745" s="0" t="n">
        <v>0.9670758</v>
      </c>
    </row>
    <row r="1746">
      <c r="A1746" s="0" t="inlineStr">
        <is>
          <t>DEEP1M</t>
        </is>
      </c>
      <c r="B1746" s="0" t="inlineStr">
        <is>
          <t>I42</t>
        </is>
      </c>
      <c r="C1746" s="0" t="inlineStr">
        <is>
          <t>I47</t>
        </is>
      </c>
      <c r="D1746" s="0" t="n">
        <v>1.19571215</v>
      </c>
    </row>
    <row r="1747">
      <c r="A1747" s="0" t="inlineStr">
        <is>
          <t>DEEP1M</t>
        </is>
      </c>
      <c r="B1747" s="0" t="inlineStr">
        <is>
          <t>J42</t>
        </is>
      </c>
      <c r="C1747" s="0" t="inlineStr">
        <is>
          <t>J47</t>
        </is>
      </c>
      <c r="D1747" s="0" t="n">
        <v>1.34739523333333</v>
      </c>
    </row>
    <row r="1748">
      <c r="A1748" s="0" t="inlineStr">
        <is>
          <t>DEEP1M</t>
        </is>
      </c>
      <c r="B1748" s="0" t="inlineStr">
        <is>
          <t>K42</t>
        </is>
      </c>
      <c r="C1748" s="0" t="inlineStr">
        <is>
          <t>K47</t>
        </is>
      </c>
      <c r="D1748" s="0" t="n">
        <v>1.5069473</v>
      </c>
    </row>
    <row r="1749">
      <c r="A1749" s="0" t="inlineStr">
        <is>
          <t>DEEP1M</t>
        </is>
      </c>
      <c r="B1749" s="0" t="inlineStr">
        <is>
          <t>L42</t>
        </is>
      </c>
      <c r="C1749" s="0" t="inlineStr">
        <is>
          <t>L47</t>
        </is>
      </c>
      <c r="D1749" s="0" t="n">
        <v>2.6137277</v>
      </c>
    </row>
    <row r="1750">
      <c r="A1750" s="0" t="inlineStr">
        <is>
          <t>DEEP1M</t>
        </is>
      </c>
      <c r="B1750" s="0" t="inlineStr">
        <is>
          <t>M42</t>
        </is>
      </c>
      <c r="C1750" s="0" t="inlineStr">
        <is>
          <t>M47</t>
        </is>
      </c>
      <c r="D1750" s="0" t="n">
        <v>3.15865693333333</v>
      </c>
    </row>
    <row r="1751">
      <c r="A1751" s="0" t="inlineStr">
        <is>
          <t>DEEP1M</t>
        </is>
      </c>
      <c r="B1751" s="0" t="inlineStr">
        <is>
          <t>N42</t>
        </is>
      </c>
      <c r="C1751" s="0" t="inlineStr">
        <is>
          <t>N47</t>
        </is>
      </c>
      <c r="D1751" s="0" t="n">
        <v>3.15865693333333</v>
      </c>
    </row>
    <row r="1752">
      <c r="A1752" s="0" t="inlineStr">
        <is>
          <t>DEEP1M</t>
        </is>
      </c>
      <c r="B1752" s="0" t="inlineStr">
        <is>
          <t>O42</t>
        </is>
      </c>
      <c r="C1752" s="0" t="inlineStr">
        <is>
          <t>O47</t>
        </is>
      </c>
      <c r="D1752" s="0" t="n">
        <v>4.2914665</v>
      </c>
    </row>
    <row r="1753">
      <c r="A1753" s="0" t="inlineStr">
        <is>
          <t>DEEP1M</t>
        </is>
      </c>
      <c r="B1753" s="0" t="inlineStr">
        <is>
          <t>P42</t>
        </is>
      </c>
      <c r="C1753" s="0" t="inlineStr">
        <is>
          <t>P47</t>
        </is>
      </c>
      <c r="D1753" s="0" t="n">
        <v>4.2914665</v>
      </c>
    </row>
    <row r="1754">
      <c r="A1754" s="0" t="inlineStr">
        <is>
          <t>DEEP1M</t>
        </is>
      </c>
      <c r="B1754" s="0" t="inlineStr">
        <is>
          <t>D43</t>
        </is>
      </c>
      <c r="C1754" s="0" t="inlineStr">
        <is>
          <t>D48</t>
        </is>
      </c>
      <c r="D1754" s="0" t="inlineStr">
        <is>
          <t>Ours</t>
        </is>
      </c>
    </row>
    <row r="1755">
      <c r="A1755" s="0" t="inlineStr">
        <is>
          <t>DEEP1M</t>
        </is>
      </c>
      <c r="B1755" s="0" t="inlineStr">
        <is>
          <t>E43</t>
        </is>
      </c>
      <c r="C1755" s="0" t="inlineStr">
        <is>
          <t>E48</t>
        </is>
      </c>
      <c r="D1755" s="0" t="inlineStr">
        <is>
          <t>Recall rate</t>
        </is>
      </c>
    </row>
    <row r="1756">
      <c r="A1756" s="0" t="inlineStr">
        <is>
          <t>DEEP1M</t>
        </is>
      </c>
      <c r="B1756" s="0" t="inlineStr">
        <is>
          <t>F43</t>
        </is>
      </c>
      <c r="C1756" s="0" t="inlineStr">
        <is>
          <t>F48</t>
        </is>
      </c>
      <c r="D1756" s="0" t="n">
        <v>61.5</v>
      </c>
    </row>
    <row r="1757">
      <c r="A1757" s="0" t="inlineStr">
        <is>
          <t>DEEP1M</t>
        </is>
      </c>
      <c r="B1757" s="0" t="inlineStr">
        <is>
          <t>G43</t>
        </is>
      </c>
      <c r="C1757" s="0" t="inlineStr">
        <is>
          <t>G48</t>
        </is>
      </c>
      <c r="D1757" s="0" t="n">
        <v>73.5</v>
      </c>
    </row>
    <row r="1758">
      <c r="A1758" s="0" t="inlineStr">
        <is>
          <t>DEEP1M</t>
        </is>
      </c>
      <c r="B1758" s="0" t="inlineStr">
        <is>
          <t>H43</t>
        </is>
      </c>
      <c r="C1758" s="0" t="inlineStr">
        <is>
          <t>H48</t>
        </is>
      </c>
      <c r="D1758" s="0" t="n">
        <v>73.5</v>
      </c>
    </row>
    <row r="1759">
      <c r="A1759" s="0" t="inlineStr">
        <is>
          <t>DEEP1M</t>
        </is>
      </c>
      <c r="B1759" s="0" t="inlineStr">
        <is>
          <t>I43</t>
        </is>
      </c>
      <c r="C1759" s="0" t="inlineStr">
        <is>
          <t>I48</t>
        </is>
      </c>
      <c r="D1759" s="0" t="n">
        <v>79</v>
      </c>
    </row>
    <row r="1760">
      <c r="A1760" s="0" t="inlineStr">
        <is>
          <t>DEEP1M</t>
        </is>
      </c>
      <c r="B1760" s="0" t="inlineStr">
        <is>
          <t>J43</t>
        </is>
      </c>
      <c r="C1760" s="0" t="inlineStr">
        <is>
          <t>J48</t>
        </is>
      </c>
      <c r="D1760" s="0" t="n">
        <v>86.5</v>
      </c>
    </row>
    <row r="1761">
      <c r="A1761" s="0" t="inlineStr">
        <is>
          <t>DEEP1M</t>
        </is>
      </c>
      <c r="B1761" s="0" t="inlineStr">
        <is>
          <t>K43</t>
        </is>
      </c>
      <c r="C1761" s="0" t="inlineStr">
        <is>
          <t>K48</t>
        </is>
      </c>
      <c r="D1761" s="0" t="n">
        <v>86.5</v>
      </c>
    </row>
    <row r="1762">
      <c r="A1762" s="0" t="inlineStr">
        <is>
          <t>DEEP1M</t>
        </is>
      </c>
      <c r="B1762" s="0" t="inlineStr">
        <is>
          <t>L43</t>
        </is>
      </c>
      <c r="C1762" s="0" t="inlineStr">
        <is>
          <t>L48</t>
        </is>
      </c>
      <c r="D1762" s="0" t="n">
        <v>94.5</v>
      </c>
    </row>
    <row r="1763">
      <c r="A1763" s="0" t="inlineStr">
        <is>
          <t>DEEP1M</t>
        </is>
      </c>
      <c r="B1763" s="0" t="inlineStr">
        <is>
          <t>M43</t>
        </is>
      </c>
      <c r="C1763" s="0" t="inlineStr">
        <is>
          <t>M48</t>
        </is>
      </c>
      <c r="D1763" s="0" t="n">
        <v>97.5</v>
      </c>
    </row>
    <row r="1764">
      <c r="A1764" s="0" t="inlineStr">
        <is>
          <t>DEEP1M</t>
        </is>
      </c>
      <c r="B1764" s="0" t="inlineStr">
        <is>
          <t>N43</t>
        </is>
      </c>
      <c r="C1764" s="0" t="inlineStr">
        <is>
          <t>N48</t>
        </is>
      </c>
      <c r="D1764" s="0" t="n">
        <v>97.5</v>
      </c>
    </row>
    <row r="1765">
      <c r="A1765" s="0" t="inlineStr">
        <is>
          <t>DEEP1M</t>
        </is>
      </c>
      <c r="B1765" s="0" t="inlineStr">
        <is>
          <t>O43</t>
        </is>
      </c>
      <c r="C1765" s="0" t="inlineStr">
        <is>
          <t>O48</t>
        </is>
      </c>
      <c r="D1765" s="0" t="n">
        <v>98.5</v>
      </c>
    </row>
    <row r="1766">
      <c r="A1766" s="0" t="inlineStr">
        <is>
          <t>DEEP1M</t>
        </is>
      </c>
      <c r="B1766" s="0" t="inlineStr">
        <is>
          <t>P43</t>
        </is>
      </c>
      <c r="C1766" s="0" t="inlineStr">
        <is>
          <t>P48</t>
        </is>
      </c>
      <c r="D1766" s="0" t="n">
        <v>99</v>
      </c>
    </row>
    <row r="1767">
      <c r="A1767" s="0" t="inlineStr">
        <is>
          <t>DEEP1M</t>
        </is>
      </c>
      <c r="B1767" s="0" t="inlineStr">
        <is>
          <t>E44</t>
        </is>
      </c>
      <c r="C1767" s="0" t="inlineStr">
        <is>
          <t>E49</t>
        </is>
      </c>
      <c r="D1767" s="0" t="inlineStr">
        <is>
          <t>query time</t>
        </is>
      </c>
    </row>
    <row r="1768">
      <c r="A1768" s="0" t="inlineStr">
        <is>
          <t>DEEP1M</t>
        </is>
      </c>
      <c r="B1768" s="0" t="inlineStr">
        <is>
          <t>F44</t>
        </is>
      </c>
      <c r="C1768" s="0" t="inlineStr">
        <is>
          <t>F49</t>
        </is>
      </c>
      <c r="D1768" s="0" t="n">
        <v>0.893101083333333</v>
      </c>
    </row>
    <row r="1769">
      <c r="A1769" s="0" t="inlineStr">
        <is>
          <t>DEEP1M</t>
        </is>
      </c>
      <c r="B1769" s="0" t="inlineStr">
        <is>
          <t>G44</t>
        </is>
      </c>
      <c r="C1769" s="0" t="inlineStr">
        <is>
          <t>G49</t>
        </is>
      </c>
      <c r="D1769" s="0" t="n">
        <v>1.08978581666667</v>
      </c>
    </row>
    <row r="1770">
      <c r="A1770" s="0" t="inlineStr">
        <is>
          <t>DEEP1M</t>
        </is>
      </c>
      <c r="B1770" s="0" t="inlineStr">
        <is>
          <t>H44</t>
        </is>
      </c>
      <c r="C1770" s="0" t="inlineStr">
        <is>
          <t>H49</t>
        </is>
      </c>
      <c r="D1770" s="0" t="n">
        <v>1.08978581666667</v>
      </c>
    </row>
    <row r="1771">
      <c r="A1771" s="0" t="inlineStr">
        <is>
          <t>DEEP1M</t>
        </is>
      </c>
      <c r="B1771" s="0" t="inlineStr">
        <is>
          <t>I44</t>
        </is>
      </c>
      <c r="C1771" s="0" t="inlineStr">
        <is>
          <t>I49</t>
        </is>
      </c>
      <c r="D1771" s="0" t="n">
        <v>1.27455556666667</v>
      </c>
    </row>
    <row r="1772">
      <c r="A1772" s="0" t="inlineStr">
        <is>
          <t>DEEP1M</t>
        </is>
      </c>
      <c r="B1772" s="0" t="inlineStr">
        <is>
          <t>J44</t>
        </is>
      </c>
      <c r="C1772" s="0" t="inlineStr">
        <is>
          <t>J49</t>
        </is>
      </c>
      <c r="D1772" s="0" t="n">
        <v>1.57887486666667</v>
      </c>
    </row>
    <row r="1773">
      <c r="A1773" s="0" t="inlineStr">
        <is>
          <t>DEEP1M</t>
        </is>
      </c>
      <c r="B1773" s="0" t="inlineStr">
        <is>
          <t>K44</t>
        </is>
      </c>
      <c r="C1773" s="0" t="inlineStr">
        <is>
          <t>K49</t>
        </is>
      </c>
      <c r="D1773" s="0" t="n">
        <v>1.57887486666667</v>
      </c>
    </row>
    <row r="1774">
      <c r="A1774" s="0" t="inlineStr">
        <is>
          <t>DEEP1M</t>
        </is>
      </c>
      <c r="B1774" s="0" t="inlineStr">
        <is>
          <t>L44</t>
        </is>
      </c>
      <c r="C1774" s="0" t="inlineStr">
        <is>
          <t>L49</t>
        </is>
      </c>
      <c r="D1774" s="0" t="n">
        <v>2.06094483333333</v>
      </c>
    </row>
    <row r="1775">
      <c r="A1775" s="0" t="inlineStr">
        <is>
          <t>DEEP1M</t>
        </is>
      </c>
      <c r="B1775" s="0" t="inlineStr">
        <is>
          <t>M44</t>
        </is>
      </c>
      <c r="C1775" s="0" t="inlineStr">
        <is>
          <t>M49</t>
        </is>
      </c>
      <c r="D1775" s="0" t="n">
        <v>2.5314656</v>
      </c>
    </row>
    <row r="1776">
      <c r="A1776" s="0" t="inlineStr">
        <is>
          <t>DEEP1M</t>
        </is>
      </c>
      <c r="B1776" s="0" t="inlineStr">
        <is>
          <t>N44</t>
        </is>
      </c>
      <c r="C1776" s="0" t="inlineStr">
        <is>
          <t>N49</t>
        </is>
      </c>
      <c r="D1776" s="0" t="n">
        <v>2.5314656</v>
      </c>
    </row>
    <row r="1777">
      <c r="A1777" s="0" t="inlineStr">
        <is>
          <t>DEEP1M</t>
        </is>
      </c>
      <c r="B1777" s="0" t="inlineStr">
        <is>
          <t>O44</t>
        </is>
      </c>
      <c r="C1777" s="0" t="inlineStr">
        <is>
          <t>O49</t>
        </is>
      </c>
      <c r="D1777" s="0" t="n">
        <v>3.40401168333333</v>
      </c>
    </row>
    <row r="1778">
      <c r="A1778" s="0" t="inlineStr">
        <is>
          <t>DEEP1M</t>
        </is>
      </c>
      <c r="B1778" s="0" t="inlineStr">
        <is>
          <t>P44</t>
        </is>
      </c>
      <c r="C1778" s="0" t="inlineStr">
        <is>
          <t>P49</t>
        </is>
      </c>
      <c r="D1778" s="0" t="n">
        <v>4.2387441</v>
      </c>
    </row>
    <row r="1779">
      <c r="A1779" s="0" t="inlineStr">
        <is>
          <t>DEEP1M</t>
        </is>
      </c>
      <c r="B1779" s="0" t="inlineStr">
        <is>
          <t>E50</t>
        </is>
      </c>
      <c r="C1779" s="0" t="inlineStr">
        <is>
          <t>E57</t>
        </is>
      </c>
      <c r="D1779" s="0" t="inlineStr">
        <is>
          <t>Dataset size vs. VO size</t>
        </is>
      </c>
    </row>
    <row r="1780">
      <c r="A1780" s="0" t="inlineStr">
        <is>
          <t>DEEP1M</t>
        </is>
      </c>
      <c r="B1780" s="0" t="inlineStr">
        <is>
          <t>D52</t>
        </is>
      </c>
      <c r="C1780" s="0" t="inlineStr">
        <is>
          <t>D59</t>
        </is>
      </c>
      <c r="D1780" s="0" t="inlineStr">
        <is>
          <t>DEEP1B real prefix subsets: 100K / 500K / 1M / 5M / 10M</t>
        </is>
      </c>
    </row>
    <row r="1781">
      <c r="A1781" s="0" t="inlineStr">
        <is>
          <t>DEEP1M</t>
        </is>
      </c>
      <c r="B1781" s="0" t="inlineStr">
        <is>
          <t>D53</t>
        </is>
      </c>
      <c r="C1781" s="0" t="inlineStr">
        <is>
          <t>D60</t>
        </is>
      </c>
      <c r="D1781" s="0" t="inlineStr">
        <is>
          <t>dataset size</t>
        </is>
      </c>
    </row>
    <row r="1782">
      <c r="A1782" s="0" t="inlineStr">
        <is>
          <t>DEEP1M</t>
        </is>
      </c>
      <c r="B1782" s="0" t="inlineStr">
        <is>
          <t>F53</t>
        </is>
      </c>
      <c r="C1782" s="0" t="inlineStr">
        <is>
          <t>F60</t>
        </is>
      </c>
      <c r="D1782" s="0" t="inlineStr">
        <is>
          <t>10^5</t>
        </is>
      </c>
    </row>
    <row r="1783">
      <c r="A1783" s="0" t="inlineStr">
        <is>
          <t>DEEP1M</t>
        </is>
      </c>
      <c r="B1783" s="0" t="inlineStr">
        <is>
          <t>G53</t>
        </is>
      </c>
      <c r="C1783" s="0" t="inlineStr">
        <is>
          <t>G60</t>
        </is>
      </c>
      <c r="D1783" s="0" t="inlineStr">
        <is>
          <t>5*10^5</t>
        </is>
      </c>
    </row>
    <row r="1784">
      <c r="A1784" s="0" t="inlineStr">
        <is>
          <t>DEEP1M</t>
        </is>
      </c>
      <c r="B1784" s="0" t="inlineStr">
        <is>
          <t>H53</t>
        </is>
      </c>
      <c r="C1784" s="0" t="inlineStr">
        <is>
          <t>H60</t>
        </is>
      </c>
      <c r="D1784" s="0" t="inlineStr">
        <is>
          <t>10^6</t>
        </is>
      </c>
    </row>
    <row r="1785">
      <c r="A1785" s="0" t="inlineStr">
        <is>
          <t>DEEP1M</t>
        </is>
      </c>
      <c r="B1785" s="0" t="inlineStr">
        <is>
          <t>I53</t>
        </is>
      </c>
      <c r="C1785" s="0" t="inlineStr">
        <is>
          <t>I60</t>
        </is>
      </c>
      <c r="D1785" s="0" t="inlineStr">
        <is>
          <t>5*10^6</t>
        </is>
      </c>
    </row>
    <row r="1786">
      <c r="A1786" s="0" t="inlineStr">
        <is>
          <t>DEEP1M</t>
        </is>
      </c>
      <c r="B1786" s="0" t="inlineStr">
        <is>
          <t>J53</t>
        </is>
      </c>
      <c r="C1786" s="0" t="inlineStr">
        <is>
          <t>J60</t>
        </is>
      </c>
      <c r="D1786" s="0" t="inlineStr">
        <is>
          <t>10^7</t>
        </is>
      </c>
    </row>
    <row r="1787">
      <c r="A1787" s="0" t="inlineStr">
        <is>
          <t>DEEP1M</t>
        </is>
      </c>
      <c r="B1787" s="0" t="inlineStr">
        <is>
          <t>D54</t>
        </is>
      </c>
      <c r="C1787" s="0" t="inlineStr">
        <is>
          <t>D61</t>
        </is>
      </c>
      <c r="D1787" s="0" t="inlineStr">
        <is>
          <t>VLAH</t>
        </is>
      </c>
    </row>
    <row r="1788">
      <c r="A1788" s="0" t="inlineStr">
        <is>
          <t>DEEP1M</t>
        </is>
      </c>
      <c r="B1788" s="0" t="inlineStr">
        <is>
          <t>F54</t>
        </is>
      </c>
      <c r="C1788" s="0" t="inlineStr">
        <is>
          <t>F61</t>
        </is>
      </c>
      <c r="D1788" s="0" t="n">
        <v>4406.5916</v>
      </c>
    </row>
    <row r="1789">
      <c r="A1789" s="0" t="inlineStr">
        <is>
          <t>DEEP1M</t>
        </is>
      </c>
      <c r="B1789" s="0" t="inlineStr">
        <is>
          <t>G54</t>
        </is>
      </c>
      <c r="C1789" s="0" t="inlineStr">
        <is>
          <t>G61</t>
        </is>
      </c>
      <c r="D1789" s="0" t="n">
        <v>19154.54795</v>
      </c>
    </row>
    <row r="1790">
      <c r="A1790" s="0" t="inlineStr">
        <is>
          <t>DEEP1M</t>
        </is>
      </c>
      <c r="B1790" s="0" t="inlineStr">
        <is>
          <t>H54</t>
        </is>
      </c>
      <c r="C1790" s="0" t="inlineStr">
        <is>
          <t>H61</t>
        </is>
      </c>
      <c r="D1790" s="0" t="n">
        <v>38322.17155</v>
      </c>
    </row>
    <row r="1791">
      <c r="A1791" s="0" t="inlineStr">
        <is>
          <t>DEEP1M</t>
        </is>
      </c>
      <c r="B1791" s="0" t="inlineStr">
        <is>
          <t>I54</t>
        </is>
      </c>
      <c r="C1791" s="0" t="inlineStr">
        <is>
          <t>I61</t>
        </is>
      </c>
      <c r="D1791" s="0" t="n">
        <v>175090.9835</v>
      </c>
    </row>
    <row r="1792">
      <c r="A1792" s="0" t="inlineStr">
        <is>
          <t>DEEP1M</t>
        </is>
      </c>
      <c r="B1792" s="0" t="inlineStr">
        <is>
          <t>J54</t>
        </is>
      </c>
      <c r="C1792" s="0" t="inlineStr">
        <is>
          <t>J61</t>
        </is>
      </c>
      <c r="D1792" s="0" t="n">
        <v>343751.79415</v>
      </c>
    </row>
    <row r="1793">
      <c r="A1793" s="0" t="inlineStr">
        <is>
          <t>DEEP1M</t>
        </is>
      </c>
      <c r="B1793" s="0" t="inlineStr">
        <is>
          <t>D55</t>
        </is>
      </c>
      <c r="C1793" s="0" t="inlineStr">
        <is>
          <t>D62</t>
        </is>
      </c>
      <c r="D1793" s="0" t="inlineStr">
        <is>
          <t>ANNProof</t>
        </is>
      </c>
    </row>
    <row r="1794">
      <c r="A1794" s="0" t="inlineStr">
        <is>
          <t>DEEP1M</t>
        </is>
      </c>
      <c r="B1794" s="0" t="inlineStr">
        <is>
          <t>F55</t>
        </is>
      </c>
      <c r="C1794" s="0" t="inlineStr">
        <is>
          <t>F62</t>
        </is>
      </c>
      <c r="D1794" s="0" t="n">
        <v>644.186</v>
      </c>
    </row>
    <row r="1795">
      <c r="A1795" s="0" t="inlineStr">
        <is>
          <t>DEEP1M</t>
        </is>
      </c>
      <c r="B1795" s="0" t="inlineStr">
        <is>
          <t>G55</t>
        </is>
      </c>
      <c r="C1795" s="0" t="inlineStr">
        <is>
          <t>G62</t>
        </is>
      </c>
      <c r="D1795" s="0" t="n">
        <v>852.6844</v>
      </c>
    </row>
    <row r="1796">
      <c r="A1796" s="0" t="inlineStr">
        <is>
          <t>DEEP1M</t>
        </is>
      </c>
      <c r="B1796" s="0" t="inlineStr">
        <is>
          <t>H55</t>
        </is>
      </c>
      <c r="C1796" s="0" t="inlineStr">
        <is>
          <t>H62</t>
        </is>
      </c>
      <c r="D1796" s="0" t="n">
        <v>1154.7938</v>
      </c>
    </row>
    <row r="1797">
      <c r="A1797" s="0" t="inlineStr">
        <is>
          <t>DEEP1M</t>
        </is>
      </c>
      <c r="B1797" s="0" t="inlineStr">
        <is>
          <t>I55</t>
        </is>
      </c>
      <c r="C1797" s="0" t="inlineStr">
        <is>
          <t>I62</t>
        </is>
      </c>
      <c r="D1797" s="0" t="n">
        <v>1976.1628</v>
      </c>
    </row>
    <row r="1798">
      <c r="A1798" s="0" t="inlineStr">
        <is>
          <t>DEEP1M</t>
        </is>
      </c>
      <c r="B1798" s="0" t="inlineStr">
        <is>
          <t>J55</t>
        </is>
      </c>
      <c r="C1798" s="0" t="inlineStr">
        <is>
          <t>J62</t>
        </is>
      </c>
      <c r="D1798" s="0" t="n">
        <v>2671.927</v>
      </c>
    </row>
    <row r="1799">
      <c r="A1799" s="0" t="inlineStr">
        <is>
          <t>DEEP1M</t>
        </is>
      </c>
      <c r="B1799" s="0" t="inlineStr">
        <is>
          <t>D56</t>
        </is>
      </c>
      <c r="C1799" s="0" t="inlineStr">
        <is>
          <t>D63</t>
        </is>
      </c>
      <c r="D1799" s="0" t="inlineStr">
        <is>
          <t>Ours</t>
        </is>
      </c>
    </row>
    <row r="1800">
      <c r="A1800" s="0" t="inlineStr">
        <is>
          <t>DEEP1M</t>
        </is>
      </c>
      <c r="B1800" s="0" t="inlineStr">
        <is>
          <t>F56</t>
        </is>
      </c>
      <c r="C1800" s="0" t="inlineStr">
        <is>
          <t>F63</t>
        </is>
      </c>
      <c r="D1800" s="0" t="n">
        <v>158.2168</v>
      </c>
    </row>
    <row r="1801">
      <c r="A1801" s="0" t="inlineStr">
        <is>
          <t>DEEP1M</t>
        </is>
      </c>
      <c r="B1801" s="0" t="inlineStr">
        <is>
          <t>G56</t>
        </is>
      </c>
      <c r="C1801" s="0" t="inlineStr">
        <is>
          <t>G63</t>
        </is>
      </c>
      <c r="D1801" s="0" t="n">
        <v>232.5502</v>
      </c>
    </row>
    <row r="1802">
      <c r="A1802" s="0" t="inlineStr">
        <is>
          <t>DEEP1M</t>
        </is>
      </c>
      <c r="B1802" s="0" t="inlineStr">
        <is>
          <t>H56</t>
        </is>
      </c>
      <c r="C1802" s="0" t="inlineStr">
        <is>
          <t>H63</t>
        </is>
      </c>
      <c r="D1802" s="0" t="n">
        <v>271.0874</v>
      </c>
    </row>
    <row r="1803">
      <c r="A1803" s="0" t="inlineStr">
        <is>
          <t>DEEP1M</t>
        </is>
      </c>
      <c r="B1803" s="0" t="inlineStr">
        <is>
          <t>I56</t>
        </is>
      </c>
      <c r="C1803" s="0" t="inlineStr">
        <is>
          <t>I63</t>
        </is>
      </c>
      <c r="D1803" s="0" t="n">
        <v>561.5534</v>
      </c>
    </row>
    <row r="1804">
      <c r="A1804" s="0" t="inlineStr">
        <is>
          <t>DEEP1M</t>
        </is>
      </c>
      <c r="B1804" s="0" t="inlineStr">
        <is>
          <t>J56</t>
        </is>
      </c>
      <c r="C1804" s="0" t="inlineStr">
        <is>
          <t>J63</t>
        </is>
      </c>
      <c r="D1804" s="0" t="n">
        <v>651.6462</v>
      </c>
    </row>
    <row r="1805">
      <c r="A1805" s="0" t="inlineStr">
        <is>
          <t>DEEP1M</t>
        </is>
      </c>
      <c r="B1805" s="0" t="inlineStr">
        <is>
          <t>E60</t>
        </is>
      </c>
      <c r="C1805" s="0" t="inlineStr">
        <is>
          <t>E68</t>
        </is>
      </c>
      <c r="D1805" s="0" t="inlineStr">
        <is>
          <t>Dataset size vs. Verify time</t>
        </is>
      </c>
    </row>
    <row r="1806">
      <c r="A1806" s="0" t="inlineStr">
        <is>
          <t>DEEP1M</t>
        </is>
      </c>
      <c r="B1806" s="0" t="inlineStr">
        <is>
          <t>D62</t>
        </is>
      </c>
      <c r="C1806" s="0" t="inlineStr">
        <is>
          <t>D70</t>
        </is>
      </c>
      <c r="D1806" s="0" t="inlineStr">
        <is>
          <t>DEEP1B real prefix subsets: 100K / 500K / 1M / 5M / 10M</t>
        </is>
      </c>
    </row>
    <row r="1807">
      <c r="A1807" s="0" t="inlineStr">
        <is>
          <t>DEEP1M</t>
        </is>
      </c>
      <c r="B1807" s="0" t="inlineStr">
        <is>
          <t>D63</t>
        </is>
      </c>
      <c r="C1807" s="0" t="inlineStr">
        <is>
          <t>D71</t>
        </is>
      </c>
      <c r="D1807" s="0" t="inlineStr">
        <is>
          <t>dataset size</t>
        </is>
      </c>
    </row>
    <row r="1808">
      <c r="A1808" s="0" t="inlineStr">
        <is>
          <t>DEEP1M</t>
        </is>
      </c>
      <c r="B1808" s="0" t="inlineStr">
        <is>
          <t>F63</t>
        </is>
      </c>
      <c r="C1808" s="0" t="inlineStr">
        <is>
          <t>F71</t>
        </is>
      </c>
      <c r="D1808" s="0" t="inlineStr">
        <is>
          <t>10^5</t>
        </is>
      </c>
    </row>
    <row r="1809">
      <c r="A1809" s="0" t="inlineStr">
        <is>
          <t>DEEP1M</t>
        </is>
      </c>
      <c r="B1809" s="0" t="inlineStr">
        <is>
          <t>G63</t>
        </is>
      </c>
      <c r="C1809" s="0" t="inlineStr">
        <is>
          <t>G71</t>
        </is>
      </c>
      <c r="D1809" s="0" t="inlineStr">
        <is>
          <t>5*10^5</t>
        </is>
      </c>
    </row>
    <row r="1810">
      <c r="A1810" s="0" t="inlineStr">
        <is>
          <t>DEEP1M</t>
        </is>
      </c>
      <c r="B1810" s="0" t="inlineStr">
        <is>
          <t>H63</t>
        </is>
      </c>
      <c r="C1810" s="0" t="inlineStr">
        <is>
          <t>H71</t>
        </is>
      </c>
      <c r="D1810" s="0" t="inlineStr">
        <is>
          <t>10^6</t>
        </is>
      </c>
    </row>
    <row r="1811">
      <c r="A1811" s="0" t="inlineStr">
        <is>
          <t>DEEP1M</t>
        </is>
      </c>
      <c r="B1811" s="0" t="inlineStr">
        <is>
          <t>I63</t>
        </is>
      </c>
      <c r="C1811" s="0" t="inlineStr">
        <is>
          <t>I71</t>
        </is>
      </c>
      <c r="D1811" s="0" t="inlineStr">
        <is>
          <t>5*10^6</t>
        </is>
      </c>
    </row>
    <row r="1812">
      <c r="A1812" s="0" t="inlineStr">
        <is>
          <t>DEEP1M</t>
        </is>
      </c>
      <c r="B1812" s="0" t="inlineStr">
        <is>
          <t>J63</t>
        </is>
      </c>
      <c r="C1812" s="0" t="inlineStr">
        <is>
          <t>J71</t>
        </is>
      </c>
      <c r="D1812" s="0" t="inlineStr">
        <is>
          <t>10^7</t>
        </is>
      </c>
    </row>
    <row r="1813">
      <c r="A1813" s="0" t="inlineStr">
        <is>
          <t>DEEP1M</t>
        </is>
      </c>
      <c r="B1813" s="0" t="inlineStr">
        <is>
          <t>D64</t>
        </is>
      </c>
      <c r="C1813" s="0" t="inlineStr">
        <is>
          <t>D72</t>
        </is>
      </c>
      <c r="D1813" s="0" t="inlineStr">
        <is>
          <t>VLAH</t>
        </is>
      </c>
    </row>
    <row r="1814">
      <c r="A1814" s="0" t="inlineStr">
        <is>
          <t>DEEP1M</t>
        </is>
      </c>
      <c r="B1814" s="0" t="inlineStr">
        <is>
          <t>F64</t>
        </is>
      </c>
      <c r="C1814" s="0" t="inlineStr">
        <is>
          <t>F72</t>
        </is>
      </c>
      <c r="D1814" s="0" t="n">
        <v>30.6691185833333</v>
      </c>
    </row>
    <row r="1815">
      <c r="A1815" s="0" t="inlineStr">
        <is>
          <t>DEEP1M</t>
        </is>
      </c>
      <c r="B1815" s="0" t="inlineStr">
        <is>
          <t>G64</t>
        </is>
      </c>
      <c r="C1815" s="0" t="inlineStr">
        <is>
          <t>G72</t>
        </is>
      </c>
      <c r="D1815" s="0" t="n">
        <v>138.3154764</v>
      </c>
    </row>
    <row r="1816">
      <c r="A1816" s="0" t="inlineStr">
        <is>
          <t>DEEP1M</t>
        </is>
      </c>
      <c r="B1816" s="0" t="inlineStr">
        <is>
          <t>H64</t>
        </is>
      </c>
      <c r="C1816" s="0" t="inlineStr">
        <is>
          <t>H72</t>
        </is>
      </c>
      <c r="D1816" s="0" t="n">
        <v>280.071343333333</v>
      </c>
    </row>
    <row r="1817">
      <c r="A1817" s="0" t="inlineStr">
        <is>
          <t>DEEP1M</t>
        </is>
      </c>
      <c r="B1817" s="0" t="inlineStr">
        <is>
          <t>I64</t>
        </is>
      </c>
      <c r="C1817" s="0" t="inlineStr">
        <is>
          <t>I72</t>
        </is>
      </c>
      <c r="D1817" s="0" t="n">
        <v>1316.81213005</v>
      </c>
    </row>
    <row r="1818">
      <c r="A1818" s="0" t="inlineStr">
        <is>
          <t>DEEP1M</t>
        </is>
      </c>
      <c r="B1818" s="0" t="inlineStr">
        <is>
          <t>J64</t>
        </is>
      </c>
      <c r="C1818" s="0" t="inlineStr">
        <is>
          <t>J72</t>
        </is>
      </c>
      <c r="D1818" s="0" t="n">
        <v>2659.4569935</v>
      </c>
    </row>
    <row r="1819">
      <c r="A1819" s="0" t="inlineStr">
        <is>
          <t>DEEP1M</t>
        </is>
      </c>
      <c r="B1819" s="0" t="inlineStr">
        <is>
          <t>D65</t>
        </is>
      </c>
      <c r="C1819" s="0" t="inlineStr">
        <is>
          <t>D73</t>
        </is>
      </c>
      <c r="D1819" s="0" t="inlineStr">
        <is>
          <t>ANNProof</t>
        </is>
      </c>
    </row>
    <row r="1820">
      <c r="A1820" s="0" t="inlineStr">
        <is>
          <t>DEEP1M</t>
        </is>
      </c>
      <c r="B1820" s="0" t="inlineStr">
        <is>
          <t>F65</t>
        </is>
      </c>
      <c r="C1820" s="0" t="inlineStr">
        <is>
          <t>F73</t>
        </is>
      </c>
      <c r="D1820" s="0" t="n">
        <v>8.31754258333333</v>
      </c>
    </row>
    <row r="1821">
      <c r="A1821" s="0" t="inlineStr">
        <is>
          <t>DEEP1M</t>
        </is>
      </c>
      <c r="B1821" s="0" t="inlineStr">
        <is>
          <t>G65</t>
        </is>
      </c>
      <c r="C1821" s="0" t="inlineStr">
        <is>
          <t>G73</t>
        </is>
      </c>
      <c r="D1821" s="0" t="n">
        <v>11.3754679</v>
      </c>
    </row>
    <row r="1822">
      <c r="A1822" s="0" t="inlineStr">
        <is>
          <t>DEEP1M</t>
        </is>
      </c>
      <c r="B1822" s="0" t="inlineStr">
        <is>
          <t>H65</t>
        </is>
      </c>
      <c r="C1822" s="0" t="inlineStr">
        <is>
          <t>H73</t>
        </is>
      </c>
      <c r="D1822" s="0" t="n">
        <v>15.4261976166667</v>
      </c>
    </row>
    <row r="1823">
      <c r="A1823" s="0" t="inlineStr">
        <is>
          <t>DEEP1M</t>
        </is>
      </c>
      <c r="B1823" s="0" t="inlineStr">
        <is>
          <t>I65</t>
        </is>
      </c>
      <c r="C1823" s="0" t="inlineStr">
        <is>
          <t>I73</t>
        </is>
      </c>
      <c r="D1823" s="0" t="n">
        <v>25.9699077166667</v>
      </c>
    </row>
    <row r="1824">
      <c r="A1824" s="0" t="inlineStr">
        <is>
          <t>DEEP1M</t>
        </is>
      </c>
      <c r="B1824" s="0" t="inlineStr">
        <is>
          <t>J65</t>
        </is>
      </c>
      <c r="C1824" s="0" t="inlineStr">
        <is>
          <t>J73</t>
        </is>
      </c>
      <c r="D1824" s="0" t="n">
        <v>35.1169640833333</v>
      </c>
    </row>
    <row r="1825">
      <c r="A1825" s="0" t="inlineStr">
        <is>
          <t>DEEP1M</t>
        </is>
      </c>
      <c r="B1825" s="0" t="inlineStr">
        <is>
          <t>D66</t>
        </is>
      </c>
      <c r="C1825" s="0" t="inlineStr">
        <is>
          <t>D74</t>
        </is>
      </c>
      <c r="D1825" s="0" t="inlineStr">
        <is>
          <t>Ours</t>
        </is>
      </c>
    </row>
    <row r="1826">
      <c r="A1826" s="0" t="inlineStr">
        <is>
          <t>DEEP1M</t>
        </is>
      </c>
      <c r="B1826" s="0" t="inlineStr">
        <is>
          <t>F66</t>
        </is>
      </c>
      <c r="C1826" s="0" t="inlineStr">
        <is>
          <t>F74</t>
        </is>
      </c>
      <c r="D1826" s="0" t="n">
        <v>3.48295088333333</v>
      </c>
    </row>
    <row r="1827">
      <c r="A1827" s="0" t="inlineStr">
        <is>
          <t>DEEP1M</t>
        </is>
      </c>
      <c r="B1827" s="0" t="inlineStr">
        <is>
          <t>G66</t>
        </is>
      </c>
      <c r="C1827" s="0" t="inlineStr">
        <is>
          <t>G74</t>
        </is>
      </c>
      <c r="D1827" s="0" t="n">
        <v>5.32543016666667</v>
      </c>
    </row>
    <row r="1828">
      <c r="A1828" s="0" t="inlineStr">
        <is>
          <t>DEEP1M</t>
        </is>
      </c>
      <c r="B1828" s="0" t="inlineStr">
        <is>
          <t>H66</t>
        </is>
      </c>
      <c r="C1828" s="0" t="inlineStr">
        <is>
          <t>H74</t>
        </is>
      </c>
      <c r="D1828" s="0" t="n">
        <v>6.1193687</v>
      </c>
    </row>
    <row r="1829">
      <c r="A1829" s="0" t="inlineStr">
        <is>
          <t>DEEP1M</t>
        </is>
      </c>
      <c r="B1829" s="0" t="inlineStr">
        <is>
          <t>I66</t>
        </is>
      </c>
      <c r="C1829" s="0" t="inlineStr">
        <is>
          <t>I74</t>
        </is>
      </c>
      <c r="D1829" s="0" t="n">
        <v>13.18477455</v>
      </c>
    </row>
    <row r="1830">
      <c r="A1830" s="0" t="inlineStr">
        <is>
          <t>DEEP1M</t>
        </is>
      </c>
      <c r="B1830" s="0" t="inlineStr">
        <is>
          <t>J66</t>
        </is>
      </c>
      <c r="C1830" s="0" t="inlineStr">
        <is>
          <t>J74</t>
        </is>
      </c>
      <c r="D1830" s="0" t="n">
        <v>15.7888074166667</v>
      </c>
    </row>
    <row r="1831">
      <c r="A1831" s="0" t="inlineStr">
        <is>
          <t>DEEP1M</t>
        </is>
      </c>
      <c r="B1831" s="0" t="inlineStr">
        <is>
          <t>E69</t>
        </is>
      </c>
      <c r="C1831" s="0" t="inlineStr">
        <is>
          <t>E78</t>
        </is>
      </c>
      <c r="D1831" s="0" t="inlineStr">
        <is>
          <t>Dataset size vs. query time</t>
        </is>
      </c>
    </row>
    <row r="1832">
      <c r="A1832" s="0" t="inlineStr">
        <is>
          <t>DEEP1M</t>
        </is>
      </c>
      <c r="B1832" s="0" t="inlineStr">
        <is>
          <t>D71</t>
        </is>
      </c>
      <c r="C1832" s="0" t="inlineStr">
        <is>
          <t>D80</t>
        </is>
      </c>
      <c r="D1832" s="0" t="inlineStr">
        <is>
          <t>DEEP1B real prefix subsets: 100K / 500K / 1M / 5M / 10M</t>
        </is>
      </c>
    </row>
    <row r="1833">
      <c r="A1833" s="0" t="inlineStr">
        <is>
          <t>DEEP1M</t>
        </is>
      </c>
      <c r="B1833" s="0" t="inlineStr">
        <is>
          <t>D72</t>
        </is>
      </c>
      <c r="C1833" s="0" t="inlineStr">
        <is>
          <t>D81</t>
        </is>
      </c>
      <c r="D1833" s="0" t="inlineStr">
        <is>
          <t>dataset size</t>
        </is>
      </c>
    </row>
    <row r="1834">
      <c r="A1834" s="0" t="inlineStr">
        <is>
          <t>DEEP1M</t>
        </is>
      </c>
      <c r="B1834" s="0" t="inlineStr">
        <is>
          <t>F72</t>
        </is>
      </c>
      <c r="C1834" s="0" t="inlineStr">
        <is>
          <t>F81</t>
        </is>
      </c>
      <c r="D1834" s="0" t="inlineStr">
        <is>
          <t>10^5</t>
        </is>
      </c>
    </row>
    <row r="1835">
      <c r="A1835" s="0" t="inlineStr">
        <is>
          <t>DEEP1M</t>
        </is>
      </c>
      <c r="B1835" s="0" t="inlineStr">
        <is>
          <t>G72</t>
        </is>
      </c>
      <c r="C1835" s="0" t="inlineStr">
        <is>
          <t>G81</t>
        </is>
      </c>
      <c r="D1835" s="0" t="inlineStr">
        <is>
          <t>5*10^5</t>
        </is>
      </c>
    </row>
    <row r="1836">
      <c r="A1836" s="0" t="inlineStr">
        <is>
          <t>DEEP1M</t>
        </is>
      </c>
      <c r="B1836" s="0" t="inlineStr">
        <is>
          <t>H72</t>
        </is>
      </c>
      <c r="C1836" s="0" t="inlineStr">
        <is>
          <t>H81</t>
        </is>
      </c>
      <c r="D1836" s="0" t="inlineStr">
        <is>
          <t>10^6</t>
        </is>
      </c>
    </row>
    <row r="1837">
      <c r="A1837" s="0" t="inlineStr">
        <is>
          <t>DEEP1M</t>
        </is>
      </c>
      <c r="B1837" s="0" t="inlineStr">
        <is>
          <t>I72</t>
        </is>
      </c>
      <c r="C1837" s="0" t="inlineStr">
        <is>
          <t>I81</t>
        </is>
      </c>
      <c r="D1837" s="0" t="inlineStr">
        <is>
          <t>5*10^6</t>
        </is>
      </c>
    </row>
    <row r="1838">
      <c r="A1838" s="0" t="inlineStr">
        <is>
          <t>DEEP1M</t>
        </is>
      </c>
      <c r="B1838" s="0" t="inlineStr">
        <is>
          <t>J72</t>
        </is>
      </c>
      <c r="C1838" s="0" t="inlineStr">
        <is>
          <t>J81</t>
        </is>
      </c>
      <c r="D1838" s="0" t="inlineStr">
        <is>
          <t>10^7</t>
        </is>
      </c>
    </row>
    <row r="1839">
      <c r="A1839" s="0" t="inlineStr">
        <is>
          <t>DEEP1M</t>
        </is>
      </c>
      <c r="B1839" s="0" t="inlineStr">
        <is>
          <t>D73</t>
        </is>
      </c>
      <c r="C1839" s="0" t="inlineStr">
        <is>
          <t>D82</t>
        </is>
      </c>
      <c r="D1839" s="0" t="inlineStr">
        <is>
          <t>VLAH</t>
        </is>
      </c>
    </row>
    <row r="1840">
      <c r="A1840" s="0" t="inlineStr">
        <is>
          <t>DEEP1M</t>
        </is>
      </c>
      <c r="B1840" s="0" t="inlineStr">
        <is>
          <t>F73</t>
        </is>
      </c>
      <c r="C1840" s="0" t="inlineStr">
        <is>
          <t>F82</t>
        </is>
      </c>
      <c r="D1840" s="0" t="n">
        <v>11.1942364166667</v>
      </c>
    </row>
    <row r="1841">
      <c r="A1841" s="0" t="inlineStr">
        <is>
          <t>DEEP1M</t>
        </is>
      </c>
      <c r="B1841" s="0" t="inlineStr">
        <is>
          <t>G73</t>
        </is>
      </c>
      <c r="C1841" s="0" t="inlineStr">
        <is>
          <t>G82</t>
        </is>
      </c>
      <c r="D1841" s="0" t="n">
        <v>49.60916</v>
      </c>
    </row>
    <row r="1842">
      <c r="A1842" s="0" t="inlineStr">
        <is>
          <t>DEEP1M</t>
        </is>
      </c>
      <c r="B1842" s="0" t="inlineStr">
        <is>
          <t>H73</t>
        </is>
      </c>
      <c r="C1842" s="0" t="inlineStr">
        <is>
          <t>H82</t>
        </is>
      </c>
      <c r="D1842" s="0" t="n">
        <v>106.513872866667</v>
      </c>
    </row>
    <row r="1843">
      <c r="A1843" s="0" t="inlineStr">
        <is>
          <t>DEEP1M</t>
        </is>
      </c>
      <c r="B1843" s="0" t="inlineStr">
        <is>
          <t>I73</t>
        </is>
      </c>
      <c r="C1843" s="0" t="inlineStr">
        <is>
          <t>I82</t>
        </is>
      </c>
      <c r="D1843" s="0" t="n">
        <v>550.324390433333</v>
      </c>
    </row>
    <row r="1844">
      <c r="A1844" s="0" t="inlineStr">
        <is>
          <t>DEEP1M</t>
        </is>
      </c>
      <c r="B1844" s="0" t="inlineStr">
        <is>
          <t>J73</t>
        </is>
      </c>
      <c r="C1844" s="0" t="inlineStr">
        <is>
          <t>J82</t>
        </is>
      </c>
      <c r="D1844" s="0" t="n">
        <v>1070.8410505</v>
      </c>
    </row>
    <row r="1845">
      <c r="A1845" s="0" t="inlineStr">
        <is>
          <t>DEEP1M</t>
        </is>
      </c>
      <c r="B1845" s="0" t="inlineStr">
        <is>
          <t>D74</t>
        </is>
      </c>
      <c r="C1845" s="0" t="inlineStr">
        <is>
          <t>D83</t>
        </is>
      </c>
      <c r="D1845" s="0" t="inlineStr">
        <is>
          <t>ANNProof</t>
        </is>
      </c>
    </row>
    <row r="1846">
      <c r="A1846" s="0" t="inlineStr">
        <is>
          <t>DEEP1M</t>
        </is>
      </c>
      <c r="B1846" s="0" t="inlineStr">
        <is>
          <t>F74</t>
        </is>
      </c>
      <c r="C1846" s="0" t="inlineStr">
        <is>
          <t>F83</t>
        </is>
      </c>
      <c r="D1846" s="0" t="n">
        <v>1.7697227</v>
      </c>
    </row>
    <row r="1847">
      <c r="A1847" s="0" t="inlineStr">
        <is>
          <t>DEEP1M</t>
        </is>
      </c>
      <c r="B1847" s="0" t="inlineStr">
        <is>
          <t>G74</t>
        </is>
      </c>
      <c r="C1847" s="0" t="inlineStr">
        <is>
          <t>G83</t>
        </is>
      </c>
      <c r="D1847" s="0" t="n">
        <v>2.28107513333333</v>
      </c>
    </row>
    <row r="1848">
      <c r="A1848" s="0" t="inlineStr">
        <is>
          <t>DEEP1M</t>
        </is>
      </c>
      <c r="B1848" s="0" t="inlineStr">
        <is>
          <t>H74</t>
        </is>
      </c>
      <c r="C1848" s="0" t="inlineStr">
        <is>
          <t>H83</t>
        </is>
      </c>
      <c r="D1848" s="0" t="n">
        <v>3.15865693333333</v>
      </c>
    </row>
    <row r="1849">
      <c r="A1849" s="0" t="inlineStr">
        <is>
          <t>DEEP1M</t>
        </is>
      </c>
      <c r="B1849" s="0" t="inlineStr">
        <is>
          <t>I74</t>
        </is>
      </c>
      <c r="C1849" s="0" t="inlineStr">
        <is>
          <t>I83</t>
        </is>
      </c>
      <c r="D1849" s="0" t="n">
        <v>6.14507238333333</v>
      </c>
    </row>
    <row r="1850">
      <c r="A1850" s="0" t="inlineStr">
        <is>
          <t>DEEP1M</t>
        </is>
      </c>
      <c r="B1850" s="0" t="inlineStr">
        <is>
          <t>J74</t>
        </is>
      </c>
      <c r="C1850" s="0" t="inlineStr">
        <is>
          <t>J83</t>
        </is>
      </c>
      <c r="D1850" s="0" t="n">
        <v>9.09569141666667</v>
      </c>
    </row>
    <row r="1851">
      <c r="A1851" s="0" t="inlineStr">
        <is>
          <t>DEEP1M</t>
        </is>
      </c>
      <c r="B1851" s="0" t="inlineStr">
        <is>
          <t>D75</t>
        </is>
      </c>
      <c r="C1851" s="0" t="inlineStr">
        <is>
          <t>D84</t>
        </is>
      </c>
      <c r="D1851" s="0" t="inlineStr">
        <is>
          <t>Ours</t>
        </is>
      </c>
    </row>
    <row r="1852">
      <c r="A1852" s="0" t="inlineStr">
        <is>
          <t>DEEP1M</t>
        </is>
      </c>
      <c r="B1852" s="0" t="inlineStr">
        <is>
          <t>F75</t>
        </is>
      </c>
      <c r="C1852" s="0" t="inlineStr">
        <is>
          <t>F84</t>
        </is>
      </c>
      <c r="D1852" s="0" t="n">
        <v>1.46408101666667</v>
      </c>
    </row>
    <row r="1853">
      <c r="A1853" s="0" t="inlineStr">
        <is>
          <t>DEEP1M</t>
        </is>
      </c>
      <c r="B1853" s="0" t="inlineStr">
        <is>
          <t>G75</t>
        </is>
      </c>
      <c r="C1853" s="0" t="inlineStr">
        <is>
          <t>G84</t>
        </is>
      </c>
      <c r="D1853" s="0" t="n">
        <v>2.29060276666667</v>
      </c>
    </row>
    <row r="1854">
      <c r="A1854" s="0" t="inlineStr">
        <is>
          <t>DEEP1M</t>
        </is>
      </c>
      <c r="B1854" s="0" t="inlineStr">
        <is>
          <t>H75</t>
        </is>
      </c>
      <c r="C1854" s="0" t="inlineStr">
        <is>
          <t>H84</t>
        </is>
      </c>
      <c r="D1854" s="0" t="n">
        <v>2.5314656</v>
      </c>
    </row>
    <row r="1855">
      <c r="A1855" s="0" t="inlineStr">
        <is>
          <t>DEEP1M</t>
        </is>
      </c>
      <c r="B1855" s="0" t="inlineStr">
        <is>
          <t>I75</t>
        </is>
      </c>
      <c r="C1855" s="0" t="inlineStr">
        <is>
          <t>I84</t>
        </is>
      </c>
      <c r="D1855" s="0" t="n">
        <v>6.15269876666667</v>
      </c>
    </row>
    <row r="1856">
      <c r="A1856" s="0" t="inlineStr">
        <is>
          <t>DEEP1M</t>
        </is>
      </c>
      <c r="B1856" s="0" t="inlineStr">
        <is>
          <t>J75</t>
        </is>
      </c>
      <c r="C1856" s="0" t="inlineStr">
        <is>
          <t>J84</t>
        </is>
      </c>
      <c r="D1856" s="0" t="n">
        <v>7.25583046666667</v>
      </c>
    </row>
    <row r="1857">
      <c r="A1857" s="0" t="inlineStr">
        <is>
          <t>DEEP1M</t>
        </is>
      </c>
      <c r="B1857" s="0" t="inlineStr">
        <is>
          <t>E80</t>
        </is>
      </c>
      <c r="C1857" s="0" t="inlineStr">
        <is>
          <t>E90</t>
        </is>
      </c>
      <c r="D1857" s="0" t="inlineStr">
        <is>
          <t>K vs. VO size (actual Recall@K logged)</t>
        </is>
      </c>
    </row>
    <row r="1858">
      <c r="A1858" s="0" t="inlineStr">
        <is>
          <t>DEEP1M</t>
        </is>
      </c>
      <c r="B1858" s="0" t="inlineStr">
        <is>
          <t>D82</t>
        </is>
      </c>
      <c r="C1858" s="0" t="inlineStr">
        <is>
          <t>D92</t>
        </is>
      </c>
      <c r="D1858" s="0" t="inlineStr">
        <is>
          <t>DEEP1M (N=1,000,000, d=96)</t>
        </is>
      </c>
    </row>
    <row r="1859">
      <c r="A1859" s="0" t="inlineStr">
        <is>
          <t>DEEP1M</t>
        </is>
      </c>
      <c r="B1859" s="0" t="inlineStr">
        <is>
          <t>D83</t>
        </is>
      </c>
      <c r="C1859" s="0" t="inlineStr">
        <is>
          <t>D93</t>
        </is>
      </c>
      <c r="D1859" s="0" t="inlineStr">
        <is>
          <t>K</t>
        </is>
      </c>
    </row>
    <row r="1860">
      <c r="A1860" s="0" t="inlineStr">
        <is>
          <t>DEEP1M</t>
        </is>
      </c>
      <c r="B1860" s="0" t="inlineStr">
        <is>
          <t>F83</t>
        </is>
      </c>
      <c r="C1860" s="0" t="inlineStr">
        <is>
          <t>F93</t>
        </is>
      </c>
      <c r="D1860" s="0" t="n">
        <v>1</v>
      </c>
    </row>
    <row r="1861">
      <c r="A1861" s="0" t="inlineStr">
        <is>
          <t>DEEP1M</t>
        </is>
      </c>
      <c r="B1861" s="0" t="inlineStr">
        <is>
          <t>G83</t>
        </is>
      </c>
      <c r="C1861" s="0" t="inlineStr">
        <is>
          <t>G93</t>
        </is>
      </c>
      <c r="D1861" s="0" t="n">
        <v>5</v>
      </c>
    </row>
    <row r="1862">
      <c r="A1862" s="0" t="inlineStr">
        <is>
          <t>DEEP1M</t>
        </is>
      </c>
      <c r="B1862" s="0" t="inlineStr">
        <is>
          <t>H83</t>
        </is>
      </c>
      <c r="C1862" s="0" t="inlineStr">
        <is>
          <t>H93</t>
        </is>
      </c>
      <c r="D1862" s="0" t="n">
        <v>10</v>
      </c>
    </row>
    <row r="1863">
      <c r="A1863" s="0" t="inlineStr">
        <is>
          <t>DEEP1M</t>
        </is>
      </c>
      <c r="B1863" s="0" t="inlineStr">
        <is>
          <t>I83</t>
        </is>
      </c>
      <c r="C1863" s="0" t="inlineStr">
        <is>
          <t>I93</t>
        </is>
      </c>
      <c r="D1863" s="0" t="n">
        <v>20</v>
      </c>
    </row>
    <row r="1864">
      <c r="A1864" s="0" t="inlineStr">
        <is>
          <t>DEEP1M</t>
        </is>
      </c>
      <c r="B1864" s="0" t="inlineStr">
        <is>
          <t>J83</t>
        </is>
      </c>
      <c r="C1864" s="0" t="inlineStr">
        <is>
          <t>J93</t>
        </is>
      </c>
      <c r="D1864" s="0" t="n">
        <v>50</v>
      </c>
    </row>
    <row r="1865">
      <c r="A1865" s="0" t="inlineStr">
        <is>
          <t>DEEP1M</t>
        </is>
      </c>
      <c r="B1865" s="0" t="inlineStr">
        <is>
          <t>K83</t>
        </is>
      </c>
      <c r="C1865" s="0" t="inlineStr">
        <is>
          <t>K93</t>
        </is>
      </c>
      <c r="D1865" s="0" t="n">
        <v>100</v>
      </c>
    </row>
    <row r="1866">
      <c r="A1866" s="0" t="inlineStr">
        <is>
          <t>DEEP1M</t>
        </is>
      </c>
      <c r="B1866" s="0" t="inlineStr">
        <is>
          <t>D84</t>
        </is>
      </c>
      <c r="C1866" s="0" t="inlineStr">
        <is>
          <t>D94</t>
        </is>
      </c>
      <c r="D1866" s="0" t="inlineStr">
        <is>
          <t>VLAH</t>
        </is>
      </c>
    </row>
    <row r="1867">
      <c r="A1867" s="0" t="inlineStr">
        <is>
          <t>DEEP1M</t>
        </is>
      </c>
      <c r="B1867" s="0" t="inlineStr">
        <is>
          <t>F84</t>
        </is>
      </c>
      <c r="C1867" s="0" t="inlineStr">
        <is>
          <t>F94</t>
        </is>
      </c>
      <c r="D1867" s="0" t="n">
        <v>38322.13555</v>
      </c>
    </row>
    <row r="1868">
      <c r="A1868" s="0" t="inlineStr">
        <is>
          <t>DEEP1M</t>
        </is>
      </c>
      <c r="B1868" s="0" t="inlineStr">
        <is>
          <t>G84</t>
        </is>
      </c>
      <c r="C1868" s="0" t="inlineStr">
        <is>
          <t>G94</t>
        </is>
      </c>
      <c r="D1868" s="0" t="n">
        <v>38322.15155</v>
      </c>
    </row>
    <row r="1869">
      <c r="A1869" s="0" t="inlineStr">
        <is>
          <t>DEEP1M</t>
        </is>
      </c>
      <c r="B1869" s="0" t="inlineStr">
        <is>
          <t>H84</t>
        </is>
      </c>
      <c r="C1869" s="0" t="inlineStr">
        <is>
          <t>H94</t>
        </is>
      </c>
      <c r="D1869" s="0" t="n">
        <v>38322.17155</v>
      </c>
    </row>
    <row r="1870">
      <c r="A1870" s="0" t="inlineStr">
        <is>
          <t>DEEP1M</t>
        </is>
      </c>
      <c r="B1870" s="0" t="inlineStr">
        <is>
          <t>I84</t>
        </is>
      </c>
      <c r="C1870" s="0" t="inlineStr">
        <is>
          <t>I94</t>
        </is>
      </c>
      <c r="D1870" s="0" t="n">
        <v>38322.21155</v>
      </c>
    </row>
    <row r="1871">
      <c r="A1871" s="0" t="inlineStr">
        <is>
          <t>DEEP1M</t>
        </is>
      </c>
      <c r="B1871" s="0" t="inlineStr">
        <is>
          <t>J84</t>
        </is>
      </c>
      <c r="C1871" s="0" t="inlineStr">
        <is>
          <t>J94</t>
        </is>
      </c>
      <c r="D1871" s="0" t="n">
        <v>38322.33155</v>
      </c>
    </row>
    <row r="1872">
      <c r="A1872" s="0" t="inlineStr">
        <is>
          <t>DEEP1M</t>
        </is>
      </c>
      <c r="B1872" s="0" t="inlineStr">
        <is>
          <t>K84</t>
        </is>
      </c>
      <c r="C1872" s="0" t="inlineStr">
        <is>
          <t>K94</t>
        </is>
      </c>
      <c r="D1872" s="0" t="n">
        <v>38322.53155</v>
      </c>
    </row>
    <row r="1873">
      <c r="A1873" s="0" t="inlineStr">
        <is>
          <t>DEEP1M</t>
        </is>
      </c>
      <c r="B1873" s="0" t="inlineStr">
        <is>
          <t>D85</t>
        </is>
      </c>
      <c r="C1873" s="0" t="inlineStr">
        <is>
          <t>D95</t>
        </is>
      </c>
      <c r="D1873" s="0" t="inlineStr">
        <is>
          <t>ANNProof</t>
        </is>
      </c>
    </row>
    <row r="1874">
      <c r="A1874" s="0" t="inlineStr">
        <is>
          <t>DEEP1M</t>
        </is>
      </c>
      <c r="B1874" s="0" t="inlineStr">
        <is>
          <t>F85</t>
        </is>
      </c>
      <c r="C1874" s="0" t="inlineStr">
        <is>
          <t>F95</t>
        </is>
      </c>
      <c r="D1874" s="0" t="n">
        <v>1581.2762</v>
      </c>
    </row>
    <row r="1875">
      <c r="A1875" s="0" t="inlineStr">
        <is>
          <t>DEEP1M</t>
        </is>
      </c>
      <c r="B1875" s="0" t="inlineStr">
        <is>
          <t>G85</t>
        </is>
      </c>
      <c r="C1875" s="0" t="inlineStr">
        <is>
          <t>G95</t>
        </is>
      </c>
      <c r="D1875" s="0" t="n">
        <v>1583.5182</v>
      </c>
    </row>
    <row r="1876">
      <c r="A1876" s="0" t="inlineStr">
        <is>
          <t>DEEP1M</t>
        </is>
      </c>
      <c r="B1876" s="0" t="inlineStr">
        <is>
          <t>H85</t>
        </is>
      </c>
      <c r="C1876" s="0" t="inlineStr">
        <is>
          <t>H95</t>
        </is>
      </c>
      <c r="D1876" s="0" t="n">
        <v>1586.2762</v>
      </c>
    </row>
    <row r="1877">
      <c r="A1877" s="0" t="inlineStr">
        <is>
          <t>DEEP1M</t>
        </is>
      </c>
      <c r="B1877" s="0" t="inlineStr">
        <is>
          <t>I85</t>
        </is>
      </c>
      <c r="C1877" s="0" t="inlineStr">
        <is>
          <t>I95</t>
        </is>
      </c>
      <c r="D1877" s="0" t="n">
        <v>1591.6142</v>
      </c>
    </row>
    <row r="1878">
      <c r="A1878" s="0" t="inlineStr">
        <is>
          <t>DEEP1M</t>
        </is>
      </c>
      <c r="B1878" s="0" t="inlineStr">
        <is>
          <t>J85</t>
        </is>
      </c>
      <c r="C1878" s="0" t="inlineStr">
        <is>
          <t>J95</t>
        </is>
      </c>
      <c r="D1878" s="0" t="n">
        <v>1607.2942</v>
      </c>
    </row>
    <row r="1879">
      <c r="A1879" s="0" t="inlineStr">
        <is>
          <t>DEEP1M</t>
        </is>
      </c>
      <c r="B1879" s="0" t="inlineStr">
        <is>
          <t>K85</t>
        </is>
      </c>
      <c r="C1879" s="0" t="inlineStr">
        <is>
          <t>K95</t>
        </is>
      </c>
      <c r="D1879" s="0" t="n">
        <v>1631.6282</v>
      </c>
    </row>
    <row r="1880">
      <c r="A1880" s="0" t="inlineStr">
        <is>
          <t>DEEP1M</t>
        </is>
      </c>
      <c r="B1880" s="0" t="inlineStr">
        <is>
          <t>D86</t>
        </is>
      </c>
      <c r="C1880" s="0" t="inlineStr">
        <is>
          <t>D96</t>
        </is>
      </c>
      <c r="D1880" s="0" t="inlineStr">
        <is>
          <t>Ours</t>
        </is>
      </c>
    </row>
    <row r="1881">
      <c r="A1881" s="0" t="inlineStr">
        <is>
          <t>DEEP1M</t>
        </is>
      </c>
      <c r="B1881" s="0" t="inlineStr">
        <is>
          <t>F86</t>
        </is>
      </c>
      <c r="C1881" s="0" t="inlineStr">
        <is>
          <t>F96</t>
        </is>
      </c>
      <c r="D1881" s="0" t="n">
        <v>168.3194</v>
      </c>
    </row>
    <row r="1882">
      <c r="A1882" s="0" t="inlineStr">
        <is>
          <t>DEEP1M</t>
        </is>
      </c>
      <c r="B1882" s="0" t="inlineStr">
        <is>
          <t>G86</t>
        </is>
      </c>
      <c r="C1882" s="0" t="inlineStr">
        <is>
          <t>G96</t>
        </is>
      </c>
      <c r="D1882" s="0" t="n">
        <v>235.5306</v>
      </c>
    </row>
    <row r="1883">
      <c r="A1883" s="0" t="inlineStr">
        <is>
          <t>DEEP1M</t>
        </is>
      </c>
      <c r="B1883" s="0" t="inlineStr">
        <is>
          <t>H86</t>
        </is>
      </c>
      <c r="C1883" s="0" t="inlineStr">
        <is>
          <t>H96</t>
        </is>
      </c>
      <c r="D1883" s="0" t="n">
        <v>271.0874</v>
      </c>
    </row>
    <row r="1884">
      <c r="A1884" s="0" t="inlineStr">
        <is>
          <t>DEEP1M</t>
        </is>
      </c>
      <c r="B1884" s="0" t="inlineStr">
        <is>
          <t>I86</t>
        </is>
      </c>
      <c r="C1884" s="0" t="inlineStr">
        <is>
          <t>I96</t>
        </is>
      </c>
      <c r="D1884" s="0" t="n">
        <v>311.4214</v>
      </c>
    </row>
    <row r="1885">
      <c r="A1885" s="0" t="inlineStr">
        <is>
          <t>DEEP1M</t>
        </is>
      </c>
      <c r="B1885" s="0" t="inlineStr">
        <is>
          <t>J86</t>
        </is>
      </c>
      <c r="C1885" s="0" t="inlineStr">
        <is>
          <t>J96</t>
        </is>
      </c>
      <c r="D1885" s="0" t="n">
        <v>394.7074</v>
      </c>
    </row>
    <row r="1886">
      <c r="A1886" s="0" t="inlineStr">
        <is>
          <t>DEEP1M</t>
        </is>
      </c>
      <c r="B1886" s="0" t="inlineStr">
        <is>
          <t>K86</t>
        </is>
      </c>
      <c r="C1886" s="0" t="inlineStr">
        <is>
          <t>K96</t>
        </is>
      </c>
      <c r="D1886" s="0" t="n">
        <v>479.8746</v>
      </c>
    </row>
    <row r="1887">
      <c r="A1887" s="0" t="inlineStr">
        <is>
          <t>DEEP1M</t>
        </is>
      </c>
      <c r="B1887" s="0" t="inlineStr">
        <is>
          <t>E90</t>
        </is>
      </c>
      <c r="C1887" s="0" t="inlineStr">
        <is>
          <t>E101</t>
        </is>
      </c>
      <c r="D1887" s="0" t="inlineStr">
        <is>
          <t>K vs. Verify time</t>
        </is>
      </c>
    </row>
    <row r="1888">
      <c r="A1888" s="0" t="inlineStr">
        <is>
          <t>DEEP1M</t>
        </is>
      </c>
      <c r="B1888" s="0" t="inlineStr">
        <is>
          <t>D92</t>
        </is>
      </c>
      <c r="C1888" s="0" t="inlineStr">
        <is>
          <t>D103</t>
        </is>
      </c>
      <c r="D1888" s="0" t="inlineStr">
        <is>
          <t>DEEP1M (N=1,000,000, d=96)</t>
        </is>
      </c>
    </row>
    <row r="1889">
      <c r="A1889" s="0" t="inlineStr">
        <is>
          <t>DEEP1M</t>
        </is>
      </c>
      <c r="B1889" s="0" t="inlineStr">
        <is>
          <t>D93</t>
        </is>
      </c>
      <c r="C1889" s="0" t="inlineStr">
        <is>
          <t>D104</t>
        </is>
      </c>
      <c r="D1889" s="0" t="inlineStr">
        <is>
          <t>K</t>
        </is>
      </c>
    </row>
    <row r="1890">
      <c r="A1890" s="0" t="inlineStr">
        <is>
          <t>DEEP1M</t>
        </is>
      </c>
      <c r="B1890" s="0" t="inlineStr">
        <is>
          <t>F93</t>
        </is>
      </c>
      <c r="C1890" s="0" t="inlineStr">
        <is>
          <t>F104</t>
        </is>
      </c>
      <c r="D1890" s="0" t="n">
        <v>1</v>
      </c>
    </row>
    <row r="1891">
      <c r="A1891" s="0" t="inlineStr">
        <is>
          <t>DEEP1M</t>
        </is>
      </c>
      <c r="B1891" s="0" t="inlineStr">
        <is>
          <t>G93</t>
        </is>
      </c>
      <c r="C1891" s="0" t="inlineStr">
        <is>
          <t>G104</t>
        </is>
      </c>
      <c r="D1891" s="0" t="n">
        <v>5</v>
      </c>
    </row>
    <row r="1892">
      <c r="A1892" s="0" t="inlineStr">
        <is>
          <t>DEEP1M</t>
        </is>
      </c>
      <c r="B1892" s="0" t="inlineStr">
        <is>
          <t>H93</t>
        </is>
      </c>
      <c r="C1892" s="0" t="inlineStr">
        <is>
          <t>H104</t>
        </is>
      </c>
      <c r="D1892" s="0" t="n">
        <v>10</v>
      </c>
    </row>
    <row r="1893">
      <c r="A1893" s="0" t="inlineStr">
        <is>
          <t>DEEP1M</t>
        </is>
      </c>
      <c r="B1893" s="0" t="inlineStr">
        <is>
          <t>I93</t>
        </is>
      </c>
      <c r="C1893" s="0" t="inlineStr">
        <is>
          <t>I104</t>
        </is>
      </c>
      <c r="D1893" s="0" t="n">
        <v>20</v>
      </c>
    </row>
    <row r="1894">
      <c r="A1894" s="0" t="inlineStr">
        <is>
          <t>DEEP1M</t>
        </is>
      </c>
      <c r="B1894" s="0" t="inlineStr">
        <is>
          <t>J93</t>
        </is>
      </c>
      <c r="C1894" s="0" t="inlineStr">
        <is>
          <t>J104</t>
        </is>
      </c>
      <c r="D1894" s="0" t="n">
        <v>50</v>
      </c>
    </row>
    <row r="1895">
      <c r="A1895" s="0" t="inlineStr">
        <is>
          <t>DEEP1M</t>
        </is>
      </c>
      <c r="B1895" s="0" t="inlineStr">
        <is>
          <t>K93</t>
        </is>
      </c>
      <c r="C1895" s="0" t="inlineStr">
        <is>
          <t>K104</t>
        </is>
      </c>
      <c r="D1895" s="0" t="n">
        <v>100</v>
      </c>
    </row>
    <row r="1896">
      <c r="A1896" s="0" t="inlineStr">
        <is>
          <t>DEEP1M</t>
        </is>
      </c>
      <c r="B1896" s="0" t="inlineStr">
        <is>
          <t>D94</t>
        </is>
      </c>
      <c r="C1896" s="0" t="inlineStr">
        <is>
          <t>D105</t>
        </is>
      </c>
      <c r="D1896" s="0" t="inlineStr">
        <is>
          <t>VLAH</t>
        </is>
      </c>
    </row>
    <row r="1897">
      <c r="A1897" s="0" t="inlineStr">
        <is>
          <t>DEEP1M</t>
        </is>
      </c>
      <c r="B1897" s="0" t="inlineStr">
        <is>
          <t>F94</t>
        </is>
      </c>
      <c r="C1897" s="0" t="inlineStr">
        <is>
          <t>F105</t>
        </is>
      </c>
      <c r="D1897" s="0" t="n">
        <v>279.226395533333</v>
      </c>
    </row>
    <row r="1898">
      <c r="A1898" s="0" t="inlineStr">
        <is>
          <t>DEEP1M</t>
        </is>
      </c>
      <c r="B1898" s="0" t="inlineStr">
        <is>
          <t>G94</t>
        </is>
      </c>
      <c r="C1898" s="0" t="inlineStr">
        <is>
          <t>G105</t>
        </is>
      </c>
      <c r="D1898" s="0" t="n">
        <v>280.92384975</v>
      </c>
    </row>
    <row r="1899">
      <c r="A1899" s="0" t="inlineStr">
        <is>
          <t>DEEP1M</t>
        </is>
      </c>
      <c r="B1899" s="0" t="inlineStr">
        <is>
          <t>H94</t>
        </is>
      </c>
      <c r="C1899" s="0" t="inlineStr">
        <is>
          <t>H105</t>
        </is>
      </c>
      <c r="D1899" s="0" t="n">
        <v>281.087432783333</v>
      </c>
    </row>
    <row r="1900">
      <c r="A1900" s="0" t="inlineStr">
        <is>
          <t>DEEP1M</t>
        </is>
      </c>
      <c r="B1900" s="0" t="inlineStr">
        <is>
          <t>I94</t>
        </is>
      </c>
      <c r="C1900" s="0" t="inlineStr">
        <is>
          <t>I105</t>
        </is>
      </c>
      <c r="D1900" s="0" t="n">
        <v>281.015158366667</v>
      </c>
    </row>
    <row r="1901">
      <c r="A1901" s="0" t="inlineStr">
        <is>
          <t>DEEP1M</t>
        </is>
      </c>
      <c r="B1901" s="0" t="inlineStr">
        <is>
          <t>J94</t>
        </is>
      </c>
      <c r="C1901" s="0" t="inlineStr">
        <is>
          <t>J105</t>
        </is>
      </c>
      <c r="D1901" s="0" t="n">
        <v>280.416561016667</v>
      </c>
    </row>
    <row r="1902">
      <c r="A1902" s="0" t="inlineStr">
        <is>
          <t>DEEP1M</t>
        </is>
      </c>
      <c r="B1902" s="0" t="inlineStr">
        <is>
          <t>K94</t>
        </is>
      </c>
      <c r="C1902" s="0" t="inlineStr">
        <is>
          <t>K105</t>
        </is>
      </c>
      <c r="D1902" s="0" t="n">
        <v>281.683170933333</v>
      </c>
    </row>
    <row r="1903">
      <c r="A1903" s="0" t="inlineStr">
        <is>
          <t>DEEP1M</t>
        </is>
      </c>
      <c r="B1903" s="0" t="inlineStr">
        <is>
          <t>D95</t>
        </is>
      </c>
      <c r="C1903" s="0" t="inlineStr">
        <is>
          <t>D106</t>
        </is>
      </c>
      <c r="D1903" s="0" t="inlineStr">
        <is>
          <t>ANNProof</t>
        </is>
      </c>
    </row>
    <row r="1904">
      <c r="A1904" s="0" t="inlineStr">
        <is>
          <t>DEEP1M</t>
        </is>
      </c>
      <c r="B1904" s="0" t="inlineStr">
        <is>
          <t>F95</t>
        </is>
      </c>
      <c r="C1904" s="0" t="inlineStr">
        <is>
          <t>F106</t>
        </is>
      </c>
      <c r="D1904" s="0" t="n">
        <v>21.1325763</v>
      </c>
    </row>
    <row r="1905">
      <c r="A1905" s="0" t="inlineStr">
        <is>
          <t>DEEP1M</t>
        </is>
      </c>
      <c r="B1905" s="0" t="inlineStr">
        <is>
          <t>G95</t>
        </is>
      </c>
      <c r="C1905" s="0" t="inlineStr">
        <is>
          <t>G106</t>
        </is>
      </c>
      <c r="D1905" s="0" t="n">
        <v>21.2951161</v>
      </c>
    </row>
    <row r="1906">
      <c r="A1906" s="0" t="inlineStr">
        <is>
          <t>DEEP1M</t>
        </is>
      </c>
      <c r="B1906" s="0" t="inlineStr">
        <is>
          <t>H95</t>
        </is>
      </c>
      <c r="C1906" s="0" t="inlineStr">
        <is>
          <t>H106</t>
        </is>
      </c>
      <c r="D1906" s="0" t="n">
        <v>21.5343670666667</v>
      </c>
    </row>
    <row r="1907">
      <c r="A1907" s="0" t="inlineStr">
        <is>
          <t>DEEP1M</t>
        </is>
      </c>
      <c r="B1907" s="0" t="inlineStr">
        <is>
          <t>I95</t>
        </is>
      </c>
      <c r="C1907" s="0" t="inlineStr">
        <is>
          <t>I106</t>
        </is>
      </c>
      <c r="D1907" s="0" t="n">
        <v>21.6087258333333</v>
      </c>
    </row>
    <row r="1908">
      <c r="A1908" s="0" t="inlineStr">
        <is>
          <t>DEEP1M</t>
        </is>
      </c>
      <c r="B1908" s="0" t="inlineStr">
        <is>
          <t>J95</t>
        </is>
      </c>
      <c r="C1908" s="0" t="inlineStr">
        <is>
          <t>J106</t>
        </is>
      </c>
      <c r="D1908" s="0" t="n">
        <v>21.6556399</v>
      </c>
    </row>
    <row r="1909">
      <c r="A1909" s="0" t="inlineStr">
        <is>
          <t>DEEP1M</t>
        </is>
      </c>
      <c r="B1909" s="0" t="inlineStr">
        <is>
          <t>K95</t>
        </is>
      </c>
      <c r="C1909" s="0" t="inlineStr">
        <is>
          <t>K106</t>
        </is>
      </c>
      <c r="D1909" s="0" t="n">
        <v>22.5170219333333</v>
      </c>
    </row>
    <row r="1910">
      <c r="A1910" s="0" t="inlineStr">
        <is>
          <t>DEEP1M</t>
        </is>
      </c>
      <c r="B1910" s="0" t="inlineStr">
        <is>
          <t>D96</t>
        </is>
      </c>
      <c r="C1910" s="0" t="inlineStr">
        <is>
          <t>D107</t>
        </is>
      </c>
      <c r="D1910" s="0" t="inlineStr">
        <is>
          <t>Ours</t>
        </is>
      </c>
    </row>
    <row r="1911">
      <c r="A1911" s="0" t="inlineStr">
        <is>
          <t>DEEP1M</t>
        </is>
      </c>
      <c r="B1911" s="0" t="inlineStr">
        <is>
          <t>F96</t>
        </is>
      </c>
      <c r="C1911" s="0" t="inlineStr">
        <is>
          <t>F107</t>
        </is>
      </c>
      <c r="D1911" s="0" t="n">
        <v>3.65461865</v>
      </c>
    </row>
    <row r="1912">
      <c r="A1912" s="0" t="inlineStr">
        <is>
          <t>DEEP1M</t>
        </is>
      </c>
      <c r="B1912" s="0" t="inlineStr">
        <is>
          <t>G96</t>
        </is>
      </c>
      <c r="C1912" s="0" t="inlineStr">
        <is>
          <t>G107</t>
        </is>
      </c>
      <c r="D1912" s="0" t="n">
        <v>5.27781701666667</v>
      </c>
    </row>
    <row r="1913">
      <c r="A1913" s="0" t="inlineStr">
        <is>
          <t>DEEP1M</t>
        </is>
      </c>
      <c r="B1913" s="0" t="inlineStr">
        <is>
          <t>H96</t>
        </is>
      </c>
      <c r="C1913" s="0" t="inlineStr">
        <is>
          <t>H107</t>
        </is>
      </c>
      <c r="D1913" s="0" t="n">
        <v>6.14438738333333</v>
      </c>
    </row>
    <row r="1914">
      <c r="A1914" s="0" t="inlineStr">
        <is>
          <t>DEEP1M</t>
        </is>
      </c>
      <c r="B1914" s="0" t="inlineStr">
        <is>
          <t>I96</t>
        </is>
      </c>
      <c r="C1914" s="0" t="inlineStr">
        <is>
          <t>I107</t>
        </is>
      </c>
      <c r="D1914" s="0" t="n">
        <v>7.03352981666667</v>
      </c>
    </row>
    <row r="1915">
      <c r="A1915" s="0" t="inlineStr">
        <is>
          <t>DEEP1M</t>
        </is>
      </c>
      <c r="B1915" s="0" t="inlineStr">
        <is>
          <t>J96</t>
        </is>
      </c>
      <c r="C1915" s="0" t="inlineStr">
        <is>
          <t>J107</t>
        </is>
      </c>
      <c r="D1915" s="0" t="n">
        <v>8.7224146</v>
      </c>
    </row>
    <row r="1916">
      <c r="A1916" s="0" t="inlineStr">
        <is>
          <t>DEEP1M</t>
        </is>
      </c>
      <c r="B1916" s="0" t="inlineStr">
        <is>
          <t>K96</t>
        </is>
      </c>
      <c r="C1916" s="0" t="inlineStr">
        <is>
          <t>K107</t>
        </is>
      </c>
      <c r="D1916" s="0" t="n">
        <v>10.32036355</v>
      </c>
    </row>
    <row r="1917">
      <c r="A1917" s="0" t="inlineStr">
        <is>
          <t>DEEP1M</t>
        </is>
      </c>
      <c r="B1917" s="0" t="inlineStr">
        <is>
          <t>E99</t>
        </is>
      </c>
      <c r="C1917" s="0" t="inlineStr">
        <is>
          <t>E111</t>
        </is>
      </c>
      <c r="D1917" s="0" t="inlineStr">
        <is>
          <t>K vs. Query time (includes VO generation)</t>
        </is>
      </c>
    </row>
    <row r="1918">
      <c r="A1918" s="0" t="inlineStr">
        <is>
          <t>DEEP1M</t>
        </is>
      </c>
      <c r="B1918" s="0" t="inlineStr">
        <is>
          <t>D101</t>
        </is>
      </c>
      <c r="C1918" s="0" t="inlineStr">
        <is>
          <t>D113</t>
        </is>
      </c>
      <c r="D1918" s="0" t="inlineStr">
        <is>
          <t>DEEP1M (N=1,000,000, d=96)</t>
        </is>
      </c>
    </row>
    <row r="1919">
      <c r="A1919" s="0" t="inlineStr">
        <is>
          <t>DEEP1M</t>
        </is>
      </c>
      <c r="B1919" s="0" t="inlineStr">
        <is>
          <t>D102</t>
        </is>
      </c>
      <c r="C1919" s="0" t="inlineStr">
        <is>
          <t>D114</t>
        </is>
      </c>
      <c r="D1919" s="0" t="inlineStr">
        <is>
          <t>K</t>
        </is>
      </c>
    </row>
    <row r="1920">
      <c r="A1920" s="0" t="inlineStr">
        <is>
          <t>DEEP1M</t>
        </is>
      </c>
      <c r="B1920" s="0" t="inlineStr">
        <is>
          <t>F102</t>
        </is>
      </c>
      <c r="C1920" s="0" t="inlineStr">
        <is>
          <t>F114</t>
        </is>
      </c>
      <c r="D1920" s="0" t="n">
        <v>1</v>
      </c>
    </row>
    <row r="1921">
      <c r="A1921" s="0" t="inlineStr">
        <is>
          <t>DEEP1M</t>
        </is>
      </c>
      <c r="B1921" s="0" t="inlineStr">
        <is>
          <t>G102</t>
        </is>
      </c>
      <c r="C1921" s="0" t="inlineStr">
        <is>
          <t>G114</t>
        </is>
      </c>
      <c r="D1921" s="0" t="n">
        <v>5</v>
      </c>
    </row>
    <row r="1922">
      <c r="A1922" s="0" t="inlineStr">
        <is>
          <t>DEEP1M</t>
        </is>
      </c>
      <c r="B1922" s="0" t="inlineStr">
        <is>
          <t>H102</t>
        </is>
      </c>
      <c r="C1922" s="0" t="inlineStr">
        <is>
          <t>H114</t>
        </is>
      </c>
      <c r="D1922" s="0" t="n">
        <v>10</v>
      </c>
    </row>
    <row r="1923">
      <c r="A1923" s="0" t="inlineStr">
        <is>
          <t>DEEP1M</t>
        </is>
      </c>
      <c r="B1923" s="0" t="inlineStr">
        <is>
          <t>I102</t>
        </is>
      </c>
      <c r="C1923" s="0" t="inlineStr">
        <is>
          <t>I114</t>
        </is>
      </c>
      <c r="D1923" s="0" t="n">
        <v>20</v>
      </c>
    </row>
    <row r="1924">
      <c r="A1924" s="0" t="inlineStr">
        <is>
          <t>DEEP1M</t>
        </is>
      </c>
      <c r="B1924" s="0" t="inlineStr">
        <is>
          <t>J102</t>
        </is>
      </c>
      <c r="C1924" s="0" t="inlineStr">
        <is>
          <t>J114</t>
        </is>
      </c>
      <c r="D1924" s="0" t="n">
        <v>50</v>
      </c>
    </row>
    <row r="1925">
      <c r="A1925" s="0" t="inlineStr">
        <is>
          <t>DEEP1M</t>
        </is>
      </c>
      <c r="B1925" s="0" t="inlineStr">
        <is>
          <t>K102</t>
        </is>
      </c>
      <c r="C1925" s="0" t="inlineStr">
        <is>
          <t>K114</t>
        </is>
      </c>
      <c r="D1925" s="0" t="n">
        <v>100</v>
      </c>
    </row>
    <row r="1926">
      <c r="A1926" s="0" t="inlineStr">
        <is>
          <t>DEEP1M</t>
        </is>
      </c>
      <c r="B1926" s="0" t="inlineStr">
        <is>
          <t>D103</t>
        </is>
      </c>
      <c r="C1926" s="0" t="inlineStr">
        <is>
          <t>D115</t>
        </is>
      </c>
      <c r="D1926" s="0" t="inlineStr">
        <is>
          <t>VLAH</t>
        </is>
      </c>
    </row>
    <row r="1927">
      <c r="A1927" s="0" t="inlineStr">
        <is>
          <t>DEEP1M</t>
        </is>
      </c>
      <c r="B1927" s="0" t="inlineStr">
        <is>
          <t>F103</t>
        </is>
      </c>
      <c r="C1927" s="0" t="inlineStr">
        <is>
          <t>F115</t>
        </is>
      </c>
      <c r="D1927" s="0" t="n">
        <v>105.88339385</v>
      </c>
    </row>
    <row r="1928">
      <c r="A1928" s="0" t="inlineStr">
        <is>
          <t>DEEP1M</t>
        </is>
      </c>
      <c r="B1928" s="0" t="inlineStr">
        <is>
          <t>G103</t>
        </is>
      </c>
      <c r="C1928" s="0" t="inlineStr">
        <is>
          <t>G115</t>
        </is>
      </c>
      <c r="D1928" s="0" t="n">
        <v>105.922972883333</v>
      </c>
    </row>
    <row r="1929">
      <c r="A1929" s="0" t="inlineStr">
        <is>
          <t>DEEP1M</t>
        </is>
      </c>
      <c r="B1929" s="0" t="inlineStr">
        <is>
          <t>H103</t>
        </is>
      </c>
      <c r="C1929" s="0" t="inlineStr">
        <is>
          <t>H115</t>
        </is>
      </c>
      <c r="D1929" s="0" t="n">
        <v>105.4260024</v>
      </c>
    </row>
    <row r="1930">
      <c r="A1930" s="0" t="inlineStr">
        <is>
          <t>DEEP1M</t>
        </is>
      </c>
      <c r="B1930" s="0" t="inlineStr">
        <is>
          <t>I103</t>
        </is>
      </c>
      <c r="C1930" s="0" t="inlineStr">
        <is>
          <t>I115</t>
        </is>
      </c>
      <c r="D1930" s="0" t="n">
        <v>105.24395565</v>
      </c>
    </row>
    <row r="1931">
      <c r="A1931" s="0" t="inlineStr">
        <is>
          <t>DEEP1M</t>
        </is>
      </c>
      <c r="B1931" s="0" t="inlineStr">
        <is>
          <t>J103</t>
        </is>
      </c>
      <c r="C1931" s="0" t="inlineStr">
        <is>
          <t>J115</t>
        </is>
      </c>
      <c r="D1931" s="0" t="n">
        <v>105.50841095</v>
      </c>
    </row>
    <row r="1932">
      <c r="A1932" s="0" t="inlineStr">
        <is>
          <t>DEEP1M</t>
        </is>
      </c>
      <c r="B1932" s="0" t="inlineStr">
        <is>
          <t>K103</t>
        </is>
      </c>
      <c r="C1932" s="0" t="inlineStr">
        <is>
          <t>K115</t>
        </is>
      </c>
      <c r="D1932" s="0" t="n">
        <v>105.2479959</v>
      </c>
    </row>
    <row r="1933">
      <c r="A1933" s="0" t="inlineStr">
        <is>
          <t>DEEP1M</t>
        </is>
      </c>
      <c r="B1933" s="0" t="inlineStr">
        <is>
          <t>D104</t>
        </is>
      </c>
      <c r="C1933" s="0" t="inlineStr">
        <is>
          <t>D116</t>
        </is>
      </c>
      <c r="D1933" s="0" t="inlineStr">
        <is>
          <t>ANNProof</t>
        </is>
      </c>
    </row>
    <row r="1934">
      <c r="A1934" s="0" t="inlineStr">
        <is>
          <t>DEEP1M</t>
        </is>
      </c>
      <c r="B1934" s="0" t="inlineStr">
        <is>
          <t>F104</t>
        </is>
      </c>
      <c r="C1934" s="0" t="inlineStr">
        <is>
          <t>F116</t>
        </is>
      </c>
      <c r="D1934" s="0" t="n">
        <v>4.57551665</v>
      </c>
    </row>
    <row r="1935">
      <c r="A1935" s="0" t="inlineStr">
        <is>
          <t>DEEP1M</t>
        </is>
      </c>
      <c r="B1935" s="0" t="inlineStr">
        <is>
          <t>G104</t>
        </is>
      </c>
      <c r="C1935" s="0" t="inlineStr">
        <is>
          <t>G116</t>
        </is>
      </c>
      <c r="D1935" s="0" t="n">
        <v>4.62270115</v>
      </c>
    </row>
    <row r="1936">
      <c r="A1936" s="0" t="inlineStr">
        <is>
          <t>DEEP1M</t>
        </is>
      </c>
      <c r="B1936" s="0" t="inlineStr">
        <is>
          <t>H104</t>
        </is>
      </c>
      <c r="C1936" s="0" t="inlineStr">
        <is>
          <t>H116</t>
        </is>
      </c>
      <c r="D1936" s="0" t="n">
        <v>4.66759948333333</v>
      </c>
    </row>
    <row r="1937">
      <c r="A1937" s="0" t="inlineStr">
        <is>
          <t>DEEP1M</t>
        </is>
      </c>
      <c r="B1937" s="0" t="inlineStr">
        <is>
          <t>I104</t>
        </is>
      </c>
      <c r="C1937" s="0" t="inlineStr">
        <is>
          <t>I116</t>
        </is>
      </c>
      <c r="D1937" s="0" t="n">
        <v>4.67105126666667</v>
      </c>
    </row>
    <row r="1938">
      <c r="A1938" s="0" t="inlineStr">
        <is>
          <t>DEEP1M</t>
        </is>
      </c>
      <c r="B1938" s="0" t="inlineStr">
        <is>
          <t>J104</t>
        </is>
      </c>
      <c r="C1938" s="0" t="inlineStr">
        <is>
          <t>J116</t>
        </is>
      </c>
      <c r="D1938" s="0" t="n">
        <v>4.61915686666667</v>
      </c>
    </row>
    <row r="1939">
      <c r="A1939" s="0" t="inlineStr">
        <is>
          <t>DEEP1M</t>
        </is>
      </c>
      <c r="B1939" s="0" t="inlineStr">
        <is>
          <t>K104</t>
        </is>
      </c>
      <c r="C1939" s="0" t="inlineStr">
        <is>
          <t>K116</t>
        </is>
      </c>
      <c r="D1939" s="0" t="n">
        <v>4.73652161666667</v>
      </c>
    </row>
    <row r="1940">
      <c r="A1940" s="0" t="inlineStr">
        <is>
          <t>DEEP1M</t>
        </is>
      </c>
      <c r="B1940" s="0" t="inlineStr">
        <is>
          <t>D105</t>
        </is>
      </c>
      <c r="C1940" s="0" t="inlineStr">
        <is>
          <t>D117</t>
        </is>
      </c>
      <c r="D1940" s="0" t="inlineStr">
        <is>
          <t>Ours</t>
        </is>
      </c>
    </row>
    <row r="1941">
      <c r="A1941" s="0" t="inlineStr">
        <is>
          <t>DEEP1M</t>
        </is>
      </c>
      <c r="B1941" s="0" t="inlineStr">
        <is>
          <t>F105</t>
        </is>
      </c>
      <c r="C1941" s="0" t="inlineStr">
        <is>
          <t>F117</t>
        </is>
      </c>
      <c r="D1941" s="0" t="n">
        <v>1.99976848333333</v>
      </c>
    </row>
    <row r="1942">
      <c r="A1942" s="0" t="inlineStr">
        <is>
          <t>DEEP1M</t>
        </is>
      </c>
      <c r="B1942" s="0" t="inlineStr">
        <is>
          <t>G105</t>
        </is>
      </c>
      <c r="C1942" s="0" t="inlineStr">
        <is>
          <t>G117</t>
        </is>
      </c>
      <c r="D1942" s="0" t="n">
        <v>2.31089056666667</v>
      </c>
    </row>
    <row r="1943">
      <c r="A1943" s="0" t="inlineStr">
        <is>
          <t>DEEP1M</t>
        </is>
      </c>
      <c r="B1943" s="0" t="inlineStr">
        <is>
          <t>H105</t>
        </is>
      </c>
      <c r="C1943" s="0" t="inlineStr">
        <is>
          <t>H117</t>
        </is>
      </c>
      <c r="D1943" s="0" t="n">
        <v>2.61255283333333</v>
      </c>
    </row>
    <row r="1944">
      <c r="A1944" s="0" t="inlineStr">
        <is>
          <t>DEEP1M</t>
        </is>
      </c>
      <c r="B1944" s="0" t="inlineStr">
        <is>
          <t>I105</t>
        </is>
      </c>
      <c r="C1944" s="0" t="inlineStr">
        <is>
          <t>I117</t>
        </is>
      </c>
      <c r="D1944" s="0" t="n">
        <v>2.7890055</v>
      </c>
    </row>
    <row r="1945">
      <c r="A1945" s="0" t="inlineStr">
        <is>
          <t>DEEP1M</t>
        </is>
      </c>
      <c r="B1945" s="0" t="inlineStr">
        <is>
          <t>J105</t>
        </is>
      </c>
      <c r="C1945" s="0" t="inlineStr">
        <is>
          <t>J117</t>
        </is>
      </c>
      <c r="D1945" s="0" t="n">
        <v>3.26370998333333</v>
      </c>
    </row>
    <row r="1946">
      <c r="A1946" s="0" t="inlineStr">
        <is>
          <t>DEEP1M</t>
        </is>
      </c>
      <c r="B1946" s="0" t="inlineStr">
        <is>
          <t>K105</t>
        </is>
      </c>
      <c r="C1946" s="0" t="inlineStr">
        <is>
          <t>K117</t>
        </is>
      </c>
      <c r="D1946" s="0" t="n">
        <v>3.81614001666667</v>
      </c>
    </row>
    <row r="1947">
      <c r="A1947" s="0" t="inlineStr">
        <is>
          <t>DEEP1M</t>
        </is>
      </c>
      <c r="B1947" s="0" t="inlineStr">
        <is>
          <t>D112</t>
        </is>
      </c>
      <c r="C1947" s="0" t="inlineStr">
        <is>
          <t>D125</t>
        </is>
      </c>
      <c r="D1947" s="0" t="inlineStr">
        <is>
          <t>Ablation Study 
（Ours: (i)progressive quantization, 
(ii) verification-decoupled traversal, 
(iii) expansion-centric authentication.）</t>
        </is>
      </c>
    </row>
    <row r="1948">
      <c r="A1948" s="0" t="inlineStr">
        <is>
          <t>DEEP1M</t>
        </is>
      </c>
      <c r="B1948" s="0" t="inlineStr">
        <is>
          <t>F116</t>
        </is>
      </c>
      <c r="C1948" s="0" t="inlineStr">
        <is>
          <t>F129</t>
        </is>
      </c>
      <c r="D1948" s="0" t="inlineStr">
        <is>
          <t>Recall@10</t>
        </is>
      </c>
    </row>
    <row r="1949">
      <c r="A1949" s="0" t="inlineStr">
        <is>
          <t>DEEP1M</t>
        </is>
      </c>
      <c r="B1949" s="0" t="inlineStr">
        <is>
          <t>G116</t>
        </is>
      </c>
      <c r="C1949" s="0" t="inlineStr">
        <is>
          <t>G129</t>
        </is>
      </c>
      <c r="D1949" s="0" t="inlineStr">
        <is>
          <t>Query Time (ms)</t>
        </is>
      </c>
    </row>
    <row r="1950">
      <c r="A1950" s="0" t="inlineStr">
        <is>
          <t>DEEP1M</t>
        </is>
      </c>
      <c r="B1950" s="0" t="inlineStr">
        <is>
          <t>H116</t>
        </is>
      </c>
      <c r="C1950" s="0" t="inlineStr">
        <is>
          <t>H129</t>
        </is>
      </c>
      <c r="D1950" s="0" t="inlineStr">
        <is>
          <t>VO Size (KB)</t>
        </is>
      </c>
    </row>
    <row r="1951">
      <c r="A1951" s="0" t="inlineStr">
        <is>
          <t>DEEP1M</t>
        </is>
      </c>
      <c r="B1951" s="0" t="inlineStr">
        <is>
          <t>I116</t>
        </is>
      </c>
      <c r="C1951" s="0" t="inlineStr">
        <is>
          <t>I129</t>
        </is>
      </c>
      <c r="D1951" s="0" t="inlineStr">
        <is>
          <t>Verify Time (ms)</t>
        </is>
      </c>
    </row>
    <row r="1952">
      <c r="A1952" s="0" t="inlineStr">
        <is>
          <t>DEEP1M</t>
        </is>
      </c>
      <c r="B1952" s="0" t="inlineStr">
        <is>
          <t>D117</t>
        </is>
      </c>
      <c r="C1952" s="0" t="inlineStr">
        <is>
          <t>D130</t>
        </is>
      </c>
      <c r="D1952" s="0" t="inlineStr">
        <is>
          <t>Merkle+IVF</t>
        </is>
      </c>
    </row>
    <row r="1953">
      <c r="A1953" s="0" t="inlineStr">
        <is>
          <t>DEEP1M</t>
        </is>
      </c>
      <c r="B1953" s="0" t="inlineStr">
        <is>
          <t>F117</t>
        </is>
      </c>
      <c r="C1953" s="0" t="inlineStr">
        <is>
          <t>F130</t>
        </is>
      </c>
      <c r="D1953" s="0" t="n">
        <v>0.95</v>
      </c>
    </row>
    <row r="1954">
      <c r="A1954" s="0" t="inlineStr">
        <is>
          <t>DEEP1M</t>
        </is>
      </c>
      <c r="B1954" s="0" t="inlineStr">
        <is>
          <t>G117</t>
        </is>
      </c>
      <c r="C1954" s="0" t="inlineStr">
        <is>
          <t>G130</t>
        </is>
      </c>
      <c r="D1954" s="0" t="n">
        <v>102.840371466667</v>
      </c>
    </row>
    <row r="1955">
      <c r="A1955" s="0" t="inlineStr">
        <is>
          <t>DEEP1M</t>
        </is>
      </c>
      <c r="B1955" s="0" t="inlineStr">
        <is>
          <t>H117</t>
        </is>
      </c>
      <c r="C1955" s="0" t="inlineStr">
        <is>
          <t>H130</t>
        </is>
      </c>
      <c r="D1955" s="0" t="n">
        <v>19218.4102</v>
      </c>
    </row>
    <row r="1956">
      <c r="A1956" s="0" t="inlineStr">
        <is>
          <t>DEEP1M</t>
        </is>
      </c>
      <c r="B1956" s="0" t="inlineStr">
        <is>
          <t>I117</t>
        </is>
      </c>
      <c r="C1956" s="0" t="inlineStr">
        <is>
          <t>I130</t>
        </is>
      </c>
      <c r="D1956" s="0" t="n">
        <v>260.5181445</v>
      </c>
    </row>
    <row r="1957">
      <c r="A1957" s="0" t="inlineStr">
        <is>
          <t>DEEP1M</t>
        </is>
      </c>
      <c r="B1957" s="0" t="inlineStr">
        <is>
          <t>D118</t>
        </is>
      </c>
      <c r="C1957" s="0" t="inlineStr">
        <is>
          <t>D131</t>
        </is>
      </c>
      <c r="D1957" s="0" t="inlineStr">
        <is>
          <t>Merkle+HNSW</t>
        </is>
      </c>
    </row>
    <row r="1958">
      <c r="A1958" s="0" t="inlineStr">
        <is>
          <t>DEEP1M</t>
        </is>
      </c>
      <c r="B1958" s="0" t="inlineStr">
        <is>
          <t>F118</t>
        </is>
      </c>
      <c r="C1958" s="0" t="inlineStr">
        <is>
          <t>F131</t>
        </is>
      </c>
      <c r="D1958" s="0" t="n">
        <v>0.95</v>
      </c>
    </row>
    <row r="1959">
      <c r="A1959" s="0" t="inlineStr">
        <is>
          <t>DEEP1M</t>
        </is>
      </c>
      <c r="B1959" s="0" t="inlineStr">
        <is>
          <t>G118</t>
        </is>
      </c>
      <c r="C1959" s="0" t="inlineStr">
        <is>
          <t>G131</t>
        </is>
      </c>
      <c r="D1959" s="0" t="n">
        <v>4.33327673333333</v>
      </c>
    </row>
    <row r="1960">
      <c r="A1960" s="0" t="inlineStr">
        <is>
          <t>DEEP1M</t>
        </is>
      </c>
      <c r="B1960" s="0" t="inlineStr">
        <is>
          <t>H118</t>
        </is>
      </c>
      <c r="C1960" s="0" t="inlineStr">
        <is>
          <t>H131</t>
        </is>
      </c>
      <c r="D1960" s="0" t="n">
        <v>770.5214</v>
      </c>
    </row>
    <row r="1961">
      <c r="A1961" s="0" t="inlineStr">
        <is>
          <t>DEEP1M</t>
        </is>
      </c>
      <c r="B1961" s="0" t="inlineStr">
        <is>
          <t>I118</t>
        </is>
      </c>
      <c r="C1961" s="0" t="inlineStr">
        <is>
          <t>I131</t>
        </is>
      </c>
      <c r="D1961" s="0" t="n">
        <v>8.361651566666669</v>
      </c>
    </row>
    <row r="1962">
      <c r="A1962" s="0" t="inlineStr">
        <is>
          <t>DEEP1M</t>
        </is>
      </c>
      <c r="B1962" s="0" t="inlineStr">
        <is>
          <t>D119</t>
        </is>
      </c>
      <c r="C1962" s="0" t="inlineStr">
        <is>
          <t>D132</t>
        </is>
      </c>
      <c r="D1962" s="0" t="inlineStr">
        <is>
          <t>Merkle+IVF+(i)</t>
        </is>
      </c>
    </row>
    <row r="1963">
      <c r="A1963" s="0" t="inlineStr">
        <is>
          <t>DEEP1M</t>
        </is>
      </c>
      <c r="B1963" s="0" t="inlineStr">
        <is>
          <t>F119</t>
        </is>
      </c>
      <c r="C1963" s="0" t="inlineStr">
        <is>
          <t>F132</t>
        </is>
      </c>
      <c r="D1963" s="0" t="n">
        <v>0.95</v>
      </c>
    </row>
    <row r="1964">
      <c r="A1964" s="0" t="inlineStr">
        <is>
          <t>DEEP1M</t>
        </is>
      </c>
      <c r="B1964" s="0" t="inlineStr">
        <is>
          <t>G119</t>
        </is>
      </c>
      <c r="C1964" s="0" t="inlineStr">
        <is>
          <t>G132</t>
        </is>
      </c>
      <c r="D1964" s="0" t="n">
        <v>51.4350250833333</v>
      </c>
    </row>
    <row r="1965">
      <c r="A1965" s="0" t="inlineStr">
        <is>
          <t>DEEP1M</t>
        </is>
      </c>
      <c r="B1965" s="0" t="inlineStr">
        <is>
          <t>H119</t>
        </is>
      </c>
      <c r="C1965" s="0" t="inlineStr">
        <is>
          <t>H132</t>
        </is>
      </c>
      <c r="D1965" s="0" t="n">
        <v>8058.431</v>
      </c>
    </row>
    <row r="1966">
      <c r="A1966" s="0" t="inlineStr">
        <is>
          <t>DEEP1M</t>
        </is>
      </c>
      <c r="B1966" s="0" t="inlineStr">
        <is>
          <t>I119</t>
        </is>
      </c>
      <c r="C1966" s="0" t="inlineStr">
        <is>
          <t>I132</t>
        </is>
      </c>
      <c r="D1966" s="0" t="n">
        <v>259.728219916667</v>
      </c>
    </row>
    <row r="1967">
      <c r="A1967" s="0" t="inlineStr">
        <is>
          <t>DEEP1M</t>
        </is>
      </c>
      <c r="B1967" s="0" t="inlineStr">
        <is>
          <t>D120</t>
        </is>
      </c>
      <c r="C1967" s="0" t="inlineStr">
        <is>
          <t>D133</t>
        </is>
      </c>
      <c r="D1967" s="0" t="inlineStr">
        <is>
          <t>Merkle+HNSW+(i)</t>
        </is>
      </c>
    </row>
    <row r="1968">
      <c r="A1968" s="0" t="inlineStr">
        <is>
          <t>DEEP1M</t>
        </is>
      </c>
      <c r="B1968" s="0" t="inlineStr">
        <is>
          <t>F120</t>
        </is>
      </c>
      <c r="C1968" s="0" t="inlineStr">
        <is>
          <t>F133</t>
        </is>
      </c>
      <c r="D1968" s="0" t="n">
        <v>0.95</v>
      </c>
    </row>
    <row r="1969">
      <c r="A1969" s="0" t="inlineStr">
        <is>
          <t>DEEP1M</t>
        </is>
      </c>
      <c r="B1969" s="0" t="inlineStr">
        <is>
          <t>G120</t>
        </is>
      </c>
      <c r="C1969" s="0" t="inlineStr">
        <is>
          <t>G133</t>
        </is>
      </c>
      <c r="D1969" s="0" t="n">
        <v>5.13621088333333</v>
      </c>
    </row>
    <row r="1970">
      <c r="A1970" s="0" t="inlineStr">
        <is>
          <t>DEEP1M</t>
        </is>
      </c>
      <c r="B1970" s="0" t="inlineStr">
        <is>
          <t>H120</t>
        </is>
      </c>
      <c r="C1970" s="0" t="inlineStr">
        <is>
          <t>H133</t>
        </is>
      </c>
      <c r="D1970" s="0" t="n">
        <v>800.6786</v>
      </c>
    </row>
    <row r="1971">
      <c r="A1971" s="0" t="inlineStr">
        <is>
          <t>DEEP1M</t>
        </is>
      </c>
      <c r="B1971" s="0" t="inlineStr">
        <is>
          <t>I120</t>
        </is>
      </c>
      <c r="C1971" s="0" t="inlineStr">
        <is>
          <t>I133</t>
        </is>
      </c>
      <c r="D1971" s="0" t="n">
        <v>15.9281313833333</v>
      </c>
    </row>
    <row r="1972">
      <c r="A1972" s="0" t="inlineStr">
        <is>
          <t>DEEP1M</t>
        </is>
      </c>
      <c r="B1972" s="0" t="inlineStr">
        <is>
          <t>D121</t>
        </is>
      </c>
      <c r="C1972" s="0" t="inlineStr">
        <is>
          <t>D134</t>
        </is>
      </c>
      <c r="D1972" s="0" t="inlineStr">
        <is>
          <t>(i)+(ii)</t>
        </is>
      </c>
    </row>
    <row r="1973">
      <c r="A1973" s="0" t="inlineStr">
        <is>
          <t>DEEP1M</t>
        </is>
      </c>
      <c r="B1973" s="0" t="inlineStr">
        <is>
          <t>F121</t>
        </is>
      </c>
      <c r="C1973" s="0" t="inlineStr">
        <is>
          <t>F134</t>
        </is>
      </c>
      <c r="D1973" s="0" t="n">
        <v>0.95</v>
      </c>
    </row>
    <row r="1974">
      <c r="A1974" s="0" t="inlineStr">
        <is>
          <t>DEEP1M</t>
        </is>
      </c>
      <c r="B1974" s="0" t="inlineStr">
        <is>
          <t>G121</t>
        </is>
      </c>
      <c r="C1974" s="0" t="inlineStr">
        <is>
          <t>G134</t>
        </is>
      </c>
      <c r="D1974" s="0" t="n">
        <v>4.15979063333333</v>
      </c>
    </row>
    <row r="1975">
      <c r="A1975" s="0" t="inlineStr">
        <is>
          <t>DEEP1M</t>
        </is>
      </c>
      <c r="B1975" s="0" t="inlineStr">
        <is>
          <t>H121</t>
        </is>
      </c>
      <c r="C1975" s="0" t="inlineStr">
        <is>
          <t>H134</t>
        </is>
      </c>
      <c r="D1975" s="0" t="n">
        <v>531.2744</v>
      </c>
    </row>
    <row r="1976">
      <c r="A1976" s="0" t="inlineStr">
        <is>
          <t>DEEP1M</t>
        </is>
      </c>
      <c r="B1976" s="0" t="inlineStr">
        <is>
          <t>I121</t>
        </is>
      </c>
      <c r="C1976" s="0" t="inlineStr">
        <is>
          <t>I134</t>
        </is>
      </c>
      <c r="D1976" s="0" t="n">
        <v>11.5731683166667</v>
      </c>
    </row>
    <row r="1977">
      <c r="A1977" s="0" t="inlineStr">
        <is>
          <t>DEEP1M</t>
        </is>
      </c>
      <c r="B1977" s="0" t="inlineStr">
        <is>
          <t>D122</t>
        </is>
      </c>
      <c r="C1977" s="0" t="inlineStr">
        <is>
          <t>D135</t>
        </is>
      </c>
      <c r="D1977" s="0" t="inlineStr">
        <is>
          <t>(i)+(ii)+(iii)</t>
        </is>
      </c>
    </row>
    <row r="1978">
      <c r="A1978" s="0" t="inlineStr">
        <is>
          <t>DEEP1M</t>
        </is>
      </c>
      <c r="B1978" s="0" t="inlineStr">
        <is>
          <t>F122</t>
        </is>
      </c>
      <c r="C1978" s="0" t="inlineStr">
        <is>
          <t>F135</t>
        </is>
      </c>
      <c r="D1978" s="0" t="n">
        <v>0.95</v>
      </c>
    </row>
    <row r="1979">
      <c r="A1979" s="0" t="inlineStr">
        <is>
          <t>DEEP1M</t>
        </is>
      </c>
      <c r="B1979" s="0" t="inlineStr">
        <is>
          <t>G122</t>
        </is>
      </c>
      <c r="C1979" s="0" t="inlineStr">
        <is>
          <t>G135</t>
        </is>
      </c>
      <c r="D1979" s="0" t="n">
        <v>2.29042563333333</v>
      </c>
    </row>
    <row r="1980">
      <c r="A1980" s="0" t="inlineStr">
        <is>
          <t>DEEP1M</t>
        </is>
      </c>
      <c r="B1980" s="0" t="inlineStr">
        <is>
          <t>H122</t>
        </is>
      </c>
      <c r="C1980" s="0" t="inlineStr">
        <is>
          <t>H135</t>
        </is>
      </c>
      <c r="D1980" s="0" t="n">
        <v>234.5104</v>
      </c>
    </row>
    <row r="1981">
      <c r="A1981" s="0" t="inlineStr">
        <is>
          <t>DEEP1M</t>
        </is>
      </c>
      <c r="B1981" s="0" t="inlineStr">
        <is>
          <t>I122</t>
        </is>
      </c>
      <c r="C1981" s="0" t="inlineStr">
        <is>
          <t>I135</t>
        </is>
      </c>
      <c r="D1981" s="0" t="n">
        <v>5.3532408</v>
      </c>
    </row>
  </sheetData>
  <autoFilter ref="A1:D1981"/>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H30"/>
  <sheetViews>
    <sheetView workbookViewId="0">
      <pane xSplit="3" ySplit="1" topLeftCell="D2"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3.5"/>
  <sheetData>
    <row r="1">
      <c r="A1" s="7" t="inlineStr">
        <is>
          <t>dataset</t>
        </is>
      </c>
      <c r="B1" s="7" t="inlineStr">
        <is>
          <t>model</t>
        </is>
      </c>
      <c r="C1" s="7" t="inlineStr">
        <is>
          <t>N</t>
        </is>
      </c>
      <c r="D1" s="7" t="inlineStr">
        <is>
          <t>M</t>
        </is>
      </c>
      <c r="E1" s="7" t="inlineStr">
        <is>
          <t>K</t>
        </is>
      </c>
      <c r="F1" s="7" t="inlineStr">
        <is>
          <t>max measured grid Recall@10</t>
        </is>
      </c>
      <c r="G1" s="7" t="inlineStr">
        <is>
          <t>selected</t>
        </is>
      </c>
      <c r="H1" s="7" t="inlineStr">
        <is>
          <t>calibration source</t>
        </is>
      </c>
    </row>
    <row r="2">
      <c r="A2" s="0" t="inlineStr">
        <is>
          <t>deep1m</t>
        </is>
      </c>
      <c r="B2" s="0" t="inlineStr">
        <is>
          <t>deep1m-1000000</t>
        </is>
      </c>
      <c r="C2" s="0" t="n">
        <v>1000000</v>
      </c>
      <c r="D2" s="0" t="n">
        <v>8</v>
      </c>
      <c r="E2" s="0" t="n">
        <v>256</v>
      </c>
      <c r="F2" s="0" t="n">
        <v>0.34</v>
      </c>
      <c r="G2" s="0" t="b">
        <v>0</v>
      </c>
      <c r="H2" s="0" t="inlineStr">
        <is>
          <t>/mnt/d/paper_source/work_9/VeriANN_repro_2026-09-30/VeriANN_repro_2026-09-30/V3DB-26VLDB/work9-cache/deep1m-1000000/calibration.json</t>
        </is>
      </c>
    </row>
    <row r="3">
      <c r="A3" s="0" t="inlineStr">
        <is>
          <t>deep1m</t>
        </is>
      </c>
      <c r="B3" s="0" t="inlineStr">
        <is>
          <t>deep1m-1000000-M24</t>
        </is>
      </c>
      <c r="C3" s="0" t="n">
        <v>1000000</v>
      </c>
      <c r="D3" s="0" t="n">
        <v>24</v>
      </c>
      <c r="E3" s="0" t="n">
        <v>256</v>
      </c>
      <c r="F3" s="0" t="n">
        <v>0.71</v>
      </c>
      <c r="G3" s="0" t="b">
        <v>0</v>
      </c>
      <c r="H3" s="0" t="inlineStr">
        <is>
          <t>/mnt/d/paper_source/work_9/VeriANN_repro_2026-09-30/VeriANN_repro_2026-09-30/V3DB-26VLDB/work9-cache/deep1m-1000000-M24/calibration.json</t>
        </is>
      </c>
    </row>
    <row r="4">
      <c r="A4" s="0" t="inlineStr">
        <is>
          <t>deep1m</t>
        </is>
      </c>
      <c r="B4" s="0" t="inlineStr">
        <is>
          <t>deep1m-1000000-M48</t>
        </is>
      </c>
      <c r="C4" s="0" t="n">
        <v>1000000</v>
      </c>
      <c r="D4" s="0" t="n">
        <v>48</v>
      </c>
      <c r="E4" s="0" t="n">
        <v>256</v>
      </c>
      <c r="F4" s="0" t="n">
        <v>0.855</v>
      </c>
      <c r="G4" s="0" t="b">
        <v>0</v>
      </c>
      <c r="H4" s="0" t="inlineStr">
        <is>
          <t>/mnt/d/paper_source/work_9/VeriANN_repro_2026-09-30/VeriANN_repro_2026-09-30/V3DB-26VLDB/work9-cache/deep1m-1000000-M48/calibration.json</t>
        </is>
      </c>
    </row>
    <row r="5">
      <c r="A5" s="0" t="inlineStr">
        <is>
          <t>deep1m</t>
        </is>
      </c>
      <c r="B5" s="0" t="inlineStr">
        <is>
          <t>deep1m-1000000-M96</t>
        </is>
      </c>
      <c r="C5" s="0" t="n">
        <v>1000000</v>
      </c>
      <c r="D5" s="0" t="n">
        <v>96</v>
      </c>
      <c r="E5" s="0" t="n">
        <v>256</v>
      </c>
      <c r="F5" s="0" t="n">
        <v>0.965</v>
      </c>
      <c r="G5" s="0" t="b">
        <v>0</v>
      </c>
      <c r="H5" s="0" t="inlineStr">
        <is>
          <t>/mnt/d/paper_source/work_9/VeriANN_repro_2026-09-30/VeriANN_repro_2026-09-30/V3DB-26VLDB/work9-cache/deep1m-1000000-M96/calibration.json</t>
        </is>
      </c>
    </row>
    <row r="6">
      <c r="A6" s="0" t="inlineStr">
        <is>
          <t>deep1m</t>
        </is>
      </c>
      <c r="B6" s="0" t="inlineStr">
        <is>
          <t>deep1m-1000000-M96-K1024</t>
        </is>
      </c>
      <c r="C6" s="0" t="n">
        <v>1000000</v>
      </c>
      <c r="D6" s="0" t="n">
        <v>96</v>
      </c>
      <c r="E6" s="0" t="n">
        <v>1024</v>
      </c>
      <c r="F6" s="0" t="n">
        <v>0.98</v>
      </c>
      <c r="G6" s="0" t="b">
        <v>1</v>
      </c>
      <c r="H6" s="0" t="inlineStr">
        <is>
          <t>/mnt/d/paper_source/work_9/VeriANN_repro_2026-09-30/VeriANN_repro_2026-09-30/V3DB-26VLDB/work9-cache/deep1m-1000000-M96-K1024/calibration.json</t>
        </is>
      </c>
    </row>
    <row r="7">
      <c r="A7" s="0" t="inlineStr">
        <is>
          <t>deep1m</t>
        </is>
      </c>
      <c r="B7" s="0" t="inlineStr">
        <is>
          <t>deep1m-1000000-M96-K512</t>
        </is>
      </c>
      <c r="C7" s="0" t="n">
        <v>1000000</v>
      </c>
      <c r="D7" s="0" t="n">
        <v>96</v>
      </c>
      <c r="E7" s="0" t="n">
        <v>512</v>
      </c>
      <c r="F7" s="0" t="n">
        <v>0.965</v>
      </c>
      <c r="G7" s="0" t="b">
        <v>0</v>
      </c>
      <c r="H7" s="0" t="inlineStr">
        <is>
          <t>/mnt/d/paper_source/work_9/VeriANN_repro_2026-09-30/VeriANN_repro_2026-09-30/V3DB-26VLDB/work9-cache/deep1m-1000000-M96-K512/calibration.json</t>
        </is>
      </c>
    </row>
    <row r="14">
      <c r="A14" s="0" t="inlineStr">
        <is>
          <t>glove100</t>
        </is>
      </c>
      <c r="B14" s="0" t="inlineStr">
        <is>
          <t>glove100-1183514</t>
        </is>
      </c>
      <c r="C14" s="0" t="n">
        <v>1183514</v>
      </c>
      <c r="D14" s="0" t="n">
        <v>10</v>
      </c>
      <c r="E14" s="0" t="n">
        <v>256</v>
      </c>
      <c r="F14" s="0" t="n">
        <v>0.29</v>
      </c>
      <c r="G14" s="0" t="b">
        <v>0</v>
      </c>
      <c r="H14" s="0" t="inlineStr">
        <is>
          <t>/mnt/d/paper_source/work_9/VeriANN_repro_2026-09-30/VeriANN_repro_2026-09-30/V3DB-26VLDB/work9-cache/glove100-1183514/calibration.json</t>
        </is>
      </c>
    </row>
    <row r="15">
      <c r="A15" s="0" t="inlineStr">
        <is>
          <t>glove100</t>
        </is>
      </c>
      <c r="B15" s="0" t="inlineStr">
        <is>
          <t>glove100-1183514-M100</t>
        </is>
      </c>
      <c r="C15" s="0" t="n">
        <v>1183514</v>
      </c>
      <c r="D15" s="0" t="n">
        <v>100</v>
      </c>
      <c r="E15" s="0" t="n">
        <v>256</v>
      </c>
      <c r="F15" s="0" t="n">
        <v>0.93</v>
      </c>
      <c r="G15" s="0" t="b">
        <v>0</v>
      </c>
      <c r="H15" s="0" t="inlineStr">
        <is>
          <t>/mnt/d/paper_source/work_9/VeriANN_repro_2026-09-30/VeriANN_repro_2026-09-30/V3DB-26VLDB/work9-cache/glove100-1183514-M100/calibration.json</t>
        </is>
      </c>
    </row>
    <row r="16">
      <c r="A16" s="0" t="inlineStr">
        <is>
          <t>glove100</t>
        </is>
      </c>
      <c r="B16" s="0" t="inlineStr">
        <is>
          <t>glove100-1183514-M100-K1024</t>
        </is>
      </c>
      <c r="C16" s="0" t="n">
        <v>1183514</v>
      </c>
      <c r="D16" s="0" t="n">
        <v>100</v>
      </c>
      <c r="E16" s="0" t="n">
        <v>1024</v>
      </c>
      <c r="F16" s="0" t="n">
        <v>0.98</v>
      </c>
      <c r="G16" s="0" t="b">
        <v>1</v>
      </c>
      <c r="H16" s="0" t="inlineStr">
        <is>
          <t>/mnt/d/paper_source/work_9/VeriANN_repro_2026-09-30/VeriANN_repro_2026-09-30/V3DB-26VLDB/work9-cache/glove100-1183514-M100-K1024/calibration.json</t>
        </is>
      </c>
    </row>
    <row r="17">
      <c r="A17" s="0" t="inlineStr">
        <is>
          <t>glove100</t>
        </is>
      </c>
      <c r="B17" s="0" t="inlineStr">
        <is>
          <t>glove100-1183514-M100-K512</t>
        </is>
      </c>
      <c r="C17" s="0" t="n">
        <v>1183514</v>
      </c>
      <c r="D17" s="0" t="n">
        <v>100</v>
      </c>
      <c r="E17" s="0" t="n">
        <v>512</v>
      </c>
      <c r="F17" s="0" t="n">
        <v>0.96</v>
      </c>
      <c r="G17" s="0" t="b">
        <v>0</v>
      </c>
      <c r="H17" s="0" t="inlineStr">
        <is>
          <t>/mnt/d/paper_source/work_9/VeriANN_repro_2026-09-30/VeriANN_repro_2026-09-30/V3DB-26VLDB/work9-cache/glove100-1183514-M100-K512/calibration.json</t>
        </is>
      </c>
    </row>
    <row r="18">
      <c r="A18" s="0" t="inlineStr">
        <is>
          <t>glove100</t>
        </is>
      </c>
      <c r="B18" s="0" t="inlineStr">
        <is>
          <t>glove100-1183514-M25</t>
        </is>
      </c>
      <c r="C18" s="0" t="n">
        <v>1183514</v>
      </c>
      <c r="D18" s="0" t="n">
        <v>25</v>
      </c>
      <c r="E18" s="0" t="n">
        <v>256</v>
      </c>
      <c r="F18" s="0" t="n">
        <v>0.5649999999999999</v>
      </c>
      <c r="G18" s="0" t="b">
        <v>0</v>
      </c>
      <c r="H18" s="0" t="inlineStr">
        <is>
          <t>/mnt/d/paper_source/work_9/VeriANN_repro_2026-09-30/VeriANN_repro_2026-09-30/V3DB-26VLDB/work9-cache/glove100-1183514-M25/calibration.json</t>
        </is>
      </c>
    </row>
    <row r="19">
      <c r="A19" s="0" t="inlineStr">
        <is>
          <t>glove100</t>
        </is>
      </c>
      <c r="B19" s="0" t="inlineStr">
        <is>
          <t>glove100-1183514-M50</t>
        </is>
      </c>
      <c r="C19" s="0" t="n">
        <v>1183514</v>
      </c>
      <c r="D19" s="0" t="n">
        <v>50</v>
      </c>
      <c r="E19" s="0" t="n">
        <v>256</v>
      </c>
      <c r="F19" s="0" t="n">
        <v>0.835</v>
      </c>
      <c r="G19" s="0" t="b">
        <v>0</v>
      </c>
      <c r="H19" s="0" t="inlineStr">
        <is>
          <t>/mnt/d/paper_source/work_9/VeriANN_repro_2026-09-30/VeriANN_repro_2026-09-30/V3DB-26VLDB/work9-cache/glove100-1183514-M50/calibration.json</t>
        </is>
      </c>
    </row>
    <row r="20">
      <c r="A20" s="0" t="inlineStr">
        <is>
          <t>nytimes256</t>
        </is>
      </c>
      <c r="B20" s="0" t="inlineStr">
        <is>
          <t>nytimes256-100000-M256</t>
        </is>
      </c>
      <c r="C20" s="0" t="n">
        <v>100000</v>
      </c>
      <c r="D20" s="0" t="n">
        <v>256</v>
      </c>
      <c r="E20" s="0" t="n">
        <v>256</v>
      </c>
      <c r="F20" s="0" t="n">
        <v>0.955</v>
      </c>
      <c r="G20" s="0" t="b">
        <v>0</v>
      </c>
      <c r="H20" s="0" t="inlineStr">
        <is>
          <t>/mnt/d/paper_source/work_9/VeriANN_repro_2026-09-30/VeriANN_repro_2026-09-30/V3DB-26VLDB/work9-cache/nytimes256-100000-M256/calibration.json</t>
        </is>
      </c>
    </row>
    <row r="21">
      <c r="A21" s="0" t="inlineStr">
        <is>
          <t>nytimes256</t>
        </is>
      </c>
      <c r="B21" s="0" t="inlineStr">
        <is>
          <t>nytimes256-289761</t>
        </is>
      </c>
      <c r="C21" s="0" t="n">
        <v>289761</v>
      </c>
      <c r="D21" s="0" t="n">
        <v>8</v>
      </c>
      <c r="E21" s="0" t="n">
        <v>256</v>
      </c>
      <c r="F21" s="0" t="n">
        <v>0.41</v>
      </c>
      <c r="G21" s="0" t="b">
        <v>0</v>
      </c>
      <c r="H21" s="0" t="inlineStr">
        <is>
          <t>/mnt/d/paper_source/work_9/VeriANN_repro_2026-09-30/VeriANN_repro_2026-09-30/V3DB-26VLDB/work9-cache/nytimes256-289761/calibration.json</t>
        </is>
      </c>
    </row>
    <row r="22">
      <c r="A22" s="0" t="inlineStr">
        <is>
          <t>nytimes256</t>
        </is>
      </c>
      <c r="B22" s="0" t="inlineStr">
        <is>
          <t>nytimes256-289761-M128</t>
        </is>
      </c>
      <c r="C22" s="0" t="n">
        <v>289761</v>
      </c>
      <c r="D22" s="0" t="n">
        <v>128</v>
      </c>
      <c r="E22" s="0" t="n">
        <v>256</v>
      </c>
      <c r="F22" s="0" t="n">
        <v>0.945</v>
      </c>
      <c r="G22" s="0" t="b">
        <v>0</v>
      </c>
      <c r="H22" s="0" t="inlineStr">
        <is>
          <t>/mnt/d/paper_source/work_9/VeriANN_repro_2026-09-30/VeriANN_repro_2026-09-30/V3DB-26VLDB/work9-cache/nytimes256-289761-M128/calibration.json</t>
        </is>
      </c>
    </row>
    <row r="23">
      <c r="A23" s="0" t="inlineStr">
        <is>
          <t>nytimes256</t>
        </is>
      </c>
      <c r="B23" s="0" t="inlineStr">
        <is>
          <t>nytimes256-289761-M256</t>
        </is>
      </c>
      <c r="C23" s="0" t="n">
        <v>289761</v>
      </c>
      <c r="D23" s="0" t="n">
        <v>256</v>
      </c>
      <c r="E23" s="0" t="n">
        <v>256</v>
      </c>
      <c r="F23" s="0" t="n">
        <v>1</v>
      </c>
      <c r="G23" s="0" t="b">
        <v>1</v>
      </c>
      <c r="H23" s="0" t="inlineStr">
        <is>
          <t>/mnt/d/paper_source/work_9/VeriANN_repro_2026-09-30/VeriANN_repro_2026-09-30/V3DB-26VLDB/work9-cache/nytimes256-289761-M256/calibration.json</t>
        </is>
      </c>
    </row>
    <row r="24">
      <c r="A24" s="0" t="inlineStr">
        <is>
          <t>nytimes256</t>
        </is>
      </c>
      <c r="B24" s="0" t="inlineStr">
        <is>
          <t>nytimes256-289761-M64</t>
        </is>
      </c>
      <c r="C24" s="0" t="n">
        <v>289761</v>
      </c>
      <c r="D24" s="0" t="n">
        <v>64</v>
      </c>
      <c r="E24" s="0" t="n">
        <v>256</v>
      </c>
      <c r="F24" s="0" t="n">
        <v>0.785</v>
      </c>
      <c r="G24" s="0" t="b">
        <v>0</v>
      </c>
      <c r="H24" s="0" t="inlineStr">
        <is>
          <t>/mnt/d/paper_source/work_9/VeriANN_repro_2026-09-30/VeriANN_repro_2026-09-30/V3DB-26VLDB/work9-cache/nytimes256-289761-M64/calibration.json</t>
        </is>
      </c>
    </row>
    <row r="25">
      <c r="A25" s="0" t="inlineStr">
        <is>
          <t>sift1m</t>
        </is>
      </c>
      <c r="B25" s="0" t="inlineStr">
        <is>
          <t>sift1m-1000000</t>
        </is>
      </c>
      <c r="C25" s="0" t="n">
        <v>1000000</v>
      </c>
      <c r="D25" s="0" t="n">
        <v>8</v>
      </c>
      <c r="E25" s="0" t="n">
        <v>256</v>
      </c>
      <c r="F25" s="0" t="n">
        <v>0.435</v>
      </c>
      <c r="G25" s="0" t="b">
        <v>0</v>
      </c>
      <c r="H25" s="0" t="inlineStr">
        <is>
          <t>/mnt/d/paper_source/work_9/VeriANN_repro_2026-09-30/VeriANN_repro_2026-09-30/V3DB-26VLDB/work9-cache/sift1m-1000000/calibration.json</t>
        </is>
      </c>
    </row>
    <row r="26">
      <c r="A26" s="0" t="inlineStr">
        <is>
          <t>sift1m</t>
        </is>
      </c>
      <c r="B26" s="0" t="inlineStr">
        <is>
          <t>sift1m-1000000-M128</t>
        </is>
      </c>
      <c r="C26" s="0" t="n">
        <v>1000000</v>
      </c>
      <c r="D26" s="0" t="n">
        <v>128</v>
      </c>
      <c r="E26" s="0" t="n">
        <v>256</v>
      </c>
      <c r="F26" s="0" t="n">
        <v>0.985</v>
      </c>
      <c r="G26" s="0" t="b">
        <v>0</v>
      </c>
      <c r="H26" s="0" t="inlineStr">
        <is>
          <t>/mnt/d/paper_source/work_9/VeriANN_repro_2026-09-30/VeriANN_repro_2026-09-30/V3DB-26VLDB/work9-cache/sift1m-1000000-M128/calibration.json</t>
        </is>
      </c>
    </row>
    <row r="27">
      <c r="A27" s="0" t="inlineStr">
        <is>
          <t>sift1m</t>
        </is>
      </c>
      <c r="B27" s="0" t="inlineStr">
        <is>
          <t>sift1m-1000000-M128-K1024</t>
        </is>
      </c>
      <c r="C27" s="0" t="n">
        <v>1000000</v>
      </c>
      <c r="D27" s="0" t="n">
        <v>128</v>
      </c>
      <c r="E27" s="0" t="n">
        <v>1024</v>
      </c>
      <c r="F27" s="0" t="n">
        <v>1</v>
      </c>
      <c r="G27" s="0" t="b">
        <v>1</v>
      </c>
      <c r="H27" s="0" t="inlineStr">
        <is>
          <t>/mnt/d/paper_source/work_9/VeriANN_repro_2026-09-30/VeriANN_repro_2026-09-30/V3DB-26VLDB/work9-cache/sift1m-1000000-M128-K1024/calibration.json</t>
        </is>
      </c>
    </row>
    <row r="28">
      <c r="A28" s="0" t="inlineStr">
        <is>
          <t>sift1m</t>
        </is>
      </c>
      <c r="B28" s="0" t="inlineStr">
        <is>
          <t>sift1m-1000000-M128-K512</t>
        </is>
      </c>
      <c r="C28" s="0" t="n">
        <v>1000000</v>
      </c>
      <c r="D28" s="0" t="n">
        <v>128</v>
      </c>
      <c r="E28" s="0" t="n">
        <v>512</v>
      </c>
      <c r="F28" s="0" t="n">
        <v>0.985</v>
      </c>
      <c r="G28" s="0" t="b">
        <v>0</v>
      </c>
      <c r="H28" s="0" t="inlineStr">
        <is>
          <t>/mnt/d/paper_source/work_9/VeriANN_repro_2026-09-30/VeriANN_repro_2026-09-30/V3DB-26VLDB/work9-cache/sift1m-1000000-M128-K512/calibration.json</t>
        </is>
      </c>
    </row>
    <row r="29">
      <c r="A29" s="0" t="inlineStr">
        <is>
          <t>sift1m</t>
        </is>
      </c>
      <c r="B29" s="0" t="inlineStr">
        <is>
          <t>sift1m-1000000-M32</t>
        </is>
      </c>
      <c r="C29" s="0" t="n">
        <v>1000000</v>
      </c>
      <c r="D29" s="0" t="n">
        <v>32</v>
      </c>
      <c r="E29" s="0" t="n">
        <v>256</v>
      </c>
      <c r="F29" s="0" t="n">
        <v>0.74</v>
      </c>
      <c r="G29" s="0" t="b">
        <v>0</v>
      </c>
      <c r="H29" s="0" t="inlineStr">
        <is>
          <t>/mnt/d/paper_source/work_9/VeriANN_repro_2026-09-30/VeriANN_repro_2026-09-30/V3DB-26VLDB/work9-cache/sift1m-1000000-M32/calibration.json</t>
        </is>
      </c>
    </row>
    <row r="30">
      <c r="A30" s="0" t="inlineStr">
        <is>
          <t>sift1m</t>
        </is>
      </c>
      <c r="B30" s="0" t="inlineStr">
        <is>
          <t>sift1m-1000000-M64</t>
        </is>
      </c>
      <c r="C30" s="0" t="n">
        <v>1000000</v>
      </c>
      <c r="D30" s="0" t="n">
        <v>64</v>
      </c>
      <c r="E30" s="0" t="n">
        <v>256</v>
      </c>
      <c r="F30" s="0" t="n">
        <v>0.89</v>
      </c>
      <c r="G30" s="0" t="b">
        <v>0</v>
      </c>
      <c r="H30" s="0" t="inlineStr">
        <is>
          <t>/mnt/d/paper_source/work_9/VeriANN_repro_2026-09-30/VeriANN_repro_2026-09-30/V3DB-26VLDB/work9-cache/sift1m-1000000-M64/calibration.json</t>
        </is>
      </c>
    </row>
  </sheetData>
  <autoFilter ref="A1:H30"/>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R48"/>
  <sheetViews>
    <sheetView workbookViewId="0">
      <pane xSplit="3" ySplit="1" topLeftCell="D2"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3.5"/>
  <sheetData>
    <row r="1">
      <c r="A1" s="7" t="inlineStr">
        <is>
          <t>job</t>
        </is>
      </c>
      <c r="B1" s="7" t="inlineStr">
        <is>
          <t>status</t>
        </is>
      </c>
      <c r="C1" s="7" t="inlineStr">
        <is>
          <t>N</t>
        </is>
      </c>
      <c r="D1" s="7" t="inlineStr">
        <is>
          <t>M</t>
        </is>
      </c>
      <c r="E1" s="7" t="inlineStr">
        <is>
          <t>K</t>
        </is>
      </c>
      <c r="F1" s="7" t="inlineStr">
        <is>
          <t>n_probe</t>
        </is>
      </c>
      <c r="G1" s="7" t="inlineStr">
        <is>
          <t>k</t>
        </is>
      </c>
      <c r="H1" s="7" t="inlineStr">
        <is>
          <t>distinct queries</t>
        </is>
      </c>
      <c r="I1" s="7" t="inlineStr">
        <is>
          <t>repeats</t>
        </is>
      </c>
      <c r="J1" s="7" t="inlineStr">
        <is>
          <t>samples</t>
        </is>
      </c>
      <c r="K1" s="7" t="inlineStr">
        <is>
          <t>Recall@k</t>
        </is>
      </c>
      <c r="L1" s="7" t="inlineStr">
        <is>
          <t>Query ms</t>
        </is>
      </c>
      <c r="M1" s="7" t="inlineStr">
        <is>
          <t>Verify ms</t>
        </is>
      </c>
      <c r="N1" s="7" t="inlineStr">
        <is>
          <t>VO decimal KB</t>
        </is>
      </c>
      <c r="O1" s="7" t="inlineStr">
        <is>
          <t>gate count</t>
        </is>
      </c>
      <c r="P1" s="7" t="inlineStr">
        <is>
          <t>lookup tuples</t>
        </is>
      </c>
      <c r="Q1" s="7" t="inlineStr">
        <is>
          <t>reason</t>
        </is>
      </c>
      <c r="R1" s="7" t="inlineStr">
        <is>
          <t>source</t>
        </is>
      </c>
    </row>
    <row r="2">
      <c r="A2" s="0" t="inlineStr">
        <is>
          <t>deep1m-1000000-M96-K1024-p16-k10-q20-r3-t1</t>
        </is>
      </c>
      <c r="B2" s="0" t="inlineStr">
        <is>
          <t>resource_limit</t>
        </is>
      </c>
      <c r="C2" s="0" t="n">
        <v>1000000</v>
      </c>
      <c r="D2" s="0" t="n">
        <v>96</v>
      </c>
      <c r="E2" s="0" t="n">
        <v>1024</v>
      </c>
      <c r="F2" s="0" t="n">
        <v>16</v>
      </c>
      <c r="G2" s="0" t="n">
        <v>10</v>
      </c>
      <c r="Q2" s="0" t="inlineStr">
        <is>
          <t>actual author circuit construction/proving attempt failed allocation under 50 GiB process address-space limit</t>
        </is>
      </c>
      <c r="R2" s="0" t="inlineStr">
        <is>
          <t>/mnt/d/paper_source/work_9/VeriANN_repro_2026-09-30/VeriANN_repro_2026-09-30/results/work9-v3db-20261016/deep1m-1000000-M96-K1024-p16-k10-q20-r3-t1/result.json</t>
        </is>
      </c>
    </row>
    <row r="14">
      <c r="A14" s="0" t="inlineStr">
        <is>
          <t>glove100-1183514-M100-K1024-p128-k10-q20-r3-t1</t>
        </is>
      </c>
      <c r="B14" s="0" t="inlineStr">
        <is>
          <t>resource_limit</t>
        </is>
      </c>
      <c r="C14" s="0" t="n">
        <v>1183514</v>
      </c>
      <c r="D14" s="0" t="n">
        <v>100</v>
      </c>
      <c r="E14" s="0" t="n">
        <v>1024</v>
      </c>
      <c r="F14" s="0" t="n">
        <v>128</v>
      </c>
      <c r="G14" s="0" t="n">
        <v>10</v>
      </c>
      <c r="P14" s="0" t="n">
        <v>52428800</v>
      </c>
      <c r="Q14" s="0" t="inlineStr">
        <is>
          <t>circuit shape exceeds declared construction-memory budget before building gates; no gate/time estimate reported</t>
        </is>
      </c>
      <c r="R14" s="0" t="inlineStr">
        <is>
          <t>/mnt/d/paper_source/work_9/VeriANN_repro_2026-09-30/VeriANN_repro_2026-09-30/results/work9-v3db-20261016/glove100-1183514-M100-K1024-p128-k10-q20-r3-t1/result.json</t>
        </is>
      </c>
    </row>
    <row r="15">
      <c r="A15" s="0" t="inlineStr">
        <is>
          <t>glove100-1183514-M100-K1024-p16-k10-q20-r3-t1</t>
        </is>
      </c>
      <c r="B15" s="0" t="inlineStr">
        <is>
          <t>resource_limit</t>
        </is>
      </c>
      <c r="C15" s="0" t="n">
        <v>1183514</v>
      </c>
      <c r="D15" s="0" t="n">
        <v>100</v>
      </c>
      <c r="E15" s="0" t="n">
        <v>1024</v>
      </c>
      <c r="F15" s="0" t="n">
        <v>16</v>
      </c>
      <c r="G15" s="0" t="n">
        <v>10</v>
      </c>
      <c r="P15" s="0" t="n">
        <v>6553600</v>
      </c>
      <c r="Q15" s="0" t="inlineStr">
        <is>
          <t>circuit shape exceeds declared construction-memory budget before building gates; no gate/time estimate reported</t>
        </is>
      </c>
      <c r="R15" s="0" t="inlineStr">
        <is>
          <t>/mnt/d/paper_source/work_9/VeriANN_repro_2026-09-30/VeriANN_repro_2026-09-30/results/work9-v3db-20261016/glove100-1183514-M100-K1024-p16-k10-q20-r3-t1/result.json</t>
        </is>
      </c>
    </row>
    <row r="16">
      <c r="A16" s="0" t="inlineStr">
        <is>
          <t>glove100-1183514-M100-K1024-p256-k1-q20-r3-t1</t>
        </is>
      </c>
      <c r="B16" s="0" t="inlineStr">
        <is>
          <t>resource_limit</t>
        </is>
      </c>
      <c r="C16" s="0" t="n">
        <v>1183514</v>
      </c>
      <c r="D16" s="0" t="n">
        <v>100</v>
      </c>
      <c r="E16" s="0" t="n">
        <v>1024</v>
      </c>
      <c r="F16" s="0" t="n">
        <v>256</v>
      </c>
      <c r="G16" s="0" t="n">
        <v>1</v>
      </c>
      <c r="P16" s="0" t="n">
        <v>104857600</v>
      </c>
      <c r="Q16" s="0" t="inlineStr">
        <is>
          <t>circuit shape exceeds declared construction-memory budget before building gates; no gate/time estimate reported</t>
        </is>
      </c>
      <c r="R16" s="0" t="inlineStr">
        <is>
          <t>/mnt/d/paper_source/work_9/VeriANN_repro_2026-09-30/VeriANN_repro_2026-09-30/results/work9-v3db-20261016/glove100-1183514-M100-K1024-p256-k1-q20-r3-t1/result.json</t>
        </is>
      </c>
    </row>
    <row r="17">
      <c r="A17" s="0" t="inlineStr">
        <is>
          <t>glove100-1183514-M100-K1024-p256-k10-q20-r3-t1</t>
        </is>
      </c>
      <c r="B17" s="0" t="inlineStr">
        <is>
          <t>resource_limit</t>
        </is>
      </c>
      <c r="C17" s="0" t="n">
        <v>1183514</v>
      </c>
      <c r="D17" s="0" t="n">
        <v>100</v>
      </c>
      <c r="E17" s="0" t="n">
        <v>1024</v>
      </c>
      <c r="F17" s="0" t="n">
        <v>256</v>
      </c>
      <c r="G17" s="0" t="n">
        <v>10</v>
      </c>
      <c r="Q17" s="0" t="inlineStr">
        <is>
          <t>actual author circuit construction/proving attempt failed allocation under 50 GiB process address-space limit</t>
        </is>
      </c>
      <c r="R17" s="0" t="inlineStr">
        <is>
          <t>/mnt/d/paper_source/work_9/VeriANN_repro_2026-09-30/VeriANN_repro_2026-09-30/results/work9-v3db-20261016/glove100-1183514-M100-K1024-p256-k10-q20-r3-t1/result.json</t>
        </is>
      </c>
    </row>
    <row r="18">
      <c r="A18" s="0" t="inlineStr">
        <is>
          <t>glove100-1183514-M100-K1024-p256-k100-q20-r3-t1</t>
        </is>
      </c>
      <c r="B18" s="0" t="inlineStr">
        <is>
          <t>resource_limit</t>
        </is>
      </c>
      <c r="C18" s="0" t="n">
        <v>1183514</v>
      </c>
      <c r="D18" s="0" t="n">
        <v>100</v>
      </c>
      <c r="E18" s="0" t="n">
        <v>1024</v>
      </c>
      <c r="F18" s="0" t="n">
        <v>256</v>
      </c>
      <c r="G18" s="0" t="n">
        <v>100</v>
      </c>
      <c r="P18" s="0" t="n">
        <v>104857600</v>
      </c>
      <c r="Q18" s="0" t="inlineStr">
        <is>
          <t>circuit shape exceeds declared construction-memory budget before building gates; no gate/time estimate reported</t>
        </is>
      </c>
      <c r="R18" s="0" t="inlineStr">
        <is>
          <t>/mnt/d/paper_source/work_9/VeriANN_repro_2026-09-30/VeriANN_repro_2026-09-30/results/work9-v3db-20261016/glove100-1183514-M100-K1024-p256-k100-q20-r3-t1/result.json</t>
        </is>
      </c>
    </row>
    <row r="19">
      <c r="A19" s="0" t="inlineStr">
        <is>
          <t>glove100-1183514-M100-K1024-p256-k20-q20-r3-t1</t>
        </is>
      </c>
      <c r="B19" s="0" t="inlineStr">
        <is>
          <t>resource_limit</t>
        </is>
      </c>
      <c r="C19" s="0" t="n">
        <v>1183514</v>
      </c>
      <c r="D19" s="0" t="n">
        <v>100</v>
      </c>
      <c r="E19" s="0" t="n">
        <v>1024</v>
      </c>
      <c r="F19" s="0" t="n">
        <v>256</v>
      </c>
      <c r="G19" s="0" t="n">
        <v>20</v>
      </c>
      <c r="P19" s="0" t="n">
        <v>104857600</v>
      </c>
      <c r="Q19" s="0" t="inlineStr">
        <is>
          <t>circuit shape exceeds declared construction-memory budget before building gates; no gate/time estimate reported</t>
        </is>
      </c>
      <c r="R19" s="0" t="inlineStr">
        <is>
          <t>/mnt/d/paper_source/work_9/VeriANN_repro_2026-09-30/VeriANN_repro_2026-09-30/results/work9-v3db-20261016/glove100-1183514-M100-K1024-p256-k20-q20-r3-t1/result.json</t>
        </is>
      </c>
    </row>
    <row r="20">
      <c r="A20" s="0" t="inlineStr">
        <is>
          <t>glove100-1183514-M100-K1024-p256-k5-q20-r3-t1</t>
        </is>
      </c>
      <c r="B20" s="0" t="inlineStr">
        <is>
          <t>resource_limit</t>
        </is>
      </c>
      <c r="C20" s="0" t="n">
        <v>1183514</v>
      </c>
      <c r="D20" s="0" t="n">
        <v>100</v>
      </c>
      <c r="E20" s="0" t="n">
        <v>1024</v>
      </c>
      <c r="F20" s="0" t="n">
        <v>256</v>
      </c>
      <c r="G20" s="0" t="n">
        <v>5</v>
      </c>
      <c r="P20" s="0" t="n">
        <v>104857600</v>
      </c>
      <c r="Q20" s="0" t="inlineStr">
        <is>
          <t>circuit shape exceeds declared construction-memory budget before building gates; no gate/time estimate reported</t>
        </is>
      </c>
      <c r="R20" s="0" t="inlineStr">
        <is>
          <t>/mnt/d/paper_source/work_9/VeriANN_repro_2026-09-30/VeriANN_repro_2026-09-30/results/work9-v3db-20261016/glove100-1183514-M100-K1024-p256-k5-q20-r3-t1/result.json</t>
        </is>
      </c>
    </row>
    <row r="21">
      <c r="A21" s="0" t="inlineStr">
        <is>
          <t>glove100-1183514-M100-K1024-p256-k50-q20-r3-t1</t>
        </is>
      </c>
      <c r="B21" s="0" t="inlineStr">
        <is>
          <t>resource_limit</t>
        </is>
      </c>
      <c r="C21" s="0" t="n">
        <v>1183514</v>
      </c>
      <c r="D21" s="0" t="n">
        <v>100</v>
      </c>
      <c r="E21" s="0" t="n">
        <v>1024</v>
      </c>
      <c r="F21" s="0" t="n">
        <v>256</v>
      </c>
      <c r="G21" s="0" t="n">
        <v>50</v>
      </c>
      <c r="P21" s="0" t="n">
        <v>104857600</v>
      </c>
      <c r="Q21" s="0" t="inlineStr">
        <is>
          <t>circuit shape exceeds declared construction-memory budget before building gates; no gate/time estimate reported</t>
        </is>
      </c>
      <c r="R21" s="0" t="inlineStr">
        <is>
          <t>/mnt/d/paper_source/work_9/VeriANN_repro_2026-09-30/VeriANN_repro_2026-09-30/results/work9-v3db-20261016/glove100-1183514-M100-K1024-p256-k50-q20-r3-t1/result.json</t>
        </is>
      </c>
    </row>
    <row r="22">
      <c r="A22" s="0" t="inlineStr">
        <is>
          <t>glove100-1183514-M100-K1024-p32-k10-q20-r3-t1</t>
        </is>
      </c>
      <c r="B22" s="0" t="inlineStr">
        <is>
          <t>resource_limit</t>
        </is>
      </c>
      <c r="C22" s="0" t="n">
        <v>1183514</v>
      </c>
      <c r="D22" s="0" t="n">
        <v>100</v>
      </c>
      <c r="E22" s="0" t="n">
        <v>1024</v>
      </c>
      <c r="F22" s="0" t="n">
        <v>32</v>
      </c>
      <c r="G22" s="0" t="n">
        <v>10</v>
      </c>
      <c r="P22" s="0" t="n">
        <v>13107200</v>
      </c>
      <c r="Q22" s="0" t="inlineStr">
        <is>
          <t>circuit shape exceeds declared construction-memory budget before building gates; no gate/time estimate reported</t>
        </is>
      </c>
      <c r="R22" s="0" t="inlineStr">
        <is>
          <t>/mnt/d/paper_source/work_9/VeriANN_repro_2026-09-30/VeriANN_repro_2026-09-30/results/work9-v3db-20261016/glove100-1183514-M100-K1024-p32-k10-q20-r3-t1/result.json</t>
        </is>
      </c>
    </row>
    <row r="23">
      <c r="A23" s="0" t="inlineStr">
        <is>
          <t>glove100-1183514-M100-K1024-p512-k10-q20-r3-t1</t>
        </is>
      </c>
      <c r="B23" s="0" t="inlineStr">
        <is>
          <t>resource_limit</t>
        </is>
      </c>
      <c r="C23" s="0" t="n">
        <v>1183514</v>
      </c>
      <c r="D23" s="0" t="n">
        <v>100</v>
      </c>
      <c r="E23" s="0" t="n">
        <v>1024</v>
      </c>
      <c r="F23" s="0" t="n">
        <v>512</v>
      </c>
      <c r="G23" s="0" t="n">
        <v>10</v>
      </c>
      <c r="P23" s="0" t="n">
        <v>209715200</v>
      </c>
      <c r="Q23" s="0" t="inlineStr">
        <is>
          <t>circuit shape exceeds declared construction-memory budget before building gates; no gate/time estimate reported</t>
        </is>
      </c>
      <c r="R23" s="0" t="inlineStr">
        <is>
          <t>/mnt/d/paper_source/work_9/VeriANN_repro_2026-09-30/VeriANN_repro_2026-09-30/results/work9-v3db-20261016/glove100-1183514-M100-K1024-p512-k10-q20-r3-t1/result.json</t>
        </is>
      </c>
    </row>
    <row r="24">
      <c r="A24" s="0" t="inlineStr">
        <is>
          <t>glove100-1183514-M100-K1024-p64-k10-q20-r3-t1</t>
        </is>
      </c>
      <c r="B24" s="0" t="inlineStr">
        <is>
          <t>resource_limit</t>
        </is>
      </c>
      <c r="C24" s="0" t="n">
        <v>1183514</v>
      </c>
      <c r="D24" s="0" t="n">
        <v>100</v>
      </c>
      <c r="E24" s="0" t="n">
        <v>1024</v>
      </c>
      <c r="F24" s="0" t="n">
        <v>64</v>
      </c>
      <c r="G24" s="0" t="n">
        <v>10</v>
      </c>
      <c r="P24" s="0" t="n">
        <v>26214400</v>
      </c>
      <c r="Q24" s="0" t="inlineStr">
        <is>
          <t>circuit shape exceeds declared construction-memory budget before building gates; no gate/time estimate reported</t>
        </is>
      </c>
      <c r="R24" s="0" t="inlineStr">
        <is>
          <t>/mnt/d/paper_source/work_9/VeriANN_repro_2026-09-30/VeriANN_repro_2026-09-30/results/work9-v3db-20261016/glove100-1183514-M100-K1024-p64-k10-q20-r3-t1/result.json</t>
        </is>
      </c>
    </row>
    <row r="25">
      <c r="A25" s="0" t="inlineStr">
        <is>
          <t>nytimes256-100000-M256-p512-k10-q20-r3-t1</t>
        </is>
      </c>
      <c r="B25" s="0" t="inlineStr">
        <is>
          <t>resource_limit</t>
        </is>
      </c>
      <c r="C25" s="0" t="n">
        <v>100000</v>
      </c>
      <c r="D25" s="0" t="n">
        <v>256</v>
      </c>
      <c r="E25" s="0" t="n">
        <v>256</v>
      </c>
      <c r="F25" s="0" t="n">
        <v>512</v>
      </c>
      <c r="G25" s="0" t="n">
        <v>10</v>
      </c>
      <c r="P25" s="0" t="n">
        <v>67108864</v>
      </c>
      <c r="Q25" s="0" t="inlineStr">
        <is>
          <t>circuit shape exceeds declared construction-memory budget before building gates; no gate/time estimate reported</t>
        </is>
      </c>
      <c r="R25" s="0" t="inlineStr">
        <is>
          <t>/mnt/d/paper_source/work_9/VeriANN_repro_2026-09-30/VeriANN_repro_2026-09-30/results/work9-v3db-20261016/nytimes256-100000-M256-p512-k10-q20-r3-t1/result.json</t>
        </is>
      </c>
    </row>
    <row r="26">
      <c r="A26" s="0" t="inlineStr">
        <is>
          <t>nytimes256-289761-M256-p128-k10-q20-r3-t1</t>
        </is>
      </c>
      <c r="B26" s="0" t="inlineStr">
        <is>
          <t>resource_limit</t>
        </is>
      </c>
      <c r="C26" s="0" t="n">
        <v>289761</v>
      </c>
      <c r="D26" s="0" t="n">
        <v>256</v>
      </c>
      <c r="E26" s="0" t="n">
        <v>256</v>
      </c>
      <c r="F26" s="0" t="n">
        <v>128</v>
      </c>
      <c r="G26" s="0" t="n">
        <v>10</v>
      </c>
      <c r="P26" s="0" t="n">
        <v>67108864</v>
      </c>
      <c r="Q26" s="0" t="inlineStr">
        <is>
          <t>circuit shape exceeds declared construction-memory budget before building gates; no gate/time estimate reported</t>
        </is>
      </c>
      <c r="R26" s="0" t="inlineStr">
        <is>
          <t>/mnt/d/paper_source/work_9/VeriANN_repro_2026-09-30/VeriANN_repro_2026-09-30/results/work9-v3db-20261016/nytimes256-289761-M256-p128-k10-q20-r3-t1/result.json</t>
        </is>
      </c>
    </row>
    <row r="27">
      <c r="A27" s="0" t="inlineStr">
        <is>
          <t>nytimes256-289761-M256-p16-k10-q20-r3-t1</t>
        </is>
      </c>
      <c r="B27" s="0" t="inlineStr">
        <is>
          <t>resource_limit</t>
        </is>
      </c>
      <c r="C27" s="0" t="n">
        <v>289761</v>
      </c>
      <c r="D27" s="0" t="n">
        <v>256</v>
      </c>
      <c r="E27" s="0" t="n">
        <v>256</v>
      </c>
      <c r="F27" s="0" t="n">
        <v>16</v>
      </c>
      <c r="G27" s="0" t="n">
        <v>10</v>
      </c>
      <c r="P27" s="0" t="n">
        <v>8388608</v>
      </c>
      <c r="Q27" s="0" t="inlineStr">
        <is>
          <t>circuit shape exceeds declared construction-memory budget before building gates; no gate/time estimate reported</t>
        </is>
      </c>
      <c r="R27" s="0" t="inlineStr">
        <is>
          <t>/mnt/d/paper_source/work_9/VeriANN_repro_2026-09-30/VeriANN_repro_2026-09-30/results/work9-v3db-20261016/nytimes256-289761-M256-p16-k10-q20-r3-t1/result.json</t>
        </is>
      </c>
    </row>
    <row r="28">
      <c r="A28" s="0" t="inlineStr">
        <is>
          <t>nytimes256-289761-M256-p2-k10-q20-r3-t1</t>
        </is>
      </c>
      <c r="B28" s="0" t="inlineStr">
        <is>
          <t>passed</t>
        </is>
      </c>
      <c r="C28" s="0" t="n">
        <v>289761</v>
      </c>
      <c r="D28" s="0" t="n">
        <v>256</v>
      </c>
      <c r="E28" s="0" t="n">
        <v>256</v>
      </c>
      <c r="F28" s="0" t="n">
        <v>2</v>
      </c>
      <c r="G28" s="0" t="n">
        <v>10</v>
      </c>
      <c r="H28" s="0" t="n">
        <v>20</v>
      </c>
      <c r="I28" s="0" t="n">
        <v>3</v>
      </c>
      <c r="J28" s="0" t="n">
        <v>60</v>
      </c>
      <c r="K28" s="0" t="n">
        <v>0.58</v>
      </c>
      <c r="L28" s="0" t="n">
        <v>509614.44072055</v>
      </c>
      <c r="M28" s="0" t="n">
        <v>54.5049295001718</v>
      </c>
      <c r="N28" s="0" t="n">
        <v>234.926066666667</v>
      </c>
      <c r="O28" s="0" t="n">
        <v>965553</v>
      </c>
      <c r="R28" s="0" t="inlineStr">
        <is>
          <t>/mnt/d/paper_source/work_9/VeriANN_repro_2026-09-30/VeriANN_repro_2026-09-30/results/work9-v3db-20261016/nytimes256-289761-M256-p2-k10-q20-r3-t1/result.json</t>
        </is>
      </c>
    </row>
    <row r="29">
      <c r="A29" s="0" t="inlineStr">
        <is>
          <t>nytimes256-289761-M256-p256-k1-q20-r3-t1</t>
        </is>
      </c>
      <c r="B29" s="0" t="inlineStr">
        <is>
          <t>resource_limit</t>
        </is>
      </c>
      <c r="C29" s="0" t="n">
        <v>289761</v>
      </c>
      <c r="D29" s="0" t="n">
        <v>256</v>
      </c>
      <c r="E29" s="0" t="n">
        <v>256</v>
      </c>
      <c r="F29" s="0" t="n">
        <v>256</v>
      </c>
      <c r="G29" s="0" t="n">
        <v>1</v>
      </c>
      <c r="P29" s="0" t="n">
        <v>134217728</v>
      </c>
      <c r="Q29" s="0" t="inlineStr">
        <is>
          <t>circuit shape exceeds declared construction-memory budget before building gates; no gate/time estimate reported</t>
        </is>
      </c>
      <c r="R29" s="0" t="inlineStr">
        <is>
          <t>/mnt/d/paper_source/work_9/VeriANN_repro_2026-09-30/VeriANN_repro_2026-09-30/results/work9-v3db-20261016/nytimes256-289761-M256-p256-k1-q20-r3-t1/result.json</t>
        </is>
      </c>
    </row>
    <row r="30">
      <c r="A30" s="0" t="inlineStr">
        <is>
          <t>nytimes256-289761-M256-p256-k10-q20-r3-t1</t>
        </is>
      </c>
      <c r="B30" s="0" t="inlineStr">
        <is>
          <t>resource_limit</t>
        </is>
      </c>
      <c r="C30" s="0" t="n">
        <v>289761</v>
      </c>
      <c r="D30" s="0" t="n">
        <v>256</v>
      </c>
      <c r="E30" s="0" t="n">
        <v>256</v>
      </c>
      <c r="F30" s="0" t="n">
        <v>256</v>
      </c>
      <c r="G30" s="0" t="n">
        <v>10</v>
      </c>
      <c r="Q30" s="0" t="inlineStr">
        <is>
          <t>actual author circuit construction/proving attempt failed allocation under 50 GiB process address-space limit</t>
        </is>
      </c>
      <c r="R30" s="0" t="inlineStr">
        <is>
          <t>/mnt/d/paper_source/work_9/VeriANN_repro_2026-09-30/VeriANN_repro_2026-09-30/results/work9-v3db-20261016/nytimes256-289761-M256-p256-k10-q20-r3-t1/result.json</t>
        </is>
      </c>
    </row>
    <row r="31">
      <c r="A31" s="0" t="inlineStr">
        <is>
          <t>nytimes256-289761-M256-p256-k100-q20-r3-t1</t>
        </is>
      </c>
      <c r="B31" s="0" t="inlineStr">
        <is>
          <t>resource_limit</t>
        </is>
      </c>
      <c r="C31" s="0" t="n">
        <v>289761</v>
      </c>
      <c r="D31" s="0" t="n">
        <v>256</v>
      </c>
      <c r="E31" s="0" t="n">
        <v>256</v>
      </c>
      <c r="F31" s="0" t="n">
        <v>256</v>
      </c>
      <c r="G31" s="0" t="n">
        <v>100</v>
      </c>
      <c r="P31" s="0" t="n">
        <v>134217728</v>
      </c>
      <c r="Q31" s="0" t="inlineStr">
        <is>
          <t>circuit shape exceeds declared construction-memory budget before building gates; no gate/time estimate reported</t>
        </is>
      </c>
      <c r="R31" s="0" t="inlineStr">
        <is>
          <t>/mnt/d/paper_source/work_9/VeriANN_repro_2026-09-30/VeriANN_repro_2026-09-30/results/work9-v3db-20261016/nytimes256-289761-M256-p256-k100-q20-r3-t1/result.json</t>
        </is>
      </c>
    </row>
    <row r="32">
      <c r="A32" s="0" t="inlineStr">
        <is>
          <t>nytimes256-289761-M256-p256-k20-q20-r3-t1</t>
        </is>
      </c>
      <c r="B32" s="0" t="inlineStr">
        <is>
          <t>resource_limit</t>
        </is>
      </c>
      <c r="C32" s="0" t="n">
        <v>289761</v>
      </c>
      <c r="D32" s="0" t="n">
        <v>256</v>
      </c>
      <c r="E32" s="0" t="n">
        <v>256</v>
      </c>
      <c r="F32" s="0" t="n">
        <v>256</v>
      </c>
      <c r="G32" s="0" t="n">
        <v>20</v>
      </c>
      <c r="P32" s="0" t="n">
        <v>134217728</v>
      </c>
      <c r="Q32" s="0" t="inlineStr">
        <is>
          <t>circuit shape exceeds declared construction-memory budget before building gates; no gate/time estimate reported</t>
        </is>
      </c>
      <c r="R32" s="0" t="inlineStr">
        <is>
          <t>/mnt/d/paper_source/work_9/VeriANN_repro_2026-09-30/VeriANN_repro_2026-09-30/results/work9-v3db-20261016/nytimes256-289761-M256-p256-k20-q20-r3-t1/result.json</t>
        </is>
      </c>
    </row>
    <row r="33">
      <c r="A33" s="0" t="inlineStr">
        <is>
          <t>nytimes256-289761-M256-p256-k5-q20-r3-t1</t>
        </is>
      </c>
      <c r="B33" s="0" t="inlineStr">
        <is>
          <t>resource_limit</t>
        </is>
      </c>
      <c r="C33" s="0" t="n">
        <v>289761</v>
      </c>
      <c r="D33" s="0" t="n">
        <v>256</v>
      </c>
      <c r="E33" s="0" t="n">
        <v>256</v>
      </c>
      <c r="F33" s="0" t="n">
        <v>256</v>
      </c>
      <c r="G33" s="0" t="n">
        <v>5</v>
      </c>
      <c r="P33" s="0" t="n">
        <v>134217728</v>
      </c>
      <c r="Q33" s="0" t="inlineStr">
        <is>
          <t>circuit shape exceeds declared construction-memory budget before building gates; no gate/time estimate reported</t>
        </is>
      </c>
      <c r="R33" s="0" t="inlineStr">
        <is>
          <t>/mnt/d/paper_source/work_9/VeriANN_repro_2026-09-30/VeriANN_repro_2026-09-30/results/work9-v3db-20261016/nytimes256-289761-M256-p256-k5-q20-r3-t1/result.json</t>
        </is>
      </c>
    </row>
    <row r="34">
      <c r="A34" s="0" t="inlineStr">
        <is>
          <t>nytimes256-289761-M256-p256-k50-q20-r3-t1</t>
        </is>
      </c>
      <c r="B34" s="0" t="inlineStr">
        <is>
          <t>resource_limit</t>
        </is>
      </c>
      <c r="C34" s="0" t="n">
        <v>289761</v>
      </c>
      <c r="D34" s="0" t="n">
        <v>256</v>
      </c>
      <c r="E34" s="0" t="n">
        <v>256</v>
      </c>
      <c r="F34" s="0" t="n">
        <v>256</v>
      </c>
      <c r="G34" s="0" t="n">
        <v>50</v>
      </c>
      <c r="P34" s="0" t="n">
        <v>134217728</v>
      </c>
      <c r="Q34" s="0" t="inlineStr">
        <is>
          <t>circuit shape exceeds declared construction-memory budget before building gates; no gate/time estimate reported</t>
        </is>
      </c>
      <c r="R34" s="0" t="inlineStr">
        <is>
          <t>/mnt/d/paper_source/work_9/VeriANN_repro_2026-09-30/VeriANN_repro_2026-09-30/results/work9-v3db-20261016/nytimes256-289761-M256-p256-k50-q20-r3-t1/result.json</t>
        </is>
      </c>
    </row>
    <row r="35">
      <c r="A35" s="0" t="inlineStr">
        <is>
          <t>nytimes256-289761-M256-p32-k10-q20-r3-t1</t>
        </is>
      </c>
      <c r="B35" s="0" t="inlineStr">
        <is>
          <t>resource_limit</t>
        </is>
      </c>
      <c r="C35" s="0" t="n">
        <v>289761</v>
      </c>
      <c r="D35" s="0" t="n">
        <v>256</v>
      </c>
      <c r="E35" s="0" t="n">
        <v>256</v>
      </c>
      <c r="F35" s="0" t="n">
        <v>32</v>
      </c>
      <c r="G35" s="0" t="n">
        <v>10</v>
      </c>
      <c r="P35" s="0" t="n">
        <v>16777216</v>
      </c>
      <c r="Q35" s="0" t="inlineStr">
        <is>
          <t>circuit shape exceeds declared construction-memory budget before building gates; no gate/time estimate reported</t>
        </is>
      </c>
      <c r="R35" s="0" t="inlineStr">
        <is>
          <t>/mnt/d/paper_source/work_9/VeriANN_repro_2026-09-30/VeriANN_repro_2026-09-30/results/work9-v3db-20261016/nytimes256-289761-M256-p32-k10-q20-r3-t1/result.json</t>
        </is>
      </c>
    </row>
    <row r="36">
      <c r="A36" s="0" t="inlineStr">
        <is>
          <t>nytimes256-289761-M256-p512-k10-q20-r3-t1</t>
        </is>
      </c>
      <c r="B36" s="0" t="inlineStr">
        <is>
          <t>resource_limit</t>
        </is>
      </c>
      <c r="C36" s="0" t="n">
        <v>289761</v>
      </c>
      <c r="D36" s="0" t="n">
        <v>256</v>
      </c>
      <c r="E36" s="0" t="n">
        <v>256</v>
      </c>
      <c r="F36" s="0" t="n">
        <v>512</v>
      </c>
      <c r="G36" s="0" t="n">
        <v>10</v>
      </c>
      <c r="P36" s="0" t="n">
        <v>268435456</v>
      </c>
      <c r="Q36" s="0" t="inlineStr">
        <is>
          <t>circuit shape exceeds declared construction-memory budget before building gates; no gate/time estimate reported</t>
        </is>
      </c>
      <c r="R36" s="0" t="inlineStr">
        <is>
          <t>/mnt/d/paper_source/work_9/VeriANN_repro_2026-09-30/VeriANN_repro_2026-09-30/results/work9-v3db-20261016/nytimes256-289761-M256-p512-k10-q20-r3-t1/result.json</t>
        </is>
      </c>
    </row>
    <row r="37">
      <c r="A37" s="0" t="inlineStr">
        <is>
          <t>nytimes256-289761-M256-p8-k10-q20-r3-t1</t>
        </is>
      </c>
      <c r="B37" s="0" t="inlineStr">
        <is>
          <t>resource_limit</t>
        </is>
      </c>
      <c r="C37" s="0" t="n">
        <v>289761</v>
      </c>
      <c r="D37" s="0" t="n">
        <v>256</v>
      </c>
      <c r="E37" s="0" t="n">
        <v>256</v>
      </c>
      <c r="F37" s="0" t="n">
        <v>8</v>
      </c>
      <c r="G37" s="0" t="n">
        <v>10</v>
      </c>
      <c r="P37" s="0" t="n">
        <v>4194304</v>
      </c>
      <c r="Q37" s="0" t="inlineStr">
        <is>
          <t>circuit shape exceeds declared construction-memory budget before building gates; no gate/time estimate reported</t>
        </is>
      </c>
      <c r="R37" s="0" t="inlineStr">
        <is>
          <t>/mnt/d/paper_source/work_9/VeriANN_repro_2026-09-30/VeriANN_repro_2026-09-30/results/work9-v3db-20261016/nytimes256-289761-M256-p8-k10-q20-r3-t1/result.json</t>
        </is>
      </c>
    </row>
    <row r="38">
      <c r="A38" s="0" t="inlineStr">
        <is>
          <t>sift1m-1000000-M128-K1024-p16-k1-q20-r3-t1</t>
        </is>
      </c>
      <c r="B38" s="0" t="inlineStr">
        <is>
          <t>resource_limit</t>
        </is>
      </c>
      <c r="C38" s="0" t="n">
        <v>1000000</v>
      </c>
      <c r="D38" s="0" t="n">
        <v>128</v>
      </c>
      <c r="E38" s="0" t="n">
        <v>1024</v>
      </c>
      <c r="F38" s="0" t="n">
        <v>16</v>
      </c>
      <c r="G38" s="0" t="n">
        <v>1</v>
      </c>
      <c r="P38" s="0" t="n">
        <v>4194304</v>
      </c>
      <c r="Q38" s="0" t="inlineStr">
        <is>
          <t>circuit shape exceeds declared construction-memory budget before building gates; no gate/time estimate reported</t>
        </is>
      </c>
      <c r="R38" s="0" t="inlineStr">
        <is>
          <t>/mnt/d/paper_source/work_9/VeriANN_repro_2026-09-30/VeriANN_repro_2026-09-30/results/work9-v3db-20261016/sift1m-1000000-M128-K1024-p16-k1-q20-r3-t1/result.json</t>
        </is>
      </c>
    </row>
    <row r="39">
      <c r="A39" s="0" t="inlineStr">
        <is>
          <t>sift1m-1000000-M128-K1024-p16-k10-q20-r3-t1</t>
        </is>
      </c>
      <c r="B39" s="0" t="inlineStr">
        <is>
          <t>resource_limit</t>
        </is>
      </c>
      <c r="C39" s="0" t="n">
        <v>1000000</v>
      </c>
      <c r="D39" s="0" t="n">
        <v>128</v>
      </c>
      <c r="E39" s="0" t="n">
        <v>1024</v>
      </c>
      <c r="F39" s="0" t="n">
        <v>16</v>
      </c>
      <c r="G39" s="0" t="n">
        <v>10</v>
      </c>
      <c r="Q39" s="0" t="inlineStr">
        <is>
          <t>actual author circuit construction/proving attempt failed allocation under 50 GiB process address-space limit</t>
        </is>
      </c>
      <c r="R39" s="0" t="inlineStr">
        <is>
          <t>/mnt/d/paper_source/work_9/VeriANN_repro_2026-09-30/VeriANN_repro_2026-09-30/results/work9-v3db-20261016/sift1m-1000000-M128-K1024-p16-k10-q20-r3-t1/result.json</t>
        </is>
      </c>
    </row>
    <row r="40">
      <c r="A40" s="0" t="inlineStr">
        <is>
          <t>sift1m-1000000-M128-K1024-p16-k100-q20-r3-t1</t>
        </is>
      </c>
      <c r="B40" s="0" t="inlineStr">
        <is>
          <t>resource_limit</t>
        </is>
      </c>
      <c r="C40" s="0" t="n">
        <v>1000000</v>
      </c>
      <c r="D40" s="0" t="n">
        <v>128</v>
      </c>
      <c r="E40" s="0" t="n">
        <v>1024</v>
      </c>
      <c r="F40" s="0" t="n">
        <v>16</v>
      </c>
      <c r="G40" s="0" t="n">
        <v>100</v>
      </c>
      <c r="P40" s="0" t="n">
        <v>4194304</v>
      </c>
      <c r="Q40" s="0" t="inlineStr">
        <is>
          <t>circuit shape exceeds declared construction-memory budget before building gates; no gate/time estimate reported</t>
        </is>
      </c>
      <c r="R40" s="0" t="inlineStr">
        <is>
          <t>/mnt/d/paper_source/work_9/VeriANN_repro_2026-09-30/VeriANN_repro_2026-09-30/results/work9-v3db-20261016/sift1m-1000000-M128-K1024-p16-k100-q20-r3-t1/result.json</t>
        </is>
      </c>
    </row>
    <row r="41">
      <c r="A41" s="0" t="inlineStr">
        <is>
          <t>sift1m-1000000-M128-K1024-p16-k20-q20-r3-t1</t>
        </is>
      </c>
      <c r="B41" s="0" t="inlineStr">
        <is>
          <t>resource_limit</t>
        </is>
      </c>
      <c r="C41" s="0" t="n">
        <v>1000000</v>
      </c>
      <c r="D41" s="0" t="n">
        <v>128</v>
      </c>
      <c r="E41" s="0" t="n">
        <v>1024</v>
      </c>
      <c r="F41" s="0" t="n">
        <v>16</v>
      </c>
      <c r="G41" s="0" t="n">
        <v>20</v>
      </c>
      <c r="P41" s="0" t="n">
        <v>4194304</v>
      </c>
      <c r="Q41" s="0" t="inlineStr">
        <is>
          <t>circuit shape exceeds declared construction-memory budget before building gates; no gate/time estimate reported</t>
        </is>
      </c>
      <c r="R41" s="0" t="inlineStr">
        <is>
          <t>/mnt/d/paper_source/work_9/VeriANN_repro_2026-09-30/VeriANN_repro_2026-09-30/results/work9-v3db-20261016/sift1m-1000000-M128-K1024-p16-k20-q20-r3-t1/result.json</t>
        </is>
      </c>
    </row>
    <row r="42">
      <c r="A42" s="0" t="inlineStr">
        <is>
          <t>sift1m-1000000-M128-K1024-p16-k5-q20-r3-t1</t>
        </is>
      </c>
      <c r="B42" s="0" t="inlineStr">
        <is>
          <t>resource_limit</t>
        </is>
      </c>
      <c r="C42" s="0" t="n">
        <v>1000000</v>
      </c>
      <c r="D42" s="0" t="n">
        <v>128</v>
      </c>
      <c r="E42" s="0" t="n">
        <v>1024</v>
      </c>
      <c r="F42" s="0" t="n">
        <v>16</v>
      </c>
      <c r="G42" s="0" t="n">
        <v>5</v>
      </c>
      <c r="P42" s="0" t="n">
        <v>4194304</v>
      </c>
      <c r="Q42" s="0" t="inlineStr">
        <is>
          <t>circuit shape exceeds declared construction-memory budget before building gates; no gate/time estimate reported</t>
        </is>
      </c>
      <c r="R42" s="0" t="inlineStr">
        <is>
          <t>/mnt/d/paper_source/work_9/VeriANN_repro_2026-09-30/VeriANN_repro_2026-09-30/results/work9-v3db-20261016/sift1m-1000000-M128-K1024-p16-k5-q20-r3-t1/result.json</t>
        </is>
      </c>
    </row>
    <row r="43">
      <c r="A43" s="0" t="inlineStr">
        <is>
          <t>sift1m-1000000-M128-K1024-p16-k50-q20-r3-t1</t>
        </is>
      </c>
      <c r="B43" s="0" t="inlineStr">
        <is>
          <t>resource_limit</t>
        </is>
      </c>
      <c r="C43" s="0" t="n">
        <v>1000000</v>
      </c>
      <c r="D43" s="0" t="n">
        <v>128</v>
      </c>
      <c r="E43" s="0" t="n">
        <v>1024</v>
      </c>
      <c r="F43" s="0" t="n">
        <v>16</v>
      </c>
      <c r="G43" s="0" t="n">
        <v>50</v>
      </c>
      <c r="P43" s="0" t="n">
        <v>4194304</v>
      </c>
      <c r="Q43" s="0" t="inlineStr">
        <is>
          <t>circuit shape exceeds declared construction-memory budget before building gates; no gate/time estimate reported</t>
        </is>
      </c>
      <c r="R43" s="0" t="inlineStr">
        <is>
          <t>/mnt/d/paper_source/work_9/VeriANN_repro_2026-09-30/VeriANN_repro_2026-09-30/results/work9-v3db-20261016/sift1m-1000000-M128-K1024-p16-k50-q20-r3-t1/result.json</t>
        </is>
      </c>
    </row>
    <row r="44">
      <c r="A44" s="0" t="inlineStr">
        <is>
          <t>sift1m-1000000-M128-K1024-p2-k10-q20-r3-t1</t>
        </is>
      </c>
      <c r="B44" s="0" t="inlineStr">
        <is>
          <t>passed</t>
        </is>
      </c>
      <c r="C44" s="0" t="n">
        <v>1000000</v>
      </c>
      <c r="D44" s="0" t="n">
        <v>128</v>
      </c>
      <c r="E44" s="0" t="n">
        <v>1024</v>
      </c>
      <c r="F44" s="0" t="n">
        <v>2</v>
      </c>
      <c r="G44" s="0" t="n">
        <v>10</v>
      </c>
      <c r="H44" s="0" t="n">
        <v>20</v>
      </c>
      <c r="I44" s="0" t="n">
        <v>3</v>
      </c>
      <c r="J44" s="0" t="n">
        <v>60</v>
      </c>
      <c r="K44" s="0" t="n">
        <v>0.705</v>
      </c>
      <c r="L44" s="0" t="n">
        <v>498279.313743133</v>
      </c>
      <c r="M44" s="0" t="n">
        <v>29.0904766666699</v>
      </c>
      <c r="N44" s="0" t="n">
        <v>238.054633333333</v>
      </c>
      <c r="O44" s="0" t="n">
        <v>582254</v>
      </c>
      <c r="R44" s="0" t="inlineStr">
        <is>
          <t>/mnt/d/paper_source/work_9/VeriANN_repro_2026-09-30/VeriANN_repro_2026-09-30/results/work9-v3db-20261016/sift1m-1000000-M128-K1024-p2-k10-q20-r3-t1/result.json</t>
        </is>
      </c>
    </row>
    <row r="45">
      <c r="A45" s="0" t="inlineStr">
        <is>
          <t>sift1m-1000000-M128-K1024-p32-k10-q20-r3-t1</t>
        </is>
      </c>
      <c r="B45" s="0" t="inlineStr">
        <is>
          <t>resource_limit</t>
        </is>
      </c>
      <c r="C45" s="0" t="n">
        <v>1000000</v>
      </c>
      <c r="D45" s="0" t="n">
        <v>128</v>
      </c>
      <c r="E45" s="0" t="n">
        <v>1024</v>
      </c>
      <c r="F45" s="0" t="n">
        <v>32</v>
      </c>
      <c r="G45" s="0" t="n">
        <v>10</v>
      </c>
      <c r="P45" s="0" t="n">
        <v>8388608</v>
      </c>
      <c r="Q45" s="0" t="inlineStr">
        <is>
          <t>circuit shape exceeds declared construction-memory budget before building gates; no gate/time estimate reported</t>
        </is>
      </c>
      <c r="R45" s="0" t="inlineStr">
        <is>
          <t>/mnt/d/paper_source/work_9/VeriANN_repro_2026-09-30/VeriANN_repro_2026-09-30/results/work9-v3db-20261016/sift1m-1000000-M128-K1024-p32-k10-q20-r3-t1/result.json</t>
        </is>
      </c>
    </row>
    <row r="46">
      <c r="A46" s="0" t="inlineStr">
        <is>
          <t>sift1m-1000000-M128-K1024-p4-k10-q20-r3-t1</t>
        </is>
      </c>
      <c r="B46" s="0" t="inlineStr">
        <is>
          <t>resource_limit</t>
        </is>
      </c>
      <c r="C46" s="0" t="n">
        <v>1000000</v>
      </c>
      <c r="D46" s="0" t="n">
        <v>128</v>
      </c>
      <c r="E46" s="0" t="n">
        <v>1024</v>
      </c>
      <c r="F46" s="0" t="n">
        <v>4</v>
      </c>
      <c r="G46" s="0" t="n">
        <v>10</v>
      </c>
      <c r="Q46" s="0" t="inlineStr">
        <is>
          <t>actual author circuit construction/proving attempt failed allocation under 50 GiB process address-space limit</t>
        </is>
      </c>
      <c r="R46" s="0" t="inlineStr">
        <is>
          <t>/mnt/d/paper_source/work_9/VeriANN_repro_2026-09-30/VeriANN_repro_2026-09-30/results/work9-v3db-20261016/sift1m-1000000-M128-K1024-p4-k10-q20-r3-t1/result.json</t>
        </is>
      </c>
    </row>
    <row r="47">
      <c r="A47" s="0" t="inlineStr">
        <is>
          <t>sift1m-1000000-M128-K1024-p64-k10-q20-r3-t1</t>
        </is>
      </c>
      <c r="B47" s="0" t="inlineStr">
        <is>
          <t>resource_limit</t>
        </is>
      </c>
      <c r="C47" s="0" t="n">
        <v>1000000</v>
      </c>
      <c r="D47" s="0" t="n">
        <v>128</v>
      </c>
      <c r="E47" s="0" t="n">
        <v>1024</v>
      </c>
      <c r="F47" s="0" t="n">
        <v>64</v>
      </c>
      <c r="G47" s="0" t="n">
        <v>10</v>
      </c>
      <c r="P47" s="0" t="n">
        <v>16777216</v>
      </c>
      <c r="Q47" s="0" t="inlineStr">
        <is>
          <t>circuit shape exceeds declared construction-memory budget before building gates; no gate/time estimate reported</t>
        </is>
      </c>
      <c r="R47" s="0" t="inlineStr">
        <is>
          <t>/mnt/d/paper_source/work_9/VeriANN_repro_2026-09-30/VeriANN_repro_2026-09-30/results/work9-v3db-20261016/sift1m-1000000-M128-K1024-p64-k10-q20-r3-t1/result.json</t>
        </is>
      </c>
    </row>
    <row r="48">
      <c r="A48" s="0" t="inlineStr">
        <is>
          <t>sift1m-1000000-M128-K1024-p8-k10-q20-r3-t1</t>
        </is>
      </c>
      <c r="B48" s="0" t="inlineStr">
        <is>
          <t>resource_limit</t>
        </is>
      </c>
      <c r="C48" s="0" t="n">
        <v>1000000</v>
      </c>
      <c r="D48" s="0" t="n">
        <v>128</v>
      </c>
      <c r="E48" s="0" t="n">
        <v>1024</v>
      </c>
      <c r="F48" s="0" t="n">
        <v>8</v>
      </c>
      <c r="G48" s="0" t="n">
        <v>10</v>
      </c>
      <c r="P48" s="0" t="n">
        <v>2097152</v>
      </c>
      <c r="Q48" s="0" t="inlineStr">
        <is>
          <t>circuit shape exceeds declared construction-memory budget before building gates; no gate/time estimate reported</t>
        </is>
      </c>
      <c r="R48" s="0" t="inlineStr">
        <is>
          <t>/mnt/d/paper_source/work_9/VeriANN_repro_2026-09-30/VeriANN_repro_2026-09-30/results/work9-v3db-20261016/sift1m-1000000-M128-K1024-p8-k10-q20-r3-t1/result.json</t>
        </is>
      </c>
    </row>
  </sheetData>
  <autoFilter ref="A1:R48"/>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N48"/>
  <sheetViews>
    <sheetView workbookViewId="0">
      <pane xSplit="3" ySplit="1" topLeftCell="D2"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3.5"/>
  <sheetData>
    <row r="1">
      <c r="A1" s="7" t="inlineStr">
        <is>
          <t>job</t>
        </is>
      </c>
      <c r="B1" s="7" t="inlineStr">
        <is>
          <t>status</t>
        </is>
      </c>
      <c r="C1" s="7" t="inlineStr">
        <is>
          <t>proof threads</t>
        </is>
      </c>
      <c r="D1" s="7" t="inlineStr">
        <is>
          <t>samples</t>
        </is>
      </c>
      <c r="E1" s="7" t="inlineStr">
        <is>
          <t>mean build seconds</t>
        </is>
      </c>
      <c r="F1" s="7" t="inlineStr">
        <is>
          <t>mean prove seconds</t>
        </is>
      </c>
      <c r="G1" s="7" t="inlineStr">
        <is>
          <t>query p50 ms</t>
        </is>
      </c>
      <c r="H1" s="7" t="inlineStr">
        <is>
          <t>query p95 ms</t>
        </is>
      </c>
      <c r="I1" s="7" t="inlineStr">
        <is>
          <t>query p99 ms</t>
        </is>
      </c>
      <c r="J1" s="7" t="inlineStr">
        <is>
          <t>verify p50 ms</t>
        </is>
      </c>
      <c r="K1" s="7" t="inlineStr">
        <is>
          <t>verify p95 ms</t>
        </is>
      </c>
      <c r="L1" s="7" t="inlineStr">
        <is>
          <t>max prove-sampled RSS GiB</t>
        </is>
      </c>
      <c r="M1" s="7" t="inlineStr">
        <is>
          <t>configured VM limit GiB</t>
        </is>
      </c>
      <c r="N1" s="7" t="inlineStr">
        <is>
          <t>source</t>
        </is>
      </c>
    </row>
    <row r="2">
      <c r="A2" s="0" t="inlineStr">
        <is>
          <t>deep1m-1000000-M96-K1024-p16-k10-q20-r3-t1</t>
        </is>
      </c>
      <c r="B2" s="0" t="inlineStr">
        <is>
          <t>resource_limit</t>
        </is>
      </c>
      <c r="C2" s="0" t="inlineStr">
        <is>
          <t>1</t>
        </is>
      </c>
      <c r="M2" s="0" t="n">
        <v>50</v>
      </c>
      <c r="N2" s="0" t="inlineStr">
        <is>
          <t>/mnt/d/paper_source/work_9/VeriANN_repro_2026-09-30/VeriANN_repro_2026-09-30/results/work9-v3db-20261016/deep1m-1000000-M96-K1024-p16-k10-q20-r3-t1/result.json</t>
        </is>
      </c>
    </row>
    <row r="14">
      <c r="A14" s="0" t="inlineStr">
        <is>
          <t>glove100-1183514-M100-K1024-p128-k10-q20-r3-t1</t>
        </is>
      </c>
      <c r="B14" s="0" t="inlineStr">
        <is>
          <t>resource_limit</t>
        </is>
      </c>
      <c r="C14" s="0" t="inlineStr">
        <is>
          <t>1</t>
        </is>
      </c>
      <c r="N14" s="0" t="inlineStr">
        <is>
          <t>/mnt/d/paper_source/work_9/VeriANN_repro_2026-09-30/VeriANN_repro_2026-09-30/results/work9-v3db-20261016/glove100-1183514-M100-K1024-p128-k10-q20-r3-t1/result.json</t>
        </is>
      </c>
    </row>
    <row r="15">
      <c r="A15" s="0" t="inlineStr">
        <is>
          <t>glove100-1183514-M100-K1024-p16-k10-q20-r3-t1</t>
        </is>
      </c>
      <c r="B15" s="0" t="inlineStr">
        <is>
          <t>resource_limit</t>
        </is>
      </c>
      <c r="C15" s="0" t="inlineStr">
        <is>
          <t>1</t>
        </is>
      </c>
      <c r="N15" s="0" t="inlineStr">
        <is>
          <t>/mnt/d/paper_source/work_9/VeriANN_repro_2026-09-30/VeriANN_repro_2026-09-30/results/work9-v3db-20261016/glove100-1183514-M100-K1024-p16-k10-q20-r3-t1/result.json</t>
        </is>
      </c>
    </row>
    <row r="16">
      <c r="A16" s="0" t="inlineStr">
        <is>
          <t>glove100-1183514-M100-K1024-p256-k1-q20-r3-t1</t>
        </is>
      </c>
      <c r="B16" s="0" t="inlineStr">
        <is>
          <t>resource_limit</t>
        </is>
      </c>
      <c r="C16" s="0" t="inlineStr">
        <is>
          <t>1</t>
        </is>
      </c>
      <c r="N16" s="0" t="inlineStr">
        <is>
          <t>/mnt/d/paper_source/work_9/VeriANN_repro_2026-09-30/VeriANN_repro_2026-09-30/results/work9-v3db-20261016/glove100-1183514-M100-K1024-p256-k1-q20-r3-t1/result.json</t>
        </is>
      </c>
    </row>
    <row r="17">
      <c r="A17" s="0" t="inlineStr">
        <is>
          <t>glove100-1183514-M100-K1024-p256-k10-q20-r3-t1</t>
        </is>
      </c>
      <c r="B17" s="0" t="inlineStr">
        <is>
          <t>resource_limit</t>
        </is>
      </c>
      <c r="C17" s="0" t="inlineStr">
        <is>
          <t>1</t>
        </is>
      </c>
      <c r="M17" s="0" t="n">
        <v>50</v>
      </c>
      <c r="N17" s="0" t="inlineStr">
        <is>
          <t>/mnt/d/paper_source/work_9/VeriANN_repro_2026-09-30/VeriANN_repro_2026-09-30/results/work9-v3db-20261016/glove100-1183514-M100-K1024-p256-k10-q20-r3-t1/result.json</t>
        </is>
      </c>
    </row>
    <row r="18">
      <c r="A18" s="0" t="inlineStr">
        <is>
          <t>glove100-1183514-M100-K1024-p256-k100-q20-r3-t1</t>
        </is>
      </c>
      <c r="B18" s="0" t="inlineStr">
        <is>
          <t>resource_limit</t>
        </is>
      </c>
      <c r="C18" s="0" t="inlineStr">
        <is>
          <t>1</t>
        </is>
      </c>
      <c r="N18" s="0" t="inlineStr">
        <is>
          <t>/mnt/d/paper_source/work_9/VeriANN_repro_2026-09-30/VeriANN_repro_2026-09-30/results/work9-v3db-20261016/glove100-1183514-M100-K1024-p256-k100-q20-r3-t1/result.json</t>
        </is>
      </c>
    </row>
    <row r="19">
      <c r="A19" s="0" t="inlineStr">
        <is>
          <t>glove100-1183514-M100-K1024-p256-k20-q20-r3-t1</t>
        </is>
      </c>
      <c r="B19" s="0" t="inlineStr">
        <is>
          <t>resource_limit</t>
        </is>
      </c>
      <c r="C19" s="0" t="inlineStr">
        <is>
          <t>1</t>
        </is>
      </c>
      <c r="N19" s="0" t="inlineStr">
        <is>
          <t>/mnt/d/paper_source/work_9/VeriANN_repro_2026-09-30/VeriANN_repro_2026-09-30/results/work9-v3db-20261016/glove100-1183514-M100-K1024-p256-k20-q20-r3-t1/result.json</t>
        </is>
      </c>
    </row>
    <row r="20">
      <c r="A20" s="0" t="inlineStr">
        <is>
          <t>glove100-1183514-M100-K1024-p256-k5-q20-r3-t1</t>
        </is>
      </c>
      <c r="B20" s="0" t="inlineStr">
        <is>
          <t>resource_limit</t>
        </is>
      </c>
      <c r="C20" s="0" t="inlineStr">
        <is>
          <t>1</t>
        </is>
      </c>
      <c r="N20" s="0" t="inlineStr">
        <is>
          <t>/mnt/d/paper_source/work_9/VeriANN_repro_2026-09-30/VeriANN_repro_2026-09-30/results/work9-v3db-20261016/glove100-1183514-M100-K1024-p256-k5-q20-r3-t1/result.json</t>
        </is>
      </c>
    </row>
    <row r="21">
      <c r="A21" s="0" t="inlineStr">
        <is>
          <t>glove100-1183514-M100-K1024-p256-k50-q20-r3-t1</t>
        </is>
      </c>
      <c r="B21" s="0" t="inlineStr">
        <is>
          <t>resource_limit</t>
        </is>
      </c>
      <c r="C21" s="0" t="inlineStr">
        <is>
          <t>1</t>
        </is>
      </c>
      <c r="N21" s="0" t="inlineStr">
        <is>
          <t>/mnt/d/paper_source/work_9/VeriANN_repro_2026-09-30/VeriANN_repro_2026-09-30/results/work9-v3db-20261016/glove100-1183514-M100-K1024-p256-k50-q20-r3-t1/result.json</t>
        </is>
      </c>
    </row>
    <row r="22">
      <c r="A22" s="0" t="inlineStr">
        <is>
          <t>glove100-1183514-M100-K1024-p32-k10-q20-r3-t1</t>
        </is>
      </c>
      <c r="B22" s="0" t="inlineStr">
        <is>
          <t>resource_limit</t>
        </is>
      </c>
      <c r="C22" s="0" t="inlineStr">
        <is>
          <t>1</t>
        </is>
      </c>
      <c r="N22" s="0" t="inlineStr">
        <is>
          <t>/mnt/d/paper_source/work_9/VeriANN_repro_2026-09-30/VeriANN_repro_2026-09-30/results/work9-v3db-20261016/glove100-1183514-M100-K1024-p32-k10-q20-r3-t1/result.json</t>
        </is>
      </c>
    </row>
    <row r="23">
      <c r="A23" s="0" t="inlineStr">
        <is>
          <t>glove100-1183514-M100-K1024-p512-k10-q20-r3-t1</t>
        </is>
      </c>
      <c r="B23" s="0" t="inlineStr">
        <is>
          <t>resource_limit</t>
        </is>
      </c>
      <c r="C23" s="0" t="inlineStr">
        <is>
          <t>1</t>
        </is>
      </c>
      <c r="N23" s="0" t="inlineStr">
        <is>
          <t>/mnt/d/paper_source/work_9/VeriANN_repro_2026-09-30/VeriANN_repro_2026-09-30/results/work9-v3db-20261016/glove100-1183514-M100-K1024-p512-k10-q20-r3-t1/result.json</t>
        </is>
      </c>
    </row>
    <row r="24">
      <c r="A24" s="0" t="inlineStr">
        <is>
          <t>glove100-1183514-M100-K1024-p64-k10-q20-r3-t1</t>
        </is>
      </c>
      <c r="B24" s="0" t="inlineStr">
        <is>
          <t>resource_limit</t>
        </is>
      </c>
      <c r="C24" s="0" t="inlineStr">
        <is>
          <t>1</t>
        </is>
      </c>
      <c r="N24" s="0" t="inlineStr">
        <is>
          <t>/mnt/d/paper_source/work_9/VeriANN_repro_2026-09-30/VeriANN_repro_2026-09-30/results/work9-v3db-20261016/glove100-1183514-M100-K1024-p64-k10-q20-r3-t1/result.json</t>
        </is>
      </c>
    </row>
    <row r="25">
      <c r="A25" s="0" t="inlineStr">
        <is>
          <t>nytimes256-100000-M256-p512-k10-q20-r3-t1</t>
        </is>
      </c>
      <c r="B25" s="0" t="inlineStr">
        <is>
          <t>resource_limit</t>
        </is>
      </c>
      <c r="C25" s="0" t="inlineStr">
        <is>
          <t>1</t>
        </is>
      </c>
      <c r="N25" s="0" t="inlineStr">
        <is>
          <t>/mnt/d/paper_source/work_9/VeriANN_repro_2026-09-30/VeriANN_repro_2026-09-30/results/work9-v3db-20261016/nytimes256-100000-M256-p512-k10-q20-r3-t1/result.json</t>
        </is>
      </c>
    </row>
    <row r="26">
      <c r="A26" s="0" t="inlineStr">
        <is>
          <t>nytimes256-289761-M256-p128-k10-q20-r3-t1</t>
        </is>
      </c>
      <c r="B26" s="0" t="inlineStr">
        <is>
          <t>resource_limit</t>
        </is>
      </c>
      <c r="C26" s="0" t="inlineStr">
        <is>
          <t>1</t>
        </is>
      </c>
      <c r="N26" s="0" t="inlineStr">
        <is>
          <t>/mnt/d/paper_source/work_9/VeriANN_repro_2026-09-30/VeriANN_repro_2026-09-30/results/work9-v3db-20261016/nytimes256-289761-M256-p128-k10-q20-r3-t1/result.json</t>
        </is>
      </c>
    </row>
    <row r="27">
      <c r="A27" s="0" t="inlineStr">
        <is>
          <t>nytimes256-289761-M256-p16-k10-q20-r3-t1</t>
        </is>
      </c>
      <c r="B27" s="0" t="inlineStr">
        <is>
          <t>resource_limit</t>
        </is>
      </c>
      <c r="C27" s="0" t="inlineStr">
        <is>
          <t>1</t>
        </is>
      </c>
      <c r="N27" s="0" t="inlineStr">
        <is>
          <t>/mnt/d/paper_source/work_9/VeriANN_repro_2026-09-30/VeriANN_repro_2026-09-30/results/work9-v3db-20261016/nytimes256-289761-M256-p16-k10-q20-r3-t1/result.json</t>
        </is>
      </c>
    </row>
    <row r="28">
      <c r="A28" s="0" t="inlineStr">
        <is>
          <t>nytimes256-289761-M256-p2-k10-q20-r3-t1</t>
        </is>
      </c>
      <c r="B28" s="0" t="inlineStr">
        <is>
          <t>passed</t>
        </is>
      </c>
      <c r="C28" s="0" t="inlineStr">
        <is>
          <t>1</t>
        </is>
      </c>
      <c r="D28" s="0" t="n">
        <v>60</v>
      </c>
      <c r="E28" s="0" t="n">
        <v>164.261974223283</v>
      </c>
      <c r="F28" s="0" t="n">
        <v>315.09567350565</v>
      </c>
      <c r="G28" s="0" t="n">
        <v>508469.528737501</v>
      </c>
      <c r="H28" s="0" t="n">
        <v>516157.057237203</v>
      </c>
      <c r="I28" s="0" t="n">
        <v>520650.036300959</v>
      </c>
      <c r="J28" s="0" t="n">
        <v>60.8038530008344</v>
      </c>
      <c r="K28" s="0" t="n">
        <v>78.00514579957959</v>
      </c>
      <c r="L28" s="0" t="n">
        <v>36.3367156982422</v>
      </c>
      <c r="N28" s="0" t="inlineStr">
        <is>
          <t>/mnt/d/paper_source/work_9/VeriANN_repro_2026-09-30/VeriANN_repro_2026-09-30/results/work9-v3db-20261016/nytimes256-289761-M256-p2-k10-q20-r3-t1/per_query.csv</t>
        </is>
      </c>
    </row>
    <row r="29">
      <c r="A29" s="0" t="inlineStr">
        <is>
          <t>nytimes256-289761-M256-p256-k1-q20-r3-t1</t>
        </is>
      </c>
      <c r="B29" s="0" t="inlineStr">
        <is>
          <t>resource_limit</t>
        </is>
      </c>
      <c r="C29" s="0" t="inlineStr">
        <is>
          <t>1</t>
        </is>
      </c>
      <c r="N29" s="0" t="inlineStr">
        <is>
          <t>/mnt/d/paper_source/work_9/VeriANN_repro_2026-09-30/VeriANN_repro_2026-09-30/results/work9-v3db-20261016/nytimes256-289761-M256-p256-k1-q20-r3-t1/result.json</t>
        </is>
      </c>
    </row>
    <row r="30">
      <c r="A30" s="0" t="inlineStr">
        <is>
          <t>nytimes256-289761-M256-p256-k10-q20-r3-t1</t>
        </is>
      </c>
      <c r="B30" s="0" t="inlineStr">
        <is>
          <t>resource_limit</t>
        </is>
      </c>
      <c r="C30" s="0" t="inlineStr">
        <is>
          <t>1</t>
        </is>
      </c>
      <c r="M30" s="0" t="n">
        <v>50</v>
      </c>
      <c r="N30" s="0" t="inlineStr">
        <is>
          <t>/mnt/d/paper_source/work_9/VeriANN_repro_2026-09-30/VeriANN_repro_2026-09-30/results/work9-v3db-20261016/nytimes256-289761-M256-p256-k10-q20-r3-t1/result.json</t>
        </is>
      </c>
    </row>
    <row r="31">
      <c r="A31" s="0" t="inlineStr">
        <is>
          <t>nytimes256-289761-M256-p256-k100-q20-r3-t1</t>
        </is>
      </c>
      <c r="B31" s="0" t="inlineStr">
        <is>
          <t>resource_limit</t>
        </is>
      </c>
      <c r="C31" s="0" t="inlineStr">
        <is>
          <t>1</t>
        </is>
      </c>
      <c r="N31" s="0" t="inlineStr">
        <is>
          <t>/mnt/d/paper_source/work_9/VeriANN_repro_2026-09-30/VeriANN_repro_2026-09-30/results/work9-v3db-20261016/nytimes256-289761-M256-p256-k100-q20-r3-t1/result.json</t>
        </is>
      </c>
    </row>
    <row r="32">
      <c r="A32" s="0" t="inlineStr">
        <is>
          <t>nytimes256-289761-M256-p256-k20-q20-r3-t1</t>
        </is>
      </c>
      <c r="B32" s="0" t="inlineStr">
        <is>
          <t>resource_limit</t>
        </is>
      </c>
      <c r="C32" s="0" t="inlineStr">
        <is>
          <t>1</t>
        </is>
      </c>
      <c r="N32" s="0" t="inlineStr">
        <is>
          <t>/mnt/d/paper_source/work_9/VeriANN_repro_2026-09-30/VeriANN_repro_2026-09-30/results/work9-v3db-20261016/nytimes256-289761-M256-p256-k20-q20-r3-t1/result.json</t>
        </is>
      </c>
    </row>
    <row r="33">
      <c r="A33" s="0" t="inlineStr">
        <is>
          <t>nytimes256-289761-M256-p256-k5-q20-r3-t1</t>
        </is>
      </c>
      <c r="B33" s="0" t="inlineStr">
        <is>
          <t>resource_limit</t>
        </is>
      </c>
      <c r="C33" s="0" t="inlineStr">
        <is>
          <t>1</t>
        </is>
      </c>
      <c r="N33" s="0" t="inlineStr">
        <is>
          <t>/mnt/d/paper_source/work_9/VeriANN_repro_2026-09-30/VeriANN_repro_2026-09-30/results/work9-v3db-20261016/nytimes256-289761-M256-p256-k5-q20-r3-t1/result.json</t>
        </is>
      </c>
    </row>
    <row r="34">
      <c r="A34" s="0" t="inlineStr">
        <is>
          <t>nytimes256-289761-M256-p256-k50-q20-r3-t1</t>
        </is>
      </c>
      <c r="B34" s="0" t="inlineStr">
        <is>
          <t>resource_limit</t>
        </is>
      </c>
      <c r="C34" s="0" t="inlineStr">
        <is>
          <t>1</t>
        </is>
      </c>
      <c r="N34" s="0" t="inlineStr">
        <is>
          <t>/mnt/d/paper_source/work_9/VeriANN_repro_2026-09-30/VeriANN_repro_2026-09-30/results/work9-v3db-20261016/nytimes256-289761-M256-p256-k50-q20-r3-t1/result.json</t>
        </is>
      </c>
    </row>
    <row r="35">
      <c r="A35" s="0" t="inlineStr">
        <is>
          <t>nytimes256-289761-M256-p32-k10-q20-r3-t1</t>
        </is>
      </c>
      <c r="B35" s="0" t="inlineStr">
        <is>
          <t>resource_limit</t>
        </is>
      </c>
      <c r="C35" s="0" t="inlineStr">
        <is>
          <t>1</t>
        </is>
      </c>
      <c r="N35" s="0" t="inlineStr">
        <is>
          <t>/mnt/d/paper_source/work_9/VeriANN_repro_2026-09-30/VeriANN_repro_2026-09-30/results/work9-v3db-20261016/nytimes256-289761-M256-p32-k10-q20-r3-t1/result.json</t>
        </is>
      </c>
    </row>
    <row r="36">
      <c r="A36" s="0" t="inlineStr">
        <is>
          <t>nytimes256-289761-M256-p512-k10-q20-r3-t1</t>
        </is>
      </c>
      <c r="B36" s="0" t="inlineStr">
        <is>
          <t>resource_limit</t>
        </is>
      </c>
      <c r="C36" s="0" t="inlineStr">
        <is>
          <t>1</t>
        </is>
      </c>
      <c r="N36" s="0" t="inlineStr">
        <is>
          <t>/mnt/d/paper_source/work_9/VeriANN_repro_2026-09-30/VeriANN_repro_2026-09-30/results/work9-v3db-20261016/nytimes256-289761-M256-p512-k10-q20-r3-t1/result.json</t>
        </is>
      </c>
    </row>
    <row r="37">
      <c r="A37" s="0" t="inlineStr">
        <is>
          <t>nytimes256-289761-M256-p8-k10-q20-r3-t1</t>
        </is>
      </c>
      <c r="B37" s="0" t="inlineStr">
        <is>
          <t>resource_limit</t>
        </is>
      </c>
      <c r="C37" s="0" t="inlineStr">
        <is>
          <t>1</t>
        </is>
      </c>
      <c r="N37" s="0" t="inlineStr">
        <is>
          <t>/mnt/d/paper_source/work_9/VeriANN_repro_2026-09-30/VeriANN_repro_2026-09-30/results/work9-v3db-20261016/nytimes256-289761-M256-p8-k10-q20-r3-t1/result.json</t>
        </is>
      </c>
    </row>
    <row r="38">
      <c r="A38" s="0" t="inlineStr">
        <is>
          <t>sift1m-1000000-M128-K1024-p16-k1-q20-r3-t1</t>
        </is>
      </c>
      <c r="B38" s="0" t="inlineStr">
        <is>
          <t>resource_limit</t>
        </is>
      </c>
      <c r="C38" s="0" t="inlineStr">
        <is>
          <t>1</t>
        </is>
      </c>
      <c r="N38" s="0" t="inlineStr">
        <is>
          <t>/mnt/d/paper_source/work_9/VeriANN_repro_2026-09-30/VeriANN_repro_2026-09-30/results/work9-v3db-20261016/sift1m-1000000-M128-K1024-p16-k1-q20-r3-t1/result.json</t>
        </is>
      </c>
    </row>
    <row r="39">
      <c r="A39" s="0" t="inlineStr">
        <is>
          <t>sift1m-1000000-M128-K1024-p16-k10-q20-r3-t1</t>
        </is>
      </c>
      <c r="B39" s="0" t="inlineStr">
        <is>
          <t>resource_limit</t>
        </is>
      </c>
      <c r="C39" s="0" t="inlineStr">
        <is>
          <t>1</t>
        </is>
      </c>
      <c r="M39" s="0" t="n">
        <v>50</v>
      </c>
      <c r="N39" s="0" t="inlineStr">
        <is>
          <t>/mnt/d/paper_source/work_9/VeriANN_repro_2026-09-30/VeriANN_repro_2026-09-30/results/work9-v3db-20261016/sift1m-1000000-M128-K1024-p16-k10-q20-r3-t1/result.json</t>
        </is>
      </c>
    </row>
    <row r="40">
      <c r="A40" s="0" t="inlineStr">
        <is>
          <t>sift1m-1000000-M128-K1024-p16-k100-q20-r3-t1</t>
        </is>
      </c>
      <c r="B40" s="0" t="inlineStr">
        <is>
          <t>resource_limit</t>
        </is>
      </c>
      <c r="C40" s="0" t="inlineStr">
        <is>
          <t>1</t>
        </is>
      </c>
      <c r="N40" s="0" t="inlineStr">
        <is>
          <t>/mnt/d/paper_source/work_9/VeriANN_repro_2026-09-30/VeriANN_repro_2026-09-30/results/work9-v3db-20261016/sift1m-1000000-M128-K1024-p16-k100-q20-r3-t1/result.json</t>
        </is>
      </c>
    </row>
    <row r="41">
      <c r="A41" s="0" t="inlineStr">
        <is>
          <t>sift1m-1000000-M128-K1024-p16-k20-q20-r3-t1</t>
        </is>
      </c>
      <c r="B41" s="0" t="inlineStr">
        <is>
          <t>resource_limit</t>
        </is>
      </c>
      <c r="C41" s="0" t="inlineStr">
        <is>
          <t>1</t>
        </is>
      </c>
      <c r="N41" s="0" t="inlineStr">
        <is>
          <t>/mnt/d/paper_source/work_9/VeriANN_repro_2026-09-30/VeriANN_repro_2026-09-30/results/work9-v3db-20261016/sift1m-1000000-M128-K1024-p16-k20-q20-r3-t1/result.json</t>
        </is>
      </c>
    </row>
    <row r="42">
      <c r="A42" s="0" t="inlineStr">
        <is>
          <t>sift1m-1000000-M128-K1024-p16-k5-q20-r3-t1</t>
        </is>
      </c>
      <c r="B42" s="0" t="inlineStr">
        <is>
          <t>resource_limit</t>
        </is>
      </c>
      <c r="C42" s="0" t="inlineStr">
        <is>
          <t>1</t>
        </is>
      </c>
      <c r="N42" s="0" t="inlineStr">
        <is>
          <t>/mnt/d/paper_source/work_9/VeriANN_repro_2026-09-30/VeriANN_repro_2026-09-30/results/work9-v3db-20261016/sift1m-1000000-M128-K1024-p16-k5-q20-r3-t1/result.json</t>
        </is>
      </c>
    </row>
    <row r="43">
      <c r="A43" s="0" t="inlineStr">
        <is>
          <t>sift1m-1000000-M128-K1024-p16-k50-q20-r3-t1</t>
        </is>
      </c>
      <c r="B43" s="0" t="inlineStr">
        <is>
          <t>resource_limit</t>
        </is>
      </c>
      <c r="C43" s="0" t="inlineStr">
        <is>
          <t>1</t>
        </is>
      </c>
      <c r="N43" s="0" t="inlineStr">
        <is>
          <t>/mnt/d/paper_source/work_9/VeriANN_repro_2026-09-30/VeriANN_repro_2026-09-30/results/work9-v3db-20261016/sift1m-1000000-M128-K1024-p16-k50-q20-r3-t1/result.json</t>
        </is>
      </c>
    </row>
    <row r="44">
      <c r="A44" s="0" t="inlineStr">
        <is>
          <t>sift1m-1000000-M128-K1024-p2-k10-q20-r3-t1</t>
        </is>
      </c>
      <c r="B44" s="0" t="inlineStr">
        <is>
          <t>passed</t>
        </is>
      </c>
      <c r="C44" s="0" t="inlineStr">
        <is>
          <t>1</t>
        </is>
      </c>
      <c r="D44" s="0" t="n">
        <v>60</v>
      </c>
      <c r="E44" s="0" t="n">
        <v>169.454040914683</v>
      </c>
      <c r="F44" s="0" t="n">
        <v>311.595364864283</v>
      </c>
      <c r="G44" s="0" t="n">
        <v>498000.096393</v>
      </c>
      <c r="H44" s="0" t="n">
        <v>506350.01473115</v>
      </c>
      <c r="I44" s="0" t="n">
        <v>511258.466528089</v>
      </c>
      <c r="J44" s="0" t="n">
        <v>31.3066510007047</v>
      </c>
      <c r="K44" s="0" t="n">
        <v>43.1820990999767</v>
      </c>
      <c r="L44" s="0" t="n">
        <v>35.9971160888672</v>
      </c>
      <c r="N44" s="0" t="inlineStr">
        <is>
          <t>/mnt/d/paper_source/work_9/VeriANN_repro_2026-09-30/VeriANN_repro_2026-09-30/results/work9-v3db-20261016/sift1m-1000000-M128-K1024-p2-k10-q20-r3-t1/per_query.csv</t>
        </is>
      </c>
    </row>
    <row r="45">
      <c r="A45" s="0" t="inlineStr">
        <is>
          <t>sift1m-1000000-M128-K1024-p32-k10-q20-r3-t1</t>
        </is>
      </c>
      <c r="B45" s="0" t="inlineStr">
        <is>
          <t>resource_limit</t>
        </is>
      </c>
      <c r="C45" s="0" t="inlineStr">
        <is>
          <t>1</t>
        </is>
      </c>
      <c r="N45" s="0" t="inlineStr">
        <is>
          <t>/mnt/d/paper_source/work_9/VeriANN_repro_2026-09-30/VeriANN_repro_2026-09-30/results/work9-v3db-20261016/sift1m-1000000-M128-K1024-p32-k10-q20-r3-t1/result.json</t>
        </is>
      </c>
    </row>
    <row r="46">
      <c r="A46" s="0" t="inlineStr">
        <is>
          <t>sift1m-1000000-M128-K1024-p4-k10-q20-r3-t1</t>
        </is>
      </c>
      <c r="B46" s="0" t="inlineStr">
        <is>
          <t>resource_limit</t>
        </is>
      </c>
      <c r="C46" s="0" t="inlineStr">
        <is>
          <t>1</t>
        </is>
      </c>
      <c r="M46" s="0" t="n">
        <v>50</v>
      </c>
      <c r="N46" s="0" t="inlineStr">
        <is>
          <t>/mnt/d/paper_source/work_9/VeriANN_repro_2026-09-30/VeriANN_repro_2026-09-30/results/work9-v3db-20261016/sift1m-1000000-M128-K1024-p4-k10-q20-r3-t1/result.json</t>
        </is>
      </c>
    </row>
    <row r="47">
      <c r="A47" s="0" t="inlineStr">
        <is>
          <t>sift1m-1000000-M128-K1024-p64-k10-q20-r3-t1</t>
        </is>
      </c>
      <c r="B47" s="0" t="inlineStr">
        <is>
          <t>resource_limit</t>
        </is>
      </c>
      <c r="C47" s="0" t="inlineStr">
        <is>
          <t>1</t>
        </is>
      </c>
      <c r="N47" s="0" t="inlineStr">
        <is>
          <t>/mnt/d/paper_source/work_9/VeriANN_repro_2026-09-30/VeriANN_repro_2026-09-30/results/work9-v3db-20261016/sift1m-1000000-M128-K1024-p64-k10-q20-r3-t1/result.json</t>
        </is>
      </c>
    </row>
    <row r="48">
      <c r="A48" s="0" t="inlineStr">
        <is>
          <t>sift1m-1000000-M128-K1024-p8-k10-q20-r3-t1</t>
        </is>
      </c>
      <c r="B48" s="0" t="inlineStr">
        <is>
          <t>resource_limit</t>
        </is>
      </c>
      <c r="C48" s="0" t="inlineStr">
        <is>
          <t>1</t>
        </is>
      </c>
      <c r="N48" s="0" t="inlineStr">
        <is>
          <t>/mnt/d/paper_source/work_9/VeriANN_repro_2026-09-30/VeriANN_repro_2026-09-30/results/work9-v3db-20261016/sift1m-1000000-M128-K1024-p8-k10-q20-r3-t1/result.json</t>
        </is>
      </c>
    </row>
  </sheetData>
  <autoFilter ref="A1:N48"/>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F301"/>
  <sheetViews>
    <sheetView workbookViewId="0">
      <pane ySplit="1" topLeftCell="A2" activePane="bottomLeft" state="frozen"/>
      <selection activeCell="A1" sqref="A1"/>
      <selection pane="bottomLeft" activeCell="A1" sqref="A1"/>
    </sheetView>
  </sheetViews>
  <sheetFormatPr baseColWidth="8" defaultColWidth="9" defaultRowHeight="13.5"/>
  <sheetData>
    <row r="1">
      <c r="A1" s="0" t="inlineStr">
        <is>
          <t>sheet</t>
        </is>
      </c>
      <c r="B1" s="0" t="inlineStr">
        <is>
          <t>cell</t>
        </is>
      </c>
      <c r="C1" s="0" t="inlineStr">
        <is>
          <t>value</t>
        </is>
      </c>
      <c r="D1" s="0" t="inlineStr">
        <is>
          <t>metric</t>
        </is>
      </c>
      <c r="E1" s="0" t="inlineStr">
        <is>
          <t>method</t>
        </is>
      </c>
      <c r="F1" s="0" t="inlineStr">
        <is>
          <t>raw CSV</t>
        </is>
      </c>
    </row>
    <row r="2">
      <c r="A2" s="0" t="inlineStr">
        <is>
          <t>NYTimes-256</t>
        </is>
      </c>
      <c r="B2" s="0" t="inlineStr">
        <is>
          <t>F22</t>
        </is>
      </c>
      <c r="C2" s="0" t="n">
        <v>84</v>
      </c>
      <c r="D2" s="0" t="inlineStr">
        <is>
          <t>recall_percent</t>
        </is>
      </c>
      <c r="E2" s="0" t="inlineStr">
        <is>
          <t>ANNProof</t>
        </is>
      </c>
      <c r="F2" s="0" t="inlineStr">
        <is>
          <t>/mnt/d/paper_source/work_9/VeriANN_repro_2026-09-30/VeriANN_repro_2026-09-30/results/work9-nytimes-20261017/nytimes256/ANNProof-curve-289761/per_query.csv</t>
        </is>
      </c>
    </row>
    <row r="3">
      <c r="A3" s="0" t="inlineStr">
        <is>
          <t>NYTimes-256</t>
        </is>
      </c>
      <c r="B3" s="0" t="inlineStr">
        <is>
          <t>F23</t>
        </is>
      </c>
      <c r="C3" s="0" t="n">
        <v>651.932</v>
      </c>
      <c r="D3" s="0" t="inlineStr">
        <is>
          <t>vo_kb</t>
        </is>
      </c>
      <c r="E3" s="0" t="inlineStr">
        <is>
          <t>ANNProof</t>
        </is>
      </c>
      <c r="F3" s="0" t="inlineStr">
        <is>
          <t>/mnt/d/paper_source/work_9/VeriANN_repro_2026-09-30/VeriANN_repro_2026-09-30/results/work9-nytimes-20261017/nytimes256/ANNProof-curve-289761/per_query.csv</t>
        </is>
      </c>
    </row>
    <row r="4">
      <c r="A4" s="0" t="inlineStr">
        <is>
          <t>NYTimes-256</t>
        </is>
      </c>
      <c r="B4" s="0" t="inlineStr">
        <is>
          <t>F34</t>
        </is>
      </c>
      <c r="C4" s="0" t="n">
        <v>84</v>
      </c>
      <c r="D4" s="0" t="inlineStr">
        <is>
          <t>recall_percent</t>
        </is>
      </c>
      <c r="E4" s="0" t="inlineStr">
        <is>
          <t>ANNProof</t>
        </is>
      </c>
      <c r="F4" s="0" t="inlineStr">
        <is>
          <t>/mnt/d/paper_source/work_9/VeriANN_repro_2026-09-30/VeriANN_repro_2026-09-30/results/work9-nytimes-20261017/nytimes256/ANNProof-curve-289761/per_query.csv</t>
        </is>
      </c>
    </row>
    <row r="5">
      <c r="A5" s="0" t="inlineStr">
        <is>
          <t>NYTimes-256</t>
        </is>
      </c>
      <c r="B5" s="0" t="inlineStr">
        <is>
          <t>F35</t>
        </is>
      </c>
      <c r="C5" s="0" t="n">
        <v>6.37703646666667</v>
      </c>
      <c r="D5" s="0" t="inlineStr">
        <is>
          <t>verify_ms</t>
        </is>
      </c>
      <c r="E5" s="0" t="inlineStr">
        <is>
          <t>ANNProof</t>
        </is>
      </c>
      <c r="F5" s="0" t="inlineStr">
        <is>
          <t>/mnt/d/paper_source/work_9/VeriANN_repro_2026-09-30/VeriANN_repro_2026-09-30/results/work9-nytimes-20261017/nytimes256/ANNProof-curve-289761/per_query.csv</t>
        </is>
      </c>
    </row>
    <row r="6">
      <c r="A6" s="0" t="inlineStr">
        <is>
          <t>NYTimes-256</t>
        </is>
      </c>
      <c r="B6" s="0" t="inlineStr">
        <is>
          <t>F46</t>
        </is>
      </c>
      <c r="C6" s="0" t="n">
        <v>84</v>
      </c>
      <c r="D6" s="0" t="inlineStr">
        <is>
          <t>recall_percent</t>
        </is>
      </c>
      <c r="E6" s="0" t="inlineStr">
        <is>
          <t>ANNProof</t>
        </is>
      </c>
      <c r="F6" s="0" t="inlineStr">
        <is>
          <t>/mnt/d/paper_source/work_9/VeriANN_repro_2026-09-30/VeriANN_repro_2026-09-30/results/work9-nytimes-20261017/nytimes256/ANNProof-curve-289761/per_query.csv</t>
        </is>
      </c>
    </row>
    <row r="7">
      <c r="A7" s="0" t="inlineStr">
        <is>
          <t>NYTimes-256</t>
        </is>
      </c>
      <c r="B7" s="0" t="inlineStr">
        <is>
          <t>F47</t>
        </is>
      </c>
      <c r="C7" s="0" t="n">
        <v>1.28528681666667</v>
      </c>
      <c r="D7" s="0" t="inlineStr">
        <is>
          <t>query_ms</t>
        </is>
      </c>
      <c r="E7" s="0" t="inlineStr">
        <is>
          <t>ANNProof</t>
        </is>
      </c>
      <c r="F7" s="0" t="inlineStr">
        <is>
          <t>/mnt/d/paper_source/work_9/VeriANN_repro_2026-09-30/VeriANN_repro_2026-09-30/results/work9-nytimes-20261017/nytimes256/ANNProof-curve-289761/per_query.csv</t>
        </is>
      </c>
    </row>
    <row r="8">
      <c r="A8" s="0" t="inlineStr">
        <is>
          <t>NYTimes-256</t>
        </is>
      </c>
      <c r="B8" s="0" t="inlineStr">
        <is>
          <t>G22</t>
        </is>
      </c>
      <c r="C8" s="0" t="n">
        <v>84</v>
      </c>
      <c r="D8" s="0" t="inlineStr">
        <is>
          <t>recall_percent</t>
        </is>
      </c>
      <c r="E8" s="0" t="inlineStr">
        <is>
          <t>ANNProof</t>
        </is>
      </c>
      <c r="F8" s="0" t="inlineStr">
        <is>
          <t>/mnt/d/paper_source/work_9/VeriANN_repro_2026-09-30/VeriANN_repro_2026-09-30/results/work9-nytimes-20261017/nytimes256/ANNProof-curve-289761/per_query.csv</t>
        </is>
      </c>
    </row>
    <row r="9">
      <c r="A9" s="0" t="inlineStr">
        <is>
          <t>NYTimes-256</t>
        </is>
      </c>
      <c r="B9" s="0" t="inlineStr">
        <is>
          <t>G23</t>
        </is>
      </c>
      <c r="C9" s="0" t="n">
        <v>651.932</v>
      </c>
      <c r="D9" s="0" t="inlineStr">
        <is>
          <t>vo_kb</t>
        </is>
      </c>
      <c r="E9" s="0" t="inlineStr">
        <is>
          <t>ANNProof</t>
        </is>
      </c>
      <c r="F9" s="0" t="inlineStr">
        <is>
          <t>/mnt/d/paper_source/work_9/VeriANN_repro_2026-09-30/VeriANN_repro_2026-09-30/results/work9-nytimes-20261017/nytimes256/ANNProof-curve-289761/per_query.csv</t>
        </is>
      </c>
    </row>
    <row r="10">
      <c r="A10" s="0" t="inlineStr">
        <is>
          <t>NYTimes-256</t>
        </is>
      </c>
      <c r="B10" s="0" t="inlineStr">
        <is>
          <t>G34</t>
        </is>
      </c>
      <c r="C10" s="0" t="n">
        <v>84</v>
      </c>
      <c r="D10" s="0" t="inlineStr">
        <is>
          <t>recall_percent</t>
        </is>
      </c>
      <c r="E10" s="0" t="inlineStr">
        <is>
          <t>ANNProof</t>
        </is>
      </c>
      <c r="F10" s="0" t="inlineStr">
        <is>
          <t>/mnt/d/paper_source/work_9/VeriANN_repro_2026-09-30/VeriANN_repro_2026-09-30/results/work9-nytimes-20261017/nytimes256/ANNProof-curve-289761/per_query.csv</t>
        </is>
      </c>
    </row>
    <row r="11">
      <c r="A11" s="0" t="inlineStr">
        <is>
          <t>NYTimes-256</t>
        </is>
      </c>
      <c r="B11" s="0" t="inlineStr">
        <is>
          <t>G35</t>
        </is>
      </c>
      <c r="C11" s="0" t="n">
        <v>6.37703646666667</v>
      </c>
      <c r="D11" s="0" t="inlineStr">
        <is>
          <t>verify_ms</t>
        </is>
      </c>
      <c r="E11" s="0" t="inlineStr">
        <is>
          <t>ANNProof</t>
        </is>
      </c>
      <c r="F11" s="0" t="inlineStr">
        <is>
          <t>/mnt/d/paper_source/work_9/VeriANN_repro_2026-09-30/VeriANN_repro_2026-09-30/results/work9-nytimes-20261017/nytimes256/ANNProof-curve-289761/per_query.csv</t>
        </is>
      </c>
    </row>
    <row r="12">
      <c r="A12" s="0" t="inlineStr">
        <is>
          <t>NYTimes-256</t>
        </is>
      </c>
      <c r="B12" s="0" t="inlineStr">
        <is>
          <t>G46</t>
        </is>
      </c>
      <c r="C12" s="0" t="n">
        <v>84</v>
      </c>
      <c r="D12" s="0" t="inlineStr">
        <is>
          <t>recall_percent</t>
        </is>
      </c>
      <c r="E12" s="0" t="inlineStr">
        <is>
          <t>ANNProof</t>
        </is>
      </c>
      <c r="F12" s="0" t="inlineStr">
        <is>
          <t>/mnt/d/paper_source/work_9/VeriANN_repro_2026-09-30/VeriANN_repro_2026-09-30/results/work9-nytimes-20261017/nytimes256/ANNProof-curve-289761/per_query.csv</t>
        </is>
      </c>
    </row>
    <row r="13">
      <c r="A13" s="0" t="inlineStr">
        <is>
          <t>NYTimes-256</t>
        </is>
      </c>
      <c r="B13" s="0" t="inlineStr">
        <is>
          <t>G47</t>
        </is>
      </c>
      <c r="C13" s="0" t="n">
        <v>1.28528681666667</v>
      </c>
      <c r="D13" s="0" t="inlineStr">
        <is>
          <t>query_ms</t>
        </is>
      </c>
      <c r="E13" s="0" t="inlineStr">
        <is>
          <t>ANNProof</t>
        </is>
      </c>
      <c r="F13" s="0" t="inlineStr">
        <is>
          <t>/mnt/d/paper_source/work_9/VeriANN_repro_2026-09-30/VeriANN_repro_2026-09-30/results/work9-nytimes-20261017/nytimes256/ANNProof-curve-289761/per_query.csv</t>
        </is>
      </c>
    </row>
    <row r="14">
      <c r="A14" s="0" t="inlineStr">
        <is>
          <t>NYTimes-256</t>
        </is>
      </c>
      <c r="B14" s="0" t="inlineStr">
        <is>
          <t>H22</t>
        </is>
      </c>
      <c r="C14" s="0" t="n">
        <v>84</v>
      </c>
      <c r="D14" s="0" t="inlineStr">
        <is>
          <t>recall_percent</t>
        </is>
      </c>
      <c r="E14" s="0" t="inlineStr">
        <is>
          <t>ANNProof</t>
        </is>
      </c>
      <c r="F14" s="0" t="inlineStr">
        <is>
          <t>/mnt/d/paper_source/work_9/VeriANN_repro_2026-09-30/VeriANN_repro_2026-09-30/results/work9-nytimes-20261017/nytimes256/ANNProof-curve-289761/per_query.csv</t>
        </is>
      </c>
    </row>
    <row r="15">
      <c r="A15" s="0" t="inlineStr">
        <is>
          <t>NYTimes-256</t>
        </is>
      </c>
      <c r="B15" s="0" t="inlineStr">
        <is>
          <t>H23</t>
        </is>
      </c>
      <c r="C15" s="0" t="n">
        <v>651.932</v>
      </c>
      <c r="D15" s="0" t="inlineStr">
        <is>
          <t>vo_kb</t>
        </is>
      </c>
      <c r="E15" s="0" t="inlineStr">
        <is>
          <t>ANNProof</t>
        </is>
      </c>
      <c r="F15" s="0" t="inlineStr">
        <is>
          <t>/mnt/d/paper_source/work_9/VeriANN_repro_2026-09-30/VeriANN_repro_2026-09-30/results/work9-nytimes-20261017/nytimes256/ANNProof-curve-289761/per_query.csv</t>
        </is>
      </c>
    </row>
    <row r="16">
      <c r="A16" s="0" t="inlineStr">
        <is>
          <t>NYTimes-256</t>
        </is>
      </c>
      <c r="B16" s="0" t="inlineStr">
        <is>
          <t>H34</t>
        </is>
      </c>
      <c r="C16" s="0" t="n">
        <v>84</v>
      </c>
      <c r="D16" s="0" t="inlineStr">
        <is>
          <t>recall_percent</t>
        </is>
      </c>
      <c r="E16" s="0" t="inlineStr">
        <is>
          <t>ANNProof</t>
        </is>
      </c>
      <c r="F16" s="0" t="inlineStr">
        <is>
          <t>/mnt/d/paper_source/work_9/VeriANN_repro_2026-09-30/VeriANN_repro_2026-09-30/results/work9-nytimes-20261017/nytimes256/ANNProof-curve-289761/per_query.csv</t>
        </is>
      </c>
    </row>
    <row r="17">
      <c r="A17" s="0" t="inlineStr">
        <is>
          <t>NYTimes-256</t>
        </is>
      </c>
      <c r="B17" s="0" t="inlineStr">
        <is>
          <t>H35</t>
        </is>
      </c>
      <c r="C17" s="0" t="n">
        <v>6.37703646666667</v>
      </c>
      <c r="D17" s="0" t="inlineStr">
        <is>
          <t>verify_ms</t>
        </is>
      </c>
      <c r="E17" s="0" t="inlineStr">
        <is>
          <t>ANNProof</t>
        </is>
      </c>
      <c r="F17" s="0" t="inlineStr">
        <is>
          <t>/mnt/d/paper_source/work_9/VeriANN_repro_2026-09-30/VeriANN_repro_2026-09-30/results/work9-nytimes-20261017/nytimes256/ANNProof-curve-289761/per_query.csv</t>
        </is>
      </c>
    </row>
    <row r="18">
      <c r="A18" s="0" t="inlineStr">
        <is>
          <t>NYTimes-256</t>
        </is>
      </c>
      <c r="B18" s="0" t="inlineStr">
        <is>
          <t>H46</t>
        </is>
      </c>
      <c r="C18" s="0" t="n">
        <v>84</v>
      </c>
      <c r="D18" s="0" t="inlineStr">
        <is>
          <t>recall_percent</t>
        </is>
      </c>
      <c r="E18" s="0" t="inlineStr">
        <is>
          <t>ANNProof</t>
        </is>
      </c>
      <c r="F18" s="0" t="inlineStr">
        <is>
          <t>/mnt/d/paper_source/work_9/VeriANN_repro_2026-09-30/VeriANN_repro_2026-09-30/results/work9-nytimes-20261017/nytimes256/ANNProof-curve-289761/per_query.csv</t>
        </is>
      </c>
    </row>
    <row r="19">
      <c r="A19" s="0" t="inlineStr">
        <is>
          <t>NYTimes-256</t>
        </is>
      </c>
      <c r="B19" s="0" t="inlineStr">
        <is>
          <t>H47</t>
        </is>
      </c>
      <c r="C19" s="0" t="n">
        <v>1.28528681666667</v>
      </c>
      <c r="D19" s="0" t="inlineStr">
        <is>
          <t>query_ms</t>
        </is>
      </c>
      <c r="E19" s="0" t="inlineStr">
        <is>
          <t>ANNProof</t>
        </is>
      </c>
      <c r="F19" s="0" t="inlineStr">
        <is>
          <t>/mnt/d/paper_source/work_9/VeriANN_repro_2026-09-30/VeriANN_repro_2026-09-30/results/work9-nytimes-20261017/nytimes256/ANNProof-curve-289761/per_query.csv</t>
        </is>
      </c>
    </row>
    <row r="20">
      <c r="A20" s="0" t="inlineStr">
        <is>
          <t>NYTimes-256</t>
        </is>
      </c>
      <c r="B20" s="0" t="inlineStr">
        <is>
          <t>I22</t>
        </is>
      </c>
      <c r="C20" s="0" t="n">
        <v>84</v>
      </c>
      <c r="D20" s="0" t="inlineStr">
        <is>
          <t>recall_percent</t>
        </is>
      </c>
      <c r="E20" s="0" t="inlineStr">
        <is>
          <t>ANNProof</t>
        </is>
      </c>
      <c r="F20" s="0" t="inlineStr">
        <is>
          <t>/mnt/d/paper_source/work_9/VeriANN_repro_2026-09-30/VeriANN_repro_2026-09-30/results/work9-nytimes-20261017/nytimes256/ANNProof-curve-289761/per_query.csv</t>
        </is>
      </c>
    </row>
    <row r="21">
      <c r="A21" s="0" t="inlineStr">
        <is>
          <t>NYTimes-256</t>
        </is>
      </c>
      <c r="B21" s="0" t="inlineStr">
        <is>
          <t>I23</t>
        </is>
      </c>
      <c r="C21" s="0" t="n">
        <v>651.932</v>
      </c>
      <c r="D21" s="0" t="inlineStr">
        <is>
          <t>vo_kb</t>
        </is>
      </c>
      <c r="E21" s="0" t="inlineStr">
        <is>
          <t>ANNProof</t>
        </is>
      </c>
      <c r="F21" s="0" t="inlineStr">
        <is>
          <t>/mnt/d/paper_source/work_9/VeriANN_repro_2026-09-30/VeriANN_repro_2026-09-30/results/work9-nytimes-20261017/nytimes256/ANNProof-curve-289761/per_query.csv</t>
        </is>
      </c>
    </row>
    <row r="22">
      <c r="A22" s="0" t="inlineStr">
        <is>
          <t>NYTimes-256</t>
        </is>
      </c>
      <c r="B22" s="0" t="inlineStr">
        <is>
          <t>I34</t>
        </is>
      </c>
      <c r="C22" s="0" t="n">
        <v>84</v>
      </c>
      <c r="D22" s="0" t="inlineStr">
        <is>
          <t>recall_percent</t>
        </is>
      </c>
      <c r="E22" s="0" t="inlineStr">
        <is>
          <t>ANNProof</t>
        </is>
      </c>
      <c r="F22" s="0" t="inlineStr">
        <is>
          <t>/mnt/d/paper_source/work_9/VeriANN_repro_2026-09-30/VeriANN_repro_2026-09-30/results/work9-nytimes-20261017/nytimes256/ANNProof-curve-289761/per_query.csv</t>
        </is>
      </c>
    </row>
    <row r="23">
      <c r="A23" s="0" t="inlineStr">
        <is>
          <t>NYTimes-256</t>
        </is>
      </c>
      <c r="B23" s="0" t="inlineStr">
        <is>
          <t>I35</t>
        </is>
      </c>
      <c r="C23" s="0" t="n">
        <v>6.37703646666667</v>
      </c>
      <c r="D23" s="0" t="inlineStr">
        <is>
          <t>verify_ms</t>
        </is>
      </c>
      <c r="E23" s="0" t="inlineStr">
        <is>
          <t>ANNProof</t>
        </is>
      </c>
      <c r="F23" s="0" t="inlineStr">
        <is>
          <t>/mnt/d/paper_source/work_9/VeriANN_repro_2026-09-30/VeriANN_repro_2026-09-30/results/work9-nytimes-20261017/nytimes256/ANNProof-curve-289761/per_query.csv</t>
        </is>
      </c>
    </row>
    <row r="24">
      <c r="A24" s="0" t="inlineStr">
        <is>
          <t>NYTimes-256</t>
        </is>
      </c>
      <c r="B24" s="0" t="inlineStr">
        <is>
          <t>I46</t>
        </is>
      </c>
      <c r="C24" s="0" t="n">
        <v>84</v>
      </c>
      <c r="D24" s="0" t="inlineStr">
        <is>
          <t>recall_percent</t>
        </is>
      </c>
      <c r="E24" s="0" t="inlineStr">
        <is>
          <t>ANNProof</t>
        </is>
      </c>
      <c r="F24" s="0" t="inlineStr">
        <is>
          <t>/mnt/d/paper_source/work_9/VeriANN_repro_2026-09-30/VeriANN_repro_2026-09-30/results/work9-nytimes-20261017/nytimes256/ANNProof-curve-289761/per_query.csv</t>
        </is>
      </c>
    </row>
    <row r="25">
      <c r="A25" s="0" t="inlineStr">
        <is>
          <t>NYTimes-256</t>
        </is>
      </c>
      <c r="B25" s="0" t="inlineStr">
        <is>
          <t>I47</t>
        </is>
      </c>
      <c r="C25" s="0" t="n">
        <v>1.28528681666667</v>
      </c>
      <c r="D25" s="0" t="inlineStr">
        <is>
          <t>query_ms</t>
        </is>
      </c>
      <c r="E25" s="0" t="inlineStr">
        <is>
          <t>ANNProof</t>
        </is>
      </c>
      <c r="F25" s="0" t="inlineStr">
        <is>
          <t>/mnt/d/paper_source/work_9/VeriANN_repro_2026-09-30/VeriANN_repro_2026-09-30/results/work9-nytimes-20261017/nytimes256/ANNProof-curve-289761/per_query.csv</t>
        </is>
      </c>
    </row>
    <row r="26">
      <c r="A26" s="0" t="inlineStr">
        <is>
          <t>NYTimes-256</t>
        </is>
      </c>
      <c r="B26" s="0" t="inlineStr">
        <is>
          <t>J22</t>
        </is>
      </c>
      <c r="C26" s="0" t="n">
        <v>84</v>
      </c>
      <c r="D26" s="0" t="inlineStr">
        <is>
          <t>recall_percent</t>
        </is>
      </c>
      <c r="E26" s="0" t="inlineStr">
        <is>
          <t>ANNProof</t>
        </is>
      </c>
      <c r="F26" s="0" t="inlineStr">
        <is>
          <t>/mnt/d/paper_source/work_9/VeriANN_repro_2026-09-30/VeriANN_repro_2026-09-30/results/work9-nytimes-20261017/nytimes256/ANNProof-curve-289761/per_query.csv</t>
        </is>
      </c>
    </row>
    <row r="27">
      <c r="A27" s="0" t="inlineStr">
        <is>
          <t>NYTimes-256</t>
        </is>
      </c>
      <c r="B27" s="0" t="inlineStr">
        <is>
          <t>J23</t>
        </is>
      </c>
      <c r="C27" s="0" t="n">
        <v>651.932</v>
      </c>
      <c r="D27" s="0" t="inlineStr">
        <is>
          <t>vo_kb</t>
        </is>
      </c>
      <c r="E27" s="0" t="inlineStr">
        <is>
          <t>ANNProof</t>
        </is>
      </c>
      <c r="F27" s="0" t="inlineStr">
        <is>
          <t>/mnt/d/paper_source/work_9/VeriANN_repro_2026-09-30/VeriANN_repro_2026-09-30/results/work9-nytimes-20261017/nytimes256/ANNProof-curve-289761/per_query.csv</t>
        </is>
      </c>
    </row>
    <row r="28">
      <c r="A28" s="0" t="inlineStr">
        <is>
          <t>NYTimes-256</t>
        </is>
      </c>
      <c r="B28" s="0" t="inlineStr">
        <is>
          <t>J34</t>
        </is>
      </c>
      <c r="C28" s="0" t="n">
        <v>84</v>
      </c>
      <c r="D28" s="0" t="inlineStr">
        <is>
          <t>recall_percent</t>
        </is>
      </c>
      <c r="E28" s="0" t="inlineStr">
        <is>
          <t>ANNProof</t>
        </is>
      </c>
      <c r="F28" s="0" t="inlineStr">
        <is>
          <t>/mnt/d/paper_source/work_9/VeriANN_repro_2026-09-30/VeriANN_repro_2026-09-30/results/work9-nytimes-20261017/nytimes256/ANNProof-curve-289761/per_query.csv</t>
        </is>
      </c>
    </row>
    <row r="29">
      <c r="A29" s="0" t="inlineStr">
        <is>
          <t>NYTimes-256</t>
        </is>
      </c>
      <c r="B29" s="0" t="inlineStr">
        <is>
          <t>J35</t>
        </is>
      </c>
      <c r="C29" s="0" t="n">
        <v>6.37703646666667</v>
      </c>
      <c r="D29" s="0" t="inlineStr">
        <is>
          <t>verify_ms</t>
        </is>
      </c>
      <c r="E29" s="0" t="inlineStr">
        <is>
          <t>ANNProof</t>
        </is>
      </c>
      <c r="F29" s="0" t="inlineStr">
        <is>
          <t>/mnt/d/paper_source/work_9/VeriANN_repro_2026-09-30/VeriANN_repro_2026-09-30/results/work9-nytimes-20261017/nytimes256/ANNProof-curve-289761/per_query.csv</t>
        </is>
      </c>
    </row>
    <row r="30">
      <c r="A30" s="0" t="inlineStr">
        <is>
          <t>NYTimes-256</t>
        </is>
      </c>
      <c r="B30" s="0" t="inlineStr">
        <is>
          <t>J46</t>
        </is>
      </c>
      <c r="C30" s="0" t="n">
        <v>84</v>
      </c>
      <c r="D30" s="0" t="inlineStr">
        <is>
          <t>recall_percent</t>
        </is>
      </c>
      <c r="E30" s="0" t="inlineStr">
        <is>
          <t>ANNProof</t>
        </is>
      </c>
      <c r="F30" s="0" t="inlineStr">
        <is>
          <t>/mnt/d/paper_source/work_9/VeriANN_repro_2026-09-30/VeriANN_repro_2026-09-30/results/work9-nytimes-20261017/nytimes256/ANNProof-curve-289761/per_query.csv</t>
        </is>
      </c>
    </row>
    <row r="31">
      <c r="A31" s="0" t="inlineStr">
        <is>
          <t>NYTimes-256</t>
        </is>
      </c>
      <c r="B31" s="0" t="inlineStr">
        <is>
          <t>J47</t>
        </is>
      </c>
      <c r="C31" s="0" t="n">
        <v>1.28528681666667</v>
      </c>
      <c r="D31" s="0" t="inlineStr">
        <is>
          <t>query_ms</t>
        </is>
      </c>
      <c r="E31" s="0" t="inlineStr">
        <is>
          <t>ANNProof</t>
        </is>
      </c>
      <c r="F31" s="0" t="inlineStr">
        <is>
          <t>/mnt/d/paper_source/work_9/VeriANN_repro_2026-09-30/VeriANN_repro_2026-09-30/results/work9-nytimes-20261017/nytimes256/ANNProof-curve-289761/per_query.csv</t>
        </is>
      </c>
    </row>
    <row r="32">
      <c r="A32" s="0" t="inlineStr">
        <is>
          <t>NYTimes-256</t>
        </is>
      </c>
      <c r="B32" s="0" t="inlineStr">
        <is>
          <t>K22</t>
        </is>
      </c>
      <c r="C32" s="0" t="n">
        <v>85.5</v>
      </c>
      <c r="D32" s="0" t="inlineStr">
        <is>
          <t>recall_percent</t>
        </is>
      </c>
      <c r="E32" s="0" t="inlineStr">
        <is>
          <t>ANNProof</t>
        </is>
      </c>
      <c r="F32" s="0" t="inlineStr">
        <is>
          <t>/mnt/d/paper_source/work_9/VeriANN_repro_2026-09-30/VeriANN_repro_2026-09-30/results/work9-nytimes-20261017/nytimes256/ANNProof-curve-289761/per_query.csv</t>
        </is>
      </c>
    </row>
    <row r="33">
      <c r="A33" s="0" t="inlineStr">
        <is>
          <t>NYTimes-256</t>
        </is>
      </c>
      <c r="B33" s="0" t="inlineStr">
        <is>
          <t>K23</t>
        </is>
      </c>
      <c r="C33" s="0" t="n">
        <v>1264.985</v>
      </c>
      <c r="D33" s="0" t="inlineStr">
        <is>
          <t>vo_kb</t>
        </is>
      </c>
      <c r="E33" s="0" t="inlineStr">
        <is>
          <t>ANNProof</t>
        </is>
      </c>
      <c r="F33" s="0" t="inlineStr">
        <is>
          <t>/mnt/d/paper_source/work_9/VeriANN_repro_2026-09-30/VeriANN_repro_2026-09-30/results/work9-nytimes-20261017/nytimes256/ANNProof-curve-289761/per_query.csv</t>
        </is>
      </c>
    </row>
    <row r="34">
      <c r="A34" s="0" t="inlineStr">
        <is>
          <t>NYTimes-256</t>
        </is>
      </c>
      <c r="B34" s="0" t="inlineStr">
        <is>
          <t>K34</t>
        </is>
      </c>
      <c r="C34" s="0" t="n">
        <v>85.5</v>
      </c>
      <c r="D34" s="0" t="inlineStr">
        <is>
          <t>recall_percent</t>
        </is>
      </c>
      <c r="E34" s="0" t="inlineStr">
        <is>
          <t>ANNProof</t>
        </is>
      </c>
      <c r="F34" s="0" t="inlineStr">
        <is>
          <t>/mnt/d/paper_source/work_9/VeriANN_repro_2026-09-30/VeriANN_repro_2026-09-30/results/work9-nytimes-20261017/nytimes256/ANNProof-curve-289761/per_query.csv</t>
        </is>
      </c>
    </row>
    <row r="35">
      <c r="A35" s="0" t="inlineStr">
        <is>
          <t>NYTimes-256</t>
        </is>
      </c>
      <c r="B35" s="0" t="inlineStr">
        <is>
          <t>K35</t>
        </is>
      </c>
      <c r="C35" s="0" t="n">
        <v>12.07894735</v>
      </c>
      <c r="D35" s="0" t="inlineStr">
        <is>
          <t>verify_ms</t>
        </is>
      </c>
      <c r="E35" s="0" t="inlineStr">
        <is>
          <t>ANNProof</t>
        </is>
      </c>
      <c r="F35" s="0" t="inlineStr">
        <is>
          <t>/mnt/d/paper_source/work_9/VeriANN_repro_2026-09-30/VeriANN_repro_2026-09-30/results/work9-nytimes-20261017/nytimes256/ANNProof-curve-289761/per_query.csv</t>
        </is>
      </c>
    </row>
    <row r="36">
      <c r="A36" s="0" t="inlineStr">
        <is>
          <t>NYTimes-256</t>
        </is>
      </c>
      <c r="B36" s="0" t="inlineStr">
        <is>
          <t>K46</t>
        </is>
      </c>
      <c r="C36" s="0" t="n">
        <v>85.5</v>
      </c>
      <c r="D36" s="0" t="inlineStr">
        <is>
          <t>recall_percent</t>
        </is>
      </c>
      <c r="E36" s="0" t="inlineStr">
        <is>
          <t>ANNProof</t>
        </is>
      </c>
      <c r="F36" s="0" t="inlineStr">
        <is>
          <t>/mnt/d/paper_source/work_9/VeriANN_repro_2026-09-30/VeriANN_repro_2026-09-30/results/work9-nytimes-20261017/nytimes256/ANNProof-curve-289761/per_query.csv</t>
        </is>
      </c>
    </row>
    <row r="37">
      <c r="A37" s="0" t="inlineStr">
        <is>
          <t>NYTimes-256</t>
        </is>
      </c>
      <c r="B37" s="0" t="inlineStr">
        <is>
          <t>K47</t>
        </is>
      </c>
      <c r="C37" s="0" t="n">
        <v>2.58172271666667</v>
      </c>
      <c r="D37" s="0" t="inlineStr">
        <is>
          <t>query_ms</t>
        </is>
      </c>
      <c r="E37" s="0" t="inlineStr">
        <is>
          <t>ANNProof</t>
        </is>
      </c>
      <c r="F37" s="0" t="inlineStr">
        <is>
          <t>/mnt/d/paper_source/work_9/VeriANN_repro_2026-09-30/VeriANN_repro_2026-09-30/results/work9-nytimes-20261017/nytimes256/ANNProof-curve-289761/per_query.csv</t>
        </is>
      </c>
    </row>
    <row r="38">
      <c r="A38" s="0" t="inlineStr">
        <is>
          <t>NYTimes-256</t>
        </is>
      </c>
      <c r="B38" s="0" t="inlineStr">
        <is>
          <t>L22</t>
        </is>
      </c>
      <c r="C38" s="0" t="n">
        <v>90</v>
      </c>
      <c r="D38" s="0" t="inlineStr">
        <is>
          <t>recall_percent</t>
        </is>
      </c>
      <c r="E38" s="0" t="inlineStr">
        <is>
          <t>ANNProof</t>
        </is>
      </c>
      <c r="F38" s="0" t="inlineStr">
        <is>
          <t>/mnt/d/paper_source/work_9/VeriANN_repro_2026-09-30/VeriANN_repro_2026-09-30/results/work9-nytimes-20261017/nytimes256/ANNProof-curve-289761/per_query.csv</t>
        </is>
      </c>
    </row>
    <row r="39">
      <c r="A39" s="0" t="inlineStr">
        <is>
          <t>NYTimes-256</t>
        </is>
      </c>
      <c r="B39" s="0" t="inlineStr">
        <is>
          <t>L23</t>
        </is>
      </c>
      <c r="C39" s="0" t="n">
        <v>2169.0354</v>
      </c>
      <c r="D39" s="0" t="inlineStr">
        <is>
          <t>vo_kb</t>
        </is>
      </c>
      <c r="E39" s="0" t="inlineStr">
        <is>
          <t>ANNProof</t>
        </is>
      </c>
      <c r="F39" s="0" t="inlineStr">
        <is>
          <t>/mnt/d/paper_source/work_9/VeriANN_repro_2026-09-30/VeriANN_repro_2026-09-30/results/work9-nytimes-20261017/nytimes256/ANNProof-curve-289761/per_query.csv</t>
        </is>
      </c>
    </row>
    <row r="40">
      <c r="A40" s="0" t="inlineStr">
        <is>
          <t>NYTimes-256</t>
        </is>
      </c>
      <c r="B40" s="0" t="inlineStr">
        <is>
          <t>L34</t>
        </is>
      </c>
      <c r="C40" s="0" t="n">
        <v>90</v>
      </c>
      <c r="D40" s="0" t="inlineStr">
        <is>
          <t>recall_percent</t>
        </is>
      </c>
      <c r="E40" s="0" t="inlineStr">
        <is>
          <t>ANNProof</t>
        </is>
      </c>
      <c r="F40" s="0" t="inlineStr">
        <is>
          <t>/mnt/d/paper_source/work_9/VeriANN_repro_2026-09-30/VeriANN_repro_2026-09-30/results/work9-nytimes-20261017/nytimes256/ANNProof-curve-289761/per_query.csv</t>
        </is>
      </c>
    </row>
    <row r="41">
      <c r="A41" s="0" t="inlineStr">
        <is>
          <t>NYTimes-256</t>
        </is>
      </c>
      <c r="B41" s="0" t="inlineStr">
        <is>
          <t>L35</t>
        </is>
      </c>
      <c r="C41" s="0" t="n">
        <v>20.1642276166667</v>
      </c>
      <c r="D41" s="0" t="inlineStr">
        <is>
          <t>verify_ms</t>
        </is>
      </c>
      <c r="E41" s="0" t="inlineStr">
        <is>
          <t>ANNProof</t>
        </is>
      </c>
      <c r="F41" s="0" t="inlineStr">
        <is>
          <t>/mnt/d/paper_source/work_9/VeriANN_repro_2026-09-30/VeriANN_repro_2026-09-30/results/work9-nytimes-20261017/nytimes256/ANNProof-curve-289761/per_query.csv</t>
        </is>
      </c>
    </row>
    <row r="42">
      <c r="A42" s="0" t="inlineStr">
        <is>
          <t>NYTimes-256</t>
        </is>
      </c>
      <c r="B42" s="0" t="inlineStr">
        <is>
          <t>L46</t>
        </is>
      </c>
      <c r="C42" s="0" t="n">
        <v>90</v>
      </c>
      <c r="D42" s="0" t="inlineStr">
        <is>
          <t>recall_percent</t>
        </is>
      </c>
      <c r="E42" s="0" t="inlineStr">
        <is>
          <t>ANNProof</t>
        </is>
      </c>
      <c r="F42" s="0" t="inlineStr">
        <is>
          <t>/mnt/d/paper_source/work_9/VeriANN_repro_2026-09-30/VeriANN_repro_2026-09-30/results/work9-nytimes-20261017/nytimes256/ANNProof-curve-289761/per_query.csv</t>
        </is>
      </c>
    </row>
    <row r="43">
      <c r="A43" s="0" t="inlineStr">
        <is>
          <t>NYTimes-256</t>
        </is>
      </c>
      <c r="B43" s="0" t="inlineStr">
        <is>
          <t>L47</t>
        </is>
      </c>
      <c r="C43" s="0" t="n">
        <v>4.64559393333333</v>
      </c>
      <c r="D43" s="0" t="inlineStr">
        <is>
          <t>query_ms</t>
        </is>
      </c>
      <c r="E43" s="0" t="inlineStr">
        <is>
          <t>ANNProof</t>
        </is>
      </c>
      <c r="F43" s="0" t="inlineStr">
        <is>
          <t>/mnt/d/paper_source/work_9/VeriANN_repro_2026-09-30/VeriANN_repro_2026-09-30/results/work9-nytimes-20261017/nytimes256/ANNProof-curve-289761/per_query.csv</t>
        </is>
      </c>
    </row>
    <row r="44">
      <c r="A44" s="0" t="inlineStr">
        <is>
          <t>NYTimes-256</t>
        </is>
      </c>
      <c r="B44" s="0" t="inlineStr">
        <is>
          <t>M22</t>
        </is>
      </c>
      <c r="C44" s="0" t="n">
        <v>96</v>
      </c>
      <c r="D44" s="0" t="inlineStr">
        <is>
          <t>recall_percent</t>
        </is>
      </c>
      <c r="E44" s="0" t="inlineStr">
        <is>
          <t>ANNProof</t>
        </is>
      </c>
      <c r="F44" s="0" t="inlineStr">
        <is>
          <t>/mnt/d/paper_source/work_9/VeriANN_repro_2026-09-30/VeriANN_repro_2026-09-30/results/work9-nytimes-20261017/nytimes256/ANNProof-curve-289761/per_query.csv</t>
        </is>
      </c>
    </row>
    <row r="45">
      <c r="A45" s="0" t="inlineStr">
        <is>
          <t>NYTimes-256</t>
        </is>
      </c>
      <c r="B45" s="0" t="inlineStr">
        <is>
          <t>M23</t>
        </is>
      </c>
      <c r="C45" s="0" t="n">
        <v>9647.870999999999</v>
      </c>
      <c r="D45" s="0" t="inlineStr">
        <is>
          <t>vo_kb</t>
        </is>
      </c>
      <c r="E45" s="0" t="inlineStr">
        <is>
          <t>ANNProof</t>
        </is>
      </c>
      <c r="F45" s="0" t="inlineStr">
        <is>
          <t>/mnt/d/paper_source/work_9/VeriANN_repro_2026-09-30/VeriANN_repro_2026-09-30/results/work9-nytimes-20261017/nytimes256/ANNProof-curve-289761/per_query.csv</t>
        </is>
      </c>
    </row>
    <row r="46">
      <c r="A46" s="0" t="inlineStr">
        <is>
          <t>NYTimes-256</t>
        </is>
      </c>
      <c r="B46" s="0" t="inlineStr">
        <is>
          <t>M34</t>
        </is>
      </c>
      <c r="C46" s="0" t="n">
        <v>96</v>
      </c>
      <c r="D46" s="0" t="inlineStr">
        <is>
          <t>recall_percent</t>
        </is>
      </c>
      <c r="E46" s="0" t="inlineStr">
        <is>
          <t>ANNProof</t>
        </is>
      </c>
      <c r="F46" s="0" t="inlineStr">
        <is>
          <t>/mnt/d/paper_source/work_9/VeriANN_repro_2026-09-30/VeriANN_repro_2026-09-30/results/work9-nytimes-20261017/nytimes256/ANNProof-curve-289761/per_query.csv</t>
        </is>
      </c>
    </row>
    <row r="47">
      <c r="A47" s="0" t="inlineStr">
        <is>
          <t>NYTimes-256</t>
        </is>
      </c>
      <c r="B47" s="0" t="inlineStr">
        <is>
          <t>M35</t>
        </is>
      </c>
      <c r="C47" s="0" t="n">
        <v>86.1523698333333</v>
      </c>
      <c r="D47" s="0" t="inlineStr">
        <is>
          <t>verify_ms</t>
        </is>
      </c>
      <c r="E47" s="0" t="inlineStr">
        <is>
          <t>ANNProof</t>
        </is>
      </c>
      <c r="F47" s="0" t="inlineStr">
        <is>
          <t>/mnt/d/paper_source/work_9/VeriANN_repro_2026-09-30/VeriANN_repro_2026-09-30/results/work9-nytimes-20261017/nytimes256/ANNProof-curve-289761/per_query.csv</t>
        </is>
      </c>
    </row>
    <row r="48">
      <c r="A48" s="0" t="inlineStr">
        <is>
          <t>NYTimes-256</t>
        </is>
      </c>
      <c r="B48" s="0" t="inlineStr">
        <is>
          <t>M46</t>
        </is>
      </c>
      <c r="C48" s="0" t="n">
        <v>96</v>
      </c>
      <c r="D48" s="0" t="inlineStr">
        <is>
          <t>recall_percent</t>
        </is>
      </c>
      <c r="E48" s="0" t="inlineStr">
        <is>
          <t>ANNProof</t>
        </is>
      </c>
      <c r="F48" s="0" t="inlineStr">
        <is>
          <t>/mnt/d/paper_source/work_9/VeriANN_repro_2026-09-30/VeriANN_repro_2026-09-30/results/work9-nytimes-20261017/nytimes256/ANNProof-curve-289761/per_query.csv</t>
        </is>
      </c>
    </row>
    <row r="49">
      <c r="A49" s="0" t="inlineStr">
        <is>
          <t>NYTimes-256</t>
        </is>
      </c>
      <c r="B49" s="0" t="inlineStr">
        <is>
          <t>M47</t>
        </is>
      </c>
      <c r="C49" s="0" t="n">
        <v>22.3159277666667</v>
      </c>
      <c r="D49" s="0" t="inlineStr">
        <is>
          <t>query_ms</t>
        </is>
      </c>
      <c r="E49" s="0" t="inlineStr">
        <is>
          <t>ANNProof</t>
        </is>
      </c>
      <c r="F49" s="0" t="inlineStr">
        <is>
          <t>/mnt/d/paper_source/work_9/VeriANN_repro_2026-09-30/VeriANN_repro_2026-09-30/results/work9-nytimes-20261017/nytimes256/ANNProof-curve-289761/per_query.csv</t>
        </is>
      </c>
    </row>
    <row r="50">
      <c r="A50" s="0" t="inlineStr">
        <is>
          <t>NYTimes-256</t>
        </is>
      </c>
      <c r="B50" s="0" t="inlineStr">
        <is>
          <t>N22</t>
        </is>
      </c>
      <c r="C50" s="0" t="n">
        <v>97</v>
      </c>
      <c r="D50" s="0" t="inlineStr">
        <is>
          <t>recall_percent</t>
        </is>
      </c>
      <c r="E50" s="0" t="inlineStr">
        <is>
          <t>ANNProof</t>
        </is>
      </c>
      <c r="F50" s="0" t="inlineStr">
        <is>
          <t>/mnt/d/paper_source/work_9/VeriANN_repro_2026-09-30/VeriANN_repro_2026-09-30/results/work9-nytimes-20261017/nytimes256/ANNProof-curve-289761/per_query.csv</t>
        </is>
      </c>
    </row>
    <row r="51">
      <c r="A51" s="0" t="inlineStr">
        <is>
          <t>NYTimes-256</t>
        </is>
      </c>
      <c r="B51" s="0" t="inlineStr">
        <is>
          <t>N23</t>
        </is>
      </c>
      <c r="C51" s="0" t="n">
        <v>18191.3746</v>
      </c>
      <c r="D51" s="0" t="inlineStr">
        <is>
          <t>vo_kb</t>
        </is>
      </c>
      <c r="E51" s="0" t="inlineStr">
        <is>
          <t>ANNProof</t>
        </is>
      </c>
      <c r="F51" s="0" t="inlineStr">
        <is>
          <t>/mnt/d/paper_source/work_9/VeriANN_repro_2026-09-30/VeriANN_repro_2026-09-30/results/work9-nytimes-20261017/nytimes256/ANNProof-curve-289761/per_query.csv</t>
        </is>
      </c>
    </row>
    <row r="52">
      <c r="A52" s="0" t="inlineStr">
        <is>
          <t>NYTimes-256</t>
        </is>
      </c>
      <c r="B52" s="0" t="inlineStr">
        <is>
          <t>N34</t>
        </is>
      </c>
      <c r="C52" s="0" t="n">
        <v>97</v>
      </c>
      <c r="D52" s="0" t="inlineStr">
        <is>
          <t>recall_percent</t>
        </is>
      </c>
      <c r="E52" s="0" t="inlineStr">
        <is>
          <t>ANNProof</t>
        </is>
      </c>
      <c r="F52" s="0" t="inlineStr">
        <is>
          <t>/mnt/d/paper_source/work_9/VeriANN_repro_2026-09-30/VeriANN_repro_2026-09-30/results/work9-nytimes-20261017/nytimes256/ANNProof-curve-289761/per_query.csv</t>
        </is>
      </c>
    </row>
    <row r="53">
      <c r="A53" s="0" t="inlineStr">
        <is>
          <t>NYTimes-256</t>
        </is>
      </c>
      <c r="B53" s="0" t="inlineStr">
        <is>
          <t>N35</t>
        </is>
      </c>
      <c r="C53" s="0" t="n">
        <v>158.61361355</v>
      </c>
      <c r="D53" s="0" t="inlineStr">
        <is>
          <t>verify_ms</t>
        </is>
      </c>
      <c r="E53" s="0" t="inlineStr">
        <is>
          <t>ANNProof</t>
        </is>
      </c>
      <c r="F53" s="0" t="inlineStr">
        <is>
          <t>/mnt/d/paper_source/work_9/VeriANN_repro_2026-09-30/VeriANN_repro_2026-09-30/results/work9-nytimes-20261017/nytimes256/ANNProof-curve-289761/per_query.csv</t>
        </is>
      </c>
    </row>
    <row r="54">
      <c r="A54" s="0" t="inlineStr">
        <is>
          <t>NYTimes-256</t>
        </is>
      </c>
      <c r="B54" s="0" t="inlineStr">
        <is>
          <t>N46</t>
        </is>
      </c>
      <c r="C54" s="0" t="n">
        <v>97</v>
      </c>
      <c r="D54" s="0" t="inlineStr">
        <is>
          <t>recall_percent</t>
        </is>
      </c>
      <c r="E54" s="0" t="inlineStr">
        <is>
          <t>ANNProof</t>
        </is>
      </c>
      <c r="F54" s="0" t="inlineStr">
        <is>
          <t>/mnt/d/paper_source/work_9/VeriANN_repro_2026-09-30/VeriANN_repro_2026-09-30/results/work9-nytimes-20261017/nytimes256/ANNProof-curve-289761/per_query.csv</t>
        </is>
      </c>
    </row>
    <row r="55">
      <c r="A55" s="0" t="inlineStr">
        <is>
          <t>NYTimes-256</t>
        </is>
      </c>
      <c r="B55" s="0" t="inlineStr">
        <is>
          <t>N47</t>
        </is>
      </c>
      <c r="C55" s="0" t="n">
        <v>44.3849581833333</v>
      </c>
      <c r="D55" s="0" t="inlineStr">
        <is>
          <t>query_ms</t>
        </is>
      </c>
      <c r="E55" s="0" t="inlineStr">
        <is>
          <t>ANNProof</t>
        </is>
      </c>
      <c r="F55" s="0" t="inlineStr">
        <is>
          <t>/mnt/d/paper_source/work_9/VeriANN_repro_2026-09-30/VeriANN_repro_2026-09-30/results/work9-nytimes-20261017/nytimes256/ANNProof-curve-289761/per_query.csv</t>
        </is>
      </c>
    </row>
    <row r="56">
      <c r="A56" s="0" t="inlineStr">
        <is>
          <t>NYTimes-256</t>
        </is>
      </c>
      <c r="B56" s="0" t="inlineStr">
        <is>
          <t>O22</t>
        </is>
      </c>
      <c r="C56" s="0" t="n">
        <v>98.5</v>
      </c>
      <c r="D56" s="0" t="inlineStr">
        <is>
          <t>recall_percent</t>
        </is>
      </c>
      <c r="E56" s="0" t="inlineStr">
        <is>
          <t>ANNProof</t>
        </is>
      </c>
      <c r="F56" s="0" t="inlineStr">
        <is>
          <t>/mnt/d/paper_source/work_9/VeriANN_repro_2026-09-30/VeriANN_repro_2026-09-30/results/work9-nytimes-20261017/nytimes256/ANNProof-curve-289761/per_query.csv</t>
        </is>
      </c>
    </row>
    <row r="57">
      <c r="A57" s="0" t="inlineStr">
        <is>
          <t>NYTimes-256</t>
        </is>
      </c>
      <c r="B57" s="0" t="inlineStr">
        <is>
          <t>O23</t>
        </is>
      </c>
      <c r="C57" s="0" t="n">
        <v>23543.0654</v>
      </c>
      <c r="D57" s="0" t="inlineStr">
        <is>
          <t>vo_kb</t>
        </is>
      </c>
      <c r="E57" s="0" t="inlineStr">
        <is>
          <t>ANNProof</t>
        </is>
      </c>
      <c r="F57" s="0" t="inlineStr">
        <is>
          <t>/mnt/d/paper_source/work_9/VeriANN_repro_2026-09-30/VeriANN_repro_2026-09-30/results/work9-nytimes-20261017/nytimes256/ANNProof-curve-289761/per_query.csv</t>
        </is>
      </c>
    </row>
    <row r="58">
      <c r="A58" s="0" t="inlineStr">
        <is>
          <t>NYTimes-256</t>
        </is>
      </c>
      <c r="B58" s="0" t="inlineStr">
        <is>
          <t>O34</t>
        </is>
      </c>
      <c r="C58" s="0" t="n">
        <v>98.5</v>
      </c>
      <c r="D58" s="0" t="inlineStr">
        <is>
          <t>recall_percent</t>
        </is>
      </c>
      <c r="E58" s="0" t="inlineStr">
        <is>
          <t>ANNProof</t>
        </is>
      </c>
      <c r="F58" s="0" t="inlineStr">
        <is>
          <t>/mnt/d/paper_source/work_9/VeriANN_repro_2026-09-30/VeriANN_repro_2026-09-30/results/work9-nytimes-20261017/nytimes256/ANNProof-curve-289761/per_query.csv</t>
        </is>
      </c>
    </row>
    <row r="59">
      <c r="A59" s="0" t="inlineStr">
        <is>
          <t>NYTimes-256</t>
        </is>
      </c>
      <c r="B59" s="0" t="inlineStr">
        <is>
          <t>O35</t>
        </is>
      </c>
      <c r="C59" s="0" t="n">
        <v>204.722528233333</v>
      </c>
      <c r="D59" s="0" t="inlineStr">
        <is>
          <t>verify_ms</t>
        </is>
      </c>
      <c r="E59" s="0" t="inlineStr">
        <is>
          <t>ANNProof</t>
        </is>
      </c>
      <c r="F59" s="0" t="inlineStr">
        <is>
          <t>/mnt/d/paper_source/work_9/VeriANN_repro_2026-09-30/VeriANN_repro_2026-09-30/results/work9-nytimes-20261017/nytimes256/ANNProof-curve-289761/per_query.csv</t>
        </is>
      </c>
    </row>
    <row r="60">
      <c r="A60" s="0" t="inlineStr">
        <is>
          <t>NYTimes-256</t>
        </is>
      </c>
      <c r="B60" s="0" t="inlineStr">
        <is>
          <t>O46</t>
        </is>
      </c>
      <c r="C60" s="0" t="n">
        <v>98.5</v>
      </c>
      <c r="D60" s="0" t="inlineStr">
        <is>
          <t>recall_percent</t>
        </is>
      </c>
      <c r="E60" s="0" t="inlineStr">
        <is>
          <t>ANNProof</t>
        </is>
      </c>
      <c r="F60" s="0" t="inlineStr">
        <is>
          <t>/mnt/d/paper_source/work_9/VeriANN_repro_2026-09-30/VeriANN_repro_2026-09-30/results/work9-nytimes-20261017/nytimes256/ANNProof-curve-289761/per_query.csv</t>
        </is>
      </c>
    </row>
    <row r="61">
      <c r="A61" s="0" t="inlineStr">
        <is>
          <t>NYTimes-256</t>
        </is>
      </c>
      <c r="B61" s="0" t="inlineStr">
        <is>
          <t>O47</t>
        </is>
      </c>
      <c r="C61" s="0" t="n">
        <v>56.8982416833333</v>
      </c>
      <c r="D61" s="0" t="inlineStr">
        <is>
          <t>query_ms</t>
        </is>
      </c>
      <c r="E61" s="0" t="inlineStr">
        <is>
          <t>ANNProof</t>
        </is>
      </c>
      <c r="F61" s="0" t="inlineStr">
        <is>
          <t>/mnt/d/paper_source/work_9/VeriANN_repro_2026-09-30/VeriANN_repro_2026-09-30/results/work9-nytimes-20261017/nytimes256/ANNProof-curve-289761/per_query.csv</t>
        </is>
      </c>
    </row>
    <row r="62">
      <c r="A62" s="0" t="inlineStr">
        <is>
          <t>NYTimes-256</t>
        </is>
      </c>
      <c r="B62" s="0" t="inlineStr">
        <is>
          <t>P22</t>
        </is>
      </c>
      <c r="C62" s="0" t="n">
        <v>100</v>
      </c>
      <c r="D62" s="0" t="inlineStr">
        <is>
          <t>recall_percent</t>
        </is>
      </c>
      <c r="E62" s="0" t="inlineStr">
        <is>
          <t>ANNProof</t>
        </is>
      </c>
      <c r="F62" s="0" t="inlineStr">
        <is>
          <t>/mnt/d/paper_source/work_9/VeriANN_repro_2026-09-30/VeriANN_repro_2026-09-30/results/work9-nytimes-20261017/nytimes256/ANNProof-curve-289761/per_query.csv</t>
        </is>
      </c>
    </row>
    <row r="63">
      <c r="A63" s="0" t="inlineStr">
        <is>
          <t>NYTimes-256</t>
        </is>
      </c>
      <c r="B63" s="0" t="inlineStr">
        <is>
          <t>P23</t>
        </is>
      </c>
      <c r="C63" s="0" t="n">
        <v>34273.459</v>
      </c>
      <c r="D63" s="0" t="inlineStr">
        <is>
          <t>vo_kb</t>
        </is>
      </c>
      <c r="E63" s="0" t="inlineStr">
        <is>
          <t>ANNProof</t>
        </is>
      </c>
      <c r="F63" s="0" t="inlineStr">
        <is>
          <t>/mnt/d/paper_source/work_9/VeriANN_repro_2026-09-30/VeriANN_repro_2026-09-30/results/work9-nytimes-20261017/nytimes256/ANNProof-curve-289761/per_query.csv</t>
        </is>
      </c>
    </row>
    <row r="64">
      <c r="A64" s="0" t="inlineStr">
        <is>
          <t>NYTimes-256</t>
        </is>
      </c>
      <c r="B64" s="0" t="inlineStr">
        <is>
          <t>P34</t>
        </is>
      </c>
      <c r="C64" s="0" t="n">
        <v>100</v>
      </c>
      <c r="D64" s="0" t="inlineStr">
        <is>
          <t>recall_percent</t>
        </is>
      </c>
      <c r="E64" s="0" t="inlineStr">
        <is>
          <t>ANNProof</t>
        </is>
      </c>
      <c r="F64" s="0" t="inlineStr">
        <is>
          <t>/mnt/d/paper_source/work_9/VeriANN_repro_2026-09-30/VeriANN_repro_2026-09-30/results/work9-nytimes-20261017/nytimes256/ANNProof-curve-289761/per_query.csv</t>
        </is>
      </c>
    </row>
    <row r="65">
      <c r="A65" s="0" t="inlineStr">
        <is>
          <t>NYTimes-256</t>
        </is>
      </c>
      <c r="B65" s="0" t="inlineStr">
        <is>
          <t>P35</t>
        </is>
      </c>
      <c r="C65" s="0" t="n">
        <v>295.476212833333</v>
      </c>
      <c r="D65" s="0" t="inlineStr">
        <is>
          <t>verify_ms</t>
        </is>
      </c>
      <c r="E65" s="0" t="inlineStr">
        <is>
          <t>ANNProof</t>
        </is>
      </c>
      <c r="F65" s="0" t="inlineStr">
        <is>
          <t>/mnt/d/paper_source/work_9/VeriANN_repro_2026-09-30/VeriANN_repro_2026-09-30/results/work9-nytimes-20261017/nytimes256/ANNProof-curve-289761/per_query.csv</t>
        </is>
      </c>
    </row>
    <row r="66">
      <c r="A66" s="0" t="inlineStr">
        <is>
          <t>NYTimes-256</t>
        </is>
      </c>
      <c r="B66" s="0" t="inlineStr">
        <is>
          <t>P46</t>
        </is>
      </c>
      <c r="C66" s="0" t="n">
        <v>100</v>
      </c>
      <c r="D66" s="0" t="inlineStr">
        <is>
          <t>recall_percent</t>
        </is>
      </c>
      <c r="E66" s="0" t="inlineStr">
        <is>
          <t>ANNProof</t>
        </is>
      </c>
      <c r="F66" s="0" t="inlineStr">
        <is>
          <t>/mnt/d/paper_source/work_9/VeriANN_repro_2026-09-30/VeriANN_repro_2026-09-30/results/work9-nytimes-20261017/nytimes256/ANNProof-curve-289761/per_query.csv</t>
        </is>
      </c>
    </row>
    <row r="67">
      <c r="A67" s="0" t="inlineStr">
        <is>
          <t>NYTimes-256</t>
        </is>
      </c>
      <c r="B67" s="0" t="inlineStr">
        <is>
          <t>P47</t>
        </is>
      </c>
      <c r="C67" s="0" t="n">
        <v>87.84406300000001</v>
      </c>
      <c r="D67" s="0" t="inlineStr">
        <is>
          <t>query_ms</t>
        </is>
      </c>
      <c r="E67" s="0" t="inlineStr">
        <is>
          <t>ANNProof</t>
        </is>
      </c>
      <c r="F67" s="0" t="inlineStr">
        <is>
          <t>/mnt/d/paper_source/work_9/VeriANN_repro_2026-09-30/VeriANN_repro_2026-09-30/results/work9-nytimes-20261017/nytimes256/ANNProof-curve-289761/per_query.csv</t>
        </is>
      </c>
    </row>
    <row r="68">
      <c r="A68" s="0" t="inlineStr">
        <is>
          <t>NYTimes-256</t>
        </is>
      </c>
      <c r="B68" s="0" t="inlineStr">
        <is>
          <t>E10</t>
        </is>
      </c>
      <c r="C68" s="0" t="n">
        <v>96</v>
      </c>
      <c r="D68" s="0" t="inlineStr">
        <is>
          <t>recall_percent</t>
        </is>
      </c>
      <c r="E68" s="0" t="inlineStr">
        <is>
          <t>ANNProof</t>
        </is>
      </c>
      <c r="F68" s="0" t="inlineStr">
        <is>
          <t>/mnt/d/paper_source/work_9/VeriANN_repro_2026-09-30/VeriANN_repro_2026-09-30/results/work9-nytimes-20261017/nytimes256/ANNProof-curve-289761/per_query.csv</t>
        </is>
      </c>
    </row>
    <row r="69">
      <c r="A69" s="0" t="inlineStr">
        <is>
          <t>NYTimes-256</t>
        </is>
      </c>
      <c r="B69" s="0" t="inlineStr">
        <is>
          <t>F10</t>
        </is>
      </c>
      <c r="C69" s="0" t="n">
        <v>22.3159277666667</v>
      </c>
      <c r="D69" s="0" t="inlineStr">
        <is>
          <t>query_ms</t>
        </is>
      </c>
      <c r="E69" s="0" t="inlineStr">
        <is>
          <t>ANNProof</t>
        </is>
      </c>
      <c r="F69" s="0" t="inlineStr">
        <is>
          <t>/mnt/d/paper_source/work_9/VeriANN_repro_2026-09-30/VeriANN_repro_2026-09-30/results/work9-nytimes-20261017/nytimes256/ANNProof-curve-289761/per_query.csv</t>
        </is>
      </c>
    </row>
    <row r="70">
      <c r="A70" s="0" t="inlineStr">
        <is>
          <t>NYTimes-256</t>
        </is>
      </c>
      <c r="B70" s="0" t="inlineStr">
        <is>
          <t>G10</t>
        </is>
      </c>
      <c r="C70" s="0" t="n">
        <v>9647.870999999999</v>
      </c>
      <c r="D70" s="0" t="inlineStr">
        <is>
          <t>vo_kb</t>
        </is>
      </c>
      <c r="E70" s="0" t="inlineStr">
        <is>
          <t>ANNProof</t>
        </is>
      </c>
      <c r="F70" s="0" t="inlineStr">
        <is>
          <t>/mnt/d/paper_source/work_9/VeriANN_repro_2026-09-30/VeriANN_repro_2026-09-30/results/work9-nytimes-20261017/nytimes256/ANNProof-curve-289761/per_query.csv</t>
        </is>
      </c>
    </row>
    <row r="71">
      <c r="A71" s="0" t="inlineStr">
        <is>
          <t>NYTimes-256</t>
        </is>
      </c>
      <c r="B71" s="0" t="inlineStr">
        <is>
          <t>H10</t>
        </is>
      </c>
      <c r="C71" s="0" t="n">
        <v>86.1523698333333</v>
      </c>
      <c r="D71" s="0" t="inlineStr">
        <is>
          <t>verify_ms</t>
        </is>
      </c>
      <c r="E71" s="0" t="inlineStr">
        <is>
          <t>ANNProof</t>
        </is>
      </c>
      <c r="F71" s="0" t="inlineStr">
        <is>
          <t>/mnt/d/paper_source/work_9/VeriANN_repro_2026-09-30/VeriANN_repro_2026-09-30/results/work9-nytimes-20261017/nytimes256/ANNProof-curve-289761/per_query.csv</t>
        </is>
      </c>
    </row>
    <row r="72">
      <c r="A72" s="0" t="inlineStr">
        <is>
          <t>NYTimes-256</t>
        </is>
      </c>
      <c r="B72" s="0" t="inlineStr">
        <is>
          <t>F95</t>
        </is>
      </c>
      <c r="C72" s="0" t="n">
        <v>9643.027</v>
      </c>
      <c r="D72" s="0" t="inlineStr">
        <is>
          <t>vo_kb</t>
        </is>
      </c>
      <c r="E72" s="0" t="inlineStr">
        <is>
          <t>ANNProof</t>
        </is>
      </c>
      <c r="F72" s="0" t="inlineStr">
        <is>
          <t>/mnt/d/paper_source/work_9/VeriANN_repro_2026-09-30/VeriANN_repro_2026-09-30/results/work9-nytimes-20261017/nytimes256/ANNProof-k-289761/per_query.csv</t>
        </is>
      </c>
    </row>
    <row r="73">
      <c r="A73" s="0" t="inlineStr">
        <is>
          <t>NYTimes-256</t>
        </is>
      </c>
      <c r="B73" s="0" t="inlineStr">
        <is>
          <t>F106</t>
        </is>
      </c>
      <c r="C73" s="0" t="n">
        <v>86.42896823333329</v>
      </c>
      <c r="D73" s="0" t="inlineStr">
        <is>
          <t>verify_ms</t>
        </is>
      </c>
      <c r="E73" s="0" t="inlineStr">
        <is>
          <t>ANNProof</t>
        </is>
      </c>
      <c r="F73" s="0" t="inlineStr">
        <is>
          <t>/mnt/d/paper_source/work_9/VeriANN_repro_2026-09-30/VeriANN_repro_2026-09-30/results/work9-nytimes-20261017/nytimes256/ANNProof-k-289761/per_query.csv</t>
        </is>
      </c>
    </row>
    <row r="74">
      <c r="A74" s="0" t="inlineStr">
        <is>
          <t>NYTimes-256</t>
        </is>
      </c>
      <c r="B74" s="0" t="inlineStr">
        <is>
          <t>F116</t>
        </is>
      </c>
      <c r="C74" s="0" t="n">
        <v>21.75351015</v>
      </c>
      <c r="D74" s="0" t="inlineStr">
        <is>
          <t>query_ms</t>
        </is>
      </c>
      <c r="E74" s="0" t="inlineStr">
        <is>
          <t>ANNProof</t>
        </is>
      </c>
      <c r="F74" s="0" t="inlineStr">
        <is>
          <t>/mnt/d/paper_source/work_9/VeriANN_repro_2026-09-30/VeriANN_repro_2026-09-30/results/work9-nytimes-20261017/nytimes256/ANNProof-k-289761/per_query.csv</t>
        </is>
      </c>
    </row>
    <row r="75">
      <c r="A75" s="0" t="inlineStr">
        <is>
          <t>NYTimes-256</t>
        </is>
      </c>
      <c r="B75" s="0" t="inlineStr">
        <is>
          <t>G95</t>
        </is>
      </c>
      <c r="C75" s="0" t="n">
        <v>9645.218999999999</v>
      </c>
      <c r="D75" s="0" t="inlineStr">
        <is>
          <t>vo_kb</t>
        </is>
      </c>
      <c r="E75" s="0" t="inlineStr">
        <is>
          <t>ANNProof</t>
        </is>
      </c>
      <c r="F75" s="0" t="inlineStr">
        <is>
          <t>/mnt/d/paper_source/work_9/VeriANN_repro_2026-09-30/VeriANN_repro_2026-09-30/results/work9-nytimes-20261017/nytimes256/ANNProof-k-289761/per_query.csv</t>
        </is>
      </c>
    </row>
    <row r="76">
      <c r="A76" s="0" t="inlineStr">
        <is>
          <t>NYTimes-256</t>
        </is>
      </c>
      <c r="B76" s="0" t="inlineStr">
        <is>
          <t>G106</t>
        </is>
      </c>
      <c r="C76" s="0" t="n">
        <v>85.90255790000001</v>
      </c>
      <c r="D76" s="0" t="inlineStr">
        <is>
          <t>verify_ms</t>
        </is>
      </c>
      <c r="E76" s="0" t="inlineStr">
        <is>
          <t>ANNProof</t>
        </is>
      </c>
      <c r="F76" s="0" t="inlineStr">
        <is>
          <t>/mnt/d/paper_source/work_9/VeriANN_repro_2026-09-30/VeriANN_repro_2026-09-30/results/work9-nytimes-20261017/nytimes256/ANNProof-k-289761/per_query.csv</t>
        </is>
      </c>
    </row>
    <row r="77">
      <c r="A77" s="0" t="inlineStr">
        <is>
          <t>NYTimes-256</t>
        </is>
      </c>
      <c r="B77" s="0" t="inlineStr">
        <is>
          <t>G116</t>
        </is>
      </c>
      <c r="C77" s="0" t="n">
        <v>21.3636953333333</v>
      </c>
      <c r="D77" s="0" t="inlineStr">
        <is>
          <t>query_ms</t>
        </is>
      </c>
      <c r="E77" s="0" t="inlineStr">
        <is>
          <t>ANNProof</t>
        </is>
      </c>
      <c r="F77" s="0" t="inlineStr">
        <is>
          <t>/mnt/d/paper_source/work_9/VeriANN_repro_2026-09-30/VeriANN_repro_2026-09-30/results/work9-nytimes-20261017/nytimes256/ANNProof-k-289761/per_query.csv</t>
        </is>
      </c>
    </row>
    <row r="78">
      <c r="A78" s="0" t="inlineStr">
        <is>
          <t>NYTimes-256</t>
        </is>
      </c>
      <c r="B78" s="0" t="inlineStr">
        <is>
          <t>H95</t>
        </is>
      </c>
      <c r="C78" s="0" t="n">
        <v>9647.870999999999</v>
      </c>
      <c r="D78" s="0" t="inlineStr">
        <is>
          <t>vo_kb</t>
        </is>
      </c>
      <c r="E78" s="0" t="inlineStr">
        <is>
          <t>ANNProof</t>
        </is>
      </c>
      <c r="F78" s="0" t="inlineStr">
        <is>
          <t>/mnt/d/paper_source/work_9/VeriANN_repro_2026-09-30/VeriANN_repro_2026-09-30/results/work9-nytimes-20261017/nytimes256/ANNProof-k-289761/per_query.csv</t>
        </is>
      </c>
    </row>
    <row r="79">
      <c r="A79" s="0" t="inlineStr">
        <is>
          <t>NYTimes-256</t>
        </is>
      </c>
      <c r="B79" s="0" t="inlineStr">
        <is>
          <t>H106</t>
        </is>
      </c>
      <c r="C79" s="0" t="n">
        <v>86.1797332</v>
      </c>
      <c r="D79" s="0" t="inlineStr">
        <is>
          <t>verify_ms</t>
        </is>
      </c>
      <c r="E79" s="0" t="inlineStr">
        <is>
          <t>ANNProof</t>
        </is>
      </c>
      <c r="F79" s="0" t="inlineStr">
        <is>
          <t>/mnt/d/paper_source/work_9/VeriANN_repro_2026-09-30/VeriANN_repro_2026-09-30/results/work9-nytimes-20261017/nytimes256/ANNProof-k-289761/per_query.csv</t>
        </is>
      </c>
    </row>
    <row r="80">
      <c r="A80" s="0" t="inlineStr">
        <is>
          <t>NYTimes-256</t>
        </is>
      </c>
      <c r="B80" s="0" t="inlineStr">
        <is>
          <t>H116</t>
        </is>
      </c>
      <c r="C80" s="0" t="n">
        <v>21.5098418666667</v>
      </c>
      <c r="D80" s="0" t="inlineStr">
        <is>
          <t>query_ms</t>
        </is>
      </c>
      <c r="E80" s="0" t="inlineStr">
        <is>
          <t>ANNProof</t>
        </is>
      </c>
      <c r="F80" s="0" t="inlineStr">
        <is>
          <t>/mnt/d/paper_source/work_9/VeriANN_repro_2026-09-30/VeriANN_repro_2026-09-30/results/work9-nytimes-20261017/nytimes256/ANNProof-k-289761/per_query.csv</t>
        </is>
      </c>
    </row>
    <row r="81">
      <c r="A81" s="0" t="inlineStr">
        <is>
          <t>NYTimes-256</t>
        </is>
      </c>
      <c r="B81" s="0" t="inlineStr">
        <is>
          <t>I95</t>
        </is>
      </c>
      <c r="C81" s="0" t="n">
        <v>9652.963</v>
      </c>
      <c r="D81" s="0" t="inlineStr">
        <is>
          <t>vo_kb</t>
        </is>
      </c>
      <c r="E81" s="0" t="inlineStr">
        <is>
          <t>ANNProof</t>
        </is>
      </c>
      <c r="F81" s="0" t="inlineStr">
        <is>
          <t>/mnt/d/paper_source/work_9/VeriANN_repro_2026-09-30/VeriANN_repro_2026-09-30/results/work9-nytimes-20261017/nytimes256/ANNProof-k-289761/per_query.csv</t>
        </is>
      </c>
    </row>
    <row r="82">
      <c r="A82" s="0" t="inlineStr">
        <is>
          <t>NYTimes-256</t>
        </is>
      </c>
      <c r="B82" s="0" t="inlineStr">
        <is>
          <t>I106</t>
        </is>
      </c>
      <c r="C82" s="0" t="n">
        <v>86.4042274666667</v>
      </c>
      <c r="D82" s="0" t="inlineStr">
        <is>
          <t>verify_ms</t>
        </is>
      </c>
      <c r="E82" s="0" t="inlineStr">
        <is>
          <t>ANNProof</t>
        </is>
      </c>
      <c r="F82" s="0" t="inlineStr">
        <is>
          <t>/mnt/d/paper_source/work_9/VeriANN_repro_2026-09-30/VeriANN_repro_2026-09-30/results/work9-nytimes-20261017/nytimes256/ANNProof-k-289761/per_query.csv</t>
        </is>
      </c>
    </row>
    <row r="83">
      <c r="A83" s="0" t="inlineStr">
        <is>
          <t>NYTimes-256</t>
        </is>
      </c>
      <c r="B83" s="0" t="inlineStr">
        <is>
          <t>I116</t>
        </is>
      </c>
      <c r="C83" s="0" t="n">
        <v>21.3020279666667</v>
      </c>
      <c r="D83" s="0" t="inlineStr">
        <is>
          <t>query_ms</t>
        </is>
      </c>
      <c r="E83" s="0" t="inlineStr">
        <is>
          <t>ANNProof</t>
        </is>
      </c>
      <c r="F83" s="0" t="inlineStr">
        <is>
          <t>/mnt/d/paper_source/work_9/VeriANN_repro_2026-09-30/VeriANN_repro_2026-09-30/results/work9-nytimes-20261017/nytimes256/ANNProof-k-289761/per_query.csv</t>
        </is>
      </c>
    </row>
    <row r="84">
      <c r="A84" s="0" t="inlineStr">
        <is>
          <t>NYTimes-256</t>
        </is>
      </c>
      <c r="B84" s="0" t="inlineStr">
        <is>
          <t>J95</t>
        </is>
      </c>
      <c r="C84" s="0" t="n">
        <v>9666.671</v>
      </c>
      <c r="D84" s="0" t="inlineStr">
        <is>
          <t>vo_kb</t>
        </is>
      </c>
      <c r="E84" s="0" t="inlineStr">
        <is>
          <t>ANNProof</t>
        </is>
      </c>
      <c r="F84" s="0" t="inlineStr">
        <is>
          <t>/mnt/d/paper_source/work_9/VeriANN_repro_2026-09-30/VeriANN_repro_2026-09-30/results/work9-nytimes-20261017/nytimes256/ANNProof-k-289761/per_query.csv</t>
        </is>
      </c>
    </row>
    <row r="85">
      <c r="A85" s="0" t="inlineStr">
        <is>
          <t>NYTimes-256</t>
        </is>
      </c>
      <c r="B85" s="0" t="inlineStr">
        <is>
          <t>J106</t>
        </is>
      </c>
      <c r="C85" s="0" t="n">
        <v>86.7584221666667</v>
      </c>
      <c r="D85" s="0" t="inlineStr">
        <is>
          <t>verify_ms</t>
        </is>
      </c>
      <c r="E85" s="0" t="inlineStr">
        <is>
          <t>ANNProof</t>
        </is>
      </c>
      <c r="F85" s="0" t="inlineStr">
        <is>
          <t>/mnt/d/paper_source/work_9/VeriANN_repro_2026-09-30/VeriANN_repro_2026-09-30/results/work9-nytimes-20261017/nytimes256/ANNProof-k-289761/per_query.csv</t>
        </is>
      </c>
    </row>
    <row r="86">
      <c r="A86" s="0" t="inlineStr">
        <is>
          <t>NYTimes-256</t>
        </is>
      </c>
      <c r="B86" s="0" t="inlineStr">
        <is>
          <t>J116</t>
        </is>
      </c>
      <c r="C86" s="0" t="n">
        <v>21.4257339333333</v>
      </c>
      <c r="D86" s="0" t="inlineStr">
        <is>
          <t>query_ms</t>
        </is>
      </c>
      <c r="E86" s="0" t="inlineStr">
        <is>
          <t>ANNProof</t>
        </is>
      </c>
      <c r="F86" s="0" t="inlineStr">
        <is>
          <t>/mnt/d/paper_source/work_9/VeriANN_repro_2026-09-30/VeriANN_repro_2026-09-30/results/work9-nytimes-20261017/nytimes256/ANNProof-k-289761/per_query.csv</t>
        </is>
      </c>
    </row>
    <row r="87">
      <c r="A87" s="0" t="inlineStr">
        <is>
          <t>NYTimes-256</t>
        </is>
      </c>
      <c r="B87" s="0" t="inlineStr">
        <is>
          <t>K95</t>
        </is>
      </c>
      <c r="C87" s="0" t="n">
        <v>9686.540999999999</v>
      </c>
      <c r="D87" s="0" t="inlineStr">
        <is>
          <t>vo_kb</t>
        </is>
      </c>
      <c r="E87" s="0" t="inlineStr">
        <is>
          <t>ANNProof</t>
        </is>
      </c>
      <c r="F87" s="0" t="inlineStr">
        <is>
          <t>/mnt/d/paper_source/work_9/VeriANN_repro_2026-09-30/VeriANN_repro_2026-09-30/results/work9-nytimes-20261017/nytimes256/ANNProof-k-289761/per_query.csv</t>
        </is>
      </c>
    </row>
    <row r="88">
      <c r="A88" s="0" t="inlineStr">
        <is>
          <t>NYTimes-256</t>
        </is>
      </c>
      <c r="B88" s="0" t="inlineStr">
        <is>
          <t>K106</t>
        </is>
      </c>
      <c r="C88" s="0" t="n">
        <v>87.5149089666667</v>
      </c>
      <c r="D88" s="0" t="inlineStr">
        <is>
          <t>verify_ms</t>
        </is>
      </c>
      <c r="E88" s="0" t="inlineStr">
        <is>
          <t>ANNProof</t>
        </is>
      </c>
      <c r="F88" s="0" t="inlineStr">
        <is>
          <t>/mnt/d/paper_source/work_9/VeriANN_repro_2026-09-30/VeriANN_repro_2026-09-30/results/work9-nytimes-20261017/nytimes256/ANNProof-k-289761/per_query.csv</t>
        </is>
      </c>
    </row>
    <row r="89">
      <c r="A89" s="0" t="inlineStr">
        <is>
          <t>NYTimes-256</t>
        </is>
      </c>
      <c r="B89" s="0" t="inlineStr">
        <is>
          <t>K116</t>
        </is>
      </c>
      <c r="C89" s="0" t="n">
        <v>21.5724279</v>
      </c>
      <c r="D89" s="0" t="inlineStr">
        <is>
          <t>query_ms</t>
        </is>
      </c>
      <c r="E89" s="0" t="inlineStr">
        <is>
          <t>ANNProof</t>
        </is>
      </c>
      <c r="F89" s="0" t="inlineStr">
        <is>
          <t>/mnt/d/paper_source/work_9/VeriANN_repro_2026-09-30/VeriANN_repro_2026-09-30/results/work9-nytimes-20261017/nytimes256/ANNProof-k-289761/per_query.csv</t>
        </is>
      </c>
    </row>
    <row r="90">
      <c r="A90" s="0" t="inlineStr">
        <is>
          <t>NYTimes-256</t>
        </is>
      </c>
      <c r="B90" s="0" t="inlineStr">
        <is>
          <t>F62</t>
        </is>
      </c>
      <c r="C90" s="0" t="n">
        <v>13711.3812</v>
      </c>
      <c r="D90" s="0" t="inlineStr">
        <is>
          <t>vo_kb</t>
        </is>
      </c>
      <c r="E90" s="0" t="inlineStr">
        <is>
          <t>ANNProof</t>
        </is>
      </c>
      <c r="F90" s="0" t="inlineStr">
        <is>
          <t>/mnt/d/paper_source/work_9/VeriANN_repro_2026-09-30/VeriANN_repro_2026-09-30/results/work9-nytimes-20261017/nytimes256/ANNProof-size-100000/per_query.csv</t>
        </is>
      </c>
    </row>
    <row r="91">
      <c r="A91" s="0" t="inlineStr">
        <is>
          <t>NYTimes-256</t>
        </is>
      </c>
      <c r="B91" s="0" t="inlineStr">
        <is>
          <t>F73</t>
        </is>
      </c>
      <c r="C91" s="0" t="n">
        <v>114.572638983333</v>
      </c>
      <c r="D91" s="0" t="inlineStr">
        <is>
          <t>verify_ms</t>
        </is>
      </c>
      <c r="E91" s="0" t="inlineStr">
        <is>
          <t>ANNProof</t>
        </is>
      </c>
      <c r="F91" s="0" t="inlineStr">
        <is>
          <t>/mnt/d/paper_source/work_9/VeriANN_repro_2026-09-30/VeriANN_repro_2026-09-30/results/work9-nytimes-20261017/nytimes256/ANNProof-size-100000/per_query.csv</t>
        </is>
      </c>
    </row>
    <row r="92">
      <c r="A92" s="0" t="inlineStr">
        <is>
          <t>NYTimes-256</t>
        </is>
      </c>
      <c r="B92" s="0" t="inlineStr">
        <is>
          <t>F83</t>
        </is>
      </c>
      <c r="C92" s="0" t="n">
        <v>27.97978905</v>
      </c>
      <c r="D92" s="0" t="inlineStr">
        <is>
          <t>query_ms</t>
        </is>
      </c>
      <c r="E92" s="0" t="inlineStr">
        <is>
          <t>ANNProof</t>
        </is>
      </c>
      <c r="F92" s="0" t="inlineStr">
        <is>
          <t>/mnt/d/paper_source/work_9/VeriANN_repro_2026-09-30/VeriANN_repro_2026-09-30/results/work9-nytimes-20261017/nytimes256/ANNProof-size-100000/per_query.csv</t>
        </is>
      </c>
    </row>
    <row r="93">
      <c r="A93" s="0" t="inlineStr">
        <is>
          <t>NYTimes-256</t>
        </is>
      </c>
      <c r="B93" s="0" t="inlineStr">
        <is>
          <t>F24</t>
        </is>
      </c>
      <c r="C93" s="0" t="n">
        <v>61</v>
      </c>
      <c r="D93" s="0" t="inlineStr">
        <is>
          <t>recall_percent</t>
        </is>
      </c>
      <c r="E93" s="0" t="inlineStr">
        <is>
          <t>Ours</t>
        </is>
      </c>
      <c r="F93" s="0" t="inlineStr">
        <is>
          <t>/mnt/d/paper_source/work_9/VeriANN_repro_2026-09-30/VeriANN_repro_2026-09-30/results/work9-nytimes-20261017/nytimes256/Ours-curve-289761/per_query.csv</t>
        </is>
      </c>
    </row>
    <row r="94">
      <c r="A94" s="0" t="inlineStr">
        <is>
          <t>NYTimes-256</t>
        </is>
      </c>
      <c r="B94" s="0" t="inlineStr">
        <is>
          <t>F25</t>
        </is>
      </c>
      <c r="C94" s="0" t="n">
        <v>188.3066</v>
      </c>
      <c r="D94" s="0" t="inlineStr">
        <is>
          <t>vo_kb</t>
        </is>
      </c>
      <c r="E94" s="0" t="inlineStr">
        <is>
          <t>Ours</t>
        </is>
      </c>
      <c r="F94" s="0" t="inlineStr">
        <is>
          <t>/mnt/d/paper_source/work_9/VeriANN_repro_2026-09-30/VeriANN_repro_2026-09-30/results/work9-nytimes-20261017/nytimes256/Ours-curve-289761/per_query.csv</t>
        </is>
      </c>
    </row>
    <row r="95">
      <c r="A95" s="0" t="inlineStr">
        <is>
          <t>NYTimes-256</t>
        </is>
      </c>
      <c r="B95" s="0" t="inlineStr">
        <is>
          <t>F36</t>
        </is>
      </c>
      <c r="C95" s="0" t="n">
        <v>61</v>
      </c>
      <c r="D95" s="0" t="inlineStr">
        <is>
          <t>recall_percent</t>
        </is>
      </c>
      <c r="E95" s="0" t="inlineStr">
        <is>
          <t>Ours</t>
        </is>
      </c>
      <c r="F95" s="0" t="inlineStr">
        <is>
          <t>/mnt/d/paper_source/work_9/VeriANN_repro_2026-09-30/VeriANN_repro_2026-09-30/results/work9-nytimes-20261017/nytimes256/Ours-curve-289761/per_query.csv</t>
        </is>
      </c>
    </row>
    <row r="96">
      <c r="A96" s="0" t="inlineStr">
        <is>
          <t>NYTimes-256</t>
        </is>
      </c>
      <c r="B96" s="0" t="inlineStr">
        <is>
          <t>F37</t>
        </is>
      </c>
      <c r="C96" s="0" t="n">
        <v>3.15162981666667</v>
      </c>
      <c r="D96" s="0" t="inlineStr">
        <is>
          <t>verify_ms</t>
        </is>
      </c>
      <c r="E96" s="0" t="inlineStr">
        <is>
          <t>Ours</t>
        </is>
      </c>
      <c r="F96" s="0" t="inlineStr">
        <is>
          <t>/mnt/d/paper_source/work_9/VeriANN_repro_2026-09-30/VeriANN_repro_2026-09-30/results/work9-nytimes-20261017/nytimes256/Ours-curve-289761/per_query.csv</t>
        </is>
      </c>
    </row>
    <row r="97">
      <c r="A97" s="0" t="inlineStr">
        <is>
          <t>NYTimes-256</t>
        </is>
      </c>
      <c r="B97" s="0" t="inlineStr">
        <is>
          <t>F48</t>
        </is>
      </c>
      <c r="C97" s="0" t="n">
        <v>61</v>
      </c>
      <c r="D97" s="0" t="inlineStr">
        <is>
          <t>recall_percent</t>
        </is>
      </c>
      <c r="E97" s="0" t="inlineStr">
        <is>
          <t>Ours</t>
        </is>
      </c>
      <c r="F97" s="0" t="inlineStr">
        <is>
          <t>/mnt/d/paper_source/work_9/VeriANN_repro_2026-09-30/VeriANN_repro_2026-09-30/results/work9-nytimes-20261017/nytimes256/Ours-curve-289761/per_query.csv</t>
        </is>
      </c>
    </row>
    <row r="98">
      <c r="A98" s="0" t="inlineStr">
        <is>
          <t>NYTimes-256</t>
        </is>
      </c>
      <c r="B98" s="0" t="inlineStr">
        <is>
          <t>F49</t>
        </is>
      </c>
      <c r="C98" s="0" t="n">
        <v>1.3048278</v>
      </c>
      <c r="D98" s="0" t="inlineStr">
        <is>
          <t>query_ms</t>
        </is>
      </c>
      <c r="E98" s="0" t="inlineStr">
        <is>
          <t>Ours</t>
        </is>
      </c>
      <c r="F98" s="0" t="inlineStr">
        <is>
          <t>/mnt/d/paper_source/work_9/VeriANN_repro_2026-09-30/VeriANN_repro_2026-09-30/results/work9-nytimes-20261017/nytimes256/Ours-curve-289761/per_query.csv</t>
        </is>
      </c>
    </row>
    <row r="99">
      <c r="A99" s="0" t="inlineStr">
        <is>
          <t>NYTimes-256</t>
        </is>
      </c>
      <c r="B99" s="0" t="inlineStr">
        <is>
          <t>G24</t>
        </is>
      </c>
      <c r="C99" s="0" t="n">
        <v>70</v>
      </c>
      <c r="D99" s="0" t="inlineStr">
        <is>
          <t>recall_percent</t>
        </is>
      </c>
      <c r="E99" s="0" t="inlineStr">
        <is>
          <t>Ours</t>
        </is>
      </c>
      <c r="F99" s="0" t="inlineStr">
        <is>
          <t>/mnt/d/paper_source/work_9/VeriANN_repro_2026-09-30/VeriANN_repro_2026-09-30/results/work9-nytimes-20261017/nytimes256/Ours-curve-289761/per_query.csv</t>
        </is>
      </c>
    </row>
    <row r="100">
      <c r="A100" s="0" t="inlineStr">
        <is>
          <t>NYTimes-256</t>
        </is>
      </c>
      <c r="B100" s="0" t="inlineStr">
        <is>
          <t>G25</t>
        </is>
      </c>
      <c r="C100" s="0" t="n">
        <v>241.1502</v>
      </c>
      <c r="D100" s="0" t="inlineStr">
        <is>
          <t>vo_kb</t>
        </is>
      </c>
      <c r="E100" s="0" t="inlineStr">
        <is>
          <t>Ours</t>
        </is>
      </c>
      <c r="F100" s="0" t="inlineStr">
        <is>
          <t>/mnt/d/paper_source/work_9/VeriANN_repro_2026-09-30/VeriANN_repro_2026-09-30/results/work9-nytimes-20261017/nytimes256/Ours-curve-289761/per_query.csv</t>
        </is>
      </c>
    </row>
    <row r="101">
      <c r="A101" s="0" t="inlineStr">
        <is>
          <t>NYTimes-256</t>
        </is>
      </c>
      <c r="B101" s="0" t="inlineStr">
        <is>
          <t>G36</t>
        </is>
      </c>
      <c r="C101" s="0" t="n">
        <v>70</v>
      </c>
      <c r="D101" s="0" t="inlineStr">
        <is>
          <t>recall_percent</t>
        </is>
      </c>
      <c r="E101" s="0" t="inlineStr">
        <is>
          <t>Ours</t>
        </is>
      </c>
      <c r="F101" s="0" t="inlineStr">
        <is>
          <t>/mnt/d/paper_source/work_9/VeriANN_repro_2026-09-30/VeriANN_repro_2026-09-30/results/work9-nytimes-20261017/nytimes256/Ours-curve-289761/per_query.csv</t>
        </is>
      </c>
    </row>
    <row r="102">
      <c r="A102" s="0" t="inlineStr">
        <is>
          <t>NYTimes-256</t>
        </is>
      </c>
      <c r="B102" s="0" t="inlineStr">
        <is>
          <t>G37</t>
        </is>
      </c>
      <c r="C102" s="0" t="n">
        <v>4.04489688333333</v>
      </c>
      <c r="D102" s="0" t="inlineStr">
        <is>
          <t>verify_ms</t>
        </is>
      </c>
      <c r="E102" s="0" t="inlineStr">
        <is>
          <t>Ours</t>
        </is>
      </c>
      <c r="F102" s="0" t="inlineStr">
        <is>
          <t>/mnt/d/paper_source/work_9/VeriANN_repro_2026-09-30/VeriANN_repro_2026-09-30/results/work9-nytimes-20261017/nytimes256/Ours-curve-289761/per_query.csv</t>
        </is>
      </c>
    </row>
    <row r="103">
      <c r="A103" s="0" t="inlineStr">
        <is>
          <t>NYTimes-256</t>
        </is>
      </c>
      <c r="B103" s="0" t="inlineStr">
        <is>
          <t>G48</t>
        </is>
      </c>
      <c r="C103" s="0" t="n">
        <v>70</v>
      </c>
      <c r="D103" s="0" t="inlineStr">
        <is>
          <t>recall_percent</t>
        </is>
      </c>
      <c r="E103" s="0" t="inlineStr">
        <is>
          <t>Ours</t>
        </is>
      </c>
      <c r="F103" s="0" t="inlineStr">
        <is>
          <t>/mnt/d/paper_source/work_9/VeriANN_repro_2026-09-30/VeriANN_repro_2026-09-30/results/work9-nytimes-20261017/nytimes256/Ours-curve-289761/per_query.csv</t>
        </is>
      </c>
    </row>
    <row r="104">
      <c r="A104" s="0" t="inlineStr">
        <is>
          <t>NYTimes-256</t>
        </is>
      </c>
      <c r="B104" s="0" t="inlineStr">
        <is>
          <t>G49</t>
        </is>
      </c>
      <c r="C104" s="0" t="n">
        <v>1.7065919</v>
      </c>
      <c r="D104" s="0" t="inlineStr">
        <is>
          <t>query_ms</t>
        </is>
      </c>
      <c r="E104" s="0" t="inlineStr">
        <is>
          <t>Ours</t>
        </is>
      </c>
      <c r="F104" s="0" t="inlineStr">
        <is>
          <t>/mnt/d/paper_source/work_9/VeriANN_repro_2026-09-30/VeriANN_repro_2026-09-30/results/work9-nytimes-20261017/nytimes256/Ours-curve-289761/per_query.csv</t>
        </is>
      </c>
    </row>
    <row r="105">
      <c r="A105" s="0" t="inlineStr">
        <is>
          <t>NYTimes-256</t>
        </is>
      </c>
      <c r="B105" s="0" t="inlineStr">
        <is>
          <t>H24</t>
        </is>
      </c>
      <c r="C105" s="0" t="n">
        <v>70</v>
      </c>
      <c r="D105" s="0" t="inlineStr">
        <is>
          <t>recall_percent</t>
        </is>
      </c>
      <c r="E105" s="0" t="inlineStr">
        <is>
          <t>Ours</t>
        </is>
      </c>
      <c r="F105" s="0" t="inlineStr">
        <is>
          <t>/mnt/d/paper_source/work_9/VeriANN_repro_2026-09-30/VeriANN_repro_2026-09-30/results/work9-nytimes-20261017/nytimes256/Ours-curve-289761/per_query.csv</t>
        </is>
      </c>
    </row>
    <row r="106">
      <c r="A106" s="0" t="inlineStr">
        <is>
          <t>NYTimes-256</t>
        </is>
      </c>
      <c r="B106" s="0" t="inlineStr">
        <is>
          <t>H25</t>
        </is>
      </c>
      <c r="C106" s="0" t="n">
        <v>241.1502</v>
      </c>
      <c r="D106" s="0" t="inlineStr">
        <is>
          <t>vo_kb</t>
        </is>
      </c>
      <c r="E106" s="0" t="inlineStr">
        <is>
          <t>Ours</t>
        </is>
      </c>
      <c r="F106" s="0" t="inlineStr">
        <is>
          <t>/mnt/d/paper_source/work_9/VeriANN_repro_2026-09-30/VeriANN_repro_2026-09-30/results/work9-nytimes-20261017/nytimes256/Ours-curve-289761/per_query.csv</t>
        </is>
      </c>
    </row>
    <row r="107">
      <c r="A107" s="0" t="inlineStr">
        <is>
          <t>NYTimes-256</t>
        </is>
      </c>
      <c r="B107" s="0" t="inlineStr">
        <is>
          <t>H36</t>
        </is>
      </c>
      <c r="C107" s="0" t="n">
        <v>70</v>
      </c>
      <c r="D107" s="0" t="inlineStr">
        <is>
          <t>recall_percent</t>
        </is>
      </c>
      <c r="E107" s="0" t="inlineStr">
        <is>
          <t>Ours</t>
        </is>
      </c>
      <c r="F107" s="0" t="inlineStr">
        <is>
          <t>/mnt/d/paper_source/work_9/VeriANN_repro_2026-09-30/VeriANN_repro_2026-09-30/results/work9-nytimes-20261017/nytimes256/Ours-curve-289761/per_query.csv</t>
        </is>
      </c>
    </row>
    <row r="108">
      <c r="A108" s="0" t="inlineStr">
        <is>
          <t>NYTimes-256</t>
        </is>
      </c>
      <c r="B108" s="0" t="inlineStr">
        <is>
          <t>H37</t>
        </is>
      </c>
      <c r="C108" s="0" t="n">
        <v>4.04489688333333</v>
      </c>
      <c r="D108" s="0" t="inlineStr">
        <is>
          <t>verify_ms</t>
        </is>
      </c>
      <c r="E108" s="0" t="inlineStr">
        <is>
          <t>Ours</t>
        </is>
      </c>
      <c r="F108" s="0" t="inlineStr">
        <is>
          <t>/mnt/d/paper_source/work_9/VeriANN_repro_2026-09-30/VeriANN_repro_2026-09-30/results/work9-nytimes-20261017/nytimes256/Ours-curve-289761/per_query.csv</t>
        </is>
      </c>
    </row>
    <row r="109">
      <c r="A109" s="0" t="inlineStr">
        <is>
          <t>NYTimes-256</t>
        </is>
      </c>
      <c r="B109" s="0" t="inlineStr">
        <is>
          <t>H48</t>
        </is>
      </c>
      <c r="C109" s="0" t="n">
        <v>70</v>
      </c>
      <c r="D109" s="0" t="inlineStr">
        <is>
          <t>recall_percent</t>
        </is>
      </c>
      <c r="E109" s="0" t="inlineStr">
        <is>
          <t>Ours</t>
        </is>
      </c>
      <c r="F109" s="0" t="inlineStr">
        <is>
          <t>/mnt/d/paper_source/work_9/VeriANN_repro_2026-09-30/VeriANN_repro_2026-09-30/results/work9-nytimes-20261017/nytimes256/Ours-curve-289761/per_query.csv</t>
        </is>
      </c>
    </row>
    <row r="110">
      <c r="A110" s="0" t="inlineStr">
        <is>
          <t>NYTimes-256</t>
        </is>
      </c>
      <c r="B110" s="0" t="inlineStr">
        <is>
          <t>H49</t>
        </is>
      </c>
      <c r="C110" s="0" t="n">
        <v>1.7065919</v>
      </c>
      <c r="D110" s="0" t="inlineStr">
        <is>
          <t>query_ms</t>
        </is>
      </c>
      <c r="E110" s="0" t="inlineStr">
        <is>
          <t>Ours</t>
        </is>
      </c>
      <c r="F110" s="0" t="inlineStr">
        <is>
          <t>/mnt/d/paper_source/work_9/VeriANN_repro_2026-09-30/VeriANN_repro_2026-09-30/results/work9-nytimes-20261017/nytimes256/Ours-curve-289761/per_query.csv</t>
        </is>
      </c>
    </row>
    <row r="111">
      <c r="A111" s="0" t="inlineStr">
        <is>
          <t>NYTimes-256</t>
        </is>
      </c>
      <c r="B111" s="0" t="inlineStr">
        <is>
          <t>I24</t>
        </is>
      </c>
      <c r="C111" s="0" t="n">
        <v>82.5</v>
      </c>
      <c r="D111" s="0" t="inlineStr">
        <is>
          <t>recall_percent</t>
        </is>
      </c>
      <c r="E111" s="0" t="inlineStr">
        <is>
          <t>Ours</t>
        </is>
      </c>
      <c r="F111" s="0" t="inlineStr">
        <is>
          <t>/mnt/d/paper_source/work_9/VeriANN_repro_2026-09-30/VeriANN_repro_2026-09-30/results/work9-nytimes-20261017/nytimes256/Ours-curve-289761/per_query.csv</t>
        </is>
      </c>
    </row>
    <row r="112">
      <c r="A112" s="0" t="inlineStr">
        <is>
          <t>NYTimes-256</t>
        </is>
      </c>
      <c r="B112" s="0" t="inlineStr">
        <is>
          <t>I25</t>
        </is>
      </c>
      <c r="C112" s="0" t="n">
        <v>283.509</v>
      </c>
      <c r="D112" s="0" t="inlineStr">
        <is>
          <t>vo_kb</t>
        </is>
      </c>
      <c r="E112" s="0" t="inlineStr">
        <is>
          <t>Ours</t>
        </is>
      </c>
      <c r="F112" s="0" t="inlineStr">
        <is>
          <t>/mnt/d/paper_source/work_9/VeriANN_repro_2026-09-30/VeriANN_repro_2026-09-30/results/work9-nytimes-20261017/nytimes256/Ours-curve-289761/per_query.csv</t>
        </is>
      </c>
    </row>
    <row r="113">
      <c r="A113" s="0" t="inlineStr">
        <is>
          <t>NYTimes-256</t>
        </is>
      </c>
      <c r="B113" s="0" t="inlineStr">
        <is>
          <t>I36</t>
        </is>
      </c>
      <c r="C113" s="0" t="n">
        <v>82.5</v>
      </c>
      <c r="D113" s="0" t="inlineStr">
        <is>
          <t>recall_percent</t>
        </is>
      </c>
      <c r="E113" s="0" t="inlineStr">
        <is>
          <t>Ours</t>
        </is>
      </c>
      <c r="F113" s="0" t="inlineStr">
        <is>
          <t>/mnt/d/paper_source/work_9/VeriANN_repro_2026-09-30/VeriANN_repro_2026-09-30/results/work9-nytimes-20261017/nytimes256/Ours-curve-289761/per_query.csv</t>
        </is>
      </c>
    </row>
    <row r="114">
      <c r="A114" s="0" t="inlineStr">
        <is>
          <t>NYTimes-256</t>
        </is>
      </c>
      <c r="B114" s="0" t="inlineStr">
        <is>
          <t>I37</t>
        </is>
      </c>
      <c r="C114" s="0" t="n">
        <v>4.75943038333333</v>
      </c>
      <c r="D114" s="0" t="inlineStr">
        <is>
          <t>verify_ms</t>
        </is>
      </c>
      <c r="E114" s="0" t="inlineStr">
        <is>
          <t>Ours</t>
        </is>
      </c>
      <c r="F114" s="0" t="inlineStr">
        <is>
          <t>/mnt/d/paper_source/work_9/VeriANN_repro_2026-09-30/VeriANN_repro_2026-09-30/results/work9-nytimes-20261017/nytimes256/Ours-curve-289761/per_query.csv</t>
        </is>
      </c>
    </row>
    <row r="115">
      <c r="A115" s="0" t="inlineStr">
        <is>
          <t>NYTimes-256</t>
        </is>
      </c>
      <c r="B115" s="0" t="inlineStr">
        <is>
          <t>I48</t>
        </is>
      </c>
      <c r="C115" s="0" t="n">
        <v>82.5</v>
      </c>
      <c r="D115" s="0" t="inlineStr">
        <is>
          <t>recall_percent</t>
        </is>
      </c>
      <c r="E115" s="0" t="inlineStr">
        <is>
          <t>Ours</t>
        </is>
      </c>
      <c r="F115" s="0" t="inlineStr">
        <is>
          <t>/mnt/d/paper_source/work_9/VeriANN_repro_2026-09-30/VeriANN_repro_2026-09-30/results/work9-nytimes-20261017/nytimes256/Ours-curve-289761/per_query.csv</t>
        </is>
      </c>
    </row>
    <row r="116">
      <c r="A116" s="0" t="inlineStr">
        <is>
          <t>NYTimes-256</t>
        </is>
      </c>
      <c r="B116" s="0" t="inlineStr">
        <is>
          <t>I49</t>
        </is>
      </c>
      <c r="C116" s="0" t="n">
        <v>2.05966926666667</v>
      </c>
      <c r="D116" s="0" t="inlineStr">
        <is>
          <t>query_ms</t>
        </is>
      </c>
      <c r="E116" s="0" t="inlineStr">
        <is>
          <t>Ours</t>
        </is>
      </c>
      <c r="F116" s="0" t="inlineStr">
        <is>
          <t>/mnt/d/paper_source/work_9/VeriANN_repro_2026-09-30/VeriANN_repro_2026-09-30/results/work9-nytimes-20261017/nytimes256/Ours-curve-289761/per_query.csv</t>
        </is>
      </c>
    </row>
    <row r="117">
      <c r="A117" s="0" t="inlineStr">
        <is>
          <t>NYTimes-256</t>
        </is>
      </c>
      <c r="B117" s="0" t="inlineStr">
        <is>
          <t>J24</t>
        </is>
      </c>
      <c r="C117" s="0" t="n">
        <v>82.5</v>
      </c>
      <c r="D117" s="0" t="inlineStr">
        <is>
          <t>recall_percent</t>
        </is>
      </c>
      <c r="E117" s="0" t="inlineStr">
        <is>
          <t>Ours</t>
        </is>
      </c>
      <c r="F117" s="0" t="inlineStr">
        <is>
          <t>/mnt/d/paper_source/work_9/VeriANN_repro_2026-09-30/VeriANN_repro_2026-09-30/results/work9-nytimes-20261017/nytimes256/Ours-curve-289761/per_query.csv</t>
        </is>
      </c>
    </row>
    <row r="118">
      <c r="A118" s="0" t="inlineStr">
        <is>
          <t>NYTimes-256</t>
        </is>
      </c>
      <c r="B118" s="0" t="inlineStr">
        <is>
          <t>J25</t>
        </is>
      </c>
      <c r="C118" s="0" t="n">
        <v>283.509</v>
      </c>
      <c r="D118" s="0" t="inlineStr">
        <is>
          <t>vo_kb</t>
        </is>
      </c>
      <c r="E118" s="0" t="inlineStr">
        <is>
          <t>Ours</t>
        </is>
      </c>
      <c r="F118" s="0" t="inlineStr">
        <is>
          <t>/mnt/d/paper_source/work_9/VeriANN_repro_2026-09-30/VeriANN_repro_2026-09-30/results/work9-nytimes-20261017/nytimes256/Ours-curve-289761/per_query.csv</t>
        </is>
      </c>
    </row>
    <row r="119">
      <c r="A119" s="0" t="inlineStr">
        <is>
          <t>NYTimes-256</t>
        </is>
      </c>
      <c r="B119" s="0" t="inlineStr">
        <is>
          <t>J36</t>
        </is>
      </c>
      <c r="C119" s="0" t="n">
        <v>82.5</v>
      </c>
      <c r="D119" s="0" t="inlineStr">
        <is>
          <t>recall_percent</t>
        </is>
      </c>
      <c r="E119" s="0" t="inlineStr">
        <is>
          <t>Ours</t>
        </is>
      </c>
      <c r="F119" s="0" t="inlineStr">
        <is>
          <t>/mnt/d/paper_source/work_9/VeriANN_repro_2026-09-30/VeriANN_repro_2026-09-30/results/work9-nytimes-20261017/nytimes256/Ours-curve-289761/per_query.csv</t>
        </is>
      </c>
    </row>
    <row r="120">
      <c r="A120" s="0" t="inlineStr">
        <is>
          <t>NYTimes-256</t>
        </is>
      </c>
      <c r="B120" s="0" t="inlineStr">
        <is>
          <t>J37</t>
        </is>
      </c>
      <c r="C120" s="0" t="n">
        <v>4.75943038333333</v>
      </c>
      <c r="D120" s="0" t="inlineStr">
        <is>
          <t>verify_ms</t>
        </is>
      </c>
      <c r="E120" s="0" t="inlineStr">
        <is>
          <t>Ours</t>
        </is>
      </c>
      <c r="F120" s="0" t="inlineStr">
        <is>
          <t>/mnt/d/paper_source/work_9/VeriANN_repro_2026-09-30/VeriANN_repro_2026-09-30/results/work9-nytimes-20261017/nytimes256/Ours-curve-289761/per_query.csv</t>
        </is>
      </c>
    </row>
    <row r="121">
      <c r="A121" s="0" t="inlineStr">
        <is>
          <t>NYTimes-256</t>
        </is>
      </c>
      <c r="B121" s="0" t="inlineStr">
        <is>
          <t>J48</t>
        </is>
      </c>
      <c r="C121" s="0" t="n">
        <v>82.5</v>
      </c>
      <c r="D121" s="0" t="inlineStr">
        <is>
          <t>recall_percent</t>
        </is>
      </c>
      <c r="E121" s="0" t="inlineStr">
        <is>
          <t>Ours</t>
        </is>
      </c>
      <c r="F121" s="0" t="inlineStr">
        <is>
          <t>/mnt/d/paper_source/work_9/VeriANN_repro_2026-09-30/VeriANN_repro_2026-09-30/results/work9-nytimes-20261017/nytimes256/Ours-curve-289761/per_query.csv</t>
        </is>
      </c>
    </row>
    <row r="122">
      <c r="A122" s="0" t="inlineStr">
        <is>
          <t>NYTimes-256</t>
        </is>
      </c>
      <c r="B122" s="0" t="inlineStr">
        <is>
          <t>J49</t>
        </is>
      </c>
      <c r="C122" s="0" t="n">
        <v>2.05966926666667</v>
      </c>
      <c r="D122" s="0" t="inlineStr">
        <is>
          <t>query_ms</t>
        </is>
      </c>
      <c r="E122" s="0" t="inlineStr">
        <is>
          <t>Ours</t>
        </is>
      </c>
      <c r="F122" s="0" t="inlineStr">
        <is>
          <t>/mnt/d/paper_source/work_9/VeriANN_repro_2026-09-30/VeriANN_repro_2026-09-30/results/work9-nytimes-20261017/nytimes256/Ours-curve-289761/per_query.csv</t>
        </is>
      </c>
    </row>
    <row r="123">
      <c r="A123" s="0" t="inlineStr">
        <is>
          <t>NYTimes-256</t>
        </is>
      </c>
      <c r="B123" s="0" t="inlineStr">
        <is>
          <t>K24</t>
        </is>
      </c>
      <c r="C123" s="0" t="n">
        <v>85.5</v>
      </c>
      <c r="D123" s="0" t="inlineStr">
        <is>
          <t>recall_percent</t>
        </is>
      </c>
      <c r="E123" s="0" t="inlineStr">
        <is>
          <t>Ours</t>
        </is>
      </c>
      <c r="F123" s="0" t="inlineStr">
        <is>
          <t>/mnt/d/paper_source/work_9/VeriANN_repro_2026-09-30/VeriANN_repro_2026-09-30/results/work9-nytimes-20261017/nytimes256/Ours-curve-289761/per_query.csv</t>
        </is>
      </c>
    </row>
    <row r="124">
      <c r="A124" s="0" t="inlineStr">
        <is>
          <t>NYTimes-256</t>
        </is>
      </c>
      <c r="B124" s="0" t="inlineStr">
        <is>
          <t>K25</t>
        </is>
      </c>
      <c r="C124" s="0" t="n">
        <v>463.9742</v>
      </c>
      <c r="D124" s="0" t="inlineStr">
        <is>
          <t>vo_kb</t>
        </is>
      </c>
      <c r="E124" s="0" t="inlineStr">
        <is>
          <t>Ours</t>
        </is>
      </c>
      <c r="F124" s="0" t="inlineStr">
        <is>
          <t>/mnt/d/paper_source/work_9/VeriANN_repro_2026-09-30/VeriANN_repro_2026-09-30/results/work9-nytimes-20261017/nytimes256/Ours-curve-289761/per_query.csv</t>
        </is>
      </c>
    </row>
    <row r="125">
      <c r="A125" s="0" t="inlineStr">
        <is>
          <t>NYTimes-256</t>
        </is>
      </c>
      <c r="B125" s="0" t="inlineStr">
        <is>
          <t>K36</t>
        </is>
      </c>
      <c r="C125" s="0" t="n">
        <v>85.5</v>
      </c>
      <c r="D125" s="0" t="inlineStr">
        <is>
          <t>recall_percent</t>
        </is>
      </c>
      <c r="E125" s="0" t="inlineStr">
        <is>
          <t>Ours</t>
        </is>
      </c>
      <c r="F125" s="0" t="inlineStr">
        <is>
          <t>/mnt/d/paper_source/work_9/VeriANN_repro_2026-09-30/VeriANN_repro_2026-09-30/results/work9-nytimes-20261017/nytimes256/Ours-curve-289761/per_query.csv</t>
        </is>
      </c>
    </row>
    <row r="126">
      <c r="A126" s="0" t="inlineStr">
        <is>
          <t>NYTimes-256</t>
        </is>
      </c>
      <c r="B126" s="0" t="inlineStr">
        <is>
          <t>K37</t>
        </is>
      </c>
      <c r="C126" s="0" t="n">
        <v>7.83703861666667</v>
      </c>
      <c r="D126" s="0" t="inlineStr">
        <is>
          <t>verify_ms</t>
        </is>
      </c>
      <c r="E126" s="0" t="inlineStr">
        <is>
          <t>Ours</t>
        </is>
      </c>
      <c r="F126" s="0" t="inlineStr">
        <is>
          <t>/mnt/d/paper_source/work_9/VeriANN_repro_2026-09-30/VeriANN_repro_2026-09-30/results/work9-nytimes-20261017/nytimes256/Ours-curve-289761/per_query.csv</t>
        </is>
      </c>
    </row>
    <row r="127">
      <c r="A127" s="0" t="inlineStr">
        <is>
          <t>NYTimes-256</t>
        </is>
      </c>
      <c r="B127" s="0" t="inlineStr">
        <is>
          <t>K48</t>
        </is>
      </c>
      <c r="C127" s="0" t="n">
        <v>85.5</v>
      </c>
      <c r="D127" s="0" t="inlineStr">
        <is>
          <t>recall_percent</t>
        </is>
      </c>
      <c r="E127" s="0" t="inlineStr">
        <is>
          <t>Ours</t>
        </is>
      </c>
      <c r="F127" s="0" t="inlineStr">
        <is>
          <t>/mnt/d/paper_source/work_9/VeriANN_repro_2026-09-30/VeriANN_repro_2026-09-30/results/work9-nytimes-20261017/nytimes256/Ours-curve-289761/per_query.csv</t>
        </is>
      </c>
    </row>
    <row r="128">
      <c r="A128" s="0" t="inlineStr">
        <is>
          <t>NYTimes-256</t>
        </is>
      </c>
      <c r="B128" s="0" t="inlineStr">
        <is>
          <t>K49</t>
        </is>
      </c>
      <c r="C128" s="0" t="n">
        <v>3.5460066</v>
      </c>
      <c r="D128" s="0" t="inlineStr">
        <is>
          <t>query_ms</t>
        </is>
      </c>
      <c r="E128" s="0" t="inlineStr">
        <is>
          <t>Ours</t>
        </is>
      </c>
      <c r="F128" s="0" t="inlineStr">
        <is>
          <t>/mnt/d/paper_source/work_9/VeriANN_repro_2026-09-30/VeriANN_repro_2026-09-30/results/work9-nytimes-20261017/nytimes256/Ours-curve-289761/per_query.csv</t>
        </is>
      </c>
    </row>
    <row r="129">
      <c r="A129" s="0" t="inlineStr">
        <is>
          <t>NYTimes-256</t>
        </is>
      </c>
      <c r="B129" s="0" t="inlineStr">
        <is>
          <t>L24</t>
        </is>
      </c>
      <c r="C129" s="0" t="n">
        <v>90.5</v>
      </c>
      <c r="D129" s="0" t="inlineStr">
        <is>
          <t>recall_percent</t>
        </is>
      </c>
      <c r="E129" s="0" t="inlineStr">
        <is>
          <t>Ours</t>
        </is>
      </c>
      <c r="F129" s="0" t="inlineStr">
        <is>
          <t>/mnt/d/paper_source/work_9/VeriANN_repro_2026-09-30/VeriANN_repro_2026-09-30/results/work9-nytimes-20261017/nytimes256/Ours-curve-289761/per_query.csv</t>
        </is>
      </c>
    </row>
    <row r="130">
      <c r="A130" s="0" t="inlineStr">
        <is>
          <t>NYTimes-256</t>
        </is>
      </c>
      <c r="B130" s="0" t="inlineStr">
        <is>
          <t>L25</t>
        </is>
      </c>
      <c r="C130" s="0" t="n">
        <v>616.955</v>
      </c>
      <c r="D130" s="0" t="inlineStr">
        <is>
          <t>vo_kb</t>
        </is>
      </c>
      <c r="E130" s="0" t="inlineStr">
        <is>
          <t>Ours</t>
        </is>
      </c>
      <c r="F130" s="0" t="inlineStr">
        <is>
          <t>/mnt/d/paper_source/work_9/VeriANN_repro_2026-09-30/VeriANN_repro_2026-09-30/results/work9-nytimes-20261017/nytimes256/Ours-curve-289761/per_query.csv</t>
        </is>
      </c>
    </row>
    <row r="131">
      <c r="A131" s="0" t="inlineStr">
        <is>
          <t>NYTimes-256</t>
        </is>
      </c>
      <c r="B131" s="0" t="inlineStr">
        <is>
          <t>L36</t>
        </is>
      </c>
      <c r="C131" s="0" t="n">
        <v>90.5</v>
      </c>
      <c r="D131" s="0" t="inlineStr">
        <is>
          <t>recall_percent</t>
        </is>
      </c>
      <c r="E131" s="0" t="inlineStr">
        <is>
          <t>Ours</t>
        </is>
      </c>
      <c r="F131" s="0" t="inlineStr">
        <is>
          <t>/mnt/d/paper_source/work_9/VeriANN_repro_2026-09-30/VeriANN_repro_2026-09-30/results/work9-nytimes-20261017/nytimes256/Ours-curve-289761/per_query.csv</t>
        </is>
      </c>
    </row>
    <row r="132">
      <c r="A132" s="0" t="inlineStr">
        <is>
          <t>NYTimes-256</t>
        </is>
      </c>
      <c r="B132" s="0" t="inlineStr">
        <is>
          <t>L37</t>
        </is>
      </c>
      <c r="C132" s="0" t="n">
        <v>10.51414495</v>
      </c>
      <c r="D132" s="0" t="inlineStr">
        <is>
          <t>verify_ms</t>
        </is>
      </c>
      <c r="E132" s="0" t="inlineStr">
        <is>
          <t>Ours</t>
        </is>
      </c>
      <c r="F132" s="0" t="inlineStr">
        <is>
          <t>/mnt/d/paper_source/work_9/VeriANN_repro_2026-09-30/VeriANN_repro_2026-09-30/results/work9-nytimes-20261017/nytimes256/Ours-curve-289761/per_query.csv</t>
        </is>
      </c>
    </row>
    <row r="133">
      <c r="A133" s="0" t="inlineStr">
        <is>
          <t>NYTimes-256</t>
        </is>
      </c>
      <c r="B133" s="0" t="inlineStr">
        <is>
          <t>L48</t>
        </is>
      </c>
      <c r="C133" s="0" t="n">
        <v>90.5</v>
      </c>
      <c r="D133" s="0" t="inlineStr">
        <is>
          <t>recall_percent</t>
        </is>
      </c>
      <c r="E133" s="0" t="inlineStr">
        <is>
          <t>Ours</t>
        </is>
      </c>
      <c r="F133" s="0" t="inlineStr">
        <is>
          <t>/mnt/d/paper_source/work_9/VeriANN_repro_2026-09-30/VeriANN_repro_2026-09-30/results/work9-nytimes-20261017/nytimes256/Ours-curve-289761/per_query.csv</t>
        </is>
      </c>
    </row>
    <row r="134">
      <c r="A134" s="0" t="inlineStr">
        <is>
          <t>NYTimes-256</t>
        </is>
      </c>
      <c r="B134" s="0" t="inlineStr">
        <is>
          <t>L49</t>
        </is>
      </c>
      <c r="C134" s="0" t="n">
        <v>4.89644948333333</v>
      </c>
      <c r="D134" s="0" t="inlineStr">
        <is>
          <t>query_ms</t>
        </is>
      </c>
      <c r="E134" s="0" t="inlineStr">
        <is>
          <t>Ours</t>
        </is>
      </c>
      <c r="F134" s="0" t="inlineStr">
        <is>
          <t>/mnt/d/paper_source/work_9/VeriANN_repro_2026-09-30/VeriANN_repro_2026-09-30/results/work9-nytimes-20261017/nytimes256/Ours-curve-289761/per_query.csv</t>
        </is>
      </c>
    </row>
    <row r="135">
      <c r="A135" s="0" t="inlineStr">
        <is>
          <t>NYTimes-256</t>
        </is>
      </c>
      <c r="B135" s="0" t="inlineStr">
        <is>
          <t>M24</t>
        </is>
      </c>
      <c r="C135" s="0" t="n">
        <v>95.5</v>
      </c>
      <c r="D135" s="0" t="inlineStr">
        <is>
          <t>recall_percent</t>
        </is>
      </c>
      <c r="E135" s="0" t="inlineStr">
        <is>
          <t>Ours</t>
        </is>
      </c>
      <c r="F135" s="0" t="inlineStr">
        <is>
          <t>/mnt/d/paper_source/work_9/VeriANN_repro_2026-09-30/VeriANN_repro_2026-09-30/results/work9-nytimes-20261017/nytimes256/Ours-curve-289761/per_query.csv</t>
        </is>
      </c>
    </row>
    <row r="136">
      <c r="A136" s="0" t="inlineStr">
        <is>
          <t>NYTimes-256</t>
        </is>
      </c>
      <c r="B136" s="0" t="inlineStr">
        <is>
          <t>M25</t>
        </is>
      </c>
      <c r="C136" s="0" t="n">
        <v>1271.2486</v>
      </c>
      <c r="D136" s="0" t="inlineStr">
        <is>
          <t>vo_kb</t>
        </is>
      </c>
      <c r="E136" s="0" t="inlineStr">
        <is>
          <t>Ours</t>
        </is>
      </c>
      <c r="F136" s="0" t="inlineStr">
        <is>
          <t>/mnt/d/paper_source/work_9/VeriANN_repro_2026-09-30/VeriANN_repro_2026-09-30/results/work9-nytimes-20261017/nytimes256/Ours-curve-289761/per_query.csv</t>
        </is>
      </c>
    </row>
    <row r="137">
      <c r="A137" s="0" t="inlineStr">
        <is>
          <t>NYTimes-256</t>
        </is>
      </c>
      <c r="B137" s="0" t="inlineStr">
        <is>
          <t>M36</t>
        </is>
      </c>
      <c r="C137" s="0" t="n">
        <v>95.5</v>
      </c>
      <c r="D137" s="0" t="inlineStr">
        <is>
          <t>recall_percent</t>
        </is>
      </c>
      <c r="E137" s="0" t="inlineStr">
        <is>
          <t>Ours</t>
        </is>
      </c>
      <c r="F137" s="0" t="inlineStr">
        <is>
          <t>/mnt/d/paper_source/work_9/VeriANN_repro_2026-09-30/VeriANN_repro_2026-09-30/results/work9-nytimes-20261017/nytimes256/Ours-curve-289761/per_query.csv</t>
        </is>
      </c>
    </row>
    <row r="138">
      <c r="A138" s="0" t="inlineStr">
        <is>
          <t>NYTimes-256</t>
        </is>
      </c>
      <c r="B138" s="0" t="inlineStr">
        <is>
          <t>M37</t>
        </is>
      </c>
      <c r="C138" s="0" t="n">
        <v>22.1553105166667</v>
      </c>
      <c r="D138" s="0" t="inlineStr">
        <is>
          <t>verify_ms</t>
        </is>
      </c>
      <c r="E138" s="0" t="inlineStr">
        <is>
          <t>Ours</t>
        </is>
      </c>
      <c r="F138" s="0" t="inlineStr">
        <is>
          <t>/mnt/d/paper_source/work_9/VeriANN_repro_2026-09-30/VeriANN_repro_2026-09-30/results/work9-nytimes-20261017/nytimes256/Ours-curve-289761/per_query.csv</t>
        </is>
      </c>
    </row>
    <row r="139">
      <c r="A139" s="0" t="inlineStr">
        <is>
          <t>NYTimes-256</t>
        </is>
      </c>
      <c r="B139" s="0" t="inlineStr">
        <is>
          <t>M48</t>
        </is>
      </c>
      <c r="C139" s="0" t="n">
        <v>95.5</v>
      </c>
      <c r="D139" s="0" t="inlineStr">
        <is>
          <t>recall_percent</t>
        </is>
      </c>
      <c r="E139" s="0" t="inlineStr">
        <is>
          <t>Ours</t>
        </is>
      </c>
      <c r="F139" s="0" t="inlineStr">
        <is>
          <t>/mnt/d/paper_source/work_9/VeriANN_repro_2026-09-30/VeriANN_repro_2026-09-30/results/work9-nytimes-20261017/nytimes256/Ours-curve-289761/per_query.csv</t>
        </is>
      </c>
    </row>
    <row r="140">
      <c r="A140" s="0" t="inlineStr">
        <is>
          <t>NYTimes-256</t>
        </is>
      </c>
      <c r="B140" s="0" t="inlineStr">
        <is>
          <t>M49</t>
        </is>
      </c>
      <c r="C140" s="0" t="n">
        <v>10.7765117333333</v>
      </c>
      <c r="D140" s="0" t="inlineStr">
        <is>
          <t>query_ms</t>
        </is>
      </c>
      <c r="E140" s="0" t="inlineStr">
        <is>
          <t>Ours</t>
        </is>
      </c>
      <c r="F140" s="0" t="inlineStr">
        <is>
          <t>/mnt/d/paper_source/work_9/VeriANN_repro_2026-09-30/VeriANN_repro_2026-09-30/results/work9-nytimes-20261017/nytimes256/Ours-curve-289761/per_query.csv</t>
        </is>
      </c>
    </row>
    <row r="141">
      <c r="A141" s="0" t="inlineStr">
        <is>
          <t>NYTimes-256</t>
        </is>
      </c>
      <c r="B141" s="0" t="inlineStr">
        <is>
          <t>N24</t>
        </is>
      </c>
      <c r="C141" s="0" t="n">
        <v>97</v>
      </c>
      <c r="D141" s="0" t="inlineStr">
        <is>
          <t>recall_percent</t>
        </is>
      </c>
      <c r="E141" s="0" t="inlineStr">
        <is>
          <t>Ours</t>
        </is>
      </c>
      <c r="F141" s="0" t="inlineStr">
        <is>
          <t>/mnt/d/paper_source/work_9/VeriANN_repro_2026-09-30/VeriANN_repro_2026-09-30/results/work9-nytimes-20261017/nytimes256/Ours-curve-289761/per_query.csv</t>
        </is>
      </c>
    </row>
    <row r="142">
      <c r="A142" s="0" t="inlineStr">
        <is>
          <t>NYTimes-256</t>
        </is>
      </c>
      <c r="B142" s="0" t="inlineStr">
        <is>
          <t>N25</t>
        </is>
      </c>
      <c r="C142" s="0" t="n">
        <v>2220.0928</v>
      </c>
      <c r="D142" s="0" t="inlineStr">
        <is>
          <t>vo_kb</t>
        </is>
      </c>
      <c r="E142" s="0" t="inlineStr">
        <is>
          <t>Ours</t>
        </is>
      </c>
      <c r="F142" s="0" t="inlineStr">
        <is>
          <t>/mnt/d/paper_source/work_9/VeriANN_repro_2026-09-30/VeriANN_repro_2026-09-30/results/work9-nytimes-20261017/nytimes256/Ours-curve-289761/per_query.csv</t>
        </is>
      </c>
    </row>
    <row r="143">
      <c r="A143" s="0" t="inlineStr">
        <is>
          <t>NYTimes-256</t>
        </is>
      </c>
      <c r="B143" s="0" t="inlineStr">
        <is>
          <t>N36</t>
        </is>
      </c>
      <c r="C143" s="0" t="n">
        <v>97</v>
      </c>
      <c r="D143" s="0" t="inlineStr">
        <is>
          <t>recall_percent</t>
        </is>
      </c>
      <c r="E143" s="0" t="inlineStr">
        <is>
          <t>Ours</t>
        </is>
      </c>
      <c r="F143" s="0" t="inlineStr">
        <is>
          <t>/mnt/d/paper_source/work_9/VeriANN_repro_2026-09-30/VeriANN_repro_2026-09-30/results/work9-nytimes-20261017/nytimes256/Ours-curve-289761/per_query.csv</t>
        </is>
      </c>
    </row>
    <row r="144">
      <c r="A144" s="0" t="inlineStr">
        <is>
          <t>NYTimes-256</t>
        </is>
      </c>
      <c r="B144" s="0" t="inlineStr">
        <is>
          <t>N37</t>
        </is>
      </c>
      <c r="C144" s="0" t="n">
        <v>39.7045313</v>
      </c>
      <c r="D144" s="0" t="inlineStr">
        <is>
          <t>verify_ms</t>
        </is>
      </c>
      <c r="E144" s="0" t="inlineStr">
        <is>
          <t>Ours</t>
        </is>
      </c>
      <c r="F144" s="0" t="inlineStr">
        <is>
          <t>/mnt/d/paper_source/work_9/VeriANN_repro_2026-09-30/VeriANN_repro_2026-09-30/results/work9-nytimes-20261017/nytimes256/Ours-curve-289761/per_query.csv</t>
        </is>
      </c>
    </row>
    <row r="145">
      <c r="A145" s="0" t="inlineStr">
        <is>
          <t>NYTimes-256</t>
        </is>
      </c>
      <c r="B145" s="0" t="inlineStr">
        <is>
          <t>N48</t>
        </is>
      </c>
      <c r="C145" s="0" t="n">
        <v>97</v>
      </c>
      <c r="D145" s="0" t="inlineStr">
        <is>
          <t>recall_percent</t>
        </is>
      </c>
      <c r="E145" s="0" t="inlineStr">
        <is>
          <t>Ours</t>
        </is>
      </c>
      <c r="F145" s="0" t="inlineStr">
        <is>
          <t>/mnt/d/paper_source/work_9/VeriANN_repro_2026-09-30/VeriANN_repro_2026-09-30/results/work9-nytimes-20261017/nytimes256/Ours-curve-289761/per_query.csv</t>
        </is>
      </c>
    </row>
    <row r="146">
      <c r="A146" s="0" t="inlineStr">
        <is>
          <t>NYTimes-256</t>
        </is>
      </c>
      <c r="B146" s="0" t="inlineStr">
        <is>
          <t>N49</t>
        </is>
      </c>
      <c r="C146" s="0" t="n">
        <v>19.7508237</v>
      </c>
      <c r="D146" s="0" t="inlineStr">
        <is>
          <t>query_ms</t>
        </is>
      </c>
      <c r="E146" s="0" t="inlineStr">
        <is>
          <t>Ours</t>
        </is>
      </c>
      <c r="F146" s="0" t="inlineStr">
        <is>
          <t>/mnt/d/paper_source/work_9/VeriANN_repro_2026-09-30/VeriANN_repro_2026-09-30/results/work9-nytimes-20261017/nytimes256/Ours-curve-289761/per_query.csv</t>
        </is>
      </c>
    </row>
    <row r="147">
      <c r="A147" s="0" t="inlineStr">
        <is>
          <t>NYTimes-256</t>
        </is>
      </c>
      <c r="B147" s="0" t="inlineStr">
        <is>
          <t>O24</t>
        </is>
      </c>
      <c r="C147" s="0" t="n">
        <v>98</v>
      </c>
      <c r="D147" s="0" t="inlineStr">
        <is>
          <t>recall_percent</t>
        </is>
      </c>
      <c r="E147" s="0" t="inlineStr">
        <is>
          <t>Ours</t>
        </is>
      </c>
      <c r="F147" s="0" t="inlineStr">
        <is>
          <t>/mnt/d/paper_source/work_9/VeriANN_repro_2026-09-30/VeriANN_repro_2026-09-30/results/work9-nytimes-20261017/nytimes256/Ours-curve-289761/per_query.csv</t>
        </is>
      </c>
    </row>
    <row r="148">
      <c r="A148" s="0" t="inlineStr">
        <is>
          <t>NYTimes-256</t>
        </is>
      </c>
      <c r="B148" s="0" t="inlineStr">
        <is>
          <t>O25</t>
        </is>
      </c>
      <c r="C148" s="0" t="n">
        <v>3968.8662</v>
      </c>
      <c r="D148" s="0" t="inlineStr">
        <is>
          <t>vo_kb</t>
        </is>
      </c>
      <c r="E148" s="0" t="inlineStr">
        <is>
          <t>Ours</t>
        </is>
      </c>
      <c r="F148" s="0" t="inlineStr">
        <is>
          <t>/mnt/d/paper_source/work_9/VeriANN_repro_2026-09-30/VeriANN_repro_2026-09-30/results/work9-nytimes-20261017/nytimes256/Ours-curve-289761/per_query.csv</t>
        </is>
      </c>
    </row>
    <row r="149">
      <c r="A149" s="0" t="inlineStr">
        <is>
          <t>NYTimes-256</t>
        </is>
      </c>
      <c r="B149" s="0" t="inlineStr">
        <is>
          <t>O36</t>
        </is>
      </c>
      <c r="C149" s="0" t="n">
        <v>98</v>
      </c>
      <c r="D149" s="0" t="inlineStr">
        <is>
          <t>recall_percent</t>
        </is>
      </c>
      <c r="E149" s="0" t="inlineStr">
        <is>
          <t>Ours</t>
        </is>
      </c>
      <c r="F149" s="0" t="inlineStr">
        <is>
          <t>/mnt/d/paper_source/work_9/VeriANN_repro_2026-09-30/VeriANN_repro_2026-09-30/results/work9-nytimes-20261017/nytimes256/Ours-curve-289761/per_query.csv</t>
        </is>
      </c>
    </row>
    <row r="150">
      <c r="A150" s="0" t="inlineStr">
        <is>
          <t>NYTimes-256</t>
        </is>
      </c>
      <c r="B150" s="0" t="inlineStr">
        <is>
          <t>O37</t>
        </is>
      </c>
      <c r="C150" s="0" t="n">
        <v>74.0049278666667</v>
      </c>
      <c r="D150" s="0" t="inlineStr">
        <is>
          <t>verify_ms</t>
        </is>
      </c>
      <c r="E150" s="0" t="inlineStr">
        <is>
          <t>Ours</t>
        </is>
      </c>
      <c r="F150" s="0" t="inlineStr">
        <is>
          <t>/mnt/d/paper_source/work_9/VeriANN_repro_2026-09-30/VeriANN_repro_2026-09-30/results/work9-nytimes-20261017/nytimes256/Ours-curve-289761/per_query.csv</t>
        </is>
      </c>
    </row>
    <row r="151">
      <c r="A151" s="0" t="inlineStr">
        <is>
          <t>NYTimes-256</t>
        </is>
      </c>
      <c r="B151" s="0" t="inlineStr">
        <is>
          <t>O48</t>
        </is>
      </c>
      <c r="C151" s="0" t="n">
        <v>98</v>
      </c>
      <c r="D151" s="0" t="inlineStr">
        <is>
          <t>recall_percent</t>
        </is>
      </c>
      <c r="E151" s="0" t="inlineStr">
        <is>
          <t>Ours</t>
        </is>
      </c>
      <c r="F151" s="0" t="inlineStr">
        <is>
          <t>/mnt/d/paper_source/work_9/VeriANN_repro_2026-09-30/VeriANN_repro_2026-09-30/results/work9-nytimes-20261017/nytimes256/Ours-curve-289761/per_query.csv</t>
        </is>
      </c>
    </row>
    <row r="152">
      <c r="A152" s="0" t="inlineStr">
        <is>
          <t>NYTimes-256</t>
        </is>
      </c>
      <c r="B152" s="0" t="inlineStr">
        <is>
          <t>O49</t>
        </is>
      </c>
      <c r="C152" s="0" t="n">
        <v>37.6738647166667</v>
      </c>
      <c r="D152" s="0" t="inlineStr">
        <is>
          <t>query_ms</t>
        </is>
      </c>
      <c r="E152" s="0" t="inlineStr">
        <is>
          <t>Ours</t>
        </is>
      </c>
      <c r="F152" s="0" t="inlineStr">
        <is>
          <t>/mnt/d/paper_source/work_9/VeriANN_repro_2026-09-30/VeriANN_repro_2026-09-30/results/work9-nytimes-20261017/nytimes256/Ours-curve-289761/per_query.csv</t>
        </is>
      </c>
    </row>
    <row r="153">
      <c r="A153" s="0" t="inlineStr">
        <is>
          <t>NYTimes-256</t>
        </is>
      </c>
      <c r="B153" s="0" t="inlineStr">
        <is>
          <t>P24</t>
        </is>
      </c>
      <c r="C153" s="0" t="n">
        <v>100</v>
      </c>
      <c r="D153" s="0" t="inlineStr">
        <is>
          <t>recall_percent</t>
        </is>
      </c>
      <c r="E153" s="0" t="inlineStr">
        <is>
          <t>Ours</t>
        </is>
      </c>
      <c r="F153" s="0" t="inlineStr">
        <is>
          <t>/mnt/d/paper_source/work_9/VeriANN_repro_2026-09-30/VeriANN_repro_2026-09-30/results/work9-nytimes-20261017/nytimes256/Ours-curve-289761/per_query.csv</t>
        </is>
      </c>
    </row>
    <row r="154">
      <c r="A154" s="0" t="inlineStr">
        <is>
          <t>NYTimes-256</t>
        </is>
      </c>
      <c r="B154" s="0" t="inlineStr">
        <is>
          <t>P25</t>
        </is>
      </c>
      <c r="C154" s="0" t="n">
        <v>5573.382</v>
      </c>
      <c r="D154" s="0" t="inlineStr">
        <is>
          <t>vo_kb</t>
        </is>
      </c>
      <c r="E154" s="0" t="inlineStr">
        <is>
          <t>Ours</t>
        </is>
      </c>
      <c r="F154" s="0" t="inlineStr">
        <is>
          <t>/mnt/d/paper_source/work_9/VeriANN_repro_2026-09-30/VeriANN_repro_2026-09-30/results/work9-nytimes-20261017/nytimes256/Ours-curve-289761/per_query.csv</t>
        </is>
      </c>
    </row>
    <row r="155">
      <c r="A155" s="0" t="inlineStr">
        <is>
          <t>NYTimes-256</t>
        </is>
      </c>
      <c r="B155" s="0" t="inlineStr">
        <is>
          <t>P36</t>
        </is>
      </c>
      <c r="C155" s="0" t="n">
        <v>100</v>
      </c>
      <c r="D155" s="0" t="inlineStr">
        <is>
          <t>recall_percent</t>
        </is>
      </c>
      <c r="E155" s="0" t="inlineStr">
        <is>
          <t>Ours</t>
        </is>
      </c>
      <c r="F155" s="0" t="inlineStr">
        <is>
          <t>/mnt/d/paper_source/work_9/VeriANN_repro_2026-09-30/VeriANN_repro_2026-09-30/results/work9-nytimes-20261017/nytimes256/Ours-curve-289761/per_query.csv</t>
        </is>
      </c>
    </row>
    <row r="156">
      <c r="A156" s="0" t="inlineStr">
        <is>
          <t>NYTimes-256</t>
        </is>
      </c>
      <c r="B156" s="0" t="inlineStr">
        <is>
          <t>P37</t>
        </is>
      </c>
      <c r="C156" s="0" t="n">
        <v>108.36732445</v>
      </c>
      <c r="D156" s="0" t="inlineStr">
        <is>
          <t>verify_ms</t>
        </is>
      </c>
      <c r="E156" s="0" t="inlineStr">
        <is>
          <t>Ours</t>
        </is>
      </c>
      <c r="F156" s="0" t="inlineStr">
        <is>
          <t>/mnt/d/paper_source/work_9/VeriANN_repro_2026-09-30/VeriANN_repro_2026-09-30/results/work9-nytimes-20261017/nytimes256/Ours-curve-289761/per_query.csv</t>
        </is>
      </c>
    </row>
    <row r="157">
      <c r="A157" s="0" t="inlineStr">
        <is>
          <t>NYTimes-256</t>
        </is>
      </c>
      <c r="B157" s="0" t="inlineStr">
        <is>
          <t>P48</t>
        </is>
      </c>
      <c r="C157" s="0" t="n">
        <v>100</v>
      </c>
      <c r="D157" s="0" t="inlineStr">
        <is>
          <t>recall_percent</t>
        </is>
      </c>
      <c r="E157" s="0" t="inlineStr">
        <is>
          <t>Ours</t>
        </is>
      </c>
      <c r="F157" s="0" t="inlineStr">
        <is>
          <t>/mnt/d/paper_source/work_9/VeriANN_repro_2026-09-30/VeriANN_repro_2026-09-30/results/work9-nytimes-20261017/nytimes256/Ours-curve-289761/per_query.csv</t>
        </is>
      </c>
    </row>
    <row r="158">
      <c r="A158" s="0" t="inlineStr">
        <is>
          <t>NYTimes-256</t>
        </is>
      </c>
      <c r="B158" s="0" t="inlineStr">
        <is>
          <t>P49</t>
        </is>
      </c>
      <c r="C158" s="0" t="n">
        <v>55.6170811833333</v>
      </c>
      <c r="D158" s="0" t="inlineStr">
        <is>
          <t>query_ms</t>
        </is>
      </c>
      <c r="E158" s="0" t="inlineStr">
        <is>
          <t>Ours</t>
        </is>
      </c>
      <c r="F158" s="0" t="inlineStr">
        <is>
          <t>/mnt/d/paper_source/work_9/VeriANN_repro_2026-09-30/VeriANN_repro_2026-09-30/results/work9-nytimes-20261017/nytimes256/Ours-curve-289761/per_query.csv</t>
        </is>
      </c>
    </row>
    <row r="159">
      <c r="A159" s="0" t="inlineStr">
        <is>
          <t>NYTimes-256</t>
        </is>
      </c>
      <c r="B159" s="0" t="inlineStr">
        <is>
          <t>E11</t>
        </is>
      </c>
      <c r="C159" s="0" t="n">
        <v>95.5</v>
      </c>
      <c r="D159" s="0" t="inlineStr">
        <is>
          <t>recall_percent</t>
        </is>
      </c>
      <c r="E159" s="0" t="inlineStr">
        <is>
          <t>Ours</t>
        </is>
      </c>
      <c r="F159" s="0" t="inlineStr">
        <is>
          <t>/mnt/d/paper_source/work_9/VeriANN_repro_2026-09-30/VeriANN_repro_2026-09-30/results/work9-nytimes-20261017/nytimes256/Ours-curve-289761/per_query.csv</t>
        </is>
      </c>
    </row>
    <row r="160">
      <c r="A160" s="0" t="inlineStr">
        <is>
          <t>NYTimes-256</t>
        </is>
      </c>
      <c r="B160" s="0" t="inlineStr">
        <is>
          <t>F11</t>
        </is>
      </c>
      <c r="C160" s="0" t="n">
        <v>10.7765117333333</v>
      </c>
      <c r="D160" s="0" t="inlineStr">
        <is>
          <t>query_ms</t>
        </is>
      </c>
      <c r="E160" s="0" t="inlineStr">
        <is>
          <t>Ours</t>
        </is>
      </c>
      <c r="F160" s="0" t="inlineStr">
        <is>
          <t>/mnt/d/paper_source/work_9/VeriANN_repro_2026-09-30/VeriANN_repro_2026-09-30/results/work9-nytimes-20261017/nytimes256/Ours-curve-289761/per_query.csv</t>
        </is>
      </c>
    </row>
    <row r="161">
      <c r="A161" s="0" t="inlineStr">
        <is>
          <t>NYTimes-256</t>
        </is>
      </c>
      <c r="B161" s="0" t="inlineStr">
        <is>
          <t>G11</t>
        </is>
      </c>
      <c r="C161" s="0" t="n">
        <v>1271.2486</v>
      </c>
      <c r="D161" s="0" t="inlineStr">
        <is>
          <t>vo_kb</t>
        </is>
      </c>
      <c r="E161" s="0" t="inlineStr">
        <is>
          <t>Ours</t>
        </is>
      </c>
      <c r="F161" s="0" t="inlineStr">
        <is>
          <t>/mnt/d/paper_source/work_9/VeriANN_repro_2026-09-30/VeriANN_repro_2026-09-30/results/work9-nytimes-20261017/nytimes256/Ours-curve-289761/per_query.csv</t>
        </is>
      </c>
    </row>
    <row r="162">
      <c r="A162" s="0" t="inlineStr">
        <is>
          <t>NYTimes-256</t>
        </is>
      </c>
      <c r="B162" s="0" t="inlineStr">
        <is>
          <t>H11</t>
        </is>
      </c>
      <c r="C162" s="0" t="n">
        <v>22.1553105166667</v>
      </c>
      <c r="D162" s="0" t="inlineStr">
        <is>
          <t>verify_ms</t>
        </is>
      </c>
      <c r="E162" s="0" t="inlineStr">
        <is>
          <t>Ours</t>
        </is>
      </c>
      <c r="F162" s="0" t="inlineStr">
        <is>
          <t>/mnt/d/paper_source/work_9/VeriANN_repro_2026-09-30/VeriANN_repro_2026-09-30/results/work9-nytimes-20261017/nytimes256/Ours-curve-289761/per_query.csv</t>
        </is>
      </c>
    </row>
    <row r="163">
      <c r="A163" s="0" t="inlineStr">
        <is>
          <t>NYTimes-256</t>
        </is>
      </c>
      <c r="B163" s="0" t="inlineStr">
        <is>
          <t>F96</t>
        </is>
      </c>
      <c r="C163" s="0" t="n">
        <v>803.3574</v>
      </c>
      <c r="D163" s="0" t="inlineStr">
        <is>
          <t>vo_kb</t>
        </is>
      </c>
      <c r="E163" s="0" t="inlineStr">
        <is>
          <t>Ours</t>
        </is>
      </c>
      <c r="F163" s="0" t="inlineStr">
        <is>
          <t>/mnt/d/paper_source/work_9/VeriANN_repro_2026-09-30/VeriANN_repro_2026-09-30/results/work9-nytimes-20261017/nytimes256/Ours-k-289761/per_query.csv</t>
        </is>
      </c>
    </row>
    <row r="164">
      <c r="A164" s="0" t="inlineStr">
        <is>
          <t>NYTimes-256</t>
        </is>
      </c>
      <c r="B164" s="0" t="inlineStr">
        <is>
          <t>F107</t>
        </is>
      </c>
      <c r="C164" s="0" t="n">
        <v>10.3712085166667</v>
      </c>
      <c r="D164" s="0" t="inlineStr">
        <is>
          <t>verify_ms</t>
        </is>
      </c>
      <c r="E164" s="0" t="inlineStr">
        <is>
          <t>Ours</t>
        </is>
      </c>
      <c r="F164" s="0" t="inlineStr">
        <is>
          <t>/mnt/d/paper_source/work_9/VeriANN_repro_2026-09-30/VeriANN_repro_2026-09-30/results/work9-nytimes-20261017/nytimes256/Ours-k-289761/per_query.csv</t>
        </is>
      </c>
    </row>
    <row r="165">
      <c r="A165" s="0" t="inlineStr">
        <is>
          <t>NYTimes-256</t>
        </is>
      </c>
      <c r="B165" s="0" t="inlineStr">
        <is>
          <t>F117</t>
        </is>
      </c>
      <c r="C165" s="0" t="n">
        <v>7.70907898333333</v>
      </c>
      <c r="D165" s="0" t="inlineStr">
        <is>
          <t>query_ms</t>
        </is>
      </c>
      <c r="E165" s="0" t="inlineStr">
        <is>
          <t>Ours</t>
        </is>
      </c>
      <c r="F165" s="0" t="inlineStr">
        <is>
          <t>/mnt/d/paper_source/work_9/VeriANN_repro_2026-09-30/VeriANN_repro_2026-09-30/results/work9-nytimes-20261017/nytimes256/Ours-k-289761/per_query.csv</t>
        </is>
      </c>
    </row>
    <row r="166">
      <c r="A166" s="0" t="inlineStr">
        <is>
          <t>NYTimes-256</t>
        </is>
      </c>
      <c r="B166" s="0" t="inlineStr">
        <is>
          <t>G96</t>
        </is>
      </c>
      <c r="C166" s="0" t="n">
        <v>1033.0934</v>
      </c>
      <c r="D166" s="0" t="inlineStr">
        <is>
          <t>vo_kb</t>
        </is>
      </c>
      <c r="E166" s="0" t="inlineStr">
        <is>
          <t>Ours</t>
        </is>
      </c>
      <c r="F166" s="0" t="inlineStr">
        <is>
          <t>/mnt/d/paper_source/work_9/VeriANN_repro_2026-09-30/VeriANN_repro_2026-09-30/results/work9-nytimes-20261017/nytimes256/Ours-k-289761/per_query.csv</t>
        </is>
      </c>
    </row>
    <row r="167">
      <c r="A167" s="0" t="inlineStr">
        <is>
          <t>NYTimes-256</t>
        </is>
      </c>
      <c r="B167" s="0" t="inlineStr">
        <is>
          <t>G107</t>
        </is>
      </c>
      <c r="C167" s="0" t="n">
        <v>16.2769371666667</v>
      </c>
      <c r="D167" s="0" t="inlineStr">
        <is>
          <t>verify_ms</t>
        </is>
      </c>
      <c r="E167" s="0" t="inlineStr">
        <is>
          <t>Ours</t>
        </is>
      </c>
      <c r="F167" s="0" t="inlineStr">
        <is>
          <t>/mnt/d/paper_source/work_9/VeriANN_repro_2026-09-30/VeriANN_repro_2026-09-30/results/work9-nytimes-20261017/nytimes256/Ours-k-289761/per_query.csv</t>
        </is>
      </c>
    </row>
    <row r="168">
      <c r="A168" s="0" t="inlineStr">
        <is>
          <t>NYTimes-256</t>
        </is>
      </c>
      <c r="B168" s="0" t="inlineStr">
        <is>
          <t>G117</t>
        </is>
      </c>
      <c r="C168" s="0" t="n">
        <v>9.274682500000001</v>
      </c>
      <c r="D168" s="0" t="inlineStr">
        <is>
          <t>query_ms</t>
        </is>
      </c>
      <c r="E168" s="0" t="inlineStr">
        <is>
          <t>Ours</t>
        </is>
      </c>
      <c r="F168" s="0" t="inlineStr">
        <is>
          <t>/mnt/d/paper_source/work_9/VeriANN_repro_2026-09-30/VeriANN_repro_2026-09-30/results/work9-nytimes-20261017/nytimes256/Ours-k-289761/per_query.csv</t>
        </is>
      </c>
    </row>
    <row r="169">
      <c r="A169" s="0" t="inlineStr">
        <is>
          <t>NYTimes-256</t>
        </is>
      </c>
      <c r="B169" s="0" t="inlineStr">
        <is>
          <t>H96</t>
        </is>
      </c>
      <c r="C169" s="0" t="n">
        <v>1271.2486</v>
      </c>
      <c r="D169" s="0" t="inlineStr">
        <is>
          <t>vo_kb</t>
        </is>
      </c>
      <c r="E169" s="0" t="inlineStr">
        <is>
          <t>Ours</t>
        </is>
      </c>
      <c r="F169" s="0" t="inlineStr">
        <is>
          <t>/mnt/d/paper_source/work_9/VeriANN_repro_2026-09-30/VeriANN_repro_2026-09-30/results/work9-nytimes-20261017/nytimes256/Ours-k-289761/per_query.csv</t>
        </is>
      </c>
    </row>
    <row r="170">
      <c r="A170" s="0" t="inlineStr">
        <is>
          <t>NYTimes-256</t>
        </is>
      </c>
      <c r="B170" s="0" t="inlineStr">
        <is>
          <t>H107</t>
        </is>
      </c>
      <c r="C170" s="0" t="n">
        <v>22.1618087833333</v>
      </c>
      <c r="D170" s="0" t="inlineStr">
        <is>
          <t>verify_ms</t>
        </is>
      </c>
      <c r="E170" s="0" t="inlineStr">
        <is>
          <t>Ours</t>
        </is>
      </c>
      <c r="F170" s="0" t="inlineStr">
        <is>
          <t>/mnt/d/paper_source/work_9/VeriANN_repro_2026-09-30/VeriANN_repro_2026-09-30/results/work9-nytimes-20261017/nytimes256/Ours-k-289761/per_query.csv</t>
        </is>
      </c>
    </row>
    <row r="171">
      <c r="A171" s="0" t="inlineStr">
        <is>
          <t>NYTimes-256</t>
        </is>
      </c>
      <c r="B171" s="0" t="inlineStr">
        <is>
          <t>H117</t>
        </is>
      </c>
      <c r="C171" s="0" t="n">
        <v>10.8469290166667</v>
      </c>
      <c r="D171" s="0" t="inlineStr">
        <is>
          <t>query_ms</t>
        </is>
      </c>
      <c r="E171" s="0" t="inlineStr">
        <is>
          <t>Ours</t>
        </is>
      </c>
      <c r="F171" s="0" t="inlineStr">
        <is>
          <t>/mnt/d/paper_source/work_9/VeriANN_repro_2026-09-30/VeriANN_repro_2026-09-30/results/work9-nytimes-20261017/nytimes256/Ours-k-289761/per_query.csv</t>
        </is>
      </c>
    </row>
    <row r="172">
      <c r="A172" s="0" t="inlineStr">
        <is>
          <t>NYTimes-256</t>
        </is>
      </c>
      <c r="B172" s="0" t="inlineStr">
        <is>
          <t>I96</t>
        </is>
      </c>
      <c r="C172" s="0" t="n">
        <v>1445.0162</v>
      </c>
      <c r="D172" s="0" t="inlineStr">
        <is>
          <t>vo_kb</t>
        </is>
      </c>
      <c r="E172" s="0" t="inlineStr">
        <is>
          <t>Ours</t>
        </is>
      </c>
      <c r="F172" s="0" t="inlineStr">
        <is>
          <t>/mnt/d/paper_source/work_9/VeriANN_repro_2026-09-30/VeriANN_repro_2026-09-30/results/work9-nytimes-20261017/nytimes256/Ours-k-289761/per_query.csv</t>
        </is>
      </c>
    </row>
    <row r="173">
      <c r="A173" s="0" t="inlineStr">
        <is>
          <t>NYTimes-256</t>
        </is>
      </c>
      <c r="B173" s="0" t="inlineStr">
        <is>
          <t>I107</t>
        </is>
      </c>
      <c r="C173" s="0" t="n">
        <v>25.8016828666667</v>
      </c>
      <c r="D173" s="0" t="inlineStr">
        <is>
          <t>verify_ms</t>
        </is>
      </c>
      <c r="E173" s="0" t="inlineStr">
        <is>
          <t>Ours</t>
        </is>
      </c>
      <c r="F173" s="0" t="inlineStr">
        <is>
          <t>/mnt/d/paper_source/work_9/VeriANN_repro_2026-09-30/VeriANN_repro_2026-09-30/results/work9-nytimes-20261017/nytimes256/Ours-k-289761/per_query.csv</t>
        </is>
      </c>
    </row>
    <row r="174">
      <c r="A174" s="0" t="inlineStr">
        <is>
          <t>NYTimes-256</t>
        </is>
      </c>
      <c r="B174" s="0" t="inlineStr">
        <is>
          <t>I117</t>
        </is>
      </c>
      <c r="C174" s="0" t="n">
        <v>11.9913693833333</v>
      </c>
      <c r="D174" s="0" t="inlineStr">
        <is>
          <t>query_ms</t>
        </is>
      </c>
      <c r="E174" s="0" t="inlineStr">
        <is>
          <t>Ours</t>
        </is>
      </c>
      <c r="F174" s="0" t="inlineStr">
        <is>
          <t>/mnt/d/paper_source/work_9/VeriANN_repro_2026-09-30/VeriANN_repro_2026-09-30/results/work9-nytimes-20261017/nytimes256/Ours-k-289761/per_query.csv</t>
        </is>
      </c>
    </row>
    <row r="175">
      <c r="A175" s="0" t="inlineStr">
        <is>
          <t>NYTimes-256</t>
        </is>
      </c>
      <c r="B175" s="0" t="inlineStr">
        <is>
          <t>J96</t>
        </is>
      </c>
      <c r="C175" s="0" t="n">
        <v>1875.9198</v>
      </c>
      <c r="D175" s="0" t="inlineStr">
        <is>
          <t>vo_kb</t>
        </is>
      </c>
      <c r="E175" s="0" t="inlineStr">
        <is>
          <t>Ours</t>
        </is>
      </c>
      <c r="F175" s="0" t="inlineStr">
        <is>
          <t>/mnt/d/paper_source/work_9/VeriANN_repro_2026-09-30/VeriANN_repro_2026-09-30/results/work9-nytimes-20261017/nytimes256/Ours-k-289761/per_query.csv</t>
        </is>
      </c>
    </row>
    <row r="176">
      <c r="A176" s="0" t="inlineStr">
        <is>
          <t>NYTimes-256</t>
        </is>
      </c>
      <c r="B176" s="0" t="inlineStr">
        <is>
          <t>J107</t>
        </is>
      </c>
      <c r="C176" s="0" t="n">
        <v>34.4756043666667</v>
      </c>
      <c r="D176" s="0" t="inlineStr">
        <is>
          <t>verify_ms</t>
        </is>
      </c>
      <c r="E176" s="0" t="inlineStr">
        <is>
          <t>Ours</t>
        </is>
      </c>
      <c r="F176" s="0" t="inlineStr">
        <is>
          <t>/mnt/d/paper_source/work_9/VeriANN_repro_2026-09-30/VeriANN_repro_2026-09-30/results/work9-nytimes-20261017/nytimes256/Ours-k-289761/per_query.csv</t>
        </is>
      </c>
    </row>
    <row r="177">
      <c r="A177" s="0" t="inlineStr">
        <is>
          <t>NYTimes-256</t>
        </is>
      </c>
      <c r="B177" s="0" t="inlineStr">
        <is>
          <t>J117</t>
        </is>
      </c>
      <c r="C177" s="0" t="n">
        <v>14.3016029333333</v>
      </c>
      <c r="D177" s="0" t="inlineStr">
        <is>
          <t>query_ms</t>
        </is>
      </c>
      <c r="E177" s="0" t="inlineStr">
        <is>
          <t>Ours</t>
        </is>
      </c>
      <c r="F177" s="0" t="inlineStr">
        <is>
          <t>/mnt/d/paper_source/work_9/VeriANN_repro_2026-09-30/VeriANN_repro_2026-09-30/results/work9-nytimes-20261017/nytimes256/Ours-k-289761/per_query.csv</t>
        </is>
      </c>
    </row>
    <row r="178">
      <c r="A178" s="0" t="inlineStr">
        <is>
          <t>NYTimes-256</t>
        </is>
      </c>
      <c r="B178" s="0" t="inlineStr">
        <is>
          <t>K96</t>
        </is>
      </c>
      <c r="C178" s="0" t="n">
        <v>2233.7482</v>
      </c>
      <c r="D178" s="0" t="inlineStr">
        <is>
          <t>vo_kb</t>
        </is>
      </c>
      <c r="E178" s="0" t="inlineStr">
        <is>
          <t>Ours</t>
        </is>
      </c>
      <c r="F178" s="0" t="inlineStr">
        <is>
          <t>/mnt/d/paper_source/work_9/VeriANN_repro_2026-09-30/VeriANN_repro_2026-09-30/results/work9-nytimes-20261017/nytimes256/Ours-k-289761/per_query.csv</t>
        </is>
      </c>
    </row>
    <row r="179">
      <c r="A179" s="0" t="inlineStr">
        <is>
          <t>NYTimes-256</t>
        </is>
      </c>
      <c r="B179" s="0" t="inlineStr">
        <is>
          <t>K107</t>
        </is>
      </c>
      <c r="C179" s="0" t="n">
        <v>39.6819354666667</v>
      </c>
      <c r="D179" s="0" t="inlineStr">
        <is>
          <t>verify_ms</t>
        </is>
      </c>
      <c r="E179" s="0" t="inlineStr">
        <is>
          <t>Ours</t>
        </is>
      </c>
      <c r="F179" s="0" t="inlineStr">
        <is>
          <t>/mnt/d/paper_source/work_9/VeriANN_repro_2026-09-30/VeriANN_repro_2026-09-30/results/work9-nytimes-20261017/nytimes256/Ours-k-289761/per_query.csv</t>
        </is>
      </c>
    </row>
    <row r="180">
      <c r="A180" s="0" t="inlineStr">
        <is>
          <t>NYTimes-256</t>
        </is>
      </c>
      <c r="B180" s="0" t="inlineStr">
        <is>
          <t>K117</t>
        </is>
      </c>
      <c r="C180" s="0" t="n">
        <v>16.0406685</v>
      </c>
      <c r="D180" s="0" t="inlineStr">
        <is>
          <t>query_ms</t>
        </is>
      </c>
      <c r="E180" s="0" t="inlineStr">
        <is>
          <t>Ours</t>
        </is>
      </c>
      <c r="F180" s="0" t="inlineStr">
        <is>
          <t>/mnt/d/paper_source/work_9/VeriANN_repro_2026-09-30/VeriANN_repro_2026-09-30/results/work9-nytimes-20261017/nytimes256/Ours-k-289761/per_query.csv</t>
        </is>
      </c>
    </row>
    <row r="181">
      <c r="A181" s="0" t="inlineStr">
        <is>
          <t>NYTimes-256</t>
        </is>
      </c>
      <c r="B181" s="0" t="inlineStr">
        <is>
          <t>F63</t>
        </is>
      </c>
      <c r="C181" s="0" t="n">
        <v>2368.6286</v>
      </c>
      <c r="D181" s="0" t="inlineStr">
        <is>
          <t>vo_kb</t>
        </is>
      </c>
      <c r="E181" s="0" t="inlineStr">
        <is>
          <t>Ours</t>
        </is>
      </c>
      <c r="F181" s="0" t="inlineStr">
        <is>
          <t>/mnt/d/paper_source/work_9/VeriANN_repro_2026-09-30/VeriANN_repro_2026-09-30/results/work9-nytimes-20261017/nytimes256/Ours-size-100000/per_query.csv</t>
        </is>
      </c>
    </row>
    <row r="182">
      <c r="A182" s="0" t="inlineStr">
        <is>
          <t>NYTimes-256</t>
        </is>
      </c>
      <c r="B182" s="0" t="inlineStr">
        <is>
          <t>F74</t>
        </is>
      </c>
      <c r="C182" s="0" t="n">
        <v>40.9393915166667</v>
      </c>
      <c r="D182" s="0" t="inlineStr">
        <is>
          <t>verify_ms</t>
        </is>
      </c>
      <c r="E182" s="0" t="inlineStr">
        <is>
          <t>Ours</t>
        </is>
      </c>
      <c r="F182" s="0" t="inlineStr">
        <is>
          <t>/mnt/d/paper_source/work_9/VeriANN_repro_2026-09-30/VeriANN_repro_2026-09-30/results/work9-nytimes-20261017/nytimes256/Ours-size-100000/per_query.csv</t>
        </is>
      </c>
    </row>
    <row r="183">
      <c r="A183" s="0" t="inlineStr">
        <is>
          <t>NYTimes-256</t>
        </is>
      </c>
      <c r="B183" s="0" t="inlineStr">
        <is>
          <t>F84</t>
        </is>
      </c>
      <c r="C183" s="0" t="n">
        <v>20.45735275</v>
      </c>
      <c r="D183" s="0" t="inlineStr">
        <is>
          <t>query_ms</t>
        </is>
      </c>
      <c r="E183" s="0" t="inlineStr">
        <is>
          <t>Ours</t>
        </is>
      </c>
      <c r="F183" s="0" t="inlineStr">
        <is>
          <t>/mnt/d/paper_source/work_9/VeriANN_repro_2026-09-30/VeriANN_repro_2026-09-30/results/work9-nytimes-20261017/nytimes256/Ours-size-100000/per_query.csv</t>
        </is>
      </c>
    </row>
    <row r="184">
      <c r="A184" s="0" t="inlineStr">
        <is>
          <t>NYTimes-256</t>
        </is>
      </c>
      <c r="B184" s="0" t="inlineStr">
        <is>
          <t>F20</t>
        </is>
      </c>
      <c r="C184" s="0" t="n">
        <v>67</v>
      </c>
      <c r="D184" s="0" t="inlineStr">
        <is>
          <t>recall_percent</t>
        </is>
      </c>
      <c r="E184" s="0" t="inlineStr">
        <is>
          <t>VLAH</t>
        </is>
      </c>
      <c r="F184" s="0" t="inlineStr">
        <is>
          <t>/mnt/d/paper_source/work_9/VeriANN_repro_2026-09-30/VeriANN_repro_2026-09-30/results/work9-nytimes-20261017/nytimes256/VLAH-curve-289761/per_query.csv</t>
        </is>
      </c>
    </row>
    <row r="185">
      <c r="A185" s="0" t="inlineStr">
        <is>
          <t>NYTimes-256</t>
        </is>
      </c>
      <c r="B185" s="0" t="inlineStr">
        <is>
          <t>F21</t>
        </is>
      </c>
      <c r="C185" s="0" t="n">
        <v>67011.7597</v>
      </c>
      <c r="D185" s="0" t="inlineStr">
        <is>
          <t>vo_kb</t>
        </is>
      </c>
      <c r="E185" s="0" t="inlineStr">
        <is>
          <t>VLAH</t>
        </is>
      </c>
      <c r="F185" s="0" t="inlineStr">
        <is>
          <t>/mnt/d/paper_source/work_9/VeriANN_repro_2026-09-30/VeriANN_repro_2026-09-30/results/work9-nytimes-20261017/nytimes256/VLAH-curve-289761/per_query.csv</t>
        </is>
      </c>
    </row>
    <row r="186">
      <c r="A186" s="0" t="inlineStr">
        <is>
          <t>NYTimes-256</t>
        </is>
      </c>
      <c r="B186" s="0" t="inlineStr">
        <is>
          <t>F32</t>
        </is>
      </c>
      <c r="C186" s="0" t="n">
        <v>67</v>
      </c>
      <c r="D186" s="0" t="inlineStr">
        <is>
          <t>recall_percent</t>
        </is>
      </c>
      <c r="E186" s="0" t="inlineStr">
        <is>
          <t>VLAH</t>
        </is>
      </c>
      <c r="F186" s="0" t="inlineStr">
        <is>
          <t>/mnt/d/paper_source/work_9/VeriANN_repro_2026-09-30/VeriANN_repro_2026-09-30/results/work9-nytimes-20261017/nytimes256/VLAH-curve-289761/per_query.csv</t>
        </is>
      </c>
    </row>
    <row r="187">
      <c r="A187" s="0" t="inlineStr">
        <is>
          <t>NYTimes-256</t>
        </is>
      </c>
      <c r="B187" s="0" t="inlineStr">
        <is>
          <t>F33</t>
        </is>
      </c>
      <c r="C187" s="0" t="n">
        <v>272.33098235</v>
      </c>
      <c r="D187" s="0" t="inlineStr">
        <is>
          <t>verify_ms</t>
        </is>
      </c>
      <c r="E187" s="0" t="inlineStr">
        <is>
          <t>VLAH</t>
        </is>
      </c>
      <c r="F187" s="0" t="inlineStr">
        <is>
          <t>/mnt/d/paper_source/work_9/VeriANN_repro_2026-09-30/VeriANN_repro_2026-09-30/results/work9-nytimes-20261017/nytimes256/VLAH-curve-289761/per_query.csv</t>
        </is>
      </c>
    </row>
    <row r="188">
      <c r="A188" s="0" t="inlineStr">
        <is>
          <t>NYTimes-256</t>
        </is>
      </c>
      <c r="B188" s="0" t="inlineStr">
        <is>
          <t>F44</t>
        </is>
      </c>
      <c r="C188" s="0" t="n">
        <v>67</v>
      </c>
      <c r="D188" s="0" t="inlineStr">
        <is>
          <t>recall_percent</t>
        </is>
      </c>
      <c r="E188" s="0" t="inlineStr">
        <is>
          <t>VLAH</t>
        </is>
      </c>
      <c r="F188" s="0" t="inlineStr">
        <is>
          <t>/mnt/d/paper_source/work_9/VeriANN_repro_2026-09-30/VeriANN_repro_2026-09-30/results/work9-nytimes-20261017/nytimes256/VLAH-curve-289761/per_query.csv</t>
        </is>
      </c>
    </row>
    <row r="189">
      <c r="A189" s="0" t="inlineStr">
        <is>
          <t>NYTimes-256</t>
        </is>
      </c>
      <c r="B189" s="0" t="inlineStr">
        <is>
          <t>F45</t>
        </is>
      </c>
      <c r="C189" s="0" t="n">
        <v>143.59484805</v>
      </c>
      <c r="D189" s="0" t="inlineStr">
        <is>
          <t>query_ms</t>
        </is>
      </c>
      <c r="E189" s="0" t="inlineStr">
        <is>
          <t>VLAH</t>
        </is>
      </c>
      <c r="F189" s="0" t="inlineStr">
        <is>
          <t>/mnt/d/paper_source/work_9/VeriANN_repro_2026-09-30/VeriANN_repro_2026-09-30/results/work9-nytimes-20261017/nytimes256/VLAH-curve-289761/per_query.csv</t>
        </is>
      </c>
    </row>
    <row r="190">
      <c r="A190" s="0" t="inlineStr">
        <is>
          <t>NYTimes-256</t>
        </is>
      </c>
      <c r="B190" s="0" t="inlineStr">
        <is>
          <t>G20</t>
        </is>
      </c>
      <c r="C190" s="0" t="n">
        <v>67</v>
      </c>
      <c r="D190" s="0" t="inlineStr">
        <is>
          <t>recall_percent</t>
        </is>
      </c>
      <c r="E190" s="0" t="inlineStr">
        <is>
          <t>VLAH</t>
        </is>
      </c>
      <c r="F190" s="0" t="inlineStr">
        <is>
          <t>/mnt/d/paper_source/work_9/VeriANN_repro_2026-09-30/VeriANN_repro_2026-09-30/results/work9-nytimes-20261017/nytimes256/VLAH-curve-289761/per_query.csv</t>
        </is>
      </c>
    </row>
    <row r="191">
      <c r="A191" s="0" t="inlineStr">
        <is>
          <t>NYTimes-256</t>
        </is>
      </c>
      <c r="B191" s="0" t="inlineStr">
        <is>
          <t>G21</t>
        </is>
      </c>
      <c r="C191" s="0" t="n">
        <v>67011.7597</v>
      </c>
      <c r="D191" s="0" t="inlineStr">
        <is>
          <t>vo_kb</t>
        </is>
      </c>
      <c r="E191" s="0" t="inlineStr">
        <is>
          <t>VLAH</t>
        </is>
      </c>
      <c r="F191" s="0" t="inlineStr">
        <is>
          <t>/mnt/d/paper_source/work_9/VeriANN_repro_2026-09-30/VeriANN_repro_2026-09-30/results/work9-nytimes-20261017/nytimes256/VLAH-curve-289761/per_query.csv</t>
        </is>
      </c>
    </row>
    <row r="192">
      <c r="A192" s="0" t="inlineStr">
        <is>
          <t>NYTimes-256</t>
        </is>
      </c>
      <c r="B192" s="0" t="inlineStr">
        <is>
          <t>G32</t>
        </is>
      </c>
      <c r="C192" s="0" t="n">
        <v>67</v>
      </c>
      <c r="D192" s="0" t="inlineStr">
        <is>
          <t>recall_percent</t>
        </is>
      </c>
      <c r="E192" s="0" t="inlineStr">
        <is>
          <t>VLAH</t>
        </is>
      </c>
      <c r="F192" s="0" t="inlineStr">
        <is>
          <t>/mnt/d/paper_source/work_9/VeriANN_repro_2026-09-30/VeriANN_repro_2026-09-30/results/work9-nytimes-20261017/nytimes256/VLAH-curve-289761/per_query.csv</t>
        </is>
      </c>
    </row>
    <row r="193">
      <c r="A193" s="0" t="inlineStr">
        <is>
          <t>NYTimes-256</t>
        </is>
      </c>
      <c r="B193" s="0" t="inlineStr">
        <is>
          <t>G33</t>
        </is>
      </c>
      <c r="C193" s="0" t="n">
        <v>272.33098235</v>
      </c>
      <c r="D193" s="0" t="inlineStr">
        <is>
          <t>verify_ms</t>
        </is>
      </c>
      <c r="E193" s="0" t="inlineStr">
        <is>
          <t>VLAH</t>
        </is>
      </c>
      <c r="F193" s="0" t="inlineStr">
        <is>
          <t>/mnt/d/paper_source/work_9/VeriANN_repro_2026-09-30/VeriANN_repro_2026-09-30/results/work9-nytimes-20261017/nytimes256/VLAH-curve-289761/per_query.csv</t>
        </is>
      </c>
    </row>
    <row r="194">
      <c r="A194" s="0" t="inlineStr">
        <is>
          <t>NYTimes-256</t>
        </is>
      </c>
      <c r="B194" s="0" t="inlineStr">
        <is>
          <t>G44</t>
        </is>
      </c>
      <c r="C194" s="0" t="n">
        <v>67</v>
      </c>
      <c r="D194" s="0" t="inlineStr">
        <is>
          <t>recall_percent</t>
        </is>
      </c>
      <c r="E194" s="0" t="inlineStr">
        <is>
          <t>VLAH</t>
        </is>
      </c>
      <c r="F194" s="0" t="inlineStr">
        <is>
          <t>/mnt/d/paper_source/work_9/VeriANN_repro_2026-09-30/VeriANN_repro_2026-09-30/results/work9-nytimes-20261017/nytimes256/VLAH-curve-289761/per_query.csv</t>
        </is>
      </c>
    </row>
    <row r="195">
      <c r="A195" s="0" t="inlineStr">
        <is>
          <t>NYTimes-256</t>
        </is>
      </c>
      <c r="B195" s="0" t="inlineStr">
        <is>
          <t>G45</t>
        </is>
      </c>
      <c r="C195" s="0" t="n">
        <v>143.59484805</v>
      </c>
      <c r="D195" s="0" t="inlineStr">
        <is>
          <t>query_ms</t>
        </is>
      </c>
      <c r="E195" s="0" t="inlineStr">
        <is>
          <t>VLAH</t>
        </is>
      </c>
      <c r="F195" s="0" t="inlineStr">
        <is>
          <t>/mnt/d/paper_source/work_9/VeriANN_repro_2026-09-30/VeriANN_repro_2026-09-30/results/work9-nytimes-20261017/nytimes256/VLAH-curve-289761/per_query.csv</t>
        </is>
      </c>
    </row>
    <row r="196">
      <c r="A196" s="0" t="inlineStr">
        <is>
          <t>NYTimes-256</t>
        </is>
      </c>
      <c r="B196" s="0" t="inlineStr">
        <is>
          <t>H20</t>
        </is>
      </c>
      <c r="C196" s="0" t="n">
        <v>71.5</v>
      </c>
      <c r="D196" s="0" t="inlineStr">
        <is>
          <t>recall_percent</t>
        </is>
      </c>
      <c r="E196" s="0" t="inlineStr">
        <is>
          <t>VLAH</t>
        </is>
      </c>
      <c r="F196" s="0" t="inlineStr">
        <is>
          <t>/mnt/d/paper_source/work_9/VeriANN_repro_2026-09-30/VeriANN_repro_2026-09-30/results/work9-nytimes-20261017/nytimes256/VLAH-curve-289761/per_query.csv</t>
        </is>
      </c>
    </row>
    <row r="197">
      <c r="A197" s="0" t="inlineStr">
        <is>
          <t>NYTimes-256</t>
        </is>
      </c>
      <c r="B197" s="0" t="inlineStr">
        <is>
          <t>H21</t>
        </is>
      </c>
      <c r="C197" s="0" t="n">
        <v>76710.86625000001</v>
      </c>
      <c r="D197" s="0" t="inlineStr">
        <is>
          <t>vo_kb</t>
        </is>
      </c>
      <c r="E197" s="0" t="inlineStr">
        <is>
          <t>VLAH</t>
        </is>
      </c>
      <c r="F197" s="0" t="inlineStr">
        <is>
          <t>/mnt/d/paper_source/work_9/VeriANN_repro_2026-09-30/VeriANN_repro_2026-09-30/results/work9-nytimes-20261017/nytimes256/VLAH-curve-289761/per_query.csv</t>
        </is>
      </c>
    </row>
    <row r="198">
      <c r="A198" s="0" t="inlineStr">
        <is>
          <t>NYTimes-256</t>
        </is>
      </c>
      <c r="B198" s="0" t="inlineStr">
        <is>
          <t>H32</t>
        </is>
      </c>
      <c r="C198" s="0" t="n">
        <v>71.5</v>
      </c>
      <c r="D198" s="0" t="inlineStr">
        <is>
          <t>recall_percent</t>
        </is>
      </c>
      <c r="E198" s="0" t="inlineStr">
        <is>
          <t>VLAH</t>
        </is>
      </c>
      <c r="F198" s="0" t="inlineStr">
        <is>
          <t>/mnt/d/paper_source/work_9/VeriANN_repro_2026-09-30/VeriANN_repro_2026-09-30/results/work9-nytimes-20261017/nytimes256/VLAH-curve-289761/per_query.csv</t>
        </is>
      </c>
    </row>
    <row r="199">
      <c r="A199" s="0" t="inlineStr">
        <is>
          <t>NYTimes-256</t>
        </is>
      </c>
      <c r="B199" s="0" t="inlineStr">
        <is>
          <t>H33</t>
        </is>
      </c>
      <c r="C199" s="0" t="n">
        <v>311.96292125</v>
      </c>
      <c r="D199" s="0" t="inlineStr">
        <is>
          <t>verify_ms</t>
        </is>
      </c>
      <c r="E199" s="0" t="inlineStr">
        <is>
          <t>VLAH</t>
        </is>
      </c>
      <c r="F199" s="0" t="inlineStr">
        <is>
          <t>/mnt/d/paper_source/work_9/VeriANN_repro_2026-09-30/VeriANN_repro_2026-09-30/results/work9-nytimes-20261017/nytimes256/VLAH-curve-289761/per_query.csv</t>
        </is>
      </c>
    </row>
    <row r="200">
      <c r="A200" s="0" t="inlineStr">
        <is>
          <t>NYTimes-256</t>
        </is>
      </c>
      <c r="B200" s="0" t="inlineStr">
        <is>
          <t>H44</t>
        </is>
      </c>
      <c r="C200" s="0" t="n">
        <v>71.5</v>
      </c>
      <c r="D200" s="0" t="inlineStr">
        <is>
          <t>recall_percent</t>
        </is>
      </c>
      <c r="E200" s="0" t="inlineStr">
        <is>
          <t>VLAH</t>
        </is>
      </c>
      <c r="F200" s="0" t="inlineStr">
        <is>
          <t>/mnt/d/paper_source/work_9/VeriANN_repro_2026-09-30/VeriANN_repro_2026-09-30/results/work9-nytimes-20261017/nytimes256/VLAH-curve-289761/per_query.csv</t>
        </is>
      </c>
    </row>
    <row r="201">
      <c r="A201" s="0" t="inlineStr">
        <is>
          <t>NYTimes-256</t>
        </is>
      </c>
      <c r="B201" s="0" t="inlineStr">
        <is>
          <t>H45</t>
        </is>
      </c>
      <c r="C201" s="0" t="n">
        <v>164.394885933333</v>
      </c>
      <c r="D201" s="0" t="inlineStr">
        <is>
          <t>query_ms</t>
        </is>
      </c>
      <c r="E201" s="0" t="inlineStr">
        <is>
          <t>VLAH</t>
        </is>
      </c>
      <c r="F201" s="0" t="inlineStr">
        <is>
          <t>/mnt/d/paper_source/work_9/VeriANN_repro_2026-09-30/VeriANN_repro_2026-09-30/results/work9-nytimes-20261017/nytimes256/VLAH-curve-289761/per_query.csv</t>
        </is>
      </c>
    </row>
    <row r="202">
      <c r="A202" s="0" t="inlineStr">
        <is>
          <t>NYTimes-256</t>
        </is>
      </c>
      <c r="B202" s="0" t="inlineStr">
        <is>
          <t>I20</t>
        </is>
      </c>
      <c r="C202" s="0" t="n">
        <v>78</v>
      </c>
      <c r="D202" s="0" t="inlineStr">
        <is>
          <t>recall_percent</t>
        </is>
      </c>
      <c r="E202" s="0" t="inlineStr">
        <is>
          <t>VLAH</t>
        </is>
      </c>
      <c r="F202" s="0" t="inlineStr">
        <is>
          <t>/mnt/d/paper_source/work_9/VeriANN_repro_2026-09-30/VeriANN_repro_2026-09-30/results/work9-nytimes-20261017/nytimes256/VLAH-curve-289761/per_query.csv</t>
        </is>
      </c>
    </row>
    <row r="203">
      <c r="A203" s="0" t="inlineStr">
        <is>
          <t>NYTimes-256</t>
        </is>
      </c>
      <c r="B203" s="0" t="inlineStr">
        <is>
          <t>I21</t>
        </is>
      </c>
      <c r="C203" s="0" t="n">
        <v>86460.41185</v>
      </c>
      <c r="D203" s="0" t="inlineStr">
        <is>
          <t>vo_kb</t>
        </is>
      </c>
      <c r="E203" s="0" t="inlineStr">
        <is>
          <t>VLAH</t>
        </is>
      </c>
      <c r="F203" s="0" t="inlineStr">
        <is>
          <t>/mnt/d/paper_source/work_9/VeriANN_repro_2026-09-30/VeriANN_repro_2026-09-30/results/work9-nytimes-20261017/nytimes256/VLAH-curve-289761/per_query.csv</t>
        </is>
      </c>
    </row>
    <row r="204">
      <c r="A204" s="0" t="inlineStr">
        <is>
          <t>NYTimes-256</t>
        </is>
      </c>
      <c r="B204" s="0" t="inlineStr">
        <is>
          <t>I32</t>
        </is>
      </c>
      <c r="C204" s="0" t="n">
        <v>78</v>
      </c>
      <c r="D204" s="0" t="inlineStr">
        <is>
          <t>recall_percent</t>
        </is>
      </c>
      <c r="E204" s="0" t="inlineStr">
        <is>
          <t>VLAH</t>
        </is>
      </c>
      <c r="F204" s="0" t="inlineStr">
        <is>
          <t>/mnt/d/paper_source/work_9/VeriANN_repro_2026-09-30/VeriANN_repro_2026-09-30/results/work9-nytimes-20261017/nytimes256/VLAH-curve-289761/per_query.csv</t>
        </is>
      </c>
    </row>
    <row r="205">
      <c r="A205" s="0" t="inlineStr">
        <is>
          <t>NYTimes-256</t>
        </is>
      </c>
      <c r="B205" s="0" t="inlineStr">
        <is>
          <t>I33</t>
        </is>
      </c>
      <c r="C205" s="0" t="n">
        <v>351.799705383333</v>
      </c>
      <c r="D205" s="0" t="inlineStr">
        <is>
          <t>verify_ms</t>
        </is>
      </c>
      <c r="E205" s="0" t="inlineStr">
        <is>
          <t>VLAH</t>
        </is>
      </c>
      <c r="F205" s="0" t="inlineStr">
        <is>
          <t>/mnt/d/paper_source/work_9/VeriANN_repro_2026-09-30/VeriANN_repro_2026-09-30/results/work9-nytimes-20261017/nytimes256/VLAH-curve-289761/per_query.csv</t>
        </is>
      </c>
    </row>
    <row r="206">
      <c r="A206" s="0" t="inlineStr">
        <is>
          <t>NYTimes-256</t>
        </is>
      </c>
      <c r="B206" s="0" t="inlineStr">
        <is>
          <t>I44</t>
        </is>
      </c>
      <c r="C206" s="0" t="n">
        <v>78</v>
      </c>
      <c r="D206" s="0" t="inlineStr">
        <is>
          <t>recall_percent</t>
        </is>
      </c>
      <c r="E206" s="0" t="inlineStr">
        <is>
          <t>VLAH</t>
        </is>
      </c>
      <c r="F206" s="0" t="inlineStr">
        <is>
          <t>/mnt/d/paper_source/work_9/VeriANN_repro_2026-09-30/VeriANN_repro_2026-09-30/results/work9-nytimes-20261017/nytimes256/VLAH-curve-289761/per_query.csv</t>
        </is>
      </c>
    </row>
    <row r="207">
      <c r="A207" s="0" t="inlineStr">
        <is>
          <t>NYTimes-256</t>
        </is>
      </c>
      <c r="B207" s="0" t="inlineStr">
        <is>
          <t>I45</t>
        </is>
      </c>
      <c r="C207" s="0" t="n">
        <v>185.147734933333</v>
      </c>
      <c r="D207" s="0" t="inlineStr">
        <is>
          <t>query_ms</t>
        </is>
      </c>
      <c r="E207" s="0" t="inlineStr">
        <is>
          <t>VLAH</t>
        </is>
      </c>
      <c r="F207" s="0" t="inlineStr">
        <is>
          <t>/mnt/d/paper_source/work_9/VeriANN_repro_2026-09-30/VeriANN_repro_2026-09-30/results/work9-nytimes-20261017/nytimes256/VLAH-curve-289761/per_query.csv</t>
        </is>
      </c>
    </row>
    <row r="208">
      <c r="A208" s="0" t="inlineStr">
        <is>
          <t>NYTimes-256</t>
        </is>
      </c>
      <c r="B208" s="0" t="inlineStr">
        <is>
          <t>J20</t>
        </is>
      </c>
      <c r="C208" s="0" t="n">
        <v>82</v>
      </c>
      <c r="D208" s="0" t="inlineStr">
        <is>
          <t>recall_percent</t>
        </is>
      </c>
      <c r="E208" s="0" t="inlineStr">
        <is>
          <t>VLAH</t>
        </is>
      </c>
      <c r="F208" s="0" t="inlineStr">
        <is>
          <t>/mnt/d/paper_source/work_9/VeriANN_repro_2026-09-30/VeriANN_repro_2026-09-30/results/work9-nytimes-20261017/nytimes256/VLAH-curve-289761/per_query.csv</t>
        </is>
      </c>
    </row>
    <row r="209">
      <c r="A209" s="0" t="inlineStr">
        <is>
          <t>NYTimes-256</t>
        </is>
      </c>
      <c r="B209" s="0" t="inlineStr">
        <is>
          <t>J21</t>
        </is>
      </c>
      <c r="C209" s="0" t="n">
        <v>96245.68545</v>
      </c>
      <c r="D209" s="0" t="inlineStr">
        <is>
          <t>vo_kb</t>
        </is>
      </c>
      <c r="E209" s="0" t="inlineStr">
        <is>
          <t>VLAH</t>
        </is>
      </c>
      <c r="F209" s="0" t="inlineStr">
        <is>
          <t>/mnt/d/paper_source/work_9/VeriANN_repro_2026-09-30/VeriANN_repro_2026-09-30/results/work9-nytimes-20261017/nytimes256/VLAH-curve-289761/per_query.csv</t>
        </is>
      </c>
    </row>
    <row r="210">
      <c r="A210" s="0" t="inlineStr">
        <is>
          <t>NYTimes-256</t>
        </is>
      </c>
      <c r="B210" s="0" t="inlineStr">
        <is>
          <t>J32</t>
        </is>
      </c>
      <c r="C210" s="0" t="n">
        <v>82</v>
      </c>
      <c r="D210" s="0" t="inlineStr">
        <is>
          <t>recall_percent</t>
        </is>
      </c>
      <c r="E210" s="0" t="inlineStr">
        <is>
          <t>VLAH</t>
        </is>
      </c>
      <c r="F210" s="0" t="inlineStr">
        <is>
          <t>/mnt/d/paper_source/work_9/VeriANN_repro_2026-09-30/VeriANN_repro_2026-09-30/results/work9-nytimes-20261017/nytimes256/VLAH-curve-289761/per_query.csv</t>
        </is>
      </c>
    </row>
    <row r="211">
      <c r="A211" s="0" t="inlineStr">
        <is>
          <t>NYTimes-256</t>
        </is>
      </c>
      <c r="B211" s="0" t="inlineStr">
        <is>
          <t>J33</t>
        </is>
      </c>
      <c r="C211" s="0" t="n">
        <v>392.74538455</v>
      </c>
      <c r="D211" s="0" t="inlineStr">
        <is>
          <t>verify_ms</t>
        </is>
      </c>
      <c r="E211" s="0" t="inlineStr">
        <is>
          <t>VLAH</t>
        </is>
      </c>
      <c r="F211" s="0" t="inlineStr">
        <is>
          <t>/mnt/d/paper_source/work_9/VeriANN_repro_2026-09-30/VeriANN_repro_2026-09-30/results/work9-nytimes-20261017/nytimes256/VLAH-curve-289761/per_query.csv</t>
        </is>
      </c>
    </row>
    <row r="212">
      <c r="A212" s="0" t="inlineStr">
        <is>
          <t>NYTimes-256</t>
        </is>
      </c>
      <c r="B212" s="0" t="inlineStr">
        <is>
          <t>J44</t>
        </is>
      </c>
      <c r="C212" s="0" t="n">
        <v>82</v>
      </c>
      <c r="D212" s="0" t="inlineStr">
        <is>
          <t>recall_percent</t>
        </is>
      </c>
      <c r="E212" s="0" t="inlineStr">
        <is>
          <t>VLAH</t>
        </is>
      </c>
      <c r="F212" s="0" t="inlineStr">
        <is>
          <t>/mnt/d/paper_source/work_9/VeriANN_repro_2026-09-30/VeriANN_repro_2026-09-30/results/work9-nytimes-20261017/nytimes256/VLAH-curve-289761/per_query.csv</t>
        </is>
      </c>
    </row>
    <row r="213">
      <c r="A213" s="0" t="inlineStr">
        <is>
          <t>NYTimes-256</t>
        </is>
      </c>
      <c r="B213" s="0" t="inlineStr">
        <is>
          <t>J45</t>
        </is>
      </c>
      <c r="C213" s="0" t="n">
        <v>206.091788883333</v>
      </c>
      <c r="D213" s="0" t="inlineStr">
        <is>
          <t>query_ms</t>
        </is>
      </c>
      <c r="E213" s="0" t="inlineStr">
        <is>
          <t>VLAH</t>
        </is>
      </c>
      <c r="F213" s="0" t="inlineStr">
        <is>
          <t>/mnt/d/paper_source/work_9/VeriANN_repro_2026-09-30/VeriANN_repro_2026-09-30/results/work9-nytimes-20261017/nytimes256/VLAH-curve-289761/per_query.csv</t>
        </is>
      </c>
    </row>
    <row r="214">
      <c r="A214" s="0" t="inlineStr">
        <is>
          <t>NYTimes-256</t>
        </is>
      </c>
      <c r="B214" s="0" t="inlineStr">
        <is>
          <t>K20</t>
        </is>
      </c>
      <c r="C214" s="0" t="n">
        <v>87.5</v>
      </c>
      <c r="D214" s="0" t="inlineStr">
        <is>
          <t>recall_percent</t>
        </is>
      </c>
      <c r="E214" s="0" t="inlineStr">
        <is>
          <t>VLAH</t>
        </is>
      </c>
      <c r="F214" s="0" t="inlineStr">
        <is>
          <t>/mnt/d/paper_source/work_9/VeriANN_repro_2026-09-30/VeriANN_repro_2026-09-30/results/work9-nytimes-20261017/nytimes256/VLAH-curve-289761/per_query.csv</t>
        </is>
      </c>
    </row>
    <row r="215">
      <c r="A215" s="0" t="inlineStr">
        <is>
          <t>NYTimes-256</t>
        </is>
      </c>
      <c r="B215" s="0" t="inlineStr">
        <is>
          <t>K21</t>
        </is>
      </c>
      <c r="C215" s="0" t="n">
        <v>105941.9646</v>
      </c>
      <c r="D215" s="0" t="inlineStr">
        <is>
          <t>vo_kb</t>
        </is>
      </c>
      <c r="E215" s="0" t="inlineStr">
        <is>
          <t>VLAH</t>
        </is>
      </c>
      <c r="F215" s="0" t="inlineStr">
        <is>
          <t>/mnt/d/paper_source/work_9/VeriANN_repro_2026-09-30/VeriANN_repro_2026-09-30/results/work9-nytimes-20261017/nytimes256/VLAH-curve-289761/per_query.csv</t>
        </is>
      </c>
    </row>
    <row r="216">
      <c r="A216" s="0" t="inlineStr">
        <is>
          <t>NYTimes-256</t>
        </is>
      </c>
      <c r="B216" s="0" t="inlineStr">
        <is>
          <t>K32</t>
        </is>
      </c>
      <c r="C216" s="0" t="n">
        <v>87.5</v>
      </c>
      <c r="D216" s="0" t="inlineStr">
        <is>
          <t>recall_percent</t>
        </is>
      </c>
      <c r="E216" s="0" t="inlineStr">
        <is>
          <t>VLAH</t>
        </is>
      </c>
      <c r="F216" s="0" t="inlineStr">
        <is>
          <t>/mnt/d/paper_source/work_9/VeriANN_repro_2026-09-30/VeriANN_repro_2026-09-30/results/work9-nytimes-20261017/nytimes256/VLAH-curve-289761/per_query.csv</t>
        </is>
      </c>
    </row>
    <row r="217">
      <c r="A217" s="0" t="inlineStr">
        <is>
          <t>NYTimes-256</t>
        </is>
      </c>
      <c r="B217" s="0" t="inlineStr">
        <is>
          <t>K33</t>
        </is>
      </c>
      <c r="C217" s="0" t="n">
        <v>433.156968933333</v>
      </c>
      <c r="D217" s="0" t="inlineStr">
        <is>
          <t>verify_ms</t>
        </is>
      </c>
      <c r="E217" s="0" t="inlineStr">
        <is>
          <t>VLAH</t>
        </is>
      </c>
      <c r="F217" s="0" t="inlineStr">
        <is>
          <t>/mnt/d/paper_source/work_9/VeriANN_repro_2026-09-30/VeriANN_repro_2026-09-30/results/work9-nytimes-20261017/nytimes256/VLAH-curve-289761/per_query.csv</t>
        </is>
      </c>
    </row>
    <row r="218">
      <c r="A218" s="0" t="inlineStr">
        <is>
          <t>NYTimes-256</t>
        </is>
      </c>
      <c r="B218" s="0" t="inlineStr">
        <is>
          <t>K44</t>
        </is>
      </c>
      <c r="C218" s="0" t="n">
        <v>87.5</v>
      </c>
      <c r="D218" s="0" t="inlineStr">
        <is>
          <t>recall_percent</t>
        </is>
      </c>
      <c r="E218" s="0" t="inlineStr">
        <is>
          <t>VLAH</t>
        </is>
      </c>
      <c r="F218" s="0" t="inlineStr">
        <is>
          <t>/mnt/d/paper_source/work_9/VeriANN_repro_2026-09-30/VeriANN_repro_2026-09-30/results/work9-nytimes-20261017/nytimes256/VLAH-curve-289761/per_query.csv</t>
        </is>
      </c>
    </row>
    <row r="219">
      <c r="A219" s="0" t="inlineStr">
        <is>
          <t>NYTimes-256</t>
        </is>
      </c>
      <c r="B219" s="0" t="inlineStr">
        <is>
          <t>K45</t>
        </is>
      </c>
      <c r="C219" s="0" t="n">
        <v>231.242866266667</v>
      </c>
      <c r="D219" s="0" t="inlineStr">
        <is>
          <t>query_ms</t>
        </is>
      </c>
      <c r="E219" s="0" t="inlineStr">
        <is>
          <t>VLAH</t>
        </is>
      </c>
      <c r="F219" s="0" t="inlineStr">
        <is>
          <t>/mnt/d/paper_source/work_9/VeriANN_repro_2026-09-30/VeriANN_repro_2026-09-30/results/work9-nytimes-20261017/nytimes256/VLAH-curve-289761/per_query.csv</t>
        </is>
      </c>
    </row>
    <row r="220">
      <c r="A220" s="0" t="inlineStr">
        <is>
          <t>NYTimes-256</t>
        </is>
      </c>
      <c r="B220" s="0" t="inlineStr">
        <is>
          <t>L20</t>
        </is>
      </c>
      <c r="C220" s="0" t="n">
        <v>92.5</v>
      </c>
      <c r="D220" s="0" t="inlineStr">
        <is>
          <t>recall_percent</t>
        </is>
      </c>
      <c r="E220" s="0" t="inlineStr">
        <is>
          <t>VLAH</t>
        </is>
      </c>
      <c r="F220" s="0" t="inlineStr">
        <is>
          <t>/mnt/d/paper_source/work_9/VeriANN_repro_2026-09-30/VeriANN_repro_2026-09-30/results/work9-nytimes-20261017/nytimes256/VLAH-curve-289761/per_query.csv</t>
        </is>
      </c>
    </row>
    <row r="221">
      <c r="A221" s="0" t="inlineStr">
        <is>
          <t>NYTimes-256</t>
        </is>
      </c>
      <c r="B221" s="0" t="inlineStr">
        <is>
          <t>L21</t>
        </is>
      </c>
      <c r="C221" s="0" t="n">
        <v>125732.4714</v>
      </c>
      <c r="D221" s="0" t="inlineStr">
        <is>
          <t>vo_kb</t>
        </is>
      </c>
      <c r="E221" s="0" t="inlineStr">
        <is>
          <t>VLAH</t>
        </is>
      </c>
      <c r="F221" s="0" t="inlineStr">
        <is>
          <t>/mnt/d/paper_source/work_9/VeriANN_repro_2026-09-30/VeriANN_repro_2026-09-30/results/work9-nytimes-20261017/nytimes256/VLAH-curve-289761/per_query.csv</t>
        </is>
      </c>
    </row>
    <row r="222">
      <c r="A222" s="0" t="inlineStr">
        <is>
          <t>NYTimes-256</t>
        </is>
      </c>
      <c r="B222" s="0" t="inlineStr">
        <is>
          <t>L32</t>
        </is>
      </c>
      <c r="C222" s="0" t="n">
        <v>92.5</v>
      </c>
      <c r="D222" s="0" t="inlineStr">
        <is>
          <t>recall_percent</t>
        </is>
      </c>
      <c r="E222" s="0" t="inlineStr">
        <is>
          <t>VLAH</t>
        </is>
      </c>
      <c r="F222" s="0" t="inlineStr">
        <is>
          <t>/mnt/d/paper_source/work_9/VeriANN_repro_2026-09-30/VeriANN_repro_2026-09-30/results/work9-nytimes-20261017/nytimes256/VLAH-curve-289761/per_query.csv</t>
        </is>
      </c>
    </row>
    <row r="223">
      <c r="A223" s="0" t="inlineStr">
        <is>
          <t>NYTimes-256</t>
        </is>
      </c>
      <c r="B223" s="0" t="inlineStr">
        <is>
          <t>L33</t>
        </is>
      </c>
      <c r="C223" s="0" t="n">
        <v>515.45168045</v>
      </c>
      <c r="D223" s="0" t="inlineStr">
        <is>
          <t>verify_ms</t>
        </is>
      </c>
      <c r="E223" s="0" t="inlineStr">
        <is>
          <t>VLAH</t>
        </is>
      </c>
      <c r="F223" s="0" t="inlineStr">
        <is>
          <t>/mnt/d/paper_source/work_9/VeriANN_repro_2026-09-30/VeriANN_repro_2026-09-30/results/work9-nytimes-20261017/nytimes256/VLAH-curve-289761/per_query.csv</t>
        </is>
      </c>
    </row>
    <row r="224">
      <c r="A224" s="0" t="inlineStr">
        <is>
          <t>NYTimes-256</t>
        </is>
      </c>
      <c r="B224" s="0" t="inlineStr">
        <is>
          <t>L44</t>
        </is>
      </c>
      <c r="C224" s="0" t="n">
        <v>92.5</v>
      </c>
      <c r="D224" s="0" t="inlineStr">
        <is>
          <t>recall_percent</t>
        </is>
      </c>
      <c r="E224" s="0" t="inlineStr">
        <is>
          <t>VLAH</t>
        </is>
      </c>
      <c r="F224" s="0" t="inlineStr">
        <is>
          <t>/mnt/d/paper_source/work_9/VeriANN_repro_2026-09-30/VeriANN_repro_2026-09-30/results/work9-nytimes-20261017/nytimes256/VLAH-curve-289761/per_query.csv</t>
        </is>
      </c>
    </row>
    <row r="225">
      <c r="A225" s="0" t="inlineStr">
        <is>
          <t>NYTimes-256</t>
        </is>
      </c>
      <c r="B225" s="0" t="inlineStr">
        <is>
          <t>L45</t>
        </is>
      </c>
      <c r="C225" s="0" t="n">
        <v>273.801794433333</v>
      </c>
      <c r="D225" s="0" t="inlineStr">
        <is>
          <t>query_ms</t>
        </is>
      </c>
      <c r="E225" s="0" t="inlineStr">
        <is>
          <t>VLAH</t>
        </is>
      </c>
      <c r="F225" s="0" t="inlineStr">
        <is>
          <t>/mnt/d/paper_source/work_9/VeriANN_repro_2026-09-30/VeriANN_repro_2026-09-30/results/work9-nytimes-20261017/nytimes256/VLAH-curve-289761/per_query.csv</t>
        </is>
      </c>
    </row>
    <row r="226">
      <c r="A226" s="0" t="inlineStr">
        <is>
          <t>NYTimes-256</t>
        </is>
      </c>
      <c r="B226" s="0" t="inlineStr">
        <is>
          <t>M20</t>
        </is>
      </c>
      <c r="C226" s="0" t="n">
        <v>96</v>
      </c>
      <c r="D226" s="0" t="inlineStr">
        <is>
          <t>recall_percent</t>
        </is>
      </c>
      <c r="E226" s="0" t="inlineStr">
        <is>
          <t>VLAH</t>
        </is>
      </c>
      <c r="F226" s="0" t="inlineStr">
        <is>
          <t>/mnt/d/paper_source/work_9/VeriANN_repro_2026-09-30/VeriANN_repro_2026-09-30/results/work9-nytimes-20261017/nytimes256/VLAH-curve-289761/per_query.csv</t>
        </is>
      </c>
    </row>
    <row r="227">
      <c r="A227" s="0" t="inlineStr">
        <is>
          <t>NYTimes-256</t>
        </is>
      </c>
      <c r="B227" s="0" t="inlineStr">
        <is>
          <t>M21</t>
        </is>
      </c>
      <c r="C227" s="0" t="n">
        <v>135488.6228</v>
      </c>
      <c r="D227" s="0" t="inlineStr">
        <is>
          <t>vo_kb</t>
        </is>
      </c>
      <c r="E227" s="0" t="inlineStr">
        <is>
          <t>VLAH</t>
        </is>
      </c>
      <c r="F227" s="0" t="inlineStr">
        <is>
          <t>/mnt/d/paper_source/work_9/VeriANN_repro_2026-09-30/VeriANN_repro_2026-09-30/results/work9-nytimes-20261017/nytimes256/VLAH-curve-289761/per_query.csv</t>
        </is>
      </c>
    </row>
    <row r="228">
      <c r="A228" s="0" t="inlineStr">
        <is>
          <t>NYTimes-256</t>
        </is>
      </c>
      <c r="B228" s="0" t="inlineStr">
        <is>
          <t>M32</t>
        </is>
      </c>
      <c r="C228" s="0" t="n">
        <v>96</v>
      </c>
      <c r="D228" s="0" t="inlineStr">
        <is>
          <t>recall_percent</t>
        </is>
      </c>
      <c r="E228" s="0" t="inlineStr">
        <is>
          <t>VLAH</t>
        </is>
      </c>
      <c r="F228" s="0" t="inlineStr">
        <is>
          <t>/mnt/d/paper_source/work_9/VeriANN_repro_2026-09-30/VeriANN_repro_2026-09-30/results/work9-nytimes-20261017/nytimes256/VLAH-curve-289761/per_query.csv</t>
        </is>
      </c>
    </row>
    <row r="229">
      <c r="A229" s="0" t="inlineStr">
        <is>
          <t>NYTimes-256</t>
        </is>
      </c>
      <c r="B229" s="0" t="inlineStr">
        <is>
          <t>M33</t>
        </is>
      </c>
      <c r="C229" s="0" t="n">
        <v>556.644589733333</v>
      </c>
      <c r="D229" s="0" t="inlineStr">
        <is>
          <t>verify_ms</t>
        </is>
      </c>
      <c r="E229" s="0" t="inlineStr">
        <is>
          <t>VLAH</t>
        </is>
      </c>
      <c r="F229" s="0" t="inlineStr">
        <is>
          <t>/mnt/d/paper_source/work_9/VeriANN_repro_2026-09-30/VeriANN_repro_2026-09-30/results/work9-nytimes-20261017/nytimes256/VLAH-curve-289761/per_query.csv</t>
        </is>
      </c>
    </row>
    <row r="230">
      <c r="A230" s="0" t="inlineStr">
        <is>
          <t>NYTimes-256</t>
        </is>
      </c>
      <c r="B230" s="0" t="inlineStr">
        <is>
          <t>M44</t>
        </is>
      </c>
      <c r="C230" s="0" t="n">
        <v>96</v>
      </c>
      <c r="D230" s="0" t="inlineStr">
        <is>
          <t>recall_percent</t>
        </is>
      </c>
      <c r="E230" s="0" t="inlineStr">
        <is>
          <t>VLAH</t>
        </is>
      </c>
      <c r="F230" s="0" t="inlineStr">
        <is>
          <t>/mnt/d/paper_source/work_9/VeriANN_repro_2026-09-30/VeriANN_repro_2026-09-30/results/work9-nytimes-20261017/nytimes256/VLAH-curve-289761/per_query.csv</t>
        </is>
      </c>
    </row>
    <row r="231">
      <c r="A231" s="0" t="inlineStr">
        <is>
          <t>NYTimes-256</t>
        </is>
      </c>
      <c r="B231" s="0" t="inlineStr">
        <is>
          <t>M45</t>
        </is>
      </c>
      <c r="C231" s="0" t="n">
        <v>295.928621983333</v>
      </c>
      <c r="D231" s="0" t="inlineStr">
        <is>
          <t>query_ms</t>
        </is>
      </c>
      <c r="E231" s="0" t="inlineStr">
        <is>
          <t>VLAH</t>
        </is>
      </c>
      <c r="F231" s="0" t="inlineStr">
        <is>
          <t>/mnt/d/paper_source/work_9/VeriANN_repro_2026-09-30/VeriANN_repro_2026-09-30/results/work9-nytimes-20261017/nytimes256/VLAH-curve-289761/per_query.csv</t>
        </is>
      </c>
    </row>
    <row r="232">
      <c r="A232" s="0" t="inlineStr">
        <is>
          <t>NYTimes-256</t>
        </is>
      </c>
      <c r="B232" s="0" t="inlineStr">
        <is>
          <t>N20</t>
        </is>
      </c>
      <c r="C232" s="0" t="n">
        <v>99</v>
      </c>
      <c r="D232" s="0" t="inlineStr">
        <is>
          <t>recall_percent</t>
        </is>
      </c>
      <c r="E232" s="0" t="inlineStr">
        <is>
          <t>VLAH</t>
        </is>
      </c>
      <c r="F232" s="0" t="inlineStr">
        <is>
          <t>/mnt/d/paper_source/work_9/VeriANN_repro_2026-09-30/VeriANN_repro_2026-09-30/results/work9-nytimes-20261017/nytimes256/VLAH-curve-289761/per_query.csv</t>
        </is>
      </c>
    </row>
    <row r="233">
      <c r="A233" s="0" t="inlineStr">
        <is>
          <t>NYTimes-256</t>
        </is>
      </c>
      <c r="B233" s="0" t="inlineStr">
        <is>
          <t>N21</t>
        </is>
      </c>
      <c r="C233" s="0" t="n">
        <v>143850.9632</v>
      </c>
      <c r="D233" s="0" t="inlineStr">
        <is>
          <t>vo_kb</t>
        </is>
      </c>
      <c r="E233" s="0" t="inlineStr">
        <is>
          <t>VLAH</t>
        </is>
      </c>
      <c r="F233" s="0" t="inlineStr">
        <is>
          <t>/mnt/d/paper_source/work_9/VeriANN_repro_2026-09-30/VeriANN_repro_2026-09-30/results/work9-nytimes-20261017/nytimes256/VLAH-curve-289761/per_query.csv</t>
        </is>
      </c>
    </row>
    <row r="234">
      <c r="A234" s="0" t="inlineStr">
        <is>
          <t>NYTimes-256</t>
        </is>
      </c>
      <c r="B234" s="0" t="inlineStr">
        <is>
          <t>N32</t>
        </is>
      </c>
      <c r="C234" s="0" t="n">
        <v>99</v>
      </c>
      <c r="D234" s="0" t="inlineStr">
        <is>
          <t>recall_percent</t>
        </is>
      </c>
      <c r="E234" s="0" t="inlineStr">
        <is>
          <t>VLAH</t>
        </is>
      </c>
      <c r="F234" s="0" t="inlineStr">
        <is>
          <t>/mnt/d/paper_source/work_9/VeriANN_repro_2026-09-30/VeriANN_repro_2026-09-30/results/work9-nytimes-20261017/nytimes256/VLAH-curve-289761/per_query.csv</t>
        </is>
      </c>
    </row>
    <row r="235">
      <c r="A235" s="0" t="inlineStr">
        <is>
          <t>NYTimes-256</t>
        </is>
      </c>
      <c r="B235" s="0" t="inlineStr">
        <is>
          <t>N33</t>
        </is>
      </c>
      <c r="C235" s="0" t="n">
        <v>590.977314</v>
      </c>
      <c r="D235" s="0" t="inlineStr">
        <is>
          <t>verify_ms</t>
        </is>
      </c>
      <c r="E235" s="0" t="inlineStr">
        <is>
          <t>VLAH</t>
        </is>
      </c>
      <c r="F235" s="0" t="inlineStr">
        <is>
          <t>/mnt/d/paper_source/work_9/VeriANN_repro_2026-09-30/VeriANN_repro_2026-09-30/results/work9-nytimes-20261017/nytimes256/VLAH-curve-289761/per_query.csv</t>
        </is>
      </c>
    </row>
    <row r="236">
      <c r="A236" s="0" t="inlineStr">
        <is>
          <t>NYTimes-256</t>
        </is>
      </c>
      <c r="B236" s="0" t="inlineStr">
        <is>
          <t>N44</t>
        </is>
      </c>
      <c r="C236" s="0" t="n">
        <v>99</v>
      </c>
      <c r="D236" s="0" t="inlineStr">
        <is>
          <t>recall_percent</t>
        </is>
      </c>
      <c r="E236" s="0" t="inlineStr">
        <is>
          <t>VLAH</t>
        </is>
      </c>
      <c r="F236" s="0" t="inlineStr">
        <is>
          <t>/mnt/d/paper_source/work_9/VeriANN_repro_2026-09-30/VeriANN_repro_2026-09-30/results/work9-nytimes-20261017/nytimes256/VLAH-curve-289761/per_query.csv</t>
        </is>
      </c>
    </row>
    <row r="237">
      <c r="A237" s="0" t="inlineStr">
        <is>
          <t>NYTimes-256</t>
        </is>
      </c>
      <c r="B237" s="0" t="inlineStr">
        <is>
          <t>N45</t>
        </is>
      </c>
      <c r="C237" s="0" t="n">
        <v>315.256652616667</v>
      </c>
      <c r="D237" s="0" t="inlineStr">
        <is>
          <t>query_ms</t>
        </is>
      </c>
      <c r="E237" s="0" t="inlineStr">
        <is>
          <t>VLAH</t>
        </is>
      </c>
      <c r="F237" s="0" t="inlineStr">
        <is>
          <t>/mnt/d/paper_source/work_9/VeriANN_repro_2026-09-30/VeriANN_repro_2026-09-30/results/work9-nytimes-20261017/nytimes256/VLAH-curve-289761/per_query.csv</t>
        </is>
      </c>
    </row>
    <row r="238">
      <c r="A238" s="0" t="inlineStr">
        <is>
          <t>NYTimes-256</t>
        </is>
      </c>
      <c r="B238" s="0" t="inlineStr">
        <is>
          <t>O20</t>
        </is>
      </c>
      <c r="C238" s="0" t="n">
        <v>99</v>
      </c>
      <c r="D238" s="0" t="inlineStr">
        <is>
          <t>recall_percent</t>
        </is>
      </c>
      <c r="E238" s="0" t="inlineStr">
        <is>
          <t>VLAH</t>
        </is>
      </c>
      <c r="F238" s="0" t="inlineStr">
        <is>
          <t>/mnt/d/paper_source/work_9/VeriANN_repro_2026-09-30/VeriANN_repro_2026-09-30/results/work9-nytimes-20261017/nytimes256/VLAH-curve-289761/per_query.csv</t>
        </is>
      </c>
    </row>
    <row r="239">
      <c r="A239" s="0" t="inlineStr">
        <is>
          <t>NYTimes-256</t>
        </is>
      </c>
      <c r="B239" s="0" t="inlineStr">
        <is>
          <t>O21</t>
        </is>
      </c>
      <c r="C239" s="0" t="n">
        <v>143850.9632</v>
      </c>
      <c r="D239" s="0" t="inlineStr">
        <is>
          <t>vo_kb</t>
        </is>
      </c>
      <c r="E239" s="0" t="inlineStr">
        <is>
          <t>VLAH</t>
        </is>
      </c>
      <c r="F239" s="0" t="inlineStr">
        <is>
          <t>/mnt/d/paper_source/work_9/VeriANN_repro_2026-09-30/VeriANN_repro_2026-09-30/results/work9-nytimes-20261017/nytimes256/VLAH-curve-289761/per_query.csv</t>
        </is>
      </c>
    </row>
    <row r="240">
      <c r="A240" s="0" t="inlineStr">
        <is>
          <t>NYTimes-256</t>
        </is>
      </c>
      <c r="B240" s="0" t="inlineStr">
        <is>
          <t>O32</t>
        </is>
      </c>
      <c r="C240" s="0" t="n">
        <v>99</v>
      </c>
      <c r="D240" s="0" t="inlineStr">
        <is>
          <t>recall_percent</t>
        </is>
      </c>
      <c r="E240" s="0" t="inlineStr">
        <is>
          <t>VLAH</t>
        </is>
      </c>
      <c r="F240" s="0" t="inlineStr">
        <is>
          <t>/mnt/d/paper_source/work_9/VeriANN_repro_2026-09-30/VeriANN_repro_2026-09-30/results/work9-nytimes-20261017/nytimes256/VLAH-curve-289761/per_query.csv</t>
        </is>
      </c>
    </row>
    <row r="241">
      <c r="A241" s="0" t="inlineStr">
        <is>
          <t>NYTimes-256</t>
        </is>
      </c>
      <c r="B241" s="0" t="inlineStr">
        <is>
          <t>O33</t>
        </is>
      </c>
      <c r="C241" s="0" t="n">
        <v>590.977314</v>
      </c>
      <c r="D241" s="0" t="inlineStr">
        <is>
          <t>verify_ms</t>
        </is>
      </c>
      <c r="E241" s="0" t="inlineStr">
        <is>
          <t>VLAH</t>
        </is>
      </c>
      <c r="F241" s="0" t="inlineStr">
        <is>
          <t>/mnt/d/paper_source/work_9/VeriANN_repro_2026-09-30/VeriANN_repro_2026-09-30/results/work9-nytimes-20261017/nytimes256/VLAH-curve-289761/per_query.csv</t>
        </is>
      </c>
    </row>
    <row r="242">
      <c r="A242" s="0" t="inlineStr">
        <is>
          <t>NYTimes-256</t>
        </is>
      </c>
      <c r="B242" s="0" t="inlineStr">
        <is>
          <t>O44</t>
        </is>
      </c>
      <c r="C242" s="0" t="n">
        <v>99</v>
      </c>
      <c r="D242" s="0" t="inlineStr">
        <is>
          <t>recall_percent</t>
        </is>
      </c>
      <c r="E242" s="0" t="inlineStr">
        <is>
          <t>VLAH</t>
        </is>
      </c>
      <c r="F242" s="0" t="inlineStr">
        <is>
          <t>/mnt/d/paper_source/work_9/VeriANN_repro_2026-09-30/VeriANN_repro_2026-09-30/results/work9-nytimes-20261017/nytimes256/VLAH-curve-289761/per_query.csv</t>
        </is>
      </c>
    </row>
    <row r="243">
      <c r="A243" s="0" t="inlineStr">
        <is>
          <t>NYTimes-256</t>
        </is>
      </c>
      <c r="B243" s="0" t="inlineStr">
        <is>
          <t>O45</t>
        </is>
      </c>
      <c r="C243" s="0" t="n">
        <v>315.256652616667</v>
      </c>
      <c r="D243" s="0" t="inlineStr">
        <is>
          <t>query_ms</t>
        </is>
      </c>
      <c r="E243" s="0" t="inlineStr">
        <is>
          <t>VLAH</t>
        </is>
      </c>
      <c r="F243" s="0" t="inlineStr">
        <is>
          <t>/mnt/d/paper_source/work_9/VeriANN_repro_2026-09-30/VeriANN_repro_2026-09-30/results/work9-nytimes-20261017/nytimes256/VLAH-curve-289761/per_query.csv</t>
        </is>
      </c>
    </row>
    <row r="244">
      <c r="A244" s="0" t="inlineStr">
        <is>
          <t>NYTimes-256</t>
        </is>
      </c>
      <c r="B244" s="0" t="inlineStr">
        <is>
          <t>P20</t>
        </is>
      </c>
      <c r="C244" s="0" t="n">
        <v>99</v>
      </c>
      <c r="D244" s="0" t="inlineStr">
        <is>
          <t>recall_percent</t>
        </is>
      </c>
      <c r="E244" s="0" t="inlineStr">
        <is>
          <t>VLAH</t>
        </is>
      </c>
      <c r="F244" s="0" t="inlineStr">
        <is>
          <t>/mnt/d/paper_source/work_9/VeriANN_repro_2026-09-30/VeriANN_repro_2026-09-30/results/work9-nytimes-20261017/nytimes256/VLAH-curve-289761/per_query.csv</t>
        </is>
      </c>
    </row>
    <row r="245">
      <c r="A245" s="0" t="inlineStr">
        <is>
          <t>NYTimes-256</t>
        </is>
      </c>
      <c r="B245" s="0" t="inlineStr">
        <is>
          <t>P21</t>
        </is>
      </c>
      <c r="C245" s="0" t="n">
        <v>143850.9632</v>
      </c>
      <c r="D245" s="0" t="inlineStr">
        <is>
          <t>vo_kb</t>
        </is>
      </c>
      <c r="E245" s="0" t="inlineStr">
        <is>
          <t>VLAH</t>
        </is>
      </c>
      <c r="F245" s="0" t="inlineStr">
        <is>
          <t>/mnt/d/paper_source/work_9/VeriANN_repro_2026-09-30/VeriANN_repro_2026-09-30/results/work9-nytimes-20261017/nytimes256/VLAH-curve-289761/per_query.csv</t>
        </is>
      </c>
    </row>
    <row r="246">
      <c r="A246" s="0" t="inlineStr">
        <is>
          <t>NYTimes-256</t>
        </is>
      </c>
      <c r="B246" s="0" t="inlineStr">
        <is>
          <t>P32</t>
        </is>
      </c>
      <c r="C246" s="0" t="n">
        <v>99</v>
      </c>
      <c r="D246" s="0" t="inlineStr">
        <is>
          <t>recall_percent</t>
        </is>
      </c>
      <c r="E246" s="0" t="inlineStr">
        <is>
          <t>VLAH</t>
        </is>
      </c>
      <c r="F246" s="0" t="inlineStr">
        <is>
          <t>/mnt/d/paper_source/work_9/VeriANN_repro_2026-09-30/VeriANN_repro_2026-09-30/results/work9-nytimes-20261017/nytimes256/VLAH-curve-289761/per_query.csv</t>
        </is>
      </c>
    </row>
    <row r="247">
      <c r="A247" s="0" t="inlineStr">
        <is>
          <t>NYTimes-256</t>
        </is>
      </c>
      <c r="B247" s="0" t="inlineStr">
        <is>
          <t>P33</t>
        </is>
      </c>
      <c r="C247" s="0" t="n">
        <v>590.977314</v>
      </c>
      <c r="D247" s="0" t="inlineStr">
        <is>
          <t>verify_ms</t>
        </is>
      </c>
      <c r="E247" s="0" t="inlineStr">
        <is>
          <t>VLAH</t>
        </is>
      </c>
      <c r="F247" s="0" t="inlineStr">
        <is>
          <t>/mnt/d/paper_source/work_9/VeriANN_repro_2026-09-30/VeriANN_repro_2026-09-30/results/work9-nytimes-20261017/nytimes256/VLAH-curve-289761/per_query.csv</t>
        </is>
      </c>
    </row>
    <row r="248">
      <c r="A248" s="0" t="inlineStr">
        <is>
          <t>NYTimes-256</t>
        </is>
      </c>
      <c r="B248" s="0" t="inlineStr">
        <is>
          <t>P44</t>
        </is>
      </c>
      <c r="C248" s="0" t="n">
        <v>99</v>
      </c>
      <c r="D248" s="0" t="inlineStr">
        <is>
          <t>recall_percent</t>
        </is>
      </c>
      <c r="E248" s="0" t="inlineStr">
        <is>
          <t>VLAH</t>
        </is>
      </c>
      <c r="F248" s="0" t="inlineStr">
        <is>
          <t>/mnt/d/paper_source/work_9/VeriANN_repro_2026-09-30/VeriANN_repro_2026-09-30/results/work9-nytimes-20261017/nytimes256/VLAH-curve-289761/per_query.csv</t>
        </is>
      </c>
    </row>
    <row r="249">
      <c r="A249" s="0" t="inlineStr">
        <is>
          <t>NYTimes-256</t>
        </is>
      </c>
      <c r="B249" s="0" t="inlineStr">
        <is>
          <t>P45</t>
        </is>
      </c>
      <c r="C249" s="0" t="n">
        <v>315.256652616667</v>
      </c>
      <c r="D249" s="0" t="inlineStr">
        <is>
          <t>query_ms</t>
        </is>
      </c>
      <c r="E249" s="0" t="inlineStr">
        <is>
          <t>VLAH</t>
        </is>
      </c>
      <c r="F249" s="0" t="inlineStr">
        <is>
          <t>/mnt/d/paper_source/work_9/VeriANN_repro_2026-09-30/VeriANN_repro_2026-09-30/results/work9-nytimes-20261017/nytimes256/VLAH-curve-289761/per_query.csv</t>
        </is>
      </c>
    </row>
    <row r="250">
      <c r="A250" s="0" t="inlineStr">
        <is>
          <t>NYTimes-256</t>
        </is>
      </c>
      <c r="B250" s="0" t="inlineStr">
        <is>
          <t>E9</t>
        </is>
      </c>
      <c r="C250" s="0" t="n">
        <v>96</v>
      </c>
      <c r="D250" s="0" t="inlineStr">
        <is>
          <t>recall_percent</t>
        </is>
      </c>
      <c r="E250" s="0" t="inlineStr">
        <is>
          <t>VLAH</t>
        </is>
      </c>
      <c r="F250" s="0" t="inlineStr">
        <is>
          <t>/mnt/d/paper_source/work_9/VeriANN_repro_2026-09-30/VeriANN_repro_2026-09-30/results/work9-nytimes-20261017/nytimes256/VLAH-curve-289761/per_query.csv</t>
        </is>
      </c>
    </row>
    <row r="251">
      <c r="A251" s="0" t="inlineStr">
        <is>
          <t>NYTimes-256</t>
        </is>
      </c>
      <c r="B251" s="0" t="inlineStr">
        <is>
          <t>F9</t>
        </is>
      </c>
      <c r="C251" s="0" t="n">
        <v>295.928621983333</v>
      </c>
      <c r="D251" s="0" t="inlineStr">
        <is>
          <t>query_ms</t>
        </is>
      </c>
      <c r="E251" s="0" t="inlineStr">
        <is>
          <t>VLAH</t>
        </is>
      </c>
      <c r="F251" s="0" t="inlineStr">
        <is>
          <t>/mnt/d/paper_source/work_9/VeriANN_repro_2026-09-30/VeriANN_repro_2026-09-30/results/work9-nytimes-20261017/nytimes256/VLAH-curve-289761/per_query.csv</t>
        </is>
      </c>
    </row>
    <row r="252">
      <c r="A252" s="0" t="inlineStr">
        <is>
          <t>NYTimes-256</t>
        </is>
      </c>
      <c r="B252" s="0" t="inlineStr">
        <is>
          <t>G9</t>
        </is>
      </c>
      <c r="C252" s="0" t="n">
        <v>135488.6228</v>
      </c>
      <c r="D252" s="0" t="inlineStr">
        <is>
          <t>vo_kb</t>
        </is>
      </c>
      <c r="E252" s="0" t="inlineStr">
        <is>
          <t>VLAH</t>
        </is>
      </c>
      <c r="F252" s="0" t="inlineStr">
        <is>
          <t>/mnt/d/paper_source/work_9/VeriANN_repro_2026-09-30/VeriANN_repro_2026-09-30/results/work9-nytimes-20261017/nytimes256/VLAH-curve-289761/per_query.csv</t>
        </is>
      </c>
    </row>
    <row r="253">
      <c r="A253" s="0" t="inlineStr">
        <is>
          <t>NYTimes-256</t>
        </is>
      </c>
      <c r="B253" s="0" t="inlineStr">
        <is>
          <t>H9</t>
        </is>
      </c>
      <c r="C253" s="0" t="n">
        <v>556.644589733333</v>
      </c>
      <c r="D253" s="0" t="inlineStr">
        <is>
          <t>verify_ms</t>
        </is>
      </c>
      <c r="E253" s="0" t="inlineStr">
        <is>
          <t>VLAH</t>
        </is>
      </c>
      <c r="F253" s="0" t="inlineStr">
        <is>
          <t>/mnt/d/paper_source/work_9/VeriANN_repro_2026-09-30/VeriANN_repro_2026-09-30/results/work9-nytimes-20261017/nytimes256/VLAH-curve-289761/per_query.csv</t>
        </is>
      </c>
    </row>
    <row r="254">
      <c r="A254" s="0" t="inlineStr">
        <is>
          <t>NYTimes-256</t>
        </is>
      </c>
      <c r="B254" s="0" t="inlineStr">
        <is>
          <t>F94</t>
        </is>
      </c>
      <c r="C254" s="0" t="n">
        <v>135488.5868</v>
      </c>
      <c r="D254" s="0" t="inlineStr">
        <is>
          <t>vo_kb</t>
        </is>
      </c>
      <c r="E254" s="0" t="inlineStr">
        <is>
          <t>VLAH</t>
        </is>
      </c>
      <c r="F254" s="0" t="inlineStr">
        <is>
          <t>/mnt/d/paper_source/work_9/VeriANN_repro_2026-09-30/VeriANN_repro_2026-09-30/results/work9-nytimes-20261017/nytimes256/VLAH-k-289761/per_query.csv</t>
        </is>
      </c>
    </row>
    <row r="255">
      <c r="A255" s="0" t="inlineStr">
        <is>
          <t>NYTimes-256</t>
        </is>
      </c>
      <c r="B255" s="0" t="inlineStr">
        <is>
          <t>F105</t>
        </is>
      </c>
      <c r="C255" s="0" t="n">
        <v>557.39184855</v>
      </c>
      <c r="D255" s="0" t="inlineStr">
        <is>
          <t>verify_ms</t>
        </is>
      </c>
      <c r="E255" s="0" t="inlineStr">
        <is>
          <t>VLAH</t>
        </is>
      </c>
      <c r="F255" s="0" t="inlineStr">
        <is>
          <t>/mnt/d/paper_source/work_9/VeriANN_repro_2026-09-30/VeriANN_repro_2026-09-30/results/work9-nytimes-20261017/nytimes256/VLAH-k-289761/per_query.csv</t>
        </is>
      </c>
    </row>
    <row r="256">
      <c r="A256" s="0" t="inlineStr">
        <is>
          <t>NYTimes-256</t>
        </is>
      </c>
      <c r="B256" s="0" t="inlineStr">
        <is>
          <t>F115</t>
        </is>
      </c>
      <c r="C256" s="0" t="n">
        <v>295.26614955</v>
      </c>
      <c r="D256" s="0" t="inlineStr">
        <is>
          <t>query_ms</t>
        </is>
      </c>
      <c r="E256" s="0" t="inlineStr">
        <is>
          <t>VLAH</t>
        </is>
      </c>
      <c r="F256" s="0" t="inlineStr">
        <is>
          <t>/mnt/d/paper_source/work_9/VeriANN_repro_2026-09-30/VeriANN_repro_2026-09-30/results/work9-nytimes-20261017/nytimes256/VLAH-k-289761/per_query.csv</t>
        </is>
      </c>
    </row>
    <row r="257">
      <c r="A257" s="0" t="inlineStr">
        <is>
          <t>NYTimes-256</t>
        </is>
      </c>
      <c r="B257" s="0" t="inlineStr">
        <is>
          <t>G94</t>
        </is>
      </c>
      <c r="C257" s="0" t="n">
        <v>135488.6028</v>
      </c>
      <c r="D257" s="0" t="inlineStr">
        <is>
          <t>vo_kb</t>
        </is>
      </c>
      <c r="E257" s="0" t="inlineStr">
        <is>
          <t>VLAH</t>
        </is>
      </c>
      <c r="F257" s="0" t="inlineStr">
        <is>
          <t>/mnt/d/paper_source/work_9/VeriANN_repro_2026-09-30/VeriANN_repro_2026-09-30/results/work9-nytimes-20261017/nytimes256/VLAH-k-289761/per_query.csv</t>
        </is>
      </c>
    </row>
    <row r="258">
      <c r="A258" s="0" t="inlineStr">
        <is>
          <t>NYTimes-256</t>
        </is>
      </c>
      <c r="B258" s="0" t="inlineStr">
        <is>
          <t>G105</t>
        </is>
      </c>
      <c r="C258" s="0" t="n">
        <v>554.970474783333</v>
      </c>
      <c r="D258" s="0" t="inlineStr">
        <is>
          <t>verify_ms</t>
        </is>
      </c>
      <c r="E258" s="0" t="inlineStr">
        <is>
          <t>VLAH</t>
        </is>
      </c>
      <c r="F258" s="0" t="inlineStr">
        <is>
          <t>/mnt/d/paper_source/work_9/VeriANN_repro_2026-09-30/VeriANN_repro_2026-09-30/results/work9-nytimes-20261017/nytimes256/VLAH-k-289761/per_query.csv</t>
        </is>
      </c>
    </row>
    <row r="259">
      <c r="A259" s="0" t="inlineStr">
        <is>
          <t>NYTimes-256</t>
        </is>
      </c>
      <c r="B259" s="0" t="inlineStr">
        <is>
          <t>G115</t>
        </is>
      </c>
      <c r="C259" s="0" t="n">
        <v>296.0646922</v>
      </c>
      <c r="D259" s="0" t="inlineStr">
        <is>
          <t>query_ms</t>
        </is>
      </c>
      <c r="E259" s="0" t="inlineStr">
        <is>
          <t>VLAH</t>
        </is>
      </c>
      <c r="F259" s="0" t="inlineStr">
        <is>
          <t>/mnt/d/paper_source/work_9/VeriANN_repro_2026-09-30/VeriANN_repro_2026-09-30/results/work9-nytimes-20261017/nytimes256/VLAH-k-289761/per_query.csv</t>
        </is>
      </c>
    </row>
    <row r="260">
      <c r="A260" s="0" t="inlineStr">
        <is>
          <t>NYTimes-256</t>
        </is>
      </c>
      <c r="B260" s="0" t="inlineStr">
        <is>
          <t>H94</t>
        </is>
      </c>
      <c r="C260" s="0" t="n">
        <v>135488.6228</v>
      </c>
      <c r="D260" s="0" t="inlineStr">
        <is>
          <t>vo_kb</t>
        </is>
      </c>
      <c r="E260" s="0" t="inlineStr">
        <is>
          <t>VLAH</t>
        </is>
      </c>
      <c r="F260" s="0" t="inlineStr">
        <is>
          <t>/mnt/d/paper_source/work_9/VeriANN_repro_2026-09-30/VeriANN_repro_2026-09-30/results/work9-nytimes-20261017/nytimes256/VLAH-k-289761/per_query.csv</t>
        </is>
      </c>
    </row>
    <row r="261">
      <c r="A261" s="0" t="inlineStr">
        <is>
          <t>NYTimes-256</t>
        </is>
      </c>
      <c r="B261" s="0" t="inlineStr">
        <is>
          <t>H105</t>
        </is>
      </c>
      <c r="C261" s="0" t="n">
        <v>551.9385411666671</v>
      </c>
      <c r="D261" s="0" t="inlineStr">
        <is>
          <t>verify_ms</t>
        </is>
      </c>
      <c r="E261" s="0" t="inlineStr">
        <is>
          <t>VLAH</t>
        </is>
      </c>
      <c r="F261" s="0" t="inlineStr">
        <is>
          <t>/mnt/d/paper_source/work_9/VeriANN_repro_2026-09-30/VeriANN_repro_2026-09-30/results/work9-nytimes-20261017/nytimes256/VLAH-k-289761/per_query.csv</t>
        </is>
      </c>
    </row>
    <row r="262">
      <c r="A262" s="0" t="inlineStr">
        <is>
          <t>NYTimes-256</t>
        </is>
      </c>
      <c r="B262" s="0" t="inlineStr">
        <is>
          <t>H115</t>
        </is>
      </c>
      <c r="C262" s="0" t="n">
        <v>296.208391566667</v>
      </c>
      <c r="D262" s="0" t="inlineStr">
        <is>
          <t>query_ms</t>
        </is>
      </c>
      <c r="E262" s="0" t="inlineStr">
        <is>
          <t>VLAH</t>
        </is>
      </c>
      <c r="F262" s="0" t="inlineStr">
        <is>
          <t>/mnt/d/paper_source/work_9/VeriANN_repro_2026-09-30/VeriANN_repro_2026-09-30/results/work9-nytimes-20261017/nytimes256/VLAH-k-289761/per_query.csv</t>
        </is>
      </c>
    </row>
    <row r="263">
      <c r="A263" s="0" t="inlineStr">
        <is>
          <t>NYTimes-256</t>
        </is>
      </c>
      <c r="B263" s="0" t="inlineStr">
        <is>
          <t>I94</t>
        </is>
      </c>
      <c r="C263" s="0" t="n">
        <v>135488.6628</v>
      </c>
      <c r="D263" s="0" t="inlineStr">
        <is>
          <t>vo_kb</t>
        </is>
      </c>
      <c r="E263" s="0" t="inlineStr">
        <is>
          <t>VLAH</t>
        </is>
      </c>
      <c r="F263" s="0" t="inlineStr">
        <is>
          <t>/mnt/d/paper_source/work_9/VeriANN_repro_2026-09-30/VeriANN_repro_2026-09-30/results/work9-nytimes-20261017/nytimes256/VLAH-k-289761/per_query.csv</t>
        </is>
      </c>
    </row>
    <row r="264">
      <c r="A264" s="0" t="inlineStr">
        <is>
          <t>NYTimes-256</t>
        </is>
      </c>
      <c r="B264" s="0" t="inlineStr">
        <is>
          <t>I105</t>
        </is>
      </c>
      <c r="C264" s="0" t="n">
        <v>551.736770516667</v>
      </c>
      <c r="D264" s="0" t="inlineStr">
        <is>
          <t>verify_ms</t>
        </is>
      </c>
      <c r="E264" s="0" t="inlineStr">
        <is>
          <t>VLAH</t>
        </is>
      </c>
      <c r="F264" s="0" t="inlineStr">
        <is>
          <t>/mnt/d/paper_source/work_9/VeriANN_repro_2026-09-30/VeriANN_repro_2026-09-30/results/work9-nytimes-20261017/nytimes256/VLAH-k-289761/per_query.csv</t>
        </is>
      </c>
    </row>
    <row r="265">
      <c r="A265" s="0" t="inlineStr">
        <is>
          <t>NYTimes-256</t>
        </is>
      </c>
      <c r="B265" s="0" t="inlineStr">
        <is>
          <t>I115</t>
        </is>
      </c>
      <c r="C265" s="0" t="n">
        <v>297.812085416667</v>
      </c>
      <c r="D265" s="0" t="inlineStr">
        <is>
          <t>query_ms</t>
        </is>
      </c>
      <c r="E265" s="0" t="inlineStr">
        <is>
          <t>VLAH</t>
        </is>
      </c>
      <c r="F265" s="0" t="inlineStr">
        <is>
          <t>/mnt/d/paper_source/work_9/VeriANN_repro_2026-09-30/VeriANN_repro_2026-09-30/results/work9-nytimes-20261017/nytimes256/VLAH-k-289761/per_query.csv</t>
        </is>
      </c>
    </row>
    <row r="266">
      <c r="A266" s="0" t="inlineStr">
        <is>
          <t>NYTimes-256</t>
        </is>
      </c>
      <c r="B266" s="0" t="inlineStr">
        <is>
          <t>J94</t>
        </is>
      </c>
      <c r="C266" s="0" t="n">
        <v>135488.7828</v>
      </c>
      <c r="D266" s="0" t="inlineStr">
        <is>
          <t>vo_kb</t>
        </is>
      </c>
      <c r="E266" s="0" t="inlineStr">
        <is>
          <t>VLAH</t>
        </is>
      </c>
      <c r="F266" s="0" t="inlineStr">
        <is>
          <t>/mnt/d/paper_source/work_9/VeriANN_repro_2026-09-30/VeriANN_repro_2026-09-30/results/work9-nytimes-20261017/nytimes256/VLAH-k-289761/per_query.csv</t>
        </is>
      </c>
    </row>
    <row r="267">
      <c r="A267" s="0" t="inlineStr">
        <is>
          <t>NYTimes-256</t>
        </is>
      </c>
      <c r="B267" s="0" t="inlineStr">
        <is>
          <t>J105</t>
        </is>
      </c>
      <c r="C267" s="0" t="n">
        <v>546.579682183333</v>
      </c>
      <c r="D267" s="0" t="inlineStr">
        <is>
          <t>verify_ms</t>
        </is>
      </c>
      <c r="E267" s="0" t="inlineStr">
        <is>
          <t>VLAH</t>
        </is>
      </c>
      <c r="F267" s="0" t="inlineStr">
        <is>
          <t>/mnt/d/paper_source/work_9/VeriANN_repro_2026-09-30/VeriANN_repro_2026-09-30/results/work9-nytimes-20261017/nytimes256/VLAH-k-289761/per_query.csv</t>
        </is>
      </c>
    </row>
    <row r="268">
      <c r="A268" s="0" t="inlineStr">
        <is>
          <t>NYTimes-256</t>
        </is>
      </c>
      <c r="B268" s="0" t="inlineStr">
        <is>
          <t>J115</t>
        </is>
      </c>
      <c r="C268" s="0" t="n">
        <v>297.087626583333</v>
      </c>
      <c r="D268" s="0" t="inlineStr">
        <is>
          <t>query_ms</t>
        </is>
      </c>
      <c r="E268" s="0" t="inlineStr">
        <is>
          <t>VLAH</t>
        </is>
      </c>
      <c r="F268" s="0" t="inlineStr">
        <is>
          <t>/mnt/d/paper_source/work_9/VeriANN_repro_2026-09-30/VeriANN_repro_2026-09-30/results/work9-nytimes-20261017/nytimes256/VLAH-k-289761/per_query.csv</t>
        </is>
      </c>
    </row>
    <row r="269">
      <c r="A269" s="0" t="inlineStr">
        <is>
          <t>NYTimes-256</t>
        </is>
      </c>
      <c r="B269" s="0" t="inlineStr">
        <is>
          <t>K94</t>
        </is>
      </c>
      <c r="C269" s="0" t="n">
        <v>135488.9828</v>
      </c>
      <c r="D269" s="0" t="inlineStr">
        <is>
          <t>vo_kb</t>
        </is>
      </c>
      <c r="E269" s="0" t="inlineStr">
        <is>
          <t>VLAH</t>
        </is>
      </c>
      <c r="F269" s="0" t="inlineStr">
        <is>
          <t>/mnt/d/paper_source/work_9/VeriANN_repro_2026-09-30/VeriANN_repro_2026-09-30/results/work9-nytimes-20261017/nytimes256/VLAH-k-289761/per_query.csv</t>
        </is>
      </c>
    </row>
    <row r="270">
      <c r="A270" s="0" t="inlineStr">
        <is>
          <t>NYTimes-256</t>
        </is>
      </c>
      <c r="B270" s="0" t="inlineStr">
        <is>
          <t>K105</t>
        </is>
      </c>
      <c r="C270" s="0" t="n">
        <v>549.201274666667</v>
      </c>
      <c r="D270" s="0" t="inlineStr">
        <is>
          <t>verify_ms</t>
        </is>
      </c>
      <c r="E270" s="0" t="inlineStr">
        <is>
          <t>VLAH</t>
        </is>
      </c>
      <c r="F270" s="0" t="inlineStr">
        <is>
          <t>/mnt/d/paper_source/work_9/VeriANN_repro_2026-09-30/VeriANN_repro_2026-09-30/results/work9-nytimes-20261017/nytimes256/VLAH-k-289761/per_query.csv</t>
        </is>
      </c>
    </row>
    <row r="271">
      <c r="A271" s="0" t="inlineStr">
        <is>
          <t>NYTimes-256</t>
        </is>
      </c>
      <c r="B271" s="0" t="inlineStr">
        <is>
          <t>K115</t>
        </is>
      </c>
      <c r="C271" s="0" t="n">
        <v>300.96242795</v>
      </c>
      <c r="D271" s="0" t="inlineStr">
        <is>
          <t>query_ms</t>
        </is>
      </c>
      <c r="E271" s="0" t="inlineStr">
        <is>
          <t>VLAH</t>
        </is>
      </c>
      <c r="F271" s="0" t="inlineStr">
        <is>
          <t>/mnt/d/paper_source/work_9/VeriANN_repro_2026-09-30/VeriANN_repro_2026-09-30/results/work9-nytimes-20261017/nytimes256/VLAH-k-289761/per_query.csv</t>
        </is>
      </c>
    </row>
    <row r="272">
      <c r="A272" s="0" t="inlineStr">
        <is>
          <t>NYTimes-256</t>
        </is>
      </c>
      <c r="B272" s="0" t="inlineStr">
        <is>
          <t>F61</t>
        </is>
      </c>
      <c r="C272" s="0" t="n">
        <v>17664.8286</v>
      </c>
      <c r="D272" s="0" t="inlineStr">
        <is>
          <t>vo_kb</t>
        </is>
      </c>
      <c r="E272" s="0" t="inlineStr">
        <is>
          <t>VLAH</t>
        </is>
      </c>
      <c r="F272" s="0" t="inlineStr">
        <is>
          <t>/mnt/d/paper_source/work_9/VeriANN_repro_2026-09-30/VeriANN_repro_2026-09-30/results/work9-nytimes-20261017/nytimes256/VLAH-size-100000/per_query.csv</t>
        </is>
      </c>
    </row>
    <row r="273">
      <c r="A273" s="0" t="inlineStr">
        <is>
          <t>NYTimes-256</t>
        </is>
      </c>
      <c r="B273" s="0" t="inlineStr">
        <is>
          <t>F72</t>
        </is>
      </c>
      <c r="C273" s="0" t="n">
        <v>73.12613981666669</v>
      </c>
      <c r="D273" s="0" t="inlineStr">
        <is>
          <t>verify_ms</t>
        </is>
      </c>
      <c r="E273" s="0" t="inlineStr">
        <is>
          <t>VLAH</t>
        </is>
      </c>
      <c r="F273" s="0" t="inlineStr">
        <is>
          <t>/mnt/d/paper_source/work_9/VeriANN_repro_2026-09-30/VeriANN_repro_2026-09-30/results/work9-nytimes-20261017/nytimes256/VLAH-size-100000/per_query.csv</t>
        </is>
      </c>
    </row>
    <row r="274">
      <c r="A274" s="0" t="inlineStr">
        <is>
          <t>NYTimes-256</t>
        </is>
      </c>
      <c r="B274" s="0" t="inlineStr">
        <is>
          <t>F82</t>
        </is>
      </c>
      <c r="C274" s="0" t="n">
        <v>31.56787525</v>
      </c>
      <c r="D274" s="0" t="inlineStr">
        <is>
          <t>query_ms</t>
        </is>
      </c>
      <c r="E274" s="0" t="inlineStr">
        <is>
          <t>VLAH</t>
        </is>
      </c>
      <c r="F274" s="0" t="inlineStr">
        <is>
          <t>/mnt/d/paper_source/work_9/VeriANN_repro_2026-09-30/VeriANN_repro_2026-09-30/results/work9-nytimes-20261017/nytimes256/VLAH-size-100000/per_query.csv</t>
        </is>
      </c>
    </row>
    <row r="275">
      <c r="A275" s="0" t="inlineStr">
        <is>
          <t>NYTimes-256</t>
        </is>
      </c>
      <c r="B275" s="0" t="inlineStr">
        <is>
          <t>F128</t>
        </is>
      </c>
      <c r="C275" s="0" t="n">
        <v>0.96</v>
      </c>
      <c r="D275" s="0" t="inlineStr">
        <is>
          <t>recall</t>
        </is>
      </c>
      <c r="E275" s="0" t="inlineStr">
        <is>
          <t>Merkle+IVF</t>
        </is>
      </c>
      <c r="F275" s="0" t="inlineStr">
        <is>
          <t>/mnt/d/paper_source/work_9/VeriANN_repro_2026-09-30/VeriANN_repro_2026-09-30/results/work9-nytimes-20261017/controlled-ablation/nytimes256/evaluation-1-3/variant-1/per_query.csv</t>
        </is>
      </c>
    </row>
    <row r="276">
      <c r="A276" s="0" t="inlineStr">
        <is>
          <t>NYTimes-256</t>
        </is>
      </c>
      <c r="B276" s="0" t="inlineStr">
        <is>
          <t>G128</t>
        </is>
      </c>
      <c r="C276" s="0" t="n">
        <v>897.470651166667</v>
      </c>
      <c r="D276" s="0" t="inlineStr">
        <is>
          <t>query_ms</t>
        </is>
      </c>
      <c r="E276" s="0" t="inlineStr">
        <is>
          <t>Merkle+IVF</t>
        </is>
      </c>
      <c r="F276" s="0" t="inlineStr">
        <is>
          <t>/mnt/d/paper_source/work_9/VeriANN_repro_2026-09-30/VeriANN_repro_2026-09-30/results/work9-nytimes-20261017/controlled-ablation/nytimes256/evaluation-1-3/variant-1/per_query.csv</t>
        </is>
      </c>
    </row>
    <row r="277">
      <c r="A277" s="0" t="inlineStr">
        <is>
          <t>NYTimes-256</t>
        </is>
      </c>
      <c r="B277" s="0" t="inlineStr">
        <is>
          <t>H128</t>
        </is>
      </c>
      <c r="C277" s="0" t="n">
        <v>171156.1546</v>
      </c>
      <c r="D277" s="0" t="inlineStr">
        <is>
          <t>vo_kb</t>
        </is>
      </c>
      <c r="E277" s="0" t="inlineStr">
        <is>
          <t>Merkle+IVF</t>
        </is>
      </c>
      <c r="F277" s="0" t="inlineStr">
        <is>
          <t>/mnt/d/paper_source/work_9/VeriANN_repro_2026-09-30/VeriANN_repro_2026-09-30/results/work9-nytimes-20261017/controlled-ablation/nytimes256/evaluation-1-3/variant-1/per_query.csv</t>
        </is>
      </c>
    </row>
    <row r="278">
      <c r="A278" s="0" t="inlineStr">
        <is>
          <t>NYTimes-256</t>
        </is>
      </c>
      <c r="B278" s="0" t="inlineStr">
        <is>
          <t>I128</t>
        </is>
      </c>
      <c r="C278" s="0" t="n">
        <v>913.826305316667</v>
      </c>
      <c r="D278" s="0" t="inlineStr">
        <is>
          <t>verify_ms</t>
        </is>
      </c>
      <c r="E278" s="0" t="inlineStr">
        <is>
          <t>Merkle+IVF</t>
        </is>
      </c>
      <c r="F278" s="0" t="inlineStr">
        <is>
          <t>/mnt/d/paper_source/work_9/VeriANN_repro_2026-09-30/VeriANN_repro_2026-09-30/results/work9-nytimes-20261017/controlled-ablation/nytimes256/evaluation-1-3/variant-1/per_query.csv</t>
        </is>
      </c>
    </row>
    <row r="279">
      <c r="A279" s="0" t="inlineStr">
        <is>
          <t>NYTimes-256</t>
        </is>
      </c>
      <c r="B279" s="0" t="inlineStr">
        <is>
          <t>F130</t>
        </is>
      </c>
      <c r="C279" s="0" t="n">
        <v>0.96</v>
      </c>
      <c r="D279" s="0" t="inlineStr">
        <is>
          <t>recall</t>
        </is>
      </c>
      <c r="E279" s="0" t="inlineStr">
        <is>
          <t>Merkle+IVF+(i)</t>
        </is>
      </c>
      <c r="F279" s="0" t="inlineStr">
        <is>
          <t>/mnt/d/paper_source/work_9/VeriANN_repro_2026-09-30/VeriANN_repro_2026-09-30/results/work9-nytimes-20261017/controlled-ablation/nytimes256/evaluation-1-3/variant-3/per_query.csv</t>
        </is>
      </c>
    </row>
    <row r="280">
      <c r="A280" s="0" t="inlineStr">
        <is>
          <t>NYTimes-256</t>
        </is>
      </c>
      <c r="B280" s="0" t="inlineStr">
        <is>
          <t>G130</t>
        </is>
      </c>
      <c r="C280" s="0" t="n">
        <v>223.033000433333</v>
      </c>
      <c r="D280" s="0" t="inlineStr">
        <is>
          <t>query_ms</t>
        </is>
      </c>
      <c r="E280" s="0" t="inlineStr">
        <is>
          <t>Merkle+IVF+(i)</t>
        </is>
      </c>
      <c r="F280" s="0" t="inlineStr">
        <is>
          <t>/mnt/d/paper_source/work_9/VeriANN_repro_2026-09-30/VeriANN_repro_2026-09-30/results/work9-nytimes-20261017/controlled-ablation/nytimes256/evaluation-1-3/variant-3/per_query.csv</t>
        </is>
      </c>
    </row>
    <row r="281">
      <c r="A281" s="0" t="inlineStr">
        <is>
          <t>NYTimes-256</t>
        </is>
      </c>
      <c r="B281" s="0" t="inlineStr">
        <is>
          <t>H130</t>
        </is>
      </c>
      <c r="C281" s="0" t="n">
        <v>34822.193</v>
      </c>
      <c r="D281" s="0" t="inlineStr">
        <is>
          <t>vo_kb</t>
        </is>
      </c>
      <c r="E281" s="0" t="inlineStr">
        <is>
          <t>Merkle+IVF+(i)</t>
        </is>
      </c>
      <c r="F281" s="0" t="inlineStr">
        <is>
          <t>/mnt/d/paper_source/work_9/VeriANN_repro_2026-09-30/VeriANN_repro_2026-09-30/results/work9-nytimes-20261017/controlled-ablation/nytimes256/evaluation-1-3/variant-3/per_query.csv</t>
        </is>
      </c>
    </row>
    <row r="282">
      <c r="A282" s="0" t="inlineStr">
        <is>
          <t>NYTimes-256</t>
        </is>
      </c>
      <c r="B282" s="0" t="inlineStr">
        <is>
          <t>I130</t>
        </is>
      </c>
      <c r="C282" s="0" t="n">
        <v>909.57802055</v>
      </c>
      <c r="D282" s="0" t="inlineStr">
        <is>
          <t>verify_ms</t>
        </is>
      </c>
      <c r="E282" s="0" t="inlineStr">
        <is>
          <t>Merkle+IVF+(i)</t>
        </is>
      </c>
      <c r="F282" s="0" t="inlineStr">
        <is>
          <t>/mnt/d/paper_source/work_9/VeriANN_repro_2026-09-30/VeriANN_repro_2026-09-30/results/work9-nytimes-20261017/controlled-ablation/nytimes256/evaluation-1-3/variant-3/per_query.csv</t>
        </is>
      </c>
    </row>
    <row r="283">
      <c r="A283" s="0" t="inlineStr">
        <is>
          <t>NYTimes-256</t>
        </is>
      </c>
      <c r="B283" s="0" t="inlineStr">
        <is>
          <t>F129</t>
        </is>
      </c>
      <c r="C283" s="0" t="n">
        <v>0.96</v>
      </c>
      <c r="D283" s="0" t="inlineStr">
        <is>
          <t>recall</t>
        </is>
      </c>
      <c r="E283" s="0" t="inlineStr">
        <is>
          <t>Merkle+HNSW</t>
        </is>
      </c>
      <c r="F283" s="0" t="inlineStr">
        <is>
          <t>/mnt/d/paper_source/work_9/VeriANN_repro_2026-09-30/VeriANN_repro_2026-09-30/results/work9-nytimes-20261017/controlled-ablation/nytimes256/evaluation-2-4/variant-2/per_query.csv</t>
        </is>
      </c>
    </row>
    <row r="284">
      <c r="A284" s="0" t="inlineStr">
        <is>
          <t>NYTimes-256</t>
        </is>
      </c>
      <c r="B284" s="0" t="inlineStr">
        <is>
          <t>G129</t>
        </is>
      </c>
      <c r="C284" s="0" t="n">
        <v>44.24996445</v>
      </c>
      <c r="D284" s="0" t="inlineStr">
        <is>
          <t>query_ms</t>
        </is>
      </c>
      <c r="E284" s="0" t="inlineStr">
        <is>
          <t>Merkle+HNSW</t>
        </is>
      </c>
      <c r="F284" s="0" t="inlineStr">
        <is>
          <t>/mnt/d/paper_source/work_9/VeriANN_repro_2026-09-30/VeriANN_repro_2026-09-30/results/work9-nytimes-20261017/controlled-ablation/nytimes256/evaluation-2-4/variant-2/per_query.csv</t>
        </is>
      </c>
    </row>
    <row r="285">
      <c r="A285" s="0" t="inlineStr">
        <is>
          <t>NYTimes-256</t>
        </is>
      </c>
      <c r="B285" s="0" t="inlineStr">
        <is>
          <t>H129</t>
        </is>
      </c>
      <c r="C285" s="0" t="n">
        <v>9233.227000000001</v>
      </c>
      <c r="D285" s="0" t="inlineStr">
        <is>
          <t>vo_kb</t>
        </is>
      </c>
      <c r="E285" s="0" t="inlineStr">
        <is>
          <t>Merkle+HNSW</t>
        </is>
      </c>
      <c r="F285" s="0" t="inlineStr">
        <is>
          <t>/mnt/d/paper_source/work_9/VeriANN_repro_2026-09-30/VeriANN_repro_2026-09-30/results/work9-nytimes-20261017/controlled-ablation/nytimes256/evaluation-2-4/variant-2/per_query.csv</t>
        </is>
      </c>
    </row>
    <row r="286">
      <c r="A286" s="0" t="inlineStr">
        <is>
          <t>NYTimes-256</t>
        </is>
      </c>
      <c r="B286" s="0" t="inlineStr">
        <is>
          <t>I129</t>
        </is>
      </c>
      <c r="C286" s="0" t="n">
        <v>58.7405594666667</v>
      </c>
      <c r="D286" s="0" t="inlineStr">
        <is>
          <t>verify_ms</t>
        </is>
      </c>
      <c r="E286" s="0" t="inlineStr">
        <is>
          <t>Merkle+HNSW</t>
        </is>
      </c>
      <c r="F286" s="0" t="inlineStr">
        <is>
          <t>/mnt/d/paper_source/work_9/VeriANN_repro_2026-09-30/VeriANN_repro_2026-09-30/results/work9-nytimes-20261017/controlled-ablation/nytimes256/evaluation-2-4/variant-2/per_query.csv</t>
        </is>
      </c>
    </row>
    <row r="287">
      <c r="A287" s="0" t="inlineStr">
        <is>
          <t>NYTimes-256</t>
        </is>
      </c>
      <c r="B287" s="0" t="inlineStr">
        <is>
          <t>F131</t>
        </is>
      </c>
      <c r="C287" s="0" t="n">
        <v>0.96</v>
      </c>
      <c r="D287" s="0" t="inlineStr">
        <is>
          <t>recall</t>
        </is>
      </c>
      <c r="E287" s="0" t="inlineStr">
        <is>
          <t>Merkle+HNSW+(i)</t>
        </is>
      </c>
      <c r="F287" s="0" t="inlineStr">
        <is>
          <t>/mnt/d/paper_source/work_9/VeriANN_repro_2026-09-30/VeriANN_repro_2026-09-30/results/work9-nytimes-20261017/controlled-ablation/nytimes256/evaluation-2-4/variant-4/per_query.csv</t>
        </is>
      </c>
    </row>
    <row r="288">
      <c r="A288" s="0" t="inlineStr">
        <is>
          <t>NYTimes-256</t>
        </is>
      </c>
      <c r="B288" s="0" t="inlineStr">
        <is>
          <t>G131</t>
        </is>
      </c>
      <c r="C288" s="0" t="n">
        <v>39.5950298666667</v>
      </c>
      <c r="D288" s="0" t="inlineStr">
        <is>
          <t>query_ms</t>
        </is>
      </c>
      <c r="E288" s="0" t="inlineStr">
        <is>
          <t>Merkle+HNSW+(i)</t>
        </is>
      </c>
      <c r="F288" s="0" t="inlineStr">
        <is>
          <t>/mnt/d/paper_source/work_9/VeriANN_repro_2026-09-30/VeriANN_repro_2026-09-30/results/work9-nytimes-20261017/controlled-ablation/nytimes256/evaluation-2-4/variant-4/per_query.csv</t>
        </is>
      </c>
    </row>
    <row r="289">
      <c r="A289" s="0" t="inlineStr">
        <is>
          <t>NYTimes-256</t>
        </is>
      </c>
      <c r="B289" s="0" t="inlineStr">
        <is>
          <t>H131</t>
        </is>
      </c>
      <c r="C289" s="0" t="n">
        <v>7321.6886</v>
      </c>
      <c r="D289" s="0" t="inlineStr">
        <is>
          <t>vo_kb</t>
        </is>
      </c>
      <c r="E289" s="0" t="inlineStr">
        <is>
          <t>Merkle+HNSW+(i)</t>
        </is>
      </c>
      <c r="F289" s="0" t="inlineStr">
        <is>
          <t>/mnt/d/paper_source/work_9/VeriANN_repro_2026-09-30/VeriANN_repro_2026-09-30/results/work9-nytimes-20261017/controlled-ablation/nytimes256/evaluation-2-4/variant-4/per_query.csv</t>
        </is>
      </c>
    </row>
    <row r="290">
      <c r="A290" s="0" t="inlineStr">
        <is>
          <t>NYTimes-256</t>
        </is>
      </c>
      <c r="B290" s="0" t="inlineStr">
        <is>
          <t>I131</t>
        </is>
      </c>
      <c r="C290" s="0" t="n">
        <v>109.0550328</v>
      </c>
      <c r="D290" s="0" t="inlineStr">
        <is>
          <t>verify_ms</t>
        </is>
      </c>
      <c r="E290" s="0" t="inlineStr">
        <is>
          <t>Merkle+HNSW+(i)</t>
        </is>
      </c>
      <c r="F290" s="0" t="inlineStr">
        <is>
          <t>/mnt/d/paper_source/work_9/VeriANN_repro_2026-09-30/VeriANN_repro_2026-09-30/results/work9-nytimes-20261017/controlled-ablation/nytimes256/evaluation-2-4/variant-4/per_query.csv</t>
        </is>
      </c>
    </row>
    <row r="291">
      <c r="A291" s="0" t="inlineStr">
        <is>
          <t>NYTimes-256</t>
        </is>
      </c>
      <c r="B291" s="0" t="inlineStr">
        <is>
          <t>F132</t>
        </is>
      </c>
      <c r="C291" s="0" t="n">
        <v>0.955</v>
      </c>
      <c r="D291" s="0" t="inlineStr">
        <is>
          <t>recall</t>
        </is>
      </c>
      <c r="E291" s="0" t="inlineStr">
        <is>
          <t>(i)+(ii)</t>
        </is>
      </c>
      <c r="F291" s="0" t="inlineStr">
        <is>
          <t>/mnt/d/paper_source/work_9/VeriANN_repro_2026-09-30/VeriANN_repro_2026-09-30/results/work9-nytimes-20261017/controlled-ablation/nytimes256/evaluation-5-6/variant-5/per_query.csv</t>
        </is>
      </c>
    </row>
    <row r="292">
      <c r="A292" s="0" t="inlineStr">
        <is>
          <t>NYTimes-256</t>
        </is>
      </c>
      <c r="B292" s="0" t="inlineStr">
        <is>
          <t>G132</t>
        </is>
      </c>
      <c r="C292" s="0" t="n">
        <v>17.1721145</v>
      </c>
      <c r="D292" s="0" t="inlineStr">
        <is>
          <t>query_ms</t>
        </is>
      </c>
      <c r="E292" s="0" t="inlineStr">
        <is>
          <t>(i)+(ii)</t>
        </is>
      </c>
      <c r="F292" s="0" t="inlineStr">
        <is>
          <t>/mnt/d/paper_source/work_9/VeriANN_repro_2026-09-30/VeriANN_repro_2026-09-30/results/work9-nytimes-20261017/controlled-ablation/nytimes256/evaluation-5-6/variant-5/per_query.csv</t>
        </is>
      </c>
    </row>
    <row r="293">
      <c r="A293" s="0" t="inlineStr">
        <is>
          <t>NYTimes-256</t>
        </is>
      </c>
      <c r="B293" s="0" t="inlineStr">
        <is>
          <t>H132</t>
        </is>
      </c>
      <c r="C293" s="0" t="n">
        <v>2504.2254</v>
      </c>
      <c r="D293" s="0" t="inlineStr">
        <is>
          <t>vo_kb</t>
        </is>
      </c>
      <c r="E293" s="0" t="inlineStr">
        <is>
          <t>(i)+(ii)</t>
        </is>
      </c>
      <c r="F293" s="0" t="inlineStr">
        <is>
          <t>/mnt/d/paper_source/work_9/VeriANN_repro_2026-09-30/VeriANN_repro_2026-09-30/results/work9-nytimes-20261017/controlled-ablation/nytimes256/evaluation-5-6/variant-5/per_query.csv</t>
        </is>
      </c>
    </row>
    <row r="294">
      <c r="A294" s="0" t="inlineStr">
        <is>
          <t>NYTimes-256</t>
        </is>
      </c>
      <c r="B294" s="0" t="inlineStr">
        <is>
          <t>I132</t>
        </is>
      </c>
      <c r="C294" s="0" t="n">
        <v>46.6341235666667</v>
      </c>
      <c r="D294" s="0" t="inlineStr">
        <is>
          <t>verify_ms</t>
        </is>
      </c>
      <c r="E294" s="0" t="inlineStr">
        <is>
          <t>(i)+(ii)</t>
        </is>
      </c>
      <c r="F294" s="0" t="inlineStr">
        <is>
          <t>/mnt/d/paper_source/work_9/VeriANN_repro_2026-09-30/VeriANN_repro_2026-09-30/results/work9-nytimes-20261017/controlled-ablation/nytimes256/evaluation-5-6/variant-5/per_query.csv</t>
        </is>
      </c>
    </row>
    <row r="295">
      <c r="A295" s="0" t="inlineStr">
        <is>
          <t>NYTimes-256</t>
        </is>
      </c>
      <c r="B295" s="0" t="inlineStr">
        <is>
          <t>F133</t>
        </is>
      </c>
      <c r="C295" s="0" t="n">
        <v>0.955</v>
      </c>
      <c r="D295" s="0" t="inlineStr">
        <is>
          <t>recall</t>
        </is>
      </c>
      <c r="E295" s="0" t="inlineStr">
        <is>
          <t>(i)+(ii)+(iii)</t>
        </is>
      </c>
      <c r="F295" s="0" t="inlineStr">
        <is>
          <t>/mnt/d/paper_source/work_9/VeriANN_repro_2026-09-30/VeriANN_repro_2026-09-30/results/work9-nytimes-20261017/controlled-ablation/nytimes256/evaluation-5-6/variant-6/per_query.csv</t>
        </is>
      </c>
    </row>
    <row r="296">
      <c r="A296" s="0" t="inlineStr">
        <is>
          <t>NYTimes-256</t>
        </is>
      </c>
      <c r="B296" s="0" t="inlineStr">
        <is>
          <t>G133</t>
        </is>
      </c>
      <c r="C296" s="0" t="n">
        <v>10.9337633333333</v>
      </c>
      <c r="D296" s="0" t="inlineStr">
        <is>
          <t>query_ms</t>
        </is>
      </c>
      <c r="E296" s="0" t="inlineStr">
        <is>
          <t>(i)+(ii)+(iii)</t>
        </is>
      </c>
      <c r="F296" s="0" t="inlineStr">
        <is>
          <t>/mnt/d/paper_source/work_9/VeriANN_repro_2026-09-30/VeriANN_repro_2026-09-30/results/work9-nytimes-20261017/controlled-ablation/nytimes256/evaluation-5-6/variant-6/per_query.csv</t>
        </is>
      </c>
    </row>
    <row r="297">
      <c r="A297" s="0" t="inlineStr">
        <is>
          <t>NYTimes-256</t>
        </is>
      </c>
      <c r="B297" s="0" t="inlineStr">
        <is>
          <t>H133</t>
        </is>
      </c>
      <c r="C297" s="0" t="n">
        <v>1271.2486</v>
      </c>
      <c r="D297" s="0" t="inlineStr">
        <is>
          <t>vo_kb</t>
        </is>
      </c>
      <c r="E297" s="0" t="inlineStr">
        <is>
          <t>(i)+(ii)+(iii)</t>
        </is>
      </c>
      <c r="F297" s="0" t="inlineStr">
        <is>
          <t>/mnt/d/paper_source/work_9/VeriANN_repro_2026-09-30/VeriANN_repro_2026-09-30/results/work9-nytimes-20261017/controlled-ablation/nytimes256/evaluation-5-6/variant-6/per_query.csv</t>
        </is>
      </c>
    </row>
    <row r="298">
      <c r="A298" s="0" t="inlineStr">
        <is>
          <t>NYTimes-256</t>
        </is>
      </c>
      <c r="B298" s="0" t="inlineStr">
        <is>
          <t>I133</t>
        </is>
      </c>
      <c r="C298" s="0" t="n">
        <v>21.8082549833333</v>
      </c>
      <c r="D298" s="0" t="inlineStr">
        <is>
          <t>verify_ms</t>
        </is>
      </c>
      <c r="E298" s="0" t="inlineStr">
        <is>
          <t>(i)+(ii)+(iii)</t>
        </is>
      </c>
      <c r="F298" s="0" t="inlineStr">
        <is>
          <t>/mnt/d/paper_source/work_9/VeriANN_repro_2026-09-30/VeriANN_repro_2026-09-30/results/work9-nytimes-20261017/controlled-ablation/nytimes256/evaluation-5-6/variant-6/per_query.csv</t>
        </is>
      </c>
    </row>
    <row r="299">
      <c r="A299" s="0" t="inlineStr">
        <is>
          <t>NYTimes-256</t>
        </is>
      </c>
      <c r="B299" s="0" t="inlineStr">
        <is>
          <t>F27</t>
        </is>
      </c>
      <c r="C299" s="0" t="n">
        <v>234.926066666667</v>
      </c>
      <c r="D299" s="0" t="inlineStr">
        <is>
          <t>vo_kb</t>
        </is>
      </c>
      <c r="E299" s="0" t="inlineStr">
        <is>
          <t>V3DB</t>
        </is>
      </c>
      <c r="F299" s="0" t="inlineStr">
        <is>
          <t>/mnt/d/paper_source/work_9/VeriANN_repro_2026-09-30/VeriANN_repro_2026-09-30/results/work9-v3db-20261016/nytimes256-289761-M256-p2-k10-q20-r3-t1/per_query.csv</t>
        </is>
      </c>
    </row>
    <row r="300">
      <c r="A300" s="0" t="inlineStr">
        <is>
          <t>NYTimes-256</t>
        </is>
      </c>
      <c r="B300" s="0" t="inlineStr">
        <is>
          <t>F39</t>
        </is>
      </c>
      <c r="C300" s="0" t="n">
        <v>54.5049295001718</v>
      </c>
      <c r="D300" s="0" t="inlineStr">
        <is>
          <t>verify_ms</t>
        </is>
      </c>
      <c r="E300" s="0" t="inlineStr">
        <is>
          <t>V3DB</t>
        </is>
      </c>
      <c r="F300" s="0" t="inlineStr">
        <is>
          <t>/mnt/d/paper_source/work_9/VeriANN_repro_2026-09-30/VeriANN_repro_2026-09-30/results/work9-v3db-20261016/nytimes256-289761-M256-p2-k10-q20-r3-t1/per_query.csv</t>
        </is>
      </c>
    </row>
    <row r="301">
      <c r="A301" s="0" t="inlineStr">
        <is>
          <t>NYTimes-256</t>
        </is>
      </c>
      <c r="B301" s="0" t="inlineStr">
        <is>
          <t>F51</t>
        </is>
      </c>
      <c r="C301" s="0" t="n">
        <v>509614.44072055</v>
      </c>
      <c r="D301" s="0" t="inlineStr">
        <is>
          <t>query_ms</t>
        </is>
      </c>
      <c r="E301" s="0" t="inlineStr">
        <is>
          <t>V3DB</t>
        </is>
      </c>
      <c r="F301" s="0" t="inlineStr">
        <is>
          <t>/mnt/d/paper_source/work_9/VeriANN_repro_2026-09-30/VeriANN_repro_2026-09-30/results/work9-v3db-20261016/nytimes256-289761-M256-p2-k10-q20-r3-t1/per_query.csv</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L46"/>
  <sheetViews>
    <sheetView workbookViewId="0">
      <pane ySplit="1" topLeftCell="A2" activePane="bottomLeft" state="frozen"/>
      <selection activeCell="A1" sqref="A1"/>
      <selection pane="bottomLeft" activeCell="A1" sqref="A1"/>
    </sheetView>
  </sheetViews>
  <sheetFormatPr baseColWidth="8" defaultColWidth="9" defaultRowHeight="13.5"/>
  <sheetData>
    <row r="1">
      <c r="A1" s="0" t="inlineStr">
        <is>
          <t>method</t>
        </is>
      </c>
      <c r="B1" s="0" t="inlineStr">
        <is>
          <t>purpose</t>
        </is>
      </c>
      <c r="C1" s="0" t="inlineStr">
        <is>
          <t>N</t>
        </is>
      </c>
      <c r="D1" s="0" t="inlineStr">
        <is>
          <t>k</t>
        </is>
      </c>
      <c r="E1" s="0" t="inlineStr">
        <is>
          <t>ef/E</t>
        </is>
      </c>
      <c r="F1" s="0" t="inlineStr">
        <is>
          <t>probes</t>
        </is>
      </c>
      <c r="G1" s="0" t="inlineStr">
        <is>
          <t>recall</t>
        </is>
      </c>
      <c r="H1" s="0" t="inlineStr">
        <is>
          <t>query ms</t>
        </is>
      </c>
      <c r="I1" s="0" t="inlineStr">
        <is>
          <t>verify ms</t>
        </is>
      </c>
      <c r="J1" s="0" t="inlineStr">
        <is>
          <t>VO KB</t>
        </is>
      </c>
      <c r="K1" s="0" t="inlineStr">
        <is>
          <t>samples</t>
        </is>
      </c>
      <c r="L1" s="0" t="inlineStr">
        <is>
          <t>output</t>
        </is>
      </c>
    </row>
    <row r="2">
      <c r="A2" s="0" t="inlineStr">
        <is>
          <t>ANNProof</t>
        </is>
      </c>
      <c r="B2" s="0" t="inlineStr">
        <is>
          <t>curve</t>
        </is>
      </c>
      <c r="C2" s="0" t="n">
        <v>289761</v>
      </c>
      <c r="D2" s="0" t="n">
        <v>10</v>
      </c>
      <c r="E2" s="0" t="n">
        <v>10</v>
      </c>
      <c r="F2" s="0" t="n">
        <v>1</v>
      </c>
      <c r="G2" s="0" t="n">
        <v>0.84</v>
      </c>
      <c r="H2" s="0" t="n">
        <v>1.28528681666667</v>
      </c>
      <c r="I2" s="0" t="n">
        <v>6.37703646666667</v>
      </c>
      <c r="J2" s="0" t="n">
        <v>651.932</v>
      </c>
      <c r="K2" s="0" t="n">
        <v>60</v>
      </c>
      <c r="L2" s="0" t="inlineStr">
        <is>
          <t>/mnt/d/paper_source/work_9/VeriANN_repro_2026-09-30/VeriANN_repro_2026-09-30/results/work9-nytimes-20261017/nytimes256/ANNProof-curve-289761</t>
        </is>
      </c>
    </row>
    <row r="3">
      <c r="A3" s="0" t="inlineStr">
        <is>
          <t>ANNProof</t>
        </is>
      </c>
      <c r="B3" s="0" t="inlineStr">
        <is>
          <t>curve</t>
        </is>
      </c>
      <c r="C3" s="0" t="n">
        <v>289761</v>
      </c>
      <c r="D3" s="0" t="n">
        <v>10</v>
      </c>
      <c r="E3" s="0" t="n">
        <v>32</v>
      </c>
      <c r="F3" s="0" t="n">
        <v>1</v>
      </c>
      <c r="G3" s="0" t="n">
        <v>0.855</v>
      </c>
      <c r="H3" s="0" t="n">
        <v>2.58172271666667</v>
      </c>
      <c r="I3" s="0" t="n">
        <v>12.07894735</v>
      </c>
      <c r="J3" s="0" t="n">
        <v>1264.985</v>
      </c>
      <c r="K3" s="0" t="n">
        <v>60</v>
      </c>
      <c r="L3" s="0" t="inlineStr">
        <is>
          <t>/mnt/d/paper_source/work_9/VeriANN_repro_2026-09-30/VeriANN_repro_2026-09-30/results/work9-nytimes-20261017/nytimes256/ANNProof-curve-289761</t>
        </is>
      </c>
    </row>
    <row r="4">
      <c r="A4" s="0" t="inlineStr">
        <is>
          <t>ANNProof</t>
        </is>
      </c>
      <c r="B4" s="0" t="inlineStr">
        <is>
          <t>curve</t>
        </is>
      </c>
      <c r="C4" s="0" t="n">
        <v>289761</v>
      </c>
      <c r="D4" s="0" t="n">
        <v>10</v>
      </c>
      <c r="E4" s="0" t="n">
        <v>64</v>
      </c>
      <c r="F4" s="0" t="n">
        <v>1</v>
      </c>
      <c r="G4" s="0" t="n">
        <v>0.9</v>
      </c>
      <c r="H4" s="0" t="n">
        <v>4.64559393333333</v>
      </c>
      <c r="I4" s="0" t="n">
        <v>20.1642276166667</v>
      </c>
      <c r="J4" s="0" t="n">
        <v>2169.0354</v>
      </c>
      <c r="K4" s="0" t="n">
        <v>60</v>
      </c>
      <c r="L4" s="0" t="inlineStr">
        <is>
          <t>/mnt/d/paper_source/work_9/VeriANN_repro_2026-09-30/VeriANN_repro_2026-09-30/results/work9-nytimes-20261017/nytimes256/ANNProof-curve-289761</t>
        </is>
      </c>
    </row>
    <row r="5">
      <c r="A5" s="0" t="inlineStr">
        <is>
          <t>ANNProof</t>
        </is>
      </c>
      <c r="B5" s="0" t="inlineStr">
        <is>
          <t>curve</t>
        </is>
      </c>
      <c r="C5" s="0" t="n">
        <v>289761</v>
      </c>
      <c r="D5" s="0" t="n">
        <v>10</v>
      </c>
      <c r="E5" s="0" t="n">
        <v>384</v>
      </c>
      <c r="F5" s="0" t="n">
        <v>1</v>
      </c>
      <c r="G5" s="0" t="n">
        <v>0.96</v>
      </c>
      <c r="H5" s="0" t="n">
        <v>22.3159277666667</v>
      </c>
      <c r="I5" s="0" t="n">
        <v>86.1523698333333</v>
      </c>
      <c r="J5" s="0" t="n">
        <v>9647.870999999999</v>
      </c>
      <c r="K5" s="0" t="n">
        <v>60</v>
      </c>
      <c r="L5" s="0" t="inlineStr">
        <is>
          <t>/mnt/d/paper_source/work_9/VeriANN_repro_2026-09-30/VeriANN_repro_2026-09-30/results/work9-nytimes-20261017/nytimes256/ANNProof-curve-289761</t>
        </is>
      </c>
    </row>
    <row r="6">
      <c r="A6" s="0" t="inlineStr">
        <is>
          <t>ANNProof</t>
        </is>
      </c>
      <c r="B6" s="0" t="inlineStr">
        <is>
          <t>curve</t>
        </is>
      </c>
      <c r="C6" s="0" t="n">
        <v>289761</v>
      </c>
      <c r="D6" s="0" t="n">
        <v>10</v>
      </c>
      <c r="E6" s="0" t="n">
        <v>768</v>
      </c>
      <c r="F6" s="0" t="n">
        <v>1</v>
      </c>
      <c r="G6" s="0" t="n">
        <v>0.97</v>
      </c>
      <c r="H6" s="0" t="n">
        <v>44.3849581833333</v>
      </c>
      <c r="I6" s="0" t="n">
        <v>158.61361355</v>
      </c>
      <c r="J6" s="0" t="n">
        <v>18191.3746</v>
      </c>
      <c r="K6" s="0" t="n">
        <v>60</v>
      </c>
      <c r="L6" s="0" t="inlineStr">
        <is>
          <t>/mnt/d/paper_source/work_9/VeriANN_repro_2026-09-30/VeriANN_repro_2026-09-30/results/work9-nytimes-20261017/nytimes256/ANNProof-curve-289761</t>
        </is>
      </c>
    </row>
    <row r="7">
      <c r="A7" s="0" t="inlineStr">
        <is>
          <t>ANNProof</t>
        </is>
      </c>
      <c r="B7" s="0" t="inlineStr">
        <is>
          <t>curve</t>
        </is>
      </c>
      <c r="C7" s="0" t="n">
        <v>289761</v>
      </c>
      <c r="D7" s="0" t="n">
        <v>10</v>
      </c>
      <c r="E7" s="0" t="n">
        <v>1024</v>
      </c>
      <c r="F7" s="0" t="n">
        <v>1</v>
      </c>
      <c r="G7" s="0" t="n">
        <v>0.985</v>
      </c>
      <c r="H7" s="0" t="n">
        <v>56.8982416833333</v>
      </c>
      <c r="I7" s="0" t="n">
        <v>204.722528233333</v>
      </c>
      <c r="J7" s="0" t="n">
        <v>23543.0654</v>
      </c>
      <c r="K7" s="0" t="n">
        <v>60</v>
      </c>
      <c r="L7" s="0" t="inlineStr">
        <is>
          <t>/mnt/d/paper_source/work_9/VeriANN_repro_2026-09-30/VeriANN_repro_2026-09-30/results/work9-nytimes-20261017/nytimes256/ANNProof-curve-289761</t>
        </is>
      </c>
    </row>
    <row r="8">
      <c r="A8" s="0" t="inlineStr">
        <is>
          <t>ANNProof</t>
        </is>
      </c>
      <c r="B8" s="0" t="inlineStr">
        <is>
          <t>curve</t>
        </is>
      </c>
      <c r="C8" s="0" t="n">
        <v>289761</v>
      </c>
      <c r="D8" s="0" t="n">
        <v>10</v>
      </c>
      <c r="E8" s="0" t="n">
        <v>1536</v>
      </c>
      <c r="F8" s="0" t="n">
        <v>1</v>
      </c>
      <c r="G8" s="0" t="n">
        <v>1</v>
      </c>
      <c r="H8" s="0" t="n">
        <v>87.84406300000001</v>
      </c>
      <c r="I8" s="0" t="n">
        <v>295.476212833333</v>
      </c>
      <c r="J8" s="0" t="n">
        <v>34273.459</v>
      </c>
      <c r="K8" s="0" t="n">
        <v>60</v>
      </c>
      <c r="L8" s="0" t="inlineStr">
        <is>
          <t>/mnt/d/paper_source/work_9/VeriANN_repro_2026-09-30/VeriANN_repro_2026-09-30/results/work9-nytimes-20261017/nytimes256/ANNProof-curve-289761</t>
        </is>
      </c>
    </row>
    <row r="9">
      <c r="A9" s="0" t="inlineStr">
        <is>
          <t>ANNProof</t>
        </is>
      </c>
      <c r="B9" s="0" t="inlineStr">
        <is>
          <t>k</t>
        </is>
      </c>
      <c r="C9" s="0" t="n">
        <v>289761</v>
      </c>
      <c r="D9" s="0" t="n">
        <v>1</v>
      </c>
      <c r="E9" s="0" t="n">
        <v>384</v>
      </c>
      <c r="F9" s="0" t="n">
        <v>1</v>
      </c>
      <c r="G9" s="0" t="n">
        <v>1</v>
      </c>
      <c r="H9" s="0" t="n">
        <v>21.75351015</v>
      </c>
      <c r="I9" s="0" t="n">
        <v>86.42896823333329</v>
      </c>
      <c r="J9" s="0" t="n">
        <v>9643.027</v>
      </c>
      <c r="K9" s="0" t="n">
        <v>60</v>
      </c>
      <c r="L9" s="0" t="inlineStr">
        <is>
          <t>/mnt/d/paper_source/work_9/VeriANN_repro_2026-09-30/VeriANN_repro_2026-09-30/results/work9-nytimes-20261017/nytimes256/ANNProof-k-289761</t>
        </is>
      </c>
    </row>
    <row r="10">
      <c r="A10" s="0" t="inlineStr">
        <is>
          <t>ANNProof</t>
        </is>
      </c>
      <c r="B10" s="0" t="inlineStr">
        <is>
          <t>k</t>
        </is>
      </c>
      <c r="C10" s="0" t="n">
        <v>289761</v>
      </c>
      <c r="D10" s="0" t="n">
        <v>5</v>
      </c>
      <c r="E10" s="0" t="n">
        <v>384</v>
      </c>
      <c r="F10" s="0" t="n">
        <v>1</v>
      </c>
      <c r="G10" s="0" t="n">
        <v>0.98</v>
      </c>
      <c r="H10" s="0" t="n">
        <v>21.3636953333333</v>
      </c>
      <c r="I10" s="0" t="n">
        <v>85.90255790000001</v>
      </c>
      <c r="J10" s="0" t="n">
        <v>9645.218999999999</v>
      </c>
      <c r="K10" s="0" t="n">
        <v>60</v>
      </c>
      <c r="L10" s="0" t="inlineStr">
        <is>
          <t>/mnt/d/paper_source/work_9/VeriANN_repro_2026-09-30/VeriANN_repro_2026-09-30/results/work9-nytimes-20261017/nytimes256/ANNProof-k-289761</t>
        </is>
      </c>
    </row>
    <row r="11">
      <c r="A11" s="0" t="inlineStr">
        <is>
          <t>ANNProof</t>
        </is>
      </c>
      <c r="B11" s="0" t="inlineStr">
        <is>
          <t>k</t>
        </is>
      </c>
      <c r="C11" s="0" t="n">
        <v>289761</v>
      </c>
      <c r="D11" s="0" t="n">
        <v>10</v>
      </c>
      <c r="E11" s="0" t="n">
        <v>384</v>
      </c>
      <c r="F11" s="0" t="n">
        <v>1</v>
      </c>
      <c r="G11" s="0" t="n">
        <v>0.96</v>
      </c>
      <c r="H11" s="0" t="n">
        <v>21.5098418666667</v>
      </c>
      <c r="I11" s="0" t="n">
        <v>86.1797332</v>
      </c>
      <c r="J11" s="0" t="n">
        <v>9647.870999999999</v>
      </c>
      <c r="K11" s="0" t="n">
        <v>60</v>
      </c>
      <c r="L11" s="0" t="inlineStr">
        <is>
          <t>/mnt/d/paper_source/work_9/VeriANN_repro_2026-09-30/VeriANN_repro_2026-09-30/results/work9-nytimes-20261017/nytimes256/ANNProof-k-289761</t>
        </is>
      </c>
    </row>
    <row r="12">
      <c r="A12" s="0" t="inlineStr">
        <is>
          <t>ANNProof</t>
        </is>
      </c>
      <c r="B12" s="0" t="inlineStr">
        <is>
          <t>k</t>
        </is>
      </c>
      <c r="C12" s="0" t="n">
        <v>289761</v>
      </c>
      <c r="D12" s="0" t="n">
        <v>20</v>
      </c>
      <c r="E12" s="0" t="n">
        <v>384</v>
      </c>
      <c r="F12" s="0" t="n">
        <v>1</v>
      </c>
      <c r="G12" s="0" t="n">
        <v>0.955</v>
      </c>
      <c r="H12" s="0" t="n">
        <v>21.3020279666667</v>
      </c>
      <c r="I12" s="0" t="n">
        <v>86.4042274666667</v>
      </c>
      <c r="J12" s="0" t="n">
        <v>9652.963</v>
      </c>
      <c r="K12" s="0" t="n">
        <v>60</v>
      </c>
      <c r="L12" s="0" t="inlineStr">
        <is>
          <t>/mnt/d/paper_source/work_9/VeriANN_repro_2026-09-30/VeriANN_repro_2026-09-30/results/work9-nytimes-20261017/nytimes256/ANNProof-k-289761</t>
        </is>
      </c>
    </row>
    <row r="13">
      <c r="A13" s="0" t="inlineStr">
        <is>
          <t>ANNProof</t>
        </is>
      </c>
      <c r="B13" s="0" t="inlineStr">
        <is>
          <t>k</t>
        </is>
      </c>
      <c r="C13" s="0" t="n">
        <v>289761</v>
      </c>
      <c r="D13" s="0" t="n">
        <v>50</v>
      </c>
      <c r="E13" s="0" t="n">
        <v>384</v>
      </c>
      <c r="F13" s="0" t="n">
        <v>1</v>
      </c>
      <c r="G13" s="0" t="n">
        <v>0.908</v>
      </c>
      <c r="H13" s="0" t="n">
        <v>21.4257339333333</v>
      </c>
      <c r="I13" s="0" t="n">
        <v>86.7584221666667</v>
      </c>
      <c r="J13" s="0" t="n">
        <v>9666.671</v>
      </c>
      <c r="K13" s="0" t="n">
        <v>60</v>
      </c>
      <c r="L13" s="0" t="inlineStr">
        <is>
          <t>/mnt/d/paper_source/work_9/VeriANN_repro_2026-09-30/VeriANN_repro_2026-09-30/results/work9-nytimes-20261017/nytimes256/ANNProof-k-289761</t>
        </is>
      </c>
    </row>
    <row r="14">
      <c r="A14" s="0" t="inlineStr">
        <is>
          <t>ANNProof</t>
        </is>
      </c>
      <c r="B14" s="0" t="inlineStr">
        <is>
          <t>k</t>
        </is>
      </c>
      <c r="C14" s="0" t="n">
        <v>289761</v>
      </c>
      <c r="D14" s="0" t="n">
        <v>100</v>
      </c>
      <c r="E14" s="0" t="n">
        <v>384</v>
      </c>
      <c r="F14" s="0" t="n">
        <v>1</v>
      </c>
      <c r="G14" s="0" t="n">
        <v>0.8754999999999999</v>
      </c>
      <c r="H14" s="0" t="n">
        <v>21.5724279</v>
      </c>
      <c r="I14" s="0" t="n">
        <v>87.5149089666667</v>
      </c>
      <c r="J14" s="0" t="n">
        <v>9686.540999999999</v>
      </c>
      <c r="K14" s="0" t="n">
        <v>60</v>
      </c>
      <c r="L14" s="0" t="inlineStr">
        <is>
          <t>/mnt/d/paper_source/work_9/VeriANN_repro_2026-09-30/VeriANN_repro_2026-09-30/results/work9-nytimes-20261017/nytimes256/ANNProof-k-289761</t>
        </is>
      </c>
    </row>
    <row r="15">
      <c r="A15" s="0" t="inlineStr">
        <is>
          <t>ANNProof</t>
        </is>
      </c>
      <c r="B15" s="0" t="inlineStr">
        <is>
          <t>size</t>
        </is>
      </c>
      <c r="C15" s="0" t="n">
        <v>100000</v>
      </c>
      <c r="D15" s="0" t="n">
        <v>10</v>
      </c>
      <c r="E15" s="0" t="n">
        <v>512</v>
      </c>
      <c r="F15" s="0" t="n">
        <v>1</v>
      </c>
      <c r="G15" s="0" t="n">
        <v>0.96</v>
      </c>
      <c r="H15" s="0" t="n">
        <v>27.97978905</v>
      </c>
      <c r="I15" s="0" t="n">
        <v>114.572638983333</v>
      </c>
      <c r="J15" s="0" t="n">
        <v>13711.3812</v>
      </c>
      <c r="K15" s="0" t="n">
        <v>60</v>
      </c>
      <c r="L15" s="0" t="inlineStr">
        <is>
          <t>/mnt/d/paper_source/work_9/VeriANN_repro_2026-09-30/VeriANN_repro_2026-09-30/results/work9-nytimes-20261017/nytimes256/ANNProof-size-100000</t>
        </is>
      </c>
    </row>
    <row r="16">
      <c r="A16" s="0" t="inlineStr">
        <is>
          <t>Ours</t>
        </is>
      </c>
      <c r="B16" s="0" t="inlineStr">
        <is>
          <t>curve</t>
        </is>
      </c>
      <c r="C16" s="0" t="n">
        <v>289761</v>
      </c>
      <c r="D16" s="0" t="n">
        <v>10</v>
      </c>
      <c r="E16" s="0" t="n">
        <v>16</v>
      </c>
      <c r="F16" s="0" t="n">
        <v>1</v>
      </c>
      <c r="G16" s="0" t="n">
        <v>0.61</v>
      </c>
      <c r="H16" s="0" t="n">
        <v>1.3048278</v>
      </c>
      <c r="I16" s="0" t="n">
        <v>3.15162981666667</v>
      </c>
      <c r="J16" s="0" t="n">
        <v>188.3066</v>
      </c>
      <c r="K16" s="0" t="n">
        <v>60</v>
      </c>
      <c r="L16" s="0" t="inlineStr">
        <is>
          <t>/mnt/d/paper_source/work_9/VeriANN_repro_2026-09-30/VeriANN_repro_2026-09-30/results/work9-nytimes-20261017/nytimes256/Ours-curve-289761</t>
        </is>
      </c>
    </row>
    <row r="17">
      <c r="A17" s="0" t="inlineStr">
        <is>
          <t>Ours</t>
        </is>
      </c>
      <c r="B17" s="0" t="inlineStr">
        <is>
          <t>curve</t>
        </is>
      </c>
      <c r="C17" s="0" t="n">
        <v>289761</v>
      </c>
      <c r="D17" s="0" t="n">
        <v>10</v>
      </c>
      <c r="E17" s="0" t="n">
        <v>24</v>
      </c>
      <c r="F17" s="0" t="n">
        <v>1</v>
      </c>
      <c r="G17" s="0" t="n">
        <v>0.7</v>
      </c>
      <c r="H17" s="0" t="n">
        <v>1.7065919</v>
      </c>
      <c r="I17" s="0" t="n">
        <v>4.04489688333333</v>
      </c>
      <c r="J17" s="0" t="n">
        <v>241.1502</v>
      </c>
      <c r="K17" s="0" t="n">
        <v>60</v>
      </c>
      <c r="L17" s="0" t="inlineStr">
        <is>
          <t>/mnt/d/paper_source/work_9/VeriANN_repro_2026-09-30/VeriANN_repro_2026-09-30/results/work9-nytimes-20261017/nytimes256/Ours-curve-289761</t>
        </is>
      </c>
    </row>
    <row r="18">
      <c r="A18" s="0" t="inlineStr">
        <is>
          <t>Ours</t>
        </is>
      </c>
      <c r="B18" s="0" t="inlineStr">
        <is>
          <t>curve</t>
        </is>
      </c>
      <c r="C18" s="0" t="n">
        <v>289761</v>
      </c>
      <c r="D18" s="0" t="n">
        <v>10</v>
      </c>
      <c r="E18" s="0" t="n">
        <v>32</v>
      </c>
      <c r="F18" s="0" t="n">
        <v>1</v>
      </c>
      <c r="G18" s="0" t="n">
        <v>0.825</v>
      </c>
      <c r="H18" s="0" t="n">
        <v>2.05966926666667</v>
      </c>
      <c r="I18" s="0" t="n">
        <v>4.75943038333333</v>
      </c>
      <c r="J18" s="0" t="n">
        <v>283.509</v>
      </c>
      <c r="K18" s="0" t="n">
        <v>60</v>
      </c>
      <c r="L18" s="0" t="inlineStr">
        <is>
          <t>/mnt/d/paper_source/work_9/VeriANN_repro_2026-09-30/VeriANN_repro_2026-09-30/results/work9-nytimes-20261017/nytimes256/Ours-curve-289761</t>
        </is>
      </c>
    </row>
    <row r="19">
      <c r="A19" s="0" t="inlineStr">
        <is>
          <t>Ours</t>
        </is>
      </c>
      <c r="B19" s="0" t="inlineStr">
        <is>
          <t>curve</t>
        </is>
      </c>
      <c r="C19" s="0" t="n">
        <v>289761</v>
      </c>
      <c r="D19" s="0" t="n">
        <v>10</v>
      </c>
      <c r="E19" s="0" t="n">
        <v>64</v>
      </c>
      <c r="F19" s="0" t="n">
        <v>1</v>
      </c>
      <c r="G19" s="0" t="n">
        <v>0.855</v>
      </c>
      <c r="H19" s="0" t="n">
        <v>3.5460066</v>
      </c>
      <c r="I19" s="0" t="n">
        <v>7.83703861666667</v>
      </c>
      <c r="J19" s="0" t="n">
        <v>463.9742</v>
      </c>
      <c r="K19" s="0" t="n">
        <v>60</v>
      </c>
      <c r="L19" s="0" t="inlineStr">
        <is>
          <t>/mnt/d/paper_source/work_9/VeriANN_repro_2026-09-30/VeriANN_repro_2026-09-30/results/work9-nytimes-20261017/nytimes256/Ours-curve-289761</t>
        </is>
      </c>
    </row>
    <row r="20">
      <c r="A20" s="0" t="inlineStr">
        <is>
          <t>Ours</t>
        </is>
      </c>
      <c r="B20" s="0" t="inlineStr">
        <is>
          <t>curve</t>
        </is>
      </c>
      <c r="C20" s="0" t="n">
        <v>289761</v>
      </c>
      <c r="D20" s="0" t="n">
        <v>10</v>
      </c>
      <c r="E20" s="0" t="n">
        <v>96</v>
      </c>
      <c r="F20" s="0" t="n">
        <v>1</v>
      </c>
      <c r="G20" s="0" t="n">
        <v>0.905</v>
      </c>
      <c r="H20" s="0" t="n">
        <v>4.89644948333333</v>
      </c>
      <c r="I20" s="0" t="n">
        <v>10.51414495</v>
      </c>
      <c r="J20" s="0" t="n">
        <v>616.955</v>
      </c>
      <c r="K20" s="0" t="n">
        <v>60</v>
      </c>
      <c r="L20" s="0" t="inlineStr">
        <is>
          <t>/mnt/d/paper_source/work_9/VeriANN_repro_2026-09-30/VeriANN_repro_2026-09-30/results/work9-nytimes-20261017/nytimes256/Ours-curve-289761</t>
        </is>
      </c>
    </row>
    <row r="21">
      <c r="A21" s="0" t="inlineStr">
        <is>
          <t>Ours</t>
        </is>
      </c>
      <c r="B21" s="0" t="inlineStr">
        <is>
          <t>curve</t>
        </is>
      </c>
      <c r="C21" s="0" t="n">
        <v>289761</v>
      </c>
      <c r="D21" s="0" t="n">
        <v>10</v>
      </c>
      <c r="E21" s="0" t="n">
        <v>256</v>
      </c>
      <c r="F21" s="0" t="n">
        <v>1</v>
      </c>
      <c r="G21" s="0" t="n">
        <v>0.955</v>
      </c>
      <c r="H21" s="0" t="n">
        <v>10.7765117333333</v>
      </c>
      <c r="I21" s="0" t="n">
        <v>22.1553105166667</v>
      </c>
      <c r="J21" s="0" t="n">
        <v>1271.2486</v>
      </c>
      <c r="K21" s="0" t="n">
        <v>60</v>
      </c>
      <c r="L21" s="0" t="inlineStr">
        <is>
          <t>/mnt/d/paper_source/work_9/VeriANN_repro_2026-09-30/VeriANN_repro_2026-09-30/results/work9-nytimes-20261017/nytimes256/Ours-curve-289761</t>
        </is>
      </c>
    </row>
    <row r="22">
      <c r="A22" s="0" t="inlineStr">
        <is>
          <t>Ours</t>
        </is>
      </c>
      <c r="B22" s="0" t="inlineStr">
        <is>
          <t>curve</t>
        </is>
      </c>
      <c r="C22" s="0" t="n">
        <v>289761</v>
      </c>
      <c r="D22" s="0" t="n">
        <v>10</v>
      </c>
      <c r="E22" s="0" t="n">
        <v>512</v>
      </c>
      <c r="F22" s="0" t="n">
        <v>1</v>
      </c>
      <c r="G22" s="0" t="n">
        <v>0.97</v>
      </c>
      <c r="H22" s="0" t="n">
        <v>19.7508237</v>
      </c>
      <c r="I22" s="0" t="n">
        <v>39.7045313</v>
      </c>
      <c r="J22" s="0" t="n">
        <v>2220.0928</v>
      </c>
      <c r="K22" s="0" t="n">
        <v>60</v>
      </c>
      <c r="L22" s="0" t="inlineStr">
        <is>
          <t>/mnt/d/paper_source/work_9/VeriANN_repro_2026-09-30/VeriANN_repro_2026-09-30/results/work9-nytimes-20261017/nytimes256/Ours-curve-289761</t>
        </is>
      </c>
    </row>
    <row r="23">
      <c r="A23" s="0" t="inlineStr">
        <is>
          <t>Ours</t>
        </is>
      </c>
      <c r="B23" s="0" t="inlineStr">
        <is>
          <t>curve</t>
        </is>
      </c>
      <c r="C23" s="0" t="n">
        <v>289761</v>
      </c>
      <c r="D23" s="0" t="n">
        <v>10</v>
      </c>
      <c r="E23" s="0" t="n">
        <v>1024</v>
      </c>
      <c r="F23" s="0" t="n">
        <v>1</v>
      </c>
      <c r="G23" s="0" t="n">
        <v>0.98</v>
      </c>
      <c r="H23" s="0" t="n">
        <v>37.6738647166667</v>
      </c>
      <c r="I23" s="0" t="n">
        <v>74.0049278666667</v>
      </c>
      <c r="J23" s="0" t="n">
        <v>3968.8662</v>
      </c>
      <c r="K23" s="0" t="n">
        <v>60</v>
      </c>
      <c r="L23" s="0" t="inlineStr">
        <is>
          <t>/mnt/d/paper_source/work_9/VeriANN_repro_2026-09-30/VeriANN_repro_2026-09-30/results/work9-nytimes-20261017/nytimes256/Ours-curve-289761</t>
        </is>
      </c>
    </row>
    <row r="24">
      <c r="A24" s="0" t="inlineStr">
        <is>
          <t>Ours</t>
        </is>
      </c>
      <c r="B24" s="0" t="inlineStr">
        <is>
          <t>curve</t>
        </is>
      </c>
      <c r="C24" s="0" t="n">
        <v>289761</v>
      </c>
      <c r="D24" s="0" t="n">
        <v>10</v>
      </c>
      <c r="E24" s="0" t="n">
        <v>1536</v>
      </c>
      <c r="F24" s="0" t="n">
        <v>1</v>
      </c>
      <c r="G24" s="0" t="n">
        <v>1</v>
      </c>
      <c r="H24" s="0" t="n">
        <v>55.6170811833333</v>
      </c>
      <c r="I24" s="0" t="n">
        <v>108.36732445</v>
      </c>
      <c r="J24" s="0" t="n">
        <v>5573.382</v>
      </c>
      <c r="K24" s="0" t="n">
        <v>60</v>
      </c>
      <c r="L24" s="0" t="inlineStr">
        <is>
          <t>/mnt/d/paper_source/work_9/VeriANN_repro_2026-09-30/VeriANN_repro_2026-09-30/results/work9-nytimes-20261017/nytimes256/Ours-curve-289761</t>
        </is>
      </c>
    </row>
    <row r="25">
      <c r="A25" s="0" t="inlineStr">
        <is>
          <t>Ours</t>
        </is>
      </c>
      <c r="B25" s="0" t="inlineStr">
        <is>
          <t>k</t>
        </is>
      </c>
      <c r="C25" s="0" t="n">
        <v>289761</v>
      </c>
      <c r="D25" s="0" t="n">
        <v>1</v>
      </c>
      <c r="E25" s="0" t="n">
        <v>256</v>
      </c>
      <c r="F25" s="0" t="n">
        <v>1</v>
      </c>
      <c r="G25" s="0" t="n">
        <v>1</v>
      </c>
      <c r="H25" s="0" t="n">
        <v>7.70907898333333</v>
      </c>
      <c r="I25" s="0" t="n">
        <v>10.3712085166667</v>
      </c>
      <c r="J25" s="0" t="n">
        <v>803.3574</v>
      </c>
      <c r="K25" s="0" t="n">
        <v>60</v>
      </c>
      <c r="L25" s="0" t="inlineStr">
        <is>
          <t>/mnt/d/paper_source/work_9/VeriANN_repro_2026-09-30/VeriANN_repro_2026-09-30/results/work9-nytimes-20261017/nytimes256/Ours-k-289761</t>
        </is>
      </c>
    </row>
    <row r="26">
      <c r="A26" s="0" t="inlineStr">
        <is>
          <t>Ours</t>
        </is>
      </c>
      <c r="B26" s="0" t="inlineStr">
        <is>
          <t>k</t>
        </is>
      </c>
      <c r="C26" s="0" t="n">
        <v>289761</v>
      </c>
      <c r="D26" s="0" t="n">
        <v>5</v>
      </c>
      <c r="E26" s="0" t="n">
        <v>256</v>
      </c>
      <c r="F26" s="0" t="n">
        <v>1</v>
      </c>
      <c r="G26" s="0" t="n">
        <v>0.98</v>
      </c>
      <c r="H26" s="0" t="n">
        <v>9.274682500000001</v>
      </c>
      <c r="I26" s="0" t="n">
        <v>16.2769371666667</v>
      </c>
      <c r="J26" s="0" t="n">
        <v>1033.0934</v>
      </c>
      <c r="K26" s="0" t="n">
        <v>60</v>
      </c>
      <c r="L26" s="0" t="inlineStr">
        <is>
          <t>/mnt/d/paper_source/work_9/VeriANN_repro_2026-09-30/VeriANN_repro_2026-09-30/results/work9-nytimes-20261017/nytimes256/Ours-k-289761</t>
        </is>
      </c>
    </row>
    <row r="27">
      <c r="A27" s="0" t="inlineStr">
        <is>
          <t>Ours</t>
        </is>
      </c>
      <c r="B27" s="0" t="inlineStr">
        <is>
          <t>k</t>
        </is>
      </c>
      <c r="C27" s="0" t="n">
        <v>289761</v>
      </c>
      <c r="D27" s="0" t="n">
        <v>10</v>
      </c>
      <c r="E27" s="0" t="n">
        <v>256</v>
      </c>
      <c r="F27" s="0" t="n">
        <v>1</v>
      </c>
      <c r="G27" s="0" t="n">
        <v>0.955</v>
      </c>
      <c r="H27" s="0" t="n">
        <v>10.8469290166667</v>
      </c>
      <c r="I27" s="0" t="n">
        <v>22.1618087833333</v>
      </c>
      <c r="J27" s="0" t="n">
        <v>1271.2486</v>
      </c>
      <c r="K27" s="0" t="n">
        <v>60</v>
      </c>
      <c r="L27" s="0" t="inlineStr">
        <is>
          <t>/mnt/d/paper_source/work_9/VeriANN_repro_2026-09-30/VeriANN_repro_2026-09-30/results/work9-nytimes-20261017/nytimes256/Ours-k-289761</t>
        </is>
      </c>
    </row>
    <row r="28">
      <c r="A28" s="0" t="inlineStr">
        <is>
          <t>Ours</t>
        </is>
      </c>
      <c r="B28" s="0" t="inlineStr">
        <is>
          <t>k</t>
        </is>
      </c>
      <c r="C28" s="0" t="n">
        <v>289761</v>
      </c>
      <c r="D28" s="0" t="n">
        <v>20</v>
      </c>
      <c r="E28" s="0" t="n">
        <v>256</v>
      </c>
      <c r="F28" s="0" t="n">
        <v>1</v>
      </c>
      <c r="G28" s="0" t="n">
        <v>0.9375</v>
      </c>
      <c r="H28" s="0" t="n">
        <v>11.9913693833333</v>
      </c>
      <c r="I28" s="0" t="n">
        <v>25.8016828666667</v>
      </c>
      <c r="J28" s="0" t="n">
        <v>1445.0162</v>
      </c>
      <c r="K28" s="0" t="n">
        <v>60</v>
      </c>
      <c r="L28" s="0" t="inlineStr">
        <is>
          <t>/mnt/d/paper_source/work_9/VeriANN_repro_2026-09-30/VeriANN_repro_2026-09-30/results/work9-nytimes-20261017/nytimes256/Ours-k-289761</t>
        </is>
      </c>
    </row>
    <row r="29">
      <c r="A29" s="0" t="inlineStr">
        <is>
          <t>Ours</t>
        </is>
      </c>
      <c r="B29" s="0" t="inlineStr">
        <is>
          <t>k</t>
        </is>
      </c>
      <c r="C29" s="0" t="n">
        <v>289761</v>
      </c>
      <c r="D29" s="0" t="n">
        <v>50</v>
      </c>
      <c r="E29" s="0" t="n">
        <v>256</v>
      </c>
      <c r="F29" s="0" t="n">
        <v>1</v>
      </c>
      <c r="G29" s="0" t="n">
        <v>0.892</v>
      </c>
      <c r="H29" s="0" t="n">
        <v>14.3016029333333</v>
      </c>
      <c r="I29" s="0" t="n">
        <v>34.4756043666667</v>
      </c>
      <c r="J29" s="0" t="n">
        <v>1875.9198</v>
      </c>
      <c r="K29" s="0" t="n">
        <v>60</v>
      </c>
      <c r="L29" s="0" t="inlineStr">
        <is>
          <t>/mnt/d/paper_source/work_9/VeriANN_repro_2026-09-30/VeriANN_repro_2026-09-30/results/work9-nytimes-20261017/nytimes256/Ours-k-289761</t>
        </is>
      </c>
    </row>
    <row r="30">
      <c r="A30" s="0" t="inlineStr">
        <is>
          <t>Ours</t>
        </is>
      </c>
      <c r="B30" s="0" t="inlineStr">
        <is>
          <t>k</t>
        </is>
      </c>
      <c r="C30" s="0" t="n">
        <v>289761</v>
      </c>
      <c r="D30" s="0" t="n">
        <v>100</v>
      </c>
      <c r="E30" s="0" t="n">
        <v>256</v>
      </c>
      <c r="F30" s="0" t="n">
        <v>1</v>
      </c>
      <c r="G30" s="0" t="n">
        <v>0.8505</v>
      </c>
      <c r="H30" s="0" t="n">
        <v>16.0406685</v>
      </c>
      <c r="I30" s="0" t="n">
        <v>39.6819354666667</v>
      </c>
      <c r="J30" s="0" t="n">
        <v>2233.7482</v>
      </c>
      <c r="K30" s="0" t="n">
        <v>60</v>
      </c>
      <c r="L30" s="0" t="inlineStr">
        <is>
          <t>/mnt/d/paper_source/work_9/VeriANN_repro_2026-09-30/VeriANN_repro_2026-09-30/results/work9-nytimes-20261017/nytimes256/Ours-k-289761</t>
        </is>
      </c>
    </row>
    <row r="31">
      <c r="A31" s="0" t="inlineStr">
        <is>
          <t>Ours</t>
        </is>
      </c>
      <c r="B31" s="0" t="inlineStr">
        <is>
          <t>size</t>
        </is>
      </c>
      <c r="C31" s="0" t="n">
        <v>100000</v>
      </c>
      <c r="D31" s="0" t="n">
        <v>10</v>
      </c>
      <c r="E31" s="0" t="n">
        <v>512</v>
      </c>
      <c r="F31" s="0" t="n">
        <v>1</v>
      </c>
      <c r="G31" s="0" t="n">
        <v>0.95</v>
      </c>
      <c r="H31" s="0" t="n">
        <v>20.45735275</v>
      </c>
      <c r="I31" s="0" t="n">
        <v>40.9393915166667</v>
      </c>
      <c r="J31" s="0" t="n">
        <v>2368.6286</v>
      </c>
      <c r="K31" s="0" t="n">
        <v>60</v>
      </c>
      <c r="L31" s="0" t="inlineStr">
        <is>
          <t>/mnt/d/paper_source/work_9/VeriANN_repro_2026-09-30/VeriANN_repro_2026-09-30/results/work9-nytimes-20261017/nytimes256/Ours-size-100000</t>
        </is>
      </c>
    </row>
    <row r="32">
      <c r="A32" s="0" t="inlineStr">
        <is>
          <t>VLAH</t>
        </is>
      </c>
      <c r="B32" s="0" t="inlineStr">
        <is>
          <t>curve</t>
        </is>
      </c>
      <c r="C32" s="0" t="n">
        <v>289761</v>
      </c>
      <c r="D32" s="0" t="n">
        <v>10</v>
      </c>
      <c r="E32" s="0" t="n">
        <v>400</v>
      </c>
      <c r="F32" s="0" t="n">
        <v>7</v>
      </c>
      <c r="G32" s="0" t="n">
        <v>0.67</v>
      </c>
      <c r="H32" s="0" t="n">
        <v>143.59484805</v>
      </c>
      <c r="I32" s="0" t="n">
        <v>272.33098235</v>
      </c>
      <c r="J32" s="0" t="n">
        <v>67011.7597</v>
      </c>
      <c r="K32" s="0" t="n">
        <v>60</v>
      </c>
      <c r="L32" s="0" t="inlineStr">
        <is>
          <t>/mnt/d/paper_source/work_9/VeriANN_repro_2026-09-30/VeriANN_repro_2026-09-30/results/work9-nytimes-20261017/nytimes256/VLAH-curve-289761</t>
        </is>
      </c>
    </row>
    <row r="33">
      <c r="A33" s="0" t="inlineStr">
        <is>
          <t>VLAH</t>
        </is>
      </c>
      <c r="B33" s="0" t="inlineStr">
        <is>
          <t>curve</t>
        </is>
      </c>
      <c r="C33" s="0" t="n">
        <v>289761</v>
      </c>
      <c r="D33" s="0" t="n">
        <v>10</v>
      </c>
      <c r="E33" s="0" t="n">
        <v>400</v>
      </c>
      <c r="F33" s="0" t="n">
        <v>8</v>
      </c>
      <c r="G33" s="0" t="n">
        <v>0.715</v>
      </c>
      <c r="H33" s="0" t="n">
        <v>164.394885933333</v>
      </c>
      <c r="I33" s="0" t="n">
        <v>311.96292125</v>
      </c>
      <c r="J33" s="0" t="n">
        <v>76710.86625000001</v>
      </c>
      <c r="K33" s="0" t="n">
        <v>60</v>
      </c>
      <c r="L33" s="0" t="inlineStr">
        <is>
          <t>/mnt/d/paper_source/work_9/VeriANN_repro_2026-09-30/VeriANN_repro_2026-09-30/results/work9-nytimes-20261017/nytimes256/VLAH-curve-289761</t>
        </is>
      </c>
    </row>
    <row r="34">
      <c r="A34" s="0" t="inlineStr">
        <is>
          <t>VLAH</t>
        </is>
      </c>
      <c r="B34" s="0" t="inlineStr">
        <is>
          <t>curve</t>
        </is>
      </c>
      <c r="C34" s="0" t="n">
        <v>289761</v>
      </c>
      <c r="D34" s="0" t="n">
        <v>10</v>
      </c>
      <c r="E34" s="0" t="n">
        <v>400</v>
      </c>
      <c r="F34" s="0" t="n">
        <v>9</v>
      </c>
      <c r="G34" s="0" t="n">
        <v>0.78</v>
      </c>
      <c r="H34" s="0" t="n">
        <v>185.147734933333</v>
      </c>
      <c r="I34" s="0" t="n">
        <v>351.799705383333</v>
      </c>
      <c r="J34" s="0" t="n">
        <v>86460.41185</v>
      </c>
      <c r="K34" s="0" t="n">
        <v>60</v>
      </c>
      <c r="L34" s="0" t="inlineStr">
        <is>
          <t>/mnt/d/paper_source/work_9/VeriANN_repro_2026-09-30/VeriANN_repro_2026-09-30/results/work9-nytimes-20261017/nytimes256/VLAH-curve-289761</t>
        </is>
      </c>
    </row>
    <row r="35">
      <c r="A35" s="0" t="inlineStr">
        <is>
          <t>VLAH</t>
        </is>
      </c>
      <c r="B35" s="0" t="inlineStr">
        <is>
          <t>curve</t>
        </is>
      </c>
      <c r="C35" s="0" t="n">
        <v>289761</v>
      </c>
      <c r="D35" s="0" t="n">
        <v>10</v>
      </c>
      <c r="E35" s="0" t="n">
        <v>400</v>
      </c>
      <c r="F35" s="0" t="n">
        <v>10</v>
      </c>
      <c r="G35" s="0" t="n">
        <v>0.82</v>
      </c>
      <c r="H35" s="0" t="n">
        <v>206.091788883333</v>
      </c>
      <c r="I35" s="0" t="n">
        <v>392.74538455</v>
      </c>
      <c r="J35" s="0" t="n">
        <v>96245.68545</v>
      </c>
      <c r="K35" s="0" t="n">
        <v>60</v>
      </c>
      <c r="L35" s="0" t="inlineStr">
        <is>
          <t>/mnt/d/paper_source/work_9/VeriANN_repro_2026-09-30/VeriANN_repro_2026-09-30/results/work9-nytimes-20261017/nytimes256/VLAH-curve-289761</t>
        </is>
      </c>
    </row>
    <row r="36">
      <c r="A36" s="0" t="inlineStr">
        <is>
          <t>VLAH</t>
        </is>
      </c>
      <c r="B36" s="0" t="inlineStr">
        <is>
          <t>curve</t>
        </is>
      </c>
      <c r="C36" s="0" t="n">
        <v>289761</v>
      </c>
      <c r="D36" s="0" t="n">
        <v>10</v>
      </c>
      <c r="E36" s="0" t="n">
        <v>400</v>
      </c>
      <c r="F36" s="0" t="n">
        <v>11</v>
      </c>
      <c r="G36" s="0" t="n">
        <v>0.875</v>
      </c>
      <c r="H36" s="0" t="n">
        <v>231.242866266667</v>
      </c>
      <c r="I36" s="0" t="n">
        <v>433.156968933333</v>
      </c>
      <c r="J36" s="0" t="n">
        <v>105941.9646</v>
      </c>
      <c r="K36" s="0" t="n">
        <v>60</v>
      </c>
      <c r="L36" s="0" t="inlineStr">
        <is>
          <t>/mnt/d/paper_source/work_9/VeriANN_repro_2026-09-30/VeriANN_repro_2026-09-30/results/work9-nytimes-20261017/nytimes256/VLAH-curve-289761</t>
        </is>
      </c>
    </row>
    <row r="37">
      <c r="A37" s="0" t="inlineStr">
        <is>
          <t>VLAH</t>
        </is>
      </c>
      <c r="B37" s="0" t="inlineStr">
        <is>
          <t>curve</t>
        </is>
      </c>
      <c r="C37" s="0" t="n">
        <v>289761</v>
      </c>
      <c r="D37" s="0" t="n">
        <v>10</v>
      </c>
      <c r="E37" s="0" t="n">
        <v>400</v>
      </c>
      <c r="F37" s="0" t="n">
        <v>13</v>
      </c>
      <c r="G37" s="0" t="n">
        <v>0.925</v>
      </c>
      <c r="H37" s="0" t="n">
        <v>273.801794433333</v>
      </c>
      <c r="I37" s="0" t="n">
        <v>515.45168045</v>
      </c>
      <c r="J37" s="0" t="n">
        <v>125732.4714</v>
      </c>
      <c r="K37" s="0" t="n">
        <v>60</v>
      </c>
      <c r="L37" s="0" t="inlineStr">
        <is>
          <t>/mnt/d/paper_source/work_9/VeriANN_repro_2026-09-30/VeriANN_repro_2026-09-30/results/work9-nytimes-20261017/nytimes256/VLAH-curve-289761</t>
        </is>
      </c>
    </row>
    <row r="38">
      <c r="A38" s="0" t="inlineStr">
        <is>
          <t>VLAH</t>
        </is>
      </c>
      <c r="B38" s="0" t="inlineStr">
        <is>
          <t>curve</t>
        </is>
      </c>
      <c r="C38" s="0" t="n">
        <v>289761</v>
      </c>
      <c r="D38" s="0" t="n">
        <v>10</v>
      </c>
      <c r="E38" s="0" t="n">
        <v>400</v>
      </c>
      <c r="F38" s="0" t="n">
        <v>14</v>
      </c>
      <c r="G38" s="0" t="n">
        <v>0.96</v>
      </c>
      <c r="H38" s="0" t="n">
        <v>295.928621983333</v>
      </c>
      <c r="I38" s="0" t="n">
        <v>556.644589733333</v>
      </c>
      <c r="J38" s="0" t="n">
        <v>135488.6228</v>
      </c>
      <c r="K38" s="0" t="n">
        <v>60</v>
      </c>
      <c r="L38" s="0" t="inlineStr">
        <is>
          <t>/mnt/d/paper_source/work_9/VeriANN_repro_2026-09-30/VeriANN_repro_2026-09-30/results/work9-nytimes-20261017/nytimes256/VLAH-curve-289761</t>
        </is>
      </c>
    </row>
    <row r="39">
      <c r="A39" s="0" t="inlineStr">
        <is>
          <t>VLAH</t>
        </is>
      </c>
      <c r="B39" s="0" t="inlineStr">
        <is>
          <t>curve</t>
        </is>
      </c>
      <c r="C39" s="0" t="n">
        <v>289761</v>
      </c>
      <c r="D39" s="0" t="n">
        <v>10</v>
      </c>
      <c r="E39" s="0" t="n">
        <v>400</v>
      </c>
      <c r="F39" s="0" t="n">
        <v>15</v>
      </c>
      <c r="G39" s="0" t="n">
        <v>0.99</v>
      </c>
      <c r="H39" s="0" t="n">
        <v>315.256652616667</v>
      </c>
      <c r="I39" s="0" t="n">
        <v>590.977314</v>
      </c>
      <c r="J39" s="0" t="n">
        <v>143850.9632</v>
      </c>
      <c r="K39" s="0" t="n">
        <v>60</v>
      </c>
      <c r="L39" s="0" t="inlineStr">
        <is>
          <t>/mnt/d/paper_source/work_9/VeriANN_repro_2026-09-30/VeriANN_repro_2026-09-30/results/work9-nytimes-20261017/nytimes256/VLAH-curve-289761</t>
        </is>
      </c>
    </row>
    <row r="40">
      <c r="A40" s="0" t="inlineStr">
        <is>
          <t>VLAH</t>
        </is>
      </c>
      <c r="B40" s="0" t="inlineStr">
        <is>
          <t>k</t>
        </is>
      </c>
      <c r="C40" s="0" t="n">
        <v>289761</v>
      </c>
      <c r="D40" s="0" t="n">
        <v>1</v>
      </c>
      <c r="E40" s="0" t="n">
        <v>400</v>
      </c>
      <c r="F40" s="0" t="n">
        <v>14</v>
      </c>
      <c r="G40" s="0" t="n">
        <v>1</v>
      </c>
      <c r="H40" s="0" t="n">
        <v>295.26614955</v>
      </c>
      <c r="I40" s="0" t="n">
        <v>557.39184855</v>
      </c>
      <c r="J40" s="0" t="n">
        <v>135488.5868</v>
      </c>
      <c r="K40" s="0" t="n">
        <v>60</v>
      </c>
      <c r="L40" s="0" t="inlineStr">
        <is>
          <t>/mnt/d/paper_source/work_9/VeriANN_repro_2026-09-30/VeriANN_repro_2026-09-30/results/work9-nytimes-20261017/nytimes256/VLAH-k-289761</t>
        </is>
      </c>
    </row>
    <row r="41">
      <c r="A41" s="0" t="inlineStr">
        <is>
          <t>VLAH</t>
        </is>
      </c>
      <c r="B41" s="0" t="inlineStr">
        <is>
          <t>k</t>
        </is>
      </c>
      <c r="C41" s="0" t="n">
        <v>289761</v>
      </c>
      <c r="D41" s="0" t="n">
        <v>5</v>
      </c>
      <c r="E41" s="0" t="n">
        <v>400</v>
      </c>
      <c r="F41" s="0" t="n">
        <v>14</v>
      </c>
      <c r="G41" s="0" t="n">
        <v>0.99</v>
      </c>
      <c r="H41" s="0" t="n">
        <v>296.0646922</v>
      </c>
      <c r="I41" s="0" t="n">
        <v>554.970474783333</v>
      </c>
      <c r="J41" s="0" t="n">
        <v>135488.6028</v>
      </c>
      <c r="K41" s="0" t="n">
        <v>60</v>
      </c>
      <c r="L41" s="0" t="inlineStr">
        <is>
          <t>/mnt/d/paper_source/work_9/VeriANN_repro_2026-09-30/VeriANN_repro_2026-09-30/results/work9-nytimes-20261017/nytimes256/VLAH-k-289761</t>
        </is>
      </c>
    </row>
    <row r="42">
      <c r="A42" s="0" t="inlineStr">
        <is>
          <t>VLAH</t>
        </is>
      </c>
      <c r="B42" s="0" t="inlineStr">
        <is>
          <t>k</t>
        </is>
      </c>
      <c r="C42" s="0" t="n">
        <v>289761</v>
      </c>
      <c r="D42" s="0" t="n">
        <v>10</v>
      </c>
      <c r="E42" s="0" t="n">
        <v>400</v>
      </c>
      <c r="F42" s="0" t="n">
        <v>14</v>
      </c>
      <c r="G42" s="0" t="n">
        <v>0.96</v>
      </c>
      <c r="H42" s="0" t="n">
        <v>296.208391566667</v>
      </c>
      <c r="I42" s="0" t="n">
        <v>551.9385411666671</v>
      </c>
      <c r="J42" s="0" t="n">
        <v>135488.6228</v>
      </c>
      <c r="K42" s="0" t="n">
        <v>60</v>
      </c>
      <c r="L42" s="0" t="inlineStr">
        <is>
          <t>/mnt/d/paper_source/work_9/VeriANN_repro_2026-09-30/VeriANN_repro_2026-09-30/results/work9-nytimes-20261017/nytimes256/VLAH-k-289761</t>
        </is>
      </c>
    </row>
    <row r="43">
      <c r="A43" s="0" t="inlineStr">
        <is>
          <t>VLAH</t>
        </is>
      </c>
      <c r="B43" s="0" t="inlineStr">
        <is>
          <t>k</t>
        </is>
      </c>
      <c r="C43" s="0" t="n">
        <v>289761</v>
      </c>
      <c r="D43" s="0" t="n">
        <v>20</v>
      </c>
      <c r="E43" s="0" t="n">
        <v>400</v>
      </c>
      <c r="F43" s="0" t="n">
        <v>14</v>
      </c>
      <c r="G43" s="0" t="n">
        <v>0.9725</v>
      </c>
      <c r="H43" s="0" t="n">
        <v>297.812085416667</v>
      </c>
      <c r="I43" s="0" t="n">
        <v>551.736770516667</v>
      </c>
      <c r="J43" s="0" t="n">
        <v>135488.6628</v>
      </c>
      <c r="K43" s="0" t="n">
        <v>60</v>
      </c>
      <c r="L43" s="0" t="inlineStr">
        <is>
          <t>/mnt/d/paper_source/work_9/VeriANN_repro_2026-09-30/VeriANN_repro_2026-09-30/results/work9-nytimes-20261017/nytimes256/VLAH-k-289761</t>
        </is>
      </c>
    </row>
    <row r="44">
      <c r="A44" s="0" t="inlineStr">
        <is>
          <t>VLAH</t>
        </is>
      </c>
      <c r="B44" s="0" t="inlineStr">
        <is>
          <t>k</t>
        </is>
      </c>
      <c r="C44" s="0" t="n">
        <v>289761</v>
      </c>
      <c r="D44" s="0" t="n">
        <v>50</v>
      </c>
      <c r="E44" s="0" t="n">
        <v>400</v>
      </c>
      <c r="F44" s="0" t="n">
        <v>14</v>
      </c>
      <c r="G44" s="0" t="n">
        <v>0.957</v>
      </c>
      <c r="H44" s="0" t="n">
        <v>297.087626583333</v>
      </c>
      <c r="I44" s="0" t="n">
        <v>546.579682183333</v>
      </c>
      <c r="J44" s="0" t="n">
        <v>135488.7828</v>
      </c>
      <c r="K44" s="0" t="n">
        <v>60</v>
      </c>
      <c r="L44" s="0" t="inlineStr">
        <is>
          <t>/mnt/d/paper_source/work_9/VeriANN_repro_2026-09-30/VeriANN_repro_2026-09-30/results/work9-nytimes-20261017/nytimes256/VLAH-k-289761</t>
        </is>
      </c>
    </row>
    <row r="45">
      <c r="A45" s="0" t="inlineStr">
        <is>
          <t>VLAH</t>
        </is>
      </c>
      <c r="B45" s="0" t="inlineStr">
        <is>
          <t>k</t>
        </is>
      </c>
      <c r="C45" s="0" t="n">
        <v>289761</v>
      </c>
      <c r="D45" s="0" t="n">
        <v>100</v>
      </c>
      <c r="E45" s="0" t="n">
        <v>400</v>
      </c>
      <c r="F45" s="0" t="n">
        <v>14</v>
      </c>
      <c r="G45" s="0" t="n">
        <v>0.957</v>
      </c>
      <c r="H45" s="0" t="n">
        <v>300.96242795</v>
      </c>
      <c r="I45" s="0" t="n">
        <v>549.201274666667</v>
      </c>
      <c r="J45" s="0" t="n">
        <v>135488.9828</v>
      </c>
      <c r="K45" s="0" t="n">
        <v>60</v>
      </c>
      <c r="L45" s="0" t="inlineStr">
        <is>
          <t>/mnt/d/paper_source/work_9/VeriANN_repro_2026-09-30/VeriANN_repro_2026-09-30/results/work9-nytimes-20261017/nytimes256/VLAH-k-289761</t>
        </is>
      </c>
    </row>
    <row r="46">
      <c r="A46" s="0" t="inlineStr">
        <is>
          <t>VLAH</t>
        </is>
      </c>
      <c r="B46" s="0" t="inlineStr">
        <is>
          <t>size</t>
        </is>
      </c>
      <c r="C46" s="0" t="n">
        <v>100000</v>
      </c>
      <c r="D46" s="0" t="n">
        <v>10</v>
      </c>
      <c r="E46" s="0" t="n">
        <v>100</v>
      </c>
      <c r="F46" s="0" t="n">
        <v>5</v>
      </c>
      <c r="G46" s="0" t="n">
        <v>0.965</v>
      </c>
      <c r="H46" s="0" t="n">
        <v>31.56787525</v>
      </c>
      <c r="I46" s="0" t="n">
        <v>73.12613981666669</v>
      </c>
      <c r="J46" s="0" t="n">
        <v>17664.8286</v>
      </c>
      <c r="K46" s="0" t="n">
        <v>60</v>
      </c>
      <c r="L46" s="0" t="inlineStr">
        <is>
          <t>/mnt/d/paper_source/work_9/VeriANN_repro_2026-09-30/VeriANN_repro_2026-09-30/results/work9-nytimes-20261017/nytimes256/VLAH-size-100000</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F34"/>
  <sheetViews>
    <sheetView workbookViewId="0">
      <pane ySplit="1" topLeftCell="A2" activePane="bottomLeft" state="frozen"/>
      <selection activeCell="A1" sqref="A1"/>
      <selection pane="bottomLeft" activeCell="A1" sqref="A1"/>
    </sheetView>
  </sheetViews>
  <sheetFormatPr baseColWidth="8" defaultColWidth="9" defaultRowHeight="13.5"/>
  <sheetData>
    <row r="1">
      <c r="A1" s="0" t="inlineStr">
        <is>
          <t>method</t>
        </is>
      </c>
      <c r="B1" s="0" t="inlineStr">
        <is>
          <t>target recall</t>
        </is>
      </c>
      <c r="C1" s="0" t="inlineStr">
        <is>
          <t>actual recall</t>
        </is>
      </c>
      <c r="D1" s="0" t="inlineStr">
        <is>
          <t>query ms</t>
        </is>
      </c>
      <c r="E1" s="0" t="inlineStr">
        <is>
          <t>verify ms</t>
        </is>
      </c>
      <c r="F1" s="0" t="inlineStr">
        <is>
          <t>VO KB</t>
        </is>
      </c>
    </row>
    <row r="2">
      <c r="A2" s="0" t="inlineStr">
        <is>
          <t>ANNProof</t>
        </is>
      </c>
      <c r="B2" s="0" t="n">
        <v>0.6</v>
      </c>
      <c r="C2" s="0" t="n">
        <v>0.84</v>
      </c>
      <c r="D2" s="0" t="n">
        <v>1.28528681666667</v>
      </c>
      <c r="E2" s="0" t="n">
        <v>6.37703646666667</v>
      </c>
      <c r="F2" s="0" t="n">
        <v>651.932</v>
      </c>
    </row>
    <row r="3">
      <c r="A3" s="0" t="inlineStr">
        <is>
          <t>ANNProof</t>
        </is>
      </c>
      <c r="B3" s="0" t="n">
        <v>0.65</v>
      </c>
      <c r="C3" s="0" t="n">
        <v>0.84</v>
      </c>
      <c r="D3" s="0" t="n">
        <v>1.28528681666667</v>
      </c>
      <c r="E3" s="0" t="n">
        <v>6.37703646666667</v>
      </c>
      <c r="F3" s="0" t="n">
        <v>651.932</v>
      </c>
    </row>
    <row r="4">
      <c r="A4" s="0" t="inlineStr">
        <is>
          <t>ANNProof</t>
        </is>
      </c>
      <c r="B4" s="0" t="n">
        <v>0.7</v>
      </c>
      <c r="C4" s="0" t="n">
        <v>0.84</v>
      </c>
      <c r="D4" s="0" t="n">
        <v>1.28528681666667</v>
      </c>
      <c r="E4" s="0" t="n">
        <v>6.37703646666667</v>
      </c>
      <c r="F4" s="0" t="n">
        <v>651.932</v>
      </c>
    </row>
    <row r="5">
      <c r="A5" s="0" t="inlineStr">
        <is>
          <t>ANNProof</t>
        </is>
      </c>
      <c r="B5" s="0" t="n">
        <v>0.75</v>
      </c>
      <c r="C5" s="0" t="n">
        <v>0.84</v>
      </c>
      <c r="D5" s="0" t="n">
        <v>1.28528681666667</v>
      </c>
      <c r="E5" s="0" t="n">
        <v>6.37703646666667</v>
      </c>
      <c r="F5" s="0" t="n">
        <v>651.932</v>
      </c>
    </row>
    <row r="6">
      <c r="A6" s="0" t="inlineStr">
        <is>
          <t>ANNProof</t>
        </is>
      </c>
      <c r="B6" s="0" t="n">
        <v>0.8</v>
      </c>
      <c r="C6" s="0" t="n">
        <v>0.84</v>
      </c>
      <c r="D6" s="0" t="n">
        <v>1.28528681666667</v>
      </c>
      <c r="E6" s="0" t="n">
        <v>6.37703646666667</v>
      </c>
      <c r="F6" s="0" t="n">
        <v>651.932</v>
      </c>
    </row>
    <row r="7">
      <c r="A7" s="0" t="inlineStr">
        <is>
          <t>ANNProof</t>
        </is>
      </c>
      <c r="B7" s="0" t="n">
        <v>0.85</v>
      </c>
      <c r="C7" s="0" t="n">
        <v>0.855</v>
      </c>
      <c r="D7" s="0" t="n">
        <v>2.58172271666667</v>
      </c>
      <c r="E7" s="0" t="n">
        <v>12.07894735</v>
      </c>
      <c r="F7" s="0" t="n">
        <v>1264.985</v>
      </c>
    </row>
    <row r="8">
      <c r="A8" s="0" t="inlineStr">
        <is>
          <t>ANNProof</t>
        </is>
      </c>
      <c r="B8" s="0" t="n">
        <v>0.9</v>
      </c>
      <c r="C8" s="0" t="n">
        <v>0.9</v>
      </c>
      <c r="D8" s="0" t="n">
        <v>4.64559393333333</v>
      </c>
      <c r="E8" s="0" t="n">
        <v>20.1642276166667</v>
      </c>
      <c r="F8" s="0" t="n">
        <v>2169.0354</v>
      </c>
    </row>
    <row r="9">
      <c r="A9" s="0" t="inlineStr">
        <is>
          <t>ANNProof</t>
        </is>
      </c>
      <c r="B9" s="0" t="n">
        <v>0.95</v>
      </c>
      <c r="C9" s="0" t="n">
        <v>0.96</v>
      </c>
      <c r="D9" s="0" t="n">
        <v>22.3159277666667</v>
      </c>
      <c r="E9" s="0" t="n">
        <v>86.1523698333333</v>
      </c>
      <c r="F9" s="0" t="n">
        <v>9647.870999999999</v>
      </c>
    </row>
    <row r="10">
      <c r="A10" s="0" t="inlineStr">
        <is>
          <t>ANNProof</t>
        </is>
      </c>
      <c r="B10" s="0" t="n">
        <v>0.97</v>
      </c>
      <c r="C10" s="0" t="n">
        <v>0.97</v>
      </c>
      <c r="D10" s="0" t="n">
        <v>44.3849581833333</v>
      </c>
      <c r="E10" s="0" t="n">
        <v>158.61361355</v>
      </c>
      <c r="F10" s="0" t="n">
        <v>18191.3746</v>
      </c>
    </row>
    <row r="11">
      <c r="A11" s="0" t="inlineStr">
        <is>
          <t>ANNProof</t>
        </is>
      </c>
      <c r="B11" s="0" t="n">
        <v>0.98</v>
      </c>
      <c r="C11" s="0" t="n">
        <v>0.985</v>
      </c>
      <c r="D11" s="0" t="n">
        <v>56.8982416833333</v>
      </c>
      <c r="E11" s="0" t="n">
        <v>204.722528233333</v>
      </c>
      <c r="F11" s="0" t="n">
        <v>23543.0654</v>
      </c>
    </row>
    <row r="12">
      <c r="A12" s="0" t="inlineStr">
        <is>
          <t>ANNProof</t>
        </is>
      </c>
      <c r="B12" s="0" t="n">
        <v>0.99</v>
      </c>
      <c r="C12" s="0" t="n">
        <v>1</v>
      </c>
      <c r="D12" s="0" t="n">
        <v>87.84406300000001</v>
      </c>
      <c r="E12" s="0" t="n">
        <v>295.476212833333</v>
      </c>
      <c r="F12" s="0" t="n">
        <v>34273.459</v>
      </c>
    </row>
    <row r="13">
      <c r="A13" s="0" t="inlineStr">
        <is>
          <t>Ours</t>
        </is>
      </c>
      <c r="B13" s="0" t="n">
        <v>0.6</v>
      </c>
      <c r="C13" s="0" t="n">
        <v>0.61</v>
      </c>
      <c r="D13" s="0" t="n">
        <v>1.3048278</v>
      </c>
      <c r="E13" s="0" t="n">
        <v>3.15162981666667</v>
      </c>
      <c r="F13" s="0" t="n">
        <v>188.3066</v>
      </c>
    </row>
    <row r="14">
      <c r="A14" s="0" t="inlineStr">
        <is>
          <t>Ours</t>
        </is>
      </c>
      <c r="B14" s="0" t="n">
        <v>0.65</v>
      </c>
      <c r="C14" s="0" t="n">
        <v>0.7</v>
      </c>
      <c r="D14" s="0" t="n">
        <v>1.7065919</v>
      </c>
      <c r="E14" s="0" t="n">
        <v>4.04489688333333</v>
      </c>
      <c r="F14" s="0" t="n">
        <v>241.1502</v>
      </c>
    </row>
    <row r="15">
      <c r="A15" s="0" t="inlineStr">
        <is>
          <t>Ours</t>
        </is>
      </c>
      <c r="B15" s="0" t="n">
        <v>0.7</v>
      </c>
      <c r="C15" s="0" t="n">
        <v>0.7</v>
      </c>
      <c r="D15" s="0" t="n">
        <v>1.7065919</v>
      </c>
      <c r="E15" s="0" t="n">
        <v>4.04489688333333</v>
      </c>
      <c r="F15" s="0" t="n">
        <v>241.1502</v>
      </c>
    </row>
    <row r="16">
      <c r="A16" s="0" t="inlineStr">
        <is>
          <t>Ours</t>
        </is>
      </c>
      <c r="B16" s="0" t="n">
        <v>0.75</v>
      </c>
      <c r="C16" s="0" t="n">
        <v>0.825</v>
      </c>
      <c r="D16" s="0" t="n">
        <v>2.05966926666667</v>
      </c>
      <c r="E16" s="0" t="n">
        <v>4.75943038333333</v>
      </c>
      <c r="F16" s="0" t="n">
        <v>283.509</v>
      </c>
    </row>
    <row r="17">
      <c r="A17" s="0" t="inlineStr">
        <is>
          <t>Ours</t>
        </is>
      </c>
      <c r="B17" s="0" t="n">
        <v>0.8</v>
      </c>
      <c r="C17" s="0" t="n">
        <v>0.825</v>
      </c>
      <c r="D17" s="0" t="n">
        <v>2.05966926666667</v>
      </c>
      <c r="E17" s="0" t="n">
        <v>4.75943038333333</v>
      </c>
      <c r="F17" s="0" t="n">
        <v>283.509</v>
      </c>
    </row>
    <row r="18">
      <c r="A18" s="0" t="inlineStr">
        <is>
          <t>Ours</t>
        </is>
      </c>
      <c r="B18" s="0" t="n">
        <v>0.85</v>
      </c>
      <c r="C18" s="0" t="n">
        <v>0.855</v>
      </c>
      <c r="D18" s="0" t="n">
        <v>3.5460066</v>
      </c>
      <c r="E18" s="0" t="n">
        <v>7.83703861666667</v>
      </c>
      <c r="F18" s="0" t="n">
        <v>463.9742</v>
      </c>
    </row>
    <row r="19">
      <c r="A19" s="0" t="inlineStr">
        <is>
          <t>Ours</t>
        </is>
      </c>
      <c r="B19" s="0" t="n">
        <v>0.9</v>
      </c>
      <c r="C19" s="0" t="n">
        <v>0.905</v>
      </c>
      <c r="D19" s="0" t="n">
        <v>4.89644948333333</v>
      </c>
      <c r="E19" s="0" t="n">
        <v>10.51414495</v>
      </c>
      <c r="F19" s="0" t="n">
        <v>616.955</v>
      </c>
    </row>
    <row r="20">
      <c r="A20" s="0" t="inlineStr">
        <is>
          <t>Ours</t>
        </is>
      </c>
      <c r="B20" s="0" t="n">
        <v>0.95</v>
      </c>
      <c r="C20" s="0" t="n">
        <v>0.955</v>
      </c>
      <c r="D20" s="0" t="n">
        <v>10.7765117333333</v>
      </c>
      <c r="E20" s="0" t="n">
        <v>22.1553105166667</v>
      </c>
      <c r="F20" s="0" t="n">
        <v>1271.2486</v>
      </c>
    </row>
    <row r="21">
      <c r="A21" s="0" t="inlineStr">
        <is>
          <t>Ours</t>
        </is>
      </c>
      <c r="B21" s="0" t="n">
        <v>0.97</v>
      </c>
      <c r="C21" s="0" t="n">
        <v>0.97</v>
      </c>
      <c r="D21" s="0" t="n">
        <v>19.7508237</v>
      </c>
      <c r="E21" s="0" t="n">
        <v>39.7045313</v>
      </c>
      <c r="F21" s="0" t="n">
        <v>2220.0928</v>
      </c>
    </row>
    <row r="22">
      <c r="A22" s="0" t="inlineStr">
        <is>
          <t>Ours</t>
        </is>
      </c>
      <c r="B22" s="0" t="n">
        <v>0.98</v>
      </c>
      <c r="C22" s="0" t="n">
        <v>0.98</v>
      </c>
      <c r="D22" s="0" t="n">
        <v>37.6738647166667</v>
      </c>
      <c r="E22" s="0" t="n">
        <v>74.0049278666667</v>
      </c>
      <c r="F22" s="0" t="n">
        <v>3968.8662</v>
      </c>
    </row>
    <row r="23">
      <c r="A23" s="0" t="inlineStr">
        <is>
          <t>Ours</t>
        </is>
      </c>
      <c r="B23" s="0" t="n">
        <v>0.99</v>
      </c>
      <c r="C23" s="0" t="n">
        <v>1</v>
      </c>
      <c r="D23" s="0" t="n">
        <v>55.6170811833333</v>
      </c>
      <c r="E23" s="0" t="n">
        <v>108.36732445</v>
      </c>
      <c r="F23" s="0" t="n">
        <v>5573.382</v>
      </c>
    </row>
    <row r="24">
      <c r="A24" s="0" t="inlineStr">
        <is>
          <t>VLAH</t>
        </is>
      </c>
      <c r="B24" s="0" t="n">
        <v>0.6</v>
      </c>
      <c r="C24" s="0" t="n">
        <v>0.67</v>
      </c>
      <c r="D24" s="0" t="n">
        <v>143.59484805</v>
      </c>
      <c r="E24" s="0" t="n">
        <v>272.33098235</v>
      </c>
      <c r="F24" s="0" t="n">
        <v>67011.7597</v>
      </c>
    </row>
    <row r="25">
      <c r="A25" s="0" t="inlineStr">
        <is>
          <t>VLAH</t>
        </is>
      </c>
      <c r="B25" s="0" t="n">
        <v>0.65</v>
      </c>
      <c r="C25" s="0" t="n">
        <v>0.67</v>
      </c>
      <c r="D25" s="0" t="n">
        <v>143.59484805</v>
      </c>
      <c r="E25" s="0" t="n">
        <v>272.33098235</v>
      </c>
      <c r="F25" s="0" t="n">
        <v>67011.7597</v>
      </c>
    </row>
    <row r="26">
      <c r="A26" s="0" t="inlineStr">
        <is>
          <t>VLAH</t>
        </is>
      </c>
      <c r="B26" s="0" t="n">
        <v>0.7</v>
      </c>
      <c r="C26" s="0" t="n">
        <v>0.715</v>
      </c>
      <c r="D26" s="0" t="n">
        <v>164.394885933333</v>
      </c>
      <c r="E26" s="0" t="n">
        <v>311.96292125</v>
      </c>
      <c r="F26" s="0" t="n">
        <v>76710.86625000001</v>
      </c>
    </row>
    <row r="27">
      <c r="A27" s="0" t="inlineStr">
        <is>
          <t>VLAH</t>
        </is>
      </c>
      <c r="B27" s="0" t="n">
        <v>0.75</v>
      </c>
      <c r="C27" s="0" t="n">
        <v>0.78</v>
      </c>
      <c r="D27" s="0" t="n">
        <v>185.147734933333</v>
      </c>
      <c r="E27" s="0" t="n">
        <v>351.799705383333</v>
      </c>
      <c r="F27" s="0" t="n">
        <v>86460.41185</v>
      </c>
    </row>
    <row r="28">
      <c r="A28" s="0" t="inlineStr">
        <is>
          <t>VLAH</t>
        </is>
      </c>
      <c r="B28" s="0" t="n">
        <v>0.8</v>
      </c>
      <c r="C28" s="0" t="n">
        <v>0.82</v>
      </c>
      <c r="D28" s="0" t="n">
        <v>206.091788883333</v>
      </c>
      <c r="E28" s="0" t="n">
        <v>392.74538455</v>
      </c>
      <c r="F28" s="0" t="n">
        <v>96245.68545</v>
      </c>
    </row>
    <row r="29">
      <c r="A29" s="0" t="inlineStr">
        <is>
          <t>VLAH</t>
        </is>
      </c>
      <c r="B29" s="0" t="n">
        <v>0.85</v>
      </c>
      <c r="C29" s="0" t="n">
        <v>0.875</v>
      </c>
      <c r="D29" s="0" t="n">
        <v>231.242866266667</v>
      </c>
      <c r="E29" s="0" t="n">
        <v>433.156968933333</v>
      </c>
      <c r="F29" s="0" t="n">
        <v>105941.9646</v>
      </c>
    </row>
    <row r="30">
      <c r="A30" s="0" t="inlineStr">
        <is>
          <t>VLAH</t>
        </is>
      </c>
      <c r="B30" s="0" t="n">
        <v>0.9</v>
      </c>
      <c r="C30" s="0" t="n">
        <v>0.925</v>
      </c>
      <c r="D30" s="0" t="n">
        <v>273.801794433333</v>
      </c>
      <c r="E30" s="0" t="n">
        <v>515.45168045</v>
      </c>
      <c r="F30" s="0" t="n">
        <v>125732.4714</v>
      </c>
    </row>
    <row r="31">
      <c r="A31" s="0" t="inlineStr">
        <is>
          <t>VLAH</t>
        </is>
      </c>
      <c r="B31" s="0" t="n">
        <v>0.95</v>
      </c>
      <c r="C31" s="0" t="n">
        <v>0.96</v>
      </c>
      <c r="D31" s="0" t="n">
        <v>295.928621983333</v>
      </c>
      <c r="E31" s="0" t="n">
        <v>556.644589733333</v>
      </c>
      <c r="F31" s="0" t="n">
        <v>135488.6228</v>
      </c>
    </row>
    <row r="32">
      <c r="A32" s="0" t="inlineStr">
        <is>
          <t>VLAH</t>
        </is>
      </c>
      <c r="B32" s="0" t="n">
        <v>0.97</v>
      </c>
      <c r="C32" s="0" t="n">
        <v>0.99</v>
      </c>
      <c r="D32" s="0" t="n">
        <v>315.256652616667</v>
      </c>
      <c r="E32" s="0" t="n">
        <v>590.977314</v>
      </c>
      <c r="F32" s="0" t="n">
        <v>143850.9632</v>
      </c>
    </row>
    <row r="33">
      <c r="A33" s="0" t="inlineStr">
        <is>
          <t>VLAH</t>
        </is>
      </c>
      <c r="B33" s="0" t="n">
        <v>0.98</v>
      </c>
      <c r="C33" s="0" t="n">
        <v>0.99</v>
      </c>
      <c r="D33" s="0" t="n">
        <v>315.256652616667</v>
      </c>
      <c r="E33" s="0" t="n">
        <v>590.977314</v>
      </c>
      <c r="F33" s="0" t="n">
        <v>143850.9632</v>
      </c>
    </row>
    <row r="34">
      <c r="A34" s="0" t="inlineStr">
        <is>
          <t>VLAH</t>
        </is>
      </c>
      <c r="B34" s="0" t="n">
        <v>0.99</v>
      </c>
      <c r="C34" s="0" t="n">
        <v>0.99</v>
      </c>
      <c r="D34" s="0" t="n">
        <v>315.256652616667</v>
      </c>
      <c r="E34" s="0" t="n">
        <v>590.977314</v>
      </c>
      <c r="F34" s="0" t="n">
        <v>143850.9632</v>
      </c>
    </row>
  </sheetData>
  <pageMargins left="0.75" right="0.75" top="1" bottom="1" header="0.5" footer="0.5"/>
  <drawing xmlns:r="http://schemas.openxmlformats.org/officeDocument/2006/relationships" r:id="rId1"/>
</worksheet>
</file>

<file path=xl/worksheets/sheet36.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ColWidth="9" defaultRowHeight="13.5" outlineLevelRow="7"/>
  <sheetData>
    <row r="1">
      <c r="A1" s="0" t="inlineStr">
        <is>
          <t>项目</t>
        </is>
      </c>
      <c r="B1" s="0" t="inlineStr">
        <is>
          <t>说明</t>
        </is>
      </c>
    </row>
    <row r="2">
      <c r="A2" s="0" t="inlineStr">
        <is>
          <t>替换</t>
        </is>
      </c>
      <c r="B2" s="0" t="inlineStr">
        <is>
          <t>用户选定NYTimes-256；GIST1M未删除，归档见work9-nytimes-20261017/work9_before_nytimes.xlsx及gist_archive_manifest.json。</t>
        </is>
      </c>
    </row>
    <row r="3">
      <c r="A3" s="0" t="inlineStr">
        <is>
          <t>数据</t>
        </is>
      </c>
      <c r="B3" s="0" t="inlineStr">
        <is>
          <t>公开ANN-Benchmarks NYTimes-256 angular，源290000 base；统一剔除239个零向量后289761条。查询行号不变，所用20条均非零；单位归一化为float32，以平方L2排序。原ID映射及零向量审计保留。</t>
        </is>
      </c>
    </row>
    <row r="4">
      <c r="A4" s="0" t="inlineStr">
        <is>
          <t>规模</t>
        </is>
      </c>
      <c r="B4" s="0" t="inlineStr">
        <is>
          <t>保留原100K/500K/1M/5M/10M规模列；仅100K适用，其余不适用。总体/召回/k/受控消融用全部289761条清洗基库。</t>
        </is>
      </c>
    </row>
    <row r="5">
      <c r="A5" s="0" t="inlineStr">
        <is>
          <t>协议</t>
        </is>
      </c>
      <c r="B5" s="0" t="inlineStr">
        <is>
          <t>20条查询IDs100..119×3次；查询、生成VO、验证单线程；同工作负载调参，不是独立留出准确率估计。</t>
        </is>
      </c>
    </row>
    <row r="6">
      <c r="A6" s="0" t="inlineStr">
        <is>
          <t>公平性</t>
        </is>
      </c>
      <c r="B6" s="0" t="inlineStr">
        <is>
          <t>所有方法重测；ANNProof保持原完整优化配置，不能以消融版本替换主baseline。无法保证Ours在新数据上占优。</t>
        </is>
      </c>
    </row>
    <row r="7">
      <c r="A7" s="0" t="inlineStr">
        <is>
          <t>历史说明</t>
        </is>
      </c>
      <c r="B7" s="0" t="inlineStr">
        <is>
          <t>辅助表中原GIST数据行清空，原始历史完整保留于外部归档。新数据不得由旧GIST结果重命名取得。</t>
        </is>
      </c>
    </row>
    <row r="8">
      <c r="A8" s="0" t="inlineStr">
        <is>
          <t>进度</t>
        </is>
      </c>
      <c r="B8" s="0" t="inlineStr">
        <is>
          <t>待测仅由完整60次且验证通过的实测记录替代；失败或目标不可达明确标注。</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Q21"/>
  <sheetViews>
    <sheetView workbookViewId="0">
      <pane xSplit="2" ySplit="1" topLeftCell="C2"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3.5"/>
  <cols>
    <col width="24" customWidth="1" style="1" min="1" max="1"/>
    <col width="90" customWidth="1" style="1" min="2" max="2"/>
  </cols>
  <sheetData>
    <row r="1">
      <c r="A1" s="7" t="inlineStr">
        <is>
          <t>Dataset</t>
        </is>
      </c>
      <c r="B1" s="7" t="inlineStr">
        <is>
          <t>Method</t>
        </is>
      </c>
      <c r="C1" s="7" t="inlineStr">
        <is>
          <t>N</t>
        </is>
      </c>
      <c r="D1" s="7" t="inlineStr">
        <is>
          <t>D</t>
        </is>
      </c>
      <c r="E1" s="7" t="inlineStr">
        <is>
          <t>Threads</t>
        </is>
      </c>
      <c r="F1" s="7" t="inlineStr">
        <is>
          <t>Build repetitions</t>
        </is>
      </c>
      <c r="G1" s="7" t="inlineStr">
        <is>
          <t>Search bytes</t>
        </is>
      </c>
      <c r="H1" s="7" t="inlineStr">
        <is>
          <t>Authentication bytes</t>
        </is>
      </c>
      <c r="I1" s="7" t="inlineStr">
        <is>
          <t>Total MB</t>
        </is>
      </c>
      <c r="J1" s="7" t="inlineStr">
        <is>
          <t>Search/index seconds</t>
        </is>
      </c>
      <c r="K1" s="7" t="inlineStr">
        <is>
          <t>Authentication seconds</t>
        </is>
      </c>
      <c r="L1" s="7" t="inlineStr">
        <is>
          <t>Total construction seconds</t>
        </is>
      </c>
      <c r="M1" s="7" t="inlineStr">
        <is>
          <t>Peak RSS GiB</t>
        </is>
      </c>
      <c r="N1" s="7" t="inlineStr">
        <is>
          <t>Status</t>
        </is>
      </c>
      <c r="O1" s="7" t="inlineStr">
        <is>
          <t>M</t>
        </is>
      </c>
      <c r="P1" s="7" t="inlineStr">
        <is>
          <t>efConstruction / K</t>
        </is>
      </c>
      <c r="Q1" s="7" t="inlineStr">
        <is>
          <t>Source</t>
        </is>
      </c>
    </row>
    <row r="2">
      <c r="A2" s="0" t="inlineStr">
        <is>
          <t>SIFT1M</t>
        </is>
      </c>
      <c r="B2" s="0" t="inlineStr">
        <is>
          <t>VLAH</t>
        </is>
      </c>
      <c r="C2" s="0" t="n">
        <v>1000000</v>
      </c>
      <c r="D2" s="0" t="n">
        <v>128</v>
      </c>
      <c r="E2" s="0" t="n">
        <v>1</v>
      </c>
      <c r="F2" s="0" t="n">
        <v>1</v>
      </c>
      <c r="G2" s="0" t="n">
        <v>647023396</v>
      </c>
      <c r="H2" s="0" t="n">
        <v>104877065</v>
      </c>
      <c r="I2" s="0" t="n">
        <v>751.900461</v>
      </c>
      <c r="J2" s="0" t="n">
        <v>67.01429392</v>
      </c>
      <c r="K2" s="0" t="n">
        <v>1.778383226</v>
      </c>
      <c r="L2" s="0" t="n">
        <v>68.792677146</v>
      </c>
      <c r="M2" s="0" t="n">
        <v>1.33433151245117</v>
      </c>
      <c r="N2" s="0" t="inlineStr">
        <is>
          <t>实测</t>
        </is>
      </c>
      <c r="O2" s="0" t="n">
        <v>8</v>
      </c>
      <c r="P2" s="0" t="n">
        <v>100</v>
      </c>
      <c r="Q2" s="0" t="inlineStr">
        <is>
          <t>/mnt/d/paper_source/work_9/VeriANN_repro_2026-09-30/VeriANN_repro_2026-09-30/results/work9-index-20261017/sift1m/VLAH/measurement.json</t>
        </is>
      </c>
    </row>
    <row r="3">
      <c r="A3" s="0" t="inlineStr">
        <is>
          <t>SIFT1M</t>
        </is>
      </c>
      <c r="B3" s="0" t="inlineStr">
        <is>
          <t>ANNProof</t>
        </is>
      </c>
      <c r="C3" s="0" t="n">
        <v>1000000</v>
      </c>
      <c r="D3" s="0" t="n">
        <v>128</v>
      </c>
      <c r="E3" s="0" t="n">
        <v>1</v>
      </c>
      <c r="F3" s="0" t="n">
        <v>1</v>
      </c>
      <c r="G3" s="0" t="n">
        <v>598148104</v>
      </c>
      <c r="H3" s="0" t="n">
        <v>209741652</v>
      </c>
      <c r="I3" s="0" t="n">
        <v>807.889756</v>
      </c>
      <c r="J3" s="0" t="n">
        <v>244.121424163</v>
      </c>
      <c r="K3" s="0" t="n">
        <v>7.832766812</v>
      </c>
      <c r="L3" s="0" t="n">
        <v>251.954190975</v>
      </c>
      <c r="M3" s="0" t="n">
        <v>2.23921203613281</v>
      </c>
      <c r="N3" s="0" t="inlineStr">
        <is>
          <t>实测</t>
        </is>
      </c>
      <c r="O3" s="0" t="n">
        <v>8</v>
      </c>
      <c r="P3" s="0" t="n">
        <v>100</v>
      </c>
      <c r="Q3" s="0" t="inlineStr">
        <is>
          <t>/mnt/d/paper_source/work_9/VeriANN_repro_2026-09-30/VeriANN_repro_2026-09-30/results/work9-index-20261017/sift1m/ANNProof/measurement.json</t>
        </is>
      </c>
    </row>
    <row r="4">
      <c r="A4" s="0" t="inlineStr">
        <is>
          <t>SIFT1M</t>
        </is>
      </c>
      <c r="B4" s="0" t="inlineStr">
        <is>
          <t>Ours</t>
        </is>
      </c>
      <c r="C4" s="0" t="n">
        <v>1000000</v>
      </c>
      <c r="D4" s="0" t="n">
        <v>128</v>
      </c>
      <c r="E4" s="0" t="n">
        <v>1</v>
      </c>
      <c r="F4" s="0" t="n">
        <v>1</v>
      </c>
      <c r="G4" s="0" t="n">
        <v>688567762</v>
      </c>
      <c r="H4" s="0" t="n">
        <v>276436148</v>
      </c>
      <c r="I4" s="0" t="n">
        <v>965.00391</v>
      </c>
      <c r="J4" s="0" t="n">
        <v>244.08602506</v>
      </c>
      <c r="K4" s="0" t="n">
        <v>8.680739421</v>
      </c>
      <c r="L4" s="0" t="n">
        <v>252.766764481</v>
      </c>
      <c r="M4" s="0" t="n">
        <v>1.39260101318359</v>
      </c>
      <c r="N4" s="0" t="inlineStr">
        <is>
          <t>实测</t>
        </is>
      </c>
      <c r="O4" s="0" t="n">
        <v>8</v>
      </c>
      <c r="P4" s="0" t="n">
        <v>100</v>
      </c>
      <c r="Q4" s="0" t="inlineStr">
        <is>
          <t>/mnt/d/paper_source/work_9/VeriANN_repro_2026-09-30/VeriANN_repro_2026-09-30/results/work9-index-20261017/sift1m/Ours/measurement.json</t>
        </is>
      </c>
    </row>
    <row r="5">
      <c r="A5" s="0" t="inlineStr">
        <is>
          <t>SIFT1M</t>
        </is>
      </c>
      <c r="B5" s="0" t="inlineStr">
        <is>
          <t>V3DB</t>
        </is>
      </c>
      <c r="C5" s="0" t="n">
        <v>1000000</v>
      </c>
      <c r="D5" s="0" t="n">
        <v>128</v>
      </c>
      <c r="E5" s="0" t="n">
        <v>1</v>
      </c>
      <c r="F5" s="0" t="n">
        <v>1</v>
      </c>
      <c r="G5" s="0" t="n">
        <v>522107170</v>
      </c>
      <c r="H5" s="0" t="n">
        <v>8724</v>
      </c>
      <c r="I5" s="0" t="n">
        <v>522.115894</v>
      </c>
      <c r="J5" s="0" t="n">
        <v>153.261268391</v>
      </c>
      <c r="K5" s="0" t="n">
        <v>45.75259267</v>
      </c>
      <c r="L5" s="0" t="n">
        <v>199.013861061</v>
      </c>
      <c r="M5" s="0" t="n">
        <v>3.07323455810547</v>
      </c>
      <c r="N5" s="0" t="inlineStr">
        <is>
          <t>实测</t>
        </is>
      </c>
      <c r="O5" s="0" t="n">
        <v>128</v>
      </c>
      <c r="P5" s="0" t="n">
        <v>1024</v>
      </c>
      <c r="Q5" s="0" t="inlineStr">
        <is>
          <t>/mnt/d/paper_source/work_9/VeriANN_repro_2026-09-30/VeriANN_repro_2026-09-30/results/work9-index-20261017/sift1m/V3DB/measurement.json</t>
        </is>
      </c>
    </row>
    <row r="6">
      <c r="A6" s="0" t="inlineStr">
        <is>
          <t>NYTimes-256</t>
        </is>
      </c>
      <c r="B6" s="0" t="inlineStr">
        <is>
          <t>VLAH</t>
        </is>
      </c>
      <c r="C6" s="0" t="n">
        <v>289761</v>
      </c>
      <c r="D6" s="0" t="n">
        <v>256</v>
      </c>
      <c r="E6" s="0" t="n">
        <v>1</v>
      </c>
      <c r="F6" s="0" t="n">
        <v>1</v>
      </c>
      <c r="G6" s="0" t="n">
        <v>379367244</v>
      </c>
      <c r="H6" s="0" t="n">
        <v>30414260</v>
      </c>
      <c r="I6" s="0" t="n">
        <v>409.781504</v>
      </c>
      <c r="J6" s="0" t="n">
        <v>226.674960304</v>
      </c>
      <c r="K6" s="0" t="n">
        <v>0.6364682659999999</v>
      </c>
      <c r="L6" s="0" t="n">
        <v>227.31142857</v>
      </c>
      <c r="M6" s="0" t="n">
        <v>0.728420257568359</v>
      </c>
      <c r="N6" s="0" t="inlineStr">
        <is>
          <t>实测</t>
        </is>
      </c>
      <c r="O6" s="0" t="n">
        <v>16</v>
      </c>
      <c r="P6" s="0" t="n">
        <v>200</v>
      </c>
      <c r="Q6" s="0" t="inlineStr">
        <is>
          <t>/mnt/d/paper_source/work_9/VeriANN_repro_2026-09-30/VeriANN_repro_2026-09-30/results/work9-index-20261017/nytimes256/VLAH/measurement.json</t>
        </is>
      </c>
    </row>
    <row r="7">
      <c r="A7" s="0" t="inlineStr">
        <is>
          <t>NYTimes-256</t>
        </is>
      </c>
      <c r="B7" s="0" t="inlineStr">
        <is>
          <t>ANNProof</t>
        </is>
      </c>
      <c r="C7" s="0" t="n">
        <v>289761</v>
      </c>
      <c r="D7" s="0" t="n">
        <v>256</v>
      </c>
      <c r="E7" s="0" t="n">
        <v>1</v>
      </c>
      <c r="F7" s="0" t="n">
        <v>1</v>
      </c>
      <c r="G7" s="0" t="n">
        <v>339719476</v>
      </c>
      <c r="H7" s="0" t="n">
        <v>60825116</v>
      </c>
      <c r="I7" s="0" t="n">
        <v>400.544592</v>
      </c>
      <c r="J7" s="0" t="n">
        <v>438.449395141</v>
      </c>
      <c r="K7" s="0" t="n">
        <v>3.594126453</v>
      </c>
      <c r="L7" s="0" t="n">
        <v>442.043521594</v>
      </c>
      <c r="M7" s="0" t="n">
        <v>1.26118850708008</v>
      </c>
      <c r="N7" s="0" t="inlineStr">
        <is>
          <t>实测</t>
        </is>
      </c>
      <c r="O7" s="0" t="n">
        <v>16</v>
      </c>
      <c r="P7" s="0" t="n">
        <v>200</v>
      </c>
      <c r="Q7" s="0" t="inlineStr">
        <is>
          <t>/mnt/d/paper_source/work_9/VeriANN_repro_2026-09-30/VeriANN_repro_2026-09-30/results/work9-index-20261017/nytimes256/ANNProof/measurement.json</t>
        </is>
      </c>
    </row>
    <row r="8">
      <c r="A8" s="0" t="inlineStr">
        <is>
          <t>NYTimes-256</t>
        </is>
      </c>
      <c r="B8" s="0" t="inlineStr">
        <is>
          <t>Ours</t>
        </is>
      </c>
      <c r="C8" s="0" t="n">
        <v>289761</v>
      </c>
      <c r="D8" s="0" t="n">
        <v>256</v>
      </c>
      <c r="E8" s="0" t="n">
        <v>1</v>
      </c>
      <c r="F8" s="0" t="n">
        <v>1</v>
      </c>
      <c r="G8" s="0" t="n">
        <v>394159270</v>
      </c>
      <c r="H8" s="0" t="n">
        <v>102982108</v>
      </c>
      <c r="I8" s="0" t="n">
        <v>497.141378</v>
      </c>
      <c r="J8" s="0" t="n">
        <v>440.019661231</v>
      </c>
      <c r="K8" s="0" t="n">
        <v>4.506980269</v>
      </c>
      <c r="L8" s="0" t="n">
        <v>444.5266415</v>
      </c>
      <c r="M8" s="0" t="n">
        <v>0.7544097900390619</v>
      </c>
      <c r="N8" s="0" t="inlineStr">
        <is>
          <t>实测</t>
        </is>
      </c>
      <c r="O8" s="0" t="n">
        <v>16</v>
      </c>
      <c r="P8" s="0" t="n">
        <v>200</v>
      </c>
      <c r="Q8" s="0" t="inlineStr">
        <is>
          <t>/mnt/d/paper_source/work_9/VeriANN_repro_2026-09-30/VeriANN_repro_2026-09-30/results/work9-index-20261017/nytimes256/Ours/measurement.json</t>
        </is>
      </c>
    </row>
    <row r="9">
      <c r="A9" s="0" t="inlineStr">
        <is>
          <t>NYTimes-256</t>
        </is>
      </c>
      <c r="B9" s="0" t="inlineStr">
        <is>
          <t>V3DB</t>
        </is>
      </c>
      <c r="C9" s="0" t="n">
        <v>289761</v>
      </c>
      <c r="D9" s="0" t="n">
        <v>256</v>
      </c>
      <c r="E9" s="0" t="n">
        <v>1</v>
      </c>
      <c r="F9" s="0" t="n">
        <v>1</v>
      </c>
      <c r="G9" s="0" t="n">
        <v>300612138</v>
      </c>
      <c r="H9" s="0" t="n">
        <v>4628</v>
      </c>
      <c r="I9" s="0" t="n">
        <v>300.616766</v>
      </c>
      <c r="J9" s="0" t="n">
        <v>233.521404192</v>
      </c>
      <c r="K9" s="0" t="n">
        <v>42.6996091749998</v>
      </c>
      <c r="L9" s="0" t="n">
        <v>276.221013367</v>
      </c>
      <c r="M9" s="0" t="n">
        <v>1.81862640380859</v>
      </c>
      <c r="N9" s="0" t="inlineStr">
        <is>
          <t>实测</t>
        </is>
      </c>
      <c r="O9" s="0" t="n">
        <v>256</v>
      </c>
      <c r="P9" s="0" t="n">
        <v>256</v>
      </c>
      <c r="Q9" s="0" t="inlineStr">
        <is>
          <t>/mnt/d/paper_source/work_9/VeriANN_repro_2026-09-30/VeriANN_repro_2026-09-30/results/work9-index-20261017/nytimes256/V3DB/measurement.json</t>
        </is>
      </c>
    </row>
    <row r="10">
      <c r="A10" s="0" t="inlineStr">
        <is>
          <t>GloVe-100</t>
        </is>
      </c>
      <c r="B10" s="0" t="inlineStr">
        <is>
          <t>VLAH</t>
        </is>
      </c>
      <c r="C10" s="0" t="n">
        <v>1183514</v>
      </c>
      <c r="D10" s="0" t="n">
        <v>100</v>
      </c>
      <c r="E10" s="0" t="n">
        <v>1</v>
      </c>
      <c r="F10" s="0" t="n">
        <v>1</v>
      </c>
      <c r="G10" s="0" t="n">
        <v>774054840</v>
      </c>
      <c r="H10" s="0" t="n">
        <v>124016886</v>
      </c>
      <c r="I10" s="0" t="n">
        <v>898.071726</v>
      </c>
      <c r="J10" s="0" t="n">
        <v>229.420942392</v>
      </c>
      <c r="K10" s="0" t="n">
        <v>2.028265993</v>
      </c>
      <c r="L10" s="0" t="n">
        <v>231.449208385</v>
      </c>
      <c r="M10" s="0" t="n">
        <v>1.46183776855469</v>
      </c>
      <c r="N10" s="0" t="inlineStr">
        <is>
          <t>实测</t>
        </is>
      </c>
      <c r="O10" s="0" t="n">
        <v>16</v>
      </c>
      <c r="P10" s="0" t="n">
        <v>200</v>
      </c>
      <c r="Q10" s="0" t="inlineStr">
        <is>
          <t>/mnt/d/paper_source/work_9/VeriANN_repro_2026-09-30/VeriANN_repro_2026-09-30/results/work9-index-20261017/glove100/VLAH/measurement.json</t>
        </is>
      </c>
    </row>
    <row r="11">
      <c r="A11" s="0" t="inlineStr">
        <is>
          <t>GloVe-100</t>
        </is>
      </c>
      <c r="B11" s="0" t="inlineStr">
        <is>
          <t>ANNProof</t>
        </is>
      </c>
      <c r="C11" s="0" t="n">
        <v>1183514</v>
      </c>
      <c r="D11" s="0" t="n">
        <v>100</v>
      </c>
      <c r="E11" s="0" t="n">
        <v>1</v>
      </c>
      <c r="F11" s="0" t="n">
        <v>1</v>
      </c>
      <c r="G11" s="0" t="n">
        <v>639335280</v>
      </c>
      <c r="H11" s="0" t="n">
        <v>248019660</v>
      </c>
      <c r="I11" s="0" t="n">
        <v>887.3549400000001</v>
      </c>
      <c r="J11" s="0" t="n">
        <v>841.640351556</v>
      </c>
      <c r="K11" s="0" t="n">
        <v>8.202001677</v>
      </c>
      <c r="L11" s="0" t="n">
        <v>849.842353233</v>
      </c>
      <c r="M11" s="0" t="n">
        <v>2.36160659790039</v>
      </c>
      <c r="N11" s="0" t="inlineStr">
        <is>
          <t>实测</t>
        </is>
      </c>
      <c r="O11" s="0" t="n">
        <v>16</v>
      </c>
      <c r="P11" s="0" t="n">
        <v>200</v>
      </c>
      <c r="Q11" s="0" t="inlineStr">
        <is>
          <t>/mnt/d/paper_source/work_9/VeriANN_repro_2026-09-30/VeriANN_repro_2026-09-30/results/work9-index-20261017/glove100/ANNProof/measurement.json</t>
        </is>
      </c>
    </row>
    <row r="12">
      <c r="A12" s="0" t="inlineStr">
        <is>
          <t>GloVe-100</t>
        </is>
      </c>
      <c r="B12" s="0" t="inlineStr">
        <is>
          <t>Ours</t>
        </is>
      </c>
      <c r="C12" s="0" t="n">
        <v>1183514</v>
      </c>
      <c r="D12" s="0" t="n">
        <v>100</v>
      </c>
      <c r="E12" s="0" t="n">
        <v>1</v>
      </c>
      <c r="F12" s="0" t="n">
        <v>1</v>
      </c>
      <c r="G12" s="0" t="n">
        <v>732918256</v>
      </c>
      <c r="H12" s="0" t="n">
        <v>412121990</v>
      </c>
      <c r="I12" s="0" t="n">
        <v>1145.040246</v>
      </c>
      <c r="J12" s="0" t="n">
        <v>849.397876894</v>
      </c>
      <c r="K12" s="0" t="n">
        <v>10.459899836</v>
      </c>
      <c r="L12" s="0" t="n">
        <v>859.85777673</v>
      </c>
      <c r="M12" s="0" t="n">
        <v>1.53013610839844</v>
      </c>
      <c r="N12" s="0" t="inlineStr">
        <is>
          <t>实测</t>
        </is>
      </c>
      <c r="O12" s="0" t="n">
        <v>16</v>
      </c>
      <c r="P12" s="0" t="n">
        <v>200</v>
      </c>
      <c r="Q12" s="0" t="inlineStr">
        <is>
          <t>/mnt/d/paper_source/work_9/VeriANN_repro_2026-09-30/VeriANN_repro_2026-09-30/results/work9-index-20261017/glove100/Ours/measurement.json</t>
        </is>
      </c>
    </row>
    <row r="13">
      <c r="A13" s="0" t="inlineStr">
        <is>
          <t>GloVe-100</t>
        </is>
      </c>
      <c r="B13" s="0" t="inlineStr">
        <is>
          <t>V3DB</t>
        </is>
      </c>
      <c r="C13" s="0" t="n">
        <v>1183514</v>
      </c>
      <c r="D13" s="0" t="n">
        <v>100</v>
      </c>
      <c r="E13" s="0" t="n">
        <v>1</v>
      </c>
      <c r="F13" s="0" t="n">
        <v>1</v>
      </c>
      <c r="G13" s="0" t="n">
        <v>484522130</v>
      </c>
      <c r="H13" s="0" t="n">
        <v>8724</v>
      </c>
      <c r="I13" s="0" t="n">
        <v>484.530854</v>
      </c>
      <c r="J13" s="0" t="n">
        <v>131.023102329</v>
      </c>
      <c r="K13" s="0" t="n">
        <v>71.049688354</v>
      </c>
      <c r="L13" s="0" t="n">
        <v>202.072790683</v>
      </c>
      <c r="M13" s="0" t="n">
        <v>2.8577880859375</v>
      </c>
      <c r="N13" s="0" t="inlineStr">
        <is>
          <t>实测</t>
        </is>
      </c>
      <c r="O13" s="0" t="n">
        <v>100</v>
      </c>
      <c r="P13" s="0" t="n">
        <v>1024</v>
      </c>
      <c r="Q13" s="0" t="inlineStr">
        <is>
          <t>/mnt/d/paper_source/work_9/VeriANN_repro_2026-09-30/VeriANN_repro_2026-09-30/results/work9-index-20261017/glove100/V3DB/measurement.json</t>
        </is>
      </c>
    </row>
    <row r="14">
      <c r="A14" s="0" t="inlineStr">
        <is>
          <t>DEEP1M</t>
        </is>
      </c>
      <c r="B14" s="0" t="inlineStr">
        <is>
          <t>VLAH</t>
        </is>
      </c>
      <c r="C14" s="0" t="n">
        <v>1000000</v>
      </c>
      <c r="D14" s="0" t="n">
        <v>96</v>
      </c>
      <c r="E14" s="0" t="n">
        <v>1</v>
      </c>
      <c r="F14" s="0" t="n">
        <v>1</v>
      </c>
      <c r="G14" s="0" t="n">
        <v>582432828</v>
      </c>
      <c r="H14" s="0" t="n">
        <v>104876356</v>
      </c>
      <c r="I14" s="0" t="n">
        <v>687.309184</v>
      </c>
      <c r="J14" s="0" t="n">
        <v>102.574272022</v>
      </c>
      <c r="K14" s="0" t="n">
        <v>1.665217754</v>
      </c>
      <c r="L14" s="0" t="n">
        <v>104.239489776</v>
      </c>
      <c r="M14" s="0" t="n">
        <v>1.17931365966797</v>
      </c>
      <c r="N14" s="0" t="inlineStr">
        <is>
          <t>实测</t>
        </is>
      </c>
      <c r="O14" s="0" t="n">
        <v>16</v>
      </c>
      <c r="P14" s="0" t="n">
        <v>200</v>
      </c>
      <c r="Q14" s="0" t="inlineStr">
        <is>
          <t>/mnt/d/paper_source/work_9/VeriANN_repro_2026-09-30/VeriANN_repro_2026-09-30/results/work9-index-20261017/deep1m/VLAH/measurement.json</t>
        </is>
      </c>
    </row>
    <row r="15">
      <c r="A15" s="0" t="inlineStr">
        <is>
          <t>DEEP1M</t>
        </is>
      </c>
      <c r="B15" s="0" t="inlineStr">
        <is>
          <t>ANNProof</t>
        </is>
      </c>
      <c r="C15" s="0" t="n">
        <v>1000000</v>
      </c>
      <c r="D15" s="0" t="n">
        <v>96</v>
      </c>
      <c r="E15" s="0" t="n">
        <v>1</v>
      </c>
      <c r="F15" s="0" t="n">
        <v>1</v>
      </c>
      <c r="G15" s="0" t="n">
        <v>511173980</v>
      </c>
      <c r="H15" s="0" t="n">
        <v>209741652</v>
      </c>
      <c r="I15" s="0" t="n">
        <v>720.915632</v>
      </c>
      <c r="J15" s="0" t="n">
        <v>447.507873006</v>
      </c>
      <c r="K15" s="0" t="n">
        <v>6.811195671</v>
      </c>
      <c r="L15" s="0" t="n">
        <v>454.319068677</v>
      </c>
      <c r="M15" s="0" t="n">
        <v>1.92301559448242</v>
      </c>
      <c r="N15" s="0" t="inlineStr">
        <is>
          <t>实测</t>
        </is>
      </c>
      <c r="O15" s="0" t="n">
        <v>16</v>
      </c>
      <c r="P15" s="0" t="n">
        <v>200</v>
      </c>
      <c r="Q15" s="0" t="inlineStr">
        <is>
          <t>/mnt/d/paper_source/work_9/VeriANN_repro_2026-09-30/VeriANN_repro_2026-09-30/results/work9-index-20261017/deep1m/ANNProof/measurement.json</t>
        </is>
      </c>
    </row>
    <row r="16">
      <c r="A16" s="0" t="inlineStr">
        <is>
          <t>DEEP1M</t>
        </is>
      </c>
      <c r="B16" s="0" t="inlineStr">
        <is>
          <t>Ours</t>
        </is>
      </c>
      <c r="C16" s="0" t="n">
        <v>1000000</v>
      </c>
      <c r="D16" s="0" t="n">
        <v>96</v>
      </c>
      <c r="E16" s="0" t="n">
        <v>1</v>
      </c>
      <c r="F16" s="0" t="n">
        <v>1</v>
      </c>
      <c r="G16" s="0" t="n">
        <v>600259162</v>
      </c>
      <c r="H16" s="0" t="n">
        <v>276436132</v>
      </c>
      <c r="I16" s="0" t="n">
        <v>876.695294</v>
      </c>
      <c r="J16" s="0" t="n">
        <v>453.77338769</v>
      </c>
      <c r="K16" s="0" t="n">
        <v>8.010350598</v>
      </c>
      <c r="L16" s="0" t="n">
        <v>461.783738288</v>
      </c>
      <c r="M16" s="0" t="n">
        <v>1.1917724609375</v>
      </c>
      <c r="N16" s="0" t="inlineStr">
        <is>
          <t>实测</t>
        </is>
      </c>
      <c r="O16" s="0" t="n">
        <v>16</v>
      </c>
      <c r="P16" s="0" t="n">
        <v>200</v>
      </c>
      <c r="Q16" s="0" t="inlineStr">
        <is>
          <t>/mnt/d/paper_source/work_9/VeriANN_repro_2026-09-30/VeriANN_repro_2026-09-30/results/work9-index-20261017/deep1m/Ours/measurement.json</t>
        </is>
      </c>
    </row>
    <row r="17">
      <c r="A17" s="0" t="inlineStr">
        <is>
          <t>DEEP1M</t>
        </is>
      </c>
      <c r="B17" s="0" t="inlineStr">
        <is>
          <t>V3DB</t>
        </is>
      </c>
      <c r="C17" s="0" t="n">
        <v>1000000</v>
      </c>
      <c r="D17" s="0" t="n">
        <v>96</v>
      </c>
      <c r="E17" s="0" t="n">
        <v>1</v>
      </c>
      <c r="F17" s="0" t="n">
        <v>1</v>
      </c>
      <c r="G17" s="0" t="n">
        <v>393582882</v>
      </c>
      <c r="H17" s="0" t="n">
        <v>8724</v>
      </c>
      <c r="I17" s="0" t="n">
        <v>393.591606</v>
      </c>
      <c r="J17" s="0" t="n">
        <v>118.504290907</v>
      </c>
      <c r="K17" s="0" t="n">
        <v>35.6102383959997</v>
      </c>
      <c r="L17" s="0" t="n">
        <v>154.114529303</v>
      </c>
      <c r="M17" s="0" t="n">
        <v>2.35353469848633</v>
      </c>
      <c r="N17" s="0" t="inlineStr">
        <is>
          <t>实测</t>
        </is>
      </c>
      <c r="O17" s="0" t="n">
        <v>96</v>
      </c>
      <c r="P17" s="0" t="n">
        <v>1024</v>
      </c>
      <c r="Q17" s="0" t="inlineStr">
        <is>
          <t>/mnt/d/paper_source/work_9/VeriANN_repro_2026-09-30/VeriANN_repro_2026-09-30/results/work9-index-20261017/deep1m/V3DB/measurement.json</t>
        </is>
      </c>
    </row>
    <row r="18">
      <c r="A18" s="0" t="inlineStr">
        <is>
          <t>SIFT1M</t>
        </is>
      </c>
      <c r="B18" s="0" t="inlineStr">
        <is>
          <t>Chen13-MR</t>
        </is>
      </c>
      <c r="C18" s="0" t="n">
        <v>1000000</v>
      </c>
      <c r="D18" s="0" t="n">
        <v>128</v>
      </c>
      <c r="E18" s="0" t="n">
        <v>1</v>
      </c>
      <c r="F18" s="0" t="n">
        <v>1</v>
      </c>
      <c r="G18" s="0" t="n">
        <v>537583144</v>
      </c>
      <c r="H18" s="0" t="n">
        <v>1328288</v>
      </c>
      <c r="I18" s="0" t="n">
        <v>538.911432</v>
      </c>
      <c r="J18" s="0" t="n"/>
      <c r="K18" s="0" t="n"/>
      <c r="L18" s="0" t="n">
        <v>1.054957767</v>
      </c>
      <c r="M18" s="0" t="n">
        <v>1.37533569335937</v>
      </c>
      <c r="N18" s="0" t="inlineStr">
        <is>
          <t>实测；RSS含查询/VO；搜索与认证构建未分拆</t>
        </is>
      </c>
      <c r="O18" s="0" t="n">
        <v>16</v>
      </c>
      <c r="P18" s="0" t="n">
        <v>64</v>
      </c>
      <c r="Q18" s="0" t="inlineStr">
        <is>
          <t>/mnt/d/paper_source/work_9/VeriANN_repro_2026-09-30/VeriANN_repro_2026-09-30/results/work9-chen13-20261021/sift1m-1000000-overall/measurement.json</t>
        </is>
      </c>
    </row>
    <row r="19">
      <c r="A19" s="0" t="inlineStr">
        <is>
          <t>NYTimes-256</t>
        </is>
      </c>
      <c r="B19" s="0" t="inlineStr">
        <is>
          <t>Chen13-MR</t>
        </is>
      </c>
      <c r="C19" s="0" t="n">
        <v>289761</v>
      </c>
      <c r="D19" s="0" t="n">
        <v>256</v>
      </c>
      <c r="E19" s="0" t="n">
        <v>1</v>
      </c>
      <c r="F19" s="0" t="n">
        <v>1</v>
      </c>
      <c r="G19" s="0" t="n">
        <v>323800236</v>
      </c>
      <c r="H19" s="0" t="n">
        <v>804000</v>
      </c>
      <c r="I19" s="0" t="n">
        <v>324.604236</v>
      </c>
      <c r="J19" s="0" t="n"/>
      <c r="K19" s="0" t="n"/>
      <c r="L19" s="0" t="n">
        <v>0.4626211</v>
      </c>
      <c r="M19" s="0" t="n">
        <v>1.15620803833008</v>
      </c>
      <c r="N19" s="0" t="inlineStr">
        <is>
          <t>实测；RSS含查询/VO；搜索与认证构建未分拆</t>
        </is>
      </c>
      <c r="O19" s="0" t="n">
        <v>16</v>
      </c>
      <c r="P19" s="0" t="n">
        <v>64</v>
      </c>
      <c r="Q19" s="0" t="inlineStr">
        <is>
          <t>/mnt/d/paper_source/work_9/VeriANN_repro_2026-09-30/VeriANN_repro_2026-09-30/results/work9-chen13-20261021/nytimes256-289761-overall/measurement.json</t>
        </is>
      </c>
    </row>
    <row r="20">
      <c r="A20" s="0" t="inlineStr">
        <is>
          <t>GloVe-100</t>
        </is>
      </c>
      <c r="B20" s="0" t="inlineStr">
        <is>
          <t>Chen13-MR</t>
        </is>
      </c>
      <c r="C20" s="0" t="n">
        <v>1183514</v>
      </c>
      <c r="D20" s="0" t="n">
        <v>100</v>
      </c>
      <c r="E20" s="0" t="n">
        <v>1</v>
      </c>
      <c r="F20" s="0" t="n">
        <v>1</v>
      </c>
      <c r="G20" s="0" t="n">
        <v>498416464</v>
      </c>
      <c r="H20" s="0" t="n">
        <v>1590432</v>
      </c>
      <c r="I20" s="0" t="n">
        <v>500.006896</v>
      </c>
      <c r="J20" s="0" t="n"/>
      <c r="K20" s="0" t="n"/>
      <c r="L20" s="0" t="n">
        <v>1.067556071</v>
      </c>
      <c r="M20" s="0" t="n">
        <v>1.82352828979492</v>
      </c>
      <c r="N20" s="0" t="inlineStr">
        <is>
          <t>实测；RSS含查询/VO；搜索与认证构建未分拆</t>
        </is>
      </c>
      <c r="O20" s="0" t="n">
        <v>16</v>
      </c>
      <c r="P20" s="0" t="n">
        <v>64</v>
      </c>
      <c r="Q20" s="0" t="inlineStr">
        <is>
          <t>/mnt/d/paper_source/work_9/VeriANN_repro_2026-09-30/VeriANN_repro_2026-09-30/results/work9-chen13-20261021/glove100-1183514-overall/measurement.json</t>
        </is>
      </c>
    </row>
    <row r="21">
      <c r="A21" s="0" t="inlineStr">
        <is>
          <t>DEEP1M</t>
        </is>
      </c>
      <c r="B21" s="0" t="inlineStr">
        <is>
          <t>Chen13-MR</t>
        </is>
      </c>
      <c r="C21" s="0" t="n">
        <v>1000000</v>
      </c>
      <c r="D21" s="0" t="n">
        <v>96</v>
      </c>
      <c r="E21" s="0" t="n">
        <v>1</v>
      </c>
      <c r="F21" s="0" t="n">
        <v>1</v>
      </c>
      <c r="G21" s="0" t="n">
        <v>404270376</v>
      </c>
      <c r="H21" s="0" t="n">
        <v>1328288</v>
      </c>
      <c r="I21" s="0" t="n">
        <v>405.598664</v>
      </c>
      <c r="J21" s="0" t="n"/>
      <c r="K21" s="0" t="n"/>
      <c r="L21" s="0" t="n">
        <v>0.850518323</v>
      </c>
      <c r="M21" s="0" t="n">
        <v>1.48029327392578</v>
      </c>
      <c r="N21" s="0" t="inlineStr">
        <is>
          <t>实测；RSS含查询/VO；搜索与认证构建未分拆</t>
        </is>
      </c>
      <c r="O21" s="0" t="n">
        <v>16</v>
      </c>
      <c r="P21" s="0" t="n">
        <v>64</v>
      </c>
      <c r="Q21" s="0" t="inlineStr">
        <is>
          <t>/mnt/d/paper_source/work_9/VeriANN_repro_2026-09-30/VeriANN_repro_2026-09-30/results/work9-chen13-20261021/deep1m-1000000-overall/measurement.json</t>
        </is>
      </c>
    </row>
  </sheetData>
  <autoFilter ref="A1:Q21"/>
  <pageMargins left="0.75" right="0.75" top="1" bottom="1" header="0.5" footer="0.5"/>
  <legacyDrawing xmlns:r="http://schemas.openxmlformats.org/officeDocument/2006/relationships" r:id="anysvml"/>
</worksheet>
</file>

<file path=xl/worksheets/sheet38.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ColWidth="9" defaultRowHeight="13.5"/>
  <cols>
    <col width="24" customWidth="1" style="1" min="1" max="1"/>
    <col width="90" customWidth="1" style="1" min="2" max="2"/>
  </cols>
  <sheetData>
    <row r="1">
      <c r="A1" s="7" t="inlineStr">
        <is>
          <t>指标与单位</t>
        </is>
      </c>
      <c r="B1" s="7" t="inlineStr">
        <is>
          <t>I列=Index Size，十进制MB；J列=Index Construct Time，秒。绿色为实测。本次四个数据集×四种方法均要求真实完成后才写实测。</t>
        </is>
      </c>
    </row>
    <row r="2">
      <c r="A2" s="0" t="inlineStr">
        <is>
          <t>构建口径</t>
        </is>
      </c>
      <c r="B2" s="0" t="inlineStr">
        <is>
          <t>已有预处理后的向量文件 → 从空缓存构建搜索索引/分桶/PQ与认证结构。单线程，每组完整构建一次；不是三次平均。排除输入读取、数据集预处理、GT、参数搜索和查询电路/证明。单独最终审计快照写盘不计时；原函数内部生成中间Faiss缓存的写盘保留计入。</t>
        </is>
      </c>
    </row>
    <row r="3">
      <c r="A3" s="0" t="inlineStr">
        <is>
          <t>大小口径</t>
        </is>
      </c>
      <c r="B3" s="0" t="inlineStr">
        <is>
          <t>实际写出的无压缩服务快照字节数，包含搜索表示、服务必需的原始向量和认证结构/元数据。排除重复原数据集、训练中间数组、缓存副本、查询VO和每查询电路。不是峰值内存/RSS，也不是仅Merkle树。</t>
        </is>
      </c>
    </row>
    <row r="4">
      <c r="A4" s="0" t="inlineStr">
        <is>
          <t>峰值RSS口径</t>
        </is>
      </c>
      <c r="B4" s="0" t="inlineStr">
        <is>
          <t>附表RSS是每个独立测量进程的全程峰值，包含输入、训练临时对象及最终快照序列化；不是索引常驻内存。主表构建时间单独计时，不包含最后的审计快照序列化。</t>
        </is>
      </c>
    </row>
    <row r="5">
      <c r="A5" s="0" t="inlineStr">
        <is>
          <t>ANNProof</t>
        </is>
      </c>
      <c r="B5" s="0" t="inlineStr">
        <is>
          <t>直接调用现有Graph和ADS构造器。保存服务实际使用的记录（向量、ID、分层邻接）和两类分片Merkle树及可信锚点；Graph内部用于构建的Faiss副本不重复计入最终服务大小。</t>
        </is>
      </c>
    </row>
    <row r="6">
      <c r="A6" s="0" t="inlineStr">
        <is>
          <t>VLAH</t>
        </is>
      </c>
      <c r="B6" s="0" t="inlineStr">
        <is>
          <t>直接调用现有LSH、分桶Graph、Merkle树和Trie构造器。保存全部桶图记录、LSH参数、Merkle树、桶描述和Trie。</t>
        </is>
      </c>
    </row>
    <row r="7">
      <c r="A7" s="0" t="inlineStr">
        <is>
          <t>Ours</t>
        </is>
      </c>
      <c r="B7" s="0" t="inlineStr">
        <is>
          <t>直接调用当前LUT版Codec、ADS与原HNSW构造器。保存Faiss图（含原始向量与预留邻接槽）、SQ4/增量码、量化参数、三棵Merkle树、位置映射与锚点。查询相关LUT是临时量，不计离线索引。</t>
        </is>
      </c>
    </row>
    <row r="8">
      <c r="A8" s="0" t="inlineStr">
        <is>
          <t>V3DB</t>
        </is>
      </c>
      <c r="B8" s="0" t="inlineStr">
        <is>
          <t>沿用已选M/K/L及25次迭代，从头单线程进行缩放、IVF训练、作者重平衡、全部PQ子空间训练和快照根生成。保存实际数组类型的中心、码本、PQ码、列表ID/偏移、参数与列表/快照根。全局树可由列表根在查询时重建；不假设尚未实现的码压缩。训练用scaled向量不属于服务索引。</t>
        </is>
      </c>
    </row>
    <row r="9">
      <c r="A9" s="0" t="inlineStr">
        <is>
          <t>配置对应</t>
        </is>
      </c>
      <c r="B9" s="0" t="inlineStr">
        <is>
          <t>SIFT图M8/efConstruction100；NYTimes、GloVe、DEEP图M16/efConstruction200，分桶大小20000、ANNProof分片10000；V3DB配置逐条见JSON。本次是相同参数下的新单线程构建；历史多线程图可能存在边或并列分配差异，没有覆盖历史查询结果。</t>
        </is>
      </c>
    </row>
    <row r="10">
      <c r="A10" s="0" t="inlineStr">
        <is>
          <t>格式限制</t>
        </is>
      </c>
      <c r="B10" s="0" t="inlineStr">
        <is>
          <t>各方案保留当前实现的表示：Ours的Faiss预留槽与ANNProof/VLAH实际边记录不同。比较结果包含这种实现/格式差异，不代表各论文理论最小空间。认证和搜索部分已拆列供核查。</t>
        </is>
      </c>
    </row>
    <row r="11">
      <c r="A11" s="0" t="inlineStr">
        <is>
          <t>证据</t>
        </is>
      </c>
      <c r="B11" s="0" t="inlineStr">
        <is>
          <t>/mnt/d/paper_source/work_9/VeriANN_repro_2026-09-30/VeriANN_repro_2026-09-30/results/work9-index-20261017</t>
        </is>
      </c>
    </row>
    <row r="12">
      <c r="A12" s="0" t="inlineStr">
        <is>
          <t>运行脚本</t>
        </is>
      </c>
      <c r="B12" s="0" t="inlineStr">
        <is>
          <t>scripts/work9_index_study.py build / run；scripts/work9_index_v3db.py；scripts/fill_work9_index.py</t>
        </is>
      </c>
    </row>
    <row r="13">
      <c r="A13" s="0" t="inlineStr">
        <is>
          <t>原表备份</t>
        </is>
      </c>
      <c r="B13" s="0" t="inlineStr">
        <is>
          <t>/mnt/d/paper_source/work_9/VeriANN_repro_2026-09-30/VeriANN_repro_2026-09-30/experiments/work9-index-20261017/work9_before_index_20261018_004357.xlsx</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429"/>
  <sheetViews>
    <sheetView workbookViewId="0">
      <pane ySplit="1" topLeftCell="A2" activePane="bottomLeft" state="frozen"/>
      <selection activeCell="A1" sqref="A1"/>
      <selection pane="bottomLeft" activeCell="A1" sqref="A1"/>
    </sheetView>
  </sheetViews>
  <sheetFormatPr baseColWidth="8" defaultColWidth="9" defaultRowHeight="13.5"/>
  <sheetData>
    <row r="1">
      <c r="A1" s="0" t="inlineStr">
        <is>
          <t>sheet</t>
        </is>
      </c>
      <c r="B1" s="0" t="inlineStr">
        <is>
          <t>cell</t>
        </is>
      </c>
      <c r="C1" s="0" t="inlineStr">
        <is>
          <t>value</t>
        </is>
      </c>
      <c r="D1" s="0" t="inlineStr">
        <is>
          <t>state</t>
        </is>
      </c>
      <c r="E1" s="0" t="inlineStr">
        <is>
          <t>metric</t>
        </is>
      </c>
      <c r="F1" s="0" t="inlineStr">
        <is>
          <t>point ID</t>
        </is>
      </c>
      <c r="G1" s="0" t="inlineStr">
        <is>
          <t>reason/source</t>
        </is>
      </c>
    </row>
    <row r="2">
      <c r="A2" s="0" t="inlineStr">
        <is>
          <t>SIFT1M</t>
        </is>
      </c>
      <c r="B2" s="0" t="inlineStr">
        <is>
          <t>E12</t>
        </is>
      </c>
      <c r="C2" s="0" t="n">
        <v>96</v>
      </c>
      <c r="D2" s="0" t="inlineStr">
        <is>
          <t>搜索校准</t>
        </is>
      </c>
      <c r="E2" s="0" t="inlineStr">
        <is>
          <t>recall</t>
        </is>
      </c>
      <c r="F2" s="0" t="inlineStr">
        <is>
          <t>P001</t>
        </is>
      </c>
      <c r="G2" s="0" t="inlineStr">
        <is>
          <t>{"sheet": "SIFT1M", "cell": "E12", "value": 96.0, "estimated": false, "status": "搜索校准", "point_id": "P001", "metric": "recall", "previous_cell_value": 96,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
      <c r="A3" s="0" t="inlineStr">
        <is>
          <t>SIFT1M</t>
        </is>
      </c>
      <c r="B3" s="0" t="inlineStr">
        <is>
          <t>F12</t>
        </is>
      </c>
      <c r="C3" s="0" t="n">
        <v>4698016.11967277</v>
      </c>
      <c r="D3" s="0" t="inlineStr">
        <is>
          <t>预测</t>
        </is>
      </c>
      <c r="E3" s="0" t="inlineStr">
        <is>
          <t>query_ms</t>
        </is>
      </c>
      <c r="F3" s="0" t="inlineStr">
        <is>
          <t>P001</t>
        </is>
      </c>
      <c r="G3" s="0" t="inlineStr">
        <is>
          <t>{"sheet": "SIFT1M", "cell": "F12", "value": 4698016.119672766, "estimated": true, "status": "预测", "point_id": "P001", "metric": "query_ms", "previous_cell_value": 4521750.03094413,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[587252.0149590957, 37584128.95738213]}</t>
        </is>
      </c>
    </row>
    <row r="4">
      <c r="A4" s="0" t="inlineStr">
        <is>
          <t>SIFT1M</t>
        </is>
      </c>
      <c r="B4" s="0" t="inlineStr">
        <is>
          <t>G12</t>
        </is>
      </c>
      <c r="C4" s="0" t="n">
        <v>492.238106666667</v>
      </c>
      <c r="D4" s="0" t="inlineStr">
        <is>
          <t>预测</t>
        </is>
      </c>
      <c r="E4" s="0" t="inlineStr">
        <is>
          <t>vo_kb</t>
        </is>
      </c>
      <c r="F4" s="0" t="inlineStr">
        <is>
          <t>P001</t>
        </is>
      </c>
      <c r="G4" s="0" t="inlineStr">
        <is>
          <t>{"sheet": "SIFT1M", "cell": "G12", "value": 492.2381066666667, "estimated": true, "status": "预测", "point_id": "P001", "metric": "vo_kb", "previous_cell_value": 492.238106666667,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[434.92457, 553.69565]}</t>
        </is>
      </c>
    </row>
    <row r="5">
      <c r="A5" s="0" t="inlineStr">
        <is>
          <t>SIFT1M</t>
        </is>
      </c>
      <c r="B5" s="0" t="inlineStr">
        <is>
          <t>H12</t>
        </is>
      </c>
      <c r="C5" s="0" t="n">
        <v>38.4836684407268</v>
      </c>
      <c r="D5" s="0" t="inlineStr">
        <is>
          <t>预测</t>
        </is>
      </c>
      <c r="E5" s="0" t="inlineStr">
        <is>
          <t>verify_ms</t>
        </is>
      </c>
      <c r="F5" s="0" t="inlineStr">
        <is>
          <t>P001</t>
        </is>
      </c>
      <c r="G5" s="0" t="inlineStr">
        <is>
          <t>{"sheet": "SIFT1M", "cell": "H12", "value": 38.48366844072681, "estimated": true, "status": "预测", "point_id": "P001", "metric": "verify_ms", "previous_cell_value": 38.7139515058298,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[9.620917110181702, 153.93467376290724]}</t>
        </is>
      </c>
    </row>
    <row r="6">
      <c r="A6" s="0" t="inlineStr">
        <is>
          <t>SIFT1M</t>
        </is>
      </c>
      <c r="B6" s="0" t="inlineStr">
        <is>
          <t>F135</t>
        </is>
      </c>
      <c r="C6" s="0" t="n">
        <v>0.96</v>
      </c>
      <c r="D6" s="0" t="inlineStr">
        <is>
          <t>搜索校准</t>
        </is>
      </c>
      <c r="E6" s="0" t="inlineStr">
        <is>
          <t>recall</t>
        </is>
      </c>
      <c r="F6" s="0" t="inlineStr">
        <is>
          <t>P001</t>
        </is>
      </c>
      <c r="G6" s="0" t="inlineStr">
        <is>
          <t>{"sheet": "SIFT1M", "cell": "F135", "value": 0.96, "estimated": false, "status": "搜索校准", "point_id": "P001", "metric": "recall", "previous_cell_value": 0.96,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7">
      <c r="A7" s="0" t="inlineStr">
        <is>
          <t>SIFT1M</t>
        </is>
      </c>
      <c r="B7" s="0" t="inlineStr">
        <is>
          <t>G135</t>
        </is>
      </c>
      <c r="C7" s="0" t="n">
        <v>4698016.11967277</v>
      </c>
      <c r="D7" s="0" t="inlineStr">
        <is>
          <t>预测</t>
        </is>
      </c>
      <c r="E7" s="0" t="inlineStr">
        <is>
          <t>query_ms</t>
        </is>
      </c>
      <c r="F7" s="0" t="inlineStr">
        <is>
          <t>P001</t>
        </is>
      </c>
      <c r="G7" s="0" t="inlineStr">
        <is>
          <t>{"sheet": "SIFT1M", "cell": "G135", "value": 4698016.119672766, "estimated": true, "status": "预测", "point_id": "P001", "metric": "query_ms", "previous_cell_value": 4521750.03094413,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[587252.0149590957, 37584128.95738213]}</t>
        </is>
      </c>
    </row>
    <row r="8">
      <c r="A8" s="0" t="inlineStr">
        <is>
          <t>SIFT1M</t>
        </is>
      </c>
      <c r="B8" s="0" t="inlineStr">
        <is>
          <t>H135</t>
        </is>
      </c>
      <c r="C8" s="0" t="n">
        <v>492.238106666667</v>
      </c>
      <c r="D8" s="0" t="inlineStr">
        <is>
          <t>预测</t>
        </is>
      </c>
      <c r="E8" s="0" t="inlineStr">
        <is>
          <t>vo_kb</t>
        </is>
      </c>
      <c r="F8" s="0" t="inlineStr">
        <is>
          <t>P001</t>
        </is>
      </c>
      <c r="G8" s="0" t="inlineStr">
        <is>
          <t>{"sheet": "SIFT1M", "cell": "H135", "value": 492.2381066666667, "estimated": true, "status": "预测", "point_id": "P001", "metric": "vo_kb", "previous_cell_value": 492.238106666667,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[434.92457, 553.69565]}</t>
        </is>
      </c>
    </row>
    <row r="9">
      <c r="A9" s="0" t="inlineStr">
        <is>
          <t>SIFT1M</t>
        </is>
      </c>
      <c r="B9" s="0" t="inlineStr">
        <is>
          <t>I135</t>
        </is>
      </c>
      <c r="C9" s="0" t="n">
        <v>38.4836684407268</v>
      </c>
      <c r="D9" s="0" t="inlineStr">
        <is>
          <t>预测</t>
        </is>
      </c>
      <c r="E9" s="0" t="inlineStr">
        <is>
          <t>verify_ms</t>
        </is>
      </c>
      <c r="F9" s="0" t="inlineStr">
        <is>
          <t>P001</t>
        </is>
      </c>
      <c r="G9" s="0" t="inlineStr">
        <is>
          <t>{"sheet": "SIFT1M", "cell": "I135", "value": 38.48366844072681, "estimated": true, "status": "预测", "point_id": "P001", "metric": "verify_ms", "previous_cell_value": 38.7139515058298,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[9.620917110181702, 153.93467376290724]}</t>
        </is>
      </c>
    </row>
    <row r="10">
      <c r="A10" s="0" t="inlineStr">
        <is>
          <t>SIFT1M</t>
        </is>
      </c>
      <c r="B10" s="0" t="inlineStr">
        <is>
          <t>F26</t>
        </is>
      </c>
      <c r="C10" s="0" t="n">
        <v>70.5</v>
      </c>
      <c r="D10" s="0" t="inlineStr">
        <is>
          <t>实测20x3</t>
        </is>
      </c>
      <c r="E10" s="0" t="inlineStr">
        <is>
          <t>recall</t>
        </is>
      </c>
      <c r="F10" s="0" t="inlineStr">
        <is>
          <t>P002</t>
        </is>
      </c>
      <c r="G10" s="0" t="inlineStr">
        <is>
          <t>{"sheet": "SIFT1M", "cell": "F26", "value": 70.5, "estimated": false, "status": "实测20x3", "point_id": "P002", "metric": "recall", "previous_cell_value": 70.5, "note": "目标60%。未完成证明的召回率仅为既有20查询搜索校准；不保证新的证明结果恰好达到该值。",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null}</t>
        </is>
      </c>
    </row>
    <row r="11">
      <c r="A11" s="0" t="inlineStr">
        <is>
          <t>SIFT1M</t>
        </is>
      </c>
      <c r="B11" s="0" t="inlineStr">
        <is>
          <t>F27</t>
        </is>
      </c>
      <c r="C11" s="0" t="n">
        <v>238.054633333333</v>
      </c>
      <c r="D11" s="0" t="inlineStr">
        <is>
          <t>实测20x3</t>
        </is>
      </c>
      <c r="E11" s="0" t="inlineStr">
        <is>
          <t>vo_kb</t>
        </is>
      </c>
      <c r="F11" s="0" t="inlineStr">
        <is>
          <t>P002</t>
        </is>
      </c>
      <c r="G11" s="0" t="inlineStr">
        <is>
          <t>{"sheet": "SIFT1M", "cell": "F27", "value": 238.05463333333333, "estimated": false, "status": "实测20x3", "point_id": "P002", "metric": "vo_kb", "previous_cell_value": 238.054633333333, "note": "目标60%；没有达到目标的配置时不预测一个虚假的达标点。",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[238.05463333333333, 238.05463333333333]}</t>
        </is>
      </c>
    </row>
    <row r="12">
      <c r="A12" s="0" t="inlineStr">
        <is>
          <t>SIFT1M</t>
        </is>
      </c>
      <c r="B12" s="0" t="inlineStr">
        <is>
          <t>F38</t>
        </is>
      </c>
      <c r="C12" s="0" t="n">
        <v>70.5</v>
      </c>
      <c r="D12" s="0" t="inlineStr">
        <is>
          <t>实测20x3</t>
        </is>
      </c>
      <c r="E12" s="0" t="inlineStr">
        <is>
          <t>recall</t>
        </is>
      </c>
      <c r="F12" s="0" t="inlineStr">
        <is>
          <t>P002</t>
        </is>
      </c>
      <c r="G12" s="0" t="inlineStr">
        <is>
          <t>{"sheet": "SIFT1M", "cell": "F38", "value": 70.5, "estimated": false, "status": "实测20x3", "point_id": "P002", "metric": "recall", "previous_cell_value": 70.5, "note": "目标60%。未完成证明的召回率仅为既有20查询搜索校准；不保证新的证明结果恰好达到该值。",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null}</t>
        </is>
      </c>
    </row>
    <row r="13">
      <c r="A13" s="0" t="inlineStr">
        <is>
          <t>SIFT1M</t>
        </is>
      </c>
      <c r="B13" s="0" t="inlineStr">
        <is>
          <t>F39</t>
        </is>
      </c>
      <c r="C13" s="0" t="n">
        <v>29.0904766666699</v>
      </c>
      <c r="D13" s="0" t="inlineStr">
        <is>
          <t>实测20x3</t>
        </is>
      </c>
      <c r="E13" s="0" t="inlineStr">
        <is>
          <t>verify_ms</t>
        </is>
      </c>
      <c r="F13" s="0" t="inlineStr">
        <is>
          <t>P002</t>
        </is>
      </c>
      <c r="G13" s="0" t="inlineStr">
        <is>
          <t>{"sheet": "SIFT1M", "cell": "F39", "value": 29.09047666666993, "estimated": false, "status": "实测20x3", "point_id": "P002", "metric": "verify_ms", "previous_cell_value": 29.0904766666699, "note": "目标60%；没有达到目标的配置时不预测一个虚假的达标点。",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[29.09047666666993, 29.09047666666993]}</t>
        </is>
      </c>
    </row>
    <row r="14">
      <c r="A14" s="0" t="inlineStr">
        <is>
          <t>SIFT1M</t>
        </is>
      </c>
      <c r="B14" s="0" t="inlineStr">
        <is>
          <t>F50</t>
        </is>
      </c>
      <c r="C14" s="0" t="n">
        <v>70.5</v>
      </c>
      <c r="D14" s="0" t="inlineStr">
        <is>
          <t>实测20x3</t>
        </is>
      </c>
      <c r="E14" s="0" t="inlineStr">
        <is>
          <t>recall</t>
        </is>
      </c>
      <c r="F14" s="0" t="inlineStr">
        <is>
          <t>P002</t>
        </is>
      </c>
      <c r="G14" s="0" t="inlineStr">
        <is>
          <t>{"sheet": "SIFT1M", "cell": "F50", "value": 70.5, "estimated": false, "status": "实测20x3", "point_id": "P002", "metric": "recall", "previous_cell_value": 70.5, "note": "目标60%。未完成证明的召回率仅为既有20查询搜索校准；不保证新的证明结果恰好达到该值。",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null}</t>
        </is>
      </c>
    </row>
    <row r="15">
      <c r="A15" s="0" t="inlineStr">
        <is>
          <t>SIFT1M</t>
        </is>
      </c>
      <c r="B15" s="0" t="inlineStr">
        <is>
          <t>F51</t>
        </is>
      </c>
      <c r="C15" s="0" t="n">
        <v>498279.313743133</v>
      </c>
      <c r="D15" s="0" t="inlineStr">
        <is>
          <t>实测20x3</t>
        </is>
      </c>
      <c r="E15" s="0" t="inlineStr">
        <is>
          <t>query_ms</t>
        </is>
      </c>
      <c r="F15" s="0" t="inlineStr">
        <is>
          <t>P002</t>
        </is>
      </c>
      <c r="G15" s="0" t="inlineStr">
        <is>
          <t>{"sheet": "SIFT1M", "cell": "F51", "value": 498279.31374313333, "estimated": false, "status": "实测20x3", "point_id": "P002", "metric": "query_ms", "previous_cell_value": 498279.313743133, "note": "目标60%；没有达到目标的配置时不预测一个虚假的达标点。",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[498279.31374313333, 498279.31374313333]}</t>
        </is>
      </c>
    </row>
    <row r="16">
      <c r="A16" s="0" t="inlineStr">
        <is>
          <t>SIFT1M</t>
        </is>
      </c>
      <c r="B16" s="0" t="inlineStr">
        <is>
          <t>G26</t>
        </is>
      </c>
      <c r="C16" s="0" t="n">
        <v>70.5</v>
      </c>
      <c r="D16" s="0" t="inlineStr">
        <is>
          <t>实测20x3</t>
        </is>
      </c>
      <c r="E16" s="0" t="inlineStr">
        <is>
          <t>recall</t>
        </is>
      </c>
      <c r="F16" s="0" t="inlineStr">
        <is>
          <t>P002</t>
        </is>
      </c>
      <c r="G16" s="0" t="inlineStr">
        <is>
          <t>{"sheet": "SIFT1M", "cell": "G26", "value": 70.5, "estimated": false, "status": "实测20x3", "point_id": "P002", "metric": "recall", "previous_cell_value": 70.5, "note": "目标65%。未完成证明的召回率仅为既有20查询搜索校准；不保证新的证明结果恰好达到该值。",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null}</t>
        </is>
      </c>
    </row>
    <row r="17">
      <c r="A17" s="0" t="inlineStr">
        <is>
          <t>SIFT1M</t>
        </is>
      </c>
      <c r="B17" s="0" t="inlineStr">
        <is>
          <t>G27</t>
        </is>
      </c>
      <c r="C17" s="0" t="n">
        <v>238.054633333333</v>
      </c>
      <c r="D17" s="0" t="inlineStr">
        <is>
          <t>实测20x3</t>
        </is>
      </c>
      <c r="E17" s="0" t="inlineStr">
        <is>
          <t>vo_kb</t>
        </is>
      </c>
      <c r="F17" s="0" t="inlineStr">
        <is>
          <t>P002</t>
        </is>
      </c>
      <c r="G17" s="0" t="inlineStr">
        <is>
          <t>{"sheet": "SIFT1M", "cell": "G27", "value": 238.05463333333333, "estimated": false, "status": "实测20x3", "point_id": "P002", "metric": "vo_kb", "previous_cell_value": 238.054633333333, "note": "目标65%；没有达到目标的配置时不预测一个虚假的达标点。",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[238.05463333333333, 238.05463333333333]}</t>
        </is>
      </c>
    </row>
    <row r="18">
      <c r="A18" s="0" t="inlineStr">
        <is>
          <t>SIFT1M</t>
        </is>
      </c>
      <c r="B18" s="0" t="inlineStr">
        <is>
          <t>G38</t>
        </is>
      </c>
      <c r="C18" s="0" t="n">
        <v>70.5</v>
      </c>
      <c r="D18" s="0" t="inlineStr">
        <is>
          <t>实测20x3</t>
        </is>
      </c>
      <c r="E18" s="0" t="inlineStr">
        <is>
          <t>recall</t>
        </is>
      </c>
      <c r="F18" s="0" t="inlineStr">
        <is>
          <t>P002</t>
        </is>
      </c>
      <c r="G18" s="0" t="inlineStr">
        <is>
          <t>{"sheet": "SIFT1M", "cell": "G38", "value": 70.5, "estimated": false, "status": "实测20x3", "point_id": "P002", "metric": "recall", "previous_cell_value": 70.5, "note": "目标65%。未完成证明的召回率仅为既有20查询搜索校准；不保证新的证明结果恰好达到该值。",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null}</t>
        </is>
      </c>
    </row>
    <row r="19">
      <c r="A19" s="0" t="inlineStr">
        <is>
          <t>SIFT1M</t>
        </is>
      </c>
      <c r="B19" s="0" t="inlineStr">
        <is>
          <t>G39</t>
        </is>
      </c>
      <c r="C19" s="0" t="n">
        <v>29.0904766666699</v>
      </c>
      <c r="D19" s="0" t="inlineStr">
        <is>
          <t>实测20x3</t>
        </is>
      </c>
      <c r="E19" s="0" t="inlineStr">
        <is>
          <t>verify_ms</t>
        </is>
      </c>
      <c r="F19" s="0" t="inlineStr">
        <is>
          <t>P002</t>
        </is>
      </c>
      <c r="G19" s="0" t="inlineStr">
        <is>
          <t>{"sheet": "SIFT1M", "cell": "G39", "value": 29.09047666666993, "estimated": false, "status": "实测20x3", "point_id": "P002", "metric": "verify_ms", "previous_cell_value": 29.0904766666699, "note": "目标65%；没有达到目标的配置时不预测一个虚假的达标点。",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[29.09047666666993, 29.09047666666993]}</t>
        </is>
      </c>
    </row>
    <row r="20">
      <c r="A20" s="0" t="inlineStr">
        <is>
          <t>SIFT1M</t>
        </is>
      </c>
      <c r="B20" s="0" t="inlineStr">
        <is>
          <t>G50</t>
        </is>
      </c>
      <c r="C20" s="0" t="n">
        <v>70.5</v>
      </c>
      <c r="D20" s="0" t="inlineStr">
        <is>
          <t>实测20x3</t>
        </is>
      </c>
      <c r="E20" s="0" t="inlineStr">
        <is>
          <t>recall</t>
        </is>
      </c>
      <c r="F20" s="0" t="inlineStr">
        <is>
          <t>P002</t>
        </is>
      </c>
      <c r="G20" s="0" t="inlineStr">
        <is>
          <t>{"sheet": "SIFT1M", "cell": "G50", "value": 70.5, "estimated": false, "status": "实测20x3", "point_id": "P002", "metric": "recall", "previous_cell_value": 70.5, "note": "目标65%。未完成证明的召回率仅为既有20查询搜索校准；不保证新的证明结果恰好达到该值。",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null}</t>
        </is>
      </c>
    </row>
    <row r="21">
      <c r="A21" s="0" t="inlineStr">
        <is>
          <t>SIFT1M</t>
        </is>
      </c>
      <c r="B21" s="0" t="inlineStr">
        <is>
          <t>G51</t>
        </is>
      </c>
      <c r="C21" s="0" t="n">
        <v>498279.313743133</v>
      </c>
      <c r="D21" s="0" t="inlineStr">
        <is>
          <t>实测20x3</t>
        </is>
      </c>
      <c r="E21" s="0" t="inlineStr">
        <is>
          <t>query_ms</t>
        </is>
      </c>
      <c r="F21" s="0" t="inlineStr">
        <is>
          <t>P002</t>
        </is>
      </c>
      <c r="G21" s="0" t="inlineStr">
        <is>
          <t>{"sheet": "SIFT1M", "cell": "G51", "value": 498279.31374313333, "estimated": false, "status": "实测20x3", "point_id": "P002", "metric": "query_ms", "previous_cell_value": 498279.313743133, "note": "目标65%；没有达到目标的配置时不预测一个虚假的达标点。",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[498279.31374313333, 498279.31374313333]}</t>
        </is>
      </c>
    </row>
    <row r="22">
      <c r="A22" s="0" t="inlineStr">
        <is>
          <t>SIFT1M</t>
        </is>
      </c>
      <c r="B22" s="0" t="inlineStr">
        <is>
          <t>H26</t>
        </is>
      </c>
      <c r="C22" s="0" t="n">
        <v>70.5</v>
      </c>
      <c r="D22" s="0" t="inlineStr">
        <is>
          <t>实测20x3</t>
        </is>
      </c>
      <c r="E22" s="0" t="inlineStr">
        <is>
          <t>recall</t>
        </is>
      </c>
      <c r="F22" s="0" t="inlineStr">
        <is>
          <t>P002</t>
        </is>
      </c>
      <c r="G22" s="0" t="inlineStr">
        <is>
          <t>{"sheet": "SIFT1M", "cell": "H26", "value": 70.5, "estimated": false, "status": "实测20x3", "point_id": "P002", "metric": "recall", "previous_cell_value": 70.5, "note": "目标70%。未完成证明的召回率仅为既有20查询搜索校准；不保证新的证明结果恰好达到该值。",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null}</t>
        </is>
      </c>
    </row>
    <row r="23">
      <c r="A23" s="0" t="inlineStr">
        <is>
          <t>SIFT1M</t>
        </is>
      </c>
      <c r="B23" s="0" t="inlineStr">
        <is>
          <t>H27</t>
        </is>
      </c>
      <c r="C23" s="0" t="n">
        <v>238.054633333333</v>
      </c>
      <c r="D23" s="0" t="inlineStr">
        <is>
          <t>实测20x3</t>
        </is>
      </c>
      <c r="E23" s="0" t="inlineStr">
        <is>
          <t>vo_kb</t>
        </is>
      </c>
      <c r="F23" s="0" t="inlineStr">
        <is>
          <t>P002</t>
        </is>
      </c>
      <c r="G23" s="0" t="inlineStr">
        <is>
          <t>{"sheet": "SIFT1M", "cell": "H27", "value": 238.05463333333333, "estimated": false, "status": "实测20x3", "point_id": "P002", "metric": "vo_kb", "previous_cell_value": 238.054633333333, "note": "目标70%；没有达到目标的配置时不预测一个虚假的达标点。",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[238.05463333333333, 238.05463333333333]}</t>
        </is>
      </c>
    </row>
    <row r="24">
      <c r="A24" s="0" t="inlineStr">
        <is>
          <t>SIFT1M</t>
        </is>
      </c>
      <c r="B24" s="0" t="inlineStr">
        <is>
          <t>H38</t>
        </is>
      </c>
      <c r="C24" s="0" t="n">
        <v>70.5</v>
      </c>
      <c r="D24" s="0" t="inlineStr">
        <is>
          <t>实测20x3</t>
        </is>
      </c>
      <c r="E24" s="0" t="inlineStr">
        <is>
          <t>recall</t>
        </is>
      </c>
      <c r="F24" s="0" t="inlineStr">
        <is>
          <t>P002</t>
        </is>
      </c>
      <c r="G24" s="0" t="inlineStr">
        <is>
          <t>{"sheet": "SIFT1M", "cell": "H38", "value": 70.5, "estimated": false, "status": "实测20x3", "point_id": "P002", "metric": "recall", "previous_cell_value": 70.5, "note": "目标70%。未完成证明的召回率仅为既有20查询搜索校准；不保证新的证明结果恰好达到该值。",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null}</t>
        </is>
      </c>
    </row>
    <row r="25">
      <c r="A25" s="0" t="inlineStr">
        <is>
          <t>SIFT1M</t>
        </is>
      </c>
      <c r="B25" s="0" t="inlineStr">
        <is>
          <t>H39</t>
        </is>
      </c>
      <c r="C25" s="0" t="n">
        <v>29.0904766666699</v>
      </c>
      <c r="D25" s="0" t="inlineStr">
        <is>
          <t>实测20x3</t>
        </is>
      </c>
      <c r="E25" s="0" t="inlineStr">
        <is>
          <t>verify_ms</t>
        </is>
      </c>
      <c r="F25" s="0" t="inlineStr">
        <is>
          <t>P002</t>
        </is>
      </c>
      <c r="G25" s="0" t="inlineStr">
        <is>
          <t>{"sheet": "SIFT1M", "cell": "H39", "value": 29.09047666666993, "estimated": false, "status": "实测20x3", "point_id": "P002", "metric": "verify_ms", "previous_cell_value": 29.0904766666699, "note": "目标70%；没有达到目标的配置时不预测一个虚假的达标点。",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[29.09047666666993, 29.09047666666993]}</t>
        </is>
      </c>
    </row>
    <row r="26">
      <c r="A26" s="0" t="inlineStr">
        <is>
          <t>SIFT1M</t>
        </is>
      </c>
      <c r="B26" s="0" t="inlineStr">
        <is>
          <t>H50</t>
        </is>
      </c>
      <c r="C26" s="0" t="n">
        <v>70.5</v>
      </c>
      <c r="D26" s="0" t="inlineStr">
        <is>
          <t>实测20x3</t>
        </is>
      </c>
      <c r="E26" s="0" t="inlineStr">
        <is>
          <t>recall</t>
        </is>
      </c>
      <c r="F26" s="0" t="inlineStr">
        <is>
          <t>P002</t>
        </is>
      </c>
      <c r="G26" s="0" t="inlineStr">
        <is>
          <t>{"sheet": "SIFT1M", "cell": "H50", "value": 70.5, "estimated": false, "status": "实测20x3", "point_id": "P002", "metric": "recall", "previous_cell_value": 70.5, "note": "目标70%。未完成证明的召回率仅为既有20查询搜索校准；不保证新的证明结果恰好达到该值。",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null}</t>
        </is>
      </c>
    </row>
    <row r="27">
      <c r="A27" s="0" t="inlineStr">
        <is>
          <t>SIFT1M</t>
        </is>
      </c>
      <c r="B27" s="0" t="inlineStr">
        <is>
          <t>H51</t>
        </is>
      </c>
      <c r="C27" s="0" t="n">
        <v>498279.313743133</v>
      </c>
      <c r="D27" s="0" t="inlineStr">
        <is>
          <t>实测20x3</t>
        </is>
      </c>
      <c r="E27" s="0" t="inlineStr">
        <is>
          <t>query_ms</t>
        </is>
      </c>
      <c r="F27" s="0" t="inlineStr">
        <is>
          <t>P002</t>
        </is>
      </c>
      <c r="G27" s="0" t="inlineStr">
        <is>
          <t>{"sheet": "SIFT1M", "cell": "H51", "value": 498279.31374313333, "estimated": false, "status": "实测20x3", "point_id": "P002", "metric": "query_ms", "previous_cell_value": 498279.313743133, "note": "目标70%；没有达到目标的配置时不预测一个虚假的达标点。",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[498279.31374313333, 498279.31374313333]}</t>
        </is>
      </c>
    </row>
    <row r="28">
      <c r="A28" s="0" t="inlineStr">
        <is>
          <t>SIFT1M</t>
        </is>
      </c>
      <c r="B28" s="0" t="inlineStr">
        <is>
          <t>I26</t>
        </is>
      </c>
      <c r="C28" s="0" t="n">
        <v>85</v>
      </c>
      <c r="D28" s="0" t="inlineStr">
        <is>
          <t>搜索校准</t>
        </is>
      </c>
      <c r="E28" s="0" t="inlineStr">
        <is>
          <t>recall</t>
        </is>
      </c>
      <c r="F28" s="0" t="inlineStr">
        <is>
          <t>P003</t>
        </is>
      </c>
      <c r="G28" s="0" t="inlineStr">
        <is>
          <t>{"sheet": "SIFT1M", "cell": "I26", "value": 85.0, "estimated": false, "status": "搜索校准", "point_id": "P003", "metric": "recall", "previous_cell_value": 85, "note": "目标75%。未完成证明的召回率仅为既有20查询搜索校准；不保证新的证明结果恰好达到该值。",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9">
      <c r="A29" s="0" t="inlineStr">
        <is>
          <t>SIFT1M</t>
        </is>
      </c>
      <c r="B29" s="0" t="inlineStr">
        <is>
          <t>I27</t>
        </is>
      </c>
      <c r="C29" s="0" t="n">
        <v>279.05408</v>
      </c>
      <c r="D29" s="0" t="inlineStr">
        <is>
          <t>预测</t>
        </is>
      </c>
      <c r="E29" s="0" t="inlineStr">
        <is>
          <t>vo_kb</t>
        </is>
      </c>
      <c r="F29" s="0" t="inlineStr">
        <is>
          <t>P003</t>
        </is>
      </c>
      <c r="G29" s="0" t="inlineStr">
        <is>
          <t>{"sheet": "SIFT1M", "cell": "I27", "value": 279.05408, "estimated": true, "status": "预测", "point_id": "P003", "metric": "vo_kb", "previous_cell_value": 279.05408, "note": "目标75%；没有达到目标的配置时不预测一个虚假的达标点。",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[225.88455000000002, 336.3676166666667]}</t>
        </is>
      </c>
    </row>
    <row r="30">
      <c r="A30" s="0" t="inlineStr">
        <is>
          <t>SIFT1M</t>
        </is>
      </c>
      <c r="B30" s="0" t="inlineStr">
        <is>
          <t>I38</t>
        </is>
      </c>
      <c r="C30" s="0" t="n">
        <v>85</v>
      </c>
      <c r="D30" s="0" t="inlineStr">
        <is>
          <t>搜索校准</t>
        </is>
      </c>
      <c r="E30" s="0" t="inlineStr">
        <is>
          <t>recall</t>
        </is>
      </c>
      <c r="F30" s="0" t="inlineStr">
        <is>
          <t>P003</t>
        </is>
      </c>
      <c r="G30" s="0" t="inlineStr">
        <is>
          <t>{"sheet": "SIFT1M", "cell": "I38", "value": 85.0, "estimated": false, "status": "搜索校准", "point_id": "P003", "metric": "recall", "previous_cell_value": 85, "note": "目标75%。未完成证明的召回率仅为既有20查询搜索校准；不保证新的证明结果恰好达到该值。",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1">
      <c r="A31" s="0" t="inlineStr">
        <is>
          <t>SIFT1M</t>
        </is>
      </c>
      <c r="B31" s="0" t="inlineStr">
        <is>
          <t>I39</t>
        </is>
      </c>
      <c r="C31" s="0" t="n">
        <v>31.2254287007305</v>
      </c>
      <c r="D31" s="0" t="inlineStr">
        <is>
          <t>预测</t>
        </is>
      </c>
      <c r="E31" s="0" t="inlineStr">
        <is>
          <t>verify_ms</t>
        </is>
      </c>
      <c r="F31" s="0" t="inlineStr">
        <is>
          <t>P003</t>
        </is>
      </c>
      <c r="G31" s="0" t="inlineStr">
        <is>
          <t>{"sheet": "SIFT1M", "cell": "I39", "value": 31.225428700730554, "estimated": true, "status": "预测", "point_id": "P003", "metric": "verify_ms", "previous_cell_value": 31.2565823630566, "note": "目标75%；没有达到目标的配置时不预测一个虚假的达标点。",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[15.612714350365277, 62.45085740146111]}</t>
        </is>
      </c>
    </row>
    <row r="32">
      <c r="A32" s="0" t="inlineStr">
        <is>
          <t>SIFT1M</t>
        </is>
      </c>
      <c r="B32" s="0" t="inlineStr">
        <is>
          <t>I50</t>
        </is>
      </c>
      <c r="C32" s="0" t="n">
        <v>85</v>
      </c>
      <c r="D32" s="0" t="inlineStr">
        <is>
          <t>搜索校准</t>
        </is>
      </c>
      <c r="E32" s="0" t="inlineStr">
        <is>
          <t>recall</t>
        </is>
      </c>
      <c r="F32" s="0" t="inlineStr">
        <is>
          <t>P003</t>
        </is>
      </c>
      <c r="G32" s="0" t="inlineStr">
        <is>
          <t>{"sheet": "SIFT1M", "cell": "I50", "value": 85.0, "estimated": false, "status": "搜索校准", "point_id": "P003", "metric": "recall", "previous_cell_value": 85, "note": "目标75%。未完成证明的召回率仅为既有20查询搜索校准；不保证新的证明结果恰好达到该值。",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3">
      <c r="A33" s="0" t="inlineStr">
        <is>
          <t>SIFT1M</t>
        </is>
      </c>
      <c r="B33" s="0" t="inlineStr">
        <is>
          <t>I51</t>
        </is>
      </c>
      <c r="C33" s="0" t="n">
        <v>1072230.40231401</v>
      </c>
      <c r="D33" s="0" t="inlineStr">
        <is>
          <t>预测</t>
        </is>
      </c>
      <c r="E33" s="0" t="inlineStr">
        <is>
          <t>query_ms</t>
        </is>
      </c>
      <c r="F33" s="0" t="inlineStr">
        <is>
          <t>P003</t>
        </is>
      </c>
      <c r="G33" s="0" t="inlineStr">
        <is>
          <t>{"sheet": "SIFT1M", "cell": "I51", "value": 1072230.4023140112, "estimated": true, "status": "预测", "point_id": "P003", "metric": "query_ms", "previous_cell_value": 1031996.4373881, "note": "目标75%；没有达到目标的配置时不预测一个虚假的达标点。",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[268057.6005785028, 4288921.609256045]}</t>
        </is>
      </c>
    </row>
    <row r="34">
      <c r="A34" s="0" t="inlineStr">
        <is>
          <t>SIFT1M</t>
        </is>
      </c>
      <c r="B34" s="0" t="inlineStr">
        <is>
          <t>J26</t>
        </is>
      </c>
      <c r="C34" s="0" t="n">
        <v>85</v>
      </c>
      <c r="D34" s="0" t="inlineStr">
        <is>
          <t>搜索校准</t>
        </is>
      </c>
      <c r="E34" s="0" t="inlineStr">
        <is>
          <t>recall</t>
        </is>
      </c>
      <c r="F34" s="0" t="inlineStr">
        <is>
          <t>P003</t>
        </is>
      </c>
      <c r="G34" s="0" t="inlineStr">
        <is>
          <t>{"sheet": "SIFT1M", "cell": "J26", "value": 85.0, "estimated": false, "status": "搜索校准", "point_id": "P003", "metric": "recall", "previous_cell_value": 85, "note": "目标80%。未完成证明的召回率仅为既有20查询搜索校准；不保证新的证明结果恰好达到该值。",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5">
      <c r="A35" s="0" t="inlineStr">
        <is>
          <t>SIFT1M</t>
        </is>
      </c>
      <c r="B35" s="0" t="inlineStr">
        <is>
          <t>J27</t>
        </is>
      </c>
      <c r="C35" s="0" t="n">
        <v>279.05408</v>
      </c>
      <c r="D35" s="0" t="inlineStr">
        <is>
          <t>预测</t>
        </is>
      </c>
      <c r="E35" s="0" t="inlineStr">
        <is>
          <t>vo_kb</t>
        </is>
      </c>
      <c r="F35" s="0" t="inlineStr">
        <is>
          <t>P003</t>
        </is>
      </c>
      <c r="G35" s="0" t="inlineStr">
        <is>
          <t>{"sheet": "SIFT1M", "cell": "J27", "value": 279.05408, "estimated": true, "status": "预测", "point_id": "P003", "metric": "vo_kb", "previous_cell_value": 279.05408, "note": "目标80%；没有达到目标的配置时不预测一个虚假的达标点。",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[225.88455000000002, 336.3676166666667]}</t>
        </is>
      </c>
    </row>
    <row r="36">
      <c r="A36" s="0" t="inlineStr">
        <is>
          <t>SIFT1M</t>
        </is>
      </c>
      <c r="B36" s="0" t="inlineStr">
        <is>
          <t>J38</t>
        </is>
      </c>
      <c r="C36" s="0" t="n">
        <v>85</v>
      </c>
      <c r="D36" s="0" t="inlineStr">
        <is>
          <t>搜索校准</t>
        </is>
      </c>
      <c r="E36" s="0" t="inlineStr">
        <is>
          <t>recall</t>
        </is>
      </c>
      <c r="F36" s="0" t="inlineStr">
        <is>
          <t>P003</t>
        </is>
      </c>
      <c r="G36" s="0" t="inlineStr">
        <is>
          <t>{"sheet": "SIFT1M", "cell": "J38", "value": 85.0, "estimated": false, "status": "搜索校准", "point_id": "P003", "metric": "recall", "previous_cell_value": 85, "note": "目标80%。未完成证明的召回率仅为既有20查询搜索校准；不保证新的证明结果恰好达到该值。",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7">
      <c r="A37" s="0" t="inlineStr">
        <is>
          <t>SIFT1M</t>
        </is>
      </c>
      <c r="B37" s="0" t="inlineStr">
        <is>
          <t>J39</t>
        </is>
      </c>
      <c r="C37" s="0" t="n">
        <v>31.2254287007305</v>
      </c>
      <c r="D37" s="0" t="inlineStr">
        <is>
          <t>预测</t>
        </is>
      </c>
      <c r="E37" s="0" t="inlineStr">
        <is>
          <t>verify_ms</t>
        </is>
      </c>
      <c r="F37" s="0" t="inlineStr">
        <is>
          <t>P003</t>
        </is>
      </c>
      <c r="G37" s="0" t="inlineStr">
        <is>
          <t>{"sheet": "SIFT1M", "cell": "J39", "value": 31.225428700730554, "estimated": true, "status": "预测", "point_id": "P003", "metric": "verify_ms", "previous_cell_value": 31.2565823630566, "note": "目标80%；没有达到目标的配置时不预测一个虚假的达标点。",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[15.612714350365277, 62.45085740146111]}</t>
        </is>
      </c>
    </row>
    <row r="38">
      <c r="A38" s="0" t="inlineStr">
        <is>
          <t>SIFT1M</t>
        </is>
      </c>
      <c r="B38" s="0" t="inlineStr">
        <is>
          <t>J50</t>
        </is>
      </c>
      <c r="C38" s="0" t="n">
        <v>85</v>
      </c>
      <c r="D38" s="0" t="inlineStr">
        <is>
          <t>搜索校准</t>
        </is>
      </c>
      <c r="E38" s="0" t="inlineStr">
        <is>
          <t>recall</t>
        </is>
      </c>
      <c r="F38" s="0" t="inlineStr">
        <is>
          <t>P003</t>
        </is>
      </c>
      <c r="G38" s="0" t="inlineStr">
        <is>
          <t>{"sheet": "SIFT1M", "cell": "J50", "value": 85.0, "estimated": false, "status": "搜索校准", "point_id": "P003", "metric": "recall", "previous_cell_value": 85, "note": "目标80%。未完成证明的召回率仅为既有20查询搜索校准；不保证新的证明结果恰好达到该值。",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9">
      <c r="A39" s="0" t="inlineStr">
        <is>
          <t>SIFT1M</t>
        </is>
      </c>
      <c r="B39" s="0" t="inlineStr">
        <is>
          <t>J51</t>
        </is>
      </c>
      <c r="C39" s="0" t="n">
        <v>1072230.40231401</v>
      </c>
      <c r="D39" s="0" t="inlineStr">
        <is>
          <t>预测</t>
        </is>
      </c>
      <c r="E39" s="0" t="inlineStr">
        <is>
          <t>query_ms</t>
        </is>
      </c>
      <c r="F39" s="0" t="inlineStr">
        <is>
          <t>P003</t>
        </is>
      </c>
      <c r="G39" s="0" t="inlineStr">
        <is>
          <t>{"sheet": "SIFT1M", "cell": "J51", "value": 1072230.4023140112, "estimated": true, "status": "预测", "point_id": "P003", "metric": "query_ms", "previous_cell_value": 1031996.4373881, "note": "目标80%；没有达到目标的配置时不预测一个虚假的达标点。",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[268057.6005785028, 4288921.609256045]}</t>
        </is>
      </c>
    </row>
    <row r="40">
      <c r="A40" s="0" t="inlineStr">
        <is>
          <t>SIFT1M</t>
        </is>
      </c>
      <c r="B40" s="0" t="inlineStr">
        <is>
          <t>K26</t>
        </is>
      </c>
      <c r="C40" s="0" t="n">
        <v>85</v>
      </c>
      <c r="D40" s="0" t="inlineStr">
        <is>
          <t>搜索校准</t>
        </is>
      </c>
      <c r="E40" s="0" t="inlineStr">
        <is>
          <t>recall</t>
        </is>
      </c>
      <c r="F40" s="0" t="inlineStr">
        <is>
          <t>P003</t>
        </is>
      </c>
      <c r="G40" s="0" t="inlineStr">
        <is>
          <t>{"sheet": "SIFT1M", "cell": "K26", "value": 85.0, "estimated": false, "status": "搜索校准", "point_id": "P003", "metric": "recall", "previous_cell_value": 85, "note": "目标85%。未完成证明的召回率仅为既有20查询搜索校准；不保证新的证明结果恰好达到该值。",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41">
      <c r="A41" s="0" t="inlineStr">
        <is>
          <t>SIFT1M</t>
        </is>
      </c>
      <c r="B41" s="0" t="inlineStr">
        <is>
          <t>K27</t>
        </is>
      </c>
      <c r="C41" s="0" t="n">
        <v>279.05408</v>
      </c>
      <c r="D41" s="0" t="inlineStr">
        <is>
          <t>预测</t>
        </is>
      </c>
      <c r="E41" s="0" t="inlineStr">
        <is>
          <t>vo_kb</t>
        </is>
      </c>
      <c r="F41" s="0" t="inlineStr">
        <is>
          <t>P003</t>
        </is>
      </c>
      <c r="G41" s="0" t="inlineStr">
        <is>
          <t>{"sheet": "SIFT1M", "cell": "K27", "value": 279.05408, "estimated": true, "status": "预测", "point_id": "P003", "metric": "vo_kb", "previous_cell_value": 279.05408, "note": "目标85%；没有达到目标的配置时不预测一个虚假的达标点。",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[225.88455000000002, 336.3676166666667]}</t>
        </is>
      </c>
    </row>
    <row r="42">
      <c r="A42" s="0" t="inlineStr">
        <is>
          <t>SIFT1M</t>
        </is>
      </c>
      <c r="B42" s="0" t="inlineStr">
        <is>
          <t>K38</t>
        </is>
      </c>
      <c r="C42" s="0" t="n">
        <v>85</v>
      </c>
      <c r="D42" s="0" t="inlineStr">
        <is>
          <t>搜索校准</t>
        </is>
      </c>
      <c r="E42" s="0" t="inlineStr">
        <is>
          <t>recall</t>
        </is>
      </c>
      <c r="F42" s="0" t="inlineStr">
        <is>
          <t>P003</t>
        </is>
      </c>
      <c r="G42" s="0" t="inlineStr">
        <is>
          <t>{"sheet": "SIFT1M", "cell": "K38", "value": 85.0, "estimated": false, "status": "搜索校准", "point_id": "P003", "metric": "recall", "previous_cell_value": 85, "note": "目标85%。未完成证明的召回率仅为既有20查询搜索校准；不保证新的证明结果恰好达到该值。",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43">
      <c r="A43" s="0" t="inlineStr">
        <is>
          <t>SIFT1M</t>
        </is>
      </c>
      <c r="B43" s="0" t="inlineStr">
        <is>
          <t>K39</t>
        </is>
      </c>
      <c r="C43" s="0" t="n">
        <v>31.2254287007305</v>
      </c>
      <c r="D43" s="0" t="inlineStr">
        <is>
          <t>预测</t>
        </is>
      </c>
      <c r="E43" s="0" t="inlineStr">
        <is>
          <t>verify_ms</t>
        </is>
      </c>
      <c r="F43" s="0" t="inlineStr">
        <is>
          <t>P003</t>
        </is>
      </c>
      <c r="G43" s="0" t="inlineStr">
        <is>
          <t>{"sheet": "SIFT1M", "cell": "K39", "value": 31.225428700730554, "estimated": true, "status": "预测", "point_id": "P003", "metric": "verify_ms", "previous_cell_value": 31.2565823630566, "note": "目标85%；没有达到目标的配置时不预测一个虚假的达标点。",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[15.612714350365277, 62.45085740146111]}</t>
        </is>
      </c>
    </row>
    <row r="44">
      <c r="A44" s="0" t="inlineStr">
        <is>
          <t>SIFT1M</t>
        </is>
      </c>
      <c r="B44" s="0" t="inlineStr">
        <is>
          <t>K50</t>
        </is>
      </c>
      <c r="C44" s="0" t="n">
        <v>85</v>
      </c>
      <c r="D44" s="0" t="inlineStr">
        <is>
          <t>搜索校准</t>
        </is>
      </c>
      <c r="E44" s="0" t="inlineStr">
        <is>
          <t>recall</t>
        </is>
      </c>
      <c r="F44" s="0" t="inlineStr">
        <is>
          <t>P003</t>
        </is>
      </c>
      <c r="G44" s="0" t="inlineStr">
        <is>
          <t>{"sheet": "SIFT1M", "cell": "K50", "value": 85.0, "estimated": false, "status": "搜索校准", "point_id": "P003", "metric": "recall", "previous_cell_value": 85, "note": "目标85%。未完成证明的召回率仅为既有20查询搜索校准；不保证新的证明结果恰好达到该值。",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45">
      <c r="A45" s="0" t="inlineStr">
        <is>
          <t>SIFT1M</t>
        </is>
      </c>
      <c r="B45" s="0" t="inlineStr">
        <is>
          <t>K51</t>
        </is>
      </c>
      <c r="C45" s="0" t="n">
        <v>1072230.40231401</v>
      </c>
      <c r="D45" s="0" t="inlineStr">
        <is>
          <t>预测</t>
        </is>
      </c>
      <c r="E45" s="0" t="inlineStr">
        <is>
          <t>query_ms</t>
        </is>
      </c>
      <c r="F45" s="0" t="inlineStr">
        <is>
          <t>P003</t>
        </is>
      </c>
      <c r="G45" s="0" t="inlineStr">
        <is>
          <t>{"sheet": "SIFT1M", "cell": "K51", "value": 1072230.4023140112, "estimated": true, "status": "预测", "point_id": "P003", "metric": "query_ms", "previous_cell_value": 1031996.4373881, "note": "目标85%；没有达到目标的配置时不预测一个虚假的达标点。",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[268057.6005785028, 4288921.609256045]}</t>
        </is>
      </c>
    </row>
    <row r="46">
      <c r="A46" s="0" t="inlineStr">
        <is>
          <t>SIFT1M</t>
        </is>
      </c>
      <c r="B46" s="0" t="inlineStr">
        <is>
          <t>L26</t>
        </is>
      </c>
      <c r="C46" s="0" t="n">
        <v>93.5</v>
      </c>
      <c r="D46" s="0" t="inlineStr">
        <is>
          <t>搜索校准</t>
        </is>
      </c>
      <c r="E46" s="0" t="inlineStr">
        <is>
          <t>recall</t>
        </is>
      </c>
      <c r="F46" s="0" t="inlineStr">
        <is>
          <t>P004</t>
        </is>
      </c>
      <c r="G46" s="0" t="inlineStr">
        <is>
          <t>{"sheet": "SIFT1M", "cell": "L26", "value": 93.5, "estimated": false, "status": "搜索校准", "point_id": "P004", "metric": "recall", "previous_cell_value": 93.5, "note": "目标90%。未完成证明的召回率仅为既有20查询搜索校准；不保证新的证明结果恰好达到该值。",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47">
      <c r="A47" s="0" t="inlineStr">
        <is>
          <t>SIFT1M</t>
        </is>
      </c>
      <c r="B47" s="0" t="inlineStr">
        <is>
          <t>L27</t>
        </is>
      </c>
      <c r="C47" s="0" t="n">
        <v>352.878093333333</v>
      </c>
      <c r="D47" s="0" t="inlineStr">
        <is>
          <t>预测</t>
        </is>
      </c>
      <c r="E47" s="0" t="inlineStr">
        <is>
          <t>vo_kb</t>
        </is>
      </c>
      <c r="F47" s="0" t="inlineStr">
        <is>
          <t>P004</t>
        </is>
      </c>
      <c r="G47" s="0" t="inlineStr">
        <is>
          <t>{"sheet": "SIFT1M", "cell": "L27", "value": 352.87809333333337, "estimated": true, "status": "预测", "point_id": "P004", "metric": "vo_kb", "previous_cell_value": 352.878093333333, "note": "目标90%；没有达到目标的配置时不预测一个虚假的达标点。",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[297.63656, 412.26363333333336]}</t>
        </is>
      </c>
    </row>
    <row r="48">
      <c r="A48" s="0" t="inlineStr">
        <is>
          <t>SIFT1M</t>
        </is>
      </c>
      <c r="B48" s="0" t="inlineStr">
        <is>
          <t>L38</t>
        </is>
      </c>
      <c r="C48" s="0" t="n">
        <v>93.5</v>
      </c>
      <c r="D48" s="0" t="inlineStr">
        <is>
          <t>搜索校准</t>
        </is>
      </c>
      <c r="E48" s="0" t="inlineStr">
        <is>
          <t>recall</t>
        </is>
      </c>
      <c r="F48" s="0" t="inlineStr">
        <is>
          <t>P004</t>
        </is>
      </c>
      <c r="G48" s="0" t="inlineStr">
        <is>
          <t>{"sheet": "SIFT1M", "cell": "L38", "value": 93.5, "estimated": false, "status": "搜索校准", "point_id": "P004", "metric": "recall", "previous_cell_value": 93.5, "note": "目标90%。未完成证明的召回率仅为既有20查询搜索校准；不保证新的证明结果恰好达到该值。",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49">
      <c r="A49" s="0" t="inlineStr">
        <is>
          <t>SIFT1M</t>
        </is>
      </c>
      <c r="B49" s="0" t="inlineStr">
        <is>
          <t>L39</t>
        </is>
      </c>
      <c r="C49" s="0" t="n">
        <v>34.1074646527599</v>
      </c>
      <c r="D49" s="0" t="inlineStr">
        <is>
          <t>预测</t>
        </is>
      </c>
      <c r="E49" s="0" t="inlineStr">
        <is>
          <t>verify_ms</t>
        </is>
      </c>
      <c r="F49" s="0" t="inlineStr">
        <is>
          <t>P004</t>
        </is>
      </c>
      <c r="G49" s="0" t="inlineStr">
        <is>
          <t>{"sheet": "SIFT1M", "cell": "L39", "value": 34.10746465275993, "estimated": true, "status": "预测", "point_id": "P004", "metric": "verify_ms", "previous_cell_value": 34.2039774969432, "note": "目标90%；没有达到目标的配置时不预测一个虚假的达标点。",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[17.053732326379965, 68.21492930551986]}</t>
        </is>
      </c>
    </row>
    <row r="50">
      <c r="A50" s="0" t="inlineStr">
        <is>
          <t>SIFT1M</t>
        </is>
      </c>
      <c r="B50" s="0" t="inlineStr">
        <is>
          <t>L50</t>
        </is>
      </c>
      <c r="C50" s="0" t="n">
        <v>93.5</v>
      </c>
      <c r="D50" s="0" t="inlineStr">
        <is>
          <t>搜索校准</t>
        </is>
      </c>
      <c r="E50" s="0" t="inlineStr">
        <is>
          <t>recall</t>
        </is>
      </c>
      <c r="F50" s="0" t="inlineStr">
        <is>
          <t>P004</t>
        </is>
      </c>
      <c r="G50" s="0" t="inlineStr">
        <is>
          <t>{"sheet": "SIFT1M", "cell": "L50", "value": 93.5, "estimated": false, "status": "搜索校准", "point_id": "P004", "metric": "recall", "previous_cell_value": 93.5, "note": "目标90%。未完成证明的召回率仅为既有20查询搜索校准；不保证新的证明结果恰好达到该值。",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51">
      <c r="A51" s="0" t="inlineStr">
        <is>
          <t>SIFT1M</t>
        </is>
      </c>
      <c r="B51" s="0" t="inlineStr">
        <is>
          <t>L51</t>
        </is>
      </c>
      <c r="C51" s="0" t="n">
        <v>2246734.4322322</v>
      </c>
      <c r="D51" s="0" t="inlineStr">
        <is>
          <t>预测</t>
        </is>
      </c>
      <c r="E51" s="0" t="inlineStr">
        <is>
          <t>query_ms</t>
        </is>
      </c>
      <c r="F51" s="0" t="inlineStr">
        <is>
          <t>P004</t>
        </is>
      </c>
      <c r="G51" s="0" t="inlineStr">
        <is>
          <t>{"sheet": "SIFT1M", "cell": "L51", "value": 2246734.432232203, "estimated": true, "status": "预测", "point_id": "P004", "metric": "query_ms", "previous_cell_value": 2162433.94512413, "note": "目标90%；没有达到目标的配置时不预测一个虚假的达标点。",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[561683.6080580507, 8986937.728928812]}</t>
        </is>
      </c>
    </row>
    <row r="52">
      <c r="A52" s="0" t="inlineStr">
        <is>
          <t>SIFT1M</t>
        </is>
      </c>
      <c r="B52" s="0" t="inlineStr">
        <is>
          <t>M26</t>
        </is>
      </c>
      <c r="C52" s="0" t="n">
        <v>96</v>
      </c>
      <c r="D52" s="0" t="inlineStr">
        <is>
          <t>搜索校准</t>
        </is>
      </c>
      <c r="E52" s="0" t="inlineStr">
        <is>
          <t>recall</t>
        </is>
      </c>
      <c r="F52" s="0" t="inlineStr">
        <is>
          <t>P001</t>
        </is>
      </c>
      <c r="G52" s="0" t="inlineStr">
        <is>
          <t>{"sheet": "SIFT1M", "cell": "M26", "value": 96.0, "estimated": false, "status": "搜索校准", "point_id": "P001", "metric": "recall", "previous_cell_value": 96, "note": "目标95%。未完成证明的召回率仅为既有20查询搜索校准；不保证新的证明结果恰好达到该值。",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53">
      <c r="A53" s="0" t="inlineStr">
        <is>
          <t>SIFT1M</t>
        </is>
      </c>
      <c r="B53" s="0" t="inlineStr">
        <is>
          <t>M27</t>
        </is>
      </c>
      <c r="C53" s="0" t="n">
        <v>492.238106666667</v>
      </c>
      <c r="D53" s="0" t="inlineStr">
        <is>
          <t>预测</t>
        </is>
      </c>
      <c r="E53" s="0" t="inlineStr">
        <is>
          <t>vo_kb</t>
        </is>
      </c>
      <c r="F53" s="0" t="inlineStr">
        <is>
          <t>P001</t>
        </is>
      </c>
      <c r="G53" s="0" t="inlineStr">
        <is>
          <t>{"sheet": "SIFT1M", "cell": "M27", "value": 492.2381066666667, "estimated": true, "status": "预测", "point_id": "P001", "metric": "vo_kb", "previous_cell_value": 492.238106666667, "note": "目标95%；没有达到目标的配置时不预测一个虚假的达标点。",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[434.92457, 553.69565]}</t>
        </is>
      </c>
    </row>
    <row r="54">
      <c r="A54" s="0" t="inlineStr">
        <is>
          <t>SIFT1M</t>
        </is>
      </c>
      <c r="B54" s="0" t="inlineStr">
        <is>
          <t>M38</t>
        </is>
      </c>
      <c r="C54" s="0" t="n">
        <v>96</v>
      </c>
      <c r="D54" s="0" t="inlineStr">
        <is>
          <t>搜索校准</t>
        </is>
      </c>
      <c r="E54" s="0" t="inlineStr">
        <is>
          <t>recall</t>
        </is>
      </c>
      <c r="F54" s="0" t="inlineStr">
        <is>
          <t>P001</t>
        </is>
      </c>
      <c r="G54" s="0" t="inlineStr">
        <is>
          <t>{"sheet": "SIFT1M", "cell": "M38", "value": 96.0, "estimated": false, "status": "搜索校准", "point_id": "P001", "metric": "recall", "previous_cell_value": 96, "note": "目标95%。未完成证明的召回率仅为既有20查询搜索校准；不保证新的证明结果恰好达到该值。",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55">
      <c r="A55" s="0" t="inlineStr">
        <is>
          <t>SIFT1M</t>
        </is>
      </c>
      <c r="B55" s="0" t="inlineStr">
        <is>
          <t>M39</t>
        </is>
      </c>
      <c r="C55" s="0" t="n">
        <v>38.4836684407268</v>
      </c>
      <c r="D55" s="0" t="inlineStr">
        <is>
          <t>预测</t>
        </is>
      </c>
      <c r="E55" s="0" t="inlineStr">
        <is>
          <t>verify_ms</t>
        </is>
      </c>
      <c r="F55" s="0" t="inlineStr">
        <is>
          <t>P001</t>
        </is>
      </c>
      <c r="G55" s="0" t="inlineStr">
        <is>
          <t>{"sheet": "SIFT1M", "cell": "M39", "value": 38.48366844072681, "estimated": true, "status": "预测", "point_id": "P001", "metric": "verify_ms", "previous_cell_value": 38.7139515058298, "note": "目标95%；没有达到目标的配置时不预测一个虚假的达标点。",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[9.620917110181702, 153.93467376290724]}</t>
        </is>
      </c>
    </row>
    <row r="56">
      <c r="A56" s="0" t="inlineStr">
        <is>
          <t>SIFT1M</t>
        </is>
      </c>
      <c r="B56" s="0" t="inlineStr">
        <is>
          <t>M50</t>
        </is>
      </c>
      <c r="C56" s="0" t="n">
        <v>96</v>
      </c>
      <c r="D56" s="0" t="inlineStr">
        <is>
          <t>搜索校准</t>
        </is>
      </c>
      <c r="E56" s="0" t="inlineStr">
        <is>
          <t>recall</t>
        </is>
      </c>
      <c r="F56" s="0" t="inlineStr">
        <is>
          <t>P001</t>
        </is>
      </c>
      <c r="G56" s="0" t="inlineStr">
        <is>
          <t>{"sheet": "SIFT1M", "cell": "M50", "value": 96.0, "estimated": false, "status": "搜索校准", "point_id": "P001", "metric": "recall", "previous_cell_value": 96, "note": "目标95%。未完成证明的召回率仅为既有20查询搜索校准；不保证新的证明结果恰好达到该值。",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57">
      <c r="A57" s="0" t="inlineStr">
        <is>
          <t>SIFT1M</t>
        </is>
      </c>
      <c r="B57" s="0" t="inlineStr">
        <is>
          <t>M51</t>
        </is>
      </c>
      <c r="C57" s="0" t="n">
        <v>4698016.11967277</v>
      </c>
      <c r="D57" s="0" t="inlineStr">
        <is>
          <t>预测</t>
        </is>
      </c>
      <c r="E57" s="0" t="inlineStr">
        <is>
          <t>query_ms</t>
        </is>
      </c>
      <c r="F57" s="0" t="inlineStr">
        <is>
          <t>P001</t>
        </is>
      </c>
      <c r="G57" s="0" t="inlineStr">
        <is>
          <t>{"sheet": "SIFT1M", "cell": "M51", "value": 4698016.119672766, "estimated": true, "status": "预测", "point_id": "P001", "metric": "query_ms", "previous_cell_value": 4521750.03094413, "note": "目标95%；没有达到目标的配置时不预测一个虚假的达标点。",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[587252.0149590957, 37584128.95738213]}</t>
        </is>
      </c>
    </row>
    <row r="58">
      <c r="A58" s="0" t="inlineStr">
        <is>
          <t>SIFT1M</t>
        </is>
      </c>
      <c r="B58" s="0" t="inlineStr">
        <is>
          <t>N26</t>
        </is>
      </c>
      <c r="C58" s="0" t="n">
        <v>98.5</v>
      </c>
      <c r="D58" s="0" t="inlineStr">
        <is>
          <t>搜索校准</t>
        </is>
      </c>
      <c r="E58" s="0" t="inlineStr">
        <is>
          <t>recall</t>
        </is>
      </c>
      <c r="F58" s="0" t="inlineStr">
        <is>
          <t>P005</t>
        </is>
      </c>
      <c r="G58" s="0" t="inlineStr">
        <is>
          <t>{"sheet": "SIFT1M", "cell": "N26", "value": 98.5, "estimated": false, "status": "搜索校准", "point_id": "P005", "metric": "recall", "previous_cell_value": 98.5, "note": "目标97%。未完成证明的召回率仅为既有20查询搜索校准；不保证新的证明结果恰好达到该值。",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59">
      <c r="A59" s="0" t="inlineStr">
        <is>
          <t>SIFT1M</t>
        </is>
      </c>
      <c r="B59" s="0" t="inlineStr">
        <is>
          <t>N27</t>
        </is>
      </c>
      <c r="C59" s="0" t="n">
        <v>762.67012</v>
      </c>
      <c r="D59" s="0" t="inlineStr">
        <is>
          <t>预测</t>
        </is>
      </c>
      <c r="E59" s="0" t="inlineStr">
        <is>
          <t>vo_kb</t>
        </is>
      </c>
      <c r="F59" s="0" t="inlineStr">
        <is>
          <t>P005</t>
        </is>
      </c>
      <c r="G59" s="0" t="inlineStr">
        <is>
          <t>{"sheet": "SIFT1M", "cell": "N27", "value": 762.67012, "estimated": true, "status": "预测", "point_id": "P005", "metric": "vo_kb", "previous_cell_value": 762.67012, "note": "目标97%；没有达到目标的配置时不预测一个虚假的达标点。",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[703.2845800000001, 826.1996666666668]}</t>
        </is>
      </c>
    </row>
    <row r="60">
      <c r="A60" s="0" t="inlineStr">
        <is>
          <t>SIFT1M</t>
        </is>
      </c>
      <c r="B60" s="0" t="inlineStr">
        <is>
          <t>N38</t>
        </is>
      </c>
      <c r="C60" s="0" t="n">
        <v>98.5</v>
      </c>
      <c r="D60" s="0" t="inlineStr">
        <is>
          <t>搜索校准</t>
        </is>
      </c>
      <c r="E60" s="0" t="inlineStr">
        <is>
          <t>recall</t>
        </is>
      </c>
      <c r="F60" s="0" t="inlineStr">
        <is>
          <t>P005</t>
        </is>
      </c>
      <c r="G60" s="0" t="inlineStr">
        <is>
          <t>{"sheet": "SIFT1M", "cell": "N38", "value": 98.5, "estimated": false, "status": "搜索校准", "point_id": "P005", "metric": "recall", "previous_cell_value": 98.5, "note": "目标97%。未完成证明的召回率仅为既有20查询搜索校准；不保证新的证明结果恰好达到该值。",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61">
      <c r="A61" s="0" t="inlineStr">
        <is>
          <t>SIFT1M</t>
        </is>
      </c>
      <c r="B61" s="0" t="inlineStr">
        <is>
          <t>N39</t>
        </is>
      </c>
      <c r="C61" s="0" t="n">
        <v>45.8482079005687</v>
      </c>
      <c r="D61" s="0" t="inlineStr">
        <is>
          <t>预测</t>
        </is>
      </c>
      <c r="E61" s="0" t="inlineStr">
        <is>
          <t>verify_ms</t>
        </is>
      </c>
      <c r="F61" s="0" t="inlineStr">
        <is>
          <t>P005</t>
        </is>
      </c>
      <c r="G61" s="0" t="inlineStr">
        <is>
          <t>{"sheet": "SIFT1M", "cell": "N39", "value": 45.84820790056868, "estimated": true, "status": "预测", "point_id": "P005", "metric": "verify_ms", "previous_cell_value": 46.3490832647164, "note": "目标97%；没有达到目标的配置时不预测一个虚假的达标点。",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[11.46205197514217, 183.39283160227473]}</t>
        </is>
      </c>
    </row>
    <row r="62">
      <c r="A62" s="0" t="inlineStr">
        <is>
          <t>SIFT1M</t>
        </is>
      </c>
      <c r="B62" s="0" t="inlineStr">
        <is>
          <t>N50</t>
        </is>
      </c>
      <c r="C62" s="0" t="n">
        <v>98.5</v>
      </c>
      <c r="D62" s="0" t="inlineStr">
        <is>
          <t>搜索校准</t>
        </is>
      </c>
      <c r="E62" s="0" t="inlineStr">
        <is>
          <t>recall</t>
        </is>
      </c>
      <c r="F62" s="0" t="inlineStr">
        <is>
          <t>P005</t>
        </is>
      </c>
      <c r="G62" s="0" t="inlineStr">
        <is>
          <t>{"sheet": "SIFT1M", "cell": "N50", "value": 98.5, "estimated": false, "status": "搜索校准", "point_id": "P005", "metric": "recall", "previous_cell_value": 98.5, "note": "目标97%。未完成证明的召回率仅为既有20查询搜索校准；不保证新的证明结果恰好达到该值。",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63">
      <c r="A63" s="0" t="inlineStr">
        <is>
          <t>SIFT1M</t>
        </is>
      </c>
      <c r="B63" s="0" t="inlineStr">
        <is>
          <t>N51</t>
        </is>
      </c>
      <c r="C63" s="0" t="n">
        <v>9805126.74976225</v>
      </c>
      <c r="D63" s="0" t="inlineStr">
        <is>
          <t>预测</t>
        </is>
      </c>
      <c r="E63" s="0" t="inlineStr">
        <is>
          <t>query_ms</t>
        </is>
      </c>
      <c r="F63" s="0" t="inlineStr">
        <is>
          <t>P005</t>
        </is>
      </c>
      <c r="G63" s="0" t="inlineStr">
        <is>
          <t>{"sheet": "SIFT1M", "cell": "N51", "value": 9805126.74976225, "estimated": true, "status": "预测", "point_id": "P005", "metric": "query_ms", "previous_cell_value": 9437264.34327999, "note": "目标97%；没有达到目标的配置时不预测一个虚假的达标点。",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[1225640.8437202813, 78441013.998098]}</t>
        </is>
      </c>
    </row>
    <row r="64">
      <c r="A64" s="0" t="inlineStr">
        <is>
          <t>SIFT1M</t>
        </is>
      </c>
      <c r="B64" s="0" t="inlineStr">
        <is>
          <t>O26</t>
        </is>
      </c>
      <c r="C64" s="0" t="n">
        <v>98.5</v>
      </c>
      <c r="D64" s="0" t="inlineStr">
        <is>
          <t>搜索校准</t>
        </is>
      </c>
      <c r="E64" s="0" t="inlineStr">
        <is>
          <t>recall</t>
        </is>
      </c>
      <c r="F64" s="0" t="inlineStr">
        <is>
          <t>P005</t>
        </is>
      </c>
      <c r="G64" s="0" t="inlineStr">
        <is>
          <t>{"sheet": "SIFT1M", "cell": "O26", "value": 98.5, "estimated": false, "status": "搜索校准", "point_id": "P005", "metric": "recall", "previous_cell_value": 98.5, "note": "目标98%。未完成证明的召回率仅为既有20查询搜索校准；不保证新的证明结果恰好达到该值。",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65">
      <c r="A65" s="0" t="inlineStr">
        <is>
          <t>SIFT1M</t>
        </is>
      </c>
      <c r="B65" s="0" t="inlineStr">
        <is>
          <t>O27</t>
        </is>
      </c>
      <c r="C65" s="0" t="n">
        <v>762.67012</v>
      </c>
      <c r="D65" s="0" t="inlineStr">
        <is>
          <t>预测</t>
        </is>
      </c>
      <c r="E65" s="0" t="inlineStr">
        <is>
          <t>vo_kb</t>
        </is>
      </c>
      <c r="F65" s="0" t="inlineStr">
        <is>
          <t>P005</t>
        </is>
      </c>
      <c r="G65" s="0" t="inlineStr">
        <is>
          <t>{"sheet": "SIFT1M", "cell": "O27", "value": 762.67012, "estimated": true, "status": "预测", "point_id": "P005", "metric": "vo_kb", "previous_cell_value": 762.67012, "note": "目标98%；没有达到目标的配置时不预测一个虚假的达标点。",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[703.2845800000001, 826.1996666666668]}</t>
        </is>
      </c>
    </row>
    <row r="66">
      <c r="A66" s="0" t="inlineStr">
        <is>
          <t>SIFT1M</t>
        </is>
      </c>
      <c r="B66" s="0" t="inlineStr">
        <is>
          <t>O38</t>
        </is>
      </c>
      <c r="C66" s="0" t="n">
        <v>98.5</v>
      </c>
      <c r="D66" s="0" t="inlineStr">
        <is>
          <t>搜索校准</t>
        </is>
      </c>
      <c r="E66" s="0" t="inlineStr">
        <is>
          <t>recall</t>
        </is>
      </c>
      <c r="F66" s="0" t="inlineStr">
        <is>
          <t>P005</t>
        </is>
      </c>
      <c r="G66" s="0" t="inlineStr">
        <is>
          <t>{"sheet": "SIFT1M", "cell": "O38", "value": 98.5, "estimated": false, "status": "搜索校准", "point_id": "P005", "metric": "recall", "previous_cell_value": 98.5, "note": "目标98%。未完成证明的召回率仅为既有20查询搜索校准；不保证新的证明结果恰好达到该值。",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67">
      <c r="A67" s="0" t="inlineStr">
        <is>
          <t>SIFT1M</t>
        </is>
      </c>
      <c r="B67" s="0" t="inlineStr">
        <is>
          <t>O39</t>
        </is>
      </c>
      <c r="C67" s="0" t="n">
        <v>45.8482079005687</v>
      </c>
      <c r="D67" s="0" t="inlineStr">
        <is>
          <t>预测</t>
        </is>
      </c>
      <c r="E67" s="0" t="inlineStr">
        <is>
          <t>verify_ms</t>
        </is>
      </c>
      <c r="F67" s="0" t="inlineStr">
        <is>
          <t>P005</t>
        </is>
      </c>
      <c r="G67" s="0" t="inlineStr">
        <is>
          <t>{"sheet": "SIFT1M", "cell": "O39", "value": 45.84820790056868, "estimated": true, "status": "预测", "point_id": "P005", "metric": "verify_ms", "previous_cell_value": 46.3490832647164, "note": "目标98%；没有达到目标的配置时不预测一个虚假的达标点。",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[11.46205197514217, 183.39283160227473]}</t>
        </is>
      </c>
    </row>
    <row r="68">
      <c r="A68" s="0" t="inlineStr">
        <is>
          <t>SIFT1M</t>
        </is>
      </c>
      <c r="B68" s="0" t="inlineStr">
        <is>
          <t>O50</t>
        </is>
      </c>
      <c r="C68" s="0" t="n">
        <v>98.5</v>
      </c>
      <c r="D68" s="0" t="inlineStr">
        <is>
          <t>搜索校准</t>
        </is>
      </c>
      <c r="E68" s="0" t="inlineStr">
        <is>
          <t>recall</t>
        </is>
      </c>
      <c r="F68" s="0" t="inlineStr">
        <is>
          <t>P005</t>
        </is>
      </c>
      <c r="G68" s="0" t="inlineStr">
        <is>
          <t>{"sheet": "SIFT1M", "cell": "O50", "value": 98.5, "estimated": false, "status": "搜索校准", "point_id": "P005", "metric": "recall", "previous_cell_value": 98.5, "note": "目标98%。未完成证明的召回率仅为既有20查询搜索校准；不保证新的证明结果恰好达到该值。",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69">
      <c r="A69" s="0" t="inlineStr">
        <is>
          <t>SIFT1M</t>
        </is>
      </c>
      <c r="B69" s="0" t="inlineStr">
        <is>
          <t>O51</t>
        </is>
      </c>
      <c r="C69" s="0" t="n">
        <v>9805126.74976225</v>
      </c>
      <c r="D69" s="0" t="inlineStr">
        <is>
          <t>预测</t>
        </is>
      </c>
      <c r="E69" s="0" t="inlineStr">
        <is>
          <t>query_ms</t>
        </is>
      </c>
      <c r="F69" s="0" t="inlineStr">
        <is>
          <t>P005</t>
        </is>
      </c>
      <c r="G69" s="0" t="inlineStr">
        <is>
          <t>{"sheet": "SIFT1M", "cell": "O51", "value": 9805126.74976225, "estimated": true, "status": "预测", "point_id": "P005", "metric": "query_ms", "previous_cell_value": 9437264.34327999, "note": "目标98%；没有达到目标的配置时不预测一个虚假的达标点。",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[1225640.8437202813, 78441013.998098]}</t>
        </is>
      </c>
    </row>
    <row r="70">
      <c r="A70" s="0" t="inlineStr">
        <is>
          <t>SIFT1M</t>
        </is>
      </c>
      <c r="B70" s="0" t="inlineStr">
        <is>
          <t>P26</t>
        </is>
      </c>
      <c r="C70" s="0" t="n">
        <v>99.5</v>
      </c>
      <c r="D70" s="0" t="inlineStr">
        <is>
          <t>搜索校准</t>
        </is>
      </c>
      <c r="E70" s="0" t="inlineStr">
        <is>
          <t>recall</t>
        </is>
      </c>
      <c r="F70" s="0" t="inlineStr">
        <is>
          <t>P006</t>
        </is>
      </c>
      <c r="G70" s="0" t="inlineStr">
        <is>
          <t>{"sheet": "SIFT1M", "cell": "P26", "value": 99.49999999999999, "estimated": false, "status": "搜索校准", "point_id": "P006", "metric": "recall", "previous_cell_value": 99.5, "note": "目标99%。未完成证明的召回率仅为既有20查询搜索校准；不保证新的证明结果恰好达到该值。",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71">
      <c r="A71" s="0" t="inlineStr">
        <is>
          <t>SIFT1M</t>
        </is>
      </c>
      <c r="B71" s="0" t="inlineStr">
        <is>
          <t>P27</t>
        </is>
      </c>
      <c r="C71" s="0" t="n">
        <v>1295.24613333333</v>
      </c>
      <c r="D71" s="0" t="inlineStr">
        <is>
          <t>预测</t>
        </is>
      </c>
      <c r="E71" s="0" t="inlineStr">
        <is>
          <t>vo_kb</t>
        </is>
      </c>
      <c r="F71" s="0" t="inlineStr">
        <is>
          <t>P006</t>
        </is>
      </c>
      <c r="G71" s="0" t="inlineStr">
        <is>
          <t>{"sheet": "SIFT1M", "cell": "P27", "value": 1295.2461333333333, "estimated": true, "status": "预测", "point_id": "P006", "metric": "vo_kb", "previous_cell_value": 1295.24613333333, "note": "目标99%；没有达到目标的配置时不预测一个虚假的达标点。",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[1233.78859, 1360.8476833333334]}</t>
        </is>
      </c>
    </row>
    <row r="72">
      <c r="A72" s="0" t="inlineStr">
        <is>
          <t>SIFT1M</t>
        </is>
      </c>
      <c r="B72" s="0" t="inlineStr">
        <is>
          <t>P38</t>
        </is>
      </c>
      <c r="C72" s="0" t="n">
        <v>99.5</v>
      </c>
      <c r="D72" s="0" t="inlineStr">
        <is>
          <t>搜索校准</t>
        </is>
      </c>
      <c r="E72" s="0" t="inlineStr">
        <is>
          <t>recall</t>
        </is>
      </c>
      <c r="F72" s="0" t="inlineStr">
        <is>
          <t>P006</t>
        </is>
      </c>
      <c r="G72" s="0" t="inlineStr">
        <is>
          <t>{"sheet": "SIFT1M", "cell": "P38", "value": 99.49999999999999, "estimated": false, "status": "搜索校准", "point_id": "P006", "metric": "recall", "previous_cell_value": 99.5, "note": "目标99%。未完成证明的召回率仅为既有20查询搜索校准；不保证新的证明结果恰好达到该值。",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73">
      <c r="A73" s="0" t="inlineStr">
        <is>
          <t>SIFT1M</t>
        </is>
      </c>
      <c r="B73" s="0" t="inlineStr">
        <is>
          <t>P39</t>
        </is>
      </c>
      <c r="C73" s="0" t="n">
        <v>59.1894187041606</v>
      </c>
      <c r="D73" s="0" t="inlineStr">
        <is>
          <t>预测</t>
        </is>
      </c>
      <c r="E73" s="0" t="inlineStr">
        <is>
          <t>verify_ms</t>
        </is>
      </c>
      <c r="F73" s="0" t="inlineStr">
        <is>
          <t>P006</t>
        </is>
      </c>
      <c r="G73" s="0" t="inlineStr">
        <is>
          <t>{"sheet": "SIFT1M", "cell": "P39", "value": 59.18941870416056, "estimated": true, "status": "预测", "point_id": "P006", "metric": "verify_ms", "previous_cell_value": 60.2345305236031, "note": "目标99%；没有达到目标的配置时不预测一个虚假的达标点。",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[14.79735467604014, 236.75767481664224]}</t>
        </is>
      </c>
    </row>
    <row r="74">
      <c r="A74" s="0" t="inlineStr">
        <is>
          <t>SIFT1M</t>
        </is>
      </c>
      <c r="B74" s="0" t="inlineStr">
        <is>
          <t>P50</t>
        </is>
      </c>
      <c r="C74" s="0" t="n">
        <v>99.5</v>
      </c>
      <c r="D74" s="0" t="inlineStr">
        <is>
          <t>搜索校准</t>
        </is>
      </c>
      <c r="E74" s="0" t="inlineStr">
        <is>
          <t>recall</t>
        </is>
      </c>
      <c r="F74" s="0" t="inlineStr">
        <is>
          <t>P006</t>
        </is>
      </c>
      <c r="G74" s="0" t="inlineStr">
        <is>
          <t>{"sheet": "SIFT1M", "cell": "P50", "value": 99.49999999999999, "estimated": false, "status": "搜索校准", "point_id": "P006", "metric": "recall", "previous_cell_value": 99.5, "note": "目标99%。未完成证明的召回率仅为既有20查询搜索校准；不保证新的证明结果恰好达到该值。",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75">
      <c r="A75" s="0" t="inlineStr">
        <is>
          <t>SIFT1M</t>
        </is>
      </c>
      <c r="B75" s="0" t="inlineStr">
        <is>
          <t>P51</t>
        </is>
      </c>
      <c r="C75" s="0" t="n">
        <v>20428442.5203579</v>
      </c>
      <c r="D75" s="0" t="inlineStr">
        <is>
          <t>预测</t>
        </is>
      </c>
      <c r="E75" s="0" t="inlineStr">
        <is>
          <t>query_ms</t>
        </is>
      </c>
      <c r="F75" s="0" t="inlineStr">
        <is>
          <t>P006</t>
        </is>
      </c>
      <c r="G75" s="0" t="inlineStr">
        <is>
          <t>{"sheet": "SIFT1M", "cell": "P51", "value": 20428442.520357944, "estimated": true, "status": "预测", "point_id": "P006", "metric": "query_ms", "previous_cell_value": 19662057.2493435, "note": "目标99%；没有达到目标的配置时不预测一个虚假的达标点。",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[2553555.315044743, 163427540.16286355]}</t>
        </is>
      </c>
    </row>
    <row r="76">
      <c r="A76" s="0" t="inlineStr">
        <is>
          <t>SIFT1M</t>
        </is>
      </c>
      <c r="B76" s="0" t="inlineStr">
        <is>
          <t>F97</t>
        </is>
      </c>
      <c r="C76" s="0" t="n">
        <v>492.166106666667</v>
      </c>
      <c r="D76" s="0" t="inlineStr">
        <is>
          <t>预测</t>
        </is>
      </c>
      <c r="E76" s="0" t="inlineStr">
        <is>
          <t>vo_kb</t>
        </is>
      </c>
      <c r="F76" s="0" t="inlineStr">
        <is>
          <t>P007</t>
        </is>
      </c>
      <c r="G76" s="0" t="inlineStr">
        <is>
          <t>{"sheet": "SIFT1M", "cell": "F97", "value": 492.1661066666667, "estimated": true, "status": "预测", "point_id": "P007", "metric": "vo_kb", "previous_cell_value": 492.166106666667,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[434.85257, 553.62365]}</t>
        </is>
      </c>
    </row>
    <row r="77">
      <c r="A77" s="0" t="inlineStr">
        <is>
          <t>SIFT1M</t>
        </is>
      </c>
      <c r="B77" s="0" t="inlineStr">
        <is>
          <t>F108</t>
        </is>
      </c>
      <c r="C77" s="0" t="n">
        <v>38.4820268989149</v>
      </c>
      <c r="D77" s="0" t="inlineStr">
        <is>
          <t>预测</t>
        </is>
      </c>
      <c r="E77" s="0" t="inlineStr">
        <is>
          <t>verify_ms</t>
        </is>
      </c>
      <c r="F77" s="0" t="inlineStr">
        <is>
          <t>P007</t>
        </is>
      </c>
      <c r="G77" s="0" t="inlineStr">
        <is>
          <t>{"sheet": "SIFT1M", "cell": "F108", "value": 38.48202689891487, "estimated": true, "status": "预测", "point_id": "P007", "metric": "verify_ms", "previous_cell_value": 38.7122348054056,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[9.620506724728717, 153.92810759565947]}</t>
        </is>
      </c>
    </row>
    <row r="78">
      <c r="A78" s="0" t="inlineStr">
        <is>
          <t>SIFT1M</t>
        </is>
      </c>
      <c r="B78" s="0" t="inlineStr">
        <is>
          <t>F118</t>
        </is>
      </c>
      <c r="C78" s="0" t="n">
        <v>4698016.11967277</v>
      </c>
      <c r="D78" s="0" t="inlineStr">
        <is>
          <t>预测</t>
        </is>
      </c>
      <c r="E78" s="0" t="inlineStr">
        <is>
          <t>query_ms</t>
        </is>
      </c>
      <c r="F78" s="0" t="inlineStr">
        <is>
          <t>P007</t>
        </is>
      </c>
      <c r="G78" s="0" t="inlineStr">
        <is>
          <t>{"sheet": "SIFT1M", "cell": "F118", "value": 4698016.119672766, "estimated": true, "status": "预测", "point_id": "P007", "metric": "query_ms", "previous_cell_value": 4521750.03094413,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[587252.0149590957, 37584128.95738213]}</t>
        </is>
      </c>
    </row>
    <row r="79">
      <c r="A79" s="0" t="inlineStr">
        <is>
          <t>SIFT1M</t>
        </is>
      </c>
      <c r="B79" s="0" t="inlineStr">
        <is>
          <t>G97</t>
        </is>
      </c>
      <c r="C79" s="0" t="n">
        <v>492.198106666667</v>
      </c>
      <c r="D79" s="0" t="inlineStr">
        <is>
          <t>预测</t>
        </is>
      </c>
      <c r="E79" s="0" t="inlineStr">
        <is>
          <t>vo_kb</t>
        </is>
      </c>
      <c r="F79" s="0" t="inlineStr">
        <is>
          <t>P008</t>
        </is>
      </c>
      <c r="G79" s="0" t="inlineStr">
        <is>
          <t>{"sheet": "SIFT1M", "cell": "G97", "value": 492.19810666666666, "estimated": true, "status": "预测", "point_id": "P008", "metric": "vo_kb", "previous_cell_value": 492.198106666667,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[434.88457, 553.65565]}</t>
        </is>
      </c>
    </row>
    <row r="80">
      <c r="A80" s="0" t="inlineStr">
        <is>
          <t>SIFT1M</t>
        </is>
      </c>
      <c r="B80" s="0" t="inlineStr">
        <is>
          <t>G108</t>
        </is>
      </c>
      <c r="C80" s="0" t="n">
        <v>38.4827564730535</v>
      </c>
      <c r="D80" s="0" t="inlineStr">
        <is>
          <t>预测</t>
        </is>
      </c>
      <c r="E80" s="0" t="inlineStr">
        <is>
          <t>verify_ms</t>
        </is>
      </c>
      <c r="F80" s="0" t="inlineStr">
        <is>
          <t>P008</t>
        </is>
      </c>
      <c r="G80" s="0" t="inlineStr">
        <is>
          <t>{"sheet": "SIFT1M", "cell": "G108", "value": 38.482756473053506, "estimated": true, "status": "预测", "point_id": "P008", "metric": "verify_ms", "previous_cell_value": 38.7129977833719,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[9.620689118263376, 153.93102589221402]}</t>
        </is>
      </c>
    </row>
    <row r="81">
      <c r="A81" s="0" t="inlineStr">
        <is>
          <t>SIFT1M</t>
        </is>
      </c>
      <c r="B81" s="0" t="inlineStr">
        <is>
          <t>G118</t>
        </is>
      </c>
      <c r="C81" s="0" t="n">
        <v>4698016.11967277</v>
      </c>
      <c r="D81" s="0" t="inlineStr">
        <is>
          <t>预测</t>
        </is>
      </c>
      <c r="E81" s="0" t="inlineStr">
        <is>
          <t>query_ms</t>
        </is>
      </c>
      <c r="F81" s="0" t="inlineStr">
        <is>
          <t>P008</t>
        </is>
      </c>
      <c r="G81" s="0" t="inlineStr">
        <is>
          <t>{"sheet": "SIFT1M", "cell": "G118", "value": 4698016.119672766, "estimated": true, "status": "预测", "point_id": "P008", "metric": "query_ms", "previous_cell_value": 4521750.03094413,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[587252.0149590957, 37584128.95738213]}</t>
        </is>
      </c>
    </row>
    <row r="82">
      <c r="A82" s="0" t="inlineStr">
        <is>
          <t>SIFT1M</t>
        </is>
      </c>
      <c r="B82" s="0" t="inlineStr">
        <is>
          <t>H97</t>
        </is>
      </c>
      <c r="C82" s="0" t="n">
        <v>492.238106666667</v>
      </c>
      <c r="D82" s="0" t="inlineStr">
        <is>
          <t>预测</t>
        </is>
      </c>
      <c r="E82" s="0" t="inlineStr">
        <is>
          <t>vo_kb</t>
        </is>
      </c>
      <c r="F82" s="0" t="inlineStr">
        <is>
          <t>P001</t>
        </is>
      </c>
      <c r="G82" s="0" t="inlineStr">
        <is>
          <t>{"sheet": "SIFT1M", "cell": "H97", "value": 492.2381066666667, "estimated": true, "status": "预测", "point_id": "P001", "metric": "vo_kb", "previous_cell_value": 492.238106666667,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[434.92457, 553.69565]}</t>
        </is>
      </c>
    </row>
    <row r="83">
      <c r="A83" s="0" t="inlineStr">
        <is>
          <t>SIFT1M</t>
        </is>
      </c>
      <c r="B83" s="0" t="inlineStr">
        <is>
          <t>H108</t>
        </is>
      </c>
      <c r="C83" s="0" t="n">
        <v>38.4836684407268</v>
      </c>
      <c r="D83" s="0" t="inlineStr">
        <is>
          <t>预测</t>
        </is>
      </c>
      <c r="E83" s="0" t="inlineStr">
        <is>
          <t>verify_ms</t>
        </is>
      </c>
      <c r="F83" s="0" t="inlineStr">
        <is>
          <t>P001</t>
        </is>
      </c>
      <c r="G83" s="0" t="inlineStr">
        <is>
          <t>{"sheet": "SIFT1M", "cell": "H108", "value": 38.48366844072681, "estimated": true, "status": "预测", "point_id": "P001", "metric": "verify_ms", "previous_cell_value": 38.7139515058298,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[9.620917110181702, 153.93467376290724]}</t>
        </is>
      </c>
    </row>
    <row r="84">
      <c r="A84" s="0" t="inlineStr">
        <is>
          <t>SIFT1M</t>
        </is>
      </c>
      <c r="B84" s="0" t="inlineStr">
        <is>
          <t>H118</t>
        </is>
      </c>
      <c r="C84" s="0" t="n">
        <v>4698016.11967277</v>
      </c>
      <c r="D84" s="0" t="inlineStr">
        <is>
          <t>预测</t>
        </is>
      </c>
      <c r="E84" s="0" t="inlineStr">
        <is>
          <t>query_ms</t>
        </is>
      </c>
      <c r="F84" s="0" t="inlineStr">
        <is>
          <t>P001</t>
        </is>
      </c>
      <c r="G84" s="0" t="inlineStr">
        <is>
          <t>{"sheet": "SIFT1M", "cell": "H118", "value": 4698016.119672766, "estimated": true, "status": "预测", "point_id": "P001", "metric": "query_ms", "previous_cell_value": 4521750.03094413,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[587252.0149590957, 37584128.95738213]}</t>
        </is>
      </c>
    </row>
    <row r="85">
      <c r="A85" s="0" t="inlineStr">
        <is>
          <t>SIFT1M</t>
        </is>
      </c>
      <c r="B85" s="0" t="inlineStr">
        <is>
          <t>I97</t>
        </is>
      </c>
      <c r="C85" s="0" t="n">
        <v>492.318106666667</v>
      </c>
      <c r="D85" s="0" t="inlineStr">
        <is>
          <t>预测</t>
        </is>
      </c>
      <c r="E85" s="0" t="inlineStr">
        <is>
          <t>vo_kb</t>
        </is>
      </c>
      <c r="F85" s="0" t="inlineStr">
        <is>
          <t>P009</t>
        </is>
      </c>
      <c r="G85" s="0" t="inlineStr">
        <is>
          <t>{"sheet": "SIFT1M", "cell": "I97", "value": 492.31810666666667, "estimated": true, "status": "预测", "point_id": "P009", "metric": "vo_kb", "previous_cell_value": 492.318106666667,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[435.00457, 553.77565]}</t>
        </is>
      </c>
    </row>
    <row r="86">
      <c r="A86" s="0" t="inlineStr">
        <is>
          <t>SIFT1M</t>
        </is>
      </c>
      <c r="B86" s="0" t="inlineStr">
        <is>
          <t>I108</t>
        </is>
      </c>
      <c r="C86" s="0" t="n">
        <v>38.4854923760734</v>
      </c>
      <c r="D86" s="0" t="inlineStr">
        <is>
          <t>预测</t>
        </is>
      </c>
      <c r="E86" s="0" t="inlineStr">
        <is>
          <t>verify_ms</t>
        </is>
      </c>
      <c r="F86" s="0" t="inlineStr">
        <is>
          <t>P009</t>
        </is>
      </c>
      <c r="G86" s="0" t="inlineStr">
        <is>
          <t>{"sheet": "SIFT1M", "cell": "I108", "value": 38.48549237607341, "estimated": true, "status": "预测", "point_id": "P009", "metric": "verify_ms", "previous_cell_value": 38.7158589507456,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[9.621373094018352, 153.94196950429364]}</t>
        </is>
      </c>
    </row>
    <row r="87">
      <c r="A87" s="0" t="inlineStr">
        <is>
          <t>SIFT1M</t>
        </is>
      </c>
      <c r="B87" s="0" t="inlineStr">
        <is>
          <t>I118</t>
        </is>
      </c>
      <c r="C87" s="0" t="n">
        <v>4698016.11967277</v>
      </c>
      <c r="D87" s="0" t="inlineStr">
        <is>
          <t>预测</t>
        </is>
      </c>
      <c r="E87" s="0" t="inlineStr">
        <is>
          <t>query_ms</t>
        </is>
      </c>
      <c r="F87" s="0" t="inlineStr">
        <is>
          <t>P009</t>
        </is>
      </c>
      <c r="G87" s="0" t="inlineStr">
        <is>
          <t>{"sheet": "SIFT1M", "cell": "I118", "value": 4698016.119672766, "estimated": true, "status": "预测", "point_id": "P009", "metric": "query_ms", "previous_cell_value": 4521750.03094413,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[587252.0149590957, 37584128.95738213]}</t>
        </is>
      </c>
    </row>
    <row r="88">
      <c r="A88" s="0" t="inlineStr">
        <is>
          <t>SIFT1M</t>
        </is>
      </c>
      <c r="B88" s="0" t="inlineStr">
        <is>
          <t>J97</t>
        </is>
      </c>
      <c r="C88" s="0" t="n">
        <v>492.558106666667</v>
      </c>
      <c r="D88" s="0" t="inlineStr">
        <is>
          <t>预测</t>
        </is>
      </c>
      <c r="E88" s="0" t="inlineStr">
        <is>
          <t>vo_kb</t>
        </is>
      </c>
      <c r="F88" s="0" t="inlineStr">
        <is>
          <t>P010</t>
        </is>
      </c>
      <c r="G88" s="0" t="inlineStr">
        <is>
          <t>{"sheet": "SIFT1M", "cell": "J97", "value": 492.5581066666667, "estimated": true, "status": "预测", "point_id": "P010", "metric": "vo_kb", "previous_cell_value": 492.558106666667,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[435.24457, 554.01565]}</t>
        </is>
      </c>
    </row>
    <row r="89">
      <c r="A89" s="0" t="inlineStr">
        <is>
          <t>SIFT1M</t>
        </is>
      </c>
      <c r="B89" s="0" t="inlineStr">
        <is>
          <t>J108</t>
        </is>
      </c>
      <c r="C89" s="0" t="n">
        <v>38.4909641821132</v>
      </c>
      <c r="D89" s="0" t="inlineStr">
        <is>
          <t>预测</t>
        </is>
      </c>
      <c r="E89" s="0" t="inlineStr">
        <is>
          <t>verify_ms</t>
        </is>
      </c>
      <c r="F89" s="0" t="inlineStr">
        <is>
          <t>P010</t>
        </is>
      </c>
      <c r="G89" s="0" t="inlineStr">
        <is>
          <t>{"sheet": "SIFT1M", "cell": "J108", "value": 38.490964182113224, "estimated": true, "status": "预测", "point_id": "P010", "metric": "verify_ms", "previous_cell_value": 38.7215812854929,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[9.622741045528306, 153.9638567284529]}</t>
        </is>
      </c>
    </row>
    <row r="90">
      <c r="A90" s="0" t="inlineStr">
        <is>
          <t>SIFT1M</t>
        </is>
      </c>
      <c r="B90" s="0" t="inlineStr">
        <is>
          <t>J118</t>
        </is>
      </c>
      <c r="C90" s="0" t="n">
        <v>4698016.11967277</v>
      </c>
      <c r="D90" s="0" t="inlineStr">
        <is>
          <t>预测</t>
        </is>
      </c>
      <c r="E90" s="0" t="inlineStr">
        <is>
          <t>query_ms</t>
        </is>
      </c>
      <c r="F90" s="0" t="inlineStr">
        <is>
          <t>P010</t>
        </is>
      </c>
      <c r="G90" s="0" t="inlineStr">
        <is>
          <t>{"sheet": "SIFT1M", "cell": "J118", "value": 4698016.119672766, "estimated": true, "status": "预测", "point_id": "P010", "metric": "query_ms", "previous_cell_value": 4521750.03094413,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[587252.0149590957, 37584128.95738213]}</t>
        </is>
      </c>
    </row>
    <row r="91">
      <c r="A91" s="0" t="inlineStr">
        <is>
          <t>SIFT1M</t>
        </is>
      </c>
      <c r="B91" s="0" t="inlineStr">
        <is>
          <t>K97</t>
        </is>
      </c>
      <c r="C91" s="0" t="n">
        <v>492.958106666667</v>
      </c>
      <c r="D91" s="0" t="inlineStr">
        <is>
          <t>预测</t>
        </is>
      </c>
      <c r="E91" s="0" t="inlineStr">
        <is>
          <t>vo_kb</t>
        </is>
      </c>
      <c r="F91" s="0" t="inlineStr">
        <is>
          <t>P011</t>
        </is>
      </c>
      <c r="G91" s="0" t="inlineStr">
        <is>
          <t>{"sheet": "SIFT1M", "cell": "K97", "value": 492.9581066666667, "estimated": true, "status": "预测", "point_id": "P011", "metric": "vo_kb", "previous_cell_value": 492.958106666667,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[435.64457, 554.41565]}</t>
        </is>
      </c>
    </row>
    <row r="92">
      <c r="A92" s="0" t="inlineStr">
        <is>
          <t>SIFT1M</t>
        </is>
      </c>
      <c r="B92" s="0" t="inlineStr">
        <is>
          <t>K108</t>
        </is>
      </c>
      <c r="C92" s="0" t="n">
        <v>38.5000838588462</v>
      </c>
      <c r="D92" s="0" t="inlineStr">
        <is>
          <t>预测</t>
        </is>
      </c>
      <c r="E92" s="0" t="inlineStr">
        <is>
          <t>verify_ms</t>
        </is>
      </c>
      <c r="F92" s="0" t="inlineStr">
        <is>
          <t>P011</t>
        </is>
      </c>
      <c r="G92" s="0" t="inlineStr">
        <is>
          <t>{"sheet": "SIFT1M", "cell": "K108", "value": 38.50008385884624, "estimated": true, "status": "预测", "point_id": "P011", "metric": "verify_ms", "previous_cell_value": 38.7311185100718,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[9.62502096471156, 154.00033543538495]}</t>
        </is>
      </c>
    </row>
    <row r="93">
      <c r="A93" s="0" t="inlineStr">
        <is>
          <t>SIFT1M</t>
        </is>
      </c>
      <c r="B93" s="0" t="inlineStr">
        <is>
          <t>K118</t>
        </is>
      </c>
      <c r="C93" s="0" t="n">
        <v>4698016.11967277</v>
      </c>
      <c r="D93" s="0" t="inlineStr">
        <is>
          <t>预测</t>
        </is>
      </c>
      <c r="E93" s="0" t="inlineStr">
        <is>
          <t>query_ms</t>
        </is>
      </c>
      <c r="F93" s="0" t="inlineStr">
        <is>
          <t>P011</t>
        </is>
      </c>
      <c r="G93" s="0" t="inlineStr">
        <is>
          <t>{"sheet": "SIFT1M", "cell": "K118", "value": 4698016.119672766, "estimated": true, "status": "预测", "point_id": "P011", "metric": "query_ms", "previous_cell_value": 4521750.03094413,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[587252.0149590957, 37584128.95738213]}</t>
        </is>
      </c>
    </row>
    <row r="94">
      <c r="A94" s="0" t="inlineStr">
        <is>
          <t>SIFT1M</t>
        </is>
      </c>
      <c r="B94" s="0" t="inlineStr">
        <is>
          <t>F64</t>
        </is>
      </c>
      <c r="C94" s="0" t="n">
        <v>238.09408</v>
      </c>
      <c r="D94" s="0" t="inlineStr">
        <is>
          <t>预测(参数假设)</t>
        </is>
      </c>
      <c r="E94" s="0" t="inlineStr">
        <is>
          <t>vo_kb</t>
        </is>
      </c>
      <c r="F94" s="0" t="inlineStr">
        <is>
          <t>P012</t>
        </is>
      </c>
      <c r="G94" s="0" t="inlineStr">
        <is>
          <t>{"sheet": "SIFT1M", "cell": "F64", "value": 238.09408000000002, "estimated": true, "status": "预测(参数假设)", "point_id": "P012", "metric": "vo_kb", "previous_cell_value": 238.09408,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[191.14056, 295.4076166666667]}</t>
        </is>
      </c>
    </row>
    <row r="95">
      <c r="A95" s="0" t="inlineStr">
        <is>
          <t>SIFT1M</t>
        </is>
      </c>
      <c r="B95" s="0" t="inlineStr">
        <is>
          <t>F75</t>
        </is>
      </c>
      <c r="C95" s="0" t="n">
        <v>30.2915738032696</v>
      </c>
      <c r="D95" s="0" t="inlineStr">
        <is>
          <t>预测(参数假设)</t>
        </is>
      </c>
      <c r="E95" s="0" t="inlineStr">
        <is>
          <t>verify_ms</t>
        </is>
      </c>
      <c r="F95" s="0" t="inlineStr">
        <is>
          <t>P012</t>
        </is>
      </c>
      <c r="G95" s="0" t="inlineStr">
        <is>
          <t>{"sheet": "SIFT1M", "cell": "F75", "value": 30.291573803269614, "estimated": true, "status": "预测(参数假设)", "point_id": "P012", "metric": "verify_ms", "previous_cell_value": 30.2799705661816,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[3.7864467254087018, 242.3325904261569]}</t>
        </is>
      </c>
    </row>
    <row r="96">
      <c r="A96" s="0" t="inlineStr">
        <is>
          <t>SIFT1M</t>
        </is>
      </c>
      <c r="B96" s="0" t="inlineStr">
        <is>
          <t>F85</t>
        </is>
      </c>
      <c r="C96" s="0" t="n">
        <v>1108369.52797136</v>
      </c>
      <c r="D96" s="0" t="inlineStr">
        <is>
          <t>预测(参数假设)</t>
        </is>
      </c>
      <c r="E96" s="0" t="inlineStr">
        <is>
          <t>query_ms</t>
        </is>
      </c>
      <c r="F96" s="0" t="inlineStr">
        <is>
          <t>P012</t>
        </is>
      </c>
      <c r="G96" s="0" t="inlineStr">
        <is>
          <t>{"sheet": "SIFT1M", "cell": "F85", "value": 1108369.5279713604, "estimated": true, "status": "预测(参数假设)", "point_id": "P012", "metric": "query_ms", "previous_cell_value": 1067962.06522273,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[138546.19099642005, 17733912.447541766]}</t>
        </is>
      </c>
    </row>
    <row r="97">
      <c r="A97" s="0" t="inlineStr">
        <is>
          <t>SIFT1M</t>
        </is>
      </c>
      <c r="B97" s="0" t="inlineStr">
        <is>
          <t>G64</t>
        </is>
      </c>
      <c r="C97" s="0" t="n">
        <v>344.686093333333</v>
      </c>
      <c r="D97" s="0" t="inlineStr">
        <is>
          <t>预测(参数假设)</t>
        </is>
      </c>
      <c r="E97" s="0" t="inlineStr">
        <is>
          <t>vo_kb</t>
        </is>
      </c>
      <c r="F97" s="0" t="inlineStr">
        <is>
          <t>P013</t>
        </is>
      </c>
      <c r="G97" s="0" t="inlineStr">
        <is>
          <t>{"sheet": "SIFT1M", "cell": "G64", "value": 344.68609333333336, "estimated": true, "status": "预测(参数假设)", "point_id": "P013", "metric": "vo_kb", "previous_cell_value": 344.686093333333,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[295.66057, 404.07163333333335]}</t>
        </is>
      </c>
    </row>
    <row r="98">
      <c r="A98" s="0" t="inlineStr">
        <is>
          <t>SIFT1M</t>
        </is>
      </c>
      <c r="B98" s="0" t="inlineStr">
        <is>
          <t>G75</t>
        </is>
      </c>
      <c r="C98" s="0" t="n">
        <v>33.9206936732677</v>
      </c>
      <c r="D98" s="0" t="inlineStr">
        <is>
          <t>预测(参数假设)</t>
        </is>
      </c>
      <c r="E98" s="0" t="inlineStr">
        <is>
          <t>verify_ms</t>
        </is>
      </c>
      <c r="F98" s="0" t="inlineStr">
        <is>
          <t>P013</t>
        </is>
      </c>
      <c r="G98" s="0" t="inlineStr">
        <is>
          <t>{"sheet": "SIFT1M", "cell": "G75", "value": 33.92069367326774, "estimated": true, "status": "预测(参数假设)", "point_id": "P013", "metric": "verify_ms", "previous_cell_value": 34.0086551375682,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[4.240086709158468, 271.36554938614194]}</t>
        </is>
      </c>
    </row>
    <row r="99">
      <c r="A99" s="0" t="inlineStr">
        <is>
          <t>SIFT1M</t>
        </is>
      </c>
      <c r="B99" s="0" t="inlineStr">
        <is>
          <t>G85</t>
        </is>
      </c>
      <c r="C99" s="0" t="n">
        <v>2246734.4322322</v>
      </c>
      <c r="D99" s="0" t="inlineStr">
        <is>
          <t>预测(参数假设)</t>
        </is>
      </c>
      <c r="E99" s="0" t="inlineStr">
        <is>
          <t>query_ms</t>
        </is>
      </c>
      <c r="F99" s="0" t="inlineStr">
        <is>
          <t>P013</t>
        </is>
      </c>
      <c r="G99" s="0" t="inlineStr">
        <is>
          <t>{"sheet": "SIFT1M", "cell": "G85", "value": 2246734.432232203, "estimated": true, "status": "预测(参数假设)", "point_id": "P013", "metric": "query_ms", "previous_cell_value": 2162433.94512413,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[280841.80402902537, 35947750.91571525]}</t>
        </is>
      </c>
    </row>
    <row r="100">
      <c r="A100" s="0" t="inlineStr">
        <is>
          <t>SIFT1M</t>
        </is>
      </c>
      <c r="B100" s="0" t="inlineStr">
        <is>
          <t>H64</t>
        </is>
      </c>
      <c r="C100" s="0" t="n">
        <v>492.238106666667</v>
      </c>
      <c r="D100" s="0" t="inlineStr">
        <is>
          <t>预测(参数假设)</t>
        </is>
      </c>
      <c r="E100" s="0" t="inlineStr">
        <is>
          <t>vo_kb</t>
        </is>
      </c>
      <c r="F100" s="0" t="inlineStr">
        <is>
          <t>P014</t>
        </is>
      </c>
      <c r="G100" s="0" t="inlineStr">
        <is>
          <t>{"sheet": "SIFT1M", "cell": "H64", "value": 492.2381066666667, "estimated": true, "status": "预测(参数假设)", "point_id": "P014", "metric": "vo_kb", "previous_cell_value": 492.238106666667,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[434.92457, 553.69565]}</t>
        </is>
      </c>
    </row>
    <row r="101">
      <c r="A101" s="0" t="inlineStr">
        <is>
          <t>SIFT1M</t>
        </is>
      </c>
      <c r="B101" s="0" t="inlineStr">
        <is>
          <t>H75</t>
        </is>
      </c>
      <c r="C101" s="0" t="n">
        <v>38.4836684407268</v>
      </c>
      <c r="D101" s="0" t="inlineStr">
        <is>
          <t>预测(参数假设)</t>
        </is>
      </c>
      <c r="E101" s="0" t="inlineStr">
        <is>
          <t>verify_ms</t>
        </is>
      </c>
      <c r="F101" s="0" t="inlineStr">
        <is>
          <t>P014</t>
        </is>
      </c>
      <c r="G101" s="0" t="inlineStr">
        <is>
          <t>{"sheet": "SIFT1M", "cell": "H75", "value": 38.48366844072681, "estimated": true, "status": "预测(参数假设)", "point_id": "P014", "metric": "verify_ms", "previous_cell_value": 38.7139515058298,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[4.810458555090851, 307.8693475258145]}</t>
        </is>
      </c>
    </row>
    <row r="102">
      <c r="A102" s="0" t="inlineStr">
        <is>
          <t>SIFT1M</t>
        </is>
      </c>
      <c r="B102" s="0" t="inlineStr">
        <is>
          <t>H85</t>
        </is>
      </c>
      <c r="C102" s="0" t="n">
        <v>4698016.11967277</v>
      </c>
      <c r="D102" s="0" t="inlineStr">
        <is>
          <t>预测(参数假设)</t>
        </is>
      </c>
      <c r="E102" s="0" t="inlineStr">
        <is>
          <t>query_ms</t>
        </is>
      </c>
      <c r="F102" s="0" t="inlineStr">
        <is>
          <t>P014</t>
        </is>
      </c>
      <c r="G102" s="0" t="inlineStr">
        <is>
          <t>{"sheet": "SIFT1M", "cell": "H85", "value": 4698016.119672766, "estimated": true, "status": "预测(参数假设)", "point_id": "P014", "metric": "query_ms", "previous_cell_value": 4521750.03094413,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[293626.0074795479, 75168257.91476426]}</t>
        </is>
      </c>
    </row>
    <row r="103">
      <c r="A103" s="0" t="inlineStr">
        <is>
          <t>SIFT1M</t>
        </is>
      </c>
      <c r="B103" s="0" t="inlineStr">
        <is>
          <t>I64</t>
        </is>
      </c>
      <c r="C103" s="0" t="n">
        <v>2458.51013333333</v>
      </c>
      <c r="D103" s="0" t="inlineStr">
        <is>
          <t>预测(参数假设)</t>
        </is>
      </c>
      <c r="E103" s="0" t="inlineStr">
        <is>
          <t>vo_kb</t>
        </is>
      </c>
      <c r="F103" s="0" t="inlineStr">
        <is>
          <t>P015</t>
        </is>
      </c>
      <c r="G103" s="0" t="inlineStr">
        <is>
          <t>{"sheet": "SIFT1M", "cell": "I64", "value": 2458.510133333333, "estimated": true, "status": "预测(参数假设)", "point_id": "P015", "metric": "vo_kb", "previous_cell_value": 2458.51013333333,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[2403.2686, 2524.1116833333335]}</t>
        </is>
      </c>
    </row>
    <row r="104">
      <c r="A104" s="0" t="inlineStr">
        <is>
          <t>SIFT1M</t>
        </is>
      </c>
      <c r="B104" s="0" t="inlineStr">
        <is>
          <t>I75</t>
        </is>
      </c>
      <c r="C104" s="0" t="n">
        <v>85.7108977920512</v>
      </c>
      <c r="D104" s="0" t="inlineStr">
        <is>
          <t>预测(参数假设)</t>
        </is>
      </c>
      <c r="E104" s="0" t="inlineStr">
        <is>
          <t>verify_ms</t>
        </is>
      </c>
      <c r="F104" s="0" t="inlineStr">
        <is>
          <t>P015</t>
        </is>
      </c>
      <c r="G104" s="0" t="inlineStr">
        <is>
          <t>{"sheet": "SIFT1M", "cell": "I75", "value": 85.71089779205118, "estimated": true, "status": "预测(参数假设)", "point_id": "P015", "metric": "verify_ms", "previous_cell_value": 87.9703055548531,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[10.713862224006398, 685.6871823364095]}</t>
        </is>
      </c>
    </row>
    <row r="105">
      <c r="A105" s="0" t="inlineStr">
        <is>
          <t>SIFT1M</t>
        </is>
      </c>
      <c r="B105" s="0" t="inlineStr">
        <is>
          <t>I85</t>
        </is>
      </c>
      <c r="C105" s="0" t="n">
        <v>21111800.5327878</v>
      </c>
      <c r="D105" s="0" t="inlineStr">
        <is>
          <t>预测(参数假设)</t>
        </is>
      </c>
      <c r="E105" s="0" t="inlineStr">
        <is>
          <t>query_ms</t>
        </is>
      </c>
      <c r="F105" s="0" t="inlineStr">
        <is>
          <t>P015</t>
        </is>
      </c>
      <c r="G105" s="0" t="inlineStr">
        <is>
          <t>{"sheet": "SIFT1M", "cell": "I85", "value": 21111800.53278782, "estimated": true, "status": "预测(参数假设)", "point_id": "P015", "metric": "query_ms", "previous_cell_value": 20342134.575671,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[2638975.0665984773, 337788808.5246051]}</t>
        </is>
      </c>
    </row>
    <row r="106">
      <c r="A106" s="0" t="inlineStr">
        <is>
          <t>SIFT1M</t>
        </is>
      </c>
      <c r="B106" s="0" t="inlineStr">
        <is>
          <t>J64</t>
        </is>
      </c>
      <c r="C106" s="0" t="n">
        <v>4695.02214666667</v>
      </c>
      <c r="D106" s="0" t="inlineStr">
        <is>
          <t>预测(参数假设)</t>
        </is>
      </c>
      <c r="E106" s="0" t="inlineStr">
        <is>
          <t>vo_kb</t>
        </is>
      </c>
      <c r="F106" s="0" t="inlineStr">
        <is>
          <t>P016</t>
        </is>
      </c>
      <c r="G106" s="0" t="inlineStr">
        <is>
          <t>{"sheet": "SIFT1M", "cell": "J64", "value": 4695.022146666666, "estimated": true, "status": "预测(参数假设)", "point_id": "P016", "metric": "vo_kb", "previous_cell_value": 4695.02214666667,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[4637.708610000001, 4762.6957]}</t>
        </is>
      </c>
    </row>
    <row r="107">
      <c r="A107" s="0" t="inlineStr">
        <is>
          <t>SIFT1M</t>
        </is>
      </c>
      <c r="B107" s="0" t="inlineStr">
        <is>
          <t>J75</t>
        </is>
      </c>
      <c r="C107" s="0" t="n">
        <v>137.900472330018</v>
      </c>
      <c r="D107" s="0" t="inlineStr">
        <is>
          <t>预测(参数假设)</t>
        </is>
      </c>
      <c r="E107" s="0" t="inlineStr">
        <is>
          <t>verify_ms</t>
        </is>
      </c>
      <c r="F107" s="0" t="inlineStr">
        <is>
          <t>P016</t>
        </is>
      </c>
      <c r="G107" s="0" t="inlineStr">
        <is>
          <t>{"sheet": "SIFT1M", "cell": "J75", "value": 137.90047233001806, "estimated": true, "status": "预测(参数假设)", "point_id": "P016", "metric": "verify_ms", "previous_cell_value": 142.48280356374,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[17.237559041252258, 1103.2037786401445]}</t>
        </is>
      </c>
    </row>
    <row r="108">
      <c r="A108" s="0" t="inlineStr">
        <is>
          <t>SIFT1M</t>
        </is>
      </c>
      <c r="B108" s="0" t="inlineStr">
        <is>
          <t>J85</t>
        </is>
      </c>
      <c r="C108" s="0" t="n">
        <v>43912545.1081987</v>
      </c>
      <c r="D108" s="0" t="inlineStr">
        <is>
          <t>预测(参数假设)</t>
        </is>
      </c>
      <c r="E108" s="0" t="inlineStr">
        <is>
          <t>query_ms</t>
        </is>
      </c>
      <c r="F108" s="0" t="inlineStr">
        <is>
          <t>P016</t>
        </is>
      </c>
      <c r="G108" s="0" t="inlineStr">
        <is>
          <t>{"sheet": "SIFT1M", "cell": "J85", "value": 43912545.10819866, "estimated": true, "status": "预测(参数假设)", "point_id": "P016", "metric": "query_ms", "previous_cell_value": 42311639.9173956,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[5489068.138524832, 702600721.7311785]}</t>
        </is>
      </c>
    </row>
    <row r="109">
      <c r="A109" s="0" t="inlineStr">
        <is>
          <t>NYTimes-256</t>
        </is>
      </c>
      <c r="B109" s="0" t="inlineStr">
        <is>
          <t>E12</t>
        </is>
      </c>
      <c r="C109" s="0" t="n">
        <v>97.5</v>
      </c>
      <c r="D109" s="0" t="inlineStr">
        <is>
          <t>搜索校准</t>
        </is>
      </c>
      <c r="E109" s="0" t="inlineStr">
        <is>
          <t>recall</t>
        </is>
      </c>
      <c r="F109" s="0" t="inlineStr">
        <is>
          <t>P017</t>
        </is>
      </c>
      <c r="G109" s="0" t="inlineStr">
        <is>
          <t>{"sheet": "NYTimes-256", "cell": "E12", "value": 97.5, "estimated": false, "status": "搜索校准", "point_id": "P017", "metric": "recall", "previous_cell_value": 97.5,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10">
      <c r="A110" s="0" t="inlineStr">
        <is>
          <t>NYTimes-256</t>
        </is>
      </c>
      <c r="B110" s="0" t="inlineStr">
        <is>
          <t>F12</t>
        </is>
      </c>
      <c r="C110" s="0" t="n">
        <v>91202978.3016434</v>
      </c>
      <c r="D110" s="0" t="inlineStr">
        <is>
          <t>预测</t>
        </is>
      </c>
      <c r="E110" s="0" t="inlineStr">
        <is>
          <t>query_ms</t>
        </is>
      </c>
      <c r="F110" s="0" t="inlineStr">
        <is>
          <t>P017</t>
        </is>
      </c>
      <c r="G110" s="0" t="inlineStr">
        <is>
          <t>{"sheet": "NYTimes-256", "cell": "F12", "value": 91202978.30164337, "estimated": true, "status": "预测", "point_id": "P017", "metric": "query_ms", "previous_cell_value": 87878021.3668986,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[22800744.575410843, 729623826.413147]}</t>
        </is>
      </c>
    </row>
    <row r="111">
      <c r="A111" s="0" t="inlineStr">
        <is>
          <t>NYTimes-256</t>
        </is>
      </c>
      <c r="B111" s="0" t="inlineStr">
        <is>
          <t>G12</t>
        </is>
      </c>
      <c r="C111" s="0" t="n">
        <v>4454.47816</v>
      </c>
      <c r="D111" s="0" t="inlineStr">
        <is>
          <t>预测</t>
        </is>
      </c>
      <c r="E111" s="0" t="inlineStr">
        <is>
          <t>vo_kb</t>
        </is>
      </c>
      <c r="F111" s="0" t="inlineStr">
        <is>
          <t>P017</t>
        </is>
      </c>
      <c r="G111" s="0" t="inlineStr">
        <is>
          <t>{"sheet": "NYTimes-256", "cell": "G12", "value": 4454.478160000001, "estimated": true, "status": "预测", "point_id": "P017", "metric": "vo_kb", "previous_cell_value": 4454.47816,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[4395.09262, 4524.223716666666]}</t>
        </is>
      </c>
    </row>
    <row r="112">
      <c r="A112" s="0" t="inlineStr">
        <is>
          <t>NYTimes-256</t>
        </is>
      </c>
      <c r="B112" s="0" t="inlineStr">
        <is>
          <t>H12</t>
        </is>
      </c>
      <c r="C112" s="0" t="n">
        <v>133.615171944035</v>
      </c>
      <c r="D112" s="0" t="inlineStr">
        <is>
          <t>预测</t>
        </is>
      </c>
      <c r="E112" s="0" t="inlineStr">
        <is>
          <t>verify_ms</t>
        </is>
      </c>
      <c r="F112" s="0" t="inlineStr">
        <is>
          <t>P017</t>
        </is>
      </c>
      <c r="G112" s="0" t="inlineStr">
        <is>
          <t>{"sheet": "NYTimes-256", "cell": "H12", "value": 133.61517194403473, "estimated": true, "status": "预测", "point_id": "P017", "metric": "verify_ms", "previous_cell_value": 137.934703156611,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[33.40379298600868, 534.4606877761389]}</t>
        </is>
      </c>
    </row>
    <row r="113">
      <c r="A113" s="0" t="inlineStr">
        <is>
          <t>NYTimes-256</t>
        </is>
      </c>
      <c r="B113" s="0" t="inlineStr">
        <is>
          <t>F134</t>
        </is>
      </c>
      <c r="C113" s="0" t="n">
        <v>0.975</v>
      </c>
      <c r="D113" s="0" t="inlineStr">
        <is>
          <t>搜索校准</t>
        </is>
      </c>
      <c r="E113" s="0" t="inlineStr">
        <is>
          <t>recall</t>
        </is>
      </c>
      <c r="F113" s="0" t="inlineStr">
        <is>
          <t>P017</t>
        </is>
      </c>
      <c r="G113" s="0" t="inlineStr">
        <is>
          <t>{"sheet": "NYTimes-256", "cell": "F134", "value": 0.975, "estimated": false, "status": "搜索校准", "point_id": "P017", "metric": "recall", "previous_cell_value": 0.975,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14">
      <c r="A114" s="0" t="inlineStr">
        <is>
          <t>NYTimes-256</t>
        </is>
      </c>
      <c r="B114" s="0" t="inlineStr">
        <is>
          <t>G134</t>
        </is>
      </c>
      <c r="C114" s="0" t="n">
        <v>91202978.3016434</v>
      </c>
      <c r="D114" s="0" t="inlineStr">
        <is>
          <t>预测</t>
        </is>
      </c>
      <c r="E114" s="0" t="inlineStr">
        <is>
          <t>query_ms</t>
        </is>
      </c>
      <c r="F114" s="0" t="inlineStr">
        <is>
          <t>P017</t>
        </is>
      </c>
      <c r="G114" s="0" t="inlineStr">
        <is>
          <t>{"sheet": "NYTimes-256", "cell": "G134", "value": 91202978.30164337, "estimated": true, "status": "预测", "point_id": "P017", "metric": "query_ms", "previous_cell_value": 87878021.3668986,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[22800744.575410843, 729623826.413147]}</t>
        </is>
      </c>
    </row>
    <row r="115">
      <c r="A115" s="0" t="inlineStr">
        <is>
          <t>NYTimes-256</t>
        </is>
      </c>
      <c r="B115" s="0" t="inlineStr">
        <is>
          <t>H134</t>
        </is>
      </c>
      <c r="C115" s="0" t="n">
        <v>4454.47816</v>
      </c>
      <c r="D115" s="0" t="inlineStr">
        <is>
          <t>预测</t>
        </is>
      </c>
      <c r="E115" s="0" t="inlineStr">
        <is>
          <t>vo_kb</t>
        </is>
      </c>
      <c r="F115" s="0" t="inlineStr">
        <is>
          <t>P017</t>
        </is>
      </c>
      <c r="G115" s="0" t="inlineStr">
        <is>
          <t>{"sheet": "NYTimes-256", "cell": "H134", "value": 4454.478160000001, "estimated": true, "status": "预测", "point_id": "P017", "metric": "vo_kb", "previous_cell_value": 4454.47816,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[4395.09262, 4524.223716666666]}</t>
        </is>
      </c>
    </row>
    <row r="116">
      <c r="A116" s="0" t="inlineStr">
        <is>
          <t>NYTimes-256</t>
        </is>
      </c>
      <c r="B116" s="0" t="inlineStr">
        <is>
          <t>I134</t>
        </is>
      </c>
      <c r="C116" s="0" t="n">
        <v>133.615171944035</v>
      </c>
      <c r="D116" s="0" t="inlineStr">
        <is>
          <t>预测</t>
        </is>
      </c>
      <c r="E116" s="0" t="inlineStr">
        <is>
          <t>verify_ms</t>
        </is>
      </c>
      <c r="F116" s="0" t="inlineStr">
        <is>
          <t>P017</t>
        </is>
      </c>
      <c r="G116" s="0" t="inlineStr">
        <is>
          <t>{"sheet": "NYTimes-256", "cell": "I134", "value": 133.61517194403473, "estimated": true, "status": "预测", "point_id": "P017", "metric": "verify_ms", "previous_cell_value": 137.934703156611,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[33.40379298600868, 534.4606877761389]}</t>
        </is>
      </c>
    </row>
    <row r="117">
      <c r="A117" s="0" t="inlineStr">
        <is>
          <t>NYTimes-256</t>
        </is>
      </c>
      <c r="B117" s="0" t="inlineStr">
        <is>
          <t>F26</t>
        </is>
      </c>
      <c r="C117" s="0" t="n">
        <v>64.5</v>
      </c>
      <c r="D117" s="0" t="inlineStr">
        <is>
          <t>搜索校准</t>
        </is>
      </c>
      <c r="E117" s="0" t="inlineStr">
        <is>
          <t>recall</t>
        </is>
      </c>
      <c r="F117" s="0" t="inlineStr">
        <is>
          <t>P018</t>
        </is>
      </c>
      <c r="G117" s="0" t="inlineStr">
        <is>
          <t>{"sheet": "NYTimes-256", "cell": "F26", "value": 64.49999999999999, "estimated": false, "status": "搜索校准", "point_id": "P018", "metric": "recall", "previous_cell_value": 64.5, "note": "目标60%。未完成证明的召回率仅为既有20查询搜索校准；不保证新的证明结果恰好达到该值。",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18">
      <c r="A118" s="0" t="inlineStr">
        <is>
          <t>NYTimes-256</t>
        </is>
      </c>
      <c r="B118" s="0" t="inlineStr">
        <is>
          <t>F27</t>
        </is>
      </c>
      <c r="C118" s="0" t="n">
        <v>275.98208</v>
      </c>
      <c r="D118" s="0" t="inlineStr">
        <is>
          <t>预测</t>
        </is>
      </c>
      <c r="E118" s="0" t="inlineStr">
        <is>
          <t>vo_kb</t>
        </is>
      </c>
      <c r="F118" s="0" t="inlineStr">
        <is>
          <t>P018</t>
        </is>
      </c>
      <c r="G118" s="0" t="inlineStr">
        <is>
          <t>{"sheet": "NYTimes-256", "cell": "F27", "value": 275.98208, "estimated": true, "status": "预测", "point_id": "P018", "metric": "vo_kb", "previous_cell_value": 275.98208, "note": "目标60%；没有达到目标的配置时不预测一个虚假的达标点。",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[229.02856, 333.2956166666667]}</t>
        </is>
      </c>
    </row>
    <row r="119">
      <c r="A119" s="0" t="inlineStr">
        <is>
          <t>NYTimes-256</t>
        </is>
      </c>
      <c r="B119" s="0" t="inlineStr">
        <is>
          <t>F38</t>
        </is>
      </c>
      <c r="C119" s="0" t="n">
        <v>64.5</v>
      </c>
      <c r="D119" s="0" t="inlineStr">
        <is>
          <t>搜索校准</t>
        </is>
      </c>
      <c r="E119" s="0" t="inlineStr">
        <is>
          <t>recall</t>
        </is>
      </c>
      <c r="F119" s="0" t="inlineStr">
        <is>
          <t>P018</t>
        </is>
      </c>
      <c r="G119" s="0" t="inlineStr">
        <is>
          <t>{"sheet": "NYTimes-256", "cell": "F38", "value": 64.49999999999999, "estimated": false, "status": "搜索校准", "point_id": "P018", "metric": "recall", "previous_cell_value": 64.5, "note": "目标60%。未完成证明的召回率仅为既有20查询搜索校准；不保证新的证明结果恰好达到该值。",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20">
      <c r="A120" s="0" t="inlineStr">
        <is>
          <t>NYTimes-256</t>
        </is>
      </c>
      <c r="B120" s="0" t="inlineStr">
        <is>
          <t>F39</t>
        </is>
      </c>
      <c r="C120" s="0" t="n">
        <v>31.155389583421</v>
      </c>
      <c r="D120" s="0" t="inlineStr">
        <is>
          <t>预测</t>
        </is>
      </c>
      <c r="E120" s="0" t="inlineStr">
        <is>
          <t>verify_ms</t>
        </is>
      </c>
      <c r="F120" s="0" t="inlineStr">
        <is>
          <t>P018</t>
        </is>
      </c>
      <c r="G120" s="0" t="inlineStr">
        <is>
          <t>{"sheet": "NYTimes-256", "cell": "F39", "value": 31.15538958342098, "estimated": true, "status": "预测", "point_id": "P018", "metric": "verify_ms", "previous_cell_value": 31.1833364782909, "note": "目标60%；没有达到目标的配置时不预测一个虚假的达标点。",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[15.57769479171049, 62.31077916684196]}</t>
        </is>
      </c>
    </row>
    <row r="121">
      <c r="A121" s="0" t="inlineStr">
        <is>
          <t>NYTimes-256</t>
        </is>
      </c>
      <c r="B121" s="0" t="inlineStr">
        <is>
          <t>F50</t>
        </is>
      </c>
      <c r="C121" s="0" t="n">
        <v>64.5</v>
      </c>
      <c r="D121" s="0" t="inlineStr">
        <is>
          <t>搜索校准</t>
        </is>
      </c>
      <c r="E121" s="0" t="inlineStr">
        <is>
          <t>recall</t>
        </is>
      </c>
      <c r="F121" s="0" t="inlineStr">
        <is>
          <t>P018</t>
        </is>
      </c>
      <c r="G121" s="0" t="inlineStr">
        <is>
          <t>{"sheet": "NYTimes-256", "cell": "F50", "value": 64.49999999999999, "estimated": false, "status": "搜索校准", "point_id": "P018", "metric": "recall", "previous_cell_value": 64.5, "note": "目标60%。未完成证明的召回率仅为既有20查询搜索校准；不保证新的证明结果恰好达到该值。",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22">
      <c r="A122" s="0" t="inlineStr">
        <is>
          <t>NYTimes-256</t>
        </is>
      </c>
      <c r="B122" s="0" t="inlineStr">
        <is>
          <t>F51</t>
        </is>
      </c>
      <c r="C122" s="0" t="n">
        <v>1108369.52797136</v>
      </c>
      <c r="D122" s="0" t="inlineStr">
        <is>
          <t>预测</t>
        </is>
      </c>
      <c r="E122" s="0" t="inlineStr">
        <is>
          <t>query_ms</t>
        </is>
      </c>
      <c r="F122" s="0" t="inlineStr">
        <is>
          <t>P018</t>
        </is>
      </c>
      <c r="G122" s="0" t="inlineStr">
        <is>
          <t>{"sheet": "NYTimes-256", "cell": "F51", "value": 1108369.5279713604, "estimated": true, "status": "预测", "point_id": "P018", "metric": "query_ms", "previous_cell_value": 1067962.06522273, "note": "目标60%；没有达到目标的配置时不预测一个虚假的达标点。",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[554184.7639856802, 4433478.1118854415]}</t>
        </is>
      </c>
    </row>
    <row r="123">
      <c r="A123" s="0" t="inlineStr">
        <is>
          <t>NYTimes-256</t>
        </is>
      </c>
      <c r="B123" s="0" t="inlineStr">
        <is>
          <t>G26</t>
        </is>
      </c>
      <c r="C123" s="0" t="n">
        <v>68</v>
      </c>
      <c r="D123" s="0" t="inlineStr">
        <is>
          <t>搜索校准</t>
        </is>
      </c>
      <c r="E123" s="0" t="inlineStr">
        <is>
          <t>recall</t>
        </is>
      </c>
      <c r="F123" s="0" t="inlineStr">
        <is>
          <t>P019</t>
        </is>
      </c>
      <c r="G123" s="0" t="inlineStr">
        <is>
          <t>{"sheet": "NYTimes-256", "cell": "G26", "value": 68.0, "estimated": false, "status": "搜索校准", "point_id": "P019", "metric": "recall", "previous_cell_value": 68, "note": "目标65%。未完成证明的召回率仅为既有20查询搜索校准；不保证新的证明结果恰好达到该值。",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24">
      <c r="A124" s="0" t="inlineStr">
        <is>
          <t>NYTimes-256</t>
        </is>
      </c>
      <c r="B124" s="0" t="inlineStr">
        <is>
          <t>G27</t>
        </is>
      </c>
      <c r="C124" s="0" t="n">
        <v>349.806093333333</v>
      </c>
      <c r="D124" s="0" t="inlineStr">
        <is>
          <t>预测</t>
        </is>
      </c>
      <c r="E124" s="0" t="inlineStr">
        <is>
          <t>vo_kb</t>
        </is>
      </c>
      <c r="F124" s="0" t="inlineStr">
        <is>
          <t>P019</t>
        </is>
      </c>
      <c r="G124" s="0" t="inlineStr">
        <is>
          <t>{"sheet": "NYTimes-256", "cell": "G27", "value": 349.80609333333337, "estimated": true, "status": "预测", "point_id": "P019", "metric": "vo_kb", "previous_cell_value": 349.806093333333, "note": "目标65%；没有达到目标的配置时不预测一个虚假的达标点。",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[300.78057, 409.19163333333336]}</t>
        </is>
      </c>
    </row>
    <row r="125">
      <c r="A125" s="0" t="inlineStr">
        <is>
          <t>NYTimes-256</t>
        </is>
      </c>
      <c r="B125" s="0" t="inlineStr">
        <is>
          <t>G38</t>
        </is>
      </c>
      <c r="C125" s="0" t="n">
        <v>68</v>
      </c>
      <c r="D125" s="0" t="inlineStr">
        <is>
          <t>搜索校准</t>
        </is>
      </c>
      <c r="E125" s="0" t="inlineStr">
        <is>
          <t>recall</t>
        </is>
      </c>
      <c r="F125" s="0" t="inlineStr">
        <is>
          <t>P019</t>
        </is>
      </c>
      <c r="G125" s="0" t="inlineStr">
        <is>
          <t>{"sheet": "NYTimes-256", "cell": "G38", "value": 68.0, "estimated": false, "status": "搜索校准", "point_id": "P019", "metric": "recall", "previous_cell_value": 68, "note": "目标65%。未完成证明的召回率仅为既有20查询搜索校准；不保证新的证明结果恰好达到该值。",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26">
      <c r="A126" s="0" t="inlineStr">
        <is>
          <t>NYTimes-256</t>
        </is>
      </c>
      <c r="B126" s="0" t="inlineStr">
        <is>
          <t>G39</t>
        </is>
      </c>
      <c r="C126" s="0" t="n">
        <v>34.0374255354504</v>
      </c>
      <c r="D126" s="0" t="inlineStr">
        <is>
          <t>预测</t>
        </is>
      </c>
      <c r="E126" s="0" t="inlineStr">
        <is>
          <t>verify_ms</t>
        </is>
      </c>
      <c r="F126" s="0" t="inlineStr">
        <is>
          <t>P019</t>
        </is>
      </c>
      <c r="G126" s="0" t="inlineStr">
        <is>
          <t>{"sheet": "NYTimes-256", "cell": "G39", "value": 34.03742553545036, "estimated": true, "status": "预测", "point_id": "P019", "metric": "verify_ms", "previous_cell_value": 34.1307316121776, "note": "目标65%；没有达到目标的配置时不预测一个虚假的达标点。",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[17.01871276772518, 68.07485107090072]}</t>
        </is>
      </c>
    </row>
    <row r="127">
      <c r="A127" s="0" t="inlineStr">
        <is>
          <t>NYTimes-256</t>
        </is>
      </c>
      <c r="B127" s="0" t="inlineStr">
        <is>
          <t>G50</t>
        </is>
      </c>
      <c r="C127" s="0" t="n">
        <v>68</v>
      </c>
      <c r="D127" s="0" t="inlineStr">
        <is>
          <t>搜索校准</t>
        </is>
      </c>
      <c r="E127" s="0" t="inlineStr">
        <is>
          <t>recall</t>
        </is>
      </c>
      <c r="F127" s="0" t="inlineStr">
        <is>
          <t>P019</t>
        </is>
      </c>
      <c r="G127" s="0" t="inlineStr">
        <is>
          <t>{"sheet": "NYTimes-256", "cell": "G50", "value": 68.0, "estimated": false, "status": "搜索校准", "point_id": "P019", "metric": "recall", "previous_cell_value": 68, "note": "目标65%。未完成证明的召回率仅为既有20查询搜索校准；不保证新的证明结果恰好达到该值。",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28">
      <c r="A128" s="0" t="inlineStr">
        <is>
          <t>NYTimes-256</t>
        </is>
      </c>
      <c r="B128" s="0" t="inlineStr">
        <is>
          <t>G51</t>
        </is>
      </c>
      <c r="C128" s="0" t="n">
        <v>2322298.05860666</v>
      </c>
      <c r="D128" s="0" t="inlineStr">
        <is>
          <t>预测</t>
        </is>
      </c>
      <c r="E128" s="0" t="inlineStr">
        <is>
          <t>query_ms</t>
        </is>
      </c>
      <c r="F128" s="0" t="inlineStr">
        <is>
          <t>P019</t>
        </is>
      </c>
      <c r="G128" s="0" t="inlineStr">
        <is>
          <t>{"sheet": "NYTimes-256", "cell": "G51", "value": 2322298.05860666, "estimated": true, "status": "预测", "point_id": "P019", "metric": "query_ms", "previous_cell_value": 2237634.8033238, "note": "目标65%；没有达到目标的配置时不预测一个虚假的达标点。",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[1161149.02930333, 9289192.23442664]}</t>
        </is>
      </c>
    </row>
    <row r="129">
      <c r="A129" s="0" t="inlineStr">
        <is>
          <t>NYTimes-256</t>
        </is>
      </c>
      <c r="B129" s="0" t="inlineStr">
        <is>
          <t>H26</t>
        </is>
      </c>
      <c r="C129" s="0" t="n">
        <v>78</v>
      </c>
      <c r="D129" s="0" t="inlineStr">
        <is>
          <t>搜索校准</t>
        </is>
      </c>
      <c r="E129" s="0" t="inlineStr">
        <is>
          <t>recall</t>
        </is>
      </c>
      <c r="F129" s="0" t="inlineStr">
        <is>
          <t>P020</t>
        </is>
      </c>
      <c r="G129" s="0" t="inlineStr">
        <is>
          <t>{"sheet": "NYTimes-256", "cell": "H26", "value": 78.0, "estimated": false, "status": "搜索校准", "point_id": "P020", "metric": "recall", "previous_cell_value": 78, "note": "目标70%。未完成证明的召回率仅为既有20查询搜索校准；不保证新的证明结果恰好达到该值。",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30">
      <c r="A130" s="0" t="inlineStr">
        <is>
          <t>NYTimes-256</t>
        </is>
      </c>
      <c r="B130" s="0" t="inlineStr">
        <is>
          <t>H27</t>
        </is>
      </c>
      <c r="C130" s="0" t="n">
        <v>489.166106666667</v>
      </c>
      <c r="D130" s="0" t="inlineStr">
        <is>
          <t>预测</t>
        </is>
      </c>
      <c r="E130" s="0" t="inlineStr">
        <is>
          <t>vo_kb</t>
        </is>
      </c>
      <c r="F130" s="0" t="inlineStr">
        <is>
          <t>P020</t>
        </is>
      </c>
      <c r="G130" s="0" t="inlineStr">
        <is>
          <t>{"sheet": "NYTimes-256", "cell": "H27", "value": 489.1661066666667, "estimated": true, "status": "预测", "point_id": "P020", "metric": "vo_kb", "previous_cell_value": 489.166106666667, "note": "目标70%；没有达到目标的配置时不预测一个虚假的达标点。",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[438.06858, 550.62365]}</t>
        </is>
      </c>
    </row>
    <row r="131">
      <c r="A131" s="0" t="inlineStr">
        <is>
          <t>NYTimes-256</t>
        </is>
      </c>
      <c r="B131" s="0" t="inlineStr">
        <is>
          <t>H38</t>
        </is>
      </c>
      <c r="C131" s="0" t="n">
        <v>78</v>
      </c>
      <c r="D131" s="0" t="inlineStr">
        <is>
          <t>搜索校准</t>
        </is>
      </c>
      <c r="E131" s="0" t="inlineStr">
        <is>
          <t>recall</t>
        </is>
      </c>
      <c r="F131" s="0" t="inlineStr">
        <is>
          <t>P020</t>
        </is>
      </c>
      <c r="G131" s="0" t="inlineStr">
        <is>
          <t>{"sheet": "NYTimes-256", "cell": "H38", "value": 78.0, "estimated": false, "status": "搜索校准", "point_id": "P020", "metric": "recall", "previous_cell_value": 78, "note": "目标70%。未完成证明的召回率仅为既有20查询搜索校准；不保证新的证明结果恰好达到该值。",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32">
      <c r="A132" s="0" t="inlineStr">
        <is>
          <t>NYTimes-256</t>
        </is>
      </c>
      <c r="B132" s="0" t="inlineStr">
        <is>
          <t>H39</t>
        </is>
      </c>
      <c r="C132" s="0" t="n">
        <v>38.4136293234172</v>
      </c>
      <c r="D132" s="0" t="inlineStr">
        <is>
          <t>预测</t>
        </is>
      </c>
      <c r="E132" s="0" t="inlineStr">
        <is>
          <t>verify_ms</t>
        </is>
      </c>
      <c r="F132" s="0" t="inlineStr">
        <is>
          <t>P020</t>
        </is>
      </c>
      <c r="G132" s="0" t="inlineStr">
        <is>
          <t>{"sheet": "NYTimes-256", "cell": "H39", "value": 38.41362932341724, "estimated": true, "status": "预测", "point_id": "P020", "metric": "verify_ms", "previous_cell_value": 38.6407056210642, "note": "目标70%；没有达到目标的配置时不预测一个虚假的达标点。",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[9.60340733085431, 153.65451729366896]}</t>
        </is>
      </c>
    </row>
    <row r="133">
      <c r="A133" s="0" t="inlineStr">
        <is>
          <t>NYTimes-256</t>
        </is>
      </c>
      <c r="B133" s="0" t="inlineStr">
        <is>
          <t>H50</t>
        </is>
      </c>
      <c r="C133" s="0" t="n">
        <v>78</v>
      </c>
      <c r="D133" s="0" t="inlineStr">
        <is>
          <t>搜索校准</t>
        </is>
      </c>
      <c r="E133" s="0" t="inlineStr">
        <is>
          <t>recall</t>
        </is>
      </c>
      <c r="F133" s="0" t="inlineStr">
        <is>
          <t>P020</t>
        </is>
      </c>
      <c r="G133" s="0" t="inlineStr">
        <is>
          <t>{"sheet": "NYTimes-256", "cell": "H50", "value": 78.0, "estimated": false, "status": "搜索校准", "point_id": "P020", "metric": "recall", "previous_cell_value": 78, "note": "目标70%。未完成证明的召回率仅为既有20查询搜索校准；不保证新的证明结果恰好达到该值。",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34">
      <c r="A134" s="0" t="inlineStr">
        <is>
          <t>NYTimes-256</t>
        </is>
      </c>
      <c r="B134" s="0" t="inlineStr">
        <is>
          <t>H51</t>
        </is>
      </c>
      <c r="C134" s="0" t="n">
        <v>4855714.1225412</v>
      </c>
      <c r="D134" s="0" t="inlineStr">
        <is>
          <t>预测</t>
        </is>
      </c>
      <c r="E134" s="0" t="inlineStr">
        <is>
          <t>query_ms</t>
        </is>
      </c>
      <c r="F134" s="0" t="inlineStr">
        <is>
          <t>P020</t>
        </is>
      </c>
      <c r="G134" s="0" t="inlineStr">
        <is>
          <t>{"sheet": "NYTimes-256", "cell": "H51", "value": 4855714.122541198, "estimated": true, "status": "预测", "point_id": "P020", "metric": "query_ms", "previous_cell_value": 4678690.95240432, "note": "目标70%；没有达到目标的配置时不预测一个虚假的达标点。",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[1213928.5306352994, 38845712.98032958]}</t>
        </is>
      </c>
    </row>
    <row r="135">
      <c r="A135" s="0" t="inlineStr">
        <is>
          <t>NYTimes-256</t>
        </is>
      </c>
      <c r="B135" s="0" t="inlineStr">
        <is>
          <t>I26</t>
        </is>
      </c>
      <c r="C135" s="0" t="n">
        <v>78</v>
      </c>
      <c r="D135" s="0" t="inlineStr">
        <is>
          <t>搜索校准</t>
        </is>
      </c>
      <c r="E135" s="0" t="inlineStr">
        <is>
          <t>recall</t>
        </is>
      </c>
      <c r="F135" s="0" t="inlineStr">
        <is>
          <t>P020</t>
        </is>
      </c>
      <c r="G135" s="0" t="inlineStr">
        <is>
          <t>{"sheet": "NYTimes-256", "cell": "I26", "value": 78.0, "estimated": false, "status": "搜索校准", "point_id": "P020", "metric": "recall", "previous_cell_value": 78, "note": "目标75%。未完成证明的召回率仅为既有20查询搜索校准；不保证新的证明结果恰好达到该值。",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36">
      <c r="A136" s="0" t="inlineStr">
        <is>
          <t>NYTimes-256</t>
        </is>
      </c>
      <c r="B136" s="0" t="inlineStr">
        <is>
          <t>I27</t>
        </is>
      </c>
      <c r="C136" s="0" t="n">
        <v>489.166106666667</v>
      </c>
      <c r="D136" s="0" t="inlineStr">
        <is>
          <t>预测</t>
        </is>
      </c>
      <c r="E136" s="0" t="inlineStr">
        <is>
          <t>vo_kb</t>
        </is>
      </c>
      <c r="F136" s="0" t="inlineStr">
        <is>
          <t>P020</t>
        </is>
      </c>
      <c r="G136" s="0" t="inlineStr">
        <is>
          <t>{"sheet": "NYTimes-256", "cell": "I27", "value": 489.1661066666667, "estimated": true, "status": "预测", "point_id": "P020", "metric": "vo_kb", "previous_cell_value": 489.166106666667, "note": "目标75%；没有达到目标的配置时不预测一个虚假的达标点。",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[438.06858, 550.62365]}</t>
        </is>
      </c>
    </row>
    <row r="137">
      <c r="A137" s="0" t="inlineStr">
        <is>
          <t>NYTimes-256</t>
        </is>
      </c>
      <c r="B137" s="0" t="inlineStr">
        <is>
          <t>I38</t>
        </is>
      </c>
      <c r="C137" s="0" t="n">
        <v>78</v>
      </c>
      <c r="D137" s="0" t="inlineStr">
        <is>
          <t>搜索校准</t>
        </is>
      </c>
      <c r="E137" s="0" t="inlineStr">
        <is>
          <t>recall</t>
        </is>
      </c>
      <c r="F137" s="0" t="inlineStr">
        <is>
          <t>P020</t>
        </is>
      </c>
      <c r="G137" s="0" t="inlineStr">
        <is>
          <t>{"sheet": "NYTimes-256", "cell": "I38", "value": 78.0, "estimated": false, "status": "搜索校准", "point_id": "P020", "metric": "recall", "previous_cell_value": 78, "note": "目标75%。未完成证明的召回率仅为既有20查询搜索校准；不保证新的证明结果恰好达到该值。",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38">
      <c r="A138" s="0" t="inlineStr">
        <is>
          <t>NYTimes-256</t>
        </is>
      </c>
      <c r="B138" s="0" t="inlineStr">
        <is>
          <t>I39</t>
        </is>
      </c>
      <c r="C138" s="0" t="n">
        <v>38.4136293234172</v>
      </c>
      <c r="D138" s="0" t="inlineStr">
        <is>
          <t>预测</t>
        </is>
      </c>
      <c r="E138" s="0" t="inlineStr">
        <is>
          <t>verify_ms</t>
        </is>
      </c>
      <c r="F138" s="0" t="inlineStr">
        <is>
          <t>P020</t>
        </is>
      </c>
      <c r="G138" s="0" t="inlineStr">
        <is>
          <t>{"sheet": "NYTimes-256", "cell": "I39", "value": 38.41362932341724, "estimated": true, "status": "预测", "point_id": "P020", "metric": "verify_ms", "previous_cell_value": 38.6407056210642, "note": "目标75%；没有达到目标的配置时不预测一个虚假的达标点。",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[9.60340733085431, 153.65451729366896]}</t>
        </is>
      </c>
    </row>
    <row r="139">
      <c r="A139" s="0" t="inlineStr">
        <is>
          <t>NYTimes-256</t>
        </is>
      </c>
      <c r="B139" s="0" t="inlineStr">
        <is>
          <t>I50</t>
        </is>
      </c>
      <c r="C139" s="0" t="n">
        <v>78</v>
      </c>
      <c r="D139" s="0" t="inlineStr">
        <is>
          <t>搜索校准</t>
        </is>
      </c>
      <c r="E139" s="0" t="inlineStr">
        <is>
          <t>recall</t>
        </is>
      </c>
      <c r="F139" s="0" t="inlineStr">
        <is>
          <t>P020</t>
        </is>
      </c>
      <c r="G139" s="0" t="inlineStr">
        <is>
          <t>{"sheet": "NYTimes-256", "cell": "I50", "value": 78.0, "estimated": false, "status": "搜索校准", "point_id": "P020", "metric": "recall", "previous_cell_value": 78, "note": "目标75%。未完成证明的召回率仅为既有20查询搜索校准；不保证新的证明结果恰好达到该值。",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40">
      <c r="A140" s="0" t="inlineStr">
        <is>
          <t>NYTimes-256</t>
        </is>
      </c>
      <c r="B140" s="0" t="inlineStr">
        <is>
          <t>I51</t>
        </is>
      </c>
      <c r="C140" s="0" t="n">
        <v>4855714.1225412</v>
      </c>
      <c r="D140" s="0" t="inlineStr">
        <is>
          <t>预测</t>
        </is>
      </c>
      <c r="E140" s="0" t="inlineStr">
        <is>
          <t>query_ms</t>
        </is>
      </c>
      <c r="F140" s="0" t="inlineStr">
        <is>
          <t>P020</t>
        </is>
      </c>
      <c r="G140" s="0" t="inlineStr">
        <is>
          <t>{"sheet": "NYTimes-256", "cell": "I51", "value": 4855714.122541198, "estimated": true, "status": "预测", "point_id": "P020", "metric": "query_ms", "previous_cell_value": 4678690.95240432, "note": "目标75%；没有达到目标的配置时不预测一个虚假的达标点。",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[1213928.5306352994, 38845712.98032958]}</t>
        </is>
      </c>
    </row>
    <row r="141">
      <c r="A141" s="0" t="inlineStr">
        <is>
          <t>NYTimes-256</t>
        </is>
      </c>
      <c r="B141" s="0" t="inlineStr">
        <is>
          <t>J26</t>
        </is>
      </c>
      <c r="C141" s="0" t="n">
        <v>85</v>
      </c>
      <c r="D141" s="0" t="inlineStr">
        <is>
          <t>搜索校准</t>
        </is>
      </c>
      <c r="E141" s="0" t="inlineStr">
        <is>
          <t>recall</t>
        </is>
      </c>
      <c r="F141" s="0" t="inlineStr">
        <is>
          <t>P021</t>
        </is>
      </c>
      <c r="G141" s="0" t="inlineStr">
        <is>
          <t>{"sheet": "NYTimes-256", "cell": "J26", "value": 85.00000000000001, "estimated": false, "status": "搜索校准", "point_id": "P021", "metric": "recall", "previous_cell_value": 85, "note": "目标80%。未完成证明的召回率仅为既有20查询搜索校准；不保证新的证明结果恰好达到该值。",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42">
      <c r="A142" s="0" t="inlineStr">
        <is>
          <t>NYTimes-256</t>
        </is>
      </c>
      <c r="B142" s="0" t="inlineStr">
        <is>
          <t>J27</t>
        </is>
      </c>
      <c r="C142" s="0" t="n">
        <v>759.59812</v>
      </c>
      <c r="D142" s="0" t="inlineStr">
        <is>
          <t>预测</t>
        </is>
      </c>
      <c r="E142" s="0" t="inlineStr">
        <is>
          <t>vo_kb</t>
        </is>
      </c>
      <c r="F142" s="0" t="inlineStr">
        <is>
          <t>P021</t>
        </is>
      </c>
      <c r="G142" s="0" t="inlineStr">
        <is>
          <t>{"sheet": "NYTimes-256", "cell": "J27", "value": 759.59812, "estimated": true, "status": "预测", "point_id": "P021", "metric": "vo_kb", "previous_cell_value": 759.59812, "note": "目标80%；没有达到目标的配置时不预测一个虚假的达标点。",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[706.4285900000001, 823.1276666666668]}</t>
        </is>
      </c>
    </row>
    <row r="143">
      <c r="A143" s="0" t="inlineStr">
        <is>
          <t>NYTimes-256</t>
        </is>
      </c>
      <c r="B143" s="0" t="inlineStr">
        <is>
          <t>J38</t>
        </is>
      </c>
      <c r="C143" s="0" t="n">
        <v>85</v>
      </c>
      <c r="D143" s="0" t="inlineStr">
        <is>
          <t>搜索校准</t>
        </is>
      </c>
      <c r="E143" s="0" t="inlineStr">
        <is>
          <t>recall</t>
        </is>
      </c>
      <c r="F143" s="0" t="inlineStr">
        <is>
          <t>P021</t>
        </is>
      </c>
      <c r="G143" s="0" t="inlineStr">
        <is>
          <t>{"sheet": "NYTimes-256", "cell": "J38", "value": 85.00000000000001, "estimated": false, "status": "搜索校准", "point_id": "P021", "metric": "recall", "previous_cell_value": 85, "note": "目标80%。未完成证明的召回率仅为既有20查询搜索校准；不保证新的证明结果恰好达到该值。",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44">
      <c r="A144" s="0" t="inlineStr">
        <is>
          <t>NYTimes-256</t>
        </is>
      </c>
      <c r="B144" s="0" t="inlineStr">
        <is>
          <t>J39</t>
        </is>
      </c>
      <c r="C144" s="0" t="n">
        <v>45.7781687832591</v>
      </c>
      <c r="D144" s="0" t="inlineStr">
        <is>
          <t>预测</t>
        </is>
      </c>
      <c r="E144" s="0" t="inlineStr">
        <is>
          <t>verify_ms</t>
        </is>
      </c>
      <c r="F144" s="0" t="inlineStr">
        <is>
          <t>P021</t>
        </is>
      </c>
      <c r="G144" s="0" t="inlineStr">
        <is>
          <t>{"sheet": "NYTimes-256", "cell": "J39", "value": 45.77816878325911, "estimated": true, "status": "预测", "point_id": "P021", "metric": "verify_ms", "previous_cell_value": 46.2758373799508, "note": "目标80%；没有达到目标的配置时不预测一个虚假的达标点。",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[11.444542195814778, 183.11267513303645]}</t>
        </is>
      </c>
    </row>
    <row r="145">
      <c r="A145" s="0" t="inlineStr">
        <is>
          <t>NYTimes-256</t>
        </is>
      </c>
      <c r="B145" s="0" t="inlineStr">
        <is>
          <t>J50</t>
        </is>
      </c>
      <c r="C145" s="0" t="n">
        <v>85</v>
      </c>
      <c r="D145" s="0" t="inlineStr">
        <is>
          <t>搜索校准</t>
        </is>
      </c>
      <c r="E145" s="0" t="inlineStr">
        <is>
          <t>recall</t>
        </is>
      </c>
      <c r="F145" s="0" t="inlineStr">
        <is>
          <t>P021</t>
        </is>
      </c>
      <c r="G145" s="0" t="inlineStr">
        <is>
          <t>{"sheet": "NYTimes-256", "cell": "J50", "value": 85.00000000000001, "estimated": false, "status": "搜索校准", "point_id": "P021", "metric": "recall", "previous_cell_value": 85, "note": "目标80%。未完成证明的召回率仅为既有20查询搜索校准；不保证新的证明结果恰好达到该值。",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46">
      <c r="A146" s="0" t="inlineStr">
        <is>
          <t>NYTimes-256</t>
        </is>
      </c>
      <c r="B146" s="0" t="inlineStr">
        <is>
          <t>J51</t>
        </is>
      </c>
      <c r="C146" s="0" t="n">
        <v>10133664.2557382</v>
      </c>
      <c r="D146" s="0" t="inlineStr">
        <is>
          <t>预测</t>
        </is>
      </c>
      <c r="E146" s="0" t="inlineStr">
        <is>
          <t>query_ms</t>
        </is>
      </c>
      <c r="F146" s="0" t="inlineStr">
        <is>
          <t>P021</t>
        </is>
      </c>
      <c r="G146" s="0" t="inlineStr">
        <is>
          <t>{"sheet": "NYTimes-256", "cell": "J51", "value": 10133664.255738152, "estimated": true, "status": "预测", "point_id": "P021", "metric": "query_ms", "previous_cell_value": 9764224.59632206, "note": "目标80%；没有达到目标的配置时不预测一个虚假的达标点。",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[2533416.063934538, 81069314.04590522]}</t>
        </is>
      </c>
    </row>
    <row r="147">
      <c r="A147" s="0" t="inlineStr">
        <is>
          <t>NYTimes-256</t>
        </is>
      </c>
      <c r="B147" s="0" t="inlineStr">
        <is>
          <t>K26</t>
        </is>
      </c>
      <c r="C147" s="0" t="n">
        <v>85</v>
      </c>
      <c r="D147" s="0" t="inlineStr">
        <is>
          <t>搜索校准</t>
        </is>
      </c>
      <c r="E147" s="0" t="inlineStr">
        <is>
          <t>recall</t>
        </is>
      </c>
      <c r="F147" s="0" t="inlineStr">
        <is>
          <t>P021</t>
        </is>
      </c>
      <c r="G147" s="0" t="inlineStr">
        <is>
          <t>{"sheet": "NYTimes-256", "cell": "K26", "value": 85.00000000000001, "estimated": false, "status": "搜索校准", "point_id": "P021", "metric": "recall", "previous_cell_value": 85, "note": "目标85%。未完成证明的召回率仅为既有20查询搜索校准；不保证新的证明结果恰好达到该值。",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48">
      <c r="A148" s="0" t="inlineStr">
        <is>
          <t>NYTimes-256</t>
        </is>
      </c>
      <c r="B148" s="0" t="inlineStr">
        <is>
          <t>K27</t>
        </is>
      </c>
      <c r="C148" s="0" t="n">
        <v>759.59812</v>
      </c>
      <c r="D148" s="0" t="inlineStr">
        <is>
          <t>预测</t>
        </is>
      </c>
      <c r="E148" s="0" t="inlineStr">
        <is>
          <t>vo_kb</t>
        </is>
      </c>
      <c r="F148" s="0" t="inlineStr">
        <is>
          <t>P021</t>
        </is>
      </c>
      <c r="G148" s="0" t="inlineStr">
        <is>
          <t>{"sheet": "NYTimes-256", "cell": "K27", "value": 759.59812, "estimated": true, "status": "预测", "point_id": "P021", "metric": "vo_kb", "previous_cell_value": 759.59812, "note": "目标85%；没有达到目标的配置时不预测一个虚假的达标点。",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[706.4285900000001, 823.1276666666668]}</t>
        </is>
      </c>
    </row>
    <row r="149">
      <c r="A149" s="0" t="inlineStr">
        <is>
          <t>NYTimes-256</t>
        </is>
      </c>
      <c r="B149" s="0" t="inlineStr">
        <is>
          <t>K38</t>
        </is>
      </c>
      <c r="C149" s="0" t="n">
        <v>85</v>
      </c>
      <c r="D149" s="0" t="inlineStr">
        <is>
          <t>搜索校准</t>
        </is>
      </c>
      <c r="E149" s="0" t="inlineStr">
        <is>
          <t>recall</t>
        </is>
      </c>
      <c r="F149" s="0" t="inlineStr">
        <is>
          <t>P021</t>
        </is>
      </c>
      <c r="G149" s="0" t="inlineStr">
        <is>
          <t>{"sheet": "NYTimes-256", "cell": "K38", "value": 85.00000000000001, "estimated": false, "status": "搜索校准", "point_id": "P021", "metric": "recall", "previous_cell_value": 85, "note": "目标85%。未完成证明的召回率仅为既有20查询搜索校准；不保证新的证明结果恰好达到该值。",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50">
      <c r="A150" s="0" t="inlineStr">
        <is>
          <t>NYTimes-256</t>
        </is>
      </c>
      <c r="B150" s="0" t="inlineStr">
        <is>
          <t>K39</t>
        </is>
      </c>
      <c r="C150" s="0" t="n">
        <v>45.7781687832591</v>
      </c>
      <c r="D150" s="0" t="inlineStr">
        <is>
          <t>预测</t>
        </is>
      </c>
      <c r="E150" s="0" t="inlineStr">
        <is>
          <t>verify_ms</t>
        </is>
      </c>
      <c r="F150" s="0" t="inlineStr">
        <is>
          <t>P021</t>
        </is>
      </c>
      <c r="G150" s="0" t="inlineStr">
        <is>
          <t>{"sheet": "NYTimes-256", "cell": "K39", "value": 45.77816878325911, "estimated": true, "status": "预测", "point_id": "P021", "metric": "verify_ms", "previous_cell_value": 46.2758373799508, "note": "目标85%；没有达到目标的配置时不预测一个虚假的达标点。",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[11.444542195814778, 183.11267513303645]}</t>
        </is>
      </c>
    </row>
    <row r="151">
      <c r="A151" s="0" t="inlineStr">
        <is>
          <t>NYTimes-256</t>
        </is>
      </c>
      <c r="B151" s="0" t="inlineStr">
        <is>
          <t>K50</t>
        </is>
      </c>
      <c r="C151" s="0" t="n">
        <v>85</v>
      </c>
      <c r="D151" s="0" t="inlineStr">
        <is>
          <t>搜索校准</t>
        </is>
      </c>
      <c r="E151" s="0" t="inlineStr">
        <is>
          <t>recall</t>
        </is>
      </c>
      <c r="F151" s="0" t="inlineStr">
        <is>
          <t>P021</t>
        </is>
      </c>
      <c r="G151" s="0" t="inlineStr">
        <is>
          <t>{"sheet": "NYTimes-256", "cell": "K50", "value": 85.00000000000001, "estimated": false, "status": "搜索校准", "point_id": "P021", "metric": "recall", "previous_cell_value": 85, "note": "目标85%。未完成证明的召回率仅为既有20查询搜索校准；不保证新的证明结果恰好达到该值。",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52">
      <c r="A152" s="0" t="inlineStr">
        <is>
          <t>NYTimes-256</t>
        </is>
      </c>
      <c r="B152" s="0" t="inlineStr">
        <is>
          <t>K51</t>
        </is>
      </c>
      <c r="C152" s="0" t="n">
        <v>10133664.2557382</v>
      </c>
      <c r="D152" s="0" t="inlineStr">
        <is>
          <t>预测</t>
        </is>
      </c>
      <c r="E152" s="0" t="inlineStr">
        <is>
          <t>query_ms</t>
        </is>
      </c>
      <c r="F152" s="0" t="inlineStr">
        <is>
          <t>P021</t>
        </is>
      </c>
      <c r="G152" s="0" t="inlineStr">
        <is>
          <t>{"sheet": "NYTimes-256", "cell": "K51", "value": 10133664.255738152, "estimated": true, "status": "预测", "point_id": "P021", "metric": "query_ms", "previous_cell_value": 9764224.59632206, "note": "目标85%；没有达到目标的配置时不预测一个虚假的达标点。",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[2533416.063934538, 81069314.04590522]}</t>
        </is>
      </c>
    </row>
    <row r="153">
      <c r="A153" s="0" t="inlineStr">
        <is>
          <t>NYTimes-256</t>
        </is>
      </c>
      <c r="B153" s="0" t="inlineStr">
        <is>
          <t>L26</t>
        </is>
      </c>
      <c r="C153" s="0" t="n">
        <v>91.5</v>
      </c>
      <c r="D153" s="0" t="inlineStr">
        <is>
          <t>搜索校准</t>
        </is>
      </c>
      <c r="E153" s="0" t="inlineStr">
        <is>
          <t>recall</t>
        </is>
      </c>
      <c r="F153" s="0" t="inlineStr">
        <is>
          <t>P022</t>
        </is>
      </c>
      <c r="G153" s="0" t="inlineStr">
        <is>
          <t>{"sheet": "NYTimes-256", "cell": "L26", "value": 91.5, "estimated": false, "status": "搜索校准", "point_id": "P022", "metric": "recall", "previous_cell_value": 91.5, "note": "目标90%。未完成证明的召回率仅为既有20查询搜索校准；不保证新的证明结果恰好达到该值。",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54">
      <c r="A154" s="0" t="inlineStr">
        <is>
          <t>NYTimes-256</t>
        </is>
      </c>
      <c r="B154" s="0" t="inlineStr">
        <is>
          <t>L27</t>
        </is>
      </c>
      <c r="C154" s="0" t="n">
        <v>2349.03814666667</v>
      </c>
      <c r="D154" s="0" t="inlineStr">
        <is>
          <t>预测</t>
        </is>
      </c>
      <c r="E154" s="0" t="inlineStr">
        <is>
          <t>vo_kb</t>
        </is>
      </c>
      <c r="F154" s="0" t="inlineStr">
        <is>
          <t>P022</t>
        </is>
      </c>
      <c r="G154" s="0" t="inlineStr">
        <is>
          <t>{"sheet": "NYTimes-256", "cell": "L27", "value": 2349.0381466666663, "estimated": true, "status": "预测", "point_id": "P022", "metric": "vo_kb", "previous_cell_value": 2349.03814666667, "note": "目标90%；没有达到目标的配置时不预测一个虚假的达标点。",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[2291.7246099999998, 2416.7117000000003]}</t>
        </is>
      </c>
    </row>
    <row r="155">
      <c r="A155" s="0" t="inlineStr">
        <is>
          <t>NYTimes-256</t>
        </is>
      </c>
      <c r="B155" s="0" t="inlineStr">
        <is>
          <t>L38</t>
        </is>
      </c>
      <c r="C155" s="0" t="n">
        <v>91.5</v>
      </c>
      <c r="D155" s="0" t="inlineStr">
        <is>
          <t>搜索校准</t>
        </is>
      </c>
      <c r="E155" s="0" t="inlineStr">
        <is>
          <t>recall</t>
        </is>
      </c>
      <c r="F155" s="0" t="inlineStr">
        <is>
          <t>P022</t>
        </is>
      </c>
      <c r="G155" s="0" t="inlineStr">
        <is>
          <t>{"sheet": "NYTimes-256", "cell": "L38", "value": 91.5, "estimated": false, "status": "搜索校准", "point_id": "P022", "metric": "recall", "previous_cell_value": 91.5, "note": "目标90%。未完成证明的召回率仅为既有20查询搜索校准；不保证新的证明结果恰好达到该值。",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56">
      <c r="A156" s="0" t="inlineStr">
        <is>
          <t>NYTimes-256</t>
        </is>
      </c>
      <c r="B156" s="0" t="inlineStr">
        <is>
          <t>L39</t>
        </is>
      </c>
      <c r="C156" s="0" t="n">
        <v>84.4139330779429</v>
      </c>
      <c r="D156" s="0" t="inlineStr">
        <is>
          <t>预测</t>
        </is>
      </c>
      <c r="E156" s="0" t="inlineStr">
        <is>
          <t>verify_ms</t>
        </is>
      </c>
      <c r="F156" s="0" t="inlineStr">
        <is>
          <t>P022</t>
        </is>
      </c>
      <c r="G156" s="0" t="inlineStr">
        <is>
          <t>{"sheet": "NYTimes-256", "cell": "L39", "value": 84.41393307794286, "estimated": true, "status": "预测", "point_id": "P022", "metric": "verify_ms", "previous_cell_value": 86.5473628977241, "note": "目标90%；没有达到目标的配置时不预测一个虚假的达标点。",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[21.103483269485714, 337.65573231177143]}</t>
        </is>
      </c>
    </row>
    <row r="157">
      <c r="A157" s="0" t="inlineStr">
        <is>
          <t>NYTimes-256</t>
        </is>
      </c>
      <c r="B157" s="0" t="inlineStr">
        <is>
          <t>L50</t>
        </is>
      </c>
      <c r="C157" s="0" t="n">
        <v>91.5</v>
      </c>
      <c r="D157" s="0" t="inlineStr">
        <is>
          <t>搜索校准</t>
        </is>
      </c>
      <c r="E157" s="0" t="inlineStr">
        <is>
          <t>recall</t>
        </is>
      </c>
      <c r="F157" s="0" t="inlineStr">
        <is>
          <t>P022</t>
        </is>
      </c>
      <c r="G157" s="0" t="inlineStr">
        <is>
          <t>{"sheet": "NYTimes-256", "cell": "L50", "value": 91.5, "estimated": false, "status": "搜索校准", "point_id": "P022", "metric": "recall", "previous_cell_value": 91.5, "note": "目标90%。未完成证明的召回率仅为既有20查询搜索校准；不保证新的证明结果恰好达到该值。",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58">
      <c r="A158" s="0" t="inlineStr">
        <is>
          <t>NYTimes-256</t>
        </is>
      </c>
      <c r="B158" s="0" t="inlineStr">
        <is>
          <t>L51</t>
        </is>
      </c>
      <c r="C158" s="0" t="n">
        <v>43912545.1081987</v>
      </c>
      <c r="D158" s="0" t="inlineStr">
        <is>
          <t>预测</t>
        </is>
      </c>
      <c r="E158" s="0" t="inlineStr">
        <is>
          <t>query_ms</t>
        </is>
      </c>
      <c r="F158" s="0" t="inlineStr">
        <is>
          <t>P022</t>
        </is>
      </c>
      <c r="G158" s="0" t="inlineStr">
        <is>
          <t>{"sheet": "NYTimes-256", "cell": "L51", "value": 43912545.10819866, "estimated": true, "status": "预测", "point_id": "P022", "metric": "query_ms", "previous_cell_value": 42311639.9173956, "note": "目标90%；没有达到目标的配置时不预测一个虚假的达标点。",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[10978136.277049664, 351300360.86558926]}</t>
        </is>
      </c>
    </row>
    <row r="159">
      <c r="A159" s="0" t="inlineStr">
        <is>
          <t>NYTimes-256</t>
        </is>
      </c>
      <c r="B159" s="0" t="inlineStr">
        <is>
          <t>M26</t>
        </is>
      </c>
      <c r="C159" s="0" t="n">
        <v>97.5</v>
      </c>
      <c r="D159" s="0" t="inlineStr">
        <is>
          <t>搜索校准</t>
        </is>
      </c>
      <c r="E159" s="0" t="inlineStr">
        <is>
          <t>recall</t>
        </is>
      </c>
      <c r="F159" s="0" t="inlineStr">
        <is>
          <t>P017</t>
        </is>
      </c>
      <c r="G159" s="0" t="inlineStr">
        <is>
          <t>{"sheet": "NYTimes-256", "cell": "M26", "value": 97.5, "estimated": false, "status": "搜索校准", "point_id": "P017", "metric": "recall", "previous_cell_value": 97.5, "note": "目标95%。未完成证明的召回率仅为既有20查询搜索校准；不保证新的证明结果恰好达到该值。",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60">
      <c r="A160" s="0" t="inlineStr">
        <is>
          <t>NYTimes-256</t>
        </is>
      </c>
      <c r="B160" s="0" t="inlineStr">
        <is>
          <t>M27</t>
        </is>
      </c>
      <c r="C160" s="0" t="n">
        <v>4454.47816</v>
      </c>
      <c r="D160" s="0" t="inlineStr">
        <is>
          <t>预测</t>
        </is>
      </c>
      <c r="E160" s="0" t="inlineStr">
        <is>
          <t>vo_kb</t>
        </is>
      </c>
      <c r="F160" s="0" t="inlineStr">
        <is>
          <t>P017</t>
        </is>
      </c>
      <c r="G160" s="0" t="inlineStr">
        <is>
          <t>{"sheet": "NYTimes-256", "cell": "M27", "value": 4454.478160000001, "estimated": true, "status": "预测", "point_id": "P017", "metric": "vo_kb", "previous_cell_value": 4454.47816, "note": "目标95%；没有达到目标的配置时不预测一个虚假的达标点。",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[4395.09262, 4524.223716666666]}</t>
        </is>
      </c>
    </row>
    <row r="161">
      <c r="A161" s="0" t="inlineStr">
        <is>
          <t>NYTimes-256</t>
        </is>
      </c>
      <c r="B161" s="0" t="inlineStr">
        <is>
          <t>M38</t>
        </is>
      </c>
      <c r="C161" s="0" t="n">
        <v>97.5</v>
      </c>
      <c r="D161" s="0" t="inlineStr">
        <is>
          <t>搜索校准</t>
        </is>
      </c>
      <c r="E161" s="0" t="inlineStr">
        <is>
          <t>recall</t>
        </is>
      </c>
      <c r="F161" s="0" t="inlineStr">
        <is>
          <t>P017</t>
        </is>
      </c>
      <c r="G161" s="0" t="inlineStr">
        <is>
          <t>{"sheet": "NYTimes-256", "cell": "M38", "value": 97.5, "estimated": false, "status": "搜索校准", "point_id": "P017", "metric": "recall", "previous_cell_value": 97.5, "note": "目标95%。未完成证明的召回率仅为既有20查询搜索校准；不保证新的证明结果恰好达到该值。",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62">
      <c r="A162" s="0" t="inlineStr">
        <is>
          <t>NYTimes-256</t>
        </is>
      </c>
      <c r="B162" s="0" t="inlineStr">
        <is>
          <t>M39</t>
        </is>
      </c>
      <c r="C162" s="0" t="n">
        <v>133.615171944035</v>
      </c>
      <c r="D162" s="0" t="inlineStr">
        <is>
          <t>预测</t>
        </is>
      </c>
      <c r="E162" s="0" t="inlineStr">
        <is>
          <t>verify_ms</t>
        </is>
      </c>
      <c r="F162" s="0" t="inlineStr">
        <is>
          <t>P017</t>
        </is>
      </c>
      <c r="G162" s="0" t="inlineStr">
        <is>
          <t>{"sheet": "NYTimes-256", "cell": "M39", "value": 133.61517194403473, "estimated": true, "status": "预测", "point_id": "P017", "metric": "verify_ms", "previous_cell_value": 137.934703156611, "note": "目标95%；没有达到目标的配置时不预测一个虚假的达标点。",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[33.40379298600868, 534.4606877761389]}</t>
        </is>
      </c>
    </row>
    <row r="163">
      <c r="A163" s="0" t="inlineStr">
        <is>
          <t>NYTimes-256</t>
        </is>
      </c>
      <c r="B163" s="0" t="inlineStr">
        <is>
          <t>M50</t>
        </is>
      </c>
      <c r="C163" s="0" t="n">
        <v>97.5</v>
      </c>
      <c r="D163" s="0" t="inlineStr">
        <is>
          <t>搜索校准</t>
        </is>
      </c>
      <c r="E163" s="0" t="inlineStr">
        <is>
          <t>recall</t>
        </is>
      </c>
      <c r="F163" s="0" t="inlineStr">
        <is>
          <t>P017</t>
        </is>
      </c>
      <c r="G163" s="0" t="inlineStr">
        <is>
          <t>{"sheet": "NYTimes-256", "cell": "M50", "value": 97.5, "estimated": false, "status": "搜索校准", "point_id": "P017", "metric": "recall", "previous_cell_value": 97.5, "note": "目标95%。未完成证明的召回率仅为既有20查询搜索校准；不保证新的证明结果恰好达到该值。",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64">
      <c r="A164" s="0" t="inlineStr">
        <is>
          <t>NYTimes-256</t>
        </is>
      </c>
      <c r="B164" s="0" t="inlineStr">
        <is>
          <t>M51</t>
        </is>
      </c>
      <c r="C164" s="0" t="n">
        <v>91202978.3016434</v>
      </c>
      <c r="D164" s="0" t="inlineStr">
        <is>
          <t>预测</t>
        </is>
      </c>
      <c r="E164" s="0" t="inlineStr">
        <is>
          <t>query_ms</t>
        </is>
      </c>
      <c r="F164" s="0" t="inlineStr">
        <is>
          <t>P017</t>
        </is>
      </c>
      <c r="G164" s="0" t="inlineStr">
        <is>
          <t>{"sheet": "NYTimes-256", "cell": "M51", "value": 91202978.30164337, "estimated": true, "status": "预测", "point_id": "P017", "metric": "query_ms", "previous_cell_value": 87878021.3668986, "note": "目标95%；没有达到目标的配置时不预测一个虚假的达标点。",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[22800744.575410843, 729623826.413147]}</t>
        </is>
      </c>
    </row>
    <row r="165">
      <c r="A165" s="0" t="inlineStr">
        <is>
          <t>NYTimes-256</t>
        </is>
      </c>
      <c r="B165" s="0" t="inlineStr">
        <is>
          <t>N26</t>
        </is>
      </c>
      <c r="C165" s="0" t="n">
        <v>97.5</v>
      </c>
      <c r="D165" s="0" t="inlineStr">
        <is>
          <t>搜索校准</t>
        </is>
      </c>
      <c r="E165" s="0" t="inlineStr">
        <is>
          <t>recall</t>
        </is>
      </c>
      <c r="F165" s="0" t="inlineStr">
        <is>
          <t>P017</t>
        </is>
      </c>
      <c r="G165" s="0" t="inlineStr">
        <is>
          <t>{"sheet": "NYTimes-256", "cell": "N26", "value": 97.5, "estimated": false, "status": "搜索校准", "point_id": "P017", "metric": "recall", "previous_cell_value": 97.5, "note": "目标97%。未完成证明的召回率仅为既有20查询搜索校准；不保证新的证明结果恰好达到该值。",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66">
      <c r="A166" s="0" t="inlineStr">
        <is>
          <t>NYTimes-256</t>
        </is>
      </c>
      <c r="B166" s="0" t="inlineStr">
        <is>
          <t>N27</t>
        </is>
      </c>
      <c r="C166" s="0" t="n">
        <v>4454.47816</v>
      </c>
      <c r="D166" s="0" t="inlineStr">
        <is>
          <t>预测</t>
        </is>
      </c>
      <c r="E166" s="0" t="inlineStr">
        <is>
          <t>vo_kb</t>
        </is>
      </c>
      <c r="F166" s="0" t="inlineStr">
        <is>
          <t>P017</t>
        </is>
      </c>
      <c r="G166" s="0" t="inlineStr">
        <is>
          <t>{"sheet": "NYTimes-256", "cell": "N27", "value": 4454.478160000001, "estimated": true, "status": "预测", "point_id": "P017", "metric": "vo_kb", "previous_cell_value": 4454.47816, "note": "目标97%；没有达到目标的配置时不预测一个虚假的达标点。",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[4395.09262, 4524.223716666666]}</t>
        </is>
      </c>
    </row>
    <row r="167">
      <c r="A167" s="0" t="inlineStr">
        <is>
          <t>NYTimes-256</t>
        </is>
      </c>
      <c r="B167" s="0" t="inlineStr">
        <is>
          <t>N38</t>
        </is>
      </c>
      <c r="C167" s="0" t="n">
        <v>97.5</v>
      </c>
      <c r="D167" s="0" t="inlineStr">
        <is>
          <t>搜索校准</t>
        </is>
      </c>
      <c r="E167" s="0" t="inlineStr">
        <is>
          <t>recall</t>
        </is>
      </c>
      <c r="F167" s="0" t="inlineStr">
        <is>
          <t>P017</t>
        </is>
      </c>
      <c r="G167" s="0" t="inlineStr">
        <is>
          <t>{"sheet": "NYTimes-256", "cell": "N38", "value": 97.5, "estimated": false, "status": "搜索校准", "point_id": "P017", "metric": "recall", "previous_cell_value": 97.5, "note": "目标97%。未完成证明的召回率仅为既有20查询搜索校准；不保证新的证明结果恰好达到该值。",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68">
      <c r="A168" s="0" t="inlineStr">
        <is>
          <t>NYTimes-256</t>
        </is>
      </c>
      <c r="B168" s="0" t="inlineStr">
        <is>
          <t>N39</t>
        </is>
      </c>
      <c r="C168" s="0" t="n">
        <v>133.615171944035</v>
      </c>
      <c r="D168" s="0" t="inlineStr">
        <is>
          <t>预测</t>
        </is>
      </c>
      <c r="E168" s="0" t="inlineStr">
        <is>
          <t>verify_ms</t>
        </is>
      </c>
      <c r="F168" s="0" t="inlineStr">
        <is>
          <t>P017</t>
        </is>
      </c>
      <c r="G168" s="0" t="inlineStr">
        <is>
          <t>{"sheet": "NYTimes-256", "cell": "N39", "value": 133.61517194403473, "estimated": true, "status": "预测", "point_id": "P017", "metric": "verify_ms", "previous_cell_value": 137.934703156611, "note": "目标97%；没有达到目标的配置时不预测一个虚假的达标点。",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[33.40379298600868, 534.4606877761389]}</t>
        </is>
      </c>
    </row>
    <row r="169">
      <c r="A169" s="0" t="inlineStr">
        <is>
          <t>NYTimes-256</t>
        </is>
      </c>
      <c r="B169" s="0" t="inlineStr">
        <is>
          <t>N50</t>
        </is>
      </c>
      <c r="C169" s="0" t="n">
        <v>97.5</v>
      </c>
      <c r="D169" s="0" t="inlineStr">
        <is>
          <t>搜索校准</t>
        </is>
      </c>
      <c r="E169" s="0" t="inlineStr">
        <is>
          <t>recall</t>
        </is>
      </c>
      <c r="F169" s="0" t="inlineStr">
        <is>
          <t>P017</t>
        </is>
      </c>
      <c r="G169" s="0" t="inlineStr">
        <is>
          <t>{"sheet": "NYTimes-256", "cell": "N50", "value": 97.5, "estimated": false, "status": "搜索校准", "point_id": "P017", "metric": "recall", "previous_cell_value": 97.5, "note": "目标97%。未完成证明的召回率仅为既有20查询搜索校准；不保证新的证明结果恰好达到该值。",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70">
      <c r="A170" s="0" t="inlineStr">
        <is>
          <t>NYTimes-256</t>
        </is>
      </c>
      <c r="B170" s="0" t="inlineStr">
        <is>
          <t>N51</t>
        </is>
      </c>
      <c r="C170" s="0" t="n">
        <v>91202978.3016434</v>
      </c>
      <c r="D170" s="0" t="inlineStr">
        <is>
          <t>预测</t>
        </is>
      </c>
      <c r="E170" s="0" t="inlineStr">
        <is>
          <t>query_ms</t>
        </is>
      </c>
      <c r="F170" s="0" t="inlineStr">
        <is>
          <t>P017</t>
        </is>
      </c>
      <c r="G170" s="0" t="inlineStr">
        <is>
          <t>{"sheet": "NYTimes-256", "cell": "N51", "value": 91202978.30164337, "estimated": true, "status": "预测", "point_id": "P017", "metric": "query_ms", "previous_cell_value": 87878021.3668986, "note": "目标97%；没有达到目标的配置时不预测一个虚假的达标点。",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[22800744.575410843, 729623826.413147]}</t>
        </is>
      </c>
    </row>
    <row r="171">
      <c r="A171" s="0" t="inlineStr">
        <is>
          <t>NYTimes-256</t>
        </is>
      </c>
      <c r="B171" s="0" t="inlineStr">
        <is>
          <t>O26</t>
        </is>
      </c>
      <c r="C171" s="0" t="n">
        <v>100</v>
      </c>
      <c r="D171" s="0" t="inlineStr">
        <is>
          <t>搜索校准</t>
        </is>
      </c>
      <c r="E171" s="0" t="inlineStr">
        <is>
          <t>recall</t>
        </is>
      </c>
      <c r="F171" s="0" t="inlineStr">
        <is>
          <t>P023</t>
        </is>
      </c>
      <c r="G171" s="0" t="inlineStr">
        <is>
          <t>{"sheet": "NYTimes-256", "cell": "O26", "value": 100.0, "estimated": false, "status": "搜索校准", "point_id": "P023", "metric": "recall", "previous_cell_value": 100, "note": "目标98%。未完成证明的召回率仅为既有20查询搜索校准；不保证新的证明结果恰好达到该值。",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72">
      <c r="A172" s="0" t="inlineStr">
        <is>
          <t>NYTimes-256</t>
        </is>
      </c>
      <c r="B172" s="0" t="inlineStr">
        <is>
          <t>O27</t>
        </is>
      </c>
      <c r="C172" s="0" t="n">
        <v>8657.07017333333</v>
      </c>
      <c r="D172" s="0" t="inlineStr">
        <is>
          <t>预测</t>
        </is>
      </c>
      <c r="E172" s="0" t="inlineStr">
        <is>
          <t>vo_kb</t>
        </is>
      </c>
      <c r="F172" s="0" t="inlineStr">
        <is>
          <t>P023</t>
        </is>
      </c>
      <c r="G172" s="0" t="inlineStr">
        <is>
          <t>{"sheet": "NYTimes-256", "cell": "O27", "value": 8657.070173333334, "estimated": true, "status": "预测", "point_id": "P023", "metric": "vo_kb", "previous_cell_value": 8657.07017333333, "note": "目标98%；没有达到目标的配置时不预测一个虚假的达标点。",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[8595.612630000001, 8728.887733333335]}</t>
        </is>
      </c>
    </row>
    <row r="173">
      <c r="A173" s="0" t="inlineStr">
        <is>
          <t>NYTimes-256</t>
        </is>
      </c>
      <c r="B173" s="0" t="inlineStr">
        <is>
          <t>O38</t>
        </is>
      </c>
      <c r="C173" s="0" t="n">
        <v>100</v>
      </c>
      <c r="D173" s="0" t="inlineStr">
        <is>
          <t>搜索校准</t>
        </is>
      </c>
      <c r="E173" s="0" t="inlineStr">
        <is>
          <t>recall</t>
        </is>
      </c>
      <c r="F173" s="0" t="inlineStr">
        <is>
          <t>P023</t>
        </is>
      </c>
      <c r="G173" s="0" t="inlineStr">
        <is>
          <t>{"sheet": "NYTimes-256", "cell": "O38", "value": 100.0, "estimated": false, "status": "搜索校准", "point_id": "P023", "metric": "recall", "previous_cell_value": 100, "note": "目标98%。未完成证明的召回率仅为既有20查询搜索校准；不保证新的证明结果恰好达到该值。",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74">
      <c r="A174" s="0" t="inlineStr">
        <is>
          <t>NYTimes-256</t>
        </is>
      </c>
      <c r="B174" s="0" t="inlineStr">
        <is>
          <t>O39</t>
        </is>
      </c>
      <c r="C174" s="0" t="n">
        <v>230.629781560127</v>
      </c>
      <c r="D174" s="0" t="inlineStr">
        <is>
          <t>预测</t>
        </is>
      </c>
      <c r="E174" s="0" t="inlineStr">
        <is>
          <t>verify_ms</t>
        </is>
      </c>
      <c r="F174" s="0" t="inlineStr">
        <is>
          <t>P023</t>
        </is>
      </c>
      <c r="G174" s="0" t="inlineStr">
        <is>
          <t>{"sheet": "NYTimes-256", "cell": "O39", "value": 230.62978156012662, "estimated": true, "status": "预测", "point_id": "P023", "metric": "verify_ms", "previous_cell_value": 239.324567415497, "note": "目标98%；没有达到目标的配置时不预测一个虚假的达标点。",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[57.657445390031654, 922.5191262405065]}</t>
        </is>
      </c>
    </row>
    <row r="175">
      <c r="A175" s="0" t="inlineStr">
        <is>
          <t>NYTimes-256</t>
        </is>
      </c>
      <c r="B175" s="0" t="inlineStr">
        <is>
          <t>O50</t>
        </is>
      </c>
      <c r="C175" s="0" t="n">
        <v>100</v>
      </c>
      <c r="D175" s="0" t="inlineStr">
        <is>
          <t>搜索校准</t>
        </is>
      </c>
      <c r="E175" s="0" t="inlineStr">
        <is>
          <t>recall</t>
        </is>
      </c>
      <c r="F175" s="0" t="inlineStr">
        <is>
          <t>P023</t>
        </is>
      </c>
      <c r="G175" s="0" t="inlineStr">
        <is>
          <t>{"sheet": "NYTimes-256", "cell": "O50", "value": 100.0, "estimated": false, "status": "搜索校准", "point_id": "P023", "metric": "recall", "previous_cell_value": 100, "note": "目标98%。未完成证明的召回率仅为既有20查询搜索校准；不保证新的证明结果恰好达到该值。",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76">
      <c r="A176" s="0" t="inlineStr">
        <is>
          <t>NYTimes-256</t>
        </is>
      </c>
      <c r="B176" s="0" t="inlineStr">
        <is>
          <t>O51</t>
        </is>
      </c>
      <c r="C176" s="0" t="n">
        <v>189161732.773779</v>
      </c>
      <c r="D176" s="0" t="inlineStr">
        <is>
          <t>预测</t>
        </is>
      </c>
      <c r="E176" s="0" t="inlineStr">
        <is>
          <t>query_ms</t>
        </is>
      </c>
      <c r="F176" s="0" t="inlineStr">
        <is>
          <t>P023</t>
        </is>
      </c>
      <c r="G176" s="0" t="inlineStr">
        <is>
          <t>{"sheet": "NYTimes-256", "cell": "O51", "value": 189161732.7737789, "estimated": true, "status": "预测", "point_id": "P023", "metric": "query_ms", "previous_cell_value": 182265525.798012, "note": "目标98%；没有达到目标的配置时不预测一个虚假的达标点。",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[47290433.19344472, 1513293862.190231]}</t>
        </is>
      </c>
    </row>
    <row r="177">
      <c r="A177" s="0" t="inlineStr">
        <is>
          <t>NYTimes-256</t>
        </is>
      </c>
      <c r="B177" s="0" t="inlineStr">
        <is>
          <t>P26</t>
        </is>
      </c>
      <c r="C177" s="0" t="n">
        <v>100</v>
      </c>
      <c r="D177" s="0" t="inlineStr">
        <is>
          <t>搜索校准</t>
        </is>
      </c>
      <c r="E177" s="0" t="inlineStr">
        <is>
          <t>recall</t>
        </is>
      </c>
      <c r="F177" s="0" t="inlineStr">
        <is>
          <t>P023</t>
        </is>
      </c>
      <c r="G177" s="0" t="inlineStr">
        <is>
          <t>{"sheet": "NYTimes-256", "cell": "P26", "value": 100.0, "estimated": false, "status": "搜索校准", "point_id": "P023", "metric": "recall", "previous_cell_value": 100, "note": "目标99%。未完成证明的召回率仅为既有20查询搜索校准；不保证新的证明结果恰好达到该值。",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78">
      <c r="A178" s="0" t="inlineStr">
        <is>
          <t>NYTimes-256</t>
        </is>
      </c>
      <c r="B178" s="0" t="inlineStr">
        <is>
          <t>P27</t>
        </is>
      </c>
      <c r="C178" s="0" t="n">
        <v>8657.07017333333</v>
      </c>
      <c r="D178" s="0" t="inlineStr">
        <is>
          <t>预测</t>
        </is>
      </c>
      <c r="E178" s="0" t="inlineStr">
        <is>
          <t>vo_kb</t>
        </is>
      </c>
      <c r="F178" s="0" t="inlineStr">
        <is>
          <t>P023</t>
        </is>
      </c>
      <c r="G178" s="0" t="inlineStr">
        <is>
          <t>{"sheet": "NYTimes-256", "cell": "P27", "value": 8657.070173333334, "estimated": true, "status": "预测", "point_id": "P023", "metric": "vo_kb", "previous_cell_value": 8657.07017333333, "note": "目标99%；没有达到目标的配置时不预测一个虚假的达标点。",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[8595.612630000001, 8728.887733333335]}</t>
        </is>
      </c>
    </row>
    <row r="179">
      <c r="A179" s="0" t="inlineStr">
        <is>
          <t>NYTimes-256</t>
        </is>
      </c>
      <c r="B179" s="0" t="inlineStr">
        <is>
          <t>P38</t>
        </is>
      </c>
      <c r="C179" s="0" t="n">
        <v>100</v>
      </c>
      <c r="D179" s="0" t="inlineStr">
        <is>
          <t>搜索校准</t>
        </is>
      </c>
      <c r="E179" s="0" t="inlineStr">
        <is>
          <t>recall</t>
        </is>
      </c>
      <c r="F179" s="0" t="inlineStr">
        <is>
          <t>P023</t>
        </is>
      </c>
      <c r="G179" s="0" t="inlineStr">
        <is>
          <t>{"sheet": "NYTimes-256", "cell": "P38", "value": 100.0, "estimated": false, "status": "搜索校准", "point_id": "P023", "metric": "recall", "previous_cell_value": 100, "note": "目标99%。未完成证明的召回率仅为既有20查询搜索校准；不保证新的证明结果恰好达到该值。",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80">
      <c r="A180" s="0" t="inlineStr">
        <is>
          <t>NYTimes-256</t>
        </is>
      </c>
      <c r="B180" s="0" t="inlineStr">
        <is>
          <t>P39</t>
        </is>
      </c>
      <c r="C180" s="0" t="n">
        <v>230.629781560127</v>
      </c>
      <c r="D180" s="0" t="inlineStr">
        <is>
          <t>预测</t>
        </is>
      </c>
      <c r="E180" s="0" t="inlineStr">
        <is>
          <t>verify_ms</t>
        </is>
      </c>
      <c r="F180" s="0" t="inlineStr">
        <is>
          <t>P023</t>
        </is>
      </c>
      <c r="G180" s="0" t="inlineStr">
        <is>
          <t>{"sheet": "NYTimes-256", "cell": "P39", "value": 230.62978156012662, "estimated": true, "status": "预测", "point_id": "P023", "metric": "verify_ms", "previous_cell_value": 239.324567415497, "note": "目标99%；没有达到目标的配置时不预测一个虚假的达标点。",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[57.657445390031654, 922.5191262405065]}</t>
        </is>
      </c>
    </row>
    <row r="181">
      <c r="A181" s="0" t="inlineStr">
        <is>
          <t>NYTimes-256</t>
        </is>
      </c>
      <c r="B181" s="0" t="inlineStr">
        <is>
          <t>P50</t>
        </is>
      </c>
      <c r="C181" s="0" t="n">
        <v>100</v>
      </c>
      <c r="D181" s="0" t="inlineStr">
        <is>
          <t>搜索校准</t>
        </is>
      </c>
      <c r="E181" s="0" t="inlineStr">
        <is>
          <t>recall</t>
        </is>
      </c>
      <c r="F181" s="0" t="inlineStr">
        <is>
          <t>P023</t>
        </is>
      </c>
      <c r="G181" s="0" t="inlineStr">
        <is>
          <t>{"sheet": "NYTimes-256", "cell": "P50", "value": 100.0, "estimated": false, "status": "搜索校准", "point_id": "P023", "metric": "recall", "previous_cell_value": 100, "note": "目标99%。未完成证明的召回率仅为既有20查询搜索校准；不保证新的证明结果恰好达到该值。",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82">
      <c r="A182" s="0" t="inlineStr">
        <is>
          <t>NYTimes-256</t>
        </is>
      </c>
      <c r="B182" s="0" t="inlineStr">
        <is>
          <t>P51</t>
        </is>
      </c>
      <c r="C182" s="0" t="n">
        <v>189161732.773779</v>
      </c>
      <c r="D182" s="0" t="inlineStr">
        <is>
          <t>预测</t>
        </is>
      </c>
      <c r="E182" s="0" t="inlineStr">
        <is>
          <t>query_ms</t>
        </is>
      </c>
      <c r="F182" s="0" t="inlineStr">
        <is>
          <t>P023</t>
        </is>
      </c>
      <c r="G182" s="0" t="inlineStr">
        <is>
          <t>{"sheet": "NYTimes-256", "cell": "P51", "value": 189161732.7737789, "estimated": true, "status": "预测", "point_id": "P023", "metric": "query_ms", "previous_cell_value": 182265525.798012, "note": "目标99%；没有达到目标的配置时不预测一个虚假的达标点。",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[47290433.19344472, 1513293862.190231]}</t>
        </is>
      </c>
    </row>
    <row r="183">
      <c r="A183" s="0" t="inlineStr">
        <is>
          <t>NYTimes-256</t>
        </is>
      </c>
      <c r="B183" s="0" t="inlineStr">
        <is>
          <t>F97</t>
        </is>
      </c>
      <c r="C183" s="0" t="n">
        <v>4454.40616</v>
      </c>
      <c r="D183" s="0" t="inlineStr">
        <is>
          <t>预测</t>
        </is>
      </c>
      <c r="E183" s="0" t="inlineStr">
        <is>
          <t>vo_kb</t>
        </is>
      </c>
      <c r="F183" s="0" t="inlineStr">
        <is>
          <t>P024</t>
        </is>
      </c>
      <c r="G183" s="0" t="inlineStr">
        <is>
          <t>{"sheet": "NYTimes-256", "cell": "F97", "value": 4454.40616, "estimated": true, "status": "预测", "point_id": "P024", "metric": "vo_kb", "previous_cell_value": 4454.40616,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[4395.02062, 4524.151716666667]}</t>
        </is>
      </c>
    </row>
    <row r="184">
      <c r="A184" s="0" t="inlineStr">
        <is>
          <t>NYTimes-256</t>
        </is>
      </c>
      <c r="B184" s="0" t="inlineStr">
        <is>
          <t>F108</t>
        </is>
      </c>
      <c r="C184" s="0" t="n">
        <v>133.613530402223</v>
      </c>
      <c r="D184" s="0" t="inlineStr">
        <is>
          <t>预测</t>
        </is>
      </c>
      <c r="E184" s="0" t="inlineStr">
        <is>
          <t>verify_ms</t>
        </is>
      </c>
      <c r="F184" s="0" t="inlineStr">
        <is>
          <t>P024</t>
        </is>
      </c>
      <c r="G184" s="0" t="inlineStr">
        <is>
          <t>{"sheet": "NYTimes-256", "cell": "F108", "value": 133.6135304022228, "estimated": true, "status": "预测", "point_id": "P024", "metric": "verify_ms", "previous_cell_value": 137.932986456187,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[33.4033826005557, 534.4541216088912]}</t>
        </is>
      </c>
    </row>
    <row r="185">
      <c r="A185" s="0" t="inlineStr">
        <is>
          <t>NYTimes-256</t>
        </is>
      </c>
      <c r="B185" s="0" t="inlineStr">
        <is>
          <t>F118</t>
        </is>
      </c>
      <c r="C185" s="0" t="n">
        <v>91202978.3016434</v>
      </c>
      <c r="D185" s="0" t="inlineStr">
        <is>
          <t>预测</t>
        </is>
      </c>
      <c r="E185" s="0" t="inlineStr">
        <is>
          <t>query_ms</t>
        </is>
      </c>
      <c r="F185" s="0" t="inlineStr">
        <is>
          <t>P024</t>
        </is>
      </c>
      <c r="G185" s="0" t="inlineStr">
        <is>
          <t>{"sheet": "NYTimes-256", "cell": "F118", "value": 91202978.30164337, "estimated": true, "status": "预测", "point_id": "P024", "metric": "query_ms", "previous_cell_value": 87878021.3668986,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[22800744.575410843, 729623826.413147]}</t>
        </is>
      </c>
    </row>
    <row r="186">
      <c r="A186" s="0" t="inlineStr">
        <is>
          <t>NYTimes-256</t>
        </is>
      </c>
      <c r="B186" s="0" t="inlineStr">
        <is>
          <t>G97</t>
        </is>
      </c>
      <c r="C186" s="0" t="n">
        <v>4454.43816</v>
      </c>
      <c r="D186" s="0" t="inlineStr">
        <is>
          <t>预测</t>
        </is>
      </c>
      <c r="E186" s="0" t="inlineStr">
        <is>
          <t>vo_kb</t>
        </is>
      </c>
      <c r="F186" s="0" t="inlineStr">
        <is>
          <t>P025</t>
        </is>
      </c>
      <c r="G186" s="0" t="inlineStr">
        <is>
          <t>{"sheet": "NYTimes-256", "cell": "G97", "value": 4454.43816, "estimated": true, "status": "预测", "point_id": "P025", "metric": "vo_kb", "previous_cell_value": 4454.43816,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[4395.05262, 4524.183716666666]}</t>
        </is>
      </c>
    </row>
    <row r="187">
      <c r="A187" s="0" t="inlineStr">
        <is>
          <t>NYTimes-256</t>
        </is>
      </c>
      <c r="B187" s="0" t="inlineStr">
        <is>
          <t>G108</t>
        </is>
      </c>
      <c r="C187" s="0" t="n">
        <v>133.614259976361</v>
      </c>
      <c r="D187" s="0" t="inlineStr">
        <is>
          <t>预测</t>
        </is>
      </c>
      <c r="E187" s="0" t="inlineStr">
        <is>
          <t>verify_ms</t>
        </is>
      </c>
      <c r="F187" s="0" t="inlineStr">
        <is>
          <t>P025</t>
        </is>
      </c>
      <c r="G187" s="0" t="inlineStr">
        <is>
          <t>{"sheet": "NYTimes-256", "cell": "G108", "value": 133.61425997636144, "estimated": true, "status": "预测", "point_id": "P025", "metric": "verify_ms", "previous_cell_value": 137.933749434153,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[33.40356499409036, 534.4570399054458]}</t>
        </is>
      </c>
    </row>
    <row r="188">
      <c r="A188" s="0" t="inlineStr">
        <is>
          <t>NYTimes-256</t>
        </is>
      </c>
      <c r="B188" s="0" t="inlineStr">
        <is>
          <t>G118</t>
        </is>
      </c>
      <c r="C188" s="0" t="n">
        <v>91202978.3016434</v>
      </c>
      <c r="D188" s="0" t="inlineStr">
        <is>
          <t>预测</t>
        </is>
      </c>
      <c r="E188" s="0" t="inlineStr">
        <is>
          <t>query_ms</t>
        </is>
      </c>
      <c r="F188" s="0" t="inlineStr">
        <is>
          <t>P025</t>
        </is>
      </c>
      <c r="G188" s="0" t="inlineStr">
        <is>
          <t>{"sheet": "NYTimes-256", "cell": "G118", "value": 91202978.30164337, "estimated": true, "status": "预测", "point_id": "P025", "metric": "query_ms", "previous_cell_value": 87878021.3668986,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[22800744.575410843, 729623826.413147]}</t>
        </is>
      </c>
    </row>
    <row r="189">
      <c r="A189" s="0" t="inlineStr">
        <is>
          <t>NYTimes-256</t>
        </is>
      </c>
      <c r="B189" s="0" t="inlineStr">
        <is>
          <t>H97</t>
        </is>
      </c>
      <c r="C189" s="0" t="n">
        <v>4454.47816</v>
      </c>
      <c r="D189" s="0" t="inlineStr">
        <is>
          <t>预测</t>
        </is>
      </c>
      <c r="E189" s="0" t="inlineStr">
        <is>
          <t>vo_kb</t>
        </is>
      </c>
      <c r="F189" s="0" t="inlineStr">
        <is>
          <t>P017</t>
        </is>
      </c>
      <c r="G189" s="0" t="inlineStr">
        <is>
          <t>{"sheet": "NYTimes-256", "cell": "H97", "value": 4454.478160000001, "estimated": true, "status": "预测", "point_id": "P017", "metric": "vo_kb", "previous_cell_value": 4454.47816,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[4395.09262, 4524.223716666666]}</t>
        </is>
      </c>
    </row>
    <row r="190">
      <c r="A190" s="0" t="inlineStr">
        <is>
          <t>NYTimes-256</t>
        </is>
      </c>
      <c r="B190" s="0" t="inlineStr">
        <is>
          <t>H108</t>
        </is>
      </c>
      <c r="C190" s="0" t="n">
        <v>133.615171944035</v>
      </c>
      <c r="D190" s="0" t="inlineStr">
        <is>
          <t>预测</t>
        </is>
      </c>
      <c r="E190" s="0" t="inlineStr">
        <is>
          <t>verify_ms</t>
        </is>
      </c>
      <c r="F190" s="0" t="inlineStr">
        <is>
          <t>P017</t>
        </is>
      </c>
      <c r="G190" s="0" t="inlineStr">
        <is>
          <t>{"sheet": "NYTimes-256", "cell": "H108", "value": 133.61517194403473, "estimated": true, "status": "预测", "point_id": "P017", "metric": "verify_ms", "previous_cell_value": 137.934703156611,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[33.40379298600868, 534.4606877761389]}</t>
        </is>
      </c>
    </row>
    <row r="191">
      <c r="A191" s="0" t="inlineStr">
        <is>
          <t>NYTimes-256</t>
        </is>
      </c>
      <c r="B191" s="0" t="inlineStr">
        <is>
          <t>H118</t>
        </is>
      </c>
      <c r="C191" s="0" t="n">
        <v>91202978.3016434</v>
      </c>
      <c r="D191" s="0" t="inlineStr">
        <is>
          <t>预测</t>
        </is>
      </c>
      <c r="E191" s="0" t="inlineStr">
        <is>
          <t>query_ms</t>
        </is>
      </c>
      <c r="F191" s="0" t="inlineStr">
        <is>
          <t>P017</t>
        </is>
      </c>
      <c r="G191" s="0" t="inlineStr">
        <is>
          <t>{"sheet": "NYTimes-256", "cell": "H118", "value": 91202978.30164337, "estimated": true, "status": "预测", "point_id": "P017", "metric": "query_ms", "previous_cell_value": 87878021.3668986,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[22800744.575410843, 729623826.413147]}</t>
        </is>
      </c>
    </row>
    <row r="192">
      <c r="A192" s="0" t="inlineStr">
        <is>
          <t>NYTimes-256</t>
        </is>
      </c>
      <c r="B192" s="0" t="inlineStr">
        <is>
          <t>I97</t>
        </is>
      </c>
      <c r="C192" s="0" t="n">
        <v>4454.55816</v>
      </c>
      <c r="D192" s="0" t="inlineStr">
        <is>
          <t>预测</t>
        </is>
      </c>
      <c r="E192" s="0" t="inlineStr">
        <is>
          <t>vo_kb</t>
        </is>
      </c>
      <c r="F192" s="0" t="inlineStr">
        <is>
          <t>P026</t>
        </is>
      </c>
      <c r="G192" s="0" t="inlineStr">
        <is>
          <t>{"sheet": "NYTimes-256", "cell": "I97", "value": 4454.5581600000005, "estimated": true, "status": "预测", "point_id": "P026", "metric": "vo_kb", "previous_cell_value": 4454.55816,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[4395.17262, 4524.303716666667]}</t>
        </is>
      </c>
    </row>
    <row r="193">
      <c r="A193" s="0" t="inlineStr">
        <is>
          <t>NYTimes-256</t>
        </is>
      </c>
      <c r="B193" s="0" t="inlineStr">
        <is>
          <t>I108</t>
        </is>
      </c>
      <c r="C193" s="0" t="n">
        <v>133.616995879381</v>
      </c>
      <c r="D193" s="0" t="inlineStr">
        <is>
          <t>预测</t>
        </is>
      </c>
      <c r="E193" s="0" t="inlineStr">
        <is>
          <t>verify_ms</t>
        </is>
      </c>
      <c r="F193" s="0" t="inlineStr">
        <is>
          <t>P026</t>
        </is>
      </c>
      <c r="G193" s="0" t="inlineStr">
        <is>
          <t>{"sheet": "NYTimes-256", "cell": "I108", "value": 133.61699587938136, "estimated": true, "status": "预测", "point_id": "P026", "metric": "verify_ms", "previous_cell_value": 137.936610601526,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[33.40424896984534, 534.4679835175255]}</t>
        </is>
      </c>
    </row>
    <row r="194">
      <c r="A194" s="0" t="inlineStr">
        <is>
          <t>NYTimes-256</t>
        </is>
      </c>
      <c r="B194" s="0" t="inlineStr">
        <is>
          <t>I118</t>
        </is>
      </c>
      <c r="C194" s="0" t="n">
        <v>91202978.3016434</v>
      </c>
      <c r="D194" s="0" t="inlineStr">
        <is>
          <t>预测</t>
        </is>
      </c>
      <c r="E194" s="0" t="inlineStr">
        <is>
          <t>query_ms</t>
        </is>
      </c>
      <c r="F194" s="0" t="inlineStr">
        <is>
          <t>P026</t>
        </is>
      </c>
      <c r="G194" s="0" t="inlineStr">
        <is>
          <t>{"sheet": "NYTimes-256", "cell": "I118", "value": 91202978.30164337, "estimated": true, "status": "预测", "point_id": "P026", "metric": "query_ms", "previous_cell_value": 87878021.3668986,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[22800744.575410843, 729623826.413147]}</t>
        </is>
      </c>
    </row>
    <row r="195">
      <c r="A195" s="0" t="inlineStr">
        <is>
          <t>NYTimes-256</t>
        </is>
      </c>
      <c r="B195" s="0" t="inlineStr">
        <is>
          <t>J97</t>
        </is>
      </c>
      <c r="C195" s="0" t="n">
        <v>4454.79816</v>
      </c>
      <c r="D195" s="0" t="inlineStr">
        <is>
          <t>预测</t>
        </is>
      </c>
      <c r="E195" s="0" t="inlineStr">
        <is>
          <t>vo_kb</t>
        </is>
      </c>
      <c r="F195" s="0" t="inlineStr">
        <is>
          <t>P027</t>
        </is>
      </c>
      <c r="G195" s="0" t="inlineStr">
        <is>
          <t>{"sheet": "NYTimes-256", "cell": "J97", "value": 4454.79816, "estimated": true, "status": "预测", "point_id": "P027", "metric": "vo_kb", "previous_cell_value": 4454.79816,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[4395.41262, 4524.543716666667]}</t>
        </is>
      </c>
    </row>
    <row r="196">
      <c r="A196" s="0" t="inlineStr">
        <is>
          <t>NYTimes-256</t>
        </is>
      </c>
      <c r="B196" s="0" t="inlineStr">
        <is>
          <t>J108</t>
        </is>
      </c>
      <c r="C196" s="0" t="n">
        <v>133.622467685421</v>
      </c>
      <c r="D196" s="0" t="inlineStr">
        <is>
          <t>预测</t>
        </is>
      </c>
      <c r="E196" s="0" t="inlineStr">
        <is>
          <t>verify_ms</t>
        </is>
      </c>
      <c r="F196" s="0" t="inlineStr">
        <is>
          <t>P027</t>
        </is>
      </c>
      <c r="G196" s="0" t="inlineStr">
        <is>
          <t>{"sheet": "NYTimes-256", "cell": "J108", "value": 133.62246768542116, "estimated": true, "status": "预测", "point_id": "P027", "metric": "verify_ms", "previous_cell_value": 137.942332936274,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[33.40561692135529, 534.4898707416846]}</t>
        </is>
      </c>
    </row>
    <row r="197">
      <c r="A197" s="0" t="inlineStr">
        <is>
          <t>NYTimes-256</t>
        </is>
      </c>
      <c r="B197" s="0" t="inlineStr">
        <is>
          <t>J118</t>
        </is>
      </c>
      <c r="C197" s="0" t="n">
        <v>91202978.3016434</v>
      </c>
      <c r="D197" s="0" t="inlineStr">
        <is>
          <t>预测</t>
        </is>
      </c>
      <c r="E197" s="0" t="inlineStr">
        <is>
          <t>query_ms</t>
        </is>
      </c>
      <c r="F197" s="0" t="inlineStr">
        <is>
          <t>P027</t>
        </is>
      </c>
      <c r="G197" s="0" t="inlineStr">
        <is>
          <t>{"sheet": "NYTimes-256", "cell": "J118", "value": 91202978.30164337, "estimated": true, "status": "预测", "point_id": "P027", "metric": "query_ms", "previous_cell_value": 87878021.3668986,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[22800744.575410843, 729623826.413147]}</t>
        </is>
      </c>
    </row>
    <row r="198">
      <c r="A198" s="0" t="inlineStr">
        <is>
          <t>NYTimes-256</t>
        </is>
      </c>
      <c r="B198" s="0" t="inlineStr">
        <is>
          <t>K97</t>
        </is>
      </c>
      <c r="C198" s="0" t="n">
        <v>4455.19816</v>
      </c>
      <c r="D198" s="0" t="inlineStr">
        <is>
          <t>预测</t>
        </is>
      </c>
      <c r="E198" s="0" t="inlineStr">
        <is>
          <t>vo_kb</t>
        </is>
      </c>
      <c r="F198" s="0" t="inlineStr">
        <is>
          <t>P028</t>
        </is>
      </c>
      <c r="G198" s="0" t="inlineStr">
        <is>
          <t>{"sheet": "NYTimes-256", "cell": "K97", "value": 4455.19816, "estimated": true, "status": "预测", "point_id": "P028", "metric": "vo_kb", "previous_cell_value": 4455.19816,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[4395.81262, 4524.943716666667]}</t>
        </is>
      </c>
    </row>
    <row r="199">
      <c r="A199" s="0" t="inlineStr">
        <is>
          <t>NYTimes-256</t>
        </is>
      </c>
      <c r="B199" s="0" t="inlineStr">
        <is>
          <t>K108</t>
        </is>
      </c>
      <c r="C199" s="0" t="n">
        <v>133.631587362154</v>
      </c>
      <c r="D199" s="0" t="inlineStr">
        <is>
          <t>预测</t>
        </is>
      </c>
      <c r="E199" s="0" t="inlineStr">
        <is>
          <t>verify_ms</t>
        </is>
      </c>
      <c r="F199" s="0" t="inlineStr">
        <is>
          <t>P028</t>
        </is>
      </c>
      <c r="G199" s="0" t="inlineStr">
        <is>
          <t>{"sheet": "NYTimes-256", "cell": "K108", "value": 133.63158736215416, "estimated": true, "status": "预测", "point_id": "P028", "metric": "verify_ms", "previous_cell_value": 137.951870160853,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[33.40789684053854, 534.5263494486167]}</t>
        </is>
      </c>
    </row>
    <row r="200">
      <c r="A200" s="0" t="inlineStr">
        <is>
          <t>NYTimes-256</t>
        </is>
      </c>
      <c r="B200" s="0" t="inlineStr">
        <is>
          <t>K118</t>
        </is>
      </c>
      <c r="C200" s="0" t="n">
        <v>91202978.3016434</v>
      </c>
      <c r="D200" s="0" t="inlineStr">
        <is>
          <t>预测</t>
        </is>
      </c>
      <c r="E200" s="0" t="inlineStr">
        <is>
          <t>query_ms</t>
        </is>
      </c>
      <c r="F200" s="0" t="inlineStr">
        <is>
          <t>P028</t>
        </is>
      </c>
      <c r="G200" s="0" t="inlineStr">
        <is>
          <t>{"sheet": "NYTimes-256", "cell": "K118", "value": 91202978.30164337, "estimated": true, "status": "预测", "point_id": "P028", "metric": "query_ms", "previous_cell_value": 87878021.3668986,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[22800744.575410843, 729623826.413147]}</t>
        </is>
      </c>
    </row>
    <row r="201">
      <c r="A201" s="0" t="inlineStr">
        <is>
          <t>NYTimes-256</t>
        </is>
      </c>
      <c r="B201" s="0" t="inlineStr">
        <is>
          <t>F64</t>
        </is>
      </c>
      <c r="C201" s="0" t="n">
        <v>2336.75014666667</v>
      </c>
      <c r="D201" s="0" t="inlineStr">
        <is>
          <t>预测</t>
        </is>
      </c>
      <c r="E201" s="0" t="inlineStr">
        <is>
          <t>vo_kb</t>
        </is>
      </c>
      <c r="F201" s="0" t="inlineStr">
        <is>
          <t>P029</t>
        </is>
      </c>
      <c r="G201" s="0" t="inlineStr">
        <is>
          <t>{"sheet": "NYTimes-256", "cell": "F64", "value": 2336.7501466666663, "estimated": true, "status": "预测", "point_id": "P029", "metric": "vo_kb", "previous_cell_value": 2336.75014666667, "note": "该规模已有IVF-PQ搜索校准；证明成本仍按实测或预测状态区分。",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[2279.4366099999997, 2404.4237000000003]}</t>
        </is>
      </c>
    </row>
    <row r="202">
      <c r="A202" s="0" t="inlineStr">
        <is>
          <t>NYTimes-256</t>
        </is>
      </c>
      <c r="B202" s="0" t="inlineStr">
        <is>
          <t>F75</t>
        </is>
      </c>
      <c r="C202" s="0" t="n">
        <v>84.13377660870459</v>
      </c>
      <c r="D202" s="0" t="inlineStr">
        <is>
          <t>预测</t>
        </is>
      </c>
      <c r="E202" s="0" t="inlineStr">
        <is>
          <t>verify_ms</t>
        </is>
      </c>
      <c r="F202" s="0" t="inlineStr">
        <is>
          <t>P029</t>
        </is>
      </c>
      <c r="G202" s="0" t="inlineStr">
        <is>
          <t>{"sheet": "NYTimes-256", "cell": "F75", "value": 84.13377660870458, "estimated": true, "status": "预测", "point_id": "P029", "metric": "verify_ms", "previous_cell_value": 86.2543793586616, "note": "该规模已有IVF-PQ搜索校准；证明成本仍按实测或预测状态区分。",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[21.033444152176145, 336.5351064348183]}</t>
        </is>
      </c>
    </row>
    <row r="203">
      <c r="A203" s="0" t="inlineStr">
        <is>
          <t>NYTimes-256</t>
        </is>
      </c>
      <c r="B203" s="0" t="inlineStr">
        <is>
          <t>F85</t>
        </is>
      </c>
      <c r="C203" s="0" t="n">
        <v>43912545.1081987</v>
      </c>
      <c r="D203" s="0" t="inlineStr">
        <is>
          <t>预测</t>
        </is>
      </c>
      <c r="E203" s="0" t="inlineStr">
        <is>
          <t>query_ms</t>
        </is>
      </c>
      <c r="F203" s="0" t="inlineStr">
        <is>
          <t>P029</t>
        </is>
      </c>
      <c r="G203" s="0" t="inlineStr">
        <is>
          <t>{"sheet": "NYTimes-256", "cell": "F85", "value": 43912545.10819866, "estimated": true, "status": "预测", "point_id": "P029", "metric": "query_ms", "previous_cell_value": 42311639.9173956, "note": "该规模已有IVF-PQ搜索校准；证明成本仍按实测或预测状态区分。",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[10978136.277049664, 351300360.86558926]}</t>
        </is>
      </c>
    </row>
    <row r="204">
      <c r="A204" s="0" t="inlineStr">
        <is>
          <t>NYTimes-256</t>
        </is>
      </c>
      <c r="B204" s="0" t="inlineStr">
        <is>
          <t>G64</t>
        </is>
      </c>
      <c r="C204" s="0" t="inlineStr">
        <is>
          <t>不适用</t>
        </is>
      </c>
      <c r="D204" s="0" t="inlineStr">
        <is>
          <t>不适用/目标未达</t>
        </is>
      </c>
      <c r="E204" s="0" t="inlineStr">
        <is>
          <t>vo_kb</t>
        </is>
      </c>
      <c r="G204" s="0" t="inlineStr">
        <is>
          <t>{"sheet": "NYTimes-256", "cell": "G64", "value": "不适用", "estimated": false, "status": "不适用/目标未达", "point_id": null, "metric": "vo_kb",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05">
      <c r="A205" s="0" t="inlineStr">
        <is>
          <t>NYTimes-256</t>
        </is>
      </c>
      <c r="B205" s="0" t="inlineStr">
        <is>
          <t>G75</t>
        </is>
      </c>
      <c r="C205" s="0" t="inlineStr">
        <is>
          <t>不适用</t>
        </is>
      </c>
      <c r="D205" s="0" t="inlineStr">
        <is>
          <t>不适用/目标未达</t>
        </is>
      </c>
      <c r="E205" s="0" t="inlineStr">
        <is>
          <t>verify_ms</t>
        </is>
      </c>
      <c r="G205" s="0" t="inlineStr">
        <is>
          <t>{"sheet": "NYTimes-256", "cell": "G75", "value": "不适用", "estimated": false, "status": "不适用/目标未达", "point_id": null, "metric": "verify_ms",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06">
      <c r="A206" s="0" t="inlineStr">
        <is>
          <t>NYTimes-256</t>
        </is>
      </c>
      <c r="B206" s="0" t="inlineStr">
        <is>
          <t>G85</t>
        </is>
      </c>
      <c r="C206" s="0" t="inlineStr">
        <is>
          <t>不适用</t>
        </is>
      </c>
      <c r="D206" s="0" t="inlineStr">
        <is>
          <t>不适用/目标未达</t>
        </is>
      </c>
      <c r="E206" s="0" t="inlineStr">
        <is>
          <t>query_ms</t>
        </is>
      </c>
      <c r="G206" s="0" t="inlineStr">
        <is>
          <t>{"sheet": "NYTimes-256", "cell": "G85", "value": "不适用", "estimated": false, "status": "不适用/目标未达", "point_id": null, "metric": "query_ms",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07">
      <c r="A207" s="0" t="inlineStr">
        <is>
          <t>NYTimes-256</t>
        </is>
      </c>
      <c r="B207" s="0" t="inlineStr">
        <is>
          <t>H64</t>
        </is>
      </c>
      <c r="C207" s="0" t="inlineStr">
        <is>
          <t>不适用</t>
        </is>
      </c>
      <c r="D207" s="0" t="inlineStr">
        <is>
          <t>不适用/目标未达</t>
        </is>
      </c>
      <c r="E207" s="0" t="inlineStr">
        <is>
          <t>vo_kb</t>
        </is>
      </c>
      <c r="G207" s="0" t="inlineStr">
        <is>
          <t>{"sheet": "NYTimes-256", "cell": "H64", "value": "不适用", "estimated": false, "status": "不适用/目标未达", "point_id": null, "metric": "vo_kb",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08">
      <c r="A208" s="0" t="inlineStr">
        <is>
          <t>NYTimes-256</t>
        </is>
      </c>
      <c r="B208" s="0" t="inlineStr">
        <is>
          <t>H75</t>
        </is>
      </c>
      <c r="C208" s="0" t="inlineStr">
        <is>
          <t>不适用</t>
        </is>
      </c>
      <c r="D208" s="0" t="inlineStr">
        <is>
          <t>不适用/目标未达</t>
        </is>
      </c>
      <c r="E208" s="0" t="inlineStr">
        <is>
          <t>verify_ms</t>
        </is>
      </c>
      <c r="G208" s="0" t="inlineStr">
        <is>
          <t>{"sheet": "NYTimes-256", "cell": "H75", "value": "不适用", "estimated": false, "status": "不适用/目标未达", "point_id": null, "metric": "verify_ms",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09">
      <c r="A209" s="0" t="inlineStr">
        <is>
          <t>NYTimes-256</t>
        </is>
      </c>
      <c r="B209" s="0" t="inlineStr">
        <is>
          <t>H85</t>
        </is>
      </c>
      <c r="C209" s="0" t="inlineStr">
        <is>
          <t>不适用</t>
        </is>
      </c>
      <c r="D209" s="0" t="inlineStr">
        <is>
          <t>不适用/目标未达</t>
        </is>
      </c>
      <c r="E209" s="0" t="inlineStr">
        <is>
          <t>query_ms</t>
        </is>
      </c>
      <c r="G209" s="0" t="inlineStr">
        <is>
          <t>{"sheet": "NYTimes-256", "cell": "H85", "value": "不适用", "estimated": false, "status": "不适用/目标未达", "point_id": null, "metric": "query_ms",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10">
      <c r="A210" s="0" t="inlineStr">
        <is>
          <t>NYTimes-256</t>
        </is>
      </c>
      <c r="B210" s="0" t="inlineStr">
        <is>
          <t>I64</t>
        </is>
      </c>
      <c r="C210" s="0" t="inlineStr">
        <is>
          <t>不适用</t>
        </is>
      </c>
      <c r="D210" s="0" t="inlineStr">
        <is>
          <t>不适用/目标未达</t>
        </is>
      </c>
      <c r="E210" s="0" t="inlineStr">
        <is>
          <t>vo_kb</t>
        </is>
      </c>
      <c r="G210" s="0" t="inlineStr">
        <is>
          <t>{"sheet": "NYTimes-256", "cell": "I64", "value": "不适用", "estimated": false, "status": "不适用/目标未达", "point_id": null, "metric": "vo_kb",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11">
      <c r="A211" s="0" t="inlineStr">
        <is>
          <t>NYTimes-256</t>
        </is>
      </c>
      <c r="B211" s="0" t="inlineStr">
        <is>
          <t>I75</t>
        </is>
      </c>
      <c r="C211" s="0" t="inlineStr">
        <is>
          <t>不适用</t>
        </is>
      </c>
      <c r="D211" s="0" t="inlineStr">
        <is>
          <t>不适用/目标未达</t>
        </is>
      </c>
      <c r="E211" s="0" t="inlineStr">
        <is>
          <t>verify_ms</t>
        </is>
      </c>
      <c r="G211" s="0" t="inlineStr">
        <is>
          <t>{"sheet": "NYTimes-256", "cell": "I75", "value": "不适用", "estimated": false, "status": "不适用/目标未达", "point_id": null, "metric": "verify_ms",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12">
      <c r="A212" s="0" t="inlineStr">
        <is>
          <t>NYTimes-256</t>
        </is>
      </c>
      <c r="B212" s="0" t="inlineStr">
        <is>
          <t>I85</t>
        </is>
      </c>
      <c r="C212" s="0" t="inlineStr">
        <is>
          <t>不适用</t>
        </is>
      </c>
      <c r="D212" s="0" t="inlineStr">
        <is>
          <t>不适用/目标未达</t>
        </is>
      </c>
      <c r="E212" s="0" t="inlineStr">
        <is>
          <t>query_ms</t>
        </is>
      </c>
      <c r="G212" s="0" t="inlineStr">
        <is>
          <t>{"sheet": "NYTimes-256", "cell": "I85", "value": "不适用", "estimated": false, "status": "不适用/目标未达", "point_id": null, "metric": "query_ms",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13">
      <c r="A213" s="0" t="inlineStr">
        <is>
          <t>NYTimes-256</t>
        </is>
      </c>
      <c r="B213" s="0" t="inlineStr">
        <is>
          <t>J64</t>
        </is>
      </c>
      <c r="C213" s="0" t="inlineStr">
        <is>
          <t>不适用</t>
        </is>
      </c>
      <c r="D213" s="0" t="inlineStr">
        <is>
          <t>不适用/目标未达</t>
        </is>
      </c>
      <c r="E213" s="0" t="inlineStr">
        <is>
          <t>vo_kb</t>
        </is>
      </c>
      <c r="G213" s="0" t="inlineStr">
        <is>
          <t>{"sheet": "NYTimes-256", "cell": "J64", "value": "不适用", "estimated": false, "status": "不适用/目标未达", "point_id": null, "metric": "vo_kb",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14">
      <c r="A214" s="0" t="inlineStr">
        <is>
          <t>NYTimes-256</t>
        </is>
      </c>
      <c r="B214" s="0" t="inlineStr">
        <is>
          <t>J75</t>
        </is>
      </c>
      <c r="C214" s="0" t="inlineStr">
        <is>
          <t>不适用</t>
        </is>
      </c>
      <c r="D214" s="0" t="inlineStr">
        <is>
          <t>不适用/目标未达</t>
        </is>
      </c>
      <c r="E214" s="0" t="inlineStr">
        <is>
          <t>verify_ms</t>
        </is>
      </c>
      <c r="G214" s="0" t="inlineStr">
        <is>
          <t>{"sheet": "NYTimes-256", "cell": "J75", "value": "不适用", "estimated": false, "status": "不适用/目标未达", "point_id": null, "metric": "verify_ms",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15">
      <c r="A215" s="0" t="inlineStr">
        <is>
          <t>NYTimes-256</t>
        </is>
      </c>
      <c r="B215" s="0" t="inlineStr">
        <is>
          <t>J85</t>
        </is>
      </c>
      <c r="C215" s="0" t="inlineStr">
        <is>
          <t>不适用</t>
        </is>
      </c>
      <c r="D215" s="0" t="inlineStr">
        <is>
          <t>不适用/目标未达</t>
        </is>
      </c>
      <c r="E215" s="0" t="inlineStr">
        <is>
          <t>query_ms</t>
        </is>
      </c>
      <c r="G215" s="0" t="inlineStr">
        <is>
          <t>{"sheet": "NYTimes-256", "cell": "J85", "value": "不适用", "estimated": false, "status": "不适用/目标未达", "point_id": null, "metric": "query_ms",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16">
      <c r="A216" s="0" t="inlineStr">
        <is>
          <t>GloVe-100</t>
        </is>
      </c>
      <c r="B216" s="0" t="inlineStr">
        <is>
          <t>E12</t>
        </is>
      </c>
      <c r="C216" s="0" t="n">
        <v>96.5</v>
      </c>
      <c r="D216" s="0" t="inlineStr">
        <is>
          <t>搜索校准</t>
        </is>
      </c>
      <c r="E216" s="0" t="inlineStr">
        <is>
          <t>recall</t>
        </is>
      </c>
      <c r="F216" s="0" t="inlineStr">
        <is>
          <t>P030</t>
        </is>
      </c>
      <c r="G216" s="0" t="inlineStr">
        <is>
          <t>{"sheet": "GloVe-100", "cell": "E12", "value": 96.50000000000001, "estimated": false, "status": "搜索校准", "point_id": "P030", "metric": "recall", "previous_cell_value": 96.5,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17">
      <c r="A217" s="0" t="inlineStr">
        <is>
          <t>GloVe-100</t>
        </is>
      </c>
      <c r="B217" s="0" t="inlineStr">
        <is>
          <t>F12</t>
        </is>
      </c>
      <c r="C217" s="0" t="n">
        <v>89902603.2294644</v>
      </c>
      <c r="D217" s="0" t="inlineStr">
        <is>
          <t>预测</t>
        </is>
      </c>
      <c r="E217" s="0" t="inlineStr">
        <is>
          <t>query_ms</t>
        </is>
      </c>
      <c r="F217" s="0" t="inlineStr">
        <is>
          <t>P030</t>
        </is>
      </c>
      <c r="G217" s="0" t="inlineStr">
        <is>
          <t>{"sheet": "GloVe-100", "cell": "F12", "value": 89902603.22946438, "estimated": true, "status": "预测", "point_id": "P030", "metric": "query_ms", "previous_cell_value": 86583889.1752442,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[22475650.807366095, 719220825.835715]}</t>
        </is>
      </c>
    </row>
    <row r="218">
      <c r="A218" s="0" t="inlineStr">
        <is>
          <t>GloVe-100</t>
        </is>
      </c>
      <c r="B218" s="0" t="inlineStr">
        <is>
          <t>G12</t>
        </is>
      </c>
      <c r="C218" s="0" t="n">
        <v>8668.014160000001</v>
      </c>
      <c r="D218" s="0" t="inlineStr">
        <is>
          <t>预测</t>
        </is>
      </c>
      <c r="E218" s="0" t="inlineStr">
        <is>
          <t>vo_kb</t>
        </is>
      </c>
      <c r="F218" s="0" t="inlineStr">
        <is>
          <t>P030</t>
        </is>
      </c>
      <c r="G218" s="0" t="inlineStr">
        <is>
          <t>{"sheet": "GloVe-100", "cell": "G12", "value": 8668.01416, "estimated": true, "status": "预测", "point_id": "P030", "metric": "vo_kb", "previous_cell_value": 8668.01416,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[8608.62862, 8737.759716666667]}</t>
        </is>
      </c>
    </row>
    <row r="219">
      <c r="A219" s="0" t="inlineStr">
        <is>
          <t>GloVe-100</t>
        </is>
      </c>
      <c r="B219" s="0" t="inlineStr">
        <is>
          <t>H12</t>
        </is>
      </c>
      <c r="C219" s="0" t="n">
        <v>229.680387501358</v>
      </c>
      <c r="D219" s="0" t="inlineStr">
        <is>
          <t>预测</t>
        </is>
      </c>
      <c r="E219" s="0" t="inlineStr">
        <is>
          <t>verify_ms</t>
        </is>
      </c>
      <c r="F219" s="0" t="inlineStr">
        <is>
          <t>P030</t>
        </is>
      </c>
      <c r="G219" s="0" t="inlineStr">
        <is>
          <t>{"sheet": "GloVe-100", "cell": "H12", "value": 229.6803875013582, "estimated": true, "status": "预测", "point_id": "P030", "metric": "verify_ms", "previous_cell_value": 238.398300914362,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[57.42009687533955, 918.7215500054328]}</t>
        </is>
      </c>
    </row>
    <row r="220">
      <c r="A220" s="0" t="inlineStr">
        <is>
          <t>GloVe-100</t>
        </is>
      </c>
      <c r="B220" s="0" t="inlineStr">
        <is>
          <t>F134</t>
        </is>
      </c>
      <c r="C220" s="0" t="n">
        <v>0.965</v>
      </c>
      <c r="D220" s="0" t="inlineStr">
        <is>
          <t>搜索校准</t>
        </is>
      </c>
      <c r="E220" s="0" t="inlineStr">
        <is>
          <t>recall</t>
        </is>
      </c>
      <c r="F220" s="0" t="inlineStr">
        <is>
          <t>P030</t>
        </is>
      </c>
      <c r="G220" s="0" t="inlineStr">
        <is>
          <t>{"sheet": "GloVe-100", "cell": "F134", "value": 0.9650000000000001, "estimated": false, "status": "搜索校准", "point_id": "P030", "metric": "recall", "previous_cell_value": 0.965,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21">
      <c r="A221" s="0" t="inlineStr">
        <is>
          <t>GloVe-100</t>
        </is>
      </c>
      <c r="B221" s="0" t="inlineStr">
        <is>
          <t>G134</t>
        </is>
      </c>
      <c r="C221" s="0" t="n">
        <v>89902603.2294644</v>
      </c>
      <c r="D221" s="0" t="inlineStr">
        <is>
          <t>预测</t>
        </is>
      </c>
      <c r="E221" s="0" t="inlineStr">
        <is>
          <t>query_ms</t>
        </is>
      </c>
      <c r="F221" s="0" t="inlineStr">
        <is>
          <t>P030</t>
        </is>
      </c>
      <c r="G221" s="0" t="inlineStr">
        <is>
          <t>{"sheet": "GloVe-100", "cell": "G134", "value": 89902603.22946438, "estimated": true, "status": "预测", "point_id": "P030", "metric": "query_ms", "previous_cell_value": 86583889.1752442,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[22475650.807366095, 719220825.835715]}</t>
        </is>
      </c>
    </row>
    <row r="222">
      <c r="A222" s="0" t="inlineStr">
        <is>
          <t>GloVe-100</t>
        </is>
      </c>
      <c r="B222" s="0" t="inlineStr">
        <is>
          <t>H134</t>
        </is>
      </c>
      <c r="C222" s="0" t="n">
        <v>8668.014160000001</v>
      </c>
      <c r="D222" s="0" t="inlineStr">
        <is>
          <t>预测</t>
        </is>
      </c>
      <c r="E222" s="0" t="inlineStr">
        <is>
          <t>vo_kb</t>
        </is>
      </c>
      <c r="F222" s="0" t="inlineStr">
        <is>
          <t>P030</t>
        </is>
      </c>
      <c r="G222" s="0" t="inlineStr">
        <is>
          <t>{"sheet": "GloVe-100", "cell": "H134", "value": 8668.01416, "estimated": true, "status": "预测", "point_id": "P030", "metric": "vo_kb", "previous_cell_value": 8668.01416,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[8608.62862, 8737.759716666667]}</t>
        </is>
      </c>
    </row>
    <row r="223">
      <c r="A223" s="0" t="inlineStr">
        <is>
          <t>GloVe-100</t>
        </is>
      </c>
      <c r="B223" s="0" t="inlineStr">
        <is>
          <t>I134</t>
        </is>
      </c>
      <c r="C223" s="0" t="n">
        <v>229.680387501358</v>
      </c>
      <c r="D223" s="0" t="inlineStr">
        <is>
          <t>预测</t>
        </is>
      </c>
      <c r="E223" s="0" t="inlineStr">
        <is>
          <t>verify_ms</t>
        </is>
      </c>
      <c r="F223" s="0" t="inlineStr">
        <is>
          <t>P030</t>
        </is>
      </c>
      <c r="G223" s="0" t="inlineStr">
        <is>
          <t>{"sheet": "GloVe-100", "cell": "I134", "value": 229.6803875013582, "estimated": true, "status": "预测", "point_id": "P030", "metric": "verify_ms", "previous_cell_value": 238.398300914362,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[57.42009687533955, 918.7215500054328]}</t>
        </is>
      </c>
    </row>
    <row r="224">
      <c r="A224" s="0" t="inlineStr">
        <is>
          <t>GloVe-100</t>
        </is>
      </c>
      <c r="B224" s="0" t="inlineStr">
        <is>
          <t>F26</t>
        </is>
      </c>
      <c r="C224" s="0" t="n">
        <v>69</v>
      </c>
      <c r="D224" s="0" t="inlineStr">
        <is>
          <t>搜索校准</t>
        </is>
      </c>
      <c r="E224" s="0" t="inlineStr">
        <is>
          <t>recall</t>
        </is>
      </c>
      <c r="F224" s="0" t="inlineStr">
        <is>
          <t>P031</t>
        </is>
      </c>
      <c r="G224" s="0" t="inlineStr">
        <is>
          <t>{"sheet": "GloVe-100", "cell": "F26", "value": 69.0, "estimated": false, "status": "搜索校准", "point_id": "P031", "metric": "recall", "previous_cell_value": 69, "note": "目标60%。未完成证明的召回率仅为既有20查询搜索校准；不保证新的证明结果恰好达到该值。",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25">
      <c r="A225" s="0" t="inlineStr">
        <is>
          <t>GloVe-100</t>
        </is>
      </c>
      <c r="B225" s="0" t="inlineStr">
        <is>
          <t>F27</t>
        </is>
      </c>
      <c r="C225" s="0" t="n">
        <v>770.542106666667</v>
      </c>
      <c r="D225" s="0" t="inlineStr">
        <is>
          <t>预测</t>
        </is>
      </c>
      <c r="E225" s="0" t="inlineStr">
        <is>
          <t>vo_kb</t>
        </is>
      </c>
      <c r="F225" s="0" t="inlineStr">
        <is>
          <t>P031</t>
        </is>
      </c>
      <c r="G225" s="0" t="inlineStr">
        <is>
          <t>{"sheet": "GloVe-100", "cell": "F27", "value": 770.5421066666667, "estimated": true, "status": "预测", "point_id": "P031", "metric": "vo_kb", "previous_cell_value": 770.542106666667, "note": "目标60%；没有达到目标的配置时不预测一个虚假的达标点。",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[719.4445800000001, 831.99965]}</t>
        </is>
      </c>
    </row>
    <row r="226">
      <c r="A226" s="0" t="inlineStr">
        <is>
          <t>GloVe-100</t>
        </is>
      </c>
      <c r="B226" s="0" t="inlineStr">
        <is>
          <t>F38</t>
        </is>
      </c>
      <c r="C226" s="0" t="n">
        <v>69</v>
      </c>
      <c r="D226" s="0" t="inlineStr">
        <is>
          <t>搜索校准</t>
        </is>
      </c>
      <c r="E226" s="0" t="inlineStr">
        <is>
          <t>recall</t>
        </is>
      </c>
      <c r="F226" s="0" t="inlineStr">
        <is>
          <t>P031</t>
        </is>
      </c>
      <c r="G226" s="0" t="inlineStr">
        <is>
          <t>{"sheet": "GloVe-100", "cell": "F38", "value": 69.0, "estimated": false, "status": "搜索校准", "point_id": "P031", "metric": "recall", "previous_cell_value": 69, "note": "目标60%。未完成证明的召回率仅为既有20查询搜索校准；不保证新的证明结果恰好达到该值。",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27">
      <c r="A227" s="0" t="inlineStr">
        <is>
          <t>GloVe-100</t>
        </is>
      </c>
      <c r="B227" s="0" t="inlineStr">
        <is>
          <t>F39</t>
        </is>
      </c>
      <c r="C227" s="0" t="n">
        <v>44.8287747244907</v>
      </c>
      <c r="D227" s="0" t="inlineStr">
        <is>
          <t>预测</t>
        </is>
      </c>
      <c r="E227" s="0" t="inlineStr">
        <is>
          <t>verify_ms</t>
        </is>
      </c>
      <c r="F227" s="0" t="inlineStr">
        <is>
          <t>P031</t>
        </is>
      </c>
      <c r="G227" s="0" t="inlineStr">
        <is>
          <t>{"sheet": "GloVe-100", "cell": "F39", "value": 44.8287747244907, "estimated": true, "status": "预测", "point_id": "P031", "metric": "verify_ms", "previous_cell_value": 45.3495708788156, "note": "目标60%；没有达到目标的配置时不预测一个虚假的达标点。",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[11.207193681122675, 179.3150988979628]}</t>
        </is>
      </c>
    </row>
    <row r="228">
      <c r="A228" s="0" t="inlineStr">
        <is>
          <t>GloVe-100</t>
        </is>
      </c>
      <c r="B228" s="0" t="inlineStr">
        <is>
          <t>F50</t>
        </is>
      </c>
      <c r="C228" s="0" t="n">
        <v>69</v>
      </c>
      <c r="D228" s="0" t="inlineStr">
        <is>
          <t>搜索校准</t>
        </is>
      </c>
      <c r="E228" s="0" t="inlineStr">
        <is>
          <t>recall</t>
        </is>
      </c>
      <c r="F228" s="0" t="inlineStr">
        <is>
          <t>P031</t>
        </is>
      </c>
      <c r="G228" s="0" t="inlineStr">
        <is>
          <t>{"sheet": "GloVe-100", "cell": "F50", "value": 69.0, "estimated": false, "status": "搜索校准", "point_id": "P031", "metric": "recall", "previous_cell_value": 69, "note": "目标60%。未完成证明的召回率仅为既有20查询搜索校准；不保证新的证明结果恰好达到该值。",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29">
      <c r="A229" s="0" t="inlineStr">
        <is>
          <t>GloVe-100</t>
        </is>
      </c>
      <c r="B229" s="0" t="inlineStr">
        <is>
          <t>F51</t>
        </is>
      </c>
      <c r="C229" s="0" t="n">
        <v>4785939.49323917</v>
      </c>
      <c r="D229" s="0" t="inlineStr">
        <is>
          <t>预测</t>
        </is>
      </c>
      <c r="E229" s="0" t="inlineStr">
        <is>
          <t>query_ms</t>
        </is>
      </c>
      <c r="F229" s="0" t="inlineStr">
        <is>
          <t>P031</t>
        </is>
      </c>
      <c r="G229" s="0" t="inlineStr">
        <is>
          <t>{"sheet": "GloVe-100", "cell": "F51", "value": 4785939.493239168, "estimated": true, "status": "预测", "point_id": "P031", "metric": "query_ms", "previous_cell_value": 4609251.2992824, "note": "目标60%；没有达到目标的配置时不预测一个虚假的达标点。",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[1196484.873309792, 38287515.945913345]}</t>
        </is>
      </c>
    </row>
    <row r="230">
      <c r="A230" s="0" t="inlineStr">
        <is>
          <t>GloVe-100</t>
        </is>
      </c>
      <c r="B230" s="0" t="inlineStr">
        <is>
          <t>G26</t>
        </is>
      </c>
      <c r="C230" s="0" t="n">
        <v>69</v>
      </c>
      <c r="D230" s="0" t="inlineStr">
        <is>
          <t>搜索校准</t>
        </is>
      </c>
      <c r="E230" s="0" t="inlineStr">
        <is>
          <t>recall</t>
        </is>
      </c>
      <c r="F230" s="0" t="inlineStr">
        <is>
          <t>P031</t>
        </is>
      </c>
      <c r="G230" s="0" t="inlineStr">
        <is>
          <t>{"sheet": "GloVe-100", "cell": "G26", "value": 69.0, "estimated": false, "status": "搜索校准", "point_id": "P031", "metric": "recall", "previous_cell_value": 69, "note": "目标65%。未完成证明的召回率仅为既有20查询搜索校准；不保证新的证明结果恰好达到该值。",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31">
      <c r="A231" s="0" t="inlineStr">
        <is>
          <t>GloVe-100</t>
        </is>
      </c>
      <c r="B231" s="0" t="inlineStr">
        <is>
          <t>G27</t>
        </is>
      </c>
      <c r="C231" s="0" t="n">
        <v>770.542106666667</v>
      </c>
      <c r="D231" s="0" t="inlineStr">
        <is>
          <t>预测</t>
        </is>
      </c>
      <c r="E231" s="0" t="inlineStr">
        <is>
          <t>vo_kb</t>
        </is>
      </c>
      <c r="F231" s="0" t="inlineStr">
        <is>
          <t>P031</t>
        </is>
      </c>
      <c r="G231" s="0" t="inlineStr">
        <is>
          <t>{"sheet": "GloVe-100", "cell": "G27", "value": 770.5421066666667, "estimated": true, "status": "预测", "point_id": "P031", "metric": "vo_kb", "previous_cell_value": 770.542106666667, "note": "目标65%；没有达到目标的配置时不预测一个虚假的达标点。",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[719.4445800000001, 831.99965]}</t>
        </is>
      </c>
    </row>
    <row r="232">
      <c r="A232" s="0" t="inlineStr">
        <is>
          <t>GloVe-100</t>
        </is>
      </c>
      <c r="B232" s="0" t="inlineStr">
        <is>
          <t>G38</t>
        </is>
      </c>
      <c r="C232" s="0" t="n">
        <v>69</v>
      </c>
      <c r="D232" s="0" t="inlineStr">
        <is>
          <t>搜索校准</t>
        </is>
      </c>
      <c r="E232" s="0" t="inlineStr">
        <is>
          <t>recall</t>
        </is>
      </c>
      <c r="F232" s="0" t="inlineStr">
        <is>
          <t>P031</t>
        </is>
      </c>
      <c r="G232" s="0" t="inlineStr">
        <is>
          <t>{"sheet": "GloVe-100", "cell": "G38", "value": 69.0, "estimated": false, "status": "搜索校准", "point_id": "P031", "metric": "recall", "previous_cell_value": 69, "note": "目标65%。未完成证明的召回率仅为既有20查询搜索校准；不保证新的证明结果恰好达到该值。",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33">
      <c r="A233" s="0" t="inlineStr">
        <is>
          <t>GloVe-100</t>
        </is>
      </c>
      <c r="B233" s="0" t="inlineStr">
        <is>
          <t>G39</t>
        </is>
      </c>
      <c r="C233" s="0" t="n">
        <v>44.8287747244907</v>
      </c>
      <c r="D233" s="0" t="inlineStr">
        <is>
          <t>预测</t>
        </is>
      </c>
      <c r="E233" s="0" t="inlineStr">
        <is>
          <t>verify_ms</t>
        </is>
      </c>
      <c r="F233" s="0" t="inlineStr">
        <is>
          <t>P031</t>
        </is>
      </c>
      <c r="G233" s="0" t="inlineStr">
        <is>
          <t>{"sheet": "GloVe-100", "cell": "G39", "value": 44.8287747244907, "estimated": true, "status": "预测", "point_id": "P031", "metric": "verify_ms", "previous_cell_value": 45.3495708788156, "note": "目标65%；没有达到目标的配置时不预测一个虚假的达标点。",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[11.207193681122675, 179.3150988979628]}</t>
        </is>
      </c>
    </row>
    <row r="234">
      <c r="A234" s="0" t="inlineStr">
        <is>
          <t>GloVe-100</t>
        </is>
      </c>
      <c r="B234" s="0" t="inlineStr">
        <is>
          <t>G50</t>
        </is>
      </c>
      <c r="C234" s="0" t="n">
        <v>69</v>
      </c>
      <c r="D234" s="0" t="inlineStr">
        <is>
          <t>搜索校准</t>
        </is>
      </c>
      <c r="E234" s="0" t="inlineStr">
        <is>
          <t>recall</t>
        </is>
      </c>
      <c r="F234" s="0" t="inlineStr">
        <is>
          <t>P031</t>
        </is>
      </c>
      <c r="G234" s="0" t="inlineStr">
        <is>
          <t>{"sheet": "GloVe-100", "cell": "G50", "value": 69.0, "estimated": false, "status": "搜索校准", "point_id": "P031", "metric": "recall", "previous_cell_value": 69, "note": "目标65%。未完成证明的召回率仅为既有20查询搜索校准；不保证新的证明结果恰好达到该值。",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35">
      <c r="A235" s="0" t="inlineStr">
        <is>
          <t>GloVe-100</t>
        </is>
      </c>
      <c r="B235" s="0" t="inlineStr">
        <is>
          <t>G51</t>
        </is>
      </c>
      <c r="C235" s="0" t="n">
        <v>4785939.49323917</v>
      </c>
      <c r="D235" s="0" t="inlineStr">
        <is>
          <t>预测</t>
        </is>
      </c>
      <c r="E235" s="0" t="inlineStr">
        <is>
          <t>query_ms</t>
        </is>
      </c>
      <c r="F235" s="0" t="inlineStr">
        <is>
          <t>P031</t>
        </is>
      </c>
      <c r="G235" s="0" t="inlineStr">
        <is>
          <t>{"sheet": "GloVe-100", "cell": "G51", "value": 4785939.493239168, "estimated": true, "status": "预测", "point_id": "P031", "metric": "query_ms", "previous_cell_value": 4609251.2992824, "note": "目标65%；没有达到目标的配置时不预测一个虚假的达标点。",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[1196484.873309792, 38287515.945913345]}</t>
        </is>
      </c>
    </row>
    <row r="236">
      <c r="A236" s="0" t="inlineStr">
        <is>
          <t>GloVe-100</t>
        </is>
      </c>
      <c r="B236" s="0" t="inlineStr">
        <is>
          <t>H26</t>
        </is>
      </c>
      <c r="C236" s="0" t="n">
        <v>79.5</v>
      </c>
      <c r="D236" s="0" t="inlineStr">
        <is>
          <t>搜索校准</t>
        </is>
      </c>
      <c r="E236" s="0" t="inlineStr">
        <is>
          <t>recall</t>
        </is>
      </c>
      <c r="F236" s="0" t="inlineStr">
        <is>
          <t>P032</t>
        </is>
      </c>
      <c r="G236" s="0" t="inlineStr">
        <is>
          <t>{"sheet": "GloVe-100", "cell": "H26", "value": 79.5, "estimated": false, "status": "搜索校准", "point_id": "P032", "metric": "recall", "previous_cell_value": 79.5, "note": "目标70%。未完成证明的召回率仅为既有20查询搜索校准；不保证新的证明结果恰好达到该值。",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37">
      <c r="A237" s="0" t="inlineStr">
        <is>
          <t>GloVe-100</t>
        </is>
      </c>
      <c r="B237" s="0" t="inlineStr">
        <is>
          <t>H27</t>
        </is>
      </c>
      <c r="C237" s="0" t="n">
        <v>1303.11812</v>
      </c>
      <c r="D237" s="0" t="inlineStr">
        <is>
          <t>预测</t>
        </is>
      </c>
      <c r="E237" s="0" t="inlineStr">
        <is>
          <t>vo_kb</t>
        </is>
      </c>
      <c r="F237" s="0" t="inlineStr">
        <is>
          <t>P032</t>
        </is>
      </c>
      <c r="G237" s="0" t="inlineStr">
        <is>
          <t>{"sheet": "GloVe-100", "cell": "H27", "value": 1303.11812, "estimated": true, "status": "预测", "point_id": "P032", "metric": "vo_kb", "previous_cell_value": 1303.11812, "note": "目标70%；没有达到目标的配置时不预测一个虚假的达标点。",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[1249.9485900000002, 1366.6476666666667]}</t>
        </is>
      </c>
    </row>
    <row r="238">
      <c r="A238" s="0" t="inlineStr">
        <is>
          <t>GloVe-100</t>
        </is>
      </c>
      <c r="B238" s="0" t="inlineStr">
        <is>
          <t>H38</t>
        </is>
      </c>
      <c r="C238" s="0" t="n">
        <v>79.5</v>
      </c>
      <c r="D238" s="0" t="inlineStr">
        <is>
          <t>搜索校准</t>
        </is>
      </c>
      <c r="E238" s="0" t="inlineStr">
        <is>
          <t>recall</t>
        </is>
      </c>
      <c r="F238" s="0" t="inlineStr">
        <is>
          <t>P032</t>
        </is>
      </c>
      <c r="G238" s="0" t="inlineStr">
        <is>
          <t>{"sheet": "GloVe-100", "cell": "H38", "value": 79.5, "estimated": false, "status": "搜索校准", "point_id": "P032", "metric": "recall", "previous_cell_value": 79.5, "note": "目标70%。未完成证明的召回率仅为既有20查询搜索校准；不保证新的证明结果恰好达到该值。",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39">
      <c r="A239" s="0" t="inlineStr">
        <is>
          <t>GloVe-100</t>
        </is>
      </c>
      <c r="B239" s="0" t="inlineStr">
        <is>
          <t>H39</t>
        </is>
      </c>
      <c r="C239" s="0" t="n">
        <v>58.1699855280826</v>
      </c>
      <c r="D239" s="0" t="inlineStr">
        <is>
          <t>预测</t>
        </is>
      </c>
      <c r="E239" s="0" t="inlineStr">
        <is>
          <t>verify_ms</t>
        </is>
      </c>
      <c r="F239" s="0" t="inlineStr">
        <is>
          <t>P032</t>
        </is>
      </c>
      <c r="G239" s="0" t="inlineStr">
        <is>
          <t>{"sheet": "GloVe-100", "cell": "H39", "value": 58.16998552808257, "estimated": true, "status": "预测", "point_id": "P032", "metric": "verify_ms", "previous_cell_value": 59.2350181377023, "note": "目标70%；没有达到目标的配置时不预测一个虚假的达标点。",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[14.542496382020643, 232.67994211233028]}</t>
        </is>
      </c>
    </row>
    <row r="240">
      <c r="A240" s="0" t="inlineStr">
        <is>
          <t>GloVe-100</t>
        </is>
      </c>
      <c r="B240" s="0" t="inlineStr">
        <is>
          <t>H50</t>
        </is>
      </c>
      <c r="C240" s="0" t="n">
        <v>79.5</v>
      </c>
      <c r="D240" s="0" t="inlineStr">
        <is>
          <t>搜索校准</t>
        </is>
      </c>
      <c r="E240" s="0" t="inlineStr">
        <is>
          <t>recall</t>
        </is>
      </c>
      <c r="F240" s="0" t="inlineStr">
        <is>
          <t>P032</t>
        </is>
      </c>
      <c r="G240" s="0" t="inlineStr">
        <is>
          <t>{"sheet": "GloVe-100", "cell": "H50", "value": 79.5, "estimated": false, "status": "搜索校准", "point_id": "P032", "metric": "recall", "previous_cell_value": 79.5, "note": "目标70%。未完成证明的召回率仅为既有20查询搜索校准；不保证新的证明结果恰好达到该值。",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41">
      <c r="A241" s="0" t="inlineStr">
        <is>
          <t>GloVe-100</t>
        </is>
      </c>
      <c r="B241" s="0" t="inlineStr">
        <is>
          <t>H51</t>
        </is>
      </c>
      <c r="C241" s="0" t="n">
        <v>9988365.590779509</v>
      </c>
      <c r="D241" s="0" t="inlineStr">
        <is>
          <t>预测</t>
        </is>
      </c>
      <c r="E241" s="0" t="inlineStr">
        <is>
          <t>query_ms</t>
        </is>
      </c>
      <c r="F241" s="0" t="inlineStr">
        <is>
          <t>P032</t>
        </is>
      </c>
      <c r="G241" s="0" t="inlineStr">
        <is>
          <t>{"sheet": "GloVe-100", "cell": "H51", "value": 9988365.590779513, "estimated": true, "status": "预测", "point_id": "P032", "metric": "query_ms", "previous_cell_value": 9619623.48564998, "note": "目标70%；没有达到目标的配置时不预测一个虚假的达标点。",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[2497091.3976948783, 79906924.7262361]}</t>
        </is>
      </c>
    </row>
    <row r="242">
      <c r="A242" s="0" t="inlineStr">
        <is>
          <t>GloVe-100</t>
        </is>
      </c>
      <c r="B242" s="0" t="inlineStr">
        <is>
          <t>I26</t>
        </is>
      </c>
      <c r="C242" s="0" t="n">
        <v>79.5</v>
      </c>
      <c r="D242" s="0" t="inlineStr">
        <is>
          <t>搜索校准</t>
        </is>
      </c>
      <c r="E242" s="0" t="inlineStr">
        <is>
          <t>recall</t>
        </is>
      </c>
      <c r="F242" s="0" t="inlineStr">
        <is>
          <t>P032</t>
        </is>
      </c>
      <c r="G242" s="0" t="inlineStr">
        <is>
          <t>{"sheet": "GloVe-100", "cell": "I26", "value": 79.5, "estimated": false, "status": "搜索校准", "point_id": "P032", "metric": "recall", "previous_cell_value": 79.5, "note": "目标75%。未完成证明的召回率仅为既有20查询搜索校准；不保证新的证明结果恰好达到该值。",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43">
      <c r="A243" s="0" t="inlineStr">
        <is>
          <t>GloVe-100</t>
        </is>
      </c>
      <c r="B243" s="0" t="inlineStr">
        <is>
          <t>I27</t>
        </is>
      </c>
      <c r="C243" s="0" t="n">
        <v>1303.11812</v>
      </c>
      <c r="D243" s="0" t="inlineStr">
        <is>
          <t>预测</t>
        </is>
      </c>
      <c r="E243" s="0" t="inlineStr">
        <is>
          <t>vo_kb</t>
        </is>
      </c>
      <c r="F243" s="0" t="inlineStr">
        <is>
          <t>P032</t>
        </is>
      </c>
      <c r="G243" s="0" t="inlineStr">
        <is>
          <t>{"sheet": "GloVe-100", "cell": "I27", "value": 1303.11812, "estimated": true, "status": "预测", "point_id": "P032", "metric": "vo_kb", "previous_cell_value": 1303.11812, "note": "目标75%；没有达到目标的配置时不预测一个虚假的达标点。",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[1249.9485900000002, 1366.6476666666667]}</t>
        </is>
      </c>
    </row>
    <row r="244">
      <c r="A244" s="0" t="inlineStr">
        <is>
          <t>GloVe-100</t>
        </is>
      </c>
      <c r="B244" s="0" t="inlineStr">
        <is>
          <t>I38</t>
        </is>
      </c>
      <c r="C244" s="0" t="n">
        <v>79.5</v>
      </c>
      <c r="D244" s="0" t="inlineStr">
        <is>
          <t>搜索校准</t>
        </is>
      </c>
      <c r="E244" s="0" t="inlineStr">
        <is>
          <t>recall</t>
        </is>
      </c>
      <c r="F244" s="0" t="inlineStr">
        <is>
          <t>P032</t>
        </is>
      </c>
      <c r="G244" s="0" t="inlineStr">
        <is>
          <t>{"sheet": "GloVe-100", "cell": "I38", "value": 79.5, "estimated": false, "status": "搜索校准", "point_id": "P032", "metric": "recall", "previous_cell_value": 79.5, "note": "目标75%。未完成证明的召回率仅为既有20查询搜索校准；不保证新的证明结果恰好达到该值。",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45">
      <c r="A245" s="0" t="inlineStr">
        <is>
          <t>GloVe-100</t>
        </is>
      </c>
      <c r="B245" s="0" t="inlineStr">
        <is>
          <t>I39</t>
        </is>
      </c>
      <c r="C245" s="0" t="n">
        <v>58.1699855280826</v>
      </c>
      <c r="D245" s="0" t="inlineStr">
        <is>
          <t>预测</t>
        </is>
      </c>
      <c r="E245" s="0" t="inlineStr">
        <is>
          <t>verify_ms</t>
        </is>
      </c>
      <c r="F245" s="0" t="inlineStr">
        <is>
          <t>P032</t>
        </is>
      </c>
      <c r="G245" s="0" t="inlineStr">
        <is>
          <t>{"sheet": "GloVe-100", "cell": "I39", "value": 58.16998552808257, "estimated": true, "status": "预测", "point_id": "P032", "metric": "verify_ms", "previous_cell_value": 59.2350181377023, "note": "目标75%；没有达到目标的配置时不预测一个虚假的达标点。",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[14.542496382020643, 232.67994211233028]}</t>
        </is>
      </c>
    </row>
    <row r="246">
      <c r="A246" s="0" t="inlineStr">
        <is>
          <t>GloVe-100</t>
        </is>
      </c>
      <c r="B246" s="0" t="inlineStr">
        <is>
          <t>I50</t>
        </is>
      </c>
      <c r="C246" s="0" t="n">
        <v>79.5</v>
      </c>
      <c r="D246" s="0" t="inlineStr">
        <is>
          <t>搜索校准</t>
        </is>
      </c>
      <c r="E246" s="0" t="inlineStr">
        <is>
          <t>recall</t>
        </is>
      </c>
      <c r="F246" s="0" t="inlineStr">
        <is>
          <t>P032</t>
        </is>
      </c>
      <c r="G246" s="0" t="inlineStr">
        <is>
          <t>{"sheet": "GloVe-100", "cell": "I50", "value": 79.5, "estimated": false, "status": "搜索校准", "point_id": "P032", "metric": "recall", "previous_cell_value": 79.5, "note": "目标75%。未完成证明的召回率仅为既有20查询搜索校准；不保证新的证明结果恰好达到该值。",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47">
      <c r="A247" s="0" t="inlineStr">
        <is>
          <t>GloVe-100</t>
        </is>
      </c>
      <c r="B247" s="0" t="inlineStr">
        <is>
          <t>I51</t>
        </is>
      </c>
      <c r="C247" s="0" t="n">
        <v>9988365.590779509</v>
      </c>
      <c r="D247" s="0" t="inlineStr">
        <is>
          <t>预测</t>
        </is>
      </c>
      <c r="E247" s="0" t="inlineStr">
        <is>
          <t>query_ms</t>
        </is>
      </c>
      <c r="F247" s="0" t="inlineStr">
        <is>
          <t>P032</t>
        </is>
      </c>
      <c r="G247" s="0" t="inlineStr">
        <is>
          <t>{"sheet": "GloVe-100", "cell": "I51", "value": 9988365.590779513, "estimated": true, "status": "预测", "point_id": "P032", "metric": "query_ms", "previous_cell_value": 9619623.48564998, "note": "目标75%；没有达到目标的配置时不预测一个虚假的达标点。",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[2497091.3976948783, 79906924.7262361]}</t>
        </is>
      </c>
    </row>
    <row r="248">
      <c r="A248" s="0" t="inlineStr">
        <is>
          <t>GloVe-100</t>
        </is>
      </c>
      <c r="B248" s="0" t="inlineStr">
        <is>
          <t>J26</t>
        </is>
      </c>
      <c r="C248" s="0" t="n">
        <v>86</v>
      </c>
      <c r="D248" s="0" t="inlineStr">
        <is>
          <t>搜索校准</t>
        </is>
      </c>
      <c r="E248" s="0" t="inlineStr">
        <is>
          <t>recall</t>
        </is>
      </c>
      <c r="F248" s="0" t="inlineStr">
        <is>
          <t>P033</t>
        </is>
      </c>
      <c r="G248" s="0" t="inlineStr">
        <is>
          <t>{"sheet": "GloVe-100", "cell": "J26", "value": 86.0, "estimated": false, "status": "搜索校准", "point_id": "P033", "metric": "recall", "previous_cell_value": 86, "note": "目标80%。未完成证明的召回率仅为既有20查询搜索校准；不保证新的证明结果恰好达到该值。",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49">
      <c r="A249" s="0" t="inlineStr">
        <is>
          <t>GloVe-100</t>
        </is>
      </c>
      <c r="B249" s="0" t="inlineStr">
        <is>
          <t>J27</t>
        </is>
      </c>
      <c r="C249" s="0" t="n">
        <v>2359.98213333333</v>
      </c>
      <c r="D249" s="0" t="inlineStr">
        <is>
          <t>预测</t>
        </is>
      </c>
      <c r="E249" s="0" t="inlineStr">
        <is>
          <t>vo_kb</t>
        </is>
      </c>
      <c r="F249" s="0" t="inlineStr">
        <is>
          <t>P033</t>
        </is>
      </c>
      <c r="G249" s="0" t="inlineStr">
        <is>
          <t>{"sheet": "GloVe-100", "cell": "J27", "value": 2359.9821333333334, "estimated": true, "status": "预测", "point_id": "P033", "metric": "vo_kb", "previous_cell_value": 2359.98213333333, "note": "目标80%；没有达到目标的配置时不预测一个虚假的达标点。",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[2304.7406, 2425.5836833333337]}</t>
        </is>
      </c>
    </row>
    <row r="250">
      <c r="A250" s="0" t="inlineStr">
        <is>
          <t>GloVe-100</t>
        </is>
      </c>
      <c r="B250" s="0" t="inlineStr">
        <is>
          <t>J38</t>
        </is>
      </c>
      <c r="C250" s="0" t="n">
        <v>86</v>
      </c>
      <c r="D250" s="0" t="inlineStr">
        <is>
          <t>搜索校准</t>
        </is>
      </c>
      <c r="E250" s="0" t="inlineStr">
        <is>
          <t>recall</t>
        </is>
      </c>
      <c r="F250" s="0" t="inlineStr">
        <is>
          <t>P033</t>
        </is>
      </c>
      <c r="G250" s="0" t="inlineStr">
        <is>
          <t>{"sheet": "GloVe-100", "cell": "J38", "value": 86.0, "estimated": false, "status": "搜索校准", "point_id": "P033", "metric": "recall", "previous_cell_value": 86, "note": "目标80%。未完成证明的召回率仅为既有20查询搜索校准；不保证新的证明结果恰好达到该值。",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51">
      <c r="A251" s="0" t="inlineStr">
        <is>
          <t>GloVe-100</t>
        </is>
      </c>
      <c r="B251" s="0" t="inlineStr">
        <is>
          <t>J39</t>
        </is>
      </c>
      <c r="C251" s="0" t="n">
        <v>83.4645390191745</v>
      </c>
      <c r="D251" s="0" t="inlineStr">
        <is>
          <t>预测</t>
        </is>
      </c>
      <c r="E251" s="0" t="inlineStr">
        <is>
          <t>verify_ms</t>
        </is>
      </c>
      <c r="F251" s="0" t="inlineStr">
        <is>
          <t>P033</t>
        </is>
      </c>
      <c r="G251" s="0" t="inlineStr">
        <is>
          <t>{"sheet": "GloVe-100", "cell": "J39", "value": 83.46453901917445, "estimated": true, "status": "预测", "point_id": "P033", "metric": "verify_ms", "previous_cell_value": 85.6210963965889, "note": "目标80%；没有达到目标的配置时不预测一个虚假的达标点。",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[20.866134754793613, 333.8581560766978]}</t>
        </is>
      </c>
    </row>
    <row r="252">
      <c r="A252" s="0" t="inlineStr">
        <is>
          <t>GloVe-100</t>
        </is>
      </c>
      <c r="B252" s="0" t="inlineStr">
        <is>
          <t>J50</t>
        </is>
      </c>
      <c r="C252" s="0" t="n">
        <v>86</v>
      </c>
      <c r="D252" s="0" t="inlineStr">
        <is>
          <t>搜索校准</t>
        </is>
      </c>
      <c r="E252" s="0" t="inlineStr">
        <is>
          <t>recall</t>
        </is>
      </c>
      <c r="F252" s="0" t="inlineStr">
        <is>
          <t>P033</t>
        </is>
      </c>
      <c r="G252" s="0" t="inlineStr">
        <is>
          <t>{"sheet": "GloVe-100", "cell": "J50", "value": 86.0, "estimated": false, "status": "搜索校准", "point_id": "P033", "metric": "recall", "previous_cell_value": 86, "note": "目标80%。未完成证明的召回率仅为既有20查询搜索校准；不保证新的证明结果恰好达到该值。",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53">
      <c r="A253" s="0" t="inlineStr">
        <is>
          <t>GloVe-100</t>
        </is>
      </c>
      <c r="B253" s="0" t="inlineStr">
        <is>
          <t>J51</t>
        </is>
      </c>
      <c r="C253" s="0" t="n">
        <v>20809704.3901614</v>
      </c>
      <c r="D253" s="0" t="inlineStr">
        <is>
          <t>预测</t>
        </is>
      </c>
      <c r="E253" s="0" t="inlineStr">
        <is>
          <t>query_ms</t>
        </is>
      </c>
      <c r="F253" s="0" t="inlineStr">
        <is>
          <t>P033</t>
        </is>
      </c>
      <c r="G253" s="0" t="inlineStr">
        <is>
          <t>{"sheet": "GloVe-100", "cell": "J51", "value": 20809704.390161384, "estimated": true, "status": "预测", "point_id": "P033", "metric": "query_ms", "previous_cell_value": 20041488.7454703, "note": "目标80%；没有达到目标的配置时不预测一个虚假的达标点。",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[5202426.097540346, 166477635.12129107]}</t>
        </is>
      </c>
    </row>
    <row r="254">
      <c r="A254" s="0" t="inlineStr">
        <is>
          <t>GloVe-100</t>
        </is>
      </c>
      <c r="B254" s="0" t="inlineStr">
        <is>
          <t>K26</t>
        </is>
      </c>
      <c r="C254" s="0" t="n">
        <v>86</v>
      </c>
      <c r="D254" s="0" t="inlineStr">
        <is>
          <t>搜索校准</t>
        </is>
      </c>
      <c r="E254" s="0" t="inlineStr">
        <is>
          <t>recall</t>
        </is>
      </c>
      <c r="F254" s="0" t="inlineStr">
        <is>
          <t>P033</t>
        </is>
      </c>
      <c r="G254" s="0" t="inlineStr">
        <is>
          <t>{"sheet": "GloVe-100", "cell": "K26", "value": 86.0, "estimated": false, "status": "搜索校准", "point_id": "P033", "metric": "recall", "previous_cell_value": 86, "note": "目标85%。未完成证明的召回率仅为既有20查询搜索校准；不保证新的证明结果恰好达到该值。",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55">
      <c r="A255" s="0" t="inlineStr">
        <is>
          <t>GloVe-100</t>
        </is>
      </c>
      <c r="B255" s="0" t="inlineStr">
        <is>
          <t>K27</t>
        </is>
      </c>
      <c r="C255" s="0" t="n">
        <v>2359.98213333333</v>
      </c>
      <c r="D255" s="0" t="inlineStr">
        <is>
          <t>预测</t>
        </is>
      </c>
      <c r="E255" s="0" t="inlineStr">
        <is>
          <t>vo_kb</t>
        </is>
      </c>
      <c r="F255" s="0" t="inlineStr">
        <is>
          <t>P033</t>
        </is>
      </c>
      <c r="G255" s="0" t="inlineStr">
        <is>
          <t>{"sheet": "GloVe-100", "cell": "K27", "value": 2359.9821333333334, "estimated": true, "status": "预测", "point_id": "P033", "metric": "vo_kb", "previous_cell_value": 2359.98213333333, "note": "目标85%；没有达到目标的配置时不预测一个虚假的达标点。",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[2304.7406, 2425.5836833333337]}</t>
        </is>
      </c>
    </row>
    <row r="256">
      <c r="A256" s="0" t="inlineStr">
        <is>
          <t>GloVe-100</t>
        </is>
      </c>
      <c r="B256" s="0" t="inlineStr">
        <is>
          <t>K38</t>
        </is>
      </c>
      <c r="C256" s="0" t="n">
        <v>86</v>
      </c>
      <c r="D256" s="0" t="inlineStr">
        <is>
          <t>搜索校准</t>
        </is>
      </c>
      <c r="E256" s="0" t="inlineStr">
        <is>
          <t>recall</t>
        </is>
      </c>
      <c r="F256" s="0" t="inlineStr">
        <is>
          <t>P033</t>
        </is>
      </c>
      <c r="G256" s="0" t="inlineStr">
        <is>
          <t>{"sheet": "GloVe-100", "cell": "K38", "value": 86.0, "estimated": false, "status": "搜索校准", "point_id": "P033", "metric": "recall", "previous_cell_value": 86, "note": "目标85%。未完成证明的召回率仅为既有20查询搜索校准；不保证新的证明结果恰好达到该值。",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57">
      <c r="A257" s="0" t="inlineStr">
        <is>
          <t>GloVe-100</t>
        </is>
      </c>
      <c r="B257" s="0" t="inlineStr">
        <is>
          <t>K39</t>
        </is>
      </c>
      <c r="C257" s="0" t="n">
        <v>83.4645390191745</v>
      </c>
      <c r="D257" s="0" t="inlineStr">
        <is>
          <t>预测</t>
        </is>
      </c>
      <c r="E257" s="0" t="inlineStr">
        <is>
          <t>verify_ms</t>
        </is>
      </c>
      <c r="F257" s="0" t="inlineStr">
        <is>
          <t>P033</t>
        </is>
      </c>
      <c r="G257" s="0" t="inlineStr">
        <is>
          <t>{"sheet": "GloVe-100", "cell": "K39", "value": 83.46453901917445, "estimated": true, "status": "预测", "point_id": "P033", "metric": "verify_ms", "previous_cell_value": 85.6210963965889, "note": "目标85%；没有达到目标的配置时不预测一个虚假的达标点。",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[20.866134754793613, 333.8581560766978]}</t>
        </is>
      </c>
    </row>
    <row r="258">
      <c r="A258" s="0" t="inlineStr">
        <is>
          <t>GloVe-100</t>
        </is>
      </c>
      <c r="B258" s="0" t="inlineStr">
        <is>
          <t>K50</t>
        </is>
      </c>
      <c r="C258" s="0" t="n">
        <v>86</v>
      </c>
      <c r="D258" s="0" t="inlineStr">
        <is>
          <t>搜索校准</t>
        </is>
      </c>
      <c r="E258" s="0" t="inlineStr">
        <is>
          <t>recall</t>
        </is>
      </c>
      <c r="F258" s="0" t="inlineStr">
        <is>
          <t>P033</t>
        </is>
      </c>
      <c r="G258" s="0" t="inlineStr">
        <is>
          <t>{"sheet": "GloVe-100", "cell": "K50", "value": 86.0, "estimated": false, "status": "搜索校准", "point_id": "P033", "metric": "recall", "previous_cell_value": 86, "note": "目标85%。未完成证明的召回率仅为既有20查询搜索校准；不保证新的证明结果恰好达到该值。",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59">
      <c r="A259" s="0" t="inlineStr">
        <is>
          <t>GloVe-100</t>
        </is>
      </c>
      <c r="B259" s="0" t="inlineStr">
        <is>
          <t>K51</t>
        </is>
      </c>
      <c r="C259" s="0" t="n">
        <v>20809704.3901614</v>
      </c>
      <c r="D259" s="0" t="inlineStr">
        <is>
          <t>预测</t>
        </is>
      </c>
      <c r="E259" s="0" t="inlineStr">
        <is>
          <t>query_ms</t>
        </is>
      </c>
      <c r="F259" s="0" t="inlineStr">
        <is>
          <t>P033</t>
        </is>
      </c>
      <c r="G259" s="0" t="inlineStr">
        <is>
          <t>{"sheet": "GloVe-100", "cell": "K51", "value": 20809704.390161384, "estimated": true, "status": "预测", "point_id": "P033", "metric": "query_ms", "previous_cell_value": 20041488.7454703, "note": "目标85%；没有达到目标的配置时不预测一个虚假的达标点。",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[5202426.097540346, 166477635.12129107]}</t>
        </is>
      </c>
    </row>
    <row r="260">
      <c r="A260" s="0" t="inlineStr">
        <is>
          <t>GloVe-100</t>
        </is>
      </c>
      <c r="B260" s="0" t="inlineStr">
        <is>
          <t>L26</t>
        </is>
      </c>
      <c r="C260" s="0" t="n">
        <v>91</v>
      </c>
      <c r="D260" s="0" t="inlineStr">
        <is>
          <t>搜索校准</t>
        </is>
      </c>
      <c r="E260" s="0" t="inlineStr">
        <is>
          <t>recall</t>
        </is>
      </c>
      <c r="F260" s="0" t="inlineStr">
        <is>
          <t>P034</t>
        </is>
      </c>
      <c r="G260" s="0" t="inlineStr">
        <is>
          <t>{"sheet": "GloVe-100", "cell": "L26", "value": 91.00000000000001, "estimated": false, "status": "搜索校准", "point_id": "P034", "metric": "recall", "previous_cell_value": 91, "note": "目标90%。未完成证明的召回率仅为既有20查询搜索校准；不保证新的证明结果恰好达到该值。",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61">
      <c r="A261" s="0" t="inlineStr">
        <is>
          <t>GloVe-100</t>
        </is>
      </c>
      <c r="B261" s="0" t="inlineStr">
        <is>
          <t>L27</t>
        </is>
      </c>
      <c r="C261" s="0" t="n">
        <v>4465.42214666667</v>
      </c>
      <c r="D261" s="0" t="inlineStr">
        <is>
          <t>预测</t>
        </is>
      </c>
      <c r="E261" s="0" t="inlineStr">
        <is>
          <t>vo_kb</t>
        </is>
      </c>
      <c r="F261" s="0" t="inlineStr">
        <is>
          <t>P034</t>
        </is>
      </c>
      <c r="G261" s="0" t="inlineStr">
        <is>
          <t>{"sheet": "GloVe-100", "cell": "L27", "value": 4465.422146666667, "estimated": true, "status": "预测", "point_id": "P034", "metric": "vo_kb", "previous_cell_value": 4465.42214666667, "note": "目标90%；没有达到目标的配置时不预测一个虚假的达标点。",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[4408.10861, 4533.0957]}</t>
        </is>
      </c>
    </row>
    <row r="262">
      <c r="A262" s="0" t="inlineStr">
        <is>
          <t>GloVe-100</t>
        </is>
      </c>
      <c r="B262" s="0" t="inlineStr">
        <is>
          <t>L38</t>
        </is>
      </c>
      <c r="C262" s="0" t="n">
        <v>91</v>
      </c>
      <c r="D262" s="0" t="inlineStr">
        <is>
          <t>搜索校准</t>
        </is>
      </c>
      <c r="E262" s="0" t="inlineStr">
        <is>
          <t>recall</t>
        </is>
      </c>
      <c r="F262" s="0" t="inlineStr">
        <is>
          <t>P034</t>
        </is>
      </c>
      <c r="G262" s="0" t="inlineStr">
        <is>
          <t>{"sheet": "GloVe-100", "cell": "L38", "value": 91.00000000000001, "estimated": false, "status": "搜索校准", "point_id": "P034", "metric": "recall", "previous_cell_value": 91, "note": "目标90%。未完成证明的召回率仅为既有20查询搜索校准；不保证新的证明结果恰好达到该值。",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63">
      <c r="A263" s="0" t="inlineStr">
        <is>
          <t>GloVe-100</t>
        </is>
      </c>
      <c r="B263" s="0" t="inlineStr">
        <is>
          <t>L39</t>
        </is>
      </c>
      <c r="C263" s="0" t="n">
        <v>132.665777885266</v>
      </c>
      <c r="D263" s="0" t="inlineStr">
        <is>
          <t>预测</t>
        </is>
      </c>
      <c r="E263" s="0" t="inlineStr">
        <is>
          <t>verify_ms</t>
        </is>
      </c>
      <c r="F263" s="0" t="inlineStr">
        <is>
          <t>P034</t>
        </is>
      </c>
      <c r="G263" s="0" t="inlineStr">
        <is>
          <t>{"sheet": "GloVe-100", "cell": "L39", "value": 132.66577788526632, "estimated": true, "status": "预测", "point_id": "P034", "metric": "verify_ms", "previous_cell_value": 137.008436655475, "note": "目标90%；没有达到目标的配置时不预测一个虚假的达标点。",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[33.16644447131658, 530.6631115410653]}</t>
        </is>
      </c>
    </row>
    <row r="264">
      <c r="A264" s="0" t="inlineStr">
        <is>
          <t>GloVe-100</t>
        </is>
      </c>
      <c r="B264" s="0" t="inlineStr">
        <is>
          <t>L50</t>
        </is>
      </c>
      <c r="C264" s="0" t="n">
        <v>91</v>
      </c>
      <c r="D264" s="0" t="inlineStr">
        <is>
          <t>搜索校准</t>
        </is>
      </c>
      <c r="E264" s="0" t="inlineStr">
        <is>
          <t>recall</t>
        </is>
      </c>
      <c r="F264" s="0" t="inlineStr">
        <is>
          <t>P034</t>
        </is>
      </c>
      <c r="G264" s="0" t="inlineStr">
        <is>
          <t>{"sheet": "GloVe-100", "cell": "L50", "value": 91.00000000000001, "estimated": false, "status": "搜索校准", "point_id": "P034", "metric": "recall", "previous_cell_value": 91, "note": "目标90%。未完成证明的召回率仅为既有20查询搜索校准；不保证新的证明结果恰好达到该值。",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65">
      <c r="A265" s="0" t="inlineStr">
        <is>
          <t>GloVe-100</t>
        </is>
      </c>
      <c r="B265" s="0" t="inlineStr">
        <is>
          <t>L51</t>
        </is>
      </c>
      <c r="C265" s="0" t="n">
        <v>43285355.1975275</v>
      </c>
      <c r="D265" s="0" t="inlineStr">
        <is>
          <t>预测</t>
        </is>
      </c>
      <c r="E265" s="0" t="inlineStr">
        <is>
          <t>query_ms</t>
        </is>
      </c>
      <c r="F265" s="0" t="inlineStr">
        <is>
          <t>P034</t>
        </is>
      </c>
      <c r="G265" s="0" t="inlineStr">
        <is>
          <t>{"sheet": "GloVe-100", "cell": "L51", "value": 43285355.19752748, "estimated": true, "status": "预测", "point_id": "P034", "metric": "query_ms", "previous_cell_value": 41687461.0392814, "note": "目标90%；没有达到目标的配置时不预测一个虚假的达标点。",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[10821338.79938187, 346282841.58021986]}</t>
        </is>
      </c>
    </row>
    <row r="266">
      <c r="A266" s="0" t="inlineStr">
        <is>
          <t>GloVe-100</t>
        </is>
      </c>
      <c r="B266" s="0" t="inlineStr">
        <is>
          <t>M26</t>
        </is>
      </c>
      <c r="C266" s="0" t="n">
        <v>96.5</v>
      </c>
      <c r="D266" s="0" t="inlineStr">
        <is>
          <t>搜索校准</t>
        </is>
      </c>
      <c r="E266" s="0" t="inlineStr">
        <is>
          <t>recall</t>
        </is>
      </c>
      <c r="F266" s="0" t="inlineStr">
        <is>
          <t>P030</t>
        </is>
      </c>
      <c r="G266" s="0" t="inlineStr">
        <is>
          <t>{"sheet": "GloVe-100", "cell": "M26", "value": 96.50000000000001, "estimated": false, "status": "搜索校准", "point_id": "P030", "metric": "recall", "previous_cell_value": 96.5, "note": "目标95%。未完成证明的召回率仅为既有20查询搜索校准；不保证新的证明结果恰好达到该值。",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67">
      <c r="A267" s="0" t="inlineStr">
        <is>
          <t>GloVe-100</t>
        </is>
      </c>
      <c r="B267" s="0" t="inlineStr">
        <is>
          <t>M27</t>
        </is>
      </c>
      <c r="C267" s="0" t="n">
        <v>8668.014160000001</v>
      </c>
      <c r="D267" s="0" t="inlineStr">
        <is>
          <t>预测</t>
        </is>
      </c>
      <c r="E267" s="0" t="inlineStr">
        <is>
          <t>vo_kb</t>
        </is>
      </c>
      <c r="F267" s="0" t="inlineStr">
        <is>
          <t>P030</t>
        </is>
      </c>
      <c r="G267" s="0" t="inlineStr">
        <is>
          <t>{"sheet": "GloVe-100", "cell": "M27", "value": 8668.01416, "estimated": true, "status": "预测", "point_id": "P030", "metric": "vo_kb", "previous_cell_value": 8668.01416, "note": "目标95%；没有达到目标的配置时不预测一个虚假的达标点。",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[8608.62862, 8737.759716666667]}</t>
        </is>
      </c>
    </row>
    <row r="268">
      <c r="A268" s="0" t="inlineStr">
        <is>
          <t>GloVe-100</t>
        </is>
      </c>
      <c r="B268" s="0" t="inlineStr">
        <is>
          <t>M38</t>
        </is>
      </c>
      <c r="C268" s="0" t="n">
        <v>96.5</v>
      </c>
      <c r="D268" s="0" t="inlineStr">
        <is>
          <t>搜索校准</t>
        </is>
      </c>
      <c r="E268" s="0" t="inlineStr">
        <is>
          <t>recall</t>
        </is>
      </c>
      <c r="F268" s="0" t="inlineStr">
        <is>
          <t>P030</t>
        </is>
      </c>
      <c r="G268" s="0" t="inlineStr">
        <is>
          <t>{"sheet": "GloVe-100", "cell": "M38", "value": 96.50000000000001, "estimated": false, "status": "搜索校准", "point_id": "P030", "metric": "recall", "previous_cell_value": 96.5, "note": "目标95%。未完成证明的召回率仅为既有20查询搜索校准；不保证新的证明结果恰好达到该值。",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69">
      <c r="A269" s="0" t="inlineStr">
        <is>
          <t>GloVe-100</t>
        </is>
      </c>
      <c r="B269" s="0" t="inlineStr">
        <is>
          <t>M39</t>
        </is>
      </c>
      <c r="C269" s="0" t="n">
        <v>229.680387501358</v>
      </c>
      <c r="D269" s="0" t="inlineStr">
        <is>
          <t>预测</t>
        </is>
      </c>
      <c r="E269" s="0" t="inlineStr">
        <is>
          <t>verify_ms</t>
        </is>
      </c>
      <c r="F269" s="0" t="inlineStr">
        <is>
          <t>P030</t>
        </is>
      </c>
      <c r="G269" s="0" t="inlineStr">
        <is>
          <t>{"sheet": "GloVe-100", "cell": "M39", "value": 229.6803875013582, "estimated": true, "status": "预测", "point_id": "P030", "metric": "verify_ms", "previous_cell_value": 238.398300914362, "note": "目标95%；没有达到目标的配置时不预测一个虚假的达标点。",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[57.42009687533955, 918.7215500054328]}</t>
        </is>
      </c>
    </row>
    <row r="270">
      <c r="A270" s="0" t="inlineStr">
        <is>
          <t>GloVe-100</t>
        </is>
      </c>
      <c r="B270" s="0" t="inlineStr">
        <is>
          <t>M50</t>
        </is>
      </c>
      <c r="C270" s="0" t="n">
        <v>96.5</v>
      </c>
      <c r="D270" s="0" t="inlineStr">
        <is>
          <t>搜索校准</t>
        </is>
      </c>
      <c r="E270" s="0" t="inlineStr">
        <is>
          <t>recall</t>
        </is>
      </c>
      <c r="F270" s="0" t="inlineStr">
        <is>
          <t>P030</t>
        </is>
      </c>
      <c r="G270" s="0" t="inlineStr">
        <is>
          <t>{"sheet": "GloVe-100", "cell": "M50", "value": 96.50000000000001, "estimated": false, "status": "搜索校准", "point_id": "P030", "metric": "recall", "previous_cell_value": 96.5, "note": "目标95%。未完成证明的召回率仅为既有20查询搜索校准；不保证新的证明结果恰好达到该值。",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71">
      <c r="A271" s="0" t="inlineStr">
        <is>
          <t>GloVe-100</t>
        </is>
      </c>
      <c r="B271" s="0" t="inlineStr">
        <is>
          <t>M51</t>
        </is>
      </c>
      <c r="C271" s="0" t="n">
        <v>89902603.2294644</v>
      </c>
      <c r="D271" s="0" t="inlineStr">
        <is>
          <t>预测</t>
        </is>
      </c>
      <c r="E271" s="0" t="inlineStr">
        <is>
          <t>query_ms</t>
        </is>
      </c>
      <c r="F271" s="0" t="inlineStr">
        <is>
          <t>P030</t>
        </is>
      </c>
      <c r="G271" s="0" t="inlineStr">
        <is>
          <t>{"sheet": "GloVe-100", "cell": "M51", "value": 89902603.22946438, "estimated": true, "status": "预测", "point_id": "P030", "metric": "query_ms", "previous_cell_value": 86583889.1752442, "note": "目标95%；没有达到目标的配置时不预测一个虚假的达标点。",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[22475650.807366095, 719220825.835715]}</t>
        </is>
      </c>
    </row>
    <row r="272">
      <c r="A272" s="0" t="inlineStr">
        <is>
          <t>GloVe-100</t>
        </is>
      </c>
      <c r="B272" s="0" t="inlineStr">
        <is>
          <t>N26</t>
        </is>
      </c>
      <c r="C272" s="0" t="n">
        <v>98</v>
      </c>
      <c r="D272" s="0" t="inlineStr">
        <is>
          <t>搜索校准</t>
        </is>
      </c>
      <c r="E272" s="0" t="inlineStr">
        <is>
          <t>recall</t>
        </is>
      </c>
      <c r="F272" s="0" t="inlineStr">
        <is>
          <t>P035</t>
        </is>
      </c>
      <c r="G272" s="0" t="inlineStr">
        <is>
          <t>{"sheet": "GloVe-100", "cell": "N26", "value": 98.00000000000001, "estimated": false, "status": "搜索校准", "point_id": "P035", "metric": "recall", "previous_cell_value": 98, "note": "目标97%。未完成证明的召回率仅为既有20查询搜索校准；不保证新的证明结果恰好达到该值。",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73">
      <c r="A273" s="0" t="inlineStr">
        <is>
          <t>GloVe-100</t>
        </is>
      </c>
      <c r="B273" s="0" t="inlineStr">
        <is>
          <t>N27</t>
        </is>
      </c>
      <c r="C273" s="0" t="n">
        <v>17064.9101733333</v>
      </c>
      <c r="D273" s="0" t="inlineStr">
        <is>
          <t>预测</t>
        </is>
      </c>
      <c r="E273" s="0" t="inlineStr">
        <is>
          <t>vo_kb</t>
        </is>
      </c>
      <c r="F273" s="0" t="inlineStr">
        <is>
          <t>P035</t>
        </is>
      </c>
      <c r="G273" s="0" t="inlineStr">
        <is>
          <t>{"sheet": "GloVe-100", "cell": "N27", "value": 17064.910173333334, "estimated": true, "status": "预测", "point_id": "P035", "metric": "vo_kb", "previous_cell_value": 17064.9101733333, "note": "目标97%；没有达到目标的配置时不预测一个虚假的达标点。",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[17003.45263, 17136.727733333333]}</t>
        </is>
      </c>
    </row>
    <row r="274">
      <c r="A274" s="0" t="inlineStr">
        <is>
          <t>GloVe-100</t>
        </is>
      </c>
      <c r="B274" s="0" t="inlineStr">
        <is>
          <t>N38</t>
        </is>
      </c>
      <c r="C274" s="0" t="n">
        <v>98</v>
      </c>
      <c r="D274" s="0" t="inlineStr">
        <is>
          <t>搜索校准</t>
        </is>
      </c>
      <c r="E274" s="0" t="inlineStr">
        <is>
          <t>recall</t>
        </is>
      </c>
      <c r="F274" s="0" t="inlineStr">
        <is>
          <t>P035</t>
        </is>
      </c>
      <c r="G274" s="0" t="inlineStr">
        <is>
          <t>{"sheet": "GloVe-100", "cell": "N38", "value": 98.00000000000001, "estimated": false, "status": "搜索校准", "point_id": "P035", "metric": "recall", "previous_cell_value": 98, "note": "目标97%。未完成证明的召回率仅为既有20查询搜索校准；不保证新的证明结果恰好达到该值。",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75">
      <c r="A275" s="0" t="inlineStr">
        <is>
          <t>GloVe-100</t>
        </is>
      </c>
      <c r="B275" s="0" t="inlineStr">
        <is>
          <t>N39</t>
        </is>
      </c>
      <c r="C275" s="0" t="n">
        <v>422.32173861745</v>
      </c>
      <c r="D275" s="0" t="inlineStr">
        <is>
          <t>预测</t>
        </is>
      </c>
      <c r="E275" s="0" t="inlineStr">
        <is>
          <t>verify_ms</t>
        </is>
      </c>
      <c r="F275" s="0" t="inlineStr">
        <is>
          <t>P035</t>
        </is>
      </c>
      <c r="G275" s="0" t="inlineStr">
        <is>
          <t>{"sheet": "GloVe-100", "cell": "N39", "value": 422.32173861745014, "estimated": true, "status": "预测", "point_id": "P035", "metric": "verify_ms", "previous_cell_value": 439.793213173249, "note": "目标97%；没有达到目标的配置时不预测一个虚假的达标点。",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[105.58043465436253, 1689.2869544698005]}</t>
        </is>
      </c>
    </row>
    <row r="276">
      <c r="A276" s="0" t="inlineStr">
        <is>
          <t>GloVe-100</t>
        </is>
      </c>
      <c r="B276" s="0" t="inlineStr">
        <is>
          <t>N50</t>
        </is>
      </c>
      <c r="C276" s="0" t="n">
        <v>98</v>
      </c>
      <c r="D276" s="0" t="inlineStr">
        <is>
          <t>搜索校准</t>
        </is>
      </c>
      <c r="E276" s="0" t="inlineStr">
        <is>
          <t>recall</t>
        </is>
      </c>
      <c r="F276" s="0" t="inlineStr">
        <is>
          <t>P035</t>
        </is>
      </c>
      <c r="G276" s="0" t="inlineStr">
        <is>
          <t>{"sheet": "GloVe-100", "cell": "N50", "value": 98.00000000000001, "estimated": false, "status": "搜索校准", "point_id": "P035", "metric": "recall", "previous_cell_value": 98, "note": "目标97%。未完成证明的召回率仅为既有20查询搜索校准；不保证新的证明结果恰好达到该值。",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77">
      <c r="A277" s="0" t="inlineStr">
        <is>
          <t>GloVe-100</t>
        </is>
      </c>
      <c r="B277" s="0" t="inlineStr">
        <is>
          <t>N51</t>
        </is>
      </c>
      <c r="C277" s="0" t="n">
        <v>186468992.127748</v>
      </c>
      <c r="D277" s="0" t="inlineStr">
        <is>
          <t>预测</t>
        </is>
      </c>
      <c r="E277" s="0" t="inlineStr">
        <is>
          <t>query_ms</t>
        </is>
      </c>
      <c r="F277" s="0" t="inlineStr">
        <is>
          <t>P035</t>
        </is>
      </c>
      <c r="G277" s="0" t="inlineStr">
        <is>
          <t>{"sheet": "GloVe-100", "cell": "N51", "value": 186468992.12774763, "estimated": true, "status": "预测", "point_id": "P035", "metric": "query_ms", "previous_cell_value": 179585712.543851, "note": "目标97%；没有达到目标的配置时不预测一个虚假的达标点。",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[46617248.03193691, 1491751937.021981]}</t>
        </is>
      </c>
    </row>
    <row r="278">
      <c r="A278" s="0" t="inlineStr">
        <is>
          <t>GloVe-100</t>
        </is>
      </c>
      <c r="B278" s="0" t="inlineStr">
        <is>
          <t>O26</t>
        </is>
      </c>
      <c r="C278" s="0" t="n">
        <v>98</v>
      </c>
      <c r="D278" s="0" t="inlineStr">
        <is>
          <t>搜索校准</t>
        </is>
      </c>
      <c r="E278" s="0" t="inlineStr">
        <is>
          <t>recall</t>
        </is>
      </c>
      <c r="F278" s="0" t="inlineStr">
        <is>
          <t>P035</t>
        </is>
      </c>
      <c r="G278" s="0" t="inlineStr">
        <is>
          <t>{"sheet": "GloVe-100", "cell": "O26", "value": 98.00000000000001, "estimated": false, "status": "搜索校准", "point_id": "P035", "metric": "recall", "previous_cell_value": 98, "note": "目标98%。未完成证明的召回率仅为既有20查询搜索校准；不保证新的证明结果恰好达到该值。",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79">
      <c r="A279" s="0" t="inlineStr">
        <is>
          <t>GloVe-100</t>
        </is>
      </c>
      <c r="B279" s="0" t="inlineStr">
        <is>
          <t>O27</t>
        </is>
      </c>
      <c r="C279" s="0" t="n">
        <v>17064.9101733333</v>
      </c>
      <c r="D279" s="0" t="inlineStr">
        <is>
          <t>预测</t>
        </is>
      </c>
      <c r="E279" s="0" t="inlineStr">
        <is>
          <t>vo_kb</t>
        </is>
      </c>
      <c r="F279" s="0" t="inlineStr">
        <is>
          <t>P035</t>
        </is>
      </c>
      <c r="G279" s="0" t="inlineStr">
        <is>
          <t>{"sheet": "GloVe-100", "cell": "O27", "value": 17064.910173333334, "estimated": true, "status": "预测", "point_id": "P035", "metric": "vo_kb", "previous_cell_value": 17064.9101733333, "note": "目标98%；没有达到目标的配置时不预测一个虚假的达标点。",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[17003.45263, 17136.727733333333]}</t>
        </is>
      </c>
    </row>
    <row r="280">
      <c r="A280" s="0" t="inlineStr">
        <is>
          <t>GloVe-100</t>
        </is>
      </c>
      <c r="B280" s="0" t="inlineStr">
        <is>
          <t>O38</t>
        </is>
      </c>
      <c r="C280" s="0" t="n">
        <v>98</v>
      </c>
      <c r="D280" s="0" t="inlineStr">
        <is>
          <t>搜索校准</t>
        </is>
      </c>
      <c r="E280" s="0" t="inlineStr">
        <is>
          <t>recall</t>
        </is>
      </c>
      <c r="F280" s="0" t="inlineStr">
        <is>
          <t>P035</t>
        </is>
      </c>
      <c r="G280" s="0" t="inlineStr">
        <is>
          <t>{"sheet": "GloVe-100", "cell": "O38", "value": 98.00000000000001, "estimated": false, "status": "搜索校准", "point_id": "P035", "metric": "recall", "previous_cell_value": 98, "note": "目标98%。未完成证明的召回率仅为既有20查询搜索校准；不保证新的证明结果恰好达到该值。",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81">
      <c r="A281" s="0" t="inlineStr">
        <is>
          <t>GloVe-100</t>
        </is>
      </c>
      <c r="B281" s="0" t="inlineStr">
        <is>
          <t>O39</t>
        </is>
      </c>
      <c r="C281" s="0" t="n">
        <v>422.32173861745</v>
      </c>
      <c r="D281" s="0" t="inlineStr">
        <is>
          <t>预测</t>
        </is>
      </c>
      <c r="E281" s="0" t="inlineStr">
        <is>
          <t>verify_ms</t>
        </is>
      </c>
      <c r="F281" s="0" t="inlineStr">
        <is>
          <t>P035</t>
        </is>
      </c>
      <c r="G281" s="0" t="inlineStr">
        <is>
          <t>{"sheet": "GloVe-100", "cell": "O39", "value": 422.32173861745014, "estimated": true, "status": "预测", "point_id": "P035", "metric": "verify_ms", "previous_cell_value": 439.793213173249, "note": "目标98%；没有达到目标的配置时不预测一个虚假的达标点。",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[105.58043465436253, 1689.2869544698005]}</t>
        </is>
      </c>
    </row>
    <row r="282">
      <c r="A282" s="0" t="inlineStr">
        <is>
          <t>GloVe-100</t>
        </is>
      </c>
      <c r="B282" s="0" t="inlineStr">
        <is>
          <t>O50</t>
        </is>
      </c>
      <c r="C282" s="0" t="n">
        <v>98</v>
      </c>
      <c r="D282" s="0" t="inlineStr">
        <is>
          <t>搜索校准</t>
        </is>
      </c>
      <c r="E282" s="0" t="inlineStr">
        <is>
          <t>recall</t>
        </is>
      </c>
      <c r="F282" s="0" t="inlineStr">
        <is>
          <t>P035</t>
        </is>
      </c>
      <c r="G282" s="0" t="inlineStr">
        <is>
          <t>{"sheet": "GloVe-100", "cell": "O50", "value": 98.00000000000001, "estimated": false, "status": "搜索校准", "point_id": "P035", "metric": "recall", "previous_cell_value": 98, "note": "目标98%。未完成证明的召回率仅为既有20查询搜索校准；不保证新的证明结果恰好达到该值。",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83">
      <c r="A283" s="0" t="inlineStr">
        <is>
          <t>GloVe-100</t>
        </is>
      </c>
      <c r="B283" s="0" t="inlineStr">
        <is>
          <t>O51</t>
        </is>
      </c>
      <c r="C283" s="0" t="n">
        <v>186468992.127748</v>
      </c>
      <c r="D283" s="0" t="inlineStr">
        <is>
          <t>预测</t>
        </is>
      </c>
      <c r="E283" s="0" t="inlineStr">
        <is>
          <t>query_ms</t>
        </is>
      </c>
      <c r="F283" s="0" t="inlineStr">
        <is>
          <t>P035</t>
        </is>
      </c>
      <c r="G283" s="0" t="inlineStr">
        <is>
          <t>{"sheet": "GloVe-100", "cell": "O51", "value": 186468992.12774763, "estimated": true, "status": "预测", "point_id": "P035", "metric": "query_ms", "previous_cell_value": 179585712.543851, "note": "目标98%；没有达到目标的配置时不预测一个虚假的达标点。",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[46617248.03193691, 1491751937.021981]}</t>
        </is>
      </c>
    </row>
    <row r="284">
      <c r="A284" s="0" t="inlineStr">
        <is>
          <t>GloVe-100</t>
        </is>
      </c>
      <c r="B284" s="0" t="inlineStr">
        <is>
          <t>P26</t>
        </is>
      </c>
      <c r="C284" s="0" t="inlineStr">
        <is>
          <t>未达目标</t>
        </is>
      </c>
      <c r="D284" s="0" t="inlineStr">
        <is>
          <t>不适用/目标未达</t>
        </is>
      </c>
      <c r="E284" s="0" t="inlineStr">
        <is>
          <t>recall</t>
        </is>
      </c>
      <c r="G284" s="0" t="inlineStr">
        <is>
          <t>{"sheet": "GloVe-100", "cell": "P26", "value": "未达目标", "estimated": false, "status": "不适用/目标未达", "point_id": null, "metric": "recall", "previous_cell_value": "未达目标", "note": "目标99%。未完成证明的召回率仅为既有20查询搜索校准；不保证新的证明结果恰好达到该值。",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85">
      <c r="A285" s="0" t="inlineStr">
        <is>
          <t>GloVe-100</t>
        </is>
      </c>
      <c r="B285" s="0" t="inlineStr">
        <is>
          <t>P27</t>
        </is>
      </c>
      <c r="C285" s="0" t="inlineStr">
        <is>
          <t>未达目标</t>
        </is>
      </c>
      <c r="D285" s="0" t="inlineStr">
        <is>
          <t>不适用/目标未达</t>
        </is>
      </c>
      <c r="E285" s="0" t="inlineStr">
        <is>
          <t>vo_kb</t>
        </is>
      </c>
      <c r="G285" s="0" t="inlineStr">
        <is>
          <t>{"sheet": "GloVe-100", "cell": "P27", "value": "未达目标", "estimated": false, "status": "不适用/目标未达", "point_id": null, "metric": "vo_kb", "previous_cell_value": "未达目标", "note": "目标99%；没有达到目标的配置时不预测一个虚假的达标点。",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86">
      <c r="A286" s="0" t="inlineStr">
        <is>
          <t>GloVe-100</t>
        </is>
      </c>
      <c r="B286" s="0" t="inlineStr">
        <is>
          <t>P38</t>
        </is>
      </c>
      <c r="C286" s="0" t="inlineStr">
        <is>
          <t>未达目标</t>
        </is>
      </c>
      <c r="D286" s="0" t="inlineStr">
        <is>
          <t>不适用/目标未达</t>
        </is>
      </c>
      <c r="E286" s="0" t="inlineStr">
        <is>
          <t>recall</t>
        </is>
      </c>
      <c r="G286" s="0" t="inlineStr">
        <is>
          <t>{"sheet": "GloVe-100", "cell": "P38", "value": "未达目标", "estimated": false, "status": "不适用/目标未达", "point_id": null, "metric": "recall", "previous_cell_value": "未达目标", "note": "目标99%。未完成证明的召回率仅为既有20查询搜索校准；不保证新的证明结果恰好达到该值。",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87">
      <c r="A287" s="0" t="inlineStr">
        <is>
          <t>GloVe-100</t>
        </is>
      </c>
      <c r="B287" s="0" t="inlineStr">
        <is>
          <t>P39</t>
        </is>
      </c>
      <c r="C287" s="0" t="inlineStr">
        <is>
          <t>未达目标</t>
        </is>
      </c>
      <c r="D287" s="0" t="inlineStr">
        <is>
          <t>不适用/目标未达</t>
        </is>
      </c>
      <c r="E287" s="0" t="inlineStr">
        <is>
          <t>verify_ms</t>
        </is>
      </c>
      <c r="G287" s="0" t="inlineStr">
        <is>
          <t>{"sheet": "GloVe-100", "cell": "P39", "value": "未达目标", "estimated": false, "status": "不适用/目标未达", "point_id": null, "metric": "verify_ms", "previous_cell_value": "未达目标", "note": "目标99%；没有达到目标的配置时不预测一个虚假的达标点。",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88">
      <c r="A288" s="0" t="inlineStr">
        <is>
          <t>GloVe-100</t>
        </is>
      </c>
      <c r="B288" s="0" t="inlineStr">
        <is>
          <t>P50</t>
        </is>
      </c>
      <c r="C288" s="0" t="inlineStr">
        <is>
          <t>未达目标</t>
        </is>
      </c>
      <c r="D288" s="0" t="inlineStr">
        <is>
          <t>不适用/目标未达</t>
        </is>
      </c>
      <c r="E288" s="0" t="inlineStr">
        <is>
          <t>recall</t>
        </is>
      </c>
      <c r="G288" s="0" t="inlineStr">
        <is>
          <t>{"sheet": "GloVe-100", "cell": "P50", "value": "未达目标", "estimated": false, "status": "不适用/目标未达", "point_id": null, "metric": "recall", "previous_cell_value": "未达目标", "note": "目标99%。未完成证明的召回率仅为既有20查询搜索校准；不保证新的证明结果恰好达到该值。",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89">
      <c r="A289" s="0" t="inlineStr">
        <is>
          <t>GloVe-100</t>
        </is>
      </c>
      <c r="B289" s="0" t="inlineStr">
        <is>
          <t>P51</t>
        </is>
      </c>
      <c r="C289" s="0" t="inlineStr">
        <is>
          <t>未达目标</t>
        </is>
      </c>
      <c r="D289" s="0" t="inlineStr">
        <is>
          <t>不适用/目标未达</t>
        </is>
      </c>
      <c r="E289" s="0" t="inlineStr">
        <is>
          <t>query_ms</t>
        </is>
      </c>
      <c r="G289" s="0" t="inlineStr">
        <is>
          <t>{"sheet": "GloVe-100", "cell": "P51", "value": "未达目标", "estimated": false, "status": "不适用/目标未达", "point_id": null, "metric": "query_ms", "previous_cell_value": "未达目标", "note": "目标99%；没有达到目标的配置时不预测一个虚假的达标点。",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90">
      <c r="A290" s="0" t="inlineStr">
        <is>
          <t>GloVe-100</t>
        </is>
      </c>
      <c r="B290" s="0" t="inlineStr">
        <is>
          <t>F97</t>
        </is>
      </c>
      <c r="C290" s="0" t="n">
        <v>8667.942160000001</v>
      </c>
      <c r="D290" s="0" t="inlineStr">
        <is>
          <t>预测</t>
        </is>
      </c>
      <c r="E290" s="0" t="inlineStr">
        <is>
          <t>vo_kb</t>
        </is>
      </c>
      <c r="F290" s="0" t="inlineStr">
        <is>
          <t>P036</t>
        </is>
      </c>
      <c r="G290" s="0" t="inlineStr">
        <is>
          <t>{"sheet": "GloVe-100", "cell": "F97", "value": 8667.94216, "estimated": true, "status": "预测", "point_id": "P036", "metric": "vo_kb", "previous_cell_value": 8667.94216,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[8608.55662, 8737.687716666667]}</t>
        </is>
      </c>
    </row>
    <row r="291">
      <c r="A291" s="0" t="inlineStr">
        <is>
          <t>GloVe-100</t>
        </is>
      </c>
      <c r="B291" s="0" t="inlineStr">
        <is>
          <t>F108</t>
        </is>
      </c>
      <c r="C291" s="0" t="n">
        <v>229.678745959546</v>
      </c>
      <c r="D291" s="0" t="inlineStr">
        <is>
          <t>预测</t>
        </is>
      </c>
      <c r="E291" s="0" t="inlineStr">
        <is>
          <t>verify_ms</t>
        </is>
      </c>
      <c r="F291" s="0" t="inlineStr">
        <is>
          <t>P036</t>
        </is>
      </c>
      <c r="G291" s="0" t="inlineStr">
        <is>
          <t>{"sheet": "GloVe-100", "cell": "F108", "value": 229.6787459595463, "estimated": true, "status": "预测", "point_id": "P036", "metric": "verify_ms", "previous_cell_value": 238.396584213938,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[57.41968648988657, 918.7149838381852]}</t>
        </is>
      </c>
    </row>
    <row r="292">
      <c r="A292" s="0" t="inlineStr">
        <is>
          <t>GloVe-100</t>
        </is>
      </c>
      <c r="B292" s="0" t="inlineStr">
        <is>
          <t>F118</t>
        </is>
      </c>
      <c r="C292" s="0" t="n">
        <v>89902603.2294644</v>
      </c>
      <c r="D292" s="0" t="inlineStr">
        <is>
          <t>预测</t>
        </is>
      </c>
      <c r="E292" s="0" t="inlineStr">
        <is>
          <t>query_ms</t>
        </is>
      </c>
      <c r="F292" s="0" t="inlineStr">
        <is>
          <t>P036</t>
        </is>
      </c>
      <c r="G292" s="0" t="inlineStr">
        <is>
          <t>{"sheet": "GloVe-100", "cell": "F118", "value": 89902603.22946438, "estimated": true, "status": "预测", "point_id": "P036", "metric": "query_ms", "previous_cell_value": 86583889.1752442,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[22475650.807366095, 719220825.835715]}</t>
        </is>
      </c>
    </row>
    <row r="293">
      <c r="A293" s="0" t="inlineStr">
        <is>
          <t>GloVe-100</t>
        </is>
      </c>
      <c r="B293" s="0" t="inlineStr">
        <is>
          <t>G97</t>
        </is>
      </c>
      <c r="C293" s="0" t="n">
        <v>8667.97416</v>
      </c>
      <c r="D293" s="0" t="inlineStr">
        <is>
          <t>预测</t>
        </is>
      </c>
      <c r="E293" s="0" t="inlineStr">
        <is>
          <t>vo_kb</t>
        </is>
      </c>
      <c r="F293" s="0" t="inlineStr">
        <is>
          <t>P037</t>
        </is>
      </c>
      <c r="G293" s="0" t="inlineStr">
        <is>
          <t>{"sheet": "GloVe-100", "cell": "G97", "value": 8667.97416, "estimated": true, "status": "预测", "point_id": "P037", "metric": "vo_kb", "previous_cell_value": 8667.97416,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[8608.588619999999, 8737.719716666666]}</t>
        </is>
      </c>
    </row>
    <row r="294">
      <c r="A294" s="0" t="inlineStr">
        <is>
          <t>GloVe-100</t>
        </is>
      </c>
      <c r="B294" s="0" t="inlineStr">
        <is>
          <t>G108</t>
        </is>
      </c>
      <c r="C294" s="0" t="n">
        <v>229.679475533685</v>
      </c>
      <c r="D294" s="0" t="inlineStr">
        <is>
          <t>预测</t>
        </is>
      </c>
      <c r="E294" s="0" t="inlineStr">
        <is>
          <t>verify_ms</t>
        </is>
      </c>
      <c r="F294" s="0" t="inlineStr">
        <is>
          <t>P037</t>
        </is>
      </c>
      <c r="G294" s="0" t="inlineStr">
        <is>
          <t>{"sheet": "GloVe-100", "cell": "G108", "value": 229.67947553368492, "estimated": true, "status": "预测", "point_id": "P037", "metric": "verify_ms", "previous_cell_value": 238.397347191904,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[57.41986888342123, 918.7179021347397]}</t>
        </is>
      </c>
    </row>
    <row r="295">
      <c r="A295" s="0" t="inlineStr">
        <is>
          <t>GloVe-100</t>
        </is>
      </c>
      <c r="B295" s="0" t="inlineStr">
        <is>
          <t>G118</t>
        </is>
      </c>
      <c r="C295" s="0" t="n">
        <v>89902603.2294644</v>
      </c>
      <c r="D295" s="0" t="inlineStr">
        <is>
          <t>预测</t>
        </is>
      </c>
      <c r="E295" s="0" t="inlineStr">
        <is>
          <t>query_ms</t>
        </is>
      </c>
      <c r="F295" s="0" t="inlineStr">
        <is>
          <t>P037</t>
        </is>
      </c>
      <c r="G295" s="0" t="inlineStr">
        <is>
          <t>{"sheet": "GloVe-100", "cell": "G118", "value": 89902603.22946438, "estimated": true, "status": "预测", "point_id": "P037", "metric": "query_ms", "previous_cell_value": 86583889.1752442,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[22475650.807366095, 719220825.835715]}</t>
        </is>
      </c>
    </row>
    <row r="296">
      <c r="A296" s="0" t="inlineStr">
        <is>
          <t>GloVe-100</t>
        </is>
      </c>
      <c r="B296" s="0" t="inlineStr">
        <is>
          <t>H97</t>
        </is>
      </c>
      <c r="C296" s="0" t="n">
        <v>8668.014160000001</v>
      </c>
      <c r="D296" s="0" t="inlineStr">
        <is>
          <t>预测</t>
        </is>
      </c>
      <c r="E296" s="0" t="inlineStr">
        <is>
          <t>vo_kb</t>
        </is>
      </c>
      <c r="F296" s="0" t="inlineStr">
        <is>
          <t>P030</t>
        </is>
      </c>
      <c r="G296" s="0" t="inlineStr">
        <is>
          <t>{"sheet": "GloVe-100", "cell": "H97", "value": 8668.01416, "estimated": true, "status": "预测", "point_id": "P030", "metric": "vo_kb", "previous_cell_value": 8668.01416,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[8608.62862, 8737.759716666667]}</t>
        </is>
      </c>
    </row>
    <row r="297">
      <c r="A297" s="0" t="inlineStr">
        <is>
          <t>GloVe-100</t>
        </is>
      </c>
      <c r="B297" s="0" t="inlineStr">
        <is>
          <t>H108</t>
        </is>
      </c>
      <c r="C297" s="0" t="n">
        <v>229.680387501358</v>
      </c>
      <c r="D297" s="0" t="inlineStr">
        <is>
          <t>预测</t>
        </is>
      </c>
      <c r="E297" s="0" t="inlineStr">
        <is>
          <t>verify_ms</t>
        </is>
      </c>
      <c r="F297" s="0" t="inlineStr">
        <is>
          <t>P030</t>
        </is>
      </c>
      <c r="G297" s="0" t="inlineStr">
        <is>
          <t>{"sheet": "GloVe-100", "cell": "H108", "value": 229.6803875013582, "estimated": true, "status": "预测", "point_id": "P030", "metric": "verify_ms", "previous_cell_value": 238.398300914362,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[57.42009687533955, 918.7215500054328]}</t>
        </is>
      </c>
    </row>
    <row r="298">
      <c r="A298" s="0" t="inlineStr">
        <is>
          <t>GloVe-100</t>
        </is>
      </c>
      <c r="B298" s="0" t="inlineStr">
        <is>
          <t>H118</t>
        </is>
      </c>
      <c r="C298" s="0" t="n">
        <v>89902603.2294644</v>
      </c>
      <c r="D298" s="0" t="inlineStr">
        <is>
          <t>预测</t>
        </is>
      </c>
      <c r="E298" s="0" t="inlineStr">
        <is>
          <t>query_ms</t>
        </is>
      </c>
      <c r="F298" s="0" t="inlineStr">
        <is>
          <t>P030</t>
        </is>
      </c>
      <c r="G298" s="0" t="inlineStr">
        <is>
          <t>{"sheet": "GloVe-100", "cell": "H118", "value": 89902603.22946438, "estimated": true, "status": "预测", "point_id": "P030", "metric": "query_ms", "previous_cell_value": 86583889.1752442,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[22475650.807366095, 719220825.835715]}</t>
        </is>
      </c>
    </row>
    <row r="299">
      <c r="A299" s="0" t="inlineStr">
        <is>
          <t>GloVe-100</t>
        </is>
      </c>
      <c r="B299" s="0" t="inlineStr">
        <is>
          <t>I97</t>
        </is>
      </c>
      <c r="C299" s="0" t="n">
        <v>8668.094160000001</v>
      </c>
      <c r="D299" s="0" t="inlineStr">
        <is>
          <t>预测</t>
        </is>
      </c>
      <c r="E299" s="0" t="inlineStr">
        <is>
          <t>vo_kb</t>
        </is>
      </c>
      <c r="F299" s="0" t="inlineStr">
        <is>
          <t>P038</t>
        </is>
      </c>
      <c r="G299" s="0" t="inlineStr">
        <is>
          <t>{"sheet": "GloVe-100", "cell": "I97", "value": 8668.09416, "estimated": true, "status": "预测", "point_id": "P038", "metric": "vo_kb", "previous_cell_value": 8668.09416,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[8608.70862, 8737.839716666667]}</t>
        </is>
      </c>
    </row>
    <row r="300">
      <c r="A300" s="0" t="inlineStr">
        <is>
          <t>GloVe-100</t>
        </is>
      </c>
      <c r="B300" s="0" t="inlineStr">
        <is>
          <t>I108</t>
        </is>
      </c>
      <c r="C300" s="0" t="n">
        <v>229.682211436705</v>
      </c>
      <c r="D300" s="0" t="inlineStr">
        <is>
          <t>预测</t>
        </is>
      </c>
      <c r="E300" s="0" t="inlineStr">
        <is>
          <t>verify_ms</t>
        </is>
      </c>
      <c r="F300" s="0" t="inlineStr">
        <is>
          <t>P038</t>
        </is>
      </c>
      <c r="G300" s="0" t="inlineStr">
        <is>
          <t>{"sheet": "GloVe-100", "cell": "I108", "value": 229.6822114367048, "estimated": true, "status": "预测", "point_id": "P038", "metric": "verify_ms", "previous_cell_value": 238.400208359278,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[57.4205528591762, 918.7288457468192]}</t>
        </is>
      </c>
    </row>
    <row r="301">
      <c r="A301" s="0" t="inlineStr">
        <is>
          <t>GloVe-100</t>
        </is>
      </c>
      <c r="B301" s="0" t="inlineStr">
        <is>
          <t>I118</t>
        </is>
      </c>
      <c r="C301" s="0" t="n">
        <v>89902603.2294644</v>
      </c>
      <c r="D301" s="0" t="inlineStr">
        <is>
          <t>预测</t>
        </is>
      </c>
      <c r="E301" s="0" t="inlineStr">
        <is>
          <t>query_ms</t>
        </is>
      </c>
      <c r="F301" s="0" t="inlineStr">
        <is>
          <t>P038</t>
        </is>
      </c>
      <c r="G301" s="0" t="inlineStr">
        <is>
          <t>{"sheet": "GloVe-100", "cell": "I118", "value": 89902603.22946438, "estimated": true, "status": "预测", "point_id": "P038", "metric": "query_ms", "previous_cell_value": 86583889.1752442,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[22475650.807366095, 719220825.835715]}</t>
        </is>
      </c>
    </row>
    <row r="302">
      <c r="A302" s="0" t="inlineStr">
        <is>
          <t>GloVe-100</t>
        </is>
      </c>
      <c r="B302" s="0" t="inlineStr">
        <is>
          <t>J97</t>
        </is>
      </c>
      <c r="C302" s="0" t="n">
        <v>8668.33416</v>
      </c>
      <c r="D302" s="0" t="inlineStr">
        <is>
          <t>预测</t>
        </is>
      </c>
      <c r="E302" s="0" t="inlineStr">
        <is>
          <t>vo_kb</t>
        </is>
      </c>
      <c r="F302" s="0" t="inlineStr">
        <is>
          <t>P039</t>
        </is>
      </c>
      <c r="G302" s="0" t="inlineStr">
        <is>
          <t>{"sheet": "GloVe-100", "cell": "J97", "value": 8668.33416, "estimated": true, "status": "预测", "point_id": "P039", "metric": "vo_kb", "previous_cell_value": 8668.33416,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[8608.94862, 8738.079716666667]}</t>
        </is>
      </c>
    </row>
    <row r="303">
      <c r="A303" s="0" t="inlineStr">
        <is>
          <t>GloVe-100</t>
        </is>
      </c>
      <c r="B303" s="0" t="inlineStr">
        <is>
          <t>J108</t>
        </is>
      </c>
      <c r="C303" s="0" t="n">
        <v>229.687683242745</v>
      </c>
      <c r="D303" s="0" t="inlineStr">
        <is>
          <t>预测</t>
        </is>
      </c>
      <c r="E303" s="0" t="inlineStr">
        <is>
          <t>verify_ms</t>
        </is>
      </c>
      <c r="F303" s="0" t="inlineStr">
        <is>
          <t>P039</t>
        </is>
      </c>
      <c r="G303" s="0" t="inlineStr">
        <is>
          <t>{"sheet": "GloVe-100", "cell": "J108", "value": 229.68768324274464, "estimated": true, "status": "预测", "point_id": "P039", "metric": "verify_ms", "previous_cell_value": 238.405930694025,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[57.42192081068616, 918.7507329709786]}</t>
        </is>
      </c>
    </row>
    <row r="304">
      <c r="A304" s="0" t="inlineStr">
        <is>
          <t>GloVe-100</t>
        </is>
      </c>
      <c r="B304" s="0" t="inlineStr">
        <is>
          <t>J118</t>
        </is>
      </c>
      <c r="C304" s="0" t="n">
        <v>89902603.2294644</v>
      </c>
      <c r="D304" s="0" t="inlineStr">
        <is>
          <t>预测</t>
        </is>
      </c>
      <c r="E304" s="0" t="inlineStr">
        <is>
          <t>query_ms</t>
        </is>
      </c>
      <c r="F304" s="0" t="inlineStr">
        <is>
          <t>P039</t>
        </is>
      </c>
      <c r="G304" s="0" t="inlineStr">
        <is>
          <t>{"sheet": "GloVe-100", "cell": "J118", "value": 89902603.22946438, "estimated": true, "status": "预测", "point_id": "P039", "metric": "query_ms", "previous_cell_value": 86583889.1752442,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[22475650.807366095, 719220825.835715]}</t>
        </is>
      </c>
    </row>
    <row r="305">
      <c r="A305" s="0" t="inlineStr">
        <is>
          <t>GloVe-100</t>
        </is>
      </c>
      <c r="B305" s="0" t="inlineStr">
        <is>
          <t>K97</t>
        </is>
      </c>
      <c r="C305" s="0" t="n">
        <v>8668.73416</v>
      </c>
      <c r="D305" s="0" t="inlineStr">
        <is>
          <t>预测</t>
        </is>
      </c>
      <c r="E305" s="0" t="inlineStr">
        <is>
          <t>vo_kb</t>
        </is>
      </c>
      <c r="F305" s="0" t="inlineStr">
        <is>
          <t>P040</t>
        </is>
      </c>
      <c r="G305" s="0" t="inlineStr">
        <is>
          <t>{"sheet": "GloVe-100", "cell": "K97", "value": 8668.73416, "estimated": true, "status": "预测", "point_id": "P040", "metric": "vo_kb", "previous_cell_value": 8668.73416,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[8609.348619999999, 8738.479716666667]}</t>
        </is>
      </c>
    </row>
    <row r="306">
      <c r="A306" s="0" t="inlineStr">
        <is>
          <t>GloVe-100</t>
        </is>
      </c>
      <c r="B306" s="0" t="inlineStr">
        <is>
          <t>K108</t>
        </is>
      </c>
      <c r="C306" s="0" t="n">
        <v>229.696802919478</v>
      </c>
      <c r="D306" s="0" t="inlineStr">
        <is>
          <t>预测</t>
        </is>
      </c>
      <c r="E306" s="0" t="inlineStr">
        <is>
          <t>verify_ms</t>
        </is>
      </c>
      <c r="F306" s="0" t="inlineStr">
        <is>
          <t>P040</t>
        </is>
      </c>
      <c r="G306" s="0" t="inlineStr">
        <is>
          <t>{"sheet": "GloVe-100", "cell": "K108", "value": 229.69680291947765, "estimated": true, "status": "预测", "point_id": "P040", "metric": "verify_ms", "previous_cell_value": 238.415467918604,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[57.42420072986941, 918.7872116779106]}</t>
        </is>
      </c>
    </row>
    <row r="307">
      <c r="A307" s="0" t="inlineStr">
        <is>
          <t>GloVe-100</t>
        </is>
      </c>
      <c r="B307" s="0" t="inlineStr">
        <is>
          <t>K118</t>
        </is>
      </c>
      <c r="C307" s="0" t="n">
        <v>89902603.2294644</v>
      </c>
      <c r="D307" s="0" t="inlineStr">
        <is>
          <t>预测</t>
        </is>
      </c>
      <c r="E307" s="0" t="inlineStr">
        <is>
          <t>query_ms</t>
        </is>
      </c>
      <c r="F307" s="0" t="inlineStr">
        <is>
          <t>P040</t>
        </is>
      </c>
      <c r="G307" s="0" t="inlineStr">
        <is>
          <t>{"sheet": "GloVe-100", "cell": "K118", "value": 89902603.22946438, "estimated": true, "status": "预测", "point_id": "P040", "metric": "query_ms", "previous_cell_value": 86583889.1752442,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[22475650.807366095, 719220825.835715]}</t>
        </is>
      </c>
    </row>
    <row r="308">
      <c r="A308" s="0" t="inlineStr">
        <is>
          <t>GloVe-100</t>
        </is>
      </c>
      <c r="B308" s="0" t="inlineStr">
        <is>
          <t>F64</t>
        </is>
      </c>
      <c r="C308" s="0" t="n">
        <v>762.542133333333</v>
      </c>
      <c r="D308" s="0" t="inlineStr">
        <is>
          <t>预测(参数假设)</t>
        </is>
      </c>
      <c r="E308" s="0" t="inlineStr">
        <is>
          <t>vo_kb</t>
        </is>
      </c>
      <c r="F308" s="0" t="inlineStr">
        <is>
          <t>P041</t>
        </is>
      </c>
      <c r="G308" s="0" t="inlineStr">
        <is>
          <t>{"sheet": "GloVe-100", "cell": "F64", "value": 762.5421333333333, "estimated": true, "status": "预测(参数假设)", "point_id": "P041", "metric": "vo_kb", "previous_cell_value": 762.542133333333,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[707.3006000000001, 828.1436833333333]}</t>
        </is>
      </c>
    </row>
    <row r="309">
      <c r="A309" s="0" t="inlineStr">
        <is>
          <t>GloVe-100</t>
        </is>
      </c>
      <c r="B309" s="0" t="inlineStr">
        <is>
          <t>F75</t>
        </is>
      </c>
      <c r="C309" s="0" t="n">
        <v>47.0441980181979</v>
      </c>
      <c r="D309" s="0" t="inlineStr">
        <is>
          <t>预测(参数假设)</t>
        </is>
      </c>
      <c r="E309" s="0" t="inlineStr">
        <is>
          <t>verify_ms</t>
        </is>
      </c>
      <c r="F309" s="0" t="inlineStr">
        <is>
          <t>P041</t>
        </is>
      </c>
      <c r="G309" s="0" t="inlineStr">
        <is>
          <t>{"sheet": "GloVe-100", "cell": "F75", "value": 47.044198018197875, "estimated": true, "status": "预测(参数假设)", "point_id": "P041", "metric": "verify_ms", "previous_cell_value": 47.5332363184639,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[5.880524752274734, 376.353584145583]}</t>
        </is>
      </c>
    </row>
    <row r="310">
      <c r="A310" s="0" t="inlineStr">
        <is>
          <t>GloVe-100</t>
        </is>
      </c>
      <c r="B310" s="0" t="inlineStr">
        <is>
          <t>F85</t>
        </is>
      </c>
      <c r="C310" s="0" t="n">
        <v>20809704.3901614</v>
      </c>
      <c r="D310" s="0" t="inlineStr">
        <is>
          <t>预测(参数假设)</t>
        </is>
      </c>
      <c r="E310" s="0" t="inlineStr">
        <is>
          <t>query_ms</t>
        </is>
      </c>
      <c r="F310" s="0" t="inlineStr">
        <is>
          <t>P041</t>
        </is>
      </c>
      <c r="G310" s="0" t="inlineStr">
        <is>
          <t>{"sheet": "GloVe-100", "cell": "F85", "value": 20809704.390161384, "estimated": true, "status": "预测(参数假设)", "point_id": "P041", "metric": "query_ms", "previous_cell_value": 20041488.7454703,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[2601213.048770173, 332955270.24258214]}</t>
        </is>
      </c>
    </row>
    <row r="311">
      <c r="A311" s="0" t="inlineStr">
        <is>
          <t>GloVe-100</t>
        </is>
      </c>
      <c r="B311" s="0" t="inlineStr">
        <is>
          <t>G64</t>
        </is>
      </c>
      <c r="C311" s="0" t="n">
        <v>2335.40613333333</v>
      </c>
      <c r="D311" s="0" t="inlineStr">
        <is>
          <t>预测(参数假设)</t>
        </is>
      </c>
      <c r="E311" s="0" t="inlineStr">
        <is>
          <t>vo_kb</t>
        </is>
      </c>
      <c r="F311" s="0" t="inlineStr">
        <is>
          <t>P042</t>
        </is>
      </c>
      <c r="G311" s="0" t="inlineStr">
        <is>
          <t>{"sheet": "GloVe-100", "cell": "G64", "value": 2335.4061333333334, "estimated": true, "status": "预测(参数假设)", "point_id": "P042", "metric": "vo_kb", "previous_cell_value": 2335.40613333333,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[2280.1646, 2401.0076833333337]}</t>
        </is>
      </c>
    </row>
    <row r="312">
      <c r="A312" s="0" t="inlineStr">
        <is>
          <t>GloVe-100</t>
        </is>
      </c>
      <c r="B312" s="0" t="inlineStr">
        <is>
          <t>G75</t>
        </is>
      </c>
      <c r="C312" s="0" t="n">
        <v>82.9042260806979</v>
      </c>
      <c r="D312" s="0" t="inlineStr">
        <is>
          <t>预测(参数假设)</t>
        </is>
      </c>
      <c r="E312" s="0" t="inlineStr">
        <is>
          <t>verify_ms</t>
        </is>
      </c>
      <c r="F312" s="0" t="inlineStr">
        <is>
          <t>P042</t>
        </is>
      </c>
      <c r="G312" s="0" t="inlineStr">
        <is>
          <t>{"sheet": "GloVe-100", "cell": "G75", "value": 82.90422608069788, "estimated": true, "status": "预测(参数假设)", "point_id": "P042", "metric": "verify_ms", "previous_cell_value": 85.0351293184639,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[10.363028260087235, 663.233808645583]}</t>
        </is>
      </c>
    </row>
    <row r="313">
      <c r="A313" s="0" t="inlineStr">
        <is>
          <t>GloVe-100</t>
        </is>
      </c>
      <c r="B313" s="0" t="inlineStr">
        <is>
          <t>G85</t>
        </is>
      </c>
      <c r="C313" s="0" t="n">
        <v>20809704.3901614</v>
      </c>
      <c r="D313" s="0" t="inlineStr">
        <is>
          <t>预测(参数假设)</t>
        </is>
      </c>
      <c r="E313" s="0" t="inlineStr">
        <is>
          <t>query_ms</t>
        </is>
      </c>
      <c r="F313" s="0" t="inlineStr">
        <is>
          <t>P042</t>
        </is>
      </c>
      <c r="G313" s="0" t="inlineStr">
        <is>
          <t>{"sheet": "GloVe-100", "cell": "G85", "value": 20809704.390161384, "estimated": true, "status": "预测(参数假设)", "point_id": "P042", "metric": "query_ms", "previous_cell_value": 20041488.7454703,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[2601213.048770173, 332955270.24258214]}</t>
        </is>
      </c>
    </row>
    <row r="314">
      <c r="A314" s="0" t="inlineStr">
        <is>
          <t>GloVe-100</t>
        </is>
      </c>
      <c r="B314" s="0" t="inlineStr">
        <is>
          <t>H64</t>
        </is>
      </c>
      <c r="C314" s="0" t="n">
        <v>4449.03814666667</v>
      </c>
      <c r="D314" s="0" t="inlineStr">
        <is>
          <t>预测(参数假设)</t>
        </is>
      </c>
      <c r="E314" s="0" t="inlineStr">
        <is>
          <t>vo_kb</t>
        </is>
      </c>
      <c r="F314" s="0" t="inlineStr">
        <is>
          <t>P043</t>
        </is>
      </c>
      <c r="G314" s="0" t="inlineStr">
        <is>
          <t>{"sheet": "GloVe-100", "cell": "H64", "value": 4449.038146666667, "estimated": true, "status": "预测(参数假设)", "point_id": "P043", "metric": "vo_kb", "previous_cell_value": 4449.03814666667,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[4391.72461, 4516.7117]}</t>
        </is>
      </c>
    </row>
    <row r="315">
      <c r="A315" s="0" t="inlineStr">
        <is>
          <t>GloVe-100</t>
        </is>
      </c>
      <c r="B315" s="0" t="inlineStr">
        <is>
          <t>H75</t>
        </is>
      </c>
      <c r="C315" s="0" t="n">
        <v>132.292235926282</v>
      </c>
      <c r="D315" s="0" t="inlineStr">
        <is>
          <t>预测(参数假设)</t>
        </is>
      </c>
      <c r="E315" s="0" t="inlineStr">
        <is>
          <t>verify_ms</t>
        </is>
      </c>
      <c r="F315" s="0" t="inlineStr">
        <is>
          <t>P043</t>
        </is>
      </c>
      <c r="G315" s="0" t="inlineStr">
        <is>
          <t>{"sheet": "GloVe-100", "cell": "H75", "value": 132.29223592628193, "estimated": true, "status": "预测(参数假设)", "point_id": "P043", "metric": "verify_ms", "previous_cell_value": 136.617791936726,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[16.53652949078524, 1058.3378874102555]}</t>
        </is>
      </c>
    </row>
    <row r="316">
      <c r="A316" s="0" t="inlineStr">
        <is>
          <t>GloVe-100</t>
        </is>
      </c>
      <c r="B316" s="0" t="inlineStr">
        <is>
          <t>H85</t>
        </is>
      </c>
      <c r="C316" s="0" t="n">
        <v>43285355.1975275</v>
      </c>
      <c r="D316" s="0" t="inlineStr">
        <is>
          <t>预测(参数假设)</t>
        </is>
      </c>
      <c r="E316" s="0" t="inlineStr">
        <is>
          <t>query_ms</t>
        </is>
      </c>
      <c r="F316" s="0" t="inlineStr">
        <is>
          <t>P043</t>
        </is>
      </c>
      <c r="G316" s="0" t="inlineStr">
        <is>
          <t>{"sheet": "GloVe-100", "cell": "H85", "value": 43285355.19752748, "estimated": true, "status": "预测(参数假设)", "point_id": "P043", "metric": "query_ms", "previous_cell_value": 41687461.0392814,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[5410669.399690935, 692565683.1604397]}</t>
        </is>
      </c>
    </row>
    <row r="317">
      <c r="A317" s="0" t="inlineStr">
        <is>
          <t>GloVe-100</t>
        </is>
      </c>
      <c r="B317" s="0" t="inlineStr">
        <is>
          <t>I64</t>
        </is>
      </c>
      <c r="C317" s="0" t="inlineStr">
        <is>
          <t>不适用</t>
        </is>
      </c>
      <c r="D317" s="0" t="inlineStr">
        <is>
          <t>不适用/目标未达</t>
        </is>
      </c>
      <c r="E317" s="0" t="inlineStr">
        <is>
          <t>vo_kb</t>
        </is>
      </c>
      <c r="G317" s="0" t="inlineStr">
        <is>
          <t>{"sheet": "GloVe-100", "cell": "I64", "value": "不适用", "estimated": false, "status": "不适用/目标未达", "point_id": null, "metric": "vo_kb",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18">
      <c r="A318" s="0" t="inlineStr">
        <is>
          <t>GloVe-100</t>
        </is>
      </c>
      <c r="B318" s="0" t="inlineStr">
        <is>
          <t>I75</t>
        </is>
      </c>
      <c r="C318" s="0" t="inlineStr">
        <is>
          <t>不适用</t>
        </is>
      </c>
      <c r="D318" s="0" t="inlineStr">
        <is>
          <t>不适用/目标未达</t>
        </is>
      </c>
      <c r="E318" s="0" t="inlineStr">
        <is>
          <t>verify_ms</t>
        </is>
      </c>
      <c r="G318" s="0" t="inlineStr">
        <is>
          <t>{"sheet": "GloVe-100", "cell": "I75", "value": "不适用", "estimated": false, "status": "不适用/目标未达", "point_id": null, "metric": "verify_ms",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19">
      <c r="A319" s="0" t="inlineStr">
        <is>
          <t>GloVe-100</t>
        </is>
      </c>
      <c r="B319" s="0" t="inlineStr">
        <is>
          <t>I85</t>
        </is>
      </c>
      <c r="C319" s="0" t="inlineStr">
        <is>
          <t>不适用</t>
        </is>
      </c>
      <c r="D319" s="0" t="inlineStr">
        <is>
          <t>不适用/目标未达</t>
        </is>
      </c>
      <c r="E319" s="0" t="inlineStr">
        <is>
          <t>query_ms</t>
        </is>
      </c>
      <c r="G319" s="0" t="inlineStr">
        <is>
          <t>{"sheet": "GloVe-100", "cell": "I85", "value": "不适用", "estimated": false, "status": "不适用/目标未达", "point_id": null, "metric": "query_ms",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20">
      <c r="A320" s="0" t="inlineStr">
        <is>
          <t>GloVe-100</t>
        </is>
      </c>
      <c r="B320" s="0" t="inlineStr">
        <is>
          <t>J64</t>
        </is>
      </c>
      <c r="C320" s="0" t="inlineStr">
        <is>
          <t>不适用</t>
        </is>
      </c>
      <c r="D320" s="0" t="inlineStr">
        <is>
          <t>不适用/目标未达</t>
        </is>
      </c>
      <c r="E320" s="0" t="inlineStr">
        <is>
          <t>vo_kb</t>
        </is>
      </c>
      <c r="G320" s="0" t="inlineStr">
        <is>
          <t>{"sheet": "GloVe-100", "cell": "J64", "value": "不适用", "estimated": false, "status": "不适用/目标未达", "point_id": null, "metric": "vo_kb",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21">
      <c r="A321" s="0" t="inlineStr">
        <is>
          <t>GloVe-100</t>
        </is>
      </c>
      <c r="B321" s="0" t="inlineStr">
        <is>
          <t>J75</t>
        </is>
      </c>
      <c r="C321" s="0" t="inlineStr">
        <is>
          <t>不适用</t>
        </is>
      </c>
      <c r="D321" s="0" t="inlineStr">
        <is>
          <t>不适用/目标未达</t>
        </is>
      </c>
      <c r="E321" s="0" t="inlineStr">
        <is>
          <t>verify_ms</t>
        </is>
      </c>
      <c r="G321" s="0" t="inlineStr">
        <is>
          <t>{"sheet": "GloVe-100", "cell": "J75", "value": "不适用", "estimated": false, "status": "不适用/目标未达", "point_id": null, "metric": "verify_ms",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22">
      <c r="A322" s="0" t="inlineStr">
        <is>
          <t>GloVe-100</t>
        </is>
      </c>
      <c r="B322" s="0" t="inlineStr">
        <is>
          <t>J85</t>
        </is>
      </c>
      <c r="C322" s="0" t="inlineStr">
        <is>
          <t>不适用</t>
        </is>
      </c>
      <c r="D322" s="0" t="inlineStr">
        <is>
          <t>不适用/目标未达</t>
        </is>
      </c>
      <c r="E322" s="0" t="inlineStr">
        <is>
          <t>query_ms</t>
        </is>
      </c>
      <c r="G322" s="0" t="inlineStr">
        <is>
          <t>{"sheet": "GloVe-100", "cell": "J85", "value": "不适用", "estimated": false, "status": "不适用/目标未达", "point_id": null, "metric": "query_ms",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23">
      <c r="A323" s="0" t="inlineStr">
        <is>
          <t>DEEP1M</t>
        </is>
      </c>
      <c r="B323" s="0" t="inlineStr">
        <is>
          <t>E12</t>
        </is>
      </c>
      <c r="C323" s="0" t="n">
        <v>95.5</v>
      </c>
      <c r="D323" s="0" t="inlineStr">
        <is>
          <t>搜索校准</t>
        </is>
      </c>
      <c r="E323" s="0" t="inlineStr">
        <is>
          <t>recall</t>
        </is>
      </c>
      <c r="F323" s="0" t="inlineStr">
        <is>
          <t>P044</t>
        </is>
      </c>
      <c r="G323" s="0" t="inlineStr">
        <is>
          <t>{"sheet": "DEEP1M", "cell": "E12", "value": 95.5, "estimated": false, "status": "搜索校准", "point_id": "P044", "metric": "recall", "previous_cell_value": 95.5,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24">
      <c r="A324" s="0" t="inlineStr">
        <is>
          <t>DEEP1M</t>
        </is>
      </c>
      <c r="B324" s="0" t="inlineStr">
        <is>
          <t>F12</t>
        </is>
      </c>
      <c r="C324" s="0" t="n">
        <v>2284113.60217582</v>
      </c>
      <c r="D324" s="0" t="inlineStr">
        <is>
          <t>预测</t>
        </is>
      </c>
      <c r="E324" s="0" t="inlineStr">
        <is>
          <t>query_ms</t>
        </is>
      </c>
      <c r="F324" s="0" t="inlineStr">
        <is>
          <t>P044</t>
        </is>
      </c>
      <c r="G324" s="0" t="inlineStr">
        <is>
          <t>{"sheet": "DEEP1M", "cell": "F12", "value": 2284113.602175818, "estimated": true, "status": "预测", "point_id": "P044", "metric": "query_ms", "previous_cell_value": 2199633.66400238,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[1142056.801087909, 9136454.408703271]}</t>
        </is>
      </c>
    </row>
    <row r="325">
      <c r="A325" s="0" t="inlineStr">
        <is>
          <t>DEEP1M</t>
        </is>
      </c>
      <c r="B325" s="0" t="inlineStr">
        <is>
          <t>G12</t>
        </is>
      </c>
      <c r="C325" s="0" t="n">
        <v>483.694093333333</v>
      </c>
      <c r="D325" s="0" t="inlineStr">
        <is>
          <t>预测</t>
        </is>
      </c>
      <c r="E325" s="0" t="inlineStr">
        <is>
          <t>vo_kb</t>
        </is>
      </c>
      <c r="F325" s="0" t="inlineStr">
        <is>
          <t>P044</t>
        </is>
      </c>
      <c r="G325" s="0" t="inlineStr">
        <is>
          <t>{"sheet": "DEEP1M", "cell": "G12", "value": 483.6940933333334, "estimated": true, "status": "预测", "point_id": "P044", "metric": "vo_kb", "previous_cell_value": 483.694093333333,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[434.66857, 543.0796333333333]}</t>
        </is>
      </c>
    </row>
    <row r="326">
      <c r="A326" s="0" t="inlineStr">
        <is>
          <t>DEEP1M</t>
        </is>
      </c>
      <c r="B326" s="0" t="inlineStr">
        <is>
          <t>H12</t>
        </is>
      </c>
      <c r="C326" s="0" t="n">
        <v>37.0899637315258</v>
      </c>
      <c r="D326" s="0" t="inlineStr">
        <is>
          <t>预测</t>
        </is>
      </c>
      <c r="E326" s="0" t="inlineStr">
        <is>
          <t>verify_ms</t>
        </is>
      </c>
      <c r="F326" s="0" t="inlineStr">
        <is>
          <t>P044</t>
        </is>
      </c>
      <c r="G326" s="0" t="inlineStr">
        <is>
          <t>{"sheet": "DEEP1M", "cell": "H12", "value": 37.0899637315258, "estimated": true, "status": "预测", "point_id": "P044", "metric": "verify_ms", "previous_cell_value": 37.3230314232127,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[18.5449818657629, 74.1799274630516]}</t>
        </is>
      </c>
    </row>
    <row r="327">
      <c r="A327" s="0" t="inlineStr">
        <is>
          <t>DEEP1M</t>
        </is>
      </c>
      <c r="B327" s="0" t="inlineStr">
        <is>
          <t>F136</t>
        </is>
      </c>
      <c r="C327" s="0" t="n">
        <v>0.955</v>
      </c>
      <c r="D327" s="0" t="inlineStr">
        <is>
          <t>搜索校准</t>
        </is>
      </c>
      <c r="E327" s="0" t="inlineStr">
        <is>
          <t>recall</t>
        </is>
      </c>
      <c r="F327" s="0" t="inlineStr">
        <is>
          <t>P044</t>
        </is>
      </c>
      <c r="G327" s="0" t="inlineStr">
        <is>
          <t>{"sheet": "DEEP1M", "cell": "F136", "value": 0.9550000000000001, "estimated": false, "status": "搜索校准", "point_id": "P044", "metric": "recall", "previous_cell_value": 0.955,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28">
      <c r="A328" s="0" t="inlineStr">
        <is>
          <t>DEEP1M</t>
        </is>
      </c>
      <c r="B328" s="0" t="inlineStr">
        <is>
          <t>G136</t>
        </is>
      </c>
      <c r="C328" s="0" t="n">
        <v>2284113.60217582</v>
      </c>
      <c r="D328" s="0" t="inlineStr">
        <is>
          <t>预测</t>
        </is>
      </c>
      <c r="E328" s="0" t="inlineStr">
        <is>
          <t>query_ms</t>
        </is>
      </c>
      <c r="F328" s="0" t="inlineStr">
        <is>
          <t>P044</t>
        </is>
      </c>
      <c r="G328" s="0" t="inlineStr">
        <is>
          <t>{"sheet": "DEEP1M", "cell": "G136", "value": 2284113.602175818, "estimated": true, "status": "预测", "point_id": "P044", "metric": "query_ms", "previous_cell_value": 2199633.66400238,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[1142056.801087909, 9136454.408703271]}</t>
        </is>
      </c>
    </row>
    <row r="329">
      <c r="A329" s="0" t="inlineStr">
        <is>
          <t>DEEP1M</t>
        </is>
      </c>
      <c r="B329" s="0" t="inlineStr">
        <is>
          <t>H136</t>
        </is>
      </c>
      <c r="C329" s="0" t="n">
        <v>483.694093333333</v>
      </c>
      <c r="D329" s="0" t="inlineStr">
        <is>
          <t>预测</t>
        </is>
      </c>
      <c r="E329" s="0" t="inlineStr">
        <is>
          <t>vo_kb</t>
        </is>
      </c>
      <c r="F329" s="0" t="inlineStr">
        <is>
          <t>P044</t>
        </is>
      </c>
      <c r="G329" s="0" t="inlineStr">
        <is>
          <t>{"sheet": "DEEP1M", "cell": "H136", "value": 483.6940933333334, "estimated": true, "status": "预测", "point_id": "P044", "metric": "vo_kb", "previous_cell_value": 483.694093333333,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[434.66857, 543.0796333333333]}</t>
        </is>
      </c>
    </row>
    <row r="330">
      <c r="A330" s="0" t="inlineStr">
        <is>
          <t>DEEP1M</t>
        </is>
      </c>
      <c r="B330" s="0" t="inlineStr">
        <is>
          <t>I136</t>
        </is>
      </c>
      <c r="C330" s="0" t="n">
        <v>37.0899637315258</v>
      </c>
      <c r="D330" s="0" t="inlineStr">
        <is>
          <t>预测</t>
        </is>
      </c>
      <c r="E330" s="0" t="inlineStr">
        <is>
          <t>verify_ms</t>
        </is>
      </c>
      <c r="F330" s="0" t="inlineStr">
        <is>
          <t>P044</t>
        </is>
      </c>
      <c r="G330" s="0" t="inlineStr">
        <is>
          <t>{"sheet": "DEEP1M", "cell": "I136", "value": 37.0899637315258, "estimated": true, "status": "预测", "point_id": "P044", "metric": "verify_ms", "previous_cell_value": 37.3230314232127,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[18.5449818657629, 74.1799274630516]}</t>
        </is>
      </c>
    </row>
    <row r="331">
      <c r="A331" s="0" t="inlineStr">
        <is>
          <t>DEEP1M</t>
        </is>
      </c>
      <c r="B331" s="0" t="inlineStr">
        <is>
          <t>F26</t>
        </is>
      </c>
      <c r="C331" s="0" t="n">
        <v>78</v>
      </c>
      <c r="D331" s="0" t="inlineStr">
        <is>
          <t>搜索校准</t>
        </is>
      </c>
      <c r="E331" s="0" t="inlineStr">
        <is>
          <t>recall</t>
        </is>
      </c>
      <c r="F331" s="0" t="inlineStr">
        <is>
          <t>P045</t>
        </is>
      </c>
      <c r="G331" s="0" t="inlineStr">
        <is>
          <t>{"sheet": "DEEP1M", "cell": "F26", "value": 78.0, "estimated": false, "status": "搜索校准", "point_id": "P045", "metric": "recall", "previous_cell_value": 78, "note": "目标60%。未完成证明的召回率仅为既有20查询搜索校准；不保证新的证明结果恰好达到该值。",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null}</t>
        </is>
      </c>
    </row>
    <row r="332">
      <c r="A332" s="0" t="inlineStr">
        <is>
          <t>DEEP1M</t>
        </is>
      </c>
      <c r="B332" s="0" t="inlineStr">
        <is>
          <t>F27</t>
        </is>
      </c>
      <c r="C332" s="0" t="n">
        <v>270.136241666667</v>
      </c>
      <c r="D332" s="0" t="inlineStr">
        <is>
          <t>预测(参考59/60个已验证样本)</t>
        </is>
      </c>
      <c r="E332" s="0" t="inlineStr">
        <is>
          <t>vo_kb</t>
        </is>
      </c>
      <c r="F332" s="0" t="inlineStr">
        <is>
          <t>P045</t>
        </is>
      </c>
      <c r="G332" s="0" t="inlineStr">
        <is>
          <t>{"sheet": "DEEP1M", "cell": "F27", "value": 270.1362416666667, "estimated": true, "status": "预测(参考59/60个已验证样本)", "point_id": "P045", "metric": "vo_kb", "previous_cell_value": 270.136241666667, "note": "目标60%；没有达到目标的配置时不预测一个虚假的达标点。",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[267.8748541666667, 274.6590166666667]}</t>
        </is>
      </c>
    </row>
    <row r="333">
      <c r="A333" s="0" t="inlineStr">
        <is>
          <t>DEEP1M</t>
        </is>
      </c>
      <c r="B333" s="0" t="inlineStr">
        <is>
          <t>F38</t>
        </is>
      </c>
      <c r="C333" s="0" t="n">
        <v>78</v>
      </c>
      <c r="D333" s="0" t="inlineStr">
        <is>
          <t>搜索校准</t>
        </is>
      </c>
      <c r="E333" s="0" t="inlineStr">
        <is>
          <t>recall</t>
        </is>
      </c>
      <c r="F333" s="0" t="inlineStr">
        <is>
          <t>P045</t>
        </is>
      </c>
      <c r="G333" s="0" t="inlineStr">
        <is>
          <t>{"sheet": "DEEP1M", "cell": "F38", "value": 78.0, "estimated": false, "status": "搜索校准", "point_id": "P045", "metric": "recall", "previous_cell_value": 78, "note": "目标60%。未完成证明的召回率仅为既有20查询搜索校准；不保证新的证明结果恰好达到该值。",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null}</t>
        </is>
      </c>
    </row>
    <row r="334">
      <c r="A334" s="0" t="inlineStr">
        <is>
          <t>DEEP1M</t>
        </is>
      </c>
      <c r="B334" s="0" t="inlineStr">
        <is>
          <t>F39</t>
        </is>
      </c>
      <c r="C334" s="0" t="n">
        <v>24.3807018416798</v>
      </c>
      <c r="D334" s="0" t="inlineStr">
        <is>
          <t>预测(参考59/60个已验证样本)</t>
        </is>
      </c>
      <c r="E334" s="0" t="inlineStr">
        <is>
          <t>verify_ms</t>
        </is>
      </c>
      <c r="F334" s="0" t="inlineStr">
        <is>
          <t>P045</t>
        </is>
      </c>
      <c r="G334" s="0" t="inlineStr">
        <is>
          <t>{"sheet": "DEEP1M", "cell": "F39", "value": 24.38070184167979, "estimated": true, "status": "预测(参考59/60个已验证样本)", "point_id": "P045", "metric": "verify_ms", "previous_cell_value": 24.3807018416798, "note": "目标60%；没有达到目标的配置时不预测一个虚假的达标点。",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[24.259819104190683, 24.622467316658003]}</t>
        </is>
      </c>
    </row>
    <row r="335">
      <c r="A335" s="0" t="inlineStr">
        <is>
          <t>DEEP1M</t>
        </is>
      </c>
      <c r="B335" s="0" t="inlineStr">
        <is>
          <t>F50</t>
        </is>
      </c>
      <c r="C335" s="0" t="n">
        <v>78</v>
      </c>
      <c r="D335" s="0" t="inlineStr">
        <is>
          <t>搜索校准</t>
        </is>
      </c>
      <c r="E335" s="0" t="inlineStr">
        <is>
          <t>recall</t>
        </is>
      </c>
      <c r="F335" s="0" t="inlineStr">
        <is>
          <t>P045</t>
        </is>
      </c>
      <c r="G335" s="0" t="inlineStr">
        <is>
          <t>{"sheet": "DEEP1M", "cell": "F50", "value": 78.0, "estimated": false, "status": "搜索校准", "point_id": "P045", "metric": "recall", "previous_cell_value": 78, "note": "目标60%。未完成证明的召回率仅为既有20查询搜索校准；不保证新的证明结果恰好达到该值。",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null}</t>
        </is>
      </c>
    </row>
    <row r="336">
      <c r="A336" s="0" t="inlineStr">
        <is>
          <t>DEEP1M</t>
        </is>
      </c>
      <c r="B336" s="0" t="inlineStr">
        <is>
          <t>F51</t>
        </is>
      </c>
      <c r="C336" s="0" t="n">
        <v>492311.891570983</v>
      </c>
      <c r="D336" s="0" t="inlineStr">
        <is>
          <t>预测(参考59/60个已验证样本)</t>
        </is>
      </c>
      <c r="E336" s="0" t="inlineStr">
        <is>
          <t>query_ms</t>
        </is>
      </c>
      <c r="F336" s="0" t="inlineStr">
        <is>
          <t>P045</t>
        </is>
      </c>
      <c r="G336" s="0" t="inlineStr">
        <is>
          <t>{"sheet": "DEEP1M", "cell": "F51", "value": 492311.8915709832, "estimated": true, "status": "预测(参考59/60个已验证样本)", "point_id": "P045", "metric": "query_ms", "previous_cell_value": 492311.891570983, "note": "目标60%；没有达到目标的配置时不预测一个虚假的达标点。",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[488141.0751918749, 500653.5243291998]}</t>
        </is>
      </c>
    </row>
    <row r="337">
      <c r="A337" s="0" t="inlineStr">
        <is>
          <t>DEEP1M</t>
        </is>
      </c>
      <c r="B337" s="0" t="inlineStr">
        <is>
          <t>G26</t>
        </is>
      </c>
      <c r="C337" s="0" t="n">
        <v>78</v>
      </c>
      <c r="D337" s="0" t="inlineStr">
        <is>
          <t>搜索校准</t>
        </is>
      </c>
      <c r="E337" s="0" t="inlineStr">
        <is>
          <t>recall</t>
        </is>
      </c>
      <c r="F337" s="0" t="inlineStr">
        <is>
          <t>P045</t>
        </is>
      </c>
      <c r="G337" s="0" t="inlineStr">
        <is>
          <t>{"sheet": "DEEP1M", "cell": "G26", "value": 78.0, "estimated": false, "status": "搜索校准", "point_id": "P045", "metric": "recall", "previous_cell_value": 78, "note": "目标65%。未完成证明的召回率仅为既有20查询搜索校准；不保证新的证明结果恰好达到该值。",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null}</t>
        </is>
      </c>
    </row>
    <row r="338">
      <c r="A338" s="0" t="inlineStr">
        <is>
          <t>DEEP1M</t>
        </is>
      </c>
      <c r="B338" s="0" t="inlineStr">
        <is>
          <t>G27</t>
        </is>
      </c>
      <c r="C338" s="0" t="n">
        <v>270.136241666667</v>
      </c>
      <c r="D338" s="0" t="inlineStr">
        <is>
          <t>预测(参考59/60个已验证样本)</t>
        </is>
      </c>
      <c r="E338" s="0" t="inlineStr">
        <is>
          <t>vo_kb</t>
        </is>
      </c>
      <c r="F338" s="0" t="inlineStr">
        <is>
          <t>P045</t>
        </is>
      </c>
      <c r="G338" s="0" t="inlineStr">
        <is>
          <t>{"sheet": "DEEP1M", "cell": "G27", "value": 270.1362416666667, "estimated": true, "status": "预测(参考59/60个已验证样本)", "point_id": "P045", "metric": "vo_kb", "previous_cell_value": 270.136241666667, "note": "目标65%；没有达到目标的配置时不预测一个虚假的达标点。",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[267.8748541666667, 274.6590166666667]}</t>
        </is>
      </c>
    </row>
    <row r="339">
      <c r="A339" s="0" t="inlineStr">
        <is>
          <t>DEEP1M</t>
        </is>
      </c>
      <c r="B339" s="0" t="inlineStr">
        <is>
          <t>G38</t>
        </is>
      </c>
      <c r="C339" s="0" t="n">
        <v>78</v>
      </c>
      <c r="D339" s="0" t="inlineStr">
        <is>
          <t>搜索校准</t>
        </is>
      </c>
      <c r="E339" s="0" t="inlineStr">
        <is>
          <t>recall</t>
        </is>
      </c>
      <c r="F339" s="0" t="inlineStr">
        <is>
          <t>P045</t>
        </is>
      </c>
      <c r="G339" s="0" t="inlineStr">
        <is>
          <t>{"sheet": "DEEP1M", "cell": "G38", "value": 78.0, "estimated": false, "status": "搜索校准", "point_id": "P045", "metric": "recall", "previous_cell_value": 78, "note": "目标65%。未完成证明的召回率仅为既有20查询搜索校准；不保证新的证明结果恰好达到该值。",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null}</t>
        </is>
      </c>
    </row>
    <row r="340">
      <c r="A340" s="0" t="inlineStr">
        <is>
          <t>DEEP1M</t>
        </is>
      </c>
      <c r="B340" s="0" t="inlineStr">
        <is>
          <t>G39</t>
        </is>
      </c>
      <c r="C340" s="0" t="n">
        <v>24.3807018416798</v>
      </c>
      <c r="D340" s="0" t="inlineStr">
        <is>
          <t>预测(参考59/60个已验证样本)</t>
        </is>
      </c>
      <c r="E340" s="0" t="inlineStr">
        <is>
          <t>verify_ms</t>
        </is>
      </c>
      <c r="F340" s="0" t="inlineStr">
        <is>
          <t>P045</t>
        </is>
      </c>
      <c r="G340" s="0" t="inlineStr">
        <is>
          <t>{"sheet": "DEEP1M", "cell": "G39", "value": 24.38070184167979, "estimated": true, "status": "预测(参考59/60个已验证样本)", "point_id": "P045", "metric": "verify_ms", "previous_cell_value": 24.3807018416798, "note": "目标65%；没有达到目标的配置时不预测一个虚假的达标点。",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[24.259819104190683, 24.622467316658003]}</t>
        </is>
      </c>
    </row>
    <row r="341">
      <c r="A341" s="0" t="inlineStr">
        <is>
          <t>DEEP1M</t>
        </is>
      </c>
      <c r="B341" s="0" t="inlineStr">
        <is>
          <t>G50</t>
        </is>
      </c>
      <c r="C341" s="0" t="n">
        <v>78</v>
      </c>
      <c r="D341" s="0" t="inlineStr">
        <is>
          <t>搜索校准</t>
        </is>
      </c>
      <c r="E341" s="0" t="inlineStr">
        <is>
          <t>recall</t>
        </is>
      </c>
      <c r="F341" s="0" t="inlineStr">
        <is>
          <t>P045</t>
        </is>
      </c>
      <c r="G341" s="0" t="inlineStr">
        <is>
          <t>{"sheet": "DEEP1M", "cell": "G50", "value": 78.0, "estimated": false, "status": "搜索校准", "point_id": "P045", "metric": "recall", "previous_cell_value": 78, "note": "目标65%。未完成证明的召回率仅为既有20查询搜索校准；不保证新的证明结果恰好达到该值。",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null}</t>
        </is>
      </c>
    </row>
    <row r="342">
      <c r="A342" s="0" t="inlineStr">
        <is>
          <t>DEEP1M</t>
        </is>
      </c>
      <c r="B342" s="0" t="inlineStr">
        <is>
          <t>G51</t>
        </is>
      </c>
      <c r="C342" s="0" t="n">
        <v>492311.891570983</v>
      </c>
      <c r="D342" s="0" t="inlineStr">
        <is>
          <t>预测(参考59/60个已验证样本)</t>
        </is>
      </c>
      <c r="E342" s="0" t="inlineStr">
        <is>
          <t>query_ms</t>
        </is>
      </c>
      <c r="F342" s="0" t="inlineStr">
        <is>
          <t>P045</t>
        </is>
      </c>
      <c r="G342" s="0" t="inlineStr">
        <is>
          <t>{"sheet": "DEEP1M", "cell": "G51", "value": 492311.8915709832, "estimated": true, "status": "预测(参考59/60个已验证样本)", "point_id": "P045", "metric": "query_ms", "previous_cell_value": 492311.891570983, "note": "目标65%；没有达到目标的配置时不预测一个虚假的达标点。",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[488141.0751918749, 500653.5243291998]}</t>
        </is>
      </c>
    </row>
    <row r="343">
      <c r="A343" s="0" t="inlineStr">
        <is>
          <t>DEEP1M</t>
        </is>
      </c>
      <c r="B343" s="0" t="inlineStr">
        <is>
          <t>H26</t>
        </is>
      </c>
      <c r="C343" s="0" t="n">
        <v>78</v>
      </c>
      <c r="D343" s="0" t="inlineStr">
        <is>
          <t>搜索校准</t>
        </is>
      </c>
      <c r="E343" s="0" t="inlineStr">
        <is>
          <t>recall</t>
        </is>
      </c>
      <c r="F343" s="0" t="inlineStr">
        <is>
          <t>P045</t>
        </is>
      </c>
      <c r="G343" s="0" t="inlineStr">
        <is>
          <t>{"sheet": "DEEP1M", "cell": "H26", "value": 78.0, "estimated": false, "status": "搜索校准", "point_id": "P045", "metric": "recall", "previous_cell_value": 78, "note": "目标70%。未完成证明的召回率仅为既有20查询搜索校准；不保证新的证明结果恰好达到该值。",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null}</t>
        </is>
      </c>
    </row>
    <row r="344">
      <c r="A344" s="0" t="inlineStr">
        <is>
          <t>DEEP1M</t>
        </is>
      </c>
      <c r="B344" s="0" t="inlineStr">
        <is>
          <t>H27</t>
        </is>
      </c>
      <c r="C344" s="0" t="n">
        <v>270.136241666667</v>
      </c>
      <c r="D344" s="0" t="inlineStr">
        <is>
          <t>预测(参考59/60个已验证样本)</t>
        </is>
      </c>
      <c r="E344" s="0" t="inlineStr">
        <is>
          <t>vo_kb</t>
        </is>
      </c>
      <c r="F344" s="0" t="inlineStr">
        <is>
          <t>P045</t>
        </is>
      </c>
      <c r="G344" s="0" t="inlineStr">
        <is>
          <t>{"sheet": "DEEP1M", "cell": "H27", "value": 270.1362416666667, "estimated": true, "status": "预测(参考59/60个已验证样本)", "point_id": "P045", "metric": "vo_kb", "previous_cell_value": 270.136241666667, "note": "目标70%；没有达到目标的配置时不预测一个虚假的达标点。",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[267.8748541666667, 274.6590166666667]}</t>
        </is>
      </c>
    </row>
    <row r="345">
      <c r="A345" s="0" t="inlineStr">
        <is>
          <t>DEEP1M</t>
        </is>
      </c>
      <c r="B345" s="0" t="inlineStr">
        <is>
          <t>H38</t>
        </is>
      </c>
      <c r="C345" s="0" t="n">
        <v>78</v>
      </c>
      <c r="D345" s="0" t="inlineStr">
        <is>
          <t>搜索校准</t>
        </is>
      </c>
      <c r="E345" s="0" t="inlineStr">
        <is>
          <t>recall</t>
        </is>
      </c>
      <c r="F345" s="0" t="inlineStr">
        <is>
          <t>P045</t>
        </is>
      </c>
      <c r="G345" s="0" t="inlineStr">
        <is>
          <t>{"sheet": "DEEP1M", "cell": "H38", "value": 78.0, "estimated": false, "status": "搜索校准", "point_id": "P045", "metric": "recall", "previous_cell_value": 78, "note": "目标70%。未完成证明的召回率仅为既有20查询搜索校准；不保证新的证明结果恰好达到该值。",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null}</t>
        </is>
      </c>
    </row>
    <row r="346">
      <c r="A346" s="0" t="inlineStr">
        <is>
          <t>DEEP1M</t>
        </is>
      </c>
      <c r="B346" s="0" t="inlineStr">
        <is>
          <t>H39</t>
        </is>
      </c>
      <c r="C346" s="0" t="n">
        <v>24.3807018416798</v>
      </c>
      <c r="D346" s="0" t="inlineStr">
        <is>
          <t>预测(参考59/60个已验证样本)</t>
        </is>
      </c>
      <c r="E346" s="0" t="inlineStr">
        <is>
          <t>verify_ms</t>
        </is>
      </c>
      <c r="F346" s="0" t="inlineStr">
        <is>
          <t>P045</t>
        </is>
      </c>
      <c r="G346" s="0" t="inlineStr">
        <is>
          <t>{"sheet": "DEEP1M", "cell": "H39", "value": 24.38070184167979, "estimated": true, "status": "预测(参考59/60个已验证样本)", "point_id": "P045", "metric": "verify_ms", "previous_cell_value": 24.3807018416798, "note": "目标70%；没有达到目标的配置时不预测一个虚假的达标点。",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[24.259819104190683, 24.622467316658003]}</t>
        </is>
      </c>
    </row>
    <row r="347">
      <c r="A347" s="0" t="inlineStr">
        <is>
          <t>DEEP1M</t>
        </is>
      </c>
      <c r="B347" s="0" t="inlineStr">
        <is>
          <t>H50</t>
        </is>
      </c>
      <c r="C347" s="0" t="n">
        <v>78</v>
      </c>
      <c r="D347" s="0" t="inlineStr">
        <is>
          <t>搜索校准</t>
        </is>
      </c>
      <c r="E347" s="0" t="inlineStr">
        <is>
          <t>recall</t>
        </is>
      </c>
      <c r="F347" s="0" t="inlineStr">
        <is>
          <t>P045</t>
        </is>
      </c>
      <c r="G347" s="0" t="inlineStr">
        <is>
          <t>{"sheet": "DEEP1M", "cell": "H50", "value": 78.0, "estimated": false, "status": "搜索校准", "point_id": "P045", "metric": "recall", "previous_cell_value": 78, "note": "目标70%。未完成证明的召回率仅为既有20查询搜索校准；不保证新的证明结果恰好达到该值。",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null}</t>
        </is>
      </c>
    </row>
    <row r="348">
      <c r="A348" s="0" t="inlineStr">
        <is>
          <t>DEEP1M</t>
        </is>
      </c>
      <c r="B348" s="0" t="inlineStr">
        <is>
          <t>H51</t>
        </is>
      </c>
      <c r="C348" s="0" t="n">
        <v>492311.891570983</v>
      </c>
      <c r="D348" s="0" t="inlineStr">
        <is>
          <t>预测(参考59/60个已验证样本)</t>
        </is>
      </c>
      <c r="E348" s="0" t="inlineStr">
        <is>
          <t>query_ms</t>
        </is>
      </c>
      <c r="F348" s="0" t="inlineStr">
        <is>
          <t>P045</t>
        </is>
      </c>
      <c r="G348" s="0" t="inlineStr">
        <is>
          <t>{"sheet": "DEEP1M", "cell": "H51", "value": 492311.8915709832, "estimated": true, "status": "预测(参考59/60个已验证样本)", "point_id": "P045", "metric": "query_ms", "previous_cell_value": 492311.891570983, "note": "目标70%；没有达到目标的配置时不预测一个虚假的达标点。",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[488141.0751918749, 500653.5243291998]}</t>
        </is>
      </c>
    </row>
    <row r="349">
      <c r="A349" s="0" t="inlineStr">
        <is>
          <t>DEEP1M</t>
        </is>
      </c>
      <c r="B349" s="0" t="inlineStr">
        <is>
          <t>I26</t>
        </is>
      </c>
      <c r="C349" s="0" t="n">
        <v>78</v>
      </c>
      <c r="D349" s="0" t="inlineStr">
        <is>
          <t>搜索校准</t>
        </is>
      </c>
      <c r="E349" s="0" t="inlineStr">
        <is>
          <t>recall</t>
        </is>
      </c>
      <c r="F349" s="0" t="inlineStr">
        <is>
          <t>P045</t>
        </is>
      </c>
      <c r="G349" s="0" t="inlineStr">
        <is>
          <t>{"sheet": "DEEP1M", "cell": "I26", "value": 78.0, "estimated": false, "status": "搜索校准", "point_id": "P045", "metric": "recall", "previous_cell_value": 78, "note": "目标75%。未完成证明的召回率仅为既有20查询搜索校准；不保证新的证明结果恰好达到该值。",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null}</t>
        </is>
      </c>
    </row>
    <row r="350">
      <c r="A350" s="0" t="inlineStr">
        <is>
          <t>DEEP1M</t>
        </is>
      </c>
      <c r="B350" s="0" t="inlineStr">
        <is>
          <t>I27</t>
        </is>
      </c>
      <c r="C350" s="0" t="n">
        <v>270.136241666667</v>
      </c>
      <c r="D350" s="0" t="inlineStr">
        <is>
          <t>预测(参考59/60个已验证样本)</t>
        </is>
      </c>
      <c r="E350" s="0" t="inlineStr">
        <is>
          <t>vo_kb</t>
        </is>
      </c>
      <c r="F350" s="0" t="inlineStr">
        <is>
          <t>P045</t>
        </is>
      </c>
      <c r="G350" s="0" t="inlineStr">
        <is>
          <t>{"sheet": "DEEP1M", "cell": "I27", "value": 270.1362416666667, "estimated": true, "status": "预测(参考59/60个已验证样本)", "point_id": "P045", "metric": "vo_kb", "previous_cell_value": 270.136241666667, "note": "目标75%；没有达到目标的配置时不预测一个虚假的达标点。",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[267.8748541666667, 274.6590166666667]}</t>
        </is>
      </c>
    </row>
    <row r="351">
      <c r="A351" s="0" t="inlineStr">
        <is>
          <t>DEEP1M</t>
        </is>
      </c>
      <c r="B351" s="0" t="inlineStr">
        <is>
          <t>I38</t>
        </is>
      </c>
      <c r="C351" s="0" t="n">
        <v>78</v>
      </c>
      <c r="D351" s="0" t="inlineStr">
        <is>
          <t>搜索校准</t>
        </is>
      </c>
      <c r="E351" s="0" t="inlineStr">
        <is>
          <t>recall</t>
        </is>
      </c>
      <c r="F351" s="0" t="inlineStr">
        <is>
          <t>P045</t>
        </is>
      </c>
      <c r="G351" s="0" t="inlineStr">
        <is>
          <t>{"sheet": "DEEP1M", "cell": "I38", "value": 78.0, "estimated": false, "status": "搜索校准", "point_id": "P045", "metric": "recall", "previous_cell_value": 78, "note": "目标75%。未完成证明的召回率仅为既有20查询搜索校准；不保证新的证明结果恰好达到该值。",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null}</t>
        </is>
      </c>
    </row>
    <row r="352">
      <c r="A352" s="0" t="inlineStr">
        <is>
          <t>DEEP1M</t>
        </is>
      </c>
      <c r="B352" s="0" t="inlineStr">
        <is>
          <t>I39</t>
        </is>
      </c>
      <c r="C352" s="0" t="n">
        <v>24.3807018416798</v>
      </c>
      <c r="D352" s="0" t="inlineStr">
        <is>
          <t>预测(参考59/60个已验证样本)</t>
        </is>
      </c>
      <c r="E352" s="0" t="inlineStr">
        <is>
          <t>verify_ms</t>
        </is>
      </c>
      <c r="F352" s="0" t="inlineStr">
        <is>
          <t>P045</t>
        </is>
      </c>
      <c r="G352" s="0" t="inlineStr">
        <is>
          <t>{"sheet": "DEEP1M", "cell": "I39", "value": 24.38070184167979, "estimated": true, "status": "预测(参考59/60个已验证样本)", "point_id": "P045", "metric": "verify_ms", "previous_cell_value": 24.3807018416798, "note": "目标75%；没有达到目标的配置时不预测一个虚假的达标点。",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[24.259819104190683, 24.622467316658003]}</t>
        </is>
      </c>
    </row>
    <row r="353">
      <c r="A353" s="0" t="inlineStr">
        <is>
          <t>DEEP1M</t>
        </is>
      </c>
      <c r="B353" s="0" t="inlineStr">
        <is>
          <t>I50</t>
        </is>
      </c>
      <c r="C353" s="0" t="n">
        <v>78</v>
      </c>
      <c r="D353" s="0" t="inlineStr">
        <is>
          <t>搜索校准</t>
        </is>
      </c>
      <c r="E353" s="0" t="inlineStr">
        <is>
          <t>recall</t>
        </is>
      </c>
      <c r="F353" s="0" t="inlineStr">
        <is>
          <t>P045</t>
        </is>
      </c>
      <c r="G353" s="0" t="inlineStr">
        <is>
          <t>{"sheet": "DEEP1M", "cell": "I50", "value": 78.0, "estimated": false, "status": "搜索校准", "point_id": "P045", "metric": "recall", "previous_cell_value": 78, "note": "目标75%。未完成证明的召回率仅为既有20查询搜索校准；不保证新的证明结果恰好达到该值。",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null}</t>
        </is>
      </c>
    </row>
    <row r="354">
      <c r="A354" s="0" t="inlineStr">
        <is>
          <t>DEEP1M</t>
        </is>
      </c>
      <c r="B354" s="0" t="inlineStr">
        <is>
          <t>I51</t>
        </is>
      </c>
      <c r="C354" s="0" t="n">
        <v>492311.891570983</v>
      </c>
      <c r="D354" s="0" t="inlineStr">
        <is>
          <t>预测(参考59/60个已验证样本)</t>
        </is>
      </c>
      <c r="E354" s="0" t="inlineStr">
        <is>
          <t>query_ms</t>
        </is>
      </c>
      <c r="F354" s="0" t="inlineStr">
        <is>
          <t>P045</t>
        </is>
      </c>
      <c r="G354" s="0" t="inlineStr">
        <is>
          <t>{"sheet": "DEEP1M", "cell": "I51", "value": 492311.8915709832, "estimated": true, "status": "预测(参考59/60个已验证样本)", "point_id": "P045", "metric": "query_ms", "previous_cell_value": 492311.891570983, "note": "目标75%；没有达到目标的配置时不预测一个虚假的达标点。",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[488141.0751918749, 500653.5243291998]}</t>
        </is>
      </c>
    </row>
    <row r="355">
      <c r="A355" s="0" t="inlineStr">
        <is>
          <t>DEEP1M</t>
        </is>
      </c>
      <c r="B355" s="0" t="inlineStr">
        <is>
          <t>J26</t>
        </is>
      </c>
      <c r="C355" s="0" t="n">
        <v>90</v>
      </c>
      <c r="D355" s="0" t="inlineStr">
        <is>
          <t>搜索校准</t>
        </is>
      </c>
      <c r="E355" s="0" t="inlineStr">
        <is>
          <t>recall</t>
        </is>
      </c>
      <c r="F355" s="0" t="inlineStr">
        <is>
          <t>P046</t>
        </is>
      </c>
      <c r="G355" s="0" t="inlineStr">
        <is>
          <t>{"sheet": "DEEP1M", "cell": "J26", "value": 90.0, "estimated": false, "status": "搜索校准", "point_id": "P046", "metric": "recall", "previous_cell_value": 90, "note": "目标80%。未完成证明的召回率仅为既有20查询搜索校准；不保证新的证明结果恰好达到该值。",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56">
      <c r="A356" s="0" t="inlineStr">
        <is>
          <t>DEEP1M</t>
        </is>
      </c>
      <c r="B356" s="0" t="inlineStr">
        <is>
          <t>J27</t>
        </is>
      </c>
      <c r="C356" s="0" t="n">
        <v>344.33408</v>
      </c>
      <c r="D356" s="0" t="inlineStr">
        <is>
          <t>预测</t>
        </is>
      </c>
      <c r="E356" s="0" t="inlineStr">
        <is>
          <t>vo_kb</t>
        </is>
      </c>
      <c r="F356" s="0" t="inlineStr">
        <is>
          <t>P046</t>
        </is>
      </c>
      <c r="G356" s="0" t="inlineStr">
        <is>
          <t>{"sheet": "DEEP1M", "cell": "J27", "value": 344.33408000000003, "estimated": true, "status": "预测", "point_id": "P046", "metric": "vo_kb", "previous_cell_value": 344.33408, "note": "目标80%；没有达到目标的配置时不预测一个虚假的达标点。",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[297.38056, 401.6476166666667]}</t>
        </is>
      </c>
    </row>
    <row r="357">
      <c r="A357" s="0" t="inlineStr">
        <is>
          <t>DEEP1M</t>
        </is>
      </c>
      <c r="B357" s="0" t="inlineStr">
        <is>
          <t>J38</t>
        </is>
      </c>
      <c r="C357" s="0" t="n">
        <v>90</v>
      </c>
      <c r="D357" s="0" t="inlineStr">
        <is>
          <t>搜索校准</t>
        </is>
      </c>
      <c r="E357" s="0" t="inlineStr">
        <is>
          <t>recall</t>
        </is>
      </c>
      <c r="F357" s="0" t="inlineStr">
        <is>
          <t>P046</t>
        </is>
      </c>
      <c r="G357" s="0" t="inlineStr">
        <is>
          <t>{"sheet": "DEEP1M", "cell": "J38", "value": 90.0, "estimated": false, "status": "搜索校准", "point_id": "P046", "metric": "recall", "previous_cell_value": 90, "note": "目标80%。未完成证明的召回率仅为既有20查询搜索校准；不保证新的证明结果恰好达到该值。",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58">
      <c r="A358" s="0" t="inlineStr">
        <is>
          <t>DEEP1M</t>
        </is>
      </c>
      <c r="B358" s="0" t="inlineStr">
        <is>
          <t>J39</t>
        </is>
      </c>
      <c r="C358" s="0" t="n">
        <v>32.7137599435589</v>
      </c>
      <c r="D358" s="0" t="inlineStr">
        <is>
          <t>预测</t>
        </is>
      </c>
      <c r="E358" s="0" t="inlineStr">
        <is>
          <t>verify_ms</t>
        </is>
      </c>
      <c r="F358" s="0" t="inlineStr">
        <is>
          <t>P046</t>
        </is>
      </c>
      <c r="G358" s="0" t="inlineStr">
        <is>
          <t>{"sheet": "DEEP1M", "cell": "J39", "value": 32.71375994355892, "estimated": true, "status": "预测", "point_id": "P046", "metric": "verify_ms", "previous_cell_value": 32.8130574143261, "note": "目标80%；没有达到目标的配置时不预测一个虚假的达标点。",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[16.35687997177946, 65.42751988711784]}</t>
        </is>
      </c>
    </row>
    <row r="359">
      <c r="A359" s="0" t="inlineStr">
        <is>
          <t>DEEP1M</t>
        </is>
      </c>
      <c r="B359" s="0" t="inlineStr">
        <is>
          <t>J50</t>
        </is>
      </c>
      <c r="C359" s="0" t="n">
        <v>90</v>
      </c>
      <c r="D359" s="0" t="inlineStr">
        <is>
          <t>搜索校准</t>
        </is>
      </c>
      <c r="E359" s="0" t="inlineStr">
        <is>
          <t>recall</t>
        </is>
      </c>
      <c r="F359" s="0" t="inlineStr">
        <is>
          <t>P046</t>
        </is>
      </c>
      <c r="G359" s="0" t="inlineStr">
        <is>
          <t>{"sheet": "DEEP1M", "cell": "J50", "value": 90.0, "estimated": false, "status": "搜索校准", "point_id": "P046", "metric": "recall", "previous_cell_value": 90, "note": "目标80%。未完成证明的召回率仅为既有20查询搜索校准；不保证新的证明结果恰好达到该值。",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60">
      <c r="A360" s="0" t="inlineStr">
        <is>
          <t>DEEP1M</t>
        </is>
      </c>
      <c r="B360" s="0" t="inlineStr">
        <is>
          <t>J51</t>
        </is>
      </c>
      <c r="C360" s="0" t="n">
        <v>1090098.64352088</v>
      </c>
      <c r="D360" s="0" t="inlineStr">
        <is>
          <t>预测</t>
        </is>
      </c>
      <c r="E360" s="0" t="inlineStr">
        <is>
          <t>query_ms</t>
        </is>
      </c>
      <c r="F360" s="0" t="inlineStr">
        <is>
          <t>P046</t>
        </is>
      </c>
      <c r="G360" s="0" t="inlineStr">
        <is>
          <t>{"sheet": "DEEP1M", "cell": "J51", "value": 1090098.643520879, "estimated": true, "status": "预测", "point_id": "P046", "metric": "query_ms", "previous_cell_value": 1049778.89619462, "note": "目标80%；没有达到目标的配置时不预测一个虚假的达标点。",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[545049.3217604395, 4360394.574083516]}</t>
        </is>
      </c>
    </row>
    <row r="361">
      <c r="A361" s="0" t="inlineStr">
        <is>
          <t>DEEP1M</t>
        </is>
      </c>
      <c r="B361" s="0" t="inlineStr">
        <is>
          <t>K26</t>
        </is>
      </c>
      <c r="C361" s="0" t="n">
        <v>90</v>
      </c>
      <c r="D361" s="0" t="inlineStr">
        <is>
          <t>搜索校准</t>
        </is>
      </c>
      <c r="E361" s="0" t="inlineStr">
        <is>
          <t>recall</t>
        </is>
      </c>
      <c r="F361" s="0" t="inlineStr">
        <is>
          <t>P046</t>
        </is>
      </c>
      <c r="G361" s="0" t="inlineStr">
        <is>
          <t>{"sheet": "DEEP1M", "cell": "K26", "value": 90.0, "estimated": false, "status": "搜索校准", "point_id": "P046", "metric": "recall", "previous_cell_value": 90, "note": "目标85%。未完成证明的召回率仅为既有20查询搜索校准；不保证新的证明结果恰好达到该值。",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62">
      <c r="A362" s="0" t="inlineStr">
        <is>
          <t>DEEP1M</t>
        </is>
      </c>
      <c r="B362" s="0" t="inlineStr">
        <is>
          <t>K27</t>
        </is>
      </c>
      <c r="C362" s="0" t="n">
        <v>344.33408</v>
      </c>
      <c r="D362" s="0" t="inlineStr">
        <is>
          <t>预测</t>
        </is>
      </c>
      <c r="E362" s="0" t="inlineStr">
        <is>
          <t>vo_kb</t>
        </is>
      </c>
      <c r="F362" s="0" t="inlineStr">
        <is>
          <t>P046</t>
        </is>
      </c>
      <c r="G362" s="0" t="inlineStr">
        <is>
          <t>{"sheet": "DEEP1M", "cell": "K27", "value": 344.33408000000003, "estimated": true, "status": "预测", "point_id": "P046", "metric": "vo_kb", "previous_cell_value": 344.33408, "note": "目标85%；没有达到目标的配置时不预测一个虚假的达标点。",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[297.38056, 401.6476166666667]}</t>
        </is>
      </c>
    </row>
    <row r="363">
      <c r="A363" s="0" t="inlineStr">
        <is>
          <t>DEEP1M</t>
        </is>
      </c>
      <c r="B363" s="0" t="inlineStr">
        <is>
          <t>K38</t>
        </is>
      </c>
      <c r="C363" s="0" t="n">
        <v>90</v>
      </c>
      <c r="D363" s="0" t="inlineStr">
        <is>
          <t>搜索校准</t>
        </is>
      </c>
      <c r="E363" s="0" t="inlineStr">
        <is>
          <t>recall</t>
        </is>
      </c>
      <c r="F363" s="0" t="inlineStr">
        <is>
          <t>P046</t>
        </is>
      </c>
      <c r="G363" s="0" t="inlineStr">
        <is>
          <t>{"sheet": "DEEP1M", "cell": "K38", "value": 90.0, "estimated": false, "status": "搜索校准", "point_id": "P046", "metric": "recall", "previous_cell_value": 90, "note": "目标85%。未完成证明的召回率仅为既有20查询搜索校准；不保证新的证明结果恰好达到该值。",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64">
      <c r="A364" s="0" t="inlineStr">
        <is>
          <t>DEEP1M</t>
        </is>
      </c>
      <c r="B364" s="0" t="inlineStr">
        <is>
          <t>K39</t>
        </is>
      </c>
      <c r="C364" s="0" t="n">
        <v>32.7137599435589</v>
      </c>
      <c r="D364" s="0" t="inlineStr">
        <is>
          <t>预测</t>
        </is>
      </c>
      <c r="E364" s="0" t="inlineStr">
        <is>
          <t>verify_ms</t>
        </is>
      </c>
      <c r="F364" s="0" t="inlineStr">
        <is>
          <t>P046</t>
        </is>
      </c>
      <c r="G364" s="0" t="inlineStr">
        <is>
          <t>{"sheet": "DEEP1M", "cell": "K39", "value": 32.71375994355892, "estimated": true, "status": "预测", "point_id": "P046", "metric": "verify_ms", "previous_cell_value": 32.8130574143261, "note": "目标85%；没有达到目标的配置时不预测一个虚假的达标点。",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[16.35687997177946, 65.42751988711784]}</t>
        </is>
      </c>
    </row>
    <row r="365">
      <c r="A365" s="0" t="inlineStr">
        <is>
          <t>DEEP1M</t>
        </is>
      </c>
      <c r="B365" s="0" t="inlineStr">
        <is>
          <t>K50</t>
        </is>
      </c>
      <c r="C365" s="0" t="n">
        <v>90</v>
      </c>
      <c r="D365" s="0" t="inlineStr">
        <is>
          <t>搜索校准</t>
        </is>
      </c>
      <c r="E365" s="0" t="inlineStr">
        <is>
          <t>recall</t>
        </is>
      </c>
      <c r="F365" s="0" t="inlineStr">
        <is>
          <t>P046</t>
        </is>
      </c>
      <c r="G365" s="0" t="inlineStr">
        <is>
          <t>{"sheet": "DEEP1M", "cell": "K50", "value": 90.0, "estimated": false, "status": "搜索校准", "point_id": "P046", "metric": "recall", "previous_cell_value": 90, "note": "目标85%。未完成证明的召回率仅为既有20查询搜索校准；不保证新的证明结果恰好达到该值。",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66">
      <c r="A366" s="0" t="inlineStr">
        <is>
          <t>DEEP1M</t>
        </is>
      </c>
      <c r="B366" s="0" t="inlineStr">
        <is>
          <t>K51</t>
        </is>
      </c>
      <c r="C366" s="0" t="n">
        <v>1090098.64352088</v>
      </c>
      <c r="D366" s="0" t="inlineStr">
        <is>
          <t>预测</t>
        </is>
      </c>
      <c r="E366" s="0" t="inlineStr">
        <is>
          <t>query_ms</t>
        </is>
      </c>
      <c r="F366" s="0" t="inlineStr">
        <is>
          <t>P046</t>
        </is>
      </c>
      <c r="G366" s="0" t="inlineStr">
        <is>
          <t>{"sheet": "DEEP1M", "cell": "K51", "value": 1090098.643520879, "estimated": true, "status": "预测", "point_id": "P046", "metric": "query_ms", "previous_cell_value": 1049778.89619462, "note": "目标85%；没有达到目标的配置时不预测一个虚假的达标点。",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[545049.3217604395, 4360394.574083516]}</t>
        </is>
      </c>
    </row>
    <row r="367">
      <c r="A367" s="0" t="inlineStr">
        <is>
          <t>DEEP1M</t>
        </is>
      </c>
      <c r="B367" s="0" t="inlineStr">
        <is>
          <t>L26</t>
        </is>
      </c>
      <c r="C367" s="0" t="n">
        <v>90</v>
      </c>
      <c r="D367" s="0" t="inlineStr">
        <is>
          <t>搜索校准</t>
        </is>
      </c>
      <c r="E367" s="0" t="inlineStr">
        <is>
          <t>recall</t>
        </is>
      </c>
      <c r="F367" s="0" t="inlineStr">
        <is>
          <t>P046</t>
        </is>
      </c>
      <c r="G367" s="0" t="inlineStr">
        <is>
          <t>{"sheet": "DEEP1M", "cell": "L26", "value": 90.0, "estimated": false, "status": "搜索校准", "point_id": "P046", "metric": "recall", "previous_cell_value": 90, "note": "目标90%。未完成证明的召回率仅为既有20查询搜索校准；不保证新的证明结果恰好达到该值。",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68">
      <c r="A368" s="0" t="inlineStr">
        <is>
          <t>DEEP1M</t>
        </is>
      </c>
      <c r="B368" s="0" t="inlineStr">
        <is>
          <t>L27</t>
        </is>
      </c>
      <c r="C368" s="0" t="n">
        <v>344.33408</v>
      </c>
      <c r="D368" s="0" t="inlineStr">
        <is>
          <t>预测</t>
        </is>
      </c>
      <c r="E368" s="0" t="inlineStr">
        <is>
          <t>vo_kb</t>
        </is>
      </c>
      <c r="F368" s="0" t="inlineStr">
        <is>
          <t>P046</t>
        </is>
      </c>
      <c r="G368" s="0" t="inlineStr">
        <is>
          <t>{"sheet": "DEEP1M", "cell": "L27", "value": 344.33408000000003, "estimated": true, "status": "预测", "point_id": "P046", "metric": "vo_kb", "previous_cell_value": 344.33408, "note": "目标90%；没有达到目标的配置时不预测一个虚假的达标点。",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[297.38056, 401.6476166666667]}</t>
        </is>
      </c>
    </row>
    <row r="369">
      <c r="A369" s="0" t="inlineStr">
        <is>
          <t>DEEP1M</t>
        </is>
      </c>
      <c r="B369" s="0" t="inlineStr">
        <is>
          <t>L38</t>
        </is>
      </c>
      <c r="C369" s="0" t="n">
        <v>90</v>
      </c>
      <c r="D369" s="0" t="inlineStr">
        <is>
          <t>搜索校准</t>
        </is>
      </c>
      <c r="E369" s="0" t="inlineStr">
        <is>
          <t>recall</t>
        </is>
      </c>
      <c r="F369" s="0" t="inlineStr">
        <is>
          <t>P046</t>
        </is>
      </c>
      <c r="G369" s="0" t="inlineStr">
        <is>
          <t>{"sheet": "DEEP1M", "cell": "L38", "value": 90.0, "estimated": false, "status": "搜索校准", "point_id": "P046", "metric": "recall", "previous_cell_value": 90, "note": "目标90%。未完成证明的召回率仅为既有20查询搜索校准；不保证新的证明结果恰好达到该值。",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70">
      <c r="A370" s="0" t="inlineStr">
        <is>
          <t>DEEP1M</t>
        </is>
      </c>
      <c r="B370" s="0" t="inlineStr">
        <is>
          <t>L39</t>
        </is>
      </c>
      <c r="C370" s="0" t="n">
        <v>32.7137599435589</v>
      </c>
      <c r="D370" s="0" t="inlineStr">
        <is>
          <t>预测</t>
        </is>
      </c>
      <c r="E370" s="0" t="inlineStr">
        <is>
          <t>verify_ms</t>
        </is>
      </c>
      <c r="F370" s="0" t="inlineStr">
        <is>
          <t>P046</t>
        </is>
      </c>
      <c r="G370" s="0" t="inlineStr">
        <is>
          <t>{"sheet": "DEEP1M", "cell": "L39", "value": 32.71375994355892, "estimated": true, "status": "预测", "point_id": "P046", "metric": "verify_ms", "previous_cell_value": 32.8130574143261, "note": "目标90%；没有达到目标的配置时不预测一个虚假的达标点。",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[16.35687997177946, 65.42751988711784]}</t>
        </is>
      </c>
    </row>
    <row r="371">
      <c r="A371" s="0" t="inlineStr">
        <is>
          <t>DEEP1M</t>
        </is>
      </c>
      <c r="B371" s="0" t="inlineStr">
        <is>
          <t>L50</t>
        </is>
      </c>
      <c r="C371" s="0" t="n">
        <v>90</v>
      </c>
      <c r="D371" s="0" t="inlineStr">
        <is>
          <t>搜索校准</t>
        </is>
      </c>
      <c r="E371" s="0" t="inlineStr">
        <is>
          <t>recall</t>
        </is>
      </c>
      <c r="F371" s="0" t="inlineStr">
        <is>
          <t>P046</t>
        </is>
      </c>
      <c r="G371" s="0" t="inlineStr">
        <is>
          <t>{"sheet": "DEEP1M", "cell": "L50", "value": 90.0, "estimated": false, "status": "搜索校准", "point_id": "P046", "metric": "recall", "previous_cell_value": 90, "note": "目标90%。未完成证明的召回率仅为既有20查询搜索校准；不保证新的证明结果恰好达到该值。",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72">
      <c r="A372" s="0" t="inlineStr">
        <is>
          <t>DEEP1M</t>
        </is>
      </c>
      <c r="B372" s="0" t="inlineStr">
        <is>
          <t>L51</t>
        </is>
      </c>
      <c r="C372" s="0" t="n">
        <v>1090098.64352088</v>
      </c>
      <c r="D372" s="0" t="inlineStr">
        <is>
          <t>预测</t>
        </is>
      </c>
      <c r="E372" s="0" t="inlineStr">
        <is>
          <t>query_ms</t>
        </is>
      </c>
      <c r="F372" s="0" t="inlineStr">
        <is>
          <t>P046</t>
        </is>
      </c>
      <c r="G372" s="0" t="inlineStr">
        <is>
          <t>{"sheet": "DEEP1M", "cell": "L51", "value": 1090098.643520879, "estimated": true, "status": "预测", "point_id": "P046", "metric": "query_ms", "previous_cell_value": 1049778.89619462, "note": "目标90%；没有达到目标的配置时不预测一个虚假的达标点。",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[545049.3217604395, 4360394.574083516]}</t>
        </is>
      </c>
    </row>
    <row r="373">
      <c r="A373" s="0" t="inlineStr">
        <is>
          <t>DEEP1M</t>
        </is>
      </c>
      <c r="B373" s="0" t="inlineStr">
        <is>
          <t>M26</t>
        </is>
      </c>
      <c r="C373" s="0" t="n">
        <v>95.5</v>
      </c>
      <c r="D373" s="0" t="inlineStr">
        <is>
          <t>搜索校准</t>
        </is>
      </c>
      <c r="E373" s="0" t="inlineStr">
        <is>
          <t>recall</t>
        </is>
      </c>
      <c r="F373" s="0" t="inlineStr">
        <is>
          <t>P044</t>
        </is>
      </c>
      <c r="G373" s="0" t="inlineStr">
        <is>
          <t>{"sheet": "DEEP1M", "cell": "M26", "value": 95.5, "estimated": false, "status": "搜索校准", "point_id": "P044", "metric": "recall", "previous_cell_value": 95.5, "note": "目标95%。未完成证明的召回率仅为既有20查询搜索校准；不保证新的证明结果恰好达到该值。",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74">
      <c r="A374" s="0" t="inlineStr">
        <is>
          <t>DEEP1M</t>
        </is>
      </c>
      <c r="B374" s="0" t="inlineStr">
        <is>
          <t>M27</t>
        </is>
      </c>
      <c r="C374" s="0" t="n">
        <v>483.694093333333</v>
      </c>
      <c r="D374" s="0" t="inlineStr">
        <is>
          <t>预测</t>
        </is>
      </c>
      <c r="E374" s="0" t="inlineStr">
        <is>
          <t>vo_kb</t>
        </is>
      </c>
      <c r="F374" s="0" t="inlineStr">
        <is>
          <t>P044</t>
        </is>
      </c>
      <c r="G374" s="0" t="inlineStr">
        <is>
          <t>{"sheet": "DEEP1M", "cell": "M27", "value": 483.6940933333334, "estimated": true, "status": "预测", "point_id": "P044", "metric": "vo_kb", "previous_cell_value": 483.694093333333, "note": "目标95%；没有达到目标的配置时不预测一个虚假的达标点。",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[434.66857, 543.0796333333333]}</t>
        </is>
      </c>
    </row>
    <row r="375">
      <c r="A375" s="0" t="inlineStr">
        <is>
          <t>DEEP1M</t>
        </is>
      </c>
      <c r="B375" s="0" t="inlineStr">
        <is>
          <t>M38</t>
        </is>
      </c>
      <c r="C375" s="0" t="n">
        <v>95.5</v>
      </c>
      <c r="D375" s="0" t="inlineStr">
        <is>
          <t>搜索校准</t>
        </is>
      </c>
      <c r="E375" s="0" t="inlineStr">
        <is>
          <t>recall</t>
        </is>
      </c>
      <c r="F375" s="0" t="inlineStr">
        <is>
          <t>P044</t>
        </is>
      </c>
      <c r="G375" s="0" t="inlineStr">
        <is>
          <t>{"sheet": "DEEP1M", "cell": "M38", "value": 95.5, "estimated": false, "status": "搜索校准", "point_id": "P044", "metric": "recall", "previous_cell_value": 95.5, "note": "目标95%。未完成证明的召回率仅为既有20查询搜索校准；不保证新的证明结果恰好达到该值。",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76">
      <c r="A376" s="0" t="inlineStr">
        <is>
          <t>DEEP1M</t>
        </is>
      </c>
      <c r="B376" s="0" t="inlineStr">
        <is>
          <t>M39</t>
        </is>
      </c>
      <c r="C376" s="0" t="n">
        <v>37.0899637315258</v>
      </c>
      <c r="D376" s="0" t="inlineStr">
        <is>
          <t>预测</t>
        </is>
      </c>
      <c r="E376" s="0" t="inlineStr">
        <is>
          <t>verify_ms</t>
        </is>
      </c>
      <c r="F376" s="0" t="inlineStr">
        <is>
          <t>P044</t>
        </is>
      </c>
      <c r="G376" s="0" t="inlineStr">
        <is>
          <t>{"sheet": "DEEP1M", "cell": "M39", "value": 37.0899637315258, "estimated": true, "status": "预测", "point_id": "P044", "metric": "verify_ms", "previous_cell_value": 37.3230314232127, "note": "目标95%；没有达到目标的配置时不预测一个虚假的达标点。",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[18.5449818657629, 74.1799274630516]}</t>
        </is>
      </c>
    </row>
    <row r="377">
      <c r="A377" s="0" t="inlineStr">
        <is>
          <t>DEEP1M</t>
        </is>
      </c>
      <c r="B377" s="0" t="inlineStr">
        <is>
          <t>M50</t>
        </is>
      </c>
      <c r="C377" s="0" t="n">
        <v>95.5</v>
      </c>
      <c r="D377" s="0" t="inlineStr">
        <is>
          <t>搜索校准</t>
        </is>
      </c>
      <c r="E377" s="0" t="inlineStr">
        <is>
          <t>recall</t>
        </is>
      </c>
      <c r="F377" s="0" t="inlineStr">
        <is>
          <t>P044</t>
        </is>
      </c>
      <c r="G377" s="0" t="inlineStr">
        <is>
          <t>{"sheet": "DEEP1M", "cell": "M50", "value": 95.5, "estimated": false, "status": "搜索校准", "point_id": "P044", "metric": "recall", "previous_cell_value": 95.5, "note": "目标95%。未完成证明的召回率仅为既有20查询搜索校准；不保证新的证明结果恰好达到该值。",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78">
      <c r="A378" s="0" t="inlineStr">
        <is>
          <t>DEEP1M</t>
        </is>
      </c>
      <c r="B378" s="0" t="inlineStr">
        <is>
          <t>M51</t>
        </is>
      </c>
      <c r="C378" s="0" t="n">
        <v>2284113.60217582</v>
      </c>
      <c r="D378" s="0" t="inlineStr">
        <is>
          <t>预测</t>
        </is>
      </c>
      <c r="E378" s="0" t="inlineStr">
        <is>
          <t>query_ms</t>
        </is>
      </c>
      <c r="F378" s="0" t="inlineStr">
        <is>
          <t>P044</t>
        </is>
      </c>
      <c r="G378" s="0" t="inlineStr">
        <is>
          <t>{"sheet": "DEEP1M", "cell": "M51", "value": 2284113.602175818, "estimated": true, "status": "预测", "point_id": "P044", "metric": "query_ms", "previous_cell_value": 2199633.66400238, "note": "目标95%；没有达到目标的配置时不预测一个虚假的达标点。",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[1142056.801087909, 9136454.408703271]}</t>
        </is>
      </c>
    </row>
    <row r="379">
      <c r="A379" s="0" t="inlineStr">
        <is>
          <t>DEEP1M</t>
        </is>
      </c>
      <c r="B379" s="0" t="inlineStr">
        <is>
          <t>N26</t>
        </is>
      </c>
      <c r="C379" s="0" t="n">
        <v>98</v>
      </c>
      <c r="D379" s="0" t="inlineStr">
        <is>
          <t>搜索校准</t>
        </is>
      </c>
      <c r="E379" s="0" t="inlineStr">
        <is>
          <t>recall</t>
        </is>
      </c>
      <c r="F379" s="0" t="inlineStr">
        <is>
          <t>P047</t>
        </is>
      </c>
      <c r="G379" s="0" t="inlineStr">
        <is>
          <t>{"sheet": "DEEP1M", "cell": "N26", "value": 98.00000000000001, "estimated": false, "status": "搜索校准", "point_id": "P047", "metric": "recall", "previous_cell_value": 98, "note": "目标97%。未完成证明的召回率仅为既有20查询搜索校准；不保证新的证明结果恰好达到该值。",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80">
      <c r="A380" s="0" t="inlineStr">
        <is>
          <t>DEEP1M</t>
        </is>
      </c>
      <c r="B380" s="0" t="inlineStr">
        <is>
          <t>N27</t>
        </is>
      </c>
      <c r="C380" s="0" t="n">
        <v>1286.70212</v>
      </c>
      <c r="D380" s="0" t="inlineStr">
        <is>
          <t>预测</t>
        </is>
      </c>
      <c r="E380" s="0" t="inlineStr">
        <is>
          <t>vo_kb</t>
        </is>
      </c>
      <c r="F380" s="0" t="inlineStr">
        <is>
          <t>P047</t>
        </is>
      </c>
      <c r="G380" s="0" t="inlineStr">
        <is>
          <t>{"sheet": "DEEP1M", "cell": "N27", "value": 1286.7021200000001, "estimated": true, "status": "预测", "point_id": "P047", "metric": "vo_kb", "previous_cell_value": 1286.70212, "note": "目标97%；没有达到目标的配置时不预测一个虚假的达标点。",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[1233.53259, 1350.2316666666668]}</t>
        </is>
      </c>
    </row>
    <row r="381">
      <c r="A381" s="0" t="inlineStr">
        <is>
          <t>DEEP1M</t>
        </is>
      </c>
      <c r="B381" s="0" t="inlineStr">
        <is>
          <t>N38</t>
        </is>
      </c>
      <c r="C381" s="0" t="n">
        <v>98</v>
      </c>
      <c r="D381" s="0" t="inlineStr">
        <is>
          <t>搜索校准</t>
        </is>
      </c>
      <c r="E381" s="0" t="inlineStr">
        <is>
          <t>recall</t>
        </is>
      </c>
      <c r="F381" s="0" t="inlineStr">
        <is>
          <t>P047</t>
        </is>
      </c>
      <c r="G381" s="0" t="inlineStr">
        <is>
          <t>{"sheet": "DEEP1M", "cell": "N38", "value": 98.00000000000001, "estimated": false, "status": "搜索校准", "point_id": "P047", "metric": "recall", "previous_cell_value": 98, "note": "目标97%。未完成证明的召回率仅为既有20查询搜索校准；不保证新的证明结果恰好达到该值。",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82">
      <c r="A382" s="0" t="inlineStr">
        <is>
          <t>DEEP1M</t>
        </is>
      </c>
      <c r="B382" s="0" t="inlineStr">
        <is>
          <t>N39</t>
        </is>
      </c>
      <c r="C382" s="0" t="n">
        <v>57.7957139949596</v>
      </c>
      <c r="D382" s="0" t="inlineStr">
        <is>
          <t>预测</t>
        </is>
      </c>
      <c r="E382" s="0" t="inlineStr">
        <is>
          <t>verify_ms</t>
        </is>
      </c>
      <c r="F382" s="0" t="inlineStr">
        <is>
          <t>P047</t>
        </is>
      </c>
      <c r="G382" s="0" t="inlineStr">
        <is>
          <t>{"sheet": "DEEP1M", "cell": "N39", "value": 57.795713994959556, "estimated": true, "status": "预测", "point_id": "P047", "metric": "verify_ms", "previous_cell_value": 58.843610440986, "note": "目标97%；没有达到目标的配置时不预测一个虚假的达标点。",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[14.448928498739889, 231.18285597983822]}</t>
        </is>
      </c>
    </row>
    <row r="383">
      <c r="A383" s="0" t="inlineStr">
        <is>
          <t>DEEP1M</t>
        </is>
      </c>
      <c r="B383" s="0" t="inlineStr">
        <is>
          <t>N50</t>
        </is>
      </c>
      <c r="C383" s="0" t="n">
        <v>98</v>
      </c>
      <c r="D383" s="0" t="inlineStr">
        <is>
          <t>搜索校准</t>
        </is>
      </c>
      <c r="E383" s="0" t="inlineStr">
        <is>
          <t>recall</t>
        </is>
      </c>
      <c r="F383" s="0" t="inlineStr">
        <is>
          <t>P047</t>
        </is>
      </c>
      <c r="G383" s="0" t="inlineStr">
        <is>
          <t>{"sheet": "DEEP1M", "cell": "N50", "value": 98.00000000000001, "estimated": false, "status": "搜索校准", "point_id": "P047", "metric": "recall", "previous_cell_value": 98, "note": "目标97%。未完成证明的召回率仅为既有20查询搜索校准；不保证新的证明结果恰好达到该值。",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84">
      <c r="A384" s="0" t="inlineStr">
        <is>
          <t>DEEP1M</t>
        </is>
      </c>
      <c r="B384" s="0" t="inlineStr">
        <is>
          <t>N51</t>
        </is>
      </c>
      <c r="C384" s="0" t="n">
        <v>9967784.92977575</v>
      </c>
      <c r="D384" s="0" t="inlineStr">
        <is>
          <t>预测</t>
        </is>
      </c>
      <c r="E384" s="0" t="inlineStr">
        <is>
          <t>query_ms</t>
        </is>
      </c>
      <c r="F384" s="0" t="inlineStr">
        <is>
          <t>P047</t>
        </is>
      </c>
      <c r="G384" s="0" t="inlineStr">
        <is>
          <t>{"sheet": "DEEP1M", "cell": "N51", "value": 9967784.929775748, "estimated": true, "status": "预测", "point_id": "P047", "metric": "query_ms", "previous_cell_value": 9599141.6289147, "note": "目标97%；没有达到目标的配置时不预测一个虚假的达标点。",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[2491946.232443937, 79742279.43820599]}</t>
        </is>
      </c>
    </row>
    <row r="385">
      <c r="A385" s="0" t="inlineStr">
        <is>
          <t>DEEP1M</t>
        </is>
      </c>
      <c r="B385" s="0" t="inlineStr">
        <is>
          <t>O26</t>
        </is>
      </c>
      <c r="C385" s="0" t="n">
        <v>98</v>
      </c>
      <c r="D385" s="0" t="inlineStr">
        <is>
          <t>搜索校准</t>
        </is>
      </c>
      <c r="E385" s="0" t="inlineStr">
        <is>
          <t>recall</t>
        </is>
      </c>
      <c r="F385" s="0" t="inlineStr">
        <is>
          <t>P047</t>
        </is>
      </c>
      <c r="G385" s="0" t="inlineStr">
        <is>
          <t>{"sheet": "DEEP1M", "cell": "O26", "value": 98.00000000000001, "estimated": false, "status": "搜索校准", "point_id": "P047", "metric": "recall", "previous_cell_value": 98, "note": "目标98%。未完成证明的召回率仅为既有20查询搜索校准；不保证新的证明结果恰好达到该值。",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86">
      <c r="A386" s="0" t="inlineStr">
        <is>
          <t>DEEP1M</t>
        </is>
      </c>
      <c r="B386" s="0" t="inlineStr">
        <is>
          <t>O27</t>
        </is>
      </c>
      <c r="C386" s="0" t="n">
        <v>1286.70212</v>
      </c>
      <c r="D386" s="0" t="inlineStr">
        <is>
          <t>预测</t>
        </is>
      </c>
      <c r="E386" s="0" t="inlineStr">
        <is>
          <t>vo_kb</t>
        </is>
      </c>
      <c r="F386" s="0" t="inlineStr">
        <is>
          <t>P047</t>
        </is>
      </c>
      <c r="G386" s="0" t="inlineStr">
        <is>
          <t>{"sheet": "DEEP1M", "cell": "O27", "value": 1286.7021200000001, "estimated": true, "status": "预测", "point_id": "P047", "metric": "vo_kb", "previous_cell_value": 1286.70212, "note": "目标98%；没有达到目标的配置时不预测一个虚假的达标点。",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[1233.53259, 1350.2316666666668]}</t>
        </is>
      </c>
    </row>
    <row r="387">
      <c r="A387" s="0" t="inlineStr">
        <is>
          <t>DEEP1M</t>
        </is>
      </c>
      <c r="B387" s="0" t="inlineStr">
        <is>
          <t>O38</t>
        </is>
      </c>
      <c r="C387" s="0" t="n">
        <v>98</v>
      </c>
      <c r="D387" s="0" t="inlineStr">
        <is>
          <t>搜索校准</t>
        </is>
      </c>
      <c r="E387" s="0" t="inlineStr">
        <is>
          <t>recall</t>
        </is>
      </c>
      <c r="F387" s="0" t="inlineStr">
        <is>
          <t>P047</t>
        </is>
      </c>
      <c r="G387" s="0" t="inlineStr">
        <is>
          <t>{"sheet": "DEEP1M", "cell": "O38", "value": 98.00000000000001, "estimated": false, "status": "搜索校准", "point_id": "P047", "metric": "recall", "previous_cell_value": 98, "note": "目标98%。未完成证明的召回率仅为既有20查询搜索校准；不保证新的证明结果恰好达到该值。",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88">
      <c r="A388" s="0" t="inlineStr">
        <is>
          <t>DEEP1M</t>
        </is>
      </c>
      <c r="B388" s="0" t="inlineStr">
        <is>
          <t>O39</t>
        </is>
      </c>
      <c r="C388" s="0" t="n">
        <v>57.7957139949596</v>
      </c>
      <c r="D388" s="0" t="inlineStr">
        <is>
          <t>预测</t>
        </is>
      </c>
      <c r="E388" s="0" t="inlineStr">
        <is>
          <t>verify_ms</t>
        </is>
      </c>
      <c r="F388" s="0" t="inlineStr">
        <is>
          <t>P047</t>
        </is>
      </c>
      <c r="G388" s="0" t="inlineStr">
        <is>
          <t>{"sheet": "DEEP1M", "cell": "O39", "value": 57.795713994959556, "estimated": true, "status": "预测", "point_id": "P047", "metric": "verify_ms", "previous_cell_value": 58.843610440986, "note": "目标98%；没有达到目标的配置时不预测一个虚假的达标点。",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[14.448928498739889, 231.18285597983822]}</t>
        </is>
      </c>
    </row>
    <row r="389">
      <c r="A389" s="0" t="inlineStr">
        <is>
          <t>DEEP1M</t>
        </is>
      </c>
      <c r="B389" s="0" t="inlineStr">
        <is>
          <t>O50</t>
        </is>
      </c>
      <c r="C389" s="0" t="n">
        <v>98</v>
      </c>
      <c r="D389" s="0" t="inlineStr">
        <is>
          <t>搜索校准</t>
        </is>
      </c>
      <c r="E389" s="0" t="inlineStr">
        <is>
          <t>recall</t>
        </is>
      </c>
      <c r="F389" s="0" t="inlineStr">
        <is>
          <t>P047</t>
        </is>
      </c>
      <c r="G389" s="0" t="inlineStr">
        <is>
          <t>{"sheet": "DEEP1M", "cell": "O50", "value": 98.00000000000001, "estimated": false, "status": "搜索校准", "point_id": "P047", "metric": "recall", "previous_cell_value": 98, "note": "目标98%。未完成证明的召回率仅为既有20查询搜索校准；不保证新的证明结果恰好达到该值。",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90">
      <c r="A390" s="0" t="inlineStr">
        <is>
          <t>DEEP1M</t>
        </is>
      </c>
      <c r="B390" s="0" t="inlineStr">
        <is>
          <t>O51</t>
        </is>
      </c>
      <c r="C390" s="0" t="n">
        <v>9967784.92977575</v>
      </c>
      <c r="D390" s="0" t="inlineStr">
        <is>
          <t>预测</t>
        </is>
      </c>
      <c r="E390" s="0" t="inlineStr">
        <is>
          <t>query_ms</t>
        </is>
      </c>
      <c r="F390" s="0" t="inlineStr">
        <is>
          <t>P047</t>
        </is>
      </c>
      <c r="G390" s="0" t="inlineStr">
        <is>
          <t>{"sheet": "DEEP1M", "cell": "O51", "value": 9967784.929775748, "estimated": true, "status": "预测", "point_id": "P047", "metric": "query_ms", "previous_cell_value": 9599141.6289147, "note": "目标98%；没有达到目标的配置时不预测一个虚假的达标点。",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[2491946.232443937, 79742279.43820599]}</t>
        </is>
      </c>
    </row>
    <row r="391">
      <c r="A391" s="0" t="inlineStr">
        <is>
          <t>DEEP1M</t>
        </is>
      </c>
      <c r="B391" s="0" t="inlineStr">
        <is>
          <t>P26</t>
        </is>
      </c>
      <c r="C391" s="0" t="inlineStr">
        <is>
          <t>未达目标</t>
        </is>
      </c>
      <c r="D391" s="0" t="inlineStr">
        <is>
          <t>不适用/目标未达</t>
        </is>
      </c>
      <c r="E391" s="0" t="inlineStr">
        <is>
          <t>recall</t>
        </is>
      </c>
      <c r="G391" s="0" t="inlineStr">
        <is>
          <t>{"sheet": "DEEP1M", "cell": "P26", "value": "未达目标", "estimated": false, "status": "不适用/目标未达", "point_id": null, "metric": "recall", "previous_cell_value": "未达目标", "note": "目标99%。未完成证明的召回率仅为既有20查询搜索校准；不保证新的证明结果恰好达到该值。",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92">
      <c r="A392" s="0" t="inlineStr">
        <is>
          <t>DEEP1M</t>
        </is>
      </c>
      <c r="B392" s="0" t="inlineStr">
        <is>
          <t>P27</t>
        </is>
      </c>
      <c r="C392" s="0" t="inlineStr">
        <is>
          <t>未达目标</t>
        </is>
      </c>
      <c r="D392" s="0" t="inlineStr">
        <is>
          <t>不适用/目标未达</t>
        </is>
      </c>
      <c r="E392" s="0" t="inlineStr">
        <is>
          <t>vo_kb</t>
        </is>
      </c>
      <c r="G392" s="0" t="inlineStr">
        <is>
          <t>{"sheet": "DEEP1M", "cell": "P27", "value": "未达目标", "estimated": false, "status": "不适用/目标未达", "point_id": null, "metric": "vo_kb", "previous_cell_value": "未达目标", "note": "目标99%；没有达到目标的配置时不预测一个虚假的达标点。",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93">
      <c r="A393" s="0" t="inlineStr">
        <is>
          <t>DEEP1M</t>
        </is>
      </c>
      <c r="B393" s="0" t="inlineStr">
        <is>
          <t>P38</t>
        </is>
      </c>
      <c r="C393" s="0" t="inlineStr">
        <is>
          <t>未达目标</t>
        </is>
      </c>
      <c r="D393" s="0" t="inlineStr">
        <is>
          <t>不适用/目标未达</t>
        </is>
      </c>
      <c r="E393" s="0" t="inlineStr">
        <is>
          <t>recall</t>
        </is>
      </c>
      <c r="G393" s="0" t="inlineStr">
        <is>
          <t>{"sheet": "DEEP1M", "cell": "P38", "value": "未达目标", "estimated": false, "status": "不适用/目标未达", "point_id": null, "metric": "recall", "previous_cell_value": "未达目标", "note": "目标99%。未完成证明的召回率仅为既有20查询搜索校准；不保证新的证明结果恰好达到该值。",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94">
      <c r="A394" s="0" t="inlineStr">
        <is>
          <t>DEEP1M</t>
        </is>
      </c>
      <c r="B394" s="0" t="inlineStr">
        <is>
          <t>P39</t>
        </is>
      </c>
      <c r="C394" s="0" t="inlineStr">
        <is>
          <t>未达目标</t>
        </is>
      </c>
      <c r="D394" s="0" t="inlineStr">
        <is>
          <t>不适用/目标未达</t>
        </is>
      </c>
      <c r="E394" s="0" t="inlineStr">
        <is>
          <t>verify_ms</t>
        </is>
      </c>
      <c r="G394" s="0" t="inlineStr">
        <is>
          <t>{"sheet": "DEEP1M", "cell": "P39", "value": "未达目标", "estimated": false, "status": "不适用/目标未达", "point_id": null, "metric": "verify_ms", "previous_cell_value": "未达目标", "note": "目标99%；没有达到目标的配置时不预测一个虚假的达标点。",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95">
      <c r="A395" s="0" t="inlineStr">
        <is>
          <t>DEEP1M</t>
        </is>
      </c>
      <c r="B395" s="0" t="inlineStr">
        <is>
          <t>P50</t>
        </is>
      </c>
      <c r="C395" s="0" t="inlineStr">
        <is>
          <t>未达目标</t>
        </is>
      </c>
      <c r="D395" s="0" t="inlineStr">
        <is>
          <t>不适用/目标未达</t>
        </is>
      </c>
      <c r="E395" s="0" t="inlineStr">
        <is>
          <t>recall</t>
        </is>
      </c>
      <c r="G395" s="0" t="inlineStr">
        <is>
          <t>{"sheet": "DEEP1M", "cell": "P50", "value": "未达目标", "estimated": false, "status": "不适用/目标未达", "point_id": null, "metric": "recall", "previous_cell_value": "未达目标", "note": "目标99%。未完成证明的召回率仅为既有20查询搜索校准；不保证新的证明结果恰好达到该值。",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96">
      <c r="A396" s="0" t="inlineStr">
        <is>
          <t>DEEP1M</t>
        </is>
      </c>
      <c r="B396" s="0" t="inlineStr">
        <is>
          <t>P51</t>
        </is>
      </c>
      <c r="C396" s="0" t="inlineStr">
        <is>
          <t>未达目标</t>
        </is>
      </c>
      <c r="D396" s="0" t="inlineStr">
        <is>
          <t>不适用/目标未达</t>
        </is>
      </c>
      <c r="E396" s="0" t="inlineStr">
        <is>
          <t>query_ms</t>
        </is>
      </c>
      <c r="G396" s="0" t="inlineStr">
        <is>
          <t>{"sheet": "DEEP1M", "cell": "P51", "value": "未达目标", "estimated": false, "status": "不适用/目标未达", "point_id": null, "metric": "query_ms", "previous_cell_value": "未达目标", "note": "目标99%；没有达到目标的配置时不预测一个虚假的达标点。",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97">
      <c r="A397" s="0" t="inlineStr">
        <is>
          <t>DEEP1M</t>
        </is>
      </c>
      <c r="B397" s="0" t="inlineStr">
        <is>
          <t>F97</t>
        </is>
      </c>
      <c r="C397" s="0" t="n">
        <v>483.622093333333</v>
      </c>
      <c r="D397" s="0" t="inlineStr">
        <is>
          <t>预测</t>
        </is>
      </c>
      <c r="E397" s="0" t="inlineStr">
        <is>
          <t>vo_kb</t>
        </is>
      </c>
      <c r="F397" s="0" t="inlineStr">
        <is>
          <t>P048</t>
        </is>
      </c>
      <c r="G397" s="0" t="inlineStr">
        <is>
          <t>{"sheet": "DEEP1M", "cell": "F97", "value": 483.6220933333334, "estimated": true, "status": "预测", "point_id": "P048", "metric": "vo_kb", "previous_cell_value": 483.622093333333,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[434.59657, 543.0076333333333]}</t>
        </is>
      </c>
    </row>
    <row r="398">
      <c r="A398" s="0" t="inlineStr">
        <is>
          <t>DEEP1M</t>
        </is>
      </c>
      <c r="B398" s="0" t="inlineStr">
        <is>
          <t>F108</t>
        </is>
      </c>
      <c r="C398" s="0" t="n">
        <v>37.0883221897139</v>
      </c>
      <c r="D398" s="0" t="inlineStr">
        <is>
          <t>预测</t>
        </is>
      </c>
      <c r="E398" s="0" t="inlineStr">
        <is>
          <t>verify_ms</t>
        </is>
      </c>
      <c r="F398" s="0" t="inlineStr">
        <is>
          <t>P048</t>
        </is>
      </c>
      <c r="G398" s="0" t="inlineStr">
        <is>
          <t>{"sheet": "DEEP1M", "cell": "F108", "value": 37.08832218971386, "estimated": true, "status": "预测", "point_id": "P048", "metric": "verify_ms", "previous_cell_value": 37.3213147227885,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[18.54416109485693, 74.17664437942771]}</t>
        </is>
      </c>
    </row>
    <row r="399">
      <c r="A399" s="0" t="inlineStr">
        <is>
          <t>DEEP1M</t>
        </is>
      </c>
      <c r="B399" s="0" t="inlineStr">
        <is>
          <t>F118</t>
        </is>
      </c>
      <c r="C399" s="0" t="n">
        <v>2284113.60217582</v>
      </c>
      <c r="D399" s="0" t="inlineStr">
        <is>
          <t>预测</t>
        </is>
      </c>
      <c r="E399" s="0" t="inlineStr">
        <is>
          <t>query_ms</t>
        </is>
      </c>
      <c r="F399" s="0" t="inlineStr">
        <is>
          <t>P048</t>
        </is>
      </c>
      <c r="G399" s="0" t="inlineStr">
        <is>
          <t>{"sheet": "DEEP1M", "cell": "F118", "value": 2284113.602175818, "estimated": true, "status": "预测", "point_id": "P048", "metric": "query_ms", "previous_cell_value": 2199633.66400238,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[1142056.801087909, 9136454.408703271]}</t>
        </is>
      </c>
    </row>
    <row r="400">
      <c r="A400" s="0" t="inlineStr">
        <is>
          <t>DEEP1M</t>
        </is>
      </c>
      <c r="B400" s="0" t="inlineStr">
        <is>
          <t>G97</t>
        </is>
      </c>
      <c r="C400" s="0" t="n">
        <v>483.654093333333</v>
      </c>
      <c r="D400" s="0" t="inlineStr">
        <is>
          <t>预测</t>
        </is>
      </c>
      <c r="E400" s="0" t="inlineStr">
        <is>
          <t>vo_kb</t>
        </is>
      </c>
      <c r="F400" s="0" t="inlineStr">
        <is>
          <t>P049</t>
        </is>
      </c>
      <c r="G400" s="0" t="inlineStr">
        <is>
          <t>{"sheet": "DEEP1M", "cell": "G97", "value": 483.6540933333334, "estimated": true, "status": "预测", "point_id": "P049", "metric": "vo_kb", "previous_cell_value": 483.654093333333,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[434.62857, 543.0396333333333]}</t>
        </is>
      </c>
    </row>
    <row r="401">
      <c r="A401" s="0" t="inlineStr">
        <is>
          <t>DEEP1M</t>
        </is>
      </c>
      <c r="B401" s="0" t="inlineStr">
        <is>
          <t>G108</t>
        </is>
      </c>
      <c r="C401" s="0" t="n">
        <v>37.0890517638525</v>
      </c>
      <c r="D401" s="0" t="inlineStr">
        <is>
          <t>预测</t>
        </is>
      </c>
      <c r="E401" s="0" t="inlineStr">
        <is>
          <t>verify_ms</t>
        </is>
      </c>
      <c r="F401" s="0" t="inlineStr">
        <is>
          <t>P049</t>
        </is>
      </c>
      <c r="G401" s="0" t="inlineStr">
        <is>
          <t>{"sheet": "DEEP1M", "cell": "G108", "value": 37.089051763852495, "estimated": true, "status": "预测", "point_id": "P049", "metric": "verify_ms", "previous_cell_value": 37.3220777007548,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[18.544525881926248, 74.17810352770499]}</t>
        </is>
      </c>
    </row>
    <row r="402">
      <c r="A402" s="0" t="inlineStr">
        <is>
          <t>DEEP1M</t>
        </is>
      </c>
      <c r="B402" s="0" t="inlineStr">
        <is>
          <t>G118</t>
        </is>
      </c>
      <c r="C402" s="0" t="n">
        <v>2284113.60217582</v>
      </c>
      <c r="D402" s="0" t="inlineStr">
        <is>
          <t>预测</t>
        </is>
      </c>
      <c r="E402" s="0" t="inlineStr">
        <is>
          <t>query_ms</t>
        </is>
      </c>
      <c r="F402" s="0" t="inlineStr">
        <is>
          <t>P049</t>
        </is>
      </c>
      <c r="G402" s="0" t="inlineStr">
        <is>
          <t>{"sheet": "DEEP1M", "cell": "G118", "value": 2284113.602175818, "estimated": true, "status": "预测", "point_id": "P049", "metric": "query_ms", "previous_cell_value": 2199633.66400238,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[1142056.801087909, 9136454.408703271]}</t>
        </is>
      </c>
    </row>
    <row r="403">
      <c r="A403" s="0" t="inlineStr">
        <is>
          <t>DEEP1M</t>
        </is>
      </c>
      <c r="B403" s="0" t="inlineStr">
        <is>
          <t>H97</t>
        </is>
      </c>
      <c r="C403" s="0" t="n">
        <v>483.694093333333</v>
      </c>
      <c r="D403" s="0" t="inlineStr">
        <is>
          <t>预测</t>
        </is>
      </c>
      <c r="E403" s="0" t="inlineStr">
        <is>
          <t>vo_kb</t>
        </is>
      </c>
      <c r="F403" s="0" t="inlineStr">
        <is>
          <t>P044</t>
        </is>
      </c>
      <c r="G403" s="0" t="inlineStr">
        <is>
          <t>{"sheet": "DEEP1M", "cell": "H97", "value": 483.6940933333334, "estimated": true, "status": "预测", "point_id": "P044", "metric": "vo_kb", "previous_cell_value": 483.694093333333,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[434.66857, 543.0796333333333]}</t>
        </is>
      </c>
    </row>
    <row r="404">
      <c r="A404" s="0" t="inlineStr">
        <is>
          <t>DEEP1M</t>
        </is>
      </c>
      <c r="B404" s="0" t="inlineStr">
        <is>
          <t>H108</t>
        </is>
      </c>
      <c r="C404" s="0" t="n">
        <v>37.0899637315258</v>
      </c>
      <c r="D404" s="0" t="inlineStr">
        <is>
          <t>预测</t>
        </is>
      </c>
      <c r="E404" s="0" t="inlineStr">
        <is>
          <t>verify_ms</t>
        </is>
      </c>
      <c r="F404" s="0" t="inlineStr">
        <is>
          <t>P044</t>
        </is>
      </c>
      <c r="G404" s="0" t="inlineStr">
        <is>
          <t>{"sheet": "DEEP1M", "cell": "H108", "value": 37.0899637315258, "estimated": true, "status": "预测", "point_id": "P044", "metric": "verify_ms", "previous_cell_value": 37.3230314232127,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[18.5449818657629, 74.1799274630516]}</t>
        </is>
      </c>
    </row>
    <row r="405">
      <c r="A405" s="0" t="inlineStr">
        <is>
          <t>DEEP1M</t>
        </is>
      </c>
      <c r="B405" s="0" t="inlineStr">
        <is>
          <t>H118</t>
        </is>
      </c>
      <c r="C405" s="0" t="n">
        <v>2284113.60217582</v>
      </c>
      <c r="D405" s="0" t="inlineStr">
        <is>
          <t>预测</t>
        </is>
      </c>
      <c r="E405" s="0" t="inlineStr">
        <is>
          <t>query_ms</t>
        </is>
      </c>
      <c r="F405" s="0" t="inlineStr">
        <is>
          <t>P044</t>
        </is>
      </c>
      <c r="G405" s="0" t="inlineStr">
        <is>
          <t>{"sheet": "DEEP1M", "cell": "H118", "value": 2284113.602175818, "estimated": true, "status": "预测", "point_id": "P044", "metric": "query_ms", "previous_cell_value": 2199633.66400238,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[1142056.801087909, 9136454.408703271]}</t>
        </is>
      </c>
    </row>
    <row r="406">
      <c r="A406" s="0" t="inlineStr">
        <is>
          <t>DEEP1M</t>
        </is>
      </c>
      <c r="B406" s="0" t="inlineStr">
        <is>
          <t>I97</t>
        </is>
      </c>
      <c r="C406" s="0" t="n">
        <v>483.774093333333</v>
      </c>
      <c r="D406" s="0" t="inlineStr">
        <is>
          <t>预测</t>
        </is>
      </c>
      <c r="E406" s="0" t="inlineStr">
        <is>
          <t>vo_kb</t>
        </is>
      </c>
      <c r="F406" s="0" t="inlineStr">
        <is>
          <t>P050</t>
        </is>
      </c>
      <c r="G406" s="0" t="inlineStr">
        <is>
          <t>{"sheet": "DEEP1M", "cell": "I97", "value": 483.7740933333334, "estimated": true, "status": "预测", "point_id": "P050", "metric": "vo_kb", "previous_cell_value": 483.774093333333,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[434.74857000000003, 543.1596333333333]}</t>
        </is>
      </c>
    </row>
    <row r="407">
      <c r="A407" s="0" t="inlineStr">
        <is>
          <t>DEEP1M</t>
        </is>
      </c>
      <c r="B407" s="0" t="inlineStr">
        <is>
          <t>I108</t>
        </is>
      </c>
      <c r="C407" s="0" t="n">
        <v>37.0917876668724</v>
      </c>
      <c r="D407" s="0" t="inlineStr">
        <is>
          <t>预测</t>
        </is>
      </c>
      <c r="E407" s="0" t="inlineStr">
        <is>
          <t>verify_ms</t>
        </is>
      </c>
      <c r="F407" s="0" t="inlineStr">
        <is>
          <t>P050</t>
        </is>
      </c>
      <c r="G407" s="0" t="inlineStr">
        <is>
          <t>{"sheet": "DEEP1M", "cell": "I108", "value": 37.0917876668724, "estimated": true, "status": "预测", "point_id": "P050", "metric": "verify_ms", "previous_cell_value": 37.3249388681285,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[18.5458938334362, 74.1835753337448]}</t>
        </is>
      </c>
    </row>
    <row r="408">
      <c r="A408" s="0" t="inlineStr">
        <is>
          <t>DEEP1M</t>
        </is>
      </c>
      <c r="B408" s="0" t="inlineStr">
        <is>
          <t>I118</t>
        </is>
      </c>
      <c r="C408" s="0" t="n">
        <v>2284113.60217582</v>
      </c>
      <c r="D408" s="0" t="inlineStr">
        <is>
          <t>预测</t>
        </is>
      </c>
      <c r="E408" s="0" t="inlineStr">
        <is>
          <t>query_ms</t>
        </is>
      </c>
      <c r="F408" s="0" t="inlineStr">
        <is>
          <t>P050</t>
        </is>
      </c>
      <c r="G408" s="0" t="inlineStr">
        <is>
          <t>{"sheet": "DEEP1M", "cell": "I118", "value": 2284113.602175818, "estimated": true, "status": "预测", "point_id": "P050", "metric": "query_ms", "previous_cell_value": 2199633.66400238,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[1142056.801087909, 9136454.408703271]}</t>
        </is>
      </c>
    </row>
    <row r="409">
      <c r="A409" s="0" t="inlineStr">
        <is>
          <t>DEEP1M</t>
        </is>
      </c>
      <c r="B409" s="0" t="inlineStr">
        <is>
          <t>J97</t>
        </is>
      </c>
      <c r="C409" s="0" t="n">
        <v>484.014093333333</v>
      </c>
      <c r="D409" s="0" t="inlineStr">
        <is>
          <t>预测</t>
        </is>
      </c>
      <c r="E409" s="0" t="inlineStr">
        <is>
          <t>vo_kb</t>
        </is>
      </c>
      <c r="F409" s="0" t="inlineStr">
        <is>
          <t>P051</t>
        </is>
      </c>
      <c r="G409" s="0" t="inlineStr">
        <is>
          <t>{"sheet": "DEEP1M", "cell": "J97", "value": 484.0140933333334, "estimated": true, "status": "预测", "point_id": "P051", "metric": "vo_kb", "previous_cell_value": 484.014093333333,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[434.98857, 543.3996333333333]}</t>
        </is>
      </c>
    </row>
    <row r="410">
      <c r="A410" s="0" t="inlineStr">
        <is>
          <t>DEEP1M</t>
        </is>
      </c>
      <c r="B410" s="0" t="inlineStr">
        <is>
          <t>J108</t>
        </is>
      </c>
      <c r="C410" s="0" t="n">
        <v>37.0972594729122</v>
      </c>
      <c r="D410" s="0" t="inlineStr">
        <is>
          <t>预测</t>
        </is>
      </c>
      <c r="E410" s="0" t="inlineStr">
        <is>
          <t>verify_ms</t>
        </is>
      </c>
      <c r="F410" s="0" t="inlineStr">
        <is>
          <t>P051</t>
        </is>
      </c>
      <c r="G410" s="0" t="inlineStr">
        <is>
          <t>{"sheet": "DEEP1M", "cell": "J108", "value": 37.097259472912214, "estimated": true, "status": "预测", "point_id": "P051", "metric": "verify_ms", "previous_cell_value": 37.3306612028758,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[18.548629736456107, 74.19451894582443]}</t>
        </is>
      </c>
    </row>
    <row r="411">
      <c r="A411" s="0" t="inlineStr">
        <is>
          <t>DEEP1M</t>
        </is>
      </c>
      <c r="B411" s="0" t="inlineStr">
        <is>
          <t>J118</t>
        </is>
      </c>
      <c r="C411" s="0" t="n">
        <v>2284113.60217582</v>
      </c>
      <c r="D411" s="0" t="inlineStr">
        <is>
          <t>预测</t>
        </is>
      </c>
      <c r="E411" s="0" t="inlineStr">
        <is>
          <t>query_ms</t>
        </is>
      </c>
      <c r="F411" s="0" t="inlineStr">
        <is>
          <t>P051</t>
        </is>
      </c>
      <c r="G411" s="0" t="inlineStr">
        <is>
          <t>{"sheet": "DEEP1M", "cell": "J118", "value": 2284113.602175818, "estimated": true, "status": "预测", "point_id": "P051", "metric": "query_ms", "previous_cell_value": 2199633.66400238,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[1142056.801087909, 9136454.408703271]}</t>
        </is>
      </c>
    </row>
    <row r="412">
      <c r="A412" s="0" t="inlineStr">
        <is>
          <t>DEEP1M</t>
        </is>
      </c>
      <c r="B412" s="0" t="inlineStr">
        <is>
          <t>K97</t>
        </is>
      </c>
      <c r="C412" s="0" t="n">
        <v>484.414093333333</v>
      </c>
      <c r="D412" s="0" t="inlineStr">
        <is>
          <t>预测</t>
        </is>
      </c>
      <c r="E412" s="0" t="inlineStr">
        <is>
          <t>vo_kb</t>
        </is>
      </c>
      <c r="F412" s="0" t="inlineStr">
        <is>
          <t>P052</t>
        </is>
      </c>
      <c r="G412" s="0" t="inlineStr">
        <is>
          <t>{"sheet": "DEEP1M", "cell": "K97", "value": 484.41409333333337, "estimated": true, "status": "预测", "point_id": "P052", "metric": "vo_kb", "previous_cell_value": 484.414093333333,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[435.38857, 543.7996333333333]}</t>
        </is>
      </c>
    </row>
    <row r="413">
      <c r="A413" s="0" t="inlineStr">
        <is>
          <t>DEEP1M</t>
        </is>
      </c>
      <c r="B413" s="0" t="inlineStr">
        <is>
          <t>K108</t>
        </is>
      </c>
      <c r="C413" s="0" t="n">
        <v>37.1063791496452</v>
      </c>
      <c r="D413" s="0" t="inlineStr">
        <is>
          <t>预测</t>
        </is>
      </c>
      <c r="E413" s="0" t="inlineStr">
        <is>
          <t>verify_ms</t>
        </is>
      </c>
      <c r="F413" s="0" t="inlineStr">
        <is>
          <t>P052</t>
        </is>
      </c>
      <c r="G413" s="0" t="inlineStr">
        <is>
          <t>{"sheet": "DEEP1M", "cell": "K108", "value": 37.10637914964523, "estimated": true, "status": "预测", "point_id": "P052", "metric": "verify_ms", "previous_cell_value": 37.3401984274547,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[18.553189574822614, 74.21275829929046]}</t>
        </is>
      </c>
    </row>
    <row r="414">
      <c r="A414" s="0" t="inlineStr">
        <is>
          <t>DEEP1M</t>
        </is>
      </c>
      <c r="B414" s="0" t="inlineStr">
        <is>
          <t>K118</t>
        </is>
      </c>
      <c r="C414" s="0" t="n">
        <v>2284113.60217582</v>
      </c>
      <c r="D414" s="0" t="inlineStr">
        <is>
          <t>预测</t>
        </is>
      </c>
      <c r="E414" s="0" t="inlineStr">
        <is>
          <t>query_ms</t>
        </is>
      </c>
      <c r="F414" s="0" t="inlineStr">
        <is>
          <t>P052</t>
        </is>
      </c>
      <c r="G414" s="0" t="inlineStr">
        <is>
          <t>{"sheet": "DEEP1M", "cell": "K118", "value": 2284113.602175818, "estimated": true, "status": "预测", "point_id": "P052", "metric": "query_ms", "previous_cell_value": 2199633.66400238,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[1142056.801087909, 9136454.408703271]}</t>
        </is>
      </c>
    </row>
    <row r="415">
      <c r="A415" s="0" t="inlineStr">
        <is>
          <t>DEEP1M</t>
        </is>
      </c>
      <c r="B415" s="0" t="inlineStr">
        <is>
          <t>F64</t>
        </is>
      </c>
      <c r="C415" s="0" t="n">
        <v>483.694093333333</v>
      </c>
      <c r="D415" s="0" t="inlineStr">
        <is>
          <t>预测</t>
        </is>
      </c>
      <c r="E415" s="0" t="inlineStr">
        <is>
          <t>vo_kb</t>
        </is>
      </c>
      <c r="F415" s="0" t="inlineStr">
        <is>
          <t>P044</t>
        </is>
      </c>
      <c r="G415" s="0" t="inlineStr">
        <is>
          <t>{"sheet": "DEEP1M", "cell": "F64", "value": 483.6940933333334, "estimated": true, "status": "预测", "point_id": "P044", "metric": "vo_kb", "previous_cell_value": 483.694093333333, "note": "该规模已有IVF-PQ搜索校准；证明成本仍按实测或预测状态区分。",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[434.66857, 543.0796333333333]}</t>
        </is>
      </c>
    </row>
    <row r="416">
      <c r="A416" s="0" t="inlineStr">
        <is>
          <t>DEEP1M</t>
        </is>
      </c>
      <c r="B416" s="0" t="inlineStr">
        <is>
          <t>F75</t>
        </is>
      </c>
      <c r="C416" s="0" t="n">
        <v>37.0899637315258</v>
      </c>
      <c r="D416" s="0" t="inlineStr">
        <is>
          <t>预测</t>
        </is>
      </c>
      <c r="E416" s="0" t="inlineStr">
        <is>
          <t>verify_ms</t>
        </is>
      </c>
      <c r="F416" s="0" t="inlineStr">
        <is>
          <t>P044</t>
        </is>
      </c>
      <c r="G416" s="0" t="inlineStr">
        <is>
          <t>{"sheet": "DEEP1M", "cell": "F75", "value": 37.0899637315258, "estimated": true, "status": "预测", "point_id": "P044", "metric": "verify_ms", "previous_cell_value": 37.3230314232127, "note": "该规模已有IVF-PQ搜索校准；证明成本仍按实测或预测状态区分。",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[18.5449818657629, 74.1799274630516]}</t>
        </is>
      </c>
    </row>
    <row r="417">
      <c r="A417" s="0" t="inlineStr">
        <is>
          <t>DEEP1M</t>
        </is>
      </c>
      <c r="B417" s="0" t="inlineStr">
        <is>
          <t>F85</t>
        </is>
      </c>
      <c r="C417" s="0" t="n">
        <v>2284113.60217582</v>
      </c>
      <c r="D417" s="0" t="inlineStr">
        <is>
          <t>预测</t>
        </is>
      </c>
      <c r="E417" s="0" t="inlineStr">
        <is>
          <t>query_ms</t>
        </is>
      </c>
      <c r="F417" s="0" t="inlineStr">
        <is>
          <t>P044</t>
        </is>
      </c>
      <c r="G417" s="0" t="inlineStr">
        <is>
          <t>{"sheet": "DEEP1M", "cell": "F85", "value": 2284113.602175818, "estimated": true, "status": "预测", "point_id": "P044", "metric": "query_ms", "previous_cell_value": 2199633.66400238, "note": "该规模已有IVF-PQ搜索校准；证明成本仍按实测或预测状态区分。",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[1142056.801087909, 9136454.408703271]}</t>
        </is>
      </c>
    </row>
    <row r="418">
      <c r="A418" s="0" t="inlineStr">
        <is>
          <t>DEEP1M</t>
        </is>
      </c>
      <c r="B418" s="0" t="inlineStr">
        <is>
          <t>G64</t>
        </is>
      </c>
      <c r="C418" s="0" t="n">
        <v>336.14208</v>
      </c>
      <c r="D418" s="0" t="inlineStr">
        <is>
          <t>预测(参数假设)</t>
        </is>
      </c>
      <c r="E418" s="0" t="inlineStr">
        <is>
          <t>vo_kb</t>
        </is>
      </c>
      <c r="F418" s="0" t="inlineStr">
        <is>
          <t>P053</t>
        </is>
      </c>
      <c r="G418" s="0" t="inlineStr">
        <is>
          <t>{"sheet": "DEEP1M", "cell": "G64", "value": 336.14208, "estimated": true, "status": "预测(参数假设)", "point_id": "P053", "metric": "vo_kb", "previous_cell_value": 336.14208,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[289.18856, 393.4556166666667]}</t>
        </is>
      </c>
    </row>
    <row r="419">
      <c r="A419" s="0" t="inlineStr">
        <is>
          <t>DEEP1M</t>
        </is>
      </c>
      <c r="B419" s="0" t="inlineStr">
        <is>
          <t>G75</t>
        </is>
      </c>
      <c r="C419" s="0" t="n">
        <v>32.5269889640667</v>
      </c>
      <c r="D419" s="0" t="inlineStr">
        <is>
          <t>预测(参数假设)</t>
        </is>
      </c>
      <c r="E419" s="0" t="inlineStr">
        <is>
          <t>verify_ms</t>
        </is>
      </c>
      <c r="F419" s="0" t="inlineStr">
        <is>
          <t>P053</t>
        </is>
      </c>
      <c r="G419" s="0" t="inlineStr">
        <is>
          <t>{"sheet": "DEEP1M", "cell": "G75", "value": 32.52698896406673, "estimated": true, "status": "预测(参数假设)", "point_id": "P053", "metric": "verify_ms", "previous_cell_value": 32.6177350549511,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[4.0658736205083414, 260.21591171253385]}</t>
        </is>
      </c>
    </row>
    <row r="420">
      <c r="A420" s="0" t="inlineStr">
        <is>
          <t>DEEP1M</t>
        </is>
      </c>
      <c r="B420" s="0" t="inlineStr">
        <is>
          <t>G85</t>
        </is>
      </c>
      <c r="C420" s="0" t="n">
        <v>1090098.64352088</v>
      </c>
      <c r="D420" s="0" t="inlineStr">
        <is>
          <t>预测(参数假设)</t>
        </is>
      </c>
      <c r="E420" s="0" t="inlineStr">
        <is>
          <t>query_ms</t>
        </is>
      </c>
      <c r="F420" s="0" t="inlineStr">
        <is>
          <t>P053</t>
        </is>
      </c>
      <c r="G420" s="0" t="inlineStr">
        <is>
          <t>{"sheet": "DEEP1M", "cell": "G85", "value": 1090098.643520879, "estimated": true, "status": "预测(参数假设)", "point_id": "P053", "metric": "query_ms", "previous_cell_value": 1049778.89619462,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[136262.3304401099, 17441578.296334065]}</t>
        </is>
      </c>
    </row>
    <row r="421">
      <c r="A421" s="0" t="inlineStr">
        <is>
          <t>DEEP1M</t>
        </is>
      </c>
      <c r="B421" s="0" t="inlineStr">
        <is>
          <t>H64</t>
        </is>
      </c>
      <c r="C421" s="0" t="n">
        <v>483.694093333333</v>
      </c>
      <c r="D421" s="0" t="inlineStr">
        <is>
          <t>预测</t>
        </is>
      </c>
      <c r="E421" s="0" t="inlineStr">
        <is>
          <t>vo_kb</t>
        </is>
      </c>
      <c r="F421" s="0" t="inlineStr">
        <is>
          <t>P044</t>
        </is>
      </c>
      <c r="G421" s="0" t="inlineStr">
        <is>
          <t>{"sheet": "DEEP1M", "cell": "H64", "value": 483.6940933333334, "estimated": true, "status": "预测", "point_id": "P044", "metric": "vo_kb", "previous_cell_value": 483.694093333333, "note": "该规模已有IVF-PQ搜索校准；证明成本仍按实测或预测状态区分。",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[434.66857, 543.0796333333333]}</t>
        </is>
      </c>
    </row>
    <row r="422">
      <c r="A422" s="0" t="inlineStr">
        <is>
          <t>DEEP1M</t>
        </is>
      </c>
      <c r="B422" s="0" t="inlineStr">
        <is>
          <t>H75</t>
        </is>
      </c>
      <c r="C422" s="0" t="n">
        <v>37.0899637315258</v>
      </c>
      <c r="D422" s="0" t="inlineStr">
        <is>
          <t>预测</t>
        </is>
      </c>
      <c r="E422" s="0" t="inlineStr">
        <is>
          <t>verify_ms</t>
        </is>
      </c>
      <c r="F422" s="0" t="inlineStr">
        <is>
          <t>P044</t>
        </is>
      </c>
      <c r="G422" s="0" t="inlineStr">
        <is>
          <t>{"sheet": "DEEP1M", "cell": "H75", "value": 37.0899637315258, "estimated": true, "status": "预测", "point_id": "P044", "metric": "verify_ms", "previous_cell_value": 37.3230314232127, "note": "该规模已有IVF-PQ搜索校准；证明成本仍按实测或预测状态区分。",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[18.5449818657629, 74.1799274630516]}</t>
        </is>
      </c>
    </row>
    <row r="423">
      <c r="A423" s="0" t="inlineStr">
        <is>
          <t>DEEP1M</t>
        </is>
      </c>
      <c r="B423" s="0" t="inlineStr">
        <is>
          <t>H85</t>
        </is>
      </c>
      <c r="C423" s="0" t="n">
        <v>2284113.60217582</v>
      </c>
      <c r="D423" s="0" t="inlineStr">
        <is>
          <t>预测</t>
        </is>
      </c>
      <c r="E423" s="0" t="inlineStr">
        <is>
          <t>query_ms</t>
        </is>
      </c>
      <c r="F423" s="0" t="inlineStr">
        <is>
          <t>P044</t>
        </is>
      </c>
      <c r="G423" s="0" t="inlineStr">
        <is>
          <t>{"sheet": "DEEP1M", "cell": "H85", "value": 2284113.602175818, "estimated": true, "status": "预测", "point_id": "P044", "metric": "query_ms", "previous_cell_value": 2199633.66400238, "note": "该规模已有IVF-PQ搜索校准；证明成本仍按实测或预测状态区分。",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[1142056.801087909, 9136454.408703271]}</t>
        </is>
      </c>
    </row>
    <row r="424">
      <c r="A424" s="0" t="inlineStr">
        <is>
          <t>DEEP1M</t>
        </is>
      </c>
      <c r="B424" s="0" t="inlineStr">
        <is>
          <t>I64</t>
        </is>
      </c>
      <c r="C424" s="0" t="n">
        <v>2458.25413333333</v>
      </c>
      <c r="D424" s="0" t="inlineStr">
        <is>
          <t>预测(参数假设)</t>
        </is>
      </c>
      <c r="E424" s="0" t="inlineStr">
        <is>
          <t>vo_kb</t>
        </is>
      </c>
      <c r="F424" s="0" t="inlineStr">
        <is>
          <t>P054</t>
        </is>
      </c>
      <c r="G424" s="0" t="inlineStr">
        <is>
          <t>{"sheet": "DEEP1M", "cell": "I64", "value": 2458.2541333333334, "estimated": true, "status": "预测(参数假设)", "point_id": "P054", "metric": "vo_kb", "previous_cell_value": 2458.25413333333,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[2403.0126, 2523.8556833333337]}</t>
        </is>
      </c>
    </row>
    <row r="425">
      <c r="A425" s="0" t="inlineStr">
        <is>
          <t>DEEP1M</t>
        </is>
      </c>
      <c r="B425" s="0" t="inlineStr">
        <is>
          <t>I75</t>
        </is>
      </c>
      <c r="C425" s="0" t="n">
        <v>85.705061198942</v>
      </c>
      <c r="D425" s="0" t="inlineStr">
        <is>
          <t>预测(参数假设)</t>
        </is>
      </c>
      <c r="E425" s="0" t="inlineStr">
        <is>
          <t>verify_ms</t>
        </is>
      </c>
      <c r="F425" s="0" t="inlineStr">
        <is>
          <t>P054</t>
        </is>
      </c>
      <c r="G425" s="0" t="inlineStr">
        <is>
          <t>{"sheet": "DEEP1M", "cell": "I75", "value": 85.70506119894205, "estimated": true, "status": "预测(参数假设)", "point_id": "P054", "metric": "verify_ms", "previous_cell_value": 87.9642017311226,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[10.713132649867756, 685.6404895915364]}</t>
        </is>
      </c>
    </row>
    <row r="426">
      <c r="A426" s="0" t="inlineStr">
        <is>
          <t>DEEP1M</t>
        </is>
      </c>
      <c r="B426" s="0" t="inlineStr">
        <is>
          <t>I85</t>
        </is>
      </c>
      <c r="C426" s="0" t="n">
        <v>20766900.380624</v>
      </c>
      <c r="D426" s="0" t="inlineStr">
        <is>
          <t>预测(参数假设)</t>
        </is>
      </c>
      <c r="E426" s="0" t="inlineStr">
        <is>
          <t>query_ms</t>
        </is>
      </c>
      <c r="F426" s="0" t="inlineStr">
        <is>
          <t>P054</t>
        </is>
      </c>
      <c r="G426" s="0" t="inlineStr">
        <is>
          <t>{"sheet": "DEEP1M", "cell": "I85", "value": 20766900.38062397, "estimated": true, "status": "预测(参数假设)", "point_id": "P054", "metric": "query_ms", "previous_cell_value": 19998890.2307345,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[2595862.5475779963, 332270406.0899835]}</t>
        </is>
      </c>
    </row>
    <row r="427">
      <c r="A427" s="0" t="inlineStr">
        <is>
          <t>DEEP1M</t>
        </is>
      </c>
      <c r="B427" s="0" t="inlineStr">
        <is>
          <t>J64</t>
        </is>
      </c>
      <c r="C427" s="0" t="n">
        <v>4694.76614666667</v>
      </c>
      <c r="D427" s="0" t="inlineStr">
        <is>
          <t>预测(参数假设)</t>
        </is>
      </c>
      <c r="E427" s="0" t="inlineStr">
        <is>
          <t>vo_kb</t>
        </is>
      </c>
      <c r="F427" s="0" t="inlineStr">
        <is>
          <t>P055</t>
        </is>
      </c>
      <c r="G427" s="0" t="inlineStr">
        <is>
          <t>{"sheet": "DEEP1M", "cell": "J64", "value": 4694.766146666667, "estimated": true, "status": "预测(参数假设)", "point_id": "P055", "metric": "vo_kb", "previous_cell_value": 4694.76614666667,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[4637.45261, 4762.4397]}</t>
        </is>
      </c>
    </row>
    <row r="428">
      <c r="A428" s="0" t="inlineStr">
        <is>
          <t>DEEP1M</t>
        </is>
      </c>
      <c r="B428" s="0" t="inlineStr">
        <is>
          <t>J75</t>
        </is>
      </c>
      <c r="C428" s="0" t="n">
        <v>137.894635736909</v>
      </c>
      <c r="D428" s="0" t="inlineStr">
        <is>
          <t>预测(参数假设)</t>
        </is>
      </c>
      <c r="E428" s="0" t="inlineStr">
        <is>
          <t>verify_ms</t>
        </is>
      </c>
      <c r="F428" s="0" t="inlineStr">
        <is>
          <t>P055</t>
        </is>
      </c>
      <c r="G428" s="0" t="inlineStr">
        <is>
          <t>{"sheet": "DEEP1M", "cell": "J75", "value": 137.89463573690892, "estimated": true, "status": "预测(参数假设)", "point_id": "P055", "metric": "verify_ms", "previous_cell_value": 142.476699740009,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[17.236829467113616, 1103.1570858952714]}</t>
        </is>
      </c>
    </row>
    <row r="429">
      <c r="A429" s="0" t="inlineStr">
        <is>
          <t>DEEP1M</t>
        </is>
      </c>
      <c r="B429" s="0" t="inlineStr">
        <is>
          <t>J85</t>
        </is>
      </c>
      <c r="C429" s="0" t="n">
        <v>43196461.8033929</v>
      </c>
      <c r="D429" s="0" t="inlineStr">
        <is>
          <t>预测(参数假设)</t>
        </is>
      </c>
      <c r="E429" s="0" t="inlineStr">
        <is>
          <t>query_ms</t>
        </is>
      </c>
      <c r="F429" s="0" t="inlineStr">
        <is>
          <t>P055</t>
        </is>
      </c>
      <c r="G429" s="0" t="inlineStr">
        <is>
          <t>{"sheet": "DEEP1M", "cell": "J85", "value": 43196461.803392895, "estimated": true, "status": "预测(参数假设)", "point_id": "P055", "metric": "query_ms", "previous_cell_value": 41598994.4072794,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[5399557.725424112, 691143388.8542863]}</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activeCell="A1" sqref="A1"/>
      <selection pane="bottomLeft" activeCell="A1" sqref="A1"/>
    </sheetView>
  </sheetViews>
  <sheetFormatPr baseColWidth="8" defaultColWidth="9" defaultRowHeight="13.5"/>
  <cols>
    <col width="24" customWidth="1" style="1" min="1" max="1"/>
    <col width="125" customWidth="1" style="1" min="2" max="2"/>
  </cols>
  <sheetData>
    <row r="1">
      <c r="A1" s="0" t="inlineStr">
        <is>
          <t>项目</t>
        </is>
      </c>
      <c r="B1" s="0" t="inlineStr">
        <is>
          <t>说明</t>
        </is>
      </c>
    </row>
    <row r="2">
      <c r="A2" s="0" t="inlineStr">
        <is>
          <t>性质</t>
        </is>
      </c>
      <c r="B2" s="0" t="inlineStr">
        <is>
          <t>用户授权的预测补充；橙色[预测]数字不属于实测数据。原始CSV、证明和实测result.json保持不变。</t>
        </is>
      </c>
    </row>
    <row r="3">
      <c r="A3" s="0" t="inlineStr">
        <is>
          <t>时间条件</t>
        </is>
      </c>
      <c r="B3" s="0" t="inlineStr">
        <is>
          <t>同等单核算力、RAM足够且无换页。超出本机内存的配置在本机没有已知实际运行时间；预测不能描述为本机已完成测试。</t>
        </is>
      </c>
    </row>
    <row r="4">
      <c r="A4" s="0" t="inlineStr">
        <is>
          <t>四数据集</t>
        </is>
      </c>
      <c r="B4" s="0" t="inlineStr">
        <is>
          <t>SIFT1M、NYTimes-256、GloVe-100、DEEP1M；GIST归档不再进入活跃比较。</t>
        </is>
      </c>
    </row>
    <row r="5">
      <c r="A5" s="0" t="inlineStr">
        <is>
          <t>样本</t>
        </is>
      </c>
      <c r="B5" s="0" t="inlineStr">
        <is>
          <t>原有179条有效证明样本（60+60+59），加4个各1次的新校准证明；覆盖域bit18/19/20。新增单次校准不是20×3完整实验。</t>
        </is>
      </c>
    </row>
    <row r="6">
      <c r="A6" s="0" t="inlineStr">
        <is>
          <t>门数</t>
        </is>
      </c>
      <c r="B6" s="0" t="inlineStr">
        <is>
          <t>保留32组小形状门数，新增关键配置的静态门数核对，结合原文与既有门数重拟合；不在大形状上运行FFT或证明。</t>
        </is>
      </c>
    </row>
    <row r="7">
      <c r="A7" s="0" t="inlineStr">
        <is>
          <t>门数到域</t>
        </is>
      </c>
      <c r="B7" s="0" t="inlineStr">
        <is>
          <t>GB=2^ceil(log2(G))；实际已有VerifierCircuitData提供锚点域。预测上界允许额外跨一档域。</t>
        </is>
      </c>
    </row>
    <row r="8">
      <c r="A8" s="0" t="inlineStr">
        <is>
          <t>用时</t>
        </is>
      </c>
      <c r="B8" s="0" t="inlineStr">
        <is>
          <t>保留GB*log2(GB)结构，使用新旧七个配置的单线程实测分项重新标定；每个配置一份权重，保留主机整理项。大于bit20仍属外推。</t>
        </is>
      </c>
    </row>
    <row r="9">
      <c r="A9" s="0" t="inlineStr">
        <is>
          <t>VO</t>
        </is>
      </c>
      <c r="B9" s="0" t="inlineStr">
        <is>
          <t>预测=压缩证明本体的域位数模型+8×公开域元素个数。公开输入数量可由参数结构计算，不能将完整VO当作固定200KB。</t>
        </is>
      </c>
    </row>
    <row r="10">
      <c r="A10" s="0" t="inlineStr">
        <is>
          <t>Verify</t>
        </is>
      </c>
      <c r="B10" s="0" t="inlineStr">
        <is>
          <t>已测18/19/20档位的验证核心按档位插值；更高档位按最高实测档位的log域趋势外推，再加公开输入哈希项。</t>
        </is>
      </c>
    </row>
    <row r="11">
      <c r="A11" s="0" t="inlineStr">
        <is>
          <t>内存</t>
        </is>
      </c>
      <c r="B11" s="0" t="inlineStr">
        <is>
          <t>单线程采样峰值RSS按域大小外推，属于容量情景估计；并非论文256核内存的直接换算，亦非严格峰值保证。</t>
        </is>
      </c>
    </row>
    <row r="12">
      <c r="A12" s="0" t="inlineStr">
        <is>
          <t>区间</t>
        </is>
      </c>
      <c r="B12" s="0" t="inlineStr">
        <is>
          <t>上下界是主动设定的模型/跨域/硬件敏感性情景，不是统计95%置信区间。大幅外推及未训练规模更不可靠。</t>
        </is>
      </c>
    </row>
    <row r="13">
      <c r="A13" s="0" t="inlineStr">
        <is>
          <t>召回率</t>
        </is>
      </c>
      <c r="B13" s="0" t="inlineStr">
        <is>
          <t>只使用已有搜索校准或正式实测，不预测召回率上涨；达不到99%的目标保留未达目标，不能填低召回耗时冒充。</t>
        </is>
      </c>
    </row>
    <row r="14">
      <c r="A14" s="0" t="inlineStr">
        <is>
          <t>规模假设</t>
        </is>
      </c>
      <c r="B14" s="0" t="inlineStr">
        <is>
          <t>部分规模没有训练和校准：性能仅在沿用全量M/K/L/p参数假设下成立，未保证等召回95%。超容量NYTimes/GloVe规模保持不适用。</t>
        </is>
      </c>
    </row>
    <row r="15">
      <c r="A15" s="0" t="inlineStr">
        <is>
          <t>公平性</t>
        </is>
      </c>
      <c r="B15" s="0" t="inlineStr">
        <is>
          <t>这些预测不能与其他方法实测值混为同一类实验结果，不能据此计算实测加速比、显著性或论文实测结论。</t>
        </is>
      </c>
    </row>
    <row r="16">
      <c r="A16" s="0" t="inlineStr">
        <is>
          <t>原文</t>
        </is>
      </c>
      <c r="B16" s="0" t="inlineStr">
        <is>
          <t>附件papers/V3DB-26vldb.pdf，2节binning，6节环境，Table8/9/11。双路AMD EPYC、256硬件核、1TiB RAM；Table11本身是作者预测。</t>
        </is>
      </c>
    </row>
    <row r="17">
      <c r="A17" s="0" t="inlineStr">
        <is>
          <t>可复核文件</t>
        </is>
      </c>
      <c r="B17" s="0" t="inlineStr">
        <is>
          <t>/mnt/d/paper_source/work_9/VeriANN_repro_2026-09-30/VeriANN_repro_2026-09-30/experiments/work9-v3db-reaudit-20261018</t>
        </is>
      </c>
    </row>
    <row r="18">
      <c r="A18" s="0" t="inlineStr">
        <is>
          <t>历史说明</t>
        </is>
      </c>
      <c r="B18" s="0" t="inlineStr">
        <is>
          <t>原V3DB实验说明和V3DB测量记录描述历史实测阶段；本次预测的最新口径以本页和V3DB单元格来源为准。</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AC56"/>
  <sheetViews>
    <sheetView workbookViewId="0">
      <pane xSplit="13" ySplit="1" topLeftCell="N2"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3.5"/>
  <sheetData>
    <row r="1">
      <c r="A1" s="0" t="inlineStr">
        <is>
          <t>ID</t>
        </is>
      </c>
      <c r="B1" s="0" t="inlineStr">
        <is>
          <t>状态</t>
        </is>
      </c>
      <c r="C1" s="0" t="inlineStr">
        <is>
          <t>N</t>
        </is>
      </c>
      <c r="D1" s="0" t="inlineStr">
        <is>
          <t>D</t>
        </is>
      </c>
      <c r="E1" s="0" t="inlineStr">
        <is>
          <t>M</t>
        </is>
      </c>
      <c r="F1" s="0" t="inlineStr">
        <is>
          <t>K</t>
        </is>
      </c>
      <c r="G1" s="0" t="inlineStr">
        <is>
          <t>n_list</t>
        </is>
      </c>
      <c r="H1" s="0" t="inlineStr">
        <is>
          <t>capacity</t>
        </is>
      </c>
      <c r="I1" s="0" t="inlineStr">
        <is>
          <t>n_probe</t>
        </is>
      </c>
      <c r="J1" s="0" t="inlineStr">
        <is>
          <t>k</t>
        </is>
      </c>
      <c r="K1" s="0" t="inlineStr">
        <is>
          <t>门数</t>
        </is>
      </c>
      <c r="L1" s="0" t="inlineStr">
        <is>
          <t>门数来源</t>
        </is>
      </c>
      <c r="M1" s="0" t="inlineStr">
        <is>
          <t>域bit</t>
        </is>
      </c>
      <c r="N1" s="0" t="inlineStr">
        <is>
          <t>Query ms</t>
        </is>
      </c>
      <c r="O1" s="0" t="inlineStr">
        <is>
          <t>Query下界</t>
        </is>
      </c>
      <c r="P1" s="0" t="inlineStr">
        <is>
          <t>Query上界</t>
        </is>
      </c>
      <c r="Q1" s="0" t="inlineStr">
        <is>
          <t>Verify ms</t>
        </is>
      </c>
      <c r="R1" s="0" t="inlineStr">
        <is>
          <t>Verify下界</t>
        </is>
      </c>
      <c r="S1" s="0" t="inlineStr">
        <is>
          <t>Verify上界</t>
        </is>
      </c>
      <c r="T1" s="0" t="inlineStr">
        <is>
          <t>VO KB</t>
        </is>
      </c>
      <c r="U1" s="0" t="inlineStr">
        <is>
          <t>VO下界</t>
        </is>
      </c>
      <c r="V1" s="0" t="inlineStr">
        <is>
          <t>VO上界</t>
        </is>
      </c>
      <c r="W1" s="0" t="inlineStr">
        <is>
          <t>RSS估计GiB</t>
        </is>
      </c>
      <c r="X1" s="0" t="inlineStr">
        <is>
          <t>RSS下界</t>
        </is>
      </c>
      <c r="Y1" s="0" t="inlineStr">
        <is>
          <t>RSS上界</t>
        </is>
      </c>
      <c r="Z1" s="0" t="inlineStr">
        <is>
          <t>超50GiB</t>
        </is>
      </c>
      <c r="AA1" s="0" t="inlineStr">
        <is>
          <t>已有样本</t>
        </is>
      </c>
      <c r="AB1" s="0" t="inlineStr">
        <is>
          <t>原CSV</t>
        </is>
      </c>
      <c r="AC1" s="0" t="inlineStr">
        <is>
          <t>参数未经该规模校准</t>
        </is>
      </c>
    </row>
    <row r="2">
      <c r="A2" s="0" t="inlineStr">
        <is>
          <t>P001</t>
        </is>
      </c>
      <c r="B2" s="0" t="inlineStr">
        <is>
          <t>预测</t>
        </is>
      </c>
      <c r="C2" s="0" t="n">
        <v>1000000</v>
      </c>
      <c r="D2" s="0" t="n">
        <v>128</v>
      </c>
      <c r="E2" s="0" t="n">
        <v>128</v>
      </c>
      <c r="F2" s="0" t="n">
        <v>1024</v>
      </c>
      <c r="G2" s="0" t="n">
        <v>1024</v>
      </c>
      <c r="H2" s="0" t="n">
        <v>2048</v>
      </c>
      <c r="I2" s="0" t="n">
        <v>16</v>
      </c>
      <c r="J2" s="0" t="n">
        <v>10</v>
      </c>
      <c r="K2" s="0" t="n">
        <v>4262033</v>
      </c>
      <c r="L2" s="0" t="inlineStr">
        <is>
          <t>structural regression prediction</t>
        </is>
      </c>
      <c r="M2" s="0" t="n">
        <v>23</v>
      </c>
      <c r="N2" s="0" t="n">
        <v>4698016.11967277</v>
      </c>
      <c r="O2" s="0" t="n">
        <v>587252.014959096</v>
      </c>
      <c r="P2" s="0" t="n">
        <v>37584128.9573821</v>
      </c>
      <c r="Q2" s="0" t="n">
        <v>38.4836684407268</v>
      </c>
      <c r="R2" s="0" t="n">
        <v>9.620917110181701</v>
      </c>
      <c r="S2" s="0" t="n">
        <v>153.934673762907</v>
      </c>
      <c r="T2" s="0" t="n">
        <v>492.238106666667</v>
      </c>
      <c r="U2" s="0" t="n">
        <v>434.92457</v>
      </c>
      <c r="V2" s="0" t="n">
        <v>553.69565</v>
      </c>
      <c r="W2" s="0" t="n">
        <v>287.976928710938</v>
      </c>
      <c r="X2" s="0" t="n">
        <v>71.9942321777344</v>
      </c>
      <c r="Y2" s="0" t="n">
        <v>1151.90771484375</v>
      </c>
      <c r="Z2" s="0" t="b">
        <v>1</v>
      </c>
      <c r="AA2" s="0" t="n">
        <v>0</v>
      </c>
      <c r="AC2" s="0" t="b">
        <v>0</v>
      </c>
    </row>
    <row r="3">
      <c r="A3" s="0" t="inlineStr">
        <is>
          <t>P002</t>
        </is>
      </c>
      <c r="B3" s="0" t="inlineStr">
        <is>
          <t>实测20x3</t>
        </is>
      </c>
      <c r="C3" s="0" t="n">
        <v>1000000</v>
      </c>
      <c r="D3" s="0" t="n">
        <v>128</v>
      </c>
      <c r="E3" s="0" t="n">
        <v>128</v>
      </c>
      <c r="F3" s="0" t="n">
        <v>1024</v>
      </c>
      <c r="G3" s="0" t="n">
        <v>1024</v>
      </c>
      <c r="H3" s="0" t="n">
        <v>2048</v>
      </c>
      <c r="I3" s="0" t="n">
        <v>2</v>
      </c>
      <c r="J3" s="0" t="n">
        <v>10</v>
      </c>
      <c r="K3" s="0" t="n">
        <v>582254</v>
      </c>
      <c r="L3" s="0" t="inlineStr">
        <is>
          <t>exact static gate count</t>
        </is>
      </c>
      <c r="M3" s="0" t="n">
        <v>20</v>
      </c>
      <c r="N3" s="0" t="n">
        <v>498279.313743133</v>
      </c>
      <c r="O3" s="0" t="n">
        <v>498279.313743133</v>
      </c>
      <c r="P3" s="0" t="n">
        <v>498279.313743133</v>
      </c>
      <c r="Q3" s="0" t="n">
        <v>29.0904766666699</v>
      </c>
      <c r="R3" s="0" t="n">
        <v>29.0904766666699</v>
      </c>
      <c r="S3" s="0" t="n">
        <v>29.0904766666699</v>
      </c>
      <c r="T3" s="0" t="n">
        <v>238.054633333333</v>
      </c>
      <c r="U3" s="0" t="n">
        <v>238.054633333333</v>
      </c>
      <c r="V3" s="0" t="n">
        <v>238.054633333333</v>
      </c>
      <c r="W3" s="0" t="n">
        <v>35.9971160888672</v>
      </c>
      <c r="X3" s="0" t="n">
        <v>35.9971160888672</v>
      </c>
      <c r="Y3" s="0" t="n">
        <v>35.9971160888672</v>
      </c>
      <c r="Z3" s="0" t="b">
        <v>0</v>
      </c>
      <c r="AA3" s="0" t="n">
        <v>60</v>
      </c>
      <c r="AB3" s="0" t="inlineStr">
        <is>
          <t>/mnt/d/paper_source/work_9/VeriANN_repro_2026-09-30/VeriANN_repro_2026-09-30/results/work9-v3db-20261016/sift1m-1000000-M128-K1024-p2-k10-q20-r3-t1/per_query.csv</t>
        </is>
      </c>
      <c r="AC3" s="0" t="b">
        <v>0</v>
      </c>
    </row>
    <row r="4">
      <c r="A4" s="0" t="inlineStr">
        <is>
          <t>P003</t>
        </is>
      </c>
      <c r="B4" s="0" t="inlineStr">
        <is>
          <t>预测</t>
        </is>
      </c>
      <c r="C4" s="0" t="n">
        <v>1000000</v>
      </c>
      <c r="D4" s="0" t="n">
        <v>128</v>
      </c>
      <c r="E4" s="0" t="n">
        <v>128</v>
      </c>
      <c r="F4" s="0" t="n">
        <v>1024</v>
      </c>
      <c r="G4" s="0" t="n">
        <v>1024</v>
      </c>
      <c r="H4" s="0" t="n">
        <v>2048</v>
      </c>
      <c r="I4" s="0" t="n">
        <v>4</v>
      </c>
      <c r="J4" s="0" t="n">
        <v>10</v>
      </c>
      <c r="K4" s="0" t="n">
        <v>1107335</v>
      </c>
      <c r="L4" s="0" t="inlineStr">
        <is>
          <t>structural regression prediction</t>
        </is>
      </c>
      <c r="M4" s="0" t="n">
        <v>21</v>
      </c>
      <c r="N4" s="0" t="n">
        <v>1072230.40231401</v>
      </c>
      <c r="O4" s="0" t="n">
        <v>268057.600578503</v>
      </c>
      <c r="P4" s="0" t="n">
        <v>4288921.60925604</v>
      </c>
      <c r="Q4" s="0" t="n">
        <v>31.2254287007305</v>
      </c>
      <c r="R4" s="0" t="n">
        <v>15.6127143503653</v>
      </c>
      <c r="S4" s="0" t="n">
        <v>62.4508574014611</v>
      </c>
      <c r="T4" s="0" t="n">
        <v>279.05408</v>
      </c>
      <c r="U4" s="0" t="n">
        <v>225.88455</v>
      </c>
      <c r="V4" s="0" t="n">
        <v>336.367616666667</v>
      </c>
      <c r="W4" s="0" t="n">
        <v>71.9942321777344</v>
      </c>
      <c r="X4" s="0" t="n">
        <v>17.9985580444336</v>
      </c>
      <c r="Y4" s="0" t="n">
        <v>287.976928710938</v>
      </c>
      <c r="Z4" s="0" t="b">
        <v>1</v>
      </c>
      <c r="AA4" s="0" t="n">
        <v>0</v>
      </c>
      <c r="AC4" s="0" t="b">
        <v>0</v>
      </c>
    </row>
    <row r="5">
      <c r="A5" s="0" t="inlineStr">
        <is>
          <t>P004</t>
        </is>
      </c>
      <c r="B5" s="0" t="inlineStr">
        <is>
          <t>预测</t>
        </is>
      </c>
      <c r="C5" s="0" t="n">
        <v>1000000</v>
      </c>
      <c r="D5" s="0" t="n">
        <v>128</v>
      </c>
      <c r="E5" s="0" t="n">
        <v>128</v>
      </c>
      <c r="F5" s="0" t="n">
        <v>1024</v>
      </c>
      <c r="G5" s="0" t="n">
        <v>1024</v>
      </c>
      <c r="H5" s="0" t="n">
        <v>2048</v>
      </c>
      <c r="I5" s="0" t="n">
        <v>8</v>
      </c>
      <c r="J5" s="0" t="n">
        <v>10</v>
      </c>
      <c r="K5" s="0" t="n">
        <v>2158901</v>
      </c>
      <c r="L5" s="0" t="inlineStr">
        <is>
          <t>structural regression prediction</t>
        </is>
      </c>
      <c r="M5" s="0" t="n">
        <v>22</v>
      </c>
      <c r="N5" s="0" t="n">
        <v>2246734.4322322</v>
      </c>
      <c r="O5" s="0" t="n">
        <v>561683.608058051</v>
      </c>
      <c r="P5" s="0" t="n">
        <v>8986937.72892881</v>
      </c>
      <c r="Q5" s="0" t="n">
        <v>34.1074646527599</v>
      </c>
      <c r="R5" s="0" t="n">
        <v>17.05373232638</v>
      </c>
      <c r="S5" s="0" t="n">
        <v>68.2149293055199</v>
      </c>
      <c r="T5" s="0" t="n">
        <v>352.878093333333</v>
      </c>
      <c r="U5" s="0" t="n">
        <v>297.63656</v>
      </c>
      <c r="V5" s="0" t="n">
        <v>412.263633333333</v>
      </c>
      <c r="W5" s="0" t="n">
        <v>143.988464355469</v>
      </c>
      <c r="X5" s="0" t="n">
        <v>35.9971160888672</v>
      </c>
      <c r="Y5" s="0" t="n">
        <v>575.953857421875</v>
      </c>
      <c r="Z5" s="0" t="b">
        <v>1</v>
      </c>
      <c r="AA5" s="0" t="n">
        <v>0</v>
      </c>
      <c r="AC5" s="0" t="b">
        <v>0</v>
      </c>
    </row>
    <row r="6">
      <c r="A6" s="0" t="inlineStr">
        <is>
          <t>P005</t>
        </is>
      </c>
      <c r="B6" s="0" t="inlineStr">
        <is>
          <t>预测</t>
        </is>
      </c>
      <c r="C6" s="0" t="n">
        <v>1000000</v>
      </c>
      <c r="D6" s="0" t="n">
        <v>128</v>
      </c>
      <c r="E6" s="0" t="n">
        <v>128</v>
      </c>
      <c r="F6" s="0" t="n">
        <v>1024</v>
      </c>
      <c r="G6" s="0" t="n">
        <v>1024</v>
      </c>
      <c r="H6" s="0" t="n">
        <v>2048</v>
      </c>
      <c r="I6" s="0" t="n">
        <v>32</v>
      </c>
      <c r="J6" s="0" t="n">
        <v>10</v>
      </c>
      <c r="K6" s="0" t="n">
        <v>8468298</v>
      </c>
      <c r="L6" s="0" t="inlineStr">
        <is>
          <t>structural regression prediction</t>
        </is>
      </c>
      <c r="M6" s="0" t="n">
        <v>24</v>
      </c>
      <c r="N6" s="0" t="n">
        <v>9805126.74976225</v>
      </c>
      <c r="O6" s="0" t="n">
        <v>1225640.84372028</v>
      </c>
      <c r="P6" s="0" t="n">
        <v>78441013.998098</v>
      </c>
      <c r="Q6" s="0" t="n">
        <v>45.8482079005687</v>
      </c>
      <c r="R6" s="0" t="n">
        <v>11.4620519751422</v>
      </c>
      <c r="S6" s="0" t="n">
        <v>183.392831602275</v>
      </c>
      <c r="T6" s="0" t="n">
        <v>762.67012</v>
      </c>
      <c r="U6" s="0" t="n">
        <v>703.28458</v>
      </c>
      <c r="V6" s="0" t="n">
        <v>826.199666666667</v>
      </c>
      <c r="W6" s="0" t="n">
        <v>575.953857421875</v>
      </c>
      <c r="X6" s="0" t="n">
        <v>143.988464355469</v>
      </c>
      <c r="Y6" s="0" t="n">
        <v>2303.8154296875</v>
      </c>
      <c r="Z6" s="0" t="b">
        <v>1</v>
      </c>
      <c r="AA6" s="0" t="n">
        <v>0</v>
      </c>
      <c r="AC6" s="0" t="b">
        <v>0</v>
      </c>
    </row>
    <row r="7">
      <c r="A7" s="0" t="inlineStr">
        <is>
          <t>P006</t>
        </is>
      </c>
      <c r="B7" s="0" t="inlineStr">
        <is>
          <t>预测</t>
        </is>
      </c>
      <c r="C7" s="0" t="n">
        <v>1000000</v>
      </c>
      <c r="D7" s="0" t="n">
        <v>128</v>
      </c>
      <c r="E7" s="0" t="n">
        <v>128</v>
      </c>
      <c r="F7" s="0" t="n">
        <v>1024</v>
      </c>
      <c r="G7" s="0" t="n">
        <v>1024</v>
      </c>
      <c r="H7" s="0" t="n">
        <v>2048</v>
      </c>
      <c r="I7" s="0" t="n">
        <v>64</v>
      </c>
      <c r="J7" s="0" t="n">
        <v>10</v>
      </c>
      <c r="K7" s="0" t="n">
        <v>16880827</v>
      </c>
      <c r="L7" s="0" t="inlineStr">
        <is>
          <t>structural regression prediction</t>
        </is>
      </c>
      <c r="M7" s="0" t="n">
        <v>25</v>
      </c>
      <c r="N7" s="0" t="n">
        <v>20428442.5203579</v>
      </c>
      <c r="O7" s="0" t="n">
        <v>2553555.31504474</v>
      </c>
      <c r="P7" s="0" t="n">
        <v>163427540.162864</v>
      </c>
      <c r="Q7" s="0" t="n">
        <v>59.1894187041606</v>
      </c>
      <c r="R7" s="0" t="n">
        <v>14.7973546760401</v>
      </c>
      <c r="S7" s="0" t="n">
        <v>236.757674816642</v>
      </c>
      <c r="T7" s="0" t="n">
        <v>1295.24613333333</v>
      </c>
      <c r="U7" s="0" t="n">
        <v>1233.78859</v>
      </c>
      <c r="V7" s="0" t="n">
        <v>1360.84768333333</v>
      </c>
      <c r="W7" s="0" t="n">
        <v>1151.90771484375</v>
      </c>
      <c r="X7" s="0" t="n">
        <v>287.976928710938</v>
      </c>
      <c r="Y7" s="0" t="n">
        <v>4607.630859375</v>
      </c>
      <c r="Z7" s="0" t="b">
        <v>1</v>
      </c>
      <c r="AA7" s="0" t="n">
        <v>0</v>
      </c>
      <c r="AC7" s="0" t="b">
        <v>0</v>
      </c>
    </row>
    <row r="8">
      <c r="A8" s="0" t="inlineStr">
        <is>
          <t>P007</t>
        </is>
      </c>
      <c r="B8" s="0" t="inlineStr">
        <is>
          <t>预测</t>
        </is>
      </c>
      <c r="C8" s="0" t="n">
        <v>1000000</v>
      </c>
      <c r="D8" s="0" t="n">
        <v>128</v>
      </c>
      <c r="E8" s="0" t="n">
        <v>128</v>
      </c>
      <c r="F8" s="0" t="n">
        <v>1024</v>
      </c>
      <c r="G8" s="0" t="n">
        <v>1024</v>
      </c>
      <c r="H8" s="0" t="n">
        <v>2048</v>
      </c>
      <c r="I8" s="0" t="n">
        <v>16</v>
      </c>
      <c r="J8" s="0" t="n">
        <v>1</v>
      </c>
      <c r="K8" s="0" t="n">
        <v>4262033</v>
      </c>
      <c r="L8" s="0" t="inlineStr">
        <is>
          <t>structural regression prediction</t>
        </is>
      </c>
      <c r="M8" s="0" t="n">
        <v>23</v>
      </c>
      <c r="N8" s="0" t="n">
        <v>4698016.11967277</v>
      </c>
      <c r="O8" s="0" t="n">
        <v>587252.014959096</v>
      </c>
      <c r="P8" s="0" t="n">
        <v>37584128.9573821</v>
      </c>
      <c r="Q8" s="0" t="n">
        <v>38.4820268989149</v>
      </c>
      <c r="R8" s="0" t="n">
        <v>9.62050672472872</v>
      </c>
      <c r="S8" s="0" t="n">
        <v>153.928107595659</v>
      </c>
      <c r="T8" s="0" t="n">
        <v>492.166106666667</v>
      </c>
      <c r="U8" s="0" t="n">
        <v>434.85257</v>
      </c>
      <c r="V8" s="0" t="n">
        <v>553.62365</v>
      </c>
      <c r="W8" s="0" t="n">
        <v>287.976928710938</v>
      </c>
      <c r="X8" s="0" t="n">
        <v>71.9942321777344</v>
      </c>
      <c r="Y8" s="0" t="n">
        <v>1151.90771484375</v>
      </c>
      <c r="Z8" s="0" t="b">
        <v>1</v>
      </c>
      <c r="AA8" s="0" t="n">
        <v>0</v>
      </c>
      <c r="AC8" s="0" t="b">
        <v>0</v>
      </c>
    </row>
    <row r="9">
      <c r="A9" s="0" t="inlineStr">
        <is>
          <t>P008</t>
        </is>
      </c>
      <c r="B9" s="0" t="inlineStr">
        <is>
          <t>预测</t>
        </is>
      </c>
      <c r="C9" s="0" t="n">
        <v>1000000</v>
      </c>
      <c r="D9" s="0" t="n">
        <v>128</v>
      </c>
      <c r="E9" s="0" t="n">
        <v>128</v>
      </c>
      <c r="F9" s="0" t="n">
        <v>1024</v>
      </c>
      <c r="G9" s="0" t="n">
        <v>1024</v>
      </c>
      <c r="H9" s="0" t="n">
        <v>2048</v>
      </c>
      <c r="I9" s="0" t="n">
        <v>16</v>
      </c>
      <c r="J9" s="0" t="n">
        <v>5</v>
      </c>
      <c r="K9" s="0" t="n">
        <v>4262033</v>
      </c>
      <c r="L9" s="0" t="inlineStr">
        <is>
          <t>structural regression prediction</t>
        </is>
      </c>
      <c r="M9" s="0" t="n">
        <v>23</v>
      </c>
      <c r="N9" s="0" t="n">
        <v>4698016.11967277</v>
      </c>
      <c r="O9" s="0" t="n">
        <v>587252.014959096</v>
      </c>
      <c r="P9" s="0" t="n">
        <v>37584128.9573821</v>
      </c>
      <c r="Q9" s="0" t="n">
        <v>38.4827564730535</v>
      </c>
      <c r="R9" s="0" t="n">
        <v>9.62068911826338</v>
      </c>
      <c r="S9" s="0" t="n">
        <v>153.931025892214</v>
      </c>
      <c r="T9" s="0" t="n">
        <v>492.198106666667</v>
      </c>
      <c r="U9" s="0" t="n">
        <v>434.88457</v>
      </c>
      <c r="V9" s="0" t="n">
        <v>553.65565</v>
      </c>
      <c r="W9" s="0" t="n">
        <v>287.976928710938</v>
      </c>
      <c r="X9" s="0" t="n">
        <v>71.9942321777344</v>
      </c>
      <c r="Y9" s="0" t="n">
        <v>1151.90771484375</v>
      </c>
      <c r="Z9" s="0" t="b">
        <v>1</v>
      </c>
      <c r="AA9" s="0" t="n">
        <v>0</v>
      </c>
      <c r="AC9" s="0" t="b">
        <v>0</v>
      </c>
    </row>
    <row r="10">
      <c r="A10" s="0" t="inlineStr">
        <is>
          <t>P009</t>
        </is>
      </c>
      <c r="B10" s="0" t="inlineStr">
        <is>
          <t>预测</t>
        </is>
      </c>
      <c r="C10" s="0" t="n">
        <v>1000000</v>
      </c>
      <c r="D10" s="0" t="n">
        <v>128</v>
      </c>
      <c r="E10" s="0" t="n">
        <v>128</v>
      </c>
      <c r="F10" s="0" t="n">
        <v>1024</v>
      </c>
      <c r="G10" s="0" t="n">
        <v>1024</v>
      </c>
      <c r="H10" s="0" t="n">
        <v>2048</v>
      </c>
      <c r="I10" s="0" t="n">
        <v>16</v>
      </c>
      <c r="J10" s="0" t="n">
        <v>20</v>
      </c>
      <c r="K10" s="0" t="n">
        <v>4262033</v>
      </c>
      <c r="L10" s="0" t="inlineStr">
        <is>
          <t>structural regression prediction</t>
        </is>
      </c>
      <c r="M10" s="0" t="n">
        <v>23</v>
      </c>
      <c r="N10" s="0" t="n">
        <v>4698016.11967277</v>
      </c>
      <c r="O10" s="0" t="n">
        <v>587252.014959096</v>
      </c>
      <c r="P10" s="0" t="n">
        <v>37584128.9573821</v>
      </c>
      <c r="Q10" s="0" t="n">
        <v>38.4854923760734</v>
      </c>
      <c r="R10" s="0" t="n">
        <v>9.621373094018351</v>
      </c>
      <c r="S10" s="0" t="n">
        <v>153.941969504294</v>
      </c>
      <c r="T10" s="0" t="n">
        <v>492.318106666667</v>
      </c>
      <c r="U10" s="0" t="n">
        <v>435.00457</v>
      </c>
      <c r="V10" s="0" t="n">
        <v>553.77565</v>
      </c>
      <c r="W10" s="0" t="n">
        <v>287.976928710938</v>
      </c>
      <c r="X10" s="0" t="n">
        <v>71.9942321777344</v>
      </c>
      <c r="Y10" s="0" t="n">
        <v>1151.90771484375</v>
      </c>
      <c r="Z10" s="0" t="b">
        <v>1</v>
      </c>
      <c r="AA10" s="0" t="n">
        <v>0</v>
      </c>
      <c r="AC10" s="0" t="b">
        <v>0</v>
      </c>
    </row>
    <row r="11">
      <c r="A11" s="0" t="inlineStr">
        <is>
          <t>P010</t>
        </is>
      </c>
      <c r="B11" s="0" t="inlineStr">
        <is>
          <t>预测</t>
        </is>
      </c>
      <c r="C11" s="0" t="n">
        <v>1000000</v>
      </c>
      <c r="D11" s="0" t="n">
        <v>128</v>
      </c>
      <c r="E11" s="0" t="n">
        <v>128</v>
      </c>
      <c r="F11" s="0" t="n">
        <v>1024</v>
      </c>
      <c r="G11" s="0" t="n">
        <v>1024</v>
      </c>
      <c r="H11" s="0" t="n">
        <v>2048</v>
      </c>
      <c r="I11" s="0" t="n">
        <v>16</v>
      </c>
      <c r="J11" s="0" t="n">
        <v>50</v>
      </c>
      <c r="K11" s="0" t="n">
        <v>4262033</v>
      </c>
      <c r="L11" s="0" t="inlineStr">
        <is>
          <t>structural regression prediction</t>
        </is>
      </c>
      <c r="M11" s="0" t="n">
        <v>23</v>
      </c>
      <c r="N11" s="0" t="n">
        <v>4698016.11967277</v>
      </c>
      <c r="O11" s="0" t="n">
        <v>587252.014959096</v>
      </c>
      <c r="P11" s="0" t="n">
        <v>37584128.9573821</v>
      </c>
      <c r="Q11" s="0" t="n">
        <v>38.4909641821132</v>
      </c>
      <c r="R11" s="0" t="n">
        <v>9.62274104552831</v>
      </c>
      <c r="S11" s="0" t="n">
        <v>153.963856728453</v>
      </c>
      <c r="T11" s="0" t="n">
        <v>492.558106666667</v>
      </c>
      <c r="U11" s="0" t="n">
        <v>435.24457</v>
      </c>
      <c r="V11" s="0" t="n">
        <v>554.0156500000001</v>
      </c>
      <c r="W11" s="0" t="n">
        <v>287.976928710938</v>
      </c>
      <c r="X11" s="0" t="n">
        <v>71.9942321777344</v>
      </c>
      <c r="Y11" s="0" t="n">
        <v>1151.90771484375</v>
      </c>
      <c r="Z11" s="0" t="b">
        <v>1</v>
      </c>
      <c r="AA11" s="0" t="n">
        <v>0</v>
      </c>
      <c r="AC11" s="0" t="b">
        <v>0</v>
      </c>
    </row>
    <row r="12">
      <c r="A12" s="0" t="inlineStr">
        <is>
          <t>P011</t>
        </is>
      </c>
      <c r="B12" s="0" t="inlineStr">
        <is>
          <t>预测</t>
        </is>
      </c>
      <c r="C12" s="0" t="n">
        <v>1000000</v>
      </c>
      <c r="D12" s="0" t="n">
        <v>128</v>
      </c>
      <c r="E12" s="0" t="n">
        <v>128</v>
      </c>
      <c r="F12" s="0" t="n">
        <v>1024</v>
      </c>
      <c r="G12" s="0" t="n">
        <v>1024</v>
      </c>
      <c r="H12" s="0" t="n">
        <v>2048</v>
      </c>
      <c r="I12" s="0" t="n">
        <v>16</v>
      </c>
      <c r="J12" s="0" t="n">
        <v>100</v>
      </c>
      <c r="K12" s="0" t="n">
        <v>4262033</v>
      </c>
      <c r="L12" s="0" t="inlineStr">
        <is>
          <t>structural regression prediction</t>
        </is>
      </c>
      <c r="M12" s="0" t="n">
        <v>23</v>
      </c>
      <c r="N12" s="0" t="n">
        <v>4698016.11967277</v>
      </c>
      <c r="O12" s="0" t="n">
        <v>587252.014959096</v>
      </c>
      <c r="P12" s="0" t="n">
        <v>37584128.9573821</v>
      </c>
      <c r="Q12" s="0" t="n">
        <v>38.5000838588462</v>
      </c>
      <c r="R12" s="0" t="n">
        <v>9.62502096471156</v>
      </c>
      <c r="S12" s="0" t="n">
        <v>154.000335435385</v>
      </c>
      <c r="T12" s="0" t="n">
        <v>492.958106666667</v>
      </c>
      <c r="U12" s="0" t="n">
        <v>435.64457</v>
      </c>
      <c r="V12" s="0" t="n">
        <v>554.41565</v>
      </c>
      <c r="W12" s="0" t="n">
        <v>287.976928710938</v>
      </c>
      <c r="X12" s="0" t="n">
        <v>71.9942321777344</v>
      </c>
      <c r="Y12" s="0" t="n">
        <v>1151.90771484375</v>
      </c>
      <c r="Z12" s="0" t="b">
        <v>1</v>
      </c>
      <c r="AA12" s="0" t="n">
        <v>0</v>
      </c>
      <c r="AC12" s="0" t="b">
        <v>0</v>
      </c>
    </row>
    <row r="13">
      <c r="A13" s="0" t="inlineStr">
        <is>
          <t>P012</t>
        </is>
      </c>
      <c r="B13" s="0" t="inlineStr">
        <is>
          <t>预测(参数假设)</t>
        </is>
      </c>
      <c r="C13" s="0" t="n">
        <v>100000</v>
      </c>
      <c r="D13" s="0" t="n">
        <v>128</v>
      </c>
      <c r="E13" s="0" t="n">
        <v>128</v>
      </c>
      <c r="F13" s="0" t="n">
        <v>1024</v>
      </c>
      <c r="G13" s="0" t="n">
        <v>1024</v>
      </c>
      <c r="H13" s="0" t="n">
        <v>256</v>
      </c>
      <c r="I13" s="0" t="n">
        <v>16</v>
      </c>
      <c r="J13" s="0" t="n">
        <v>10</v>
      </c>
      <c r="K13" s="0" t="n">
        <v>1840342</v>
      </c>
      <c r="L13" s="0" t="inlineStr">
        <is>
          <t>structural regression prediction</t>
        </is>
      </c>
      <c r="M13" s="0" t="n">
        <v>21</v>
      </c>
      <c r="N13" s="0" t="n">
        <v>1108369.52797136</v>
      </c>
      <c r="O13" s="0" t="n">
        <v>138546.19099642</v>
      </c>
      <c r="P13" s="0" t="n">
        <v>17733912.4475418</v>
      </c>
      <c r="Q13" s="0" t="n">
        <v>30.2915738032696</v>
      </c>
      <c r="R13" s="0" t="n">
        <v>3.7864467254087</v>
      </c>
      <c r="S13" s="0" t="n">
        <v>242.332590426157</v>
      </c>
      <c r="T13" s="0" t="n">
        <v>238.09408</v>
      </c>
      <c r="U13" s="0" t="n">
        <v>191.14056</v>
      </c>
      <c r="V13" s="0" t="n">
        <v>295.407616666667</v>
      </c>
      <c r="W13" s="0" t="n">
        <v>71.9942321777344</v>
      </c>
      <c r="X13" s="0" t="n">
        <v>35.9971160888672</v>
      </c>
      <c r="Y13" s="0" t="n">
        <v>287.976928710938</v>
      </c>
      <c r="Z13" s="0" t="b">
        <v>1</v>
      </c>
      <c r="AA13" s="0" t="n">
        <v>0</v>
      </c>
      <c r="AC13" s="0" t="b">
        <v>1</v>
      </c>
    </row>
    <row r="14">
      <c r="A14" s="0" t="inlineStr">
        <is>
          <t>P013</t>
        </is>
      </c>
      <c r="B14" s="0" t="inlineStr">
        <is>
          <t>预测(参数假设)</t>
        </is>
      </c>
      <c r="C14" s="0" t="n">
        <v>500000</v>
      </c>
      <c r="D14" s="0" t="n">
        <v>128</v>
      </c>
      <c r="E14" s="0" t="n">
        <v>128</v>
      </c>
      <c r="F14" s="0" t="n">
        <v>1024</v>
      </c>
      <c r="G14" s="0" t="n">
        <v>1024</v>
      </c>
      <c r="H14" s="0" t="n">
        <v>1024</v>
      </c>
      <c r="I14" s="0" t="n">
        <v>16</v>
      </c>
      <c r="J14" s="0" t="n">
        <v>10</v>
      </c>
      <c r="K14" s="0" t="n">
        <v>2474121</v>
      </c>
      <c r="L14" s="0" t="inlineStr">
        <is>
          <t>structural regression prediction</t>
        </is>
      </c>
      <c r="M14" s="0" t="n">
        <v>22</v>
      </c>
      <c r="N14" s="0" t="n">
        <v>2246734.4322322</v>
      </c>
      <c r="O14" s="0" t="n">
        <v>280841.804029025</v>
      </c>
      <c r="P14" s="0" t="n">
        <v>35947750.9157152</v>
      </c>
      <c r="Q14" s="0" t="n">
        <v>33.9206936732677</v>
      </c>
      <c r="R14" s="0" t="n">
        <v>4.24008670915847</v>
      </c>
      <c r="S14" s="0" t="n">
        <v>271.365549386142</v>
      </c>
      <c r="T14" s="0" t="n">
        <v>344.686093333333</v>
      </c>
      <c r="U14" s="0" t="n">
        <v>295.66057</v>
      </c>
      <c r="V14" s="0" t="n">
        <v>404.071633333333</v>
      </c>
      <c r="W14" s="0" t="n">
        <v>143.988464355469</v>
      </c>
      <c r="X14" s="0" t="n">
        <v>71.9942321777344</v>
      </c>
      <c r="Y14" s="0" t="n">
        <v>575.953857421875</v>
      </c>
      <c r="Z14" s="0" t="b">
        <v>1</v>
      </c>
      <c r="AA14" s="0" t="n">
        <v>0</v>
      </c>
      <c r="AC14" s="0" t="b">
        <v>1</v>
      </c>
    </row>
    <row r="15">
      <c r="A15" s="0" t="inlineStr">
        <is>
          <t>P014</t>
        </is>
      </c>
      <c r="B15" s="0" t="inlineStr">
        <is>
          <t>预测(参数假设)</t>
        </is>
      </c>
      <c r="C15" s="0" t="n">
        <v>1000000</v>
      </c>
      <c r="D15" s="0" t="n">
        <v>128</v>
      </c>
      <c r="E15" s="0" t="n">
        <v>128</v>
      </c>
      <c r="F15" s="0" t="n">
        <v>1024</v>
      </c>
      <c r="G15" s="0" t="n">
        <v>1024</v>
      </c>
      <c r="H15" s="0" t="n">
        <v>2048</v>
      </c>
      <c r="I15" s="0" t="n">
        <v>16</v>
      </c>
      <c r="J15" s="0" t="n">
        <v>10</v>
      </c>
      <c r="K15" s="0" t="n">
        <v>4262033</v>
      </c>
      <c r="L15" s="0" t="inlineStr">
        <is>
          <t>structural regression prediction</t>
        </is>
      </c>
      <c r="M15" s="0" t="n">
        <v>23</v>
      </c>
      <c r="N15" s="0" t="n">
        <v>4698016.11967277</v>
      </c>
      <c r="O15" s="0" t="n">
        <v>293626.007479548</v>
      </c>
      <c r="P15" s="0" t="n">
        <v>75168257.9147643</v>
      </c>
      <c r="Q15" s="0" t="n">
        <v>38.4836684407268</v>
      </c>
      <c r="R15" s="0" t="n">
        <v>4.81045855509085</v>
      </c>
      <c r="S15" s="0" t="n">
        <v>307.869347525814</v>
      </c>
      <c r="T15" s="0" t="n">
        <v>492.238106666667</v>
      </c>
      <c r="U15" s="0" t="n">
        <v>434.92457</v>
      </c>
      <c r="V15" s="0" t="n">
        <v>553.69565</v>
      </c>
      <c r="W15" s="0" t="n">
        <v>287.976928710938</v>
      </c>
      <c r="X15" s="0" t="n">
        <v>71.9942321777344</v>
      </c>
      <c r="Y15" s="0" t="n">
        <v>1151.90771484375</v>
      </c>
      <c r="Z15" s="0" t="b">
        <v>1</v>
      </c>
      <c r="AA15" s="0" t="n">
        <v>0</v>
      </c>
      <c r="AC15" s="0" t="b">
        <v>1</v>
      </c>
    </row>
    <row r="16">
      <c r="A16" s="0" t="inlineStr">
        <is>
          <t>P015</t>
        </is>
      </c>
      <c r="B16" s="0" t="inlineStr">
        <is>
          <t>预测(参数假设)</t>
        </is>
      </c>
      <c r="C16" s="0" t="n">
        <v>5000000</v>
      </c>
      <c r="D16" s="0" t="n">
        <v>128</v>
      </c>
      <c r="E16" s="0" t="n">
        <v>128</v>
      </c>
      <c r="F16" s="0" t="n">
        <v>1024</v>
      </c>
      <c r="G16" s="0" t="n">
        <v>1024</v>
      </c>
      <c r="H16" s="0" t="n">
        <v>16384</v>
      </c>
      <c r="I16" s="0" t="n">
        <v>16</v>
      </c>
      <c r="J16" s="0" t="n">
        <v>10</v>
      </c>
      <c r="K16" s="0" t="n">
        <v>29292796</v>
      </c>
      <c r="L16" s="0" t="inlineStr">
        <is>
          <t>structural regression prediction</t>
        </is>
      </c>
      <c r="M16" s="0" t="n">
        <v>25</v>
      </c>
      <c r="N16" s="0" t="n">
        <v>21111800.5327878</v>
      </c>
      <c r="O16" s="0" t="n">
        <v>2638975.06659848</v>
      </c>
      <c r="P16" s="0" t="n">
        <v>337788808.524605</v>
      </c>
      <c r="Q16" s="0" t="n">
        <v>85.7108977920512</v>
      </c>
      <c r="R16" s="0" t="n">
        <v>10.7138622240064</v>
      </c>
      <c r="S16" s="0" t="n">
        <v>685.687182336409</v>
      </c>
      <c r="T16" s="0" t="n">
        <v>2458.51013333333</v>
      </c>
      <c r="U16" s="0" t="n">
        <v>2403.2686</v>
      </c>
      <c r="V16" s="0" t="n">
        <v>2524.11168333333</v>
      </c>
      <c r="W16" s="0" t="n">
        <v>1151.90771484375</v>
      </c>
      <c r="X16" s="0" t="n">
        <v>575.953857421875</v>
      </c>
      <c r="Y16" s="0" t="n">
        <v>4607.630859375</v>
      </c>
      <c r="Z16" s="0" t="b">
        <v>1</v>
      </c>
      <c r="AA16" s="0" t="n">
        <v>0</v>
      </c>
      <c r="AC16" s="0" t="b">
        <v>1</v>
      </c>
    </row>
    <row r="17">
      <c r="A17" s="0" t="inlineStr">
        <is>
          <t>P016</t>
        </is>
      </c>
      <c r="B17" s="0" t="inlineStr">
        <is>
          <t>预测(参数假设)</t>
        </is>
      </c>
      <c r="C17" s="0" t="n">
        <v>10000000</v>
      </c>
      <c r="D17" s="0" t="n">
        <v>128</v>
      </c>
      <c r="E17" s="0" t="n">
        <v>128</v>
      </c>
      <c r="F17" s="0" t="n">
        <v>1024</v>
      </c>
      <c r="G17" s="0" t="n">
        <v>1024</v>
      </c>
      <c r="H17" s="0" t="n">
        <v>32768</v>
      </c>
      <c r="I17" s="0" t="n">
        <v>16</v>
      </c>
      <c r="J17" s="0" t="n">
        <v>10</v>
      </c>
      <c r="K17" s="0" t="n">
        <v>57899383</v>
      </c>
      <c r="L17" s="0" t="inlineStr">
        <is>
          <t>structural regression prediction</t>
        </is>
      </c>
      <c r="M17" s="0" t="n">
        <v>26</v>
      </c>
      <c r="N17" s="0" t="n">
        <v>43912545.1081987</v>
      </c>
      <c r="O17" s="0" t="n">
        <v>5489068.13852483</v>
      </c>
      <c r="P17" s="0" t="n">
        <v>702600721.731179</v>
      </c>
      <c r="Q17" s="0" t="n">
        <v>137.900472330018</v>
      </c>
      <c r="R17" s="0" t="n">
        <v>17.2375590412523</v>
      </c>
      <c r="S17" s="0" t="n">
        <v>1103.20377864014</v>
      </c>
      <c r="T17" s="0" t="n">
        <v>4695.02214666667</v>
      </c>
      <c r="U17" s="0" t="n">
        <v>4637.70861</v>
      </c>
      <c r="V17" s="0" t="n">
        <v>4762.6957</v>
      </c>
      <c r="W17" s="0" t="n">
        <v>2303.8154296875</v>
      </c>
      <c r="X17" s="0" t="n">
        <v>1151.90771484375</v>
      </c>
      <c r="Y17" s="0" t="n">
        <v>9215.26171875</v>
      </c>
      <c r="Z17" s="0" t="b">
        <v>1</v>
      </c>
      <c r="AA17" s="0" t="n">
        <v>0</v>
      </c>
      <c r="AC17" s="0" t="b">
        <v>1</v>
      </c>
    </row>
    <row r="18">
      <c r="A18" s="0" t="inlineStr">
        <is>
          <t>P017</t>
        </is>
      </c>
      <c r="B18" s="0" t="inlineStr">
        <is>
          <t>预测</t>
        </is>
      </c>
      <c r="C18" s="0" t="n">
        <v>289761</v>
      </c>
      <c r="D18" s="0" t="n">
        <v>256</v>
      </c>
      <c r="E18" s="0" t="n">
        <v>256</v>
      </c>
      <c r="F18" s="0" t="n">
        <v>256</v>
      </c>
      <c r="G18" s="0" t="n">
        <v>512</v>
      </c>
      <c r="H18" s="0" t="n">
        <v>2048</v>
      </c>
      <c r="I18" s="0" t="n">
        <v>256</v>
      </c>
      <c r="J18" s="0" t="n">
        <v>10</v>
      </c>
      <c r="K18" s="0" t="n">
        <v>117593662</v>
      </c>
      <c r="L18" s="0" t="inlineStr">
        <is>
          <t>structural regression prediction</t>
        </is>
      </c>
      <c r="M18" s="0" t="n">
        <v>27</v>
      </c>
      <c r="N18" s="0" t="n">
        <v>91202978.3016434</v>
      </c>
      <c r="O18" s="0" t="n">
        <v>22800744.5754108</v>
      </c>
      <c r="P18" s="0" t="n">
        <v>729623826.413147</v>
      </c>
      <c r="Q18" s="0" t="n">
        <v>133.615171944035</v>
      </c>
      <c r="R18" s="0" t="n">
        <v>33.4037929860087</v>
      </c>
      <c r="S18" s="0" t="n">
        <v>534.460687776139</v>
      </c>
      <c r="T18" s="0" t="n">
        <v>4454.47816</v>
      </c>
      <c r="U18" s="0" t="n">
        <v>4395.09262</v>
      </c>
      <c r="V18" s="0" t="n">
        <v>4524.22371666667</v>
      </c>
      <c r="W18" s="0" t="n">
        <v>4607.630859375</v>
      </c>
      <c r="X18" s="0" t="n">
        <v>2303.8154296875</v>
      </c>
      <c r="Y18" s="0" t="n">
        <v>18430.5234375</v>
      </c>
      <c r="Z18" s="0" t="b">
        <v>1</v>
      </c>
      <c r="AA18" s="0" t="n">
        <v>0</v>
      </c>
      <c r="AC18" s="0" t="b">
        <v>0</v>
      </c>
    </row>
    <row r="19">
      <c r="A19" s="0" t="inlineStr">
        <is>
          <t>P018</t>
        </is>
      </c>
      <c r="B19" s="0" t="inlineStr">
        <is>
          <t>预测</t>
        </is>
      </c>
      <c r="C19" s="0" t="n">
        <v>289761</v>
      </c>
      <c r="D19" s="0" t="n">
        <v>256</v>
      </c>
      <c r="E19" s="0" t="n">
        <v>256</v>
      </c>
      <c r="F19" s="0" t="n">
        <v>256</v>
      </c>
      <c r="G19" s="0" t="n">
        <v>512</v>
      </c>
      <c r="H19" s="0" t="n">
        <v>2048</v>
      </c>
      <c r="I19" s="0" t="n">
        <v>4</v>
      </c>
      <c r="J19" s="0" t="n">
        <v>10</v>
      </c>
      <c r="K19" s="0" t="n">
        <v>1882668</v>
      </c>
      <c r="L19" s="0" t="inlineStr">
        <is>
          <t>structural regression prediction</t>
        </is>
      </c>
      <c r="M19" s="0" t="n">
        <v>21</v>
      </c>
      <c r="N19" s="0" t="n">
        <v>1108369.52797136</v>
      </c>
      <c r="O19" s="0" t="n">
        <v>554184.76398568</v>
      </c>
      <c r="P19" s="0" t="n">
        <v>4433478.11188544</v>
      </c>
      <c r="Q19" s="0" t="n">
        <v>31.155389583421</v>
      </c>
      <c r="R19" s="0" t="n">
        <v>15.5776947917105</v>
      </c>
      <c r="S19" s="0" t="n">
        <v>62.310779166842</v>
      </c>
      <c r="T19" s="0" t="n">
        <v>275.98208</v>
      </c>
      <c r="U19" s="0" t="n">
        <v>229.02856</v>
      </c>
      <c r="V19" s="0" t="n">
        <v>333.295616666667</v>
      </c>
      <c r="W19" s="0" t="n">
        <v>71.9942321777344</v>
      </c>
      <c r="X19" s="0" t="n">
        <v>35.9971160888672</v>
      </c>
      <c r="Y19" s="0" t="n">
        <v>287.976928710938</v>
      </c>
      <c r="Z19" s="0" t="b">
        <v>1</v>
      </c>
      <c r="AA19" s="0" t="n">
        <v>0</v>
      </c>
      <c r="AC19" s="0" t="b">
        <v>0</v>
      </c>
    </row>
    <row r="20">
      <c r="A20" s="0" t="inlineStr">
        <is>
          <t>P019</t>
        </is>
      </c>
      <c r="B20" s="0" t="inlineStr">
        <is>
          <t>预测</t>
        </is>
      </c>
      <c r="C20" s="0" t="n">
        <v>289761</v>
      </c>
      <c r="D20" s="0" t="n">
        <v>256</v>
      </c>
      <c r="E20" s="0" t="n">
        <v>256</v>
      </c>
      <c r="F20" s="0" t="n">
        <v>256</v>
      </c>
      <c r="G20" s="0" t="n">
        <v>512</v>
      </c>
      <c r="H20" s="0" t="n">
        <v>2048</v>
      </c>
      <c r="I20" s="0" t="n">
        <v>8</v>
      </c>
      <c r="J20" s="0" t="n">
        <v>10</v>
      </c>
      <c r="K20" s="0" t="n">
        <v>3719350</v>
      </c>
      <c r="L20" s="0" t="inlineStr">
        <is>
          <t>structural regression prediction</t>
        </is>
      </c>
      <c r="M20" s="0" t="n">
        <v>22</v>
      </c>
      <c r="N20" s="0" t="n">
        <v>2322298.05860666</v>
      </c>
      <c r="O20" s="0" t="n">
        <v>1161149.02930333</v>
      </c>
      <c r="P20" s="0" t="n">
        <v>9289192.23442664</v>
      </c>
      <c r="Q20" s="0" t="n">
        <v>34.0374255354504</v>
      </c>
      <c r="R20" s="0" t="n">
        <v>17.0187127677252</v>
      </c>
      <c r="S20" s="0" t="n">
        <v>68.07485107090071</v>
      </c>
      <c r="T20" s="0" t="n">
        <v>349.806093333333</v>
      </c>
      <c r="U20" s="0" t="n">
        <v>300.78057</v>
      </c>
      <c r="V20" s="0" t="n">
        <v>409.191633333333</v>
      </c>
      <c r="W20" s="0" t="n">
        <v>143.988464355469</v>
      </c>
      <c r="X20" s="0" t="n">
        <v>71.9942321777344</v>
      </c>
      <c r="Y20" s="0" t="n">
        <v>575.953857421875</v>
      </c>
      <c r="Z20" s="0" t="b">
        <v>1</v>
      </c>
      <c r="AA20" s="0" t="n">
        <v>0</v>
      </c>
      <c r="AC20" s="0" t="b">
        <v>0</v>
      </c>
    </row>
    <row r="21">
      <c r="A21" s="0" t="inlineStr">
        <is>
          <t>P020</t>
        </is>
      </c>
      <c r="B21" s="0" t="inlineStr">
        <is>
          <t>预测</t>
        </is>
      </c>
      <c r="C21" s="0" t="n">
        <v>289761</v>
      </c>
      <c r="D21" s="0" t="n">
        <v>256</v>
      </c>
      <c r="E21" s="0" t="n">
        <v>256</v>
      </c>
      <c r="F21" s="0" t="n">
        <v>256</v>
      </c>
      <c r="G21" s="0" t="n">
        <v>512</v>
      </c>
      <c r="H21" s="0" t="n">
        <v>2048</v>
      </c>
      <c r="I21" s="0" t="n">
        <v>16</v>
      </c>
      <c r="J21" s="0" t="n">
        <v>10</v>
      </c>
      <c r="K21" s="0" t="n">
        <v>7392715</v>
      </c>
      <c r="L21" s="0" t="inlineStr">
        <is>
          <t>structural regression prediction</t>
        </is>
      </c>
      <c r="M21" s="0" t="n">
        <v>23</v>
      </c>
      <c r="N21" s="0" t="n">
        <v>4855714.1225412</v>
      </c>
      <c r="O21" s="0" t="n">
        <v>1213928.5306353</v>
      </c>
      <c r="P21" s="0" t="n">
        <v>38845712.9803296</v>
      </c>
      <c r="Q21" s="0" t="n">
        <v>38.4136293234172</v>
      </c>
      <c r="R21" s="0" t="n">
        <v>9.60340733085431</v>
      </c>
      <c r="S21" s="0" t="n">
        <v>153.654517293669</v>
      </c>
      <c r="T21" s="0" t="n">
        <v>489.166106666667</v>
      </c>
      <c r="U21" s="0" t="n">
        <v>438.06858</v>
      </c>
      <c r="V21" s="0" t="n">
        <v>550.62365</v>
      </c>
      <c r="W21" s="0" t="n">
        <v>287.976928710938</v>
      </c>
      <c r="X21" s="0" t="n">
        <v>143.988464355469</v>
      </c>
      <c r="Y21" s="0" t="n">
        <v>1151.90771484375</v>
      </c>
      <c r="Z21" s="0" t="b">
        <v>1</v>
      </c>
      <c r="AA21" s="0" t="n">
        <v>0</v>
      </c>
      <c r="AC21" s="0" t="b">
        <v>0</v>
      </c>
    </row>
    <row r="22">
      <c r="A22" s="0" t="inlineStr">
        <is>
          <t>P021</t>
        </is>
      </c>
      <c r="B22" s="0" t="inlineStr">
        <is>
          <t>预测</t>
        </is>
      </c>
      <c r="C22" s="0" t="n">
        <v>289761</v>
      </c>
      <c r="D22" s="0" t="n">
        <v>256</v>
      </c>
      <c r="E22" s="0" t="n">
        <v>256</v>
      </c>
      <c r="F22" s="0" t="n">
        <v>256</v>
      </c>
      <c r="G22" s="0" t="n">
        <v>512</v>
      </c>
      <c r="H22" s="0" t="n">
        <v>2048</v>
      </c>
      <c r="I22" s="0" t="n">
        <v>32</v>
      </c>
      <c r="J22" s="0" t="n">
        <v>10</v>
      </c>
      <c r="K22" s="0" t="n">
        <v>14739445</v>
      </c>
      <c r="L22" s="0" t="inlineStr">
        <is>
          <t>structural regression prediction</t>
        </is>
      </c>
      <c r="M22" s="0" t="n">
        <v>24</v>
      </c>
      <c r="N22" s="0" t="n">
        <v>10133664.2557382</v>
      </c>
      <c r="O22" s="0" t="n">
        <v>2533416.06393454</v>
      </c>
      <c r="P22" s="0" t="n">
        <v>81069314.0459052</v>
      </c>
      <c r="Q22" s="0" t="n">
        <v>45.7781687832591</v>
      </c>
      <c r="R22" s="0" t="n">
        <v>11.4445421958148</v>
      </c>
      <c r="S22" s="0" t="n">
        <v>183.112675133036</v>
      </c>
      <c r="T22" s="0" t="n">
        <v>759.59812</v>
      </c>
      <c r="U22" s="0" t="n">
        <v>706.42859</v>
      </c>
      <c r="V22" s="0" t="n">
        <v>823.127666666667</v>
      </c>
      <c r="W22" s="0" t="n">
        <v>575.953857421875</v>
      </c>
      <c r="X22" s="0" t="n">
        <v>287.976928710938</v>
      </c>
      <c r="Y22" s="0" t="n">
        <v>2303.8154296875</v>
      </c>
      <c r="Z22" s="0" t="b">
        <v>1</v>
      </c>
      <c r="AA22" s="0" t="n">
        <v>0</v>
      </c>
      <c r="AC22" s="0" t="b">
        <v>0</v>
      </c>
    </row>
    <row r="23">
      <c r="A23" s="0" t="inlineStr">
        <is>
          <t>P022</t>
        </is>
      </c>
      <c r="B23" s="0" t="inlineStr">
        <is>
          <t>预测</t>
        </is>
      </c>
      <c r="C23" s="0" t="n">
        <v>289761</v>
      </c>
      <c r="D23" s="0" t="n">
        <v>256</v>
      </c>
      <c r="E23" s="0" t="n">
        <v>256</v>
      </c>
      <c r="F23" s="0" t="n">
        <v>256</v>
      </c>
      <c r="G23" s="0" t="n">
        <v>512</v>
      </c>
      <c r="H23" s="0" t="n">
        <v>2048</v>
      </c>
      <c r="I23" s="0" t="n">
        <v>128</v>
      </c>
      <c r="J23" s="0" t="n">
        <v>10</v>
      </c>
      <c r="K23" s="0" t="n">
        <v>58819823</v>
      </c>
      <c r="L23" s="0" t="inlineStr">
        <is>
          <t>structural regression prediction</t>
        </is>
      </c>
      <c r="M23" s="0" t="n">
        <v>26</v>
      </c>
      <c r="N23" s="0" t="n">
        <v>43912545.1081987</v>
      </c>
      <c r="O23" s="0" t="n">
        <v>10978136.2770497</v>
      </c>
      <c r="P23" s="0" t="n">
        <v>351300360.865589</v>
      </c>
      <c r="Q23" s="0" t="n">
        <v>84.4139330779429</v>
      </c>
      <c r="R23" s="0" t="n">
        <v>21.1034832694857</v>
      </c>
      <c r="S23" s="0" t="n">
        <v>337.655732311771</v>
      </c>
      <c r="T23" s="0" t="n">
        <v>2349.03814666667</v>
      </c>
      <c r="U23" s="0" t="n">
        <v>2291.72461</v>
      </c>
      <c r="V23" s="0" t="n">
        <v>2416.7117</v>
      </c>
      <c r="W23" s="0" t="n">
        <v>2303.8154296875</v>
      </c>
      <c r="X23" s="0" t="n">
        <v>1151.90771484375</v>
      </c>
      <c r="Y23" s="0" t="n">
        <v>9215.26171875</v>
      </c>
      <c r="Z23" s="0" t="b">
        <v>1</v>
      </c>
      <c r="AA23" s="0" t="n">
        <v>0</v>
      </c>
      <c r="AC23" s="0" t="b">
        <v>0</v>
      </c>
    </row>
    <row r="24">
      <c r="A24" s="0" t="inlineStr">
        <is>
          <t>P023</t>
        </is>
      </c>
      <c r="B24" s="0" t="inlineStr">
        <is>
          <t>预测</t>
        </is>
      </c>
      <c r="C24" s="0" t="n">
        <v>289761</v>
      </c>
      <c r="D24" s="0" t="n">
        <v>256</v>
      </c>
      <c r="E24" s="0" t="n">
        <v>256</v>
      </c>
      <c r="F24" s="0" t="n">
        <v>256</v>
      </c>
      <c r="G24" s="0" t="n">
        <v>512</v>
      </c>
      <c r="H24" s="0" t="n">
        <v>2048</v>
      </c>
      <c r="I24" s="0" t="n">
        <v>512</v>
      </c>
      <c r="J24" s="0" t="n">
        <v>10</v>
      </c>
      <c r="K24" s="0" t="n">
        <v>235141338</v>
      </c>
      <c r="L24" s="0" t="inlineStr">
        <is>
          <t>structural regression prediction</t>
        </is>
      </c>
      <c r="M24" s="0" t="n">
        <v>28</v>
      </c>
      <c r="N24" s="0" t="n">
        <v>189161732.773779</v>
      </c>
      <c r="O24" s="0" t="n">
        <v>47290433.1934447</v>
      </c>
      <c r="P24" s="0" t="n">
        <v>1513293862.19023</v>
      </c>
      <c r="Q24" s="0" t="n">
        <v>230.629781560127</v>
      </c>
      <c r="R24" s="0" t="n">
        <v>57.6574453900316</v>
      </c>
      <c r="S24" s="0" t="n">
        <v>922.519126240506</v>
      </c>
      <c r="T24" s="0" t="n">
        <v>8657.07017333333</v>
      </c>
      <c r="U24" s="0" t="n">
        <v>8595.61263</v>
      </c>
      <c r="V24" s="0" t="n">
        <v>8728.887733333329</v>
      </c>
      <c r="W24" s="0" t="n">
        <v>9215.26171875</v>
      </c>
      <c r="X24" s="0" t="n">
        <v>4607.630859375</v>
      </c>
      <c r="Y24" s="0" t="n">
        <v>36861.046875</v>
      </c>
      <c r="Z24" s="0" t="b">
        <v>1</v>
      </c>
      <c r="AA24" s="0" t="n">
        <v>0</v>
      </c>
      <c r="AC24" s="0" t="b">
        <v>0</v>
      </c>
    </row>
    <row r="25">
      <c r="A25" s="0" t="inlineStr">
        <is>
          <t>P024</t>
        </is>
      </c>
      <c r="B25" s="0" t="inlineStr">
        <is>
          <t>预测</t>
        </is>
      </c>
      <c r="C25" s="0" t="n">
        <v>289761</v>
      </c>
      <c r="D25" s="0" t="n">
        <v>256</v>
      </c>
      <c r="E25" s="0" t="n">
        <v>256</v>
      </c>
      <c r="F25" s="0" t="n">
        <v>256</v>
      </c>
      <c r="G25" s="0" t="n">
        <v>512</v>
      </c>
      <c r="H25" s="0" t="n">
        <v>2048</v>
      </c>
      <c r="I25" s="0" t="n">
        <v>256</v>
      </c>
      <c r="J25" s="0" t="n">
        <v>1</v>
      </c>
      <c r="K25" s="0" t="n">
        <v>117593662</v>
      </c>
      <c r="L25" s="0" t="inlineStr">
        <is>
          <t>structural regression prediction</t>
        </is>
      </c>
      <c r="M25" s="0" t="n">
        <v>27</v>
      </c>
      <c r="N25" s="0" t="n">
        <v>91202978.3016434</v>
      </c>
      <c r="O25" s="0" t="n">
        <v>22800744.5754108</v>
      </c>
      <c r="P25" s="0" t="n">
        <v>729623826.413147</v>
      </c>
      <c r="Q25" s="0" t="n">
        <v>133.613530402223</v>
      </c>
      <c r="R25" s="0" t="n">
        <v>33.4033826005557</v>
      </c>
      <c r="S25" s="0" t="n">
        <v>534.454121608891</v>
      </c>
      <c r="T25" s="0" t="n">
        <v>4454.40616</v>
      </c>
      <c r="U25" s="0" t="n">
        <v>4395.02062</v>
      </c>
      <c r="V25" s="0" t="n">
        <v>4524.15171666667</v>
      </c>
      <c r="W25" s="0" t="n">
        <v>4607.630859375</v>
      </c>
      <c r="X25" s="0" t="n">
        <v>2303.8154296875</v>
      </c>
      <c r="Y25" s="0" t="n">
        <v>18430.5234375</v>
      </c>
      <c r="Z25" s="0" t="b">
        <v>1</v>
      </c>
      <c r="AA25" s="0" t="n">
        <v>0</v>
      </c>
      <c r="AC25" s="0" t="b">
        <v>0</v>
      </c>
    </row>
    <row r="26">
      <c r="A26" s="0" t="inlineStr">
        <is>
          <t>P025</t>
        </is>
      </c>
      <c r="B26" s="0" t="inlineStr">
        <is>
          <t>预测</t>
        </is>
      </c>
      <c r="C26" s="0" t="n">
        <v>289761</v>
      </c>
      <c r="D26" s="0" t="n">
        <v>256</v>
      </c>
      <c r="E26" s="0" t="n">
        <v>256</v>
      </c>
      <c r="F26" s="0" t="n">
        <v>256</v>
      </c>
      <c r="G26" s="0" t="n">
        <v>512</v>
      </c>
      <c r="H26" s="0" t="n">
        <v>2048</v>
      </c>
      <c r="I26" s="0" t="n">
        <v>256</v>
      </c>
      <c r="J26" s="0" t="n">
        <v>5</v>
      </c>
      <c r="K26" s="0" t="n">
        <v>117593662</v>
      </c>
      <c r="L26" s="0" t="inlineStr">
        <is>
          <t>structural regression prediction</t>
        </is>
      </c>
      <c r="M26" s="0" t="n">
        <v>27</v>
      </c>
      <c r="N26" s="0" t="n">
        <v>91202978.3016434</v>
      </c>
      <c r="O26" s="0" t="n">
        <v>22800744.5754108</v>
      </c>
      <c r="P26" s="0" t="n">
        <v>729623826.413147</v>
      </c>
      <c r="Q26" s="0" t="n">
        <v>133.614259976361</v>
      </c>
      <c r="R26" s="0" t="n">
        <v>33.4035649940904</v>
      </c>
      <c r="S26" s="0" t="n">
        <v>534.457039905446</v>
      </c>
      <c r="T26" s="0" t="n">
        <v>4454.43816</v>
      </c>
      <c r="U26" s="0" t="n">
        <v>4395.05262</v>
      </c>
      <c r="V26" s="0" t="n">
        <v>4524.18371666667</v>
      </c>
      <c r="W26" s="0" t="n">
        <v>4607.630859375</v>
      </c>
      <c r="X26" s="0" t="n">
        <v>2303.8154296875</v>
      </c>
      <c r="Y26" s="0" t="n">
        <v>18430.5234375</v>
      </c>
      <c r="Z26" s="0" t="b">
        <v>1</v>
      </c>
      <c r="AA26" s="0" t="n">
        <v>0</v>
      </c>
      <c r="AC26" s="0" t="b">
        <v>0</v>
      </c>
    </row>
    <row r="27">
      <c r="A27" s="0" t="inlineStr">
        <is>
          <t>P026</t>
        </is>
      </c>
      <c r="B27" s="0" t="inlineStr">
        <is>
          <t>预测</t>
        </is>
      </c>
      <c r="C27" s="0" t="n">
        <v>289761</v>
      </c>
      <c r="D27" s="0" t="n">
        <v>256</v>
      </c>
      <c r="E27" s="0" t="n">
        <v>256</v>
      </c>
      <c r="F27" s="0" t="n">
        <v>256</v>
      </c>
      <c r="G27" s="0" t="n">
        <v>512</v>
      </c>
      <c r="H27" s="0" t="n">
        <v>2048</v>
      </c>
      <c r="I27" s="0" t="n">
        <v>256</v>
      </c>
      <c r="J27" s="0" t="n">
        <v>20</v>
      </c>
      <c r="K27" s="0" t="n">
        <v>117593662</v>
      </c>
      <c r="L27" s="0" t="inlineStr">
        <is>
          <t>structural regression prediction</t>
        </is>
      </c>
      <c r="M27" s="0" t="n">
        <v>27</v>
      </c>
      <c r="N27" s="0" t="n">
        <v>91202978.3016434</v>
      </c>
      <c r="O27" s="0" t="n">
        <v>22800744.5754108</v>
      </c>
      <c r="P27" s="0" t="n">
        <v>729623826.413147</v>
      </c>
      <c r="Q27" s="0" t="n">
        <v>133.616995879381</v>
      </c>
      <c r="R27" s="0" t="n">
        <v>33.4042489698453</v>
      </c>
      <c r="S27" s="0" t="n">
        <v>534.467983517525</v>
      </c>
      <c r="T27" s="0" t="n">
        <v>4454.55816</v>
      </c>
      <c r="U27" s="0" t="n">
        <v>4395.17262</v>
      </c>
      <c r="V27" s="0" t="n">
        <v>4524.30371666667</v>
      </c>
      <c r="W27" s="0" t="n">
        <v>4607.630859375</v>
      </c>
      <c r="X27" s="0" t="n">
        <v>2303.8154296875</v>
      </c>
      <c r="Y27" s="0" t="n">
        <v>18430.5234375</v>
      </c>
      <c r="Z27" s="0" t="b">
        <v>1</v>
      </c>
      <c r="AA27" s="0" t="n">
        <v>0</v>
      </c>
      <c r="AC27" s="0" t="b">
        <v>0</v>
      </c>
    </row>
    <row r="28">
      <c r="A28" s="0" t="inlineStr">
        <is>
          <t>P027</t>
        </is>
      </c>
      <c r="B28" s="0" t="inlineStr">
        <is>
          <t>预测</t>
        </is>
      </c>
      <c r="C28" s="0" t="n">
        <v>289761</v>
      </c>
      <c r="D28" s="0" t="n">
        <v>256</v>
      </c>
      <c r="E28" s="0" t="n">
        <v>256</v>
      </c>
      <c r="F28" s="0" t="n">
        <v>256</v>
      </c>
      <c r="G28" s="0" t="n">
        <v>512</v>
      </c>
      <c r="H28" s="0" t="n">
        <v>2048</v>
      </c>
      <c r="I28" s="0" t="n">
        <v>256</v>
      </c>
      <c r="J28" s="0" t="n">
        <v>50</v>
      </c>
      <c r="K28" s="0" t="n">
        <v>117593662</v>
      </c>
      <c r="L28" s="0" t="inlineStr">
        <is>
          <t>structural regression prediction</t>
        </is>
      </c>
      <c r="M28" s="0" t="n">
        <v>27</v>
      </c>
      <c r="N28" s="0" t="n">
        <v>91202978.3016434</v>
      </c>
      <c r="O28" s="0" t="n">
        <v>22800744.5754108</v>
      </c>
      <c r="P28" s="0" t="n">
        <v>729623826.413147</v>
      </c>
      <c r="Q28" s="0" t="n">
        <v>133.622467685421</v>
      </c>
      <c r="R28" s="0" t="n">
        <v>33.4056169213553</v>
      </c>
      <c r="S28" s="0" t="n">
        <v>534.489870741685</v>
      </c>
      <c r="T28" s="0" t="n">
        <v>4454.79816</v>
      </c>
      <c r="U28" s="0" t="n">
        <v>4395.41262</v>
      </c>
      <c r="V28" s="0" t="n">
        <v>4524.54371666667</v>
      </c>
      <c r="W28" s="0" t="n">
        <v>4607.630859375</v>
      </c>
      <c r="X28" s="0" t="n">
        <v>2303.8154296875</v>
      </c>
      <c r="Y28" s="0" t="n">
        <v>18430.5234375</v>
      </c>
      <c r="Z28" s="0" t="b">
        <v>1</v>
      </c>
      <c r="AA28" s="0" t="n">
        <v>0</v>
      </c>
      <c r="AC28" s="0" t="b">
        <v>0</v>
      </c>
    </row>
    <row r="29">
      <c r="A29" s="0" t="inlineStr">
        <is>
          <t>P028</t>
        </is>
      </c>
      <c r="B29" s="0" t="inlineStr">
        <is>
          <t>预测</t>
        </is>
      </c>
      <c r="C29" s="0" t="n">
        <v>289761</v>
      </c>
      <c r="D29" s="0" t="n">
        <v>256</v>
      </c>
      <c r="E29" s="0" t="n">
        <v>256</v>
      </c>
      <c r="F29" s="0" t="n">
        <v>256</v>
      </c>
      <c r="G29" s="0" t="n">
        <v>512</v>
      </c>
      <c r="H29" s="0" t="n">
        <v>2048</v>
      </c>
      <c r="I29" s="0" t="n">
        <v>256</v>
      </c>
      <c r="J29" s="0" t="n">
        <v>100</v>
      </c>
      <c r="K29" s="0" t="n">
        <v>117593662</v>
      </c>
      <c r="L29" s="0" t="inlineStr">
        <is>
          <t>structural regression prediction</t>
        </is>
      </c>
      <c r="M29" s="0" t="n">
        <v>27</v>
      </c>
      <c r="N29" s="0" t="n">
        <v>91202978.3016434</v>
      </c>
      <c r="O29" s="0" t="n">
        <v>22800744.5754108</v>
      </c>
      <c r="P29" s="0" t="n">
        <v>729623826.413147</v>
      </c>
      <c r="Q29" s="0" t="n">
        <v>133.631587362154</v>
      </c>
      <c r="R29" s="0" t="n">
        <v>33.4078968405385</v>
      </c>
      <c r="S29" s="0" t="n">
        <v>534.526349448617</v>
      </c>
      <c r="T29" s="0" t="n">
        <v>4455.19816</v>
      </c>
      <c r="U29" s="0" t="n">
        <v>4395.81262</v>
      </c>
      <c r="V29" s="0" t="n">
        <v>4524.94371666667</v>
      </c>
      <c r="W29" s="0" t="n">
        <v>4607.630859375</v>
      </c>
      <c r="X29" s="0" t="n">
        <v>2303.8154296875</v>
      </c>
      <c r="Y29" s="0" t="n">
        <v>18430.5234375</v>
      </c>
      <c r="Z29" s="0" t="b">
        <v>1</v>
      </c>
      <c r="AA29" s="0" t="n">
        <v>0</v>
      </c>
      <c r="AC29" s="0" t="b">
        <v>0</v>
      </c>
    </row>
    <row r="30">
      <c r="A30" s="0" t="inlineStr">
        <is>
          <t>P029</t>
        </is>
      </c>
      <c r="B30" s="0" t="inlineStr">
        <is>
          <t>预测</t>
        </is>
      </c>
      <c r="C30" s="0" t="n">
        <v>100000</v>
      </c>
      <c r="D30" s="0" t="n">
        <v>256</v>
      </c>
      <c r="E30" s="0" t="n">
        <v>256</v>
      </c>
      <c r="F30" s="0" t="n">
        <v>256</v>
      </c>
      <c r="G30" s="0" t="n">
        <v>512</v>
      </c>
      <c r="H30" s="0" t="n">
        <v>512</v>
      </c>
      <c r="I30" s="0" t="n">
        <v>512</v>
      </c>
      <c r="J30" s="0" t="n">
        <v>10</v>
      </c>
      <c r="K30" s="0" t="n">
        <v>66405965</v>
      </c>
      <c r="L30" s="0" t="inlineStr">
        <is>
          <t>structural regression prediction</t>
        </is>
      </c>
      <c r="M30" s="0" t="n">
        <v>26</v>
      </c>
      <c r="N30" s="0" t="n">
        <v>43912545.1081987</v>
      </c>
      <c r="O30" s="0" t="n">
        <v>10978136.2770497</v>
      </c>
      <c r="P30" s="0" t="n">
        <v>351300360.865589</v>
      </c>
      <c r="Q30" s="0" t="n">
        <v>84.13377660870459</v>
      </c>
      <c r="R30" s="0" t="n">
        <v>21.0334441521761</v>
      </c>
      <c r="S30" s="0" t="n">
        <v>336.535106434818</v>
      </c>
      <c r="T30" s="0" t="n">
        <v>2336.75014666667</v>
      </c>
      <c r="U30" s="0" t="n">
        <v>2279.43661</v>
      </c>
      <c r="V30" s="0" t="n">
        <v>2404.4237</v>
      </c>
      <c r="W30" s="0" t="n">
        <v>2303.8154296875</v>
      </c>
      <c r="X30" s="0" t="n">
        <v>1151.90771484375</v>
      </c>
      <c r="Y30" s="0" t="n">
        <v>9215.26171875</v>
      </c>
      <c r="Z30" s="0" t="b">
        <v>1</v>
      </c>
      <c r="AA30" s="0" t="n">
        <v>0</v>
      </c>
      <c r="AC30" s="0" t="b">
        <v>0</v>
      </c>
    </row>
    <row r="31">
      <c r="A31" s="0" t="inlineStr">
        <is>
          <t>P030</t>
        </is>
      </c>
      <c r="B31" s="0" t="inlineStr">
        <is>
          <t>预测</t>
        </is>
      </c>
      <c r="C31" s="0" t="n">
        <v>1183514</v>
      </c>
      <c r="D31" s="0" t="n">
        <v>100</v>
      </c>
      <c r="E31" s="0" t="n">
        <v>100</v>
      </c>
      <c r="F31" s="0" t="n">
        <v>1024</v>
      </c>
      <c r="G31" s="0" t="n">
        <v>1024</v>
      </c>
      <c r="H31" s="0" t="n">
        <v>4096</v>
      </c>
      <c r="I31" s="0" t="n">
        <v>256</v>
      </c>
      <c r="J31" s="0" t="n">
        <v>10</v>
      </c>
      <c r="K31" s="0" t="n">
        <v>98167471</v>
      </c>
      <c r="L31" s="0" t="inlineStr">
        <is>
          <t>structural regression prediction</t>
        </is>
      </c>
      <c r="M31" s="0" t="n">
        <v>27</v>
      </c>
      <c r="N31" s="0" t="n">
        <v>89902603.2294644</v>
      </c>
      <c r="O31" s="0" t="n">
        <v>22475650.8073661</v>
      </c>
      <c r="P31" s="0" t="n">
        <v>719220825.8357151</v>
      </c>
      <c r="Q31" s="0" t="n">
        <v>229.680387501358</v>
      </c>
      <c r="R31" s="0" t="n">
        <v>57.4200968753396</v>
      </c>
      <c r="S31" s="0" t="n">
        <v>918.721550005433</v>
      </c>
      <c r="T31" s="0" t="n">
        <v>8668.014160000001</v>
      </c>
      <c r="U31" s="0" t="n">
        <v>8608.62862</v>
      </c>
      <c r="V31" s="0" t="n">
        <v>8737.759716666669</v>
      </c>
      <c r="W31" s="0" t="n">
        <v>4607.630859375</v>
      </c>
      <c r="X31" s="0" t="n">
        <v>2303.8154296875</v>
      </c>
      <c r="Y31" s="0" t="n">
        <v>18430.5234375</v>
      </c>
      <c r="Z31" s="0" t="b">
        <v>1</v>
      </c>
      <c r="AA31" s="0" t="n">
        <v>0</v>
      </c>
      <c r="AC31" s="0" t="b">
        <v>0</v>
      </c>
    </row>
    <row r="32">
      <c r="A32" s="0" t="inlineStr">
        <is>
          <t>P031</t>
        </is>
      </c>
      <c r="B32" s="0" t="inlineStr">
        <is>
          <t>预测</t>
        </is>
      </c>
      <c r="C32" s="0" t="n">
        <v>1183514</v>
      </c>
      <c r="D32" s="0" t="n">
        <v>100</v>
      </c>
      <c r="E32" s="0" t="n">
        <v>100</v>
      </c>
      <c r="F32" s="0" t="n">
        <v>1024</v>
      </c>
      <c r="G32" s="0" t="n">
        <v>1024</v>
      </c>
      <c r="H32" s="0" t="n">
        <v>4096</v>
      </c>
      <c r="I32" s="0" t="n">
        <v>16</v>
      </c>
      <c r="J32" s="0" t="n">
        <v>10</v>
      </c>
      <c r="K32" s="0" t="n">
        <v>6177028</v>
      </c>
      <c r="L32" s="0" t="inlineStr">
        <is>
          <t>structural regression prediction</t>
        </is>
      </c>
      <c r="M32" s="0" t="n">
        <v>23</v>
      </c>
      <c r="N32" s="0" t="n">
        <v>4785939.49323917</v>
      </c>
      <c r="O32" s="0" t="n">
        <v>1196484.87330979</v>
      </c>
      <c r="P32" s="0" t="n">
        <v>38287515.9459133</v>
      </c>
      <c r="Q32" s="0" t="n">
        <v>44.8287747244907</v>
      </c>
      <c r="R32" s="0" t="n">
        <v>11.2071936811227</v>
      </c>
      <c r="S32" s="0" t="n">
        <v>179.315098897963</v>
      </c>
      <c r="T32" s="0" t="n">
        <v>770.542106666667</v>
      </c>
      <c r="U32" s="0" t="n">
        <v>719.44458</v>
      </c>
      <c r="V32" s="0" t="n">
        <v>831.99965</v>
      </c>
      <c r="W32" s="0" t="n">
        <v>287.976928710938</v>
      </c>
      <c r="X32" s="0" t="n">
        <v>143.988464355469</v>
      </c>
      <c r="Y32" s="0" t="n">
        <v>1151.90771484375</v>
      </c>
      <c r="Z32" s="0" t="b">
        <v>1</v>
      </c>
      <c r="AA32" s="0" t="n">
        <v>0</v>
      </c>
      <c r="AC32" s="0" t="b">
        <v>0</v>
      </c>
    </row>
    <row r="33">
      <c r="A33" s="0" t="inlineStr">
        <is>
          <t>P032</t>
        </is>
      </c>
      <c r="B33" s="0" t="inlineStr">
        <is>
          <t>预测</t>
        </is>
      </c>
      <c r="C33" s="0" t="n">
        <v>1183514</v>
      </c>
      <c r="D33" s="0" t="n">
        <v>100</v>
      </c>
      <c r="E33" s="0" t="n">
        <v>100</v>
      </c>
      <c r="F33" s="0" t="n">
        <v>1024</v>
      </c>
      <c r="G33" s="0" t="n">
        <v>1024</v>
      </c>
      <c r="H33" s="0" t="n">
        <v>4096</v>
      </c>
      <c r="I33" s="0" t="n">
        <v>32</v>
      </c>
      <c r="J33" s="0" t="n">
        <v>10</v>
      </c>
      <c r="K33" s="0" t="n">
        <v>12309724</v>
      </c>
      <c r="L33" s="0" t="inlineStr">
        <is>
          <t>structural regression prediction</t>
        </is>
      </c>
      <c r="M33" s="0" t="n">
        <v>24</v>
      </c>
      <c r="N33" s="0" t="n">
        <v>9988365.590779509</v>
      </c>
      <c r="O33" s="0" t="n">
        <v>2497091.39769488</v>
      </c>
      <c r="P33" s="0" t="n">
        <v>79906924.7262361</v>
      </c>
      <c r="Q33" s="0" t="n">
        <v>58.1699855280826</v>
      </c>
      <c r="R33" s="0" t="n">
        <v>14.5424963820206</v>
      </c>
      <c r="S33" s="0" t="n">
        <v>232.67994211233</v>
      </c>
      <c r="T33" s="0" t="n">
        <v>1303.11812</v>
      </c>
      <c r="U33" s="0" t="n">
        <v>1249.94859</v>
      </c>
      <c r="V33" s="0" t="n">
        <v>1366.64766666667</v>
      </c>
      <c r="W33" s="0" t="n">
        <v>575.953857421875</v>
      </c>
      <c r="X33" s="0" t="n">
        <v>287.976928710938</v>
      </c>
      <c r="Y33" s="0" t="n">
        <v>2303.8154296875</v>
      </c>
      <c r="Z33" s="0" t="b">
        <v>1</v>
      </c>
      <c r="AA33" s="0" t="n">
        <v>0</v>
      </c>
      <c r="AC33" s="0" t="b">
        <v>0</v>
      </c>
    </row>
    <row r="34">
      <c r="A34" s="0" t="inlineStr">
        <is>
          <t>P033</t>
        </is>
      </c>
      <c r="B34" s="0" t="inlineStr">
        <is>
          <t>预测</t>
        </is>
      </c>
      <c r="C34" s="0" t="n">
        <v>1183514</v>
      </c>
      <c r="D34" s="0" t="n">
        <v>100</v>
      </c>
      <c r="E34" s="0" t="n">
        <v>100</v>
      </c>
      <c r="F34" s="0" t="n">
        <v>1024</v>
      </c>
      <c r="G34" s="0" t="n">
        <v>1024</v>
      </c>
      <c r="H34" s="0" t="n">
        <v>4096</v>
      </c>
      <c r="I34" s="0" t="n">
        <v>64</v>
      </c>
      <c r="J34" s="0" t="n">
        <v>10</v>
      </c>
      <c r="K34" s="0" t="n">
        <v>24575116</v>
      </c>
      <c r="L34" s="0" t="inlineStr">
        <is>
          <t>structural regression prediction</t>
        </is>
      </c>
      <c r="M34" s="0" t="n">
        <v>25</v>
      </c>
      <c r="N34" s="0" t="n">
        <v>20809704.3901614</v>
      </c>
      <c r="O34" s="0" t="n">
        <v>5202426.09754035</v>
      </c>
      <c r="P34" s="0" t="n">
        <v>166477635.121291</v>
      </c>
      <c r="Q34" s="0" t="n">
        <v>83.4645390191745</v>
      </c>
      <c r="R34" s="0" t="n">
        <v>20.8661347547936</v>
      </c>
      <c r="S34" s="0" t="n">
        <v>333.858156076698</v>
      </c>
      <c r="T34" s="0" t="n">
        <v>2359.98213333333</v>
      </c>
      <c r="U34" s="0" t="n">
        <v>2304.7406</v>
      </c>
      <c r="V34" s="0" t="n">
        <v>2425.58368333333</v>
      </c>
      <c r="W34" s="0" t="n">
        <v>1151.90771484375</v>
      </c>
      <c r="X34" s="0" t="n">
        <v>575.953857421875</v>
      </c>
      <c r="Y34" s="0" t="n">
        <v>4607.630859375</v>
      </c>
      <c r="Z34" s="0" t="b">
        <v>1</v>
      </c>
      <c r="AA34" s="0" t="n">
        <v>0</v>
      </c>
      <c r="AC34" s="0" t="b">
        <v>0</v>
      </c>
    </row>
    <row r="35">
      <c r="A35" s="0" t="inlineStr">
        <is>
          <t>P034</t>
        </is>
      </c>
      <c r="B35" s="0" t="inlineStr">
        <is>
          <t>预测</t>
        </is>
      </c>
      <c r="C35" s="0" t="n">
        <v>1183514</v>
      </c>
      <c r="D35" s="0" t="n">
        <v>100</v>
      </c>
      <c r="E35" s="0" t="n">
        <v>100</v>
      </c>
      <c r="F35" s="0" t="n">
        <v>1024</v>
      </c>
      <c r="G35" s="0" t="n">
        <v>1024</v>
      </c>
      <c r="H35" s="0" t="n">
        <v>4096</v>
      </c>
      <c r="I35" s="0" t="n">
        <v>128</v>
      </c>
      <c r="J35" s="0" t="n">
        <v>10</v>
      </c>
      <c r="K35" s="0" t="n">
        <v>49105901</v>
      </c>
      <c r="L35" s="0" t="inlineStr">
        <is>
          <t>structural regression prediction</t>
        </is>
      </c>
      <c r="M35" s="0" t="n">
        <v>26</v>
      </c>
      <c r="N35" s="0" t="n">
        <v>43285355.1975275</v>
      </c>
      <c r="O35" s="0" t="n">
        <v>10821338.7993819</v>
      </c>
      <c r="P35" s="0" t="n">
        <v>346282841.58022</v>
      </c>
      <c r="Q35" s="0" t="n">
        <v>132.665777885266</v>
      </c>
      <c r="R35" s="0" t="n">
        <v>33.1664444713166</v>
      </c>
      <c r="S35" s="0" t="n">
        <v>530.6631115410649</v>
      </c>
      <c r="T35" s="0" t="n">
        <v>4465.42214666667</v>
      </c>
      <c r="U35" s="0" t="n">
        <v>4408.10861</v>
      </c>
      <c r="V35" s="0" t="n">
        <v>4533.0957</v>
      </c>
      <c r="W35" s="0" t="n">
        <v>2303.8154296875</v>
      </c>
      <c r="X35" s="0" t="n">
        <v>1151.90771484375</v>
      </c>
      <c r="Y35" s="0" t="n">
        <v>9215.26171875</v>
      </c>
      <c r="Z35" s="0" t="b">
        <v>1</v>
      </c>
      <c r="AA35" s="0" t="n">
        <v>0</v>
      </c>
      <c r="AC35" s="0" t="b">
        <v>0</v>
      </c>
    </row>
    <row r="36">
      <c r="A36" s="0" t="inlineStr">
        <is>
          <t>P035</t>
        </is>
      </c>
      <c r="B36" s="0" t="inlineStr">
        <is>
          <t>预测</t>
        </is>
      </c>
      <c r="C36" s="0" t="n">
        <v>1183514</v>
      </c>
      <c r="D36" s="0" t="n">
        <v>100</v>
      </c>
      <c r="E36" s="0" t="n">
        <v>100</v>
      </c>
      <c r="F36" s="0" t="n">
        <v>1024</v>
      </c>
      <c r="G36" s="0" t="n">
        <v>1024</v>
      </c>
      <c r="H36" s="0" t="n">
        <v>4096</v>
      </c>
      <c r="I36" s="0" t="n">
        <v>512</v>
      </c>
      <c r="J36" s="0" t="n">
        <v>10</v>
      </c>
      <c r="K36" s="0" t="n">
        <v>196290610</v>
      </c>
      <c r="L36" s="0" t="inlineStr">
        <is>
          <t>structural regression prediction</t>
        </is>
      </c>
      <c r="M36" s="0" t="n">
        <v>28</v>
      </c>
      <c r="N36" s="0" t="n">
        <v>186468992.127748</v>
      </c>
      <c r="O36" s="0" t="n">
        <v>46617248.0319369</v>
      </c>
      <c r="P36" s="0" t="n">
        <v>1491751937.02198</v>
      </c>
      <c r="Q36" s="0" t="n">
        <v>422.32173861745</v>
      </c>
      <c r="R36" s="0" t="n">
        <v>105.580434654363</v>
      </c>
      <c r="S36" s="0" t="n">
        <v>1689.2869544698</v>
      </c>
      <c r="T36" s="0" t="n">
        <v>17064.9101733333</v>
      </c>
      <c r="U36" s="0" t="n">
        <v>17003.45263</v>
      </c>
      <c r="V36" s="0" t="n">
        <v>17136.7277333333</v>
      </c>
      <c r="W36" s="0" t="n">
        <v>9215.26171875</v>
      </c>
      <c r="X36" s="0" t="n">
        <v>4607.630859375</v>
      </c>
      <c r="Y36" s="0" t="n">
        <v>36861.046875</v>
      </c>
      <c r="Z36" s="0" t="b">
        <v>1</v>
      </c>
      <c r="AA36" s="0" t="n">
        <v>0</v>
      </c>
      <c r="AC36" s="0" t="b">
        <v>0</v>
      </c>
    </row>
    <row r="37">
      <c r="A37" s="0" t="inlineStr">
        <is>
          <t>P036</t>
        </is>
      </c>
      <c r="B37" s="0" t="inlineStr">
        <is>
          <t>预测</t>
        </is>
      </c>
      <c r="C37" s="0" t="n">
        <v>1183514</v>
      </c>
      <c r="D37" s="0" t="n">
        <v>100</v>
      </c>
      <c r="E37" s="0" t="n">
        <v>100</v>
      </c>
      <c r="F37" s="0" t="n">
        <v>1024</v>
      </c>
      <c r="G37" s="0" t="n">
        <v>1024</v>
      </c>
      <c r="H37" s="0" t="n">
        <v>4096</v>
      </c>
      <c r="I37" s="0" t="n">
        <v>256</v>
      </c>
      <c r="J37" s="0" t="n">
        <v>1</v>
      </c>
      <c r="K37" s="0" t="n">
        <v>98167471</v>
      </c>
      <c r="L37" s="0" t="inlineStr">
        <is>
          <t>structural regression prediction</t>
        </is>
      </c>
      <c r="M37" s="0" t="n">
        <v>27</v>
      </c>
      <c r="N37" s="0" t="n">
        <v>89902603.2294644</v>
      </c>
      <c r="O37" s="0" t="n">
        <v>22475650.8073661</v>
      </c>
      <c r="P37" s="0" t="n">
        <v>719220825.8357151</v>
      </c>
      <c r="Q37" s="0" t="n">
        <v>229.678745959546</v>
      </c>
      <c r="R37" s="0" t="n">
        <v>57.4196864898866</v>
      </c>
      <c r="S37" s="0" t="n">
        <v>918.714983838185</v>
      </c>
      <c r="T37" s="0" t="n">
        <v>8667.942160000001</v>
      </c>
      <c r="U37" s="0" t="n">
        <v>8608.556619999999</v>
      </c>
      <c r="V37" s="0" t="n">
        <v>8737.687716666671</v>
      </c>
      <c r="W37" s="0" t="n">
        <v>4607.630859375</v>
      </c>
      <c r="X37" s="0" t="n">
        <v>2303.8154296875</v>
      </c>
      <c r="Y37" s="0" t="n">
        <v>18430.5234375</v>
      </c>
      <c r="Z37" s="0" t="b">
        <v>1</v>
      </c>
      <c r="AA37" s="0" t="n">
        <v>0</v>
      </c>
      <c r="AC37" s="0" t="b">
        <v>0</v>
      </c>
    </row>
    <row r="38">
      <c r="A38" s="0" t="inlineStr">
        <is>
          <t>P037</t>
        </is>
      </c>
      <c r="B38" s="0" t="inlineStr">
        <is>
          <t>预测</t>
        </is>
      </c>
      <c r="C38" s="0" t="n">
        <v>1183514</v>
      </c>
      <c r="D38" s="0" t="n">
        <v>100</v>
      </c>
      <c r="E38" s="0" t="n">
        <v>100</v>
      </c>
      <c r="F38" s="0" t="n">
        <v>1024</v>
      </c>
      <c r="G38" s="0" t="n">
        <v>1024</v>
      </c>
      <c r="H38" s="0" t="n">
        <v>4096</v>
      </c>
      <c r="I38" s="0" t="n">
        <v>256</v>
      </c>
      <c r="J38" s="0" t="n">
        <v>5</v>
      </c>
      <c r="K38" s="0" t="n">
        <v>98167471</v>
      </c>
      <c r="L38" s="0" t="inlineStr">
        <is>
          <t>structural regression prediction</t>
        </is>
      </c>
      <c r="M38" s="0" t="n">
        <v>27</v>
      </c>
      <c r="N38" s="0" t="n">
        <v>89902603.2294644</v>
      </c>
      <c r="O38" s="0" t="n">
        <v>22475650.8073661</v>
      </c>
      <c r="P38" s="0" t="n">
        <v>719220825.8357151</v>
      </c>
      <c r="Q38" s="0" t="n">
        <v>229.679475533685</v>
      </c>
      <c r="R38" s="0" t="n">
        <v>57.4198688834212</v>
      </c>
      <c r="S38" s="0" t="n">
        <v>918.71790213474</v>
      </c>
      <c r="T38" s="0" t="n">
        <v>8667.97416</v>
      </c>
      <c r="U38" s="0" t="n">
        <v>8608.58862</v>
      </c>
      <c r="V38" s="0" t="n">
        <v>8737.71971666667</v>
      </c>
      <c r="W38" s="0" t="n">
        <v>4607.630859375</v>
      </c>
      <c r="X38" s="0" t="n">
        <v>2303.8154296875</v>
      </c>
      <c r="Y38" s="0" t="n">
        <v>18430.5234375</v>
      </c>
      <c r="Z38" s="0" t="b">
        <v>1</v>
      </c>
      <c r="AA38" s="0" t="n">
        <v>0</v>
      </c>
      <c r="AC38" s="0" t="b">
        <v>0</v>
      </c>
    </row>
    <row r="39">
      <c r="A39" s="0" t="inlineStr">
        <is>
          <t>P038</t>
        </is>
      </c>
      <c r="B39" s="0" t="inlineStr">
        <is>
          <t>预测</t>
        </is>
      </c>
      <c r="C39" s="0" t="n">
        <v>1183514</v>
      </c>
      <c r="D39" s="0" t="n">
        <v>100</v>
      </c>
      <c r="E39" s="0" t="n">
        <v>100</v>
      </c>
      <c r="F39" s="0" t="n">
        <v>1024</v>
      </c>
      <c r="G39" s="0" t="n">
        <v>1024</v>
      </c>
      <c r="H39" s="0" t="n">
        <v>4096</v>
      </c>
      <c r="I39" s="0" t="n">
        <v>256</v>
      </c>
      <c r="J39" s="0" t="n">
        <v>20</v>
      </c>
      <c r="K39" s="0" t="n">
        <v>98167471</v>
      </c>
      <c r="L39" s="0" t="inlineStr">
        <is>
          <t>structural regression prediction</t>
        </is>
      </c>
      <c r="M39" s="0" t="n">
        <v>27</v>
      </c>
      <c r="N39" s="0" t="n">
        <v>89902603.2294644</v>
      </c>
      <c r="O39" s="0" t="n">
        <v>22475650.8073661</v>
      </c>
      <c r="P39" s="0" t="n">
        <v>719220825.8357151</v>
      </c>
      <c r="Q39" s="0" t="n">
        <v>229.682211436705</v>
      </c>
      <c r="R39" s="0" t="n">
        <v>57.4205528591762</v>
      </c>
      <c r="S39" s="0" t="n">
        <v>918.728845746819</v>
      </c>
      <c r="T39" s="0" t="n">
        <v>8668.094160000001</v>
      </c>
      <c r="U39" s="0" t="n">
        <v>8608.708619999999</v>
      </c>
      <c r="V39" s="0" t="n">
        <v>8737.839716666669</v>
      </c>
      <c r="W39" s="0" t="n">
        <v>4607.630859375</v>
      </c>
      <c r="X39" s="0" t="n">
        <v>2303.8154296875</v>
      </c>
      <c r="Y39" s="0" t="n">
        <v>18430.5234375</v>
      </c>
      <c r="Z39" s="0" t="b">
        <v>1</v>
      </c>
      <c r="AA39" s="0" t="n">
        <v>0</v>
      </c>
      <c r="AC39" s="0" t="b">
        <v>0</v>
      </c>
    </row>
    <row r="40">
      <c r="A40" s="0" t="inlineStr">
        <is>
          <t>P039</t>
        </is>
      </c>
      <c r="B40" s="0" t="inlineStr">
        <is>
          <t>预测</t>
        </is>
      </c>
      <c r="C40" s="0" t="n">
        <v>1183514</v>
      </c>
      <c r="D40" s="0" t="n">
        <v>100</v>
      </c>
      <c r="E40" s="0" t="n">
        <v>100</v>
      </c>
      <c r="F40" s="0" t="n">
        <v>1024</v>
      </c>
      <c r="G40" s="0" t="n">
        <v>1024</v>
      </c>
      <c r="H40" s="0" t="n">
        <v>4096</v>
      </c>
      <c r="I40" s="0" t="n">
        <v>256</v>
      </c>
      <c r="J40" s="0" t="n">
        <v>50</v>
      </c>
      <c r="K40" s="0" t="n">
        <v>98167471</v>
      </c>
      <c r="L40" s="0" t="inlineStr">
        <is>
          <t>structural regression prediction</t>
        </is>
      </c>
      <c r="M40" s="0" t="n">
        <v>27</v>
      </c>
      <c r="N40" s="0" t="n">
        <v>89902603.2294644</v>
      </c>
      <c r="O40" s="0" t="n">
        <v>22475650.8073661</v>
      </c>
      <c r="P40" s="0" t="n">
        <v>719220825.8357151</v>
      </c>
      <c r="Q40" s="0" t="n">
        <v>229.687683242745</v>
      </c>
      <c r="R40" s="0" t="n">
        <v>57.4219208106862</v>
      </c>
      <c r="S40" s="0" t="n">
        <v>918.750732970979</v>
      </c>
      <c r="T40" s="0" t="n">
        <v>8668.33416</v>
      </c>
      <c r="U40" s="0" t="n">
        <v>8608.948619999999</v>
      </c>
      <c r="V40" s="0" t="n">
        <v>8738.079716666671</v>
      </c>
      <c r="W40" s="0" t="n">
        <v>4607.630859375</v>
      </c>
      <c r="X40" s="0" t="n">
        <v>2303.8154296875</v>
      </c>
      <c r="Y40" s="0" t="n">
        <v>18430.5234375</v>
      </c>
      <c r="Z40" s="0" t="b">
        <v>1</v>
      </c>
      <c r="AA40" s="0" t="n">
        <v>0</v>
      </c>
      <c r="AC40" s="0" t="b">
        <v>0</v>
      </c>
    </row>
    <row r="41">
      <c r="A41" s="0" t="inlineStr">
        <is>
          <t>P040</t>
        </is>
      </c>
      <c r="B41" s="0" t="inlineStr">
        <is>
          <t>预测</t>
        </is>
      </c>
      <c r="C41" s="0" t="n">
        <v>1183514</v>
      </c>
      <c r="D41" s="0" t="n">
        <v>100</v>
      </c>
      <c r="E41" s="0" t="n">
        <v>100</v>
      </c>
      <c r="F41" s="0" t="n">
        <v>1024</v>
      </c>
      <c r="G41" s="0" t="n">
        <v>1024</v>
      </c>
      <c r="H41" s="0" t="n">
        <v>4096</v>
      </c>
      <c r="I41" s="0" t="n">
        <v>256</v>
      </c>
      <c r="J41" s="0" t="n">
        <v>100</v>
      </c>
      <c r="K41" s="0" t="n">
        <v>98167471</v>
      </c>
      <c r="L41" s="0" t="inlineStr">
        <is>
          <t>structural regression prediction</t>
        </is>
      </c>
      <c r="M41" s="0" t="n">
        <v>27</v>
      </c>
      <c r="N41" s="0" t="n">
        <v>89902603.2294644</v>
      </c>
      <c r="O41" s="0" t="n">
        <v>22475650.8073661</v>
      </c>
      <c r="P41" s="0" t="n">
        <v>719220825.8357151</v>
      </c>
      <c r="Q41" s="0" t="n">
        <v>229.696802919478</v>
      </c>
      <c r="R41" s="0" t="n">
        <v>57.4242007298694</v>
      </c>
      <c r="S41" s="0" t="n">
        <v>918.787211677911</v>
      </c>
      <c r="T41" s="0" t="n">
        <v>8668.73416</v>
      </c>
      <c r="U41" s="0" t="n">
        <v>8609.348620000001</v>
      </c>
      <c r="V41" s="0" t="n">
        <v>8738.47971666667</v>
      </c>
      <c r="W41" s="0" t="n">
        <v>4607.630859375</v>
      </c>
      <c r="X41" s="0" t="n">
        <v>2303.8154296875</v>
      </c>
      <c r="Y41" s="0" t="n">
        <v>18430.5234375</v>
      </c>
      <c r="Z41" s="0" t="b">
        <v>1</v>
      </c>
      <c r="AA41" s="0" t="n">
        <v>0</v>
      </c>
      <c r="AC41" s="0" t="b">
        <v>0</v>
      </c>
    </row>
    <row r="42">
      <c r="A42" s="0" t="inlineStr">
        <is>
          <t>P041</t>
        </is>
      </c>
      <c r="B42" s="0" t="inlineStr">
        <is>
          <t>预测(参数假设)</t>
        </is>
      </c>
      <c r="C42" s="0" t="n">
        <v>100000</v>
      </c>
      <c r="D42" s="0" t="n">
        <v>100</v>
      </c>
      <c r="E42" s="0" t="n">
        <v>100</v>
      </c>
      <c r="F42" s="0" t="n">
        <v>1024</v>
      </c>
      <c r="G42" s="0" t="n">
        <v>1024</v>
      </c>
      <c r="H42" s="0" t="n">
        <v>256</v>
      </c>
      <c r="I42" s="0" t="n">
        <v>256</v>
      </c>
      <c r="J42" s="0" t="n">
        <v>10</v>
      </c>
      <c r="K42" s="0" t="n">
        <v>22404437</v>
      </c>
      <c r="L42" s="0" t="inlineStr">
        <is>
          <t>structural regression prediction</t>
        </is>
      </c>
      <c r="M42" s="0" t="n">
        <v>25</v>
      </c>
      <c r="N42" s="0" t="n">
        <v>20809704.3901614</v>
      </c>
      <c r="O42" s="0" t="n">
        <v>2601213.04877017</v>
      </c>
      <c r="P42" s="0" t="n">
        <v>332955270.242582</v>
      </c>
      <c r="Q42" s="0" t="n">
        <v>47.0441980181979</v>
      </c>
      <c r="R42" s="0" t="n">
        <v>5.88052475227473</v>
      </c>
      <c r="S42" s="0" t="n">
        <v>376.353584145583</v>
      </c>
      <c r="T42" s="0" t="n">
        <v>762.542133333333</v>
      </c>
      <c r="U42" s="0" t="n">
        <v>707.3006</v>
      </c>
      <c r="V42" s="0" t="n">
        <v>828.143683333333</v>
      </c>
      <c r="W42" s="0" t="n">
        <v>1151.90771484375</v>
      </c>
      <c r="X42" s="0" t="n">
        <v>575.953857421875</v>
      </c>
      <c r="Y42" s="0" t="n">
        <v>4607.630859375</v>
      </c>
      <c r="Z42" s="0" t="b">
        <v>1</v>
      </c>
      <c r="AA42" s="0" t="n">
        <v>0</v>
      </c>
      <c r="AC42" s="0" t="b">
        <v>1</v>
      </c>
    </row>
    <row r="43">
      <c r="A43" s="0" t="inlineStr">
        <is>
          <t>P042</t>
        </is>
      </c>
      <c r="B43" s="0" t="inlineStr">
        <is>
          <t>预测(参数假设)</t>
        </is>
      </c>
      <c r="C43" s="0" t="n">
        <v>500000</v>
      </c>
      <c r="D43" s="0" t="n">
        <v>100</v>
      </c>
      <c r="E43" s="0" t="n">
        <v>100</v>
      </c>
      <c r="F43" s="0" t="n">
        <v>1024</v>
      </c>
      <c r="G43" s="0" t="n">
        <v>1024</v>
      </c>
      <c r="H43" s="0" t="n">
        <v>1024</v>
      </c>
      <c r="I43" s="0" t="n">
        <v>256</v>
      </c>
      <c r="J43" s="0" t="n">
        <v>10</v>
      </c>
      <c r="K43" s="0" t="n">
        <v>30485502</v>
      </c>
      <c r="L43" s="0" t="inlineStr">
        <is>
          <t>structural regression prediction</t>
        </is>
      </c>
      <c r="M43" s="0" t="n">
        <v>25</v>
      </c>
      <c r="N43" s="0" t="n">
        <v>20809704.3901614</v>
      </c>
      <c r="O43" s="0" t="n">
        <v>2601213.04877017</v>
      </c>
      <c r="P43" s="0" t="n">
        <v>332955270.242582</v>
      </c>
      <c r="Q43" s="0" t="n">
        <v>82.9042260806979</v>
      </c>
      <c r="R43" s="0" t="n">
        <v>10.3630282600872</v>
      </c>
      <c r="S43" s="0" t="n">
        <v>663.2338086455831</v>
      </c>
      <c r="T43" s="0" t="n">
        <v>2335.40613333333</v>
      </c>
      <c r="U43" s="0" t="n">
        <v>2280.1646</v>
      </c>
      <c r="V43" s="0" t="n">
        <v>2401.00768333333</v>
      </c>
      <c r="W43" s="0" t="n">
        <v>1151.90771484375</v>
      </c>
      <c r="X43" s="0" t="n">
        <v>575.953857421875</v>
      </c>
      <c r="Y43" s="0" t="n">
        <v>4607.630859375</v>
      </c>
      <c r="Z43" s="0" t="b">
        <v>1</v>
      </c>
      <c r="AA43" s="0" t="n">
        <v>0</v>
      </c>
      <c r="AC43" s="0" t="b">
        <v>1</v>
      </c>
    </row>
    <row r="44">
      <c r="A44" s="0" t="inlineStr">
        <is>
          <t>P043</t>
        </is>
      </c>
      <c r="B44" s="0" t="inlineStr">
        <is>
          <t>预测(参数假设)</t>
        </is>
      </c>
      <c r="C44" s="0" t="n">
        <v>1000000</v>
      </c>
      <c r="D44" s="0" t="n">
        <v>100</v>
      </c>
      <c r="E44" s="0" t="n">
        <v>100</v>
      </c>
      <c r="F44" s="0" t="n">
        <v>1024</v>
      </c>
      <c r="G44" s="0" t="n">
        <v>1024</v>
      </c>
      <c r="H44" s="0" t="n">
        <v>2048</v>
      </c>
      <c r="I44" s="0" t="n">
        <v>256</v>
      </c>
      <c r="J44" s="0" t="n">
        <v>10</v>
      </c>
      <c r="K44" s="0" t="n">
        <v>53046158</v>
      </c>
      <c r="L44" s="0" t="inlineStr">
        <is>
          <t>structural regression prediction</t>
        </is>
      </c>
      <c r="M44" s="0" t="n">
        <v>26</v>
      </c>
      <c r="N44" s="0" t="n">
        <v>43285355.1975275</v>
      </c>
      <c r="O44" s="0" t="n">
        <v>5410669.39969094</v>
      </c>
      <c r="P44" s="0" t="n">
        <v>692565683.16044</v>
      </c>
      <c r="Q44" s="0" t="n">
        <v>132.292235926282</v>
      </c>
      <c r="R44" s="0" t="n">
        <v>16.5365294907852</v>
      </c>
      <c r="S44" s="0" t="n">
        <v>1058.33788741026</v>
      </c>
      <c r="T44" s="0" t="n">
        <v>4449.03814666667</v>
      </c>
      <c r="U44" s="0" t="n">
        <v>4391.72461</v>
      </c>
      <c r="V44" s="0" t="n">
        <v>4516.7117</v>
      </c>
      <c r="W44" s="0" t="n">
        <v>2303.8154296875</v>
      </c>
      <c r="X44" s="0" t="n">
        <v>1151.90771484375</v>
      </c>
      <c r="Y44" s="0" t="n">
        <v>9215.26171875</v>
      </c>
      <c r="Z44" s="0" t="b">
        <v>1</v>
      </c>
      <c r="AA44" s="0" t="n">
        <v>0</v>
      </c>
      <c r="AC44" s="0" t="b">
        <v>1</v>
      </c>
    </row>
    <row r="45">
      <c r="A45" s="0" t="inlineStr">
        <is>
          <t>P044</t>
        </is>
      </c>
      <c r="B45" s="0" t="inlineStr">
        <is>
          <t>预测</t>
        </is>
      </c>
      <c r="C45" s="0" t="n">
        <v>1000000</v>
      </c>
      <c r="D45" s="0" t="n">
        <v>96</v>
      </c>
      <c r="E45" s="0" t="n">
        <v>96</v>
      </c>
      <c r="F45" s="0" t="n">
        <v>1024</v>
      </c>
      <c r="G45" s="0" t="n">
        <v>1024</v>
      </c>
      <c r="H45" s="0" t="n">
        <v>2048</v>
      </c>
      <c r="I45" s="0" t="n">
        <v>16</v>
      </c>
      <c r="J45" s="0" t="n">
        <v>10</v>
      </c>
      <c r="K45" s="0" t="n">
        <v>3227647</v>
      </c>
      <c r="L45" s="0" t="inlineStr">
        <is>
          <t>structural regression prediction</t>
        </is>
      </c>
      <c r="M45" s="0" t="n">
        <v>22</v>
      </c>
      <c r="N45" s="0" t="n">
        <v>2284113.60217582</v>
      </c>
      <c r="O45" s="0" t="n">
        <v>1142056.80108791</v>
      </c>
      <c r="P45" s="0" t="n">
        <v>9136454.408703269</v>
      </c>
      <c r="Q45" s="0" t="n">
        <v>37.0899637315258</v>
      </c>
      <c r="R45" s="0" t="n">
        <v>18.5449818657629</v>
      </c>
      <c r="S45" s="0" t="n">
        <v>74.1799274630516</v>
      </c>
      <c r="T45" s="0" t="n">
        <v>483.694093333333</v>
      </c>
      <c r="U45" s="0" t="n">
        <v>434.66857</v>
      </c>
      <c r="V45" s="0" t="n">
        <v>543.079633333333</v>
      </c>
      <c r="W45" s="0" t="n">
        <v>143.988464355469</v>
      </c>
      <c r="X45" s="0" t="n">
        <v>71.9942321777344</v>
      </c>
      <c r="Y45" s="0" t="n">
        <v>575.953857421875</v>
      </c>
      <c r="Z45" s="0" t="b">
        <v>1</v>
      </c>
      <c r="AA45" s="0" t="n">
        <v>0</v>
      </c>
      <c r="AC45" s="0" t="b">
        <v>0</v>
      </c>
    </row>
    <row r="46">
      <c r="A46" s="0" t="inlineStr">
        <is>
          <t>P045</t>
        </is>
      </c>
      <c r="B46" s="0" t="inlineStr">
        <is>
          <t>预测(参考59/60个已验证样本)</t>
        </is>
      </c>
      <c r="C46" s="0" t="n">
        <v>1000000</v>
      </c>
      <c r="D46" s="0" t="n">
        <v>96</v>
      </c>
      <c r="E46" s="0" t="n">
        <v>96</v>
      </c>
      <c r="F46" s="0" t="n">
        <v>1024</v>
      </c>
      <c r="G46" s="0" t="n">
        <v>1024</v>
      </c>
      <c r="H46" s="0" t="n">
        <v>2048</v>
      </c>
      <c r="I46" s="0" t="n">
        <v>4</v>
      </c>
      <c r="J46" s="0" t="n">
        <v>10</v>
      </c>
      <c r="K46" s="0" t="n">
        <v>839937</v>
      </c>
      <c r="L46" s="0" t="inlineStr">
        <is>
          <t>exact static gate count</t>
        </is>
      </c>
      <c r="M46" s="0" t="n">
        <v>20</v>
      </c>
      <c r="N46" s="0" t="n">
        <v>492311.891570983</v>
      </c>
      <c r="O46" s="0" t="n">
        <v>488141.075191875</v>
      </c>
      <c r="P46" s="0" t="n">
        <v>500653.5243292</v>
      </c>
      <c r="Q46" s="0" t="n">
        <v>24.3807018416798</v>
      </c>
      <c r="R46" s="0" t="n">
        <v>24.2598191041907</v>
      </c>
      <c r="S46" s="0" t="n">
        <v>24.622467316658</v>
      </c>
      <c r="T46" s="0" t="n">
        <v>270.136241666667</v>
      </c>
      <c r="U46" s="0" t="n">
        <v>267.874854166667</v>
      </c>
      <c r="V46" s="0" t="n">
        <v>274.659016666667</v>
      </c>
      <c r="W46" s="0" t="n">
        <v>35.6586036682129</v>
      </c>
      <c r="X46" s="0" t="n">
        <v>17.9985580444336</v>
      </c>
      <c r="Y46" s="0" t="n">
        <v>71.9942321777344</v>
      </c>
      <c r="Z46" s="0" t="b">
        <v>0</v>
      </c>
      <c r="AA46" s="0" t="n">
        <v>59</v>
      </c>
      <c r="AB46" s="0" t="inlineStr">
        <is>
          <t>/mnt/d/paper_source/work_9/VeriANN_repro_2026-09-30/VeriANN_repro_2026-09-30/results/work9-v3db-20261016/deep1m-1000000-M96-K1024-p4-k10-q20-r3-t1/per_query.csv</t>
        </is>
      </c>
      <c r="AC46" s="0" t="b">
        <v>0</v>
      </c>
    </row>
    <row r="47">
      <c r="A47" s="0" t="inlineStr">
        <is>
          <t>P046</t>
        </is>
      </c>
      <c r="B47" s="0" t="inlineStr">
        <is>
          <t>预测</t>
        </is>
      </c>
      <c r="C47" s="0" t="n">
        <v>1000000</v>
      </c>
      <c r="D47" s="0" t="n">
        <v>96</v>
      </c>
      <c r="E47" s="0" t="n">
        <v>96</v>
      </c>
      <c r="F47" s="0" t="n">
        <v>1024</v>
      </c>
      <c r="G47" s="0" t="n">
        <v>1024</v>
      </c>
      <c r="H47" s="0" t="n">
        <v>2048</v>
      </c>
      <c r="I47" s="0" t="n">
        <v>8</v>
      </c>
      <c r="J47" s="0" t="n">
        <v>10</v>
      </c>
      <c r="K47" s="0" t="n">
        <v>1635172</v>
      </c>
      <c r="L47" s="0" t="inlineStr">
        <is>
          <t>structural regression prediction</t>
        </is>
      </c>
      <c r="M47" s="0" t="n">
        <v>21</v>
      </c>
      <c r="N47" s="0" t="n">
        <v>1090098.64352088</v>
      </c>
      <c r="O47" s="0" t="n">
        <v>545049.32176044</v>
      </c>
      <c r="P47" s="0" t="n">
        <v>4360394.57408352</v>
      </c>
      <c r="Q47" s="0" t="n">
        <v>32.7137599435589</v>
      </c>
      <c r="R47" s="0" t="n">
        <v>16.3568799717795</v>
      </c>
      <c r="S47" s="0" t="n">
        <v>65.4275198871178</v>
      </c>
      <c r="T47" s="0" t="n">
        <v>344.33408</v>
      </c>
      <c r="U47" s="0" t="n">
        <v>297.38056</v>
      </c>
      <c r="V47" s="0" t="n">
        <v>401.647616666667</v>
      </c>
      <c r="W47" s="0" t="n">
        <v>71.9942321777344</v>
      </c>
      <c r="X47" s="0" t="n">
        <v>35.9971160888672</v>
      </c>
      <c r="Y47" s="0" t="n">
        <v>287.976928710938</v>
      </c>
      <c r="Z47" s="0" t="b">
        <v>1</v>
      </c>
      <c r="AA47" s="0" t="n">
        <v>0</v>
      </c>
      <c r="AC47" s="0" t="b">
        <v>0</v>
      </c>
    </row>
    <row r="48">
      <c r="A48" s="0" t="inlineStr">
        <is>
          <t>P047</t>
        </is>
      </c>
      <c r="B48" s="0" t="inlineStr">
        <is>
          <t>预测</t>
        </is>
      </c>
      <c r="C48" s="0" t="n">
        <v>1000000</v>
      </c>
      <c r="D48" s="0" t="n">
        <v>96</v>
      </c>
      <c r="E48" s="0" t="n">
        <v>96</v>
      </c>
      <c r="F48" s="0" t="n">
        <v>1024</v>
      </c>
      <c r="G48" s="0" t="n">
        <v>1024</v>
      </c>
      <c r="H48" s="0" t="n">
        <v>2048</v>
      </c>
      <c r="I48" s="0" t="n">
        <v>64</v>
      </c>
      <c r="J48" s="0" t="n">
        <v>10</v>
      </c>
      <c r="K48" s="0" t="n">
        <v>12782497</v>
      </c>
      <c r="L48" s="0" t="inlineStr">
        <is>
          <t>structural regression prediction</t>
        </is>
      </c>
      <c r="M48" s="0" t="n">
        <v>24</v>
      </c>
      <c r="N48" s="0" t="n">
        <v>9967784.92977575</v>
      </c>
      <c r="O48" s="0" t="n">
        <v>2491946.23244394</v>
      </c>
      <c r="P48" s="0" t="n">
        <v>79742279.438206</v>
      </c>
      <c r="Q48" s="0" t="n">
        <v>57.7957139949596</v>
      </c>
      <c r="R48" s="0" t="n">
        <v>14.4489284987399</v>
      </c>
      <c r="S48" s="0" t="n">
        <v>231.182855979838</v>
      </c>
      <c r="T48" s="0" t="n">
        <v>1286.70212</v>
      </c>
      <c r="U48" s="0" t="n">
        <v>1233.53259</v>
      </c>
      <c r="V48" s="0" t="n">
        <v>1350.23166666667</v>
      </c>
      <c r="W48" s="0" t="n">
        <v>575.953857421875</v>
      </c>
      <c r="X48" s="0" t="n">
        <v>287.976928710938</v>
      </c>
      <c r="Y48" s="0" t="n">
        <v>2303.8154296875</v>
      </c>
      <c r="Z48" s="0" t="b">
        <v>1</v>
      </c>
      <c r="AA48" s="0" t="n">
        <v>0</v>
      </c>
      <c r="AC48" s="0" t="b">
        <v>0</v>
      </c>
    </row>
    <row r="49">
      <c r="A49" s="0" t="inlineStr">
        <is>
          <t>P048</t>
        </is>
      </c>
      <c r="B49" s="0" t="inlineStr">
        <is>
          <t>预测</t>
        </is>
      </c>
      <c r="C49" s="0" t="n">
        <v>1000000</v>
      </c>
      <c r="D49" s="0" t="n">
        <v>96</v>
      </c>
      <c r="E49" s="0" t="n">
        <v>96</v>
      </c>
      <c r="F49" s="0" t="n">
        <v>1024</v>
      </c>
      <c r="G49" s="0" t="n">
        <v>1024</v>
      </c>
      <c r="H49" s="0" t="n">
        <v>2048</v>
      </c>
      <c r="I49" s="0" t="n">
        <v>16</v>
      </c>
      <c r="J49" s="0" t="n">
        <v>1</v>
      </c>
      <c r="K49" s="0" t="n">
        <v>3227647</v>
      </c>
      <c r="L49" s="0" t="inlineStr">
        <is>
          <t>structural regression prediction</t>
        </is>
      </c>
      <c r="M49" s="0" t="n">
        <v>22</v>
      </c>
      <c r="N49" s="0" t="n">
        <v>2284113.60217582</v>
      </c>
      <c r="O49" s="0" t="n">
        <v>1142056.80108791</v>
      </c>
      <c r="P49" s="0" t="n">
        <v>9136454.408703269</v>
      </c>
      <c r="Q49" s="0" t="n">
        <v>37.0883221897139</v>
      </c>
      <c r="R49" s="0" t="n">
        <v>18.5441610948569</v>
      </c>
      <c r="S49" s="0" t="n">
        <v>74.1766443794277</v>
      </c>
      <c r="T49" s="0" t="n">
        <v>483.622093333333</v>
      </c>
      <c r="U49" s="0" t="n">
        <v>434.59657</v>
      </c>
      <c r="V49" s="0" t="n">
        <v>543.007633333333</v>
      </c>
      <c r="W49" s="0" t="n">
        <v>143.988464355469</v>
      </c>
      <c r="X49" s="0" t="n">
        <v>71.9942321777344</v>
      </c>
      <c r="Y49" s="0" t="n">
        <v>575.953857421875</v>
      </c>
      <c r="Z49" s="0" t="b">
        <v>1</v>
      </c>
      <c r="AA49" s="0" t="n">
        <v>0</v>
      </c>
      <c r="AC49" s="0" t="b">
        <v>0</v>
      </c>
    </row>
    <row r="50">
      <c r="A50" s="0" t="inlineStr">
        <is>
          <t>P049</t>
        </is>
      </c>
      <c r="B50" s="0" t="inlineStr">
        <is>
          <t>预测</t>
        </is>
      </c>
      <c r="C50" s="0" t="n">
        <v>1000000</v>
      </c>
      <c r="D50" s="0" t="n">
        <v>96</v>
      </c>
      <c r="E50" s="0" t="n">
        <v>96</v>
      </c>
      <c r="F50" s="0" t="n">
        <v>1024</v>
      </c>
      <c r="G50" s="0" t="n">
        <v>1024</v>
      </c>
      <c r="H50" s="0" t="n">
        <v>2048</v>
      </c>
      <c r="I50" s="0" t="n">
        <v>16</v>
      </c>
      <c r="J50" s="0" t="n">
        <v>5</v>
      </c>
      <c r="K50" s="0" t="n">
        <v>3227647</v>
      </c>
      <c r="L50" s="0" t="inlineStr">
        <is>
          <t>structural regression prediction</t>
        </is>
      </c>
      <c r="M50" s="0" t="n">
        <v>22</v>
      </c>
      <c r="N50" s="0" t="n">
        <v>2284113.60217582</v>
      </c>
      <c r="O50" s="0" t="n">
        <v>1142056.80108791</v>
      </c>
      <c r="P50" s="0" t="n">
        <v>9136454.408703269</v>
      </c>
      <c r="Q50" s="0" t="n">
        <v>37.0890517638525</v>
      </c>
      <c r="R50" s="0" t="n">
        <v>18.5445258819263</v>
      </c>
      <c r="S50" s="0" t="n">
        <v>74.17810352770501</v>
      </c>
      <c r="T50" s="0" t="n">
        <v>483.654093333333</v>
      </c>
      <c r="U50" s="0" t="n">
        <v>434.62857</v>
      </c>
      <c r="V50" s="0" t="n">
        <v>543.039633333333</v>
      </c>
      <c r="W50" s="0" t="n">
        <v>143.988464355469</v>
      </c>
      <c r="X50" s="0" t="n">
        <v>71.9942321777344</v>
      </c>
      <c r="Y50" s="0" t="n">
        <v>575.953857421875</v>
      </c>
      <c r="Z50" s="0" t="b">
        <v>1</v>
      </c>
      <c r="AA50" s="0" t="n">
        <v>0</v>
      </c>
      <c r="AC50" s="0" t="b">
        <v>0</v>
      </c>
    </row>
    <row r="51">
      <c r="A51" s="0" t="inlineStr">
        <is>
          <t>P050</t>
        </is>
      </c>
      <c r="B51" s="0" t="inlineStr">
        <is>
          <t>预测</t>
        </is>
      </c>
      <c r="C51" s="0" t="n">
        <v>1000000</v>
      </c>
      <c r="D51" s="0" t="n">
        <v>96</v>
      </c>
      <c r="E51" s="0" t="n">
        <v>96</v>
      </c>
      <c r="F51" s="0" t="n">
        <v>1024</v>
      </c>
      <c r="G51" s="0" t="n">
        <v>1024</v>
      </c>
      <c r="H51" s="0" t="n">
        <v>2048</v>
      </c>
      <c r="I51" s="0" t="n">
        <v>16</v>
      </c>
      <c r="J51" s="0" t="n">
        <v>20</v>
      </c>
      <c r="K51" s="0" t="n">
        <v>3227647</v>
      </c>
      <c r="L51" s="0" t="inlineStr">
        <is>
          <t>structural regression prediction</t>
        </is>
      </c>
      <c r="M51" s="0" t="n">
        <v>22</v>
      </c>
      <c r="N51" s="0" t="n">
        <v>2284113.60217582</v>
      </c>
      <c r="O51" s="0" t="n">
        <v>1142056.80108791</v>
      </c>
      <c r="P51" s="0" t="n">
        <v>9136454.408703269</v>
      </c>
      <c r="Q51" s="0" t="n">
        <v>37.0917876668724</v>
      </c>
      <c r="R51" s="0" t="n">
        <v>18.5458938334362</v>
      </c>
      <c r="S51" s="0" t="n">
        <v>74.1835753337448</v>
      </c>
      <c r="T51" s="0" t="n">
        <v>483.774093333333</v>
      </c>
      <c r="U51" s="0" t="n">
        <v>434.74857</v>
      </c>
      <c r="V51" s="0" t="n">
        <v>543.159633333333</v>
      </c>
      <c r="W51" s="0" t="n">
        <v>143.988464355469</v>
      </c>
      <c r="X51" s="0" t="n">
        <v>71.9942321777344</v>
      </c>
      <c r="Y51" s="0" t="n">
        <v>575.953857421875</v>
      </c>
      <c r="Z51" s="0" t="b">
        <v>1</v>
      </c>
      <c r="AA51" s="0" t="n">
        <v>0</v>
      </c>
      <c r="AC51" s="0" t="b">
        <v>0</v>
      </c>
    </row>
    <row r="52">
      <c r="A52" s="0" t="inlineStr">
        <is>
          <t>P051</t>
        </is>
      </c>
      <c r="B52" s="0" t="inlineStr">
        <is>
          <t>预测</t>
        </is>
      </c>
      <c r="C52" s="0" t="n">
        <v>1000000</v>
      </c>
      <c r="D52" s="0" t="n">
        <v>96</v>
      </c>
      <c r="E52" s="0" t="n">
        <v>96</v>
      </c>
      <c r="F52" s="0" t="n">
        <v>1024</v>
      </c>
      <c r="G52" s="0" t="n">
        <v>1024</v>
      </c>
      <c r="H52" s="0" t="n">
        <v>2048</v>
      </c>
      <c r="I52" s="0" t="n">
        <v>16</v>
      </c>
      <c r="J52" s="0" t="n">
        <v>50</v>
      </c>
      <c r="K52" s="0" t="n">
        <v>3227647</v>
      </c>
      <c r="L52" s="0" t="inlineStr">
        <is>
          <t>structural regression prediction</t>
        </is>
      </c>
      <c r="M52" s="0" t="n">
        <v>22</v>
      </c>
      <c r="N52" s="0" t="n">
        <v>2284113.60217582</v>
      </c>
      <c r="O52" s="0" t="n">
        <v>1142056.80108791</v>
      </c>
      <c r="P52" s="0" t="n">
        <v>9136454.408703269</v>
      </c>
      <c r="Q52" s="0" t="n">
        <v>37.0972594729122</v>
      </c>
      <c r="R52" s="0" t="n">
        <v>18.5486297364561</v>
      </c>
      <c r="S52" s="0" t="n">
        <v>74.1945189458244</v>
      </c>
      <c r="T52" s="0" t="n">
        <v>484.014093333333</v>
      </c>
      <c r="U52" s="0" t="n">
        <v>434.98857</v>
      </c>
      <c r="V52" s="0" t="n">
        <v>543.399633333333</v>
      </c>
      <c r="W52" s="0" t="n">
        <v>143.988464355469</v>
      </c>
      <c r="X52" s="0" t="n">
        <v>71.9942321777344</v>
      </c>
      <c r="Y52" s="0" t="n">
        <v>575.953857421875</v>
      </c>
      <c r="Z52" s="0" t="b">
        <v>1</v>
      </c>
      <c r="AA52" s="0" t="n">
        <v>0</v>
      </c>
      <c r="AC52" s="0" t="b">
        <v>0</v>
      </c>
    </row>
    <row r="53">
      <c r="A53" s="0" t="inlineStr">
        <is>
          <t>P052</t>
        </is>
      </c>
      <c r="B53" s="0" t="inlineStr">
        <is>
          <t>预测</t>
        </is>
      </c>
      <c r="C53" s="0" t="n">
        <v>1000000</v>
      </c>
      <c r="D53" s="0" t="n">
        <v>96</v>
      </c>
      <c r="E53" s="0" t="n">
        <v>96</v>
      </c>
      <c r="F53" s="0" t="n">
        <v>1024</v>
      </c>
      <c r="G53" s="0" t="n">
        <v>1024</v>
      </c>
      <c r="H53" s="0" t="n">
        <v>2048</v>
      </c>
      <c r="I53" s="0" t="n">
        <v>16</v>
      </c>
      <c r="J53" s="0" t="n">
        <v>100</v>
      </c>
      <c r="K53" s="0" t="n">
        <v>3227647</v>
      </c>
      <c r="L53" s="0" t="inlineStr">
        <is>
          <t>structural regression prediction</t>
        </is>
      </c>
      <c r="M53" s="0" t="n">
        <v>22</v>
      </c>
      <c r="N53" s="0" t="n">
        <v>2284113.60217582</v>
      </c>
      <c r="O53" s="0" t="n">
        <v>1142056.80108791</v>
      </c>
      <c r="P53" s="0" t="n">
        <v>9136454.408703269</v>
      </c>
      <c r="Q53" s="0" t="n">
        <v>37.1063791496452</v>
      </c>
      <c r="R53" s="0" t="n">
        <v>18.5531895748226</v>
      </c>
      <c r="S53" s="0" t="n">
        <v>74.2127582992905</v>
      </c>
      <c r="T53" s="0" t="n">
        <v>484.414093333333</v>
      </c>
      <c r="U53" s="0" t="n">
        <v>435.38857</v>
      </c>
      <c r="V53" s="0" t="n">
        <v>543.799633333333</v>
      </c>
      <c r="W53" s="0" t="n">
        <v>143.988464355469</v>
      </c>
      <c r="X53" s="0" t="n">
        <v>71.9942321777344</v>
      </c>
      <c r="Y53" s="0" t="n">
        <v>575.953857421875</v>
      </c>
      <c r="Z53" s="0" t="b">
        <v>1</v>
      </c>
      <c r="AA53" s="0" t="n">
        <v>0</v>
      </c>
      <c r="AC53" s="0" t="b">
        <v>0</v>
      </c>
    </row>
    <row r="54">
      <c r="A54" s="0" t="inlineStr">
        <is>
          <t>P053</t>
        </is>
      </c>
      <c r="B54" s="0" t="inlineStr">
        <is>
          <t>预测(参数假设)</t>
        </is>
      </c>
      <c r="C54" s="0" t="n">
        <v>500000</v>
      </c>
      <c r="D54" s="0" t="n">
        <v>96</v>
      </c>
      <c r="E54" s="0" t="n">
        <v>96</v>
      </c>
      <c r="F54" s="0" t="n">
        <v>1024</v>
      </c>
      <c r="G54" s="0" t="n">
        <v>1024</v>
      </c>
      <c r="H54" s="0" t="n">
        <v>1024</v>
      </c>
      <c r="I54" s="0" t="n">
        <v>16</v>
      </c>
      <c r="J54" s="0" t="n">
        <v>10</v>
      </c>
      <c r="K54" s="0" t="n">
        <v>1871588</v>
      </c>
      <c r="L54" s="0" t="inlineStr">
        <is>
          <t>structural regression prediction</t>
        </is>
      </c>
      <c r="M54" s="0" t="n">
        <v>21</v>
      </c>
      <c r="N54" s="0" t="n">
        <v>1090098.64352088</v>
      </c>
      <c r="O54" s="0" t="n">
        <v>136262.33044011</v>
      </c>
      <c r="P54" s="0" t="n">
        <v>17441578.2963341</v>
      </c>
      <c r="Q54" s="0" t="n">
        <v>32.5269889640667</v>
      </c>
      <c r="R54" s="0" t="n">
        <v>4.06587362050834</v>
      </c>
      <c r="S54" s="0" t="n">
        <v>260.215911712534</v>
      </c>
      <c r="T54" s="0" t="n">
        <v>336.14208</v>
      </c>
      <c r="U54" s="0" t="n">
        <v>289.18856</v>
      </c>
      <c r="V54" s="0" t="n">
        <v>393.455616666667</v>
      </c>
      <c r="W54" s="0" t="n">
        <v>71.9942321777344</v>
      </c>
      <c r="X54" s="0" t="n">
        <v>35.9971160888672</v>
      </c>
      <c r="Y54" s="0" t="n">
        <v>287.976928710938</v>
      </c>
      <c r="Z54" s="0" t="b">
        <v>1</v>
      </c>
      <c r="AA54" s="0" t="n">
        <v>0</v>
      </c>
      <c r="AC54" s="0" t="b">
        <v>1</v>
      </c>
    </row>
    <row r="55">
      <c r="A55" s="0" t="inlineStr">
        <is>
          <t>P054</t>
        </is>
      </c>
      <c r="B55" s="0" t="inlineStr">
        <is>
          <t>预测(参数假设)</t>
        </is>
      </c>
      <c r="C55" s="0" t="n">
        <v>5000000</v>
      </c>
      <c r="D55" s="0" t="n">
        <v>96</v>
      </c>
      <c r="E55" s="0" t="n">
        <v>96</v>
      </c>
      <c r="F55" s="0" t="n">
        <v>1024</v>
      </c>
      <c r="G55" s="0" t="n">
        <v>1024</v>
      </c>
      <c r="H55" s="0" t="n">
        <v>16384</v>
      </c>
      <c r="I55" s="0" t="n">
        <v>16</v>
      </c>
      <c r="J55" s="0" t="n">
        <v>10</v>
      </c>
      <c r="K55" s="0" t="n">
        <v>22212480</v>
      </c>
      <c r="L55" s="0" t="inlineStr">
        <is>
          <t>structural regression prediction</t>
        </is>
      </c>
      <c r="M55" s="0" t="n">
        <v>25</v>
      </c>
      <c r="N55" s="0" t="n">
        <v>20766900.380624</v>
      </c>
      <c r="O55" s="0" t="n">
        <v>2595862.547578</v>
      </c>
      <c r="P55" s="0" t="n">
        <v>332270406.089984</v>
      </c>
      <c r="Q55" s="0" t="n">
        <v>85.705061198942</v>
      </c>
      <c r="R55" s="0" t="n">
        <v>10.7131326498678</v>
      </c>
      <c r="S55" s="0" t="n">
        <v>685.640489591536</v>
      </c>
      <c r="T55" s="0" t="n">
        <v>2458.25413333333</v>
      </c>
      <c r="U55" s="0" t="n">
        <v>2403.0126</v>
      </c>
      <c r="V55" s="0" t="n">
        <v>2523.85568333333</v>
      </c>
      <c r="W55" s="0" t="n">
        <v>1151.90771484375</v>
      </c>
      <c r="X55" s="0" t="n">
        <v>575.953857421875</v>
      </c>
      <c r="Y55" s="0" t="n">
        <v>4607.630859375</v>
      </c>
      <c r="Z55" s="0" t="b">
        <v>1</v>
      </c>
      <c r="AA55" s="0" t="n">
        <v>0</v>
      </c>
      <c r="AC55" s="0" t="b">
        <v>1</v>
      </c>
    </row>
    <row r="56">
      <c r="A56" s="0" t="inlineStr">
        <is>
          <t>P055</t>
        </is>
      </c>
      <c r="B56" s="0" t="inlineStr">
        <is>
          <t>预测(参数假设)</t>
        </is>
      </c>
      <c r="C56" s="0" t="n">
        <v>10000000</v>
      </c>
      <c r="D56" s="0" t="n">
        <v>96</v>
      </c>
      <c r="E56" s="0" t="n">
        <v>96</v>
      </c>
      <c r="F56" s="0" t="n">
        <v>1024</v>
      </c>
      <c r="G56" s="0" t="n">
        <v>1024</v>
      </c>
      <c r="H56" s="0" t="n">
        <v>32768</v>
      </c>
      <c r="I56" s="0" t="n">
        <v>16</v>
      </c>
      <c r="J56" s="0" t="n">
        <v>10</v>
      </c>
      <c r="K56" s="0" t="n">
        <v>43909432</v>
      </c>
      <c r="L56" s="0" t="inlineStr">
        <is>
          <t>structural regression prediction</t>
        </is>
      </c>
      <c r="M56" s="0" t="n">
        <v>26</v>
      </c>
      <c r="N56" s="0" t="n">
        <v>43196461.8033929</v>
      </c>
      <c r="O56" s="0" t="n">
        <v>5399557.72542411</v>
      </c>
      <c r="P56" s="0" t="n">
        <v>691143388.854286</v>
      </c>
      <c r="Q56" s="0" t="n">
        <v>137.894635736909</v>
      </c>
      <c r="R56" s="0" t="n">
        <v>17.2368294671136</v>
      </c>
      <c r="S56" s="0" t="n">
        <v>1103.15708589527</v>
      </c>
      <c r="T56" s="0" t="n">
        <v>4694.76614666667</v>
      </c>
      <c r="U56" s="0" t="n">
        <v>4637.45261</v>
      </c>
      <c r="V56" s="0" t="n">
        <v>4762.4397</v>
      </c>
      <c r="W56" s="0" t="n">
        <v>2303.8154296875</v>
      </c>
      <c r="X56" s="0" t="n">
        <v>1151.90771484375</v>
      </c>
      <c r="Y56" s="0" t="n">
        <v>9215.26171875</v>
      </c>
      <c r="Z56" s="0" t="b">
        <v>1</v>
      </c>
      <c r="AA56" s="0" t="n">
        <v>0</v>
      </c>
      <c r="AC56" s="0" t="b">
        <v>1</v>
      </c>
    </row>
  </sheetData>
  <autoFilter ref="A1:AC56"/>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activeCell="A1" sqref="A1"/>
      <selection pane="bottomLeft" activeCell="A1" sqref="A1"/>
    </sheetView>
  </sheetViews>
  <sheetFormatPr baseColWidth="8" defaultColWidth="9" defaultRowHeight="13.5" outlineLevelRow="3"/>
  <sheetData>
    <row r="1">
      <c r="A1" s="0" t="inlineStr">
        <is>
          <t>job</t>
        </is>
      </c>
      <c r="B1" s="0" t="inlineStr">
        <is>
          <t>completed samples</t>
        </is>
      </c>
      <c r="C1" s="0" t="inlineStr">
        <is>
          <t>full20x3</t>
        </is>
      </c>
      <c r="D1" s="0" t="inlineStr">
        <is>
          <t>domain bit</t>
        </is>
      </c>
      <c r="E1" s="0" t="inlineStr">
        <is>
          <t>gates</t>
        </is>
      </c>
      <c r="F1" s="0" t="inlineStr">
        <is>
          <t>query ms</t>
        </is>
      </c>
      <c r="G1" s="0" t="inlineStr">
        <is>
          <t>verify ms</t>
        </is>
      </c>
      <c r="H1" s="0" t="inlineStr">
        <is>
          <t>VO KB</t>
        </is>
      </c>
      <c r="I1" s="0" t="inlineStr">
        <is>
          <t>build s</t>
        </is>
      </c>
      <c r="J1" s="0" t="inlineStr">
        <is>
          <t>prove s</t>
        </is>
      </c>
      <c r="K1" s="0" t="inlineStr">
        <is>
          <t>RSS peak GiB</t>
        </is>
      </c>
      <c r="L1" s="0" t="inlineStr">
        <is>
          <t>source</t>
        </is>
      </c>
      <c r="M1" s="0" t="inlineStr">
        <is>
          <t>SHA256</t>
        </is>
      </c>
      <c r="N1" s="0" t="inlineStr">
        <is>
          <t>available-sample actual Recall@k</t>
        </is>
      </c>
    </row>
    <row r="2">
      <c r="A2" s="0" t="inlineStr">
        <is>
          <t>deep1m-1000000-M96-K1024-p4-k10-q20-r3-t1</t>
        </is>
      </c>
      <c r="B2" s="0" t="n">
        <v>59</v>
      </c>
      <c r="C2" s="0" t="b">
        <v>0</v>
      </c>
      <c r="D2" s="0" t="n">
        <v>20</v>
      </c>
      <c r="E2" s="0" t="n">
        <v>839937</v>
      </c>
      <c r="F2" s="0" t="n">
        <v>492173.144555356</v>
      </c>
      <c r="G2" s="0" t="n">
        <v>24.5480708813914</v>
      </c>
      <c r="H2" s="0" t="n">
        <v>270.115389830508</v>
      </c>
      <c r="I2" s="0" t="n">
        <v>161.345172229136</v>
      </c>
      <c r="J2" s="0" t="n">
        <v>306.814831219763</v>
      </c>
      <c r="K2" s="0" t="n">
        <v>35.6586036682129</v>
      </c>
      <c r="L2" s="0" t="inlineStr">
        <is>
          <t>/mnt/d/paper_source/work_9/VeriANN_repro_2026-09-30/VeriANN_repro_2026-09-30/results/work9-v3db-20261016/deep1m-1000000-M96-K1024-p4-k10-q20-r3-t1/per_query.csv</t>
        </is>
      </c>
      <c r="M2" s="0" t="inlineStr">
        <is>
          <t>d42a3c863fed6ff66b6dc91e8c66c288c471a9a7b8cd65c92db2b494a159709d</t>
        </is>
      </c>
      <c r="N2" s="0" t="n">
        <v>0.777966101694915</v>
      </c>
    </row>
    <row r="3">
      <c r="A3" s="0" t="inlineStr">
        <is>
          <t>nytimes256-289761-M256-p2-k10-q20-r3-t1</t>
        </is>
      </c>
      <c r="B3" s="0" t="n">
        <v>60</v>
      </c>
      <c r="C3" s="0" t="b">
        <v>1</v>
      </c>
      <c r="D3" s="0" t="n">
        <v>20</v>
      </c>
      <c r="E3" s="0" t="n">
        <v>965553</v>
      </c>
      <c r="F3" s="0" t="n">
        <v>509614.44072055</v>
      </c>
      <c r="G3" s="0" t="n">
        <v>54.5049295001718</v>
      </c>
      <c r="H3" s="0" t="n">
        <v>234.926066666667</v>
      </c>
      <c r="I3" s="0" t="n">
        <v>164.261974223283</v>
      </c>
      <c r="J3" s="0" t="n">
        <v>315.09567350565</v>
      </c>
      <c r="K3" s="0" t="n">
        <v>36.3367156982422</v>
      </c>
      <c r="L3" s="0" t="inlineStr">
        <is>
          <t>/mnt/d/paper_source/work_9/VeriANN_repro_2026-09-30/VeriANN_repro_2026-09-30/results/work9-v3db-20261016/nytimes256-289761-M256-p2-k10-q20-r3-t1/per_query.csv</t>
        </is>
      </c>
      <c r="M3" s="0" t="inlineStr">
        <is>
          <t>93069b55e657c714f1ba885ab6f02c2d3326e57fed801a0097a8e4136ea70d17</t>
        </is>
      </c>
      <c r="N3" s="0" t="n">
        <v>0.58</v>
      </c>
    </row>
    <row r="4">
      <c r="A4" s="0" t="inlineStr">
        <is>
          <t>sift1m-1000000-M128-K1024-p2-k10-q20-r3-t1</t>
        </is>
      </c>
      <c r="B4" s="0" t="n">
        <v>60</v>
      </c>
      <c r="C4" s="0" t="b">
        <v>1</v>
      </c>
      <c r="D4" s="0" t="n">
        <v>20</v>
      </c>
      <c r="E4" s="0" t="n">
        <v>582254</v>
      </c>
      <c r="F4" s="0" t="n">
        <v>498279.313743133</v>
      </c>
      <c r="G4" s="0" t="n">
        <v>29.0904766666699</v>
      </c>
      <c r="H4" s="0" t="n">
        <v>238.054633333333</v>
      </c>
      <c r="I4" s="0" t="n">
        <v>169.454040914683</v>
      </c>
      <c r="J4" s="0" t="n">
        <v>311.595364864283</v>
      </c>
      <c r="K4" s="0" t="n">
        <v>35.9971160888672</v>
      </c>
      <c r="L4" s="0" t="inlineStr">
        <is>
          <t>/mnt/d/paper_source/work_9/VeriANN_repro_2026-09-30/VeriANN_repro_2026-09-30/results/work9-v3db-20261016/sift1m-1000000-M128-K1024-p2-k10-q20-r3-t1/per_query.csv</t>
        </is>
      </c>
      <c r="M4" s="0" t="inlineStr">
        <is>
          <t>af2e40e0bd152218bcf9d8b10eebc1848984d97f6f12005d04b802966513f0da</t>
        </is>
      </c>
      <c r="N4" s="0" t="n">
        <v>0.705</v>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H43"/>
  <sheetViews>
    <sheetView workbookViewId="0">
      <pane ySplit="1" topLeftCell="A2" activePane="bottomLeft" state="frozen"/>
      <selection activeCell="A1" sqref="A1"/>
      <selection pane="bottomLeft" activeCell="A1" sqref="A1"/>
    </sheetView>
  </sheetViews>
  <sheetFormatPr baseColWidth="8" defaultColWidth="9" defaultRowHeight="13.5"/>
  <sheetData>
    <row r="1">
      <c r="A1" s="0" t="inlineStr">
        <is>
          <t>dataset</t>
        </is>
      </c>
      <c r="B1" s="0" t="inlineStr">
        <is>
          <t>target recall</t>
        </is>
      </c>
      <c r="C1" s="0" t="inlineStr">
        <is>
          <t>search-calibrated recall</t>
        </is>
      </c>
      <c r="D1" s="0" t="inlineStr">
        <is>
          <t>query ms</t>
        </is>
      </c>
      <c r="E1" s="0" t="inlineStr">
        <is>
          <t>verify ms</t>
        </is>
      </c>
      <c r="F1" s="0" t="inlineStr">
        <is>
          <t>VO KB</t>
        </is>
      </c>
      <c r="G1" s="0" t="inlineStr">
        <is>
          <t>status</t>
        </is>
      </c>
      <c r="H1" s="0" t="inlineStr">
        <is>
          <t>point ID</t>
        </is>
      </c>
    </row>
    <row r="2">
      <c r="A2" s="0" t="inlineStr">
        <is>
          <t>SIFT1M</t>
        </is>
      </c>
      <c r="B2" s="0" t="n">
        <v>0.6</v>
      </c>
      <c r="C2" s="0" t="n">
        <v>0.705</v>
      </c>
      <c r="D2" s="0" t="n">
        <v>498279.313743133</v>
      </c>
      <c r="E2" s="0" t="n">
        <v>29.0904766666699</v>
      </c>
      <c r="F2" s="0" t="n">
        <v>238.054633333333</v>
      </c>
      <c r="G2" s="0" t="inlineStr">
        <is>
          <t>实测20x3</t>
        </is>
      </c>
      <c r="H2" s="0" t="inlineStr">
        <is>
          <t>P002</t>
        </is>
      </c>
    </row>
    <row r="3">
      <c r="A3" s="0" t="inlineStr">
        <is>
          <t>SIFT1M</t>
        </is>
      </c>
      <c r="B3" s="0" t="n">
        <v>0.65</v>
      </c>
      <c r="C3" s="0" t="n">
        <v>0.705</v>
      </c>
      <c r="D3" s="0" t="n">
        <v>498279.313743133</v>
      </c>
      <c r="E3" s="0" t="n">
        <v>29.0904766666699</v>
      </c>
      <c r="F3" s="0" t="n">
        <v>238.054633333333</v>
      </c>
      <c r="G3" s="0" t="inlineStr">
        <is>
          <t>实测20x3</t>
        </is>
      </c>
      <c r="H3" s="0" t="inlineStr">
        <is>
          <t>P002</t>
        </is>
      </c>
    </row>
    <row r="4">
      <c r="A4" s="0" t="inlineStr">
        <is>
          <t>SIFT1M</t>
        </is>
      </c>
      <c r="B4" s="0" t="n">
        <v>0.7</v>
      </c>
      <c r="C4" s="0" t="n">
        <v>0.705</v>
      </c>
      <c r="D4" s="0" t="n">
        <v>498279.313743133</v>
      </c>
      <c r="E4" s="0" t="n">
        <v>29.0904766666699</v>
      </c>
      <c r="F4" s="0" t="n">
        <v>238.054633333333</v>
      </c>
      <c r="G4" s="0" t="inlineStr">
        <is>
          <t>实测20x3</t>
        </is>
      </c>
      <c r="H4" s="0" t="inlineStr">
        <is>
          <t>P002</t>
        </is>
      </c>
    </row>
    <row r="5">
      <c r="A5" s="0" t="inlineStr">
        <is>
          <t>SIFT1M</t>
        </is>
      </c>
      <c r="B5" s="0" t="n">
        <v>0.75</v>
      </c>
      <c r="C5" s="0" t="n">
        <v>0.85</v>
      </c>
      <c r="D5" s="0" t="n">
        <v>1072230.40231401</v>
      </c>
      <c r="E5" s="0" t="n">
        <v>31.2254287007305</v>
      </c>
      <c r="F5" s="0" t="n">
        <v>279.05408</v>
      </c>
      <c r="G5" s="0" t="inlineStr">
        <is>
          <t>预测</t>
        </is>
      </c>
      <c r="H5" s="0" t="inlineStr">
        <is>
          <t>P003</t>
        </is>
      </c>
    </row>
    <row r="6">
      <c r="A6" s="0" t="inlineStr">
        <is>
          <t>SIFT1M</t>
        </is>
      </c>
      <c r="B6" s="0" t="n">
        <v>0.8</v>
      </c>
      <c r="C6" s="0" t="n">
        <v>0.85</v>
      </c>
      <c r="D6" s="0" t="n">
        <v>1072230.40231401</v>
      </c>
      <c r="E6" s="0" t="n">
        <v>31.2254287007305</v>
      </c>
      <c r="F6" s="0" t="n">
        <v>279.05408</v>
      </c>
      <c r="G6" s="0" t="inlineStr">
        <is>
          <t>预测</t>
        </is>
      </c>
      <c r="H6" s="0" t="inlineStr">
        <is>
          <t>P003</t>
        </is>
      </c>
    </row>
    <row r="7">
      <c r="A7" s="0" t="inlineStr">
        <is>
          <t>SIFT1M</t>
        </is>
      </c>
      <c r="B7" s="0" t="n">
        <v>0.85</v>
      </c>
      <c r="C7" s="0" t="n">
        <v>0.85</v>
      </c>
      <c r="D7" s="0" t="n">
        <v>1072230.40231401</v>
      </c>
      <c r="E7" s="0" t="n">
        <v>31.2254287007305</v>
      </c>
      <c r="F7" s="0" t="n">
        <v>279.05408</v>
      </c>
      <c r="G7" s="0" t="inlineStr">
        <is>
          <t>预测</t>
        </is>
      </c>
      <c r="H7" s="0" t="inlineStr">
        <is>
          <t>P003</t>
        </is>
      </c>
    </row>
    <row r="8">
      <c r="A8" s="0" t="inlineStr">
        <is>
          <t>SIFT1M</t>
        </is>
      </c>
      <c r="B8" s="0" t="n">
        <v>0.9</v>
      </c>
      <c r="C8" s="0" t="n">
        <v>0.9350000000000001</v>
      </c>
      <c r="D8" s="0" t="n">
        <v>2246734.4322322</v>
      </c>
      <c r="E8" s="0" t="n">
        <v>34.1074646527599</v>
      </c>
      <c r="F8" s="0" t="n">
        <v>352.878093333333</v>
      </c>
      <c r="G8" s="0" t="inlineStr">
        <is>
          <t>预测</t>
        </is>
      </c>
      <c r="H8" s="0" t="inlineStr">
        <is>
          <t>P004</t>
        </is>
      </c>
    </row>
    <row r="9">
      <c r="A9" s="0" t="inlineStr">
        <is>
          <t>SIFT1M</t>
        </is>
      </c>
      <c r="B9" s="0" t="n">
        <v>0.95</v>
      </c>
      <c r="C9" s="0" t="n">
        <v>0.96</v>
      </c>
      <c r="D9" s="0" t="n">
        <v>4698016.11967277</v>
      </c>
      <c r="E9" s="0" t="n">
        <v>38.4836684407268</v>
      </c>
      <c r="F9" s="0" t="n">
        <v>492.238106666667</v>
      </c>
      <c r="G9" s="0" t="inlineStr">
        <is>
          <t>预测</t>
        </is>
      </c>
      <c r="H9" s="0" t="inlineStr">
        <is>
          <t>P001</t>
        </is>
      </c>
    </row>
    <row r="10">
      <c r="A10" s="0" t="inlineStr">
        <is>
          <t>SIFT1M</t>
        </is>
      </c>
      <c r="B10" s="0" t="n">
        <v>0.97</v>
      </c>
      <c r="C10" s="0" t="n">
        <v>0.985</v>
      </c>
      <c r="D10" s="0" t="n">
        <v>9805126.74976225</v>
      </c>
      <c r="E10" s="0" t="n">
        <v>45.8482079005687</v>
      </c>
      <c r="F10" s="0" t="n">
        <v>762.67012</v>
      </c>
      <c r="G10" s="0" t="inlineStr">
        <is>
          <t>预测</t>
        </is>
      </c>
      <c r="H10" s="0" t="inlineStr">
        <is>
          <t>P005</t>
        </is>
      </c>
    </row>
    <row r="11">
      <c r="A11" s="0" t="inlineStr">
        <is>
          <t>SIFT1M</t>
        </is>
      </c>
      <c r="B11" s="0" t="n">
        <v>0.98</v>
      </c>
      <c r="C11" s="0" t="n">
        <v>0.985</v>
      </c>
      <c r="D11" s="0" t="n">
        <v>9805126.74976225</v>
      </c>
      <c r="E11" s="0" t="n">
        <v>45.8482079005687</v>
      </c>
      <c r="F11" s="0" t="n">
        <v>762.67012</v>
      </c>
      <c r="G11" s="0" t="inlineStr">
        <is>
          <t>预测</t>
        </is>
      </c>
      <c r="H11" s="0" t="inlineStr">
        <is>
          <t>P005</t>
        </is>
      </c>
    </row>
    <row r="12">
      <c r="A12" s="0" t="inlineStr">
        <is>
          <t>SIFT1M</t>
        </is>
      </c>
      <c r="B12" s="0" t="n">
        <v>0.99</v>
      </c>
      <c r="C12" s="0" t="n">
        <v>0.995</v>
      </c>
      <c r="D12" s="0" t="n">
        <v>20428442.5203579</v>
      </c>
      <c r="E12" s="0" t="n">
        <v>59.1894187041606</v>
      </c>
      <c r="F12" s="0" t="n">
        <v>1295.24613333333</v>
      </c>
      <c r="G12" s="0" t="inlineStr">
        <is>
          <t>预测</t>
        </is>
      </c>
      <c r="H12" s="0" t="inlineStr">
        <is>
          <t>P006</t>
        </is>
      </c>
    </row>
    <row r="13">
      <c r="A13" s="0" t="inlineStr">
        <is>
          <t>NYTimes-256</t>
        </is>
      </c>
      <c r="B13" s="0" t="n">
        <v>0.6</v>
      </c>
      <c r="C13" s="0" t="n">
        <v>0.645</v>
      </c>
      <c r="D13" s="0" t="n">
        <v>1108369.52797136</v>
      </c>
      <c r="E13" s="0" t="n">
        <v>31.155389583421</v>
      </c>
      <c r="F13" s="0" t="n">
        <v>275.98208</v>
      </c>
      <c r="G13" s="0" t="inlineStr">
        <is>
          <t>预测</t>
        </is>
      </c>
      <c r="H13" s="0" t="inlineStr">
        <is>
          <t>P018</t>
        </is>
      </c>
    </row>
    <row r="14">
      <c r="A14" s="0" t="inlineStr">
        <is>
          <t>NYTimes-256</t>
        </is>
      </c>
      <c r="B14" s="0" t="n">
        <v>0.65</v>
      </c>
      <c r="C14" s="0" t="n">
        <v>0.68</v>
      </c>
      <c r="D14" s="0" t="n">
        <v>2322298.05860666</v>
      </c>
      <c r="E14" s="0" t="n">
        <v>34.0374255354504</v>
      </c>
      <c r="F14" s="0" t="n">
        <v>349.806093333333</v>
      </c>
      <c r="G14" s="0" t="inlineStr">
        <is>
          <t>预测</t>
        </is>
      </c>
      <c r="H14" s="0" t="inlineStr">
        <is>
          <t>P019</t>
        </is>
      </c>
    </row>
    <row r="15">
      <c r="A15" s="0" t="inlineStr">
        <is>
          <t>NYTimes-256</t>
        </is>
      </c>
      <c r="B15" s="0" t="n">
        <v>0.7</v>
      </c>
      <c r="C15" s="0" t="n">
        <v>0.78</v>
      </c>
      <c r="D15" s="0" t="n">
        <v>4855714.1225412</v>
      </c>
      <c r="E15" s="0" t="n">
        <v>38.4136293234172</v>
      </c>
      <c r="F15" s="0" t="n">
        <v>489.166106666667</v>
      </c>
      <c r="G15" s="0" t="inlineStr">
        <is>
          <t>预测</t>
        </is>
      </c>
      <c r="H15" s="0" t="inlineStr">
        <is>
          <t>P020</t>
        </is>
      </c>
    </row>
    <row r="16">
      <c r="A16" s="0" t="inlineStr">
        <is>
          <t>NYTimes-256</t>
        </is>
      </c>
      <c r="B16" s="0" t="n">
        <v>0.75</v>
      </c>
      <c r="C16" s="0" t="n">
        <v>0.78</v>
      </c>
      <c r="D16" s="0" t="n">
        <v>4855714.1225412</v>
      </c>
      <c r="E16" s="0" t="n">
        <v>38.4136293234172</v>
      </c>
      <c r="F16" s="0" t="n">
        <v>489.166106666667</v>
      </c>
      <c r="G16" s="0" t="inlineStr">
        <is>
          <t>预测</t>
        </is>
      </c>
      <c r="H16" s="0" t="inlineStr">
        <is>
          <t>P020</t>
        </is>
      </c>
    </row>
    <row r="17">
      <c r="A17" s="0" t="inlineStr">
        <is>
          <t>NYTimes-256</t>
        </is>
      </c>
      <c r="B17" s="0" t="n">
        <v>0.8</v>
      </c>
      <c r="C17" s="0" t="n">
        <v>0.85</v>
      </c>
      <c r="D17" s="0" t="n">
        <v>10133664.2557382</v>
      </c>
      <c r="E17" s="0" t="n">
        <v>45.7781687832591</v>
      </c>
      <c r="F17" s="0" t="n">
        <v>759.59812</v>
      </c>
      <c r="G17" s="0" t="inlineStr">
        <is>
          <t>预测</t>
        </is>
      </c>
      <c r="H17" s="0" t="inlineStr">
        <is>
          <t>P021</t>
        </is>
      </c>
    </row>
    <row r="18">
      <c r="A18" s="0" t="inlineStr">
        <is>
          <t>NYTimes-256</t>
        </is>
      </c>
      <c r="B18" s="0" t="n">
        <v>0.85</v>
      </c>
      <c r="C18" s="0" t="n">
        <v>0.85</v>
      </c>
      <c r="D18" s="0" t="n">
        <v>10133664.2557382</v>
      </c>
      <c r="E18" s="0" t="n">
        <v>45.7781687832591</v>
      </c>
      <c r="F18" s="0" t="n">
        <v>759.59812</v>
      </c>
      <c r="G18" s="0" t="inlineStr">
        <is>
          <t>预测</t>
        </is>
      </c>
      <c r="H18" s="0" t="inlineStr">
        <is>
          <t>P021</t>
        </is>
      </c>
    </row>
    <row r="19">
      <c r="A19" s="0" t="inlineStr">
        <is>
          <t>NYTimes-256</t>
        </is>
      </c>
      <c r="B19" s="0" t="n">
        <v>0.9</v>
      </c>
      <c r="C19" s="0" t="n">
        <v>0.915</v>
      </c>
      <c r="D19" s="0" t="n">
        <v>43912545.1081987</v>
      </c>
      <c r="E19" s="0" t="n">
        <v>84.4139330779429</v>
      </c>
      <c r="F19" s="0" t="n">
        <v>2349.03814666667</v>
      </c>
      <c r="G19" s="0" t="inlineStr">
        <is>
          <t>预测</t>
        </is>
      </c>
      <c r="H19" s="0" t="inlineStr">
        <is>
          <t>P022</t>
        </is>
      </c>
    </row>
    <row r="20">
      <c r="A20" s="0" t="inlineStr">
        <is>
          <t>NYTimes-256</t>
        </is>
      </c>
      <c r="B20" s="0" t="n">
        <v>0.95</v>
      </c>
      <c r="C20" s="0" t="n">
        <v>0.975</v>
      </c>
      <c r="D20" s="0" t="n">
        <v>91202978.3016434</v>
      </c>
      <c r="E20" s="0" t="n">
        <v>133.615171944035</v>
      </c>
      <c r="F20" s="0" t="n">
        <v>4454.47816</v>
      </c>
      <c r="G20" s="0" t="inlineStr">
        <is>
          <t>预测</t>
        </is>
      </c>
      <c r="H20" s="0" t="inlineStr">
        <is>
          <t>P017</t>
        </is>
      </c>
    </row>
    <row r="21">
      <c r="A21" s="0" t="inlineStr">
        <is>
          <t>NYTimes-256</t>
        </is>
      </c>
      <c r="B21" s="0" t="n">
        <v>0.97</v>
      </c>
      <c r="C21" s="0" t="n">
        <v>0.975</v>
      </c>
      <c r="D21" s="0" t="n">
        <v>91202978.3016434</v>
      </c>
      <c r="E21" s="0" t="n">
        <v>133.615171944035</v>
      </c>
      <c r="F21" s="0" t="n">
        <v>4454.47816</v>
      </c>
      <c r="G21" s="0" t="inlineStr">
        <is>
          <t>预测</t>
        </is>
      </c>
      <c r="H21" s="0" t="inlineStr">
        <is>
          <t>P017</t>
        </is>
      </c>
    </row>
    <row r="22">
      <c r="A22" s="0" t="inlineStr">
        <is>
          <t>NYTimes-256</t>
        </is>
      </c>
      <c r="B22" s="0" t="n">
        <v>0.98</v>
      </c>
      <c r="C22" s="0" t="n">
        <v>1</v>
      </c>
      <c r="D22" s="0" t="n">
        <v>189161732.773779</v>
      </c>
      <c r="E22" s="0" t="n">
        <v>230.629781560127</v>
      </c>
      <c r="F22" s="0" t="n">
        <v>8657.07017333333</v>
      </c>
      <c r="G22" s="0" t="inlineStr">
        <is>
          <t>预测</t>
        </is>
      </c>
      <c r="H22" s="0" t="inlineStr">
        <is>
          <t>P023</t>
        </is>
      </c>
    </row>
    <row r="23">
      <c r="A23" s="0" t="inlineStr">
        <is>
          <t>NYTimes-256</t>
        </is>
      </c>
      <c r="B23" s="0" t="n">
        <v>0.99</v>
      </c>
      <c r="C23" s="0" t="n">
        <v>1</v>
      </c>
      <c r="D23" s="0" t="n">
        <v>189161732.773779</v>
      </c>
      <c r="E23" s="0" t="n">
        <v>230.629781560127</v>
      </c>
      <c r="F23" s="0" t="n">
        <v>8657.07017333333</v>
      </c>
      <c r="G23" s="0" t="inlineStr">
        <is>
          <t>预测</t>
        </is>
      </c>
      <c r="H23" s="0" t="inlineStr">
        <is>
          <t>P023</t>
        </is>
      </c>
    </row>
    <row r="24">
      <c r="A24" s="0" t="inlineStr">
        <is>
          <t>GloVe-100</t>
        </is>
      </c>
      <c r="B24" s="0" t="n">
        <v>0.6</v>
      </c>
      <c r="C24" s="0" t="n">
        <v>0.6899999999999999</v>
      </c>
      <c r="D24" s="0" t="n">
        <v>4785939.49323917</v>
      </c>
      <c r="E24" s="0" t="n">
        <v>44.8287747244907</v>
      </c>
      <c r="F24" s="0" t="n">
        <v>770.542106666667</v>
      </c>
      <c r="G24" s="0" t="inlineStr">
        <is>
          <t>预测</t>
        </is>
      </c>
      <c r="H24" s="0" t="inlineStr">
        <is>
          <t>P031</t>
        </is>
      </c>
    </row>
    <row r="25">
      <c r="A25" s="0" t="inlineStr">
        <is>
          <t>GloVe-100</t>
        </is>
      </c>
      <c r="B25" s="0" t="n">
        <v>0.65</v>
      </c>
      <c r="C25" s="0" t="n">
        <v>0.6899999999999999</v>
      </c>
      <c r="D25" s="0" t="n">
        <v>4785939.49323917</v>
      </c>
      <c r="E25" s="0" t="n">
        <v>44.8287747244907</v>
      </c>
      <c r="F25" s="0" t="n">
        <v>770.542106666667</v>
      </c>
      <c r="G25" s="0" t="inlineStr">
        <is>
          <t>预测</t>
        </is>
      </c>
      <c r="H25" s="0" t="inlineStr">
        <is>
          <t>P031</t>
        </is>
      </c>
    </row>
    <row r="26">
      <c r="A26" s="0" t="inlineStr">
        <is>
          <t>GloVe-100</t>
        </is>
      </c>
      <c r="B26" s="0" t="n">
        <v>0.7</v>
      </c>
      <c r="C26" s="0" t="n">
        <v>0.795</v>
      </c>
      <c r="D26" s="0" t="n">
        <v>9988365.590779509</v>
      </c>
      <c r="E26" s="0" t="n">
        <v>58.1699855280826</v>
      </c>
      <c r="F26" s="0" t="n">
        <v>1303.11812</v>
      </c>
      <c r="G26" s="0" t="inlineStr">
        <is>
          <t>预测</t>
        </is>
      </c>
      <c r="H26" s="0" t="inlineStr">
        <is>
          <t>P032</t>
        </is>
      </c>
    </row>
    <row r="27">
      <c r="A27" s="0" t="inlineStr">
        <is>
          <t>GloVe-100</t>
        </is>
      </c>
      <c r="B27" s="0" t="n">
        <v>0.75</v>
      </c>
      <c r="C27" s="0" t="n">
        <v>0.795</v>
      </c>
      <c r="D27" s="0" t="n">
        <v>9988365.590779509</v>
      </c>
      <c r="E27" s="0" t="n">
        <v>58.1699855280826</v>
      </c>
      <c r="F27" s="0" t="n">
        <v>1303.11812</v>
      </c>
      <c r="G27" s="0" t="inlineStr">
        <is>
          <t>预测</t>
        </is>
      </c>
      <c r="H27" s="0" t="inlineStr">
        <is>
          <t>P032</t>
        </is>
      </c>
    </row>
    <row r="28">
      <c r="A28" s="0" t="inlineStr">
        <is>
          <t>GloVe-100</t>
        </is>
      </c>
      <c r="B28" s="0" t="n">
        <v>0.8</v>
      </c>
      <c r="C28" s="0" t="n">
        <v>0.86</v>
      </c>
      <c r="D28" s="0" t="n">
        <v>20809704.3901614</v>
      </c>
      <c r="E28" s="0" t="n">
        <v>83.4645390191745</v>
      </c>
      <c r="F28" s="0" t="n">
        <v>2359.98213333333</v>
      </c>
      <c r="G28" s="0" t="inlineStr">
        <is>
          <t>预测</t>
        </is>
      </c>
      <c r="H28" s="0" t="inlineStr">
        <is>
          <t>P033</t>
        </is>
      </c>
    </row>
    <row r="29">
      <c r="A29" s="0" t="inlineStr">
        <is>
          <t>GloVe-100</t>
        </is>
      </c>
      <c r="B29" s="0" t="n">
        <v>0.85</v>
      </c>
      <c r="C29" s="0" t="n">
        <v>0.86</v>
      </c>
      <c r="D29" s="0" t="n">
        <v>20809704.3901614</v>
      </c>
      <c r="E29" s="0" t="n">
        <v>83.4645390191745</v>
      </c>
      <c r="F29" s="0" t="n">
        <v>2359.98213333333</v>
      </c>
      <c r="G29" s="0" t="inlineStr">
        <is>
          <t>预测</t>
        </is>
      </c>
      <c r="H29" s="0" t="inlineStr">
        <is>
          <t>P033</t>
        </is>
      </c>
    </row>
    <row r="30">
      <c r="A30" s="0" t="inlineStr">
        <is>
          <t>GloVe-100</t>
        </is>
      </c>
      <c r="B30" s="0" t="n">
        <v>0.9</v>
      </c>
      <c r="C30" s="0" t="n">
        <v>0.91</v>
      </c>
      <c r="D30" s="0" t="n">
        <v>43285355.1975275</v>
      </c>
      <c r="E30" s="0" t="n">
        <v>132.665777885266</v>
      </c>
      <c r="F30" s="0" t="n">
        <v>4465.42214666667</v>
      </c>
      <c r="G30" s="0" t="inlineStr">
        <is>
          <t>预测</t>
        </is>
      </c>
      <c r="H30" s="0" t="inlineStr">
        <is>
          <t>P034</t>
        </is>
      </c>
    </row>
    <row r="31">
      <c r="A31" s="0" t="inlineStr">
        <is>
          <t>GloVe-100</t>
        </is>
      </c>
      <c r="B31" s="0" t="n">
        <v>0.95</v>
      </c>
      <c r="C31" s="0" t="n">
        <v>0.965</v>
      </c>
      <c r="D31" s="0" t="n">
        <v>89902603.2294644</v>
      </c>
      <c r="E31" s="0" t="n">
        <v>229.680387501358</v>
      </c>
      <c r="F31" s="0" t="n">
        <v>8668.014160000001</v>
      </c>
      <c r="G31" s="0" t="inlineStr">
        <is>
          <t>预测</t>
        </is>
      </c>
      <c r="H31" s="0" t="inlineStr">
        <is>
          <t>P030</t>
        </is>
      </c>
    </row>
    <row r="32">
      <c r="A32" s="0" t="inlineStr">
        <is>
          <t>GloVe-100</t>
        </is>
      </c>
      <c r="B32" s="0" t="n">
        <v>0.97</v>
      </c>
      <c r="C32" s="0" t="n">
        <v>0.98</v>
      </c>
      <c r="D32" s="0" t="n">
        <v>186468992.127748</v>
      </c>
      <c r="E32" s="0" t="n">
        <v>422.32173861745</v>
      </c>
      <c r="F32" s="0" t="n">
        <v>17064.9101733333</v>
      </c>
      <c r="G32" s="0" t="inlineStr">
        <is>
          <t>预测</t>
        </is>
      </c>
      <c r="H32" s="0" t="inlineStr">
        <is>
          <t>P035</t>
        </is>
      </c>
    </row>
    <row r="33">
      <c r="A33" s="0" t="inlineStr">
        <is>
          <t>GloVe-100</t>
        </is>
      </c>
      <c r="B33" s="0" t="n">
        <v>0.98</v>
      </c>
      <c r="C33" s="0" t="n">
        <v>0.98</v>
      </c>
      <c r="D33" s="0" t="n">
        <v>186468992.127748</v>
      </c>
      <c r="E33" s="0" t="n">
        <v>422.32173861745</v>
      </c>
      <c r="F33" s="0" t="n">
        <v>17064.9101733333</v>
      </c>
      <c r="G33" s="0" t="inlineStr">
        <is>
          <t>预测</t>
        </is>
      </c>
      <c r="H33" s="0" t="inlineStr">
        <is>
          <t>P035</t>
        </is>
      </c>
    </row>
    <row r="34">
      <c r="A34" s="0" t="inlineStr">
        <is>
          <t>DEEP1M</t>
        </is>
      </c>
      <c r="B34" s="0" t="n">
        <v>0.6</v>
      </c>
      <c r="C34" s="0" t="n">
        <v>0.78</v>
      </c>
      <c r="D34" s="0" t="n">
        <v>492311.891570983</v>
      </c>
      <c r="E34" s="0" t="n">
        <v>24.3807018416798</v>
      </c>
      <c r="F34" s="0" t="n">
        <v>270.136241666667</v>
      </c>
      <c r="G34" s="0" t="inlineStr">
        <is>
          <t>预测(参考59/60个已验证样本)</t>
        </is>
      </c>
      <c r="H34" s="0" t="inlineStr">
        <is>
          <t>P045</t>
        </is>
      </c>
    </row>
    <row r="35">
      <c r="A35" s="0" t="inlineStr">
        <is>
          <t>DEEP1M</t>
        </is>
      </c>
      <c r="B35" s="0" t="n">
        <v>0.65</v>
      </c>
      <c r="C35" s="0" t="n">
        <v>0.78</v>
      </c>
      <c r="D35" s="0" t="n">
        <v>492311.891570983</v>
      </c>
      <c r="E35" s="0" t="n">
        <v>24.3807018416798</v>
      </c>
      <c r="F35" s="0" t="n">
        <v>270.136241666667</v>
      </c>
      <c r="G35" s="0" t="inlineStr">
        <is>
          <t>预测(参考59/60个已验证样本)</t>
        </is>
      </c>
      <c r="H35" s="0" t="inlineStr">
        <is>
          <t>P045</t>
        </is>
      </c>
    </row>
    <row r="36">
      <c r="A36" s="0" t="inlineStr">
        <is>
          <t>DEEP1M</t>
        </is>
      </c>
      <c r="B36" s="0" t="n">
        <v>0.7</v>
      </c>
      <c r="C36" s="0" t="n">
        <v>0.78</v>
      </c>
      <c r="D36" s="0" t="n">
        <v>492311.891570983</v>
      </c>
      <c r="E36" s="0" t="n">
        <v>24.3807018416798</v>
      </c>
      <c r="F36" s="0" t="n">
        <v>270.136241666667</v>
      </c>
      <c r="G36" s="0" t="inlineStr">
        <is>
          <t>预测(参考59/60个已验证样本)</t>
        </is>
      </c>
      <c r="H36" s="0" t="inlineStr">
        <is>
          <t>P045</t>
        </is>
      </c>
    </row>
    <row r="37">
      <c r="A37" s="0" t="inlineStr">
        <is>
          <t>DEEP1M</t>
        </is>
      </c>
      <c r="B37" s="0" t="n">
        <v>0.75</v>
      </c>
      <c r="C37" s="0" t="n">
        <v>0.78</v>
      </c>
      <c r="D37" s="0" t="n">
        <v>492311.891570983</v>
      </c>
      <c r="E37" s="0" t="n">
        <v>24.3807018416798</v>
      </c>
      <c r="F37" s="0" t="n">
        <v>270.136241666667</v>
      </c>
      <c r="G37" s="0" t="inlineStr">
        <is>
          <t>预测(参考59/60个已验证样本)</t>
        </is>
      </c>
      <c r="H37" s="0" t="inlineStr">
        <is>
          <t>P045</t>
        </is>
      </c>
    </row>
    <row r="38">
      <c r="A38" s="0" t="inlineStr">
        <is>
          <t>DEEP1M</t>
        </is>
      </c>
      <c r="B38" s="0" t="n">
        <v>0.8</v>
      </c>
      <c r="C38" s="0" t="n">
        <v>0.9</v>
      </c>
      <c r="D38" s="0" t="n">
        <v>1090098.64352088</v>
      </c>
      <c r="E38" s="0" t="n">
        <v>32.7137599435589</v>
      </c>
      <c r="F38" s="0" t="n">
        <v>344.33408</v>
      </c>
      <c r="G38" s="0" t="inlineStr">
        <is>
          <t>预测</t>
        </is>
      </c>
      <c r="H38" s="0" t="inlineStr">
        <is>
          <t>P046</t>
        </is>
      </c>
    </row>
    <row r="39">
      <c r="A39" s="0" t="inlineStr">
        <is>
          <t>DEEP1M</t>
        </is>
      </c>
      <c r="B39" s="0" t="n">
        <v>0.85</v>
      </c>
      <c r="C39" s="0" t="n">
        <v>0.9</v>
      </c>
      <c r="D39" s="0" t="n">
        <v>1090098.64352088</v>
      </c>
      <c r="E39" s="0" t="n">
        <v>32.7137599435589</v>
      </c>
      <c r="F39" s="0" t="n">
        <v>344.33408</v>
      </c>
      <c r="G39" s="0" t="inlineStr">
        <is>
          <t>预测</t>
        </is>
      </c>
      <c r="H39" s="0" t="inlineStr">
        <is>
          <t>P046</t>
        </is>
      </c>
    </row>
    <row r="40">
      <c r="A40" s="0" t="inlineStr">
        <is>
          <t>DEEP1M</t>
        </is>
      </c>
      <c r="B40" s="0" t="n">
        <v>0.9</v>
      </c>
      <c r="C40" s="0" t="n">
        <v>0.9</v>
      </c>
      <c r="D40" s="0" t="n">
        <v>1090098.64352088</v>
      </c>
      <c r="E40" s="0" t="n">
        <v>32.7137599435589</v>
      </c>
      <c r="F40" s="0" t="n">
        <v>344.33408</v>
      </c>
      <c r="G40" s="0" t="inlineStr">
        <is>
          <t>预测</t>
        </is>
      </c>
      <c r="H40" s="0" t="inlineStr">
        <is>
          <t>P046</t>
        </is>
      </c>
    </row>
    <row r="41">
      <c r="A41" s="0" t="inlineStr">
        <is>
          <t>DEEP1M</t>
        </is>
      </c>
      <c r="B41" s="0" t="n">
        <v>0.95</v>
      </c>
      <c r="C41" s="0" t="n">
        <v>0.955</v>
      </c>
      <c r="D41" s="0" t="n">
        <v>2284113.60217582</v>
      </c>
      <c r="E41" s="0" t="n">
        <v>37.0899637315258</v>
      </c>
      <c r="F41" s="0" t="n">
        <v>483.694093333333</v>
      </c>
      <c r="G41" s="0" t="inlineStr">
        <is>
          <t>预测</t>
        </is>
      </c>
      <c r="H41" s="0" t="inlineStr">
        <is>
          <t>P044</t>
        </is>
      </c>
    </row>
    <row r="42">
      <c r="A42" s="0" t="inlineStr">
        <is>
          <t>DEEP1M</t>
        </is>
      </c>
      <c r="B42" s="0" t="n">
        <v>0.97</v>
      </c>
      <c r="C42" s="0" t="n">
        <v>0.98</v>
      </c>
      <c r="D42" s="0" t="n">
        <v>9967784.92977575</v>
      </c>
      <c r="E42" s="0" t="n">
        <v>57.7957139949596</v>
      </c>
      <c r="F42" s="0" t="n">
        <v>1286.70212</v>
      </c>
      <c r="G42" s="0" t="inlineStr">
        <is>
          <t>预测</t>
        </is>
      </c>
      <c r="H42" s="0" t="inlineStr">
        <is>
          <t>P047</t>
        </is>
      </c>
    </row>
    <row r="43">
      <c r="A43" s="0" t="inlineStr">
        <is>
          <t>DEEP1M</t>
        </is>
      </c>
      <c r="B43" s="0" t="n">
        <v>0.98</v>
      </c>
      <c r="C43" s="0" t="n">
        <v>0.98</v>
      </c>
      <c r="D43" s="0" t="n">
        <v>9967784.92977575</v>
      </c>
      <c r="E43" s="0" t="n">
        <v>57.7957139949596</v>
      </c>
      <c r="F43" s="0" t="n">
        <v>1286.70212</v>
      </c>
      <c r="G43" s="0" t="inlineStr">
        <is>
          <t>预测</t>
        </is>
      </c>
      <c r="H43" s="0" t="inlineStr">
        <is>
          <t>P047</t>
        </is>
      </c>
    </row>
  </sheetData>
  <pageMargins left="0.75" right="0.75" top="1" bottom="1" header="0.5" footer="0.5"/>
  <drawing xmlns:r="http://schemas.openxmlformats.org/officeDocument/2006/relationships" r:id="rId1"/>
</worksheet>
</file>

<file path=xl/worksheets/sheet44.xml><?xml version="1.0" encoding="utf-8"?>
<worksheet xmlns="http://schemas.openxmlformats.org/spreadsheetml/2006/main">
  <sheetPr>
    <outlinePr summaryBelow="1" summaryRight="1"/>
    <pageSetUpPr/>
  </sheetPr>
  <dimension ref="A1:G265"/>
  <sheetViews>
    <sheetView workbookViewId="0">
      <selection activeCell="A1" sqref="A1"/>
    </sheetView>
  </sheetViews>
  <sheetFormatPr baseColWidth="8" defaultColWidth="9" defaultRowHeight="13.5"/>
  <sheetData>
    <row r="1">
      <c r="A1" s="0" t="inlineStr">
        <is>
          <t>Dataset/sheet</t>
        </is>
      </c>
      <c r="B1" s="0" t="inlineStr">
        <is>
          <t>Cell</t>
        </is>
      </c>
      <c r="C1" s="0" t="inlineStr">
        <is>
          <t>Metric</t>
        </is>
      </c>
      <c r="D1" s="0" t="inlineStr">
        <is>
          <t>Before</t>
        </is>
      </c>
      <c r="E1" s="0" t="inlineStr">
        <is>
          <t>After</t>
        </is>
      </c>
      <c r="F1" s="0" t="inlineStr">
        <is>
          <t>Ratio</t>
        </is>
      </c>
      <c r="G1" s="0" t="inlineStr">
        <is>
          <t>Status</t>
        </is>
      </c>
    </row>
    <row r="2">
      <c r="A2" s="0" t="inlineStr">
        <is>
          <t>SIFT1M</t>
        </is>
      </c>
      <c r="B2" s="0" t="inlineStr">
        <is>
          <t>F12</t>
        </is>
      </c>
      <c r="C2" s="0" t="inlineStr">
        <is>
          <t>query_ms</t>
        </is>
      </c>
      <c r="D2" s="0" t="n">
        <v>4521750.03094413</v>
      </c>
      <c r="E2" s="0" t="n">
        <v>4698016.11967277</v>
      </c>
      <c r="F2" s="0" t="n">
        <v>1.03898182949574</v>
      </c>
      <c r="G2" s="0" t="inlineStr">
        <is>
          <t>预测</t>
        </is>
      </c>
    </row>
    <row r="3">
      <c r="A3" s="0" t="inlineStr">
        <is>
          <t>SIFT1M</t>
        </is>
      </c>
      <c r="B3" s="0" t="inlineStr">
        <is>
          <t>G12</t>
        </is>
      </c>
      <c r="C3" s="0" t="inlineStr">
        <is>
          <t>vo_kb</t>
        </is>
      </c>
      <c r="D3" s="0" t="n">
        <v>492.238106666667</v>
      </c>
      <c r="E3" s="0" t="n">
        <v>492.238106666667</v>
      </c>
      <c r="F3" s="0" t="n">
        <v>0.999999999999999</v>
      </c>
      <c r="G3" s="0" t="inlineStr">
        <is>
          <t>预测</t>
        </is>
      </c>
    </row>
    <row r="4">
      <c r="A4" s="0" t="inlineStr">
        <is>
          <t>SIFT1M</t>
        </is>
      </c>
      <c r="B4" s="0" t="inlineStr">
        <is>
          <t>H12</t>
        </is>
      </c>
      <c r="C4" s="0" t="inlineStr">
        <is>
          <t>verify_ms</t>
        </is>
      </c>
      <c r="D4" s="0" t="n">
        <v>38.7139515058298</v>
      </c>
      <c r="E4" s="0" t="n">
        <v>38.4836684407268</v>
      </c>
      <c r="F4" s="0" t="n">
        <v>0.9940516775956511</v>
      </c>
      <c r="G4" s="0" t="inlineStr">
        <is>
          <t>预测</t>
        </is>
      </c>
    </row>
    <row r="5">
      <c r="A5" s="0" t="inlineStr">
        <is>
          <t>SIFT1M</t>
        </is>
      </c>
      <c r="B5" s="0" t="inlineStr">
        <is>
          <t>G135</t>
        </is>
      </c>
      <c r="C5" s="0" t="inlineStr">
        <is>
          <t>query_ms</t>
        </is>
      </c>
      <c r="D5" s="0" t="n">
        <v>4521750.03094413</v>
      </c>
      <c r="E5" s="0" t="n">
        <v>4698016.11967277</v>
      </c>
      <c r="F5" s="0" t="n">
        <v>1.03898182949574</v>
      </c>
      <c r="G5" s="0" t="inlineStr">
        <is>
          <t>预测</t>
        </is>
      </c>
    </row>
    <row r="6">
      <c r="A6" s="0" t="inlineStr">
        <is>
          <t>SIFT1M</t>
        </is>
      </c>
      <c r="B6" s="0" t="inlineStr">
        <is>
          <t>H135</t>
        </is>
      </c>
      <c r="C6" s="0" t="inlineStr">
        <is>
          <t>vo_kb</t>
        </is>
      </c>
      <c r="D6" s="0" t="n">
        <v>492.238106666667</v>
      </c>
      <c r="E6" s="0" t="n">
        <v>492.238106666667</v>
      </c>
      <c r="F6" s="0" t="n">
        <v>0.999999999999999</v>
      </c>
      <c r="G6" s="0" t="inlineStr">
        <is>
          <t>预测</t>
        </is>
      </c>
    </row>
    <row r="7">
      <c r="A7" s="0" t="inlineStr">
        <is>
          <t>SIFT1M</t>
        </is>
      </c>
      <c r="B7" s="0" t="inlineStr">
        <is>
          <t>I135</t>
        </is>
      </c>
      <c r="C7" s="0" t="inlineStr">
        <is>
          <t>verify_ms</t>
        </is>
      </c>
      <c r="D7" s="0" t="n">
        <v>38.7139515058298</v>
      </c>
      <c r="E7" s="0" t="n">
        <v>38.4836684407268</v>
      </c>
      <c r="F7" s="0" t="n">
        <v>0.9940516775956511</v>
      </c>
      <c r="G7" s="0" t="inlineStr">
        <is>
          <t>预测</t>
        </is>
      </c>
    </row>
    <row r="8">
      <c r="A8" s="0" t="inlineStr">
        <is>
          <t>SIFT1M</t>
        </is>
      </c>
      <c r="B8" s="0" t="inlineStr">
        <is>
          <t>F27</t>
        </is>
      </c>
      <c r="C8" s="0" t="inlineStr">
        <is>
          <t>vo_kb</t>
        </is>
      </c>
      <c r="D8" s="0" t="n">
        <v>238.054633333333</v>
      </c>
      <c r="E8" s="0" t="n">
        <v>238.054633333333</v>
      </c>
      <c r="F8" s="0" t="n">
        <v>1</v>
      </c>
      <c r="G8" s="0" t="inlineStr">
        <is>
          <t>实测20x3</t>
        </is>
      </c>
    </row>
    <row r="9">
      <c r="A9" s="0" t="inlineStr">
        <is>
          <t>SIFT1M</t>
        </is>
      </c>
      <c r="B9" s="0" t="inlineStr">
        <is>
          <t>F39</t>
        </is>
      </c>
      <c r="C9" s="0" t="inlineStr">
        <is>
          <t>verify_ms</t>
        </is>
      </c>
      <c r="D9" s="0" t="n">
        <v>29.0904766666699</v>
      </c>
      <c r="E9" s="0" t="n">
        <v>29.0904766666699</v>
      </c>
      <c r="F9" s="0" t="n">
        <v>1</v>
      </c>
      <c r="G9" s="0" t="inlineStr">
        <is>
          <t>实测20x3</t>
        </is>
      </c>
    </row>
    <row r="10">
      <c r="A10" s="0" t="inlineStr">
        <is>
          <t>SIFT1M</t>
        </is>
      </c>
      <c r="B10" s="0" t="inlineStr">
        <is>
          <t>F51</t>
        </is>
      </c>
      <c r="C10" s="0" t="inlineStr">
        <is>
          <t>query_ms</t>
        </is>
      </c>
      <c r="D10" s="0" t="n">
        <v>498279.313743133</v>
      </c>
      <c r="E10" s="0" t="n">
        <v>498279.313743133</v>
      </c>
      <c r="F10" s="0" t="n">
        <v>1</v>
      </c>
      <c r="G10" s="0" t="inlineStr">
        <is>
          <t>实测20x3</t>
        </is>
      </c>
    </row>
    <row r="11">
      <c r="A11" s="0" t="inlineStr">
        <is>
          <t>SIFT1M</t>
        </is>
      </c>
      <c r="B11" s="0" t="inlineStr">
        <is>
          <t>G27</t>
        </is>
      </c>
      <c r="C11" s="0" t="inlineStr">
        <is>
          <t>vo_kb</t>
        </is>
      </c>
      <c r="D11" s="0" t="n">
        <v>238.054633333333</v>
      </c>
      <c r="E11" s="0" t="n">
        <v>238.054633333333</v>
      </c>
      <c r="F11" s="0" t="n">
        <v>1</v>
      </c>
      <c r="G11" s="0" t="inlineStr">
        <is>
          <t>实测20x3</t>
        </is>
      </c>
    </row>
    <row r="12">
      <c r="A12" s="0" t="inlineStr">
        <is>
          <t>SIFT1M</t>
        </is>
      </c>
      <c r="B12" s="0" t="inlineStr">
        <is>
          <t>G39</t>
        </is>
      </c>
      <c r="C12" s="0" t="inlineStr">
        <is>
          <t>verify_ms</t>
        </is>
      </c>
      <c r="D12" s="0" t="n">
        <v>29.0904766666699</v>
      </c>
      <c r="E12" s="0" t="n">
        <v>29.0904766666699</v>
      </c>
      <c r="F12" s="0" t="n">
        <v>1</v>
      </c>
      <c r="G12" s="0" t="inlineStr">
        <is>
          <t>实测20x3</t>
        </is>
      </c>
    </row>
    <row r="13">
      <c r="A13" s="0" t="inlineStr">
        <is>
          <t>SIFT1M</t>
        </is>
      </c>
      <c r="B13" s="0" t="inlineStr">
        <is>
          <t>G51</t>
        </is>
      </c>
      <c r="C13" s="0" t="inlineStr">
        <is>
          <t>query_ms</t>
        </is>
      </c>
      <c r="D13" s="0" t="n">
        <v>498279.313743133</v>
      </c>
      <c r="E13" s="0" t="n">
        <v>498279.313743133</v>
      </c>
      <c r="F13" s="0" t="n">
        <v>1</v>
      </c>
      <c r="G13" s="0" t="inlineStr">
        <is>
          <t>实测20x3</t>
        </is>
      </c>
    </row>
    <row r="14">
      <c r="A14" s="0" t="inlineStr">
        <is>
          <t>SIFT1M</t>
        </is>
      </c>
      <c r="B14" s="0" t="inlineStr">
        <is>
          <t>H27</t>
        </is>
      </c>
      <c r="C14" s="0" t="inlineStr">
        <is>
          <t>vo_kb</t>
        </is>
      </c>
      <c r="D14" s="0" t="n">
        <v>238.054633333333</v>
      </c>
      <c r="E14" s="0" t="n">
        <v>238.054633333333</v>
      </c>
      <c r="F14" s="0" t="n">
        <v>1</v>
      </c>
      <c r="G14" s="0" t="inlineStr">
        <is>
          <t>实测20x3</t>
        </is>
      </c>
    </row>
    <row r="15">
      <c r="A15" s="0" t="inlineStr">
        <is>
          <t>SIFT1M</t>
        </is>
      </c>
      <c r="B15" s="0" t="inlineStr">
        <is>
          <t>H39</t>
        </is>
      </c>
      <c r="C15" s="0" t="inlineStr">
        <is>
          <t>verify_ms</t>
        </is>
      </c>
      <c r="D15" s="0" t="n">
        <v>29.0904766666699</v>
      </c>
      <c r="E15" s="0" t="n">
        <v>29.0904766666699</v>
      </c>
      <c r="F15" s="0" t="n">
        <v>1</v>
      </c>
      <c r="G15" s="0" t="inlineStr">
        <is>
          <t>实测20x3</t>
        </is>
      </c>
    </row>
    <row r="16">
      <c r="A16" s="0" t="inlineStr">
        <is>
          <t>SIFT1M</t>
        </is>
      </c>
      <c r="B16" s="0" t="inlineStr">
        <is>
          <t>H51</t>
        </is>
      </c>
      <c r="C16" s="0" t="inlineStr">
        <is>
          <t>query_ms</t>
        </is>
      </c>
      <c r="D16" s="0" t="n">
        <v>498279.313743133</v>
      </c>
      <c r="E16" s="0" t="n">
        <v>498279.313743133</v>
      </c>
      <c r="F16" s="0" t="n">
        <v>1</v>
      </c>
      <c r="G16" s="0" t="inlineStr">
        <is>
          <t>实测20x3</t>
        </is>
      </c>
    </row>
    <row r="17">
      <c r="A17" s="0" t="inlineStr">
        <is>
          <t>SIFT1M</t>
        </is>
      </c>
      <c r="B17" s="0" t="inlineStr">
        <is>
          <t>I27</t>
        </is>
      </c>
      <c r="C17" s="0" t="inlineStr">
        <is>
          <t>vo_kb</t>
        </is>
      </c>
      <c r="D17" s="0" t="n">
        <v>279.05408</v>
      </c>
      <c r="E17" s="0" t="n">
        <v>279.05408</v>
      </c>
      <c r="F17" s="0" t="n">
        <v>1</v>
      </c>
      <c r="G17" s="0" t="inlineStr">
        <is>
          <t>预测</t>
        </is>
      </c>
    </row>
    <row r="18">
      <c r="A18" s="0" t="inlineStr">
        <is>
          <t>SIFT1M</t>
        </is>
      </c>
      <c r="B18" s="0" t="inlineStr">
        <is>
          <t>I39</t>
        </is>
      </c>
      <c r="C18" s="0" t="inlineStr">
        <is>
          <t>verify_ms</t>
        </is>
      </c>
      <c r="D18" s="0" t="n">
        <v>31.2565823630566</v>
      </c>
      <c r="E18" s="0" t="n">
        <v>31.2254287007305</v>
      </c>
      <c r="F18" s="0" t="n">
        <v>0.999003292747614</v>
      </c>
      <c r="G18" s="0" t="inlineStr">
        <is>
          <t>预测</t>
        </is>
      </c>
    </row>
    <row r="19">
      <c r="A19" s="0" t="inlineStr">
        <is>
          <t>SIFT1M</t>
        </is>
      </c>
      <c r="B19" s="0" t="inlineStr">
        <is>
          <t>I51</t>
        </is>
      </c>
      <c r="C19" s="0" t="inlineStr">
        <is>
          <t>query_ms</t>
        </is>
      </c>
      <c r="D19" s="0" t="n">
        <v>1031996.4373881</v>
      </c>
      <c r="E19" s="0" t="n">
        <v>1072230.40231401</v>
      </c>
      <c r="F19" s="0" t="n">
        <v>1.03898653470911</v>
      </c>
      <c r="G19" s="0" t="inlineStr">
        <is>
          <t>预测</t>
        </is>
      </c>
    </row>
    <row r="20">
      <c r="A20" s="0" t="inlineStr">
        <is>
          <t>SIFT1M</t>
        </is>
      </c>
      <c r="B20" s="0" t="inlineStr">
        <is>
          <t>J27</t>
        </is>
      </c>
      <c r="C20" s="0" t="inlineStr">
        <is>
          <t>vo_kb</t>
        </is>
      </c>
      <c r="D20" s="0" t="n">
        <v>279.05408</v>
      </c>
      <c r="E20" s="0" t="n">
        <v>279.05408</v>
      </c>
      <c r="F20" s="0" t="n">
        <v>1</v>
      </c>
      <c r="G20" s="0" t="inlineStr">
        <is>
          <t>预测</t>
        </is>
      </c>
    </row>
    <row r="21">
      <c r="A21" s="0" t="inlineStr">
        <is>
          <t>SIFT1M</t>
        </is>
      </c>
      <c r="B21" s="0" t="inlineStr">
        <is>
          <t>J39</t>
        </is>
      </c>
      <c r="C21" s="0" t="inlineStr">
        <is>
          <t>verify_ms</t>
        </is>
      </c>
      <c r="D21" s="0" t="n">
        <v>31.2565823630566</v>
      </c>
      <c r="E21" s="0" t="n">
        <v>31.2254287007305</v>
      </c>
      <c r="F21" s="0" t="n">
        <v>0.999003292747614</v>
      </c>
      <c r="G21" s="0" t="inlineStr">
        <is>
          <t>预测</t>
        </is>
      </c>
    </row>
    <row r="22">
      <c r="A22" s="0" t="inlineStr">
        <is>
          <t>SIFT1M</t>
        </is>
      </c>
      <c r="B22" s="0" t="inlineStr">
        <is>
          <t>J51</t>
        </is>
      </c>
      <c r="C22" s="0" t="inlineStr">
        <is>
          <t>query_ms</t>
        </is>
      </c>
      <c r="D22" s="0" t="n">
        <v>1031996.4373881</v>
      </c>
      <c r="E22" s="0" t="n">
        <v>1072230.40231401</v>
      </c>
      <c r="F22" s="0" t="n">
        <v>1.03898653470911</v>
      </c>
      <c r="G22" s="0" t="inlineStr">
        <is>
          <t>预测</t>
        </is>
      </c>
    </row>
    <row r="23">
      <c r="A23" s="0" t="inlineStr">
        <is>
          <t>SIFT1M</t>
        </is>
      </c>
      <c r="B23" s="0" t="inlineStr">
        <is>
          <t>K27</t>
        </is>
      </c>
      <c r="C23" s="0" t="inlineStr">
        <is>
          <t>vo_kb</t>
        </is>
      </c>
      <c r="D23" s="0" t="n">
        <v>279.05408</v>
      </c>
      <c r="E23" s="0" t="n">
        <v>279.05408</v>
      </c>
      <c r="F23" s="0" t="n">
        <v>1</v>
      </c>
      <c r="G23" s="0" t="inlineStr">
        <is>
          <t>预测</t>
        </is>
      </c>
    </row>
    <row r="24">
      <c r="A24" s="0" t="inlineStr">
        <is>
          <t>SIFT1M</t>
        </is>
      </c>
      <c r="B24" s="0" t="inlineStr">
        <is>
          <t>K39</t>
        </is>
      </c>
      <c r="C24" s="0" t="inlineStr">
        <is>
          <t>verify_ms</t>
        </is>
      </c>
      <c r="D24" s="0" t="n">
        <v>31.2565823630566</v>
      </c>
      <c r="E24" s="0" t="n">
        <v>31.2254287007305</v>
      </c>
      <c r="F24" s="0" t="n">
        <v>0.999003292747614</v>
      </c>
      <c r="G24" s="0" t="inlineStr">
        <is>
          <t>预测</t>
        </is>
      </c>
    </row>
    <row r="25">
      <c r="A25" s="0" t="inlineStr">
        <is>
          <t>SIFT1M</t>
        </is>
      </c>
      <c r="B25" s="0" t="inlineStr">
        <is>
          <t>K51</t>
        </is>
      </c>
      <c r="C25" s="0" t="inlineStr">
        <is>
          <t>query_ms</t>
        </is>
      </c>
      <c r="D25" s="0" t="n">
        <v>1031996.4373881</v>
      </c>
      <c r="E25" s="0" t="n">
        <v>1072230.40231401</v>
      </c>
      <c r="F25" s="0" t="n">
        <v>1.03898653470911</v>
      </c>
      <c r="G25" s="0" t="inlineStr">
        <is>
          <t>预测</t>
        </is>
      </c>
    </row>
    <row r="26">
      <c r="A26" s="0" t="inlineStr">
        <is>
          <t>SIFT1M</t>
        </is>
      </c>
      <c r="B26" s="0" t="inlineStr">
        <is>
          <t>L27</t>
        </is>
      </c>
      <c r="C26" s="0" t="inlineStr">
        <is>
          <t>vo_kb</t>
        </is>
      </c>
      <c r="D26" s="0" t="n">
        <v>352.878093333333</v>
      </c>
      <c r="E26" s="0" t="n">
        <v>352.878093333333</v>
      </c>
      <c r="F26" s="0" t="n">
        <v>1</v>
      </c>
      <c r="G26" s="0" t="inlineStr">
        <is>
          <t>预测</t>
        </is>
      </c>
    </row>
    <row r="27">
      <c r="A27" s="0" t="inlineStr">
        <is>
          <t>SIFT1M</t>
        </is>
      </c>
      <c r="B27" s="0" t="inlineStr">
        <is>
          <t>L39</t>
        </is>
      </c>
      <c r="C27" s="0" t="inlineStr">
        <is>
          <t>verify_ms</t>
        </is>
      </c>
      <c r="D27" s="0" t="n">
        <v>34.2039774969432</v>
      </c>
      <c r="E27" s="0" t="n">
        <v>34.1074646527599</v>
      </c>
      <c r="F27" s="0" t="n">
        <v>0.997178315177178</v>
      </c>
      <c r="G27" s="0" t="inlineStr">
        <is>
          <t>预测</t>
        </is>
      </c>
    </row>
    <row r="28">
      <c r="A28" s="0" t="inlineStr">
        <is>
          <t>SIFT1M</t>
        </is>
      </c>
      <c r="B28" s="0" t="inlineStr">
        <is>
          <t>L51</t>
        </is>
      </c>
      <c r="C28" s="0" t="inlineStr">
        <is>
          <t>query_ms</t>
        </is>
      </c>
      <c r="D28" s="0" t="n">
        <v>2162433.94512413</v>
      </c>
      <c r="E28" s="0" t="n">
        <v>2246734.4322322</v>
      </c>
      <c r="F28" s="0" t="n">
        <v>1.03898407500407</v>
      </c>
      <c r="G28" s="0" t="inlineStr">
        <is>
          <t>预测</t>
        </is>
      </c>
    </row>
    <row r="29">
      <c r="A29" s="0" t="inlineStr">
        <is>
          <t>SIFT1M</t>
        </is>
      </c>
      <c r="B29" s="0" t="inlineStr">
        <is>
          <t>M27</t>
        </is>
      </c>
      <c r="C29" s="0" t="inlineStr">
        <is>
          <t>vo_kb</t>
        </is>
      </c>
      <c r="D29" s="0" t="n">
        <v>492.238106666667</v>
      </c>
      <c r="E29" s="0" t="n">
        <v>492.238106666667</v>
      </c>
      <c r="F29" s="0" t="n">
        <v>0.999999999999999</v>
      </c>
      <c r="G29" s="0" t="inlineStr">
        <is>
          <t>预测</t>
        </is>
      </c>
    </row>
    <row r="30">
      <c r="A30" s="0" t="inlineStr">
        <is>
          <t>SIFT1M</t>
        </is>
      </c>
      <c r="B30" s="0" t="inlineStr">
        <is>
          <t>M39</t>
        </is>
      </c>
      <c r="C30" s="0" t="inlineStr">
        <is>
          <t>verify_ms</t>
        </is>
      </c>
      <c r="D30" s="0" t="n">
        <v>38.7139515058298</v>
      </c>
      <c r="E30" s="0" t="n">
        <v>38.4836684407268</v>
      </c>
      <c r="F30" s="0" t="n">
        <v>0.9940516775956511</v>
      </c>
      <c r="G30" s="0" t="inlineStr">
        <is>
          <t>预测</t>
        </is>
      </c>
    </row>
    <row r="31">
      <c r="A31" s="0" t="inlineStr">
        <is>
          <t>SIFT1M</t>
        </is>
      </c>
      <c r="B31" s="0" t="inlineStr">
        <is>
          <t>M51</t>
        </is>
      </c>
      <c r="C31" s="0" t="inlineStr">
        <is>
          <t>query_ms</t>
        </is>
      </c>
      <c r="D31" s="0" t="n">
        <v>4521750.03094413</v>
      </c>
      <c r="E31" s="0" t="n">
        <v>4698016.11967277</v>
      </c>
      <c r="F31" s="0" t="n">
        <v>1.03898182949574</v>
      </c>
      <c r="G31" s="0" t="inlineStr">
        <is>
          <t>预测</t>
        </is>
      </c>
    </row>
    <row r="32">
      <c r="A32" s="0" t="inlineStr">
        <is>
          <t>SIFT1M</t>
        </is>
      </c>
      <c r="B32" s="0" t="inlineStr">
        <is>
          <t>N27</t>
        </is>
      </c>
      <c r="C32" s="0" t="inlineStr">
        <is>
          <t>vo_kb</t>
        </is>
      </c>
      <c r="D32" s="0" t="n">
        <v>762.67012</v>
      </c>
      <c r="E32" s="0" t="n">
        <v>762.67012</v>
      </c>
      <c r="F32" s="0" t="n">
        <v>1</v>
      </c>
      <c r="G32" s="0" t="inlineStr">
        <is>
          <t>预测</t>
        </is>
      </c>
    </row>
    <row r="33">
      <c r="A33" s="0" t="inlineStr">
        <is>
          <t>SIFT1M</t>
        </is>
      </c>
      <c r="B33" s="0" t="inlineStr">
        <is>
          <t>N39</t>
        </is>
      </c>
      <c r="C33" s="0" t="inlineStr">
        <is>
          <t>verify_ms</t>
        </is>
      </c>
      <c r="D33" s="0" t="n">
        <v>46.3490832647164</v>
      </c>
      <c r="E33" s="0" t="n">
        <v>45.8482079005687</v>
      </c>
      <c r="F33" s="0" t="n">
        <v>0.989193413787992</v>
      </c>
      <c r="G33" s="0" t="inlineStr">
        <is>
          <t>预测</t>
        </is>
      </c>
    </row>
    <row r="34">
      <c r="A34" s="0" t="inlineStr">
        <is>
          <t>SIFT1M</t>
        </is>
      </c>
      <c r="B34" s="0" t="inlineStr">
        <is>
          <t>N51</t>
        </is>
      </c>
      <c r="C34" s="0" t="inlineStr">
        <is>
          <t>query_ms</t>
        </is>
      </c>
      <c r="D34" s="0" t="n">
        <v>9437264.343279989</v>
      </c>
      <c r="E34" s="0" t="n">
        <v>9805126.74976225</v>
      </c>
      <c r="F34" s="0" t="n">
        <v>1.03897977137243</v>
      </c>
      <c r="G34" s="0" t="inlineStr">
        <is>
          <t>预测</t>
        </is>
      </c>
    </row>
    <row r="35">
      <c r="A35" s="0" t="inlineStr">
        <is>
          <t>SIFT1M</t>
        </is>
      </c>
      <c r="B35" s="0" t="inlineStr">
        <is>
          <t>O27</t>
        </is>
      </c>
      <c r="C35" s="0" t="inlineStr">
        <is>
          <t>vo_kb</t>
        </is>
      </c>
      <c r="D35" s="0" t="n">
        <v>762.67012</v>
      </c>
      <c r="E35" s="0" t="n">
        <v>762.67012</v>
      </c>
      <c r="F35" s="0" t="n">
        <v>1</v>
      </c>
      <c r="G35" s="0" t="inlineStr">
        <is>
          <t>预测</t>
        </is>
      </c>
    </row>
    <row r="36">
      <c r="A36" s="0" t="inlineStr">
        <is>
          <t>SIFT1M</t>
        </is>
      </c>
      <c r="B36" s="0" t="inlineStr">
        <is>
          <t>O39</t>
        </is>
      </c>
      <c r="C36" s="0" t="inlineStr">
        <is>
          <t>verify_ms</t>
        </is>
      </c>
      <c r="D36" s="0" t="n">
        <v>46.3490832647164</v>
      </c>
      <c r="E36" s="0" t="n">
        <v>45.8482079005687</v>
      </c>
      <c r="F36" s="0" t="n">
        <v>0.989193413787992</v>
      </c>
      <c r="G36" s="0" t="inlineStr">
        <is>
          <t>预测</t>
        </is>
      </c>
    </row>
    <row r="37">
      <c r="A37" s="0" t="inlineStr">
        <is>
          <t>SIFT1M</t>
        </is>
      </c>
      <c r="B37" s="0" t="inlineStr">
        <is>
          <t>O51</t>
        </is>
      </c>
      <c r="C37" s="0" t="inlineStr">
        <is>
          <t>query_ms</t>
        </is>
      </c>
      <c r="D37" s="0" t="n">
        <v>9437264.343279989</v>
      </c>
      <c r="E37" s="0" t="n">
        <v>9805126.74976225</v>
      </c>
      <c r="F37" s="0" t="n">
        <v>1.03897977137243</v>
      </c>
      <c r="G37" s="0" t="inlineStr">
        <is>
          <t>预测</t>
        </is>
      </c>
    </row>
    <row r="38">
      <c r="A38" s="0" t="inlineStr">
        <is>
          <t>SIFT1M</t>
        </is>
      </c>
      <c r="B38" s="0" t="inlineStr">
        <is>
          <t>P27</t>
        </is>
      </c>
      <c r="C38" s="0" t="inlineStr">
        <is>
          <t>vo_kb</t>
        </is>
      </c>
      <c r="D38" s="0" t="n">
        <v>1295.24613333333</v>
      </c>
      <c r="E38" s="0" t="n">
        <v>1295.24613333333</v>
      </c>
      <c r="F38" s="0" t="n">
        <v>1</v>
      </c>
      <c r="G38" s="0" t="inlineStr">
        <is>
          <t>预测</t>
        </is>
      </c>
    </row>
    <row r="39">
      <c r="A39" s="0" t="inlineStr">
        <is>
          <t>SIFT1M</t>
        </is>
      </c>
      <c r="B39" s="0" t="inlineStr">
        <is>
          <t>P39</t>
        </is>
      </c>
      <c r="C39" s="0" t="inlineStr">
        <is>
          <t>verify_ms</t>
        </is>
      </c>
      <c r="D39" s="0" t="n">
        <v>60.2345305236031</v>
      </c>
      <c r="E39" s="0" t="n">
        <v>59.1894187041606</v>
      </c>
      <c r="F39" s="0" t="n">
        <v>0.982649290857625</v>
      </c>
      <c r="G39" s="0" t="inlineStr">
        <is>
          <t>预测</t>
        </is>
      </c>
    </row>
    <row r="40">
      <c r="A40" s="0" t="inlineStr">
        <is>
          <t>SIFT1M</t>
        </is>
      </c>
      <c r="B40" s="0" t="inlineStr">
        <is>
          <t>P51</t>
        </is>
      </c>
      <c r="C40" s="0" t="inlineStr">
        <is>
          <t>query_ms</t>
        </is>
      </c>
      <c r="D40" s="0" t="n">
        <v>19662057.2493435</v>
      </c>
      <c r="E40" s="0" t="n">
        <v>20428442.5203579</v>
      </c>
      <c r="F40" s="0" t="n">
        <v>1.03897787811802</v>
      </c>
      <c r="G40" s="0" t="inlineStr">
        <is>
          <t>预测</t>
        </is>
      </c>
    </row>
    <row r="41">
      <c r="A41" s="0" t="inlineStr">
        <is>
          <t>SIFT1M</t>
        </is>
      </c>
      <c r="B41" s="0" t="inlineStr">
        <is>
          <t>F97</t>
        </is>
      </c>
      <c r="C41" s="0" t="inlineStr">
        <is>
          <t>vo_kb</t>
        </is>
      </c>
      <c r="D41" s="0" t="n">
        <v>492.166106666667</v>
      </c>
      <c r="E41" s="0" t="n">
        <v>492.166106666667</v>
      </c>
      <c r="F41" s="0" t="n">
        <v>0.999999999999999</v>
      </c>
      <c r="G41" s="0" t="inlineStr">
        <is>
          <t>预测</t>
        </is>
      </c>
    </row>
    <row r="42">
      <c r="A42" s="0" t="inlineStr">
        <is>
          <t>SIFT1M</t>
        </is>
      </c>
      <c r="B42" s="0" t="inlineStr">
        <is>
          <t>F108</t>
        </is>
      </c>
      <c r="C42" s="0" t="inlineStr">
        <is>
          <t>verify_ms</t>
        </is>
      </c>
      <c r="D42" s="0" t="n">
        <v>38.7122348054056</v>
      </c>
      <c r="E42" s="0" t="n">
        <v>38.4820268989149</v>
      </c>
      <c r="F42" s="0" t="n">
        <v>0.994053355285534</v>
      </c>
      <c r="G42" s="0" t="inlineStr">
        <is>
          <t>预测</t>
        </is>
      </c>
    </row>
    <row r="43">
      <c r="A43" s="0" t="inlineStr">
        <is>
          <t>SIFT1M</t>
        </is>
      </c>
      <c r="B43" s="0" t="inlineStr">
        <is>
          <t>F118</t>
        </is>
      </c>
      <c r="C43" s="0" t="inlineStr">
        <is>
          <t>query_ms</t>
        </is>
      </c>
      <c r="D43" s="0" t="n">
        <v>4521750.03094413</v>
      </c>
      <c r="E43" s="0" t="n">
        <v>4698016.11967277</v>
      </c>
      <c r="F43" s="0" t="n">
        <v>1.03898182949574</v>
      </c>
      <c r="G43" s="0" t="inlineStr">
        <is>
          <t>预测</t>
        </is>
      </c>
    </row>
    <row r="44">
      <c r="A44" s="0" t="inlineStr">
        <is>
          <t>SIFT1M</t>
        </is>
      </c>
      <c r="B44" s="0" t="inlineStr">
        <is>
          <t>G97</t>
        </is>
      </c>
      <c r="C44" s="0" t="inlineStr">
        <is>
          <t>vo_kb</t>
        </is>
      </c>
      <c r="D44" s="0" t="n">
        <v>492.198106666667</v>
      </c>
      <c r="E44" s="0" t="n">
        <v>492.198106666667</v>
      </c>
      <c r="F44" s="0" t="n">
        <v>0.999999999999999</v>
      </c>
      <c r="G44" s="0" t="inlineStr">
        <is>
          <t>预测</t>
        </is>
      </c>
    </row>
    <row r="45">
      <c r="A45" s="0" t="inlineStr">
        <is>
          <t>SIFT1M</t>
        </is>
      </c>
      <c r="B45" s="0" t="inlineStr">
        <is>
          <t>G108</t>
        </is>
      </c>
      <c r="C45" s="0" t="inlineStr">
        <is>
          <t>verify_ms</t>
        </is>
      </c>
      <c r="D45" s="0" t="n">
        <v>38.7129977833719</v>
      </c>
      <c r="E45" s="0" t="n">
        <v>38.4827564730535</v>
      </c>
      <c r="F45" s="0" t="n">
        <v>0.994052609627217</v>
      </c>
      <c r="G45" s="0" t="inlineStr">
        <is>
          <t>预测</t>
        </is>
      </c>
    </row>
    <row r="46">
      <c r="A46" s="0" t="inlineStr">
        <is>
          <t>SIFT1M</t>
        </is>
      </c>
      <c r="B46" s="0" t="inlineStr">
        <is>
          <t>G118</t>
        </is>
      </c>
      <c r="C46" s="0" t="inlineStr">
        <is>
          <t>query_ms</t>
        </is>
      </c>
      <c r="D46" s="0" t="n">
        <v>4521750.03094413</v>
      </c>
      <c r="E46" s="0" t="n">
        <v>4698016.11967277</v>
      </c>
      <c r="F46" s="0" t="n">
        <v>1.03898182949574</v>
      </c>
      <c r="G46" s="0" t="inlineStr">
        <is>
          <t>预测</t>
        </is>
      </c>
    </row>
    <row r="47">
      <c r="A47" s="0" t="inlineStr">
        <is>
          <t>SIFT1M</t>
        </is>
      </c>
      <c r="B47" s="0" t="inlineStr">
        <is>
          <t>H97</t>
        </is>
      </c>
      <c r="C47" s="0" t="inlineStr">
        <is>
          <t>vo_kb</t>
        </is>
      </c>
      <c r="D47" s="0" t="n">
        <v>492.238106666667</v>
      </c>
      <c r="E47" s="0" t="n">
        <v>492.238106666667</v>
      </c>
      <c r="F47" s="0" t="n">
        <v>0.999999999999999</v>
      </c>
      <c r="G47" s="0" t="inlineStr">
        <is>
          <t>预测</t>
        </is>
      </c>
    </row>
    <row r="48">
      <c r="A48" s="0" t="inlineStr">
        <is>
          <t>SIFT1M</t>
        </is>
      </c>
      <c r="B48" s="0" t="inlineStr">
        <is>
          <t>H108</t>
        </is>
      </c>
      <c r="C48" s="0" t="inlineStr">
        <is>
          <t>verify_ms</t>
        </is>
      </c>
      <c r="D48" s="0" t="n">
        <v>38.7139515058298</v>
      </c>
      <c r="E48" s="0" t="n">
        <v>38.4836684407268</v>
      </c>
      <c r="F48" s="0" t="n">
        <v>0.9940516775956511</v>
      </c>
      <c r="G48" s="0" t="inlineStr">
        <is>
          <t>预测</t>
        </is>
      </c>
    </row>
    <row r="49">
      <c r="A49" s="0" t="inlineStr">
        <is>
          <t>SIFT1M</t>
        </is>
      </c>
      <c r="B49" s="0" t="inlineStr">
        <is>
          <t>H118</t>
        </is>
      </c>
      <c r="C49" s="0" t="inlineStr">
        <is>
          <t>query_ms</t>
        </is>
      </c>
      <c r="D49" s="0" t="n">
        <v>4521750.03094413</v>
      </c>
      <c r="E49" s="0" t="n">
        <v>4698016.11967277</v>
      </c>
      <c r="F49" s="0" t="n">
        <v>1.03898182949574</v>
      </c>
      <c r="G49" s="0" t="inlineStr">
        <is>
          <t>预测</t>
        </is>
      </c>
    </row>
    <row r="50">
      <c r="A50" s="0" t="inlineStr">
        <is>
          <t>SIFT1M</t>
        </is>
      </c>
      <c r="B50" s="0" t="inlineStr">
        <is>
          <t>I97</t>
        </is>
      </c>
      <c r="C50" s="0" t="inlineStr">
        <is>
          <t>vo_kb</t>
        </is>
      </c>
      <c r="D50" s="0" t="n">
        <v>492.318106666667</v>
      </c>
      <c r="E50" s="0" t="n">
        <v>492.318106666667</v>
      </c>
      <c r="F50" s="0" t="n">
        <v>0.999999999999999</v>
      </c>
      <c r="G50" s="0" t="inlineStr">
        <is>
          <t>预测</t>
        </is>
      </c>
    </row>
    <row r="51">
      <c r="A51" s="0" t="inlineStr">
        <is>
          <t>SIFT1M</t>
        </is>
      </c>
      <c r="B51" s="0" t="inlineStr">
        <is>
          <t>I108</t>
        </is>
      </c>
      <c r="C51" s="0" t="inlineStr">
        <is>
          <t>verify_ms</t>
        </is>
      </c>
      <c r="D51" s="0" t="n">
        <v>38.7158589507456</v>
      </c>
      <c r="E51" s="0" t="n">
        <v>38.4854923760734</v>
      </c>
      <c r="F51" s="0" t="n">
        <v>0.994049813670278</v>
      </c>
      <c r="G51" s="0" t="inlineStr">
        <is>
          <t>预测</t>
        </is>
      </c>
    </row>
    <row r="52">
      <c r="A52" s="0" t="inlineStr">
        <is>
          <t>SIFT1M</t>
        </is>
      </c>
      <c r="B52" s="0" t="inlineStr">
        <is>
          <t>I118</t>
        </is>
      </c>
      <c r="C52" s="0" t="inlineStr">
        <is>
          <t>query_ms</t>
        </is>
      </c>
      <c r="D52" s="0" t="n">
        <v>4521750.03094413</v>
      </c>
      <c r="E52" s="0" t="n">
        <v>4698016.11967277</v>
      </c>
      <c r="F52" s="0" t="n">
        <v>1.03898182949574</v>
      </c>
      <c r="G52" s="0" t="inlineStr">
        <is>
          <t>预测</t>
        </is>
      </c>
    </row>
    <row r="53">
      <c r="A53" s="0" t="inlineStr">
        <is>
          <t>SIFT1M</t>
        </is>
      </c>
      <c r="B53" s="0" t="inlineStr">
        <is>
          <t>J97</t>
        </is>
      </c>
      <c r="C53" s="0" t="inlineStr">
        <is>
          <t>vo_kb</t>
        </is>
      </c>
      <c r="D53" s="0" t="n">
        <v>492.558106666667</v>
      </c>
      <c r="E53" s="0" t="n">
        <v>492.558106666667</v>
      </c>
      <c r="F53" s="0" t="n">
        <v>0.999999999999999</v>
      </c>
      <c r="G53" s="0" t="inlineStr">
        <is>
          <t>预测</t>
        </is>
      </c>
    </row>
    <row r="54">
      <c r="A54" s="0" t="inlineStr">
        <is>
          <t>SIFT1M</t>
        </is>
      </c>
      <c r="B54" s="0" t="inlineStr">
        <is>
          <t>J108</t>
        </is>
      </c>
      <c r="C54" s="0" t="inlineStr">
        <is>
          <t>verify_ms</t>
        </is>
      </c>
      <c r="D54" s="0" t="n">
        <v>38.7215812854929</v>
      </c>
      <c r="E54" s="0" t="n">
        <v>38.4909641821132</v>
      </c>
      <c r="F54" s="0" t="n">
        <v>0.9940442229959739</v>
      </c>
      <c r="G54" s="0" t="inlineStr">
        <is>
          <t>预测</t>
        </is>
      </c>
    </row>
    <row r="55">
      <c r="A55" s="0" t="inlineStr">
        <is>
          <t>SIFT1M</t>
        </is>
      </c>
      <c r="B55" s="0" t="inlineStr">
        <is>
          <t>J118</t>
        </is>
      </c>
      <c r="C55" s="0" t="inlineStr">
        <is>
          <t>query_ms</t>
        </is>
      </c>
      <c r="D55" s="0" t="n">
        <v>4521750.03094413</v>
      </c>
      <c r="E55" s="0" t="n">
        <v>4698016.11967277</v>
      </c>
      <c r="F55" s="0" t="n">
        <v>1.03898182949574</v>
      </c>
      <c r="G55" s="0" t="inlineStr">
        <is>
          <t>预测</t>
        </is>
      </c>
    </row>
    <row r="56">
      <c r="A56" s="0" t="inlineStr">
        <is>
          <t>SIFT1M</t>
        </is>
      </c>
      <c r="B56" s="0" t="inlineStr">
        <is>
          <t>K97</t>
        </is>
      </c>
      <c r="C56" s="0" t="inlineStr">
        <is>
          <t>vo_kb</t>
        </is>
      </c>
      <c r="D56" s="0" t="n">
        <v>492.958106666667</v>
      </c>
      <c r="E56" s="0" t="n">
        <v>492.958106666667</v>
      </c>
      <c r="F56" s="0" t="n">
        <v>0.999999999999999</v>
      </c>
      <c r="G56" s="0" t="inlineStr">
        <is>
          <t>预测</t>
        </is>
      </c>
    </row>
    <row r="57">
      <c r="A57" s="0" t="inlineStr">
        <is>
          <t>SIFT1M</t>
        </is>
      </c>
      <c r="B57" s="0" t="inlineStr">
        <is>
          <t>K108</t>
        </is>
      </c>
      <c r="C57" s="0" t="inlineStr">
        <is>
          <t>verify_ms</t>
        </is>
      </c>
      <c r="D57" s="0" t="n">
        <v>38.7311185100718</v>
      </c>
      <c r="E57" s="0" t="n">
        <v>38.5000838588462</v>
      </c>
      <c r="F57" s="0" t="n">
        <v>0.994034908876554</v>
      </c>
      <c r="G57" s="0" t="inlineStr">
        <is>
          <t>预测</t>
        </is>
      </c>
    </row>
    <row r="58">
      <c r="A58" s="0" t="inlineStr">
        <is>
          <t>SIFT1M</t>
        </is>
      </c>
      <c r="B58" s="0" t="inlineStr">
        <is>
          <t>K118</t>
        </is>
      </c>
      <c r="C58" s="0" t="inlineStr">
        <is>
          <t>query_ms</t>
        </is>
      </c>
      <c r="D58" s="0" t="n">
        <v>4521750.03094413</v>
      </c>
      <c r="E58" s="0" t="n">
        <v>4698016.11967277</v>
      </c>
      <c r="F58" s="0" t="n">
        <v>1.03898182949574</v>
      </c>
      <c r="G58" s="0" t="inlineStr">
        <is>
          <t>预测</t>
        </is>
      </c>
    </row>
    <row r="59">
      <c r="A59" s="0" t="inlineStr">
        <is>
          <t>SIFT1M</t>
        </is>
      </c>
      <c r="B59" s="0" t="inlineStr">
        <is>
          <t>F64</t>
        </is>
      </c>
      <c r="C59" s="0" t="inlineStr">
        <is>
          <t>vo_kb</t>
        </is>
      </c>
      <c r="D59" s="0" t="n">
        <v>238.09408</v>
      </c>
      <c r="E59" s="0" t="n">
        <v>238.09408</v>
      </c>
      <c r="F59" s="0" t="n">
        <v>1</v>
      </c>
      <c r="G59" s="0" t="inlineStr">
        <is>
          <t>预测(参数假设)</t>
        </is>
      </c>
    </row>
    <row r="60">
      <c r="A60" s="0" t="inlineStr">
        <is>
          <t>SIFT1M</t>
        </is>
      </c>
      <c r="B60" s="0" t="inlineStr">
        <is>
          <t>F75</t>
        </is>
      </c>
      <c r="C60" s="0" t="inlineStr">
        <is>
          <t>verify_ms</t>
        </is>
      </c>
      <c r="D60" s="0" t="n">
        <v>30.2799705661816</v>
      </c>
      <c r="E60" s="0" t="n">
        <v>30.2915738032696</v>
      </c>
      <c r="F60" s="0" t="n">
        <v>1.00038319842692</v>
      </c>
      <c r="G60" s="0" t="inlineStr">
        <is>
          <t>预测(参数假设)</t>
        </is>
      </c>
    </row>
    <row r="61">
      <c r="A61" s="0" t="inlineStr">
        <is>
          <t>SIFT1M</t>
        </is>
      </c>
      <c r="B61" s="0" t="inlineStr">
        <is>
          <t>F85</t>
        </is>
      </c>
      <c r="C61" s="0" t="inlineStr">
        <is>
          <t>query_ms</t>
        </is>
      </c>
      <c r="D61" s="0" t="n">
        <v>1067962.06522273</v>
      </c>
      <c r="E61" s="0" t="n">
        <v>1108369.52797136</v>
      </c>
      <c r="F61" s="0" t="n">
        <v>1.0378360468639</v>
      </c>
      <c r="G61" s="0" t="inlineStr">
        <is>
          <t>预测(参数假设)</t>
        </is>
      </c>
    </row>
    <row r="62">
      <c r="A62" s="0" t="inlineStr">
        <is>
          <t>SIFT1M</t>
        </is>
      </c>
      <c r="B62" s="0" t="inlineStr">
        <is>
          <t>G64</t>
        </is>
      </c>
      <c r="C62" s="0" t="inlineStr">
        <is>
          <t>vo_kb</t>
        </is>
      </c>
      <c r="D62" s="0" t="n">
        <v>344.686093333333</v>
      </c>
      <c r="E62" s="0" t="n">
        <v>344.686093333333</v>
      </c>
      <c r="F62" s="0" t="n">
        <v>1</v>
      </c>
      <c r="G62" s="0" t="inlineStr">
        <is>
          <t>预测(参数假设)</t>
        </is>
      </c>
    </row>
    <row r="63">
      <c r="A63" s="0" t="inlineStr">
        <is>
          <t>SIFT1M</t>
        </is>
      </c>
      <c r="B63" s="0" t="inlineStr">
        <is>
          <t>G75</t>
        </is>
      </c>
      <c r="C63" s="0" t="inlineStr">
        <is>
          <t>verify_ms</t>
        </is>
      </c>
      <c r="D63" s="0" t="n">
        <v>34.0086551375682</v>
      </c>
      <c r="E63" s="0" t="n">
        <v>33.9206936732677</v>
      </c>
      <c r="F63" s="0" t="n">
        <v>0.9974135565212841</v>
      </c>
      <c r="G63" s="0" t="inlineStr">
        <is>
          <t>预测(参数假设)</t>
        </is>
      </c>
    </row>
    <row r="64">
      <c r="A64" s="0" t="inlineStr">
        <is>
          <t>SIFT1M</t>
        </is>
      </c>
      <c r="B64" s="0" t="inlineStr">
        <is>
          <t>G85</t>
        </is>
      </c>
      <c r="C64" s="0" t="inlineStr">
        <is>
          <t>query_ms</t>
        </is>
      </c>
      <c r="D64" s="0" t="n">
        <v>2162433.94512413</v>
      </c>
      <c r="E64" s="0" t="n">
        <v>2246734.4322322</v>
      </c>
      <c r="F64" s="0" t="n">
        <v>1.03898407500407</v>
      </c>
      <c r="G64" s="0" t="inlineStr">
        <is>
          <t>预测(参数假设)</t>
        </is>
      </c>
    </row>
    <row r="65">
      <c r="A65" s="0" t="inlineStr">
        <is>
          <t>SIFT1M</t>
        </is>
      </c>
      <c r="B65" s="0" t="inlineStr">
        <is>
          <t>H64</t>
        </is>
      </c>
      <c r="C65" s="0" t="inlineStr">
        <is>
          <t>vo_kb</t>
        </is>
      </c>
      <c r="D65" s="0" t="n">
        <v>492.238106666667</v>
      </c>
      <c r="E65" s="0" t="n">
        <v>492.238106666667</v>
      </c>
      <c r="F65" s="0" t="n">
        <v>0.999999999999999</v>
      </c>
      <c r="G65" s="0" t="inlineStr">
        <is>
          <t>预测(参数假设)</t>
        </is>
      </c>
    </row>
    <row r="66">
      <c r="A66" s="0" t="inlineStr">
        <is>
          <t>SIFT1M</t>
        </is>
      </c>
      <c r="B66" s="0" t="inlineStr">
        <is>
          <t>H75</t>
        </is>
      </c>
      <c r="C66" s="0" t="inlineStr">
        <is>
          <t>verify_ms</t>
        </is>
      </c>
      <c r="D66" s="0" t="n">
        <v>38.7139515058298</v>
      </c>
      <c r="E66" s="0" t="n">
        <v>38.4836684407268</v>
      </c>
      <c r="F66" s="0" t="n">
        <v>0.9940516775956511</v>
      </c>
      <c r="G66" s="0" t="inlineStr">
        <is>
          <t>预测(参数假设)</t>
        </is>
      </c>
    </row>
    <row r="67">
      <c r="A67" s="0" t="inlineStr">
        <is>
          <t>SIFT1M</t>
        </is>
      </c>
      <c r="B67" s="0" t="inlineStr">
        <is>
          <t>H85</t>
        </is>
      </c>
      <c r="C67" s="0" t="inlineStr">
        <is>
          <t>query_ms</t>
        </is>
      </c>
      <c r="D67" s="0" t="n">
        <v>4521750.03094413</v>
      </c>
      <c r="E67" s="0" t="n">
        <v>4698016.11967277</v>
      </c>
      <c r="F67" s="0" t="n">
        <v>1.03898182949574</v>
      </c>
      <c r="G67" s="0" t="inlineStr">
        <is>
          <t>预测(参数假设)</t>
        </is>
      </c>
    </row>
    <row r="68">
      <c r="A68" s="0" t="inlineStr">
        <is>
          <t>SIFT1M</t>
        </is>
      </c>
      <c r="B68" s="0" t="inlineStr">
        <is>
          <t>I64</t>
        </is>
      </c>
      <c r="C68" s="0" t="inlineStr">
        <is>
          <t>vo_kb</t>
        </is>
      </c>
      <c r="D68" s="0" t="n">
        <v>2458.51013333333</v>
      </c>
      <c r="E68" s="0" t="n">
        <v>2458.51013333333</v>
      </c>
      <c r="F68" s="0" t="n">
        <v>1</v>
      </c>
      <c r="G68" s="0" t="inlineStr">
        <is>
          <t>预测(参数假设)</t>
        </is>
      </c>
    </row>
    <row r="69">
      <c r="A69" s="0" t="inlineStr">
        <is>
          <t>SIFT1M</t>
        </is>
      </c>
      <c r="B69" s="0" t="inlineStr">
        <is>
          <t>I75</t>
        </is>
      </c>
      <c r="C69" s="0" t="inlineStr">
        <is>
          <t>verify_ms</t>
        </is>
      </c>
      <c r="D69" s="0" t="n">
        <v>87.9703055548531</v>
      </c>
      <c r="E69" s="0" t="n">
        <v>85.7108977920512</v>
      </c>
      <c r="F69" s="0" t="n">
        <v>0.974316245140321</v>
      </c>
      <c r="G69" s="0" t="inlineStr">
        <is>
          <t>预测(参数假设)</t>
        </is>
      </c>
    </row>
    <row r="70">
      <c r="A70" s="0" t="inlineStr">
        <is>
          <t>SIFT1M</t>
        </is>
      </c>
      <c r="B70" s="0" t="inlineStr">
        <is>
          <t>I85</t>
        </is>
      </c>
      <c r="C70" s="0" t="inlineStr">
        <is>
          <t>query_ms</t>
        </is>
      </c>
      <c r="D70" s="0" t="n">
        <v>20342134.575671</v>
      </c>
      <c r="E70" s="0" t="n">
        <v>21111800.5327878</v>
      </c>
      <c r="F70" s="0" t="n">
        <v>1.0378360468639</v>
      </c>
      <c r="G70" s="0" t="inlineStr">
        <is>
          <t>预测(参数假设)</t>
        </is>
      </c>
    </row>
    <row r="71">
      <c r="A71" s="0" t="inlineStr">
        <is>
          <t>SIFT1M</t>
        </is>
      </c>
      <c r="B71" s="0" t="inlineStr">
        <is>
          <t>J64</t>
        </is>
      </c>
      <c r="C71" s="0" t="inlineStr">
        <is>
          <t>vo_kb</t>
        </is>
      </c>
      <c r="D71" s="0" t="n">
        <v>4695.02214666667</v>
      </c>
      <c r="E71" s="0" t="n">
        <v>4695.02214666667</v>
      </c>
      <c r="F71" s="0" t="n">
        <v>0.999999999999999</v>
      </c>
      <c r="G71" s="0" t="inlineStr">
        <is>
          <t>预测(参数假设)</t>
        </is>
      </c>
    </row>
    <row r="72">
      <c r="A72" s="0" t="inlineStr">
        <is>
          <t>SIFT1M</t>
        </is>
      </c>
      <c r="B72" s="0" t="inlineStr">
        <is>
          <t>J75</t>
        </is>
      </c>
      <c r="C72" s="0" t="inlineStr">
        <is>
          <t>verify_ms</t>
        </is>
      </c>
      <c r="D72" s="0" t="n">
        <v>142.48280356374</v>
      </c>
      <c r="E72" s="0" t="n">
        <v>137.900472330018</v>
      </c>
      <c r="F72" s="0" t="n">
        <v>0.967839408552401</v>
      </c>
      <c r="G72" s="0" t="inlineStr">
        <is>
          <t>预测(参数假设)</t>
        </is>
      </c>
    </row>
    <row r="73">
      <c r="A73" s="0" t="inlineStr">
        <is>
          <t>SIFT1M</t>
        </is>
      </c>
      <c r="B73" s="0" t="inlineStr">
        <is>
          <t>J85</t>
        </is>
      </c>
      <c r="C73" s="0" t="inlineStr">
        <is>
          <t>query_ms</t>
        </is>
      </c>
      <c r="D73" s="0" t="n">
        <v>42311639.9173956</v>
      </c>
      <c r="E73" s="0" t="n">
        <v>43912545.1081987</v>
      </c>
      <c r="F73" s="0" t="n">
        <v>1.0378360468639</v>
      </c>
      <c r="G73" s="0" t="inlineStr">
        <is>
          <t>预测(参数假设)</t>
        </is>
      </c>
    </row>
    <row r="74">
      <c r="A74" s="0" t="inlineStr">
        <is>
          <t>NYTimes-256</t>
        </is>
      </c>
      <c r="B74" s="0" t="inlineStr">
        <is>
          <t>F12</t>
        </is>
      </c>
      <c r="C74" s="0" t="inlineStr">
        <is>
          <t>query_ms</t>
        </is>
      </c>
      <c r="D74" s="0" t="n">
        <v>87878021.3668986</v>
      </c>
      <c r="E74" s="0" t="n">
        <v>91202978.3016434</v>
      </c>
      <c r="F74" s="0" t="n">
        <v>1.0378360468639</v>
      </c>
      <c r="G74" s="0" t="inlineStr">
        <is>
          <t>预测</t>
        </is>
      </c>
    </row>
    <row r="75">
      <c r="A75" s="0" t="inlineStr">
        <is>
          <t>NYTimes-256</t>
        </is>
      </c>
      <c r="B75" s="0" t="inlineStr">
        <is>
          <t>G12</t>
        </is>
      </c>
      <c r="C75" s="0" t="inlineStr">
        <is>
          <t>vo_kb</t>
        </is>
      </c>
      <c r="D75" s="0" t="n">
        <v>4454.47816</v>
      </c>
      <c r="E75" s="0" t="n">
        <v>4454.47816</v>
      </c>
      <c r="F75" s="0" t="n">
        <v>1</v>
      </c>
      <c r="G75" s="0" t="inlineStr">
        <is>
          <t>预测</t>
        </is>
      </c>
    </row>
    <row r="76">
      <c r="A76" s="0" t="inlineStr">
        <is>
          <t>NYTimes-256</t>
        </is>
      </c>
      <c r="B76" s="0" t="inlineStr">
        <is>
          <t>H12</t>
        </is>
      </c>
      <c r="C76" s="0" t="inlineStr">
        <is>
          <t>verify_ms</t>
        </is>
      </c>
      <c r="D76" s="0" t="n">
        <v>137.934703156611</v>
      </c>
      <c r="E76" s="0" t="n">
        <v>133.615171944035</v>
      </c>
      <c r="F76" s="0" t="n">
        <v>0.968684231642041</v>
      </c>
      <c r="G76" s="0" t="inlineStr">
        <is>
          <t>预测</t>
        </is>
      </c>
    </row>
    <row r="77">
      <c r="A77" s="0" t="inlineStr">
        <is>
          <t>NYTimes-256</t>
        </is>
      </c>
      <c r="B77" s="0" t="inlineStr">
        <is>
          <t>G134</t>
        </is>
      </c>
      <c r="C77" s="0" t="inlineStr">
        <is>
          <t>query_ms</t>
        </is>
      </c>
      <c r="D77" s="0" t="n">
        <v>87878021.3668986</v>
      </c>
      <c r="E77" s="0" t="n">
        <v>91202978.3016434</v>
      </c>
      <c r="F77" s="0" t="n">
        <v>1.0378360468639</v>
      </c>
      <c r="G77" s="0" t="inlineStr">
        <is>
          <t>预测</t>
        </is>
      </c>
    </row>
    <row r="78">
      <c r="A78" s="0" t="inlineStr">
        <is>
          <t>NYTimes-256</t>
        </is>
      </c>
      <c r="B78" s="0" t="inlineStr">
        <is>
          <t>H134</t>
        </is>
      </c>
      <c r="C78" s="0" t="inlineStr">
        <is>
          <t>vo_kb</t>
        </is>
      </c>
      <c r="D78" s="0" t="n">
        <v>4454.47816</v>
      </c>
      <c r="E78" s="0" t="n">
        <v>4454.47816</v>
      </c>
      <c r="F78" s="0" t="n">
        <v>1</v>
      </c>
      <c r="G78" s="0" t="inlineStr">
        <is>
          <t>预测</t>
        </is>
      </c>
    </row>
    <row r="79">
      <c r="A79" s="0" t="inlineStr">
        <is>
          <t>NYTimes-256</t>
        </is>
      </c>
      <c r="B79" s="0" t="inlineStr">
        <is>
          <t>I134</t>
        </is>
      </c>
      <c r="C79" s="0" t="inlineStr">
        <is>
          <t>verify_ms</t>
        </is>
      </c>
      <c r="D79" s="0" t="n">
        <v>137.934703156611</v>
      </c>
      <c r="E79" s="0" t="n">
        <v>133.615171944035</v>
      </c>
      <c r="F79" s="0" t="n">
        <v>0.968684231642041</v>
      </c>
      <c r="G79" s="0" t="inlineStr">
        <is>
          <t>预测</t>
        </is>
      </c>
    </row>
    <row r="80">
      <c r="A80" s="0" t="inlineStr">
        <is>
          <t>NYTimes-256</t>
        </is>
      </c>
      <c r="B80" s="0" t="inlineStr">
        <is>
          <t>F27</t>
        </is>
      </c>
      <c r="C80" s="0" t="inlineStr">
        <is>
          <t>vo_kb</t>
        </is>
      </c>
      <c r="D80" s="0" t="n">
        <v>275.98208</v>
      </c>
      <c r="E80" s="0" t="n">
        <v>275.98208</v>
      </c>
      <c r="F80" s="0" t="n">
        <v>1</v>
      </c>
      <c r="G80" s="0" t="inlineStr">
        <is>
          <t>预测</t>
        </is>
      </c>
    </row>
    <row r="81">
      <c r="A81" s="0" t="inlineStr">
        <is>
          <t>NYTimes-256</t>
        </is>
      </c>
      <c r="B81" s="0" t="inlineStr">
        <is>
          <t>F39</t>
        </is>
      </c>
      <c r="C81" s="0" t="inlineStr">
        <is>
          <t>verify_ms</t>
        </is>
      </c>
      <c r="D81" s="0" t="n">
        <v>31.1833364782909</v>
      </c>
      <c r="E81" s="0" t="n">
        <v>31.155389583421</v>
      </c>
      <c r="F81" s="0" t="n">
        <v>0.99910378753443</v>
      </c>
      <c r="G81" s="0" t="inlineStr">
        <is>
          <t>预测</t>
        </is>
      </c>
    </row>
    <row r="82">
      <c r="A82" s="0" t="inlineStr">
        <is>
          <t>NYTimes-256</t>
        </is>
      </c>
      <c r="B82" s="0" t="inlineStr">
        <is>
          <t>F51</t>
        </is>
      </c>
      <c r="C82" s="0" t="inlineStr">
        <is>
          <t>query_ms</t>
        </is>
      </c>
      <c r="D82" s="0" t="n">
        <v>1067962.06522273</v>
      </c>
      <c r="E82" s="0" t="n">
        <v>1108369.52797136</v>
      </c>
      <c r="F82" s="0" t="n">
        <v>1.0378360468639</v>
      </c>
      <c r="G82" s="0" t="inlineStr">
        <is>
          <t>预测</t>
        </is>
      </c>
    </row>
    <row r="83">
      <c r="A83" s="0" t="inlineStr">
        <is>
          <t>NYTimes-256</t>
        </is>
      </c>
      <c r="B83" s="0" t="inlineStr">
        <is>
          <t>G27</t>
        </is>
      </c>
      <c r="C83" s="0" t="inlineStr">
        <is>
          <t>vo_kb</t>
        </is>
      </c>
      <c r="D83" s="0" t="n">
        <v>349.806093333333</v>
      </c>
      <c r="E83" s="0" t="n">
        <v>349.806093333333</v>
      </c>
      <c r="F83" s="0" t="n">
        <v>1</v>
      </c>
      <c r="G83" s="0" t="inlineStr">
        <is>
          <t>预测</t>
        </is>
      </c>
    </row>
    <row r="84">
      <c r="A84" s="0" t="inlineStr">
        <is>
          <t>NYTimes-256</t>
        </is>
      </c>
      <c r="B84" s="0" t="inlineStr">
        <is>
          <t>G39</t>
        </is>
      </c>
      <c r="C84" s="0" t="inlineStr">
        <is>
          <t>verify_ms</t>
        </is>
      </c>
      <c r="D84" s="0" t="n">
        <v>34.1307316121776</v>
      </c>
      <c r="E84" s="0" t="n">
        <v>34.0374255354504</v>
      </c>
      <c r="F84" s="0" t="n">
        <v>0.9972662151580149</v>
      </c>
      <c r="G84" s="0" t="inlineStr">
        <is>
          <t>预测</t>
        </is>
      </c>
    </row>
    <row r="85">
      <c r="A85" s="0" t="inlineStr">
        <is>
          <t>NYTimes-256</t>
        </is>
      </c>
      <c r="B85" s="0" t="inlineStr">
        <is>
          <t>G51</t>
        </is>
      </c>
      <c r="C85" s="0" t="inlineStr">
        <is>
          <t>query_ms</t>
        </is>
      </c>
      <c r="D85" s="0" t="n">
        <v>2237634.8033238</v>
      </c>
      <c r="E85" s="0" t="n">
        <v>2322298.05860666</v>
      </c>
      <c r="F85" s="0" t="n">
        <v>1.0378360468639</v>
      </c>
      <c r="G85" s="0" t="inlineStr">
        <is>
          <t>预测</t>
        </is>
      </c>
    </row>
    <row r="86">
      <c r="A86" s="0" t="inlineStr">
        <is>
          <t>NYTimes-256</t>
        </is>
      </c>
      <c r="B86" s="0" t="inlineStr">
        <is>
          <t>H27</t>
        </is>
      </c>
      <c r="C86" s="0" t="inlineStr">
        <is>
          <t>vo_kb</t>
        </is>
      </c>
      <c r="D86" s="0" t="n">
        <v>489.166106666667</v>
      </c>
      <c r="E86" s="0" t="n">
        <v>489.166106666667</v>
      </c>
      <c r="F86" s="0" t="n">
        <v>0.999999999999999</v>
      </c>
      <c r="G86" s="0" t="inlineStr">
        <is>
          <t>预测</t>
        </is>
      </c>
    </row>
    <row r="87">
      <c r="A87" s="0" t="inlineStr">
        <is>
          <t>NYTimes-256</t>
        </is>
      </c>
      <c r="B87" s="0" t="inlineStr">
        <is>
          <t>H39</t>
        </is>
      </c>
      <c r="C87" s="0" t="inlineStr">
        <is>
          <t>verify_ms</t>
        </is>
      </c>
      <c r="D87" s="0" t="n">
        <v>38.6407056210642</v>
      </c>
      <c r="E87" s="0" t="n">
        <v>38.4136293234172</v>
      </c>
      <c r="F87" s="0" t="n">
        <v>0.994123391537571</v>
      </c>
      <c r="G87" s="0" t="inlineStr">
        <is>
          <t>预测</t>
        </is>
      </c>
    </row>
    <row r="88">
      <c r="A88" s="0" t="inlineStr">
        <is>
          <t>NYTimes-256</t>
        </is>
      </c>
      <c r="B88" s="0" t="inlineStr">
        <is>
          <t>H51</t>
        </is>
      </c>
      <c r="C88" s="0" t="inlineStr">
        <is>
          <t>query_ms</t>
        </is>
      </c>
      <c r="D88" s="0" t="n">
        <v>4678690.95240432</v>
      </c>
      <c r="E88" s="0" t="n">
        <v>4855714.1225412</v>
      </c>
      <c r="F88" s="0" t="n">
        <v>1.0378360468639</v>
      </c>
      <c r="G88" s="0" t="inlineStr">
        <is>
          <t>预测</t>
        </is>
      </c>
    </row>
    <row r="89">
      <c r="A89" s="0" t="inlineStr">
        <is>
          <t>NYTimes-256</t>
        </is>
      </c>
      <c r="B89" s="0" t="inlineStr">
        <is>
          <t>I27</t>
        </is>
      </c>
      <c r="C89" s="0" t="inlineStr">
        <is>
          <t>vo_kb</t>
        </is>
      </c>
      <c r="D89" s="0" t="n">
        <v>489.166106666667</v>
      </c>
      <c r="E89" s="0" t="n">
        <v>489.166106666667</v>
      </c>
      <c r="F89" s="0" t="n">
        <v>0.999999999999999</v>
      </c>
      <c r="G89" s="0" t="inlineStr">
        <is>
          <t>预测</t>
        </is>
      </c>
    </row>
    <row r="90">
      <c r="A90" s="0" t="inlineStr">
        <is>
          <t>NYTimes-256</t>
        </is>
      </c>
      <c r="B90" s="0" t="inlineStr">
        <is>
          <t>I39</t>
        </is>
      </c>
      <c r="C90" s="0" t="inlineStr">
        <is>
          <t>verify_ms</t>
        </is>
      </c>
      <c r="D90" s="0" t="n">
        <v>38.6407056210642</v>
      </c>
      <c r="E90" s="0" t="n">
        <v>38.4136293234172</v>
      </c>
      <c r="F90" s="0" t="n">
        <v>0.994123391537571</v>
      </c>
      <c r="G90" s="0" t="inlineStr">
        <is>
          <t>预测</t>
        </is>
      </c>
    </row>
    <row r="91">
      <c r="A91" s="0" t="inlineStr">
        <is>
          <t>NYTimes-256</t>
        </is>
      </c>
      <c r="B91" s="0" t="inlineStr">
        <is>
          <t>I51</t>
        </is>
      </c>
      <c r="C91" s="0" t="inlineStr">
        <is>
          <t>query_ms</t>
        </is>
      </c>
      <c r="D91" s="0" t="n">
        <v>4678690.95240432</v>
      </c>
      <c r="E91" s="0" t="n">
        <v>4855714.1225412</v>
      </c>
      <c r="F91" s="0" t="n">
        <v>1.0378360468639</v>
      </c>
      <c r="G91" s="0" t="inlineStr">
        <is>
          <t>预测</t>
        </is>
      </c>
    </row>
    <row r="92">
      <c r="A92" s="0" t="inlineStr">
        <is>
          <t>NYTimes-256</t>
        </is>
      </c>
      <c r="B92" s="0" t="inlineStr">
        <is>
          <t>J27</t>
        </is>
      </c>
      <c r="C92" s="0" t="inlineStr">
        <is>
          <t>vo_kb</t>
        </is>
      </c>
      <c r="D92" s="0" t="n">
        <v>759.59812</v>
      </c>
      <c r="E92" s="0" t="n">
        <v>759.59812</v>
      </c>
      <c r="F92" s="0" t="n">
        <v>1</v>
      </c>
      <c r="G92" s="0" t="inlineStr">
        <is>
          <t>预测</t>
        </is>
      </c>
    </row>
    <row r="93">
      <c r="A93" s="0" t="inlineStr">
        <is>
          <t>NYTimes-256</t>
        </is>
      </c>
      <c r="B93" s="0" t="inlineStr">
        <is>
          <t>J39</t>
        </is>
      </c>
      <c r="C93" s="0" t="inlineStr">
        <is>
          <t>verify_ms</t>
        </is>
      </c>
      <c r="D93" s="0" t="n">
        <v>46.2758373799508</v>
      </c>
      <c r="E93" s="0" t="n">
        <v>45.7781687832591</v>
      </c>
      <c r="F93" s="0" t="n">
        <v>0.989245605809236</v>
      </c>
      <c r="G93" s="0" t="inlineStr">
        <is>
          <t>预测</t>
        </is>
      </c>
    </row>
    <row r="94">
      <c r="A94" s="0" t="inlineStr">
        <is>
          <t>NYTimes-256</t>
        </is>
      </c>
      <c r="B94" s="0" t="inlineStr">
        <is>
          <t>J51</t>
        </is>
      </c>
      <c r="C94" s="0" t="inlineStr">
        <is>
          <t>query_ms</t>
        </is>
      </c>
      <c r="D94" s="0" t="n">
        <v>9764224.59632206</v>
      </c>
      <c r="E94" s="0" t="n">
        <v>10133664.2557382</v>
      </c>
      <c r="F94" s="0" t="n">
        <v>1.0378360468639</v>
      </c>
      <c r="G94" s="0" t="inlineStr">
        <is>
          <t>预测</t>
        </is>
      </c>
    </row>
    <row r="95">
      <c r="A95" s="0" t="inlineStr">
        <is>
          <t>NYTimes-256</t>
        </is>
      </c>
      <c r="B95" s="0" t="inlineStr">
        <is>
          <t>K27</t>
        </is>
      </c>
      <c r="C95" s="0" t="inlineStr">
        <is>
          <t>vo_kb</t>
        </is>
      </c>
      <c r="D95" s="0" t="n">
        <v>759.59812</v>
      </c>
      <c r="E95" s="0" t="n">
        <v>759.59812</v>
      </c>
      <c r="F95" s="0" t="n">
        <v>1</v>
      </c>
      <c r="G95" s="0" t="inlineStr">
        <is>
          <t>预测</t>
        </is>
      </c>
    </row>
    <row r="96">
      <c r="A96" s="0" t="inlineStr">
        <is>
          <t>NYTimes-256</t>
        </is>
      </c>
      <c r="B96" s="0" t="inlineStr">
        <is>
          <t>K39</t>
        </is>
      </c>
      <c r="C96" s="0" t="inlineStr">
        <is>
          <t>verify_ms</t>
        </is>
      </c>
      <c r="D96" s="0" t="n">
        <v>46.2758373799508</v>
      </c>
      <c r="E96" s="0" t="n">
        <v>45.7781687832591</v>
      </c>
      <c r="F96" s="0" t="n">
        <v>0.989245605809236</v>
      </c>
      <c r="G96" s="0" t="inlineStr">
        <is>
          <t>预测</t>
        </is>
      </c>
    </row>
    <row r="97">
      <c r="A97" s="0" t="inlineStr">
        <is>
          <t>NYTimes-256</t>
        </is>
      </c>
      <c r="B97" s="0" t="inlineStr">
        <is>
          <t>K51</t>
        </is>
      </c>
      <c r="C97" s="0" t="inlineStr">
        <is>
          <t>query_ms</t>
        </is>
      </c>
      <c r="D97" s="0" t="n">
        <v>9764224.59632206</v>
      </c>
      <c r="E97" s="0" t="n">
        <v>10133664.2557382</v>
      </c>
      <c r="F97" s="0" t="n">
        <v>1.0378360468639</v>
      </c>
      <c r="G97" s="0" t="inlineStr">
        <is>
          <t>预测</t>
        </is>
      </c>
    </row>
    <row r="98">
      <c r="A98" s="0" t="inlineStr">
        <is>
          <t>NYTimes-256</t>
        </is>
      </c>
      <c r="B98" s="0" t="inlineStr">
        <is>
          <t>L27</t>
        </is>
      </c>
      <c r="C98" s="0" t="inlineStr">
        <is>
          <t>vo_kb</t>
        </is>
      </c>
      <c r="D98" s="0" t="n">
        <v>2349.03814666667</v>
      </c>
      <c r="E98" s="0" t="n">
        <v>2349.03814666667</v>
      </c>
      <c r="F98" s="0" t="n">
        <v>0.999999999999998</v>
      </c>
      <c r="G98" s="0" t="inlineStr">
        <is>
          <t>预测</t>
        </is>
      </c>
    </row>
    <row r="99">
      <c r="A99" s="0" t="inlineStr">
        <is>
          <t>NYTimes-256</t>
        </is>
      </c>
      <c r="B99" s="0" t="inlineStr">
        <is>
          <t>L39</t>
        </is>
      </c>
      <c r="C99" s="0" t="inlineStr">
        <is>
          <t>verify_ms</t>
        </is>
      </c>
      <c r="D99" s="0" t="n">
        <v>86.5473628977241</v>
      </c>
      <c r="E99" s="0" t="n">
        <v>84.4139330779429</v>
      </c>
      <c r="F99" s="0" t="n">
        <v>0.975349568740732</v>
      </c>
      <c r="G99" s="0" t="inlineStr">
        <is>
          <t>预测</t>
        </is>
      </c>
    </row>
    <row r="100">
      <c r="A100" s="0" t="inlineStr">
        <is>
          <t>NYTimes-256</t>
        </is>
      </c>
      <c r="B100" s="0" t="inlineStr">
        <is>
          <t>L51</t>
        </is>
      </c>
      <c r="C100" s="0" t="inlineStr">
        <is>
          <t>query_ms</t>
        </is>
      </c>
      <c r="D100" s="0" t="n">
        <v>42311639.9173956</v>
      </c>
      <c r="E100" s="0" t="n">
        <v>43912545.1081987</v>
      </c>
      <c r="F100" s="0" t="n">
        <v>1.0378360468639</v>
      </c>
      <c r="G100" s="0" t="inlineStr">
        <is>
          <t>预测</t>
        </is>
      </c>
    </row>
    <row r="101">
      <c r="A101" s="0" t="inlineStr">
        <is>
          <t>NYTimes-256</t>
        </is>
      </c>
      <c r="B101" s="0" t="inlineStr">
        <is>
          <t>M27</t>
        </is>
      </c>
      <c r="C101" s="0" t="inlineStr">
        <is>
          <t>vo_kb</t>
        </is>
      </c>
      <c r="D101" s="0" t="n">
        <v>4454.47816</v>
      </c>
      <c r="E101" s="0" t="n">
        <v>4454.47816</v>
      </c>
      <c r="F101" s="0" t="n">
        <v>1</v>
      </c>
      <c r="G101" s="0" t="inlineStr">
        <is>
          <t>预测</t>
        </is>
      </c>
    </row>
    <row r="102">
      <c r="A102" s="0" t="inlineStr">
        <is>
          <t>NYTimes-256</t>
        </is>
      </c>
      <c r="B102" s="0" t="inlineStr">
        <is>
          <t>M39</t>
        </is>
      </c>
      <c r="C102" s="0" t="inlineStr">
        <is>
          <t>verify_ms</t>
        </is>
      </c>
      <c r="D102" s="0" t="n">
        <v>137.934703156611</v>
      </c>
      <c r="E102" s="0" t="n">
        <v>133.615171944035</v>
      </c>
      <c r="F102" s="0" t="n">
        <v>0.968684231642041</v>
      </c>
      <c r="G102" s="0" t="inlineStr">
        <is>
          <t>预测</t>
        </is>
      </c>
    </row>
    <row r="103">
      <c r="A103" s="0" t="inlineStr">
        <is>
          <t>NYTimes-256</t>
        </is>
      </c>
      <c r="B103" s="0" t="inlineStr">
        <is>
          <t>M51</t>
        </is>
      </c>
      <c r="C103" s="0" t="inlineStr">
        <is>
          <t>query_ms</t>
        </is>
      </c>
      <c r="D103" s="0" t="n">
        <v>87878021.3668986</v>
      </c>
      <c r="E103" s="0" t="n">
        <v>91202978.3016434</v>
      </c>
      <c r="F103" s="0" t="n">
        <v>1.0378360468639</v>
      </c>
      <c r="G103" s="0" t="inlineStr">
        <is>
          <t>预测</t>
        </is>
      </c>
    </row>
    <row r="104">
      <c r="A104" s="0" t="inlineStr">
        <is>
          <t>NYTimes-256</t>
        </is>
      </c>
      <c r="B104" s="0" t="inlineStr">
        <is>
          <t>N27</t>
        </is>
      </c>
      <c r="C104" s="0" t="inlineStr">
        <is>
          <t>vo_kb</t>
        </is>
      </c>
      <c r="D104" s="0" t="n">
        <v>4454.47816</v>
      </c>
      <c r="E104" s="0" t="n">
        <v>4454.47816</v>
      </c>
      <c r="F104" s="0" t="n">
        <v>1</v>
      </c>
      <c r="G104" s="0" t="inlineStr">
        <is>
          <t>预测</t>
        </is>
      </c>
    </row>
    <row r="105">
      <c r="A105" s="0" t="inlineStr">
        <is>
          <t>NYTimes-256</t>
        </is>
      </c>
      <c r="B105" s="0" t="inlineStr">
        <is>
          <t>N39</t>
        </is>
      </c>
      <c r="C105" s="0" t="inlineStr">
        <is>
          <t>verify_ms</t>
        </is>
      </c>
      <c r="D105" s="0" t="n">
        <v>137.934703156611</v>
      </c>
      <c r="E105" s="0" t="n">
        <v>133.615171944035</v>
      </c>
      <c r="F105" s="0" t="n">
        <v>0.968684231642041</v>
      </c>
      <c r="G105" s="0" t="inlineStr">
        <is>
          <t>预测</t>
        </is>
      </c>
    </row>
    <row r="106">
      <c r="A106" s="0" t="inlineStr">
        <is>
          <t>NYTimes-256</t>
        </is>
      </c>
      <c r="B106" s="0" t="inlineStr">
        <is>
          <t>N51</t>
        </is>
      </c>
      <c r="C106" s="0" t="inlineStr">
        <is>
          <t>query_ms</t>
        </is>
      </c>
      <c r="D106" s="0" t="n">
        <v>87878021.3668986</v>
      </c>
      <c r="E106" s="0" t="n">
        <v>91202978.3016434</v>
      </c>
      <c r="F106" s="0" t="n">
        <v>1.0378360468639</v>
      </c>
      <c r="G106" s="0" t="inlineStr">
        <is>
          <t>预测</t>
        </is>
      </c>
    </row>
    <row r="107">
      <c r="A107" s="0" t="inlineStr">
        <is>
          <t>NYTimes-256</t>
        </is>
      </c>
      <c r="B107" s="0" t="inlineStr">
        <is>
          <t>O27</t>
        </is>
      </c>
      <c r="C107" s="0" t="inlineStr">
        <is>
          <t>vo_kb</t>
        </is>
      </c>
      <c r="D107" s="0" t="n">
        <v>8657.07017333333</v>
      </c>
      <c r="E107" s="0" t="n">
        <v>8657.07017333333</v>
      </c>
      <c r="F107" s="0" t="n">
        <v>1</v>
      </c>
      <c r="G107" s="0" t="inlineStr">
        <is>
          <t>预测</t>
        </is>
      </c>
    </row>
    <row r="108">
      <c r="A108" s="0" t="inlineStr">
        <is>
          <t>NYTimes-256</t>
        </is>
      </c>
      <c r="B108" s="0" t="inlineStr">
        <is>
          <t>O39</t>
        </is>
      </c>
      <c r="C108" s="0" t="inlineStr">
        <is>
          <t>verify_ms</t>
        </is>
      </c>
      <c r="D108" s="0" t="n">
        <v>239.324567415497</v>
      </c>
      <c r="E108" s="0" t="n">
        <v>230.629781560127</v>
      </c>
      <c r="F108" s="0" t="n">
        <v>0.963669480533208</v>
      </c>
      <c r="G108" s="0" t="inlineStr">
        <is>
          <t>预测</t>
        </is>
      </c>
    </row>
    <row r="109">
      <c r="A109" s="0" t="inlineStr">
        <is>
          <t>NYTimes-256</t>
        </is>
      </c>
      <c r="B109" s="0" t="inlineStr">
        <is>
          <t>O51</t>
        </is>
      </c>
      <c r="C109" s="0" t="inlineStr">
        <is>
          <t>query_ms</t>
        </is>
      </c>
      <c r="D109" s="0" t="n">
        <v>182265525.798012</v>
      </c>
      <c r="E109" s="0" t="n">
        <v>189161732.773779</v>
      </c>
      <c r="F109" s="0" t="n">
        <v>1.0378360468639</v>
      </c>
      <c r="G109" s="0" t="inlineStr">
        <is>
          <t>预测</t>
        </is>
      </c>
    </row>
    <row r="110">
      <c r="A110" s="0" t="inlineStr">
        <is>
          <t>NYTimes-256</t>
        </is>
      </c>
      <c r="B110" s="0" t="inlineStr">
        <is>
          <t>P27</t>
        </is>
      </c>
      <c r="C110" s="0" t="inlineStr">
        <is>
          <t>vo_kb</t>
        </is>
      </c>
      <c r="D110" s="0" t="n">
        <v>8657.07017333333</v>
      </c>
      <c r="E110" s="0" t="n">
        <v>8657.07017333333</v>
      </c>
      <c r="F110" s="0" t="n">
        <v>1</v>
      </c>
      <c r="G110" s="0" t="inlineStr">
        <is>
          <t>预测</t>
        </is>
      </c>
    </row>
    <row r="111">
      <c r="A111" s="0" t="inlineStr">
        <is>
          <t>NYTimes-256</t>
        </is>
      </c>
      <c r="B111" s="0" t="inlineStr">
        <is>
          <t>P39</t>
        </is>
      </c>
      <c r="C111" s="0" t="inlineStr">
        <is>
          <t>verify_ms</t>
        </is>
      </c>
      <c r="D111" s="0" t="n">
        <v>239.324567415497</v>
      </c>
      <c r="E111" s="0" t="n">
        <v>230.629781560127</v>
      </c>
      <c r="F111" s="0" t="n">
        <v>0.963669480533208</v>
      </c>
      <c r="G111" s="0" t="inlineStr">
        <is>
          <t>预测</t>
        </is>
      </c>
    </row>
    <row r="112">
      <c r="A112" s="0" t="inlineStr">
        <is>
          <t>NYTimes-256</t>
        </is>
      </c>
      <c r="B112" s="0" t="inlineStr">
        <is>
          <t>P51</t>
        </is>
      </c>
      <c r="C112" s="0" t="inlineStr">
        <is>
          <t>query_ms</t>
        </is>
      </c>
      <c r="D112" s="0" t="n">
        <v>182265525.798012</v>
      </c>
      <c r="E112" s="0" t="n">
        <v>189161732.773779</v>
      </c>
      <c r="F112" s="0" t="n">
        <v>1.0378360468639</v>
      </c>
      <c r="G112" s="0" t="inlineStr">
        <is>
          <t>预测</t>
        </is>
      </c>
    </row>
    <row r="113">
      <c r="A113" s="0" t="inlineStr">
        <is>
          <t>NYTimes-256</t>
        </is>
      </c>
      <c r="B113" s="0" t="inlineStr">
        <is>
          <t>F97</t>
        </is>
      </c>
      <c r="C113" s="0" t="inlineStr">
        <is>
          <t>vo_kb</t>
        </is>
      </c>
      <c r="D113" s="0" t="n">
        <v>4454.40616</v>
      </c>
      <c r="E113" s="0" t="n">
        <v>4454.40616</v>
      </c>
      <c r="F113" s="0" t="n">
        <v>1</v>
      </c>
      <c r="G113" s="0" t="inlineStr">
        <is>
          <t>预测</t>
        </is>
      </c>
    </row>
    <row r="114">
      <c r="A114" s="0" t="inlineStr">
        <is>
          <t>NYTimes-256</t>
        </is>
      </c>
      <c r="B114" s="0" t="inlineStr">
        <is>
          <t>F108</t>
        </is>
      </c>
      <c r="C114" s="0" t="inlineStr">
        <is>
          <t>verify_ms</t>
        </is>
      </c>
      <c r="D114" s="0" t="n">
        <v>137.932986456187</v>
      </c>
      <c r="E114" s="0" t="n">
        <v>133.613530402223</v>
      </c>
      <c r="F114" s="0" t="n">
        <v>0.968684386781285</v>
      </c>
      <c r="G114" s="0" t="inlineStr">
        <is>
          <t>预测</t>
        </is>
      </c>
    </row>
    <row r="115">
      <c r="A115" s="0" t="inlineStr">
        <is>
          <t>NYTimes-256</t>
        </is>
      </c>
      <c r="B115" s="0" t="inlineStr">
        <is>
          <t>F118</t>
        </is>
      </c>
      <c r="C115" s="0" t="inlineStr">
        <is>
          <t>query_ms</t>
        </is>
      </c>
      <c r="D115" s="0" t="n">
        <v>87878021.3668986</v>
      </c>
      <c r="E115" s="0" t="n">
        <v>91202978.3016434</v>
      </c>
      <c r="F115" s="0" t="n">
        <v>1.0378360468639</v>
      </c>
      <c r="G115" s="0" t="inlineStr">
        <is>
          <t>预测</t>
        </is>
      </c>
    </row>
    <row r="116">
      <c r="A116" s="0" t="inlineStr">
        <is>
          <t>NYTimes-256</t>
        </is>
      </c>
      <c r="B116" s="0" t="inlineStr">
        <is>
          <t>G97</t>
        </is>
      </c>
      <c r="C116" s="0" t="inlineStr">
        <is>
          <t>vo_kb</t>
        </is>
      </c>
      <c r="D116" s="0" t="n">
        <v>4454.43816</v>
      </c>
      <c r="E116" s="0" t="n">
        <v>4454.43816</v>
      </c>
      <c r="F116" s="0" t="n">
        <v>1</v>
      </c>
      <c r="G116" s="0" t="inlineStr">
        <is>
          <t>预测</t>
        </is>
      </c>
    </row>
    <row r="117">
      <c r="A117" s="0" t="inlineStr">
        <is>
          <t>NYTimes-256</t>
        </is>
      </c>
      <c r="B117" s="0" t="inlineStr">
        <is>
          <t>G108</t>
        </is>
      </c>
      <c r="C117" s="0" t="inlineStr">
        <is>
          <t>verify_ms</t>
        </is>
      </c>
      <c r="D117" s="0" t="n">
        <v>137.933749434153</v>
      </c>
      <c r="E117" s="0" t="n">
        <v>133.614259976361</v>
      </c>
      <c r="F117" s="0" t="n">
        <v>0.9686843178300349</v>
      </c>
      <c r="G117" s="0" t="inlineStr">
        <is>
          <t>预测</t>
        </is>
      </c>
    </row>
    <row r="118">
      <c r="A118" s="0" t="inlineStr">
        <is>
          <t>NYTimes-256</t>
        </is>
      </c>
      <c r="B118" s="0" t="inlineStr">
        <is>
          <t>G118</t>
        </is>
      </c>
      <c r="C118" s="0" t="inlineStr">
        <is>
          <t>query_ms</t>
        </is>
      </c>
      <c r="D118" s="0" t="n">
        <v>87878021.3668986</v>
      </c>
      <c r="E118" s="0" t="n">
        <v>91202978.3016434</v>
      </c>
      <c r="F118" s="0" t="n">
        <v>1.0378360468639</v>
      </c>
      <c r="G118" s="0" t="inlineStr">
        <is>
          <t>预测</t>
        </is>
      </c>
    </row>
    <row r="119">
      <c r="A119" s="0" t="inlineStr">
        <is>
          <t>NYTimes-256</t>
        </is>
      </c>
      <c r="B119" s="0" t="inlineStr">
        <is>
          <t>H97</t>
        </is>
      </c>
      <c r="C119" s="0" t="inlineStr">
        <is>
          <t>vo_kb</t>
        </is>
      </c>
      <c r="D119" s="0" t="n">
        <v>4454.47816</v>
      </c>
      <c r="E119" s="0" t="n">
        <v>4454.47816</v>
      </c>
      <c r="F119" s="0" t="n">
        <v>1</v>
      </c>
      <c r="G119" s="0" t="inlineStr">
        <is>
          <t>预测</t>
        </is>
      </c>
    </row>
    <row r="120">
      <c r="A120" s="0" t="inlineStr">
        <is>
          <t>NYTimes-256</t>
        </is>
      </c>
      <c r="B120" s="0" t="inlineStr">
        <is>
          <t>H108</t>
        </is>
      </c>
      <c r="C120" s="0" t="inlineStr">
        <is>
          <t>verify_ms</t>
        </is>
      </c>
      <c r="D120" s="0" t="n">
        <v>137.934703156611</v>
      </c>
      <c r="E120" s="0" t="n">
        <v>133.615171944035</v>
      </c>
      <c r="F120" s="0" t="n">
        <v>0.968684231642041</v>
      </c>
      <c r="G120" s="0" t="inlineStr">
        <is>
          <t>预测</t>
        </is>
      </c>
    </row>
    <row r="121">
      <c r="A121" s="0" t="inlineStr">
        <is>
          <t>NYTimes-256</t>
        </is>
      </c>
      <c r="B121" s="0" t="inlineStr">
        <is>
          <t>H118</t>
        </is>
      </c>
      <c r="C121" s="0" t="inlineStr">
        <is>
          <t>query_ms</t>
        </is>
      </c>
      <c r="D121" s="0" t="n">
        <v>87878021.3668986</v>
      </c>
      <c r="E121" s="0" t="n">
        <v>91202978.3016434</v>
      </c>
      <c r="F121" s="0" t="n">
        <v>1.0378360468639</v>
      </c>
      <c r="G121" s="0" t="inlineStr">
        <is>
          <t>预测</t>
        </is>
      </c>
    </row>
    <row r="122">
      <c r="A122" s="0" t="inlineStr">
        <is>
          <t>NYTimes-256</t>
        </is>
      </c>
      <c r="B122" s="0" t="inlineStr">
        <is>
          <t>I97</t>
        </is>
      </c>
      <c r="C122" s="0" t="inlineStr">
        <is>
          <t>vo_kb</t>
        </is>
      </c>
      <c r="D122" s="0" t="n">
        <v>4454.55816</v>
      </c>
      <c r="E122" s="0" t="n">
        <v>4454.55816</v>
      </c>
      <c r="F122" s="0" t="n">
        <v>1</v>
      </c>
      <c r="G122" s="0" t="inlineStr">
        <is>
          <t>预测</t>
        </is>
      </c>
    </row>
    <row r="123">
      <c r="A123" s="0" t="inlineStr">
        <is>
          <t>NYTimes-256</t>
        </is>
      </c>
      <c r="B123" s="0" t="inlineStr">
        <is>
          <t>I108</t>
        </is>
      </c>
      <c r="C123" s="0" t="inlineStr">
        <is>
          <t>verify_ms</t>
        </is>
      </c>
      <c r="D123" s="0" t="n">
        <v>137.936610601526</v>
      </c>
      <c r="E123" s="0" t="n">
        <v>133.616995879381</v>
      </c>
      <c r="F123" s="0" t="n">
        <v>0.968684059269636</v>
      </c>
      <c r="G123" s="0" t="inlineStr">
        <is>
          <t>预测</t>
        </is>
      </c>
    </row>
    <row r="124">
      <c r="A124" s="0" t="inlineStr">
        <is>
          <t>NYTimes-256</t>
        </is>
      </c>
      <c r="B124" s="0" t="inlineStr">
        <is>
          <t>I118</t>
        </is>
      </c>
      <c r="C124" s="0" t="inlineStr">
        <is>
          <t>query_ms</t>
        </is>
      </c>
      <c r="D124" s="0" t="n">
        <v>87878021.3668986</v>
      </c>
      <c r="E124" s="0" t="n">
        <v>91202978.3016434</v>
      </c>
      <c r="F124" s="0" t="n">
        <v>1.0378360468639</v>
      </c>
      <c r="G124" s="0" t="inlineStr">
        <is>
          <t>预测</t>
        </is>
      </c>
    </row>
    <row r="125">
      <c r="A125" s="0" t="inlineStr">
        <is>
          <t>NYTimes-256</t>
        </is>
      </c>
      <c r="B125" s="0" t="inlineStr">
        <is>
          <t>J97</t>
        </is>
      </c>
      <c r="C125" s="0" t="inlineStr">
        <is>
          <t>vo_kb</t>
        </is>
      </c>
      <c r="D125" s="0" t="n">
        <v>4454.79816</v>
      </c>
      <c r="E125" s="0" t="n">
        <v>4454.79816</v>
      </c>
      <c r="F125" s="0" t="n">
        <v>1</v>
      </c>
      <c r="G125" s="0" t="inlineStr">
        <is>
          <t>预测</t>
        </is>
      </c>
    </row>
    <row r="126">
      <c r="A126" s="0" t="inlineStr">
        <is>
          <t>NYTimes-256</t>
        </is>
      </c>
      <c r="B126" s="0" t="inlineStr">
        <is>
          <t>J108</t>
        </is>
      </c>
      <c r="C126" s="0" t="inlineStr">
        <is>
          <t>verify_ms</t>
        </is>
      </c>
      <c r="D126" s="0" t="n">
        <v>137.942332936274</v>
      </c>
      <c r="E126" s="0" t="n">
        <v>133.622467685421</v>
      </c>
      <c r="F126" s="0" t="n">
        <v>0.9686835421810031</v>
      </c>
      <c r="G126" s="0" t="inlineStr">
        <is>
          <t>预测</t>
        </is>
      </c>
    </row>
    <row r="127">
      <c r="A127" s="0" t="inlineStr">
        <is>
          <t>NYTimes-256</t>
        </is>
      </c>
      <c r="B127" s="0" t="inlineStr">
        <is>
          <t>J118</t>
        </is>
      </c>
      <c r="C127" s="0" t="inlineStr">
        <is>
          <t>query_ms</t>
        </is>
      </c>
      <c r="D127" s="0" t="n">
        <v>87878021.3668986</v>
      </c>
      <c r="E127" s="0" t="n">
        <v>91202978.3016434</v>
      </c>
      <c r="F127" s="0" t="n">
        <v>1.0378360468639</v>
      </c>
      <c r="G127" s="0" t="inlineStr">
        <is>
          <t>预测</t>
        </is>
      </c>
    </row>
    <row r="128">
      <c r="A128" s="0" t="inlineStr">
        <is>
          <t>NYTimes-256</t>
        </is>
      </c>
      <c r="B128" s="0" t="inlineStr">
        <is>
          <t>K97</t>
        </is>
      </c>
      <c r="C128" s="0" t="inlineStr">
        <is>
          <t>vo_kb</t>
        </is>
      </c>
      <c r="D128" s="0" t="n">
        <v>4455.19816</v>
      </c>
      <c r="E128" s="0" t="n">
        <v>4455.19816</v>
      </c>
      <c r="F128" s="0" t="n">
        <v>1</v>
      </c>
      <c r="G128" s="0" t="inlineStr">
        <is>
          <t>预测</t>
        </is>
      </c>
    </row>
    <row r="129">
      <c r="A129" s="0" t="inlineStr">
        <is>
          <t>NYTimes-256</t>
        </is>
      </c>
      <c r="B129" s="0" t="inlineStr">
        <is>
          <t>K108</t>
        </is>
      </c>
      <c r="C129" s="0" t="inlineStr">
        <is>
          <t>verify_ms</t>
        </is>
      </c>
      <c r="D129" s="0" t="n">
        <v>137.951870160853</v>
      </c>
      <c r="E129" s="0" t="n">
        <v>133.631587362154</v>
      </c>
      <c r="F129" s="0" t="n">
        <v>0.9686826804619511</v>
      </c>
      <c r="G129" s="0" t="inlineStr">
        <is>
          <t>预测</t>
        </is>
      </c>
    </row>
    <row r="130">
      <c r="A130" s="0" t="inlineStr">
        <is>
          <t>NYTimes-256</t>
        </is>
      </c>
      <c r="B130" s="0" t="inlineStr">
        <is>
          <t>K118</t>
        </is>
      </c>
      <c r="C130" s="0" t="inlineStr">
        <is>
          <t>query_ms</t>
        </is>
      </c>
      <c r="D130" s="0" t="n">
        <v>87878021.3668986</v>
      </c>
      <c r="E130" s="0" t="n">
        <v>91202978.3016434</v>
      </c>
      <c r="F130" s="0" t="n">
        <v>1.0378360468639</v>
      </c>
      <c r="G130" s="0" t="inlineStr">
        <is>
          <t>预测</t>
        </is>
      </c>
    </row>
    <row r="131">
      <c r="A131" s="0" t="inlineStr">
        <is>
          <t>NYTimes-256</t>
        </is>
      </c>
      <c r="B131" s="0" t="inlineStr">
        <is>
          <t>F64</t>
        </is>
      </c>
      <c r="C131" s="0" t="inlineStr">
        <is>
          <t>vo_kb</t>
        </is>
      </c>
      <c r="D131" s="0" t="n">
        <v>2336.75014666667</v>
      </c>
      <c r="E131" s="0" t="n">
        <v>2336.75014666667</v>
      </c>
      <c r="F131" s="0" t="n">
        <v>0.999999999999998</v>
      </c>
      <c r="G131" s="0" t="inlineStr">
        <is>
          <t>预测</t>
        </is>
      </c>
    </row>
    <row r="132">
      <c r="A132" s="0" t="inlineStr">
        <is>
          <t>NYTimes-256</t>
        </is>
      </c>
      <c r="B132" s="0" t="inlineStr">
        <is>
          <t>F75</t>
        </is>
      </c>
      <c r="C132" s="0" t="inlineStr">
        <is>
          <t>verify_ms</t>
        </is>
      </c>
      <c r="D132" s="0" t="n">
        <v>86.25437935866159</v>
      </c>
      <c r="E132" s="0" t="n">
        <v>84.13377660870459</v>
      </c>
      <c r="F132" s="0" t="n">
        <v>0.975414549780259</v>
      </c>
      <c r="G132" s="0" t="inlineStr">
        <is>
          <t>预测</t>
        </is>
      </c>
    </row>
    <row r="133">
      <c r="A133" s="0" t="inlineStr">
        <is>
          <t>NYTimes-256</t>
        </is>
      </c>
      <c r="B133" s="0" t="inlineStr">
        <is>
          <t>F85</t>
        </is>
      </c>
      <c r="C133" s="0" t="inlineStr">
        <is>
          <t>query_ms</t>
        </is>
      </c>
      <c r="D133" s="0" t="n">
        <v>42311639.9173956</v>
      </c>
      <c r="E133" s="0" t="n">
        <v>43912545.1081987</v>
      </c>
      <c r="F133" s="0" t="n">
        <v>1.0378360468639</v>
      </c>
      <c r="G133" s="0" t="inlineStr">
        <is>
          <t>预测</t>
        </is>
      </c>
    </row>
    <row r="134">
      <c r="A134" s="0" t="inlineStr">
        <is>
          <t>GloVe-100</t>
        </is>
      </c>
      <c r="B134" s="0" t="inlineStr">
        <is>
          <t>F12</t>
        </is>
      </c>
      <c r="C134" s="0" t="inlineStr">
        <is>
          <t>query_ms</t>
        </is>
      </c>
      <c r="D134" s="0" t="n">
        <v>86583889.1752442</v>
      </c>
      <c r="E134" s="0" t="n">
        <v>89902603.2294644</v>
      </c>
      <c r="F134" s="0" t="n">
        <v>1.03832946389718</v>
      </c>
      <c r="G134" s="0" t="inlineStr">
        <is>
          <t>预测</t>
        </is>
      </c>
    </row>
    <row r="135">
      <c r="A135" s="0" t="inlineStr">
        <is>
          <t>GloVe-100</t>
        </is>
      </c>
      <c r="B135" s="0" t="inlineStr">
        <is>
          <t>G12</t>
        </is>
      </c>
      <c r="C135" s="0" t="inlineStr">
        <is>
          <t>vo_kb</t>
        </is>
      </c>
      <c r="D135" s="0" t="n">
        <v>8668.014160000001</v>
      </c>
      <c r="E135" s="0" t="n">
        <v>8668.014160000001</v>
      </c>
      <c r="F135" s="0" t="n">
        <v>1</v>
      </c>
      <c r="G135" s="0" t="inlineStr">
        <is>
          <t>预测</t>
        </is>
      </c>
    </row>
    <row r="136">
      <c r="A136" s="0" t="inlineStr">
        <is>
          <t>GloVe-100</t>
        </is>
      </c>
      <c r="B136" s="0" t="inlineStr">
        <is>
          <t>H12</t>
        </is>
      </c>
      <c r="C136" s="0" t="inlineStr">
        <is>
          <t>verify_ms</t>
        </is>
      </c>
      <c r="D136" s="0" t="n">
        <v>238.398300914362</v>
      </c>
      <c r="E136" s="0" t="n">
        <v>229.680387501358</v>
      </c>
      <c r="F136" s="0" t="n">
        <v>0.963431310627774</v>
      </c>
      <c r="G136" s="0" t="inlineStr">
        <is>
          <t>预测</t>
        </is>
      </c>
    </row>
    <row r="137">
      <c r="A137" s="0" t="inlineStr">
        <is>
          <t>GloVe-100</t>
        </is>
      </c>
      <c r="B137" s="0" t="inlineStr">
        <is>
          <t>G134</t>
        </is>
      </c>
      <c r="C137" s="0" t="inlineStr">
        <is>
          <t>query_ms</t>
        </is>
      </c>
      <c r="D137" s="0" t="n">
        <v>86583889.1752442</v>
      </c>
      <c r="E137" s="0" t="n">
        <v>89902603.2294644</v>
      </c>
      <c r="F137" s="0" t="n">
        <v>1.03832946389718</v>
      </c>
      <c r="G137" s="0" t="inlineStr">
        <is>
          <t>预测</t>
        </is>
      </c>
    </row>
    <row r="138">
      <c r="A138" s="0" t="inlineStr">
        <is>
          <t>GloVe-100</t>
        </is>
      </c>
      <c r="B138" s="0" t="inlineStr">
        <is>
          <t>H134</t>
        </is>
      </c>
      <c r="C138" s="0" t="inlineStr">
        <is>
          <t>vo_kb</t>
        </is>
      </c>
      <c r="D138" s="0" t="n">
        <v>8668.014160000001</v>
      </c>
      <c r="E138" s="0" t="n">
        <v>8668.014160000001</v>
      </c>
      <c r="F138" s="0" t="n">
        <v>1</v>
      </c>
      <c r="G138" s="0" t="inlineStr">
        <is>
          <t>预测</t>
        </is>
      </c>
    </row>
    <row r="139">
      <c r="A139" s="0" t="inlineStr">
        <is>
          <t>GloVe-100</t>
        </is>
      </c>
      <c r="B139" s="0" t="inlineStr">
        <is>
          <t>I134</t>
        </is>
      </c>
      <c r="C139" s="0" t="inlineStr">
        <is>
          <t>verify_ms</t>
        </is>
      </c>
      <c r="D139" s="0" t="n">
        <v>238.398300914362</v>
      </c>
      <c r="E139" s="0" t="n">
        <v>229.680387501358</v>
      </c>
      <c r="F139" s="0" t="n">
        <v>0.963431310627774</v>
      </c>
      <c r="G139" s="0" t="inlineStr">
        <is>
          <t>预测</t>
        </is>
      </c>
    </row>
    <row r="140">
      <c r="A140" s="0" t="inlineStr">
        <is>
          <t>GloVe-100</t>
        </is>
      </c>
      <c r="B140" s="0" t="inlineStr">
        <is>
          <t>F27</t>
        </is>
      </c>
      <c r="C140" s="0" t="inlineStr">
        <is>
          <t>vo_kb</t>
        </is>
      </c>
      <c r="D140" s="0" t="n">
        <v>770.542106666667</v>
      </c>
      <c r="E140" s="0" t="n">
        <v>770.542106666667</v>
      </c>
      <c r="F140" s="0" t="n">
        <v>1</v>
      </c>
      <c r="G140" s="0" t="inlineStr">
        <is>
          <t>预测</t>
        </is>
      </c>
    </row>
    <row r="141">
      <c r="A141" s="0" t="inlineStr">
        <is>
          <t>GloVe-100</t>
        </is>
      </c>
      <c r="B141" s="0" t="inlineStr">
        <is>
          <t>F39</t>
        </is>
      </c>
      <c r="C141" s="0" t="inlineStr">
        <is>
          <t>verify_ms</t>
        </is>
      </c>
      <c r="D141" s="0" t="n">
        <v>45.3495708788156</v>
      </c>
      <c r="E141" s="0" t="n">
        <v>44.8287747244907</v>
      </c>
      <c r="F141" s="0" t="n">
        <v>0.988515962902569</v>
      </c>
      <c r="G141" s="0" t="inlineStr">
        <is>
          <t>预测</t>
        </is>
      </c>
    </row>
    <row r="142">
      <c r="A142" s="0" t="inlineStr">
        <is>
          <t>GloVe-100</t>
        </is>
      </c>
      <c r="B142" s="0" t="inlineStr">
        <is>
          <t>F51</t>
        </is>
      </c>
      <c r="C142" s="0" t="inlineStr">
        <is>
          <t>query_ms</t>
        </is>
      </c>
      <c r="D142" s="0" t="n">
        <v>4609251.2992824</v>
      </c>
      <c r="E142" s="0" t="n">
        <v>4785939.49323917</v>
      </c>
      <c r="F142" s="0" t="n">
        <v>1.03833338268718</v>
      </c>
      <c r="G142" s="0" t="inlineStr">
        <is>
          <t>预测</t>
        </is>
      </c>
    </row>
    <row r="143">
      <c r="A143" s="0" t="inlineStr">
        <is>
          <t>GloVe-100</t>
        </is>
      </c>
      <c r="B143" s="0" t="inlineStr">
        <is>
          <t>G27</t>
        </is>
      </c>
      <c r="C143" s="0" t="inlineStr">
        <is>
          <t>vo_kb</t>
        </is>
      </c>
      <c r="D143" s="0" t="n">
        <v>770.542106666667</v>
      </c>
      <c r="E143" s="0" t="n">
        <v>770.542106666667</v>
      </c>
      <c r="F143" s="0" t="n">
        <v>1</v>
      </c>
      <c r="G143" s="0" t="inlineStr">
        <is>
          <t>预测</t>
        </is>
      </c>
    </row>
    <row r="144">
      <c r="A144" s="0" t="inlineStr">
        <is>
          <t>GloVe-100</t>
        </is>
      </c>
      <c r="B144" s="0" t="inlineStr">
        <is>
          <t>G39</t>
        </is>
      </c>
      <c r="C144" s="0" t="inlineStr">
        <is>
          <t>verify_ms</t>
        </is>
      </c>
      <c r="D144" s="0" t="n">
        <v>45.3495708788156</v>
      </c>
      <c r="E144" s="0" t="n">
        <v>44.8287747244907</v>
      </c>
      <c r="F144" s="0" t="n">
        <v>0.988515962902569</v>
      </c>
      <c r="G144" s="0" t="inlineStr">
        <is>
          <t>预测</t>
        </is>
      </c>
    </row>
    <row r="145">
      <c r="A145" s="0" t="inlineStr">
        <is>
          <t>GloVe-100</t>
        </is>
      </c>
      <c r="B145" s="0" t="inlineStr">
        <is>
          <t>G51</t>
        </is>
      </c>
      <c r="C145" s="0" t="inlineStr">
        <is>
          <t>query_ms</t>
        </is>
      </c>
      <c r="D145" s="0" t="n">
        <v>4609251.2992824</v>
      </c>
      <c r="E145" s="0" t="n">
        <v>4785939.49323917</v>
      </c>
      <c r="F145" s="0" t="n">
        <v>1.03833338268718</v>
      </c>
      <c r="G145" s="0" t="inlineStr">
        <is>
          <t>预测</t>
        </is>
      </c>
    </row>
    <row r="146">
      <c r="A146" s="0" t="inlineStr">
        <is>
          <t>GloVe-100</t>
        </is>
      </c>
      <c r="B146" s="0" t="inlineStr">
        <is>
          <t>H27</t>
        </is>
      </c>
      <c r="C146" s="0" t="inlineStr">
        <is>
          <t>vo_kb</t>
        </is>
      </c>
      <c r="D146" s="0" t="n">
        <v>1303.11812</v>
      </c>
      <c r="E146" s="0" t="n">
        <v>1303.11812</v>
      </c>
      <c r="F146" s="0" t="n">
        <v>1</v>
      </c>
      <c r="G146" s="0" t="inlineStr">
        <is>
          <t>预测</t>
        </is>
      </c>
    </row>
    <row r="147">
      <c r="A147" s="0" t="inlineStr">
        <is>
          <t>GloVe-100</t>
        </is>
      </c>
      <c r="B147" s="0" t="inlineStr">
        <is>
          <t>H39</t>
        </is>
      </c>
      <c r="C147" s="0" t="inlineStr">
        <is>
          <t>verify_ms</t>
        </is>
      </c>
      <c r="D147" s="0" t="n">
        <v>59.2350181377023</v>
      </c>
      <c r="E147" s="0" t="n">
        <v>58.1699855280826</v>
      </c>
      <c r="F147" s="0" t="n">
        <v>0.982020219743263</v>
      </c>
      <c r="G147" s="0" t="inlineStr">
        <is>
          <t>预测</t>
        </is>
      </c>
    </row>
    <row r="148">
      <c r="A148" s="0" t="inlineStr">
        <is>
          <t>GloVe-100</t>
        </is>
      </c>
      <c r="B148" s="0" t="inlineStr">
        <is>
          <t>H51</t>
        </is>
      </c>
      <c r="C148" s="0" t="inlineStr">
        <is>
          <t>query_ms</t>
        </is>
      </c>
      <c r="D148" s="0" t="n">
        <v>9619623.485649981</v>
      </c>
      <c r="E148" s="0" t="n">
        <v>9988365.590779509</v>
      </c>
      <c r="F148" s="0" t="n">
        <v>1.03833228043484</v>
      </c>
      <c r="G148" s="0" t="inlineStr">
        <is>
          <t>预测</t>
        </is>
      </c>
    </row>
    <row r="149">
      <c r="A149" s="0" t="inlineStr">
        <is>
          <t>GloVe-100</t>
        </is>
      </c>
      <c r="B149" s="0" t="inlineStr">
        <is>
          <t>I27</t>
        </is>
      </c>
      <c r="C149" s="0" t="inlineStr">
        <is>
          <t>vo_kb</t>
        </is>
      </c>
      <c r="D149" s="0" t="n">
        <v>1303.11812</v>
      </c>
      <c r="E149" s="0" t="n">
        <v>1303.11812</v>
      </c>
      <c r="F149" s="0" t="n">
        <v>1</v>
      </c>
      <c r="G149" s="0" t="inlineStr">
        <is>
          <t>预测</t>
        </is>
      </c>
    </row>
    <row r="150">
      <c r="A150" s="0" t="inlineStr">
        <is>
          <t>GloVe-100</t>
        </is>
      </c>
      <c r="B150" s="0" t="inlineStr">
        <is>
          <t>I39</t>
        </is>
      </c>
      <c r="C150" s="0" t="inlineStr">
        <is>
          <t>verify_ms</t>
        </is>
      </c>
      <c r="D150" s="0" t="n">
        <v>59.2350181377023</v>
      </c>
      <c r="E150" s="0" t="n">
        <v>58.1699855280826</v>
      </c>
      <c r="F150" s="0" t="n">
        <v>0.982020219743263</v>
      </c>
      <c r="G150" s="0" t="inlineStr">
        <is>
          <t>预测</t>
        </is>
      </c>
    </row>
    <row r="151">
      <c r="A151" s="0" t="inlineStr">
        <is>
          <t>GloVe-100</t>
        </is>
      </c>
      <c r="B151" s="0" t="inlineStr">
        <is>
          <t>I51</t>
        </is>
      </c>
      <c r="C151" s="0" t="inlineStr">
        <is>
          <t>query_ms</t>
        </is>
      </c>
      <c r="D151" s="0" t="n">
        <v>9619623.485649981</v>
      </c>
      <c r="E151" s="0" t="n">
        <v>9988365.590779509</v>
      </c>
      <c r="F151" s="0" t="n">
        <v>1.03833228043484</v>
      </c>
      <c r="G151" s="0" t="inlineStr">
        <is>
          <t>预测</t>
        </is>
      </c>
    </row>
    <row r="152">
      <c r="A152" s="0" t="inlineStr">
        <is>
          <t>GloVe-100</t>
        </is>
      </c>
      <c r="B152" s="0" t="inlineStr">
        <is>
          <t>J27</t>
        </is>
      </c>
      <c r="C152" s="0" t="inlineStr">
        <is>
          <t>vo_kb</t>
        </is>
      </c>
      <c r="D152" s="0" t="n">
        <v>2359.98213333333</v>
      </c>
      <c r="E152" s="0" t="n">
        <v>2359.98213333333</v>
      </c>
      <c r="F152" s="0" t="n">
        <v>1</v>
      </c>
      <c r="G152" s="0" t="inlineStr">
        <is>
          <t>预测</t>
        </is>
      </c>
    </row>
    <row r="153">
      <c r="A153" s="0" t="inlineStr">
        <is>
          <t>GloVe-100</t>
        </is>
      </c>
      <c r="B153" s="0" t="inlineStr">
        <is>
          <t>J39</t>
        </is>
      </c>
      <c r="C153" s="0" t="inlineStr">
        <is>
          <t>verify_ms</t>
        </is>
      </c>
      <c r="D153" s="0" t="n">
        <v>85.6210963965889</v>
      </c>
      <c r="E153" s="0" t="n">
        <v>83.4645390191745</v>
      </c>
      <c r="F153" s="0" t="n">
        <v>0.974812780165469</v>
      </c>
      <c r="G153" s="0" t="inlineStr">
        <is>
          <t>预测</t>
        </is>
      </c>
    </row>
    <row r="154">
      <c r="A154" s="0" t="inlineStr">
        <is>
          <t>GloVe-100</t>
        </is>
      </c>
      <c r="B154" s="0" t="inlineStr">
        <is>
          <t>J51</t>
        </is>
      </c>
      <c r="C154" s="0" t="inlineStr">
        <is>
          <t>query_ms</t>
        </is>
      </c>
      <c r="D154" s="0" t="n">
        <v>20041488.7454703</v>
      </c>
      <c r="E154" s="0" t="n">
        <v>20809704.3901614</v>
      </c>
      <c r="F154" s="0" t="n">
        <v>1.03833126642674</v>
      </c>
      <c r="G154" s="0" t="inlineStr">
        <is>
          <t>预测</t>
        </is>
      </c>
    </row>
    <row r="155">
      <c r="A155" s="0" t="inlineStr">
        <is>
          <t>GloVe-100</t>
        </is>
      </c>
      <c r="B155" s="0" t="inlineStr">
        <is>
          <t>K27</t>
        </is>
      </c>
      <c r="C155" s="0" t="inlineStr">
        <is>
          <t>vo_kb</t>
        </is>
      </c>
      <c r="D155" s="0" t="n">
        <v>2359.98213333333</v>
      </c>
      <c r="E155" s="0" t="n">
        <v>2359.98213333333</v>
      </c>
      <c r="F155" s="0" t="n">
        <v>1</v>
      </c>
      <c r="G155" s="0" t="inlineStr">
        <is>
          <t>预测</t>
        </is>
      </c>
    </row>
    <row r="156">
      <c r="A156" s="0" t="inlineStr">
        <is>
          <t>GloVe-100</t>
        </is>
      </c>
      <c r="B156" s="0" t="inlineStr">
        <is>
          <t>K39</t>
        </is>
      </c>
      <c r="C156" s="0" t="inlineStr">
        <is>
          <t>verify_ms</t>
        </is>
      </c>
      <c r="D156" s="0" t="n">
        <v>85.6210963965889</v>
      </c>
      <c r="E156" s="0" t="n">
        <v>83.4645390191745</v>
      </c>
      <c r="F156" s="0" t="n">
        <v>0.974812780165469</v>
      </c>
      <c r="G156" s="0" t="inlineStr">
        <is>
          <t>预测</t>
        </is>
      </c>
    </row>
    <row r="157">
      <c r="A157" s="0" t="inlineStr">
        <is>
          <t>GloVe-100</t>
        </is>
      </c>
      <c r="B157" s="0" t="inlineStr">
        <is>
          <t>K51</t>
        </is>
      </c>
      <c r="C157" s="0" t="inlineStr">
        <is>
          <t>query_ms</t>
        </is>
      </c>
      <c r="D157" s="0" t="n">
        <v>20041488.7454703</v>
      </c>
      <c r="E157" s="0" t="n">
        <v>20809704.3901614</v>
      </c>
      <c r="F157" s="0" t="n">
        <v>1.03833126642674</v>
      </c>
      <c r="G157" s="0" t="inlineStr">
        <is>
          <t>预测</t>
        </is>
      </c>
    </row>
    <row r="158">
      <c r="A158" s="0" t="inlineStr">
        <is>
          <t>GloVe-100</t>
        </is>
      </c>
      <c r="B158" s="0" t="inlineStr">
        <is>
          <t>L27</t>
        </is>
      </c>
      <c r="C158" s="0" t="inlineStr">
        <is>
          <t>vo_kb</t>
        </is>
      </c>
      <c r="D158" s="0" t="n">
        <v>4465.42214666667</v>
      </c>
      <c r="E158" s="0" t="n">
        <v>4465.42214666667</v>
      </c>
      <c r="F158" s="0" t="n">
        <v>0.999999999999999</v>
      </c>
      <c r="G158" s="0" t="inlineStr">
        <is>
          <t>预测</t>
        </is>
      </c>
    </row>
    <row r="159">
      <c r="A159" s="0" t="inlineStr">
        <is>
          <t>GloVe-100</t>
        </is>
      </c>
      <c r="B159" s="0" t="inlineStr">
        <is>
          <t>L39</t>
        </is>
      </c>
      <c r="C159" s="0" t="inlineStr">
        <is>
          <t>verify_ms</t>
        </is>
      </c>
      <c r="D159" s="0" t="n">
        <v>137.008436655475</v>
      </c>
      <c r="E159" s="0" t="n">
        <v>132.665777885266</v>
      </c>
      <c r="F159" s="0" t="n">
        <v>0.968303712703993</v>
      </c>
      <c r="G159" s="0" t="inlineStr">
        <is>
          <t>预测</t>
        </is>
      </c>
    </row>
    <row r="160">
      <c r="A160" s="0" t="inlineStr">
        <is>
          <t>GloVe-100</t>
        </is>
      </c>
      <c r="B160" s="0" t="inlineStr">
        <is>
          <t>L51</t>
        </is>
      </c>
      <c r="C160" s="0" t="inlineStr">
        <is>
          <t>query_ms</t>
        </is>
      </c>
      <c r="D160" s="0" t="n">
        <v>41687461.0392814</v>
      </c>
      <c r="E160" s="0" t="n">
        <v>43285355.1975275</v>
      </c>
      <c r="F160" s="0" t="n">
        <v>1.03833033047372</v>
      </c>
      <c r="G160" s="0" t="inlineStr">
        <is>
          <t>预测</t>
        </is>
      </c>
    </row>
    <row r="161">
      <c r="A161" s="0" t="inlineStr">
        <is>
          <t>GloVe-100</t>
        </is>
      </c>
      <c r="B161" s="0" t="inlineStr">
        <is>
          <t>M27</t>
        </is>
      </c>
      <c r="C161" s="0" t="inlineStr">
        <is>
          <t>vo_kb</t>
        </is>
      </c>
      <c r="D161" s="0" t="n">
        <v>8668.014160000001</v>
      </c>
      <c r="E161" s="0" t="n">
        <v>8668.014160000001</v>
      </c>
      <c r="F161" s="0" t="n">
        <v>1</v>
      </c>
      <c r="G161" s="0" t="inlineStr">
        <is>
          <t>预测</t>
        </is>
      </c>
    </row>
    <row r="162">
      <c r="A162" s="0" t="inlineStr">
        <is>
          <t>GloVe-100</t>
        </is>
      </c>
      <c r="B162" s="0" t="inlineStr">
        <is>
          <t>M39</t>
        </is>
      </c>
      <c r="C162" s="0" t="inlineStr">
        <is>
          <t>verify_ms</t>
        </is>
      </c>
      <c r="D162" s="0" t="n">
        <v>238.398300914362</v>
      </c>
      <c r="E162" s="0" t="n">
        <v>229.680387501358</v>
      </c>
      <c r="F162" s="0" t="n">
        <v>0.963431310627774</v>
      </c>
      <c r="G162" s="0" t="inlineStr">
        <is>
          <t>预测</t>
        </is>
      </c>
    </row>
    <row r="163">
      <c r="A163" s="0" t="inlineStr">
        <is>
          <t>GloVe-100</t>
        </is>
      </c>
      <c r="B163" s="0" t="inlineStr">
        <is>
          <t>M51</t>
        </is>
      </c>
      <c r="C163" s="0" t="inlineStr">
        <is>
          <t>query_ms</t>
        </is>
      </c>
      <c r="D163" s="0" t="n">
        <v>86583889.1752442</v>
      </c>
      <c r="E163" s="0" t="n">
        <v>89902603.2294644</v>
      </c>
      <c r="F163" s="0" t="n">
        <v>1.03832946389718</v>
      </c>
      <c r="G163" s="0" t="inlineStr">
        <is>
          <t>预测</t>
        </is>
      </c>
    </row>
    <row r="164">
      <c r="A164" s="0" t="inlineStr">
        <is>
          <t>GloVe-100</t>
        </is>
      </c>
      <c r="B164" s="0" t="inlineStr">
        <is>
          <t>N27</t>
        </is>
      </c>
      <c r="C164" s="0" t="inlineStr">
        <is>
          <t>vo_kb</t>
        </is>
      </c>
      <c r="D164" s="0" t="n">
        <v>17064.9101733333</v>
      </c>
      <c r="E164" s="0" t="n">
        <v>17064.9101733333</v>
      </c>
      <c r="F164" s="0" t="n">
        <v>1</v>
      </c>
      <c r="G164" s="0" t="inlineStr">
        <is>
          <t>预测</t>
        </is>
      </c>
    </row>
    <row r="165">
      <c r="A165" s="0" t="inlineStr">
        <is>
          <t>GloVe-100</t>
        </is>
      </c>
      <c r="B165" s="0" t="inlineStr">
        <is>
          <t>N39</t>
        </is>
      </c>
      <c r="C165" s="0" t="inlineStr">
        <is>
          <t>verify_ms</t>
        </is>
      </c>
      <c r="D165" s="0" t="n">
        <v>439.793213173249</v>
      </c>
      <c r="E165" s="0" t="n">
        <v>422.32173861745</v>
      </c>
      <c r="F165" s="0" t="n">
        <v>0.96027343298516</v>
      </c>
      <c r="G165" s="0" t="inlineStr">
        <is>
          <t>预测</t>
        </is>
      </c>
    </row>
    <row r="166">
      <c r="A166" s="0" t="inlineStr">
        <is>
          <t>GloVe-100</t>
        </is>
      </c>
      <c r="B166" s="0" t="inlineStr">
        <is>
          <t>N51</t>
        </is>
      </c>
      <c r="C166" s="0" t="inlineStr">
        <is>
          <t>query_ms</t>
        </is>
      </c>
      <c r="D166" s="0" t="n">
        <v>179585712.543851</v>
      </c>
      <c r="E166" s="0" t="n">
        <v>186468992.127748</v>
      </c>
      <c r="F166" s="0" t="n">
        <v>1.0383286592591</v>
      </c>
      <c r="G166" s="0" t="inlineStr">
        <is>
          <t>预测</t>
        </is>
      </c>
    </row>
    <row r="167">
      <c r="A167" s="0" t="inlineStr">
        <is>
          <t>GloVe-100</t>
        </is>
      </c>
      <c r="B167" s="0" t="inlineStr">
        <is>
          <t>O27</t>
        </is>
      </c>
      <c r="C167" s="0" t="inlineStr">
        <is>
          <t>vo_kb</t>
        </is>
      </c>
      <c r="D167" s="0" t="n">
        <v>17064.9101733333</v>
      </c>
      <c r="E167" s="0" t="n">
        <v>17064.9101733333</v>
      </c>
      <c r="F167" s="0" t="n">
        <v>1</v>
      </c>
      <c r="G167" s="0" t="inlineStr">
        <is>
          <t>预测</t>
        </is>
      </c>
    </row>
    <row r="168">
      <c r="A168" s="0" t="inlineStr">
        <is>
          <t>GloVe-100</t>
        </is>
      </c>
      <c r="B168" s="0" t="inlineStr">
        <is>
          <t>O39</t>
        </is>
      </c>
      <c r="C168" s="0" t="inlineStr">
        <is>
          <t>verify_ms</t>
        </is>
      </c>
      <c r="D168" s="0" t="n">
        <v>439.793213173249</v>
      </c>
      <c r="E168" s="0" t="n">
        <v>422.32173861745</v>
      </c>
      <c r="F168" s="0" t="n">
        <v>0.96027343298516</v>
      </c>
      <c r="G168" s="0" t="inlineStr">
        <is>
          <t>预测</t>
        </is>
      </c>
    </row>
    <row r="169">
      <c r="A169" s="0" t="inlineStr">
        <is>
          <t>GloVe-100</t>
        </is>
      </c>
      <c r="B169" s="0" t="inlineStr">
        <is>
          <t>O51</t>
        </is>
      </c>
      <c r="C169" s="0" t="inlineStr">
        <is>
          <t>query_ms</t>
        </is>
      </c>
      <c r="D169" s="0" t="n">
        <v>179585712.543851</v>
      </c>
      <c r="E169" s="0" t="n">
        <v>186468992.127748</v>
      </c>
      <c r="F169" s="0" t="n">
        <v>1.0383286592591</v>
      </c>
      <c r="G169" s="0" t="inlineStr">
        <is>
          <t>预测</t>
        </is>
      </c>
    </row>
    <row r="170">
      <c r="A170" s="0" t="inlineStr">
        <is>
          <t>GloVe-100</t>
        </is>
      </c>
      <c r="B170" s="0" t="inlineStr">
        <is>
          <t>F97</t>
        </is>
      </c>
      <c r="C170" s="0" t="inlineStr">
        <is>
          <t>vo_kb</t>
        </is>
      </c>
      <c r="D170" s="0" t="n">
        <v>8667.942160000001</v>
      </c>
      <c r="E170" s="0" t="n">
        <v>8667.942160000001</v>
      </c>
      <c r="F170" s="0" t="n">
        <v>1</v>
      </c>
      <c r="G170" s="0" t="inlineStr">
        <is>
          <t>预测</t>
        </is>
      </c>
    </row>
    <row r="171">
      <c r="A171" s="0" t="inlineStr">
        <is>
          <t>GloVe-100</t>
        </is>
      </c>
      <c r="B171" s="0" t="inlineStr">
        <is>
          <t>F108</t>
        </is>
      </c>
      <c r="C171" s="0" t="inlineStr">
        <is>
          <t>verify_ms</t>
        </is>
      </c>
      <c r="D171" s="0" t="n">
        <v>238.396584213938</v>
      </c>
      <c r="E171" s="0" t="n">
        <v>229.678745959546</v>
      </c>
      <c r="F171" s="0" t="n">
        <v>0.9634313625627779</v>
      </c>
      <c r="G171" s="0" t="inlineStr">
        <is>
          <t>预测</t>
        </is>
      </c>
    </row>
    <row r="172">
      <c r="A172" s="0" t="inlineStr">
        <is>
          <t>GloVe-100</t>
        </is>
      </c>
      <c r="B172" s="0" t="inlineStr">
        <is>
          <t>F118</t>
        </is>
      </c>
      <c r="C172" s="0" t="inlineStr">
        <is>
          <t>query_ms</t>
        </is>
      </c>
      <c r="D172" s="0" t="n">
        <v>86583889.1752442</v>
      </c>
      <c r="E172" s="0" t="n">
        <v>89902603.2294644</v>
      </c>
      <c r="F172" s="0" t="n">
        <v>1.03832946389718</v>
      </c>
      <c r="G172" s="0" t="inlineStr">
        <is>
          <t>预测</t>
        </is>
      </c>
    </row>
    <row r="173">
      <c r="A173" s="0" t="inlineStr">
        <is>
          <t>GloVe-100</t>
        </is>
      </c>
      <c r="B173" s="0" t="inlineStr">
        <is>
          <t>G97</t>
        </is>
      </c>
      <c r="C173" s="0" t="inlineStr">
        <is>
          <t>vo_kb</t>
        </is>
      </c>
      <c r="D173" s="0" t="n">
        <v>8667.97416</v>
      </c>
      <c r="E173" s="0" t="n">
        <v>8667.97416</v>
      </c>
      <c r="F173" s="0" t="n">
        <v>1</v>
      </c>
      <c r="G173" s="0" t="inlineStr">
        <is>
          <t>预测</t>
        </is>
      </c>
    </row>
    <row r="174">
      <c r="A174" s="0" t="inlineStr">
        <is>
          <t>GloVe-100</t>
        </is>
      </c>
      <c r="B174" s="0" t="inlineStr">
        <is>
          <t>G108</t>
        </is>
      </c>
      <c r="C174" s="0" t="inlineStr">
        <is>
          <t>verify_ms</t>
        </is>
      </c>
      <c r="D174" s="0" t="n">
        <v>238.397347191904</v>
      </c>
      <c r="E174" s="0" t="n">
        <v>229.679475533685</v>
      </c>
      <c r="F174" s="0" t="n">
        <v>0.963431339480462</v>
      </c>
      <c r="G174" s="0" t="inlineStr">
        <is>
          <t>预测</t>
        </is>
      </c>
    </row>
    <row r="175">
      <c r="A175" s="0" t="inlineStr">
        <is>
          <t>GloVe-100</t>
        </is>
      </c>
      <c r="B175" s="0" t="inlineStr">
        <is>
          <t>G118</t>
        </is>
      </c>
      <c r="C175" s="0" t="inlineStr">
        <is>
          <t>query_ms</t>
        </is>
      </c>
      <c r="D175" s="0" t="n">
        <v>86583889.1752442</v>
      </c>
      <c r="E175" s="0" t="n">
        <v>89902603.2294644</v>
      </c>
      <c r="F175" s="0" t="n">
        <v>1.03832946389718</v>
      </c>
      <c r="G175" s="0" t="inlineStr">
        <is>
          <t>预测</t>
        </is>
      </c>
    </row>
    <row r="176">
      <c r="A176" s="0" t="inlineStr">
        <is>
          <t>GloVe-100</t>
        </is>
      </c>
      <c r="B176" s="0" t="inlineStr">
        <is>
          <t>H97</t>
        </is>
      </c>
      <c r="C176" s="0" t="inlineStr">
        <is>
          <t>vo_kb</t>
        </is>
      </c>
      <c r="D176" s="0" t="n">
        <v>8668.014160000001</v>
      </c>
      <c r="E176" s="0" t="n">
        <v>8668.014160000001</v>
      </c>
      <c r="F176" s="0" t="n">
        <v>1</v>
      </c>
      <c r="G176" s="0" t="inlineStr">
        <is>
          <t>预测</t>
        </is>
      </c>
    </row>
    <row r="177">
      <c r="A177" s="0" t="inlineStr">
        <is>
          <t>GloVe-100</t>
        </is>
      </c>
      <c r="B177" s="0" t="inlineStr">
        <is>
          <t>H108</t>
        </is>
      </c>
      <c r="C177" s="0" t="inlineStr">
        <is>
          <t>verify_ms</t>
        </is>
      </c>
      <c r="D177" s="0" t="n">
        <v>238.398300914362</v>
      </c>
      <c r="E177" s="0" t="n">
        <v>229.680387501358</v>
      </c>
      <c r="F177" s="0" t="n">
        <v>0.963431310627774</v>
      </c>
      <c r="G177" s="0" t="inlineStr">
        <is>
          <t>预测</t>
        </is>
      </c>
    </row>
    <row r="178">
      <c r="A178" s="0" t="inlineStr">
        <is>
          <t>GloVe-100</t>
        </is>
      </c>
      <c r="B178" s="0" t="inlineStr">
        <is>
          <t>H118</t>
        </is>
      </c>
      <c r="C178" s="0" t="inlineStr">
        <is>
          <t>query_ms</t>
        </is>
      </c>
      <c r="D178" s="0" t="n">
        <v>86583889.1752442</v>
      </c>
      <c r="E178" s="0" t="n">
        <v>89902603.2294644</v>
      </c>
      <c r="F178" s="0" t="n">
        <v>1.03832946389718</v>
      </c>
      <c r="G178" s="0" t="inlineStr">
        <is>
          <t>预测</t>
        </is>
      </c>
    </row>
    <row r="179">
      <c r="A179" s="0" t="inlineStr">
        <is>
          <t>GloVe-100</t>
        </is>
      </c>
      <c r="B179" s="0" t="inlineStr">
        <is>
          <t>I97</t>
        </is>
      </c>
      <c r="C179" s="0" t="inlineStr">
        <is>
          <t>vo_kb</t>
        </is>
      </c>
      <c r="D179" s="0" t="n">
        <v>8668.094160000001</v>
      </c>
      <c r="E179" s="0" t="n">
        <v>8668.094160000001</v>
      </c>
      <c r="F179" s="0" t="n">
        <v>1</v>
      </c>
      <c r="G179" s="0" t="inlineStr">
        <is>
          <t>预测</t>
        </is>
      </c>
    </row>
    <row r="180">
      <c r="A180" s="0" t="inlineStr">
        <is>
          <t>GloVe-100</t>
        </is>
      </c>
      <c r="B180" s="0" t="inlineStr">
        <is>
          <t>I108</t>
        </is>
      </c>
      <c r="C180" s="0" t="inlineStr">
        <is>
          <t>verify_ms</t>
        </is>
      </c>
      <c r="D180" s="0" t="n">
        <v>238.400208359278</v>
      </c>
      <c r="E180" s="0" t="n">
        <v>229.682211436705</v>
      </c>
      <c r="F180" s="0" t="n">
        <v>0.96343125292309</v>
      </c>
      <c r="G180" s="0" t="inlineStr">
        <is>
          <t>预测</t>
        </is>
      </c>
    </row>
    <row r="181">
      <c r="A181" s="0" t="inlineStr">
        <is>
          <t>GloVe-100</t>
        </is>
      </c>
      <c r="B181" s="0" t="inlineStr">
        <is>
          <t>I118</t>
        </is>
      </c>
      <c r="C181" s="0" t="inlineStr">
        <is>
          <t>query_ms</t>
        </is>
      </c>
      <c r="D181" s="0" t="n">
        <v>86583889.1752442</v>
      </c>
      <c r="E181" s="0" t="n">
        <v>89902603.2294644</v>
      </c>
      <c r="F181" s="0" t="n">
        <v>1.03832946389718</v>
      </c>
      <c r="G181" s="0" t="inlineStr">
        <is>
          <t>预测</t>
        </is>
      </c>
    </row>
    <row r="182">
      <c r="A182" s="0" t="inlineStr">
        <is>
          <t>GloVe-100</t>
        </is>
      </c>
      <c r="B182" s="0" t="inlineStr">
        <is>
          <t>J97</t>
        </is>
      </c>
      <c r="C182" s="0" t="inlineStr">
        <is>
          <t>vo_kb</t>
        </is>
      </c>
      <c r="D182" s="0" t="n">
        <v>8668.33416</v>
      </c>
      <c r="E182" s="0" t="n">
        <v>8668.33416</v>
      </c>
      <c r="F182" s="0" t="n">
        <v>1</v>
      </c>
      <c r="G182" s="0" t="inlineStr">
        <is>
          <t>预测</t>
        </is>
      </c>
    </row>
    <row r="183">
      <c r="A183" s="0" t="inlineStr">
        <is>
          <t>GloVe-100</t>
        </is>
      </c>
      <c r="B183" s="0" t="inlineStr">
        <is>
          <t>J108</t>
        </is>
      </c>
      <c r="C183" s="0" t="inlineStr">
        <is>
          <t>verify_ms</t>
        </is>
      </c>
      <c r="D183" s="0" t="n">
        <v>238.405930694025</v>
      </c>
      <c r="E183" s="0" t="n">
        <v>229.687683242745</v>
      </c>
      <c r="F183" s="0" t="n">
        <v>0.963431079814581</v>
      </c>
      <c r="G183" s="0" t="inlineStr">
        <is>
          <t>预测</t>
        </is>
      </c>
    </row>
    <row r="184">
      <c r="A184" s="0" t="inlineStr">
        <is>
          <t>GloVe-100</t>
        </is>
      </c>
      <c r="B184" s="0" t="inlineStr">
        <is>
          <t>J118</t>
        </is>
      </c>
      <c r="C184" s="0" t="inlineStr">
        <is>
          <t>query_ms</t>
        </is>
      </c>
      <c r="D184" s="0" t="n">
        <v>86583889.1752442</v>
      </c>
      <c r="E184" s="0" t="n">
        <v>89902603.2294644</v>
      </c>
      <c r="F184" s="0" t="n">
        <v>1.03832946389718</v>
      </c>
      <c r="G184" s="0" t="inlineStr">
        <is>
          <t>预测</t>
        </is>
      </c>
    </row>
    <row r="185">
      <c r="A185" s="0" t="inlineStr">
        <is>
          <t>GloVe-100</t>
        </is>
      </c>
      <c r="B185" s="0" t="inlineStr">
        <is>
          <t>K97</t>
        </is>
      </c>
      <c r="C185" s="0" t="inlineStr">
        <is>
          <t>vo_kb</t>
        </is>
      </c>
      <c r="D185" s="0" t="n">
        <v>8668.73416</v>
      </c>
      <c r="E185" s="0" t="n">
        <v>8668.73416</v>
      </c>
      <c r="F185" s="0" t="n">
        <v>1</v>
      </c>
      <c r="G185" s="0" t="inlineStr">
        <is>
          <t>预测</t>
        </is>
      </c>
    </row>
    <row r="186">
      <c r="A186" s="0" t="inlineStr">
        <is>
          <t>GloVe-100</t>
        </is>
      </c>
      <c r="B186" s="0" t="inlineStr">
        <is>
          <t>K108</t>
        </is>
      </c>
      <c r="C186" s="0" t="inlineStr">
        <is>
          <t>verify_ms</t>
        </is>
      </c>
      <c r="D186" s="0" t="n">
        <v>238.415467918604</v>
      </c>
      <c r="E186" s="0" t="n">
        <v>229.696802919478</v>
      </c>
      <c r="F186" s="0" t="n">
        <v>0.963430791318863</v>
      </c>
      <c r="G186" s="0" t="inlineStr">
        <is>
          <t>预测</t>
        </is>
      </c>
    </row>
    <row r="187">
      <c r="A187" s="0" t="inlineStr">
        <is>
          <t>GloVe-100</t>
        </is>
      </c>
      <c r="B187" s="0" t="inlineStr">
        <is>
          <t>K118</t>
        </is>
      </c>
      <c r="C187" s="0" t="inlineStr">
        <is>
          <t>query_ms</t>
        </is>
      </c>
      <c r="D187" s="0" t="n">
        <v>86583889.1752442</v>
      </c>
      <c r="E187" s="0" t="n">
        <v>89902603.2294644</v>
      </c>
      <c r="F187" s="0" t="n">
        <v>1.03832946389718</v>
      </c>
      <c r="G187" s="0" t="inlineStr">
        <is>
          <t>预测</t>
        </is>
      </c>
    </row>
    <row r="188">
      <c r="A188" s="0" t="inlineStr">
        <is>
          <t>GloVe-100</t>
        </is>
      </c>
      <c r="B188" s="0" t="inlineStr">
        <is>
          <t>F64</t>
        </is>
      </c>
      <c r="C188" s="0" t="inlineStr">
        <is>
          <t>vo_kb</t>
        </is>
      </c>
      <c r="D188" s="0" t="n">
        <v>762.542133333333</v>
      </c>
      <c r="E188" s="0" t="n">
        <v>762.542133333333</v>
      </c>
      <c r="F188" s="0" t="n">
        <v>1</v>
      </c>
      <c r="G188" s="0" t="inlineStr">
        <is>
          <t>预测(参数假设)</t>
        </is>
      </c>
    </row>
    <row r="189">
      <c r="A189" s="0" t="inlineStr">
        <is>
          <t>GloVe-100</t>
        </is>
      </c>
      <c r="B189" s="0" t="inlineStr">
        <is>
          <t>F75</t>
        </is>
      </c>
      <c r="C189" s="0" t="inlineStr">
        <is>
          <t>verify_ms</t>
        </is>
      </c>
      <c r="D189" s="0" t="n">
        <v>47.5332363184639</v>
      </c>
      <c r="E189" s="0" t="n">
        <v>47.0441980181979</v>
      </c>
      <c r="F189" s="0" t="n">
        <v>0.989711655714129</v>
      </c>
      <c r="G189" s="0" t="inlineStr">
        <is>
          <t>预测(参数假设)</t>
        </is>
      </c>
    </row>
    <row r="190">
      <c r="A190" s="0" t="inlineStr">
        <is>
          <t>GloVe-100</t>
        </is>
      </c>
      <c r="B190" s="0" t="inlineStr">
        <is>
          <t>F85</t>
        </is>
      </c>
      <c r="C190" s="0" t="inlineStr">
        <is>
          <t>query_ms</t>
        </is>
      </c>
      <c r="D190" s="0" t="n">
        <v>20041488.7454703</v>
      </c>
      <c r="E190" s="0" t="n">
        <v>20809704.3901614</v>
      </c>
      <c r="F190" s="0" t="n">
        <v>1.03833126642674</v>
      </c>
      <c r="G190" s="0" t="inlineStr">
        <is>
          <t>预测(参数假设)</t>
        </is>
      </c>
    </row>
    <row r="191">
      <c r="A191" s="0" t="inlineStr">
        <is>
          <t>GloVe-100</t>
        </is>
      </c>
      <c r="B191" s="0" t="inlineStr">
        <is>
          <t>G64</t>
        </is>
      </c>
      <c r="C191" s="0" t="inlineStr">
        <is>
          <t>vo_kb</t>
        </is>
      </c>
      <c r="D191" s="0" t="n">
        <v>2335.40613333333</v>
      </c>
      <c r="E191" s="0" t="n">
        <v>2335.40613333333</v>
      </c>
      <c r="F191" s="0" t="n">
        <v>1</v>
      </c>
      <c r="G191" s="0" t="inlineStr">
        <is>
          <t>预测(参数假设)</t>
        </is>
      </c>
    </row>
    <row r="192">
      <c r="A192" s="0" t="inlineStr">
        <is>
          <t>GloVe-100</t>
        </is>
      </c>
      <c r="B192" s="0" t="inlineStr">
        <is>
          <t>G75</t>
        </is>
      </c>
      <c r="C192" s="0" t="inlineStr">
        <is>
          <t>verify_ms</t>
        </is>
      </c>
      <c r="D192" s="0" t="n">
        <v>85.0351293184639</v>
      </c>
      <c r="E192" s="0" t="n">
        <v>82.9042260806979</v>
      </c>
      <c r="F192" s="0" t="n">
        <v>0.97494090671885</v>
      </c>
      <c r="G192" s="0" t="inlineStr">
        <is>
          <t>预测(参数假设)</t>
        </is>
      </c>
    </row>
    <row r="193">
      <c r="A193" s="0" t="inlineStr">
        <is>
          <t>GloVe-100</t>
        </is>
      </c>
      <c r="B193" s="0" t="inlineStr">
        <is>
          <t>G85</t>
        </is>
      </c>
      <c r="C193" s="0" t="inlineStr">
        <is>
          <t>query_ms</t>
        </is>
      </c>
      <c r="D193" s="0" t="n">
        <v>20041488.7454703</v>
      </c>
      <c r="E193" s="0" t="n">
        <v>20809704.3901614</v>
      </c>
      <c r="F193" s="0" t="n">
        <v>1.03833126642674</v>
      </c>
      <c r="G193" s="0" t="inlineStr">
        <is>
          <t>预测(参数假设)</t>
        </is>
      </c>
    </row>
    <row r="194">
      <c r="A194" s="0" t="inlineStr">
        <is>
          <t>GloVe-100</t>
        </is>
      </c>
      <c r="B194" s="0" t="inlineStr">
        <is>
          <t>H64</t>
        </is>
      </c>
      <c r="C194" s="0" t="inlineStr">
        <is>
          <t>vo_kb</t>
        </is>
      </c>
      <c r="D194" s="0" t="n">
        <v>4449.03814666667</v>
      </c>
      <c r="E194" s="0" t="n">
        <v>4449.03814666667</v>
      </c>
      <c r="F194" s="0" t="n">
        <v>0.999999999999999</v>
      </c>
      <c r="G194" s="0" t="inlineStr">
        <is>
          <t>预测(参数假设)</t>
        </is>
      </c>
    </row>
    <row r="195">
      <c r="A195" s="0" t="inlineStr">
        <is>
          <t>GloVe-100</t>
        </is>
      </c>
      <c r="B195" s="0" t="inlineStr">
        <is>
          <t>H75</t>
        </is>
      </c>
      <c r="C195" s="0" t="inlineStr">
        <is>
          <t>verify_ms</t>
        </is>
      </c>
      <c r="D195" s="0" t="n">
        <v>136.617791936726</v>
      </c>
      <c r="E195" s="0" t="n">
        <v>132.292235926282</v>
      </c>
      <c r="F195" s="0" t="n">
        <v>0.96833826729942</v>
      </c>
      <c r="G195" s="0" t="inlineStr">
        <is>
          <t>预测(参数假设)</t>
        </is>
      </c>
    </row>
    <row r="196">
      <c r="A196" s="0" t="inlineStr">
        <is>
          <t>GloVe-100</t>
        </is>
      </c>
      <c r="B196" s="0" t="inlineStr">
        <is>
          <t>H85</t>
        </is>
      </c>
      <c r="C196" s="0" t="inlineStr">
        <is>
          <t>query_ms</t>
        </is>
      </c>
      <c r="D196" s="0" t="n">
        <v>41687461.0392814</v>
      </c>
      <c r="E196" s="0" t="n">
        <v>43285355.1975275</v>
      </c>
      <c r="F196" s="0" t="n">
        <v>1.03833033047372</v>
      </c>
      <c r="G196" s="0" t="inlineStr">
        <is>
          <t>预测(参数假设)</t>
        </is>
      </c>
    </row>
    <row r="197">
      <c r="A197" s="0" t="inlineStr">
        <is>
          <t>DEEP1M</t>
        </is>
      </c>
      <c r="B197" s="0" t="inlineStr">
        <is>
          <t>F12</t>
        </is>
      </c>
      <c r="C197" s="0" t="inlineStr">
        <is>
          <t>query_ms</t>
        </is>
      </c>
      <c r="D197" s="0" t="n">
        <v>2199633.66400238</v>
      </c>
      <c r="E197" s="0" t="n">
        <v>2284113.60217582</v>
      </c>
      <c r="F197" s="0" t="n">
        <v>1.03840636718558</v>
      </c>
      <c r="G197" s="0" t="inlineStr">
        <is>
          <t>预测</t>
        </is>
      </c>
    </row>
    <row r="198">
      <c r="A198" s="0" t="inlineStr">
        <is>
          <t>DEEP1M</t>
        </is>
      </c>
      <c r="B198" s="0" t="inlineStr">
        <is>
          <t>G12</t>
        </is>
      </c>
      <c r="C198" s="0" t="inlineStr">
        <is>
          <t>vo_kb</t>
        </is>
      </c>
      <c r="D198" s="0" t="n">
        <v>483.694093333333</v>
      </c>
      <c r="E198" s="0" t="n">
        <v>483.694093333333</v>
      </c>
      <c r="F198" s="0" t="n">
        <v>1</v>
      </c>
      <c r="G198" s="0" t="inlineStr">
        <is>
          <t>预测</t>
        </is>
      </c>
    </row>
    <row r="199">
      <c r="A199" s="0" t="inlineStr">
        <is>
          <t>DEEP1M</t>
        </is>
      </c>
      <c r="B199" s="0" t="inlineStr">
        <is>
          <t>H12</t>
        </is>
      </c>
      <c r="C199" s="0" t="inlineStr">
        <is>
          <t>verify_ms</t>
        </is>
      </c>
      <c r="D199" s="0" t="n">
        <v>37.3230314232127</v>
      </c>
      <c r="E199" s="0" t="n">
        <v>37.0899637315258</v>
      </c>
      <c r="F199" s="0" t="n">
        <v>0.9937553922390679</v>
      </c>
      <c r="G199" s="0" t="inlineStr">
        <is>
          <t>预测</t>
        </is>
      </c>
    </row>
    <row r="200">
      <c r="A200" s="0" t="inlineStr">
        <is>
          <t>DEEP1M</t>
        </is>
      </c>
      <c r="B200" s="0" t="inlineStr">
        <is>
          <t>G136</t>
        </is>
      </c>
      <c r="C200" s="0" t="inlineStr">
        <is>
          <t>query_ms</t>
        </is>
      </c>
      <c r="D200" s="0" t="n">
        <v>2199633.66400238</v>
      </c>
      <c r="E200" s="0" t="n">
        <v>2284113.60217582</v>
      </c>
      <c r="F200" s="0" t="n">
        <v>1.03840636718558</v>
      </c>
      <c r="G200" s="0" t="inlineStr">
        <is>
          <t>预测</t>
        </is>
      </c>
    </row>
    <row r="201">
      <c r="A201" s="0" t="inlineStr">
        <is>
          <t>DEEP1M</t>
        </is>
      </c>
      <c r="B201" s="0" t="inlineStr">
        <is>
          <t>H136</t>
        </is>
      </c>
      <c r="C201" s="0" t="inlineStr">
        <is>
          <t>vo_kb</t>
        </is>
      </c>
      <c r="D201" s="0" t="n">
        <v>483.694093333333</v>
      </c>
      <c r="E201" s="0" t="n">
        <v>483.694093333333</v>
      </c>
      <c r="F201" s="0" t="n">
        <v>1</v>
      </c>
      <c r="G201" s="0" t="inlineStr">
        <is>
          <t>预测</t>
        </is>
      </c>
    </row>
    <row r="202">
      <c r="A202" s="0" t="inlineStr">
        <is>
          <t>DEEP1M</t>
        </is>
      </c>
      <c r="B202" s="0" t="inlineStr">
        <is>
          <t>I136</t>
        </is>
      </c>
      <c r="C202" s="0" t="inlineStr">
        <is>
          <t>verify_ms</t>
        </is>
      </c>
      <c r="D202" s="0" t="n">
        <v>37.3230314232127</v>
      </c>
      <c r="E202" s="0" t="n">
        <v>37.0899637315258</v>
      </c>
      <c r="F202" s="0" t="n">
        <v>0.9937553922390679</v>
      </c>
      <c r="G202" s="0" t="inlineStr">
        <is>
          <t>预测</t>
        </is>
      </c>
    </row>
    <row r="203">
      <c r="A203" s="0" t="inlineStr">
        <is>
          <t>DEEP1M</t>
        </is>
      </c>
      <c r="B203" s="0" t="inlineStr">
        <is>
          <t>F27</t>
        </is>
      </c>
      <c r="C203" s="0" t="inlineStr">
        <is>
          <t>vo_kb</t>
        </is>
      </c>
      <c r="D203" s="0" t="n">
        <v>270.136241666667</v>
      </c>
      <c r="E203" s="0" t="n">
        <v>270.136241666667</v>
      </c>
      <c r="F203" s="0" t="n">
        <v>0.999999999999999</v>
      </c>
      <c r="G203" s="0" t="inlineStr">
        <is>
          <t>预测(参考59/60个已验证样本)</t>
        </is>
      </c>
    </row>
    <row r="204">
      <c r="A204" s="0" t="inlineStr">
        <is>
          <t>DEEP1M</t>
        </is>
      </c>
      <c r="B204" s="0" t="inlineStr">
        <is>
          <t>F39</t>
        </is>
      </c>
      <c r="C204" s="0" t="inlineStr">
        <is>
          <t>verify_ms</t>
        </is>
      </c>
      <c r="D204" s="0" t="n">
        <v>24.3807018416798</v>
      </c>
      <c r="E204" s="0" t="n">
        <v>24.3807018416798</v>
      </c>
      <c r="F204" s="0" t="n">
        <v>1</v>
      </c>
      <c r="G204" s="0" t="inlineStr">
        <is>
          <t>预测(参考59/60个已验证样本)</t>
        </is>
      </c>
    </row>
    <row r="205">
      <c r="A205" s="0" t="inlineStr">
        <is>
          <t>DEEP1M</t>
        </is>
      </c>
      <c r="B205" s="0" t="inlineStr">
        <is>
          <t>F51</t>
        </is>
      </c>
      <c r="C205" s="0" t="inlineStr">
        <is>
          <t>query_ms</t>
        </is>
      </c>
      <c r="D205" s="0" t="n">
        <v>492311.891570983</v>
      </c>
      <c r="E205" s="0" t="n">
        <v>492311.891570983</v>
      </c>
      <c r="F205" s="0" t="n">
        <v>1</v>
      </c>
      <c r="G205" s="0" t="inlineStr">
        <is>
          <t>预测(参考59/60个已验证样本)</t>
        </is>
      </c>
    </row>
    <row r="206">
      <c r="A206" s="0" t="inlineStr">
        <is>
          <t>DEEP1M</t>
        </is>
      </c>
      <c r="B206" s="0" t="inlineStr">
        <is>
          <t>G27</t>
        </is>
      </c>
      <c r="C206" s="0" t="inlineStr">
        <is>
          <t>vo_kb</t>
        </is>
      </c>
      <c r="D206" s="0" t="n">
        <v>270.136241666667</v>
      </c>
      <c r="E206" s="0" t="n">
        <v>270.136241666667</v>
      </c>
      <c r="F206" s="0" t="n">
        <v>0.999999999999999</v>
      </c>
      <c r="G206" s="0" t="inlineStr">
        <is>
          <t>预测(参考59/60个已验证样本)</t>
        </is>
      </c>
    </row>
    <row r="207">
      <c r="A207" s="0" t="inlineStr">
        <is>
          <t>DEEP1M</t>
        </is>
      </c>
      <c r="B207" s="0" t="inlineStr">
        <is>
          <t>G39</t>
        </is>
      </c>
      <c r="C207" s="0" t="inlineStr">
        <is>
          <t>verify_ms</t>
        </is>
      </c>
      <c r="D207" s="0" t="n">
        <v>24.3807018416798</v>
      </c>
      <c r="E207" s="0" t="n">
        <v>24.3807018416798</v>
      </c>
      <c r="F207" s="0" t="n">
        <v>1</v>
      </c>
      <c r="G207" s="0" t="inlineStr">
        <is>
          <t>预测(参考59/60个已验证样本)</t>
        </is>
      </c>
    </row>
    <row r="208">
      <c r="A208" s="0" t="inlineStr">
        <is>
          <t>DEEP1M</t>
        </is>
      </c>
      <c r="B208" s="0" t="inlineStr">
        <is>
          <t>G51</t>
        </is>
      </c>
      <c r="C208" s="0" t="inlineStr">
        <is>
          <t>query_ms</t>
        </is>
      </c>
      <c r="D208" s="0" t="n">
        <v>492311.891570983</v>
      </c>
      <c r="E208" s="0" t="n">
        <v>492311.891570983</v>
      </c>
      <c r="F208" s="0" t="n">
        <v>1</v>
      </c>
      <c r="G208" s="0" t="inlineStr">
        <is>
          <t>预测(参考59/60个已验证样本)</t>
        </is>
      </c>
    </row>
    <row r="209">
      <c r="A209" s="0" t="inlineStr">
        <is>
          <t>DEEP1M</t>
        </is>
      </c>
      <c r="B209" s="0" t="inlineStr">
        <is>
          <t>H27</t>
        </is>
      </c>
      <c r="C209" s="0" t="inlineStr">
        <is>
          <t>vo_kb</t>
        </is>
      </c>
      <c r="D209" s="0" t="n">
        <v>270.136241666667</v>
      </c>
      <c r="E209" s="0" t="n">
        <v>270.136241666667</v>
      </c>
      <c r="F209" s="0" t="n">
        <v>0.999999999999999</v>
      </c>
      <c r="G209" s="0" t="inlineStr">
        <is>
          <t>预测(参考59/60个已验证样本)</t>
        </is>
      </c>
    </row>
    <row r="210">
      <c r="A210" s="0" t="inlineStr">
        <is>
          <t>DEEP1M</t>
        </is>
      </c>
      <c r="B210" s="0" t="inlineStr">
        <is>
          <t>H39</t>
        </is>
      </c>
      <c r="C210" s="0" t="inlineStr">
        <is>
          <t>verify_ms</t>
        </is>
      </c>
      <c r="D210" s="0" t="n">
        <v>24.3807018416798</v>
      </c>
      <c r="E210" s="0" t="n">
        <v>24.3807018416798</v>
      </c>
      <c r="F210" s="0" t="n">
        <v>1</v>
      </c>
      <c r="G210" s="0" t="inlineStr">
        <is>
          <t>预测(参考59/60个已验证样本)</t>
        </is>
      </c>
    </row>
    <row r="211">
      <c r="A211" s="0" t="inlineStr">
        <is>
          <t>DEEP1M</t>
        </is>
      </c>
      <c r="B211" s="0" t="inlineStr">
        <is>
          <t>H51</t>
        </is>
      </c>
      <c r="C211" s="0" t="inlineStr">
        <is>
          <t>query_ms</t>
        </is>
      </c>
      <c r="D211" s="0" t="n">
        <v>492311.891570983</v>
      </c>
      <c r="E211" s="0" t="n">
        <v>492311.891570983</v>
      </c>
      <c r="F211" s="0" t="n">
        <v>1</v>
      </c>
      <c r="G211" s="0" t="inlineStr">
        <is>
          <t>预测(参考59/60个已验证样本)</t>
        </is>
      </c>
    </row>
    <row r="212">
      <c r="A212" s="0" t="inlineStr">
        <is>
          <t>DEEP1M</t>
        </is>
      </c>
      <c r="B212" s="0" t="inlineStr">
        <is>
          <t>I27</t>
        </is>
      </c>
      <c r="C212" s="0" t="inlineStr">
        <is>
          <t>vo_kb</t>
        </is>
      </c>
      <c r="D212" s="0" t="n">
        <v>270.136241666667</v>
      </c>
      <c r="E212" s="0" t="n">
        <v>270.136241666667</v>
      </c>
      <c r="F212" s="0" t="n">
        <v>0.999999999999999</v>
      </c>
      <c r="G212" s="0" t="inlineStr">
        <is>
          <t>预测(参考59/60个已验证样本)</t>
        </is>
      </c>
    </row>
    <row r="213">
      <c r="A213" s="0" t="inlineStr">
        <is>
          <t>DEEP1M</t>
        </is>
      </c>
      <c r="B213" s="0" t="inlineStr">
        <is>
          <t>I39</t>
        </is>
      </c>
      <c r="C213" s="0" t="inlineStr">
        <is>
          <t>verify_ms</t>
        </is>
      </c>
      <c r="D213" s="0" t="n">
        <v>24.3807018416798</v>
      </c>
      <c r="E213" s="0" t="n">
        <v>24.3807018416798</v>
      </c>
      <c r="F213" s="0" t="n">
        <v>1</v>
      </c>
      <c r="G213" s="0" t="inlineStr">
        <is>
          <t>预测(参考59/60个已验证样本)</t>
        </is>
      </c>
    </row>
    <row r="214">
      <c r="A214" s="0" t="inlineStr">
        <is>
          <t>DEEP1M</t>
        </is>
      </c>
      <c r="B214" s="0" t="inlineStr">
        <is>
          <t>I51</t>
        </is>
      </c>
      <c r="C214" s="0" t="inlineStr">
        <is>
          <t>query_ms</t>
        </is>
      </c>
      <c r="D214" s="0" t="n">
        <v>492311.891570983</v>
      </c>
      <c r="E214" s="0" t="n">
        <v>492311.891570983</v>
      </c>
      <c r="F214" s="0" t="n">
        <v>1</v>
      </c>
      <c r="G214" s="0" t="inlineStr">
        <is>
          <t>预测(参考59/60个已验证样本)</t>
        </is>
      </c>
    </row>
    <row r="215">
      <c r="A215" s="0" t="inlineStr">
        <is>
          <t>DEEP1M</t>
        </is>
      </c>
      <c r="B215" s="0" t="inlineStr">
        <is>
          <t>J27</t>
        </is>
      </c>
      <c r="C215" s="0" t="inlineStr">
        <is>
          <t>vo_kb</t>
        </is>
      </c>
      <c r="D215" s="0" t="n">
        <v>344.33408</v>
      </c>
      <c r="E215" s="0" t="n">
        <v>344.33408</v>
      </c>
      <c r="F215" s="0" t="n">
        <v>1</v>
      </c>
      <c r="G215" s="0" t="inlineStr">
        <is>
          <t>预测</t>
        </is>
      </c>
    </row>
    <row r="216">
      <c r="A216" s="0" t="inlineStr">
        <is>
          <t>DEEP1M</t>
        </is>
      </c>
      <c r="B216" s="0" t="inlineStr">
        <is>
          <t>J39</t>
        </is>
      </c>
      <c r="C216" s="0" t="inlineStr">
        <is>
          <t>verify_ms</t>
        </is>
      </c>
      <c r="D216" s="0" t="n">
        <v>32.8130574143261</v>
      </c>
      <c r="E216" s="0" t="n">
        <v>32.7137599435589</v>
      </c>
      <c r="F216" s="0" t="n">
        <v>0.996973842775046</v>
      </c>
      <c r="G216" s="0" t="inlineStr">
        <is>
          <t>预测</t>
        </is>
      </c>
    </row>
    <row r="217">
      <c r="A217" s="0" t="inlineStr">
        <is>
          <t>DEEP1M</t>
        </is>
      </c>
      <c r="B217" s="0" t="inlineStr">
        <is>
          <t>J51</t>
        </is>
      </c>
      <c r="C217" s="0" t="inlineStr">
        <is>
          <t>query_ms</t>
        </is>
      </c>
      <c r="D217" s="0" t="n">
        <v>1049778.89619462</v>
      </c>
      <c r="E217" s="0" t="n">
        <v>1090098.64352088</v>
      </c>
      <c r="F217" s="0" t="n">
        <v>1.03840784709277</v>
      </c>
      <c r="G217" s="0" t="inlineStr">
        <is>
          <t>预测</t>
        </is>
      </c>
    </row>
    <row r="218">
      <c r="A218" s="0" t="inlineStr">
        <is>
          <t>DEEP1M</t>
        </is>
      </c>
      <c r="B218" s="0" t="inlineStr">
        <is>
          <t>K27</t>
        </is>
      </c>
      <c r="C218" s="0" t="inlineStr">
        <is>
          <t>vo_kb</t>
        </is>
      </c>
      <c r="D218" s="0" t="n">
        <v>344.33408</v>
      </c>
      <c r="E218" s="0" t="n">
        <v>344.33408</v>
      </c>
      <c r="F218" s="0" t="n">
        <v>1</v>
      </c>
      <c r="G218" s="0" t="inlineStr">
        <is>
          <t>预测</t>
        </is>
      </c>
    </row>
    <row r="219">
      <c r="A219" s="0" t="inlineStr">
        <is>
          <t>DEEP1M</t>
        </is>
      </c>
      <c r="B219" s="0" t="inlineStr">
        <is>
          <t>K39</t>
        </is>
      </c>
      <c r="C219" s="0" t="inlineStr">
        <is>
          <t>verify_ms</t>
        </is>
      </c>
      <c r="D219" s="0" t="n">
        <v>32.8130574143261</v>
      </c>
      <c r="E219" s="0" t="n">
        <v>32.7137599435589</v>
      </c>
      <c r="F219" s="0" t="n">
        <v>0.996973842775046</v>
      </c>
      <c r="G219" s="0" t="inlineStr">
        <is>
          <t>预测</t>
        </is>
      </c>
    </row>
    <row r="220">
      <c r="A220" s="0" t="inlineStr">
        <is>
          <t>DEEP1M</t>
        </is>
      </c>
      <c r="B220" s="0" t="inlineStr">
        <is>
          <t>K51</t>
        </is>
      </c>
      <c r="C220" s="0" t="inlineStr">
        <is>
          <t>query_ms</t>
        </is>
      </c>
      <c r="D220" s="0" t="n">
        <v>1049778.89619462</v>
      </c>
      <c r="E220" s="0" t="n">
        <v>1090098.64352088</v>
      </c>
      <c r="F220" s="0" t="n">
        <v>1.03840784709277</v>
      </c>
      <c r="G220" s="0" t="inlineStr">
        <is>
          <t>预测</t>
        </is>
      </c>
    </row>
    <row r="221">
      <c r="A221" s="0" t="inlineStr">
        <is>
          <t>DEEP1M</t>
        </is>
      </c>
      <c r="B221" s="0" t="inlineStr">
        <is>
          <t>L27</t>
        </is>
      </c>
      <c r="C221" s="0" t="inlineStr">
        <is>
          <t>vo_kb</t>
        </is>
      </c>
      <c r="D221" s="0" t="n">
        <v>344.33408</v>
      </c>
      <c r="E221" s="0" t="n">
        <v>344.33408</v>
      </c>
      <c r="F221" s="0" t="n">
        <v>1</v>
      </c>
      <c r="G221" s="0" t="inlineStr">
        <is>
          <t>预测</t>
        </is>
      </c>
    </row>
    <row r="222">
      <c r="A222" s="0" t="inlineStr">
        <is>
          <t>DEEP1M</t>
        </is>
      </c>
      <c r="B222" s="0" t="inlineStr">
        <is>
          <t>L39</t>
        </is>
      </c>
      <c r="C222" s="0" t="inlineStr">
        <is>
          <t>verify_ms</t>
        </is>
      </c>
      <c r="D222" s="0" t="n">
        <v>32.8130574143261</v>
      </c>
      <c r="E222" s="0" t="n">
        <v>32.7137599435589</v>
      </c>
      <c r="F222" s="0" t="n">
        <v>0.996973842775046</v>
      </c>
      <c r="G222" s="0" t="inlineStr">
        <is>
          <t>预测</t>
        </is>
      </c>
    </row>
    <row r="223">
      <c r="A223" s="0" t="inlineStr">
        <is>
          <t>DEEP1M</t>
        </is>
      </c>
      <c r="B223" s="0" t="inlineStr">
        <is>
          <t>L51</t>
        </is>
      </c>
      <c r="C223" s="0" t="inlineStr">
        <is>
          <t>query_ms</t>
        </is>
      </c>
      <c r="D223" s="0" t="n">
        <v>1049778.89619462</v>
      </c>
      <c r="E223" s="0" t="n">
        <v>1090098.64352088</v>
      </c>
      <c r="F223" s="0" t="n">
        <v>1.03840784709277</v>
      </c>
      <c r="G223" s="0" t="inlineStr">
        <is>
          <t>预测</t>
        </is>
      </c>
    </row>
    <row r="224">
      <c r="A224" s="0" t="inlineStr">
        <is>
          <t>DEEP1M</t>
        </is>
      </c>
      <c r="B224" s="0" t="inlineStr">
        <is>
          <t>M27</t>
        </is>
      </c>
      <c r="C224" s="0" t="inlineStr">
        <is>
          <t>vo_kb</t>
        </is>
      </c>
      <c r="D224" s="0" t="n">
        <v>483.694093333333</v>
      </c>
      <c r="E224" s="0" t="n">
        <v>483.694093333333</v>
      </c>
      <c r="F224" s="0" t="n">
        <v>1</v>
      </c>
      <c r="G224" s="0" t="inlineStr">
        <is>
          <t>预测</t>
        </is>
      </c>
    </row>
    <row r="225">
      <c r="A225" s="0" t="inlineStr">
        <is>
          <t>DEEP1M</t>
        </is>
      </c>
      <c r="B225" s="0" t="inlineStr">
        <is>
          <t>M39</t>
        </is>
      </c>
      <c r="C225" s="0" t="inlineStr">
        <is>
          <t>verify_ms</t>
        </is>
      </c>
      <c r="D225" s="0" t="n">
        <v>37.3230314232127</v>
      </c>
      <c r="E225" s="0" t="n">
        <v>37.0899637315258</v>
      </c>
      <c r="F225" s="0" t="n">
        <v>0.9937553922390679</v>
      </c>
      <c r="G225" s="0" t="inlineStr">
        <is>
          <t>预测</t>
        </is>
      </c>
    </row>
    <row r="226">
      <c r="A226" s="0" t="inlineStr">
        <is>
          <t>DEEP1M</t>
        </is>
      </c>
      <c r="B226" s="0" t="inlineStr">
        <is>
          <t>M51</t>
        </is>
      </c>
      <c r="C226" s="0" t="inlineStr">
        <is>
          <t>query_ms</t>
        </is>
      </c>
      <c r="D226" s="0" t="n">
        <v>2199633.66400238</v>
      </c>
      <c r="E226" s="0" t="n">
        <v>2284113.60217582</v>
      </c>
      <c r="F226" s="0" t="n">
        <v>1.03840636718558</v>
      </c>
      <c r="G226" s="0" t="inlineStr">
        <is>
          <t>预测</t>
        </is>
      </c>
    </row>
    <row r="227">
      <c r="A227" s="0" t="inlineStr">
        <is>
          <t>DEEP1M</t>
        </is>
      </c>
      <c r="B227" s="0" t="inlineStr">
        <is>
          <t>N27</t>
        </is>
      </c>
      <c r="C227" s="0" t="inlineStr">
        <is>
          <t>vo_kb</t>
        </is>
      </c>
      <c r="D227" s="0" t="n">
        <v>1286.70212</v>
      </c>
      <c r="E227" s="0" t="n">
        <v>1286.70212</v>
      </c>
      <c r="F227" s="0" t="n">
        <v>1</v>
      </c>
      <c r="G227" s="0" t="inlineStr">
        <is>
          <t>预测</t>
        </is>
      </c>
    </row>
    <row r="228">
      <c r="A228" s="0" t="inlineStr">
        <is>
          <t>DEEP1M</t>
        </is>
      </c>
      <c r="B228" s="0" t="inlineStr">
        <is>
          <t>N39</t>
        </is>
      </c>
      <c r="C228" s="0" t="inlineStr">
        <is>
          <t>verify_ms</t>
        </is>
      </c>
      <c r="D228" s="0" t="n">
        <v>58.843610440986</v>
      </c>
      <c r="E228" s="0" t="n">
        <v>57.7957139949596</v>
      </c>
      <c r="F228" s="0" t="n">
        <v>0.9821918397227281</v>
      </c>
      <c r="G228" s="0" t="inlineStr">
        <is>
          <t>预测</t>
        </is>
      </c>
    </row>
    <row r="229">
      <c r="A229" s="0" t="inlineStr">
        <is>
          <t>DEEP1M</t>
        </is>
      </c>
      <c r="B229" s="0" t="inlineStr">
        <is>
          <t>N51</t>
        </is>
      </c>
      <c r="C229" s="0" t="inlineStr">
        <is>
          <t>query_ms</t>
        </is>
      </c>
      <c r="D229" s="0" t="n">
        <v>9599141.628914701</v>
      </c>
      <c r="E229" s="0" t="n">
        <v>9967784.92977575</v>
      </c>
      <c r="F229" s="0" t="n">
        <v>1.03840377766181</v>
      </c>
      <c r="G229" s="0" t="inlineStr">
        <is>
          <t>预测</t>
        </is>
      </c>
    </row>
    <row r="230">
      <c r="A230" s="0" t="inlineStr">
        <is>
          <t>DEEP1M</t>
        </is>
      </c>
      <c r="B230" s="0" t="inlineStr">
        <is>
          <t>O27</t>
        </is>
      </c>
      <c r="C230" s="0" t="inlineStr">
        <is>
          <t>vo_kb</t>
        </is>
      </c>
      <c r="D230" s="0" t="n">
        <v>1286.70212</v>
      </c>
      <c r="E230" s="0" t="n">
        <v>1286.70212</v>
      </c>
      <c r="F230" s="0" t="n">
        <v>1</v>
      </c>
      <c r="G230" s="0" t="inlineStr">
        <is>
          <t>预测</t>
        </is>
      </c>
    </row>
    <row r="231">
      <c r="A231" s="0" t="inlineStr">
        <is>
          <t>DEEP1M</t>
        </is>
      </c>
      <c r="B231" s="0" t="inlineStr">
        <is>
          <t>O39</t>
        </is>
      </c>
      <c r="C231" s="0" t="inlineStr">
        <is>
          <t>verify_ms</t>
        </is>
      </c>
      <c r="D231" s="0" t="n">
        <v>58.843610440986</v>
      </c>
      <c r="E231" s="0" t="n">
        <v>57.7957139949596</v>
      </c>
      <c r="F231" s="0" t="n">
        <v>0.9821918397227281</v>
      </c>
      <c r="G231" s="0" t="inlineStr">
        <is>
          <t>预测</t>
        </is>
      </c>
    </row>
    <row r="232">
      <c r="A232" s="0" t="inlineStr">
        <is>
          <t>DEEP1M</t>
        </is>
      </c>
      <c r="B232" s="0" t="inlineStr">
        <is>
          <t>O51</t>
        </is>
      </c>
      <c r="C232" s="0" t="inlineStr">
        <is>
          <t>query_ms</t>
        </is>
      </c>
      <c r="D232" s="0" t="n">
        <v>9599141.628914701</v>
      </c>
      <c r="E232" s="0" t="n">
        <v>9967784.92977575</v>
      </c>
      <c r="F232" s="0" t="n">
        <v>1.03840377766181</v>
      </c>
      <c r="G232" s="0" t="inlineStr">
        <is>
          <t>预测</t>
        </is>
      </c>
    </row>
    <row r="233">
      <c r="A233" s="0" t="inlineStr">
        <is>
          <t>DEEP1M</t>
        </is>
      </c>
      <c r="B233" s="0" t="inlineStr">
        <is>
          <t>F97</t>
        </is>
      </c>
      <c r="C233" s="0" t="inlineStr">
        <is>
          <t>vo_kb</t>
        </is>
      </c>
      <c r="D233" s="0" t="n">
        <v>483.622093333333</v>
      </c>
      <c r="E233" s="0" t="n">
        <v>483.622093333333</v>
      </c>
      <c r="F233" s="0" t="n">
        <v>1</v>
      </c>
      <c r="G233" s="0" t="inlineStr">
        <is>
          <t>预测</t>
        </is>
      </c>
    </row>
    <row r="234">
      <c r="A234" s="0" t="inlineStr">
        <is>
          <t>DEEP1M</t>
        </is>
      </c>
      <c r="B234" s="0" t="inlineStr">
        <is>
          <t>F108</t>
        </is>
      </c>
      <c r="C234" s="0" t="inlineStr">
        <is>
          <t>verify_ms</t>
        </is>
      </c>
      <c r="D234" s="0" t="n">
        <v>37.3213147227885</v>
      </c>
      <c r="E234" s="0" t="n">
        <v>37.0883221897139</v>
      </c>
      <c r="F234" s="0" t="n">
        <v>0.993757118825925</v>
      </c>
      <c r="G234" s="0" t="inlineStr">
        <is>
          <t>预测</t>
        </is>
      </c>
    </row>
    <row r="235">
      <c r="A235" s="0" t="inlineStr">
        <is>
          <t>DEEP1M</t>
        </is>
      </c>
      <c r="B235" s="0" t="inlineStr">
        <is>
          <t>F118</t>
        </is>
      </c>
      <c r="C235" s="0" t="inlineStr">
        <is>
          <t>query_ms</t>
        </is>
      </c>
      <c r="D235" s="0" t="n">
        <v>2199633.66400238</v>
      </c>
      <c r="E235" s="0" t="n">
        <v>2284113.60217582</v>
      </c>
      <c r="F235" s="0" t="n">
        <v>1.03840636718558</v>
      </c>
      <c r="G235" s="0" t="inlineStr">
        <is>
          <t>预测</t>
        </is>
      </c>
    </row>
    <row r="236">
      <c r="A236" s="0" t="inlineStr">
        <is>
          <t>DEEP1M</t>
        </is>
      </c>
      <c r="B236" s="0" t="inlineStr">
        <is>
          <t>G97</t>
        </is>
      </c>
      <c r="C236" s="0" t="inlineStr">
        <is>
          <t>vo_kb</t>
        </is>
      </c>
      <c r="D236" s="0" t="n">
        <v>483.654093333333</v>
      </c>
      <c r="E236" s="0" t="n">
        <v>483.654093333333</v>
      </c>
      <c r="F236" s="0" t="n">
        <v>1</v>
      </c>
      <c r="G236" s="0" t="inlineStr">
        <is>
          <t>预测</t>
        </is>
      </c>
    </row>
    <row r="237">
      <c r="A237" s="0" t="inlineStr">
        <is>
          <t>DEEP1M</t>
        </is>
      </c>
      <c r="B237" s="0" t="inlineStr">
        <is>
          <t>G108</t>
        </is>
      </c>
      <c r="C237" s="0" t="inlineStr">
        <is>
          <t>verify_ms</t>
        </is>
      </c>
      <c r="D237" s="0" t="n">
        <v>37.3220777007548</v>
      </c>
      <c r="E237" s="0" t="n">
        <v>37.0890517638525</v>
      </c>
      <c r="F237" s="0" t="n">
        <v>0.993756351434379</v>
      </c>
      <c r="G237" s="0" t="inlineStr">
        <is>
          <t>预测</t>
        </is>
      </c>
    </row>
    <row r="238">
      <c r="A238" s="0" t="inlineStr">
        <is>
          <t>DEEP1M</t>
        </is>
      </c>
      <c r="B238" s="0" t="inlineStr">
        <is>
          <t>G118</t>
        </is>
      </c>
      <c r="C238" s="0" t="inlineStr">
        <is>
          <t>query_ms</t>
        </is>
      </c>
      <c r="D238" s="0" t="n">
        <v>2199633.66400238</v>
      </c>
      <c r="E238" s="0" t="n">
        <v>2284113.60217582</v>
      </c>
      <c r="F238" s="0" t="n">
        <v>1.03840636718558</v>
      </c>
      <c r="G238" s="0" t="inlineStr">
        <is>
          <t>预测</t>
        </is>
      </c>
    </row>
    <row r="239">
      <c r="A239" s="0" t="inlineStr">
        <is>
          <t>DEEP1M</t>
        </is>
      </c>
      <c r="B239" s="0" t="inlineStr">
        <is>
          <t>H97</t>
        </is>
      </c>
      <c r="C239" s="0" t="inlineStr">
        <is>
          <t>vo_kb</t>
        </is>
      </c>
      <c r="D239" s="0" t="n">
        <v>483.694093333333</v>
      </c>
      <c r="E239" s="0" t="n">
        <v>483.694093333333</v>
      </c>
      <c r="F239" s="0" t="n">
        <v>1</v>
      </c>
      <c r="G239" s="0" t="inlineStr">
        <is>
          <t>预测</t>
        </is>
      </c>
    </row>
    <row r="240">
      <c r="A240" s="0" t="inlineStr">
        <is>
          <t>DEEP1M</t>
        </is>
      </c>
      <c r="B240" s="0" t="inlineStr">
        <is>
          <t>H108</t>
        </is>
      </c>
      <c r="C240" s="0" t="inlineStr">
        <is>
          <t>verify_ms</t>
        </is>
      </c>
      <c r="D240" s="0" t="n">
        <v>37.3230314232127</v>
      </c>
      <c r="E240" s="0" t="n">
        <v>37.0899637315258</v>
      </c>
      <c r="F240" s="0" t="n">
        <v>0.9937553922390679</v>
      </c>
      <c r="G240" s="0" t="inlineStr">
        <is>
          <t>预测</t>
        </is>
      </c>
    </row>
    <row r="241">
      <c r="A241" s="0" t="inlineStr">
        <is>
          <t>DEEP1M</t>
        </is>
      </c>
      <c r="B241" s="0" t="inlineStr">
        <is>
          <t>H118</t>
        </is>
      </c>
      <c r="C241" s="0" t="inlineStr">
        <is>
          <t>query_ms</t>
        </is>
      </c>
      <c r="D241" s="0" t="n">
        <v>2199633.66400238</v>
      </c>
      <c r="E241" s="0" t="n">
        <v>2284113.60217582</v>
      </c>
      <c r="F241" s="0" t="n">
        <v>1.03840636718558</v>
      </c>
      <c r="G241" s="0" t="inlineStr">
        <is>
          <t>预测</t>
        </is>
      </c>
    </row>
    <row r="242">
      <c r="A242" s="0" t="inlineStr">
        <is>
          <t>DEEP1M</t>
        </is>
      </c>
      <c r="B242" s="0" t="inlineStr">
        <is>
          <t>I97</t>
        </is>
      </c>
      <c r="C242" s="0" t="inlineStr">
        <is>
          <t>vo_kb</t>
        </is>
      </c>
      <c r="D242" s="0" t="n">
        <v>483.774093333333</v>
      </c>
      <c r="E242" s="0" t="n">
        <v>483.774093333333</v>
      </c>
      <c r="F242" s="0" t="n">
        <v>1</v>
      </c>
      <c r="G242" s="0" t="inlineStr">
        <is>
          <t>预测</t>
        </is>
      </c>
    </row>
    <row r="243">
      <c r="A243" s="0" t="inlineStr">
        <is>
          <t>DEEP1M</t>
        </is>
      </c>
      <c r="B243" s="0" t="inlineStr">
        <is>
          <t>I108</t>
        </is>
      </c>
      <c r="C243" s="0" t="inlineStr">
        <is>
          <t>verify_ms</t>
        </is>
      </c>
      <c r="D243" s="0" t="n">
        <v>37.3249388681285</v>
      </c>
      <c r="E243" s="0" t="n">
        <v>37.0917876668724</v>
      </c>
      <c r="F243" s="0" t="n">
        <v>0.993753473995501</v>
      </c>
      <c r="G243" s="0" t="inlineStr">
        <is>
          <t>预测</t>
        </is>
      </c>
    </row>
    <row r="244">
      <c r="A244" s="0" t="inlineStr">
        <is>
          <t>DEEP1M</t>
        </is>
      </c>
      <c r="B244" s="0" t="inlineStr">
        <is>
          <t>I118</t>
        </is>
      </c>
      <c r="C244" s="0" t="inlineStr">
        <is>
          <t>query_ms</t>
        </is>
      </c>
      <c r="D244" s="0" t="n">
        <v>2199633.66400238</v>
      </c>
      <c r="E244" s="0" t="n">
        <v>2284113.60217582</v>
      </c>
      <c r="F244" s="0" t="n">
        <v>1.03840636718558</v>
      </c>
      <c r="G244" s="0" t="inlineStr">
        <is>
          <t>预测</t>
        </is>
      </c>
    </row>
    <row r="245">
      <c r="A245" s="0" t="inlineStr">
        <is>
          <t>DEEP1M</t>
        </is>
      </c>
      <c r="B245" s="0" t="inlineStr">
        <is>
          <t>J97</t>
        </is>
      </c>
      <c r="C245" s="0" t="inlineStr">
        <is>
          <t>vo_kb</t>
        </is>
      </c>
      <c r="D245" s="0" t="n">
        <v>484.014093333333</v>
      </c>
      <c r="E245" s="0" t="n">
        <v>484.014093333333</v>
      </c>
      <c r="F245" s="0" t="n">
        <v>1</v>
      </c>
      <c r="G245" s="0" t="inlineStr">
        <is>
          <t>预测</t>
        </is>
      </c>
    </row>
    <row r="246">
      <c r="A246" s="0" t="inlineStr">
        <is>
          <t>DEEP1M</t>
        </is>
      </c>
      <c r="B246" s="0" t="inlineStr">
        <is>
          <t>J108</t>
        </is>
      </c>
      <c r="C246" s="0" t="inlineStr">
        <is>
          <t>verify_ms</t>
        </is>
      </c>
      <c r="D246" s="0" t="n">
        <v>37.3306612028758</v>
      </c>
      <c r="E246" s="0" t="n">
        <v>37.0972594729122</v>
      </c>
      <c r="F246" s="0" t="n">
        <v>0.993747720440976</v>
      </c>
      <c r="G246" s="0" t="inlineStr">
        <is>
          <t>预测</t>
        </is>
      </c>
    </row>
    <row r="247">
      <c r="A247" s="0" t="inlineStr">
        <is>
          <t>DEEP1M</t>
        </is>
      </c>
      <c r="B247" s="0" t="inlineStr">
        <is>
          <t>J118</t>
        </is>
      </c>
      <c r="C247" s="0" t="inlineStr">
        <is>
          <t>query_ms</t>
        </is>
      </c>
      <c r="D247" s="0" t="n">
        <v>2199633.66400238</v>
      </c>
      <c r="E247" s="0" t="n">
        <v>2284113.60217582</v>
      </c>
      <c r="F247" s="0" t="n">
        <v>1.03840636718558</v>
      </c>
      <c r="G247" s="0" t="inlineStr">
        <is>
          <t>预测</t>
        </is>
      </c>
    </row>
    <row r="248">
      <c r="A248" s="0" t="inlineStr">
        <is>
          <t>DEEP1M</t>
        </is>
      </c>
      <c r="B248" s="0" t="inlineStr">
        <is>
          <t>K97</t>
        </is>
      </c>
      <c r="C248" s="0" t="inlineStr">
        <is>
          <t>vo_kb</t>
        </is>
      </c>
      <c r="D248" s="0" t="n">
        <v>484.414093333333</v>
      </c>
      <c r="E248" s="0" t="n">
        <v>484.414093333333</v>
      </c>
      <c r="F248" s="0" t="n">
        <v>1</v>
      </c>
      <c r="G248" s="0" t="inlineStr">
        <is>
          <t>预测</t>
        </is>
      </c>
    </row>
    <row r="249">
      <c r="A249" s="0" t="inlineStr">
        <is>
          <t>DEEP1M</t>
        </is>
      </c>
      <c r="B249" s="0" t="inlineStr">
        <is>
          <t>K108</t>
        </is>
      </c>
      <c r="C249" s="0" t="inlineStr">
        <is>
          <t>verify_ms</t>
        </is>
      </c>
      <c r="D249" s="0" t="n">
        <v>37.3401984274547</v>
      </c>
      <c r="E249" s="0" t="n">
        <v>37.1063791496452</v>
      </c>
      <c r="F249" s="0" t="n">
        <v>0.993738135102208</v>
      </c>
      <c r="G249" s="0" t="inlineStr">
        <is>
          <t>预测</t>
        </is>
      </c>
    </row>
    <row r="250">
      <c r="A250" s="0" t="inlineStr">
        <is>
          <t>DEEP1M</t>
        </is>
      </c>
      <c r="B250" s="0" t="inlineStr">
        <is>
          <t>K118</t>
        </is>
      </c>
      <c r="C250" s="0" t="inlineStr">
        <is>
          <t>query_ms</t>
        </is>
      </c>
      <c r="D250" s="0" t="n">
        <v>2199633.66400238</v>
      </c>
      <c r="E250" s="0" t="n">
        <v>2284113.60217582</v>
      </c>
      <c r="F250" s="0" t="n">
        <v>1.03840636718558</v>
      </c>
      <c r="G250" s="0" t="inlineStr">
        <is>
          <t>预测</t>
        </is>
      </c>
    </row>
    <row r="251">
      <c r="A251" s="0" t="inlineStr">
        <is>
          <t>DEEP1M</t>
        </is>
      </c>
      <c r="B251" s="0" t="inlineStr">
        <is>
          <t>F64</t>
        </is>
      </c>
      <c r="C251" s="0" t="inlineStr">
        <is>
          <t>vo_kb</t>
        </is>
      </c>
      <c r="D251" s="0" t="n">
        <v>483.694093333333</v>
      </c>
      <c r="E251" s="0" t="n">
        <v>483.694093333333</v>
      </c>
      <c r="F251" s="0" t="n">
        <v>1</v>
      </c>
      <c r="G251" s="0" t="inlineStr">
        <is>
          <t>预测</t>
        </is>
      </c>
    </row>
    <row r="252">
      <c r="A252" s="0" t="inlineStr">
        <is>
          <t>DEEP1M</t>
        </is>
      </c>
      <c r="B252" s="0" t="inlineStr">
        <is>
          <t>F75</t>
        </is>
      </c>
      <c r="C252" s="0" t="inlineStr">
        <is>
          <t>verify_ms</t>
        </is>
      </c>
      <c r="D252" s="0" t="n">
        <v>37.3230314232127</v>
      </c>
      <c r="E252" s="0" t="n">
        <v>37.0899637315258</v>
      </c>
      <c r="F252" s="0" t="n">
        <v>0.9937553922390679</v>
      </c>
      <c r="G252" s="0" t="inlineStr">
        <is>
          <t>预测</t>
        </is>
      </c>
    </row>
    <row r="253">
      <c r="A253" s="0" t="inlineStr">
        <is>
          <t>DEEP1M</t>
        </is>
      </c>
      <c r="B253" s="0" t="inlineStr">
        <is>
          <t>F85</t>
        </is>
      </c>
      <c r="C253" s="0" t="inlineStr">
        <is>
          <t>query_ms</t>
        </is>
      </c>
      <c r="D253" s="0" t="n">
        <v>2199633.66400238</v>
      </c>
      <c r="E253" s="0" t="n">
        <v>2284113.60217582</v>
      </c>
      <c r="F253" s="0" t="n">
        <v>1.03840636718558</v>
      </c>
      <c r="G253" s="0" t="inlineStr">
        <is>
          <t>预测</t>
        </is>
      </c>
    </row>
    <row r="254">
      <c r="A254" s="0" t="inlineStr">
        <is>
          <t>DEEP1M</t>
        </is>
      </c>
      <c r="B254" s="0" t="inlineStr">
        <is>
          <t>G64</t>
        </is>
      </c>
      <c r="C254" s="0" t="inlineStr">
        <is>
          <t>vo_kb</t>
        </is>
      </c>
      <c r="D254" s="0" t="n">
        <v>336.14208</v>
      </c>
      <c r="E254" s="0" t="n">
        <v>336.14208</v>
      </c>
      <c r="F254" s="0" t="n">
        <v>1</v>
      </c>
      <c r="G254" s="0" t="inlineStr">
        <is>
          <t>预测(参数假设)</t>
        </is>
      </c>
    </row>
    <row r="255">
      <c r="A255" s="0" t="inlineStr">
        <is>
          <t>DEEP1M</t>
        </is>
      </c>
      <c r="B255" s="0" t="inlineStr">
        <is>
          <t>G75</t>
        </is>
      </c>
      <c r="C255" s="0" t="inlineStr">
        <is>
          <t>verify_ms</t>
        </is>
      </c>
      <c r="D255" s="0" t="n">
        <v>32.6177350549511</v>
      </c>
      <c r="E255" s="0" t="n">
        <v>32.5269889640667</v>
      </c>
      <c r="F255" s="0" t="n">
        <v>0.997217891103368</v>
      </c>
      <c r="G255" s="0" t="inlineStr">
        <is>
          <t>预测(参数假设)</t>
        </is>
      </c>
    </row>
    <row r="256">
      <c r="A256" s="0" t="inlineStr">
        <is>
          <t>DEEP1M</t>
        </is>
      </c>
      <c r="B256" s="0" t="inlineStr">
        <is>
          <t>G85</t>
        </is>
      </c>
      <c r="C256" s="0" t="inlineStr">
        <is>
          <t>query_ms</t>
        </is>
      </c>
      <c r="D256" s="0" t="n">
        <v>1049778.89619462</v>
      </c>
      <c r="E256" s="0" t="n">
        <v>1090098.64352088</v>
      </c>
      <c r="F256" s="0" t="n">
        <v>1.03840784709277</v>
      </c>
      <c r="G256" s="0" t="inlineStr">
        <is>
          <t>预测(参数假设)</t>
        </is>
      </c>
    </row>
    <row r="257">
      <c r="A257" s="0" t="inlineStr">
        <is>
          <t>DEEP1M</t>
        </is>
      </c>
      <c r="B257" s="0" t="inlineStr">
        <is>
          <t>H64</t>
        </is>
      </c>
      <c r="C257" s="0" t="inlineStr">
        <is>
          <t>vo_kb</t>
        </is>
      </c>
      <c r="D257" s="0" t="n">
        <v>483.694093333333</v>
      </c>
      <c r="E257" s="0" t="n">
        <v>483.694093333333</v>
      </c>
      <c r="F257" s="0" t="n">
        <v>1</v>
      </c>
      <c r="G257" s="0" t="inlineStr">
        <is>
          <t>预测</t>
        </is>
      </c>
    </row>
    <row r="258">
      <c r="A258" s="0" t="inlineStr">
        <is>
          <t>DEEP1M</t>
        </is>
      </c>
      <c r="B258" s="0" t="inlineStr">
        <is>
          <t>H75</t>
        </is>
      </c>
      <c r="C258" s="0" t="inlineStr">
        <is>
          <t>verify_ms</t>
        </is>
      </c>
      <c r="D258" s="0" t="n">
        <v>37.3230314232127</v>
      </c>
      <c r="E258" s="0" t="n">
        <v>37.0899637315258</v>
      </c>
      <c r="F258" s="0" t="n">
        <v>0.9937553922390679</v>
      </c>
      <c r="G258" s="0" t="inlineStr">
        <is>
          <t>预测</t>
        </is>
      </c>
    </row>
    <row r="259">
      <c r="A259" s="0" t="inlineStr">
        <is>
          <t>DEEP1M</t>
        </is>
      </c>
      <c r="B259" s="0" t="inlineStr">
        <is>
          <t>H85</t>
        </is>
      </c>
      <c r="C259" s="0" t="inlineStr">
        <is>
          <t>query_ms</t>
        </is>
      </c>
      <c r="D259" s="0" t="n">
        <v>2199633.66400238</v>
      </c>
      <c r="E259" s="0" t="n">
        <v>2284113.60217582</v>
      </c>
      <c r="F259" s="0" t="n">
        <v>1.03840636718558</v>
      </c>
      <c r="G259" s="0" t="inlineStr">
        <is>
          <t>预测</t>
        </is>
      </c>
    </row>
    <row r="260">
      <c r="A260" s="0" t="inlineStr">
        <is>
          <t>DEEP1M</t>
        </is>
      </c>
      <c r="B260" s="0" t="inlineStr">
        <is>
          <t>I64</t>
        </is>
      </c>
      <c r="C260" s="0" t="inlineStr">
        <is>
          <t>vo_kb</t>
        </is>
      </c>
      <c r="D260" s="0" t="n">
        <v>2458.25413333333</v>
      </c>
      <c r="E260" s="0" t="n">
        <v>2458.25413333333</v>
      </c>
      <c r="F260" s="0" t="n">
        <v>1</v>
      </c>
      <c r="G260" s="0" t="inlineStr">
        <is>
          <t>预测(参数假设)</t>
        </is>
      </c>
    </row>
    <row r="261">
      <c r="A261" s="0" t="inlineStr">
        <is>
          <t>DEEP1M</t>
        </is>
      </c>
      <c r="B261" s="0" t="inlineStr">
        <is>
          <t>I75</t>
        </is>
      </c>
      <c r="C261" s="0" t="inlineStr">
        <is>
          <t>verify_ms</t>
        </is>
      </c>
      <c r="D261" s="0" t="n">
        <v>87.9642017311226</v>
      </c>
      <c r="E261" s="0" t="n">
        <v>85.705061198942</v>
      </c>
      <c r="F261" s="0" t="n">
        <v>0.97431750089558</v>
      </c>
      <c r="G261" s="0" t="inlineStr">
        <is>
          <t>预测(参数假设)</t>
        </is>
      </c>
    </row>
    <row r="262">
      <c r="A262" s="0" t="inlineStr">
        <is>
          <t>DEEP1M</t>
        </is>
      </c>
      <c r="B262" s="0" t="inlineStr">
        <is>
          <t>I85</t>
        </is>
      </c>
      <c r="C262" s="0" t="inlineStr">
        <is>
          <t>query_ms</t>
        </is>
      </c>
      <c r="D262" s="0" t="n">
        <v>19998890.2307345</v>
      </c>
      <c r="E262" s="0" t="n">
        <v>20766900.380624</v>
      </c>
      <c r="F262" s="0" t="n">
        <v>1.03840263839786</v>
      </c>
      <c r="G262" s="0" t="inlineStr">
        <is>
          <t>预测(参数假设)</t>
        </is>
      </c>
    </row>
    <row r="263">
      <c r="A263" s="0" t="inlineStr">
        <is>
          <t>DEEP1M</t>
        </is>
      </c>
      <c r="B263" s="0" t="inlineStr">
        <is>
          <t>J64</t>
        </is>
      </c>
      <c r="C263" s="0" t="inlineStr">
        <is>
          <t>vo_kb</t>
        </is>
      </c>
      <c r="D263" s="0" t="n">
        <v>4694.76614666667</v>
      </c>
      <c r="E263" s="0" t="n">
        <v>4694.76614666667</v>
      </c>
      <c r="F263" s="0" t="n">
        <v>0.999999999999999</v>
      </c>
      <c r="G263" s="0" t="inlineStr">
        <is>
          <t>预测(参数假设)</t>
        </is>
      </c>
    </row>
    <row r="264">
      <c r="A264" s="0" t="inlineStr">
        <is>
          <t>DEEP1M</t>
        </is>
      </c>
      <c r="B264" s="0" t="inlineStr">
        <is>
          <t>J75</t>
        </is>
      </c>
      <c r="C264" s="0" t="inlineStr">
        <is>
          <t>verify_ms</t>
        </is>
      </c>
      <c r="D264" s="0" t="n">
        <v>142.476699740009</v>
      </c>
      <c r="E264" s="0" t="n">
        <v>137.894635736909</v>
      </c>
      <c r="F264" s="0" t="n">
        <v>0.967839906374436</v>
      </c>
      <c r="G264" s="0" t="inlineStr">
        <is>
          <t>预测(参数假设)</t>
        </is>
      </c>
    </row>
    <row r="265">
      <c r="A265" s="0" t="inlineStr">
        <is>
          <t>DEEP1M</t>
        </is>
      </c>
      <c r="B265" s="0" t="inlineStr">
        <is>
          <t>J85</t>
        </is>
      </c>
      <c r="C265" s="0" t="inlineStr">
        <is>
          <t>query_ms</t>
        </is>
      </c>
      <c r="D265" s="0" t="n">
        <v>41598994.4072794</v>
      </c>
      <c r="E265" s="0" t="n">
        <v>43196461.8033929</v>
      </c>
      <c r="F265" s="0" t="n">
        <v>1.03840158683821</v>
      </c>
      <c r="G265" s="0" t="inlineStr">
        <is>
          <t>预测(参数假设)</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L5"/>
  <sheetViews>
    <sheetView workbookViewId="0">
      <selection activeCell="A1" sqref="A1"/>
    </sheetView>
  </sheetViews>
  <sheetFormatPr baseColWidth="8" defaultColWidth="9" defaultRowHeight="13.5" outlineLevelRow="4"/>
  <sheetData>
    <row r="1">
      <c r="A1" s="0" t="inlineStr">
        <is>
          <t>Job</t>
        </is>
      </c>
      <c r="B1" s="0" t="inlineStr">
        <is>
          <t>Role</t>
        </is>
      </c>
      <c r="C1" s="0" t="inlineStr">
        <is>
          <t>Samples</t>
        </is>
      </c>
      <c r="D1" s="0" t="inlineStr">
        <is>
          <t>Domain bit</t>
        </is>
      </c>
      <c r="E1" s="0" t="inlineStr">
        <is>
          <t>Gates</t>
        </is>
      </c>
      <c r="F1" s="0" t="inlineStr">
        <is>
          <t>Query ms</t>
        </is>
      </c>
      <c r="G1" s="0" t="inlineStr">
        <is>
          <t>Build s</t>
        </is>
      </c>
      <c r="H1" s="0" t="inlineStr">
        <is>
          <t>Prove s</t>
        </is>
      </c>
      <c r="I1" s="0" t="inlineStr">
        <is>
          <t>Verify ms</t>
        </is>
      </c>
      <c r="J1" s="0" t="inlineStr">
        <is>
          <t>VO KB</t>
        </is>
      </c>
      <c r="K1" s="0" t="inlineStr">
        <is>
          <t>Source</t>
        </is>
      </c>
      <c r="L1" s="0" t="inlineStr">
        <is>
          <t>SHA256</t>
        </is>
      </c>
    </row>
    <row r="2">
      <c r="A2" s="0" t="inlineStr">
        <is>
          <t>deep1m-1000000-M48-p2-k10-q1-r1-t1</t>
        </is>
      </c>
      <c r="B2" s="0" t="inlineStr">
        <is>
          <t>model calibration only: one query, not a 20x3 benchmark</t>
        </is>
      </c>
      <c r="C2" s="0" t="n">
        <v>1</v>
      </c>
      <c r="D2" s="0" t="n">
        <v>18</v>
      </c>
      <c r="E2" s="0" t="n">
        <v>222045</v>
      </c>
      <c r="F2" s="0" t="n">
        <v>119900.137718</v>
      </c>
      <c r="G2" s="0" t="n">
        <v>37.887563467</v>
      </c>
      <c r="H2" s="0" t="n">
        <v>76.596337011</v>
      </c>
      <c r="I2" s="0" t="n">
        <v>12.3739219999948</v>
      </c>
      <c r="J2" s="0" t="n">
        <v>217.809</v>
      </c>
      <c r="K2" s="0" t="inlineStr">
        <is>
          <t>/mnt/d/paper_source/work_9/VeriANN_repro_2026-09-30/VeriANN_repro_2026-09-30/results/work9-v3db-reaudit-20261018/deep1m-1000000-M48-p2-k10-q1-r1-t1/per_query.csv</t>
        </is>
      </c>
      <c r="L2" s="0" t="inlineStr">
        <is>
          <t>dce084a1c0ad8a193295ede521d6c37a120b5c67bcf4c72ab6e677cf66c28c62</t>
        </is>
      </c>
    </row>
    <row r="3">
      <c r="A3" s="0" t="inlineStr">
        <is>
          <t>deep1m-1000000-M96-K1024-p2-k10-q1-r1-t1</t>
        </is>
      </c>
      <c r="B3" s="0" t="inlineStr">
        <is>
          <t>model calibration only: one query, not a 20x3 benchmark</t>
        </is>
      </c>
      <c r="C3" s="0" t="n">
        <v>1</v>
      </c>
      <c r="D3" s="0" t="n">
        <v>19</v>
      </c>
      <c r="E3" s="0" t="n">
        <v>441343</v>
      </c>
      <c r="F3" s="0" t="n">
        <v>246414.936606</v>
      </c>
      <c r="G3" s="0" t="n">
        <v>80.01932999900001</v>
      </c>
      <c r="H3" s="0" t="n">
        <v>155.077769794</v>
      </c>
      <c r="I3" s="0" t="n">
        <v>13.9031009999826</v>
      </c>
      <c r="J3" s="0" t="n">
        <v>233.262</v>
      </c>
      <c r="K3" s="0" t="inlineStr">
        <is>
          <t>/mnt/d/paper_source/work_9/VeriANN_repro_2026-09-30/VeriANN_repro_2026-09-30/results/work9-v3db-reaudit-20261018/deep1m-1000000-M96-K1024-p2-k10-q1-r1-t1/per_query.csv</t>
        </is>
      </c>
      <c r="L3" s="0" t="inlineStr">
        <is>
          <t>b1c49649a143b62a29b19ddda14bf43266d1b9db51e7c922db225023ad87b053</t>
        </is>
      </c>
    </row>
    <row r="4">
      <c r="A4" s="0" t="inlineStr">
        <is>
          <t>nytimes256-289761-M64-p1-k10-q1-r1-t1</t>
        </is>
      </c>
      <c r="B4" s="0" t="inlineStr">
        <is>
          <t>model calibration only: one query, not a 20x3 benchmark</t>
        </is>
      </c>
      <c r="C4" s="0" t="n">
        <v>1</v>
      </c>
      <c r="D4" s="0" t="n">
        <v>18</v>
      </c>
      <c r="E4" s="0" t="n">
        <v>173966</v>
      </c>
      <c r="F4" s="0" t="n">
        <v>118898.04465</v>
      </c>
      <c r="G4" s="0" t="n">
        <v>38.62475401</v>
      </c>
      <c r="H4" s="0" t="n">
        <v>76.101362514</v>
      </c>
      <c r="I4" s="0" t="n">
        <v>13.1931410000448</v>
      </c>
      <c r="J4" s="0" t="n">
        <v>203.127</v>
      </c>
      <c r="K4" s="0" t="inlineStr">
        <is>
          <t>/mnt/d/paper_source/work_9/VeriANN_repro_2026-09-30/VeriANN_repro_2026-09-30/results/work9-v3db-reaudit-20261018/nytimes256-289761-M64-p1-k10-q1-r1-t1/per_query.csv</t>
        </is>
      </c>
      <c r="L4" s="0" t="inlineStr">
        <is>
          <t>b0769cea41ffc2d31bd45e2efcf536d337ac473b3f14ad22a0ca2e6a0b4b75c3</t>
        </is>
      </c>
    </row>
    <row r="5">
      <c r="A5" s="0" t="inlineStr">
        <is>
          <t>sift1m-1000000-p8-k10-q1-r1-t1</t>
        </is>
      </c>
      <c r="B5" s="0" t="inlineStr">
        <is>
          <t>model calibration only: one query, not a 20x3 benchmark</t>
        </is>
      </c>
      <c r="C5" s="0" t="n">
        <v>1</v>
      </c>
      <c r="D5" s="0" t="n">
        <v>18</v>
      </c>
      <c r="E5" s="0" t="n">
        <v>254433</v>
      </c>
      <c r="F5" s="0" t="n">
        <v>121384.418594</v>
      </c>
      <c r="G5" s="0" t="n">
        <v>39.268575066</v>
      </c>
      <c r="H5" s="0" t="n">
        <v>76.91522400300001</v>
      </c>
      <c r="I5" s="0" t="n">
        <v>14.5273109999948</v>
      </c>
      <c r="J5" s="0" t="n">
        <v>318.852</v>
      </c>
      <c r="K5" s="0" t="inlineStr">
        <is>
          <t>/mnt/d/paper_source/work_9/VeriANN_repro_2026-09-30/VeriANN_repro_2026-09-30/results/work9-v3db-reaudit-20261018/sift1m-1000000-p8-k10-q1-r1-t1/per_query.csv</t>
        </is>
      </c>
      <c r="L5" s="0" t="inlineStr">
        <is>
          <t>a704cfd44c5725d119aadcba027fe6f6ecd85e23e59905ae93f3f08da07354c0</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ColWidth="9" defaultRowHeight="13.5" outlineLevelRow="7"/>
  <cols>
    <col width="24" customWidth="1" style="1" min="1" max="1"/>
    <col width="120" customWidth="1" style="1" min="2" max="2"/>
  </cols>
  <sheetData>
    <row r="1">
      <c r="A1" s="0" t="inlineStr">
        <is>
          <t>性质</t>
        </is>
      </c>
      <c r="B1" s="0" t="inlineStr">
        <is>
          <t>复核固定参数下全部预测。新校准只有各1次真实证明，不是新增20×3主实验。</t>
        </is>
      </c>
    </row>
    <row r="2">
      <c r="A2" s="0" t="inlineStr">
        <is>
          <t>依据</t>
        </is>
      </c>
      <c r="B2" s="0" t="inlineStr">
        <is>
          <t>新增较小与中间域档位的真实单线程build/prove/压缩/验证，结合原有179条有效样本重新标定。校准样本按配置平衡；不把同一电路重复60次当作60种外推形状。</t>
        </is>
      </c>
    </row>
    <row r="3">
      <c r="A3" s="0" t="inlineStr">
        <is>
          <t>查询口径</t>
        </is>
      </c>
      <c r="B3" s="0" t="inlineStr">
        <is>
          <t>保留原先搜索+主机整理+电路构建+证明生成的完整服务端口径，不通过删除构建或改并行度来降低数值。</t>
        </is>
      </c>
    </row>
    <row r="4">
      <c r="A4" s="0" t="inlineStr">
        <is>
          <t>参数</t>
        </is>
      </c>
      <c r="B4" s="0" t="inlineStr">
        <is>
          <t>主表既有M/K/L/probe不变，以保持与已实测索引大小/构建时间配置对应。SIFT较轻PQ备选见报告，不能冒充相同配置的预测公式修正。</t>
        </is>
      </c>
    </row>
    <row r="5">
      <c r="A5" s="0" t="inlineStr">
        <is>
          <t>范围</t>
        </is>
      </c>
      <c r="B5" s="0" t="inlineStr">
        <is>
          <t>小档位可检验模型；远超实测档位的高召回、大规模配置依然是条件预测。内存不足的本机没有实测完成时间，不能据此宣称实测加速比。</t>
        </is>
      </c>
    </row>
    <row r="6">
      <c r="A6" s="0" t="inlineStr">
        <is>
          <t>结果核查</t>
        </is>
      </c>
      <c r="B6" s="0" t="inlineStr">
        <is>
          <t>未发现秒/毫秒换算或重复叠加证明耗时错误。大小/公开输入沿用实际序列化规则；根据新增证明调整本体斜率，验证核心按已测域档位插值。</t>
        </is>
      </c>
    </row>
    <row r="7">
      <c r="A7" s="0" t="inlineStr">
        <is>
          <t>备份</t>
        </is>
      </c>
      <c r="B7" s="0" t="inlineStr">
        <is>
          <t>/mnt/d/paper_source/work_9/VeriANN_repro_2026-09-30/VeriANN_repro_2026-09-30/experiments/work9-v3db-reaudit-20261018/work9_before_reaudit.xlsx</t>
        </is>
      </c>
    </row>
    <row r="8">
      <c r="A8" s="0" t="inlineStr">
        <is>
          <t>原始证据</t>
        </is>
      </c>
      <c r="B8" s="0" t="inlineStr">
        <is>
          <t>/mnt/d/paper_source/work_9/VeriANN_repro_2026-09-30/VeriANN_repro_2026-09-30/experiments/work9-v3db-reaudit-20261018</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ColWidth="9" defaultRowHeight="13.5"/>
  <sheetData>
    <row r="1">
      <c r="A1" s="0" t="inlineStr">
        <is>
          <t>Dataset</t>
        </is>
      </c>
      <c r="B1" s="0" t="inlineStr">
        <is>
          <t>Target</t>
        </is>
      </c>
      <c r="C1" s="0" t="inlineStr">
        <is>
          <t>Existing search calibration recall</t>
        </is>
      </c>
      <c r="D1" s="0" t="inlineStr">
        <is>
          <t>M</t>
        </is>
      </c>
      <c r="E1" s="0" t="inlineStr">
        <is>
          <t>K</t>
        </is>
      </c>
      <c r="F1" s="0" t="inlineStr">
        <is>
          <t>n_probe</t>
        </is>
      </c>
      <c r="G1" s="0" t="inlineStr">
        <is>
          <t>Estimated Query seconds</t>
        </is>
      </c>
      <c r="H1" s="0" t="inlineStr">
        <is>
          <t>Model</t>
        </is>
      </c>
      <c r="I1" s="0" t="inlineStr">
        <is>
          <t>Scope</t>
        </is>
      </c>
    </row>
    <row r="2">
      <c r="A2" s="0" t="inlineStr">
        <is>
          <t>sift1m</t>
        </is>
      </c>
      <c r="B2" s="0" t="n">
        <v>0.6</v>
      </c>
      <c r="C2" s="0" t="n">
        <v>0.655</v>
      </c>
      <c r="D2" s="0" t="n">
        <v>32</v>
      </c>
      <c r="E2" s="0" t="n">
        <v>256</v>
      </c>
      <c r="F2" s="0" t="n">
        <v>4</v>
      </c>
      <c r="G2" s="0" t="n">
        <v>242.489193677458</v>
      </c>
      <c r="H2" s="0" t="inlineStr">
        <is>
          <t>sift1m-1000000-M32</t>
        </is>
      </c>
      <c r="I2" s="0" t="inlineStr">
        <is>
          <t>Search-calibrated alternative only. NOT substituted into main table; index costs not remeasured for this alternative.</t>
        </is>
      </c>
    </row>
    <row r="3">
      <c r="A3" s="0" t="inlineStr">
        <is>
          <t>sift1m</t>
        </is>
      </c>
      <c r="B3" s="0" t="n">
        <v>0.7</v>
      </c>
      <c r="C3" s="0" t="n">
        <v>0.7</v>
      </c>
      <c r="D3" s="0" t="n">
        <v>128</v>
      </c>
      <c r="E3" s="0" t="n">
        <v>256</v>
      </c>
      <c r="F3" s="0" t="n">
        <v>2</v>
      </c>
      <c r="G3" s="0" t="n">
        <v>250.702631326855</v>
      </c>
      <c r="H3" s="0" t="inlineStr">
        <is>
          <t>sift1m-1000000-M128</t>
        </is>
      </c>
      <c r="I3" s="0" t="inlineStr">
        <is>
          <t>Search-calibrated alternative only. NOT substituted into main table; index costs not remeasured for this alternative.</t>
        </is>
      </c>
    </row>
    <row r="4">
      <c r="A4" s="0" t="inlineStr">
        <is>
          <t>sift1m</t>
        </is>
      </c>
      <c r="B4" s="0" t="n">
        <v>0.8</v>
      </c>
      <c r="C4" s="0" t="n">
        <v>0.84</v>
      </c>
      <c r="D4" s="0" t="n">
        <v>128</v>
      </c>
      <c r="E4" s="0" t="n">
        <v>256</v>
      </c>
      <c r="F4" s="0" t="n">
        <v>4</v>
      </c>
      <c r="G4" s="0" t="n">
        <v>527.795013319696</v>
      </c>
      <c r="H4" s="0" t="inlineStr">
        <is>
          <t>sift1m-1000000-M128</t>
        </is>
      </c>
      <c r="I4" s="0" t="inlineStr">
        <is>
          <t>Search-calibrated alternative only. NOT substituted into main table; index costs not remeasured for this alternative.</t>
        </is>
      </c>
    </row>
    <row r="5">
      <c r="A5" s="0" t="inlineStr">
        <is>
          <t>sift1m</t>
        </is>
      </c>
      <c r="B5" s="0" t="n">
        <v>0.9</v>
      </c>
      <c r="C5" s="0" t="n">
        <v>0.925</v>
      </c>
      <c r="D5" s="0" t="n">
        <v>128</v>
      </c>
      <c r="E5" s="0" t="n">
        <v>256</v>
      </c>
      <c r="F5" s="0" t="n">
        <v>8</v>
      </c>
      <c r="G5" s="0" t="n">
        <v>1108.36952797136</v>
      </c>
      <c r="H5" s="0" t="inlineStr">
        <is>
          <t>sift1m-1000000-M128</t>
        </is>
      </c>
      <c r="I5" s="0" t="inlineStr">
        <is>
          <t>Search-calibrated alternative only. NOT substituted into main table; index costs not remeasured for this alternative.</t>
        </is>
      </c>
    </row>
    <row r="6">
      <c r="A6" s="0" t="inlineStr">
        <is>
          <t>sift1m</t>
        </is>
      </c>
      <c r="B6" s="0" t="n">
        <v>0.95</v>
      </c>
      <c r="C6" s="0" t="n">
        <v>0.95</v>
      </c>
      <c r="D6" s="0" t="n">
        <v>128</v>
      </c>
      <c r="E6" s="0" t="n">
        <v>256</v>
      </c>
      <c r="F6" s="0" t="n">
        <v>16</v>
      </c>
      <c r="G6" s="0" t="n">
        <v>2322.29805860666</v>
      </c>
      <c r="H6" s="0" t="inlineStr">
        <is>
          <t>sift1m-1000000-M128</t>
        </is>
      </c>
      <c r="I6" s="0" t="inlineStr">
        <is>
          <t>Search-calibrated alternative only. NOT substituted into main table; index costs not remeasured for this alternative.</t>
        </is>
      </c>
    </row>
    <row r="7">
      <c r="A7" s="0" t="inlineStr">
        <is>
          <t>sift1m</t>
        </is>
      </c>
      <c r="B7" s="0" t="n">
        <v>0.97</v>
      </c>
      <c r="C7" s="0" t="n">
        <v>0.97</v>
      </c>
      <c r="D7" s="0" t="n">
        <v>128</v>
      </c>
      <c r="E7" s="0" t="n">
        <v>256</v>
      </c>
      <c r="F7" s="0" t="n">
        <v>32</v>
      </c>
      <c r="G7" s="0" t="n">
        <v>4855.7141225412</v>
      </c>
      <c r="H7" s="0" t="inlineStr">
        <is>
          <t>sift1m-1000000-M128</t>
        </is>
      </c>
      <c r="I7" s="0" t="inlineStr">
        <is>
          <t>Search-calibrated alternative only. NOT substituted into main table; index costs not remeasured for this alternative.</t>
        </is>
      </c>
    </row>
    <row r="8">
      <c r="A8" s="0" t="inlineStr">
        <is>
          <t>sift1m</t>
        </is>
      </c>
      <c r="B8" s="0" t="n">
        <v>0.98</v>
      </c>
      <c r="C8" s="0" t="n">
        <v>0.985</v>
      </c>
      <c r="D8" s="0" t="n">
        <v>128</v>
      </c>
      <c r="E8" s="0" t="n">
        <v>1024</v>
      </c>
      <c r="F8" s="0" t="n">
        <v>32</v>
      </c>
      <c r="G8" s="0" t="n">
        <v>9805.12674976225</v>
      </c>
      <c r="H8" s="0" t="inlineStr">
        <is>
          <t>sift1m-1000000-M128-K1024</t>
        </is>
      </c>
      <c r="I8" s="0" t="inlineStr">
        <is>
          <t>Search-calibrated alternative only. NOT substituted into main table; index costs not remeasured for this alternative.</t>
        </is>
      </c>
    </row>
    <row r="9">
      <c r="A9" s="0" t="inlineStr">
        <is>
          <t>sift1m</t>
        </is>
      </c>
      <c r="B9" s="0" t="n">
        <v>0.99</v>
      </c>
      <c r="C9" s="0" t="n">
        <v>0.995</v>
      </c>
      <c r="D9" s="0" t="n">
        <v>128</v>
      </c>
      <c r="E9" s="0" t="n">
        <v>1024</v>
      </c>
      <c r="F9" s="0" t="n">
        <v>64</v>
      </c>
      <c r="G9" s="0" t="n">
        <v>20428.4425203579</v>
      </c>
      <c r="H9" s="0" t="inlineStr">
        <is>
          <t>sift1m-1000000-M128-K1024</t>
        </is>
      </c>
      <c r="I9" s="0" t="inlineStr">
        <is>
          <t>Search-calibrated alternative only. NOT substituted into main table; index costs not remeasured for this alternative.</t>
        </is>
      </c>
    </row>
    <row r="10">
      <c r="A10" s="0" t="inlineStr">
        <is>
          <t>nytimes256</t>
        </is>
      </c>
      <c r="B10" s="0" t="n">
        <v>0.6</v>
      </c>
      <c r="C10" s="0" t="n">
        <v>0.625</v>
      </c>
      <c r="D10" s="0" t="n">
        <v>128</v>
      </c>
      <c r="E10" s="0" t="n">
        <v>256</v>
      </c>
      <c r="F10" s="0" t="n">
        <v>4</v>
      </c>
      <c r="G10" s="0" t="n">
        <v>527.795013319696</v>
      </c>
      <c r="H10" s="0" t="inlineStr">
        <is>
          <t>nytimes256-289761-M128</t>
        </is>
      </c>
      <c r="I10" s="0" t="inlineStr">
        <is>
          <t>Search-calibrated alternative only. NOT substituted into main table; index costs not remeasured for this alternative.</t>
        </is>
      </c>
    </row>
    <row r="11">
      <c r="A11" s="0" t="inlineStr">
        <is>
          <t>nytimes256</t>
        </is>
      </c>
      <c r="B11" s="0" t="n">
        <v>0.7</v>
      </c>
      <c r="C11" s="0" t="n">
        <v>0.76</v>
      </c>
      <c r="D11" s="0" t="n">
        <v>128</v>
      </c>
      <c r="E11" s="0" t="n">
        <v>256</v>
      </c>
      <c r="F11" s="0" t="n">
        <v>16</v>
      </c>
      <c r="G11" s="0" t="n">
        <v>2322.29805860666</v>
      </c>
      <c r="H11" s="0" t="inlineStr">
        <is>
          <t>nytimes256-289761-M128</t>
        </is>
      </c>
      <c r="I11" s="0" t="inlineStr">
        <is>
          <t>Search-calibrated alternative only. NOT substituted into main table; index costs not remeasured for this alternative.</t>
        </is>
      </c>
    </row>
    <row r="12">
      <c r="A12" s="0" t="inlineStr">
        <is>
          <t>nytimes256</t>
        </is>
      </c>
      <c r="B12" s="0" t="n">
        <v>0.8</v>
      </c>
      <c r="C12" s="0" t="n">
        <v>0.825</v>
      </c>
      <c r="D12" s="0" t="n">
        <v>128</v>
      </c>
      <c r="E12" s="0" t="n">
        <v>256</v>
      </c>
      <c r="F12" s="0" t="n">
        <v>32</v>
      </c>
      <c r="G12" s="0" t="n">
        <v>4855.7141225412</v>
      </c>
      <c r="H12" s="0" t="inlineStr">
        <is>
          <t>nytimes256-289761-M128</t>
        </is>
      </c>
      <c r="I12" s="0" t="inlineStr">
        <is>
          <t>Search-calibrated alternative only. NOT substituted into main table; index costs not remeasured for this alternative.</t>
        </is>
      </c>
    </row>
    <row r="13">
      <c r="A13" s="0" t="inlineStr">
        <is>
          <t>nytimes256</t>
        </is>
      </c>
      <c r="B13" s="0" t="n">
        <v>0.9</v>
      </c>
      <c r="C13" s="0" t="n">
        <v>0.925</v>
      </c>
      <c r="D13" s="0" t="n">
        <v>128</v>
      </c>
      <c r="E13" s="0" t="n">
        <v>256</v>
      </c>
      <c r="F13" s="0" t="n">
        <v>256</v>
      </c>
      <c r="G13" s="0" t="n">
        <v>43912.5451081987</v>
      </c>
      <c r="H13" s="0" t="inlineStr">
        <is>
          <t>nytimes256-289761-M128</t>
        </is>
      </c>
      <c r="I13" s="0" t="inlineStr">
        <is>
          <t>Search-calibrated alternative only. NOT substituted into main table; index costs not remeasured for this alternative.</t>
        </is>
      </c>
    </row>
    <row r="14">
      <c r="A14" s="0" t="inlineStr">
        <is>
          <t>nytimes256</t>
        </is>
      </c>
      <c r="B14" s="0" t="n">
        <v>0.95</v>
      </c>
      <c r="C14" s="0" t="n">
        <v>0.975</v>
      </c>
      <c r="D14" s="0" t="n">
        <v>256</v>
      </c>
      <c r="E14" s="0" t="n">
        <v>256</v>
      </c>
      <c r="F14" s="0" t="n">
        <v>256</v>
      </c>
      <c r="G14" s="0" t="n">
        <v>91202.97830164339</v>
      </c>
      <c r="H14" s="0" t="inlineStr">
        <is>
          <t>nytimes256-289761-M256</t>
        </is>
      </c>
      <c r="I14" s="0" t="inlineStr">
        <is>
          <t>Search-calibrated alternative only. NOT substituted into main table; index costs not remeasured for this alternative.</t>
        </is>
      </c>
    </row>
    <row r="15">
      <c r="A15" s="0" t="inlineStr">
        <is>
          <t>nytimes256</t>
        </is>
      </c>
      <c r="B15" s="0" t="n">
        <v>0.97</v>
      </c>
      <c r="C15" s="0" t="n">
        <v>0.975</v>
      </c>
      <c r="D15" s="0" t="n">
        <v>256</v>
      </c>
      <c r="E15" s="0" t="n">
        <v>256</v>
      </c>
      <c r="F15" s="0" t="n">
        <v>256</v>
      </c>
      <c r="G15" s="0" t="n">
        <v>91202.97830164339</v>
      </c>
      <c r="H15" s="0" t="inlineStr">
        <is>
          <t>nytimes256-289761-M256</t>
        </is>
      </c>
      <c r="I15" s="0" t="inlineStr">
        <is>
          <t>Search-calibrated alternative only. NOT substituted into main table; index costs not remeasured for this alternative.</t>
        </is>
      </c>
    </row>
    <row r="16">
      <c r="A16" s="0" t="inlineStr">
        <is>
          <t>nytimes256</t>
        </is>
      </c>
      <c r="B16" s="0" t="n">
        <v>0.98</v>
      </c>
      <c r="C16" s="0" t="n">
        <v>1</v>
      </c>
      <c r="D16" s="0" t="n">
        <v>256</v>
      </c>
      <c r="E16" s="0" t="n">
        <v>256</v>
      </c>
      <c r="F16" s="0" t="n">
        <v>512</v>
      </c>
      <c r="G16" s="0" t="n">
        <v>189161.732773779</v>
      </c>
      <c r="H16" s="0" t="inlineStr">
        <is>
          <t>nytimes256-289761-M256</t>
        </is>
      </c>
      <c r="I16" s="0" t="inlineStr">
        <is>
          <t>Search-calibrated alternative only. NOT substituted into main table; index costs not remeasured for this alternative.</t>
        </is>
      </c>
    </row>
    <row r="17">
      <c r="A17" s="0" t="inlineStr">
        <is>
          <t>nytimes256</t>
        </is>
      </c>
      <c r="B17" s="0" t="n">
        <v>0.99</v>
      </c>
      <c r="C17" s="0" t="n">
        <v>1</v>
      </c>
      <c r="D17" s="0" t="n">
        <v>256</v>
      </c>
      <c r="E17" s="0" t="n">
        <v>256</v>
      </c>
      <c r="F17" s="0" t="n">
        <v>512</v>
      </c>
      <c r="G17" s="0" t="n">
        <v>189161.732773779</v>
      </c>
      <c r="H17" s="0" t="inlineStr">
        <is>
          <t>nytimes256-289761-M256</t>
        </is>
      </c>
      <c r="I17" s="0" t="inlineStr">
        <is>
          <t>Search-calibrated alternative only. NOT substituted into main table; index costs not remeasured for this alternative.</t>
        </is>
      </c>
    </row>
    <row r="18">
      <c r="A18" s="0" t="inlineStr">
        <is>
          <t>glove100</t>
        </is>
      </c>
      <c r="B18" s="0" t="n">
        <v>0.6</v>
      </c>
      <c r="C18" s="0" t="n">
        <v>0.645</v>
      </c>
      <c r="D18" s="0" t="n">
        <v>50</v>
      </c>
      <c r="E18" s="0" t="n">
        <v>256</v>
      </c>
      <c r="F18" s="0" t="n">
        <v>16</v>
      </c>
      <c r="G18" s="0" t="n">
        <v>2288.84809554429</v>
      </c>
      <c r="H18" s="0" t="inlineStr">
        <is>
          <t>glove100-1183514-M50</t>
        </is>
      </c>
      <c r="I18" s="0" t="inlineStr">
        <is>
          <t>Search-calibrated alternative only. NOT substituted into main table; index costs not remeasured for this alternative.</t>
        </is>
      </c>
    </row>
    <row r="19">
      <c r="A19" s="0" t="inlineStr">
        <is>
          <t>glove100</t>
        </is>
      </c>
      <c r="B19" s="0" t="n">
        <v>0.7</v>
      </c>
      <c r="C19" s="0" t="n">
        <v>0.715</v>
      </c>
      <c r="D19" s="0" t="n">
        <v>50</v>
      </c>
      <c r="E19" s="0" t="n">
        <v>256</v>
      </c>
      <c r="F19" s="0" t="n">
        <v>32</v>
      </c>
      <c r="G19" s="0" t="n">
        <v>4785.93949323917</v>
      </c>
      <c r="H19" s="0" t="inlineStr">
        <is>
          <t>glove100-1183514-M50</t>
        </is>
      </c>
      <c r="I19" s="0" t="inlineStr">
        <is>
          <t>Search-calibrated alternative only. NOT substituted into main table; index costs not remeasured for this alternative.</t>
        </is>
      </c>
    </row>
    <row r="20">
      <c r="A20" s="0" t="inlineStr">
        <is>
          <t>glove100</t>
        </is>
      </c>
      <c r="B20" s="0" t="n">
        <v>0.8</v>
      </c>
      <c r="C20" s="0" t="n">
        <v>0.8</v>
      </c>
      <c r="D20" s="0" t="n">
        <v>100</v>
      </c>
      <c r="E20" s="0" t="n">
        <v>512</v>
      </c>
      <c r="F20" s="0" t="n">
        <v>32</v>
      </c>
      <c r="G20" s="0" t="n">
        <v>9988.365590779509</v>
      </c>
      <c r="H20" s="0" t="inlineStr">
        <is>
          <t>glove100-1183514-M100-K512</t>
        </is>
      </c>
      <c r="I20" s="0" t="inlineStr">
        <is>
          <t>Search-calibrated alternative only. NOT substituted into main table; index costs not remeasured for this alternative.</t>
        </is>
      </c>
    </row>
    <row r="21">
      <c r="A21" s="0" t="inlineStr">
        <is>
          <t>glove100</t>
        </is>
      </c>
      <c r="B21" s="0" t="n">
        <v>0.9</v>
      </c>
      <c r="C21" s="0" t="n">
        <v>0.91</v>
      </c>
      <c r="D21" s="0" t="n">
        <v>100</v>
      </c>
      <c r="E21" s="0" t="n">
        <v>1024</v>
      </c>
      <c r="F21" s="0" t="n">
        <v>128</v>
      </c>
      <c r="G21" s="0" t="n">
        <v>43285.3551975275</v>
      </c>
      <c r="H21" s="0" t="inlineStr">
        <is>
          <t>glove100-1183514-M100-K1024</t>
        </is>
      </c>
      <c r="I21" s="0" t="inlineStr">
        <is>
          <t>Search-calibrated alternative only. NOT substituted into main table; index costs not remeasured for this alternative.</t>
        </is>
      </c>
    </row>
    <row r="22">
      <c r="A22" s="0" t="inlineStr">
        <is>
          <t>glove100</t>
        </is>
      </c>
      <c r="B22" s="0" t="n">
        <v>0.95</v>
      </c>
      <c r="C22" s="0" t="n">
        <v>0.965</v>
      </c>
      <c r="D22" s="0" t="n">
        <v>100</v>
      </c>
      <c r="E22" s="0" t="n">
        <v>1024</v>
      </c>
      <c r="F22" s="0" t="n">
        <v>256</v>
      </c>
      <c r="G22" s="0" t="n">
        <v>89902.6032294644</v>
      </c>
      <c r="H22" s="0" t="inlineStr">
        <is>
          <t>glove100-1183514-M100-K1024</t>
        </is>
      </c>
      <c r="I22" s="0" t="inlineStr">
        <is>
          <t>Search-calibrated alternative only. NOT substituted into main table; index costs not remeasured for this alternative.</t>
        </is>
      </c>
    </row>
    <row r="23">
      <c r="A23" s="0" t="inlineStr">
        <is>
          <t>glove100</t>
        </is>
      </c>
      <c r="B23" s="0" t="n">
        <v>0.97</v>
      </c>
      <c r="C23" s="0" t="n">
        <v>0.98</v>
      </c>
      <c r="D23" s="0" t="n">
        <v>100</v>
      </c>
      <c r="E23" s="0" t="n">
        <v>1024</v>
      </c>
      <c r="F23" s="0" t="n">
        <v>512</v>
      </c>
      <c r="G23" s="0" t="n">
        <v>186468.992127748</v>
      </c>
      <c r="H23" s="0" t="inlineStr">
        <is>
          <t>glove100-1183514-M100-K1024</t>
        </is>
      </c>
      <c r="I23" s="0" t="inlineStr">
        <is>
          <t>Search-calibrated alternative only. NOT substituted into main table; index costs not remeasured for this alternative.</t>
        </is>
      </c>
    </row>
    <row r="24">
      <c r="A24" s="0" t="inlineStr">
        <is>
          <t>glove100</t>
        </is>
      </c>
      <c r="B24" s="0" t="n">
        <v>0.98</v>
      </c>
      <c r="C24" s="0" t="n">
        <v>0.98</v>
      </c>
      <c r="D24" s="0" t="n">
        <v>100</v>
      </c>
      <c r="E24" s="0" t="n">
        <v>1024</v>
      </c>
      <c r="F24" s="0" t="n">
        <v>512</v>
      </c>
      <c r="G24" s="0" t="n">
        <v>186468.992127748</v>
      </c>
      <c r="H24" s="0" t="inlineStr">
        <is>
          <t>glove100-1183514-M100-K1024</t>
        </is>
      </c>
      <c r="I24" s="0" t="inlineStr">
        <is>
          <t>Search-calibrated alternative only. NOT substituted into main table; index costs not remeasured for this alternative.</t>
        </is>
      </c>
    </row>
    <row r="25">
      <c r="A25" s="0" t="inlineStr">
        <is>
          <t>deep1m</t>
        </is>
      </c>
      <c r="B25" s="0" t="n">
        <v>0.6</v>
      </c>
      <c r="C25" s="0" t="n">
        <v>0.615</v>
      </c>
      <c r="D25" s="0" t="n">
        <v>24</v>
      </c>
      <c r="E25" s="0" t="n">
        <v>256</v>
      </c>
      <c r="F25" s="0" t="n">
        <v>4</v>
      </c>
      <c r="G25" s="0" t="n">
        <v>116.778021352474</v>
      </c>
      <c r="H25" s="0" t="inlineStr">
        <is>
          <t>deep1m-1000000-M24</t>
        </is>
      </c>
      <c r="I25" s="0" t="inlineStr">
        <is>
          <t>Search-calibrated alternative only. NOT substituted into main table; index costs not remeasured for this alternative.</t>
        </is>
      </c>
    </row>
    <row r="26">
      <c r="A26" s="0" t="inlineStr">
        <is>
          <t>deep1m</t>
        </is>
      </c>
      <c r="B26" s="0" t="n">
        <v>0.7</v>
      </c>
      <c r="C26" s="0" t="n">
        <v>0.71</v>
      </c>
      <c r="D26" s="0" t="n">
        <v>48</v>
      </c>
      <c r="E26" s="0" t="n">
        <v>256</v>
      </c>
      <c r="F26" s="0" t="n">
        <v>4</v>
      </c>
      <c r="G26" s="0" t="n">
        <v>246.545582096705</v>
      </c>
      <c r="H26" s="0" t="inlineStr">
        <is>
          <t>deep1m-1000000-M48</t>
        </is>
      </c>
      <c r="I26" s="0" t="inlineStr">
        <is>
          <t>Search-calibrated alternative only. NOT substituted into main table; index costs not remeasured for this alternative.</t>
        </is>
      </c>
    </row>
    <row r="27">
      <c r="A27" s="0" t="inlineStr">
        <is>
          <t>deep1m</t>
        </is>
      </c>
      <c r="B27" s="0" t="n">
        <v>0.8</v>
      </c>
      <c r="C27" s="0" t="n">
        <v>0.8</v>
      </c>
      <c r="D27" s="0" t="n">
        <v>48</v>
      </c>
      <c r="E27" s="0" t="n">
        <v>256</v>
      </c>
      <c r="F27" s="0" t="n">
        <v>8</v>
      </c>
      <c r="G27" s="0" t="n">
        <v>519.070242976925</v>
      </c>
      <c r="H27" s="0" t="inlineStr">
        <is>
          <t>deep1m-1000000-M48</t>
        </is>
      </c>
      <c r="I27" s="0" t="inlineStr">
        <is>
          <t>Search-calibrated alternative only. NOT substituted into main table; index costs not remeasured for this alternative.</t>
        </is>
      </c>
    </row>
    <row r="28">
      <c r="A28" s="0" t="inlineStr">
        <is>
          <t>deep1m</t>
        </is>
      </c>
      <c r="B28" s="0" t="n">
        <v>0.9</v>
      </c>
      <c r="C28" s="0" t="n">
        <v>0.9</v>
      </c>
      <c r="D28" s="0" t="n">
        <v>96</v>
      </c>
      <c r="E28" s="0" t="n">
        <v>1024</v>
      </c>
      <c r="F28" s="0" t="n">
        <v>8</v>
      </c>
      <c r="G28" s="0" t="n">
        <v>1090.09864352088</v>
      </c>
      <c r="H28" s="0" t="inlineStr">
        <is>
          <t>deep1m-1000000-M96-K1024</t>
        </is>
      </c>
      <c r="I28" s="0" t="inlineStr">
        <is>
          <t>Search-calibrated alternative only. NOT substituted into main table; index costs not remeasured for this alternative.</t>
        </is>
      </c>
    </row>
    <row r="29">
      <c r="A29" s="0" t="inlineStr">
        <is>
          <t>deep1m</t>
        </is>
      </c>
      <c r="B29" s="0" t="n">
        <v>0.95</v>
      </c>
      <c r="C29" s="0" t="n">
        <v>0.955</v>
      </c>
      <c r="D29" s="0" t="n">
        <v>96</v>
      </c>
      <c r="E29" s="0" t="n">
        <v>1024</v>
      </c>
      <c r="F29" s="0" t="n">
        <v>16</v>
      </c>
      <c r="G29" s="0" t="n">
        <v>2284.11360217582</v>
      </c>
      <c r="H29" s="0" t="inlineStr">
        <is>
          <t>deep1m-1000000-M96-K1024</t>
        </is>
      </c>
      <c r="I29" s="0" t="inlineStr">
        <is>
          <t>Search-calibrated alternative only. NOT substituted into main table; index costs not remeasured for this alternative.</t>
        </is>
      </c>
    </row>
    <row r="30">
      <c r="A30" s="0" t="inlineStr">
        <is>
          <t>deep1m</t>
        </is>
      </c>
      <c r="B30" s="0" t="n">
        <v>0.97</v>
      </c>
      <c r="C30" s="0" t="n">
        <v>0.98</v>
      </c>
      <c r="D30" s="0" t="n">
        <v>96</v>
      </c>
      <c r="E30" s="0" t="n">
        <v>1024</v>
      </c>
      <c r="F30" s="0" t="n">
        <v>64</v>
      </c>
      <c r="G30" s="0" t="n">
        <v>9967.784929775749</v>
      </c>
      <c r="H30" s="0" t="inlineStr">
        <is>
          <t>deep1m-1000000-M96-K1024</t>
        </is>
      </c>
      <c r="I30" s="0" t="inlineStr">
        <is>
          <t>Search-calibrated alternative only. NOT substituted into main table; index costs not remeasured for this alternative.</t>
        </is>
      </c>
    </row>
    <row r="31">
      <c r="A31" s="0" t="inlineStr">
        <is>
          <t>deep1m</t>
        </is>
      </c>
      <c r="B31" s="0" t="n">
        <v>0.98</v>
      </c>
      <c r="C31" s="0" t="n">
        <v>0.98</v>
      </c>
      <c r="D31" s="0" t="n">
        <v>96</v>
      </c>
      <c r="E31" s="0" t="n">
        <v>1024</v>
      </c>
      <c r="F31" s="0" t="n">
        <v>64</v>
      </c>
      <c r="G31" s="0" t="n">
        <v>9967.784929775749</v>
      </c>
      <c r="H31" s="0" t="inlineStr">
        <is>
          <t>deep1m-1000000-M96-K1024</t>
        </is>
      </c>
      <c r="I31" s="0" t="inlineStr">
        <is>
          <t>Search-calibrated alternative only. NOT substituted into main table; index costs not remeasured for this alternative.</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ColWidth="9" defaultRowHeight="13.5" outlineLevelRow="6"/>
  <cols>
    <col width="20" customWidth="1" style="1" min="1" max="1"/>
    <col width="130" customWidth="1" style="1" min="2" max="2"/>
  </cols>
  <sheetData>
    <row r="1">
      <c r="A1" s="0" t="inlineStr">
        <is>
          <t>项目</t>
        </is>
      </c>
      <c r="B1" s="0" t="inlineStr">
        <is>
          <t>纠正后的口径</t>
        </is>
      </c>
    </row>
    <row r="2">
      <c r="A2" s="0" t="inlineStr">
        <is>
          <t>其他方案</t>
        </is>
      </c>
      <c r="B2" s="0" t="inlineStr">
        <is>
          <t>VLAH、ANNProof、Ours默认约95%召回率。四个数据集原有整体、索引、规模、K、消融及原召回曲线数据均从本次操作前备份恢复。</t>
        </is>
      </c>
    </row>
    <row r="3">
      <c r="A3" s="0" t="inlineStr">
        <is>
          <t>V3DB</t>
        </is>
      </c>
      <c r="B3" s="0" t="inlineStr">
        <is>
          <t>只有V3DB采用可运行的低Recall@10默认值；仅完整60次验证通过的实测填入。尚未测完的位置保留文字状态，不再用高召回预测。</t>
        </is>
      </c>
    </row>
    <row r="4">
      <c r="A4" s="0" t="inlineStr">
        <is>
          <t>低召回扩展</t>
        </is>
      </c>
      <c r="B4" s="0" t="inlineStr">
        <is>
          <t>仅适用于Recall@10 vs. VO/Verify/Query曲线，不改变其他方案的默认配置。错误低召回默认实验已停止，数据归档，不进入当前默认表。</t>
        </is>
      </c>
    </row>
    <row r="5">
      <c r="A5" s="0" t="inlineStr">
        <is>
          <t>恢复来源</t>
        </is>
      </c>
      <c r="B5" s="0" t="inlineStr">
        <is>
          <t>/mnt/d/paper_source/work_9/VeriANN_repro_2026-09-30/VeriANN_repro_2026-09-30/experiments/work9-resource-matched-20261020/work9_before_resource_matched.xlsx</t>
        </is>
      </c>
    </row>
    <row r="6">
      <c r="A6" s="0" t="inlineStr">
        <is>
          <t>恢复校验</t>
        </is>
      </c>
      <c r="B6" s="0" t="inlineStr">
        <is>
          <t>逐单元格核对所有非V3DB数据：值、格式、批注、合并区域应与恢复来源一致。</t>
        </is>
      </c>
    </row>
    <row r="7">
      <c r="A7" s="0" t="inlineStr">
        <is>
          <t>时间</t>
        </is>
      </c>
      <c r="B7" s="0" t="inlineStr">
        <is>
          <t>20261020_102710</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ColWidth="9" defaultRowHeight="13.5" outlineLevelRow="7"/>
  <cols>
    <col width="140" customWidth="1" style="1" min="2" max="2"/>
  </cols>
  <sheetData>
    <row r="1">
      <c r="A1" s="0" t="inlineStr">
        <is>
          <t>项目</t>
        </is>
      </c>
      <c r="B1" s="0" t="inlineStr">
        <is>
          <t>说明</t>
        </is>
      </c>
    </row>
    <row r="2">
      <c r="A2" s="0" t="inlineStr">
        <is>
          <t>采样</t>
        </is>
      </c>
      <c r="B2" s="0" t="inlineStr">
        <is>
          <t>用户指定V3DB每个配置只测1次：固定query100、repeat0。复用同配置已有该样本时不再重跑；不挑选最快值。不是平均值，无方差估计。</t>
        </is>
      </c>
    </row>
    <row r="3">
      <c r="A3" s="0" t="inlineStr">
        <is>
          <t>默认</t>
        </is>
      </c>
      <c r="B3" s="0" t="inlineStr">
        <is>
          <t>仅V3DB默认低召回；VLAH/ANNProof/Ours原默认约95%的全部数据保持原样。</t>
        </is>
      </c>
    </row>
    <row r="4">
      <c r="A4" s="0" t="inlineStr">
        <is>
          <t>Recall</t>
        </is>
      </c>
      <c r="B4" s="0" t="inlineStr">
        <is>
          <t>沿用同配置20条搜索校准的集合Recall@k，与1条查询的出证计时分开标注；中间probe无20条校准时不把单条召回当总体召回。</t>
        </is>
      </c>
    </row>
    <row r="5">
      <c r="A5" s="0" t="inlineStr">
        <is>
          <t>资源</t>
        </is>
      </c>
      <c r="B5" s="0" t="inlineStr">
        <is>
          <t>仍为单线程，50GiB地址空间及保守证明域预算。高召回受限点不预测。</t>
        </is>
      </c>
    </row>
    <row r="6">
      <c r="A6" s="0" t="inlineStr">
        <is>
          <t>对照完整性</t>
        </is>
      </c>
      <c r="B6" s="0" t="inlineStr">
        <is>
          <t>每次填表逐单元格校验非V3DB区域与本轮基准备份一致。</t>
        </is>
      </c>
    </row>
    <row r="7">
      <c r="A7" s="0" t="inlineStr">
        <is>
          <t>备份</t>
        </is>
      </c>
      <c r="B7" s="0" t="inlineStr">
        <is>
          <t>/mnt/d/paper_source/work_9/VeriANN_repro_2026-09-30/VeriANN_repro_2026-09-30/experiments/work9-v3db-single-20261020/work9_before_single.xlsx</t>
        </is>
      </c>
    </row>
    <row r="8">
      <c r="A8" s="0" t="inlineStr">
        <is>
          <t>状态</t>
        </is>
      </c>
      <c r="B8" s="0" t="inlineStr">
        <is>
          <t>完成</t>
        </is>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L56"/>
  <sheetViews>
    <sheetView workbookViewId="0">
      <selection activeCell="A1" sqref="A1"/>
    </sheetView>
  </sheetViews>
  <sheetFormatPr baseColWidth="8" defaultColWidth="9" defaultRowHeight="13.5"/>
  <sheetData>
    <row r="1">
      <c r="A1" s="0" t="inlineStr">
        <is>
          <t>dataset</t>
        </is>
      </c>
      <c r="B1" s="0" t="inlineStr">
        <is>
          <t>kind</t>
        </is>
      </c>
      <c r="C1" s="0" t="inlineStr">
        <is>
          <t>model</t>
        </is>
      </c>
      <c r="D1" s="0" t="inlineStr">
        <is>
          <t>probe</t>
        </is>
      </c>
      <c r="E1" s="0" t="inlineStr">
        <is>
          <t>k</t>
        </is>
      </c>
      <c r="F1" s="0" t="inlineStr">
        <is>
          <t>status</t>
        </is>
      </c>
      <c r="G1" s="0" t="inlineStr">
        <is>
          <t>Recall20-search</t>
        </is>
      </c>
      <c r="H1" s="0" t="inlineStr">
        <is>
          <t>query_ms-single</t>
        </is>
      </c>
      <c r="I1" s="0" t="inlineStr">
        <is>
          <t>verify_ms-single</t>
        </is>
      </c>
      <c r="J1" s="0" t="inlineStr">
        <is>
          <t>VO KB-single</t>
        </is>
      </c>
      <c r="K1" s="0" t="inlineStr">
        <is>
          <t>samples</t>
        </is>
      </c>
      <c r="L1" s="0" t="inlineStr">
        <is>
          <t>record</t>
        </is>
      </c>
    </row>
    <row r="2">
      <c r="A2" s="0" t="inlineStr">
        <is>
          <t>deep1m</t>
        </is>
      </c>
      <c r="B2" s="0" t="inlineStr">
        <is>
          <t>curve</t>
        </is>
      </c>
      <c r="C2" s="0" t="inlineStr">
        <is>
          <t>deep1m-1000000-M96-K1024</t>
        </is>
      </c>
      <c r="D2" s="0" t="n">
        <v>1</v>
      </c>
      <c r="E2" s="0" t="n">
        <v>10</v>
      </c>
      <c r="F2" s="0" t="inlineStr">
        <is>
          <t>passed</t>
        </is>
      </c>
      <c r="G2" s="0" t="n">
        <v>0.395</v>
      </c>
      <c r="H2" s="0" t="n">
        <v>119745.125012</v>
      </c>
      <c r="I2" s="0" t="n">
        <v>15.1672800000142</v>
      </c>
      <c r="J2" s="0" t="n">
        <v>204.405</v>
      </c>
      <c r="K2" s="0" t="n">
        <v>1</v>
      </c>
      <c r="L2"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1, "k": 10, "samples": 1, "query": 100, "repeat": 0, "query_ms": 119745.12501200012, "verify_ms": 15.167280000014216, "vo_kb": 204.405, "single_query_recall": 0.4, "build_seconds": 38.190875373, "prove_seconds": 75.290623378, "output": "/mnt/d/paper_source/work_9/VeriANN_repro_2026-09-30/VeriANN_repro_2026-09-30/results/work9-v3db-single-20261020/deep1m-1000000-M96-K1024-p1-k10-q1-r1-t1", "csv_sha256": "b1512251303710cd7fb6586baf0789365e289775eea56bed7e0ae95e09ba76d0", "selection": "fixed query100 repeat0; not selected by runtime", "reused_existing_sample": false, "recall20": 0.39499999999999996, "recall_source": "/mnt/d/paper_source/work_9/VeriANN_repro_2026-09-30/VeriANN_repro_2026-09-30/V3DB-26VLDB/work9-cache/deep1m-1000000-M96-K1024/calibration.json", "recall_query_count": 20, "recall_scope": "search calibration only; timing/VO use one fixed query, not 20 proofs", "kind": "curve"}</t>
        </is>
      </c>
    </row>
    <row r="3">
      <c r="A3" s="0" t="inlineStr">
        <is>
          <t>deep1m</t>
        </is>
      </c>
      <c r="B3" s="0" t="inlineStr">
        <is>
          <t>curve</t>
        </is>
      </c>
      <c r="C3" s="0" t="inlineStr">
        <is>
          <t>deep1m-1000000-M96-K1024</t>
        </is>
      </c>
      <c r="D3" s="0" t="n">
        <v>2</v>
      </c>
      <c r="E3" s="0" t="n">
        <v>10</v>
      </c>
      <c r="F3" s="0" t="inlineStr">
        <is>
          <t>passed</t>
        </is>
      </c>
      <c r="G3" s="0" t="n">
        <v>0.575</v>
      </c>
      <c r="H3" s="0" t="n">
        <v>246414.936606</v>
      </c>
      <c r="I3" s="0" t="n">
        <v>13.9031009999826</v>
      </c>
      <c r="J3" s="0" t="n">
        <v>233.262</v>
      </c>
      <c r="K3" s="0" t="n">
        <v>1</v>
      </c>
      <c r="L3"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
      <c r="A4" s="0" t="inlineStr">
        <is>
          <t>deep1m</t>
        </is>
      </c>
      <c r="B4" s="0" t="inlineStr">
        <is>
          <t>curve</t>
        </is>
      </c>
      <c r="C4" s="0" t="inlineStr">
        <is>
          <t>deep1m-1000000-M96-K1024</t>
        </is>
      </c>
      <c r="D4" s="0" t="n">
        <v>4</v>
      </c>
      <c r="E4" s="0" t="n">
        <v>10</v>
      </c>
      <c r="F4" s="0" t="inlineStr">
        <is>
          <t>passed</t>
        </is>
      </c>
      <c r="G4" s="0" t="n">
        <v>0.78</v>
      </c>
      <c r="H4" s="0" t="n">
        <v>493189.722806004</v>
      </c>
      <c r="I4" s="0" t="n">
        <v>55.9675380063709</v>
      </c>
      <c r="J4" s="0" t="n">
        <v>265.512</v>
      </c>
      <c r="K4" s="0" t="n">
        <v>1</v>
      </c>
      <c r="L4"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"curve"}</t>
        </is>
      </c>
    </row>
    <row r="5">
      <c r="A5" s="0" t="inlineStr">
        <is>
          <t>deep1m</t>
        </is>
      </c>
      <c r="B5" s="0" t="inlineStr">
        <is>
          <t>curve_stop</t>
        </is>
      </c>
      <c r="D5" s="0" t="n">
        <v>8</v>
      </c>
      <c r="E5" s="0" t="n">
        <v>10</v>
      </c>
      <c r="F5" s="0" t="inlineStr">
        <is>
          <t>resource_limit</t>
        </is>
      </c>
      <c r="L5" s="0" t="inlineStr">
        <is>
          <t>{"gates": 1637124, "degree_bits": 21, "static_peak_rss_KiB": 13051080, "status": "resource_limit", "label": "超证明域预算，未出证", "actual_attempt": false, "config": {"dataset": "deep1m", "source": "deep1m", "N": 1000000, "D": 96, "n_list": 1024, "M": 96, "K": 1024, "n_iter": 25, "seed": 0, "capacity": 2048, "query_offset": 100, "query_count": 20, "scale": 65536, "rebalance": "author algorithm with identical row-chunk distances"}, "n_probe": 8, "k": 10, "address_space_limit_GiB": 50, "dataset": "deep1m", "kind": "curve_stop"}</t>
        </is>
      </c>
    </row>
    <row r="6">
      <c r="A6" s="0" t="inlineStr">
        <is>
          <t>deep1m</t>
        </is>
      </c>
      <c r="B6" s="0" t="inlineStr">
        <is>
          <t>k</t>
        </is>
      </c>
      <c r="C6" s="0" t="inlineStr">
        <is>
          <t>deep1m-1000000-M96-K1024</t>
        </is>
      </c>
      <c r="D6" s="0" t="n">
        <v>4</v>
      </c>
      <c r="E6" s="0" t="n">
        <v>1</v>
      </c>
      <c r="F6" s="0" t="inlineStr">
        <is>
          <t>passed</t>
        </is>
      </c>
      <c r="G6" s="0" t="n">
        <v>0.85</v>
      </c>
      <c r="H6" s="0" t="n">
        <v>492421.428295001</v>
      </c>
      <c r="I6" s="0" t="n">
        <v>14.118213999609</v>
      </c>
      <c r="J6" s="0" t="n">
        <v>269.378</v>
      </c>
      <c r="K6" s="0" t="n">
        <v>1</v>
      </c>
      <c r="L6"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 "samples": 1, "query": 100, "repeat": 0, "query_ms": 492421.42829500063, "verify_ms": 14.118213999608997, "vo_kb": 269.378, "single_query_recall": 0.0, "build_seconds": 162.354821987, "prove_seconds": 308.003871395, "output": "/mnt/d/paper_source/work_9/VeriANN_repro_2026-09-30/VeriANN_repro_2026-09-30/results/work9-v3db-single-20261020/deep1m-1000000-M96-K1024-p4-k1-q1-r1-t1", "csv_sha256": "f7b4fa46039c793ef74424e7a804f6492823fb9abea019d31bad788d11b069e3", "selection": "fixed query100 repeat0; not selected by runtime", "reused_existing_sample": false, "recall20": 0.85, "recall_source": "/mnt/d/paper_source/work_9/VeriANN_repro_2026-09-30/VeriANN_repro_2026-09-30/V3DB-26VLDB/work9-cache/deep1m-1000000-M96-K1024/calibration.json", "recall_query_count": 20, "recall_scope": "search calibration only; timing/VO use one fixed query, not 20 proofs", "kind": "k"}</t>
        </is>
      </c>
    </row>
    <row r="7">
      <c r="A7" s="0" t="inlineStr">
        <is>
          <t>deep1m</t>
        </is>
      </c>
      <c r="B7" s="0" t="inlineStr">
        <is>
          <t>k</t>
        </is>
      </c>
      <c r="C7" s="0" t="inlineStr">
        <is>
          <t>deep1m-1000000-M96-K1024</t>
        </is>
      </c>
      <c r="D7" s="0" t="n">
        <v>4</v>
      </c>
      <c r="E7" s="0" t="n">
        <v>10</v>
      </c>
      <c r="F7" s="0" t="inlineStr">
        <is>
          <t>passed</t>
        </is>
      </c>
      <c r="G7" s="0" t="n">
        <v>0.78</v>
      </c>
      <c r="H7" s="0" t="n">
        <v>493189.722806004</v>
      </c>
      <c r="I7" s="0" t="n">
        <v>55.9675380063709</v>
      </c>
      <c r="J7" s="0" t="n">
        <v>265.512</v>
      </c>
      <c r="K7" s="0" t="n">
        <v>1</v>
      </c>
      <c r="L7"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"k"}</t>
        </is>
      </c>
    </row>
    <row r="8">
      <c r="A8" s="0" t="inlineStr">
        <is>
          <t>deep1m</t>
        </is>
      </c>
      <c r="B8" s="0" t="inlineStr">
        <is>
          <t>k</t>
        </is>
      </c>
      <c r="C8" s="0" t="inlineStr">
        <is>
          <t>deep1m-1000000-M96-K1024</t>
        </is>
      </c>
      <c r="D8" s="0" t="n">
        <v>4</v>
      </c>
      <c r="E8" s="0" t="n">
        <v>100</v>
      </c>
      <c r="F8" s="0" t="inlineStr">
        <is>
          <t>passed</t>
        </is>
      </c>
      <c r="G8" s="0" t="n">
        <v>0.71</v>
      </c>
      <c r="H8" s="0" t="n">
        <v>497184.840444</v>
      </c>
      <c r="I8" s="0" t="n">
        <v>16.4847270007158</v>
      </c>
      <c r="J8" s="0" t="n">
        <v>270.637</v>
      </c>
      <c r="K8" s="0" t="n">
        <v>1</v>
      </c>
      <c r="L8"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100, "samples": 1, "query": 100, "repeat": 0, "query_ms": 497184.84044399986, "verify_ms": 16.484727000715793, "vo_kb": 270.637, "single_query_recall": 0.21, "build_seconds": 162.913159041, "prove_seconds": 311.507644582, "output": "/mnt/d/paper_source/work_9/VeriANN_repro_2026-09-30/VeriANN_repro_2026-09-30/results/work9-v3db-single-20261020/deep1m-1000000-M96-K1024-p4-k100-q1-r1-t1", "csv_sha256": "c143b90885fae6d145171be32fa7ee3df042a26f9a388c595b66f7880aa68066", "selection": "fixed query100 repeat0; not selected by runtime", "reused_existing_sample": false, "recall20": 0.7099999999999999, "recall_source": "/mnt/d/paper_source/work_9/VeriANN_repro_2026-09-30/VeriANN_repro_2026-09-30/V3DB-26VLDB/work9-cache/deep1m-1000000-M96-K1024/calibration.json", "recall_query_count": 20, "recall_scope": "search calibration only; timing/VO use one fixed query, not 20 proofs", "kind": "k"}</t>
        </is>
      </c>
    </row>
    <row r="9">
      <c r="A9" s="0" t="inlineStr">
        <is>
          <t>deep1m</t>
        </is>
      </c>
      <c r="B9" s="0" t="inlineStr">
        <is>
          <t>k</t>
        </is>
      </c>
      <c r="C9" s="0" t="inlineStr">
        <is>
          <t>deep1m-1000000-M96-K1024</t>
        </is>
      </c>
      <c r="D9" s="0" t="n">
        <v>4</v>
      </c>
      <c r="E9" s="0" t="n">
        <v>20</v>
      </c>
      <c r="F9" s="0" t="inlineStr">
        <is>
          <t>passed</t>
        </is>
      </c>
      <c r="G9" s="0" t="n">
        <v>0.76</v>
      </c>
      <c r="H9" s="0" t="n">
        <v>494511.780706999</v>
      </c>
      <c r="I9" s="0" t="n">
        <v>15.2340080003341</v>
      </c>
      <c r="J9" s="0" t="n">
        <v>269.965</v>
      </c>
      <c r="K9" s="0" t="n">
        <v>1</v>
      </c>
      <c r="L9"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20, "samples": 1, "query": 100, "repeat": 0, "query_ms": 494511.7807069993, "verify_ms": 15.234008000334143, "vo_kb": 269.965, "single_query_recall": 0.3, "build_seconds": 162.299788974, "prove_seconds": 309.885711747, "output": "/mnt/d/paper_source/work_9/VeriANN_repro_2026-09-30/VeriANN_repro_2026-09-30/results/work9-v3db-single-20261020/deep1m-1000000-M96-K1024-p4-k20-q1-r1-t1", "csv_sha256": "342822eb762746c24d9ab7838b7759c121333424fbc8039a91834f8218ae9396", "selection": "fixed query100 repeat0; not selected by runtime", "reused_existing_sample": false, "recall20": 0.76, "recall_source": "/mnt/d/paper_source/work_9/VeriANN_repro_2026-09-30/VeriANN_repro_2026-09-30/V3DB-26VLDB/work9-cache/deep1m-1000000-M96-K1024/calibration.json", "recall_query_count": 20, "recall_scope": "search calibration only; timing/VO use one fixed query, not 20 proofs", "kind": "k"}</t>
        </is>
      </c>
    </row>
    <row r="10">
      <c r="A10" s="0" t="inlineStr">
        <is>
          <t>deep1m</t>
        </is>
      </c>
      <c r="B10" s="0" t="inlineStr">
        <is>
          <t>k</t>
        </is>
      </c>
      <c r="C10" s="0" t="inlineStr">
        <is>
          <t>deep1m-1000000-M96-K1024</t>
        </is>
      </c>
      <c r="D10" s="0" t="n">
        <v>4</v>
      </c>
      <c r="E10" s="0" t="n">
        <v>5</v>
      </c>
      <c r="F10" s="0" t="inlineStr">
        <is>
          <t>passed</t>
        </is>
      </c>
      <c r="G10" s="0" t="n">
        <v>0.77</v>
      </c>
      <c r="H10" s="0" t="n">
        <v>492374.419783</v>
      </c>
      <c r="I10" s="0" t="n">
        <v>17.0896239997092</v>
      </c>
      <c r="J10" s="0" t="n">
        <v>271.605</v>
      </c>
      <c r="K10" s="0" t="n">
        <v>1</v>
      </c>
      <c r="L10"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5, "samples": 1, "query": 100, "repeat": 0, "query_ms": 492374.41978300025, "verify_ms": 17.089623999709147, "vo_kb": 271.605, "single_query_recall": 0.4, "build_seconds": 161.91084786, "prove_seconds": 308.237161376, "output": "/mnt/d/paper_source/work_9/VeriANN_repro_2026-09-30/VeriANN_repro_2026-09-30/results/work9-v3db-single-20261020/deep1m-1000000-M96-K1024-p4-k5-q1-r1-t1", "csv_sha256": "96baa04d82b6edfeb782f3e8afc17633b3bd8690b43d9b8b1a6ff884a7b08163", "selection": "fixed query100 repeat0; not selected by runtime", "reused_existing_sample": false, "recall20": 0.77, "recall_source": "/mnt/d/paper_source/work_9/VeriANN_repro_2026-09-30/VeriANN_repro_2026-09-30/V3DB-26VLDB/work9-cache/deep1m-1000000-M96-K1024/calibration.json", "recall_query_count": 20, "recall_scope": "search calibration only; timing/VO use one fixed query, not 20 proofs", "kind": "k"}</t>
        </is>
      </c>
    </row>
    <row r="11">
      <c r="A11" s="0" t="inlineStr">
        <is>
          <t>deep1m</t>
        </is>
      </c>
      <c r="B11" s="0" t="inlineStr">
        <is>
          <t>k</t>
        </is>
      </c>
      <c r="C11" s="0" t="inlineStr">
        <is>
          <t>deep1m-1000000-M96-K1024</t>
        </is>
      </c>
      <c r="D11" s="0" t="n">
        <v>4</v>
      </c>
      <c r="E11" s="0" t="n">
        <v>50</v>
      </c>
      <c r="F11" s="0" t="inlineStr">
        <is>
          <t>passed</t>
        </is>
      </c>
      <c r="G11" s="0" t="n">
        <v>0.747</v>
      </c>
      <c r="H11" s="0" t="n">
        <v>493323.545510001</v>
      </c>
      <c r="I11" s="0" t="n">
        <v>60.8361340000556</v>
      </c>
      <c r="J11" s="0" t="n">
        <v>273.279</v>
      </c>
      <c r="K11" s="0" t="n">
        <v>1</v>
      </c>
      <c r="L11"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50, "samples": 1, "query": 100, "repeat": 0, "query_ms": 493323.54551000084, "verify_ms": 60.83613400005561, "vo_kb": 273.279, "single_query_recall": 0.2, "build_seconds": 162.417008499, "prove_seconds": 308.625147293, "output": "/mnt/d/paper_source/work_9/VeriANN_repro_2026-09-30/VeriANN_repro_2026-09-30/results/work9-v3db-single-20261020/deep1m-1000000-M96-K1024-p4-k50-q1-r1-t1", "csv_sha256": "61944b5e37b61dcb4973c42da48c255334249c13c19668b38b8bbf1640c677c6", "selection": "fixed query100 repeat0; not selected by runtime", "reused_existing_sample": false, "recall20": 0.7469999999999999, "recall_source": "/mnt/d/paper_source/work_9/VeriANN_repro_2026-09-30/VeriANN_repro_2026-09-30/V3DB-26VLDB/work9-cache/deep1m-1000000-M96-K1024/calibration.json", "recall_query_count": 20, "recall_scope": "search calibration only; timing/VO use one fixed query, not 20 proofs", "kind": "k"}</t>
        </is>
      </c>
    </row>
    <row r="12">
      <c r="A12" s="0" t="inlineStr">
        <is>
          <t>deep1m</t>
        </is>
      </c>
      <c r="B12" s="0" t="inlineStr">
        <is>
          <t>overall</t>
        </is>
      </c>
      <c r="C12" s="0" t="inlineStr">
        <is>
          <t>deep1m-1000000-M96-K1024</t>
        </is>
      </c>
      <c r="D12" s="0" t="n">
        <v>4</v>
      </c>
      <c r="E12" s="0" t="n">
        <v>10</v>
      </c>
      <c r="F12" s="0" t="inlineStr">
        <is>
          <t>passed</t>
        </is>
      </c>
      <c r="G12" s="0" t="n">
        <v>0.78</v>
      </c>
      <c r="H12" s="0" t="n">
        <v>493189.722806004</v>
      </c>
      <c r="I12" s="0" t="n">
        <v>55.9675380063709</v>
      </c>
      <c r="J12" s="0" t="n">
        <v>265.512</v>
      </c>
      <c r="K12" s="0" t="n">
        <v>1</v>
      </c>
      <c r="L12"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13">
      <c r="A13" s="0" t="inlineStr">
        <is>
          <t>deep1m</t>
        </is>
      </c>
      <c r="B13" s="0" t="inlineStr">
        <is>
          <t>size</t>
        </is>
      </c>
      <c r="C13" s="0" t="inlineStr">
        <is>
          <t>deep1m-100000-M96-K1024</t>
        </is>
      </c>
      <c r="D13" s="0" t="n">
        <v>8</v>
      </c>
      <c r="E13" s="0" t="n">
        <v>10</v>
      </c>
      <c r="F13" s="0" t="inlineStr">
        <is>
          <t>passed</t>
        </is>
      </c>
      <c r="G13" s="0" t="n">
        <v>0.845</v>
      </c>
      <c r="H13" s="0" t="n">
        <v>489603.440798</v>
      </c>
      <c r="I13" s="0" t="n">
        <v>21.4506789998268</v>
      </c>
      <c r="J13" s="0" t="n">
        <v>212.381</v>
      </c>
      <c r="K13" s="0" t="n">
        <v>1</v>
      </c>
      <c r="L13" s="0" t="inlineStr">
        <is>
          <t>{"status": "passed", "dataset": "deep1m", "model": "deep1m-100000-M96-K1024", "config": {"dataset": "deep1m", "source": "deep1m", "N": 100000, "D": 96, "n_list": 1024, "M": 96, "K": 1024, "n_iter": 25, "seed": 0, "capacity": 256, "query_offset": 100, "query_count": 20, "scale": 65536, "rebalance": "author algorithm with identical row-chunk distances"}, "n_probe": 8, "k": 10, "samples": 1, "query": 100, "repeat": 0, "query_ms": 489603.44079799997, "verify_ms": 21.450678999826778, "vo_kb": 212.381, "single_query_recall": 0.5, "build_seconds": 162.512355862, "prove_seconds": 307.942673305, "output": "/mnt/d/paper_source/work_9/VeriANN_repro_2026-09-30/VeriANN_repro_2026-09-30/results/work9-v3db-single-20261020/deep1m-100000-M96-K1024-p8-k10-q1-r1-t1", "csv_sha256": "d387e95b6712b05e7c1ab0e45e9181cb5ce2450ee1bd1e3ccfa80967746681f0", "selection": "fixed query100 repeat0; not selected by runtime", "reused_existing_sample": false, "recall20": 0.845, "recall_source": "/mnt/d/paper_source/work_9/VeriANN_repro_2026-09-30/VeriANN_repro_2026-09-30/V3DB-26VLDB/work9-cache/deep1m-100000-M96-K1024/calibration.json", "recall_query_count": 20, "recall_scope": "search calibration only; timing/VO use one fixed query, not 20 proofs", "kind": "size", "N": 100000}</t>
        </is>
      </c>
    </row>
    <row r="14">
      <c r="A14" s="0" t="inlineStr">
        <is>
          <t>deep1m</t>
        </is>
      </c>
      <c r="B14" s="0" t="inlineStr">
        <is>
          <t>size</t>
        </is>
      </c>
      <c r="C14" s="0" t="inlineStr">
        <is>
          <t>deep1m-1000000-M96-K1024</t>
        </is>
      </c>
      <c r="D14" s="0" t="n">
        <v>4</v>
      </c>
      <c r="E14" s="0" t="n">
        <v>10</v>
      </c>
      <c r="F14" s="0" t="inlineStr">
        <is>
          <t>passed</t>
        </is>
      </c>
      <c r="G14" s="0" t="n">
        <v>0.78</v>
      </c>
      <c r="H14" s="0" t="n">
        <v>493189.722806004</v>
      </c>
      <c r="I14" s="0" t="n">
        <v>55.9675380063709</v>
      </c>
      <c r="J14" s="0" t="n">
        <v>265.512</v>
      </c>
      <c r="K14" s="0" t="n">
        <v>1</v>
      </c>
      <c r="L14"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"size", "N": 1000000}</t>
        </is>
      </c>
    </row>
    <row r="15">
      <c r="A15" s="0" t="inlineStr">
        <is>
          <t>deep1m</t>
        </is>
      </c>
      <c r="B15" s="0" t="inlineStr">
        <is>
          <t>size</t>
        </is>
      </c>
      <c r="D15" s="0" t="n">
        <v>1</v>
      </c>
      <c r="E15" s="0" t="n">
        <v>10</v>
      </c>
      <c r="F15" s="0" t="inlineStr">
        <is>
          <t>resource_limit</t>
        </is>
      </c>
      <c r="L15" s="0" t="inlineStr">
        <is>
          <t>{"status": "resource_limit", "label": "超构建预算，未出证", "reason": "p*max(capacity,K)*M exceeds 2,000,000 padded relation entries", "relation_tuples": 3145728, "actual_attempt": false, "config": {"dataset": "deep1m", "source": "deep10m", "N": 10000000, "D": 96, "M": 96, "K": 1024, "n_list": 1024, "capacity": 32768}, "n_probe": 1, "k": 10, "address_space_limit_GiB": 50, "dataset": "deep1m", "kind": "size", "N": 10000000}</t>
        </is>
      </c>
    </row>
    <row r="16">
      <c r="A16" s="0" t="inlineStr">
        <is>
          <t>deep1m</t>
        </is>
      </c>
      <c r="B16" s="0" t="inlineStr">
        <is>
          <t>size</t>
        </is>
      </c>
      <c r="C16" s="0" t="inlineStr">
        <is>
          <t>deep1m-500000-M96-K1024</t>
        </is>
      </c>
      <c r="D16" s="0" t="n">
        <v>8</v>
      </c>
      <c r="E16" s="0" t="n">
        <v>10</v>
      </c>
      <c r="F16" s="0" t="inlineStr">
        <is>
          <t>passed</t>
        </is>
      </c>
      <c r="G16" s="0" t="n">
        <v>0.895</v>
      </c>
      <c r="H16" s="0" t="n">
        <v>496514.607923</v>
      </c>
      <c r="I16" s="0" t="n">
        <v>24.8724909997691</v>
      </c>
      <c r="J16" s="0" t="n">
        <v>261.883</v>
      </c>
      <c r="K16" s="0" t="n">
        <v>1</v>
      </c>
      <c r="L16" s="0" t="inlineStr">
        <is>
          <t>{"status": "passed", "dataset": "deep1m", "model": "deep1m-500000-M96-K1024", "config": {"dataset": "deep1m", "source": "deep1m", "N": 500000, "D": 96, "n_list": 1024, "M": 96, "K": 1024, "n_iter": 25, "seed": 0, "capacity": 1024, "query_offset": 100, "query_count": 20, "scale": 65536, "rebalance": "author algorithm with identical row-chunk distances"}, "n_probe": 8, "k": 10, "samples": 1, "query": 100, "repeat": 0, "query_ms": 496514.60792300024, "verify_ms": 24.87249099976907, "vo_kb": 261.883, "single_query_recall": 0.5, "build_seconds": 160.412236389, "prove_seconds": 309.462154606, "output": "/mnt/d/paper_source/work_9/VeriANN_repro_2026-09-30/VeriANN_repro_2026-09-30/results/work9-v3db-single-20261020/deep1m-500000-M96-K1024-p8-k10-q1-r1-t1", "csv_sha256": "1809fa64afd06c313d829721329e10a35df872c353f63c4e4a3e8646aecdc0b2", "selection": "fixed query100 repeat0; not selected by runtime", "reused_existing_sample": false, "recall20": 0.8950000000000001, "recall_source": "/mnt/d/paper_source/work_9/VeriANN_repro_2026-09-30/VeriANN_repro_2026-09-30/V3DB-26VLDB/work9-cache/deep1m-500000-M96-K1024/calibration.json", "recall_query_count": 20, "recall_scope": "search calibration only; timing/VO use one fixed query, not 20 proofs", "kind": "size", "N": 500000}</t>
        </is>
      </c>
    </row>
    <row r="17">
      <c r="A17" s="0" t="inlineStr">
        <is>
          <t>deep1m</t>
        </is>
      </c>
      <c r="B17" s="0" t="inlineStr">
        <is>
          <t>size</t>
        </is>
      </c>
      <c r="D17" s="0" t="n">
        <v>1</v>
      </c>
      <c r="E17" s="0" t="n">
        <v>10</v>
      </c>
      <c r="F17" s="0" t="inlineStr">
        <is>
          <t>resource_limit</t>
        </is>
      </c>
      <c r="L17" s="0" t="inlineStr">
        <is>
          <t>{"gates": 1429783, "degree_bits": 21, "static_peak_rss_KiB": 11810492, "status": "resource_limit", "label": "超证明域预算，未出证", "actual_attempt": false, "config": {"dataset": "deep1m", "source": "deep10m", "N": 5000000, "D": 96, "M": 96, "K": 1024, "n_list": 1024, "capacity": 16384}, "n_probe": 1, "k": 10, "address_space_limit_GiB": 50, "dataset": "deep1m", "kind": "size", "N": 5000000}</t>
        </is>
      </c>
    </row>
    <row r="18">
      <c r="A18" s="0" t="inlineStr">
        <is>
          <t>glove100</t>
        </is>
      </c>
      <c r="B18" s="0" t="inlineStr">
        <is>
          <t>curve</t>
        </is>
      </c>
      <c r="C18" s="0" t="inlineStr">
        <is>
          <t>glove100-1183514-M100-K1024</t>
        </is>
      </c>
      <c r="D18" s="0" t="n">
        <v>1</v>
      </c>
      <c r="E18" s="0" t="n">
        <v>10</v>
      </c>
      <c r="F18" s="0" t="inlineStr">
        <is>
          <t>passed</t>
        </is>
      </c>
      <c r="G18" s="0" t="n">
        <v>0.285</v>
      </c>
      <c r="H18" s="0" t="n">
        <v>240491.804555</v>
      </c>
      <c r="I18" s="0" t="n">
        <v>12.9159059999893</v>
      </c>
      <c r="J18" s="0" t="n">
        <v>247.916</v>
      </c>
      <c r="K18" s="0" t="n">
        <v>1</v>
      </c>
      <c r="L18"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1, "k": 10, "samples": 1, "query": 100, "repeat": 0, "query_ms": 240491.80455499986, "verify_ms": 12.915905999989263, "vo_kb": 247.916, "single_query_recall": 0.0, "build_seconds": 78.673836929, "prove_seconds": 151.446472523, "output": "/mnt/d/paper_source/work_9/VeriANN_repro_2026-09-30/VeriANN_repro_2026-09-30/results/work9-v3db-single-20261020/glove100-1183514-M100-K1024-p1-k10-q1-r1-t1", "csv_sha256": "186cfd050b943866ae42e298afff276e2af5ad7e9fc863e1e240509ff093054f", "selection": "fixed query100 repeat0; not selected by runtime", "reused_existing_sample": false, "recall20": 0.28500000000000003, "recall_source": "/mnt/d/paper_source/work_9/VeriANN_repro_2026-09-30/VeriANN_repro_2026-09-30/V3DB-26VLDB/work9-cache/glove100-1183514-M100-K1024/calibration.json", "recall_query_count": 20, "recall_scope": "search calibration only; timing/VO use one fixed query, not 20 proofs", "kind": "curve"}</t>
        </is>
      </c>
    </row>
    <row r="19">
      <c r="A19" s="0" t="inlineStr">
        <is>
          <t>glove100</t>
        </is>
      </c>
      <c r="B19" s="0" t="inlineStr">
        <is>
          <t>curve</t>
        </is>
      </c>
      <c r="C19" s="0" t="inlineStr">
        <is>
          <t>glove100-1183514-M100-K1024</t>
        </is>
      </c>
      <c r="D19" s="0" t="n">
        <v>2</v>
      </c>
      <c r="E19" s="0" t="n">
        <v>10</v>
      </c>
      <c r="F19" s="0" t="inlineStr">
        <is>
          <t>passed</t>
        </is>
      </c>
      <c r="G19" s="0" t="n">
        <v>0.405</v>
      </c>
      <c r="H19" s="0" t="n">
        <v>491486.434967</v>
      </c>
      <c r="I19" s="0" t="n">
        <v>19.9993839999024</v>
      </c>
      <c r="J19" s="0" t="n">
        <v>287.485</v>
      </c>
      <c r="K19" s="0" t="n">
        <v>1</v>
      </c>
      <c r="L19"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"curve"}</t>
        </is>
      </c>
    </row>
    <row r="20">
      <c r="A20" s="0" t="inlineStr">
        <is>
          <t>glove100</t>
        </is>
      </c>
      <c r="B20" s="0" t="inlineStr">
        <is>
          <t>curve_stop</t>
        </is>
      </c>
      <c r="D20" s="0" t="n">
        <v>4</v>
      </c>
      <c r="E20" s="0" t="n">
        <v>10</v>
      </c>
      <c r="F20" s="0" t="inlineStr">
        <is>
          <t>resource_limit</t>
        </is>
      </c>
      <c r="L20" s="0" t="inlineStr">
        <is>
          <t>{"gates": 1570868, "degree_bits": 21, "static_peak_rss_KiB": 12653424, "status": "resource_limit", "label": "超证明域预算，未出证", "actual_attempt": false, "config": {"dataset": "glove100", "source": "glove100", "N": 1183514, "D": 100, "n_list": 1024, "M": 100, "K": 1024, "n_iter": 25, "seed": 0, "capacity": 4096, "query_offset": 100, "query_count": 20, "scale": 65536, "rebalance": "author algorithm with identical row-chunk distances"}, "n_probe": 4, "k": 10, "address_space_limit_GiB": 50, "dataset": "glove100", "kind": "curve_stop"}</t>
        </is>
      </c>
    </row>
    <row r="21">
      <c r="A21" s="0" t="inlineStr">
        <is>
          <t>glove100</t>
        </is>
      </c>
      <c r="B21" s="0" t="inlineStr">
        <is>
          <t>k</t>
        </is>
      </c>
      <c r="C21" s="0" t="inlineStr">
        <is>
          <t>glove100-1183514-M100-K1024</t>
        </is>
      </c>
      <c r="D21" s="0" t="n">
        <v>2</v>
      </c>
      <c r="E21" s="0" t="n">
        <v>1</v>
      </c>
      <c r="F21" s="0" t="inlineStr">
        <is>
          <t>passed</t>
        </is>
      </c>
      <c r="G21" s="0" t="n">
        <v>0.45</v>
      </c>
      <c r="H21" s="0" t="n">
        <v>494108.141593</v>
      </c>
      <c r="I21" s="0" t="n">
        <v>17.6347630003875</v>
      </c>
      <c r="J21" s="0" t="n">
        <v>283.923</v>
      </c>
      <c r="K21" s="0" t="n">
        <v>1</v>
      </c>
      <c r="L21"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 "samples": 1, "query": 100, "repeat": 0, "query_ms": 494108.14159299963, "verify_ms": 17.634763000387466, "vo_kb": 283.923, "single_query_recall": 0.0, "build_seconds": 163.512748516, "prove_seconds": 309.290352094, "output": "/mnt/d/paper_source/work_9/VeriANN_repro_2026-09-30/VeriANN_repro_2026-09-30/results/work9-v3db-single-20261020/glove100-1183514-M100-K1024-p2-k1-q1-r1-t1", "csv_sha256": "6e9b47974e6db87a55b843682dc0ffb1d69cbf2786e64563f502962491703737", "selection": "fixed query100 repeat0; not selected by runtime", "reused_existing_sample": false, "recall20": 0.45, "recall_source": "/mnt/d/paper_source/work_9/VeriANN_repro_2026-09-30/VeriANN_repro_2026-09-30/V3DB-26VLDB/work9-cache/glove100-1183514-M100-K1024/calibration.json", "recall_query_count": 20, "recall_scope": "search calibration only; timing/VO use one fixed query, not 20 proofs", "kind": "k"}</t>
        </is>
      </c>
    </row>
    <row r="22">
      <c r="A22" s="0" t="inlineStr">
        <is>
          <t>glove100</t>
        </is>
      </c>
      <c r="B22" s="0" t="inlineStr">
        <is>
          <t>k</t>
        </is>
      </c>
      <c r="C22" s="0" t="inlineStr">
        <is>
          <t>glove100-1183514-M100-K1024</t>
        </is>
      </c>
      <c r="D22" s="0" t="n">
        <v>2</v>
      </c>
      <c r="E22" s="0" t="n">
        <v>10</v>
      </c>
      <c r="F22" s="0" t="inlineStr">
        <is>
          <t>passed</t>
        </is>
      </c>
      <c r="G22" s="0" t="n">
        <v>0.405</v>
      </c>
      <c r="H22" s="0" t="n">
        <v>491486.434967</v>
      </c>
      <c r="I22" s="0" t="n">
        <v>19.9993839999024</v>
      </c>
      <c r="J22" s="0" t="n">
        <v>287.485</v>
      </c>
      <c r="K22" s="0" t="n">
        <v>1</v>
      </c>
      <c r="L22"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"k"}</t>
        </is>
      </c>
    </row>
    <row r="23">
      <c r="A23" s="0" t="inlineStr">
        <is>
          <t>glove100</t>
        </is>
      </c>
      <c r="B23" s="0" t="inlineStr">
        <is>
          <t>k</t>
        </is>
      </c>
      <c r="C23" s="0" t="inlineStr">
        <is>
          <t>glove100-1183514-M100-K1024</t>
        </is>
      </c>
      <c r="D23" s="0" t="n">
        <v>2</v>
      </c>
      <c r="E23" s="0" t="n">
        <v>100</v>
      </c>
      <c r="F23" s="0" t="inlineStr">
        <is>
          <t>passed</t>
        </is>
      </c>
      <c r="G23" s="0" t="n">
        <v>0.2935</v>
      </c>
      <c r="H23" s="0" t="n">
        <v>491226.243848999</v>
      </c>
      <c r="I23" s="0" t="n">
        <v>17.6997620001202</v>
      </c>
      <c r="J23" s="0" t="n">
        <v>284.7</v>
      </c>
      <c r="K23" s="0" t="n">
        <v>1</v>
      </c>
      <c r="L23"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100, "samples": 1, "query": 100, "repeat": 0, "query_ms": 491226.2438489986, "verify_ms": 17.699762000120245, "vo_kb": 284.7, "single_query_recall": 0.02, "build_seconds": 162.437711833, "prove_seconds": 307.766839476, "output": "/mnt/d/paper_source/work_9/VeriANN_repro_2026-09-30/VeriANN_repro_2026-09-30/results/work9-v3db-single-20261020/glove100-1183514-M100-K1024-p2-k100-q1-r1-t1", "csv_sha256": "cda3d6c42a292ad5d590e9c7f0ccb6ba74b0833db420020ea1c15aa68c226cc7", "selection": "fixed query100 repeat0; not selected by runtime", "reused_existing_sample": false, "recall20": 0.29350000000000004, "recall_source": "/mnt/d/paper_source/work_9/VeriANN_repro_2026-09-30/VeriANN_repro_2026-09-30/V3DB-26VLDB/work9-cache/glove100-1183514-M100-K1024/calibration.json", "recall_query_count": 20, "recall_scope": "search calibration only; timing/VO use one fixed query, not 20 proofs", "kind": "k"}</t>
        </is>
      </c>
    </row>
    <row r="24">
      <c r="A24" s="0" t="inlineStr">
        <is>
          <t>glove100</t>
        </is>
      </c>
      <c r="B24" s="0" t="inlineStr">
        <is>
          <t>k</t>
        </is>
      </c>
      <c r="C24" s="0" t="inlineStr">
        <is>
          <t>glove100-1183514-M100-K1024</t>
        </is>
      </c>
      <c r="D24" s="0" t="n">
        <v>2</v>
      </c>
      <c r="E24" s="0" t="n">
        <v>20</v>
      </c>
      <c r="F24" s="0" t="inlineStr">
        <is>
          <t>passed</t>
        </is>
      </c>
      <c r="G24" s="0" t="n">
        <v>0.3525</v>
      </c>
      <c r="H24" s="0" t="n">
        <v>492043.171002999</v>
      </c>
      <c r="I24" s="0" t="n">
        <v>17.4044739997044</v>
      </c>
      <c r="J24" s="0" t="n">
        <v>284.971</v>
      </c>
      <c r="K24" s="0" t="n">
        <v>1</v>
      </c>
      <c r="L24"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20, "samples": 1, "query": 100, "repeat": 0, "query_ms": 492043.17100299906, "verify_ms": 17.40447399970435, "vo_kb": 284.971, "single_query_recall": 0.0, "build_seconds": 163.453810804, "prove_seconds": 307.379025763, "output": "/mnt/d/paper_source/work_9/VeriANN_repro_2026-09-30/VeriANN_repro_2026-09-30/results/work9-v3db-single-20261020/glove100-1183514-M100-K1024-p2-k20-q1-r1-t1", "csv_sha256": "f9cbc6b77b5512bfa979b4ae7cac4f1dee5580f82402653ed2cf22d408572a25", "selection": "fixed query100 repeat0; not selected by runtime", "reused_existing_sample": false, "recall20": 0.3525, "recall_source": "/mnt/d/paper_source/work_9/VeriANN_repro_2026-09-30/VeriANN_repro_2026-09-30/V3DB-26VLDB/work9-cache/glove100-1183514-M100-K1024/calibration.json", "recall_query_count": 20, "recall_scope": "search calibration only; timing/VO use one fixed query, not 20 proofs", "kind": "k"}</t>
        </is>
      </c>
    </row>
    <row r="25">
      <c r="A25" s="0" t="inlineStr">
        <is>
          <t>glove100</t>
        </is>
      </c>
      <c r="B25" s="0" t="inlineStr">
        <is>
          <t>k</t>
        </is>
      </c>
      <c r="C25" s="0" t="inlineStr">
        <is>
          <t>glove100-1183514-M100-K1024</t>
        </is>
      </c>
      <c r="D25" s="0" t="n">
        <v>2</v>
      </c>
      <c r="E25" s="0" t="n">
        <v>5</v>
      </c>
      <c r="F25" s="0" t="inlineStr">
        <is>
          <t>passed</t>
        </is>
      </c>
      <c r="G25" s="0" t="n">
        <v>0.42</v>
      </c>
      <c r="H25" s="0" t="n">
        <v>491871.567342</v>
      </c>
      <c r="I25" s="0" t="n">
        <v>17.6932949998445</v>
      </c>
      <c r="J25" s="0" t="n">
        <v>287.317</v>
      </c>
      <c r="K25" s="0" t="n">
        <v>1</v>
      </c>
      <c r="L25"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5, "samples": 1, "query": 100, "repeat": 0, "query_ms": 491871.56734199973, "verify_ms": 17.69329499984451, "vo_kb": 287.317, "single_query_recall": 0.0, "build_seconds": 162.92761259, "prove_seconds": 307.946817801, "output": "/mnt/d/paper_source/work_9/VeriANN_repro_2026-09-30/VeriANN_repro_2026-09-30/results/work9-v3db-single-20261020/glove100-1183514-M100-K1024-p2-k5-q1-r1-t1", "csv_sha256": "f91bc2b4840ef0f3ab155063a970b1a4cafaa1a00d66b941f20710c6595d252a", "selection": "fixed query100 repeat0; not selected by runtime", "reused_existing_sample": false, "recall20": 0.42000000000000004, "recall_source": "/mnt/d/paper_source/work_9/VeriANN_repro_2026-09-30/VeriANN_repro_2026-09-30/V3DB-26VLDB/work9-cache/glove100-1183514-M100-K1024/calibration.json", "recall_query_count": 20, "recall_scope": "search calibration only; timing/VO use one fixed query, not 20 proofs", "kind": "k"}</t>
        </is>
      </c>
    </row>
    <row r="26">
      <c r="A26" s="0" t="inlineStr">
        <is>
          <t>glove100</t>
        </is>
      </c>
      <c r="B26" s="0" t="inlineStr">
        <is>
          <t>k</t>
        </is>
      </c>
      <c r="C26" s="0" t="inlineStr">
        <is>
          <t>glove100-1183514-M100-K1024</t>
        </is>
      </c>
      <c r="D26" s="0" t="n">
        <v>2</v>
      </c>
      <c r="E26" s="0" t="n">
        <v>50</v>
      </c>
      <c r="F26" s="0" t="inlineStr">
        <is>
          <t>passed</t>
        </is>
      </c>
      <c r="G26" s="0" t="n">
        <v>0.332</v>
      </c>
      <c r="H26" s="0" t="n">
        <v>492930.970117001</v>
      </c>
      <c r="I26" s="0" t="n">
        <v>17.8805919986189</v>
      </c>
      <c r="J26" s="0" t="n">
        <v>288.524</v>
      </c>
      <c r="K26" s="0" t="n">
        <v>1</v>
      </c>
      <c r="L26"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50, "samples": 1, "query": 100, "repeat": 0, "query_ms": 492930.9701170006, "verify_ms": 17.88059199861891, "vo_kb": 288.524, "single_query_recall": 0.0, "build_seconds": 163.002824178, "prove_seconds": 308.879931783, "output": "/mnt/d/paper_source/work_9/VeriANN_repro_2026-09-30/VeriANN_repro_2026-09-30/results/work9-v3db-single-20261020/glove100-1183514-M100-K1024-p2-k50-q1-r1-t1", "csv_sha256": "75d5ccc9c8568a786d25cb16d4973f6cafd803c99eb5d8fde0b5e1845ccbfac2", "selection": "fixed query100 repeat0; not selected by runtime", "reused_existing_sample": false, "recall20": 0.3320000000000001, "recall_source": "/mnt/d/paper_source/work_9/VeriANN_repro_2026-09-30/VeriANN_repro_2026-09-30/V3DB-26VLDB/work9-cache/glove100-1183514-M100-K1024/calibration.json", "recall_query_count": 20, "recall_scope": "search calibration only; timing/VO use one fixed query, not 20 proofs", "kind": "k"}</t>
        </is>
      </c>
    </row>
    <row r="27">
      <c r="A27" s="0" t="inlineStr">
        <is>
          <t>glove100</t>
        </is>
      </c>
      <c r="B27" s="0" t="inlineStr">
        <is>
          <t>overall</t>
        </is>
      </c>
      <c r="C27" s="0" t="inlineStr">
        <is>
          <t>glove100-1183514-M100-K1024</t>
        </is>
      </c>
      <c r="D27" s="0" t="n">
        <v>2</v>
      </c>
      <c r="E27" s="0" t="n">
        <v>10</v>
      </c>
      <c r="F27" s="0" t="inlineStr">
        <is>
          <t>passed</t>
        </is>
      </c>
      <c r="G27" s="0" t="n">
        <v>0.405</v>
      </c>
      <c r="H27" s="0" t="n">
        <v>491486.434967</v>
      </c>
      <c r="I27" s="0" t="n">
        <v>19.9993839999024</v>
      </c>
      <c r="J27" s="0" t="n">
        <v>287.485</v>
      </c>
      <c r="K27" s="0" t="n">
        <v>1</v>
      </c>
      <c r="L27"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28">
      <c r="A28" s="0" t="inlineStr">
        <is>
          <t>glove100</t>
        </is>
      </c>
      <c r="B28" s="0" t="inlineStr">
        <is>
          <t>size</t>
        </is>
      </c>
      <c r="C28" s="0" t="inlineStr">
        <is>
          <t>glove100-100000-M100-K1024</t>
        </is>
      </c>
      <c r="D28" s="0" t="n">
        <v>8</v>
      </c>
      <c r="E28" s="0" t="n">
        <v>10</v>
      </c>
      <c r="F28" s="0" t="inlineStr">
        <is>
          <t>passed</t>
        </is>
      </c>
      <c r="G28" s="0" t="n">
        <v>0.49</v>
      </c>
      <c r="H28" s="0" t="n">
        <v>488012.784404999</v>
      </c>
      <c r="I28" s="0" t="n">
        <v>34.2702140005713</v>
      </c>
      <c r="J28" s="0" t="n">
        <v>213.789</v>
      </c>
      <c r="K28" s="0" t="n">
        <v>1</v>
      </c>
      <c r="L28" s="0" t="inlineStr">
        <is>
          <t>{"status": "passed", "dataset": "glove100", "model": "glove100-100000-M100-K1024", "config": {"dataset": "glove100", "source": "glove100", "N": 100000, "D": 100, "n_list": 1024, "M": 100, "K": 1024, "n_iter": 25, "seed": 0, "capacity": 256, "query_offset": 100, "query_count": 20, "scale": 65536, "rebalance": "author algorithm with identical row-chunk distances"}, "n_probe": 8, "k": 10, "samples": 1, "query": 100, "repeat": 0, "query_ms": 488012.78440499917, "verify_ms": 34.270214000571286, "vo_kb": 213.789, "single_query_recall": 0.2, "build_seconds": 161.297668072, "prove_seconds": 307.018991132, "output": "/mnt/d/paper_source/work_9/VeriANN_repro_2026-09-30/VeriANN_repro_2026-09-30/results/work9-v3db-single-20261020/glove100-100000-M100-K1024-p8-k10-q1-r1-t1", "csv_sha256": "bdcb474877da20ed506655694ff9f3bfaf05be26c784a4c6340a338aa86354a0", "selection": "fixed query100 repeat0; not selected by runtime", "reused_existing_sample": false, "recall20": 0.49000000000000005, "recall_source": "/mnt/d/paper_source/work_9/VeriANN_repro_2026-09-30/VeriANN_repro_2026-09-30/V3DB-26VLDB/work9-cache/glove100-100000-M100-K1024/calibration.json", "recall_query_count": 20, "recall_scope": "search calibration only; timing/VO use one fixed query, not 20 proofs", "kind": "size", "N": 100000}</t>
        </is>
      </c>
    </row>
    <row r="29">
      <c r="A29" s="0" t="inlineStr">
        <is>
          <t>glove100</t>
        </is>
      </c>
      <c r="B29" s="0" t="inlineStr">
        <is>
          <t>size</t>
        </is>
      </c>
      <c r="C29" s="0" t="inlineStr">
        <is>
          <t>glove100-1000000-M100-K1024</t>
        </is>
      </c>
      <c r="D29" s="0" t="n">
        <v>2</v>
      </c>
      <c r="E29" s="0" t="n">
        <v>10</v>
      </c>
      <c r="F29" s="0" t="inlineStr">
        <is>
          <t>passed</t>
        </is>
      </c>
      <c r="G29" s="0" t="n">
        <v>0.465</v>
      </c>
      <c r="H29" s="0" t="n">
        <v>240464.195720001</v>
      </c>
      <c r="I29" s="0" t="n">
        <v>12.6910020007927</v>
      </c>
      <c r="J29" s="0" t="n">
        <v>229.787</v>
      </c>
      <c r="K29" s="0" t="n">
        <v>1</v>
      </c>
      <c r="L29" s="0" t="inlineStr">
        <is>
          <t>{"status": "passed", "dataset": "glove100", "model": "glove100-1000000-M100-K1024", "config": {"dataset": "glove100", "source": "glove100", "N": 1000000, "D": 100, "n_list": 1024, "M": 100, "K": 1024, "n_iter": 25, "seed": 0, "capacity": 2048, "query_offset": 100, "query_count": 20, "scale": 65536, "rebalance": "author algorithm with identical row-chunk distances"}, "n_probe": 2, "k": 10, "samples": 1, "query": 100, "repeat": 0, "query_ms": 240464.19572000136, "verify_ms": 12.69100200079265, "vo_kb": 229.787, "single_query_recall": 0.0, "build_seconds": 78.088881924, "prove_seconds": 151.357898926, "output": "/mnt/d/paper_source/work_9/VeriANN_repro_2026-09-30/VeriANN_repro_2026-09-30/results/work9-v3db-single-20261020/glove100-1000000-M100-K1024-p2-k10-q1-r1-t1", "csv_sha256": "7583888c99bc5b4232803bb593857ad6400040aa62ebc49c8516b922299ea8bf", "selection": "fixed query100 repeat0; not selected by runtime", "reused_existing_sample": false, "recall20": 0.465, "recall_source": "/mnt/d/paper_source/work_9/VeriANN_repro_2026-09-30/VeriANN_repro_2026-09-30/V3DB-26VLDB/work9-cache/glove100-1000000-M100-K1024/calibration.json", "recall_query_count": 20, "recall_scope": "search calibration only; timing/VO use one fixed query, not 20 proofs", "kind": "size", "N": 1000000}</t>
        </is>
      </c>
    </row>
    <row r="30">
      <c r="A30" s="0" t="inlineStr">
        <is>
          <t>glove100</t>
        </is>
      </c>
      <c r="B30" s="0" t="inlineStr">
        <is>
          <t>size</t>
        </is>
      </c>
      <c r="C30" s="0" t="inlineStr">
        <is>
          <t>glove100-500000-M100-K1024</t>
        </is>
      </c>
      <c r="D30" s="0" t="n">
        <v>4</v>
      </c>
      <c r="E30" s="0" t="n">
        <v>10</v>
      </c>
      <c r="F30" s="0" t="inlineStr">
        <is>
          <t>passed</t>
        </is>
      </c>
      <c r="G30" s="0" t="n">
        <v>0.43</v>
      </c>
      <c r="H30" s="0" t="n">
        <v>242873.377380999</v>
      </c>
      <c r="I30" s="0" t="n">
        <v>12.736059999952</v>
      </c>
      <c r="J30" s="0" t="n">
        <v>221.723</v>
      </c>
      <c r="K30" s="0" t="n">
        <v>1</v>
      </c>
      <c r="L30" s="0" t="inlineStr">
        <is>
          <t>{"status": "passed", "dataset": "glove100", "model": "glove100-500000-M100-K1024", "config": {"dataset": "glove100", "source": "glove100", "N": 500000, "D": 100, "n_list": 1024, "M": 100, "K": 1024, "n_iter": 25, "seed": 0, "capacity": 1024, "query_offset": 100, "query_count": 20, "scale": 65536, "rebalance": "author algorithm with identical row-chunk distances"}, "n_probe": 4, "k": 10, "samples": 1, "query": 100, "repeat": 0, "query_ms": 242873.37738099927, "verify_ms": 12.736059999951976, "vo_kb": 221.723, "single_query_recall": 0.3, "build_seconds": 77.414006533, "prove_seconds": 152.081185034, "output": "/mnt/d/paper_source/work_9/VeriANN_repro_2026-09-30/VeriANN_repro_2026-09-30/results/work9-v3db-single-20261020/glove100-500000-M100-K1024-p4-k10-q1-r1-t1", "csv_sha256": "5d168b85f3ddfcbf050d9c10e4b41e2f4be8fa0049004d0d2a5155713becb049", "selection": "fixed query100 repeat0; not selected by runtime", "reused_existing_sample": false, "recall20": 0.43, "recall_source": "/mnt/d/paper_source/work_9/VeriANN_repro_2026-09-30/VeriANN_repro_2026-09-30/V3DB-26VLDB/work9-cache/glove100-500000-M100-K1024/calibration.json", "recall_query_count": 20, "recall_scope": "search calibration only; timing/VO use one fixed query, not 20 proofs", "kind": "size", "N": 500000}</t>
        </is>
      </c>
    </row>
    <row r="31">
      <c r="A31" s="0" t="inlineStr">
        <is>
          <t>nytimes256</t>
        </is>
      </c>
      <c r="B31" s="0" t="inlineStr">
        <is>
          <t>curve</t>
        </is>
      </c>
      <c r="C31" s="0" t="inlineStr">
        <is>
          <t>nytimes256-289761-M256</t>
        </is>
      </c>
      <c r="D31" s="0" t="n">
        <v>1</v>
      </c>
      <c r="E31" s="0" t="n">
        <v>10</v>
      </c>
      <c r="F31" s="0" t="inlineStr">
        <is>
          <t>passed</t>
        </is>
      </c>
      <c r="G31" s="0" t="n">
        <v>0.515</v>
      </c>
      <c r="H31" s="0" t="n">
        <v>242087.284154</v>
      </c>
      <c r="I31" s="0" t="n">
        <v>12.7548779998961</v>
      </c>
      <c r="J31" s="0" t="n">
        <v>214.815</v>
      </c>
      <c r="K31" s="0" t="n">
        <v>1</v>
      </c>
      <c r="L31"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1, "k": 10, "samples": 1, "query": 100, "repeat": 0, "query_ms": 242087.28415399994, "verify_ms": 12.754877999896053, "vo_kb": 214.815, "single_query_recall": 0.2, "build_seconds": 77.535410398, "prove_seconds": 152.129587529, "output": "/mnt/d/paper_source/work_9/VeriANN_repro_2026-09-30/VeriANN_repro_2026-09-30/results/work9-v3db-single-20261020/nytimes256-289761-M256-p1-k10-q1-r1-t1", "csv_sha256": "b868d8122065fcbbe8a532d8f2e654ab1f50f8c654b0b48f55c5d1b3921e8802", "selection": "fixed query100 repeat0; not selected by runtime", "reused_existing_sample": false, "recall20": 0.5149999999999999, "recall_source": "/mnt/d/paper_source/work_9/VeriANN_repro_2026-09-30/VeriANN_repro_2026-09-30/V3DB-26VLDB/work9-cache/nytimes256-289761-M256/calibration.json", "recall_query_count": 20, "recall_scope": "search calibration only; timing/VO use one fixed query, not 20 proofs", "kind": "curve"}</t>
        </is>
      </c>
    </row>
    <row r="32">
      <c r="A32" s="0" t="inlineStr">
        <is>
          <t>nytimes256</t>
        </is>
      </c>
      <c r="B32" s="0" t="inlineStr">
        <is>
          <t>curve</t>
        </is>
      </c>
      <c r="C32" s="0" t="inlineStr">
        <is>
          <t>nytimes256-289761-M256</t>
        </is>
      </c>
      <c r="D32" s="0" t="n">
        <v>2</v>
      </c>
      <c r="E32" s="0" t="n">
        <v>10</v>
      </c>
      <c r="F32" s="0" t="inlineStr">
        <is>
          <t>passed</t>
        </is>
      </c>
      <c r="G32" s="0" t="n">
        <v>0.58</v>
      </c>
      <c r="H32" s="0" t="n">
        <v>525753.569964</v>
      </c>
      <c r="I32" s="0" t="n">
        <v>69.6683460000713</v>
      </c>
      <c r="J32" s="0" t="n">
        <v>236.43</v>
      </c>
      <c r="K32" s="0" t="n">
        <v>1</v>
      </c>
      <c r="L32"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"curve"}</t>
        </is>
      </c>
    </row>
    <row r="33">
      <c r="A33" s="0" t="inlineStr">
        <is>
          <t>nytimes256</t>
        </is>
      </c>
      <c r="B33" s="0" t="inlineStr">
        <is>
          <t>curve_stop</t>
        </is>
      </c>
      <c r="D33" s="0" t="n">
        <v>4</v>
      </c>
      <c r="E33" s="0" t="n">
        <v>10</v>
      </c>
      <c r="F33" s="0" t="inlineStr">
        <is>
          <t>resource_limit</t>
        </is>
      </c>
      <c r="L33" s="0" t="inlineStr">
        <is>
          <t>{"status": "resource_limit", "label": "超构建预算，未出证", "reason": "p*max(capacity,K)*M exceeds 2,000,000 padded relation entries", "relation_tuples": 2097152, "actual_attempt": false, "config": {"dataset": "nytimes256", "source": "nytimes256", "N": 289761, "D": 256, "n_list": 512, "M": 256, "K": 256, "n_iter": 25, "seed": 0, "capacity": 2048, "query_offset": 100, "query_count": 20, "scale": 65536, "rebalance": "author algorithm with identical row-chunk distances"}, "n_probe": 4, "k": 10, "address_space_limit_GiB": 50, "dataset": "nytimes256", "kind": "curve_stop"}</t>
        </is>
      </c>
    </row>
    <row r="34">
      <c r="A34" s="0" t="inlineStr">
        <is>
          <t>nytimes256</t>
        </is>
      </c>
      <c r="B34" s="0" t="inlineStr">
        <is>
          <t>k</t>
        </is>
      </c>
      <c r="C34" s="0" t="inlineStr">
        <is>
          <t>nytimes256-289761-M256</t>
        </is>
      </c>
      <c r="D34" s="0" t="n">
        <v>2</v>
      </c>
      <c r="E34" s="0" t="n">
        <v>1</v>
      </c>
      <c r="F34" s="0" t="inlineStr">
        <is>
          <t>passed</t>
        </is>
      </c>
      <c r="G34" s="0" t="n">
        <v>0.65</v>
      </c>
      <c r="H34" s="0" t="n">
        <v>497518.470578999</v>
      </c>
      <c r="I34" s="0" t="n">
        <v>66.8346259999453</v>
      </c>
      <c r="J34" s="0" t="n">
        <v>232.836</v>
      </c>
      <c r="K34" s="0" t="n">
        <v>1</v>
      </c>
      <c r="L34"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 "samples": 1, "query": 100, "repeat": 0, "query_ms": 497518.47057899926, "verify_ms": 66.83462599994527, "vo_kb": 232.836, "single_query_recall": 1.0, "build_seconds": 161.060652453, "prove_seconds": 309.444244416, "output": "/mnt/d/paper_source/work_9/VeriANN_repro_2026-09-30/VeriANN_repro_2026-09-30/results/work9-v3db-single-20261020/nytimes256-289761-M256-p2-k1-q1-r1-t1", "csv_sha256": "83a6b05410d2a4693c016acacce043532948f67423823bf44c6b68dcdb35a073", "selection": "fixed query100 repeat0; not selected by runtime", "reused_existing_sample": false, "recall20": 0.65, "recall_source": "/mnt/d/paper_source/work_9/VeriANN_repro_2026-09-30/VeriANN_repro_2026-09-30/V3DB-26VLDB/work9-cache/nytimes256-289761-M256/calibration.json", "recall_query_count": 20, "recall_scope": "search calibration only; timing/VO use one fixed query, not 20 proofs", "kind": "k"}</t>
        </is>
      </c>
    </row>
    <row r="35">
      <c r="A35" s="0" t="inlineStr">
        <is>
          <t>nytimes256</t>
        </is>
      </c>
      <c r="B35" s="0" t="inlineStr">
        <is>
          <t>k</t>
        </is>
      </c>
      <c r="C35" s="0" t="inlineStr">
        <is>
          <t>nytimes256-289761-M256</t>
        </is>
      </c>
      <c r="D35" s="0" t="n">
        <v>2</v>
      </c>
      <c r="E35" s="0" t="n">
        <v>10</v>
      </c>
      <c r="F35" s="0" t="inlineStr">
        <is>
          <t>passed</t>
        </is>
      </c>
      <c r="G35" s="0" t="n">
        <v>0.58</v>
      </c>
      <c r="H35" s="0" t="n">
        <v>525753.569964</v>
      </c>
      <c r="I35" s="0" t="n">
        <v>69.6683460000713</v>
      </c>
      <c r="J35" s="0" t="n">
        <v>236.43</v>
      </c>
      <c r="K35" s="0" t="n">
        <v>1</v>
      </c>
      <c r="L35"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"k"}</t>
        </is>
      </c>
    </row>
    <row r="36">
      <c r="A36" s="0" t="inlineStr">
        <is>
          <t>nytimes256</t>
        </is>
      </c>
      <c r="B36" s="0" t="inlineStr">
        <is>
          <t>k</t>
        </is>
      </c>
      <c r="C36" s="0" t="inlineStr">
        <is>
          <t>nytimes256-289761-M256</t>
        </is>
      </c>
      <c r="D36" s="0" t="n">
        <v>2</v>
      </c>
      <c r="E36" s="0" t="n">
        <v>100</v>
      </c>
      <c r="F36" s="0" t="inlineStr">
        <is>
          <t>passed</t>
        </is>
      </c>
      <c r="G36" s="0" t="n">
        <v>0.4565</v>
      </c>
      <c r="H36" s="0" t="n">
        <v>499108.047751</v>
      </c>
      <c r="I36" s="0" t="n">
        <v>13.3960200000729</v>
      </c>
      <c r="J36" s="0" t="n">
        <v>235.053</v>
      </c>
      <c r="K36" s="0" t="n">
        <v>1</v>
      </c>
      <c r="L36"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100, "samples": 1, "query": 100, "repeat": 0, "query_ms": 499108.04775100015, "verify_ms": 13.396020000072895, "vo_kb": 235.053, "single_query_recall": 0.14, "build_seconds": 161.541770725, "prove_seconds": 310.576570658, "output": "/mnt/d/paper_source/work_9/VeriANN_repro_2026-09-30/VeriANN_repro_2026-09-30/results/work9-v3db-single-20261020/nytimes256-289761-M256-p2-k100-q1-r1-t1", "csv_sha256": "a4d492c7f6cb3c2743b9a2205a9a16eeaa25c0ba0c9c656027c3f092988ae3bc", "selection": "fixed query100 repeat0; not selected by runtime", "reused_existing_sample": false, "recall20": 0.4565, "recall_source": "/mnt/d/paper_source/work_9/VeriANN_repro_2026-09-30/VeriANN_repro_2026-09-30/V3DB-26VLDB/work9-cache/nytimes256-289761-M256/calibration.json", "recall_query_count": 20, "recall_scope": "search calibration only; timing/VO use one fixed query, not 20 proofs", "kind": "k"}</t>
        </is>
      </c>
    </row>
    <row r="37">
      <c r="A37" s="0" t="inlineStr">
        <is>
          <t>nytimes256</t>
        </is>
      </c>
      <c r="B37" s="0" t="inlineStr">
        <is>
          <t>k</t>
        </is>
      </c>
      <c r="C37" s="0" t="inlineStr">
        <is>
          <t>nytimes256-289761-M256</t>
        </is>
      </c>
      <c r="D37" s="0" t="n">
        <v>2</v>
      </c>
      <c r="E37" s="0" t="n">
        <v>20</v>
      </c>
      <c r="F37" s="0" t="inlineStr">
        <is>
          <t>passed</t>
        </is>
      </c>
      <c r="G37" s="0" t="n">
        <v>0.5600000000000001</v>
      </c>
      <c r="H37" s="0" t="n">
        <v>499521.62197</v>
      </c>
      <c r="I37" s="0" t="n">
        <v>78.58429200041429</v>
      </c>
      <c r="J37" s="0" t="n">
        <v>233.148</v>
      </c>
      <c r="K37" s="0" t="n">
        <v>1</v>
      </c>
      <c r="L37"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20, "samples": 1, "query": 100, "repeat": 0, "query_ms": 499521.6219699999, "verify_ms": 78.58429200041428, "vo_kb": 233.148, "single_query_recall": 0.1, "build_seconds": 161.346059491, "prove_seconds": 311.231134293, "output": "/mnt/d/paper_source/work_9/VeriANN_repro_2026-09-30/VeriANN_repro_2026-09-30/results/work9-v3db-single-20261020/nytimes256-289761-M256-p2-k20-q1-r1-t1", "csv_sha256": "3611c456b49b11804550c652d352580af06b4898f7a04fde6a066031f60cc311", "selection": "fixed query100 repeat0; not selected by runtime", "reused_existing_sample": false, "recall20": 0.5599999999999999, "recall_source": "/mnt/d/paper_source/work_9/VeriANN_repro_2026-09-30/VeriANN_repro_2026-09-30/V3DB-26VLDB/work9-cache/nytimes256-289761-M256/calibration.json", "recall_query_count": 20, "recall_scope": "search calibration only; timing/VO use one fixed query, not 20 proofs", "kind": "k"}</t>
        </is>
      </c>
    </row>
    <row r="38">
      <c r="A38" s="0" t="inlineStr">
        <is>
          <t>nytimes256</t>
        </is>
      </c>
      <c r="B38" s="0" t="inlineStr">
        <is>
          <t>k</t>
        </is>
      </c>
      <c r="C38" s="0" t="inlineStr">
        <is>
          <t>nytimes256-289761-M256</t>
        </is>
      </c>
      <c r="D38" s="0" t="n">
        <v>2</v>
      </c>
      <c r="E38" s="0" t="n">
        <v>5</v>
      </c>
      <c r="F38" s="0" t="inlineStr">
        <is>
          <t>passed</t>
        </is>
      </c>
      <c r="G38" s="0" t="n">
        <v>0.6899999999999999</v>
      </c>
      <c r="H38" s="0" t="n">
        <v>500123.765209001</v>
      </c>
      <c r="I38" s="0" t="n">
        <v>13.6101110001619</v>
      </c>
      <c r="J38" s="0" t="n">
        <v>237.512</v>
      </c>
      <c r="K38" s="0" t="n">
        <v>1</v>
      </c>
      <c r="L38"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5, "samples": 1, "query": 100, "repeat": 0, "query_ms": 500123.76520900073, "verify_ms": 13.61011100016185, "vo_kb": 237.512, "single_query_recall": 0.4, "build_seconds": 161.066762861, "prove_seconds": 311.790210398, "output": "/mnt/d/paper_source/work_9/VeriANN_repro_2026-09-30/VeriANN_repro_2026-09-30/results/work9-v3db-single-20261020/nytimes256-289761-M256-p2-k5-q1-r1-t1", "csv_sha256": "71643dafac972536bb08c3de68b15672f80bf47d1221785b0cf050cb358bfbb8", "selection": "fixed query100 repeat0; not selected by runtime", "reused_existing_sample": false, "recall20": 0.6900000000000001, "recall_source": "/mnt/d/paper_source/work_9/VeriANN_repro_2026-09-30/VeriANN_repro_2026-09-30/V3DB-26VLDB/work9-cache/nytimes256-289761-M256/calibration.json", "recall_query_count": 20, "recall_scope": "search calibration only; timing/VO use one fixed query, not 20 proofs", "kind": "k"}</t>
        </is>
      </c>
    </row>
    <row r="39">
      <c r="A39" s="0" t="inlineStr">
        <is>
          <t>nytimes256</t>
        </is>
      </c>
      <c r="B39" s="0" t="inlineStr">
        <is>
          <t>k</t>
        </is>
      </c>
      <c r="C39" s="0" t="inlineStr">
        <is>
          <t>nytimes256-289761-M256</t>
        </is>
      </c>
      <c r="D39" s="0" t="n">
        <v>2</v>
      </c>
      <c r="E39" s="0" t="n">
        <v>50</v>
      </c>
      <c r="F39" s="0" t="inlineStr">
        <is>
          <t>passed</t>
        </is>
      </c>
      <c r="G39" s="0" t="n">
        <v>0.498</v>
      </c>
      <c r="H39" s="0" t="n">
        <v>498341.342619</v>
      </c>
      <c r="I39" s="0" t="n">
        <v>13.2116089998817</v>
      </c>
      <c r="J39" s="0" t="n">
        <v>238.719</v>
      </c>
      <c r="K39" s="0" t="n">
        <v>1</v>
      </c>
      <c r="L39"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50, "samples": 1, "query": 100, "repeat": 0, "query_ms": 498341.3426190002, "verify_ms": 13.211608999881719, "vo_kb": 238.719, "single_query_recall": 0.12, "build_seconds": 160.995539873, "prove_seconds": 310.062574189, "output": "/mnt/d/paper_source/work_9/VeriANN_repro_2026-09-30/VeriANN_repro_2026-09-30/results/work9-v3db-single-20261020/nytimes256-289761-M256-p2-k50-q1-r1-t1", "csv_sha256": "66709f0ea7e25a9a73bfcfcd5712221c7167868fb5de5a143c7746f1ce886443", "selection": "fixed query100 repeat0; not selected by runtime", "reused_existing_sample": false, "recall20": 0.49799999999999994, "recall_source": "/mnt/d/paper_source/work_9/VeriANN_repro_2026-09-30/VeriANN_repro_2026-09-30/V3DB-26VLDB/work9-cache/nytimes256-289761-M256/calibration.json", "recall_query_count": 20, "recall_scope": "search calibration only; timing/VO use one fixed query, not 20 proofs", "kind": "k"}</t>
        </is>
      </c>
    </row>
    <row r="40">
      <c r="A40" s="0" t="inlineStr">
        <is>
          <t>nytimes256</t>
        </is>
      </c>
      <c r="B40" s="0" t="inlineStr">
        <is>
          <t>overall</t>
        </is>
      </c>
      <c r="C40" s="0" t="inlineStr">
        <is>
          <t>nytimes256-289761-M256</t>
        </is>
      </c>
      <c r="D40" s="0" t="n">
        <v>2</v>
      </c>
      <c r="E40" s="0" t="n">
        <v>10</v>
      </c>
      <c r="F40" s="0" t="inlineStr">
        <is>
          <t>passed</t>
        </is>
      </c>
      <c r="G40" s="0" t="n">
        <v>0.58</v>
      </c>
      <c r="H40" s="0" t="n">
        <v>525753.569964</v>
      </c>
      <c r="I40" s="0" t="n">
        <v>69.6683460000713</v>
      </c>
      <c r="J40" s="0" t="n">
        <v>236.43</v>
      </c>
      <c r="K40" s="0" t="n">
        <v>1</v>
      </c>
      <c r="L40"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is>
      </c>
    </row>
    <row r="41">
      <c r="A41" s="0" t="inlineStr">
        <is>
          <t>nytimes256</t>
        </is>
      </c>
      <c r="B41" s="0" t="inlineStr">
        <is>
          <t>size</t>
        </is>
      </c>
      <c r="C41" s="0" t="inlineStr">
        <is>
          <t>nytimes256-100000-M256</t>
        </is>
      </c>
      <c r="D41" s="0" t="n">
        <v>4</v>
      </c>
      <c r="E41" s="0" t="n">
        <v>10</v>
      </c>
      <c r="F41" s="0" t="inlineStr">
        <is>
          <t>passed</t>
        </is>
      </c>
      <c r="G41" s="0" t="n">
        <v>0.605</v>
      </c>
      <c r="H41" s="0" t="n">
        <v>490476.277908999</v>
      </c>
      <c r="I41" s="0" t="n">
        <v>21.182078999118</v>
      </c>
      <c r="J41" s="0" t="n">
        <v>204.78</v>
      </c>
      <c r="K41" s="0" t="n">
        <v>1</v>
      </c>
      <c r="L41" s="0" t="inlineStr">
        <is>
          <t>{"status": "passed", "dataset": "nytimes256", "model": "nytimes256-100000-M256", "config": {"dataset": "nytimes256", "source": "nytimes256", "N": 100000, "D": 256, "n_list": 512, "M": 256, "K": 256, "n_iter": 25, "seed": 0, "capacity": 512, "query_offset": 100, "query_count": 20, "scale": 65536, "rebalance": "author algorithm with identical row-chunk distances"}, "n_probe": 4, "k": 10, "samples": 1, "query": 100, "repeat": 0, "query_ms": 490476.27790899895, "verify_ms": 21.182078999117948, "vo_kb": 204.78, "single_query_recall": 0.6, "build_seconds": 167.176992316, "prove_seconds": 307.808327033, "output": "/mnt/d/paper_source/work_9/VeriANN_repro_2026-09-30/VeriANN_repro_2026-09-30/results/work9-v3db-single-20261020/nytimes256-100000-M256-p4-k10-q1-r1-t1", "csv_sha256": "cfc81437bea56e51ef704d5495773466cd7250113e4723b1985832575091fa45", "selection": "fixed query100 repeat0; not selected by runtime", "reused_existing_sample": false, "recall20": 0.605, "recall_source": "/mnt/d/paper_source/work_9/VeriANN_repro_2026-09-30/VeriANN_repro_2026-09-30/V3DB-26VLDB/work9-cache/nytimes256-100000-M256/calibration.json", "recall_query_count": 20, "recall_scope": "search calibration only; timing/VO use one fixed query, not 20 proofs", "kind": "size", "N": 100000}</t>
        </is>
      </c>
    </row>
    <row r="42">
      <c r="A42" s="0" t="inlineStr">
        <is>
          <t>sift1m</t>
        </is>
      </c>
      <c r="B42" s="0" t="inlineStr">
        <is>
          <t>curve</t>
        </is>
      </c>
      <c r="C42" s="0" t="inlineStr">
        <is>
          <t>sift1m-1000000-M128-K1024</t>
        </is>
      </c>
      <c r="D42" s="0" t="n">
        <v>1</v>
      </c>
      <c r="E42" s="0" t="n">
        <v>10</v>
      </c>
      <c r="F42" s="0" t="inlineStr">
        <is>
          <t>passed</t>
        </is>
      </c>
      <c r="G42" s="0" t="n">
        <v>0.58</v>
      </c>
      <c r="H42" s="0" t="n">
        <v>239944.70827</v>
      </c>
      <c r="I42" s="0" t="n">
        <v>14.4067420000056</v>
      </c>
      <c r="J42" s="0" t="n">
        <v>211.816</v>
      </c>
      <c r="K42" s="0" t="n">
        <v>1</v>
      </c>
      <c r="L42"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1, "k": 10, "samples": 1, "query": 100, "repeat": 0, "query_ms": 239944.70827000006, "verify_ms": 14.406742000005579, "vo_kb": 211.816, "single_query_recall": 0.5, "build_seconds": 80.274051808, "prove_seconds": 151.14497659, "output": "/mnt/d/paper_source/work_9/VeriANN_repro_2026-09-30/VeriANN_repro_2026-09-30/results/work9-v3db-single-20261020/sift1m-1000000-M128-K1024-p1-k10-q1-r1-t1", "csv_sha256": "5fb545bb68699fb55de80e474d947880eb611376c8dbb20e426d95148301b491", "selection": "fixed query100 repeat0; not selected by runtime", "reused_existing_sample": false, "recall20": 0.58, "recall_source": "/mnt/d/paper_source/work_9/VeriANN_repro_2026-09-30/VeriANN_repro_2026-09-30/V3DB-26VLDB/work9-cache/sift1m-1000000-M128-K1024/calibration.json", "recall_query_count": 20, "recall_scope": "search calibration only; timing/VO use one fixed query, not 20 proofs", "kind": "curve"}</t>
        </is>
      </c>
    </row>
    <row r="43">
      <c r="A43" s="0" t="inlineStr">
        <is>
          <t>sift1m</t>
        </is>
      </c>
      <c r="B43" s="0" t="inlineStr">
        <is>
          <t>curve</t>
        </is>
      </c>
      <c r="C43" s="0" t="inlineStr">
        <is>
          <t>sift1m-1000000-M128-K1024</t>
        </is>
      </c>
      <c r="D43" s="0" t="n">
        <v>2</v>
      </c>
      <c r="E43" s="0" t="n">
        <v>10</v>
      </c>
      <c r="F43" s="0" t="inlineStr">
        <is>
          <t>passed</t>
        </is>
      </c>
      <c r="G43" s="0" t="n">
        <v>0.705</v>
      </c>
      <c r="H43" s="0" t="n">
        <v>517760.920454</v>
      </c>
      <c r="I43" s="0" t="n">
        <v>71.0790379998798</v>
      </c>
      <c r="J43" s="0" t="n">
        <v>235.675</v>
      </c>
      <c r="K43" s="0" t="n">
        <v>1</v>
      </c>
      <c r="L43"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"curve"}</t>
        </is>
      </c>
    </row>
    <row r="44">
      <c r="A44" s="0" t="inlineStr">
        <is>
          <t>sift1m</t>
        </is>
      </c>
      <c r="B44" s="0" t="inlineStr">
        <is>
          <t>curve_stop</t>
        </is>
      </c>
      <c r="D44" s="0" t="n">
        <v>4</v>
      </c>
      <c r="E44" s="0" t="n">
        <v>10</v>
      </c>
      <c r="F44" s="0" t="inlineStr">
        <is>
          <t>resource_limit</t>
        </is>
      </c>
      <c r="L44" s="0" t="inlineStr">
        <is>
          <t>{"gates": 1108650, "degree_bits": 21, "static_peak_rss_KiB": 10459032, "status": "resource_limit", "label": "超证明域预算，未出证", "actual_attempt": false, "config": {"dataset": "sift1m", "source": "sift1m", "N": 1000000, "D": 128, "n_list": 1024, "M": 128, "K": 1024, "n_iter": 25, "seed": 0, "capacity": 2048, "query_offset": 100, "query_count": 20, "scale": 65536, "rebalance": "author algorithm with identical row-chunk distances"}, "n_probe": 4, "k": 10, "address_space_limit_GiB": 50, "dataset": "sift1m", "kind": "curve_stop"}</t>
        </is>
      </c>
    </row>
    <row r="45">
      <c r="A45" s="0" t="inlineStr">
        <is>
          <t>sift1m</t>
        </is>
      </c>
      <c r="B45" s="0" t="inlineStr">
        <is>
          <t>k</t>
        </is>
      </c>
      <c r="C45" s="0" t="inlineStr">
        <is>
          <t>sift1m-1000000-M128-K1024</t>
        </is>
      </c>
      <c r="D45" s="0" t="n">
        <v>2</v>
      </c>
      <c r="E45" s="0" t="n">
        <v>1</v>
      </c>
      <c r="F45" s="0" t="inlineStr">
        <is>
          <t>passed</t>
        </is>
      </c>
      <c r="G45" s="0" t="n">
        <v>0.8</v>
      </c>
      <c r="H45" s="0" t="n">
        <v>490868.017647</v>
      </c>
      <c r="I45" s="0" t="n">
        <v>23.8354289999734</v>
      </c>
      <c r="J45" s="0" t="n">
        <v>238.982</v>
      </c>
      <c r="K45" s="0" t="n">
        <v>1</v>
      </c>
      <c r="L45"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 "samples": 1, "query": 100, "repeat": 0, "query_ms": 490868.01764700003, "verify_ms": 23.835428999973374, "vo_kb": 238.982, "single_query_recall": 1.0, "build_seconds": 166.413389853, "prove_seconds": 308.28397887, "output": "/mnt/d/paper_source/work_9/VeriANN_repro_2026-09-30/VeriANN_repro_2026-09-30/results/work9-v3db-single-20261020/sift1m-1000000-M128-K1024-p2-k1-q1-r1-t1", "csv_sha256": "71d748ab80caeaf6643a138782f3566ad5e5f78004360e3f0fa5dfd869365d84", "selection": "fixed query100 repeat0; not selected by runtime", "reused_existing_sample": false, "recall20": 0.8, "recall_source": "/mnt/d/paper_source/work_9/VeriANN_repro_2026-09-30/VeriANN_repro_2026-09-30/V3DB-26VLDB/work9-cache/sift1m-1000000-M128-K1024/calibration.json", "recall_query_count": 20, "recall_scope": "search calibration only; timing/VO use one fixed query, not 20 proofs", "kind": "k"}</t>
        </is>
      </c>
    </row>
    <row r="46">
      <c r="A46" s="0" t="inlineStr">
        <is>
          <t>sift1m</t>
        </is>
      </c>
      <c r="B46" s="0" t="inlineStr">
        <is>
          <t>k</t>
        </is>
      </c>
      <c r="C46" s="0" t="inlineStr">
        <is>
          <t>sift1m-1000000-M128-K1024</t>
        </is>
      </c>
      <c r="D46" s="0" t="n">
        <v>2</v>
      </c>
      <c r="E46" s="0" t="n">
        <v>10</v>
      </c>
      <c r="F46" s="0" t="inlineStr">
        <is>
          <t>passed</t>
        </is>
      </c>
      <c r="G46" s="0" t="n">
        <v>0.705</v>
      </c>
      <c r="H46" s="0" t="n">
        <v>517760.920454</v>
      </c>
      <c r="I46" s="0" t="n">
        <v>71.0790379998798</v>
      </c>
      <c r="J46" s="0" t="n">
        <v>235.675</v>
      </c>
      <c r="K46" s="0" t="n">
        <v>1</v>
      </c>
      <c r="L46"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"k"}</t>
        </is>
      </c>
    </row>
    <row r="47">
      <c r="A47" s="0" t="inlineStr">
        <is>
          <t>sift1m</t>
        </is>
      </c>
      <c r="B47" s="0" t="inlineStr">
        <is>
          <t>k</t>
        </is>
      </c>
      <c r="C47" s="0" t="inlineStr">
        <is>
          <t>sift1m-1000000-M128-K1024</t>
        </is>
      </c>
      <c r="D47" s="0" t="n">
        <v>2</v>
      </c>
      <c r="E47" s="0" t="n">
        <v>100</v>
      </c>
      <c r="F47" s="0" t="inlineStr">
        <is>
          <t>passed</t>
        </is>
      </c>
      <c r="G47" s="0" t="n">
        <v>0.5649999999999999</v>
      </c>
      <c r="H47" s="0" t="n">
        <v>490610.642995</v>
      </c>
      <c r="I47" s="0" t="n">
        <v>54.7225050004272</v>
      </c>
      <c r="J47" s="0" t="n">
        <v>241.711</v>
      </c>
      <c r="K47" s="0" t="n">
        <v>1</v>
      </c>
      <c r="L47"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100, "samples": 1, "query": 100, "repeat": 0, "query_ms": 490610.6429949999, "verify_ms": 54.72250500042719, "vo_kb": 241.711, "single_query_recall": 0.34, "build_seconds": 166.289894998, "prove_seconds": 308.289001584, "output": "/mnt/d/paper_source/work_9/VeriANN_repro_2026-09-30/VeriANN_repro_2026-09-30/results/work9-v3db-single-20261020/sift1m-1000000-M128-K1024-p2-k100-q1-r1-t1", "csv_sha256": "d3055d4e53e6c6b83e38133c426c1675548df1b08e24b05915ad5d67526885db", "selection": "fixed query100 repeat0; not selected by runtime", "reused_existing_sample": false, "recall20": 0.5650000000000001, "recall_source": "/mnt/d/paper_source/work_9/VeriANN_repro_2026-09-30/VeriANN_repro_2026-09-30/V3DB-26VLDB/work9-cache/sift1m-1000000-M128-K1024/calibration.json", "recall_query_count": 20, "recall_scope": "search calibration only; timing/VO use one fixed query, not 20 proofs", "kind": "k"}</t>
        </is>
      </c>
    </row>
    <row r="48">
      <c r="A48" s="0" t="inlineStr">
        <is>
          <t>sift1m</t>
        </is>
      </c>
      <c r="B48" s="0" t="inlineStr">
        <is>
          <t>k</t>
        </is>
      </c>
      <c r="C48" s="0" t="inlineStr">
        <is>
          <t>sift1m-1000000-M128-K1024</t>
        </is>
      </c>
      <c r="D48" s="0" t="n">
        <v>2</v>
      </c>
      <c r="E48" s="0" t="n">
        <v>20</v>
      </c>
      <c r="F48" s="0" t="inlineStr">
        <is>
          <t>passed</t>
        </is>
      </c>
      <c r="G48" s="0" t="n">
        <v>0.6575</v>
      </c>
      <c r="H48" s="0" t="n">
        <v>490514.609756</v>
      </c>
      <c r="I48" s="0" t="n">
        <v>57.7544319999106</v>
      </c>
      <c r="J48" s="0" t="n">
        <v>239.759</v>
      </c>
      <c r="K48" s="0" t="n">
        <v>1</v>
      </c>
      <c r="L48"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20, "samples": 1, "query": 100, "repeat": 0, "query_ms": 490514.6097560001, "verify_ms": 57.754431999910594, "vo_kb": 239.759, "single_query_recall": 0.5, "build_seconds": 166.726916173, "prove_seconds": 307.737608892, "output": "/mnt/d/paper_source/work_9/VeriANN_repro_2026-09-30/VeriANN_repro_2026-09-30/results/work9-v3db-single-20261020/sift1m-1000000-M128-K1024-p2-k20-q1-r1-t1", "csv_sha256": "98f752dfee0a5c02267ea71ba91a7a08b29649f7fce8ae4012009f1d587bd5a4", "selection": "fixed query100 repeat0; not selected by runtime", "reused_existing_sample": false, "recall20": 0.6575, "recall_source": "/mnt/d/paper_source/work_9/VeriANN_repro_2026-09-30/VeriANN_repro_2026-09-30/V3DB-26VLDB/work9-cache/sift1m-1000000-M128-K1024/calibration.json", "recall_query_count": 20, "recall_scope": "search calibration only; timing/VO use one fixed query, not 20 proofs", "kind": "k"}</t>
        </is>
      </c>
    </row>
    <row r="49">
      <c r="A49" s="0" t="inlineStr">
        <is>
          <t>sift1m</t>
        </is>
      </c>
      <c r="B49" s="0" t="inlineStr">
        <is>
          <t>k</t>
        </is>
      </c>
      <c r="C49" s="0" t="inlineStr">
        <is>
          <t>sift1m-1000000-M128-K1024</t>
        </is>
      </c>
      <c r="D49" s="0" t="n">
        <v>2</v>
      </c>
      <c r="E49" s="0" t="n">
        <v>5</v>
      </c>
      <c r="F49" s="0" t="inlineStr">
        <is>
          <t>passed</t>
        </is>
      </c>
      <c r="G49" s="0" t="n">
        <v>0.68</v>
      </c>
      <c r="H49" s="0" t="n">
        <v>490562.607889</v>
      </c>
      <c r="I49" s="0" t="n">
        <v>61.2400370000614</v>
      </c>
      <c r="J49" s="0" t="n">
        <v>237.604</v>
      </c>
      <c r="K49" s="0" t="n">
        <v>1</v>
      </c>
      <c r="L49"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5, "samples": 1, "query": 100, "repeat": 0, "query_ms": 490562.6078890003, "verify_ms": 61.24003700006142, "vo_kb": 237.604, "single_query_recall": 0.6, "build_seconds": 166.549265767, "prove_seconds": 307.656001413, "output": "/mnt/d/paper_source/work_9/VeriANN_repro_2026-09-30/VeriANN_repro_2026-09-30/results/work9-v3db-single-20261020/sift1m-1000000-M128-K1024-p2-k5-q1-r1-t1", "csv_sha256": "95c78b76d390826274612e44fb87aa50c9b267787bb8417053d5529857ec82ee", "selection": "fixed query100 repeat0; not selected by runtime", "reused_existing_sample": false, "recall20": 0.68, "recall_source": "/mnt/d/paper_source/work_9/VeriANN_repro_2026-09-30/VeriANN_repro_2026-09-30/V3DB-26VLDB/work9-cache/sift1m-1000000-M128-K1024/calibration.json", "recall_query_count": 20, "recall_scope": "search calibration only; timing/VO use one fixed query, not 20 proofs", "kind": "k"}</t>
        </is>
      </c>
    </row>
    <row r="50">
      <c r="A50" s="0" t="inlineStr">
        <is>
          <t>sift1m</t>
        </is>
      </c>
      <c r="B50" s="0" t="inlineStr">
        <is>
          <t>k</t>
        </is>
      </c>
      <c r="C50" s="0" t="inlineStr">
        <is>
          <t>sift1m-1000000-M128-K1024</t>
        </is>
      </c>
      <c r="D50" s="0" t="n">
        <v>2</v>
      </c>
      <c r="E50" s="0" t="n">
        <v>50</v>
      </c>
      <c r="F50" s="0" t="inlineStr">
        <is>
          <t>passed</t>
        </is>
      </c>
      <c r="G50" s="0" t="n">
        <v>0.61</v>
      </c>
      <c r="H50" s="0" t="n">
        <v>489702.042629</v>
      </c>
      <c r="I50" s="0" t="n">
        <v>63.1774729999961</v>
      </c>
      <c r="J50" s="0" t="n">
        <v>237.917</v>
      </c>
      <c r="K50" s="0" t="n">
        <v>1</v>
      </c>
      <c r="L50"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50, "samples": 1, "query": 100, "repeat": 0, "query_ms": 489702.0426290003, "verify_ms": 63.1774729999961, "vo_kb": 237.917, "single_query_recall": 0.44, "build_seconds": 165.962000162, "prove_seconds": 307.963230616, "output": "/mnt/d/paper_source/work_9/VeriANN_repro_2026-09-30/VeriANN_repro_2026-09-30/results/work9-v3db-single-20261020/sift1m-1000000-M128-K1024-p2-k50-q1-r1-t1", "csv_sha256": "7f6fd32baa118cd94d50dd343945a62e5db32bffac0493abbab8c0425895d35b", "selection": "fixed query100 repeat0; not selected by runtime", "reused_existing_sample": false, "recall20": 0.61, "recall_source": "/mnt/d/paper_source/work_9/VeriANN_repro_2026-09-30/VeriANN_repro_2026-09-30/V3DB-26VLDB/work9-cache/sift1m-1000000-M128-K1024/calibration.json", "recall_query_count": 20, "recall_scope": "search calibration only; timing/VO use one fixed query, not 20 proofs", "kind": "k"}</t>
        </is>
      </c>
    </row>
    <row r="51">
      <c r="A51" s="0" t="inlineStr">
        <is>
          <t>sift1m</t>
        </is>
      </c>
      <c r="B51" s="0" t="inlineStr">
        <is>
          <t>overall</t>
        </is>
      </c>
      <c r="C51" s="0" t="inlineStr">
        <is>
          <t>sift1m-1000000-M128-K1024</t>
        </is>
      </c>
      <c r="D51" s="0" t="n">
        <v>2</v>
      </c>
      <c r="E51" s="0" t="n">
        <v>10</v>
      </c>
      <c r="F51" s="0" t="inlineStr">
        <is>
          <t>passed</t>
        </is>
      </c>
      <c r="G51" s="0" t="n">
        <v>0.705</v>
      </c>
      <c r="H51" s="0" t="n">
        <v>517760.920454</v>
      </c>
      <c r="I51" s="0" t="n">
        <v>71.0790379998798</v>
      </c>
      <c r="J51" s="0" t="n">
        <v>235.675</v>
      </c>
      <c r="K51" s="0" t="n">
        <v>1</v>
      </c>
      <c r="L51"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52">
      <c r="A52" s="0" t="inlineStr">
        <is>
          <t>sift1m</t>
        </is>
      </c>
      <c r="B52" s="0" t="inlineStr">
        <is>
          <t>size</t>
        </is>
      </c>
      <c r="C52" s="0" t="inlineStr">
        <is>
          <t>bigann10m-100000-M128-K1024</t>
        </is>
      </c>
      <c r="D52" s="0" t="n">
        <v>8</v>
      </c>
      <c r="E52" s="0" t="n">
        <v>10</v>
      </c>
      <c r="F52" s="0" t="inlineStr">
        <is>
          <t>passed</t>
        </is>
      </c>
      <c r="G52" s="0" t="n">
        <v>0.755</v>
      </c>
      <c r="H52" s="0" t="n">
        <v>496923.102522999</v>
      </c>
      <c r="I52" s="0" t="n">
        <v>12.5784319989179</v>
      </c>
      <c r="J52" s="0" t="n">
        <v>216.223</v>
      </c>
      <c r="K52" s="0" t="n">
        <v>1</v>
      </c>
      <c r="L52" s="0" t="inlineStr">
        <is>
          <t>{"status": "passed", "dataset": "sift1m", "model": "bigann10m-100000-M128-K1024", "config": {"dataset": "sift1m", "source": "bigann10m", "N": 100000, "D": 128, "n_list": 1024, "M": 128, "K": 1024, "n_iter": 25, "seed": 0, "capacity": 256, "query_offset": 100, "query_count": 20, "scale": 65536, "rebalance": "author algorithm with identical row-chunk distances"}, "n_probe": 8, "k": 10, "samples": 1, "query": 100, "repeat": 0, "query_ms": 496923.10252299934, "verify_ms": 12.57843199891795, "vo_kb": 216.223, "single_query_recall": 0.4, "build_seconds": 159.693147833, "prove_seconds": 309.434456171, "output": "/mnt/d/paper_source/work_9/VeriANN_repro_2026-09-30/VeriANN_repro_2026-09-30/results/work9-v3db-single-20261020/bigann10m-100000-M128-K1024-p8-k10-q1-r1-t1", "csv_sha256": "256f8d6e684c823b997225e964b87a4bf8b2c21e6b6dd1404d6725d9ef5be294", "selection": "fixed query100 repeat0; not selected by runtime", "reused_existing_sample": false, "recall20": 0.7549999999999999, "recall_source": "/mnt/d/paper_source/work_9/VeriANN_repro_2026-09-30/VeriANN_repro_2026-09-30/V3DB-26VLDB/work9-cache/bigann10m-100000-M128-K1024/calibration.json", "recall_query_count": 20, "recall_scope": "search calibration only; timing/VO use one fixed query, not 20 proofs", "kind": "size", "N": 100000}</t>
        </is>
      </c>
    </row>
    <row r="53">
      <c r="A53" s="0" t="inlineStr">
        <is>
          <t>sift1m</t>
        </is>
      </c>
      <c r="B53" s="0" t="inlineStr">
        <is>
          <t>size</t>
        </is>
      </c>
      <c r="D53" s="0" t="n">
        <v>8</v>
      </c>
      <c r="E53" s="0" t="n">
        <v>10</v>
      </c>
      <c r="F53" s="0" t="inlineStr">
        <is>
          <t>resource_limit</t>
        </is>
      </c>
      <c r="L53" s="0" t="inlineStr">
        <is>
          <t>{"status": "resource_limit", "label": "超构建预算，未出证", "reason": "p*max(capacity,K)*M exceeds 2,000,000 padded relation entries", "relation_tuples": 2097152, "actual_attempt": false, "config": {"dataset": "sift1m", "source": "bigann10m", "N": 1000000, "D": 128, "n_list": 1024, "M": 128, "K": 1024, "n_iter": 25, "seed": 0, "capacity": 2048, "query_offset": 100, "query_count": 20, "scale": 65536, "rebalance": "author algorithm with identical row-chunk distances"}, "n_probe": 8, "k": 10, "address_space_limit_GiB": 50, "dataset": "sift1m", "kind": "size", "N": 1000000}</t>
        </is>
      </c>
    </row>
    <row r="54">
      <c r="A54" s="0" t="inlineStr">
        <is>
          <t>sift1m</t>
        </is>
      </c>
      <c r="B54" s="0" t="inlineStr">
        <is>
          <t>size</t>
        </is>
      </c>
      <c r="D54" s="0" t="n">
        <v>1</v>
      </c>
      <c r="E54" s="0" t="n">
        <v>10</v>
      </c>
      <c r="F54" s="0" t="inlineStr">
        <is>
          <t>resource_limit</t>
        </is>
      </c>
      <c r="L54" s="0" t="inlineStr">
        <is>
          <t>{"status": "resource_limit", "label": "超构建预算，未出证", "reason": "p*max(capacity,K)*M exceeds 2,000,000 padded relation entries", "relation_tuples": 4194304, "actual_attempt": false, "config": {"dataset": "sift1m", "source": "bigann10m", "N": 10000000, "D": 128, "M": 128, "K": 1024, "n_list": 1024, "capacity": 32768}, "n_probe": 1, "k": 10, "address_space_limit_GiB": 50, "dataset": "sift1m", "kind": "size", "N": 10000000}</t>
        </is>
      </c>
    </row>
    <row r="55">
      <c r="A55" s="0" t="inlineStr">
        <is>
          <t>sift1m</t>
        </is>
      </c>
      <c r="B55" s="0" t="inlineStr">
        <is>
          <t>size</t>
        </is>
      </c>
      <c r="D55" s="0" t="n">
        <v>8</v>
      </c>
      <c r="E55" s="0" t="n">
        <v>10</v>
      </c>
      <c r="F55" s="0" t="inlineStr">
        <is>
          <t>resource_limit</t>
        </is>
      </c>
      <c r="L55" s="0" t="inlineStr">
        <is>
          <t>{"gates": 1266110, "degree_bits": 21, "static_peak_rss_KiB": 11016464, "status": "resource_limit", "label": "超证明域预算，未出证", "actual_attempt": false, "config": {"dataset": "sift1m", "source": "bigann10m", "N": 500000, "D": 128, "n_list": 1024, "M": 128, "K": 1024, "n_iter": 25, "seed": 0, "capacity": 1024, "query_offset": 100, "query_count": 20, "scale": 65536, "rebalance": "author algorithm with identical row-chunk distances"}, "n_probe": 8, "k": 10, "address_space_limit_GiB": 50, "dataset": "sift1m", "kind": "size", "N": 500000}</t>
        </is>
      </c>
    </row>
    <row r="56">
      <c r="A56" s="0" t="inlineStr">
        <is>
          <t>sift1m</t>
        </is>
      </c>
      <c r="B56" s="0" t="inlineStr">
        <is>
          <t>size</t>
        </is>
      </c>
      <c r="D56" s="0" t="n">
        <v>1</v>
      </c>
      <c r="E56" s="0" t="n">
        <v>10</v>
      </c>
      <c r="F56" s="0" t="inlineStr">
        <is>
          <t>resource_limit</t>
        </is>
      </c>
      <c r="L56" s="0" t="inlineStr">
        <is>
          <t>{"status": "resource_limit", "label": "超构建预算，未出证", "reason": "p*max(capacity,K)*M exceeds 2,000,000 padded relation entries", "relation_tuples": 2097152, "actual_attempt": false, "config": {"dataset": "sift1m", "source": "bigann10m", "N": 5000000, "D": 128, "M": 128, "K": 1024, "n_list": 1024, "capacity": 16384}, "n_probe": 1, "k": 10, "address_space_limit_GiB": 50, "dataset": "sift1m", "kind": "size", "N": 5000000}</t>
        </is>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ColWidth="9" defaultRowHeight="13.5"/>
  <sheetData>
    <row r="1">
      <c r="A1" s="0" t="inlineStr">
        <is>
          <t>dataset</t>
        </is>
      </c>
      <c r="B1" s="0" t="inlineStr">
        <is>
          <t>probe</t>
        </is>
      </c>
      <c r="C1" s="0" t="inlineStr">
        <is>
          <t>20-query calibration recall</t>
        </is>
      </c>
      <c r="D1" s="0" t="inlineStr">
        <is>
          <t>single query time ms</t>
        </is>
      </c>
      <c r="E1" s="0" t="inlineStr">
        <is>
          <t>single verify ms</t>
        </is>
      </c>
      <c r="F1" s="0" t="inlineStr">
        <is>
          <t>single VO KB</t>
        </is>
      </c>
      <c r="G1" s="0" t="inlineStr">
        <is>
          <t>source</t>
        </is>
      </c>
    </row>
    <row r="2">
      <c r="A2" s="0" t="inlineStr">
        <is>
          <t>deep1m</t>
        </is>
      </c>
      <c r="B2" s="0" t="n">
        <v>1</v>
      </c>
      <c r="C2" s="0" t="n">
        <v>0.395</v>
      </c>
      <c r="D2" s="0" t="n">
        <v>119745.125012</v>
      </c>
      <c r="E2" s="0" t="n">
        <v>15.1672800000142</v>
      </c>
      <c r="F2" s="0" t="n">
        <v>204.405</v>
      </c>
      <c r="G2" s="0" t="inlineStr">
        <is>
          <t>/mnt/d/paper_source/work_9/VeriANN_repro_2026-09-30/VeriANN_repro_2026-09-30/results/work9-v3db-single-20261020/deep1m-1000000-M96-K1024-p1-k10-q1-r1-t1</t>
        </is>
      </c>
    </row>
    <row r="3">
      <c r="A3" s="0" t="inlineStr">
        <is>
          <t>deep1m</t>
        </is>
      </c>
      <c r="B3" s="0" t="n">
        <v>2</v>
      </c>
      <c r="C3" s="0" t="n">
        <v>0.575</v>
      </c>
      <c r="D3" s="0" t="n">
        <v>246414.936606</v>
      </c>
      <c r="E3" s="0" t="n">
        <v>13.9031009999826</v>
      </c>
      <c r="F3" s="0" t="n">
        <v>233.262</v>
      </c>
      <c r="G3" s="0" t="inlineStr">
        <is>
          <t>/mnt/d/paper_source/work_9/VeriANN_repro_2026-09-30/VeriANN_repro_2026-09-30/results/work9-v3db-reaudit-20261018/deep1m-1000000-M96-K1024-p2-k10-q1-r1-t1</t>
        </is>
      </c>
    </row>
    <row r="4">
      <c r="A4" s="0" t="inlineStr">
        <is>
          <t>deep1m</t>
        </is>
      </c>
      <c r="B4" s="0" t="n">
        <v>4</v>
      </c>
      <c r="C4" s="0" t="n">
        <v>0.78</v>
      </c>
      <c r="D4" s="0" t="n">
        <v>493189.722806004</v>
      </c>
      <c r="E4" s="0" t="n">
        <v>55.9675380063709</v>
      </c>
      <c r="F4" s="0" t="n">
        <v>265.512</v>
      </c>
      <c r="G4" s="0" t="inlineStr">
        <is>
          <t>/mnt/d/paper_source/work_9/VeriANN_repro_2026-09-30/VeriANN_repro_2026-09-30/results/work9-v3db-20261016/deep1m-1000000-M96-K1024-p4-k10-q20-r3-t1</t>
        </is>
      </c>
    </row>
    <row r="5">
      <c r="A5" s="0" t="inlineStr">
        <is>
          <t>deep1m</t>
        </is>
      </c>
      <c r="B5" s="0" t="n">
        <v>4</v>
      </c>
      <c r="C5" s="0" t="n">
        <v>0.78</v>
      </c>
      <c r="D5" s="0" t="n">
        <v>493189.722806004</v>
      </c>
      <c r="E5" s="0" t="n">
        <v>55.9675380063709</v>
      </c>
      <c r="F5" s="0" t="n">
        <v>265.512</v>
      </c>
      <c r="G5" s="0" t="inlineStr">
        <is>
          <t>/mnt/d/paper_source/work_9/VeriANN_repro_2026-09-30/VeriANN_repro_2026-09-30/results/work9-v3db-20261016/deep1m-1000000-M96-K1024-p4-k10-q20-r3-t1</t>
        </is>
      </c>
    </row>
    <row r="6">
      <c r="A6" s="0" t="inlineStr">
        <is>
          <t>glove100</t>
        </is>
      </c>
      <c r="B6" s="0" t="n">
        <v>1</v>
      </c>
      <c r="C6" s="0" t="n">
        <v>0.285</v>
      </c>
      <c r="D6" s="0" t="n">
        <v>240491.804555</v>
      </c>
      <c r="E6" s="0" t="n">
        <v>12.9159059999893</v>
      </c>
      <c r="F6" s="0" t="n">
        <v>247.916</v>
      </c>
      <c r="G6" s="0" t="inlineStr">
        <is>
          <t>/mnt/d/paper_source/work_9/VeriANN_repro_2026-09-30/VeriANN_repro_2026-09-30/results/work9-v3db-single-20261020/glove100-1183514-M100-K1024-p1-k10-q1-r1-t1</t>
        </is>
      </c>
    </row>
    <row r="7">
      <c r="A7" s="0" t="inlineStr">
        <is>
          <t>glove100</t>
        </is>
      </c>
      <c r="B7" s="0" t="n">
        <v>2</v>
      </c>
      <c r="C7" s="0" t="n">
        <v>0.405</v>
      </c>
      <c r="D7" s="0" t="n">
        <v>491486.434967</v>
      </c>
      <c r="E7" s="0" t="n">
        <v>19.9993839999024</v>
      </c>
      <c r="F7" s="0" t="n">
        <v>287.485</v>
      </c>
      <c r="G7" s="0" t="inlineStr">
        <is>
          <t>/mnt/d/paper_source/work_9/VeriANN_repro_2026-09-30/VeriANN_repro_2026-09-30/results/work9-v3db-single-20261020/glove100-1183514-M100-K1024-p2-k10-q1-r1-t1</t>
        </is>
      </c>
    </row>
    <row r="8">
      <c r="A8" s="0" t="inlineStr">
        <is>
          <t>glove100</t>
        </is>
      </c>
      <c r="B8" s="0" t="n">
        <v>2</v>
      </c>
      <c r="C8" s="0" t="n">
        <v>0.405</v>
      </c>
      <c r="D8" s="0" t="n">
        <v>491486.434967</v>
      </c>
      <c r="E8" s="0" t="n">
        <v>19.9993839999024</v>
      </c>
      <c r="F8" s="0" t="n">
        <v>287.485</v>
      </c>
      <c r="G8" s="0" t="inlineStr">
        <is>
          <t>/mnt/d/paper_source/work_9/VeriANN_repro_2026-09-30/VeriANN_repro_2026-09-30/results/work9-v3db-single-20261020/glove100-1183514-M100-K1024-p2-k10-q1-r1-t1</t>
        </is>
      </c>
    </row>
    <row r="9">
      <c r="A9" s="0" t="inlineStr">
        <is>
          <t>nytimes256</t>
        </is>
      </c>
      <c r="B9" s="0" t="n">
        <v>1</v>
      </c>
      <c r="C9" s="0" t="n">
        <v>0.515</v>
      </c>
      <c r="D9" s="0" t="n">
        <v>242087.284154</v>
      </c>
      <c r="E9" s="0" t="n">
        <v>12.7548779998961</v>
      </c>
      <c r="F9" s="0" t="n">
        <v>214.815</v>
      </c>
      <c r="G9" s="0" t="inlineStr">
        <is>
          <t>/mnt/d/paper_source/work_9/VeriANN_repro_2026-09-30/VeriANN_repro_2026-09-30/results/work9-v3db-single-20261020/nytimes256-289761-M256-p1-k10-q1-r1-t1</t>
        </is>
      </c>
    </row>
    <row r="10">
      <c r="A10" s="0" t="inlineStr">
        <is>
          <t>nytimes256</t>
        </is>
      </c>
      <c r="B10" s="0" t="n">
        <v>2</v>
      </c>
      <c r="C10" s="0" t="n">
        <v>0.58</v>
      </c>
      <c r="D10" s="0" t="n">
        <v>525753.569964</v>
      </c>
      <c r="E10" s="0" t="n">
        <v>69.6683460000713</v>
      </c>
      <c r="F10" s="0" t="n">
        <v>236.43</v>
      </c>
      <c r="G10" s="0" t="inlineStr">
        <is>
          <t>/mnt/d/paper_source/work_9/VeriANN_repro_2026-09-30/VeriANN_repro_2026-09-30/results/work9-v3db-20261016/nytimes256-289761-M256-p2-k10-q20-r3-t1</t>
        </is>
      </c>
    </row>
    <row r="11">
      <c r="A11" s="0" t="inlineStr">
        <is>
          <t>nytimes256</t>
        </is>
      </c>
      <c r="B11" s="0" t="n">
        <v>2</v>
      </c>
      <c r="C11" s="0" t="n">
        <v>0.58</v>
      </c>
      <c r="D11" s="0" t="n">
        <v>525753.569964</v>
      </c>
      <c r="E11" s="0" t="n">
        <v>69.6683460000713</v>
      </c>
      <c r="F11" s="0" t="n">
        <v>236.43</v>
      </c>
      <c r="G11" s="0" t="inlineStr">
        <is>
          <t>/mnt/d/paper_source/work_9/VeriANN_repro_2026-09-30/VeriANN_repro_2026-09-30/results/work9-v3db-20261016/nytimes256-289761-M256-p2-k10-q20-r3-t1</t>
        </is>
      </c>
    </row>
    <row r="12">
      <c r="A12" s="0" t="inlineStr">
        <is>
          <t>sift1m</t>
        </is>
      </c>
      <c r="B12" s="0" t="n">
        <v>1</v>
      </c>
      <c r="C12" s="0" t="n">
        <v>0.58</v>
      </c>
      <c r="D12" s="0" t="n">
        <v>239944.70827</v>
      </c>
      <c r="E12" s="0" t="n">
        <v>14.4067420000056</v>
      </c>
      <c r="F12" s="0" t="n">
        <v>211.816</v>
      </c>
      <c r="G12" s="0" t="inlineStr">
        <is>
          <t>/mnt/d/paper_source/work_9/VeriANN_repro_2026-09-30/VeriANN_repro_2026-09-30/results/work9-v3db-single-20261020/sift1m-1000000-M128-K1024-p1-k10-q1-r1-t1</t>
        </is>
      </c>
    </row>
    <row r="13">
      <c r="A13" s="0" t="inlineStr">
        <is>
          <t>sift1m</t>
        </is>
      </c>
      <c r="B13" s="0" t="n">
        <v>2</v>
      </c>
      <c r="C13" s="0" t="n">
        <v>0.705</v>
      </c>
      <c r="D13" s="0" t="n">
        <v>517760.920454</v>
      </c>
      <c r="E13" s="0" t="n">
        <v>71.0790379998798</v>
      </c>
      <c r="F13" s="0" t="n">
        <v>235.675</v>
      </c>
      <c r="G13" s="0" t="inlineStr">
        <is>
          <t>/mnt/d/paper_source/work_9/VeriANN_repro_2026-09-30/VeriANN_repro_2026-09-30/results/work9-v3db-20261016/sift1m-1000000-M128-K1024-p2-k10-q20-r3-t1</t>
        </is>
      </c>
    </row>
    <row r="14">
      <c r="A14" s="0" t="inlineStr">
        <is>
          <t>sift1m</t>
        </is>
      </c>
      <c r="B14" s="0" t="n">
        <v>2</v>
      </c>
      <c r="C14" s="0" t="n">
        <v>0.705</v>
      </c>
      <c r="D14" s="0" t="n">
        <v>517760.920454</v>
      </c>
      <c r="E14" s="0" t="n">
        <v>71.0790379998798</v>
      </c>
      <c r="F14" s="0" t="n">
        <v>235.675</v>
      </c>
      <c r="G14" s="0" t="inlineStr">
        <is>
          <t>/mnt/d/paper_source/work_9/VeriANN_repro_2026-09-30/VeriANN_repro_2026-09-30/results/work9-v3db-20261016/sift1m-1000000-M128-K1024-p2-k10-q20-r3-t1</t>
        </is>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ColWidth="9" defaultRowHeight="13.5"/>
  <cols>
    <col width="140" customWidth="1" style="1" min="2" max="2"/>
  </cols>
  <sheetData>
    <row r="1">
      <c r="A1" s="0" t="inlineStr">
        <is>
          <t>项目</t>
        </is>
      </c>
      <c r="B1" s="0" t="inlineStr">
        <is>
          <t>说明</t>
        </is>
      </c>
    </row>
    <row r="2">
      <c r="A2" s="0" t="inlineStr">
        <is>
          <t>范围</t>
        </is>
      </c>
      <c r="B2" s="0" t="inlineStr">
        <is>
          <t>只扩展Recall@10 vs VO/Verify/Query三组曲线。四个数据集全部方法的默认、索引、规模、K、消融数据均与本轮前文件逐项一致。</t>
        </is>
      </c>
    </row>
    <row r="3">
      <c r="A3" s="0" t="inlineStr">
        <is>
          <t>新增目标</t>
        </is>
      </c>
      <c r="B3" s="0" t="inlineStr">
        <is>
          <t>15/20/25/30/35/40/45/50/55%，保留原60–99%列及原方法实测。参数离散，填实际召回，不强改成目标值。</t>
        </is>
      </c>
    </row>
    <row r="4">
      <c r="A4" s="0" t="inlineStr">
        <is>
          <t>V3DB</t>
        </is>
      </c>
      <c r="B4" s="0" t="inlineStr">
        <is>
          <t>补测四数据集各4个更轻PQ/低probe配置，每配置固定query100出证1次；已有相同固定样本直接复用，不重复出证。</t>
        </is>
      </c>
    </row>
    <row r="5">
      <c r="A5" s="0" t="inlineStr">
        <is>
          <t>Recall与时间</t>
        </is>
      </c>
      <c r="B5" s="0" t="inlineStr">
        <is>
          <t>Recall为20条查询搜索校准；时间/VO为1条查询×1次，不是均值。PQ配置可变；每个目标选满足目标的已测最小查询时间配置，此选择来自单次样本，存在噪声，不声称统计最优。</t>
        </is>
      </c>
    </row>
    <row r="6">
      <c r="A6" s="0" t="inlineStr">
        <is>
          <t>对照方案</t>
        </is>
      </c>
      <c r="B6" s="0" t="inlineStr">
        <is>
          <t>仅使用已经验证通过的完整20×3低召回曲线记录；没有记录就标待测。不改变默认约95%配置。</t>
        </is>
      </c>
    </row>
    <row r="7">
      <c r="A7" s="0" t="inlineStr">
        <is>
          <t>位置</t>
        </is>
      </c>
      <c r="B7" s="0" t="inlineStr">
        <is>
          <t>低召回点现已进入四个主表三组曲线；新增附表给出全部实测点和参数。</t>
        </is>
      </c>
    </row>
    <row r="8">
      <c r="A8" s="0" t="inlineStr">
        <is>
          <t>校验</t>
        </is>
      </c>
      <c r="B8" s="0" t="inlineStr">
        <is>
          <t>非曲线区域6896个单元格与备份一致。</t>
        </is>
      </c>
    </row>
    <row r="9">
      <c r="A9" s="0" t="inlineStr">
        <is>
          <t>备份</t>
        </is>
      </c>
      <c r="B9" s="0" t="inlineStr">
        <is>
          <t>/mnt/d/paper_source/work_9/VeriANN_repro_2026-09-30/VeriANN_repro_2026-09-30/experiments/work9-v3db-lowrecall-20261020/work9_before_lowrecall.xlsx</t>
        </is>
      </c>
    </row>
    <row r="10">
      <c r="A10" s="0" t="inlineStr">
        <is>
          <t>状态</t>
        </is>
      </c>
      <c r="B10" s="0" t="inlineStr">
        <is>
          <t>新增计划完成</t>
        </is>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K26"/>
  <sheetViews>
    <sheetView workbookViewId="0">
      <selection activeCell="A1" sqref="A1"/>
    </sheetView>
  </sheetViews>
  <sheetFormatPr baseColWidth="8" defaultColWidth="9" defaultRowHeight="13.5"/>
  <sheetData>
    <row r="1">
      <c r="A1" s="0" t="inlineStr">
        <is>
          <t>dataset</t>
        </is>
      </c>
      <c r="B1" s="0" t="inlineStr">
        <is>
          <t>M</t>
        </is>
      </c>
      <c r="C1" s="0" t="inlineStr">
        <is>
          <t>K</t>
        </is>
      </c>
      <c r="D1" s="0" t="inlineStr">
        <is>
          <t>probe</t>
        </is>
      </c>
      <c r="E1" s="0" t="inlineStr">
        <is>
          <t>Recall20-search</t>
        </is>
      </c>
      <c r="F1" s="0" t="inlineStr">
        <is>
          <t>query_ms-single</t>
        </is>
      </c>
      <c r="G1" s="0" t="inlineStr">
        <is>
          <t>verify_ms-single</t>
        </is>
      </c>
      <c r="H1" s="0" t="inlineStr">
        <is>
          <t>VO KB-single</t>
        </is>
      </c>
      <c r="I1" s="0" t="inlineStr">
        <is>
          <t>samples</t>
        </is>
      </c>
      <c r="J1" s="0" t="inlineStr">
        <is>
          <t>model</t>
        </is>
      </c>
      <c r="K1" s="0" t="inlineStr">
        <is>
          <t>source</t>
        </is>
      </c>
    </row>
    <row r="2">
      <c r="A2" s="0" t="inlineStr">
        <is>
          <t>deep1m</t>
        </is>
      </c>
      <c r="B2" s="0" t="n">
        <v>8</v>
      </c>
      <c r="C2" s="0" t="n">
        <v>256</v>
      </c>
      <c r="D2" s="0" t="n">
        <v>1</v>
      </c>
      <c r="E2" s="0" t="n">
        <v>0.23</v>
      </c>
      <c r="F2" s="0" t="n">
        <v>28708.309506</v>
      </c>
      <c r="G2" s="0" t="n">
        <v>10.2888139999777</v>
      </c>
      <c r="H2" s="0" t="n">
        <v>185.599</v>
      </c>
      <c r="I2" s="0" t="n">
        <v>1</v>
      </c>
      <c r="J2" s="0" t="inlineStr">
        <is>
          <t>deep1m-1000000</t>
        </is>
      </c>
      <c r="K2" s="0" t="inlineStr">
        <is>
          <t>/mnt/d/paper_source/work_9/VeriANN_repro_2026-09-30/VeriANN_repro_2026-09-30/results/work9-v3db-lowrecall-20261020/deep1m-1000000-p1-k10-q1-r1-t1</t>
        </is>
      </c>
    </row>
    <row r="3">
      <c r="A3" s="0" t="inlineStr">
        <is>
          <t>deep1m</t>
        </is>
      </c>
      <c r="B3" s="0" t="n">
        <v>8</v>
      </c>
      <c r="C3" s="0" t="n">
        <v>256</v>
      </c>
      <c r="D3" s="0" t="n">
        <v>2</v>
      </c>
      <c r="E3" s="0" t="n">
        <v>0.285</v>
      </c>
      <c r="F3" s="0" t="n">
        <v>57962.631503</v>
      </c>
      <c r="G3" s="0" t="n">
        <v>11.3529679999829</v>
      </c>
      <c r="H3" s="0" t="n">
        <v>208.737</v>
      </c>
      <c r="I3" s="0" t="n">
        <v>1</v>
      </c>
      <c r="J3" s="0" t="inlineStr">
        <is>
          <t>deep1m-1000000</t>
        </is>
      </c>
      <c r="K3" s="0" t="inlineStr">
        <is>
          <t>/mnt/d/paper_source/work_9/VeriANN_repro_2026-09-30/VeriANN_repro_2026-09-30/results/work9-v3db-lowrecall-20261020/deep1m-1000000-p2-k10-q1-r1-t1</t>
        </is>
      </c>
    </row>
    <row r="4">
      <c r="A4" s="0" t="inlineStr">
        <is>
          <t>deep1m</t>
        </is>
      </c>
      <c r="B4" s="0" t="n">
        <v>8</v>
      </c>
      <c r="C4" s="0" t="n">
        <v>256</v>
      </c>
      <c r="D4" s="0" t="n">
        <v>4</v>
      </c>
      <c r="E4" s="0" t="n">
        <v>0.335</v>
      </c>
      <c r="F4" s="0" t="n">
        <v>118780.737473</v>
      </c>
      <c r="G4" s="0" t="n">
        <v>14.8218649999308</v>
      </c>
      <c r="H4" s="0" t="n">
        <v>251.81</v>
      </c>
      <c r="I4" s="0" t="n">
        <v>1</v>
      </c>
      <c r="J4" s="0" t="inlineStr">
        <is>
          <t>deep1m-1000000</t>
        </is>
      </c>
      <c r="K4" s="0" t="inlineStr">
        <is>
          <t>/mnt/d/paper_source/work_9/VeriANN_repro_2026-09-30/VeriANN_repro_2026-09-30/results/work9-v3db-lowrecall-20261020/deep1m-1000000-p4-k10-q1-r1-t1</t>
        </is>
      </c>
    </row>
    <row r="5">
      <c r="A5" s="0" t="inlineStr">
        <is>
          <t>deep1m</t>
        </is>
      </c>
      <c r="B5" s="0" t="n">
        <v>24</v>
      </c>
      <c r="C5" s="0" t="n">
        <v>256</v>
      </c>
      <c r="D5" s="0" t="n">
        <v>1</v>
      </c>
      <c r="E5" s="0" t="n">
        <v>0.37</v>
      </c>
      <c r="F5" s="0" t="n">
        <v>58518.980512</v>
      </c>
      <c r="G5" s="0" t="n">
        <v>10.8529149999867</v>
      </c>
      <c r="H5" s="0" t="n">
        <v>196.34</v>
      </c>
      <c r="I5" s="0" t="n">
        <v>1</v>
      </c>
      <c r="J5" s="0" t="inlineStr">
        <is>
          <t>deep1m-1000000-M24</t>
        </is>
      </c>
      <c r="K5" s="0" t="inlineStr">
        <is>
          <t>/mnt/d/paper_source/work_9/VeriANN_repro_2026-09-30/VeriANN_repro_2026-09-30/results/work9-v3db-lowrecall-20261020/deep1m-1000000-M24-p1-k10-q1-r1-t1</t>
        </is>
      </c>
    </row>
    <row r="6">
      <c r="A6" s="0" t="inlineStr">
        <is>
          <t>deep1m</t>
        </is>
      </c>
      <c r="B6" s="0" t="n">
        <v>96</v>
      </c>
      <c r="C6" s="0" t="n">
        <v>1024</v>
      </c>
      <c r="D6" s="0" t="n">
        <v>1</v>
      </c>
      <c r="E6" s="0" t="n">
        <v>0.395</v>
      </c>
      <c r="F6" s="0" t="n">
        <v>119745.125012</v>
      </c>
      <c r="G6" s="0" t="n">
        <v>15.1672800000142</v>
      </c>
      <c r="H6" s="0" t="n">
        <v>204.405</v>
      </c>
      <c r="I6" s="0" t="n">
        <v>1</v>
      </c>
      <c r="J6" s="0" t="inlineStr">
        <is>
          <t>deep1m-1000000-M96-K1024</t>
        </is>
      </c>
      <c r="K6" s="0" t="inlineStr">
        <is>
          <t>/mnt/d/paper_source/work_9/VeriANN_repro_2026-09-30/VeriANN_repro_2026-09-30/results/work9-v3db-single-20261020/deep1m-1000000-M96-K1024-p1-k10-q1-r1-t1</t>
        </is>
      </c>
    </row>
    <row r="7">
      <c r="A7" s="0" t="inlineStr">
        <is>
          <t>deep1m</t>
        </is>
      </c>
      <c r="B7" s="0" t="n">
        <v>96</v>
      </c>
      <c r="C7" s="0" t="n">
        <v>1024</v>
      </c>
      <c r="D7" s="0" t="n">
        <v>2</v>
      </c>
      <c r="E7" s="0" t="n">
        <v>0.575</v>
      </c>
      <c r="F7" s="0" t="n">
        <v>246414.936606</v>
      </c>
      <c r="G7" s="0" t="n">
        <v>13.9031009999826</v>
      </c>
      <c r="H7" s="0" t="n">
        <v>233.262</v>
      </c>
      <c r="I7" s="0" t="n">
        <v>1</v>
      </c>
      <c r="J7" s="0" t="inlineStr">
        <is>
          <t>deep1m-1000000-M96-K1024</t>
        </is>
      </c>
      <c r="K7" s="0" t="inlineStr">
        <is>
          <t>/mnt/d/paper_source/work_9/VeriANN_repro_2026-09-30/VeriANN_repro_2026-09-30/results/work9-v3db-reaudit-20261018/deep1m-1000000-M96-K1024-p2-k10-q1-r1-t1</t>
        </is>
      </c>
    </row>
    <row r="8">
      <c r="A8" s="0" t="inlineStr">
        <is>
          <t>deep1m</t>
        </is>
      </c>
      <c r="B8" s="0" t="n">
        <v>96</v>
      </c>
      <c r="C8" s="0" t="n">
        <v>1024</v>
      </c>
      <c r="D8" s="0" t="n">
        <v>4</v>
      </c>
      <c r="E8" s="0" t="n">
        <v>0.78</v>
      </c>
      <c r="F8" s="0" t="n">
        <v>493189.722806004</v>
      </c>
      <c r="G8" s="0" t="n">
        <v>55.9675380063709</v>
      </c>
      <c r="H8" s="0" t="n">
        <v>265.512</v>
      </c>
      <c r="I8" s="0" t="n">
        <v>1</v>
      </c>
      <c r="J8" s="0" t="inlineStr">
        <is>
          <t>deep1m-1000000-M96-K1024</t>
        </is>
      </c>
      <c r="K8" s="0" t="inlineStr">
        <is>
          <t>/mnt/d/paper_source/work_9/VeriANN_repro_2026-09-30/VeriANN_repro_2026-09-30/results/work9-v3db-20261016/deep1m-1000000-M96-K1024-p4-k10-q20-r3-t1</t>
        </is>
      </c>
    </row>
    <row r="9">
      <c r="A9" s="0" t="inlineStr">
        <is>
          <t>glove100</t>
        </is>
      </c>
      <c r="B9" s="0" t="n">
        <v>10</v>
      </c>
      <c r="C9" s="0" t="n">
        <v>256</v>
      </c>
      <c r="D9" s="0" t="n">
        <v>1</v>
      </c>
      <c r="E9" s="0" t="n">
        <v>0.165</v>
      </c>
      <c r="F9" s="0" t="n">
        <v>58119.444832</v>
      </c>
      <c r="G9" s="0" t="n">
        <v>11.4302449999286</v>
      </c>
      <c r="H9" s="0" t="n">
        <v>225.089</v>
      </c>
      <c r="I9" s="0" t="n">
        <v>1</v>
      </c>
      <c r="J9" s="0" t="inlineStr">
        <is>
          <t>glove100-1183514</t>
        </is>
      </c>
      <c r="K9" s="0" t="inlineStr">
        <is>
          <t>/mnt/d/paper_source/work_9/VeriANN_repro_2026-09-30/VeriANN_repro_2026-09-30/results/work9-v3db-lowrecall-20261020/glove100-1183514-p1-k10-q1-r1-t1</t>
        </is>
      </c>
    </row>
    <row r="10">
      <c r="A10" s="0" t="inlineStr">
        <is>
          <t>glove100</t>
        </is>
      </c>
      <c r="B10" s="0" t="n">
        <v>10</v>
      </c>
      <c r="C10" s="0" t="n">
        <v>256</v>
      </c>
      <c r="D10" s="0" t="n">
        <v>2</v>
      </c>
      <c r="E10" s="0" t="n">
        <v>0.2</v>
      </c>
      <c r="F10" s="0" t="n">
        <v>119464.821832</v>
      </c>
      <c r="G10" s="0" t="n">
        <v>14.618057000007</v>
      </c>
      <c r="H10" s="0" t="n">
        <v>275.131</v>
      </c>
      <c r="I10" s="0" t="n">
        <v>1</v>
      </c>
      <c r="J10" s="0" t="inlineStr">
        <is>
          <t>glove100-1183514</t>
        </is>
      </c>
      <c r="K10" s="0" t="inlineStr">
        <is>
          <t>/mnt/d/paper_source/work_9/VeriANN_repro_2026-09-30/VeriANN_repro_2026-09-30/results/work9-v3db-lowrecall-20261020/glove100-1183514-p2-k10-q1-r1-t1</t>
        </is>
      </c>
    </row>
    <row r="11">
      <c r="A11" s="0" t="inlineStr">
        <is>
          <t>glove100</t>
        </is>
      </c>
      <c r="B11" s="0" t="n">
        <v>10</v>
      </c>
      <c r="C11" s="0" t="n">
        <v>256</v>
      </c>
      <c r="D11" s="0" t="n">
        <v>4</v>
      </c>
      <c r="E11" s="0" t="n">
        <v>0.22</v>
      </c>
      <c r="F11" s="0" t="n">
        <v>121385.582696</v>
      </c>
      <c r="G11" s="0" t="n">
        <v>23.7389159999566</v>
      </c>
      <c r="H11" s="0" t="n">
        <v>338.888</v>
      </c>
      <c r="I11" s="0" t="n">
        <v>1</v>
      </c>
      <c r="J11" s="0" t="inlineStr">
        <is>
          <t>glove100-1183514</t>
        </is>
      </c>
      <c r="K11" s="0" t="inlineStr">
        <is>
          <t>/mnt/d/paper_source/work_9/VeriANN_repro_2026-09-30/VeriANN_repro_2026-09-30/results/work9-v3db-lowrecall-20261020/glove100-1183514-p4-k10-q1-r1-t1</t>
        </is>
      </c>
    </row>
    <row r="12">
      <c r="A12" s="0" t="inlineStr">
        <is>
          <t>glove100</t>
        </is>
      </c>
      <c r="B12" s="0" t="n">
        <v>25</v>
      </c>
      <c r="C12" s="0" t="n">
        <v>256</v>
      </c>
      <c r="D12" s="0" t="n">
        <v>1</v>
      </c>
      <c r="E12" s="0" t="n">
        <v>0.235</v>
      </c>
      <c r="F12" s="0" t="n">
        <v>119502.927161</v>
      </c>
      <c r="G12" s="0" t="n">
        <v>22.3712790000263</v>
      </c>
      <c r="H12" s="0" t="n">
        <v>235.556</v>
      </c>
      <c r="I12" s="0" t="n">
        <v>1</v>
      </c>
      <c r="J12" s="0" t="inlineStr">
        <is>
          <t>glove100-1183514-M25</t>
        </is>
      </c>
      <c r="K12" s="0" t="inlineStr">
        <is>
          <t>/mnt/d/paper_source/work_9/VeriANN_repro_2026-09-30/VeriANN_repro_2026-09-30/results/work9-v3db-lowrecall-20261020/glove100-1183514-M25-p1-k10-q1-r1-t1</t>
        </is>
      </c>
    </row>
    <row r="13">
      <c r="A13" s="0" t="inlineStr">
        <is>
          <t>glove100</t>
        </is>
      </c>
      <c r="B13" s="0" t="n">
        <v>100</v>
      </c>
      <c r="C13" s="0" t="n">
        <v>1024</v>
      </c>
      <c r="D13" s="0" t="n">
        <v>1</v>
      </c>
      <c r="E13" s="0" t="n">
        <v>0.285</v>
      </c>
      <c r="F13" s="0" t="n">
        <v>240491.804555</v>
      </c>
      <c r="G13" s="0" t="n">
        <v>12.9159059999893</v>
      </c>
      <c r="H13" s="0" t="n">
        <v>247.916</v>
      </c>
      <c r="I13" s="0" t="n">
        <v>1</v>
      </c>
      <c r="J13" s="0" t="inlineStr">
        <is>
          <t>glove100-1183514-M100-K1024</t>
        </is>
      </c>
      <c r="K13" s="0" t="inlineStr">
        <is>
          <t>/mnt/d/paper_source/work_9/VeriANN_repro_2026-09-30/VeriANN_repro_2026-09-30/results/work9-v3db-single-20261020/glove100-1183514-M100-K1024-p1-k10-q1-r1-t1</t>
        </is>
      </c>
    </row>
    <row r="14">
      <c r="A14" s="0" t="inlineStr">
        <is>
          <t>glove100</t>
        </is>
      </c>
      <c r="B14" s="0" t="n">
        <v>100</v>
      </c>
      <c r="C14" s="0" t="n">
        <v>1024</v>
      </c>
      <c r="D14" s="0" t="n">
        <v>2</v>
      </c>
      <c r="E14" s="0" t="n">
        <v>0.405</v>
      </c>
      <c r="F14" s="0" t="n">
        <v>491486.434967</v>
      </c>
      <c r="G14" s="0" t="n">
        <v>19.9993839999024</v>
      </c>
      <c r="H14" s="0" t="n">
        <v>287.485</v>
      </c>
      <c r="I14" s="0" t="n">
        <v>1</v>
      </c>
      <c r="J14" s="0" t="inlineStr">
        <is>
          <t>glove100-1183514-M100-K1024</t>
        </is>
      </c>
      <c r="K14" s="0" t="inlineStr">
        <is>
          <t>/mnt/d/paper_source/work_9/VeriANN_repro_2026-09-30/VeriANN_repro_2026-09-30/results/work9-v3db-single-20261020/glove100-1183514-M100-K1024-p2-k10-q1-r1-t1</t>
        </is>
      </c>
    </row>
    <row r="15">
      <c r="A15" s="0" t="inlineStr">
        <is>
          <t>nytimes256</t>
        </is>
      </c>
      <c r="B15" s="0" t="n">
        <v>8</v>
      </c>
      <c r="C15" s="0" t="n">
        <v>256</v>
      </c>
      <c r="D15" s="0" t="n">
        <v>1</v>
      </c>
      <c r="E15" s="0" t="n">
        <v>0.325</v>
      </c>
      <c r="F15" s="0" t="n">
        <v>58004.043308</v>
      </c>
      <c r="G15" s="0" t="n">
        <v>10.7410540000501</v>
      </c>
      <c r="H15" s="0" t="n">
        <v>193.524</v>
      </c>
      <c r="I15" s="0" t="n">
        <v>1</v>
      </c>
      <c r="J15" s="0" t="inlineStr">
        <is>
          <t>nytimes256-289761</t>
        </is>
      </c>
      <c r="K15" s="0" t="inlineStr">
        <is>
          <t>/mnt/d/paper_source/work_9/VeriANN_repro_2026-09-30/VeriANN_repro_2026-09-30/results/work9-v3db-lowrecall-20261020/nytimes256-289761-p1-k10-q1-r1-t1</t>
        </is>
      </c>
    </row>
    <row r="16">
      <c r="A16" s="0" t="inlineStr">
        <is>
          <t>nytimes256</t>
        </is>
      </c>
      <c r="B16" s="0" t="n">
        <v>8</v>
      </c>
      <c r="C16" s="0" t="n">
        <v>256</v>
      </c>
      <c r="D16" s="0" t="n">
        <v>2</v>
      </c>
      <c r="E16" s="0" t="n">
        <v>0.35</v>
      </c>
      <c r="F16" s="0" t="n">
        <v>58626.753393</v>
      </c>
      <c r="G16" s="0" t="n">
        <v>11.4872139999989</v>
      </c>
      <c r="H16" s="0" t="n">
        <v>209.394</v>
      </c>
      <c r="I16" s="0" t="n">
        <v>1</v>
      </c>
      <c r="J16" s="0" t="inlineStr">
        <is>
          <t>nytimes256-289761</t>
        </is>
      </c>
      <c r="K16" s="0" t="inlineStr">
        <is>
          <t>/mnt/d/paper_source/work_9/VeriANN_repro_2026-09-30/VeriANN_repro_2026-09-30/results/work9-v3db-lowrecall-20261020/nytimes256-289761-p2-k10-q1-r1-t1</t>
        </is>
      </c>
    </row>
    <row r="17">
      <c r="A17" s="0" t="inlineStr">
        <is>
          <t>nytimes256</t>
        </is>
      </c>
      <c r="B17" s="0" t="n">
        <v>8</v>
      </c>
      <c r="C17" s="0" t="n">
        <v>256</v>
      </c>
      <c r="D17" s="0" t="n">
        <v>4</v>
      </c>
      <c r="E17" s="0" t="n">
        <v>0.375</v>
      </c>
      <c r="F17" s="0" t="n">
        <v>119660.777394</v>
      </c>
      <c r="G17" s="0" t="n">
        <v>13.5981079999965</v>
      </c>
      <c r="H17" s="0" t="n">
        <v>256.441</v>
      </c>
      <c r="I17" s="0" t="n">
        <v>1</v>
      </c>
      <c r="J17" s="0" t="inlineStr">
        <is>
          <t>nytimes256-289761</t>
        </is>
      </c>
      <c r="K17" s="0" t="inlineStr">
        <is>
          <t>/mnt/d/paper_source/work_9/VeriANN_repro_2026-09-30/VeriANN_repro_2026-09-30/results/work9-v3db-lowrecall-20261020/nytimes256-289761-p4-k10-q1-r1-t1</t>
        </is>
      </c>
    </row>
    <row r="18">
      <c r="A18" s="0" t="inlineStr">
        <is>
          <t>nytimes256</t>
        </is>
      </c>
      <c r="B18" s="0" t="n">
        <v>64</v>
      </c>
      <c r="C18" s="0" t="n">
        <v>256</v>
      </c>
      <c r="D18" s="0" t="n">
        <v>1</v>
      </c>
      <c r="E18" s="0" t="n">
        <v>0.455</v>
      </c>
      <c r="F18" s="0" t="n">
        <v>118898.04465</v>
      </c>
      <c r="G18" s="0" t="n">
        <v>13.1931410000448</v>
      </c>
      <c r="H18" s="0" t="n">
        <v>203.127</v>
      </c>
      <c r="I18" s="0" t="n">
        <v>1</v>
      </c>
      <c r="J18" s="0" t="inlineStr">
        <is>
          <t>nytimes256-289761-M64</t>
        </is>
      </c>
      <c r="K18" s="0" t="inlineStr">
        <is>
          <t>/mnt/d/paper_source/work_9/VeriANN_repro_2026-09-30/VeriANN_repro_2026-09-30/results/work9-v3db-reaudit-20261018/nytimes256-289761-M64-p1-k10-q1-r1-t1</t>
        </is>
      </c>
    </row>
    <row r="19">
      <c r="A19" s="0" t="inlineStr">
        <is>
          <t>nytimes256</t>
        </is>
      </c>
      <c r="B19" s="0" t="n">
        <v>256</v>
      </c>
      <c r="C19" s="0" t="n">
        <v>256</v>
      </c>
      <c r="D19" s="0" t="n">
        <v>1</v>
      </c>
      <c r="E19" s="0" t="n">
        <v>0.515</v>
      </c>
      <c r="F19" s="0" t="n">
        <v>242087.284154</v>
      </c>
      <c r="G19" s="0" t="n">
        <v>12.7548779998961</v>
      </c>
      <c r="H19" s="0" t="n">
        <v>214.815</v>
      </c>
      <c r="I19" s="0" t="n">
        <v>1</v>
      </c>
      <c r="J19" s="0" t="inlineStr">
        <is>
          <t>nytimes256-289761-M256</t>
        </is>
      </c>
      <c r="K19" s="0" t="inlineStr">
        <is>
          <t>/mnt/d/paper_source/work_9/VeriANN_repro_2026-09-30/VeriANN_repro_2026-09-30/results/work9-v3db-single-20261020/nytimes256-289761-M256-p1-k10-q1-r1-t1</t>
        </is>
      </c>
    </row>
    <row r="20">
      <c r="A20" s="0" t="inlineStr">
        <is>
          <t>nytimes256</t>
        </is>
      </c>
      <c r="B20" s="0" t="n">
        <v>256</v>
      </c>
      <c r="C20" s="0" t="n">
        <v>256</v>
      </c>
      <c r="D20" s="0" t="n">
        <v>2</v>
      </c>
      <c r="E20" s="0" t="n">
        <v>0.58</v>
      </c>
      <c r="F20" s="0" t="n">
        <v>525753.569964</v>
      </c>
      <c r="G20" s="0" t="n">
        <v>69.6683460000713</v>
      </c>
      <c r="H20" s="0" t="n">
        <v>236.43</v>
      </c>
      <c r="I20" s="0" t="n">
        <v>1</v>
      </c>
      <c r="J20" s="0" t="inlineStr">
        <is>
          <t>nytimes256-289761-M256</t>
        </is>
      </c>
      <c r="K20" s="0" t="inlineStr">
        <is>
          <t>/mnt/d/paper_source/work_9/VeriANN_repro_2026-09-30/VeriANN_repro_2026-09-30/results/work9-v3db-20261016/nytimes256-289761-M256-p2-k10-q20-r3-t1</t>
        </is>
      </c>
    </row>
    <row r="21">
      <c r="A21" s="0" t="inlineStr">
        <is>
          <t>sift1m</t>
        </is>
      </c>
      <c r="B21" s="0" t="n">
        <v>8</v>
      </c>
      <c r="C21" s="0" t="n">
        <v>256</v>
      </c>
      <c r="D21" s="0" t="n">
        <v>1</v>
      </c>
      <c r="E21" s="0" t="n">
        <v>0.34</v>
      </c>
      <c r="F21" s="0" t="n">
        <v>58010.510633</v>
      </c>
      <c r="G21" s="0" t="n">
        <v>11.1058220000047</v>
      </c>
      <c r="H21" s="0" t="n">
        <v>196.643</v>
      </c>
      <c r="I21" s="0" t="n">
        <v>1</v>
      </c>
      <c r="J21" s="0" t="inlineStr">
        <is>
          <t>sift1m-1000000</t>
        </is>
      </c>
      <c r="K21" s="0" t="inlineStr">
        <is>
          <t>/mnt/d/paper_source/work_9/VeriANN_repro_2026-09-30/VeriANN_repro_2026-09-30/results/work9-v3db-lowrecall-20261020/sift1m-1000000-p1-k10-q1-r1-t1</t>
        </is>
      </c>
    </row>
    <row r="22">
      <c r="A22" s="0" t="inlineStr">
        <is>
          <t>sift1m</t>
        </is>
      </c>
      <c r="B22" s="0" t="n">
        <v>8</v>
      </c>
      <c r="C22" s="0" t="n">
        <v>256</v>
      </c>
      <c r="D22" s="0" t="n">
        <v>4</v>
      </c>
      <c r="E22" s="0" t="n">
        <v>0.405</v>
      </c>
      <c r="F22" s="0" t="n">
        <v>119447.081843</v>
      </c>
      <c r="G22" s="0" t="n">
        <v>13.1007500000067</v>
      </c>
      <c r="H22" s="0" t="n">
        <v>258.265</v>
      </c>
      <c r="I22" s="0" t="n">
        <v>1</v>
      </c>
      <c r="J22" s="0" t="inlineStr">
        <is>
          <t>sift1m-1000000</t>
        </is>
      </c>
      <c r="K22" s="0" t="inlineStr">
        <is>
          <t>/mnt/d/paper_source/work_9/VeriANN_repro_2026-09-30/VeriANN_repro_2026-09-30/results/work9-v3db-lowrecall-20261020/sift1m-1000000-p4-k10-q1-r1-t1</t>
        </is>
      </c>
    </row>
    <row r="23">
      <c r="A23" s="0" t="inlineStr">
        <is>
          <t>sift1m</t>
        </is>
      </c>
      <c r="B23" s="0" t="n">
        <v>8</v>
      </c>
      <c r="C23" s="0" t="n">
        <v>256</v>
      </c>
      <c r="D23" s="0" t="n">
        <v>8</v>
      </c>
      <c r="E23" s="0" t="n">
        <v>0.435</v>
      </c>
      <c r="F23" s="0" t="n">
        <v>121384.418594</v>
      </c>
      <c r="G23" s="0" t="n">
        <v>14.5273109999948</v>
      </c>
      <c r="H23" s="0" t="n">
        <v>318.852</v>
      </c>
      <c r="I23" s="0" t="n">
        <v>1</v>
      </c>
      <c r="J23" s="0" t="inlineStr">
        <is>
          <t>sift1m-1000000</t>
        </is>
      </c>
      <c r="K23" s="0" t="inlineStr">
        <is>
          <t>/mnt/d/paper_source/work_9/VeriANN_repro_2026-09-30/VeriANN_repro_2026-09-30/results/work9-v3db-reaudit-20261018/sift1m-1000000-p8-k10-q1-r1-t1</t>
        </is>
      </c>
    </row>
    <row r="24">
      <c r="A24" s="0" t="inlineStr">
        <is>
          <t>sift1m</t>
        </is>
      </c>
      <c r="B24" s="0" t="n">
        <v>32</v>
      </c>
      <c r="C24" s="0" t="n">
        <v>256</v>
      </c>
      <c r="D24" s="0" t="n">
        <v>1</v>
      </c>
      <c r="E24" s="0" t="n">
        <v>0.51</v>
      </c>
      <c r="F24" s="0" t="n">
        <v>58572.755462</v>
      </c>
      <c r="G24" s="0" t="n">
        <v>11.1032510000086</v>
      </c>
      <c r="H24" s="0" t="n">
        <v>196.067</v>
      </c>
      <c r="I24" s="0" t="n">
        <v>1</v>
      </c>
      <c r="J24" s="0" t="inlineStr">
        <is>
          <t>sift1m-1000000-M32</t>
        </is>
      </c>
      <c r="K24" s="0" t="inlineStr">
        <is>
          <t>/mnt/d/paper_source/work_9/VeriANN_repro_2026-09-30/VeriANN_repro_2026-09-30/results/work9-v3db-lowrecall-20261020/sift1m-1000000-M32-p1-k10-q1-r1-t1</t>
        </is>
      </c>
    </row>
    <row r="25">
      <c r="A25" s="0" t="inlineStr">
        <is>
          <t>sift1m</t>
        </is>
      </c>
      <c r="B25" s="0" t="n">
        <v>128</v>
      </c>
      <c r="C25" s="0" t="n">
        <v>1024</v>
      </c>
      <c r="D25" s="0" t="n">
        <v>1</v>
      </c>
      <c r="E25" s="0" t="n">
        <v>0.58</v>
      </c>
      <c r="F25" s="0" t="n">
        <v>239944.70827</v>
      </c>
      <c r="G25" s="0" t="n">
        <v>14.4067420000056</v>
      </c>
      <c r="H25" s="0" t="n">
        <v>211.816</v>
      </c>
      <c r="I25" s="0" t="n">
        <v>1</v>
      </c>
      <c r="J25" s="0" t="inlineStr">
        <is>
          <t>sift1m-1000000-M128-K1024</t>
        </is>
      </c>
      <c r="K25" s="0" t="inlineStr">
        <is>
          <t>/mnt/d/paper_source/work_9/VeriANN_repro_2026-09-30/VeriANN_repro_2026-09-30/results/work9-v3db-single-20261020/sift1m-1000000-M128-K1024-p1-k10-q1-r1-t1</t>
        </is>
      </c>
    </row>
    <row r="26">
      <c r="A26" s="0" t="inlineStr">
        <is>
          <t>sift1m</t>
        </is>
      </c>
      <c r="B26" s="0" t="n">
        <v>128</v>
      </c>
      <c r="C26" s="0" t="n">
        <v>1024</v>
      </c>
      <c r="D26" s="0" t="n">
        <v>2</v>
      </c>
      <c r="E26" s="0" t="n">
        <v>0.705</v>
      </c>
      <c r="F26" s="0" t="n">
        <v>517760.920454</v>
      </c>
      <c r="G26" s="0" t="n">
        <v>71.0790379998798</v>
      </c>
      <c r="H26" s="0" t="n">
        <v>235.675</v>
      </c>
      <c r="I26" s="0" t="n">
        <v>1</v>
      </c>
      <c r="J26" s="0" t="inlineStr">
        <is>
          <t>sift1m-1000000-M128-K1024</t>
        </is>
      </c>
      <c r="K26" s="0" t="inlineStr">
        <is>
          <t>/mnt/d/paper_source/work_9/VeriANN_repro_2026-09-30/VeriANN_repro_2026-09-30/results/work9-v3db-20261016/sift1m-1000000-M128-K1024-p2-k10-q20-r3-t1</t>
        </is>
      </c>
    </row>
  </sheetData>
  <pageMargins left="0.75" right="0.75" top="1" bottom="1" header="0.5" footer="0.5"/>
  <drawing xmlns:r="http://schemas.openxmlformats.org/officeDocument/2006/relationships" r:id="rId1"/>
</worksheet>
</file>

<file path=xl/worksheets/sheet54.xml><?xml version="1.0" encoding="utf-8"?>
<worksheet xmlns="http://schemas.openxmlformats.org/spreadsheetml/2006/main">
  <sheetPr>
    <outlinePr summaryBelow="1" summaryRight="1"/>
    <pageSetUpPr/>
  </sheetPr>
  <dimension ref="A1:D481"/>
  <sheetViews>
    <sheetView workbookViewId="0">
      <selection activeCell="A1" sqref="A1"/>
    </sheetView>
  </sheetViews>
  <sheetFormatPr baseColWidth="8" defaultColWidth="9" defaultRowHeight="13.5"/>
  <sheetData>
    <row r="1">
      <c r="A1" s="0" t="inlineStr">
        <is>
          <t>sheet</t>
        </is>
      </c>
      <c r="B1" s="0" t="inlineStr">
        <is>
          <t>cell</t>
        </is>
      </c>
      <c r="C1" s="0" t="inlineStr">
        <is>
          <t>value</t>
        </is>
      </c>
      <c r="D1" s="0" t="inlineStr">
        <is>
          <t>source</t>
        </is>
      </c>
    </row>
    <row r="2">
      <c r="A2" s="0" t="inlineStr">
        <is>
          <t>SIFT1M</t>
        </is>
      </c>
      <c r="B2" s="0" t="inlineStr">
        <is>
          <t>F26</t>
        </is>
      </c>
      <c r="C2" s="0" t="n">
        <v>34</v>
      </c>
      <c r="D2"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3">
      <c r="A3" s="0" t="inlineStr">
        <is>
          <t>SIFT1M</t>
        </is>
      </c>
      <c r="B3" s="0" t="inlineStr">
        <is>
          <t>F27</t>
        </is>
      </c>
      <c r="C3" s="0" t="n">
        <v>196.643</v>
      </c>
      <c r="D3"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4">
      <c r="A4" s="0" t="inlineStr">
        <is>
          <t>SIFT1M</t>
        </is>
      </c>
      <c r="B4" s="0" t="inlineStr">
        <is>
          <t>G26</t>
        </is>
      </c>
      <c r="C4" s="0" t="n">
        <v>34</v>
      </c>
      <c r="D4"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5">
      <c r="A5" s="0" t="inlineStr">
        <is>
          <t>SIFT1M</t>
        </is>
      </c>
      <c r="B5" s="0" t="inlineStr">
        <is>
          <t>G27</t>
        </is>
      </c>
      <c r="C5" s="0" t="n">
        <v>196.643</v>
      </c>
      <c r="D5"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6">
      <c r="A6" s="0" t="inlineStr">
        <is>
          <t>SIFT1M</t>
        </is>
      </c>
      <c r="B6" s="0" t="inlineStr">
        <is>
          <t>H26</t>
        </is>
      </c>
      <c r="C6" s="0" t="n">
        <v>34</v>
      </c>
      <c r="D6"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7">
      <c r="A7" s="0" t="inlineStr">
        <is>
          <t>SIFT1M</t>
        </is>
      </c>
      <c r="B7" s="0" t="inlineStr">
        <is>
          <t>H27</t>
        </is>
      </c>
      <c r="C7" s="0" t="n">
        <v>196.643</v>
      </c>
      <c r="D7"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8">
      <c r="A8" s="0" t="inlineStr">
        <is>
          <t>SIFT1M</t>
        </is>
      </c>
      <c r="B8" s="0" t="inlineStr">
        <is>
          <t>I26</t>
        </is>
      </c>
      <c r="C8" s="0" t="n">
        <v>34</v>
      </c>
      <c r="D8"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9">
      <c r="A9" s="0" t="inlineStr">
        <is>
          <t>SIFT1M</t>
        </is>
      </c>
      <c r="B9" s="0" t="inlineStr">
        <is>
          <t>I27</t>
        </is>
      </c>
      <c r="C9" s="0" t="n">
        <v>196.643</v>
      </c>
      <c r="D9"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10">
      <c r="A10" s="0" t="inlineStr">
        <is>
          <t>SIFT1M</t>
        </is>
      </c>
      <c r="B10" s="0" t="inlineStr">
        <is>
          <t>J26</t>
        </is>
      </c>
      <c r="C10" s="0" t="n">
        <v>51</v>
      </c>
      <c r="D10"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11">
      <c r="A11" s="0" t="inlineStr">
        <is>
          <t>SIFT1M</t>
        </is>
      </c>
      <c r="B11" s="0" t="inlineStr">
        <is>
          <t>J27</t>
        </is>
      </c>
      <c r="C11" s="0" t="n">
        <v>196.067</v>
      </c>
      <c r="D11"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12">
      <c r="A12" s="0" t="inlineStr">
        <is>
          <t>SIFT1M</t>
        </is>
      </c>
      <c r="B12" s="0" t="inlineStr">
        <is>
          <t>K26</t>
        </is>
      </c>
      <c r="C12" s="0" t="n">
        <v>51</v>
      </c>
      <c r="D12"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13">
      <c r="A13" s="0" t="inlineStr">
        <is>
          <t>SIFT1M</t>
        </is>
      </c>
      <c r="B13" s="0" t="inlineStr">
        <is>
          <t>K27</t>
        </is>
      </c>
      <c r="C13" s="0" t="n">
        <v>196.067</v>
      </c>
      <c r="D13"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14">
      <c r="A14" s="0" t="inlineStr">
        <is>
          <t>SIFT1M</t>
        </is>
      </c>
      <c r="B14" s="0" t="inlineStr">
        <is>
          <t>L26</t>
        </is>
      </c>
      <c r="C14" s="0" t="n">
        <v>51</v>
      </c>
      <c r="D14"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15">
      <c r="A15" s="0" t="inlineStr">
        <is>
          <t>SIFT1M</t>
        </is>
      </c>
      <c r="B15" s="0" t="inlineStr">
        <is>
          <t>L27</t>
        </is>
      </c>
      <c r="C15" s="0" t="n">
        <v>196.067</v>
      </c>
      <c r="D15"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16">
      <c r="A16" s="0" t="inlineStr">
        <is>
          <t>SIFT1M</t>
        </is>
      </c>
      <c r="B16" s="0" t="inlineStr">
        <is>
          <t>M26</t>
        </is>
      </c>
      <c r="C16" s="0" t="n">
        <v>51</v>
      </c>
      <c r="D16"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17">
      <c r="A17" s="0" t="inlineStr">
        <is>
          <t>SIFT1M</t>
        </is>
      </c>
      <c r="B17" s="0" t="inlineStr">
        <is>
          <t>M27</t>
        </is>
      </c>
      <c r="C17" s="0" t="n">
        <v>196.067</v>
      </c>
      <c r="D17"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18">
      <c r="A18" s="0" t="inlineStr">
        <is>
          <t>SIFT1M</t>
        </is>
      </c>
      <c r="B18" s="0" t="inlineStr">
        <is>
          <t>N26</t>
        </is>
      </c>
      <c r="C18" s="0" t="n">
        <v>58</v>
      </c>
      <c r="D18"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1, "k": 10, "samples": 1, "query": 100, "repeat": 0, "query_ms": 239944.70827000006, "verify_ms": 14.406742000005579, "vo_kb": 211.816, "single_query_recall": 0.5, "build_seconds": 80.274051808, "prove_seconds": 151.14497659, "output": "/mnt/d/paper_source/work_9/VeriANN_repro_2026-09-30/VeriANN_repro_2026-09-30/results/work9-v3db-single-20261020/sift1m-1000000-M128-K1024-p1-k10-q1-r1-t1", "csv_sha256": "5fb545bb68699fb55de80e474d947880eb611376c8dbb20e426d95148301b491", "selection": "fixed query100 repeat0; not selected by runtime", "reused_existing_sample": false, "recall20": 0.58, "recall_source": "/mnt/d/paper_source/work_9/VeriANN_repro_2026-09-30/VeriANN_repro_2026-09-30/V3DB-26VLDB/work9-cache/sift1m-1000000-M128-K1024/calibration.json", "recall_query_count": 20, "recall_scope": "search calibration only; timing/VO use one fixed query, not 20 proofs", "kind": "curve"}</t>
        </is>
      </c>
    </row>
    <row r="19">
      <c r="A19" s="0" t="inlineStr">
        <is>
          <t>SIFT1M</t>
        </is>
      </c>
      <c r="B19" s="0" t="inlineStr">
        <is>
          <t>N27</t>
        </is>
      </c>
      <c r="C19" s="0" t="n">
        <v>211.816</v>
      </c>
      <c r="D19"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1, "k": 10, "samples": 1, "query": 100, "repeat": 0, "query_ms": 239944.70827000006, "verify_ms": 14.406742000005579, "vo_kb": 211.816, "single_query_recall": 0.5, "build_seconds": 80.274051808, "prove_seconds": 151.14497659, "output": "/mnt/d/paper_source/work_9/VeriANN_repro_2026-09-30/VeriANN_repro_2026-09-30/results/work9-v3db-single-20261020/sift1m-1000000-M128-K1024-p1-k10-q1-r1-t1", "csv_sha256": "5fb545bb68699fb55de80e474d947880eb611376c8dbb20e426d95148301b491", "selection": "fixed query100 repeat0; not selected by runtime", "reused_existing_sample": false, "recall20": 0.58, "recall_source": "/mnt/d/paper_source/work_9/VeriANN_repro_2026-09-30/VeriANN_repro_2026-09-30/V3DB-26VLDB/work9-cache/sift1m-1000000-M128-K1024/calibration.json", "recall_query_count": 20, "recall_scope": "search calibration only; timing/VO use one fixed query, not 20 proofs", "kind": "curve"}</t>
        </is>
      </c>
    </row>
    <row r="20">
      <c r="A20" s="0" t="inlineStr">
        <is>
          <t>SIFT1M</t>
        </is>
      </c>
      <c r="B20" s="0" t="inlineStr">
        <is>
          <t>O26</t>
        </is>
      </c>
      <c r="C20" s="0" t="n">
        <v>70.5</v>
      </c>
      <c r="D20"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21">
      <c r="A21" s="0" t="inlineStr">
        <is>
          <t>SIFT1M</t>
        </is>
      </c>
      <c r="B21" s="0" t="inlineStr">
        <is>
          <t>O27</t>
        </is>
      </c>
      <c r="C21" s="0" t="n">
        <v>235.675</v>
      </c>
      <c r="D21"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22">
      <c r="A22" s="0" t="inlineStr">
        <is>
          <t>SIFT1M</t>
        </is>
      </c>
      <c r="B22" s="0" t="inlineStr">
        <is>
          <t>P26</t>
        </is>
      </c>
      <c r="C22" s="0" t="n">
        <v>70.5</v>
      </c>
      <c r="D22"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23">
      <c r="A23" s="0" t="inlineStr">
        <is>
          <t>SIFT1M</t>
        </is>
      </c>
      <c r="B23" s="0" t="inlineStr">
        <is>
          <t>P27</t>
        </is>
      </c>
      <c r="C23" s="0" t="n">
        <v>235.675</v>
      </c>
      <c r="D23"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24">
      <c r="A24" s="0" t="inlineStr">
        <is>
          <t>SIFT1M</t>
        </is>
      </c>
      <c r="B24" s="0" t="inlineStr">
        <is>
          <t>Q26</t>
        </is>
      </c>
      <c r="C24" s="0" t="n">
        <v>70.5</v>
      </c>
      <c r="D24"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25">
      <c r="A25" s="0" t="inlineStr">
        <is>
          <t>SIFT1M</t>
        </is>
      </c>
      <c r="B25" s="0" t="inlineStr">
        <is>
          <t>Q27</t>
        </is>
      </c>
      <c r="C25" s="0" t="n">
        <v>235.675</v>
      </c>
      <c r="D25"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26">
      <c r="A26" s="0" t="inlineStr">
        <is>
          <t>SIFT1M</t>
        </is>
      </c>
      <c r="B26" s="0" t="inlineStr">
        <is>
          <t>R26</t>
        </is>
      </c>
      <c r="C26" s="0" t="inlineStr">
        <is>
          <t>预算内未测</t>
        </is>
      </c>
      <c r="D26" s="0" t="inlineStr">
        <is>
          <t>null</t>
        </is>
      </c>
    </row>
    <row r="27">
      <c r="A27" s="0" t="inlineStr">
        <is>
          <t>SIFT1M</t>
        </is>
      </c>
      <c r="B27" s="0" t="inlineStr">
        <is>
          <t>R27</t>
        </is>
      </c>
      <c r="C27" s="0" t="inlineStr">
        <is>
          <t>预算内未测</t>
        </is>
      </c>
      <c r="D27" s="0" t="inlineStr">
        <is>
          <t>null</t>
        </is>
      </c>
    </row>
    <row r="28">
      <c r="A28" s="0" t="inlineStr">
        <is>
          <t>SIFT1M</t>
        </is>
      </c>
      <c r="B28" s="0" t="inlineStr">
        <is>
          <t>S26</t>
        </is>
      </c>
      <c r="C28" s="0" t="inlineStr">
        <is>
          <t>预算内未测</t>
        </is>
      </c>
      <c r="D28" s="0" t="inlineStr">
        <is>
          <t>null</t>
        </is>
      </c>
    </row>
    <row r="29">
      <c r="A29" s="0" t="inlineStr">
        <is>
          <t>SIFT1M</t>
        </is>
      </c>
      <c r="B29" s="0" t="inlineStr">
        <is>
          <t>S27</t>
        </is>
      </c>
      <c r="C29" s="0" t="inlineStr">
        <is>
          <t>预算内未测</t>
        </is>
      </c>
      <c r="D29" s="0" t="inlineStr">
        <is>
          <t>null</t>
        </is>
      </c>
    </row>
    <row r="30">
      <c r="A30" s="0" t="inlineStr">
        <is>
          <t>SIFT1M</t>
        </is>
      </c>
      <c r="B30" s="0" t="inlineStr">
        <is>
          <t>T26</t>
        </is>
      </c>
      <c r="C30" s="0" t="inlineStr">
        <is>
          <t>预算内未测</t>
        </is>
      </c>
      <c r="D30" s="0" t="inlineStr">
        <is>
          <t>null</t>
        </is>
      </c>
    </row>
    <row r="31">
      <c r="A31" s="0" t="inlineStr">
        <is>
          <t>SIFT1M</t>
        </is>
      </c>
      <c r="B31" s="0" t="inlineStr">
        <is>
          <t>T27</t>
        </is>
      </c>
      <c r="C31" s="0" t="inlineStr">
        <is>
          <t>预算内未测</t>
        </is>
      </c>
      <c r="D31" s="0" t="inlineStr">
        <is>
          <t>null</t>
        </is>
      </c>
    </row>
    <row r="32">
      <c r="A32" s="0" t="inlineStr">
        <is>
          <t>SIFT1M</t>
        </is>
      </c>
      <c r="B32" s="0" t="inlineStr">
        <is>
          <t>U26</t>
        </is>
      </c>
      <c r="C32" s="0" t="inlineStr">
        <is>
          <t>预算内未测</t>
        </is>
      </c>
      <c r="D32" s="0" t="inlineStr">
        <is>
          <t>null</t>
        </is>
      </c>
    </row>
    <row r="33">
      <c r="A33" s="0" t="inlineStr">
        <is>
          <t>SIFT1M</t>
        </is>
      </c>
      <c r="B33" s="0" t="inlineStr">
        <is>
          <t>U27</t>
        </is>
      </c>
      <c r="C33" s="0" t="inlineStr">
        <is>
          <t>预算内未测</t>
        </is>
      </c>
      <c r="D33" s="0" t="inlineStr">
        <is>
          <t>null</t>
        </is>
      </c>
    </row>
    <row r="34">
      <c r="A34" s="0" t="inlineStr">
        <is>
          <t>SIFT1M</t>
        </is>
      </c>
      <c r="B34" s="0" t="inlineStr">
        <is>
          <t>V26</t>
        </is>
      </c>
      <c r="C34" s="0" t="inlineStr">
        <is>
          <t>预算内未测</t>
        </is>
      </c>
      <c r="D34" s="0" t="inlineStr">
        <is>
          <t>null</t>
        </is>
      </c>
    </row>
    <row r="35">
      <c r="A35" s="0" t="inlineStr">
        <is>
          <t>SIFT1M</t>
        </is>
      </c>
      <c r="B35" s="0" t="inlineStr">
        <is>
          <t>V27</t>
        </is>
      </c>
      <c r="C35" s="0" t="inlineStr">
        <is>
          <t>预算内未测</t>
        </is>
      </c>
      <c r="D35" s="0" t="inlineStr">
        <is>
          <t>null</t>
        </is>
      </c>
    </row>
    <row r="36">
      <c r="A36" s="0" t="inlineStr">
        <is>
          <t>SIFT1M</t>
        </is>
      </c>
      <c r="B36" s="0" t="inlineStr">
        <is>
          <t>W26</t>
        </is>
      </c>
      <c r="C36" s="0" t="inlineStr">
        <is>
          <t>预算内未测</t>
        </is>
      </c>
      <c r="D36" s="0" t="inlineStr">
        <is>
          <t>null</t>
        </is>
      </c>
    </row>
    <row r="37">
      <c r="A37" s="0" t="inlineStr">
        <is>
          <t>SIFT1M</t>
        </is>
      </c>
      <c r="B37" s="0" t="inlineStr">
        <is>
          <t>W27</t>
        </is>
      </c>
      <c r="C37" s="0" t="inlineStr">
        <is>
          <t>预算内未测</t>
        </is>
      </c>
      <c r="D37" s="0" t="inlineStr">
        <is>
          <t>null</t>
        </is>
      </c>
    </row>
    <row r="38">
      <c r="A38" s="0" t="inlineStr">
        <is>
          <t>SIFT1M</t>
        </is>
      </c>
      <c r="B38" s="0" t="inlineStr">
        <is>
          <t>X26</t>
        </is>
      </c>
      <c r="C38" s="0" t="inlineStr">
        <is>
          <t>预算内未测</t>
        </is>
      </c>
      <c r="D38" s="0" t="inlineStr">
        <is>
          <t>null</t>
        </is>
      </c>
    </row>
    <row r="39">
      <c r="A39" s="0" t="inlineStr">
        <is>
          <t>SIFT1M</t>
        </is>
      </c>
      <c r="B39" s="0" t="inlineStr">
        <is>
          <t>X27</t>
        </is>
      </c>
      <c r="C39" s="0" t="inlineStr">
        <is>
          <t>预算内未测</t>
        </is>
      </c>
      <c r="D39" s="0" t="inlineStr">
        <is>
          <t>null</t>
        </is>
      </c>
    </row>
    <row r="40">
      <c r="A40" s="0" t="inlineStr">
        <is>
          <t>SIFT1M</t>
        </is>
      </c>
      <c r="B40" s="0" t="inlineStr">
        <is>
          <t>Y26</t>
        </is>
      </c>
      <c r="C40" s="0" t="inlineStr">
        <is>
          <t>预算内未测</t>
        </is>
      </c>
      <c r="D40" s="0" t="inlineStr">
        <is>
          <t>null</t>
        </is>
      </c>
    </row>
    <row r="41">
      <c r="A41" s="0" t="inlineStr">
        <is>
          <t>SIFT1M</t>
        </is>
      </c>
      <c r="B41" s="0" t="inlineStr">
        <is>
          <t>Y27</t>
        </is>
      </c>
      <c r="C41" s="0" t="inlineStr">
        <is>
          <t>预算内未测</t>
        </is>
      </c>
      <c r="D41" s="0" t="inlineStr">
        <is>
          <t>null</t>
        </is>
      </c>
    </row>
    <row r="42">
      <c r="A42" s="0" t="inlineStr">
        <is>
          <t>SIFT1M</t>
        </is>
      </c>
      <c r="B42" s="0" t="inlineStr">
        <is>
          <t>F38</t>
        </is>
      </c>
      <c r="C42" s="0" t="n">
        <v>34</v>
      </c>
      <c r="D42"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43">
      <c r="A43" s="0" t="inlineStr">
        <is>
          <t>SIFT1M</t>
        </is>
      </c>
      <c r="B43" s="0" t="inlineStr">
        <is>
          <t>F39</t>
        </is>
      </c>
      <c r="C43" s="0" t="n">
        <v>11.1058220000047</v>
      </c>
      <c r="D43"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44">
      <c r="A44" s="0" t="inlineStr">
        <is>
          <t>SIFT1M</t>
        </is>
      </c>
      <c r="B44" s="0" t="inlineStr">
        <is>
          <t>G38</t>
        </is>
      </c>
      <c r="C44" s="0" t="n">
        <v>34</v>
      </c>
      <c r="D44"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45">
      <c r="A45" s="0" t="inlineStr">
        <is>
          <t>SIFT1M</t>
        </is>
      </c>
      <c r="B45" s="0" t="inlineStr">
        <is>
          <t>G39</t>
        </is>
      </c>
      <c r="C45" s="0" t="n">
        <v>11.1058220000047</v>
      </c>
      <c r="D45"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46">
      <c r="A46" s="0" t="inlineStr">
        <is>
          <t>SIFT1M</t>
        </is>
      </c>
      <c r="B46" s="0" t="inlineStr">
        <is>
          <t>H38</t>
        </is>
      </c>
      <c r="C46" s="0" t="n">
        <v>34</v>
      </c>
      <c r="D46"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47">
      <c r="A47" s="0" t="inlineStr">
        <is>
          <t>SIFT1M</t>
        </is>
      </c>
      <c r="B47" s="0" t="inlineStr">
        <is>
          <t>H39</t>
        </is>
      </c>
      <c r="C47" s="0" t="n">
        <v>11.1058220000047</v>
      </c>
      <c r="D47"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48">
      <c r="A48" s="0" t="inlineStr">
        <is>
          <t>SIFT1M</t>
        </is>
      </c>
      <c r="B48" s="0" t="inlineStr">
        <is>
          <t>I38</t>
        </is>
      </c>
      <c r="C48" s="0" t="n">
        <v>34</v>
      </c>
      <c r="D48"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49">
      <c r="A49" s="0" t="inlineStr">
        <is>
          <t>SIFT1M</t>
        </is>
      </c>
      <c r="B49" s="0" t="inlineStr">
        <is>
          <t>I39</t>
        </is>
      </c>
      <c r="C49" s="0" t="n">
        <v>11.1058220000047</v>
      </c>
      <c r="D49"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50">
      <c r="A50" s="0" t="inlineStr">
        <is>
          <t>SIFT1M</t>
        </is>
      </c>
      <c r="B50" s="0" t="inlineStr">
        <is>
          <t>J38</t>
        </is>
      </c>
      <c r="C50" s="0" t="n">
        <v>51</v>
      </c>
      <c r="D50"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51">
      <c r="A51" s="0" t="inlineStr">
        <is>
          <t>SIFT1M</t>
        </is>
      </c>
      <c r="B51" s="0" t="inlineStr">
        <is>
          <t>J39</t>
        </is>
      </c>
      <c r="C51" s="0" t="n">
        <v>11.1032510000086</v>
      </c>
      <c r="D51"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52">
      <c r="A52" s="0" t="inlineStr">
        <is>
          <t>SIFT1M</t>
        </is>
      </c>
      <c r="B52" s="0" t="inlineStr">
        <is>
          <t>K38</t>
        </is>
      </c>
      <c r="C52" s="0" t="n">
        <v>51</v>
      </c>
      <c r="D52"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53">
      <c r="A53" s="0" t="inlineStr">
        <is>
          <t>SIFT1M</t>
        </is>
      </c>
      <c r="B53" s="0" t="inlineStr">
        <is>
          <t>K39</t>
        </is>
      </c>
      <c r="C53" s="0" t="n">
        <v>11.1032510000086</v>
      </c>
      <c r="D53"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54">
      <c r="A54" s="0" t="inlineStr">
        <is>
          <t>SIFT1M</t>
        </is>
      </c>
      <c r="B54" s="0" t="inlineStr">
        <is>
          <t>L38</t>
        </is>
      </c>
      <c r="C54" s="0" t="n">
        <v>51</v>
      </c>
      <c r="D54"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55">
      <c r="A55" s="0" t="inlineStr">
        <is>
          <t>SIFT1M</t>
        </is>
      </c>
      <c r="B55" s="0" t="inlineStr">
        <is>
          <t>L39</t>
        </is>
      </c>
      <c r="C55" s="0" t="n">
        <v>11.1032510000086</v>
      </c>
      <c r="D55"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56">
      <c r="A56" s="0" t="inlineStr">
        <is>
          <t>SIFT1M</t>
        </is>
      </c>
      <c r="B56" s="0" t="inlineStr">
        <is>
          <t>M38</t>
        </is>
      </c>
      <c r="C56" s="0" t="n">
        <v>51</v>
      </c>
      <c r="D56"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57">
      <c r="A57" s="0" t="inlineStr">
        <is>
          <t>SIFT1M</t>
        </is>
      </c>
      <c r="B57" s="0" t="inlineStr">
        <is>
          <t>M39</t>
        </is>
      </c>
      <c r="C57" s="0" t="n">
        <v>11.1032510000086</v>
      </c>
      <c r="D57"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58">
      <c r="A58" s="0" t="inlineStr">
        <is>
          <t>SIFT1M</t>
        </is>
      </c>
      <c r="B58" s="0" t="inlineStr">
        <is>
          <t>N38</t>
        </is>
      </c>
      <c r="C58" s="0" t="n">
        <v>58</v>
      </c>
      <c r="D58"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1, "k": 10, "samples": 1, "query": 100, "repeat": 0, "query_ms": 239944.70827000006, "verify_ms": 14.406742000005579, "vo_kb": 211.816, "single_query_recall": 0.5, "build_seconds": 80.274051808, "prove_seconds": 151.14497659, "output": "/mnt/d/paper_source/work_9/VeriANN_repro_2026-09-30/VeriANN_repro_2026-09-30/results/work9-v3db-single-20261020/sift1m-1000000-M128-K1024-p1-k10-q1-r1-t1", "csv_sha256": "5fb545bb68699fb55de80e474d947880eb611376c8dbb20e426d95148301b491", "selection": "fixed query100 repeat0; not selected by runtime", "reused_existing_sample": false, "recall20": 0.58, "recall_source": "/mnt/d/paper_source/work_9/VeriANN_repro_2026-09-30/VeriANN_repro_2026-09-30/V3DB-26VLDB/work9-cache/sift1m-1000000-M128-K1024/calibration.json", "recall_query_count": 20, "recall_scope": "search calibration only; timing/VO use one fixed query, not 20 proofs", "kind": "curve"}</t>
        </is>
      </c>
    </row>
    <row r="59">
      <c r="A59" s="0" t="inlineStr">
        <is>
          <t>SIFT1M</t>
        </is>
      </c>
      <c r="B59" s="0" t="inlineStr">
        <is>
          <t>N39</t>
        </is>
      </c>
      <c r="C59" s="0" t="n">
        <v>14.4067420000056</v>
      </c>
      <c r="D59"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1, "k": 10, "samples": 1, "query": 100, "repeat": 0, "query_ms": 239944.70827000006, "verify_ms": 14.406742000005579, "vo_kb": 211.816, "single_query_recall": 0.5, "build_seconds": 80.274051808, "prove_seconds": 151.14497659, "output": "/mnt/d/paper_source/work_9/VeriANN_repro_2026-09-30/VeriANN_repro_2026-09-30/results/work9-v3db-single-20261020/sift1m-1000000-M128-K1024-p1-k10-q1-r1-t1", "csv_sha256": "5fb545bb68699fb55de80e474d947880eb611376c8dbb20e426d95148301b491", "selection": "fixed query100 repeat0; not selected by runtime", "reused_existing_sample": false, "recall20": 0.58, "recall_source": "/mnt/d/paper_source/work_9/VeriANN_repro_2026-09-30/VeriANN_repro_2026-09-30/V3DB-26VLDB/work9-cache/sift1m-1000000-M128-K1024/calibration.json", "recall_query_count": 20, "recall_scope": "search calibration only; timing/VO use one fixed query, not 20 proofs", "kind": "curve"}</t>
        </is>
      </c>
    </row>
    <row r="60">
      <c r="A60" s="0" t="inlineStr">
        <is>
          <t>SIFT1M</t>
        </is>
      </c>
      <c r="B60" s="0" t="inlineStr">
        <is>
          <t>O38</t>
        </is>
      </c>
      <c r="C60" s="0" t="n">
        <v>70.5</v>
      </c>
      <c r="D60"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61">
      <c r="A61" s="0" t="inlineStr">
        <is>
          <t>SIFT1M</t>
        </is>
      </c>
      <c r="B61" s="0" t="inlineStr">
        <is>
          <t>O39</t>
        </is>
      </c>
      <c r="C61" s="0" t="n">
        <v>71.0790379998798</v>
      </c>
      <c r="D61"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62">
      <c r="A62" s="0" t="inlineStr">
        <is>
          <t>SIFT1M</t>
        </is>
      </c>
      <c r="B62" s="0" t="inlineStr">
        <is>
          <t>P38</t>
        </is>
      </c>
      <c r="C62" s="0" t="n">
        <v>70.5</v>
      </c>
      <c r="D62"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63">
      <c r="A63" s="0" t="inlineStr">
        <is>
          <t>SIFT1M</t>
        </is>
      </c>
      <c r="B63" s="0" t="inlineStr">
        <is>
          <t>P39</t>
        </is>
      </c>
      <c r="C63" s="0" t="n">
        <v>71.0790379998798</v>
      </c>
      <c r="D63"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64">
      <c r="A64" s="0" t="inlineStr">
        <is>
          <t>SIFT1M</t>
        </is>
      </c>
      <c r="B64" s="0" t="inlineStr">
        <is>
          <t>Q38</t>
        </is>
      </c>
      <c r="C64" s="0" t="n">
        <v>70.5</v>
      </c>
      <c r="D64"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65">
      <c r="A65" s="0" t="inlineStr">
        <is>
          <t>SIFT1M</t>
        </is>
      </c>
      <c r="B65" s="0" t="inlineStr">
        <is>
          <t>Q39</t>
        </is>
      </c>
      <c r="C65" s="0" t="n">
        <v>71.0790379998798</v>
      </c>
      <c r="D65"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66">
      <c r="A66" s="0" t="inlineStr">
        <is>
          <t>SIFT1M</t>
        </is>
      </c>
      <c r="B66" s="0" t="inlineStr">
        <is>
          <t>R38</t>
        </is>
      </c>
      <c r="C66" s="0" t="inlineStr">
        <is>
          <t>预算内未测</t>
        </is>
      </c>
      <c r="D66" s="0" t="inlineStr">
        <is>
          <t>null</t>
        </is>
      </c>
    </row>
    <row r="67">
      <c r="A67" s="0" t="inlineStr">
        <is>
          <t>SIFT1M</t>
        </is>
      </c>
      <c r="B67" s="0" t="inlineStr">
        <is>
          <t>R39</t>
        </is>
      </c>
      <c r="C67" s="0" t="inlineStr">
        <is>
          <t>预算内未测</t>
        </is>
      </c>
      <c r="D67" s="0" t="inlineStr">
        <is>
          <t>null</t>
        </is>
      </c>
    </row>
    <row r="68">
      <c r="A68" s="0" t="inlineStr">
        <is>
          <t>SIFT1M</t>
        </is>
      </c>
      <c r="B68" s="0" t="inlineStr">
        <is>
          <t>S38</t>
        </is>
      </c>
      <c r="C68" s="0" t="inlineStr">
        <is>
          <t>预算内未测</t>
        </is>
      </c>
      <c r="D68" s="0" t="inlineStr">
        <is>
          <t>null</t>
        </is>
      </c>
    </row>
    <row r="69">
      <c r="A69" s="0" t="inlineStr">
        <is>
          <t>SIFT1M</t>
        </is>
      </c>
      <c r="B69" s="0" t="inlineStr">
        <is>
          <t>S39</t>
        </is>
      </c>
      <c r="C69" s="0" t="inlineStr">
        <is>
          <t>预算内未测</t>
        </is>
      </c>
      <c r="D69" s="0" t="inlineStr">
        <is>
          <t>null</t>
        </is>
      </c>
    </row>
    <row r="70">
      <c r="A70" s="0" t="inlineStr">
        <is>
          <t>SIFT1M</t>
        </is>
      </c>
      <c r="B70" s="0" t="inlineStr">
        <is>
          <t>T38</t>
        </is>
      </c>
      <c r="C70" s="0" t="inlineStr">
        <is>
          <t>预算内未测</t>
        </is>
      </c>
      <c r="D70" s="0" t="inlineStr">
        <is>
          <t>null</t>
        </is>
      </c>
    </row>
    <row r="71">
      <c r="A71" s="0" t="inlineStr">
        <is>
          <t>SIFT1M</t>
        </is>
      </c>
      <c r="B71" s="0" t="inlineStr">
        <is>
          <t>T39</t>
        </is>
      </c>
      <c r="C71" s="0" t="inlineStr">
        <is>
          <t>预算内未测</t>
        </is>
      </c>
      <c r="D71" s="0" t="inlineStr">
        <is>
          <t>null</t>
        </is>
      </c>
    </row>
    <row r="72">
      <c r="A72" s="0" t="inlineStr">
        <is>
          <t>SIFT1M</t>
        </is>
      </c>
      <c r="B72" s="0" t="inlineStr">
        <is>
          <t>U38</t>
        </is>
      </c>
      <c r="C72" s="0" t="inlineStr">
        <is>
          <t>预算内未测</t>
        </is>
      </c>
      <c r="D72" s="0" t="inlineStr">
        <is>
          <t>null</t>
        </is>
      </c>
    </row>
    <row r="73">
      <c r="A73" s="0" t="inlineStr">
        <is>
          <t>SIFT1M</t>
        </is>
      </c>
      <c r="B73" s="0" t="inlineStr">
        <is>
          <t>U39</t>
        </is>
      </c>
      <c r="C73" s="0" t="inlineStr">
        <is>
          <t>预算内未测</t>
        </is>
      </c>
      <c r="D73" s="0" t="inlineStr">
        <is>
          <t>null</t>
        </is>
      </c>
    </row>
    <row r="74">
      <c r="A74" s="0" t="inlineStr">
        <is>
          <t>SIFT1M</t>
        </is>
      </c>
      <c r="B74" s="0" t="inlineStr">
        <is>
          <t>V38</t>
        </is>
      </c>
      <c r="C74" s="0" t="inlineStr">
        <is>
          <t>预算内未测</t>
        </is>
      </c>
      <c r="D74" s="0" t="inlineStr">
        <is>
          <t>null</t>
        </is>
      </c>
    </row>
    <row r="75">
      <c r="A75" s="0" t="inlineStr">
        <is>
          <t>SIFT1M</t>
        </is>
      </c>
      <c r="B75" s="0" t="inlineStr">
        <is>
          <t>V39</t>
        </is>
      </c>
      <c r="C75" s="0" t="inlineStr">
        <is>
          <t>预算内未测</t>
        </is>
      </c>
      <c r="D75" s="0" t="inlineStr">
        <is>
          <t>null</t>
        </is>
      </c>
    </row>
    <row r="76">
      <c r="A76" s="0" t="inlineStr">
        <is>
          <t>SIFT1M</t>
        </is>
      </c>
      <c r="B76" s="0" t="inlineStr">
        <is>
          <t>W38</t>
        </is>
      </c>
      <c r="C76" s="0" t="inlineStr">
        <is>
          <t>预算内未测</t>
        </is>
      </c>
      <c r="D76" s="0" t="inlineStr">
        <is>
          <t>null</t>
        </is>
      </c>
    </row>
    <row r="77">
      <c r="A77" s="0" t="inlineStr">
        <is>
          <t>SIFT1M</t>
        </is>
      </c>
      <c r="B77" s="0" t="inlineStr">
        <is>
          <t>W39</t>
        </is>
      </c>
      <c r="C77" s="0" t="inlineStr">
        <is>
          <t>预算内未测</t>
        </is>
      </c>
      <c r="D77" s="0" t="inlineStr">
        <is>
          <t>null</t>
        </is>
      </c>
    </row>
    <row r="78">
      <c r="A78" s="0" t="inlineStr">
        <is>
          <t>SIFT1M</t>
        </is>
      </c>
      <c r="B78" s="0" t="inlineStr">
        <is>
          <t>X38</t>
        </is>
      </c>
      <c r="C78" s="0" t="inlineStr">
        <is>
          <t>预算内未测</t>
        </is>
      </c>
      <c r="D78" s="0" t="inlineStr">
        <is>
          <t>null</t>
        </is>
      </c>
    </row>
    <row r="79">
      <c r="A79" s="0" t="inlineStr">
        <is>
          <t>SIFT1M</t>
        </is>
      </c>
      <c r="B79" s="0" t="inlineStr">
        <is>
          <t>X39</t>
        </is>
      </c>
      <c r="C79" s="0" t="inlineStr">
        <is>
          <t>预算内未测</t>
        </is>
      </c>
      <c r="D79" s="0" t="inlineStr">
        <is>
          <t>null</t>
        </is>
      </c>
    </row>
    <row r="80">
      <c r="A80" s="0" t="inlineStr">
        <is>
          <t>SIFT1M</t>
        </is>
      </c>
      <c r="B80" s="0" t="inlineStr">
        <is>
          <t>Y38</t>
        </is>
      </c>
      <c r="C80" s="0" t="inlineStr">
        <is>
          <t>预算内未测</t>
        </is>
      </c>
      <c r="D80" s="0" t="inlineStr">
        <is>
          <t>null</t>
        </is>
      </c>
    </row>
    <row r="81">
      <c r="A81" s="0" t="inlineStr">
        <is>
          <t>SIFT1M</t>
        </is>
      </c>
      <c r="B81" s="0" t="inlineStr">
        <is>
          <t>Y39</t>
        </is>
      </c>
      <c r="C81" s="0" t="inlineStr">
        <is>
          <t>预算内未测</t>
        </is>
      </c>
      <c r="D81" s="0" t="inlineStr">
        <is>
          <t>null</t>
        </is>
      </c>
    </row>
    <row r="82">
      <c r="A82" s="0" t="inlineStr">
        <is>
          <t>SIFT1M</t>
        </is>
      </c>
      <c r="B82" s="0" t="inlineStr">
        <is>
          <t>F50</t>
        </is>
      </c>
      <c r="C82" s="0" t="n">
        <v>34</v>
      </c>
      <c r="D82"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83">
      <c r="A83" s="0" t="inlineStr">
        <is>
          <t>SIFT1M</t>
        </is>
      </c>
      <c r="B83" s="0" t="inlineStr">
        <is>
          <t>F51</t>
        </is>
      </c>
      <c r="C83" s="0" t="n">
        <v>58010.510633</v>
      </c>
      <c r="D83"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84">
      <c r="A84" s="0" t="inlineStr">
        <is>
          <t>SIFT1M</t>
        </is>
      </c>
      <c r="B84" s="0" t="inlineStr">
        <is>
          <t>G50</t>
        </is>
      </c>
      <c r="C84" s="0" t="n">
        <v>34</v>
      </c>
      <c r="D84"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85">
      <c r="A85" s="0" t="inlineStr">
        <is>
          <t>SIFT1M</t>
        </is>
      </c>
      <c r="B85" s="0" t="inlineStr">
        <is>
          <t>G51</t>
        </is>
      </c>
      <c r="C85" s="0" t="n">
        <v>58010.510633</v>
      </c>
      <c r="D85"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86">
      <c r="A86" s="0" t="inlineStr">
        <is>
          <t>SIFT1M</t>
        </is>
      </c>
      <c r="B86" s="0" t="inlineStr">
        <is>
          <t>H50</t>
        </is>
      </c>
      <c r="C86" s="0" t="n">
        <v>34</v>
      </c>
      <c r="D86"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87">
      <c r="A87" s="0" t="inlineStr">
        <is>
          <t>SIFT1M</t>
        </is>
      </c>
      <c r="B87" s="0" t="inlineStr">
        <is>
          <t>H51</t>
        </is>
      </c>
      <c r="C87" s="0" t="n">
        <v>58010.510633</v>
      </c>
      <c r="D87"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88">
      <c r="A88" s="0" t="inlineStr">
        <is>
          <t>SIFT1M</t>
        </is>
      </c>
      <c r="B88" s="0" t="inlineStr">
        <is>
          <t>I50</t>
        </is>
      </c>
      <c r="C88" s="0" t="n">
        <v>34</v>
      </c>
      <c r="D88"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89">
      <c r="A89" s="0" t="inlineStr">
        <is>
          <t>SIFT1M</t>
        </is>
      </c>
      <c r="B89" s="0" t="inlineStr">
        <is>
          <t>I51</t>
        </is>
      </c>
      <c r="C89" s="0" t="n">
        <v>58010.510633</v>
      </c>
      <c r="D89"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90">
      <c r="A90" s="0" t="inlineStr">
        <is>
          <t>SIFT1M</t>
        </is>
      </c>
      <c r="B90" s="0" t="inlineStr">
        <is>
          <t>J50</t>
        </is>
      </c>
      <c r="C90" s="0" t="n">
        <v>51</v>
      </c>
      <c r="D90"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91">
      <c r="A91" s="0" t="inlineStr">
        <is>
          <t>SIFT1M</t>
        </is>
      </c>
      <c r="B91" s="0" t="inlineStr">
        <is>
          <t>J51</t>
        </is>
      </c>
      <c r="C91" s="0" t="n">
        <v>58572.755462</v>
      </c>
      <c r="D91"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92">
      <c r="A92" s="0" t="inlineStr">
        <is>
          <t>SIFT1M</t>
        </is>
      </c>
      <c r="B92" s="0" t="inlineStr">
        <is>
          <t>K50</t>
        </is>
      </c>
      <c r="C92" s="0" t="n">
        <v>51</v>
      </c>
      <c r="D92"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93">
      <c r="A93" s="0" t="inlineStr">
        <is>
          <t>SIFT1M</t>
        </is>
      </c>
      <c r="B93" s="0" t="inlineStr">
        <is>
          <t>K51</t>
        </is>
      </c>
      <c r="C93" s="0" t="n">
        <v>58572.755462</v>
      </c>
      <c r="D93"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94">
      <c r="A94" s="0" t="inlineStr">
        <is>
          <t>SIFT1M</t>
        </is>
      </c>
      <c r="B94" s="0" t="inlineStr">
        <is>
          <t>L50</t>
        </is>
      </c>
      <c r="C94" s="0" t="n">
        <v>51</v>
      </c>
      <c r="D94"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95">
      <c r="A95" s="0" t="inlineStr">
        <is>
          <t>SIFT1M</t>
        </is>
      </c>
      <c r="B95" s="0" t="inlineStr">
        <is>
          <t>L51</t>
        </is>
      </c>
      <c r="C95" s="0" t="n">
        <v>58572.755462</v>
      </c>
      <c r="D95"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96">
      <c r="A96" s="0" t="inlineStr">
        <is>
          <t>SIFT1M</t>
        </is>
      </c>
      <c r="B96" s="0" t="inlineStr">
        <is>
          <t>M50</t>
        </is>
      </c>
      <c r="C96" s="0" t="n">
        <v>51</v>
      </c>
      <c r="D96"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97">
      <c r="A97" s="0" t="inlineStr">
        <is>
          <t>SIFT1M</t>
        </is>
      </c>
      <c r="B97" s="0" t="inlineStr">
        <is>
          <t>M51</t>
        </is>
      </c>
      <c r="C97" s="0" t="n">
        <v>58572.755462</v>
      </c>
      <c r="D97"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98">
      <c r="A98" s="0" t="inlineStr">
        <is>
          <t>SIFT1M</t>
        </is>
      </c>
      <c r="B98" s="0" t="inlineStr">
        <is>
          <t>N50</t>
        </is>
      </c>
      <c r="C98" s="0" t="n">
        <v>58</v>
      </c>
      <c r="D98"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1, "k": 10, "samples": 1, "query": 100, "repeat": 0, "query_ms": 239944.70827000006, "verify_ms": 14.406742000005579, "vo_kb": 211.816, "single_query_recall": 0.5, "build_seconds": 80.274051808, "prove_seconds": 151.14497659, "output": "/mnt/d/paper_source/work_9/VeriANN_repro_2026-09-30/VeriANN_repro_2026-09-30/results/work9-v3db-single-20261020/sift1m-1000000-M128-K1024-p1-k10-q1-r1-t1", "csv_sha256": "5fb545bb68699fb55de80e474d947880eb611376c8dbb20e426d95148301b491", "selection": "fixed query100 repeat0; not selected by runtime", "reused_existing_sample": false, "recall20": 0.58, "recall_source": "/mnt/d/paper_source/work_9/VeriANN_repro_2026-09-30/VeriANN_repro_2026-09-30/V3DB-26VLDB/work9-cache/sift1m-1000000-M128-K1024/calibration.json", "recall_query_count": 20, "recall_scope": "search calibration only; timing/VO use one fixed query, not 20 proofs", "kind": "curve"}</t>
        </is>
      </c>
    </row>
    <row r="99">
      <c r="A99" s="0" t="inlineStr">
        <is>
          <t>SIFT1M</t>
        </is>
      </c>
      <c r="B99" s="0" t="inlineStr">
        <is>
          <t>N51</t>
        </is>
      </c>
      <c r="C99" s="0" t="n">
        <v>239944.70827</v>
      </c>
      <c r="D99"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1, "k": 10, "samples": 1, "query": 100, "repeat": 0, "query_ms": 239944.70827000006, "verify_ms": 14.406742000005579, "vo_kb": 211.816, "single_query_recall": 0.5, "build_seconds": 80.274051808, "prove_seconds": 151.14497659, "output": "/mnt/d/paper_source/work_9/VeriANN_repro_2026-09-30/VeriANN_repro_2026-09-30/results/work9-v3db-single-20261020/sift1m-1000000-M128-K1024-p1-k10-q1-r1-t1", "csv_sha256": "5fb545bb68699fb55de80e474d947880eb611376c8dbb20e426d95148301b491", "selection": "fixed query100 repeat0; not selected by runtime", "reused_existing_sample": false, "recall20": 0.58, "recall_source": "/mnt/d/paper_source/work_9/VeriANN_repro_2026-09-30/VeriANN_repro_2026-09-30/V3DB-26VLDB/work9-cache/sift1m-1000000-M128-K1024/calibration.json", "recall_query_count": 20, "recall_scope": "search calibration only; timing/VO use one fixed query, not 20 proofs", "kind": "curve"}</t>
        </is>
      </c>
    </row>
    <row r="100">
      <c r="A100" s="0" t="inlineStr">
        <is>
          <t>SIFT1M</t>
        </is>
      </c>
      <c r="B100" s="0" t="inlineStr">
        <is>
          <t>O50</t>
        </is>
      </c>
      <c r="C100" s="0" t="n">
        <v>70.5</v>
      </c>
      <c r="D100"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101">
      <c r="A101" s="0" t="inlineStr">
        <is>
          <t>SIFT1M</t>
        </is>
      </c>
      <c r="B101" s="0" t="inlineStr">
        <is>
          <t>O51</t>
        </is>
      </c>
      <c r="C101" s="0" t="n">
        <v>517760.920454</v>
      </c>
      <c r="D101"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102">
      <c r="A102" s="0" t="inlineStr">
        <is>
          <t>SIFT1M</t>
        </is>
      </c>
      <c r="B102" s="0" t="inlineStr">
        <is>
          <t>P50</t>
        </is>
      </c>
      <c r="C102" s="0" t="n">
        <v>70.5</v>
      </c>
      <c r="D102"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103">
      <c r="A103" s="0" t="inlineStr">
        <is>
          <t>SIFT1M</t>
        </is>
      </c>
      <c r="B103" s="0" t="inlineStr">
        <is>
          <t>P51</t>
        </is>
      </c>
      <c r="C103" s="0" t="n">
        <v>517760.920454</v>
      </c>
      <c r="D103"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104">
      <c r="A104" s="0" t="inlineStr">
        <is>
          <t>SIFT1M</t>
        </is>
      </c>
      <c r="B104" s="0" t="inlineStr">
        <is>
          <t>Q50</t>
        </is>
      </c>
      <c r="C104" s="0" t="n">
        <v>70.5</v>
      </c>
      <c r="D104"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105">
      <c r="A105" s="0" t="inlineStr">
        <is>
          <t>SIFT1M</t>
        </is>
      </c>
      <c r="B105" s="0" t="inlineStr">
        <is>
          <t>Q51</t>
        </is>
      </c>
      <c r="C105" s="0" t="n">
        <v>517760.920454</v>
      </c>
      <c r="D105"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106">
      <c r="A106" s="0" t="inlineStr">
        <is>
          <t>SIFT1M</t>
        </is>
      </c>
      <c r="B106" s="0" t="inlineStr">
        <is>
          <t>R50</t>
        </is>
      </c>
      <c r="C106" s="0" t="inlineStr">
        <is>
          <t>预算内未测</t>
        </is>
      </c>
      <c r="D106" s="0" t="inlineStr">
        <is>
          <t>null</t>
        </is>
      </c>
    </row>
    <row r="107">
      <c r="A107" s="0" t="inlineStr">
        <is>
          <t>SIFT1M</t>
        </is>
      </c>
      <c r="B107" s="0" t="inlineStr">
        <is>
          <t>R51</t>
        </is>
      </c>
      <c r="C107" s="0" t="inlineStr">
        <is>
          <t>预算内未测</t>
        </is>
      </c>
      <c r="D107" s="0" t="inlineStr">
        <is>
          <t>null</t>
        </is>
      </c>
    </row>
    <row r="108">
      <c r="A108" s="0" t="inlineStr">
        <is>
          <t>SIFT1M</t>
        </is>
      </c>
      <c r="B108" s="0" t="inlineStr">
        <is>
          <t>S50</t>
        </is>
      </c>
      <c r="C108" s="0" t="inlineStr">
        <is>
          <t>预算内未测</t>
        </is>
      </c>
      <c r="D108" s="0" t="inlineStr">
        <is>
          <t>null</t>
        </is>
      </c>
    </row>
    <row r="109">
      <c r="A109" s="0" t="inlineStr">
        <is>
          <t>SIFT1M</t>
        </is>
      </c>
      <c r="B109" s="0" t="inlineStr">
        <is>
          <t>S51</t>
        </is>
      </c>
      <c r="C109" s="0" t="inlineStr">
        <is>
          <t>预算内未测</t>
        </is>
      </c>
      <c r="D109" s="0" t="inlineStr">
        <is>
          <t>null</t>
        </is>
      </c>
    </row>
    <row r="110">
      <c r="A110" s="0" t="inlineStr">
        <is>
          <t>SIFT1M</t>
        </is>
      </c>
      <c r="B110" s="0" t="inlineStr">
        <is>
          <t>T50</t>
        </is>
      </c>
      <c r="C110" s="0" t="inlineStr">
        <is>
          <t>预算内未测</t>
        </is>
      </c>
      <c r="D110" s="0" t="inlineStr">
        <is>
          <t>null</t>
        </is>
      </c>
    </row>
    <row r="111">
      <c r="A111" s="0" t="inlineStr">
        <is>
          <t>SIFT1M</t>
        </is>
      </c>
      <c r="B111" s="0" t="inlineStr">
        <is>
          <t>T51</t>
        </is>
      </c>
      <c r="C111" s="0" t="inlineStr">
        <is>
          <t>预算内未测</t>
        </is>
      </c>
      <c r="D111" s="0" t="inlineStr">
        <is>
          <t>null</t>
        </is>
      </c>
    </row>
    <row r="112">
      <c r="A112" s="0" t="inlineStr">
        <is>
          <t>SIFT1M</t>
        </is>
      </c>
      <c r="B112" s="0" t="inlineStr">
        <is>
          <t>U50</t>
        </is>
      </c>
      <c r="C112" s="0" t="inlineStr">
        <is>
          <t>预算内未测</t>
        </is>
      </c>
      <c r="D112" s="0" t="inlineStr">
        <is>
          <t>null</t>
        </is>
      </c>
    </row>
    <row r="113">
      <c r="A113" s="0" t="inlineStr">
        <is>
          <t>SIFT1M</t>
        </is>
      </c>
      <c r="B113" s="0" t="inlineStr">
        <is>
          <t>U51</t>
        </is>
      </c>
      <c r="C113" s="0" t="inlineStr">
        <is>
          <t>预算内未测</t>
        </is>
      </c>
      <c r="D113" s="0" t="inlineStr">
        <is>
          <t>null</t>
        </is>
      </c>
    </row>
    <row r="114">
      <c r="A114" s="0" t="inlineStr">
        <is>
          <t>SIFT1M</t>
        </is>
      </c>
      <c r="B114" s="0" t="inlineStr">
        <is>
          <t>V50</t>
        </is>
      </c>
      <c r="C114" s="0" t="inlineStr">
        <is>
          <t>预算内未测</t>
        </is>
      </c>
      <c r="D114" s="0" t="inlineStr">
        <is>
          <t>null</t>
        </is>
      </c>
    </row>
    <row r="115">
      <c r="A115" s="0" t="inlineStr">
        <is>
          <t>SIFT1M</t>
        </is>
      </c>
      <c r="B115" s="0" t="inlineStr">
        <is>
          <t>V51</t>
        </is>
      </c>
      <c r="C115" s="0" t="inlineStr">
        <is>
          <t>预算内未测</t>
        </is>
      </c>
      <c r="D115" s="0" t="inlineStr">
        <is>
          <t>null</t>
        </is>
      </c>
    </row>
    <row r="116">
      <c r="A116" s="0" t="inlineStr">
        <is>
          <t>SIFT1M</t>
        </is>
      </c>
      <c r="B116" s="0" t="inlineStr">
        <is>
          <t>W50</t>
        </is>
      </c>
      <c r="C116" s="0" t="inlineStr">
        <is>
          <t>预算内未测</t>
        </is>
      </c>
      <c r="D116" s="0" t="inlineStr">
        <is>
          <t>null</t>
        </is>
      </c>
    </row>
    <row r="117">
      <c r="A117" s="0" t="inlineStr">
        <is>
          <t>SIFT1M</t>
        </is>
      </c>
      <c r="B117" s="0" t="inlineStr">
        <is>
          <t>W51</t>
        </is>
      </c>
      <c r="C117" s="0" t="inlineStr">
        <is>
          <t>预算内未测</t>
        </is>
      </c>
      <c r="D117" s="0" t="inlineStr">
        <is>
          <t>null</t>
        </is>
      </c>
    </row>
    <row r="118">
      <c r="A118" s="0" t="inlineStr">
        <is>
          <t>SIFT1M</t>
        </is>
      </c>
      <c r="B118" s="0" t="inlineStr">
        <is>
          <t>X50</t>
        </is>
      </c>
      <c r="C118" s="0" t="inlineStr">
        <is>
          <t>预算内未测</t>
        </is>
      </c>
      <c r="D118" s="0" t="inlineStr">
        <is>
          <t>null</t>
        </is>
      </c>
    </row>
    <row r="119">
      <c r="A119" s="0" t="inlineStr">
        <is>
          <t>SIFT1M</t>
        </is>
      </c>
      <c r="B119" s="0" t="inlineStr">
        <is>
          <t>X51</t>
        </is>
      </c>
      <c r="C119" s="0" t="inlineStr">
        <is>
          <t>预算内未测</t>
        </is>
      </c>
      <c r="D119" s="0" t="inlineStr">
        <is>
          <t>null</t>
        </is>
      </c>
    </row>
    <row r="120">
      <c r="A120" s="0" t="inlineStr">
        <is>
          <t>SIFT1M</t>
        </is>
      </c>
      <c r="B120" s="0" t="inlineStr">
        <is>
          <t>Y50</t>
        </is>
      </c>
      <c r="C120" s="0" t="inlineStr">
        <is>
          <t>预算内未测</t>
        </is>
      </c>
      <c r="D120" s="0" t="inlineStr">
        <is>
          <t>null</t>
        </is>
      </c>
    </row>
    <row r="121">
      <c r="A121" s="0" t="inlineStr">
        <is>
          <t>SIFT1M</t>
        </is>
      </c>
      <c r="B121" s="0" t="inlineStr">
        <is>
          <t>Y51</t>
        </is>
      </c>
      <c r="C121" s="0" t="inlineStr">
        <is>
          <t>预算内未测</t>
        </is>
      </c>
      <c r="D121" s="0" t="inlineStr">
        <is>
          <t>null</t>
        </is>
      </c>
    </row>
    <row r="122">
      <c r="A122" s="0" t="inlineStr">
        <is>
          <t>NYTimes-256</t>
        </is>
      </c>
      <c r="B122" s="0" t="inlineStr">
        <is>
          <t>F26</t>
        </is>
      </c>
      <c r="C122" s="0" t="n">
        <v>32.5</v>
      </c>
      <c r="D122"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123">
      <c r="A123" s="0" t="inlineStr">
        <is>
          <t>NYTimes-256</t>
        </is>
      </c>
      <c r="B123" s="0" t="inlineStr">
        <is>
          <t>F27</t>
        </is>
      </c>
      <c r="C123" s="0" t="n">
        <v>193.524</v>
      </c>
      <c r="D123"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124">
      <c r="A124" s="0" t="inlineStr">
        <is>
          <t>NYTimes-256</t>
        </is>
      </c>
      <c r="B124" s="0" t="inlineStr">
        <is>
          <t>G26</t>
        </is>
      </c>
      <c r="C124" s="0" t="n">
        <v>32.5</v>
      </c>
      <c r="D124"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125">
      <c r="A125" s="0" t="inlineStr">
        <is>
          <t>NYTimes-256</t>
        </is>
      </c>
      <c r="B125" s="0" t="inlineStr">
        <is>
          <t>G27</t>
        </is>
      </c>
      <c r="C125" s="0" t="n">
        <v>193.524</v>
      </c>
      <c r="D125"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126">
      <c r="A126" s="0" t="inlineStr">
        <is>
          <t>NYTimes-256</t>
        </is>
      </c>
      <c r="B126" s="0" t="inlineStr">
        <is>
          <t>H26</t>
        </is>
      </c>
      <c r="C126" s="0" t="n">
        <v>32.5</v>
      </c>
      <c r="D126"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127">
      <c r="A127" s="0" t="inlineStr">
        <is>
          <t>NYTimes-256</t>
        </is>
      </c>
      <c r="B127" s="0" t="inlineStr">
        <is>
          <t>H27</t>
        </is>
      </c>
      <c r="C127" s="0" t="n">
        <v>193.524</v>
      </c>
      <c r="D127"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128">
      <c r="A128" s="0" t="inlineStr">
        <is>
          <t>NYTimes-256</t>
        </is>
      </c>
      <c r="B128" s="0" t="inlineStr">
        <is>
          <t>I26</t>
        </is>
      </c>
      <c r="C128" s="0" t="n">
        <v>32.5</v>
      </c>
      <c r="D128"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129">
      <c r="A129" s="0" t="inlineStr">
        <is>
          <t>NYTimes-256</t>
        </is>
      </c>
      <c r="B129" s="0" t="inlineStr">
        <is>
          <t>I27</t>
        </is>
      </c>
      <c r="C129" s="0" t="n">
        <v>193.524</v>
      </c>
      <c r="D129"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130">
      <c r="A130" s="0" t="inlineStr">
        <is>
          <t>NYTimes-256</t>
        </is>
      </c>
      <c r="B130" s="0" t="inlineStr">
        <is>
          <t>J26</t>
        </is>
      </c>
      <c r="C130" s="0" t="n">
        <v>35</v>
      </c>
      <c r="D130"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2, "k": 10, "samples": 1, "query": 100, "repeat": 0, "query_ms": 58626.753393000035, "verify_ms": 11.487213999998858, "vo_kb": 209.394, "single_query_recall": 0.2, "build_seconds": 18.990074529, "prove_seconds": 37.535014848, "output": "/mnt/d/paper_source/work_9/VeriANN_repro_2026-09-30/VeriANN_repro_2026-09-30/results/work9-v3db-lowrecall-20261020/nytimes256-289761-p2-k10-q1-r1-t1", "csv_sha256": "9b4fbf97e3857f87ade48e13736463fea3599a2bd6a138a2c4c4335d4463ecb7", "selection": "fixed query100 repeat0; not selected by runtime", "reused_existing_sample": false, "recall20": 0.35, "recall_source": "/mnt/d/paper_source/work_9/VeriANN_repro_2026-09-30/VeriANN_repro_2026-09-30/V3DB-26VLDB/work9-cache/nytimes256-289761/calibration.json", "recall_query_count": 20, "recall_scope": "search calibration only; timing/VO use one fixed query, not 20 proofs", "kind": "curve"}</t>
        </is>
      </c>
    </row>
    <row r="131">
      <c r="A131" s="0" t="inlineStr">
        <is>
          <t>NYTimes-256</t>
        </is>
      </c>
      <c r="B131" s="0" t="inlineStr">
        <is>
          <t>J27</t>
        </is>
      </c>
      <c r="C131" s="0" t="n">
        <v>209.394</v>
      </c>
      <c r="D131"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2, "k": 10, "samples": 1, "query": 100, "repeat": 0, "query_ms": 58626.753393000035, "verify_ms": 11.487213999998858, "vo_kb": 209.394, "single_query_recall": 0.2, "build_seconds": 18.990074529, "prove_seconds": 37.535014848, "output": "/mnt/d/paper_source/work_9/VeriANN_repro_2026-09-30/VeriANN_repro_2026-09-30/results/work9-v3db-lowrecall-20261020/nytimes256-289761-p2-k10-q1-r1-t1", "csv_sha256": "9b4fbf97e3857f87ade48e13736463fea3599a2bd6a138a2c4c4335d4463ecb7", "selection": "fixed query100 repeat0; not selected by runtime", "reused_existing_sample": false, "recall20": 0.35, "recall_source": "/mnt/d/paper_source/work_9/VeriANN_repro_2026-09-30/VeriANN_repro_2026-09-30/V3DB-26VLDB/work9-cache/nytimes256-289761/calibration.json", "recall_query_count": 20, "recall_scope": "search calibration only; timing/VO use one fixed query, not 20 proofs", "kind": "curve"}</t>
        </is>
      </c>
    </row>
    <row r="132">
      <c r="A132" s="0" t="inlineStr">
        <is>
          <t>NYTimes-256</t>
        </is>
      </c>
      <c r="B132" s="0" t="inlineStr">
        <is>
          <t>K26</t>
        </is>
      </c>
      <c r="C132" s="0" t="n">
        <v>45.5</v>
      </c>
      <c r="D132" s="0" t="inlineStr">
        <is>
          <t>{"status":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is>
      </c>
    </row>
    <row r="133">
      <c r="A133" s="0" t="inlineStr">
        <is>
          <t>NYTimes-256</t>
        </is>
      </c>
      <c r="B133" s="0" t="inlineStr">
        <is>
          <t>K27</t>
        </is>
      </c>
      <c r="C133" s="0" t="n">
        <v>203.127</v>
      </c>
      <c r="D133" s="0" t="inlineStr">
        <is>
          <t>{"status":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is>
      </c>
    </row>
    <row r="134">
      <c r="A134" s="0" t="inlineStr">
        <is>
          <t>NYTimes-256</t>
        </is>
      </c>
      <c r="B134" s="0" t="inlineStr">
        <is>
          <t>L26</t>
        </is>
      </c>
      <c r="C134" s="0" t="n">
        <v>45.5</v>
      </c>
      <c r="D134" s="0" t="inlineStr">
        <is>
          <t>{"status":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is>
      </c>
    </row>
    <row r="135">
      <c r="A135" s="0" t="inlineStr">
        <is>
          <t>NYTimes-256</t>
        </is>
      </c>
      <c r="B135" s="0" t="inlineStr">
        <is>
          <t>L27</t>
        </is>
      </c>
      <c r="C135" s="0" t="n">
        <v>203.127</v>
      </c>
      <c r="D135" s="0" t="inlineStr">
        <is>
          <t>{"status":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is>
      </c>
    </row>
    <row r="136">
      <c r="A136" s="0" t="inlineStr">
        <is>
          <t>NYTimes-256</t>
        </is>
      </c>
      <c r="B136" s="0" t="inlineStr">
        <is>
          <t>M26</t>
        </is>
      </c>
      <c r="C136" s="0" t="n">
        <v>51.5</v>
      </c>
      <c r="D136"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1, "k": 10, "samples": 1, "query": 100, "repeat": 0, "query_ms": 242087.28415399994, "verify_ms": 12.754877999896053, "vo_kb": 214.815, "single_query_recall": 0.2, "build_seconds": 77.535410398, "prove_seconds": 152.129587529, "output": "/mnt/d/paper_source/work_9/VeriANN_repro_2026-09-30/VeriANN_repro_2026-09-30/results/work9-v3db-single-20261020/nytimes256-289761-M256-p1-k10-q1-r1-t1", "csv_sha256": "b868d8122065fcbbe8a532d8f2e654ab1f50f8c654b0b48f55c5d1b3921e8802", "selection": "fixed query100 repeat0; not selected by runtime", "reused_existing_sample": false, "recall20": 0.5149999999999999, "recall_source": "/mnt/d/paper_source/work_9/VeriANN_repro_2026-09-30/VeriANN_repro_2026-09-30/V3DB-26VLDB/work9-cache/nytimes256-289761-M256/calibration.json", "recall_query_count": 20, "recall_scope": "search calibration only; timing/VO use one fixed query, not 20 proofs", "kind": "curve"}</t>
        </is>
      </c>
    </row>
    <row r="137">
      <c r="A137" s="0" t="inlineStr">
        <is>
          <t>NYTimes-256</t>
        </is>
      </c>
      <c r="B137" s="0" t="inlineStr">
        <is>
          <t>M27</t>
        </is>
      </c>
      <c r="C137" s="0" t="n">
        <v>214.815</v>
      </c>
      <c r="D137"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1, "k": 10, "samples": 1, "query": 100, "repeat": 0, "query_ms": 242087.28415399994, "verify_ms": 12.754877999896053, "vo_kb": 214.815, "single_query_recall": 0.2, "build_seconds": 77.535410398, "prove_seconds": 152.129587529, "output": "/mnt/d/paper_source/work_9/VeriANN_repro_2026-09-30/VeriANN_repro_2026-09-30/results/work9-v3db-single-20261020/nytimes256-289761-M256-p1-k10-q1-r1-t1", "csv_sha256": "b868d8122065fcbbe8a532d8f2e654ab1f50f8c654b0b48f55c5d1b3921e8802", "selection": "fixed query100 repeat0; not selected by runtime", "reused_existing_sample": false, "recall20": 0.5149999999999999, "recall_source": "/mnt/d/paper_source/work_9/VeriANN_repro_2026-09-30/VeriANN_repro_2026-09-30/V3DB-26VLDB/work9-cache/nytimes256-289761-M256/calibration.json", "recall_query_count": 20, "recall_scope": "search calibration only; timing/VO use one fixed query, not 20 proofs", "kind": "curve"}</t>
        </is>
      </c>
    </row>
    <row r="138">
      <c r="A138" s="0" t="inlineStr">
        <is>
          <t>NYTimes-256</t>
        </is>
      </c>
      <c r="B138" s="0" t="inlineStr">
        <is>
          <t>N26</t>
        </is>
      </c>
      <c r="C138" s="0" t="n">
        <v>58</v>
      </c>
      <c r="D138"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is>
      </c>
    </row>
    <row r="139">
      <c r="A139" s="0" t="inlineStr">
        <is>
          <t>NYTimes-256</t>
        </is>
      </c>
      <c r="B139" s="0" t="inlineStr">
        <is>
          <t>N27</t>
        </is>
      </c>
      <c r="C139" s="0" t="n">
        <v>236.43</v>
      </c>
      <c r="D139"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is>
      </c>
    </row>
    <row r="140">
      <c r="A140" s="0" t="inlineStr">
        <is>
          <t>NYTimes-256</t>
        </is>
      </c>
      <c r="B140" s="0" t="inlineStr">
        <is>
          <t>O26</t>
        </is>
      </c>
      <c r="C140" s="0" t="inlineStr">
        <is>
          <t>预算内未测</t>
        </is>
      </c>
      <c r="D140" s="0" t="inlineStr">
        <is>
          <t>null</t>
        </is>
      </c>
    </row>
    <row r="141">
      <c r="A141" s="0" t="inlineStr">
        <is>
          <t>NYTimes-256</t>
        </is>
      </c>
      <c r="B141" s="0" t="inlineStr">
        <is>
          <t>O27</t>
        </is>
      </c>
      <c r="C141" s="0" t="inlineStr">
        <is>
          <t>预算内未测</t>
        </is>
      </c>
      <c r="D141" s="0" t="inlineStr">
        <is>
          <t>null</t>
        </is>
      </c>
    </row>
    <row r="142">
      <c r="A142" s="0" t="inlineStr">
        <is>
          <t>NYTimes-256</t>
        </is>
      </c>
      <c r="B142" s="0" t="inlineStr">
        <is>
          <t>P26</t>
        </is>
      </c>
      <c r="C142" s="0" t="inlineStr">
        <is>
          <t>预算内未测</t>
        </is>
      </c>
      <c r="D142" s="0" t="inlineStr">
        <is>
          <t>null</t>
        </is>
      </c>
    </row>
    <row r="143">
      <c r="A143" s="0" t="inlineStr">
        <is>
          <t>NYTimes-256</t>
        </is>
      </c>
      <c r="B143" s="0" t="inlineStr">
        <is>
          <t>P27</t>
        </is>
      </c>
      <c r="C143" s="0" t="inlineStr">
        <is>
          <t>预算内未测</t>
        </is>
      </c>
      <c r="D143" s="0" t="inlineStr">
        <is>
          <t>null</t>
        </is>
      </c>
    </row>
    <row r="144">
      <c r="A144" s="0" t="inlineStr">
        <is>
          <t>NYTimes-256</t>
        </is>
      </c>
      <c r="B144" s="0" t="inlineStr">
        <is>
          <t>Q26</t>
        </is>
      </c>
      <c r="C144" s="0" t="inlineStr">
        <is>
          <t>预算内未测</t>
        </is>
      </c>
      <c r="D144" s="0" t="inlineStr">
        <is>
          <t>null</t>
        </is>
      </c>
    </row>
    <row r="145">
      <c r="A145" s="0" t="inlineStr">
        <is>
          <t>NYTimes-256</t>
        </is>
      </c>
      <c r="B145" s="0" t="inlineStr">
        <is>
          <t>Q27</t>
        </is>
      </c>
      <c r="C145" s="0" t="inlineStr">
        <is>
          <t>预算内未测</t>
        </is>
      </c>
      <c r="D145" s="0" t="inlineStr">
        <is>
          <t>null</t>
        </is>
      </c>
    </row>
    <row r="146">
      <c r="A146" s="0" t="inlineStr">
        <is>
          <t>NYTimes-256</t>
        </is>
      </c>
      <c r="B146" s="0" t="inlineStr">
        <is>
          <t>R26</t>
        </is>
      </c>
      <c r="C146" s="0" t="inlineStr">
        <is>
          <t>预算内未测</t>
        </is>
      </c>
      <c r="D146" s="0" t="inlineStr">
        <is>
          <t>null</t>
        </is>
      </c>
    </row>
    <row r="147">
      <c r="A147" s="0" t="inlineStr">
        <is>
          <t>NYTimes-256</t>
        </is>
      </c>
      <c r="B147" s="0" t="inlineStr">
        <is>
          <t>R27</t>
        </is>
      </c>
      <c r="C147" s="0" t="inlineStr">
        <is>
          <t>预算内未测</t>
        </is>
      </c>
      <c r="D147" s="0" t="inlineStr">
        <is>
          <t>null</t>
        </is>
      </c>
    </row>
    <row r="148">
      <c r="A148" s="0" t="inlineStr">
        <is>
          <t>NYTimes-256</t>
        </is>
      </c>
      <c r="B148" s="0" t="inlineStr">
        <is>
          <t>S26</t>
        </is>
      </c>
      <c r="C148" s="0" t="inlineStr">
        <is>
          <t>预算内未测</t>
        </is>
      </c>
      <c r="D148" s="0" t="inlineStr">
        <is>
          <t>null</t>
        </is>
      </c>
    </row>
    <row r="149">
      <c r="A149" s="0" t="inlineStr">
        <is>
          <t>NYTimes-256</t>
        </is>
      </c>
      <c r="B149" s="0" t="inlineStr">
        <is>
          <t>S27</t>
        </is>
      </c>
      <c r="C149" s="0" t="inlineStr">
        <is>
          <t>预算内未测</t>
        </is>
      </c>
      <c r="D149" s="0" t="inlineStr">
        <is>
          <t>null</t>
        </is>
      </c>
    </row>
    <row r="150">
      <c r="A150" s="0" t="inlineStr">
        <is>
          <t>NYTimes-256</t>
        </is>
      </c>
      <c r="B150" s="0" t="inlineStr">
        <is>
          <t>T26</t>
        </is>
      </c>
      <c r="C150" s="0" t="inlineStr">
        <is>
          <t>预算内未测</t>
        </is>
      </c>
      <c r="D150" s="0" t="inlineStr">
        <is>
          <t>null</t>
        </is>
      </c>
    </row>
    <row r="151">
      <c r="A151" s="0" t="inlineStr">
        <is>
          <t>NYTimes-256</t>
        </is>
      </c>
      <c r="B151" s="0" t="inlineStr">
        <is>
          <t>T27</t>
        </is>
      </c>
      <c r="C151" s="0" t="inlineStr">
        <is>
          <t>预算内未测</t>
        </is>
      </c>
      <c r="D151" s="0" t="inlineStr">
        <is>
          <t>null</t>
        </is>
      </c>
    </row>
    <row r="152">
      <c r="A152" s="0" t="inlineStr">
        <is>
          <t>NYTimes-256</t>
        </is>
      </c>
      <c r="B152" s="0" t="inlineStr">
        <is>
          <t>U26</t>
        </is>
      </c>
      <c r="C152" s="0" t="inlineStr">
        <is>
          <t>预算内未测</t>
        </is>
      </c>
      <c r="D152" s="0" t="inlineStr">
        <is>
          <t>null</t>
        </is>
      </c>
    </row>
    <row r="153">
      <c r="A153" s="0" t="inlineStr">
        <is>
          <t>NYTimes-256</t>
        </is>
      </c>
      <c r="B153" s="0" t="inlineStr">
        <is>
          <t>U27</t>
        </is>
      </c>
      <c r="C153" s="0" t="inlineStr">
        <is>
          <t>预算内未测</t>
        </is>
      </c>
      <c r="D153" s="0" t="inlineStr">
        <is>
          <t>null</t>
        </is>
      </c>
    </row>
    <row r="154">
      <c r="A154" s="0" t="inlineStr">
        <is>
          <t>NYTimes-256</t>
        </is>
      </c>
      <c r="B154" s="0" t="inlineStr">
        <is>
          <t>V26</t>
        </is>
      </c>
      <c r="C154" s="0" t="inlineStr">
        <is>
          <t>预算内未测</t>
        </is>
      </c>
      <c r="D154" s="0" t="inlineStr">
        <is>
          <t>null</t>
        </is>
      </c>
    </row>
    <row r="155">
      <c r="A155" s="0" t="inlineStr">
        <is>
          <t>NYTimes-256</t>
        </is>
      </c>
      <c r="B155" s="0" t="inlineStr">
        <is>
          <t>V27</t>
        </is>
      </c>
      <c r="C155" s="0" t="inlineStr">
        <is>
          <t>预算内未测</t>
        </is>
      </c>
      <c r="D155" s="0" t="inlineStr">
        <is>
          <t>null</t>
        </is>
      </c>
    </row>
    <row r="156">
      <c r="A156" s="0" t="inlineStr">
        <is>
          <t>NYTimes-256</t>
        </is>
      </c>
      <c r="B156" s="0" t="inlineStr">
        <is>
          <t>W26</t>
        </is>
      </c>
      <c r="C156" s="0" t="inlineStr">
        <is>
          <t>预算内未测</t>
        </is>
      </c>
      <c r="D156" s="0" t="inlineStr">
        <is>
          <t>null</t>
        </is>
      </c>
    </row>
    <row r="157">
      <c r="A157" s="0" t="inlineStr">
        <is>
          <t>NYTimes-256</t>
        </is>
      </c>
      <c r="B157" s="0" t="inlineStr">
        <is>
          <t>W27</t>
        </is>
      </c>
      <c r="C157" s="0" t="inlineStr">
        <is>
          <t>预算内未测</t>
        </is>
      </c>
      <c r="D157" s="0" t="inlineStr">
        <is>
          <t>null</t>
        </is>
      </c>
    </row>
    <row r="158">
      <c r="A158" s="0" t="inlineStr">
        <is>
          <t>NYTimes-256</t>
        </is>
      </c>
      <c r="B158" s="0" t="inlineStr">
        <is>
          <t>X26</t>
        </is>
      </c>
      <c r="C158" s="0" t="inlineStr">
        <is>
          <t>预算内未测</t>
        </is>
      </c>
      <c r="D158" s="0" t="inlineStr">
        <is>
          <t>null</t>
        </is>
      </c>
    </row>
    <row r="159">
      <c r="A159" s="0" t="inlineStr">
        <is>
          <t>NYTimes-256</t>
        </is>
      </c>
      <c r="B159" s="0" t="inlineStr">
        <is>
          <t>X27</t>
        </is>
      </c>
      <c r="C159" s="0" t="inlineStr">
        <is>
          <t>预算内未测</t>
        </is>
      </c>
      <c r="D159" s="0" t="inlineStr">
        <is>
          <t>null</t>
        </is>
      </c>
    </row>
    <row r="160">
      <c r="A160" s="0" t="inlineStr">
        <is>
          <t>NYTimes-256</t>
        </is>
      </c>
      <c r="B160" s="0" t="inlineStr">
        <is>
          <t>Y26</t>
        </is>
      </c>
      <c r="C160" s="0" t="inlineStr">
        <is>
          <t>预算内未测</t>
        </is>
      </c>
      <c r="D160" s="0" t="inlineStr">
        <is>
          <t>null</t>
        </is>
      </c>
    </row>
    <row r="161">
      <c r="A161" s="0" t="inlineStr">
        <is>
          <t>NYTimes-256</t>
        </is>
      </c>
      <c r="B161" s="0" t="inlineStr">
        <is>
          <t>Y27</t>
        </is>
      </c>
      <c r="C161" s="0" t="inlineStr">
        <is>
          <t>预算内未测</t>
        </is>
      </c>
      <c r="D161" s="0" t="inlineStr">
        <is>
          <t>null</t>
        </is>
      </c>
    </row>
    <row r="162">
      <c r="A162" s="0" t="inlineStr">
        <is>
          <t>NYTimes-256</t>
        </is>
      </c>
      <c r="B162" s="0" t="inlineStr">
        <is>
          <t>F38</t>
        </is>
      </c>
      <c r="C162" s="0" t="n">
        <v>32.5</v>
      </c>
      <c r="D162"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163">
      <c r="A163" s="0" t="inlineStr">
        <is>
          <t>NYTimes-256</t>
        </is>
      </c>
      <c r="B163" s="0" t="inlineStr">
        <is>
          <t>F39</t>
        </is>
      </c>
      <c r="C163" s="0" t="n">
        <v>10.7410540000501</v>
      </c>
      <c r="D163"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164">
      <c r="A164" s="0" t="inlineStr">
        <is>
          <t>NYTimes-256</t>
        </is>
      </c>
      <c r="B164" s="0" t="inlineStr">
        <is>
          <t>G38</t>
        </is>
      </c>
      <c r="C164" s="0" t="n">
        <v>32.5</v>
      </c>
      <c r="D164"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165">
      <c r="A165" s="0" t="inlineStr">
        <is>
          <t>NYTimes-256</t>
        </is>
      </c>
      <c r="B165" s="0" t="inlineStr">
        <is>
          <t>G39</t>
        </is>
      </c>
      <c r="C165" s="0" t="n">
        <v>10.7410540000501</v>
      </c>
      <c r="D165"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166">
      <c r="A166" s="0" t="inlineStr">
        <is>
          <t>NYTimes-256</t>
        </is>
      </c>
      <c r="B166" s="0" t="inlineStr">
        <is>
          <t>H38</t>
        </is>
      </c>
      <c r="C166" s="0" t="n">
        <v>32.5</v>
      </c>
      <c r="D166"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167">
      <c r="A167" s="0" t="inlineStr">
        <is>
          <t>NYTimes-256</t>
        </is>
      </c>
      <c r="B167" s="0" t="inlineStr">
        <is>
          <t>H39</t>
        </is>
      </c>
      <c r="C167" s="0" t="n">
        <v>10.7410540000501</v>
      </c>
      <c r="D167"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168">
      <c r="A168" s="0" t="inlineStr">
        <is>
          <t>NYTimes-256</t>
        </is>
      </c>
      <c r="B168" s="0" t="inlineStr">
        <is>
          <t>I38</t>
        </is>
      </c>
      <c r="C168" s="0" t="n">
        <v>32.5</v>
      </c>
      <c r="D168"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169">
      <c r="A169" s="0" t="inlineStr">
        <is>
          <t>NYTimes-256</t>
        </is>
      </c>
      <c r="B169" s="0" t="inlineStr">
        <is>
          <t>I39</t>
        </is>
      </c>
      <c r="C169" s="0" t="n">
        <v>10.7410540000501</v>
      </c>
      <c r="D169"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170">
      <c r="A170" s="0" t="inlineStr">
        <is>
          <t>NYTimes-256</t>
        </is>
      </c>
      <c r="B170" s="0" t="inlineStr">
        <is>
          <t>J38</t>
        </is>
      </c>
      <c r="C170" s="0" t="n">
        <v>35</v>
      </c>
      <c r="D170"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2, "k": 10, "samples": 1, "query": 100, "repeat": 0, "query_ms": 58626.753393000035, "verify_ms": 11.487213999998858, "vo_kb": 209.394, "single_query_recall": 0.2, "build_seconds": 18.990074529, "prove_seconds": 37.535014848, "output": "/mnt/d/paper_source/work_9/VeriANN_repro_2026-09-30/VeriANN_repro_2026-09-30/results/work9-v3db-lowrecall-20261020/nytimes256-289761-p2-k10-q1-r1-t1", "csv_sha256": "9b4fbf97e3857f87ade48e13736463fea3599a2bd6a138a2c4c4335d4463ecb7", "selection": "fixed query100 repeat0; not selected by runtime", "reused_existing_sample": false, "recall20": 0.35, "recall_source": "/mnt/d/paper_source/work_9/VeriANN_repro_2026-09-30/VeriANN_repro_2026-09-30/V3DB-26VLDB/work9-cache/nytimes256-289761/calibration.json", "recall_query_count": 20, "recall_scope": "search calibration only; timing/VO use one fixed query, not 20 proofs", "kind": "curve"}</t>
        </is>
      </c>
    </row>
    <row r="171">
      <c r="A171" s="0" t="inlineStr">
        <is>
          <t>NYTimes-256</t>
        </is>
      </c>
      <c r="B171" s="0" t="inlineStr">
        <is>
          <t>J39</t>
        </is>
      </c>
      <c r="C171" s="0" t="n">
        <v>11.4872139999989</v>
      </c>
      <c r="D171"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2, "k": 10, "samples": 1, "query": 100, "repeat": 0, "query_ms": 58626.753393000035, "verify_ms": 11.487213999998858, "vo_kb": 209.394, "single_query_recall": 0.2, "build_seconds": 18.990074529, "prove_seconds": 37.535014848, "output": "/mnt/d/paper_source/work_9/VeriANN_repro_2026-09-30/VeriANN_repro_2026-09-30/results/work9-v3db-lowrecall-20261020/nytimes256-289761-p2-k10-q1-r1-t1", "csv_sha256": "9b4fbf97e3857f87ade48e13736463fea3599a2bd6a138a2c4c4335d4463ecb7", "selection": "fixed query100 repeat0; not selected by runtime", "reused_existing_sample": false, "recall20": 0.35, "recall_source": "/mnt/d/paper_source/work_9/VeriANN_repro_2026-09-30/VeriANN_repro_2026-09-30/V3DB-26VLDB/work9-cache/nytimes256-289761/calibration.json", "recall_query_count": 20, "recall_scope": "search calibration only; timing/VO use one fixed query, not 20 proofs", "kind": "curve"}</t>
        </is>
      </c>
    </row>
    <row r="172">
      <c r="A172" s="0" t="inlineStr">
        <is>
          <t>NYTimes-256</t>
        </is>
      </c>
      <c r="B172" s="0" t="inlineStr">
        <is>
          <t>K38</t>
        </is>
      </c>
      <c r="C172" s="0" t="n">
        <v>45.5</v>
      </c>
      <c r="D172" s="0" t="inlineStr">
        <is>
          <t>{"status":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is>
      </c>
    </row>
    <row r="173">
      <c r="A173" s="0" t="inlineStr">
        <is>
          <t>NYTimes-256</t>
        </is>
      </c>
      <c r="B173" s="0" t="inlineStr">
        <is>
          <t>K39</t>
        </is>
      </c>
      <c r="C173" s="0" t="n">
        <v>13.1931410000448</v>
      </c>
      <c r="D173" s="0" t="inlineStr">
        <is>
          <t>{"status":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is>
      </c>
    </row>
    <row r="174">
      <c r="A174" s="0" t="inlineStr">
        <is>
          <t>NYTimes-256</t>
        </is>
      </c>
      <c r="B174" s="0" t="inlineStr">
        <is>
          <t>L38</t>
        </is>
      </c>
      <c r="C174" s="0" t="n">
        <v>45.5</v>
      </c>
      <c r="D174" s="0" t="inlineStr">
        <is>
          <t>{"status":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is>
      </c>
    </row>
    <row r="175">
      <c r="A175" s="0" t="inlineStr">
        <is>
          <t>NYTimes-256</t>
        </is>
      </c>
      <c r="B175" s="0" t="inlineStr">
        <is>
          <t>L39</t>
        </is>
      </c>
      <c r="C175" s="0" t="n">
        <v>13.1931410000448</v>
      </c>
      <c r="D175" s="0" t="inlineStr">
        <is>
          <t>{"status":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is>
      </c>
    </row>
    <row r="176">
      <c r="A176" s="0" t="inlineStr">
        <is>
          <t>NYTimes-256</t>
        </is>
      </c>
      <c r="B176" s="0" t="inlineStr">
        <is>
          <t>M38</t>
        </is>
      </c>
      <c r="C176" s="0" t="n">
        <v>51.5</v>
      </c>
      <c r="D176"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1, "k": 10, "samples": 1, "query": 100, "repeat": 0, "query_ms": 242087.28415399994, "verify_ms": 12.754877999896053, "vo_kb": 214.815, "single_query_recall": 0.2, "build_seconds": 77.535410398, "prove_seconds": 152.129587529, "output": "/mnt/d/paper_source/work_9/VeriANN_repro_2026-09-30/VeriANN_repro_2026-09-30/results/work9-v3db-single-20261020/nytimes256-289761-M256-p1-k10-q1-r1-t1", "csv_sha256": "b868d8122065fcbbe8a532d8f2e654ab1f50f8c654b0b48f55c5d1b3921e8802", "selection": "fixed query100 repeat0; not selected by runtime", "reused_existing_sample": false, "recall20": 0.5149999999999999, "recall_source": "/mnt/d/paper_source/work_9/VeriANN_repro_2026-09-30/VeriANN_repro_2026-09-30/V3DB-26VLDB/work9-cache/nytimes256-289761-M256/calibration.json", "recall_query_count": 20, "recall_scope": "search calibration only; timing/VO use one fixed query, not 20 proofs", "kind": "curve"}</t>
        </is>
      </c>
    </row>
    <row r="177">
      <c r="A177" s="0" t="inlineStr">
        <is>
          <t>NYTimes-256</t>
        </is>
      </c>
      <c r="B177" s="0" t="inlineStr">
        <is>
          <t>M39</t>
        </is>
      </c>
      <c r="C177" s="0" t="n">
        <v>12.7548779998961</v>
      </c>
      <c r="D177"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1, "k": 10, "samples": 1, "query": 100, "repeat": 0, "query_ms": 242087.28415399994, "verify_ms": 12.754877999896053, "vo_kb": 214.815, "single_query_recall": 0.2, "build_seconds": 77.535410398, "prove_seconds": 152.129587529, "output": "/mnt/d/paper_source/work_9/VeriANN_repro_2026-09-30/VeriANN_repro_2026-09-30/results/work9-v3db-single-20261020/nytimes256-289761-M256-p1-k10-q1-r1-t1", "csv_sha256": "b868d8122065fcbbe8a532d8f2e654ab1f50f8c654b0b48f55c5d1b3921e8802", "selection": "fixed query100 repeat0; not selected by runtime", "reused_existing_sample": false, "recall20": 0.5149999999999999, "recall_source": "/mnt/d/paper_source/work_9/VeriANN_repro_2026-09-30/VeriANN_repro_2026-09-30/V3DB-26VLDB/work9-cache/nytimes256-289761-M256/calibration.json", "recall_query_count": 20, "recall_scope": "search calibration only; timing/VO use one fixed query, not 20 proofs", "kind": "curve"}</t>
        </is>
      </c>
    </row>
    <row r="178">
      <c r="A178" s="0" t="inlineStr">
        <is>
          <t>NYTimes-256</t>
        </is>
      </c>
      <c r="B178" s="0" t="inlineStr">
        <is>
          <t>N38</t>
        </is>
      </c>
      <c r="C178" s="0" t="n">
        <v>58</v>
      </c>
      <c r="D178"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is>
      </c>
    </row>
    <row r="179">
      <c r="A179" s="0" t="inlineStr">
        <is>
          <t>NYTimes-256</t>
        </is>
      </c>
      <c r="B179" s="0" t="inlineStr">
        <is>
          <t>N39</t>
        </is>
      </c>
      <c r="C179" s="0" t="n">
        <v>69.6683460000713</v>
      </c>
      <c r="D179"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is>
      </c>
    </row>
    <row r="180">
      <c r="A180" s="0" t="inlineStr">
        <is>
          <t>NYTimes-256</t>
        </is>
      </c>
      <c r="B180" s="0" t="inlineStr">
        <is>
          <t>O38</t>
        </is>
      </c>
      <c r="C180" s="0" t="inlineStr">
        <is>
          <t>预算内未测</t>
        </is>
      </c>
      <c r="D180" s="0" t="inlineStr">
        <is>
          <t>null</t>
        </is>
      </c>
    </row>
    <row r="181">
      <c r="A181" s="0" t="inlineStr">
        <is>
          <t>NYTimes-256</t>
        </is>
      </c>
      <c r="B181" s="0" t="inlineStr">
        <is>
          <t>O39</t>
        </is>
      </c>
      <c r="C181" s="0" t="inlineStr">
        <is>
          <t>预算内未测</t>
        </is>
      </c>
      <c r="D181" s="0" t="inlineStr">
        <is>
          <t>null</t>
        </is>
      </c>
    </row>
    <row r="182">
      <c r="A182" s="0" t="inlineStr">
        <is>
          <t>NYTimes-256</t>
        </is>
      </c>
      <c r="B182" s="0" t="inlineStr">
        <is>
          <t>P38</t>
        </is>
      </c>
      <c r="C182" s="0" t="inlineStr">
        <is>
          <t>预算内未测</t>
        </is>
      </c>
      <c r="D182" s="0" t="inlineStr">
        <is>
          <t>null</t>
        </is>
      </c>
    </row>
    <row r="183">
      <c r="A183" s="0" t="inlineStr">
        <is>
          <t>NYTimes-256</t>
        </is>
      </c>
      <c r="B183" s="0" t="inlineStr">
        <is>
          <t>P39</t>
        </is>
      </c>
      <c r="C183" s="0" t="inlineStr">
        <is>
          <t>预算内未测</t>
        </is>
      </c>
      <c r="D183" s="0" t="inlineStr">
        <is>
          <t>null</t>
        </is>
      </c>
    </row>
    <row r="184">
      <c r="A184" s="0" t="inlineStr">
        <is>
          <t>NYTimes-256</t>
        </is>
      </c>
      <c r="B184" s="0" t="inlineStr">
        <is>
          <t>Q38</t>
        </is>
      </c>
      <c r="C184" s="0" t="inlineStr">
        <is>
          <t>预算内未测</t>
        </is>
      </c>
      <c r="D184" s="0" t="inlineStr">
        <is>
          <t>null</t>
        </is>
      </c>
    </row>
    <row r="185">
      <c r="A185" s="0" t="inlineStr">
        <is>
          <t>NYTimes-256</t>
        </is>
      </c>
      <c r="B185" s="0" t="inlineStr">
        <is>
          <t>Q39</t>
        </is>
      </c>
      <c r="C185" s="0" t="inlineStr">
        <is>
          <t>预算内未测</t>
        </is>
      </c>
      <c r="D185" s="0" t="inlineStr">
        <is>
          <t>null</t>
        </is>
      </c>
    </row>
    <row r="186">
      <c r="A186" s="0" t="inlineStr">
        <is>
          <t>NYTimes-256</t>
        </is>
      </c>
      <c r="B186" s="0" t="inlineStr">
        <is>
          <t>R38</t>
        </is>
      </c>
      <c r="C186" s="0" t="inlineStr">
        <is>
          <t>预算内未测</t>
        </is>
      </c>
      <c r="D186" s="0" t="inlineStr">
        <is>
          <t>null</t>
        </is>
      </c>
    </row>
    <row r="187">
      <c r="A187" s="0" t="inlineStr">
        <is>
          <t>NYTimes-256</t>
        </is>
      </c>
      <c r="B187" s="0" t="inlineStr">
        <is>
          <t>R39</t>
        </is>
      </c>
      <c r="C187" s="0" t="inlineStr">
        <is>
          <t>预算内未测</t>
        </is>
      </c>
      <c r="D187" s="0" t="inlineStr">
        <is>
          <t>null</t>
        </is>
      </c>
    </row>
    <row r="188">
      <c r="A188" s="0" t="inlineStr">
        <is>
          <t>NYTimes-256</t>
        </is>
      </c>
      <c r="B188" s="0" t="inlineStr">
        <is>
          <t>S38</t>
        </is>
      </c>
      <c r="C188" s="0" t="inlineStr">
        <is>
          <t>预算内未测</t>
        </is>
      </c>
      <c r="D188" s="0" t="inlineStr">
        <is>
          <t>null</t>
        </is>
      </c>
    </row>
    <row r="189">
      <c r="A189" s="0" t="inlineStr">
        <is>
          <t>NYTimes-256</t>
        </is>
      </c>
      <c r="B189" s="0" t="inlineStr">
        <is>
          <t>S39</t>
        </is>
      </c>
      <c r="C189" s="0" t="inlineStr">
        <is>
          <t>预算内未测</t>
        </is>
      </c>
      <c r="D189" s="0" t="inlineStr">
        <is>
          <t>null</t>
        </is>
      </c>
    </row>
    <row r="190">
      <c r="A190" s="0" t="inlineStr">
        <is>
          <t>NYTimes-256</t>
        </is>
      </c>
      <c r="B190" s="0" t="inlineStr">
        <is>
          <t>T38</t>
        </is>
      </c>
      <c r="C190" s="0" t="inlineStr">
        <is>
          <t>预算内未测</t>
        </is>
      </c>
      <c r="D190" s="0" t="inlineStr">
        <is>
          <t>null</t>
        </is>
      </c>
    </row>
    <row r="191">
      <c r="A191" s="0" t="inlineStr">
        <is>
          <t>NYTimes-256</t>
        </is>
      </c>
      <c r="B191" s="0" t="inlineStr">
        <is>
          <t>T39</t>
        </is>
      </c>
      <c r="C191" s="0" t="inlineStr">
        <is>
          <t>预算内未测</t>
        </is>
      </c>
      <c r="D191" s="0" t="inlineStr">
        <is>
          <t>null</t>
        </is>
      </c>
    </row>
    <row r="192">
      <c r="A192" s="0" t="inlineStr">
        <is>
          <t>NYTimes-256</t>
        </is>
      </c>
      <c r="B192" s="0" t="inlineStr">
        <is>
          <t>U38</t>
        </is>
      </c>
      <c r="C192" s="0" t="inlineStr">
        <is>
          <t>预算内未测</t>
        </is>
      </c>
      <c r="D192" s="0" t="inlineStr">
        <is>
          <t>null</t>
        </is>
      </c>
    </row>
    <row r="193">
      <c r="A193" s="0" t="inlineStr">
        <is>
          <t>NYTimes-256</t>
        </is>
      </c>
      <c r="B193" s="0" t="inlineStr">
        <is>
          <t>U39</t>
        </is>
      </c>
      <c r="C193" s="0" t="inlineStr">
        <is>
          <t>预算内未测</t>
        </is>
      </c>
      <c r="D193" s="0" t="inlineStr">
        <is>
          <t>null</t>
        </is>
      </c>
    </row>
    <row r="194">
      <c r="A194" s="0" t="inlineStr">
        <is>
          <t>NYTimes-256</t>
        </is>
      </c>
      <c r="B194" s="0" t="inlineStr">
        <is>
          <t>V38</t>
        </is>
      </c>
      <c r="C194" s="0" t="inlineStr">
        <is>
          <t>预算内未测</t>
        </is>
      </c>
      <c r="D194" s="0" t="inlineStr">
        <is>
          <t>null</t>
        </is>
      </c>
    </row>
    <row r="195">
      <c r="A195" s="0" t="inlineStr">
        <is>
          <t>NYTimes-256</t>
        </is>
      </c>
      <c r="B195" s="0" t="inlineStr">
        <is>
          <t>V39</t>
        </is>
      </c>
      <c r="C195" s="0" t="inlineStr">
        <is>
          <t>预算内未测</t>
        </is>
      </c>
      <c r="D195" s="0" t="inlineStr">
        <is>
          <t>null</t>
        </is>
      </c>
    </row>
    <row r="196">
      <c r="A196" s="0" t="inlineStr">
        <is>
          <t>NYTimes-256</t>
        </is>
      </c>
      <c r="B196" s="0" t="inlineStr">
        <is>
          <t>W38</t>
        </is>
      </c>
      <c r="C196" s="0" t="inlineStr">
        <is>
          <t>预算内未测</t>
        </is>
      </c>
      <c r="D196" s="0" t="inlineStr">
        <is>
          <t>null</t>
        </is>
      </c>
    </row>
    <row r="197">
      <c r="A197" s="0" t="inlineStr">
        <is>
          <t>NYTimes-256</t>
        </is>
      </c>
      <c r="B197" s="0" t="inlineStr">
        <is>
          <t>W39</t>
        </is>
      </c>
      <c r="C197" s="0" t="inlineStr">
        <is>
          <t>预算内未测</t>
        </is>
      </c>
      <c r="D197" s="0" t="inlineStr">
        <is>
          <t>null</t>
        </is>
      </c>
    </row>
    <row r="198">
      <c r="A198" s="0" t="inlineStr">
        <is>
          <t>NYTimes-256</t>
        </is>
      </c>
      <c r="B198" s="0" t="inlineStr">
        <is>
          <t>X38</t>
        </is>
      </c>
      <c r="C198" s="0" t="inlineStr">
        <is>
          <t>预算内未测</t>
        </is>
      </c>
      <c r="D198" s="0" t="inlineStr">
        <is>
          <t>null</t>
        </is>
      </c>
    </row>
    <row r="199">
      <c r="A199" s="0" t="inlineStr">
        <is>
          <t>NYTimes-256</t>
        </is>
      </c>
      <c r="B199" s="0" t="inlineStr">
        <is>
          <t>X39</t>
        </is>
      </c>
      <c r="C199" s="0" t="inlineStr">
        <is>
          <t>预算内未测</t>
        </is>
      </c>
      <c r="D199" s="0" t="inlineStr">
        <is>
          <t>null</t>
        </is>
      </c>
    </row>
    <row r="200">
      <c r="A200" s="0" t="inlineStr">
        <is>
          <t>NYTimes-256</t>
        </is>
      </c>
      <c r="B200" s="0" t="inlineStr">
        <is>
          <t>Y38</t>
        </is>
      </c>
      <c r="C200" s="0" t="inlineStr">
        <is>
          <t>预算内未测</t>
        </is>
      </c>
      <c r="D200" s="0" t="inlineStr">
        <is>
          <t>null</t>
        </is>
      </c>
    </row>
    <row r="201">
      <c r="A201" s="0" t="inlineStr">
        <is>
          <t>NYTimes-256</t>
        </is>
      </c>
      <c r="B201" s="0" t="inlineStr">
        <is>
          <t>Y39</t>
        </is>
      </c>
      <c r="C201" s="0" t="inlineStr">
        <is>
          <t>预算内未测</t>
        </is>
      </c>
      <c r="D201" s="0" t="inlineStr">
        <is>
          <t>null</t>
        </is>
      </c>
    </row>
    <row r="202">
      <c r="A202" s="0" t="inlineStr">
        <is>
          <t>NYTimes-256</t>
        </is>
      </c>
      <c r="B202" s="0" t="inlineStr">
        <is>
          <t>F50</t>
        </is>
      </c>
      <c r="C202" s="0" t="n">
        <v>32.5</v>
      </c>
      <c r="D202"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203">
      <c r="A203" s="0" t="inlineStr">
        <is>
          <t>NYTimes-256</t>
        </is>
      </c>
      <c r="B203" s="0" t="inlineStr">
        <is>
          <t>F51</t>
        </is>
      </c>
      <c r="C203" s="0" t="n">
        <v>58004.043308</v>
      </c>
      <c r="D203"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204">
      <c r="A204" s="0" t="inlineStr">
        <is>
          <t>NYTimes-256</t>
        </is>
      </c>
      <c r="B204" s="0" t="inlineStr">
        <is>
          <t>G50</t>
        </is>
      </c>
      <c r="C204" s="0" t="n">
        <v>32.5</v>
      </c>
      <c r="D204"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205">
      <c r="A205" s="0" t="inlineStr">
        <is>
          <t>NYTimes-256</t>
        </is>
      </c>
      <c r="B205" s="0" t="inlineStr">
        <is>
          <t>G51</t>
        </is>
      </c>
      <c r="C205" s="0" t="n">
        <v>58004.043308</v>
      </c>
      <c r="D205"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206">
      <c r="A206" s="0" t="inlineStr">
        <is>
          <t>NYTimes-256</t>
        </is>
      </c>
      <c r="B206" s="0" t="inlineStr">
        <is>
          <t>H50</t>
        </is>
      </c>
      <c r="C206" s="0" t="n">
        <v>32.5</v>
      </c>
      <c r="D206"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207">
      <c r="A207" s="0" t="inlineStr">
        <is>
          <t>NYTimes-256</t>
        </is>
      </c>
      <c r="B207" s="0" t="inlineStr">
        <is>
          <t>H51</t>
        </is>
      </c>
      <c r="C207" s="0" t="n">
        <v>58004.043308</v>
      </c>
      <c r="D207"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208">
      <c r="A208" s="0" t="inlineStr">
        <is>
          <t>NYTimes-256</t>
        </is>
      </c>
      <c r="B208" s="0" t="inlineStr">
        <is>
          <t>I50</t>
        </is>
      </c>
      <c r="C208" s="0" t="n">
        <v>32.5</v>
      </c>
      <c r="D208"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209">
      <c r="A209" s="0" t="inlineStr">
        <is>
          <t>NYTimes-256</t>
        </is>
      </c>
      <c r="B209" s="0" t="inlineStr">
        <is>
          <t>I51</t>
        </is>
      </c>
      <c r="C209" s="0" t="n">
        <v>58004.043308</v>
      </c>
      <c r="D209"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210">
      <c r="A210" s="0" t="inlineStr">
        <is>
          <t>NYTimes-256</t>
        </is>
      </c>
      <c r="B210" s="0" t="inlineStr">
        <is>
          <t>J50</t>
        </is>
      </c>
      <c r="C210" s="0" t="n">
        <v>35</v>
      </c>
      <c r="D210"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2, "k": 10, "samples": 1, "query": 100, "repeat": 0, "query_ms": 58626.753393000035, "verify_ms": 11.487213999998858, "vo_kb": 209.394, "single_query_recall": 0.2, "build_seconds": 18.990074529, "prove_seconds": 37.535014848, "output": "/mnt/d/paper_source/work_9/VeriANN_repro_2026-09-30/VeriANN_repro_2026-09-30/results/work9-v3db-lowrecall-20261020/nytimes256-289761-p2-k10-q1-r1-t1", "csv_sha256": "9b4fbf97e3857f87ade48e13736463fea3599a2bd6a138a2c4c4335d4463ecb7", "selection": "fixed query100 repeat0; not selected by runtime", "reused_existing_sample": false, "recall20": 0.35, "recall_source": "/mnt/d/paper_source/work_9/VeriANN_repro_2026-09-30/VeriANN_repro_2026-09-30/V3DB-26VLDB/work9-cache/nytimes256-289761/calibration.json", "recall_query_count": 20, "recall_scope": "search calibration only; timing/VO use one fixed query, not 20 proofs", "kind": "curve"}</t>
        </is>
      </c>
    </row>
    <row r="211">
      <c r="A211" s="0" t="inlineStr">
        <is>
          <t>NYTimes-256</t>
        </is>
      </c>
      <c r="B211" s="0" t="inlineStr">
        <is>
          <t>J51</t>
        </is>
      </c>
      <c r="C211" s="0" t="n">
        <v>58626.753393</v>
      </c>
      <c r="D211"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2, "k": 10, "samples": 1, "query": 100, "repeat": 0, "query_ms": 58626.753393000035, "verify_ms": 11.487213999998858, "vo_kb": 209.394, "single_query_recall": 0.2, "build_seconds": 18.990074529, "prove_seconds": 37.535014848, "output": "/mnt/d/paper_source/work_9/VeriANN_repro_2026-09-30/VeriANN_repro_2026-09-30/results/work9-v3db-lowrecall-20261020/nytimes256-289761-p2-k10-q1-r1-t1", "csv_sha256": "9b4fbf97e3857f87ade48e13736463fea3599a2bd6a138a2c4c4335d4463ecb7", "selection": "fixed query100 repeat0; not selected by runtime", "reused_existing_sample": false, "recall20": 0.35, "recall_source": "/mnt/d/paper_source/work_9/VeriANN_repro_2026-09-30/VeriANN_repro_2026-09-30/V3DB-26VLDB/work9-cache/nytimes256-289761/calibration.json", "recall_query_count": 20, "recall_scope": "search calibration only; timing/VO use one fixed query, not 20 proofs", "kind": "curve"}</t>
        </is>
      </c>
    </row>
    <row r="212">
      <c r="A212" s="0" t="inlineStr">
        <is>
          <t>NYTimes-256</t>
        </is>
      </c>
      <c r="B212" s="0" t="inlineStr">
        <is>
          <t>K50</t>
        </is>
      </c>
      <c r="C212" s="0" t="n">
        <v>45.5</v>
      </c>
      <c r="D212" s="0" t="inlineStr">
        <is>
          <t>{"status":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is>
      </c>
    </row>
    <row r="213">
      <c r="A213" s="0" t="inlineStr">
        <is>
          <t>NYTimes-256</t>
        </is>
      </c>
      <c r="B213" s="0" t="inlineStr">
        <is>
          <t>K51</t>
        </is>
      </c>
      <c r="C213" s="0" t="n">
        <v>118898.04465</v>
      </c>
      <c r="D213" s="0" t="inlineStr">
        <is>
          <t>{"status":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is>
      </c>
    </row>
    <row r="214">
      <c r="A214" s="0" t="inlineStr">
        <is>
          <t>NYTimes-256</t>
        </is>
      </c>
      <c r="B214" s="0" t="inlineStr">
        <is>
          <t>L50</t>
        </is>
      </c>
      <c r="C214" s="0" t="n">
        <v>45.5</v>
      </c>
      <c r="D214" s="0" t="inlineStr">
        <is>
          <t>{"status":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is>
      </c>
    </row>
    <row r="215">
      <c r="A215" s="0" t="inlineStr">
        <is>
          <t>NYTimes-256</t>
        </is>
      </c>
      <c r="B215" s="0" t="inlineStr">
        <is>
          <t>L51</t>
        </is>
      </c>
      <c r="C215" s="0" t="n">
        <v>118898.04465</v>
      </c>
      <c r="D215" s="0" t="inlineStr">
        <is>
          <t>{"status":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is>
      </c>
    </row>
    <row r="216">
      <c r="A216" s="0" t="inlineStr">
        <is>
          <t>NYTimes-256</t>
        </is>
      </c>
      <c r="B216" s="0" t="inlineStr">
        <is>
          <t>M50</t>
        </is>
      </c>
      <c r="C216" s="0" t="n">
        <v>51.5</v>
      </c>
      <c r="D216"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1, "k": 10, "samples": 1, "query": 100, "repeat": 0, "query_ms": 242087.28415399994, "verify_ms": 12.754877999896053, "vo_kb": 214.815, "single_query_recall": 0.2, "build_seconds": 77.535410398, "prove_seconds": 152.129587529, "output": "/mnt/d/paper_source/work_9/VeriANN_repro_2026-09-30/VeriANN_repro_2026-09-30/results/work9-v3db-single-20261020/nytimes256-289761-M256-p1-k10-q1-r1-t1", "csv_sha256": "b868d8122065fcbbe8a532d8f2e654ab1f50f8c654b0b48f55c5d1b3921e8802", "selection": "fixed query100 repeat0; not selected by runtime", "reused_existing_sample": false, "recall20": 0.5149999999999999, "recall_source": "/mnt/d/paper_source/work_9/VeriANN_repro_2026-09-30/VeriANN_repro_2026-09-30/V3DB-26VLDB/work9-cache/nytimes256-289761-M256/calibration.json", "recall_query_count": 20, "recall_scope": "search calibration only; timing/VO use one fixed query, not 20 proofs", "kind": "curve"}</t>
        </is>
      </c>
    </row>
    <row r="217">
      <c r="A217" s="0" t="inlineStr">
        <is>
          <t>NYTimes-256</t>
        </is>
      </c>
      <c r="B217" s="0" t="inlineStr">
        <is>
          <t>M51</t>
        </is>
      </c>
      <c r="C217" s="0" t="n">
        <v>242087.284154</v>
      </c>
      <c r="D217"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1, "k": 10, "samples": 1, "query": 100, "repeat": 0, "query_ms": 242087.28415399994, "verify_ms": 12.754877999896053, "vo_kb": 214.815, "single_query_recall": 0.2, "build_seconds": 77.535410398, "prove_seconds": 152.129587529, "output": "/mnt/d/paper_source/work_9/VeriANN_repro_2026-09-30/VeriANN_repro_2026-09-30/results/work9-v3db-single-20261020/nytimes256-289761-M256-p1-k10-q1-r1-t1", "csv_sha256": "b868d8122065fcbbe8a532d8f2e654ab1f50f8c654b0b48f55c5d1b3921e8802", "selection": "fixed query100 repeat0; not selected by runtime", "reused_existing_sample": false, "recall20": 0.5149999999999999, "recall_source": "/mnt/d/paper_source/work_9/VeriANN_repro_2026-09-30/VeriANN_repro_2026-09-30/V3DB-26VLDB/work9-cache/nytimes256-289761-M256/calibration.json", "recall_query_count": 20, "recall_scope": "search calibration only; timing/VO use one fixed query, not 20 proofs", "kind": "curve"}</t>
        </is>
      </c>
    </row>
    <row r="218">
      <c r="A218" s="0" t="inlineStr">
        <is>
          <t>NYTimes-256</t>
        </is>
      </c>
      <c r="B218" s="0" t="inlineStr">
        <is>
          <t>N50</t>
        </is>
      </c>
      <c r="C218" s="0" t="n">
        <v>58</v>
      </c>
      <c r="D218"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is>
      </c>
    </row>
    <row r="219">
      <c r="A219" s="0" t="inlineStr">
        <is>
          <t>NYTimes-256</t>
        </is>
      </c>
      <c r="B219" s="0" t="inlineStr">
        <is>
          <t>N51</t>
        </is>
      </c>
      <c r="C219" s="0" t="n">
        <v>525753.569964</v>
      </c>
      <c r="D219"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is>
      </c>
    </row>
    <row r="220">
      <c r="A220" s="0" t="inlineStr">
        <is>
          <t>NYTimes-256</t>
        </is>
      </c>
      <c r="B220" s="0" t="inlineStr">
        <is>
          <t>O50</t>
        </is>
      </c>
      <c r="C220" s="0" t="inlineStr">
        <is>
          <t>预算内未测</t>
        </is>
      </c>
      <c r="D220" s="0" t="inlineStr">
        <is>
          <t>null</t>
        </is>
      </c>
    </row>
    <row r="221">
      <c r="A221" s="0" t="inlineStr">
        <is>
          <t>NYTimes-256</t>
        </is>
      </c>
      <c r="B221" s="0" t="inlineStr">
        <is>
          <t>O51</t>
        </is>
      </c>
      <c r="C221" s="0" t="inlineStr">
        <is>
          <t>预算内未测</t>
        </is>
      </c>
      <c r="D221" s="0" t="inlineStr">
        <is>
          <t>null</t>
        </is>
      </c>
    </row>
    <row r="222">
      <c r="A222" s="0" t="inlineStr">
        <is>
          <t>NYTimes-256</t>
        </is>
      </c>
      <c r="B222" s="0" t="inlineStr">
        <is>
          <t>P50</t>
        </is>
      </c>
      <c r="C222" s="0" t="inlineStr">
        <is>
          <t>预算内未测</t>
        </is>
      </c>
      <c r="D222" s="0" t="inlineStr">
        <is>
          <t>null</t>
        </is>
      </c>
    </row>
    <row r="223">
      <c r="A223" s="0" t="inlineStr">
        <is>
          <t>NYTimes-256</t>
        </is>
      </c>
      <c r="B223" s="0" t="inlineStr">
        <is>
          <t>P51</t>
        </is>
      </c>
      <c r="C223" s="0" t="inlineStr">
        <is>
          <t>预算内未测</t>
        </is>
      </c>
      <c r="D223" s="0" t="inlineStr">
        <is>
          <t>null</t>
        </is>
      </c>
    </row>
    <row r="224">
      <c r="A224" s="0" t="inlineStr">
        <is>
          <t>NYTimes-256</t>
        </is>
      </c>
      <c r="B224" s="0" t="inlineStr">
        <is>
          <t>Q50</t>
        </is>
      </c>
      <c r="C224" s="0" t="inlineStr">
        <is>
          <t>预算内未测</t>
        </is>
      </c>
      <c r="D224" s="0" t="inlineStr">
        <is>
          <t>null</t>
        </is>
      </c>
    </row>
    <row r="225">
      <c r="A225" s="0" t="inlineStr">
        <is>
          <t>NYTimes-256</t>
        </is>
      </c>
      <c r="B225" s="0" t="inlineStr">
        <is>
          <t>Q51</t>
        </is>
      </c>
      <c r="C225" s="0" t="inlineStr">
        <is>
          <t>预算内未测</t>
        </is>
      </c>
      <c r="D225" s="0" t="inlineStr">
        <is>
          <t>null</t>
        </is>
      </c>
    </row>
    <row r="226">
      <c r="A226" s="0" t="inlineStr">
        <is>
          <t>NYTimes-256</t>
        </is>
      </c>
      <c r="B226" s="0" t="inlineStr">
        <is>
          <t>R50</t>
        </is>
      </c>
      <c r="C226" s="0" t="inlineStr">
        <is>
          <t>预算内未测</t>
        </is>
      </c>
      <c r="D226" s="0" t="inlineStr">
        <is>
          <t>null</t>
        </is>
      </c>
    </row>
    <row r="227">
      <c r="A227" s="0" t="inlineStr">
        <is>
          <t>NYTimes-256</t>
        </is>
      </c>
      <c r="B227" s="0" t="inlineStr">
        <is>
          <t>R51</t>
        </is>
      </c>
      <c r="C227" s="0" t="inlineStr">
        <is>
          <t>预算内未测</t>
        </is>
      </c>
      <c r="D227" s="0" t="inlineStr">
        <is>
          <t>null</t>
        </is>
      </c>
    </row>
    <row r="228">
      <c r="A228" s="0" t="inlineStr">
        <is>
          <t>NYTimes-256</t>
        </is>
      </c>
      <c r="B228" s="0" t="inlineStr">
        <is>
          <t>S50</t>
        </is>
      </c>
      <c r="C228" s="0" t="inlineStr">
        <is>
          <t>预算内未测</t>
        </is>
      </c>
      <c r="D228" s="0" t="inlineStr">
        <is>
          <t>null</t>
        </is>
      </c>
    </row>
    <row r="229">
      <c r="A229" s="0" t="inlineStr">
        <is>
          <t>NYTimes-256</t>
        </is>
      </c>
      <c r="B229" s="0" t="inlineStr">
        <is>
          <t>S51</t>
        </is>
      </c>
      <c r="C229" s="0" t="inlineStr">
        <is>
          <t>预算内未测</t>
        </is>
      </c>
      <c r="D229" s="0" t="inlineStr">
        <is>
          <t>null</t>
        </is>
      </c>
    </row>
    <row r="230">
      <c r="A230" s="0" t="inlineStr">
        <is>
          <t>NYTimes-256</t>
        </is>
      </c>
      <c r="B230" s="0" t="inlineStr">
        <is>
          <t>T50</t>
        </is>
      </c>
      <c r="C230" s="0" t="inlineStr">
        <is>
          <t>预算内未测</t>
        </is>
      </c>
      <c r="D230" s="0" t="inlineStr">
        <is>
          <t>null</t>
        </is>
      </c>
    </row>
    <row r="231">
      <c r="A231" s="0" t="inlineStr">
        <is>
          <t>NYTimes-256</t>
        </is>
      </c>
      <c r="B231" s="0" t="inlineStr">
        <is>
          <t>T51</t>
        </is>
      </c>
      <c r="C231" s="0" t="inlineStr">
        <is>
          <t>预算内未测</t>
        </is>
      </c>
      <c r="D231" s="0" t="inlineStr">
        <is>
          <t>null</t>
        </is>
      </c>
    </row>
    <row r="232">
      <c r="A232" s="0" t="inlineStr">
        <is>
          <t>NYTimes-256</t>
        </is>
      </c>
      <c r="B232" s="0" t="inlineStr">
        <is>
          <t>U50</t>
        </is>
      </c>
      <c r="C232" s="0" t="inlineStr">
        <is>
          <t>预算内未测</t>
        </is>
      </c>
      <c r="D232" s="0" t="inlineStr">
        <is>
          <t>null</t>
        </is>
      </c>
    </row>
    <row r="233">
      <c r="A233" s="0" t="inlineStr">
        <is>
          <t>NYTimes-256</t>
        </is>
      </c>
      <c r="B233" s="0" t="inlineStr">
        <is>
          <t>U51</t>
        </is>
      </c>
      <c r="C233" s="0" t="inlineStr">
        <is>
          <t>预算内未测</t>
        </is>
      </c>
      <c r="D233" s="0" t="inlineStr">
        <is>
          <t>null</t>
        </is>
      </c>
    </row>
    <row r="234">
      <c r="A234" s="0" t="inlineStr">
        <is>
          <t>NYTimes-256</t>
        </is>
      </c>
      <c r="B234" s="0" t="inlineStr">
        <is>
          <t>V50</t>
        </is>
      </c>
      <c r="C234" s="0" t="inlineStr">
        <is>
          <t>预算内未测</t>
        </is>
      </c>
      <c r="D234" s="0" t="inlineStr">
        <is>
          <t>null</t>
        </is>
      </c>
    </row>
    <row r="235">
      <c r="A235" s="0" t="inlineStr">
        <is>
          <t>NYTimes-256</t>
        </is>
      </c>
      <c r="B235" s="0" t="inlineStr">
        <is>
          <t>V51</t>
        </is>
      </c>
      <c r="C235" s="0" t="inlineStr">
        <is>
          <t>预算内未测</t>
        </is>
      </c>
      <c r="D235" s="0" t="inlineStr">
        <is>
          <t>null</t>
        </is>
      </c>
    </row>
    <row r="236">
      <c r="A236" s="0" t="inlineStr">
        <is>
          <t>NYTimes-256</t>
        </is>
      </c>
      <c r="B236" s="0" t="inlineStr">
        <is>
          <t>W50</t>
        </is>
      </c>
      <c r="C236" s="0" t="inlineStr">
        <is>
          <t>预算内未测</t>
        </is>
      </c>
      <c r="D236" s="0" t="inlineStr">
        <is>
          <t>null</t>
        </is>
      </c>
    </row>
    <row r="237">
      <c r="A237" s="0" t="inlineStr">
        <is>
          <t>NYTimes-256</t>
        </is>
      </c>
      <c r="B237" s="0" t="inlineStr">
        <is>
          <t>W51</t>
        </is>
      </c>
      <c r="C237" s="0" t="inlineStr">
        <is>
          <t>预算内未测</t>
        </is>
      </c>
      <c r="D237" s="0" t="inlineStr">
        <is>
          <t>null</t>
        </is>
      </c>
    </row>
    <row r="238">
      <c r="A238" s="0" t="inlineStr">
        <is>
          <t>NYTimes-256</t>
        </is>
      </c>
      <c r="B238" s="0" t="inlineStr">
        <is>
          <t>X50</t>
        </is>
      </c>
      <c r="C238" s="0" t="inlineStr">
        <is>
          <t>预算内未测</t>
        </is>
      </c>
      <c r="D238" s="0" t="inlineStr">
        <is>
          <t>null</t>
        </is>
      </c>
    </row>
    <row r="239">
      <c r="A239" s="0" t="inlineStr">
        <is>
          <t>NYTimes-256</t>
        </is>
      </c>
      <c r="B239" s="0" t="inlineStr">
        <is>
          <t>X51</t>
        </is>
      </c>
      <c r="C239" s="0" t="inlineStr">
        <is>
          <t>预算内未测</t>
        </is>
      </c>
      <c r="D239" s="0" t="inlineStr">
        <is>
          <t>null</t>
        </is>
      </c>
    </row>
    <row r="240">
      <c r="A240" s="0" t="inlineStr">
        <is>
          <t>NYTimes-256</t>
        </is>
      </c>
      <c r="B240" s="0" t="inlineStr">
        <is>
          <t>Y50</t>
        </is>
      </c>
      <c r="C240" s="0" t="inlineStr">
        <is>
          <t>预算内未测</t>
        </is>
      </c>
      <c r="D240" s="0" t="inlineStr">
        <is>
          <t>null</t>
        </is>
      </c>
    </row>
    <row r="241">
      <c r="A241" s="0" t="inlineStr">
        <is>
          <t>NYTimes-256</t>
        </is>
      </c>
      <c r="B241" s="0" t="inlineStr">
        <is>
          <t>Y51</t>
        </is>
      </c>
      <c r="C241" s="0" t="inlineStr">
        <is>
          <t>预算内未测</t>
        </is>
      </c>
      <c r="D241" s="0" t="inlineStr">
        <is>
          <t>null</t>
        </is>
      </c>
    </row>
    <row r="242">
      <c r="A242" s="0" t="inlineStr">
        <is>
          <t>GloVe-100</t>
        </is>
      </c>
      <c r="B242" s="0" t="inlineStr">
        <is>
          <t>F26</t>
        </is>
      </c>
      <c r="C242" s="0" t="n">
        <v>16.5</v>
      </c>
      <c r="D242" s="0" t="inlineStr">
        <is>
          <t>{"status": "passed", "dataset": "glove100", "model": "glove100-1183514", "config": {"dataset": "glove100", "source": "glove100", "N": 1183514, "D": 100, "n_list": 1024, "M": 10, "K": 256, "n_iter": 25, "seed": 0, "capacity": 4096, "query_offset": 100, "query_count": 20, "scale": 65536, "rebalance": "author algorithm with identical row-chunk distances"}, "n_probe": 1, "k": 10, "samples": 1, "query": 100, "repeat": 0, "query_ms": 58119.444832000016, "verify_ms": 11.430244999928618, "vo_kb": 225.089, "single_query_recall": 0.0, "build_seconds": 19.015157319, "prove_seconds": 37.463503513, "output": "/mnt/d/paper_source/work_9/VeriANN_repro_2026-09-30/VeriANN_repro_2026-09-30/results/work9-v3db-lowrecall-20261020/glove100-1183514-p1-k10-q1-r1-t1", "csv_sha256": "2c45e19746222db6162b63c50949c48788e638763c1e3d10f685ae2f76a340bf", "selection": "fixed query100 repeat0; not selected by runtime", "reused_existing_sample": false, "recall20": 0.165, "recall_source": "/mnt/d/paper_source/work_9/VeriANN_repro_2026-09-30/VeriANN_repro_2026-09-30/V3DB-26VLDB/work9-cache/glove100-1183514/calibration.json", "recall_query_count": 20, "recall_scope": "search calibration only; timing/VO use one fixed query, not 20 proofs", "kind": "curve"}</t>
        </is>
      </c>
    </row>
    <row r="243">
      <c r="A243" s="0" t="inlineStr">
        <is>
          <t>GloVe-100</t>
        </is>
      </c>
      <c r="B243" s="0" t="inlineStr">
        <is>
          <t>F27</t>
        </is>
      </c>
      <c r="C243" s="0" t="n">
        <v>225.089</v>
      </c>
      <c r="D243" s="0" t="inlineStr">
        <is>
          <t>{"status": "passed", "dataset": "glove100", "model": "glove100-1183514", "config": {"dataset": "glove100", "source": "glove100", "N": 1183514, "D": 100, "n_list": 1024, "M": 10, "K": 256, "n_iter": 25, "seed": 0, "capacity": 4096, "query_offset": 100, "query_count": 20, "scale": 65536, "rebalance": "author algorithm with identical row-chunk distances"}, "n_probe": 1, "k": 10, "samples": 1, "query": 100, "repeat": 0, "query_ms": 58119.444832000016, "verify_ms": 11.430244999928618, "vo_kb": 225.089, "single_query_recall": 0.0, "build_seconds": 19.015157319, "prove_seconds": 37.463503513, "output": "/mnt/d/paper_source/work_9/VeriANN_repro_2026-09-30/VeriANN_repro_2026-09-30/results/work9-v3db-lowrecall-20261020/glove100-1183514-p1-k10-q1-r1-t1", "csv_sha256": "2c45e19746222db6162b63c50949c48788e638763c1e3d10f685ae2f76a340bf", "selection": "fixed query100 repeat0; not selected by runtime", "reused_existing_sample": false, "recall20": 0.165, "recall_source": "/mnt/d/paper_source/work_9/VeriANN_repro_2026-09-30/VeriANN_repro_2026-09-30/V3DB-26VLDB/work9-cache/glove100-1183514/calibration.json", "recall_query_count": 20, "recall_scope": "search calibration only; timing/VO use one fixed query, not 20 proofs", "kind": "curve"}</t>
        </is>
      </c>
    </row>
    <row r="244">
      <c r="A244" s="0" t="inlineStr">
        <is>
          <t>GloVe-100</t>
        </is>
      </c>
      <c r="B244" s="0" t="inlineStr">
        <is>
          <t>G26</t>
        </is>
      </c>
      <c r="C244" s="0" t="n">
        <v>20</v>
      </c>
      <c r="D244" s="0" t="inlineStr">
        <is>
          <t>{"status": "passed", "dataset": "glove100", "model": "glove100-1183514", "config": {"dataset": "glove100", "source": "glove100", "N": 1183514, "D": 100, "n_list": 1024, "M": 10, "K": 256, "n_iter": 25, "seed": 0, "capacity": 4096, "query_offset": 100, "query_count": 20, "scale": 65536, "rebalance": "author algorithm with identical row-chunk distances"}, "n_probe": 2, "k": 10, "samples": 1, "query": 100, "repeat": 0, "query_ms": 119464.82183200005, "verify_ms": 14.618057000006957, "vo_kb": 275.131, "single_query_recall": 0.0, "build_seconds": 40.393343418, "prove_seconds": 76.149597641, "output": "/mnt/d/paper_source/work_9/VeriANN_repro_2026-09-30/VeriANN_repro_2026-09-30/results/work9-v3db-lowrecall-20261020/glove100-1183514-p2-k10-q1-r1-t1", "csv_sha256": "22d31f7f344f4450cf2f78a42fbdac0f9a65de7c056fb3e4f65624a0eade0b6e", "selection": "fixed query100 repeat0; not selected by runtime", "reused_existing_sample": false, "recall20": 0.2, "recall_source": "/mnt/d/paper_source/work_9/VeriANN_repro_2026-09-30/VeriANN_repro_2026-09-30/V3DB-26VLDB/work9-cache/glove100-1183514/calibration.json", "recall_query_count": 20, "recall_scope": "search calibration only; timing/VO use one fixed query, not 20 proofs", "kind": "curve"}</t>
        </is>
      </c>
    </row>
    <row r="245">
      <c r="A245" s="0" t="inlineStr">
        <is>
          <t>GloVe-100</t>
        </is>
      </c>
      <c r="B245" s="0" t="inlineStr">
        <is>
          <t>G27</t>
        </is>
      </c>
      <c r="C245" s="0" t="n">
        <v>275.131</v>
      </c>
      <c r="D245" s="0" t="inlineStr">
        <is>
          <t>{"status": "passed", "dataset": "glove100", "model": "glove100-1183514", "config": {"dataset": "glove100", "source": "glove100", "N": 1183514, "D": 100, "n_list": 1024, "M": 10, "K": 256, "n_iter": 25, "seed": 0, "capacity": 4096, "query_offset": 100, "query_count": 20, "scale": 65536, "rebalance": "author algorithm with identical row-chunk distances"}, "n_probe": 2, "k": 10, "samples": 1, "query": 100, "repeat": 0, "query_ms": 119464.82183200005, "verify_ms": 14.618057000006957, "vo_kb": 275.131, "single_query_recall": 0.0, "build_seconds": 40.393343418, "prove_seconds": 76.149597641, "output": "/mnt/d/paper_source/work_9/VeriANN_repro_2026-09-30/VeriANN_repro_2026-09-30/results/work9-v3db-lowrecall-20261020/glove100-1183514-p2-k10-q1-r1-t1", "csv_sha256": "22d31f7f344f4450cf2f78a42fbdac0f9a65de7c056fb3e4f65624a0eade0b6e", "selection": "fixed query100 repeat0; not selected by runtime", "reused_existing_sample": false, "recall20": 0.2, "recall_source": "/mnt/d/paper_source/work_9/VeriANN_repro_2026-09-30/VeriANN_repro_2026-09-30/V3DB-26VLDB/work9-cache/glove100-1183514/calibration.json", "recall_query_count": 20, "recall_scope": "search calibration only; timing/VO use one fixed query, not 20 proofs", "kind": "curve"}</t>
        </is>
      </c>
    </row>
    <row r="246">
      <c r="A246" s="0" t="inlineStr">
        <is>
          <t>GloVe-100</t>
        </is>
      </c>
      <c r="B246" s="0" t="inlineStr">
        <is>
          <t>H26</t>
        </is>
      </c>
      <c r="C246" s="0" t="n">
        <v>28.5</v>
      </c>
      <c r="D246"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1, "k": 10, "samples": 1, "query": 100, "repeat": 0, "query_ms": 240491.80455499986, "verify_ms": 12.915905999989263, "vo_kb": 247.916, "single_query_recall": 0.0, "build_seconds": 78.673836929, "prove_seconds": 151.446472523, "output": "/mnt/d/paper_source/work_9/VeriANN_repro_2026-09-30/VeriANN_repro_2026-09-30/results/work9-v3db-single-20261020/glove100-1183514-M100-K1024-p1-k10-q1-r1-t1", "csv_sha256": "186cfd050b943866ae42e298afff276e2af5ad7e9fc863e1e240509ff093054f", "selection": "fixed query100 repeat0; not selected by runtime", "reused_existing_sample": false, "recall20": 0.28500000000000003, "recall_source": "/mnt/d/paper_source/work_9/VeriANN_repro_2026-09-30/VeriANN_repro_2026-09-30/V3DB-26VLDB/work9-cache/glove100-1183514-M100-K1024/calibration.json", "recall_query_count": 20, "recall_scope": "search calibration only; timing/VO use one fixed query, not 20 proofs", "kind": "curve"}</t>
        </is>
      </c>
    </row>
    <row r="247">
      <c r="A247" s="0" t="inlineStr">
        <is>
          <t>GloVe-100</t>
        </is>
      </c>
      <c r="B247" s="0" t="inlineStr">
        <is>
          <t>H27</t>
        </is>
      </c>
      <c r="C247" s="0" t="n">
        <v>247.916</v>
      </c>
      <c r="D247"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1, "k": 10, "samples": 1, "query": 100, "repeat": 0, "query_ms": 240491.80455499986, "verify_ms": 12.915905999989263, "vo_kb": 247.916, "single_query_recall": 0.0, "build_seconds": 78.673836929, "prove_seconds": 151.446472523, "output": "/mnt/d/paper_source/work_9/VeriANN_repro_2026-09-30/VeriANN_repro_2026-09-30/results/work9-v3db-single-20261020/glove100-1183514-M100-K1024-p1-k10-q1-r1-t1", "csv_sha256": "186cfd050b943866ae42e298afff276e2af5ad7e9fc863e1e240509ff093054f", "selection": "fixed query100 repeat0; not selected by runtime", "reused_existing_sample": false, "recall20": 0.28500000000000003, "recall_source": "/mnt/d/paper_source/work_9/VeriANN_repro_2026-09-30/VeriANN_repro_2026-09-30/V3DB-26VLDB/work9-cache/glove100-1183514-M100-K1024/calibration.json", "recall_query_count": 20, "recall_scope": "search calibration only; timing/VO use one fixed query, not 20 proofs", "kind": "curve"}</t>
        </is>
      </c>
    </row>
    <row r="248">
      <c r="A248" s="0" t="inlineStr">
        <is>
          <t>GloVe-100</t>
        </is>
      </c>
      <c r="B248" s="0" t="inlineStr">
        <is>
          <t>I26</t>
        </is>
      </c>
      <c r="C248" s="0" t="n">
        <v>40.5</v>
      </c>
      <c r="D248"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249">
      <c r="A249" s="0" t="inlineStr">
        <is>
          <t>GloVe-100</t>
        </is>
      </c>
      <c r="B249" s="0" t="inlineStr">
        <is>
          <t>I27</t>
        </is>
      </c>
      <c r="C249" s="0" t="n">
        <v>287.485</v>
      </c>
      <c r="D249"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250">
      <c r="A250" s="0" t="inlineStr">
        <is>
          <t>GloVe-100</t>
        </is>
      </c>
      <c r="B250" s="0" t="inlineStr">
        <is>
          <t>J26</t>
        </is>
      </c>
      <c r="C250" s="0" t="n">
        <v>40.5</v>
      </c>
      <c r="D250"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251">
      <c r="A251" s="0" t="inlineStr">
        <is>
          <t>GloVe-100</t>
        </is>
      </c>
      <c r="B251" s="0" t="inlineStr">
        <is>
          <t>J27</t>
        </is>
      </c>
      <c r="C251" s="0" t="n">
        <v>287.485</v>
      </c>
      <c r="D251"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252">
      <c r="A252" s="0" t="inlineStr">
        <is>
          <t>GloVe-100</t>
        </is>
      </c>
      <c r="B252" s="0" t="inlineStr">
        <is>
          <t>K26</t>
        </is>
      </c>
      <c r="C252" s="0" t="n">
        <v>40.5</v>
      </c>
      <c r="D252"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253">
      <c r="A253" s="0" t="inlineStr">
        <is>
          <t>GloVe-100</t>
        </is>
      </c>
      <c r="B253" s="0" t="inlineStr">
        <is>
          <t>K27</t>
        </is>
      </c>
      <c r="C253" s="0" t="n">
        <v>287.485</v>
      </c>
      <c r="D253"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254">
      <c r="A254" s="0" t="inlineStr">
        <is>
          <t>GloVe-100</t>
        </is>
      </c>
      <c r="B254" s="0" t="inlineStr">
        <is>
          <t>L26</t>
        </is>
      </c>
      <c r="C254" s="0" t="inlineStr">
        <is>
          <t>预算内未测</t>
        </is>
      </c>
      <c r="D254" s="0" t="inlineStr">
        <is>
          <t>null</t>
        </is>
      </c>
    </row>
    <row r="255">
      <c r="A255" s="0" t="inlineStr">
        <is>
          <t>GloVe-100</t>
        </is>
      </c>
      <c r="B255" s="0" t="inlineStr">
        <is>
          <t>L27</t>
        </is>
      </c>
      <c r="C255" s="0" t="inlineStr">
        <is>
          <t>预算内未测</t>
        </is>
      </c>
      <c r="D255" s="0" t="inlineStr">
        <is>
          <t>null</t>
        </is>
      </c>
    </row>
    <row r="256">
      <c r="A256" s="0" t="inlineStr">
        <is>
          <t>GloVe-100</t>
        </is>
      </c>
      <c r="B256" s="0" t="inlineStr">
        <is>
          <t>M26</t>
        </is>
      </c>
      <c r="C256" s="0" t="inlineStr">
        <is>
          <t>预算内未测</t>
        </is>
      </c>
      <c r="D256" s="0" t="inlineStr">
        <is>
          <t>null</t>
        </is>
      </c>
    </row>
    <row r="257">
      <c r="A257" s="0" t="inlineStr">
        <is>
          <t>GloVe-100</t>
        </is>
      </c>
      <c r="B257" s="0" t="inlineStr">
        <is>
          <t>M27</t>
        </is>
      </c>
      <c r="C257" s="0" t="inlineStr">
        <is>
          <t>预算内未测</t>
        </is>
      </c>
      <c r="D257" s="0" t="inlineStr">
        <is>
          <t>null</t>
        </is>
      </c>
    </row>
    <row r="258">
      <c r="A258" s="0" t="inlineStr">
        <is>
          <t>GloVe-100</t>
        </is>
      </c>
      <c r="B258" s="0" t="inlineStr">
        <is>
          <t>N26</t>
        </is>
      </c>
      <c r="C258" s="0" t="inlineStr">
        <is>
          <t>预算内未测</t>
        </is>
      </c>
      <c r="D258" s="0" t="inlineStr">
        <is>
          <t>null</t>
        </is>
      </c>
    </row>
    <row r="259">
      <c r="A259" s="0" t="inlineStr">
        <is>
          <t>GloVe-100</t>
        </is>
      </c>
      <c r="B259" s="0" t="inlineStr">
        <is>
          <t>N27</t>
        </is>
      </c>
      <c r="C259" s="0" t="inlineStr">
        <is>
          <t>预算内未测</t>
        </is>
      </c>
      <c r="D259" s="0" t="inlineStr">
        <is>
          <t>null</t>
        </is>
      </c>
    </row>
    <row r="260">
      <c r="A260" s="0" t="inlineStr">
        <is>
          <t>GloVe-100</t>
        </is>
      </c>
      <c r="B260" s="0" t="inlineStr">
        <is>
          <t>O26</t>
        </is>
      </c>
      <c r="C260" s="0" t="inlineStr">
        <is>
          <t>预算内未测</t>
        </is>
      </c>
      <c r="D260" s="0" t="inlineStr">
        <is>
          <t>null</t>
        </is>
      </c>
    </row>
    <row r="261">
      <c r="A261" s="0" t="inlineStr">
        <is>
          <t>GloVe-100</t>
        </is>
      </c>
      <c r="B261" s="0" t="inlineStr">
        <is>
          <t>O27</t>
        </is>
      </c>
      <c r="C261" s="0" t="inlineStr">
        <is>
          <t>预算内未测</t>
        </is>
      </c>
      <c r="D261" s="0" t="inlineStr">
        <is>
          <t>null</t>
        </is>
      </c>
    </row>
    <row r="262">
      <c r="A262" s="0" t="inlineStr">
        <is>
          <t>GloVe-100</t>
        </is>
      </c>
      <c r="B262" s="0" t="inlineStr">
        <is>
          <t>P26</t>
        </is>
      </c>
      <c r="C262" s="0" t="inlineStr">
        <is>
          <t>预算内未测</t>
        </is>
      </c>
      <c r="D262" s="0" t="inlineStr">
        <is>
          <t>null</t>
        </is>
      </c>
    </row>
    <row r="263">
      <c r="A263" s="0" t="inlineStr">
        <is>
          <t>GloVe-100</t>
        </is>
      </c>
      <c r="B263" s="0" t="inlineStr">
        <is>
          <t>P27</t>
        </is>
      </c>
      <c r="C263" s="0" t="inlineStr">
        <is>
          <t>预算内未测</t>
        </is>
      </c>
      <c r="D263" s="0" t="inlineStr">
        <is>
          <t>null</t>
        </is>
      </c>
    </row>
    <row r="264">
      <c r="A264" s="0" t="inlineStr">
        <is>
          <t>GloVe-100</t>
        </is>
      </c>
      <c r="B264" s="0" t="inlineStr">
        <is>
          <t>Q26</t>
        </is>
      </c>
      <c r="C264" s="0" t="inlineStr">
        <is>
          <t>预算内未测</t>
        </is>
      </c>
      <c r="D264" s="0" t="inlineStr">
        <is>
          <t>null</t>
        </is>
      </c>
    </row>
    <row r="265">
      <c r="A265" s="0" t="inlineStr">
        <is>
          <t>GloVe-100</t>
        </is>
      </c>
      <c r="B265" s="0" t="inlineStr">
        <is>
          <t>Q27</t>
        </is>
      </c>
      <c r="C265" s="0" t="inlineStr">
        <is>
          <t>预算内未测</t>
        </is>
      </c>
      <c r="D265" s="0" t="inlineStr">
        <is>
          <t>null</t>
        </is>
      </c>
    </row>
    <row r="266">
      <c r="A266" s="0" t="inlineStr">
        <is>
          <t>GloVe-100</t>
        </is>
      </c>
      <c r="B266" s="0" t="inlineStr">
        <is>
          <t>R26</t>
        </is>
      </c>
      <c r="C266" s="0" t="inlineStr">
        <is>
          <t>预算内未测</t>
        </is>
      </c>
      <c r="D266" s="0" t="inlineStr">
        <is>
          <t>null</t>
        </is>
      </c>
    </row>
    <row r="267">
      <c r="A267" s="0" t="inlineStr">
        <is>
          <t>GloVe-100</t>
        </is>
      </c>
      <c r="B267" s="0" t="inlineStr">
        <is>
          <t>R27</t>
        </is>
      </c>
      <c r="C267" s="0" t="inlineStr">
        <is>
          <t>预算内未测</t>
        </is>
      </c>
      <c r="D267" s="0" t="inlineStr">
        <is>
          <t>null</t>
        </is>
      </c>
    </row>
    <row r="268">
      <c r="A268" s="0" t="inlineStr">
        <is>
          <t>GloVe-100</t>
        </is>
      </c>
      <c r="B268" s="0" t="inlineStr">
        <is>
          <t>S26</t>
        </is>
      </c>
      <c r="C268" s="0" t="inlineStr">
        <is>
          <t>预算内未测</t>
        </is>
      </c>
      <c r="D268" s="0" t="inlineStr">
        <is>
          <t>null</t>
        </is>
      </c>
    </row>
    <row r="269">
      <c r="A269" s="0" t="inlineStr">
        <is>
          <t>GloVe-100</t>
        </is>
      </c>
      <c r="B269" s="0" t="inlineStr">
        <is>
          <t>S27</t>
        </is>
      </c>
      <c r="C269" s="0" t="inlineStr">
        <is>
          <t>预算内未测</t>
        </is>
      </c>
      <c r="D269" s="0" t="inlineStr">
        <is>
          <t>null</t>
        </is>
      </c>
    </row>
    <row r="270">
      <c r="A270" s="0" t="inlineStr">
        <is>
          <t>GloVe-100</t>
        </is>
      </c>
      <c r="B270" s="0" t="inlineStr">
        <is>
          <t>T26</t>
        </is>
      </c>
      <c r="C270" s="0" t="inlineStr">
        <is>
          <t>预算内未测</t>
        </is>
      </c>
      <c r="D270" s="0" t="inlineStr">
        <is>
          <t>null</t>
        </is>
      </c>
    </row>
    <row r="271">
      <c r="A271" s="0" t="inlineStr">
        <is>
          <t>GloVe-100</t>
        </is>
      </c>
      <c r="B271" s="0" t="inlineStr">
        <is>
          <t>T27</t>
        </is>
      </c>
      <c r="C271" s="0" t="inlineStr">
        <is>
          <t>预算内未测</t>
        </is>
      </c>
      <c r="D271" s="0" t="inlineStr">
        <is>
          <t>null</t>
        </is>
      </c>
    </row>
    <row r="272">
      <c r="A272" s="0" t="inlineStr">
        <is>
          <t>GloVe-100</t>
        </is>
      </c>
      <c r="B272" s="0" t="inlineStr">
        <is>
          <t>U26</t>
        </is>
      </c>
      <c r="C272" s="0" t="inlineStr">
        <is>
          <t>预算内未测</t>
        </is>
      </c>
      <c r="D272" s="0" t="inlineStr">
        <is>
          <t>null</t>
        </is>
      </c>
    </row>
    <row r="273">
      <c r="A273" s="0" t="inlineStr">
        <is>
          <t>GloVe-100</t>
        </is>
      </c>
      <c r="B273" s="0" t="inlineStr">
        <is>
          <t>U27</t>
        </is>
      </c>
      <c r="C273" s="0" t="inlineStr">
        <is>
          <t>预算内未测</t>
        </is>
      </c>
      <c r="D273" s="0" t="inlineStr">
        <is>
          <t>null</t>
        </is>
      </c>
    </row>
    <row r="274">
      <c r="A274" s="0" t="inlineStr">
        <is>
          <t>GloVe-100</t>
        </is>
      </c>
      <c r="B274" s="0" t="inlineStr">
        <is>
          <t>V26</t>
        </is>
      </c>
      <c r="C274" s="0" t="inlineStr">
        <is>
          <t>预算内未测</t>
        </is>
      </c>
      <c r="D274" s="0" t="inlineStr">
        <is>
          <t>null</t>
        </is>
      </c>
    </row>
    <row r="275">
      <c r="A275" s="0" t="inlineStr">
        <is>
          <t>GloVe-100</t>
        </is>
      </c>
      <c r="B275" s="0" t="inlineStr">
        <is>
          <t>V27</t>
        </is>
      </c>
      <c r="C275" s="0" t="inlineStr">
        <is>
          <t>预算内未测</t>
        </is>
      </c>
      <c r="D275" s="0" t="inlineStr">
        <is>
          <t>null</t>
        </is>
      </c>
    </row>
    <row r="276">
      <c r="A276" s="0" t="inlineStr">
        <is>
          <t>GloVe-100</t>
        </is>
      </c>
      <c r="B276" s="0" t="inlineStr">
        <is>
          <t>W26</t>
        </is>
      </c>
      <c r="C276" s="0" t="inlineStr">
        <is>
          <t>预算内未测</t>
        </is>
      </c>
      <c r="D276" s="0" t="inlineStr">
        <is>
          <t>null</t>
        </is>
      </c>
    </row>
    <row r="277">
      <c r="A277" s="0" t="inlineStr">
        <is>
          <t>GloVe-100</t>
        </is>
      </c>
      <c r="B277" s="0" t="inlineStr">
        <is>
          <t>W27</t>
        </is>
      </c>
      <c r="C277" s="0" t="inlineStr">
        <is>
          <t>预算内未测</t>
        </is>
      </c>
      <c r="D277" s="0" t="inlineStr">
        <is>
          <t>null</t>
        </is>
      </c>
    </row>
    <row r="278">
      <c r="A278" s="0" t="inlineStr">
        <is>
          <t>GloVe-100</t>
        </is>
      </c>
      <c r="B278" s="0" t="inlineStr">
        <is>
          <t>X26</t>
        </is>
      </c>
      <c r="C278" s="0" t="inlineStr">
        <is>
          <t>预算内未测</t>
        </is>
      </c>
      <c r="D278" s="0" t="inlineStr">
        <is>
          <t>null</t>
        </is>
      </c>
    </row>
    <row r="279">
      <c r="A279" s="0" t="inlineStr">
        <is>
          <t>GloVe-100</t>
        </is>
      </c>
      <c r="B279" s="0" t="inlineStr">
        <is>
          <t>X27</t>
        </is>
      </c>
      <c r="C279" s="0" t="inlineStr">
        <is>
          <t>预算内未测</t>
        </is>
      </c>
      <c r="D279" s="0" t="inlineStr">
        <is>
          <t>null</t>
        </is>
      </c>
    </row>
    <row r="280">
      <c r="A280" s="0" t="inlineStr">
        <is>
          <t>GloVe-100</t>
        </is>
      </c>
      <c r="B280" s="0" t="inlineStr">
        <is>
          <t>Y26</t>
        </is>
      </c>
      <c r="C280" s="0" t="inlineStr">
        <is>
          <t>预算内未测</t>
        </is>
      </c>
      <c r="D280" s="0" t="inlineStr">
        <is>
          <t>null</t>
        </is>
      </c>
    </row>
    <row r="281">
      <c r="A281" s="0" t="inlineStr">
        <is>
          <t>GloVe-100</t>
        </is>
      </c>
      <c r="B281" s="0" t="inlineStr">
        <is>
          <t>Y27</t>
        </is>
      </c>
      <c r="C281" s="0" t="inlineStr">
        <is>
          <t>预算内未测</t>
        </is>
      </c>
      <c r="D281" s="0" t="inlineStr">
        <is>
          <t>null</t>
        </is>
      </c>
    </row>
    <row r="282">
      <c r="A282" s="0" t="inlineStr">
        <is>
          <t>GloVe-100</t>
        </is>
      </c>
      <c r="B282" s="0" t="inlineStr">
        <is>
          <t>F38</t>
        </is>
      </c>
      <c r="C282" s="0" t="n">
        <v>16.5</v>
      </c>
      <c r="D282" s="0" t="inlineStr">
        <is>
          <t>{"status": "passed", "dataset": "glove100", "model": "glove100-1183514", "config": {"dataset": "glove100", "source": "glove100", "N": 1183514, "D": 100, "n_list": 1024, "M": 10, "K": 256, "n_iter": 25, "seed": 0, "capacity": 4096, "query_offset": 100, "query_count": 20, "scale": 65536, "rebalance": "author algorithm with identical row-chunk distances"}, "n_probe": 1, "k": 10, "samples": 1, "query": 100, "repeat": 0, "query_ms": 58119.444832000016, "verify_ms": 11.430244999928618, "vo_kb": 225.089, "single_query_recall": 0.0, "build_seconds": 19.015157319, "prove_seconds": 37.463503513, "output": "/mnt/d/paper_source/work_9/VeriANN_repro_2026-09-30/VeriANN_repro_2026-09-30/results/work9-v3db-lowrecall-20261020/glove100-1183514-p1-k10-q1-r1-t1", "csv_sha256": "2c45e19746222db6162b63c50949c48788e638763c1e3d10f685ae2f76a340bf", "selection": "fixed query100 repeat0; not selected by runtime", "reused_existing_sample": false, "recall20": 0.165, "recall_source": "/mnt/d/paper_source/work_9/VeriANN_repro_2026-09-30/VeriANN_repro_2026-09-30/V3DB-26VLDB/work9-cache/glove100-1183514/calibration.json", "recall_query_count": 20, "recall_scope": "search calibration only; timing/VO use one fixed query, not 20 proofs", "kind": "curve"}</t>
        </is>
      </c>
    </row>
    <row r="283">
      <c r="A283" s="0" t="inlineStr">
        <is>
          <t>GloVe-100</t>
        </is>
      </c>
      <c r="B283" s="0" t="inlineStr">
        <is>
          <t>F39</t>
        </is>
      </c>
      <c r="C283" s="0" t="n">
        <v>11.4302449999286</v>
      </c>
      <c r="D283" s="0" t="inlineStr">
        <is>
          <t>{"status": "passed", "dataset": "glove100", "model": "glove100-1183514", "config": {"dataset": "glove100", "source": "glove100", "N": 1183514, "D": 100, "n_list": 1024, "M": 10, "K": 256, "n_iter": 25, "seed": 0, "capacity": 4096, "query_offset": 100, "query_count": 20, "scale": 65536, "rebalance": "author algorithm with identical row-chunk distances"}, "n_probe": 1, "k": 10, "samples": 1, "query": 100, "repeat": 0, "query_ms": 58119.444832000016, "verify_ms": 11.430244999928618, "vo_kb": 225.089, "single_query_recall": 0.0, "build_seconds": 19.015157319, "prove_seconds": 37.463503513, "output": "/mnt/d/paper_source/work_9/VeriANN_repro_2026-09-30/VeriANN_repro_2026-09-30/results/work9-v3db-lowrecall-20261020/glove100-1183514-p1-k10-q1-r1-t1", "csv_sha256": "2c45e19746222db6162b63c50949c48788e638763c1e3d10f685ae2f76a340bf", "selection": "fixed query100 repeat0; not selected by runtime", "reused_existing_sample": false, "recall20": 0.165, "recall_source": "/mnt/d/paper_source/work_9/VeriANN_repro_2026-09-30/VeriANN_repro_2026-09-30/V3DB-26VLDB/work9-cache/glove100-1183514/calibration.json", "recall_query_count": 20, "recall_scope": "search calibration only; timing/VO use one fixed query, not 20 proofs", "kind": "curve"}</t>
        </is>
      </c>
    </row>
    <row r="284">
      <c r="A284" s="0" t="inlineStr">
        <is>
          <t>GloVe-100</t>
        </is>
      </c>
      <c r="B284" s="0" t="inlineStr">
        <is>
          <t>G38</t>
        </is>
      </c>
      <c r="C284" s="0" t="n">
        <v>20</v>
      </c>
      <c r="D284" s="0" t="inlineStr">
        <is>
          <t>{"status": "passed", "dataset": "glove100", "model": "glove100-1183514", "config": {"dataset": "glove100", "source": "glove100", "N": 1183514, "D": 100, "n_list": 1024, "M": 10, "K": 256, "n_iter": 25, "seed": 0, "capacity": 4096, "query_offset": 100, "query_count": 20, "scale": 65536, "rebalance": "author algorithm with identical row-chunk distances"}, "n_probe": 2, "k": 10, "samples": 1, "query": 100, "repeat": 0, "query_ms": 119464.82183200005, "verify_ms": 14.618057000006957, "vo_kb": 275.131, "single_query_recall": 0.0, "build_seconds": 40.393343418, "prove_seconds": 76.149597641, "output": "/mnt/d/paper_source/work_9/VeriANN_repro_2026-09-30/VeriANN_repro_2026-09-30/results/work9-v3db-lowrecall-20261020/glove100-1183514-p2-k10-q1-r1-t1", "csv_sha256": "22d31f7f344f4450cf2f78a42fbdac0f9a65de7c056fb3e4f65624a0eade0b6e", "selection": "fixed query100 repeat0; not selected by runtime", "reused_existing_sample": false, "recall20": 0.2, "recall_source": "/mnt/d/paper_source/work_9/VeriANN_repro_2026-09-30/VeriANN_repro_2026-09-30/V3DB-26VLDB/work9-cache/glove100-1183514/calibration.json", "recall_query_count": 20, "recall_scope": "search calibration only; timing/VO use one fixed query, not 20 proofs", "kind": "curve"}</t>
        </is>
      </c>
    </row>
    <row r="285">
      <c r="A285" s="0" t="inlineStr">
        <is>
          <t>GloVe-100</t>
        </is>
      </c>
      <c r="B285" s="0" t="inlineStr">
        <is>
          <t>G39</t>
        </is>
      </c>
      <c r="C285" s="0" t="n">
        <v>14.618057000007</v>
      </c>
      <c r="D285" s="0" t="inlineStr">
        <is>
          <t>{"status": "passed", "dataset": "glove100", "model": "glove100-1183514", "config": {"dataset": "glove100", "source": "glove100", "N": 1183514, "D": 100, "n_list": 1024, "M": 10, "K": 256, "n_iter": 25, "seed": 0, "capacity": 4096, "query_offset": 100, "query_count": 20, "scale": 65536, "rebalance": "author algorithm with identical row-chunk distances"}, "n_probe": 2, "k": 10, "samples": 1, "query": 100, "repeat": 0, "query_ms": 119464.82183200005, "verify_ms": 14.618057000006957, "vo_kb": 275.131, "single_query_recall": 0.0, "build_seconds": 40.393343418, "prove_seconds": 76.149597641, "output": "/mnt/d/paper_source/work_9/VeriANN_repro_2026-09-30/VeriANN_repro_2026-09-30/results/work9-v3db-lowrecall-20261020/glove100-1183514-p2-k10-q1-r1-t1", "csv_sha256": "22d31f7f344f4450cf2f78a42fbdac0f9a65de7c056fb3e4f65624a0eade0b6e", "selection": "fixed query100 repeat0; not selected by runtime", "reused_existing_sample": false, "recall20": 0.2, "recall_source": "/mnt/d/paper_source/work_9/VeriANN_repro_2026-09-30/VeriANN_repro_2026-09-30/V3DB-26VLDB/work9-cache/glove100-1183514/calibration.json", "recall_query_count": 20, "recall_scope": "search calibration only; timing/VO use one fixed query, not 20 proofs", "kind": "curve"}</t>
        </is>
      </c>
    </row>
    <row r="286">
      <c r="A286" s="0" t="inlineStr">
        <is>
          <t>GloVe-100</t>
        </is>
      </c>
      <c r="B286" s="0" t="inlineStr">
        <is>
          <t>H38</t>
        </is>
      </c>
      <c r="C286" s="0" t="n">
        <v>28.5</v>
      </c>
      <c r="D286"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1, "k": 10, "samples": 1, "query": 100, "repeat": 0, "query_ms": 240491.80455499986, "verify_ms": 12.915905999989263, "vo_kb": 247.916, "single_query_recall": 0.0, "build_seconds": 78.673836929, "prove_seconds": 151.446472523, "output": "/mnt/d/paper_source/work_9/VeriANN_repro_2026-09-30/VeriANN_repro_2026-09-30/results/work9-v3db-single-20261020/glove100-1183514-M100-K1024-p1-k10-q1-r1-t1", "csv_sha256": "186cfd050b943866ae42e298afff276e2af5ad7e9fc863e1e240509ff093054f", "selection": "fixed query100 repeat0; not selected by runtime", "reused_existing_sample": false, "recall20": 0.28500000000000003, "recall_source": "/mnt/d/paper_source/work_9/VeriANN_repro_2026-09-30/VeriANN_repro_2026-09-30/V3DB-26VLDB/work9-cache/glove100-1183514-M100-K1024/calibration.json", "recall_query_count": 20, "recall_scope": "search calibration only; timing/VO use one fixed query, not 20 proofs", "kind": "curve"}</t>
        </is>
      </c>
    </row>
    <row r="287">
      <c r="A287" s="0" t="inlineStr">
        <is>
          <t>GloVe-100</t>
        </is>
      </c>
      <c r="B287" s="0" t="inlineStr">
        <is>
          <t>H39</t>
        </is>
      </c>
      <c r="C287" s="0" t="n">
        <v>12.9159059999893</v>
      </c>
      <c r="D287"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1, "k": 10, "samples": 1, "query": 100, "repeat": 0, "query_ms": 240491.80455499986, "verify_ms": 12.915905999989263, "vo_kb": 247.916, "single_query_recall": 0.0, "build_seconds": 78.673836929, "prove_seconds": 151.446472523, "output": "/mnt/d/paper_source/work_9/VeriANN_repro_2026-09-30/VeriANN_repro_2026-09-30/results/work9-v3db-single-20261020/glove100-1183514-M100-K1024-p1-k10-q1-r1-t1", "csv_sha256": "186cfd050b943866ae42e298afff276e2af5ad7e9fc863e1e240509ff093054f", "selection": "fixed query100 repeat0; not selected by runtime", "reused_existing_sample": false, "recall20": 0.28500000000000003, "recall_source": "/mnt/d/paper_source/work_9/VeriANN_repro_2026-09-30/VeriANN_repro_2026-09-30/V3DB-26VLDB/work9-cache/glove100-1183514-M100-K1024/calibration.json", "recall_query_count": 20, "recall_scope": "search calibration only; timing/VO use one fixed query, not 20 proofs", "kind": "curve"}</t>
        </is>
      </c>
    </row>
    <row r="288">
      <c r="A288" s="0" t="inlineStr">
        <is>
          <t>GloVe-100</t>
        </is>
      </c>
      <c r="B288" s="0" t="inlineStr">
        <is>
          <t>I38</t>
        </is>
      </c>
      <c r="C288" s="0" t="n">
        <v>40.5</v>
      </c>
      <c r="D288"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289">
      <c r="A289" s="0" t="inlineStr">
        <is>
          <t>GloVe-100</t>
        </is>
      </c>
      <c r="B289" s="0" t="inlineStr">
        <is>
          <t>I39</t>
        </is>
      </c>
      <c r="C289" s="0" t="n">
        <v>19.9993839999024</v>
      </c>
      <c r="D289"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290">
      <c r="A290" s="0" t="inlineStr">
        <is>
          <t>GloVe-100</t>
        </is>
      </c>
      <c r="B290" s="0" t="inlineStr">
        <is>
          <t>J38</t>
        </is>
      </c>
      <c r="C290" s="0" t="n">
        <v>40.5</v>
      </c>
      <c r="D290"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291">
      <c r="A291" s="0" t="inlineStr">
        <is>
          <t>GloVe-100</t>
        </is>
      </c>
      <c r="B291" s="0" t="inlineStr">
        <is>
          <t>J39</t>
        </is>
      </c>
      <c r="C291" s="0" t="n">
        <v>19.9993839999024</v>
      </c>
      <c r="D291"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292">
      <c r="A292" s="0" t="inlineStr">
        <is>
          <t>GloVe-100</t>
        </is>
      </c>
      <c r="B292" s="0" t="inlineStr">
        <is>
          <t>K38</t>
        </is>
      </c>
      <c r="C292" s="0" t="n">
        <v>40.5</v>
      </c>
      <c r="D292"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293">
      <c r="A293" s="0" t="inlineStr">
        <is>
          <t>GloVe-100</t>
        </is>
      </c>
      <c r="B293" s="0" t="inlineStr">
        <is>
          <t>K39</t>
        </is>
      </c>
      <c r="C293" s="0" t="n">
        <v>19.9993839999024</v>
      </c>
      <c r="D293"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294">
      <c r="A294" s="0" t="inlineStr">
        <is>
          <t>GloVe-100</t>
        </is>
      </c>
      <c r="B294" s="0" t="inlineStr">
        <is>
          <t>L38</t>
        </is>
      </c>
      <c r="C294" s="0" t="inlineStr">
        <is>
          <t>预算内未测</t>
        </is>
      </c>
      <c r="D294" s="0" t="inlineStr">
        <is>
          <t>null</t>
        </is>
      </c>
    </row>
    <row r="295">
      <c r="A295" s="0" t="inlineStr">
        <is>
          <t>GloVe-100</t>
        </is>
      </c>
      <c r="B295" s="0" t="inlineStr">
        <is>
          <t>L39</t>
        </is>
      </c>
      <c r="C295" s="0" t="inlineStr">
        <is>
          <t>预算内未测</t>
        </is>
      </c>
      <c r="D295" s="0" t="inlineStr">
        <is>
          <t>null</t>
        </is>
      </c>
    </row>
    <row r="296">
      <c r="A296" s="0" t="inlineStr">
        <is>
          <t>GloVe-100</t>
        </is>
      </c>
      <c r="B296" s="0" t="inlineStr">
        <is>
          <t>M38</t>
        </is>
      </c>
      <c r="C296" s="0" t="inlineStr">
        <is>
          <t>预算内未测</t>
        </is>
      </c>
      <c r="D296" s="0" t="inlineStr">
        <is>
          <t>null</t>
        </is>
      </c>
    </row>
    <row r="297">
      <c r="A297" s="0" t="inlineStr">
        <is>
          <t>GloVe-100</t>
        </is>
      </c>
      <c r="B297" s="0" t="inlineStr">
        <is>
          <t>M39</t>
        </is>
      </c>
      <c r="C297" s="0" t="inlineStr">
        <is>
          <t>预算内未测</t>
        </is>
      </c>
      <c r="D297" s="0" t="inlineStr">
        <is>
          <t>null</t>
        </is>
      </c>
    </row>
    <row r="298">
      <c r="A298" s="0" t="inlineStr">
        <is>
          <t>GloVe-100</t>
        </is>
      </c>
      <c r="B298" s="0" t="inlineStr">
        <is>
          <t>N38</t>
        </is>
      </c>
      <c r="C298" s="0" t="inlineStr">
        <is>
          <t>预算内未测</t>
        </is>
      </c>
      <c r="D298" s="0" t="inlineStr">
        <is>
          <t>null</t>
        </is>
      </c>
    </row>
    <row r="299">
      <c r="A299" s="0" t="inlineStr">
        <is>
          <t>GloVe-100</t>
        </is>
      </c>
      <c r="B299" s="0" t="inlineStr">
        <is>
          <t>N39</t>
        </is>
      </c>
      <c r="C299" s="0" t="inlineStr">
        <is>
          <t>预算内未测</t>
        </is>
      </c>
      <c r="D299" s="0" t="inlineStr">
        <is>
          <t>null</t>
        </is>
      </c>
    </row>
    <row r="300">
      <c r="A300" s="0" t="inlineStr">
        <is>
          <t>GloVe-100</t>
        </is>
      </c>
      <c r="B300" s="0" t="inlineStr">
        <is>
          <t>O38</t>
        </is>
      </c>
      <c r="C300" s="0" t="inlineStr">
        <is>
          <t>预算内未测</t>
        </is>
      </c>
      <c r="D300" s="0" t="inlineStr">
        <is>
          <t>null</t>
        </is>
      </c>
    </row>
    <row r="301">
      <c r="A301" s="0" t="inlineStr">
        <is>
          <t>GloVe-100</t>
        </is>
      </c>
      <c r="B301" s="0" t="inlineStr">
        <is>
          <t>O39</t>
        </is>
      </c>
      <c r="C301" s="0" t="inlineStr">
        <is>
          <t>预算内未测</t>
        </is>
      </c>
      <c r="D301" s="0" t="inlineStr">
        <is>
          <t>null</t>
        </is>
      </c>
    </row>
    <row r="302">
      <c r="A302" s="0" t="inlineStr">
        <is>
          <t>GloVe-100</t>
        </is>
      </c>
      <c r="B302" s="0" t="inlineStr">
        <is>
          <t>P38</t>
        </is>
      </c>
      <c r="C302" s="0" t="inlineStr">
        <is>
          <t>预算内未测</t>
        </is>
      </c>
      <c r="D302" s="0" t="inlineStr">
        <is>
          <t>null</t>
        </is>
      </c>
    </row>
    <row r="303">
      <c r="A303" s="0" t="inlineStr">
        <is>
          <t>GloVe-100</t>
        </is>
      </c>
      <c r="B303" s="0" t="inlineStr">
        <is>
          <t>P39</t>
        </is>
      </c>
      <c r="C303" s="0" t="inlineStr">
        <is>
          <t>预算内未测</t>
        </is>
      </c>
      <c r="D303" s="0" t="inlineStr">
        <is>
          <t>null</t>
        </is>
      </c>
    </row>
    <row r="304">
      <c r="A304" s="0" t="inlineStr">
        <is>
          <t>GloVe-100</t>
        </is>
      </c>
      <c r="B304" s="0" t="inlineStr">
        <is>
          <t>Q38</t>
        </is>
      </c>
      <c r="C304" s="0" t="inlineStr">
        <is>
          <t>预算内未测</t>
        </is>
      </c>
      <c r="D304" s="0" t="inlineStr">
        <is>
          <t>null</t>
        </is>
      </c>
    </row>
    <row r="305">
      <c r="A305" s="0" t="inlineStr">
        <is>
          <t>GloVe-100</t>
        </is>
      </c>
      <c r="B305" s="0" t="inlineStr">
        <is>
          <t>Q39</t>
        </is>
      </c>
      <c r="C305" s="0" t="inlineStr">
        <is>
          <t>预算内未测</t>
        </is>
      </c>
      <c r="D305" s="0" t="inlineStr">
        <is>
          <t>null</t>
        </is>
      </c>
    </row>
    <row r="306">
      <c r="A306" s="0" t="inlineStr">
        <is>
          <t>GloVe-100</t>
        </is>
      </c>
      <c r="B306" s="0" t="inlineStr">
        <is>
          <t>R38</t>
        </is>
      </c>
      <c r="C306" s="0" t="inlineStr">
        <is>
          <t>预算内未测</t>
        </is>
      </c>
      <c r="D306" s="0" t="inlineStr">
        <is>
          <t>null</t>
        </is>
      </c>
    </row>
    <row r="307">
      <c r="A307" s="0" t="inlineStr">
        <is>
          <t>GloVe-100</t>
        </is>
      </c>
      <c r="B307" s="0" t="inlineStr">
        <is>
          <t>R39</t>
        </is>
      </c>
      <c r="C307" s="0" t="inlineStr">
        <is>
          <t>预算内未测</t>
        </is>
      </c>
      <c r="D307" s="0" t="inlineStr">
        <is>
          <t>null</t>
        </is>
      </c>
    </row>
    <row r="308">
      <c r="A308" s="0" t="inlineStr">
        <is>
          <t>GloVe-100</t>
        </is>
      </c>
      <c r="B308" s="0" t="inlineStr">
        <is>
          <t>S38</t>
        </is>
      </c>
      <c r="C308" s="0" t="inlineStr">
        <is>
          <t>预算内未测</t>
        </is>
      </c>
      <c r="D308" s="0" t="inlineStr">
        <is>
          <t>null</t>
        </is>
      </c>
    </row>
    <row r="309">
      <c r="A309" s="0" t="inlineStr">
        <is>
          <t>GloVe-100</t>
        </is>
      </c>
      <c r="B309" s="0" t="inlineStr">
        <is>
          <t>S39</t>
        </is>
      </c>
      <c r="C309" s="0" t="inlineStr">
        <is>
          <t>预算内未测</t>
        </is>
      </c>
      <c r="D309" s="0" t="inlineStr">
        <is>
          <t>null</t>
        </is>
      </c>
    </row>
    <row r="310">
      <c r="A310" s="0" t="inlineStr">
        <is>
          <t>GloVe-100</t>
        </is>
      </c>
      <c r="B310" s="0" t="inlineStr">
        <is>
          <t>T38</t>
        </is>
      </c>
      <c r="C310" s="0" t="inlineStr">
        <is>
          <t>预算内未测</t>
        </is>
      </c>
      <c r="D310" s="0" t="inlineStr">
        <is>
          <t>null</t>
        </is>
      </c>
    </row>
    <row r="311">
      <c r="A311" s="0" t="inlineStr">
        <is>
          <t>GloVe-100</t>
        </is>
      </c>
      <c r="B311" s="0" t="inlineStr">
        <is>
          <t>T39</t>
        </is>
      </c>
      <c r="C311" s="0" t="inlineStr">
        <is>
          <t>预算内未测</t>
        </is>
      </c>
      <c r="D311" s="0" t="inlineStr">
        <is>
          <t>null</t>
        </is>
      </c>
    </row>
    <row r="312">
      <c r="A312" s="0" t="inlineStr">
        <is>
          <t>GloVe-100</t>
        </is>
      </c>
      <c r="B312" s="0" t="inlineStr">
        <is>
          <t>U38</t>
        </is>
      </c>
      <c r="C312" s="0" t="inlineStr">
        <is>
          <t>预算内未测</t>
        </is>
      </c>
      <c r="D312" s="0" t="inlineStr">
        <is>
          <t>null</t>
        </is>
      </c>
    </row>
    <row r="313">
      <c r="A313" s="0" t="inlineStr">
        <is>
          <t>GloVe-100</t>
        </is>
      </c>
      <c r="B313" s="0" t="inlineStr">
        <is>
          <t>U39</t>
        </is>
      </c>
      <c r="C313" s="0" t="inlineStr">
        <is>
          <t>预算内未测</t>
        </is>
      </c>
      <c r="D313" s="0" t="inlineStr">
        <is>
          <t>null</t>
        </is>
      </c>
    </row>
    <row r="314">
      <c r="A314" s="0" t="inlineStr">
        <is>
          <t>GloVe-100</t>
        </is>
      </c>
      <c r="B314" s="0" t="inlineStr">
        <is>
          <t>V38</t>
        </is>
      </c>
      <c r="C314" s="0" t="inlineStr">
        <is>
          <t>预算内未测</t>
        </is>
      </c>
      <c r="D314" s="0" t="inlineStr">
        <is>
          <t>null</t>
        </is>
      </c>
    </row>
    <row r="315">
      <c r="A315" s="0" t="inlineStr">
        <is>
          <t>GloVe-100</t>
        </is>
      </c>
      <c r="B315" s="0" t="inlineStr">
        <is>
          <t>V39</t>
        </is>
      </c>
      <c r="C315" s="0" t="inlineStr">
        <is>
          <t>预算内未测</t>
        </is>
      </c>
      <c r="D315" s="0" t="inlineStr">
        <is>
          <t>null</t>
        </is>
      </c>
    </row>
    <row r="316">
      <c r="A316" s="0" t="inlineStr">
        <is>
          <t>GloVe-100</t>
        </is>
      </c>
      <c r="B316" s="0" t="inlineStr">
        <is>
          <t>W38</t>
        </is>
      </c>
      <c r="C316" s="0" t="inlineStr">
        <is>
          <t>预算内未测</t>
        </is>
      </c>
      <c r="D316" s="0" t="inlineStr">
        <is>
          <t>null</t>
        </is>
      </c>
    </row>
    <row r="317">
      <c r="A317" s="0" t="inlineStr">
        <is>
          <t>GloVe-100</t>
        </is>
      </c>
      <c r="B317" s="0" t="inlineStr">
        <is>
          <t>W39</t>
        </is>
      </c>
      <c r="C317" s="0" t="inlineStr">
        <is>
          <t>预算内未测</t>
        </is>
      </c>
      <c r="D317" s="0" t="inlineStr">
        <is>
          <t>null</t>
        </is>
      </c>
    </row>
    <row r="318">
      <c r="A318" s="0" t="inlineStr">
        <is>
          <t>GloVe-100</t>
        </is>
      </c>
      <c r="B318" s="0" t="inlineStr">
        <is>
          <t>X38</t>
        </is>
      </c>
      <c r="C318" s="0" t="inlineStr">
        <is>
          <t>预算内未测</t>
        </is>
      </c>
      <c r="D318" s="0" t="inlineStr">
        <is>
          <t>null</t>
        </is>
      </c>
    </row>
    <row r="319">
      <c r="A319" s="0" t="inlineStr">
        <is>
          <t>GloVe-100</t>
        </is>
      </c>
      <c r="B319" s="0" t="inlineStr">
        <is>
          <t>X39</t>
        </is>
      </c>
      <c r="C319" s="0" t="inlineStr">
        <is>
          <t>预算内未测</t>
        </is>
      </c>
      <c r="D319" s="0" t="inlineStr">
        <is>
          <t>null</t>
        </is>
      </c>
    </row>
    <row r="320">
      <c r="A320" s="0" t="inlineStr">
        <is>
          <t>GloVe-100</t>
        </is>
      </c>
      <c r="B320" s="0" t="inlineStr">
        <is>
          <t>Y38</t>
        </is>
      </c>
      <c r="C320" s="0" t="inlineStr">
        <is>
          <t>预算内未测</t>
        </is>
      </c>
      <c r="D320" s="0" t="inlineStr">
        <is>
          <t>null</t>
        </is>
      </c>
    </row>
    <row r="321">
      <c r="A321" s="0" t="inlineStr">
        <is>
          <t>GloVe-100</t>
        </is>
      </c>
      <c r="B321" s="0" t="inlineStr">
        <is>
          <t>Y39</t>
        </is>
      </c>
      <c r="C321" s="0" t="inlineStr">
        <is>
          <t>预算内未测</t>
        </is>
      </c>
      <c r="D321" s="0" t="inlineStr">
        <is>
          <t>null</t>
        </is>
      </c>
    </row>
    <row r="322">
      <c r="A322" s="0" t="inlineStr">
        <is>
          <t>GloVe-100</t>
        </is>
      </c>
      <c r="B322" s="0" t="inlineStr">
        <is>
          <t>F50</t>
        </is>
      </c>
      <c r="C322" s="0" t="n">
        <v>16.5</v>
      </c>
      <c r="D322" s="0" t="inlineStr">
        <is>
          <t>{"status": "passed", "dataset": "glove100", "model": "glove100-1183514", "config": {"dataset": "glove100", "source": "glove100", "N": 1183514, "D": 100, "n_list": 1024, "M": 10, "K": 256, "n_iter": 25, "seed": 0, "capacity": 4096, "query_offset": 100, "query_count": 20, "scale": 65536, "rebalance": "author algorithm with identical row-chunk distances"}, "n_probe": 1, "k": 10, "samples": 1, "query": 100, "repeat": 0, "query_ms": 58119.444832000016, "verify_ms": 11.430244999928618, "vo_kb": 225.089, "single_query_recall": 0.0, "build_seconds": 19.015157319, "prove_seconds": 37.463503513, "output": "/mnt/d/paper_source/work_9/VeriANN_repro_2026-09-30/VeriANN_repro_2026-09-30/results/work9-v3db-lowrecall-20261020/glove100-1183514-p1-k10-q1-r1-t1", "csv_sha256": "2c45e19746222db6162b63c50949c48788e638763c1e3d10f685ae2f76a340bf", "selection": "fixed query100 repeat0; not selected by runtime", "reused_existing_sample": false, "recall20": 0.165, "recall_source": "/mnt/d/paper_source/work_9/VeriANN_repro_2026-09-30/VeriANN_repro_2026-09-30/V3DB-26VLDB/work9-cache/glove100-1183514/calibration.json", "recall_query_count": 20, "recall_scope": "search calibration only; timing/VO use one fixed query, not 20 proofs", "kind": "curve"}</t>
        </is>
      </c>
    </row>
    <row r="323">
      <c r="A323" s="0" t="inlineStr">
        <is>
          <t>GloVe-100</t>
        </is>
      </c>
      <c r="B323" s="0" t="inlineStr">
        <is>
          <t>F51</t>
        </is>
      </c>
      <c r="C323" s="0" t="n">
        <v>58119.444832</v>
      </c>
      <c r="D323" s="0" t="inlineStr">
        <is>
          <t>{"status": "passed", "dataset": "glove100", "model": "glove100-1183514", "config": {"dataset": "glove100", "source": "glove100", "N": 1183514, "D": 100, "n_list": 1024, "M": 10, "K": 256, "n_iter": 25, "seed": 0, "capacity": 4096, "query_offset": 100, "query_count": 20, "scale": 65536, "rebalance": "author algorithm with identical row-chunk distances"}, "n_probe": 1, "k": 10, "samples": 1, "query": 100, "repeat": 0, "query_ms": 58119.444832000016, "verify_ms": 11.430244999928618, "vo_kb": 225.089, "single_query_recall": 0.0, "build_seconds": 19.015157319, "prove_seconds": 37.463503513, "output": "/mnt/d/paper_source/work_9/VeriANN_repro_2026-09-30/VeriANN_repro_2026-09-30/results/work9-v3db-lowrecall-20261020/glove100-1183514-p1-k10-q1-r1-t1", "csv_sha256": "2c45e19746222db6162b63c50949c48788e638763c1e3d10f685ae2f76a340bf", "selection": "fixed query100 repeat0; not selected by runtime", "reused_existing_sample": false, "recall20": 0.165, "recall_source": "/mnt/d/paper_source/work_9/VeriANN_repro_2026-09-30/VeriANN_repro_2026-09-30/V3DB-26VLDB/work9-cache/glove100-1183514/calibration.json", "recall_query_count": 20, "recall_scope": "search calibration only; timing/VO use one fixed query, not 20 proofs", "kind": "curve"}</t>
        </is>
      </c>
    </row>
    <row r="324">
      <c r="A324" s="0" t="inlineStr">
        <is>
          <t>GloVe-100</t>
        </is>
      </c>
      <c r="B324" s="0" t="inlineStr">
        <is>
          <t>G50</t>
        </is>
      </c>
      <c r="C324" s="0" t="n">
        <v>20</v>
      </c>
      <c r="D324" s="0" t="inlineStr">
        <is>
          <t>{"status": "passed", "dataset": "glove100", "model": "glove100-1183514", "config": {"dataset": "glove100", "source": "glove100", "N": 1183514, "D": 100, "n_list": 1024, "M": 10, "K": 256, "n_iter": 25, "seed": 0, "capacity": 4096, "query_offset": 100, "query_count": 20, "scale": 65536, "rebalance": "author algorithm with identical row-chunk distances"}, "n_probe": 2, "k": 10, "samples": 1, "query": 100, "repeat": 0, "query_ms": 119464.82183200005, "verify_ms": 14.618057000006957, "vo_kb": 275.131, "single_query_recall": 0.0, "build_seconds": 40.393343418, "prove_seconds": 76.149597641, "output": "/mnt/d/paper_source/work_9/VeriANN_repro_2026-09-30/VeriANN_repro_2026-09-30/results/work9-v3db-lowrecall-20261020/glove100-1183514-p2-k10-q1-r1-t1", "csv_sha256": "22d31f7f344f4450cf2f78a42fbdac0f9a65de7c056fb3e4f65624a0eade0b6e", "selection": "fixed query100 repeat0; not selected by runtime", "reused_existing_sample": false, "recall20": 0.2, "recall_source": "/mnt/d/paper_source/work_9/VeriANN_repro_2026-09-30/VeriANN_repro_2026-09-30/V3DB-26VLDB/work9-cache/glove100-1183514/calibration.json", "recall_query_count": 20, "recall_scope": "search calibration only; timing/VO use one fixed query, not 20 proofs", "kind": "curve"}</t>
        </is>
      </c>
    </row>
    <row r="325">
      <c r="A325" s="0" t="inlineStr">
        <is>
          <t>GloVe-100</t>
        </is>
      </c>
      <c r="B325" s="0" t="inlineStr">
        <is>
          <t>G51</t>
        </is>
      </c>
      <c r="C325" s="0" t="n">
        <v>119464.821832</v>
      </c>
      <c r="D325" s="0" t="inlineStr">
        <is>
          <t>{"status": "passed", "dataset": "glove100", "model": "glove100-1183514", "config": {"dataset": "glove100", "source": "glove100", "N": 1183514, "D": 100, "n_list": 1024, "M": 10, "K": 256, "n_iter": 25, "seed": 0, "capacity": 4096, "query_offset": 100, "query_count": 20, "scale": 65536, "rebalance": "author algorithm with identical row-chunk distances"}, "n_probe": 2, "k": 10, "samples": 1, "query": 100, "repeat": 0, "query_ms": 119464.82183200005, "verify_ms": 14.618057000006957, "vo_kb": 275.131, "single_query_recall": 0.0, "build_seconds": 40.393343418, "prove_seconds": 76.149597641, "output": "/mnt/d/paper_source/work_9/VeriANN_repro_2026-09-30/VeriANN_repro_2026-09-30/results/work9-v3db-lowrecall-20261020/glove100-1183514-p2-k10-q1-r1-t1", "csv_sha256": "22d31f7f344f4450cf2f78a42fbdac0f9a65de7c056fb3e4f65624a0eade0b6e", "selection": "fixed query100 repeat0; not selected by runtime", "reused_existing_sample": false, "recall20": 0.2, "recall_source": "/mnt/d/paper_source/work_9/VeriANN_repro_2026-09-30/VeriANN_repro_2026-09-30/V3DB-26VLDB/work9-cache/glove100-1183514/calibration.json", "recall_query_count": 20, "recall_scope": "search calibration only; timing/VO use one fixed query, not 20 proofs", "kind": "curve"}</t>
        </is>
      </c>
    </row>
    <row r="326">
      <c r="A326" s="0" t="inlineStr">
        <is>
          <t>GloVe-100</t>
        </is>
      </c>
      <c r="B326" s="0" t="inlineStr">
        <is>
          <t>H50</t>
        </is>
      </c>
      <c r="C326" s="0" t="n">
        <v>28.5</v>
      </c>
      <c r="D326"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1, "k": 10, "samples": 1, "query": 100, "repeat": 0, "query_ms": 240491.80455499986, "verify_ms": 12.915905999989263, "vo_kb": 247.916, "single_query_recall": 0.0, "build_seconds": 78.673836929, "prove_seconds": 151.446472523, "output": "/mnt/d/paper_source/work_9/VeriANN_repro_2026-09-30/VeriANN_repro_2026-09-30/results/work9-v3db-single-20261020/glove100-1183514-M100-K1024-p1-k10-q1-r1-t1", "csv_sha256": "186cfd050b943866ae42e298afff276e2af5ad7e9fc863e1e240509ff093054f", "selection": "fixed query100 repeat0; not selected by runtime", "reused_existing_sample": false, "recall20": 0.28500000000000003, "recall_source": "/mnt/d/paper_source/work_9/VeriANN_repro_2026-09-30/VeriANN_repro_2026-09-30/V3DB-26VLDB/work9-cache/glove100-1183514-M100-K1024/calibration.json", "recall_query_count": 20, "recall_scope": "search calibration only; timing/VO use one fixed query, not 20 proofs", "kind": "curve"}</t>
        </is>
      </c>
    </row>
    <row r="327">
      <c r="A327" s="0" t="inlineStr">
        <is>
          <t>GloVe-100</t>
        </is>
      </c>
      <c r="B327" s="0" t="inlineStr">
        <is>
          <t>H51</t>
        </is>
      </c>
      <c r="C327" s="0" t="n">
        <v>240491.804555</v>
      </c>
      <c r="D327"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1, "k": 10, "samples": 1, "query": 100, "repeat": 0, "query_ms": 240491.80455499986, "verify_ms": 12.915905999989263, "vo_kb": 247.916, "single_query_recall": 0.0, "build_seconds": 78.673836929, "prove_seconds": 151.446472523, "output": "/mnt/d/paper_source/work_9/VeriANN_repro_2026-09-30/VeriANN_repro_2026-09-30/results/work9-v3db-single-20261020/glove100-1183514-M100-K1024-p1-k10-q1-r1-t1", "csv_sha256": "186cfd050b943866ae42e298afff276e2af5ad7e9fc863e1e240509ff093054f", "selection": "fixed query100 repeat0; not selected by runtime", "reused_existing_sample": false, "recall20": 0.28500000000000003, "recall_source": "/mnt/d/paper_source/work_9/VeriANN_repro_2026-09-30/VeriANN_repro_2026-09-30/V3DB-26VLDB/work9-cache/glove100-1183514-M100-K1024/calibration.json", "recall_query_count": 20, "recall_scope": "search calibration only; timing/VO use one fixed query, not 20 proofs", "kind": "curve"}</t>
        </is>
      </c>
    </row>
    <row r="328">
      <c r="A328" s="0" t="inlineStr">
        <is>
          <t>GloVe-100</t>
        </is>
      </c>
      <c r="B328" s="0" t="inlineStr">
        <is>
          <t>I50</t>
        </is>
      </c>
      <c r="C328" s="0" t="n">
        <v>40.5</v>
      </c>
      <c r="D328"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329">
      <c r="A329" s="0" t="inlineStr">
        <is>
          <t>GloVe-100</t>
        </is>
      </c>
      <c r="B329" s="0" t="inlineStr">
        <is>
          <t>I51</t>
        </is>
      </c>
      <c r="C329" s="0" t="n">
        <v>491486.434967</v>
      </c>
      <c r="D329"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330">
      <c r="A330" s="0" t="inlineStr">
        <is>
          <t>GloVe-100</t>
        </is>
      </c>
      <c r="B330" s="0" t="inlineStr">
        <is>
          <t>J50</t>
        </is>
      </c>
      <c r="C330" s="0" t="n">
        <v>40.5</v>
      </c>
      <c r="D330"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331">
      <c r="A331" s="0" t="inlineStr">
        <is>
          <t>GloVe-100</t>
        </is>
      </c>
      <c r="B331" s="0" t="inlineStr">
        <is>
          <t>J51</t>
        </is>
      </c>
      <c r="C331" s="0" t="n">
        <v>491486.434967</v>
      </c>
      <c r="D331"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332">
      <c r="A332" s="0" t="inlineStr">
        <is>
          <t>GloVe-100</t>
        </is>
      </c>
      <c r="B332" s="0" t="inlineStr">
        <is>
          <t>K50</t>
        </is>
      </c>
      <c r="C332" s="0" t="n">
        <v>40.5</v>
      </c>
      <c r="D332"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333">
      <c r="A333" s="0" t="inlineStr">
        <is>
          <t>GloVe-100</t>
        </is>
      </c>
      <c r="B333" s="0" t="inlineStr">
        <is>
          <t>K51</t>
        </is>
      </c>
      <c r="C333" s="0" t="n">
        <v>491486.434967</v>
      </c>
      <c r="D333"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334">
      <c r="A334" s="0" t="inlineStr">
        <is>
          <t>GloVe-100</t>
        </is>
      </c>
      <c r="B334" s="0" t="inlineStr">
        <is>
          <t>L50</t>
        </is>
      </c>
      <c r="C334" s="0" t="inlineStr">
        <is>
          <t>预算内未测</t>
        </is>
      </c>
      <c r="D334" s="0" t="inlineStr">
        <is>
          <t>null</t>
        </is>
      </c>
    </row>
    <row r="335">
      <c r="A335" s="0" t="inlineStr">
        <is>
          <t>GloVe-100</t>
        </is>
      </c>
      <c r="B335" s="0" t="inlineStr">
        <is>
          <t>L51</t>
        </is>
      </c>
      <c r="C335" s="0" t="inlineStr">
        <is>
          <t>预算内未测</t>
        </is>
      </c>
      <c r="D335" s="0" t="inlineStr">
        <is>
          <t>null</t>
        </is>
      </c>
    </row>
    <row r="336">
      <c r="A336" s="0" t="inlineStr">
        <is>
          <t>GloVe-100</t>
        </is>
      </c>
      <c r="B336" s="0" t="inlineStr">
        <is>
          <t>M50</t>
        </is>
      </c>
      <c r="C336" s="0" t="inlineStr">
        <is>
          <t>预算内未测</t>
        </is>
      </c>
      <c r="D336" s="0" t="inlineStr">
        <is>
          <t>null</t>
        </is>
      </c>
    </row>
    <row r="337">
      <c r="A337" s="0" t="inlineStr">
        <is>
          <t>GloVe-100</t>
        </is>
      </c>
      <c r="B337" s="0" t="inlineStr">
        <is>
          <t>M51</t>
        </is>
      </c>
      <c r="C337" s="0" t="inlineStr">
        <is>
          <t>预算内未测</t>
        </is>
      </c>
      <c r="D337" s="0" t="inlineStr">
        <is>
          <t>null</t>
        </is>
      </c>
    </row>
    <row r="338">
      <c r="A338" s="0" t="inlineStr">
        <is>
          <t>GloVe-100</t>
        </is>
      </c>
      <c r="B338" s="0" t="inlineStr">
        <is>
          <t>N50</t>
        </is>
      </c>
      <c r="C338" s="0" t="inlineStr">
        <is>
          <t>预算内未测</t>
        </is>
      </c>
      <c r="D338" s="0" t="inlineStr">
        <is>
          <t>null</t>
        </is>
      </c>
    </row>
    <row r="339">
      <c r="A339" s="0" t="inlineStr">
        <is>
          <t>GloVe-100</t>
        </is>
      </c>
      <c r="B339" s="0" t="inlineStr">
        <is>
          <t>N51</t>
        </is>
      </c>
      <c r="C339" s="0" t="inlineStr">
        <is>
          <t>预算内未测</t>
        </is>
      </c>
      <c r="D339" s="0" t="inlineStr">
        <is>
          <t>null</t>
        </is>
      </c>
    </row>
    <row r="340">
      <c r="A340" s="0" t="inlineStr">
        <is>
          <t>GloVe-100</t>
        </is>
      </c>
      <c r="B340" s="0" t="inlineStr">
        <is>
          <t>O50</t>
        </is>
      </c>
      <c r="C340" s="0" t="inlineStr">
        <is>
          <t>预算内未测</t>
        </is>
      </c>
      <c r="D340" s="0" t="inlineStr">
        <is>
          <t>null</t>
        </is>
      </c>
    </row>
    <row r="341">
      <c r="A341" s="0" t="inlineStr">
        <is>
          <t>GloVe-100</t>
        </is>
      </c>
      <c r="B341" s="0" t="inlineStr">
        <is>
          <t>O51</t>
        </is>
      </c>
      <c r="C341" s="0" t="inlineStr">
        <is>
          <t>预算内未测</t>
        </is>
      </c>
      <c r="D341" s="0" t="inlineStr">
        <is>
          <t>null</t>
        </is>
      </c>
    </row>
    <row r="342">
      <c r="A342" s="0" t="inlineStr">
        <is>
          <t>GloVe-100</t>
        </is>
      </c>
      <c r="B342" s="0" t="inlineStr">
        <is>
          <t>P50</t>
        </is>
      </c>
      <c r="C342" s="0" t="inlineStr">
        <is>
          <t>预算内未测</t>
        </is>
      </c>
      <c r="D342" s="0" t="inlineStr">
        <is>
          <t>null</t>
        </is>
      </c>
    </row>
    <row r="343">
      <c r="A343" s="0" t="inlineStr">
        <is>
          <t>GloVe-100</t>
        </is>
      </c>
      <c r="B343" s="0" t="inlineStr">
        <is>
          <t>P51</t>
        </is>
      </c>
      <c r="C343" s="0" t="inlineStr">
        <is>
          <t>预算内未测</t>
        </is>
      </c>
      <c r="D343" s="0" t="inlineStr">
        <is>
          <t>null</t>
        </is>
      </c>
    </row>
    <row r="344">
      <c r="A344" s="0" t="inlineStr">
        <is>
          <t>GloVe-100</t>
        </is>
      </c>
      <c r="B344" s="0" t="inlineStr">
        <is>
          <t>Q50</t>
        </is>
      </c>
      <c r="C344" s="0" t="inlineStr">
        <is>
          <t>预算内未测</t>
        </is>
      </c>
      <c r="D344" s="0" t="inlineStr">
        <is>
          <t>null</t>
        </is>
      </c>
    </row>
    <row r="345">
      <c r="A345" s="0" t="inlineStr">
        <is>
          <t>GloVe-100</t>
        </is>
      </c>
      <c r="B345" s="0" t="inlineStr">
        <is>
          <t>Q51</t>
        </is>
      </c>
      <c r="C345" s="0" t="inlineStr">
        <is>
          <t>预算内未测</t>
        </is>
      </c>
      <c r="D345" s="0" t="inlineStr">
        <is>
          <t>null</t>
        </is>
      </c>
    </row>
    <row r="346">
      <c r="A346" s="0" t="inlineStr">
        <is>
          <t>GloVe-100</t>
        </is>
      </c>
      <c r="B346" s="0" t="inlineStr">
        <is>
          <t>R50</t>
        </is>
      </c>
      <c r="C346" s="0" t="inlineStr">
        <is>
          <t>预算内未测</t>
        </is>
      </c>
      <c r="D346" s="0" t="inlineStr">
        <is>
          <t>null</t>
        </is>
      </c>
    </row>
    <row r="347">
      <c r="A347" s="0" t="inlineStr">
        <is>
          <t>GloVe-100</t>
        </is>
      </c>
      <c r="B347" s="0" t="inlineStr">
        <is>
          <t>R51</t>
        </is>
      </c>
      <c r="C347" s="0" t="inlineStr">
        <is>
          <t>预算内未测</t>
        </is>
      </c>
      <c r="D347" s="0" t="inlineStr">
        <is>
          <t>null</t>
        </is>
      </c>
    </row>
    <row r="348">
      <c r="A348" s="0" t="inlineStr">
        <is>
          <t>GloVe-100</t>
        </is>
      </c>
      <c r="B348" s="0" t="inlineStr">
        <is>
          <t>S50</t>
        </is>
      </c>
      <c r="C348" s="0" t="inlineStr">
        <is>
          <t>预算内未测</t>
        </is>
      </c>
      <c r="D348" s="0" t="inlineStr">
        <is>
          <t>null</t>
        </is>
      </c>
    </row>
    <row r="349">
      <c r="A349" s="0" t="inlineStr">
        <is>
          <t>GloVe-100</t>
        </is>
      </c>
      <c r="B349" s="0" t="inlineStr">
        <is>
          <t>S51</t>
        </is>
      </c>
      <c r="C349" s="0" t="inlineStr">
        <is>
          <t>预算内未测</t>
        </is>
      </c>
      <c r="D349" s="0" t="inlineStr">
        <is>
          <t>null</t>
        </is>
      </c>
    </row>
    <row r="350">
      <c r="A350" s="0" t="inlineStr">
        <is>
          <t>GloVe-100</t>
        </is>
      </c>
      <c r="B350" s="0" t="inlineStr">
        <is>
          <t>T50</t>
        </is>
      </c>
      <c r="C350" s="0" t="inlineStr">
        <is>
          <t>预算内未测</t>
        </is>
      </c>
      <c r="D350" s="0" t="inlineStr">
        <is>
          <t>null</t>
        </is>
      </c>
    </row>
    <row r="351">
      <c r="A351" s="0" t="inlineStr">
        <is>
          <t>GloVe-100</t>
        </is>
      </c>
      <c r="B351" s="0" t="inlineStr">
        <is>
          <t>T51</t>
        </is>
      </c>
      <c r="C351" s="0" t="inlineStr">
        <is>
          <t>预算内未测</t>
        </is>
      </c>
      <c r="D351" s="0" t="inlineStr">
        <is>
          <t>null</t>
        </is>
      </c>
    </row>
    <row r="352">
      <c r="A352" s="0" t="inlineStr">
        <is>
          <t>GloVe-100</t>
        </is>
      </c>
      <c r="B352" s="0" t="inlineStr">
        <is>
          <t>U50</t>
        </is>
      </c>
      <c r="C352" s="0" t="inlineStr">
        <is>
          <t>预算内未测</t>
        </is>
      </c>
      <c r="D352" s="0" t="inlineStr">
        <is>
          <t>null</t>
        </is>
      </c>
    </row>
    <row r="353">
      <c r="A353" s="0" t="inlineStr">
        <is>
          <t>GloVe-100</t>
        </is>
      </c>
      <c r="B353" s="0" t="inlineStr">
        <is>
          <t>U51</t>
        </is>
      </c>
      <c r="C353" s="0" t="inlineStr">
        <is>
          <t>预算内未测</t>
        </is>
      </c>
      <c r="D353" s="0" t="inlineStr">
        <is>
          <t>null</t>
        </is>
      </c>
    </row>
    <row r="354">
      <c r="A354" s="0" t="inlineStr">
        <is>
          <t>GloVe-100</t>
        </is>
      </c>
      <c r="B354" s="0" t="inlineStr">
        <is>
          <t>V50</t>
        </is>
      </c>
      <c r="C354" s="0" t="inlineStr">
        <is>
          <t>预算内未测</t>
        </is>
      </c>
      <c r="D354" s="0" t="inlineStr">
        <is>
          <t>null</t>
        </is>
      </c>
    </row>
    <row r="355">
      <c r="A355" s="0" t="inlineStr">
        <is>
          <t>GloVe-100</t>
        </is>
      </c>
      <c r="B355" s="0" t="inlineStr">
        <is>
          <t>V51</t>
        </is>
      </c>
      <c r="C355" s="0" t="inlineStr">
        <is>
          <t>预算内未测</t>
        </is>
      </c>
      <c r="D355" s="0" t="inlineStr">
        <is>
          <t>null</t>
        </is>
      </c>
    </row>
    <row r="356">
      <c r="A356" s="0" t="inlineStr">
        <is>
          <t>GloVe-100</t>
        </is>
      </c>
      <c r="B356" s="0" t="inlineStr">
        <is>
          <t>W50</t>
        </is>
      </c>
      <c r="C356" s="0" t="inlineStr">
        <is>
          <t>预算内未测</t>
        </is>
      </c>
      <c r="D356" s="0" t="inlineStr">
        <is>
          <t>null</t>
        </is>
      </c>
    </row>
    <row r="357">
      <c r="A357" s="0" t="inlineStr">
        <is>
          <t>GloVe-100</t>
        </is>
      </c>
      <c r="B357" s="0" t="inlineStr">
        <is>
          <t>W51</t>
        </is>
      </c>
      <c r="C357" s="0" t="inlineStr">
        <is>
          <t>预算内未测</t>
        </is>
      </c>
      <c r="D357" s="0" t="inlineStr">
        <is>
          <t>null</t>
        </is>
      </c>
    </row>
    <row r="358">
      <c r="A358" s="0" t="inlineStr">
        <is>
          <t>GloVe-100</t>
        </is>
      </c>
      <c r="B358" s="0" t="inlineStr">
        <is>
          <t>X50</t>
        </is>
      </c>
      <c r="C358" s="0" t="inlineStr">
        <is>
          <t>预算内未测</t>
        </is>
      </c>
      <c r="D358" s="0" t="inlineStr">
        <is>
          <t>null</t>
        </is>
      </c>
    </row>
    <row r="359">
      <c r="A359" s="0" t="inlineStr">
        <is>
          <t>GloVe-100</t>
        </is>
      </c>
      <c r="B359" s="0" t="inlineStr">
        <is>
          <t>X51</t>
        </is>
      </c>
      <c r="C359" s="0" t="inlineStr">
        <is>
          <t>预算内未测</t>
        </is>
      </c>
      <c r="D359" s="0" t="inlineStr">
        <is>
          <t>null</t>
        </is>
      </c>
    </row>
    <row r="360">
      <c r="A360" s="0" t="inlineStr">
        <is>
          <t>GloVe-100</t>
        </is>
      </c>
      <c r="B360" s="0" t="inlineStr">
        <is>
          <t>Y50</t>
        </is>
      </c>
      <c r="C360" s="0" t="inlineStr">
        <is>
          <t>预算内未测</t>
        </is>
      </c>
      <c r="D360" s="0" t="inlineStr">
        <is>
          <t>null</t>
        </is>
      </c>
    </row>
    <row r="361">
      <c r="A361" s="0" t="inlineStr">
        <is>
          <t>GloVe-100</t>
        </is>
      </c>
      <c r="B361" s="0" t="inlineStr">
        <is>
          <t>Y51</t>
        </is>
      </c>
      <c r="C361" s="0" t="inlineStr">
        <is>
          <t>预算内未测</t>
        </is>
      </c>
      <c r="D361" s="0" t="inlineStr">
        <is>
          <t>null</t>
        </is>
      </c>
    </row>
    <row r="362">
      <c r="A362" s="0" t="inlineStr">
        <is>
          <t>DEEP1M</t>
        </is>
      </c>
      <c r="B362" s="0" t="inlineStr">
        <is>
          <t>F26</t>
        </is>
      </c>
      <c r="C362" s="0" t="n">
        <v>23</v>
      </c>
      <c r="D362"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is>
      </c>
    </row>
    <row r="363">
      <c r="A363" s="0" t="inlineStr">
        <is>
          <t>DEEP1M</t>
        </is>
      </c>
      <c r="B363" s="0" t="inlineStr">
        <is>
          <t>F27</t>
        </is>
      </c>
      <c r="C363" s="0" t="n">
        <v>185.599</v>
      </c>
      <c r="D363"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is>
      </c>
    </row>
    <row r="364">
      <c r="A364" s="0" t="inlineStr">
        <is>
          <t>DEEP1M</t>
        </is>
      </c>
      <c r="B364" s="0" t="inlineStr">
        <is>
          <t>G26</t>
        </is>
      </c>
      <c r="C364" s="0" t="n">
        <v>23</v>
      </c>
      <c r="D364"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is>
      </c>
    </row>
    <row r="365">
      <c r="A365" s="0" t="inlineStr">
        <is>
          <t>DEEP1M</t>
        </is>
      </c>
      <c r="B365" s="0" t="inlineStr">
        <is>
          <t>G27</t>
        </is>
      </c>
      <c r="C365" s="0" t="n">
        <v>185.599</v>
      </c>
      <c r="D365"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is>
      </c>
    </row>
    <row r="366">
      <c r="A366" s="0" t="inlineStr">
        <is>
          <t>DEEP1M</t>
        </is>
      </c>
      <c r="B366" s="0" t="inlineStr">
        <is>
          <t>H26</t>
        </is>
      </c>
      <c r="C366" s="0" t="n">
        <v>28.5</v>
      </c>
      <c r="D366"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2, "k": 10, "samples": 1, "query": 100, "repeat": 0, "query_ms": 57962.63150300003, "verify_ms": 11.352967999982866, "vo_kb": 208.737, "single_query_recall": 0.3, "build_seconds": 19.138095727, "prove_seconds": 37.122223775, "output": "/mnt/d/paper_source/work_9/VeriANN_repro_2026-09-30/VeriANN_repro_2026-09-30/results/work9-v3db-lowrecall-20261020/deep1m-1000000-p2-k10-q1-r1-t1", "csv_sha256": "b6e479f8eb135209cb3ae433c34ff2c692f55bf54f99be7348a214a56d9b247e", "selection": "fixed query100 repeat0; not selected by runtime", "reused_existing_sample": false, "recall20": 0.285, "recall_source": "/mnt/d/paper_source/work_9/VeriANN_repro_2026-09-30/VeriANN_repro_2026-09-30/V3DB-26VLDB/work9-cache/deep1m-1000000/calibration.json", "recall_query_count": 20, "recall_scope": "search calibration only; timing/VO use one fixed query, not 20 proofs", "kind": "curve"}</t>
        </is>
      </c>
    </row>
    <row r="367">
      <c r="A367" s="0" t="inlineStr">
        <is>
          <t>DEEP1M</t>
        </is>
      </c>
      <c r="B367" s="0" t="inlineStr">
        <is>
          <t>H27</t>
        </is>
      </c>
      <c r="C367" s="0" t="n">
        <v>208.737</v>
      </c>
      <c r="D367"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2, "k": 10, "samples": 1, "query": 100, "repeat": 0, "query_ms": 57962.63150300003, "verify_ms": 11.352967999982866, "vo_kb": 208.737, "single_query_recall": 0.3, "build_seconds": 19.138095727, "prove_seconds": 37.122223775, "output": "/mnt/d/paper_source/work_9/VeriANN_repro_2026-09-30/VeriANN_repro_2026-09-30/results/work9-v3db-lowrecall-20261020/deep1m-1000000-p2-k10-q1-r1-t1", "csv_sha256": "b6e479f8eb135209cb3ae433c34ff2c692f55bf54f99be7348a214a56d9b247e", "selection": "fixed query100 repeat0; not selected by runtime", "reused_existing_sample": false, "recall20": 0.285, "recall_source": "/mnt/d/paper_source/work_9/VeriANN_repro_2026-09-30/VeriANN_repro_2026-09-30/V3DB-26VLDB/work9-cache/deep1m-1000000/calibration.json", "recall_query_count": 20, "recall_scope": "search calibration only; timing/VO use one fixed query, not 20 proofs", "kind": "curve"}</t>
        </is>
      </c>
    </row>
    <row r="368">
      <c r="A368" s="0" t="inlineStr">
        <is>
          <t>DEEP1M</t>
        </is>
      </c>
      <c r="B368" s="0" t="inlineStr">
        <is>
          <t>I26</t>
        </is>
      </c>
      <c r="C368" s="0" t="n">
        <v>37</v>
      </c>
      <c r="D368" s="0" t="inlineStr">
        <is>
          <t>{"status":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is>
      </c>
    </row>
    <row r="369">
      <c r="A369" s="0" t="inlineStr">
        <is>
          <t>DEEP1M</t>
        </is>
      </c>
      <c r="B369" s="0" t="inlineStr">
        <is>
          <t>I27</t>
        </is>
      </c>
      <c r="C369" s="0" t="n">
        <v>196.34</v>
      </c>
      <c r="D369" s="0" t="inlineStr">
        <is>
          <t>{"status":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is>
      </c>
    </row>
    <row r="370">
      <c r="A370" s="0" t="inlineStr">
        <is>
          <t>DEEP1M</t>
        </is>
      </c>
      <c r="B370" s="0" t="inlineStr">
        <is>
          <t>J26</t>
        </is>
      </c>
      <c r="C370" s="0" t="n">
        <v>37</v>
      </c>
      <c r="D370" s="0" t="inlineStr">
        <is>
          <t>{"status":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is>
      </c>
    </row>
    <row r="371">
      <c r="A371" s="0" t="inlineStr">
        <is>
          <t>DEEP1M</t>
        </is>
      </c>
      <c r="B371" s="0" t="inlineStr">
        <is>
          <t>J27</t>
        </is>
      </c>
      <c r="C371" s="0" t="n">
        <v>196.34</v>
      </c>
      <c r="D371" s="0" t="inlineStr">
        <is>
          <t>{"status":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is>
      </c>
    </row>
    <row r="372">
      <c r="A372" s="0" t="inlineStr">
        <is>
          <t>DEEP1M</t>
        </is>
      </c>
      <c r="B372" s="0" t="inlineStr">
        <is>
          <t>K26</t>
        </is>
      </c>
      <c r="C372" s="0" t="n">
        <v>57.5</v>
      </c>
      <c r="D372"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373">
      <c r="A373" s="0" t="inlineStr">
        <is>
          <t>DEEP1M</t>
        </is>
      </c>
      <c r="B373" s="0" t="inlineStr">
        <is>
          <t>K27</t>
        </is>
      </c>
      <c r="C373" s="0" t="n">
        <v>233.262</v>
      </c>
      <c r="D373"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374">
      <c r="A374" s="0" t="inlineStr">
        <is>
          <t>DEEP1M</t>
        </is>
      </c>
      <c r="B374" s="0" t="inlineStr">
        <is>
          <t>L26</t>
        </is>
      </c>
      <c r="C374" s="0" t="n">
        <v>57.5</v>
      </c>
      <c r="D374"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375">
      <c r="A375" s="0" t="inlineStr">
        <is>
          <t>DEEP1M</t>
        </is>
      </c>
      <c r="B375" s="0" t="inlineStr">
        <is>
          <t>L27</t>
        </is>
      </c>
      <c r="C375" s="0" t="n">
        <v>233.262</v>
      </c>
      <c r="D375"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376">
      <c r="A376" s="0" t="inlineStr">
        <is>
          <t>DEEP1M</t>
        </is>
      </c>
      <c r="B376" s="0" t="inlineStr">
        <is>
          <t>M26</t>
        </is>
      </c>
      <c r="C376" s="0" t="n">
        <v>57.5</v>
      </c>
      <c r="D376"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377">
      <c r="A377" s="0" t="inlineStr">
        <is>
          <t>DEEP1M</t>
        </is>
      </c>
      <c r="B377" s="0" t="inlineStr">
        <is>
          <t>M27</t>
        </is>
      </c>
      <c r="C377" s="0" t="n">
        <v>233.262</v>
      </c>
      <c r="D377"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378">
      <c r="A378" s="0" t="inlineStr">
        <is>
          <t>DEEP1M</t>
        </is>
      </c>
      <c r="B378" s="0" t="inlineStr">
        <is>
          <t>N26</t>
        </is>
      </c>
      <c r="C378" s="0" t="n">
        <v>57.5</v>
      </c>
      <c r="D378"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379">
      <c r="A379" s="0" t="inlineStr">
        <is>
          <t>DEEP1M</t>
        </is>
      </c>
      <c r="B379" s="0" t="inlineStr">
        <is>
          <t>N27</t>
        </is>
      </c>
      <c r="C379" s="0" t="n">
        <v>233.262</v>
      </c>
      <c r="D379"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380">
      <c r="A380" s="0" t="inlineStr">
        <is>
          <t>DEEP1M</t>
        </is>
      </c>
      <c r="B380" s="0" t="inlineStr">
        <is>
          <t>O26</t>
        </is>
      </c>
      <c r="C380" s="0" t="n">
        <v>78</v>
      </c>
      <c r="D380"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381">
      <c r="A381" s="0" t="inlineStr">
        <is>
          <t>DEEP1M</t>
        </is>
      </c>
      <c r="B381" s="0" t="inlineStr">
        <is>
          <t>O27</t>
        </is>
      </c>
      <c r="C381" s="0" t="n">
        <v>265.512</v>
      </c>
      <c r="D381"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382">
      <c r="A382" s="0" t="inlineStr">
        <is>
          <t>DEEP1M</t>
        </is>
      </c>
      <c r="B382" s="0" t="inlineStr">
        <is>
          <t>P26</t>
        </is>
      </c>
      <c r="C382" s="0" t="n">
        <v>78</v>
      </c>
      <c r="D382"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383">
      <c r="A383" s="0" t="inlineStr">
        <is>
          <t>DEEP1M</t>
        </is>
      </c>
      <c r="B383" s="0" t="inlineStr">
        <is>
          <t>P27</t>
        </is>
      </c>
      <c r="C383" s="0" t="n">
        <v>265.512</v>
      </c>
      <c r="D383"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384">
      <c r="A384" s="0" t="inlineStr">
        <is>
          <t>DEEP1M</t>
        </is>
      </c>
      <c r="B384" s="0" t="inlineStr">
        <is>
          <t>Q26</t>
        </is>
      </c>
      <c r="C384" s="0" t="n">
        <v>78</v>
      </c>
      <c r="D384"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385">
      <c r="A385" s="0" t="inlineStr">
        <is>
          <t>DEEP1M</t>
        </is>
      </c>
      <c r="B385" s="0" t="inlineStr">
        <is>
          <t>Q27</t>
        </is>
      </c>
      <c r="C385" s="0" t="n">
        <v>265.512</v>
      </c>
      <c r="D385"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386">
      <c r="A386" s="0" t="inlineStr">
        <is>
          <t>DEEP1M</t>
        </is>
      </c>
      <c r="B386" s="0" t="inlineStr">
        <is>
          <t>R26</t>
        </is>
      </c>
      <c r="C386" s="0" t="n">
        <v>78</v>
      </c>
      <c r="D386"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387">
      <c r="A387" s="0" t="inlineStr">
        <is>
          <t>DEEP1M</t>
        </is>
      </c>
      <c r="B387" s="0" t="inlineStr">
        <is>
          <t>R27</t>
        </is>
      </c>
      <c r="C387" s="0" t="n">
        <v>265.512</v>
      </c>
      <c r="D387"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388">
      <c r="A388" s="0" t="inlineStr">
        <is>
          <t>DEEP1M</t>
        </is>
      </c>
      <c r="B388" s="0" t="inlineStr">
        <is>
          <t>S26</t>
        </is>
      </c>
      <c r="C388" s="0" t="inlineStr">
        <is>
          <t>预算内未测</t>
        </is>
      </c>
      <c r="D388" s="0" t="inlineStr">
        <is>
          <t>null</t>
        </is>
      </c>
    </row>
    <row r="389">
      <c r="A389" s="0" t="inlineStr">
        <is>
          <t>DEEP1M</t>
        </is>
      </c>
      <c r="B389" s="0" t="inlineStr">
        <is>
          <t>S27</t>
        </is>
      </c>
      <c r="C389" s="0" t="inlineStr">
        <is>
          <t>预算内未测</t>
        </is>
      </c>
      <c r="D389" s="0" t="inlineStr">
        <is>
          <t>null</t>
        </is>
      </c>
    </row>
    <row r="390">
      <c r="A390" s="0" t="inlineStr">
        <is>
          <t>DEEP1M</t>
        </is>
      </c>
      <c r="B390" s="0" t="inlineStr">
        <is>
          <t>T26</t>
        </is>
      </c>
      <c r="C390" s="0" t="inlineStr">
        <is>
          <t>预算内未测</t>
        </is>
      </c>
      <c r="D390" s="0" t="inlineStr">
        <is>
          <t>null</t>
        </is>
      </c>
    </row>
    <row r="391">
      <c r="A391" s="0" t="inlineStr">
        <is>
          <t>DEEP1M</t>
        </is>
      </c>
      <c r="B391" s="0" t="inlineStr">
        <is>
          <t>T27</t>
        </is>
      </c>
      <c r="C391" s="0" t="inlineStr">
        <is>
          <t>预算内未测</t>
        </is>
      </c>
      <c r="D391" s="0" t="inlineStr">
        <is>
          <t>null</t>
        </is>
      </c>
    </row>
    <row r="392">
      <c r="A392" s="0" t="inlineStr">
        <is>
          <t>DEEP1M</t>
        </is>
      </c>
      <c r="B392" s="0" t="inlineStr">
        <is>
          <t>U26</t>
        </is>
      </c>
      <c r="C392" s="0" t="inlineStr">
        <is>
          <t>预算内未测</t>
        </is>
      </c>
      <c r="D392" s="0" t="inlineStr">
        <is>
          <t>null</t>
        </is>
      </c>
    </row>
    <row r="393">
      <c r="A393" s="0" t="inlineStr">
        <is>
          <t>DEEP1M</t>
        </is>
      </c>
      <c r="B393" s="0" t="inlineStr">
        <is>
          <t>U27</t>
        </is>
      </c>
      <c r="C393" s="0" t="inlineStr">
        <is>
          <t>预算内未测</t>
        </is>
      </c>
      <c r="D393" s="0" t="inlineStr">
        <is>
          <t>null</t>
        </is>
      </c>
    </row>
    <row r="394">
      <c r="A394" s="0" t="inlineStr">
        <is>
          <t>DEEP1M</t>
        </is>
      </c>
      <c r="B394" s="0" t="inlineStr">
        <is>
          <t>V26</t>
        </is>
      </c>
      <c r="C394" s="0" t="inlineStr">
        <is>
          <t>预算内未测</t>
        </is>
      </c>
      <c r="D394" s="0" t="inlineStr">
        <is>
          <t>null</t>
        </is>
      </c>
    </row>
    <row r="395">
      <c r="A395" s="0" t="inlineStr">
        <is>
          <t>DEEP1M</t>
        </is>
      </c>
      <c r="B395" s="0" t="inlineStr">
        <is>
          <t>V27</t>
        </is>
      </c>
      <c r="C395" s="0" t="inlineStr">
        <is>
          <t>预算内未测</t>
        </is>
      </c>
      <c r="D395" s="0" t="inlineStr">
        <is>
          <t>null</t>
        </is>
      </c>
    </row>
    <row r="396">
      <c r="A396" s="0" t="inlineStr">
        <is>
          <t>DEEP1M</t>
        </is>
      </c>
      <c r="B396" s="0" t="inlineStr">
        <is>
          <t>W26</t>
        </is>
      </c>
      <c r="C396" s="0" t="inlineStr">
        <is>
          <t>预算内未测</t>
        </is>
      </c>
      <c r="D396" s="0" t="inlineStr">
        <is>
          <t>null</t>
        </is>
      </c>
    </row>
    <row r="397">
      <c r="A397" s="0" t="inlineStr">
        <is>
          <t>DEEP1M</t>
        </is>
      </c>
      <c r="B397" s="0" t="inlineStr">
        <is>
          <t>W27</t>
        </is>
      </c>
      <c r="C397" s="0" t="inlineStr">
        <is>
          <t>预算内未测</t>
        </is>
      </c>
      <c r="D397" s="0" t="inlineStr">
        <is>
          <t>null</t>
        </is>
      </c>
    </row>
    <row r="398">
      <c r="A398" s="0" t="inlineStr">
        <is>
          <t>DEEP1M</t>
        </is>
      </c>
      <c r="B398" s="0" t="inlineStr">
        <is>
          <t>X26</t>
        </is>
      </c>
      <c r="C398" s="0" t="inlineStr">
        <is>
          <t>预算内未测</t>
        </is>
      </c>
      <c r="D398" s="0" t="inlineStr">
        <is>
          <t>null</t>
        </is>
      </c>
    </row>
    <row r="399">
      <c r="A399" s="0" t="inlineStr">
        <is>
          <t>DEEP1M</t>
        </is>
      </c>
      <c r="B399" s="0" t="inlineStr">
        <is>
          <t>X27</t>
        </is>
      </c>
      <c r="C399" s="0" t="inlineStr">
        <is>
          <t>预算内未测</t>
        </is>
      </c>
      <c r="D399" s="0" t="inlineStr">
        <is>
          <t>null</t>
        </is>
      </c>
    </row>
    <row r="400">
      <c r="A400" s="0" t="inlineStr">
        <is>
          <t>DEEP1M</t>
        </is>
      </c>
      <c r="B400" s="0" t="inlineStr">
        <is>
          <t>Y26</t>
        </is>
      </c>
      <c r="C400" s="0" t="inlineStr">
        <is>
          <t>预算内未测</t>
        </is>
      </c>
      <c r="D400" s="0" t="inlineStr">
        <is>
          <t>null</t>
        </is>
      </c>
    </row>
    <row r="401">
      <c r="A401" s="0" t="inlineStr">
        <is>
          <t>DEEP1M</t>
        </is>
      </c>
      <c r="B401" s="0" t="inlineStr">
        <is>
          <t>Y27</t>
        </is>
      </c>
      <c r="C401" s="0" t="inlineStr">
        <is>
          <t>预算内未测</t>
        </is>
      </c>
      <c r="D401" s="0" t="inlineStr">
        <is>
          <t>null</t>
        </is>
      </c>
    </row>
    <row r="402">
      <c r="A402" s="0" t="inlineStr">
        <is>
          <t>DEEP1M</t>
        </is>
      </c>
      <c r="B402" s="0" t="inlineStr">
        <is>
          <t>F38</t>
        </is>
      </c>
      <c r="C402" s="0" t="n">
        <v>23</v>
      </c>
      <c r="D402"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is>
      </c>
    </row>
    <row r="403">
      <c r="A403" s="0" t="inlineStr">
        <is>
          <t>DEEP1M</t>
        </is>
      </c>
      <c r="B403" s="0" t="inlineStr">
        <is>
          <t>F39</t>
        </is>
      </c>
      <c r="C403" s="0" t="n">
        <v>10.2888139999777</v>
      </c>
      <c r="D403"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is>
      </c>
    </row>
    <row r="404">
      <c r="A404" s="0" t="inlineStr">
        <is>
          <t>DEEP1M</t>
        </is>
      </c>
      <c r="B404" s="0" t="inlineStr">
        <is>
          <t>G38</t>
        </is>
      </c>
      <c r="C404" s="0" t="n">
        <v>23</v>
      </c>
      <c r="D404"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is>
      </c>
    </row>
    <row r="405">
      <c r="A405" s="0" t="inlineStr">
        <is>
          <t>DEEP1M</t>
        </is>
      </c>
      <c r="B405" s="0" t="inlineStr">
        <is>
          <t>G39</t>
        </is>
      </c>
      <c r="C405" s="0" t="n">
        <v>10.2888139999777</v>
      </c>
      <c r="D405"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is>
      </c>
    </row>
    <row r="406">
      <c r="A406" s="0" t="inlineStr">
        <is>
          <t>DEEP1M</t>
        </is>
      </c>
      <c r="B406" s="0" t="inlineStr">
        <is>
          <t>H38</t>
        </is>
      </c>
      <c r="C406" s="0" t="n">
        <v>28.5</v>
      </c>
      <c r="D406"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2, "k": 10, "samples": 1, "query": 100, "repeat": 0, "query_ms": 57962.63150300003, "verify_ms": 11.352967999982866, "vo_kb": 208.737, "single_query_recall": 0.3, "build_seconds": 19.138095727, "prove_seconds": 37.122223775, "output": "/mnt/d/paper_source/work_9/VeriANN_repro_2026-09-30/VeriANN_repro_2026-09-30/results/work9-v3db-lowrecall-20261020/deep1m-1000000-p2-k10-q1-r1-t1", "csv_sha256": "b6e479f8eb135209cb3ae433c34ff2c692f55bf54f99be7348a214a56d9b247e", "selection": "fixed query100 repeat0; not selected by runtime", "reused_existing_sample": false, "recall20": 0.285, "recall_source": "/mnt/d/paper_source/work_9/VeriANN_repro_2026-09-30/VeriANN_repro_2026-09-30/V3DB-26VLDB/work9-cache/deep1m-1000000/calibration.json", "recall_query_count": 20, "recall_scope": "search calibration only; timing/VO use one fixed query, not 20 proofs", "kind": "curve"}</t>
        </is>
      </c>
    </row>
    <row r="407">
      <c r="A407" s="0" t="inlineStr">
        <is>
          <t>DEEP1M</t>
        </is>
      </c>
      <c r="B407" s="0" t="inlineStr">
        <is>
          <t>H39</t>
        </is>
      </c>
      <c r="C407" s="0" t="n">
        <v>11.3529679999829</v>
      </c>
      <c r="D407"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2, "k": 10, "samples": 1, "query": 100, "repeat": 0, "query_ms": 57962.63150300003, "verify_ms": 11.352967999982866, "vo_kb": 208.737, "single_query_recall": 0.3, "build_seconds": 19.138095727, "prove_seconds": 37.122223775, "output": "/mnt/d/paper_source/work_9/VeriANN_repro_2026-09-30/VeriANN_repro_2026-09-30/results/work9-v3db-lowrecall-20261020/deep1m-1000000-p2-k10-q1-r1-t1", "csv_sha256": "b6e479f8eb135209cb3ae433c34ff2c692f55bf54f99be7348a214a56d9b247e", "selection": "fixed query100 repeat0; not selected by runtime", "reused_existing_sample": false, "recall20": 0.285, "recall_source": "/mnt/d/paper_source/work_9/VeriANN_repro_2026-09-30/VeriANN_repro_2026-09-30/V3DB-26VLDB/work9-cache/deep1m-1000000/calibration.json", "recall_query_count": 20, "recall_scope": "search calibration only; timing/VO use one fixed query, not 20 proofs", "kind": "curve"}</t>
        </is>
      </c>
    </row>
    <row r="408">
      <c r="A408" s="0" t="inlineStr">
        <is>
          <t>DEEP1M</t>
        </is>
      </c>
      <c r="B408" s="0" t="inlineStr">
        <is>
          <t>I38</t>
        </is>
      </c>
      <c r="C408" s="0" t="n">
        <v>37</v>
      </c>
      <c r="D408" s="0" t="inlineStr">
        <is>
          <t>{"status":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is>
      </c>
    </row>
    <row r="409">
      <c r="A409" s="0" t="inlineStr">
        <is>
          <t>DEEP1M</t>
        </is>
      </c>
      <c r="B409" s="0" t="inlineStr">
        <is>
          <t>I39</t>
        </is>
      </c>
      <c r="C409" s="0" t="n">
        <v>10.8529149999867</v>
      </c>
      <c r="D409" s="0" t="inlineStr">
        <is>
          <t>{"status":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is>
      </c>
    </row>
    <row r="410">
      <c r="A410" s="0" t="inlineStr">
        <is>
          <t>DEEP1M</t>
        </is>
      </c>
      <c r="B410" s="0" t="inlineStr">
        <is>
          <t>J38</t>
        </is>
      </c>
      <c r="C410" s="0" t="n">
        <v>37</v>
      </c>
      <c r="D410" s="0" t="inlineStr">
        <is>
          <t>{"status":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is>
      </c>
    </row>
    <row r="411">
      <c r="A411" s="0" t="inlineStr">
        <is>
          <t>DEEP1M</t>
        </is>
      </c>
      <c r="B411" s="0" t="inlineStr">
        <is>
          <t>J39</t>
        </is>
      </c>
      <c r="C411" s="0" t="n">
        <v>10.8529149999867</v>
      </c>
      <c r="D411" s="0" t="inlineStr">
        <is>
          <t>{"status":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is>
      </c>
    </row>
    <row r="412">
      <c r="A412" s="0" t="inlineStr">
        <is>
          <t>DEEP1M</t>
        </is>
      </c>
      <c r="B412" s="0" t="inlineStr">
        <is>
          <t>K38</t>
        </is>
      </c>
      <c r="C412" s="0" t="n">
        <v>57.5</v>
      </c>
      <c r="D412"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13">
      <c r="A413" s="0" t="inlineStr">
        <is>
          <t>DEEP1M</t>
        </is>
      </c>
      <c r="B413" s="0" t="inlineStr">
        <is>
          <t>K39</t>
        </is>
      </c>
      <c r="C413" s="0" t="n">
        <v>13.9031009999826</v>
      </c>
      <c r="D413"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14">
      <c r="A414" s="0" t="inlineStr">
        <is>
          <t>DEEP1M</t>
        </is>
      </c>
      <c r="B414" s="0" t="inlineStr">
        <is>
          <t>L38</t>
        </is>
      </c>
      <c r="C414" s="0" t="n">
        <v>57.5</v>
      </c>
      <c r="D414"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15">
      <c r="A415" s="0" t="inlineStr">
        <is>
          <t>DEEP1M</t>
        </is>
      </c>
      <c r="B415" s="0" t="inlineStr">
        <is>
          <t>L39</t>
        </is>
      </c>
      <c r="C415" s="0" t="n">
        <v>13.9031009999826</v>
      </c>
      <c r="D415"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16">
      <c r="A416" s="0" t="inlineStr">
        <is>
          <t>DEEP1M</t>
        </is>
      </c>
      <c r="B416" s="0" t="inlineStr">
        <is>
          <t>M38</t>
        </is>
      </c>
      <c r="C416" s="0" t="n">
        <v>57.5</v>
      </c>
      <c r="D416"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17">
      <c r="A417" s="0" t="inlineStr">
        <is>
          <t>DEEP1M</t>
        </is>
      </c>
      <c r="B417" s="0" t="inlineStr">
        <is>
          <t>M39</t>
        </is>
      </c>
      <c r="C417" s="0" t="n">
        <v>13.9031009999826</v>
      </c>
      <c r="D417"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18">
      <c r="A418" s="0" t="inlineStr">
        <is>
          <t>DEEP1M</t>
        </is>
      </c>
      <c r="B418" s="0" t="inlineStr">
        <is>
          <t>N38</t>
        </is>
      </c>
      <c r="C418" s="0" t="n">
        <v>57.5</v>
      </c>
      <c r="D418"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19">
      <c r="A419" s="0" t="inlineStr">
        <is>
          <t>DEEP1M</t>
        </is>
      </c>
      <c r="B419" s="0" t="inlineStr">
        <is>
          <t>N39</t>
        </is>
      </c>
      <c r="C419" s="0" t="n">
        <v>13.9031009999826</v>
      </c>
      <c r="D419"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20">
      <c r="A420" s="0" t="inlineStr">
        <is>
          <t>DEEP1M</t>
        </is>
      </c>
      <c r="B420" s="0" t="inlineStr">
        <is>
          <t>O38</t>
        </is>
      </c>
      <c r="C420" s="0" t="n">
        <v>78</v>
      </c>
      <c r="D420"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421">
      <c r="A421" s="0" t="inlineStr">
        <is>
          <t>DEEP1M</t>
        </is>
      </c>
      <c r="B421" s="0" t="inlineStr">
        <is>
          <t>O39</t>
        </is>
      </c>
      <c r="C421" s="0" t="n">
        <v>55.9675380063709</v>
      </c>
      <c r="D421"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422">
      <c r="A422" s="0" t="inlineStr">
        <is>
          <t>DEEP1M</t>
        </is>
      </c>
      <c r="B422" s="0" t="inlineStr">
        <is>
          <t>P38</t>
        </is>
      </c>
      <c r="C422" s="0" t="n">
        <v>78</v>
      </c>
      <c r="D422"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423">
      <c r="A423" s="0" t="inlineStr">
        <is>
          <t>DEEP1M</t>
        </is>
      </c>
      <c r="B423" s="0" t="inlineStr">
        <is>
          <t>P39</t>
        </is>
      </c>
      <c r="C423" s="0" t="n">
        <v>55.9675380063709</v>
      </c>
      <c r="D423"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424">
      <c r="A424" s="0" t="inlineStr">
        <is>
          <t>DEEP1M</t>
        </is>
      </c>
      <c r="B424" s="0" t="inlineStr">
        <is>
          <t>Q38</t>
        </is>
      </c>
      <c r="C424" s="0" t="n">
        <v>78</v>
      </c>
      <c r="D424"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425">
      <c r="A425" s="0" t="inlineStr">
        <is>
          <t>DEEP1M</t>
        </is>
      </c>
      <c r="B425" s="0" t="inlineStr">
        <is>
          <t>Q39</t>
        </is>
      </c>
      <c r="C425" s="0" t="n">
        <v>55.9675380063709</v>
      </c>
      <c r="D425"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426">
      <c r="A426" s="0" t="inlineStr">
        <is>
          <t>DEEP1M</t>
        </is>
      </c>
      <c r="B426" s="0" t="inlineStr">
        <is>
          <t>R38</t>
        </is>
      </c>
      <c r="C426" s="0" t="n">
        <v>78</v>
      </c>
      <c r="D426"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427">
      <c r="A427" s="0" t="inlineStr">
        <is>
          <t>DEEP1M</t>
        </is>
      </c>
      <c r="B427" s="0" t="inlineStr">
        <is>
          <t>R39</t>
        </is>
      </c>
      <c r="C427" s="0" t="n">
        <v>55.9675380063709</v>
      </c>
      <c r="D427"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428">
      <c r="A428" s="0" t="inlineStr">
        <is>
          <t>DEEP1M</t>
        </is>
      </c>
      <c r="B428" s="0" t="inlineStr">
        <is>
          <t>S38</t>
        </is>
      </c>
      <c r="C428" s="0" t="inlineStr">
        <is>
          <t>预算内未测</t>
        </is>
      </c>
      <c r="D428" s="0" t="inlineStr">
        <is>
          <t>null</t>
        </is>
      </c>
    </row>
    <row r="429">
      <c r="A429" s="0" t="inlineStr">
        <is>
          <t>DEEP1M</t>
        </is>
      </c>
      <c r="B429" s="0" t="inlineStr">
        <is>
          <t>S39</t>
        </is>
      </c>
      <c r="C429" s="0" t="inlineStr">
        <is>
          <t>预算内未测</t>
        </is>
      </c>
      <c r="D429" s="0" t="inlineStr">
        <is>
          <t>null</t>
        </is>
      </c>
    </row>
    <row r="430">
      <c r="A430" s="0" t="inlineStr">
        <is>
          <t>DEEP1M</t>
        </is>
      </c>
      <c r="B430" s="0" t="inlineStr">
        <is>
          <t>T38</t>
        </is>
      </c>
      <c r="C430" s="0" t="inlineStr">
        <is>
          <t>预算内未测</t>
        </is>
      </c>
      <c r="D430" s="0" t="inlineStr">
        <is>
          <t>null</t>
        </is>
      </c>
    </row>
    <row r="431">
      <c r="A431" s="0" t="inlineStr">
        <is>
          <t>DEEP1M</t>
        </is>
      </c>
      <c r="B431" s="0" t="inlineStr">
        <is>
          <t>T39</t>
        </is>
      </c>
      <c r="C431" s="0" t="inlineStr">
        <is>
          <t>预算内未测</t>
        </is>
      </c>
      <c r="D431" s="0" t="inlineStr">
        <is>
          <t>null</t>
        </is>
      </c>
    </row>
    <row r="432">
      <c r="A432" s="0" t="inlineStr">
        <is>
          <t>DEEP1M</t>
        </is>
      </c>
      <c r="B432" s="0" t="inlineStr">
        <is>
          <t>U38</t>
        </is>
      </c>
      <c r="C432" s="0" t="inlineStr">
        <is>
          <t>预算内未测</t>
        </is>
      </c>
      <c r="D432" s="0" t="inlineStr">
        <is>
          <t>null</t>
        </is>
      </c>
    </row>
    <row r="433">
      <c r="A433" s="0" t="inlineStr">
        <is>
          <t>DEEP1M</t>
        </is>
      </c>
      <c r="B433" s="0" t="inlineStr">
        <is>
          <t>U39</t>
        </is>
      </c>
      <c r="C433" s="0" t="inlineStr">
        <is>
          <t>预算内未测</t>
        </is>
      </c>
      <c r="D433" s="0" t="inlineStr">
        <is>
          <t>null</t>
        </is>
      </c>
    </row>
    <row r="434">
      <c r="A434" s="0" t="inlineStr">
        <is>
          <t>DEEP1M</t>
        </is>
      </c>
      <c r="B434" s="0" t="inlineStr">
        <is>
          <t>V38</t>
        </is>
      </c>
      <c r="C434" s="0" t="inlineStr">
        <is>
          <t>预算内未测</t>
        </is>
      </c>
      <c r="D434" s="0" t="inlineStr">
        <is>
          <t>null</t>
        </is>
      </c>
    </row>
    <row r="435">
      <c r="A435" s="0" t="inlineStr">
        <is>
          <t>DEEP1M</t>
        </is>
      </c>
      <c r="B435" s="0" t="inlineStr">
        <is>
          <t>V39</t>
        </is>
      </c>
      <c r="C435" s="0" t="inlineStr">
        <is>
          <t>预算内未测</t>
        </is>
      </c>
      <c r="D435" s="0" t="inlineStr">
        <is>
          <t>null</t>
        </is>
      </c>
    </row>
    <row r="436">
      <c r="A436" s="0" t="inlineStr">
        <is>
          <t>DEEP1M</t>
        </is>
      </c>
      <c r="B436" s="0" t="inlineStr">
        <is>
          <t>W38</t>
        </is>
      </c>
      <c r="C436" s="0" t="inlineStr">
        <is>
          <t>预算内未测</t>
        </is>
      </c>
      <c r="D436" s="0" t="inlineStr">
        <is>
          <t>null</t>
        </is>
      </c>
    </row>
    <row r="437">
      <c r="A437" s="0" t="inlineStr">
        <is>
          <t>DEEP1M</t>
        </is>
      </c>
      <c r="B437" s="0" t="inlineStr">
        <is>
          <t>W39</t>
        </is>
      </c>
      <c r="C437" s="0" t="inlineStr">
        <is>
          <t>预算内未测</t>
        </is>
      </c>
      <c r="D437" s="0" t="inlineStr">
        <is>
          <t>null</t>
        </is>
      </c>
    </row>
    <row r="438">
      <c r="A438" s="0" t="inlineStr">
        <is>
          <t>DEEP1M</t>
        </is>
      </c>
      <c r="B438" s="0" t="inlineStr">
        <is>
          <t>X38</t>
        </is>
      </c>
      <c r="C438" s="0" t="inlineStr">
        <is>
          <t>预算内未测</t>
        </is>
      </c>
      <c r="D438" s="0" t="inlineStr">
        <is>
          <t>null</t>
        </is>
      </c>
    </row>
    <row r="439">
      <c r="A439" s="0" t="inlineStr">
        <is>
          <t>DEEP1M</t>
        </is>
      </c>
      <c r="B439" s="0" t="inlineStr">
        <is>
          <t>X39</t>
        </is>
      </c>
      <c r="C439" s="0" t="inlineStr">
        <is>
          <t>预算内未测</t>
        </is>
      </c>
      <c r="D439" s="0" t="inlineStr">
        <is>
          <t>null</t>
        </is>
      </c>
    </row>
    <row r="440">
      <c r="A440" s="0" t="inlineStr">
        <is>
          <t>DEEP1M</t>
        </is>
      </c>
      <c r="B440" s="0" t="inlineStr">
        <is>
          <t>Y38</t>
        </is>
      </c>
      <c r="C440" s="0" t="inlineStr">
        <is>
          <t>预算内未测</t>
        </is>
      </c>
      <c r="D440" s="0" t="inlineStr">
        <is>
          <t>null</t>
        </is>
      </c>
    </row>
    <row r="441">
      <c r="A441" s="0" t="inlineStr">
        <is>
          <t>DEEP1M</t>
        </is>
      </c>
      <c r="B441" s="0" t="inlineStr">
        <is>
          <t>Y39</t>
        </is>
      </c>
      <c r="C441" s="0" t="inlineStr">
        <is>
          <t>预算内未测</t>
        </is>
      </c>
      <c r="D441" s="0" t="inlineStr">
        <is>
          <t>null</t>
        </is>
      </c>
    </row>
    <row r="442">
      <c r="A442" s="0" t="inlineStr">
        <is>
          <t>DEEP1M</t>
        </is>
      </c>
      <c r="B442" s="0" t="inlineStr">
        <is>
          <t>F50</t>
        </is>
      </c>
      <c r="C442" s="0" t="n">
        <v>23</v>
      </c>
      <c r="D442"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is>
      </c>
    </row>
    <row r="443">
      <c r="A443" s="0" t="inlineStr">
        <is>
          <t>DEEP1M</t>
        </is>
      </c>
      <c r="B443" s="0" t="inlineStr">
        <is>
          <t>F51</t>
        </is>
      </c>
      <c r="C443" s="0" t="n">
        <v>28708.309506</v>
      </c>
      <c r="D443"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is>
      </c>
    </row>
    <row r="444">
      <c r="A444" s="0" t="inlineStr">
        <is>
          <t>DEEP1M</t>
        </is>
      </c>
      <c r="B444" s="0" t="inlineStr">
        <is>
          <t>G50</t>
        </is>
      </c>
      <c r="C444" s="0" t="n">
        <v>23</v>
      </c>
      <c r="D444"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is>
      </c>
    </row>
    <row r="445">
      <c r="A445" s="0" t="inlineStr">
        <is>
          <t>DEEP1M</t>
        </is>
      </c>
      <c r="B445" s="0" t="inlineStr">
        <is>
          <t>G51</t>
        </is>
      </c>
      <c r="C445" s="0" t="n">
        <v>28708.309506</v>
      </c>
      <c r="D445"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is>
      </c>
    </row>
    <row r="446">
      <c r="A446" s="0" t="inlineStr">
        <is>
          <t>DEEP1M</t>
        </is>
      </c>
      <c r="B446" s="0" t="inlineStr">
        <is>
          <t>H50</t>
        </is>
      </c>
      <c r="C446" s="0" t="n">
        <v>28.5</v>
      </c>
      <c r="D446"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2, "k": 10, "samples": 1, "query": 100, "repeat": 0, "query_ms": 57962.63150300003, "verify_ms": 11.352967999982866, "vo_kb": 208.737, "single_query_recall": 0.3, "build_seconds": 19.138095727, "prove_seconds": 37.122223775, "output": "/mnt/d/paper_source/work_9/VeriANN_repro_2026-09-30/VeriANN_repro_2026-09-30/results/work9-v3db-lowrecall-20261020/deep1m-1000000-p2-k10-q1-r1-t1", "csv_sha256": "b6e479f8eb135209cb3ae433c34ff2c692f55bf54f99be7348a214a56d9b247e", "selection": "fixed query100 repeat0; not selected by runtime", "reused_existing_sample": false, "recall20": 0.285, "recall_source": "/mnt/d/paper_source/work_9/VeriANN_repro_2026-09-30/VeriANN_repro_2026-09-30/V3DB-26VLDB/work9-cache/deep1m-1000000/calibration.json", "recall_query_count": 20, "recall_scope": "search calibration only; timing/VO use one fixed query, not 20 proofs", "kind": "curve"}</t>
        </is>
      </c>
    </row>
    <row r="447">
      <c r="A447" s="0" t="inlineStr">
        <is>
          <t>DEEP1M</t>
        </is>
      </c>
      <c r="B447" s="0" t="inlineStr">
        <is>
          <t>H51</t>
        </is>
      </c>
      <c r="C447" s="0" t="n">
        <v>57962.631503</v>
      </c>
      <c r="D447"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2, "k": 10, "samples": 1, "query": 100, "repeat": 0, "query_ms": 57962.63150300003, "verify_ms": 11.352967999982866, "vo_kb": 208.737, "single_query_recall": 0.3, "build_seconds": 19.138095727, "prove_seconds": 37.122223775, "output": "/mnt/d/paper_source/work_9/VeriANN_repro_2026-09-30/VeriANN_repro_2026-09-30/results/work9-v3db-lowrecall-20261020/deep1m-1000000-p2-k10-q1-r1-t1", "csv_sha256": "b6e479f8eb135209cb3ae433c34ff2c692f55bf54f99be7348a214a56d9b247e", "selection": "fixed query100 repeat0; not selected by runtime", "reused_existing_sample": false, "recall20": 0.285, "recall_source": "/mnt/d/paper_source/work_9/VeriANN_repro_2026-09-30/VeriANN_repro_2026-09-30/V3DB-26VLDB/work9-cache/deep1m-1000000/calibration.json", "recall_query_count": 20, "recall_scope": "search calibration only; timing/VO use one fixed query, not 20 proofs", "kind": "curve"}</t>
        </is>
      </c>
    </row>
    <row r="448">
      <c r="A448" s="0" t="inlineStr">
        <is>
          <t>DEEP1M</t>
        </is>
      </c>
      <c r="B448" s="0" t="inlineStr">
        <is>
          <t>I50</t>
        </is>
      </c>
      <c r="C448" s="0" t="n">
        <v>37</v>
      </c>
      <c r="D448" s="0" t="inlineStr">
        <is>
          <t>{"status":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is>
      </c>
    </row>
    <row r="449">
      <c r="A449" s="0" t="inlineStr">
        <is>
          <t>DEEP1M</t>
        </is>
      </c>
      <c r="B449" s="0" t="inlineStr">
        <is>
          <t>I51</t>
        </is>
      </c>
      <c r="C449" s="0" t="n">
        <v>58518.980512</v>
      </c>
      <c r="D449" s="0" t="inlineStr">
        <is>
          <t>{"status":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is>
      </c>
    </row>
    <row r="450">
      <c r="A450" s="0" t="inlineStr">
        <is>
          <t>DEEP1M</t>
        </is>
      </c>
      <c r="B450" s="0" t="inlineStr">
        <is>
          <t>J50</t>
        </is>
      </c>
      <c r="C450" s="0" t="n">
        <v>37</v>
      </c>
      <c r="D450" s="0" t="inlineStr">
        <is>
          <t>{"status":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is>
      </c>
    </row>
    <row r="451">
      <c r="A451" s="0" t="inlineStr">
        <is>
          <t>DEEP1M</t>
        </is>
      </c>
      <c r="B451" s="0" t="inlineStr">
        <is>
          <t>J51</t>
        </is>
      </c>
      <c r="C451" s="0" t="n">
        <v>58518.980512</v>
      </c>
      <c r="D451" s="0" t="inlineStr">
        <is>
          <t>{"status":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is>
      </c>
    </row>
    <row r="452">
      <c r="A452" s="0" t="inlineStr">
        <is>
          <t>DEEP1M</t>
        </is>
      </c>
      <c r="B452" s="0" t="inlineStr">
        <is>
          <t>K50</t>
        </is>
      </c>
      <c r="C452" s="0" t="n">
        <v>57.5</v>
      </c>
      <c r="D452"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53">
      <c r="A453" s="0" t="inlineStr">
        <is>
          <t>DEEP1M</t>
        </is>
      </c>
      <c r="B453" s="0" t="inlineStr">
        <is>
          <t>K51</t>
        </is>
      </c>
      <c r="C453" s="0" t="n">
        <v>246414.936606</v>
      </c>
      <c r="D453"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54">
      <c r="A454" s="0" t="inlineStr">
        <is>
          <t>DEEP1M</t>
        </is>
      </c>
      <c r="B454" s="0" t="inlineStr">
        <is>
          <t>L50</t>
        </is>
      </c>
      <c r="C454" s="0" t="n">
        <v>57.5</v>
      </c>
      <c r="D454"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55">
      <c r="A455" s="0" t="inlineStr">
        <is>
          <t>DEEP1M</t>
        </is>
      </c>
      <c r="B455" s="0" t="inlineStr">
        <is>
          <t>L51</t>
        </is>
      </c>
      <c r="C455" s="0" t="n">
        <v>246414.936606</v>
      </c>
      <c r="D455"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56">
      <c r="A456" s="0" t="inlineStr">
        <is>
          <t>DEEP1M</t>
        </is>
      </c>
      <c r="B456" s="0" t="inlineStr">
        <is>
          <t>M50</t>
        </is>
      </c>
      <c r="C456" s="0" t="n">
        <v>57.5</v>
      </c>
      <c r="D456"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57">
      <c r="A457" s="0" t="inlineStr">
        <is>
          <t>DEEP1M</t>
        </is>
      </c>
      <c r="B457" s="0" t="inlineStr">
        <is>
          <t>M51</t>
        </is>
      </c>
      <c r="C457" s="0" t="n">
        <v>246414.936606</v>
      </c>
      <c r="D457"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58">
      <c r="A458" s="0" t="inlineStr">
        <is>
          <t>DEEP1M</t>
        </is>
      </c>
      <c r="B458" s="0" t="inlineStr">
        <is>
          <t>N50</t>
        </is>
      </c>
      <c r="C458" s="0" t="n">
        <v>57.5</v>
      </c>
      <c r="D458"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59">
      <c r="A459" s="0" t="inlineStr">
        <is>
          <t>DEEP1M</t>
        </is>
      </c>
      <c r="B459" s="0" t="inlineStr">
        <is>
          <t>N51</t>
        </is>
      </c>
      <c r="C459" s="0" t="n">
        <v>246414.936606</v>
      </c>
      <c r="D459"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60">
      <c r="A460" s="0" t="inlineStr">
        <is>
          <t>DEEP1M</t>
        </is>
      </c>
      <c r="B460" s="0" t="inlineStr">
        <is>
          <t>O50</t>
        </is>
      </c>
      <c r="C460" s="0" t="n">
        <v>78</v>
      </c>
      <c r="D460"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461">
      <c r="A461" s="0" t="inlineStr">
        <is>
          <t>DEEP1M</t>
        </is>
      </c>
      <c r="B461" s="0" t="inlineStr">
        <is>
          <t>O51</t>
        </is>
      </c>
      <c r="C461" s="0" t="n">
        <v>493189.722806004</v>
      </c>
      <c r="D461"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462">
      <c r="A462" s="0" t="inlineStr">
        <is>
          <t>DEEP1M</t>
        </is>
      </c>
      <c r="B462" s="0" t="inlineStr">
        <is>
          <t>P50</t>
        </is>
      </c>
      <c r="C462" s="0" t="n">
        <v>78</v>
      </c>
      <c r="D462"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463">
      <c r="A463" s="0" t="inlineStr">
        <is>
          <t>DEEP1M</t>
        </is>
      </c>
      <c r="B463" s="0" t="inlineStr">
        <is>
          <t>P51</t>
        </is>
      </c>
      <c r="C463" s="0" t="n">
        <v>493189.722806004</v>
      </c>
      <c r="D463"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464">
      <c r="A464" s="0" t="inlineStr">
        <is>
          <t>DEEP1M</t>
        </is>
      </c>
      <c r="B464" s="0" t="inlineStr">
        <is>
          <t>Q50</t>
        </is>
      </c>
      <c r="C464" s="0" t="n">
        <v>78</v>
      </c>
      <c r="D464"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465">
      <c r="A465" s="0" t="inlineStr">
        <is>
          <t>DEEP1M</t>
        </is>
      </c>
      <c r="B465" s="0" t="inlineStr">
        <is>
          <t>Q51</t>
        </is>
      </c>
      <c r="C465" s="0" t="n">
        <v>493189.722806004</v>
      </c>
      <c r="D465"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466">
      <c r="A466" s="0" t="inlineStr">
        <is>
          <t>DEEP1M</t>
        </is>
      </c>
      <c r="B466" s="0" t="inlineStr">
        <is>
          <t>R50</t>
        </is>
      </c>
      <c r="C466" s="0" t="n">
        <v>78</v>
      </c>
      <c r="D466"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467">
      <c r="A467" s="0" t="inlineStr">
        <is>
          <t>DEEP1M</t>
        </is>
      </c>
      <c r="B467" s="0" t="inlineStr">
        <is>
          <t>R51</t>
        </is>
      </c>
      <c r="C467" s="0" t="n">
        <v>493189.722806004</v>
      </c>
      <c r="D467"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468">
      <c r="A468" s="0" t="inlineStr">
        <is>
          <t>DEEP1M</t>
        </is>
      </c>
      <c r="B468" s="0" t="inlineStr">
        <is>
          <t>S50</t>
        </is>
      </c>
      <c r="C468" s="0" t="inlineStr">
        <is>
          <t>预算内未测</t>
        </is>
      </c>
      <c r="D468" s="0" t="inlineStr">
        <is>
          <t>null</t>
        </is>
      </c>
    </row>
    <row r="469">
      <c r="A469" s="0" t="inlineStr">
        <is>
          <t>DEEP1M</t>
        </is>
      </c>
      <c r="B469" s="0" t="inlineStr">
        <is>
          <t>S51</t>
        </is>
      </c>
      <c r="C469" s="0" t="inlineStr">
        <is>
          <t>预算内未测</t>
        </is>
      </c>
      <c r="D469" s="0" t="inlineStr">
        <is>
          <t>null</t>
        </is>
      </c>
    </row>
    <row r="470">
      <c r="A470" s="0" t="inlineStr">
        <is>
          <t>DEEP1M</t>
        </is>
      </c>
      <c r="B470" s="0" t="inlineStr">
        <is>
          <t>T50</t>
        </is>
      </c>
      <c r="C470" s="0" t="inlineStr">
        <is>
          <t>预算内未测</t>
        </is>
      </c>
      <c r="D470" s="0" t="inlineStr">
        <is>
          <t>null</t>
        </is>
      </c>
    </row>
    <row r="471">
      <c r="A471" s="0" t="inlineStr">
        <is>
          <t>DEEP1M</t>
        </is>
      </c>
      <c r="B471" s="0" t="inlineStr">
        <is>
          <t>T51</t>
        </is>
      </c>
      <c r="C471" s="0" t="inlineStr">
        <is>
          <t>预算内未测</t>
        </is>
      </c>
      <c r="D471" s="0" t="inlineStr">
        <is>
          <t>null</t>
        </is>
      </c>
    </row>
    <row r="472">
      <c r="A472" s="0" t="inlineStr">
        <is>
          <t>DEEP1M</t>
        </is>
      </c>
      <c r="B472" s="0" t="inlineStr">
        <is>
          <t>U50</t>
        </is>
      </c>
      <c r="C472" s="0" t="inlineStr">
        <is>
          <t>预算内未测</t>
        </is>
      </c>
      <c r="D472" s="0" t="inlineStr">
        <is>
          <t>null</t>
        </is>
      </c>
    </row>
    <row r="473">
      <c r="A473" s="0" t="inlineStr">
        <is>
          <t>DEEP1M</t>
        </is>
      </c>
      <c r="B473" s="0" t="inlineStr">
        <is>
          <t>U51</t>
        </is>
      </c>
      <c r="C473" s="0" t="inlineStr">
        <is>
          <t>预算内未测</t>
        </is>
      </c>
      <c r="D473" s="0" t="inlineStr">
        <is>
          <t>null</t>
        </is>
      </c>
    </row>
    <row r="474">
      <c r="A474" s="0" t="inlineStr">
        <is>
          <t>DEEP1M</t>
        </is>
      </c>
      <c r="B474" s="0" t="inlineStr">
        <is>
          <t>V50</t>
        </is>
      </c>
      <c r="C474" s="0" t="inlineStr">
        <is>
          <t>预算内未测</t>
        </is>
      </c>
      <c r="D474" s="0" t="inlineStr">
        <is>
          <t>null</t>
        </is>
      </c>
    </row>
    <row r="475">
      <c r="A475" s="0" t="inlineStr">
        <is>
          <t>DEEP1M</t>
        </is>
      </c>
      <c r="B475" s="0" t="inlineStr">
        <is>
          <t>V51</t>
        </is>
      </c>
      <c r="C475" s="0" t="inlineStr">
        <is>
          <t>预算内未测</t>
        </is>
      </c>
      <c r="D475" s="0" t="inlineStr">
        <is>
          <t>null</t>
        </is>
      </c>
    </row>
    <row r="476">
      <c r="A476" s="0" t="inlineStr">
        <is>
          <t>DEEP1M</t>
        </is>
      </c>
      <c r="B476" s="0" t="inlineStr">
        <is>
          <t>W50</t>
        </is>
      </c>
      <c r="C476" s="0" t="inlineStr">
        <is>
          <t>预算内未测</t>
        </is>
      </c>
      <c r="D476" s="0" t="inlineStr">
        <is>
          <t>null</t>
        </is>
      </c>
    </row>
    <row r="477">
      <c r="A477" s="0" t="inlineStr">
        <is>
          <t>DEEP1M</t>
        </is>
      </c>
      <c r="B477" s="0" t="inlineStr">
        <is>
          <t>W51</t>
        </is>
      </c>
      <c r="C477" s="0" t="inlineStr">
        <is>
          <t>预算内未测</t>
        </is>
      </c>
      <c r="D477" s="0" t="inlineStr">
        <is>
          <t>null</t>
        </is>
      </c>
    </row>
    <row r="478">
      <c r="A478" s="0" t="inlineStr">
        <is>
          <t>DEEP1M</t>
        </is>
      </c>
      <c r="B478" s="0" t="inlineStr">
        <is>
          <t>X50</t>
        </is>
      </c>
      <c r="C478" s="0" t="inlineStr">
        <is>
          <t>预算内未测</t>
        </is>
      </c>
      <c r="D478" s="0" t="inlineStr">
        <is>
          <t>null</t>
        </is>
      </c>
    </row>
    <row r="479">
      <c r="A479" s="0" t="inlineStr">
        <is>
          <t>DEEP1M</t>
        </is>
      </c>
      <c r="B479" s="0" t="inlineStr">
        <is>
          <t>X51</t>
        </is>
      </c>
      <c r="C479" s="0" t="inlineStr">
        <is>
          <t>预算内未测</t>
        </is>
      </c>
      <c r="D479" s="0" t="inlineStr">
        <is>
          <t>null</t>
        </is>
      </c>
    </row>
    <row r="480">
      <c r="A480" s="0" t="inlineStr">
        <is>
          <t>DEEP1M</t>
        </is>
      </c>
      <c r="B480" s="0" t="inlineStr">
        <is>
          <t>Y50</t>
        </is>
      </c>
      <c r="C480" s="0" t="inlineStr">
        <is>
          <t>预算内未测</t>
        </is>
      </c>
      <c r="D480" s="0" t="inlineStr">
        <is>
          <t>null</t>
        </is>
      </c>
    </row>
    <row r="481">
      <c r="A481" s="0" t="inlineStr">
        <is>
          <t>DEEP1M</t>
        </is>
      </c>
      <c r="B481" s="0" t="inlineStr">
        <is>
          <t>Y51</t>
        </is>
      </c>
      <c r="C481" s="0" t="inlineStr">
        <is>
          <t>预算内未测</t>
        </is>
      </c>
      <c r="D481" s="0" t="inlineStr">
        <is>
          <t>null</t>
        </is>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ColWidth="9" defaultRowHeight="13.5" outlineLevelRow="6"/>
  <cols>
    <col width="140" customWidth="1" style="1" min="2" max="2"/>
  </cols>
  <sheetData>
    <row r="1">
      <c r="A1" s="0" t="inlineStr">
        <is>
          <t>项目</t>
        </is>
      </c>
      <c r="B1" s="0" t="inlineStr">
        <is>
          <t>说明</t>
        </is>
      </c>
    </row>
    <row r="2">
      <c r="A2" s="0" t="inlineStr">
        <is>
          <t>补测范围</t>
        </is>
      </c>
      <c r="B2" s="0" t="inlineStr">
        <is>
          <t>GloVe-100、DEEP1M上的VLAH、ANNProof、Ours三方案，15/20/25/30/35/40/45/50/55%目标曲线，共六组。</t>
        </is>
      </c>
    </row>
    <row r="3">
      <c r="A3" s="0" t="inlineStr">
        <is>
          <t>协议</t>
        </is>
      </c>
      <c r="B3" s="0" t="inlineStr">
        <is>
          <t>每个参数点20条查询IDs100..119×3次，单线程；校准与计时使用相同查询，不宣称独立留出评估。仅V3DB维持用户要求的单次出证口径。</t>
        </is>
      </c>
    </row>
    <row r="4">
      <c r="A4" s="0" t="inlineStr">
        <is>
          <t>参数离散</t>
        </is>
      </c>
      <c r="B4" s="0" t="inlineStr">
        <is>
          <t>用最低预算的有效配置达到目标，保留实际召回。最小合法预算已超过低目标时多个目标共用同一实测点，不捏造更低召回。</t>
        </is>
      </c>
    </row>
    <row r="5">
      <c r="A5" s="0" t="inlineStr">
        <is>
          <t>保持原样</t>
        </is>
      </c>
      <c r="B5" s="0" t="inlineStr">
        <is>
          <t>四数据集默认表、索引、规模、K、消融、全部V3DB数据及原60–99%曲线均与本轮前备份一致。</t>
        </is>
      </c>
    </row>
    <row r="6">
      <c r="A6" s="0" t="inlineStr">
        <is>
          <t>状态</t>
        </is>
      </c>
      <c r="B6" s="0" t="inlineStr">
        <is>
          <t>全部补测完成</t>
        </is>
      </c>
    </row>
    <row r="7">
      <c r="A7" s="0" t="inlineStr">
        <is>
          <t>备份</t>
        </is>
      </c>
      <c r="B7" s="0" t="inlineStr">
        <is>
          <t>/mnt/d/paper_source/work_9/VeriANN_repro_2026-09-30/VeriANN_repro_2026-09-30/experiments/work9-low-baselines-20261021/work9_before_missing_low_curves.xlsx</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K55"/>
  <sheetViews>
    <sheetView workbookViewId="0">
      <selection activeCell="A1" sqref="A1"/>
    </sheetView>
  </sheetViews>
  <sheetFormatPr baseColWidth="8" defaultColWidth="9" defaultRowHeight="13.5"/>
  <sheetData>
    <row r="1">
      <c r="A1" s="0" t="inlineStr">
        <is>
          <t>dataset</t>
        </is>
      </c>
      <c r="B1" s="0" t="inlineStr">
        <is>
          <t>method</t>
        </is>
      </c>
      <c r="C1" s="0" t="inlineStr">
        <is>
          <t>target</t>
        </is>
      </c>
      <c r="D1" s="0" t="inlineStr">
        <is>
          <t>actual recall</t>
        </is>
      </c>
      <c r="E1" s="0" t="inlineStr">
        <is>
          <t>query_ms</t>
        </is>
      </c>
      <c r="F1" s="0" t="inlineStr">
        <is>
          <t>verify_ms</t>
        </is>
      </c>
      <c r="G1" s="0" t="inlineStr">
        <is>
          <t>VO KB</t>
        </is>
      </c>
      <c r="H1" s="0" t="inlineStr">
        <is>
          <t>ef/E</t>
        </is>
      </c>
      <c r="I1" s="0" t="inlineStr">
        <is>
          <t>probes</t>
        </is>
      </c>
      <c r="J1" s="0" t="inlineStr">
        <is>
          <t>samples</t>
        </is>
      </c>
      <c r="K1" s="0" t="inlineStr">
        <is>
          <t>source</t>
        </is>
      </c>
    </row>
    <row r="2">
      <c r="A2" s="0" t="inlineStr">
        <is>
          <t>deep1m</t>
        </is>
      </c>
      <c r="B2" s="0" t="inlineStr">
        <is>
          <t>ANNProof</t>
        </is>
      </c>
      <c r="C2" s="0" t="n">
        <v>0.15</v>
      </c>
      <c r="D2" s="0" t="n">
        <v>0.71</v>
      </c>
      <c r="E2" s="0" t="n">
        <v>1.04057065</v>
      </c>
      <c r="F2" s="0" t="n">
        <v>5.200713</v>
      </c>
      <c r="G2" s="0" t="n">
        <v>386.5978</v>
      </c>
      <c r="H2" s="0" t="n">
        <v>10</v>
      </c>
      <c r="I2" s="0" t="n">
        <v>1</v>
      </c>
      <c r="J2" s="0" t="n">
        <v>60</v>
      </c>
      <c r="K2" s="0" t="inlineStr">
        <is>
          <t>/mnt/d/paper_source/work_9/VeriANN_repro_2026-09-30/VeriANN_repro_2026-09-30/results/work9-low-baselines-20261021/deep1m/ANNProof/deep1m-1000000-low-all</t>
        </is>
      </c>
    </row>
    <row r="3">
      <c r="A3" s="0" t="inlineStr">
        <is>
          <t>deep1m</t>
        </is>
      </c>
      <c r="B3" s="0" t="inlineStr">
        <is>
          <t>ANNProof</t>
        </is>
      </c>
      <c r="C3" s="0" t="n">
        <v>0.2</v>
      </c>
      <c r="D3" s="0" t="n">
        <v>0.71</v>
      </c>
      <c r="E3" s="0" t="n">
        <v>1.04057065</v>
      </c>
      <c r="F3" s="0" t="n">
        <v>5.200713</v>
      </c>
      <c r="G3" s="0" t="n">
        <v>386.5978</v>
      </c>
      <c r="H3" s="0" t="n">
        <v>10</v>
      </c>
      <c r="I3" s="0" t="n">
        <v>1</v>
      </c>
      <c r="J3" s="0" t="n">
        <v>60</v>
      </c>
      <c r="K3" s="0" t="inlineStr">
        <is>
          <t>/mnt/d/paper_source/work_9/VeriANN_repro_2026-09-30/VeriANN_repro_2026-09-30/results/work9-low-baselines-20261021/deep1m/ANNProof/deep1m-1000000-low-all</t>
        </is>
      </c>
    </row>
    <row r="4">
      <c r="A4" s="0" t="inlineStr">
        <is>
          <t>deep1m</t>
        </is>
      </c>
      <c r="B4" s="0" t="inlineStr">
        <is>
          <t>ANNProof</t>
        </is>
      </c>
      <c r="C4" s="0" t="n">
        <v>0.25</v>
      </c>
      <c r="D4" s="0" t="n">
        <v>0.71</v>
      </c>
      <c r="E4" s="0" t="n">
        <v>1.04057065</v>
      </c>
      <c r="F4" s="0" t="n">
        <v>5.200713</v>
      </c>
      <c r="G4" s="0" t="n">
        <v>386.5978</v>
      </c>
      <c r="H4" s="0" t="n">
        <v>10</v>
      </c>
      <c r="I4" s="0" t="n">
        <v>1</v>
      </c>
      <c r="J4" s="0" t="n">
        <v>60</v>
      </c>
      <c r="K4" s="0" t="inlineStr">
        <is>
          <t>/mnt/d/paper_source/work_9/VeriANN_repro_2026-09-30/VeriANN_repro_2026-09-30/results/work9-low-baselines-20261021/deep1m/ANNProof/deep1m-1000000-low-all</t>
        </is>
      </c>
    </row>
    <row r="5">
      <c r="A5" s="0" t="inlineStr">
        <is>
          <t>deep1m</t>
        </is>
      </c>
      <c r="B5" s="0" t="inlineStr">
        <is>
          <t>ANNProof</t>
        </is>
      </c>
      <c r="C5" s="0" t="n">
        <v>0.3</v>
      </c>
      <c r="D5" s="0" t="n">
        <v>0.71</v>
      </c>
      <c r="E5" s="0" t="n">
        <v>1.04057065</v>
      </c>
      <c r="F5" s="0" t="n">
        <v>5.200713</v>
      </c>
      <c r="G5" s="0" t="n">
        <v>386.5978</v>
      </c>
      <c r="H5" s="0" t="n">
        <v>10</v>
      </c>
      <c r="I5" s="0" t="n">
        <v>1</v>
      </c>
      <c r="J5" s="0" t="n">
        <v>60</v>
      </c>
      <c r="K5" s="0" t="inlineStr">
        <is>
          <t>/mnt/d/paper_source/work_9/VeriANN_repro_2026-09-30/VeriANN_repro_2026-09-30/results/work9-low-baselines-20261021/deep1m/ANNProof/deep1m-1000000-low-all</t>
        </is>
      </c>
    </row>
    <row r="6">
      <c r="A6" s="0" t="inlineStr">
        <is>
          <t>deep1m</t>
        </is>
      </c>
      <c r="B6" s="0" t="inlineStr">
        <is>
          <t>ANNProof</t>
        </is>
      </c>
      <c r="C6" s="0" t="n">
        <v>0.35</v>
      </c>
      <c r="D6" s="0" t="n">
        <v>0.71</v>
      </c>
      <c r="E6" s="0" t="n">
        <v>1.04057065</v>
      </c>
      <c r="F6" s="0" t="n">
        <v>5.200713</v>
      </c>
      <c r="G6" s="0" t="n">
        <v>386.5978</v>
      </c>
      <c r="H6" s="0" t="n">
        <v>10</v>
      </c>
      <c r="I6" s="0" t="n">
        <v>1</v>
      </c>
      <c r="J6" s="0" t="n">
        <v>60</v>
      </c>
      <c r="K6" s="0" t="inlineStr">
        <is>
          <t>/mnt/d/paper_source/work_9/VeriANN_repro_2026-09-30/VeriANN_repro_2026-09-30/results/work9-low-baselines-20261021/deep1m/ANNProof/deep1m-1000000-low-all</t>
        </is>
      </c>
    </row>
    <row r="7">
      <c r="A7" s="0" t="inlineStr">
        <is>
          <t>deep1m</t>
        </is>
      </c>
      <c r="B7" s="0" t="inlineStr">
        <is>
          <t>ANNProof</t>
        </is>
      </c>
      <c r="C7" s="0" t="n">
        <v>0.4</v>
      </c>
      <c r="D7" s="0" t="n">
        <v>0.71</v>
      </c>
      <c r="E7" s="0" t="n">
        <v>1.04057065</v>
      </c>
      <c r="F7" s="0" t="n">
        <v>5.200713</v>
      </c>
      <c r="G7" s="0" t="n">
        <v>386.5978</v>
      </c>
      <c r="H7" s="0" t="n">
        <v>10</v>
      </c>
      <c r="I7" s="0" t="n">
        <v>1</v>
      </c>
      <c r="J7" s="0" t="n">
        <v>60</v>
      </c>
      <c r="K7" s="0" t="inlineStr">
        <is>
          <t>/mnt/d/paper_source/work_9/VeriANN_repro_2026-09-30/VeriANN_repro_2026-09-30/results/work9-low-baselines-20261021/deep1m/ANNProof/deep1m-1000000-low-all</t>
        </is>
      </c>
    </row>
    <row r="8">
      <c r="A8" s="0" t="inlineStr">
        <is>
          <t>deep1m</t>
        </is>
      </c>
      <c r="B8" s="0" t="inlineStr">
        <is>
          <t>ANNProof</t>
        </is>
      </c>
      <c r="C8" s="0" t="n">
        <v>0.45</v>
      </c>
      <c r="D8" s="0" t="n">
        <v>0.71</v>
      </c>
      <c r="E8" s="0" t="n">
        <v>1.04057065</v>
      </c>
      <c r="F8" s="0" t="n">
        <v>5.200713</v>
      </c>
      <c r="G8" s="0" t="n">
        <v>386.5978</v>
      </c>
      <c r="H8" s="0" t="n">
        <v>10</v>
      </c>
      <c r="I8" s="0" t="n">
        <v>1</v>
      </c>
      <c r="J8" s="0" t="n">
        <v>60</v>
      </c>
      <c r="K8" s="0" t="inlineStr">
        <is>
          <t>/mnt/d/paper_source/work_9/VeriANN_repro_2026-09-30/VeriANN_repro_2026-09-30/results/work9-low-baselines-20261021/deep1m/ANNProof/deep1m-1000000-low-all</t>
        </is>
      </c>
    </row>
    <row r="9">
      <c r="A9" s="0" t="inlineStr">
        <is>
          <t>deep1m</t>
        </is>
      </c>
      <c r="B9" s="0" t="inlineStr">
        <is>
          <t>ANNProof</t>
        </is>
      </c>
      <c r="C9" s="0" t="n">
        <v>0.5</v>
      </c>
      <c r="D9" s="0" t="n">
        <v>0.71</v>
      </c>
      <c r="E9" s="0" t="n">
        <v>1.04057065</v>
      </c>
      <c r="F9" s="0" t="n">
        <v>5.200713</v>
      </c>
      <c r="G9" s="0" t="n">
        <v>386.5978</v>
      </c>
      <c r="H9" s="0" t="n">
        <v>10</v>
      </c>
      <c r="I9" s="0" t="n">
        <v>1</v>
      </c>
      <c r="J9" s="0" t="n">
        <v>60</v>
      </c>
      <c r="K9" s="0" t="inlineStr">
        <is>
          <t>/mnt/d/paper_source/work_9/VeriANN_repro_2026-09-30/VeriANN_repro_2026-09-30/results/work9-low-baselines-20261021/deep1m/ANNProof/deep1m-1000000-low-all</t>
        </is>
      </c>
    </row>
    <row r="10">
      <c r="A10" s="0" t="inlineStr">
        <is>
          <t>deep1m</t>
        </is>
      </c>
      <c r="B10" s="0" t="inlineStr">
        <is>
          <t>ANNProof</t>
        </is>
      </c>
      <c r="C10" s="0" t="n">
        <v>0.55</v>
      </c>
      <c r="D10" s="0" t="n">
        <v>0.71</v>
      </c>
      <c r="E10" s="0" t="n">
        <v>1.04057065</v>
      </c>
      <c r="F10" s="0" t="n">
        <v>5.200713</v>
      </c>
      <c r="G10" s="0" t="n">
        <v>386.5978</v>
      </c>
      <c r="H10" s="0" t="n">
        <v>10</v>
      </c>
      <c r="I10" s="0" t="n">
        <v>1</v>
      </c>
      <c r="J10" s="0" t="n">
        <v>60</v>
      </c>
      <c r="K10" s="0" t="inlineStr">
        <is>
          <t>/mnt/d/paper_source/work_9/VeriANN_repro_2026-09-30/VeriANN_repro_2026-09-30/results/work9-low-baselines-20261021/deep1m/ANNProof/deep1m-1000000-low-all</t>
        </is>
      </c>
    </row>
    <row r="11">
      <c r="A11" s="0" t="inlineStr">
        <is>
          <t>deep1m</t>
        </is>
      </c>
      <c r="B11" s="0" t="inlineStr">
        <is>
          <t>Ours</t>
        </is>
      </c>
      <c r="C11" s="0" t="n">
        <v>0.15</v>
      </c>
      <c r="D11" s="0" t="n">
        <v>0.18</v>
      </c>
      <c r="E11" s="0" t="n">
        <v>0.486627166666667</v>
      </c>
      <c r="F11" s="0" t="n">
        <v>1.27709313333333</v>
      </c>
      <c r="G11" s="0" t="n">
        <v>56.6806</v>
      </c>
      <c r="H11" s="0" t="n">
        <v>7</v>
      </c>
      <c r="I11" s="0" t="n">
        <v>1</v>
      </c>
      <c r="J11" s="0" t="n">
        <v>60</v>
      </c>
      <c r="K11" s="0" t="inlineStr">
        <is>
          <t>/mnt/d/paper_source/work_9/VeriANN_repro_2026-09-30/VeriANN_repro_2026-09-30/results/work9-low-baselines-20261021/deep1m/Ours/deep1m-1000000-low-all</t>
        </is>
      </c>
    </row>
    <row r="12">
      <c r="A12" s="0" t="inlineStr">
        <is>
          <t>deep1m</t>
        </is>
      </c>
      <c r="B12" s="0" t="inlineStr">
        <is>
          <t>Ours</t>
        </is>
      </c>
      <c r="C12" s="0" t="n">
        <v>0.2</v>
      </c>
      <c r="D12" s="0" t="n">
        <v>0.265</v>
      </c>
      <c r="E12" s="0" t="n">
        <v>0.556433966666667</v>
      </c>
      <c r="F12" s="0" t="n">
        <v>1.37510606666667</v>
      </c>
      <c r="G12" s="0" t="n">
        <v>62.4652</v>
      </c>
      <c r="H12" s="0" t="n">
        <v>8</v>
      </c>
      <c r="I12" s="0" t="n">
        <v>1</v>
      </c>
      <c r="J12" s="0" t="n">
        <v>60</v>
      </c>
      <c r="K12" s="0" t="inlineStr">
        <is>
          <t>/mnt/d/paper_source/work_9/VeriANN_repro_2026-09-30/VeriANN_repro_2026-09-30/results/work9-low-baselines-20261021/deep1m/Ours/deep1m-1000000-low-all</t>
        </is>
      </c>
    </row>
    <row r="13">
      <c r="A13" s="0" t="inlineStr">
        <is>
          <t>deep1m</t>
        </is>
      </c>
      <c r="B13" s="0" t="inlineStr">
        <is>
          <t>Ours</t>
        </is>
      </c>
      <c r="C13" s="0" t="n">
        <v>0.25</v>
      </c>
      <c r="D13" s="0" t="n">
        <v>0.265</v>
      </c>
      <c r="E13" s="0" t="n">
        <v>0.556433966666667</v>
      </c>
      <c r="F13" s="0" t="n">
        <v>1.37510606666667</v>
      </c>
      <c r="G13" s="0" t="n">
        <v>62.4652</v>
      </c>
      <c r="H13" s="0" t="n">
        <v>8</v>
      </c>
      <c r="I13" s="0" t="n">
        <v>1</v>
      </c>
      <c r="J13" s="0" t="n">
        <v>60</v>
      </c>
      <c r="K13" s="0" t="inlineStr">
        <is>
          <t>/mnt/d/paper_source/work_9/VeriANN_repro_2026-09-30/VeriANN_repro_2026-09-30/results/work9-low-baselines-20261021/deep1m/Ours/deep1m-1000000-low-all</t>
        </is>
      </c>
    </row>
    <row r="14">
      <c r="A14" s="0" t="inlineStr">
        <is>
          <t>deep1m</t>
        </is>
      </c>
      <c r="B14" s="0" t="inlineStr">
        <is>
          <t>Ours</t>
        </is>
      </c>
      <c r="C14" s="0" t="n">
        <v>0.3</v>
      </c>
      <c r="D14" s="0" t="n">
        <v>0.34</v>
      </c>
      <c r="E14" s="0" t="n">
        <v>0.68775265</v>
      </c>
      <c r="F14" s="0" t="n">
        <v>1.69434018333333</v>
      </c>
      <c r="G14" s="0" t="n">
        <v>75.9034</v>
      </c>
      <c r="H14" s="0" t="n">
        <v>10</v>
      </c>
      <c r="I14" s="0" t="n">
        <v>1</v>
      </c>
      <c r="J14" s="0" t="n">
        <v>60</v>
      </c>
      <c r="K14" s="0" t="inlineStr">
        <is>
          <t>/mnt/d/paper_source/work_9/VeriANN_repro_2026-09-30/VeriANN_repro_2026-09-30/results/work9-low-baselines-20261021/deep1m/Ours/deep1m-1000000-low-all</t>
        </is>
      </c>
    </row>
    <row r="15">
      <c r="A15" s="0" t="inlineStr">
        <is>
          <t>deep1m</t>
        </is>
      </c>
      <c r="B15" s="0" t="inlineStr">
        <is>
          <t>Ours</t>
        </is>
      </c>
      <c r="C15" s="0" t="n">
        <v>0.35</v>
      </c>
      <c r="D15" s="0" t="n">
        <v>0.39</v>
      </c>
      <c r="E15" s="0" t="n">
        <v>0.7144711</v>
      </c>
      <c r="F15" s="0" t="n">
        <v>1.79743408333333</v>
      </c>
      <c r="G15" s="0" t="n">
        <v>81.7736</v>
      </c>
      <c r="H15" s="0" t="n">
        <v>11</v>
      </c>
      <c r="I15" s="0" t="n">
        <v>1</v>
      </c>
      <c r="J15" s="0" t="n">
        <v>60</v>
      </c>
      <c r="K15" s="0" t="inlineStr">
        <is>
          <t>/mnt/d/paper_source/work_9/VeriANN_repro_2026-09-30/VeriANN_repro_2026-09-30/results/work9-low-baselines-20261021/deep1m/Ours/deep1m-1000000-low-all</t>
        </is>
      </c>
    </row>
    <row r="16">
      <c r="A16" s="0" t="inlineStr">
        <is>
          <t>deep1m</t>
        </is>
      </c>
      <c r="B16" s="0" t="inlineStr">
        <is>
          <t>Ours</t>
        </is>
      </c>
      <c r="C16" s="0" t="n">
        <v>0.4</v>
      </c>
      <c r="D16" s="0" t="n">
        <v>0.44</v>
      </c>
      <c r="E16" s="0" t="n">
        <v>0.747629966666667</v>
      </c>
      <c r="F16" s="0" t="n">
        <v>1.97509066666667</v>
      </c>
      <c r="G16" s="0" t="n">
        <v>88.0352</v>
      </c>
      <c r="H16" s="0" t="n">
        <v>12</v>
      </c>
      <c r="I16" s="0" t="n">
        <v>1</v>
      </c>
      <c r="J16" s="0" t="n">
        <v>60</v>
      </c>
      <c r="K16" s="0" t="inlineStr">
        <is>
          <t>/mnt/d/paper_source/work_9/VeriANN_repro_2026-09-30/VeriANN_repro_2026-09-30/results/work9-low-baselines-20261021/deep1m/Ours/deep1m-1000000-low-all</t>
        </is>
      </c>
    </row>
    <row r="17">
      <c r="A17" s="0" t="inlineStr">
        <is>
          <t>deep1m</t>
        </is>
      </c>
      <c r="B17" s="0" t="inlineStr">
        <is>
          <t>Ours</t>
        </is>
      </c>
      <c r="C17" s="0" t="n">
        <v>0.45</v>
      </c>
      <c r="D17" s="0" t="n">
        <v>0.5</v>
      </c>
      <c r="E17" s="0" t="n">
        <v>0.778571033333333</v>
      </c>
      <c r="F17" s="0" t="n">
        <v>2.04247968333333</v>
      </c>
      <c r="G17" s="0" t="n">
        <v>93.8396</v>
      </c>
      <c r="H17" s="0" t="n">
        <v>13</v>
      </c>
      <c r="I17" s="0" t="n">
        <v>1</v>
      </c>
      <c r="J17" s="0" t="n">
        <v>60</v>
      </c>
      <c r="K17" s="0" t="inlineStr">
        <is>
          <t>/mnt/d/paper_source/work_9/VeriANN_repro_2026-09-30/VeriANN_repro_2026-09-30/results/work9-low-baselines-20261021/deep1m/Ours/deep1m-1000000-low-all</t>
        </is>
      </c>
    </row>
    <row r="18">
      <c r="A18" s="0" t="inlineStr">
        <is>
          <t>deep1m</t>
        </is>
      </c>
      <c r="B18" s="0" t="inlineStr">
        <is>
          <t>Ours</t>
        </is>
      </c>
      <c r="C18" s="0" t="n">
        <v>0.5</v>
      </c>
      <c r="D18" s="0" t="n">
        <v>0.5</v>
      </c>
      <c r="E18" s="0" t="n">
        <v>0.778571033333333</v>
      </c>
      <c r="F18" s="0" t="n">
        <v>2.04247968333333</v>
      </c>
      <c r="G18" s="0" t="n">
        <v>93.8396</v>
      </c>
      <c r="H18" s="0" t="n">
        <v>13</v>
      </c>
      <c r="I18" s="0" t="n">
        <v>1</v>
      </c>
      <c r="J18" s="0" t="n">
        <v>60</v>
      </c>
      <c r="K18" s="0" t="inlineStr">
        <is>
          <t>/mnt/d/paper_source/work_9/VeriANN_repro_2026-09-30/VeriANN_repro_2026-09-30/results/work9-low-baselines-20261021/deep1m/Ours/deep1m-1000000-low-all</t>
        </is>
      </c>
    </row>
    <row r="19">
      <c r="A19" s="0" t="inlineStr">
        <is>
          <t>deep1m</t>
        </is>
      </c>
      <c r="B19" s="0" t="inlineStr">
        <is>
          <t>Ours</t>
        </is>
      </c>
      <c r="C19" s="0" t="n">
        <v>0.55</v>
      </c>
      <c r="D19" s="0" t="n">
        <v>0.58</v>
      </c>
      <c r="E19" s="0" t="n">
        <v>0.889875166666667</v>
      </c>
      <c r="F19" s="0" t="n">
        <v>2.29973163333333</v>
      </c>
      <c r="G19" s="0" t="n">
        <v>103.7146</v>
      </c>
      <c r="H19" s="0" t="n">
        <v>15</v>
      </c>
      <c r="I19" s="0" t="n">
        <v>1</v>
      </c>
      <c r="J19" s="0" t="n">
        <v>60</v>
      </c>
      <c r="K19" s="0" t="inlineStr">
        <is>
          <t>/mnt/d/paper_source/work_9/VeriANN_repro_2026-09-30/VeriANN_repro_2026-09-30/results/work9-low-baselines-20261021/deep1m/Ours/deep1m-1000000-low-all</t>
        </is>
      </c>
    </row>
    <row r="20">
      <c r="A20" s="0" t="inlineStr">
        <is>
          <t>deep1m</t>
        </is>
      </c>
      <c r="B20" s="0" t="inlineStr">
        <is>
          <t>VLAH</t>
        </is>
      </c>
      <c r="C20" s="0" t="n">
        <v>0.15</v>
      </c>
      <c r="D20" s="0" t="n">
        <v>0.275</v>
      </c>
      <c r="E20" s="0" t="n">
        <v>2.08422323333333</v>
      </c>
      <c r="F20" s="0" t="n">
        <v>5.95770733333333</v>
      </c>
      <c r="G20" s="0" t="n">
        <v>802.0062</v>
      </c>
      <c r="H20" s="0" t="n">
        <v>100</v>
      </c>
      <c r="I20" s="0" t="n">
        <v>1</v>
      </c>
      <c r="J20" s="0" t="n">
        <v>60</v>
      </c>
      <c r="K20" s="0" t="inlineStr">
        <is>
          <t>/mnt/d/paper_source/work_9/VeriANN_repro_2026-09-30/VeriANN_repro_2026-09-30/results/work9-low-baselines-20261021/deep1m/VLAH/deep1m-1000000-low-e100</t>
        </is>
      </c>
    </row>
    <row r="21">
      <c r="A21" s="0" t="inlineStr">
        <is>
          <t>deep1m</t>
        </is>
      </c>
      <c r="B21" s="0" t="inlineStr">
        <is>
          <t>VLAH</t>
        </is>
      </c>
      <c r="C21" s="0" t="n">
        <v>0.2</v>
      </c>
      <c r="D21" s="0" t="n">
        <v>0.275</v>
      </c>
      <c r="E21" s="0" t="n">
        <v>2.08422323333333</v>
      </c>
      <c r="F21" s="0" t="n">
        <v>5.95770733333333</v>
      </c>
      <c r="G21" s="0" t="n">
        <v>802.0062</v>
      </c>
      <c r="H21" s="0" t="n">
        <v>100</v>
      </c>
      <c r="I21" s="0" t="n">
        <v>1</v>
      </c>
      <c r="J21" s="0" t="n">
        <v>60</v>
      </c>
      <c r="K21" s="0" t="inlineStr">
        <is>
          <t>/mnt/d/paper_source/work_9/VeriANN_repro_2026-09-30/VeriANN_repro_2026-09-30/results/work9-low-baselines-20261021/deep1m/VLAH/deep1m-1000000-low-e100</t>
        </is>
      </c>
    </row>
    <row r="22">
      <c r="A22" s="0" t="inlineStr">
        <is>
          <t>deep1m</t>
        </is>
      </c>
      <c r="B22" s="0" t="inlineStr">
        <is>
          <t>VLAH</t>
        </is>
      </c>
      <c r="C22" s="0" t="n">
        <v>0.25</v>
      </c>
      <c r="D22" s="0" t="n">
        <v>0.275</v>
      </c>
      <c r="E22" s="0" t="n">
        <v>2.08422323333333</v>
      </c>
      <c r="F22" s="0" t="n">
        <v>5.95770733333333</v>
      </c>
      <c r="G22" s="0" t="n">
        <v>802.0062</v>
      </c>
      <c r="H22" s="0" t="n">
        <v>100</v>
      </c>
      <c r="I22" s="0" t="n">
        <v>1</v>
      </c>
      <c r="J22" s="0" t="n">
        <v>60</v>
      </c>
      <c r="K22" s="0" t="inlineStr">
        <is>
          <t>/mnt/d/paper_source/work_9/VeriANN_repro_2026-09-30/VeriANN_repro_2026-09-30/results/work9-low-baselines-20261021/deep1m/VLAH/deep1m-1000000-low-e100</t>
        </is>
      </c>
    </row>
    <row r="23">
      <c r="A23" s="0" t="inlineStr">
        <is>
          <t>deep1m</t>
        </is>
      </c>
      <c r="B23" s="0" t="inlineStr">
        <is>
          <t>VLAH</t>
        </is>
      </c>
      <c r="C23" s="0" t="n">
        <v>0.3</v>
      </c>
      <c r="D23" s="0" t="n">
        <v>0.335</v>
      </c>
      <c r="E23" s="0" t="n">
        <v>4.18868728333333</v>
      </c>
      <c r="F23" s="0" t="n">
        <v>11.8769941666667</v>
      </c>
      <c r="G23" s="0" t="n">
        <v>1615.29855</v>
      </c>
      <c r="H23" s="0" t="n">
        <v>100</v>
      </c>
      <c r="I23" s="0" t="n">
        <v>2</v>
      </c>
      <c r="J23" s="0" t="n">
        <v>60</v>
      </c>
      <c r="K23" s="0" t="inlineStr">
        <is>
          <t>/mnt/d/paper_source/work_9/VeriANN_repro_2026-09-30/VeriANN_repro_2026-09-30/results/work9-low-baselines-20261021/deep1m/VLAH/deep1m-1000000-low-e100</t>
        </is>
      </c>
    </row>
    <row r="24">
      <c r="A24" s="0" t="inlineStr">
        <is>
          <t>deep1m</t>
        </is>
      </c>
      <c r="B24" s="0" t="inlineStr">
        <is>
          <t>VLAH</t>
        </is>
      </c>
      <c r="C24" s="0" t="n">
        <v>0.35</v>
      </c>
      <c r="D24" s="0" t="n">
        <v>0.42</v>
      </c>
      <c r="E24" s="0" t="n">
        <v>6.51949951666667</v>
      </c>
      <c r="F24" s="0" t="n">
        <v>18.4796554</v>
      </c>
      <c r="G24" s="0" t="n">
        <v>2448.14225</v>
      </c>
      <c r="H24" s="0" t="n">
        <v>100</v>
      </c>
      <c r="I24" s="0" t="n">
        <v>3</v>
      </c>
      <c r="J24" s="0" t="n">
        <v>60</v>
      </c>
      <c r="K24" s="0" t="inlineStr">
        <is>
          <t>/mnt/d/paper_source/work_9/VeriANN_repro_2026-09-30/VeriANN_repro_2026-09-30/results/work9-low-baselines-20261021/deep1m/VLAH/deep1m-1000000-low-e100</t>
        </is>
      </c>
    </row>
    <row r="25">
      <c r="A25" s="0" t="inlineStr">
        <is>
          <t>deep1m</t>
        </is>
      </c>
      <c r="B25" s="0" t="inlineStr">
        <is>
          <t>VLAH</t>
        </is>
      </c>
      <c r="C25" s="0" t="n">
        <v>0.4</v>
      </c>
      <c r="D25" s="0" t="n">
        <v>0.42</v>
      </c>
      <c r="E25" s="0" t="n">
        <v>6.51949951666667</v>
      </c>
      <c r="F25" s="0" t="n">
        <v>18.4796554</v>
      </c>
      <c r="G25" s="0" t="n">
        <v>2448.14225</v>
      </c>
      <c r="H25" s="0" t="n">
        <v>100</v>
      </c>
      <c r="I25" s="0" t="n">
        <v>3</v>
      </c>
      <c r="J25" s="0" t="n">
        <v>60</v>
      </c>
      <c r="K25" s="0" t="inlineStr">
        <is>
          <t>/mnt/d/paper_source/work_9/VeriANN_repro_2026-09-30/VeriANN_repro_2026-09-30/results/work9-low-baselines-20261021/deep1m/VLAH/deep1m-1000000-low-e100</t>
        </is>
      </c>
    </row>
    <row r="26">
      <c r="A26" s="0" t="inlineStr">
        <is>
          <t>deep1m</t>
        </is>
      </c>
      <c r="B26" s="0" t="inlineStr">
        <is>
          <t>VLAH</t>
        </is>
      </c>
      <c r="C26" s="0" t="n">
        <v>0.45</v>
      </c>
      <c r="D26" s="0" t="n">
        <v>0.465</v>
      </c>
      <c r="E26" s="0" t="n">
        <v>8.62520518333333</v>
      </c>
      <c r="F26" s="0" t="n">
        <v>24.9023288333333</v>
      </c>
      <c r="G26" s="0" t="n">
        <v>3303.24605</v>
      </c>
      <c r="H26" s="0" t="n">
        <v>100</v>
      </c>
      <c r="I26" s="0" t="n">
        <v>4</v>
      </c>
      <c r="J26" s="0" t="n">
        <v>60</v>
      </c>
      <c r="K26" s="0" t="inlineStr">
        <is>
          <t>/mnt/d/paper_source/work_9/VeriANN_repro_2026-09-30/VeriANN_repro_2026-09-30/results/work9-low-baselines-20261021/deep1m/VLAH/deep1m-1000000-low-e100</t>
        </is>
      </c>
    </row>
    <row r="27">
      <c r="A27" s="0" t="inlineStr">
        <is>
          <t>deep1m</t>
        </is>
      </c>
      <c r="B27" s="0" t="inlineStr">
        <is>
          <t>VLAH</t>
        </is>
      </c>
      <c r="C27" s="0" t="n">
        <v>0.5</v>
      </c>
      <c r="D27" s="0" t="n">
        <v>0.51</v>
      </c>
      <c r="E27" s="0" t="n">
        <v>11.0123508333333</v>
      </c>
      <c r="F27" s="0" t="n">
        <v>31.6761766</v>
      </c>
      <c r="G27" s="0" t="n">
        <v>4141.71375</v>
      </c>
      <c r="H27" s="0" t="n">
        <v>100</v>
      </c>
      <c r="I27" s="0" t="n">
        <v>5</v>
      </c>
      <c r="J27" s="0" t="n">
        <v>60</v>
      </c>
      <c r="K27" s="0" t="inlineStr">
        <is>
          <t>/mnt/d/paper_source/work_9/VeriANN_repro_2026-09-30/VeriANN_repro_2026-09-30/results/work9-low-baselines-20261021/deep1m/VLAH/deep1m-1000000-low-e100</t>
        </is>
      </c>
    </row>
    <row r="28">
      <c r="A28" s="0" t="inlineStr">
        <is>
          <t>deep1m</t>
        </is>
      </c>
      <c r="B28" s="0" t="inlineStr">
        <is>
          <t>VLAH</t>
        </is>
      </c>
      <c r="C28" s="0" t="n">
        <v>0.55</v>
      </c>
      <c r="D28" s="0" t="n">
        <v>0.5600000000000001</v>
      </c>
      <c r="E28" s="0" t="n">
        <v>15.35423605</v>
      </c>
      <c r="F28" s="0" t="n">
        <v>44.1825776666667</v>
      </c>
      <c r="G28" s="0" t="n">
        <v>5792.28255</v>
      </c>
      <c r="H28" s="0" t="n">
        <v>100</v>
      </c>
      <c r="I28" s="0" t="n">
        <v>7</v>
      </c>
      <c r="J28" s="0" t="n">
        <v>60</v>
      </c>
      <c r="K28" s="0" t="inlineStr">
        <is>
          <t>/mnt/d/paper_source/work_9/VeriANN_repro_2026-09-30/VeriANN_repro_2026-09-30/results/work9-low-baselines-20261021/deep1m/VLAH/deep1m-1000000-low-e100</t>
        </is>
      </c>
    </row>
    <row r="29">
      <c r="A29" s="0" t="inlineStr">
        <is>
          <t>glove100</t>
        </is>
      </c>
      <c r="B29" s="0" t="inlineStr">
        <is>
          <t>ANNProof</t>
        </is>
      </c>
      <c r="C29" s="0" t="n">
        <v>0.15</v>
      </c>
      <c r="D29" s="0" t="n">
        <v>0.36</v>
      </c>
      <c r="E29" s="0" t="n">
        <v>1.3691084</v>
      </c>
      <c r="F29" s="0" t="n">
        <v>6.70903365</v>
      </c>
      <c r="G29" s="0" t="n">
        <v>515.5492</v>
      </c>
      <c r="H29" s="0" t="n">
        <v>10</v>
      </c>
      <c r="I29" s="0" t="n">
        <v>1</v>
      </c>
      <c r="J29" s="0" t="n">
        <v>60</v>
      </c>
      <c r="K29" s="0" t="inlineStr">
        <is>
          <t>/mnt/d/paper_source/work_9/VeriANN_repro_2026-09-30/VeriANN_repro_2026-09-30/results/work9-low-baselines-20261021/glove100/ANNProof/glove100-1183514-low-all</t>
        </is>
      </c>
    </row>
    <row r="30">
      <c r="A30" s="0" t="inlineStr">
        <is>
          <t>glove100</t>
        </is>
      </c>
      <c r="B30" s="0" t="inlineStr">
        <is>
          <t>ANNProof</t>
        </is>
      </c>
      <c r="C30" s="0" t="n">
        <v>0.2</v>
      </c>
      <c r="D30" s="0" t="n">
        <v>0.36</v>
      </c>
      <c r="E30" s="0" t="n">
        <v>1.3691084</v>
      </c>
      <c r="F30" s="0" t="n">
        <v>6.70903365</v>
      </c>
      <c r="G30" s="0" t="n">
        <v>515.5492</v>
      </c>
      <c r="H30" s="0" t="n">
        <v>10</v>
      </c>
      <c r="I30" s="0" t="n">
        <v>1</v>
      </c>
      <c r="J30" s="0" t="n">
        <v>60</v>
      </c>
      <c r="K30" s="0" t="inlineStr">
        <is>
          <t>/mnt/d/paper_source/work_9/VeriANN_repro_2026-09-30/VeriANN_repro_2026-09-30/results/work9-low-baselines-20261021/glove100/ANNProof/glove100-1183514-low-all</t>
        </is>
      </c>
    </row>
    <row r="31">
      <c r="A31" s="0" t="inlineStr">
        <is>
          <t>glove100</t>
        </is>
      </c>
      <c r="B31" s="0" t="inlineStr">
        <is>
          <t>ANNProof</t>
        </is>
      </c>
      <c r="C31" s="0" t="n">
        <v>0.25</v>
      </c>
      <c r="D31" s="0" t="n">
        <v>0.36</v>
      </c>
      <c r="E31" s="0" t="n">
        <v>1.3691084</v>
      </c>
      <c r="F31" s="0" t="n">
        <v>6.70903365</v>
      </c>
      <c r="G31" s="0" t="n">
        <v>515.5492</v>
      </c>
      <c r="H31" s="0" t="n">
        <v>10</v>
      </c>
      <c r="I31" s="0" t="n">
        <v>1</v>
      </c>
      <c r="J31" s="0" t="n">
        <v>60</v>
      </c>
      <c r="K31" s="0" t="inlineStr">
        <is>
          <t>/mnt/d/paper_source/work_9/VeriANN_repro_2026-09-30/VeriANN_repro_2026-09-30/results/work9-low-baselines-20261021/glove100/ANNProof/glove100-1183514-low-all</t>
        </is>
      </c>
    </row>
    <row r="32">
      <c r="A32" s="0" t="inlineStr">
        <is>
          <t>glove100</t>
        </is>
      </c>
      <c r="B32" s="0" t="inlineStr">
        <is>
          <t>ANNProof</t>
        </is>
      </c>
      <c r="C32" s="0" t="n">
        <v>0.3</v>
      </c>
      <c r="D32" s="0" t="n">
        <v>0.36</v>
      </c>
      <c r="E32" s="0" t="n">
        <v>1.3691084</v>
      </c>
      <c r="F32" s="0" t="n">
        <v>6.70903365</v>
      </c>
      <c r="G32" s="0" t="n">
        <v>515.5492</v>
      </c>
      <c r="H32" s="0" t="n">
        <v>10</v>
      </c>
      <c r="I32" s="0" t="n">
        <v>1</v>
      </c>
      <c r="J32" s="0" t="n">
        <v>60</v>
      </c>
      <c r="K32" s="0" t="inlineStr">
        <is>
          <t>/mnt/d/paper_source/work_9/VeriANN_repro_2026-09-30/VeriANN_repro_2026-09-30/results/work9-low-baselines-20261021/glove100/ANNProof/glove100-1183514-low-all</t>
        </is>
      </c>
    </row>
    <row r="33">
      <c r="A33" s="0" t="inlineStr">
        <is>
          <t>glove100</t>
        </is>
      </c>
      <c r="B33" s="0" t="inlineStr">
        <is>
          <t>ANNProof</t>
        </is>
      </c>
      <c r="C33" s="0" t="n">
        <v>0.35</v>
      </c>
      <c r="D33" s="0" t="n">
        <v>0.36</v>
      </c>
      <c r="E33" s="0" t="n">
        <v>1.3691084</v>
      </c>
      <c r="F33" s="0" t="n">
        <v>6.70903365</v>
      </c>
      <c r="G33" s="0" t="n">
        <v>515.5492</v>
      </c>
      <c r="H33" s="0" t="n">
        <v>10</v>
      </c>
      <c r="I33" s="0" t="n">
        <v>1</v>
      </c>
      <c r="J33" s="0" t="n">
        <v>60</v>
      </c>
      <c r="K33" s="0" t="inlineStr">
        <is>
          <t>/mnt/d/paper_source/work_9/VeriANN_repro_2026-09-30/VeriANN_repro_2026-09-30/results/work9-low-baselines-20261021/glove100/ANNProof/glove100-1183514-low-all</t>
        </is>
      </c>
    </row>
    <row r="34">
      <c r="A34" s="0" t="inlineStr">
        <is>
          <t>glove100</t>
        </is>
      </c>
      <c r="B34" s="0" t="inlineStr">
        <is>
          <t>ANNProof</t>
        </is>
      </c>
      <c r="C34" s="0" t="n">
        <v>0.4</v>
      </c>
      <c r="D34" s="0" t="n">
        <v>0.4</v>
      </c>
      <c r="E34" s="0" t="n">
        <v>1.87985775</v>
      </c>
      <c r="F34" s="0" t="n">
        <v>9.1337694</v>
      </c>
      <c r="G34" s="0" t="n">
        <v>693.6684</v>
      </c>
      <c r="H34" s="0" t="n">
        <v>14</v>
      </c>
      <c r="I34" s="0" t="n">
        <v>1</v>
      </c>
      <c r="J34" s="0" t="n">
        <v>60</v>
      </c>
      <c r="K34" s="0" t="inlineStr">
        <is>
          <t>/mnt/d/paper_source/work_9/VeriANN_repro_2026-09-30/VeriANN_repro_2026-09-30/results/work9-low-baselines-20261021/glove100/ANNProof/glove100-1183514-low-all</t>
        </is>
      </c>
    </row>
    <row r="35">
      <c r="A35" s="0" t="inlineStr">
        <is>
          <t>glove100</t>
        </is>
      </c>
      <c r="B35" s="0" t="inlineStr">
        <is>
          <t>ANNProof</t>
        </is>
      </c>
      <c r="C35" s="0" t="n">
        <v>0.45</v>
      </c>
      <c r="D35" s="0" t="n">
        <v>0.455</v>
      </c>
      <c r="E35" s="0" t="n">
        <v>2.10735428333333</v>
      </c>
      <c r="F35" s="0" t="n">
        <v>10.8781289333333</v>
      </c>
      <c r="G35" s="0" t="n">
        <v>830.1814000000001</v>
      </c>
      <c r="H35" s="0" t="n">
        <v>19</v>
      </c>
      <c r="I35" s="0" t="n">
        <v>1</v>
      </c>
      <c r="J35" s="0" t="n">
        <v>60</v>
      </c>
      <c r="K35" s="0" t="inlineStr">
        <is>
          <t>/mnt/d/paper_source/work_9/VeriANN_repro_2026-09-30/VeriANN_repro_2026-09-30/results/work9-low-baselines-20261021/glove100/ANNProof/glove100-1183514-low-all</t>
        </is>
      </c>
    </row>
    <row r="36">
      <c r="A36" s="0" t="inlineStr">
        <is>
          <t>glove100</t>
        </is>
      </c>
      <c r="B36" s="0" t="inlineStr">
        <is>
          <t>ANNProof</t>
        </is>
      </c>
      <c r="C36" s="0" t="n">
        <v>0.5</v>
      </c>
      <c r="D36" s="0" t="n">
        <v>0.505</v>
      </c>
      <c r="E36" s="0" t="n">
        <v>2.66261583333333</v>
      </c>
      <c r="F36" s="0" t="n">
        <v>13.3027162</v>
      </c>
      <c r="G36" s="0" t="n">
        <v>1026.1096</v>
      </c>
      <c r="H36" s="0" t="n">
        <v>29</v>
      </c>
      <c r="I36" s="0" t="n">
        <v>1</v>
      </c>
      <c r="J36" s="0" t="n">
        <v>60</v>
      </c>
      <c r="K36" s="0" t="inlineStr">
        <is>
          <t>/mnt/d/paper_source/work_9/VeriANN_repro_2026-09-30/VeriANN_repro_2026-09-30/results/work9-low-baselines-20261021/glove100/ANNProof/glove100-1183514-low-all</t>
        </is>
      </c>
    </row>
    <row r="37">
      <c r="A37" s="0" t="inlineStr">
        <is>
          <t>glove100</t>
        </is>
      </c>
      <c r="B37" s="0" t="inlineStr">
        <is>
          <t>ANNProof</t>
        </is>
      </c>
      <c r="C37" s="0" t="n">
        <v>0.55</v>
      </c>
      <c r="D37" s="0" t="n">
        <v>0.5649999999999999</v>
      </c>
      <c r="E37" s="0" t="n">
        <v>3.30351245</v>
      </c>
      <c r="F37" s="0" t="n">
        <v>16.0786200333333</v>
      </c>
      <c r="G37" s="0" t="n">
        <v>1245.8634</v>
      </c>
      <c r="H37" s="0" t="n">
        <v>38</v>
      </c>
      <c r="I37" s="0" t="n">
        <v>1</v>
      </c>
      <c r="J37" s="0" t="n">
        <v>60</v>
      </c>
      <c r="K37" s="0" t="inlineStr">
        <is>
          <t>/mnt/d/paper_source/work_9/VeriANN_repro_2026-09-30/VeriANN_repro_2026-09-30/results/work9-low-baselines-20261021/glove100/ANNProof/glove100-1183514-low-all</t>
        </is>
      </c>
    </row>
    <row r="38">
      <c r="A38" s="0" t="inlineStr">
        <is>
          <t>glove100</t>
        </is>
      </c>
      <c r="B38" s="0" t="inlineStr">
        <is>
          <t>Ours</t>
        </is>
      </c>
      <c r="C38" s="0" t="n">
        <v>0.15</v>
      </c>
      <c r="D38" s="0" t="n">
        <v>0.155</v>
      </c>
      <c r="E38" s="0" t="n">
        <v>0.9345852166666671</v>
      </c>
      <c r="F38" s="0" t="n">
        <v>2.65325696666667</v>
      </c>
      <c r="G38" s="0" t="n">
        <v>120.20935</v>
      </c>
      <c r="H38" s="0" t="n">
        <v>10</v>
      </c>
      <c r="I38" s="0" t="n">
        <v>1</v>
      </c>
      <c r="J38" s="0" t="n">
        <v>60</v>
      </c>
      <c r="K38" s="0" t="inlineStr">
        <is>
          <t>/mnt/d/paper_source/work_9/VeriANN_repro_2026-09-30/VeriANN_repro_2026-09-30/results/work9-low-baselines-20261021/glove100/Ours/glove100-1183514-low-all</t>
        </is>
      </c>
    </row>
    <row r="39">
      <c r="A39" s="0" t="inlineStr">
        <is>
          <t>glove100</t>
        </is>
      </c>
      <c r="B39" s="0" t="inlineStr">
        <is>
          <t>Ours</t>
        </is>
      </c>
      <c r="C39" s="0" t="n">
        <v>0.2</v>
      </c>
      <c r="D39" s="0" t="n">
        <v>0.23</v>
      </c>
      <c r="E39" s="0" t="n">
        <v>1.13263135</v>
      </c>
      <c r="F39" s="0" t="n">
        <v>3.19250186666667</v>
      </c>
      <c r="G39" s="0" t="n">
        <v>146.55395</v>
      </c>
      <c r="H39" s="0" t="n">
        <v>13</v>
      </c>
      <c r="I39" s="0" t="n">
        <v>1</v>
      </c>
      <c r="J39" s="0" t="n">
        <v>60</v>
      </c>
      <c r="K39" s="0" t="inlineStr">
        <is>
          <t>/mnt/d/paper_source/work_9/VeriANN_repro_2026-09-30/VeriANN_repro_2026-09-30/results/work9-low-baselines-20261021/glove100/Ours/glove100-1183514-low-all</t>
        </is>
      </c>
    </row>
    <row r="40">
      <c r="A40" s="0" t="inlineStr">
        <is>
          <t>glove100</t>
        </is>
      </c>
      <c r="B40" s="0" t="inlineStr">
        <is>
          <t>Ours</t>
        </is>
      </c>
      <c r="C40" s="0" t="n">
        <v>0.25</v>
      </c>
      <c r="D40" s="0" t="n">
        <v>0.255</v>
      </c>
      <c r="E40" s="0" t="n">
        <v>1.289878</v>
      </c>
      <c r="F40" s="0" t="n">
        <v>3.58026891666667</v>
      </c>
      <c r="G40" s="0" t="n">
        <v>162.7497</v>
      </c>
      <c r="H40" s="0" t="n">
        <v>15</v>
      </c>
      <c r="I40" s="0" t="n">
        <v>1</v>
      </c>
      <c r="J40" s="0" t="n">
        <v>60</v>
      </c>
      <c r="K40" s="0" t="inlineStr">
        <is>
          <t>/mnt/d/paper_source/work_9/VeriANN_repro_2026-09-30/VeriANN_repro_2026-09-30/results/work9-low-baselines-20261021/glove100/Ours/glove100-1183514-low-all</t>
        </is>
      </c>
    </row>
    <row r="41">
      <c r="A41" s="0" t="inlineStr">
        <is>
          <t>glove100</t>
        </is>
      </c>
      <c r="B41" s="0" t="inlineStr">
        <is>
          <t>Ours</t>
        </is>
      </c>
      <c r="C41" s="0" t="n">
        <v>0.3</v>
      </c>
      <c r="D41" s="0" t="n">
        <v>0.3</v>
      </c>
      <c r="E41" s="0" t="n">
        <v>1.52453835</v>
      </c>
      <c r="F41" s="0" t="n">
        <v>4.14065143333333</v>
      </c>
      <c r="G41" s="0" t="n">
        <v>182.30215</v>
      </c>
      <c r="H41" s="0" t="n">
        <v>18</v>
      </c>
      <c r="I41" s="0" t="n">
        <v>1</v>
      </c>
      <c r="J41" s="0" t="n">
        <v>60</v>
      </c>
      <c r="K41" s="0" t="inlineStr">
        <is>
          <t>/mnt/d/paper_source/work_9/VeriANN_repro_2026-09-30/VeriANN_repro_2026-09-30/results/work9-low-baselines-20261021/glove100/Ours/glove100-1183514-low-all</t>
        </is>
      </c>
    </row>
    <row r="42">
      <c r="A42" s="0" t="inlineStr">
        <is>
          <t>glove100</t>
        </is>
      </c>
      <c r="B42" s="0" t="inlineStr">
        <is>
          <t>Ours</t>
        </is>
      </c>
      <c r="C42" s="0" t="n">
        <v>0.35</v>
      </c>
      <c r="D42" s="0" t="n">
        <v>0.35</v>
      </c>
      <c r="E42" s="0" t="n">
        <v>1.82872335</v>
      </c>
      <c r="F42" s="0" t="n">
        <v>4.86813466666667</v>
      </c>
      <c r="G42" s="0" t="n">
        <v>213.8622</v>
      </c>
      <c r="H42" s="0" t="n">
        <v>23</v>
      </c>
      <c r="I42" s="0" t="n">
        <v>1</v>
      </c>
      <c r="J42" s="0" t="n">
        <v>60</v>
      </c>
      <c r="K42" s="0" t="inlineStr">
        <is>
          <t>/mnt/d/paper_source/work_9/VeriANN_repro_2026-09-30/VeriANN_repro_2026-09-30/results/work9-low-baselines-20261021/glove100/Ours/glove100-1183514-low-all</t>
        </is>
      </c>
    </row>
    <row r="43">
      <c r="A43" s="0" t="inlineStr">
        <is>
          <t>glove100</t>
        </is>
      </c>
      <c r="B43" s="0" t="inlineStr">
        <is>
          <t>Ours</t>
        </is>
      </c>
      <c r="C43" s="0" t="n">
        <v>0.4</v>
      </c>
      <c r="D43" s="0" t="n">
        <v>0.415</v>
      </c>
      <c r="E43" s="0" t="n">
        <v>2.33781906666667</v>
      </c>
      <c r="F43" s="0" t="n">
        <v>6.17333213333333</v>
      </c>
      <c r="G43" s="0" t="n">
        <v>263.86515</v>
      </c>
      <c r="H43" s="0" t="n">
        <v>31</v>
      </c>
      <c r="I43" s="0" t="n">
        <v>1</v>
      </c>
      <c r="J43" s="0" t="n">
        <v>60</v>
      </c>
      <c r="K43" s="0" t="inlineStr">
        <is>
          <t>/mnt/d/paper_source/work_9/VeriANN_repro_2026-09-30/VeriANN_repro_2026-09-30/results/work9-low-baselines-20261021/glove100/Ours/glove100-1183514-low-all</t>
        </is>
      </c>
    </row>
    <row r="44">
      <c r="A44" s="0" t="inlineStr">
        <is>
          <t>glove100</t>
        </is>
      </c>
      <c r="B44" s="0" t="inlineStr">
        <is>
          <t>Ours</t>
        </is>
      </c>
      <c r="C44" s="0" t="n">
        <v>0.45</v>
      </c>
      <c r="D44" s="0" t="n">
        <v>0.455</v>
      </c>
      <c r="E44" s="0" t="n">
        <v>2.36229078333333</v>
      </c>
      <c r="F44" s="0" t="n">
        <v>6.21699503333333</v>
      </c>
      <c r="G44" s="0" t="n">
        <v>274.05425</v>
      </c>
      <c r="H44" s="0" t="n">
        <v>33</v>
      </c>
      <c r="I44" s="0" t="n">
        <v>1</v>
      </c>
      <c r="J44" s="0" t="n">
        <v>60</v>
      </c>
      <c r="K44" s="0" t="inlineStr">
        <is>
          <t>/mnt/d/paper_source/work_9/VeriANN_repro_2026-09-30/VeriANN_repro_2026-09-30/results/work9-low-baselines-20261021/glove100/Ours/glove100-1183514-low-all</t>
        </is>
      </c>
    </row>
    <row r="45">
      <c r="A45" s="0" t="inlineStr">
        <is>
          <t>glove100</t>
        </is>
      </c>
      <c r="B45" s="0" t="inlineStr">
        <is>
          <t>Ours</t>
        </is>
      </c>
      <c r="C45" s="0" t="n">
        <v>0.5</v>
      </c>
      <c r="D45" s="0" t="n">
        <v>0.505</v>
      </c>
      <c r="E45" s="0" t="n">
        <v>2.87353921666667</v>
      </c>
      <c r="F45" s="0" t="n">
        <v>7.257134</v>
      </c>
      <c r="G45" s="0" t="n">
        <v>319.727</v>
      </c>
      <c r="H45" s="0" t="n">
        <v>41</v>
      </c>
      <c r="I45" s="0" t="n">
        <v>1</v>
      </c>
      <c r="J45" s="0" t="n">
        <v>60</v>
      </c>
      <c r="K45" s="0" t="inlineStr">
        <is>
          <t>/mnt/d/paper_source/work_9/VeriANN_repro_2026-09-30/VeriANN_repro_2026-09-30/results/work9-low-baselines-20261021/glove100/Ours/glove100-1183514-low-all</t>
        </is>
      </c>
    </row>
    <row r="46">
      <c r="A46" s="0" t="inlineStr">
        <is>
          <t>glove100</t>
        </is>
      </c>
      <c r="B46" s="0" t="inlineStr">
        <is>
          <t>Ours</t>
        </is>
      </c>
      <c r="C46" s="0" t="n">
        <v>0.55</v>
      </c>
      <c r="D46" s="0" t="n">
        <v>0.55</v>
      </c>
      <c r="E46" s="0" t="n">
        <v>3.30377081666667</v>
      </c>
      <c r="F46" s="0" t="n">
        <v>8.477766000000001</v>
      </c>
      <c r="G46" s="0" t="n">
        <v>363.04355</v>
      </c>
      <c r="H46" s="0" t="n">
        <v>49</v>
      </c>
      <c r="I46" s="0" t="n">
        <v>1</v>
      </c>
      <c r="J46" s="0" t="n">
        <v>60</v>
      </c>
      <c r="K46" s="0" t="inlineStr">
        <is>
          <t>/mnt/d/paper_source/work_9/VeriANN_repro_2026-09-30/VeriANN_repro_2026-09-30/results/work9-low-baselines-20261021/glove100/Ours/glove100-1183514-low-all</t>
        </is>
      </c>
    </row>
    <row r="47">
      <c r="A47" s="0" t="inlineStr">
        <is>
          <t>glove100</t>
        </is>
      </c>
      <c r="B47" s="0" t="inlineStr">
        <is>
          <t>VLAH</t>
        </is>
      </c>
      <c r="C47" s="0" t="n">
        <v>0.15</v>
      </c>
      <c r="D47" s="0" t="n">
        <v>0.16</v>
      </c>
      <c r="E47" s="0" t="n">
        <v>7.3318917</v>
      </c>
      <c r="F47" s="0" t="n">
        <v>20.8436542166667</v>
      </c>
      <c r="G47" s="0" t="n">
        <v>3340.40705</v>
      </c>
      <c r="H47" s="0" t="n">
        <v>100</v>
      </c>
      <c r="I47" s="0" t="n">
        <v>2</v>
      </c>
      <c r="J47" s="0" t="n">
        <v>60</v>
      </c>
      <c r="K47" s="0" t="inlineStr">
        <is>
          <t>/mnt/d/paper_source/work_9/VeriANN_repro_2026-09-30/VeriANN_repro_2026-09-30/results/work9-low-baselines-20261021/glove100/VLAH/glove100-1183514-low-e100</t>
        </is>
      </c>
    </row>
    <row r="48">
      <c r="A48" s="0" t="inlineStr">
        <is>
          <t>glove100</t>
        </is>
      </c>
      <c r="B48" s="0" t="inlineStr">
        <is>
          <t>VLAH</t>
        </is>
      </c>
      <c r="C48" s="0" t="n">
        <v>0.2</v>
      </c>
      <c r="D48" s="0" t="n">
        <v>0.21</v>
      </c>
      <c r="E48" s="0" t="n">
        <v>15.2476492333333</v>
      </c>
      <c r="F48" s="0" t="n">
        <v>43.2735672166667</v>
      </c>
      <c r="G48" s="0" t="n">
        <v>6706.90815</v>
      </c>
      <c r="H48" s="0" t="n">
        <v>100</v>
      </c>
      <c r="I48" s="0" t="n">
        <v>4</v>
      </c>
      <c r="J48" s="0" t="n">
        <v>60</v>
      </c>
      <c r="K48" s="0" t="inlineStr">
        <is>
          <t>/mnt/d/paper_source/work_9/VeriANN_repro_2026-09-30/VeriANN_repro_2026-09-30/results/work9-low-baselines-20261021/glove100/VLAH/glove100-1183514-low-e100</t>
        </is>
      </c>
    </row>
    <row r="49">
      <c r="A49" s="0" t="inlineStr">
        <is>
          <t>glove100</t>
        </is>
      </c>
      <c r="B49" s="0" t="inlineStr">
        <is>
          <t>VLAH</t>
        </is>
      </c>
      <c r="C49" s="0" t="n">
        <v>0.25</v>
      </c>
      <c r="D49" s="0" t="n">
        <v>0.265</v>
      </c>
      <c r="E49" s="0" t="n">
        <v>19.9759850166667</v>
      </c>
      <c r="F49" s="0" t="n">
        <v>56.7885860833333</v>
      </c>
      <c r="G49" s="0" t="n">
        <v>8406.96125</v>
      </c>
      <c r="H49" s="0" t="n">
        <v>100</v>
      </c>
      <c r="I49" s="0" t="n">
        <v>5</v>
      </c>
      <c r="J49" s="0" t="n">
        <v>60</v>
      </c>
      <c r="K49" s="0" t="inlineStr">
        <is>
          <t>/mnt/d/paper_source/work_9/VeriANN_repro_2026-09-30/VeriANN_repro_2026-09-30/results/work9-low-baselines-20261021/glove100/VLAH/glove100-1183514-low-e100</t>
        </is>
      </c>
    </row>
    <row r="50">
      <c r="A50" s="0" t="inlineStr">
        <is>
          <t>glove100</t>
        </is>
      </c>
      <c r="B50" s="0" t="inlineStr">
        <is>
          <t>VLAH</t>
        </is>
      </c>
      <c r="C50" s="0" t="n">
        <v>0.3</v>
      </c>
      <c r="D50" s="0" t="n">
        <v>0.315</v>
      </c>
      <c r="E50" s="0" t="n">
        <v>27.8080570833333</v>
      </c>
      <c r="F50" s="0" t="n">
        <v>80.1626145666667</v>
      </c>
      <c r="G50" s="0" t="n">
        <v>11749.45825</v>
      </c>
      <c r="H50" s="0" t="n">
        <v>100</v>
      </c>
      <c r="I50" s="0" t="n">
        <v>7</v>
      </c>
      <c r="J50" s="0" t="n">
        <v>60</v>
      </c>
      <c r="K50" s="0" t="inlineStr">
        <is>
          <t>/mnt/d/paper_source/work_9/VeriANN_repro_2026-09-30/VeriANN_repro_2026-09-30/results/work9-low-baselines-20261021/glove100/VLAH/glove100-1183514-low-e100</t>
        </is>
      </c>
    </row>
    <row r="51">
      <c r="A51" s="0" t="inlineStr">
        <is>
          <t>glove100</t>
        </is>
      </c>
      <c r="B51" s="0" t="inlineStr">
        <is>
          <t>VLAH</t>
        </is>
      </c>
      <c r="C51" s="0" t="n">
        <v>0.35</v>
      </c>
      <c r="D51" s="0" t="n">
        <v>0.365</v>
      </c>
      <c r="E51" s="0" t="n">
        <v>46.3768232</v>
      </c>
      <c r="F51" s="0" t="n">
        <v>126.2832732</v>
      </c>
      <c r="G51" s="0" t="n">
        <v>18520.25115</v>
      </c>
      <c r="H51" s="0" t="n">
        <v>100</v>
      </c>
      <c r="I51" s="0" t="n">
        <v>11</v>
      </c>
      <c r="J51" s="0" t="n">
        <v>60</v>
      </c>
      <c r="K51" s="0" t="inlineStr">
        <is>
          <t>/mnt/d/paper_source/work_9/VeriANN_repro_2026-09-30/VeriANN_repro_2026-09-30/results/work9-low-baselines-20261021/glove100/VLAH/glove100-1183514-low-e100</t>
        </is>
      </c>
    </row>
    <row r="52">
      <c r="A52" s="0" t="inlineStr">
        <is>
          <t>glove100</t>
        </is>
      </c>
      <c r="B52" s="0" t="inlineStr">
        <is>
          <t>VLAH</t>
        </is>
      </c>
      <c r="C52" s="0" t="n">
        <v>0.4</v>
      </c>
      <c r="D52" s="0" t="n">
        <v>0.41</v>
      </c>
      <c r="E52" s="0" t="n">
        <v>60.5663312333333</v>
      </c>
      <c r="F52" s="0" t="n">
        <v>162.54243325</v>
      </c>
      <c r="G52" s="0" t="n">
        <v>23529.4354</v>
      </c>
      <c r="H52" s="0" t="n">
        <v>100</v>
      </c>
      <c r="I52" s="0" t="n">
        <v>14</v>
      </c>
      <c r="J52" s="0" t="n">
        <v>60</v>
      </c>
      <c r="K52" s="0" t="inlineStr">
        <is>
          <t>/mnt/d/paper_source/work_9/VeriANN_repro_2026-09-30/VeriANN_repro_2026-09-30/results/work9-low-baselines-20261021/glove100/VLAH/glove100-1183514-low-e100</t>
        </is>
      </c>
    </row>
    <row r="53">
      <c r="A53" s="0" t="inlineStr">
        <is>
          <t>glove100</t>
        </is>
      </c>
      <c r="B53" s="0" t="inlineStr">
        <is>
          <t>VLAH</t>
        </is>
      </c>
      <c r="C53" s="0" t="n">
        <v>0.45</v>
      </c>
      <c r="D53" s="0" t="n">
        <v>0.45</v>
      </c>
      <c r="E53" s="0" t="n">
        <v>73.6096228333333</v>
      </c>
      <c r="F53" s="0" t="n">
        <v>196.11805405</v>
      </c>
      <c r="G53" s="0" t="n">
        <v>28612.07915</v>
      </c>
      <c r="H53" s="0" t="n">
        <v>100</v>
      </c>
      <c r="I53" s="0" t="n">
        <v>17</v>
      </c>
      <c r="J53" s="0" t="n">
        <v>60</v>
      </c>
      <c r="K53" s="0" t="inlineStr">
        <is>
          <t>/mnt/d/paper_source/work_9/VeriANN_repro_2026-09-30/VeriANN_repro_2026-09-30/results/work9-low-baselines-20261021/glove100/VLAH/glove100-1183514-low-e100</t>
        </is>
      </c>
    </row>
    <row r="54">
      <c r="A54" s="0" t="inlineStr">
        <is>
          <t>glove100</t>
        </is>
      </c>
      <c r="B54" s="0" t="inlineStr">
        <is>
          <t>VLAH</t>
        </is>
      </c>
      <c r="C54" s="0" t="n">
        <v>0.5</v>
      </c>
      <c r="D54" s="0" t="n">
        <v>0.525</v>
      </c>
      <c r="E54" s="0" t="n">
        <v>94.3804684666667</v>
      </c>
      <c r="F54" s="0" t="n">
        <v>241.9402729</v>
      </c>
      <c r="G54" s="0" t="n">
        <v>35285.3301</v>
      </c>
      <c r="H54" s="0" t="n">
        <v>100</v>
      </c>
      <c r="I54" s="0" t="n">
        <v>21</v>
      </c>
      <c r="J54" s="0" t="n">
        <v>60</v>
      </c>
      <c r="K54" s="0" t="inlineStr">
        <is>
          <t>/mnt/d/paper_source/work_9/VeriANN_repro_2026-09-30/VeriANN_repro_2026-09-30/results/work9-low-baselines-20261021/glove100/VLAH/glove100-1183514-low-e100</t>
        </is>
      </c>
    </row>
    <row r="55">
      <c r="A55" s="0" t="inlineStr">
        <is>
          <t>glove100</t>
        </is>
      </c>
      <c r="B55" s="0" t="inlineStr">
        <is>
          <t>VLAH</t>
        </is>
      </c>
      <c r="C55" s="0" t="n">
        <v>0.55</v>
      </c>
      <c r="D55" s="0" t="n">
        <v>0.555</v>
      </c>
      <c r="E55" s="0" t="n">
        <v>107.98516335</v>
      </c>
      <c r="F55" s="0" t="n">
        <v>267.098332333333</v>
      </c>
      <c r="G55" s="0" t="n">
        <v>38604.66135</v>
      </c>
      <c r="H55" s="0" t="n">
        <v>100</v>
      </c>
      <c r="I55" s="0" t="n">
        <v>23</v>
      </c>
      <c r="J55" s="0" t="n">
        <v>60</v>
      </c>
      <c r="K55" s="0" t="inlineStr">
        <is>
          <t>/mnt/d/paper_source/work_9/VeriANN_repro_2026-09-30/VeriANN_repro_2026-09-30/results/work9-low-baselines-20261021/glove100/VLAH/glove100-1183514-low-e100</t>
        </is>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ColWidth="9" defaultRowHeight="13.5"/>
  <cols>
    <col width="23" customWidth="1" style="1" min="1" max="1"/>
    <col width="145" customWidth="1" style="1" min="2" max="2"/>
  </cols>
  <sheetData>
    <row r="1">
      <c r="A1" s="0" t="inlineStr">
        <is>
          <t>项目</t>
        </is>
      </c>
      <c r="B1" s="0" t="inlineStr">
        <is>
          <t>说明</t>
        </is>
      </c>
    </row>
    <row r="2">
      <c r="A2" s="0" t="inlineStr">
        <is>
          <t>性质</t>
        </is>
      </c>
      <c r="B2" s="0" t="inlineStr">
        <is>
          <t>用户假设512GiB（约550GB十进制）内存机器：本文件填入条件预测，不是该机器实测。512GB十进制约476.8GiB，硬件口径应区分。</t>
        </is>
      </c>
    </row>
    <row r="3">
      <c r="A3" s="0" t="inlineStr">
        <is>
          <t>原未测原因</t>
        </is>
      </c>
      <c r="B3" s="0" t="inlineStr">
        <is>
          <t>此前本机约62GiB可见RAM，证明子进程50GiB地址空间上限，另有200万关系元组/2^20证明域预检预算；跳过不等于实际出证OOM，更不等于512GiB不可运行。</t>
        </is>
      </c>
    </row>
    <row r="4">
      <c r="A4" s="0" t="inlineStr">
        <is>
          <t>显示</t>
        </is>
      </c>
      <c r="B4" s="0" t="inlineStr">
        <is>
          <t>橙色数值后*是512GiB条件预测；†为同配置已有20条搜索校准的实际召回率，未经20次证明。现有实测单元格不覆盖。</t>
        </is>
      </c>
    </row>
    <row r="5">
      <c r="A5" s="0" t="inlineStr">
        <is>
          <t>CPU与时间</t>
        </is>
      </c>
      <c r="B5" s="0" t="inlineStr">
        <is>
          <t>保持单线程及与本机相近的单核性能，假设足够RAM且不换页；不将扩容当作CPU加速。Query仍含搜索、见证、约束/编译、真实证明和压缩的完整流程。</t>
        </is>
      </c>
    </row>
    <row r="6">
      <c r="A6" s="0" t="inlineStr">
        <is>
          <t>可行性规则</t>
        </is>
      </c>
      <c r="B6" s="0" t="inlineStr">
        <is>
          <t>1.5 * p95-large-anchor RSS-per-row * B_guard + 32 GiB; B_guard=nextpow2(1.10*G). This is a declared engineering scenario, not a measured/proven upper bound.</t>
        </is>
      </c>
    </row>
    <row r="7">
      <c r="A7" s="0" t="inlineStr">
        <is>
          <t>规则性质</t>
        </is>
      </c>
      <c r="B7" s="0" t="inlineStr">
        <is>
          <t>该内存余量是公开的工程规划假设，不是实测上界或可运行保证。RSS校准仅覆盖证明阶段；构建峰值、分配器、版本/线程差异仍可能改变结论。</t>
        </is>
      </c>
    </row>
    <row r="8">
      <c r="A8" s="0" t="inlineStr">
        <is>
          <t>模型范围</t>
        </is>
      </c>
      <c r="B8" s="0" t="inlineStr">
        <is>
          <t>按33个固定query100样本校准。实际观测证明域位数[16, 17, 18, 19, 20]；更大档位为外推。时间/验证声明0.5–2倍、VO±15%敏感性范围，不是置信区间。</t>
        </is>
      </c>
    </row>
    <row r="9">
      <c r="A9" s="0" t="inlineStr">
        <is>
          <t>曲线参数</t>
        </is>
      </c>
      <c r="B9" s="0" t="inlineStr">
        <is>
          <t>仅填此前未测位置。候选来自现有PQ/probe参数及实际20查询搜索校准，选满足目标且进入512GiB规划包络的最低预测查询时间配置。不同PQ配置的索引成本不能当成主表默认索引成本。</t>
        </is>
      </c>
    </row>
    <row r="10">
      <c r="A10" s="0" t="inlineStr">
        <is>
          <t>留空</t>
        </is>
      </c>
      <c r="B10" s="0" t="inlineStr">
        <is>
          <t>达到目标的所有已校准配置都超规划内存；或现有校准未达到目标；或数据集容量不足；或规模前缀未训练/校准。这些原因在单元格批注分别记录，不能都解释成物理内存不够。</t>
        </is>
      </c>
    </row>
    <row r="11">
      <c r="A11" s="0" t="inlineStr">
        <is>
          <t>规模假设</t>
        </is>
      </c>
      <c r="B11" s="0" t="inlineStr">
        <is>
          <t>无真实前缀索引/召回校准的5M/10M不在主表冒充默认召回预测。另页提供固定预算资源/性能假设供参考；其召回率未知，不是可比实验数据。</t>
        </is>
      </c>
    </row>
    <row r="12">
      <c r="A12" s="0" t="inlineStr">
        <is>
          <t>默认与其他方案</t>
        </is>
      </c>
      <c r="B12" s="0" t="inlineStr">
        <is>
          <t>所有默认、索引、K、消融和其他方法全部数据保持不变。只补V3DB原缺失点并将不支持的缺项留空。</t>
        </is>
      </c>
    </row>
    <row r="13">
      <c r="A13" s="0" t="inlineStr">
        <is>
          <t>原表备份</t>
        </is>
      </c>
      <c r="B13" s="0" t="inlineStr">
        <is>
          <t>/mnt/d/paper_source/work_9/VeriANN_repro_2026-09-30/VeriANN_repro_2026-09-30/experiments/work9-v3db-512GiB-20261021/work9_before_512GiB.xlsx</t>
        </is>
      </c>
    </row>
    <row r="14">
      <c r="A14" s="0" t="inlineStr">
        <is>
          <t>模型与来源</t>
        </is>
      </c>
      <c r="B14" s="0" t="inlineStr">
        <is>
          <t>/mnt/d/paper_source/work_9/VeriANN_repro_2026-09-30/VeriANN_repro_2026-09-30/experiments/work9-v3db-512GiB-20261021</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Q53"/>
  <sheetViews>
    <sheetView workbookViewId="0">
      <selection activeCell="A1" sqref="A1"/>
    </sheetView>
  </sheetViews>
  <sheetFormatPr baseColWidth="8" defaultColWidth="9" defaultRowHeight="13.5"/>
  <sheetData>
    <row r="1">
      <c r="A1" s="0" t="inlineStr">
        <is>
          <t>dataset</t>
        </is>
      </c>
      <c r="B1" s="0" t="inlineStr">
        <is>
          <t>panel</t>
        </is>
      </c>
      <c r="C1" s="0" t="inlineStr">
        <is>
          <t>target/N</t>
        </is>
      </c>
      <c r="D1" s="0" t="inlineStr">
        <is>
          <t>action</t>
        </is>
      </c>
      <c r="E1" s="0" t="inlineStr">
        <is>
          <t>calibrated recall</t>
        </is>
      </c>
      <c r="F1" s="0" t="inlineStr">
        <is>
          <t>M</t>
        </is>
      </c>
      <c r="G1" s="0" t="inlineStr">
        <is>
          <t>K</t>
        </is>
      </c>
      <c r="H1" s="0" t="inlineStr">
        <is>
          <t>probe</t>
        </is>
      </c>
      <c r="I1" s="0" t="inlineStr">
        <is>
          <t>gates</t>
        </is>
      </c>
      <c r="J1" s="0" t="inlineStr">
        <is>
          <t>bits</t>
        </is>
      </c>
      <c r="K1" s="0" t="inlineStr">
        <is>
          <t>guard bits</t>
        </is>
      </c>
      <c r="L1" s="0" t="inlineStr">
        <is>
          <t>proof RSS GiB estimate</t>
        </is>
      </c>
      <c r="M1" s="0" t="inlineStr">
        <is>
          <t>machine RAM GiB plan</t>
        </is>
      </c>
      <c r="N1" s="0" t="inlineStr">
        <is>
          <t>Query ms forecast</t>
        </is>
      </c>
      <c r="O1" s="0" t="inlineStr">
        <is>
          <t>Verify ms forecast</t>
        </is>
      </c>
      <c r="P1" s="0" t="inlineStr">
        <is>
          <t>VO KB forecast</t>
        </is>
      </c>
      <c r="Q1" s="0" t="inlineStr">
        <is>
          <t>reason</t>
        </is>
      </c>
    </row>
    <row r="2">
      <c r="A2" s="0" t="inlineStr">
        <is>
          <t>sift1m</t>
        </is>
      </c>
      <c r="B2" s="0" t="inlineStr">
        <is>
          <t>curve</t>
        </is>
      </c>
      <c r="C2" s="0" t="n">
        <v>0.75</v>
      </c>
      <c r="D2" s="0" t="inlineStr">
        <is>
          <t>预测填入</t>
        </is>
      </c>
      <c r="E2" s="0" t="n">
        <v>0.775</v>
      </c>
      <c r="F2" s="0" t="n">
        <v>64</v>
      </c>
      <c r="G2" s="0" t="n">
        <v>256</v>
      </c>
      <c r="H2" s="0" t="n">
        <v>4</v>
      </c>
      <c r="I2" s="0" t="n">
        <v>535412</v>
      </c>
      <c r="J2" s="0" t="n">
        <v>20</v>
      </c>
      <c r="K2" s="0" t="n">
        <v>20</v>
      </c>
      <c r="L2" s="0" t="n">
        <v>32.3516120910645</v>
      </c>
      <c r="M2" s="0" t="n">
        <v>82.0511280059814</v>
      </c>
      <c r="N2" s="0" t="n">
        <v>526862.979163182</v>
      </c>
      <c r="O2" s="0" t="n">
        <v>25.0650985723704</v>
      </c>
      <c r="P2" s="0" t="n">
        <v>270.381</v>
      </c>
      <c r="Q2" s="0" t="inlineStr">
        <is>
          <t>existing calibrated configuration fits declared 512GiB planning envelope</t>
        </is>
      </c>
    </row>
    <row r="3">
      <c r="A3" s="0" t="inlineStr">
        <is>
          <t>sift1m</t>
        </is>
      </c>
      <c r="B3" s="0" t="inlineStr">
        <is>
          <t>curve</t>
        </is>
      </c>
      <c r="C3" s="0" t="n">
        <v>0.8</v>
      </c>
      <c r="D3" s="0" t="inlineStr">
        <is>
          <t>预测填入</t>
        </is>
      </c>
      <c r="E3" s="0" t="n">
        <v>0.84</v>
      </c>
      <c r="F3" s="0" t="n">
        <v>128</v>
      </c>
      <c r="G3" s="0" t="n">
        <v>256</v>
      </c>
      <c r="H3" s="0" t="n">
        <v>4</v>
      </c>
      <c r="I3" s="0" t="n">
        <v>977156</v>
      </c>
      <c r="J3" s="0" t="n">
        <v>20</v>
      </c>
      <c r="K3" s="0" t="n">
        <v>21</v>
      </c>
      <c r="L3" s="0" t="n">
        <v>32.3516120910645</v>
      </c>
      <c r="M3" s="0" t="n">
        <v>132.102256011963</v>
      </c>
      <c r="N3" s="0" t="n">
        <v>546727.954928051</v>
      </c>
      <c r="O3" s="0" t="n">
        <v>25.0650985723704</v>
      </c>
      <c r="P3" s="0" t="n">
        <v>270.381</v>
      </c>
      <c r="Q3" s="0" t="inlineStr">
        <is>
          <t>existing calibrated configuration fits declared 512GiB planning envelope</t>
        </is>
      </c>
    </row>
    <row r="4">
      <c r="A4" s="0" t="inlineStr">
        <is>
          <t>sift1m</t>
        </is>
      </c>
      <c r="B4" s="0" t="inlineStr">
        <is>
          <t>curve</t>
        </is>
      </c>
      <c r="C4" s="0" t="n">
        <v>0.85</v>
      </c>
      <c r="D4" s="0" t="inlineStr">
        <is>
          <t>预测填入</t>
        </is>
      </c>
      <c r="E4" s="0" t="n">
        <v>0.85</v>
      </c>
      <c r="F4" s="0" t="n">
        <v>64</v>
      </c>
      <c r="G4" s="0" t="n">
        <v>256</v>
      </c>
      <c r="H4" s="0" t="n">
        <v>8</v>
      </c>
      <c r="I4" s="0" t="n">
        <v>1027151</v>
      </c>
      <c r="J4" s="0" t="n">
        <v>20</v>
      </c>
      <c r="K4" s="0" t="n">
        <v>21</v>
      </c>
      <c r="L4" s="0" t="n">
        <v>32.3516120910645</v>
      </c>
      <c r="M4" s="0" t="n">
        <v>132.102256011963</v>
      </c>
      <c r="N4" s="0" t="n">
        <v>546727.954928051</v>
      </c>
      <c r="O4" s="0" t="n">
        <v>26.5592664083079</v>
      </c>
      <c r="P4" s="0" t="n">
        <v>335.917</v>
      </c>
      <c r="Q4" s="0" t="inlineStr">
        <is>
          <t>existing calibrated configuration fits declared 512GiB planning envelope</t>
        </is>
      </c>
    </row>
    <row r="5">
      <c r="A5" s="0" t="inlineStr">
        <is>
          <t>sift1m</t>
        </is>
      </c>
      <c r="B5" s="0" t="inlineStr">
        <is>
          <t>curve</t>
        </is>
      </c>
      <c r="C5" s="0" t="n">
        <v>0.9</v>
      </c>
      <c r="D5" s="0" t="inlineStr">
        <is>
          <t>预测填入</t>
        </is>
      </c>
      <c r="E5" s="0" t="n">
        <v>0.92</v>
      </c>
      <c r="F5" s="0" t="n">
        <v>128</v>
      </c>
      <c r="G5" s="0" t="n">
        <v>512</v>
      </c>
      <c r="H5" s="0" t="n">
        <v>8</v>
      </c>
      <c r="I5" s="0" t="n">
        <v>1993393</v>
      </c>
      <c r="J5" s="0" t="n">
        <v>21</v>
      </c>
      <c r="K5" s="0" t="n">
        <v>22</v>
      </c>
      <c r="L5" s="0" t="n">
        <v>64.70322418212891</v>
      </c>
      <c r="M5" s="0" t="n">
        <v>232.204512023926</v>
      </c>
      <c r="N5" s="0" t="n">
        <v>1148128.70534891</v>
      </c>
      <c r="O5" s="0" t="n">
        <v>27.7085114237864</v>
      </c>
      <c r="P5" s="0" t="n">
        <v>344.128</v>
      </c>
      <c r="Q5" s="0" t="inlineStr">
        <is>
          <t>existing calibrated configuration fits declared 512GiB planning envelope</t>
        </is>
      </c>
    </row>
    <row r="6">
      <c r="A6" s="0" t="inlineStr">
        <is>
          <t>sift1m</t>
        </is>
      </c>
      <c r="B6" s="0" t="inlineStr">
        <is>
          <t>curve</t>
        </is>
      </c>
      <c r="C6" s="0" t="n">
        <v>0.95</v>
      </c>
      <c r="D6" s="0" t="inlineStr">
        <is>
          <t>预测填入</t>
        </is>
      </c>
      <c r="E6" s="0" t="n">
        <v>0.95</v>
      </c>
      <c r="F6" s="0" t="n">
        <v>128</v>
      </c>
      <c r="G6" s="0" t="n">
        <v>256</v>
      </c>
      <c r="H6" s="0" t="n">
        <v>16</v>
      </c>
      <c r="I6" s="0" t="n">
        <v>3777607</v>
      </c>
      <c r="J6" s="0" t="n">
        <v>22</v>
      </c>
      <c r="K6" s="0" t="n">
        <v>22</v>
      </c>
      <c r="L6" s="0" t="n">
        <v>129.406448364258</v>
      </c>
      <c r="M6" s="0" t="n">
        <v>232.204512023926</v>
      </c>
      <c r="N6" s="0" t="n">
        <v>2405603.00168342</v>
      </c>
      <c r="O6" s="0" t="n">
        <v>31.8460921111398</v>
      </c>
      <c r="P6" s="0" t="n">
        <v>483.411</v>
      </c>
      <c r="Q6" s="0" t="inlineStr">
        <is>
          <t>existing calibrated configuration fits declared 512GiB planning envelope</t>
        </is>
      </c>
    </row>
    <row r="7">
      <c r="A7" s="0" t="inlineStr">
        <is>
          <t>sift1m</t>
        </is>
      </c>
      <c r="B7" s="0" t="inlineStr">
        <is>
          <t>curve</t>
        </is>
      </c>
      <c r="C7" s="0" t="n">
        <v>0.97</v>
      </c>
      <c r="D7" s="0" t="inlineStr">
        <is>
          <t>预测填入</t>
        </is>
      </c>
      <c r="E7" s="0" t="n">
        <v>0.97</v>
      </c>
      <c r="F7" s="0" t="n">
        <v>128</v>
      </c>
      <c r="G7" s="0" t="n">
        <v>256</v>
      </c>
      <c r="H7" s="0" t="n">
        <v>32</v>
      </c>
      <c r="I7" s="0" t="n">
        <v>7511542</v>
      </c>
      <c r="J7" s="0" t="n">
        <v>23</v>
      </c>
      <c r="K7" s="0" t="n">
        <v>23</v>
      </c>
      <c r="L7" s="0" t="n">
        <v>258.812896728516</v>
      </c>
      <c r="M7" s="0" t="n">
        <v>432.409024047852</v>
      </c>
      <c r="N7" s="0" t="n">
        <v>5029897.18533807</v>
      </c>
      <c r="O7" s="0" t="n">
        <v>38.9720084703683</v>
      </c>
      <c r="P7" s="0" t="n">
        <v>753.766</v>
      </c>
      <c r="Q7" s="0" t="inlineStr">
        <is>
          <t>existing calibrated configuration fits declared 512GiB planning envelope</t>
        </is>
      </c>
    </row>
    <row r="8">
      <c r="A8" s="0" t="inlineStr">
        <is>
          <t>sift1m</t>
        </is>
      </c>
      <c r="B8" s="0" t="inlineStr">
        <is>
          <t>curve</t>
        </is>
      </c>
      <c r="C8" s="0" t="n">
        <v>0.98</v>
      </c>
      <c r="D8" s="0" t="inlineStr">
        <is>
          <t>留空</t>
        </is>
      </c>
      <c r="E8" s="0" t="n">
        <v>0.98</v>
      </c>
      <c r="F8" s="0" t="n">
        <v>128</v>
      </c>
      <c r="G8" s="0" t="n">
        <v>256</v>
      </c>
      <c r="H8" s="0" t="n">
        <v>64</v>
      </c>
      <c r="I8" s="0" t="n">
        <v>14979411</v>
      </c>
      <c r="J8" s="0" t="n">
        <v>24</v>
      </c>
      <c r="K8" s="0" t="n">
        <v>24</v>
      </c>
      <c r="L8" s="0" t="n">
        <v>517.625793457031</v>
      </c>
      <c r="M8" s="0" t="n">
        <v>832.818048095703</v>
      </c>
      <c r="Q8" s="0" t="inlineStr">
        <is>
          <t>all calibrated configurations reaching this target exceed the declared 512GiB planning envelope</t>
        </is>
      </c>
    </row>
    <row r="9">
      <c r="A9" s="0" t="inlineStr">
        <is>
          <t>sift1m</t>
        </is>
      </c>
      <c r="B9" s="0" t="inlineStr">
        <is>
          <t>curve</t>
        </is>
      </c>
      <c r="C9" s="0" t="n">
        <v>0.99</v>
      </c>
      <c r="D9" s="0" t="inlineStr">
        <is>
          <t>留空</t>
        </is>
      </c>
      <c r="E9" s="0" t="n">
        <v>0.995</v>
      </c>
      <c r="F9" s="0" t="n">
        <v>128</v>
      </c>
      <c r="G9" s="0" t="n">
        <v>1024</v>
      </c>
      <c r="H9" s="0" t="n">
        <v>64</v>
      </c>
      <c r="I9" s="0" t="n">
        <v>16880827</v>
      </c>
      <c r="J9" s="0" t="n">
        <v>25</v>
      </c>
      <c r="K9" s="0" t="n">
        <v>25</v>
      </c>
      <c r="L9" s="0" t="n">
        <v>1035.25158691406</v>
      </c>
      <c r="M9" s="0" t="n">
        <v>1633.63609619141</v>
      </c>
      <c r="Q9" s="0" t="inlineStr">
        <is>
          <t>all calibrated configurations reaching this target exceed the declared 512GiB planning envelope</t>
        </is>
      </c>
    </row>
    <row r="10">
      <c r="A10" s="0" t="inlineStr">
        <is>
          <t>sift1m</t>
        </is>
      </c>
      <c r="B10" s="0" t="inlineStr">
        <is>
          <t>size</t>
        </is>
      </c>
      <c r="C10" s="0" t="n">
        <v>500000</v>
      </c>
      <c r="D10" s="0" t="inlineStr">
        <is>
          <t>预测填入</t>
        </is>
      </c>
      <c r="E10" s="0" t="n">
        <v>0.78</v>
      </c>
      <c r="F10" s="0" t="n">
        <v>128</v>
      </c>
      <c r="G10" s="0" t="n">
        <v>1024</v>
      </c>
      <c r="H10" s="0" t="n">
        <v>8</v>
      </c>
      <c r="I10" s="0" t="n">
        <v>1266110</v>
      </c>
      <c r="J10" s="0" t="n">
        <v>21</v>
      </c>
      <c r="K10" s="0" t="n">
        <v>21</v>
      </c>
      <c r="L10" s="0" t="n">
        <v>64.70322418212891</v>
      </c>
      <c r="M10" s="0" t="n">
        <v>132.102256011963</v>
      </c>
      <c r="N10" s="0" t="n">
        <v>1106506.85136537</v>
      </c>
      <c r="O10" s="0" t="n">
        <v>26.0275726083567</v>
      </c>
      <c r="P10" s="0" t="n">
        <v>270.4</v>
      </c>
      <c r="Q10" s="0" t="inlineStr">
        <is>
          <t>existing prefix-index calibration reaches the existing default target</t>
        </is>
      </c>
    </row>
    <row r="11">
      <c r="A11" s="0" t="inlineStr">
        <is>
          <t>sift1m</t>
        </is>
      </c>
      <c r="B11" s="0" t="inlineStr">
        <is>
          <t>size</t>
        </is>
      </c>
      <c r="C11" s="0" t="n">
        <v>1000000</v>
      </c>
      <c r="D11" s="0" t="inlineStr">
        <is>
          <t>预测填入</t>
        </is>
      </c>
      <c r="E11" s="0" t="n">
        <v>0.79</v>
      </c>
      <c r="F11" s="0" t="n">
        <v>128</v>
      </c>
      <c r="G11" s="0" t="n">
        <v>1024</v>
      </c>
      <c r="H11" s="0" t="n">
        <v>8</v>
      </c>
      <c r="I11" s="0" t="n">
        <v>2158901</v>
      </c>
      <c r="J11" s="0" t="n">
        <v>22</v>
      </c>
      <c r="K11" s="0" t="n">
        <v>22</v>
      </c>
      <c r="L11" s="0" t="n">
        <v>129.406448364258</v>
      </c>
      <c r="M11" s="0" t="n">
        <v>232.204512023926</v>
      </c>
      <c r="N11" s="0" t="n">
        <v>2318575.48880876</v>
      </c>
      <c r="O11" s="0" t="n">
        <v>28.8577564392648</v>
      </c>
      <c r="P11" s="0" t="n">
        <v>352.339</v>
      </c>
      <c r="Q11" s="0" t="inlineStr">
        <is>
          <t>existing prefix-index calibration reaches the existing default target</t>
        </is>
      </c>
    </row>
    <row r="12">
      <c r="A12" s="0" t="inlineStr">
        <is>
          <t>sift1m</t>
        </is>
      </c>
      <c r="B12" s="0" t="inlineStr">
        <is>
          <t>size</t>
        </is>
      </c>
      <c r="C12" s="0" t="n">
        <v>5000000</v>
      </c>
      <c r="D12" s="0" t="inlineStr">
        <is>
          <t>留空</t>
        </is>
      </c>
      <c r="Q12" s="0" t="inlineStr">
        <is>
          <t>no index/recall calibration; matched-recall performance is unsupported</t>
        </is>
      </c>
    </row>
    <row r="13">
      <c r="A13" s="0" t="inlineStr">
        <is>
          <t>sift1m</t>
        </is>
      </c>
      <c r="B13" s="0" t="inlineStr">
        <is>
          <t>size</t>
        </is>
      </c>
      <c r="C13" s="0" t="n">
        <v>10000000</v>
      </c>
      <c r="D13" s="0" t="inlineStr">
        <is>
          <t>留空</t>
        </is>
      </c>
      <c r="Q13" s="0" t="inlineStr">
        <is>
          <t>no index/recall calibration; matched-recall performance is unsupported</t>
        </is>
      </c>
    </row>
    <row r="14">
      <c r="A14" s="0" t="inlineStr">
        <is>
          <t>nytimes256</t>
        </is>
      </c>
      <c r="B14" s="0" t="inlineStr">
        <is>
          <t>curve</t>
        </is>
      </c>
      <c r="C14" s="0" t="n">
        <v>0.6</v>
      </c>
      <c r="D14" s="0" t="inlineStr">
        <is>
          <t>预测填入</t>
        </is>
      </c>
      <c r="E14" s="0" t="n">
        <v>0.625</v>
      </c>
      <c r="F14" s="0" t="n">
        <v>128</v>
      </c>
      <c r="G14" s="0" t="n">
        <v>256</v>
      </c>
      <c r="H14" s="0" t="n">
        <v>4</v>
      </c>
      <c r="I14" s="0" t="n">
        <v>999179</v>
      </c>
      <c r="J14" s="0" t="n">
        <v>20</v>
      </c>
      <c r="K14" s="0" t="n">
        <v>21</v>
      </c>
      <c r="L14" s="0" t="n">
        <v>32.3516120910645</v>
      </c>
      <c r="M14" s="0" t="n">
        <v>132.102256011963</v>
      </c>
      <c r="N14" s="0" t="n">
        <v>546727.954928051</v>
      </c>
      <c r="O14" s="0" t="n">
        <v>24.9950594550608</v>
      </c>
      <c r="P14" s="0" t="n">
        <v>267.309</v>
      </c>
      <c r="Q14" s="0" t="inlineStr">
        <is>
          <t>existing calibrated configuration fits declared 512GiB planning envelope</t>
        </is>
      </c>
    </row>
    <row r="15">
      <c r="A15" s="0" t="inlineStr">
        <is>
          <t>nytimes256</t>
        </is>
      </c>
      <c r="B15" s="0" t="inlineStr">
        <is>
          <t>curve</t>
        </is>
      </c>
      <c r="C15" s="0" t="n">
        <v>0.65</v>
      </c>
      <c r="D15" s="0" t="inlineStr">
        <is>
          <t>预测填入</t>
        </is>
      </c>
      <c r="E15" s="0" t="n">
        <v>0.655</v>
      </c>
      <c r="F15" s="0" t="n">
        <v>64</v>
      </c>
      <c r="G15" s="0" t="n">
        <v>256</v>
      </c>
      <c r="H15" s="0" t="n">
        <v>16</v>
      </c>
      <c r="I15" s="0" t="n">
        <v>2091784</v>
      </c>
      <c r="J15" s="0" t="n">
        <v>21</v>
      </c>
      <c r="K15" s="0" t="n">
        <v>22</v>
      </c>
      <c r="L15" s="0" t="n">
        <v>64.70322418212891</v>
      </c>
      <c r="M15" s="0" t="n">
        <v>232.204512023926</v>
      </c>
      <c r="N15" s="0" t="n">
        <v>1148128.70534891</v>
      </c>
      <c r="O15" s="0" t="n">
        <v>30.6268079783518</v>
      </c>
      <c r="P15" s="0" t="n">
        <v>472.128</v>
      </c>
      <c r="Q15" s="0" t="inlineStr">
        <is>
          <t>existing calibrated configuration fits declared 512GiB planning envelope</t>
        </is>
      </c>
    </row>
    <row r="16">
      <c r="A16" s="0" t="inlineStr">
        <is>
          <t>nytimes256</t>
        </is>
      </c>
      <c r="B16" s="0" t="inlineStr">
        <is>
          <t>curve</t>
        </is>
      </c>
      <c r="C16" s="0" t="n">
        <v>0.7</v>
      </c>
      <c r="D16" s="0" t="inlineStr">
        <is>
          <t>预测填入</t>
        </is>
      </c>
      <c r="E16" s="0" t="n">
        <v>0.72</v>
      </c>
      <c r="F16" s="0" t="n">
        <v>64</v>
      </c>
      <c r="G16" s="0" t="n">
        <v>256</v>
      </c>
      <c r="H16" s="0" t="n">
        <v>32</v>
      </c>
      <c r="I16" s="0" t="n">
        <v>4137582</v>
      </c>
      <c r="J16" s="0" t="n">
        <v>22</v>
      </c>
      <c r="K16" s="0" t="n">
        <v>23</v>
      </c>
      <c r="L16" s="0" t="n">
        <v>129.406448364258</v>
      </c>
      <c r="M16" s="0" t="n">
        <v>432.409024047852</v>
      </c>
      <c r="N16" s="0" t="n">
        <v>2405603.00168342</v>
      </c>
      <c r="O16" s="0" t="n">
        <v>37.7527243375802</v>
      </c>
      <c r="P16" s="0" t="n">
        <v>742.4829999999999</v>
      </c>
      <c r="Q16" s="0" t="inlineStr">
        <is>
          <t>existing calibrated configuration fits declared 512GiB planning envelope</t>
        </is>
      </c>
    </row>
    <row r="17">
      <c r="A17" s="0" t="inlineStr">
        <is>
          <t>nytimes256</t>
        </is>
      </c>
      <c r="B17" s="0" t="inlineStr">
        <is>
          <t>curve</t>
        </is>
      </c>
      <c r="C17" s="0" t="n">
        <v>0.75</v>
      </c>
      <c r="D17" s="0" t="inlineStr">
        <is>
          <t>预测填入</t>
        </is>
      </c>
      <c r="E17" s="0" t="n">
        <v>0.76</v>
      </c>
      <c r="F17" s="0" t="n">
        <v>128</v>
      </c>
      <c r="G17" s="0" t="n">
        <v>256</v>
      </c>
      <c r="H17" s="0" t="n">
        <v>16</v>
      </c>
      <c r="I17" s="0" t="n">
        <v>3858761</v>
      </c>
      <c r="J17" s="0" t="n">
        <v>22</v>
      </c>
      <c r="K17" s="0" t="n">
        <v>23</v>
      </c>
      <c r="L17" s="0" t="n">
        <v>129.406448364258</v>
      </c>
      <c r="M17" s="0" t="n">
        <v>432.409024047852</v>
      </c>
      <c r="N17" s="0" t="n">
        <v>2405603.00168342</v>
      </c>
      <c r="O17" s="0" t="n">
        <v>31.7760529938302</v>
      </c>
      <c r="P17" s="0" t="n">
        <v>480.339</v>
      </c>
      <c r="Q17" s="0" t="inlineStr">
        <is>
          <t>existing calibrated configuration fits declared 512GiB planning envelope</t>
        </is>
      </c>
    </row>
    <row r="18">
      <c r="A18" s="0" t="inlineStr">
        <is>
          <t>nytimes256</t>
        </is>
      </c>
      <c r="B18" s="0" t="inlineStr">
        <is>
          <t>curve</t>
        </is>
      </c>
      <c r="C18" s="0" t="n">
        <v>0.8</v>
      </c>
      <c r="D18" s="0" t="inlineStr">
        <is>
          <t>留空</t>
        </is>
      </c>
      <c r="E18" s="0" t="n">
        <v>0.825</v>
      </c>
      <c r="F18" s="0" t="n">
        <v>128</v>
      </c>
      <c r="G18" s="0" t="n">
        <v>256</v>
      </c>
      <c r="H18" s="0" t="n">
        <v>32</v>
      </c>
      <c r="I18" s="0" t="n">
        <v>7671536</v>
      </c>
      <c r="J18" s="0" t="n">
        <v>23</v>
      </c>
      <c r="K18" s="0" t="n">
        <v>24</v>
      </c>
      <c r="L18" s="0" t="n">
        <v>258.812896728516</v>
      </c>
      <c r="M18" s="0" t="n">
        <v>832.818048095703</v>
      </c>
      <c r="Q18" s="0" t="inlineStr">
        <is>
          <t>all calibrated configurations reaching this target exceed the declared 512GiB planning envelope</t>
        </is>
      </c>
    </row>
    <row r="19">
      <c r="A19" s="0" t="inlineStr">
        <is>
          <t>nytimes256</t>
        </is>
      </c>
      <c r="B19" s="0" t="inlineStr">
        <is>
          <t>curve</t>
        </is>
      </c>
      <c r="C19" s="0" t="n">
        <v>0.85</v>
      </c>
      <c r="D19" s="0" t="inlineStr">
        <is>
          <t>留空</t>
        </is>
      </c>
      <c r="E19" s="0" t="n">
        <v>0.85</v>
      </c>
      <c r="F19" s="0" t="n">
        <v>256</v>
      </c>
      <c r="G19" s="0" t="n">
        <v>256</v>
      </c>
      <c r="H19" s="0" t="n">
        <v>32</v>
      </c>
      <c r="I19" s="0" t="n">
        <v>14739445</v>
      </c>
      <c r="J19" s="0" t="n">
        <v>24</v>
      </c>
      <c r="K19" s="0" t="n">
        <v>24</v>
      </c>
      <c r="L19" s="0" t="n">
        <v>517.625793457031</v>
      </c>
      <c r="M19" s="0" t="n">
        <v>832.818048095703</v>
      </c>
      <c r="Q19" s="0" t="inlineStr">
        <is>
          <t>all calibrated configurations reaching this target exceed the declared 512GiB planning envelope</t>
        </is>
      </c>
    </row>
    <row r="20">
      <c r="A20" s="0" t="inlineStr">
        <is>
          <t>nytimes256</t>
        </is>
      </c>
      <c r="B20" s="0" t="inlineStr">
        <is>
          <t>curve</t>
        </is>
      </c>
      <c r="C20" s="0" t="n">
        <v>0.9</v>
      </c>
      <c r="D20" s="0" t="inlineStr">
        <is>
          <t>留空</t>
        </is>
      </c>
      <c r="E20" s="0" t="n">
        <v>0.915</v>
      </c>
      <c r="F20" s="0" t="n">
        <v>256</v>
      </c>
      <c r="G20" s="0" t="n">
        <v>256</v>
      </c>
      <c r="H20" s="0" t="n">
        <v>128</v>
      </c>
      <c r="I20" s="0" t="n">
        <v>58819823</v>
      </c>
      <c r="J20" s="0" t="n">
        <v>26</v>
      </c>
      <c r="K20" s="0" t="n">
        <v>26</v>
      </c>
      <c r="L20" s="0" t="n">
        <v>2070.50317382813</v>
      </c>
      <c r="M20" s="0" t="n">
        <v>3235.27219238281</v>
      </c>
      <c r="Q20" s="0" t="inlineStr">
        <is>
          <t>all calibrated configurations reaching this target exceed the declared 512GiB planning envelope</t>
        </is>
      </c>
    </row>
    <row r="21">
      <c r="A21" s="0" t="inlineStr">
        <is>
          <t>nytimes256</t>
        </is>
      </c>
      <c r="B21" s="0" t="inlineStr">
        <is>
          <t>curve</t>
        </is>
      </c>
      <c r="C21" s="0" t="n">
        <v>0.95</v>
      </c>
      <c r="D21" s="0" t="inlineStr">
        <is>
          <t>留空</t>
        </is>
      </c>
      <c r="E21" s="0" t="n">
        <v>0.975</v>
      </c>
      <c r="F21" s="0" t="n">
        <v>256</v>
      </c>
      <c r="G21" s="0" t="n">
        <v>256</v>
      </c>
      <c r="H21" s="0" t="n">
        <v>256</v>
      </c>
      <c r="I21" s="0" t="n">
        <v>117593662</v>
      </c>
      <c r="J21" s="0" t="n">
        <v>27</v>
      </c>
      <c r="K21" s="0" t="n">
        <v>27</v>
      </c>
      <c r="L21" s="0" t="n">
        <v>4141.00634765625</v>
      </c>
      <c r="M21" s="0" t="n">
        <v>6438.54438476562</v>
      </c>
      <c r="Q21" s="0" t="inlineStr">
        <is>
          <t>all calibrated configurations reaching this target exceed the declared 512GiB planning envelope</t>
        </is>
      </c>
    </row>
    <row r="22">
      <c r="A22" s="0" t="inlineStr">
        <is>
          <t>nytimes256</t>
        </is>
      </c>
      <c r="B22" s="0" t="inlineStr">
        <is>
          <t>curve</t>
        </is>
      </c>
      <c r="C22" s="0" t="n">
        <v>0.97</v>
      </c>
      <c r="D22" s="0" t="inlineStr">
        <is>
          <t>留空</t>
        </is>
      </c>
      <c r="E22" s="0" t="n">
        <v>0.975</v>
      </c>
      <c r="F22" s="0" t="n">
        <v>256</v>
      </c>
      <c r="G22" s="0" t="n">
        <v>256</v>
      </c>
      <c r="H22" s="0" t="n">
        <v>256</v>
      </c>
      <c r="I22" s="0" t="n">
        <v>117593662</v>
      </c>
      <c r="J22" s="0" t="n">
        <v>27</v>
      </c>
      <c r="K22" s="0" t="n">
        <v>27</v>
      </c>
      <c r="L22" s="0" t="n">
        <v>4141.00634765625</v>
      </c>
      <c r="M22" s="0" t="n">
        <v>6438.54438476562</v>
      </c>
      <c r="Q22" s="0" t="inlineStr">
        <is>
          <t>all calibrated configurations reaching this target exceed the declared 512GiB planning envelope</t>
        </is>
      </c>
    </row>
    <row r="23">
      <c r="A23" s="0" t="inlineStr">
        <is>
          <t>nytimes256</t>
        </is>
      </c>
      <c r="B23" s="0" t="inlineStr">
        <is>
          <t>curve</t>
        </is>
      </c>
      <c r="C23" s="0" t="n">
        <v>0.98</v>
      </c>
      <c r="D23" s="0" t="inlineStr">
        <is>
          <t>留空</t>
        </is>
      </c>
      <c r="E23" s="0" t="n">
        <v>1</v>
      </c>
      <c r="F23" s="0" t="n">
        <v>256</v>
      </c>
      <c r="G23" s="0" t="n">
        <v>256</v>
      </c>
      <c r="H23" s="0" t="n">
        <v>512</v>
      </c>
      <c r="I23" s="0" t="n">
        <v>235141338</v>
      </c>
      <c r="J23" s="0" t="n">
        <v>28</v>
      </c>
      <c r="K23" s="0" t="n">
        <v>28</v>
      </c>
      <c r="L23" s="0" t="n">
        <v>8282.0126953125</v>
      </c>
      <c r="M23" s="0" t="n">
        <v>12845.0887695313</v>
      </c>
      <c r="Q23" s="0" t="inlineStr">
        <is>
          <t>all calibrated configurations reaching this target exceed the declared 512GiB planning envelope</t>
        </is>
      </c>
    </row>
    <row r="24">
      <c r="A24" s="0" t="inlineStr">
        <is>
          <t>nytimes256</t>
        </is>
      </c>
      <c r="B24" s="0" t="inlineStr">
        <is>
          <t>curve</t>
        </is>
      </c>
      <c r="C24" s="0" t="n">
        <v>0.99</v>
      </c>
      <c r="D24" s="0" t="inlineStr">
        <is>
          <t>留空</t>
        </is>
      </c>
      <c r="E24" s="0" t="n">
        <v>1</v>
      </c>
      <c r="F24" s="0" t="n">
        <v>256</v>
      </c>
      <c r="G24" s="0" t="n">
        <v>256</v>
      </c>
      <c r="H24" s="0" t="n">
        <v>512</v>
      </c>
      <c r="I24" s="0" t="n">
        <v>235141338</v>
      </c>
      <c r="J24" s="0" t="n">
        <v>28</v>
      </c>
      <c r="K24" s="0" t="n">
        <v>28</v>
      </c>
      <c r="L24" s="0" t="n">
        <v>8282.0126953125</v>
      </c>
      <c r="M24" s="0" t="n">
        <v>12845.0887695313</v>
      </c>
      <c r="Q24" s="0" t="inlineStr">
        <is>
          <t>all calibrated configurations reaching this target exceed the declared 512GiB planning envelope</t>
        </is>
      </c>
    </row>
    <row r="25">
      <c r="A25" s="0" t="inlineStr">
        <is>
          <t>nytimes256</t>
        </is>
      </c>
      <c r="B25" s="0" t="inlineStr">
        <is>
          <t>size</t>
        </is>
      </c>
      <c r="C25" s="0" t="n">
        <v>500000</v>
      </c>
      <c r="D25" s="0" t="inlineStr">
        <is>
          <t>留空</t>
        </is>
      </c>
      <c r="Q25" s="0" t="inlineStr">
        <is>
          <t>requested size exceeds actual available corpus; not a RAM question</t>
        </is>
      </c>
    </row>
    <row r="26">
      <c r="A26" s="0" t="inlineStr">
        <is>
          <t>nytimes256</t>
        </is>
      </c>
      <c r="B26" s="0" t="inlineStr">
        <is>
          <t>size</t>
        </is>
      </c>
      <c r="C26" s="0" t="n">
        <v>1000000</v>
      </c>
      <c r="D26" s="0" t="inlineStr">
        <is>
          <t>留空</t>
        </is>
      </c>
      <c r="Q26" s="0" t="inlineStr">
        <is>
          <t>requested size exceeds actual available corpus; not a RAM question</t>
        </is>
      </c>
    </row>
    <row r="27">
      <c r="A27" s="0" t="inlineStr">
        <is>
          <t>nytimes256</t>
        </is>
      </c>
      <c r="B27" s="0" t="inlineStr">
        <is>
          <t>size</t>
        </is>
      </c>
      <c r="C27" s="0" t="n">
        <v>5000000</v>
      </c>
      <c r="D27" s="0" t="inlineStr">
        <is>
          <t>留空</t>
        </is>
      </c>
      <c r="Q27" s="0" t="inlineStr">
        <is>
          <t>requested size exceeds actual available corpus; not a RAM question</t>
        </is>
      </c>
    </row>
    <row r="28">
      <c r="A28" s="0" t="inlineStr">
        <is>
          <t>nytimes256</t>
        </is>
      </c>
      <c r="B28" s="0" t="inlineStr">
        <is>
          <t>size</t>
        </is>
      </c>
      <c r="C28" s="0" t="n">
        <v>10000000</v>
      </c>
      <c r="D28" s="0" t="inlineStr">
        <is>
          <t>留空</t>
        </is>
      </c>
      <c r="Q28" s="0" t="inlineStr">
        <is>
          <t>requested size exceeds actual available corpus; not a RAM question</t>
        </is>
      </c>
    </row>
    <row r="29">
      <c r="A29" s="0" t="inlineStr">
        <is>
          <t>glove100</t>
        </is>
      </c>
      <c r="B29" s="0" t="inlineStr">
        <is>
          <t>curve</t>
        </is>
      </c>
      <c r="C29" s="0" t="n">
        <v>0.45</v>
      </c>
      <c r="D29" s="0" t="inlineStr">
        <is>
          <t>预测填入</t>
        </is>
      </c>
      <c r="E29" s="0" t="n">
        <v>0.47</v>
      </c>
      <c r="F29" s="0" t="n">
        <v>50</v>
      </c>
      <c r="G29" s="0" t="n">
        <v>256</v>
      </c>
      <c r="H29" s="0" t="n">
        <v>4</v>
      </c>
      <c r="I29" s="0" t="n">
        <v>793306</v>
      </c>
      <c r="J29" s="0" t="n">
        <v>20</v>
      </c>
      <c r="K29" s="0" t="n">
        <v>20</v>
      </c>
      <c r="L29" s="0" t="n">
        <v>32.3516120910645</v>
      </c>
      <c r="M29" s="0" t="n">
        <v>82.0511280059814</v>
      </c>
      <c r="N29" s="0" t="n">
        <v>537924.483764197</v>
      </c>
      <c r="O29" s="0" t="n">
        <v>26.9277013483218</v>
      </c>
      <c r="P29" s="0" t="n">
        <v>352.077</v>
      </c>
      <c r="Q29" s="0" t="inlineStr">
        <is>
          <t>existing calibrated configuration fits declared 512GiB planning envelope</t>
        </is>
      </c>
    </row>
    <row r="30">
      <c r="A30" s="0" t="inlineStr">
        <is>
          <t>glove100</t>
        </is>
      </c>
      <c r="B30" s="0" t="inlineStr">
        <is>
          <t>curve</t>
        </is>
      </c>
      <c r="C30" s="0" t="n">
        <v>0.5</v>
      </c>
      <c r="D30" s="0" t="inlineStr">
        <is>
          <t>预测填入</t>
        </is>
      </c>
      <c r="E30" s="0" t="n">
        <v>0.55</v>
      </c>
      <c r="F30" s="0" t="n">
        <v>50</v>
      </c>
      <c r="G30" s="0" t="n">
        <v>256</v>
      </c>
      <c r="H30" s="0" t="n">
        <v>8</v>
      </c>
      <c r="I30" s="0" t="n">
        <v>1551731</v>
      </c>
      <c r="J30" s="0" t="n">
        <v>21</v>
      </c>
      <c r="K30" s="0" t="n">
        <v>21</v>
      </c>
      <c r="L30" s="0" t="n">
        <v>64.70322418212891</v>
      </c>
      <c r="M30" s="0" t="n">
        <v>132.102256011963</v>
      </c>
      <c r="N30" s="0" t="n">
        <v>1129694.05569766</v>
      </c>
      <c r="O30" s="0" t="n">
        <v>31.0652820356752</v>
      </c>
      <c r="P30" s="0" t="n">
        <v>491.36</v>
      </c>
      <c r="Q30" s="0" t="inlineStr">
        <is>
          <t>existing calibrated configuration fits declared 512GiB planning envelope</t>
        </is>
      </c>
    </row>
    <row r="31">
      <c r="A31" s="0" t="inlineStr">
        <is>
          <t>glove100</t>
        </is>
      </c>
      <c r="B31" s="0" t="inlineStr">
        <is>
          <t>curve</t>
        </is>
      </c>
      <c r="C31" s="0" t="n">
        <v>0.55</v>
      </c>
      <c r="D31" s="0" t="inlineStr">
        <is>
          <t>预测填入</t>
        </is>
      </c>
      <c r="E31" s="0" t="n">
        <v>0.55</v>
      </c>
      <c r="F31" s="0" t="n">
        <v>50</v>
      </c>
      <c r="G31" s="0" t="n">
        <v>256</v>
      </c>
      <c r="H31" s="0" t="n">
        <v>8</v>
      </c>
      <c r="I31" s="0" t="n">
        <v>1551731</v>
      </c>
      <c r="J31" s="0" t="n">
        <v>21</v>
      </c>
      <c r="K31" s="0" t="n">
        <v>21</v>
      </c>
      <c r="L31" s="0" t="n">
        <v>64.70322418212891</v>
      </c>
      <c r="M31" s="0" t="n">
        <v>132.102256011963</v>
      </c>
      <c r="N31" s="0" t="n">
        <v>1129694.05569766</v>
      </c>
      <c r="O31" s="0" t="n">
        <v>31.0652820356752</v>
      </c>
      <c r="P31" s="0" t="n">
        <v>491.36</v>
      </c>
      <c r="Q31" s="0" t="inlineStr">
        <is>
          <t>existing calibrated configuration fits declared 512GiB planning envelope</t>
        </is>
      </c>
    </row>
    <row r="32">
      <c r="A32" s="0" t="inlineStr">
        <is>
          <t>glove100</t>
        </is>
      </c>
      <c r="B32" s="0" t="inlineStr">
        <is>
          <t>curve</t>
        </is>
      </c>
      <c r="C32" s="0" t="n">
        <v>0.6</v>
      </c>
      <c r="D32" s="0" t="inlineStr">
        <is>
          <t>预测填入</t>
        </is>
      </c>
      <c r="E32" s="0" t="n">
        <v>0.645</v>
      </c>
      <c r="F32" s="0" t="n">
        <v>50</v>
      </c>
      <c r="G32" s="0" t="n">
        <v>256</v>
      </c>
      <c r="H32" s="0" t="n">
        <v>16</v>
      </c>
      <c r="I32" s="0" t="n">
        <v>3068581</v>
      </c>
      <c r="J32" s="0" t="n">
        <v>22</v>
      </c>
      <c r="K32" s="0" t="n">
        <v>22</v>
      </c>
      <c r="L32" s="0" t="n">
        <v>129.406448364258</v>
      </c>
      <c r="M32" s="0" t="n">
        <v>232.204512023926</v>
      </c>
      <c r="N32" s="0" t="n">
        <v>2367078.28773386</v>
      </c>
      <c r="O32" s="0" t="n">
        <v>38.1911983949037</v>
      </c>
      <c r="P32" s="0" t="n">
        <v>761.715</v>
      </c>
      <c r="Q32" s="0" t="inlineStr">
        <is>
          <t>existing calibrated configuration fits declared 512GiB planning envelope</t>
        </is>
      </c>
    </row>
    <row r="33">
      <c r="A33" s="0" t="inlineStr">
        <is>
          <t>glove100</t>
        </is>
      </c>
      <c r="B33" s="0" t="inlineStr">
        <is>
          <t>curve</t>
        </is>
      </c>
      <c r="C33" s="0" t="n">
        <v>0.65</v>
      </c>
      <c r="D33" s="0" t="inlineStr">
        <is>
          <t>预测填入</t>
        </is>
      </c>
      <c r="E33" s="0" t="n">
        <v>0.68</v>
      </c>
      <c r="F33" s="0" t="n">
        <v>100</v>
      </c>
      <c r="G33" s="0" t="n">
        <v>256</v>
      </c>
      <c r="H33" s="0" t="n">
        <v>16</v>
      </c>
      <c r="I33" s="0" t="n">
        <v>5798570</v>
      </c>
      <c r="J33" s="0" t="n">
        <v>23</v>
      </c>
      <c r="K33" s="0" t="n">
        <v>23</v>
      </c>
      <c r="L33" s="0" t="n">
        <v>258.812896728516</v>
      </c>
      <c r="M33" s="0" t="n">
        <v>432.409024047852</v>
      </c>
      <c r="N33" s="0" t="n">
        <v>4949536.9281448</v>
      </c>
      <c r="O33" s="0" t="n">
        <v>39.3404434103822</v>
      </c>
      <c r="P33" s="0" t="n">
        <v>769.926</v>
      </c>
      <c r="Q33" s="0" t="inlineStr">
        <is>
          <t>existing calibrated configuration fits declared 512GiB planning envelope</t>
        </is>
      </c>
    </row>
    <row r="34">
      <c r="A34" s="0" t="inlineStr">
        <is>
          <t>glove100</t>
        </is>
      </c>
      <c r="B34" s="0" t="inlineStr">
        <is>
          <t>curve</t>
        </is>
      </c>
      <c r="C34" s="0" t="n">
        <v>0.7</v>
      </c>
      <c r="D34" s="0" t="inlineStr">
        <is>
          <t>预测填入</t>
        </is>
      </c>
      <c r="E34" s="0" t="n">
        <v>0.715</v>
      </c>
      <c r="F34" s="0" t="n">
        <v>50</v>
      </c>
      <c r="G34" s="0" t="n">
        <v>256</v>
      </c>
      <c r="H34" s="0" t="n">
        <v>32</v>
      </c>
      <c r="I34" s="0" t="n">
        <v>6102281</v>
      </c>
      <c r="J34" s="0" t="n">
        <v>23</v>
      </c>
      <c r="K34" s="0" t="n">
        <v>23</v>
      </c>
      <c r="L34" s="0" t="n">
        <v>258.812896728516</v>
      </c>
      <c r="M34" s="0" t="n">
        <v>432.409024047852</v>
      </c>
      <c r="N34" s="0" t="n">
        <v>4949536.9281448</v>
      </c>
      <c r="O34" s="0" t="n">
        <v>51.2937860978822</v>
      </c>
      <c r="P34" s="0" t="n">
        <v>1294.214</v>
      </c>
      <c r="Q34" s="0" t="inlineStr">
        <is>
          <t>existing calibrated configuration fits declared 512GiB planning envelope</t>
        </is>
      </c>
    </row>
    <row r="35">
      <c r="A35" s="0" t="inlineStr">
        <is>
          <t>glove100</t>
        </is>
      </c>
      <c r="B35" s="0" t="inlineStr">
        <is>
          <t>curve</t>
        </is>
      </c>
      <c r="C35" s="0" t="n">
        <v>0.75</v>
      </c>
      <c r="D35" s="0" t="inlineStr">
        <is>
          <t>留空</t>
        </is>
      </c>
      <c r="E35" s="0" t="n">
        <v>0.78</v>
      </c>
      <c r="F35" s="0" t="n">
        <v>100</v>
      </c>
      <c r="G35" s="0" t="n">
        <v>256</v>
      </c>
      <c r="H35" s="0" t="n">
        <v>32</v>
      </c>
      <c r="I35" s="0" t="n">
        <v>11562258</v>
      </c>
      <c r="J35" s="0" t="n">
        <v>24</v>
      </c>
      <c r="K35" s="0" t="n">
        <v>24</v>
      </c>
      <c r="L35" s="0" t="n">
        <v>517.625793457031</v>
      </c>
      <c r="M35" s="0" t="n">
        <v>832.818048095703</v>
      </c>
      <c r="Q35" s="0" t="inlineStr">
        <is>
          <t>all calibrated configurations reaching this target exceed the declared 512GiB planning envelope</t>
        </is>
      </c>
    </row>
    <row r="36">
      <c r="A36" s="0" t="inlineStr">
        <is>
          <t>glove100</t>
        </is>
      </c>
      <c r="B36" s="0" t="inlineStr">
        <is>
          <t>curve</t>
        </is>
      </c>
      <c r="C36" s="0" t="n">
        <v>0.8</v>
      </c>
      <c r="D36" s="0" t="inlineStr">
        <is>
          <t>留空</t>
        </is>
      </c>
      <c r="E36" s="0" t="n">
        <v>0.8</v>
      </c>
      <c r="F36" s="0" t="n">
        <v>100</v>
      </c>
      <c r="G36" s="0" t="n">
        <v>512</v>
      </c>
      <c r="H36" s="0" t="n">
        <v>32</v>
      </c>
      <c r="I36" s="0" t="n">
        <v>11811413</v>
      </c>
      <c r="J36" s="0" t="n">
        <v>24</v>
      </c>
      <c r="K36" s="0" t="n">
        <v>24</v>
      </c>
      <c r="L36" s="0" t="n">
        <v>517.625793457031</v>
      </c>
      <c r="M36" s="0" t="n">
        <v>832.818048095703</v>
      </c>
      <c r="Q36" s="0" t="inlineStr">
        <is>
          <t>all calibrated configurations reaching this target exceed the declared 512GiB planning envelope</t>
        </is>
      </c>
    </row>
    <row r="37">
      <c r="A37" s="0" t="inlineStr">
        <is>
          <t>glove100</t>
        </is>
      </c>
      <c r="B37" s="0" t="inlineStr">
        <is>
          <t>curve</t>
        </is>
      </c>
      <c r="C37" s="0" t="n">
        <v>0.85</v>
      </c>
      <c r="D37" s="0" t="inlineStr">
        <is>
          <t>留空</t>
        </is>
      </c>
      <c r="E37" s="0" t="n">
        <v>0.86</v>
      </c>
      <c r="F37" s="0" t="n">
        <v>100</v>
      </c>
      <c r="G37" s="0" t="n">
        <v>1024</v>
      </c>
      <c r="H37" s="0" t="n">
        <v>64</v>
      </c>
      <c r="I37" s="0" t="n">
        <v>24575116</v>
      </c>
      <c r="J37" s="0" t="n">
        <v>25</v>
      </c>
      <c r="K37" s="0" t="n">
        <v>25</v>
      </c>
      <c r="L37" s="0" t="n">
        <v>1035.25158691406</v>
      </c>
      <c r="M37" s="0" t="n">
        <v>1633.63609619141</v>
      </c>
      <c r="Q37" s="0" t="inlineStr">
        <is>
          <t>all calibrated configurations reaching this target exceed the declared 512GiB planning envelope</t>
        </is>
      </c>
    </row>
    <row r="38">
      <c r="A38" s="0" t="inlineStr">
        <is>
          <t>glove100</t>
        </is>
      </c>
      <c r="B38" s="0" t="inlineStr">
        <is>
          <t>curve</t>
        </is>
      </c>
      <c r="C38" s="0" t="n">
        <v>0.9</v>
      </c>
      <c r="D38" s="0" t="inlineStr">
        <is>
          <t>留空</t>
        </is>
      </c>
      <c r="E38" s="0" t="n">
        <v>0.91</v>
      </c>
      <c r="F38" s="0" t="n">
        <v>100</v>
      </c>
      <c r="G38" s="0" t="n">
        <v>1024</v>
      </c>
      <c r="H38" s="0" t="n">
        <v>128</v>
      </c>
      <c r="I38" s="0" t="n">
        <v>49105901</v>
      </c>
      <c r="J38" s="0" t="n">
        <v>26</v>
      </c>
      <c r="K38" s="0" t="n">
        <v>26</v>
      </c>
      <c r="L38" s="0" t="n">
        <v>2070.50317382813</v>
      </c>
      <c r="M38" s="0" t="n">
        <v>3235.27219238281</v>
      </c>
      <c r="Q38" s="0" t="inlineStr">
        <is>
          <t>all calibrated configurations reaching this target exceed the declared 512GiB planning envelope</t>
        </is>
      </c>
    </row>
    <row r="39">
      <c r="A39" s="0" t="inlineStr">
        <is>
          <t>glove100</t>
        </is>
      </c>
      <c r="B39" s="0" t="inlineStr">
        <is>
          <t>curve</t>
        </is>
      </c>
      <c r="C39" s="0" t="n">
        <v>0.95</v>
      </c>
      <c r="D39" s="0" t="inlineStr">
        <is>
          <t>留空</t>
        </is>
      </c>
      <c r="E39" s="0" t="n">
        <v>0.965</v>
      </c>
      <c r="F39" s="0" t="n">
        <v>100</v>
      </c>
      <c r="G39" s="0" t="n">
        <v>1024</v>
      </c>
      <c r="H39" s="0" t="n">
        <v>256</v>
      </c>
      <c r="I39" s="0" t="n">
        <v>98167471</v>
      </c>
      <c r="J39" s="0" t="n">
        <v>27</v>
      </c>
      <c r="K39" s="0" t="n">
        <v>27</v>
      </c>
      <c r="L39" s="0" t="n">
        <v>4141.00634765625</v>
      </c>
      <c r="M39" s="0" t="n">
        <v>6438.54438476562</v>
      </c>
      <c r="Q39" s="0" t="inlineStr">
        <is>
          <t>all calibrated configurations reaching this target exceed the declared 512GiB planning envelope</t>
        </is>
      </c>
    </row>
    <row r="40">
      <c r="A40" s="0" t="inlineStr">
        <is>
          <t>glove100</t>
        </is>
      </c>
      <c r="B40" s="0" t="inlineStr">
        <is>
          <t>curve</t>
        </is>
      </c>
      <c r="C40" s="0" t="n">
        <v>0.97</v>
      </c>
      <c r="D40" s="0" t="inlineStr">
        <is>
          <t>留空</t>
        </is>
      </c>
      <c r="E40" s="0" t="n">
        <v>0.98</v>
      </c>
      <c r="F40" s="0" t="n">
        <v>100</v>
      </c>
      <c r="G40" s="0" t="n">
        <v>1024</v>
      </c>
      <c r="H40" s="0" t="n">
        <v>512</v>
      </c>
      <c r="I40" s="0" t="n">
        <v>196290610</v>
      </c>
      <c r="J40" s="0" t="n">
        <v>28</v>
      </c>
      <c r="K40" s="0" t="n">
        <v>28</v>
      </c>
      <c r="L40" s="0" t="n">
        <v>8282.0126953125</v>
      </c>
      <c r="M40" s="0" t="n">
        <v>12845.0887695313</v>
      </c>
      <c r="Q40" s="0" t="inlineStr">
        <is>
          <t>all calibrated configurations reaching this target exceed the declared 512GiB planning envelope</t>
        </is>
      </c>
    </row>
    <row r="41">
      <c r="A41" s="0" t="inlineStr">
        <is>
          <t>glove100</t>
        </is>
      </c>
      <c r="B41" s="0" t="inlineStr">
        <is>
          <t>curve</t>
        </is>
      </c>
      <c r="C41" s="0" t="n">
        <v>0.98</v>
      </c>
      <c r="D41" s="0" t="inlineStr">
        <is>
          <t>留空</t>
        </is>
      </c>
      <c r="E41" s="0" t="n">
        <v>0.98</v>
      </c>
      <c r="F41" s="0" t="n">
        <v>100</v>
      </c>
      <c r="G41" s="0" t="n">
        <v>1024</v>
      </c>
      <c r="H41" s="0" t="n">
        <v>512</v>
      </c>
      <c r="I41" s="0" t="n">
        <v>196290610</v>
      </c>
      <c r="J41" s="0" t="n">
        <v>28</v>
      </c>
      <c r="K41" s="0" t="n">
        <v>28</v>
      </c>
      <c r="L41" s="0" t="n">
        <v>8282.0126953125</v>
      </c>
      <c r="M41" s="0" t="n">
        <v>12845.0887695313</v>
      </c>
      <c r="Q41" s="0" t="inlineStr">
        <is>
          <t>all calibrated configurations reaching this target exceed the declared 512GiB planning envelope</t>
        </is>
      </c>
    </row>
    <row r="42">
      <c r="A42" s="0" t="inlineStr">
        <is>
          <t>glove100</t>
        </is>
      </c>
      <c r="B42" s="0" t="inlineStr">
        <is>
          <t>curve</t>
        </is>
      </c>
      <c r="C42" s="0" t="n">
        <v>0.99</v>
      </c>
      <c r="D42" s="0" t="inlineStr">
        <is>
          <t>留空</t>
        </is>
      </c>
      <c r="Q42" s="0" t="inlineStr">
        <is>
          <t>no existing calibrated configuration reaches target; recall cannot be invented</t>
        </is>
      </c>
    </row>
    <row r="43">
      <c r="A43" s="0" t="inlineStr">
        <is>
          <t>glove100</t>
        </is>
      </c>
      <c r="B43" s="0" t="inlineStr">
        <is>
          <t>size</t>
        </is>
      </c>
      <c r="C43" s="0" t="n">
        <v>5000000</v>
      </c>
      <c r="D43" s="0" t="inlineStr">
        <is>
          <t>留空</t>
        </is>
      </c>
      <c r="Q43" s="0" t="inlineStr">
        <is>
          <t>requested size exceeds actual available corpus; not a RAM question</t>
        </is>
      </c>
    </row>
    <row r="44">
      <c r="A44" s="0" t="inlineStr">
        <is>
          <t>glove100</t>
        </is>
      </c>
      <c r="B44" s="0" t="inlineStr">
        <is>
          <t>size</t>
        </is>
      </c>
      <c r="C44" s="0" t="n">
        <v>10000000</v>
      </c>
      <c r="D44" s="0" t="inlineStr">
        <is>
          <t>留空</t>
        </is>
      </c>
      <c r="Q44" s="0" t="inlineStr">
        <is>
          <t>requested size exceeds actual available corpus; not a RAM question</t>
        </is>
      </c>
    </row>
    <row r="45">
      <c r="A45" s="0" t="inlineStr">
        <is>
          <t>deep1m</t>
        </is>
      </c>
      <c r="B45" s="0" t="inlineStr">
        <is>
          <t>curve</t>
        </is>
      </c>
      <c r="C45" s="0" t="n">
        <v>0.8</v>
      </c>
      <c r="D45" s="0" t="inlineStr">
        <is>
          <t>预测填入</t>
        </is>
      </c>
      <c r="E45" s="0" t="n">
        <v>0.8</v>
      </c>
      <c r="F45" s="0" t="n">
        <v>48</v>
      </c>
      <c r="G45" s="0" t="n">
        <v>256</v>
      </c>
      <c r="H45" s="0" t="n">
        <v>8</v>
      </c>
      <c r="I45" s="0" t="n">
        <v>786360</v>
      </c>
      <c r="J45" s="0" t="n">
        <v>20</v>
      </c>
      <c r="K45" s="0" t="n">
        <v>20</v>
      </c>
      <c r="L45" s="0" t="n">
        <v>32.3516120910645</v>
      </c>
      <c r="M45" s="0" t="n">
        <v>82.0511280059814</v>
      </c>
      <c r="N45" s="0" t="n">
        <v>536679.534811588</v>
      </c>
      <c r="O45" s="0" t="n">
        <v>26.5534298151988</v>
      </c>
      <c r="P45" s="0" t="n">
        <v>335.661</v>
      </c>
      <c r="Q45" s="0" t="inlineStr">
        <is>
          <t>existing calibrated configuration fits declared 512GiB planning envelope</t>
        </is>
      </c>
    </row>
    <row r="46">
      <c r="A46" s="0" t="inlineStr">
        <is>
          <t>deep1m</t>
        </is>
      </c>
      <c r="B46" s="0" t="inlineStr">
        <is>
          <t>curve</t>
        </is>
      </c>
      <c r="C46" s="0" t="n">
        <v>0.85</v>
      </c>
      <c r="D46" s="0" t="inlineStr">
        <is>
          <t>预测填入</t>
        </is>
      </c>
      <c r="E46" s="0" t="n">
        <v>0.885</v>
      </c>
      <c r="F46" s="0" t="n">
        <v>96</v>
      </c>
      <c r="G46" s="0" t="n">
        <v>512</v>
      </c>
      <c r="H46" s="0" t="n">
        <v>8</v>
      </c>
      <c r="I46" s="0" t="n">
        <v>1511042</v>
      </c>
      <c r="J46" s="0" t="n">
        <v>21</v>
      </c>
      <c r="K46" s="0" t="n">
        <v>21</v>
      </c>
      <c r="L46" s="0" t="n">
        <v>64.70322418212891</v>
      </c>
      <c r="M46" s="0" t="n">
        <v>132.102256011963</v>
      </c>
      <c r="N46" s="0" t="n">
        <v>1127085.91388908</v>
      </c>
      <c r="O46" s="0" t="n">
        <v>27.7026748306772</v>
      </c>
      <c r="P46" s="0" t="n">
        <v>343.872</v>
      </c>
      <c r="Q46" s="0" t="inlineStr">
        <is>
          <t>existing calibrated configuration fits declared 512GiB planning envelope</t>
        </is>
      </c>
    </row>
    <row r="47">
      <c r="A47" s="0" t="inlineStr">
        <is>
          <t>deep1m</t>
        </is>
      </c>
      <c r="B47" s="0" t="inlineStr">
        <is>
          <t>curve</t>
        </is>
      </c>
      <c r="C47" s="0" t="n">
        <v>0.9</v>
      </c>
      <c r="D47" s="0" t="inlineStr">
        <is>
          <t>预测填入</t>
        </is>
      </c>
      <c r="E47" s="0" t="n">
        <v>0.9</v>
      </c>
      <c r="F47" s="0" t="n">
        <v>96</v>
      </c>
      <c r="G47" s="0" t="n">
        <v>1024</v>
      </c>
      <c r="H47" s="0" t="n">
        <v>8</v>
      </c>
      <c r="I47" s="0" t="n">
        <v>1637124</v>
      </c>
      <c r="J47" s="0" t="n">
        <v>21</v>
      </c>
      <c r="K47" s="0" t="n">
        <v>21</v>
      </c>
      <c r="L47" s="0" t="n">
        <v>64.70322418212891</v>
      </c>
      <c r="M47" s="0" t="n">
        <v>132.102256011963</v>
      </c>
      <c r="N47" s="0" t="n">
        <v>1127085.91388908</v>
      </c>
      <c r="O47" s="0" t="n">
        <v>27.7026748306772</v>
      </c>
      <c r="P47" s="0" t="n">
        <v>343.872</v>
      </c>
      <c r="Q47" s="0" t="inlineStr">
        <is>
          <t>existing calibrated configuration fits declared 512GiB planning envelope</t>
        </is>
      </c>
    </row>
    <row r="48">
      <c r="A48" s="0" t="inlineStr">
        <is>
          <t>deep1m</t>
        </is>
      </c>
      <c r="B48" s="0" t="inlineStr">
        <is>
          <t>curve</t>
        </is>
      </c>
      <c r="C48" s="0" t="n">
        <v>0.95</v>
      </c>
      <c r="D48" s="0" t="inlineStr">
        <is>
          <t>预测填入</t>
        </is>
      </c>
      <c r="E48" s="0" t="n">
        <v>0.955</v>
      </c>
      <c r="F48" s="0" t="n">
        <v>96</v>
      </c>
      <c r="G48" s="0" t="n">
        <v>1024</v>
      </c>
      <c r="H48" s="0" t="n">
        <v>16</v>
      </c>
      <c r="I48" s="0" t="n">
        <v>3227647</v>
      </c>
      <c r="J48" s="0" t="n">
        <v>22</v>
      </c>
      <c r="K48" s="0" t="n">
        <v>22</v>
      </c>
      <c r="L48" s="0" t="n">
        <v>129.406448364258</v>
      </c>
      <c r="M48" s="0" t="n">
        <v>232.204512023926</v>
      </c>
      <c r="N48" s="0" t="n">
        <v>2361625.51630998</v>
      </c>
      <c r="O48" s="0" t="n">
        <v>31.8402555180307</v>
      </c>
      <c r="P48" s="0" t="n">
        <v>483.155</v>
      </c>
      <c r="Q48" s="0" t="inlineStr">
        <is>
          <t>existing calibrated configuration fits declared 512GiB planning envelope</t>
        </is>
      </c>
    </row>
    <row r="49">
      <c r="A49" s="0" t="inlineStr">
        <is>
          <t>deep1m</t>
        </is>
      </c>
      <c r="B49" s="0" t="inlineStr">
        <is>
          <t>curve</t>
        </is>
      </c>
      <c r="C49" s="0" t="n">
        <v>0.97</v>
      </c>
      <c r="D49" s="0" t="inlineStr">
        <is>
          <t>留空</t>
        </is>
      </c>
      <c r="E49" s="0" t="n">
        <v>0.98</v>
      </c>
      <c r="F49" s="0" t="n">
        <v>96</v>
      </c>
      <c r="G49" s="0" t="n">
        <v>1024</v>
      </c>
      <c r="H49" s="0" t="n">
        <v>64</v>
      </c>
      <c r="I49" s="0" t="n">
        <v>12782497</v>
      </c>
      <c r="J49" s="0" t="n">
        <v>24</v>
      </c>
      <c r="K49" s="0" t="n">
        <v>24</v>
      </c>
      <c r="L49" s="0" t="n">
        <v>517.625793457031</v>
      </c>
      <c r="M49" s="0" t="n">
        <v>832.818048095703</v>
      </c>
      <c r="Q49" s="0" t="inlineStr">
        <is>
          <t>all calibrated configurations reaching this target exceed the declared 512GiB planning envelope</t>
        </is>
      </c>
    </row>
    <row r="50">
      <c r="A50" s="0" t="inlineStr">
        <is>
          <t>deep1m</t>
        </is>
      </c>
      <c r="B50" s="0" t="inlineStr">
        <is>
          <t>curve</t>
        </is>
      </c>
      <c r="C50" s="0" t="n">
        <v>0.98</v>
      </c>
      <c r="D50" s="0" t="inlineStr">
        <is>
          <t>留空</t>
        </is>
      </c>
      <c r="E50" s="0" t="n">
        <v>0.98</v>
      </c>
      <c r="F50" s="0" t="n">
        <v>96</v>
      </c>
      <c r="G50" s="0" t="n">
        <v>1024</v>
      </c>
      <c r="H50" s="0" t="n">
        <v>64</v>
      </c>
      <c r="I50" s="0" t="n">
        <v>12782497</v>
      </c>
      <c r="J50" s="0" t="n">
        <v>24</v>
      </c>
      <c r="K50" s="0" t="n">
        <v>24</v>
      </c>
      <c r="L50" s="0" t="n">
        <v>517.625793457031</v>
      </c>
      <c r="M50" s="0" t="n">
        <v>832.818048095703</v>
      </c>
      <c r="Q50" s="0" t="inlineStr">
        <is>
          <t>all calibrated configurations reaching this target exceed the declared 512GiB planning envelope</t>
        </is>
      </c>
    </row>
    <row r="51">
      <c r="A51" s="0" t="inlineStr">
        <is>
          <t>deep1m</t>
        </is>
      </c>
      <c r="B51" s="0" t="inlineStr">
        <is>
          <t>curve</t>
        </is>
      </c>
      <c r="C51" s="0" t="n">
        <v>0.99</v>
      </c>
      <c r="D51" s="0" t="inlineStr">
        <is>
          <t>留空</t>
        </is>
      </c>
      <c r="Q51" s="0" t="inlineStr">
        <is>
          <t>no existing calibrated configuration reaches target; recall cannot be invented</t>
        </is>
      </c>
    </row>
    <row r="52">
      <c r="A52" s="0" t="inlineStr">
        <is>
          <t>deep1m</t>
        </is>
      </c>
      <c r="B52" s="0" t="inlineStr">
        <is>
          <t>size</t>
        </is>
      </c>
      <c r="C52" s="0" t="n">
        <v>5000000</v>
      </c>
      <c r="D52" s="0" t="inlineStr">
        <is>
          <t>留空</t>
        </is>
      </c>
      <c r="Q52" s="0" t="inlineStr">
        <is>
          <t>no index/recall calibration; matched-recall performance is unsupported</t>
        </is>
      </c>
    </row>
    <row r="53">
      <c r="A53" s="0" t="inlineStr">
        <is>
          <t>deep1m</t>
        </is>
      </c>
      <c r="B53" s="0" t="inlineStr">
        <is>
          <t>size</t>
        </is>
      </c>
      <c r="C53" s="0" t="n">
        <v>10000000</v>
      </c>
      <c r="D53" s="0" t="inlineStr">
        <is>
          <t>留空</t>
        </is>
      </c>
      <c r="Q53" s="0" t="inlineStr">
        <is>
          <t>no index/recall calibration; matched-recall performance is unsupported</t>
        </is>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F277"/>
  <sheetViews>
    <sheetView workbookViewId="0">
      <selection activeCell="A1" sqref="A1"/>
    </sheetView>
  </sheetViews>
  <sheetFormatPr baseColWidth="8" defaultColWidth="9" defaultRowHeight="13.5"/>
  <sheetData>
    <row r="1">
      <c r="A1" s="0" t="inlineStr">
        <is>
          <t>sheet</t>
        </is>
      </c>
      <c r="B1" s="0" t="inlineStr">
        <is>
          <t>cell</t>
        </is>
      </c>
      <c r="C1" s="0" t="inlineStr">
        <is>
          <t>before</t>
        </is>
      </c>
      <c r="D1" s="0" t="inlineStr">
        <is>
          <t>after</t>
        </is>
      </c>
      <c r="E1" s="0" t="inlineStr">
        <is>
          <t>estimated</t>
        </is>
      </c>
      <c r="F1" s="0" t="inlineStr">
        <is>
          <t>evidence</t>
        </is>
      </c>
    </row>
    <row r="2">
      <c r="A2" s="0" t="inlineStr">
        <is>
          <t>SIFT1M</t>
        </is>
      </c>
      <c r="B2" s="0" t="inlineStr">
        <is>
          <t>R26</t>
        </is>
      </c>
      <c r="C2" s="0" t="inlineStr">
        <is>
          <t>预算内未测</t>
        </is>
      </c>
      <c r="D2" s="0" t="n">
        <v>77.5</v>
      </c>
      <c r="E2" s="0" t="b">
        <v>0</v>
      </c>
      <c r="F2" s="0" t="inlineStr">
        <is>
          <t>{"kind": "curve", "dataset": "sift1m", "sheet": "SIFT1M", "column": 18, "target": 0.75, "choice": {"status": "conditional_forecast", "config": {"dataset": "sift1m", "source": "sift1m", "N": 1000000, "D": 128, "n_list": 1024, "M": 64, "K": 256, "n_iter": 25, "seed": 0, "capacity": 2048, "query_offset": 100, "query_count": 20, "scale": 65536, "rebalance": "author algorithm with identical row-chunk distances"},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{"query_ms": [263431.48958159116, 1053725.9583263646], "verify_ms": [12.532549286185194, 50.13019714474078], "vo_kb": [229.82384999999996, 310.93814999999995]},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"reason": "existing calibrated configuration fits declared 512GiB planning envelope", "smallest_memory_reaching_target": {"status": "conditional_forecast", "config": {"dataset": "sift1m", "source": "sift1m", "N": 1000000, "D": 128, "n_list": 1024, "M": 64, "K": 256, "n_iter": 25, "seed": 0, "capacity": 2048, "query_offset": 100, "query_count": 20, "scale": 65536, "rebalance": "author algorithm with identical row-chunk distances"},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{"query_ms": [263431.48958159116, 1053725.9583263646], "verify_ms": [12.532549286185194, 50.13019714474078], "vo_kb": [229.82384999999996, 310.93814999999995]},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t>
        </is>
      </c>
    </row>
    <row r="3">
      <c r="A3" s="0" t="inlineStr">
        <is>
          <t>SIFT1M</t>
        </is>
      </c>
      <c r="B3" s="0" t="inlineStr">
        <is>
          <t>R27</t>
        </is>
      </c>
      <c r="C3" s="0" t="inlineStr">
        <is>
          <t>预算内未测</t>
        </is>
      </c>
      <c r="D3" s="0" t="n">
        <v>270.381</v>
      </c>
      <c r="E3" s="0" t="b">
        <v>1</v>
      </c>
      <c r="F3" s="0" t="inlineStr">
        <is>
          <t>{"kind": "curve", "dataset": "sift1m", "sheet": "SIFT1M", "column": 18, "target": 0.75, "choice": {"status": "conditional_forecast", "config": {"dataset": "sift1m", "source": "sift1m", "N": 1000000, "D": 128, "n_list": 1024, "M": 64, "K": 256, "n_iter": 25, "seed": 0, "capacity": 2048, "query_offset": 100, "query_count": 20, "scale": 65536, "rebalance": "author algorithm with identical row-chunk distances"},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{"query_ms": [263431.48958159116, 1053725.9583263646], "verify_ms": [12.532549286185194, 50.13019714474078], "vo_kb": [229.82384999999996, 310.93814999999995]},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"reason": "existing calibrated configuration fits declared 512GiB planning envelope", "smallest_memory_reaching_target": {"status": "conditional_forecast", "config": {"dataset": "sift1m", "source": "sift1m", "N": 1000000, "D": 128, "n_list": 1024, "M": 64, "K": 256, "n_iter": 25, "seed": 0, "capacity": 2048, "query_offset": 100, "query_count": 20, "scale": 65536, "rebalance": "author algorithm with identical row-chunk distances"},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{"query_ms": [263431.48958159116, 1053725.9583263646], "verify_ms": [12.532549286185194, 50.13019714474078], "vo_kb": [229.82384999999996, 310.93814999999995]},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t>
        </is>
      </c>
    </row>
    <row r="4">
      <c r="A4" s="0" t="inlineStr">
        <is>
          <t>SIFT1M</t>
        </is>
      </c>
      <c r="B4" s="0" t="inlineStr">
        <is>
          <t>R38</t>
        </is>
      </c>
      <c r="C4" s="0" t="inlineStr">
        <is>
          <t>预算内未测</t>
        </is>
      </c>
      <c r="D4" s="0" t="n">
        <v>77.5</v>
      </c>
      <c r="E4" s="0" t="b">
        <v>0</v>
      </c>
      <c r="F4" s="0" t="inlineStr">
        <is>
          <t>{"kind": "curve", "dataset": "sift1m", "sheet": "SIFT1M", "column": 18, "target": 0.75, "choice": {"status": "conditional_forecast", "config": {"dataset": "sift1m", "source": "sift1m", "N": 1000000, "D": 128, "n_list": 1024, "M": 64, "K": 256, "n_iter": 25, "seed": 0, "capacity": 2048, "query_offset": 100, "query_count": 20, "scale": 65536, "rebalance": "author algorithm with identical row-chunk distances"},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{"query_ms": [263431.48958159116, 1053725.9583263646], "verify_ms": [12.532549286185194, 50.13019714474078], "vo_kb": [229.82384999999996, 310.93814999999995]},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"reason": "existing calibrated configuration fits declared 512GiB planning envelope", "smallest_memory_reaching_target": {"status": "conditional_forecast", "config": {"dataset": "sift1m", "source": "sift1m", "N": 1000000, "D": 128, "n_list": 1024, "M": 64, "K": 256, "n_iter": 25, "seed": 0, "capacity": 2048, "query_offset": 100, "query_count": 20, "scale": 65536, "rebalance": "author algorithm with identical row-chunk distances"},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{"query_ms": [263431.48958159116, 1053725.9583263646], "verify_ms": [12.532549286185194, 50.13019714474078], "vo_kb": [229.82384999999996, 310.93814999999995]},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t>
        </is>
      </c>
    </row>
    <row r="5">
      <c r="A5" s="0" t="inlineStr">
        <is>
          <t>SIFT1M</t>
        </is>
      </c>
      <c r="B5" s="0" t="inlineStr">
        <is>
          <t>R39</t>
        </is>
      </c>
      <c r="C5" s="0" t="inlineStr">
        <is>
          <t>预算内未测</t>
        </is>
      </c>
      <c r="D5" s="0" t="n">
        <v>25.0650985723704</v>
      </c>
      <c r="E5" s="0" t="b">
        <v>1</v>
      </c>
      <c r="F5" s="0" t="inlineStr">
        <is>
          <t>{"kind": "curve", "dataset": "sift1m", "sheet": "SIFT1M", "column": 18, "target": 0.75, "choice": {"status": "conditional_forecast", "config": {"dataset": "sift1m", "source": "sift1m", "N": 1000000, "D": 128, "n_list": 1024, "M": 64, "K": 256, "n_iter": 25, "seed": 0, "capacity": 2048, "query_offset": 100, "query_count": 20, "scale": 65536, "rebalance": "author algorithm with identical row-chunk distances"},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{"query_ms": [263431.48958159116, 1053725.9583263646], "verify_ms": [12.532549286185194, 50.13019714474078], "vo_kb": [229.82384999999996, 310.93814999999995]},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"reason": "existing calibrated configuration fits declared 512GiB planning envelope", "smallest_memory_reaching_target": {"status": "conditional_forecast", "config": {"dataset": "sift1m", "source": "sift1m", "N": 1000000, "D": 128, "n_list": 1024, "M": 64, "K": 256, "n_iter": 25, "seed": 0, "capacity": 2048, "query_offset": 100, "query_count": 20, "scale": 65536, "rebalance": "author algorithm with identical row-chunk distances"},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{"query_ms": [263431.48958159116, 1053725.9583263646], "verify_ms": [12.532549286185194, 50.13019714474078], "vo_kb": [229.82384999999996, 310.93814999999995]},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t>
        </is>
      </c>
    </row>
    <row r="6">
      <c r="A6" s="0" t="inlineStr">
        <is>
          <t>SIFT1M</t>
        </is>
      </c>
      <c r="B6" s="0" t="inlineStr">
        <is>
          <t>R50</t>
        </is>
      </c>
      <c r="C6" s="0" t="inlineStr">
        <is>
          <t>预算内未测</t>
        </is>
      </c>
      <c r="D6" s="0" t="n">
        <v>77.5</v>
      </c>
      <c r="E6" s="0" t="b">
        <v>0</v>
      </c>
      <c r="F6" s="0" t="inlineStr">
        <is>
          <t>{"kind": "curve", "dataset": "sift1m", "sheet": "SIFT1M", "column": 18, "target": 0.75, "choice": {"status": "conditional_forecast", "config": {"dataset": "sift1m", "source": "sift1m", "N": 1000000, "D": 128, "n_list": 1024, "M": 64, "K": 256, "n_iter": 25, "seed": 0, "capacity": 2048, "query_offset": 100, "query_count": 20, "scale": 65536, "rebalance": "author algorithm with identical row-chunk distances"},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{"query_ms": [263431.48958159116, 1053725.9583263646], "verify_ms": [12.532549286185194, 50.13019714474078], "vo_kb": [229.82384999999996, 310.93814999999995]},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"reason": "existing calibrated configuration fits declared 512GiB planning envelope", "smallest_memory_reaching_target": {"status": "conditional_forecast", "config": {"dataset": "sift1m", "source": "sift1m", "N": 1000000, "D": 128, "n_list": 1024, "M": 64, "K": 256, "n_iter": 25, "seed": 0, "capacity": 2048, "query_offset": 100, "query_count": 20, "scale": 65536, "rebalance": "author algorithm with identical row-chunk distances"},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{"query_ms": [263431.48958159116, 1053725.9583263646], "verify_ms": [12.532549286185194, 50.13019714474078], "vo_kb": [229.82384999999996, 310.93814999999995]},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t>
        </is>
      </c>
    </row>
    <row r="7">
      <c r="A7" s="0" t="inlineStr">
        <is>
          <t>SIFT1M</t>
        </is>
      </c>
      <c r="B7" s="0" t="inlineStr">
        <is>
          <t>R51</t>
        </is>
      </c>
      <c r="C7" s="0" t="inlineStr">
        <is>
          <t>预算内未测</t>
        </is>
      </c>
      <c r="D7" s="0" t="n">
        <v>526862.979163182</v>
      </c>
      <c r="E7" s="0" t="b">
        <v>1</v>
      </c>
      <c r="F7" s="0" t="inlineStr">
        <is>
          <t>{"kind": "curve", "dataset": "sift1m", "sheet": "SIFT1M", "column": 18, "target": 0.75, "choice": {"status": "conditional_forecast", "config": {"dataset": "sift1m", "source": "sift1m", "N": 1000000, "D": 128, "n_list": 1024, "M": 64, "K": 256, "n_iter": 25, "seed": 0, "capacity": 2048, "query_offset": 100, "query_count": 20, "scale": 65536, "rebalance": "author algorithm with identical row-chunk distances"},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{"query_ms": [263431.48958159116, 1053725.9583263646], "verify_ms": [12.532549286185194, 50.13019714474078], "vo_kb": [229.82384999999996, 310.93814999999995]},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"reason": "existing calibrated configuration fits declared 512GiB planning envelope", "smallest_memory_reaching_target": {"status": "conditional_forecast", "config": {"dataset": "sift1m", "source": "sift1m", "N": 1000000, "D": 128, "n_list": 1024, "M": 64, "K": 256, "n_iter": 25, "seed": 0, "capacity": 2048, "query_offset": 100, "query_count": 20, "scale": 65536, "rebalance": "author algorithm with identical row-chunk distances"},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{"query_ms": [263431.48958159116, 1053725.9583263646], "verify_ms": [12.532549286185194, 50.13019714474078], "vo_kb": [229.82384999999996, 310.93814999999995]},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t>
        </is>
      </c>
    </row>
    <row r="8">
      <c r="A8" s="0" t="inlineStr">
        <is>
          <t>SIFT1M</t>
        </is>
      </c>
      <c r="B8" s="0" t="inlineStr">
        <is>
          <t>S26</t>
        </is>
      </c>
      <c r="C8" s="0" t="inlineStr">
        <is>
          <t>预算内未测</t>
        </is>
      </c>
      <c r="D8" s="0" t="n">
        <v>84</v>
      </c>
      <c r="E8" s="0" t="b">
        <v>0</v>
      </c>
      <c r="F8" s="0" t="inlineStr">
        <is>
          <t>{"kind": "curve", "dataset": "sift1m", "sheet": "SIFT1M", "column": 19, "target": 0.8, "choice": {"status": "conditional_forecast", "config": {"dataset": "sift1m", "source": "sift1m", "N": 1000000, "D": 128, "n_list": 1024, "M": 128, "K": 256, "n_iter": 25, "seed": 0, "capacity": 2048, "query_offset": 100, "query_count": 20, "scale": 65536, "rebalance": "author algorithm with identical row-chunk distances"},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{"query_ms": [273363.9774640253, 1093455.9098561013], "verify_ms": [12.532549286185194, 50.13019714474078], "vo_kb": [229.82384999999996, 310.93814999999995]},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{"query_ms": [273363.9774640253, 1093455.9098561013], "verify_ms": [12.532549286185194, 50.13019714474078], "vo_kb": [229.82384999999996, 310.93814999999995]},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t>
        </is>
      </c>
    </row>
    <row r="9">
      <c r="A9" s="0" t="inlineStr">
        <is>
          <t>SIFT1M</t>
        </is>
      </c>
      <c r="B9" s="0" t="inlineStr">
        <is>
          <t>S27</t>
        </is>
      </c>
      <c r="C9" s="0" t="inlineStr">
        <is>
          <t>预算内未测</t>
        </is>
      </c>
      <c r="D9" s="0" t="n">
        <v>270.381</v>
      </c>
      <c r="E9" s="0" t="b">
        <v>1</v>
      </c>
      <c r="F9" s="0" t="inlineStr">
        <is>
          <t>{"kind": "curve", "dataset": "sift1m", "sheet": "SIFT1M", "column": 19, "target": 0.8, "choice": {"status": "conditional_forecast", "config": {"dataset": "sift1m", "source": "sift1m", "N": 1000000, "D": 128, "n_list": 1024, "M": 128, "K": 256, "n_iter": 25, "seed": 0, "capacity": 2048, "query_offset": 100, "query_count": 20, "scale": 65536, "rebalance": "author algorithm with identical row-chunk distances"},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{"query_ms": [273363.9774640253, 1093455.9098561013], "verify_ms": [12.532549286185194, 50.13019714474078], "vo_kb": [229.82384999999996, 310.93814999999995]},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{"query_ms": [273363.9774640253, 1093455.9098561013], "verify_ms": [12.532549286185194, 50.13019714474078], "vo_kb": [229.82384999999996, 310.93814999999995]},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t>
        </is>
      </c>
    </row>
    <row r="10">
      <c r="A10" s="0" t="inlineStr">
        <is>
          <t>SIFT1M</t>
        </is>
      </c>
      <c r="B10" s="0" t="inlineStr">
        <is>
          <t>S38</t>
        </is>
      </c>
      <c r="C10" s="0" t="inlineStr">
        <is>
          <t>预算内未测</t>
        </is>
      </c>
      <c r="D10" s="0" t="n">
        <v>84</v>
      </c>
      <c r="E10" s="0" t="b">
        <v>0</v>
      </c>
      <c r="F10" s="0" t="inlineStr">
        <is>
          <t>{"kind": "curve", "dataset": "sift1m", "sheet": "SIFT1M", "column": 19, "target": 0.8, "choice": {"status": "conditional_forecast", "config": {"dataset": "sift1m", "source": "sift1m", "N": 1000000, "D": 128, "n_list": 1024, "M": 128, "K": 256, "n_iter": 25, "seed": 0, "capacity": 2048, "query_offset": 100, "query_count": 20, "scale": 65536, "rebalance": "author algorithm with identical row-chunk distances"},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{"query_ms": [273363.9774640253, 1093455.9098561013], "verify_ms": [12.532549286185194, 50.13019714474078], "vo_kb": [229.82384999999996, 310.93814999999995]},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{"query_ms": [273363.9774640253, 1093455.9098561013], "verify_ms": [12.532549286185194, 50.13019714474078], "vo_kb": [229.82384999999996, 310.93814999999995]},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t>
        </is>
      </c>
    </row>
    <row r="11">
      <c r="A11" s="0" t="inlineStr">
        <is>
          <t>SIFT1M</t>
        </is>
      </c>
      <c r="B11" s="0" t="inlineStr">
        <is>
          <t>S39</t>
        </is>
      </c>
      <c r="C11" s="0" t="inlineStr">
        <is>
          <t>预算内未测</t>
        </is>
      </c>
      <c r="D11" s="0" t="n">
        <v>25.0650985723704</v>
      </c>
      <c r="E11" s="0" t="b">
        <v>1</v>
      </c>
      <c r="F11" s="0" t="inlineStr">
        <is>
          <t>{"kind": "curve", "dataset": "sift1m", "sheet": "SIFT1M", "column": 19, "target": 0.8, "choice": {"status": "conditional_forecast", "config": {"dataset": "sift1m", "source": "sift1m", "N": 1000000, "D": 128, "n_list": 1024, "M": 128, "K": 256, "n_iter": 25, "seed": 0, "capacity": 2048, "query_offset": 100, "query_count": 20, "scale": 65536, "rebalance": "author algorithm with identical row-chunk distances"},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{"query_ms": [273363.9774640253, 1093455.9098561013], "verify_ms": [12.532549286185194, 50.13019714474078], "vo_kb": [229.82384999999996, 310.93814999999995]},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{"query_ms": [273363.9774640253, 1093455.9098561013], "verify_ms": [12.532549286185194, 50.13019714474078], "vo_kb": [229.82384999999996, 310.93814999999995]},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t>
        </is>
      </c>
    </row>
    <row r="12">
      <c r="A12" s="0" t="inlineStr">
        <is>
          <t>SIFT1M</t>
        </is>
      </c>
      <c r="B12" s="0" t="inlineStr">
        <is>
          <t>S50</t>
        </is>
      </c>
      <c r="C12" s="0" t="inlineStr">
        <is>
          <t>预算内未测</t>
        </is>
      </c>
      <c r="D12" s="0" t="n">
        <v>84</v>
      </c>
      <c r="E12" s="0" t="b">
        <v>0</v>
      </c>
      <c r="F12" s="0" t="inlineStr">
        <is>
          <t>{"kind": "curve", "dataset": "sift1m", "sheet": "SIFT1M", "column": 19, "target": 0.8, "choice": {"status": "conditional_forecast", "config": {"dataset": "sift1m", "source": "sift1m", "N": 1000000, "D": 128, "n_list": 1024, "M": 128, "K": 256, "n_iter": 25, "seed": 0, "capacity": 2048, "query_offset": 100, "query_count": 20, "scale": 65536, "rebalance": "author algorithm with identical row-chunk distances"},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{"query_ms": [273363.9774640253, 1093455.9098561013], "verify_ms": [12.532549286185194, 50.13019714474078], "vo_kb": [229.82384999999996, 310.93814999999995]},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{"query_ms": [273363.9774640253, 1093455.9098561013], "verify_ms": [12.532549286185194, 50.13019714474078], "vo_kb": [229.82384999999996, 310.93814999999995]},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t>
        </is>
      </c>
    </row>
    <row r="13">
      <c r="A13" s="0" t="inlineStr">
        <is>
          <t>SIFT1M</t>
        </is>
      </c>
      <c r="B13" s="0" t="inlineStr">
        <is>
          <t>S51</t>
        </is>
      </c>
      <c r="C13" s="0" t="inlineStr">
        <is>
          <t>预算内未测</t>
        </is>
      </c>
      <c r="D13" s="0" t="n">
        <v>546727.954928051</v>
      </c>
      <c r="E13" s="0" t="b">
        <v>1</v>
      </c>
      <c r="F13" s="0" t="inlineStr">
        <is>
          <t>{"kind": "curve", "dataset": "sift1m", "sheet": "SIFT1M", "column": 19, "target": 0.8, "choice": {"status": "conditional_forecast", "config": {"dataset": "sift1m", "source": "sift1m", "N": 1000000, "D": 128, "n_list": 1024, "M": 128, "K": 256, "n_iter": 25, "seed": 0, "capacity": 2048, "query_offset": 100, "query_count": 20, "scale": 65536, "rebalance": "author algorithm with identical row-chunk distances"},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{"query_ms": [273363.9774640253, 1093455.9098561013], "verify_ms": [12.532549286185194, 50.13019714474078], "vo_kb": [229.82384999999996, 310.93814999999995]},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{"query_ms": [273363.9774640253, 1093455.9098561013], "verify_ms": [12.532549286185194, 50.13019714474078], "vo_kb": [229.82384999999996, 310.93814999999995]},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t>
        </is>
      </c>
    </row>
    <row r="14">
      <c r="A14" s="0" t="inlineStr">
        <is>
          <t>SIFT1M</t>
        </is>
      </c>
      <c r="B14" s="0" t="inlineStr">
        <is>
          <t>T26</t>
        </is>
      </c>
      <c r="C14" s="0" t="inlineStr">
        <is>
          <t>预算内未测</t>
        </is>
      </c>
      <c r="D14" s="0" t="n">
        <v>85</v>
      </c>
      <c r="E14" s="0" t="b">
        <v>0</v>
      </c>
      <c r="F14" s="0" t="inlineStr">
        <is>
          <t>{"kind": "curve", "dataset": "sift1m", "sheet": "SIFT1M", "column": 20, "target": 0.85, "choice": {"status": "conditional_forecast", "config": {"dataset": "sift1m", "source": "sift1m", "N": 1000000, "D": 128, "n_list": 1024, "M": 64, "K": 256, "n_iter": 25, "seed": 0, "capacity": 2048, "query_offset": 100, "query_count": 20, "scale": 65536, "rebalance": "author algorithm with identical row-chunk distances"}, "n_probe": 8, "k": 10, "gates": 1027151, "gate_source": "structural estimate", "domain_bits": 20, "guard_domain_bits": 21, "proof_phase_memory_estimate_GiB": 32.35161209106445, "planned_machine_memory_GiB": 132.10225601196288, "fits_512GiB_scenario": true, "query_ms": 546727.9549280506, "verify_ms": 26.55926640830789, "vo_kb": 335.917, "declared_sensitivity": {"query_ms": [273363.9774640253, 1093455.9098561013], "verify_ms": [13.279633204153946, 53.11853281661578], "vo_kb": [285.52945, 386.30454999999995]}, "label": "512GiB条件预测，未在512GiB机器实测", "recall_scope": "existing search calibration only", "model": "sift1m-1000000-M64", "recall": 0.8499999999999999, "recall_source": "/mnt/d/paper_source/work_9/VeriANN_repro_2026-09-30/VeriANN_repro_2026-09-30/V3DB-26VLDB/work9-cache/sift1m-1000000-M64/calibration.json", "recall_queries": 20}, "reason": "existing calibrated configuration fits declared 512GiB planning envelope", "smallest_memory_reaching_target": {"status": "conditional_forecast", "config": {"dataset": "sift1m", "source": "sift1m", "N": 1000000, "D": 128, "n_list": 1024, "M": 128, "K": 1024, "n_iter": 25, "seed": 0, "capacity": 2048, "query_offset": 100, "query_count": 20, "scale": 65536, "rebalance": "author algorithm with identical row-chunk distances"}, "n_probe": 4, "k": 10, "gates": 1108650, "gate_source": "exact observed static count", "domain_bits": 21, "guard_domain_bits": 21, "proof_phase_memory_estimate_GiB": 64.7032241821289, "planned_machine_memory_GiB": 132.10225601196288, "fits_512GiB_scenario": true, "query_ms": 1106506.8513653728, "verify_ms": 26.21434358784885, "vo_kb": 278.592, "declared_sensitivity": {"query_ms": [553253.4256826864, 2213013.7027307455], "verify_ms": [13.107171793924426, 52.4286871756977], "vo_kb": [236.80319999999998, 320.38079999999997]}, "label": "512GiB条件预测，未在512GiB机器实测", "recall_scope": "existing search calibration only", "model": "sift1m-1000000-M128-K1024", "recall": 0.85, "recall_source": "/mnt/d/paper_source/work_9/VeriANN_repro_2026-09-30/VeriANN_repro_2026-09-30/V3DB-26VLDB/work9-cache/sift1m-1000000-M128-K1024/calibration.json", "recall_queries": 20}}</t>
        </is>
      </c>
    </row>
    <row r="15">
      <c r="A15" s="0" t="inlineStr">
        <is>
          <t>SIFT1M</t>
        </is>
      </c>
      <c r="B15" s="0" t="inlineStr">
        <is>
          <t>T27</t>
        </is>
      </c>
      <c r="C15" s="0" t="inlineStr">
        <is>
          <t>预算内未测</t>
        </is>
      </c>
      <c r="D15" s="0" t="n">
        <v>335.917</v>
      </c>
      <c r="E15" s="0" t="b">
        <v>1</v>
      </c>
      <c r="F15" s="0" t="inlineStr">
        <is>
          <t>{"kind": "curve", "dataset": "sift1m", "sheet": "SIFT1M", "column": 20, "target": 0.85, "choice": {"status": "conditional_forecast", "config": {"dataset": "sift1m", "source": "sift1m", "N": 1000000, "D": 128, "n_list": 1024, "M": 64, "K": 256, "n_iter": 25, "seed": 0, "capacity": 2048, "query_offset": 100, "query_count": 20, "scale": 65536, "rebalance": "author algorithm with identical row-chunk distances"}, "n_probe": 8, "k": 10, "gates": 1027151, "gate_source": "structural estimate", "domain_bits": 20, "guard_domain_bits": 21, "proof_phase_memory_estimate_GiB": 32.35161209106445, "planned_machine_memory_GiB": 132.10225601196288, "fits_512GiB_scenario": true, "query_ms": 546727.9549280506, "verify_ms": 26.55926640830789, "vo_kb": 335.917, "declared_sensitivity": {"query_ms": [273363.9774640253, 1093455.9098561013], "verify_ms": [13.279633204153946, 53.11853281661578], "vo_kb": [285.52945, 386.30454999999995]}, "label": "512GiB条件预测，未在512GiB机器实测", "recall_scope": "existing search calibration only", "model": "sift1m-1000000-M64", "recall": 0.8499999999999999, "recall_source": "/mnt/d/paper_source/work_9/VeriANN_repro_2026-09-30/VeriANN_repro_2026-09-30/V3DB-26VLDB/work9-cache/sift1m-1000000-M64/calibration.json", "recall_queries": 20}, "reason": "existing calibrated configuration fits declared 512GiB planning envelope", "smallest_memory_reaching_target": {"status": "conditional_forecast", "config": {"dataset": "sift1m", "source": "sift1m", "N": 1000000, "D": 128, "n_list": 1024, "M": 128, "K": 1024, "n_iter": 25, "seed": 0, "capacity": 2048, "query_offset": 100, "query_count": 20, "scale": 65536, "rebalance": "author algorithm with identical row-chunk distances"}, "n_probe": 4, "k": 10, "gates": 1108650, "gate_source": "exact observed static count", "domain_bits": 21, "guard_domain_bits": 21, "proof_phase_memory_estimate_GiB": 64.7032241821289, "planned_machine_memory_GiB": 132.10225601196288, "fits_512GiB_scenario": true, "query_ms": 1106506.8513653728, "verify_ms": 26.21434358784885, "vo_kb": 278.592, "declared_sensitivity": {"query_ms": [553253.4256826864, 2213013.7027307455], "verify_ms": [13.107171793924426, 52.4286871756977], "vo_kb": [236.80319999999998, 320.38079999999997]}, "label": "512GiB条件预测，未在512GiB机器实测", "recall_scope": "existing search calibration only", "model": "sift1m-1000000-M128-K1024", "recall": 0.85, "recall_source": "/mnt/d/paper_source/work_9/VeriANN_repro_2026-09-30/VeriANN_repro_2026-09-30/V3DB-26VLDB/work9-cache/sift1m-1000000-M128-K1024/calibration.json", "recall_queries": 20}}</t>
        </is>
      </c>
    </row>
    <row r="16">
      <c r="A16" s="0" t="inlineStr">
        <is>
          <t>SIFT1M</t>
        </is>
      </c>
      <c r="B16" s="0" t="inlineStr">
        <is>
          <t>T38</t>
        </is>
      </c>
      <c r="C16" s="0" t="inlineStr">
        <is>
          <t>预算内未测</t>
        </is>
      </c>
      <c r="D16" s="0" t="n">
        <v>85</v>
      </c>
      <c r="E16" s="0" t="b">
        <v>0</v>
      </c>
      <c r="F16" s="0" t="inlineStr">
        <is>
          <t>{"kind": "curve", "dataset": "sift1m", "sheet": "SIFT1M", "column": 20, "target": 0.85, "choice": {"status": "conditional_forecast", "config": {"dataset": "sift1m", "source": "sift1m", "N": 1000000, "D": 128, "n_list": 1024, "M": 64, "K": 256, "n_iter": 25, "seed": 0, "capacity": 2048, "query_offset": 100, "query_count": 20, "scale": 65536, "rebalance": "author algorithm with identical row-chunk distances"}, "n_probe": 8, "k": 10, "gates": 1027151, "gate_source": "structural estimate", "domain_bits": 20, "guard_domain_bits": 21, "proof_phase_memory_estimate_GiB": 32.35161209106445, "planned_machine_memory_GiB": 132.10225601196288, "fits_512GiB_scenario": true, "query_ms": 546727.9549280506, "verify_ms": 26.55926640830789, "vo_kb": 335.917, "declared_sensitivity": {"query_ms": [273363.9774640253, 1093455.9098561013], "verify_ms": [13.279633204153946, 53.11853281661578], "vo_kb": [285.52945, 386.30454999999995]}, "label": "512GiB条件预测，未在512GiB机器实测", "recall_scope": "existing search calibration only", "model": "sift1m-1000000-M64", "recall": 0.8499999999999999, "recall_source": "/mnt/d/paper_source/work_9/VeriANN_repro_2026-09-30/VeriANN_repro_2026-09-30/V3DB-26VLDB/work9-cache/sift1m-1000000-M64/calibration.json", "recall_queries": 20}, "reason": "existing calibrated configuration fits declared 512GiB planning envelope", "smallest_memory_reaching_target": {"status": "conditional_forecast", "config": {"dataset": "sift1m", "source": "sift1m", "N": 1000000, "D": 128, "n_list": 1024, "M": 128, "K": 1024, "n_iter": 25, "seed": 0, "capacity": 2048, "query_offset": 100, "query_count": 20, "scale": 65536, "rebalance": "author algorithm with identical row-chunk distances"}, "n_probe": 4, "k": 10, "gates": 1108650, "gate_source": "exact observed static count", "domain_bits": 21, "guard_domain_bits": 21, "proof_phase_memory_estimate_GiB": 64.7032241821289, "planned_machine_memory_GiB": 132.10225601196288, "fits_512GiB_scenario": true, "query_ms": 1106506.8513653728, "verify_ms": 26.21434358784885, "vo_kb": 278.592, "declared_sensitivity": {"query_ms": [553253.4256826864, 2213013.7027307455], "verify_ms": [13.107171793924426, 52.4286871756977], "vo_kb": [236.80319999999998, 320.38079999999997]}, "label": "512GiB条件预测，未在512GiB机器实测", "recall_scope": "existing search calibration only", "model": "sift1m-1000000-M128-K1024", "recall": 0.85, "recall_source": "/mnt/d/paper_source/work_9/VeriANN_repro_2026-09-30/VeriANN_repro_2026-09-30/V3DB-26VLDB/work9-cache/sift1m-1000000-M128-K1024/calibration.json", "recall_queries": 20}}</t>
        </is>
      </c>
    </row>
    <row r="17">
      <c r="A17" s="0" t="inlineStr">
        <is>
          <t>SIFT1M</t>
        </is>
      </c>
      <c r="B17" s="0" t="inlineStr">
        <is>
          <t>T39</t>
        </is>
      </c>
      <c r="C17" s="0" t="inlineStr">
        <is>
          <t>预算内未测</t>
        </is>
      </c>
      <c r="D17" s="0" t="n">
        <v>26.5592664083079</v>
      </c>
      <c r="E17" s="0" t="b">
        <v>1</v>
      </c>
      <c r="F17" s="0" t="inlineStr">
        <is>
          <t>{"kind": "curve", "dataset": "sift1m", "sheet": "SIFT1M", "column": 20, "target": 0.85, "choice": {"status": "conditional_forecast", "config": {"dataset": "sift1m", "source": "sift1m", "N": 1000000, "D": 128, "n_list": 1024, "M": 64, "K": 256, "n_iter": 25, "seed": 0, "capacity": 2048, "query_offset": 100, "query_count": 20, "scale": 65536, "rebalance": "author algorithm with identical row-chunk distances"}, "n_probe": 8, "k": 10, "gates": 1027151, "gate_source": "structural estimate", "domain_bits": 20, "guard_domain_bits": 21, "proof_phase_memory_estimate_GiB": 32.35161209106445, "planned_machine_memory_GiB": 132.10225601196288, "fits_512GiB_scenario": true, "query_ms": 546727.9549280506, "verify_ms": 26.55926640830789, "vo_kb": 335.917, "declared_sensitivity": {"query_ms": [273363.9774640253, 1093455.9098561013], "verify_ms": [13.279633204153946, 53.11853281661578], "vo_kb": [285.52945, 386.30454999999995]}, "label": "512GiB条件预测，未在512GiB机器实测", "recall_scope": "existing search calibration only", "model": "sift1m-1000000-M64", "recall": 0.8499999999999999, "recall_source": "/mnt/d/paper_source/work_9/VeriANN_repro_2026-09-30/VeriANN_repro_2026-09-30/V3DB-26VLDB/work9-cache/sift1m-1000000-M64/calibration.json", "recall_queries": 20}, "reason": "existing calibrated configuration fits declared 512GiB planning envelope", "smallest_memory_reaching_target": {"status": "conditional_forecast", "config": {"dataset": "sift1m", "source": "sift1m", "N": 1000000, "D": 128, "n_list": 1024, "M": 128, "K": 1024, "n_iter": 25, "seed": 0, "capacity": 2048, "query_offset": 100, "query_count": 20, "scale": 65536, "rebalance": "author algorithm with identical row-chunk distances"}, "n_probe": 4, "k": 10, "gates": 1108650, "gate_source": "exact observed static count", "domain_bits": 21, "guard_domain_bits": 21, "proof_phase_memory_estimate_GiB": 64.7032241821289, "planned_machine_memory_GiB": 132.10225601196288, "fits_512GiB_scenario": true, "query_ms": 1106506.8513653728, "verify_ms": 26.21434358784885, "vo_kb": 278.592, "declared_sensitivity": {"query_ms": [553253.4256826864, 2213013.7027307455], "verify_ms": [13.107171793924426, 52.4286871756977], "vo_kb": [236.80319999999998, 320.38079999999997]}, "label": "512GiB条件预测，未在512GiB机器实测", "recall_scope": "existing search calibration only", "model": "sift1m-1000000-M128-K1024", "recall": 0.85, "recall_source": "/mnt/d/paper_source/work_9/VeriANN_repro_2026-09-30/VeriANN_repro_2026-09-30/V3DB-26VLDB/work9-cache/sift1m-1000000-M128-K1024/calibration.json", "recall_queries": 20}}</t>
        </is>
      </c>
    </row>
    <row r="18">
      <c r="A18" s="0" t="inlineStr">
        <is>
          <t>SIFT1M</t>
        </is>
      </c>
      <c r="B18" s="0" t="inlineStr">
        <is>
          <t>T50</t>
        </is>
      </c>
      <c r="C18" s="0" t="inlineStr">
        <is>
          <t>预算内未测</t>
        </is>
      </c>
      <c r="D18" s="0" t="n">
        <v>85</v>
      </c>
      <c r="E18" s="0" t="b">
        <v>0</v>
      </c>
      <c r="F18" s="0" t="inlineStr">
        <is>
          <t>{"kind": "curve", "dataset": "sift1m", "sheet": "SIFT1M", "column": 20, "target": 0.85, "choice": {"status": "conditional_forecast", "config": {"dataset": "sift1m", "source": "sift1m", "N": 1000000, "D": 128, "n_list": 1024, "M": 64, "K": 256, "n_iter": 25, "seed": 0, "capacity": 2048, "query_offset": 100, "query_count": 20, "scale": 65536, "rebalance": "author algorithm with identical row-chunk distances"}, "n_probe": 8, "k": 10, "gates": 1027151, "gate_source": "structural estimate", "domain_bits": 20, "guard_domain_bits": 21, "proof_phase_memory_estimate_GiB": 32.35161209106445, "planned_machine_memory_GiB": 132.10225601196288, "fits_512GiB_scenario": true, "query_ms": 546727.9549280506, "verify_ms": 26.55926640830789, "vo_kb": 335.917, "declared_sensitivity": {"query_ms": [273363.9774640253, 1093455.9098561013], "verify_ms": [13.279633204153946, 53.11853281661578], "vo_kb": [285.52945, 386.30454999999995]}, "label": "512GiB条件预测，未在512GiB机器实测", "recall_scope": "existing search calibration only", "model": "sift1m-1000000-M64", "recall": 0.8499999999999999, "recall_source": "/mnt/d/paper_source/work_9/VeriANN_repro_2026-09-30/VeriANN_repro_2026-09-30/V3DB-26VLDB/work9-cache/sift1m-1000000-M64/calibration.json", "recall_queries": 20}, "reason": "existing calibrated configuration fits declared 512GiB planning envelope", "smallest_memory_reaching_target": {"status": "conditional_forecast", "config": {"dataset": "sift1m", "source": "sift1m", "N": 1000000, "D": 128, "n_list": 1024, "M": 128, "K": 1024, "n_iter": 25, "seed": 0, "capacity": 2048, "query_offset": 100, "query_count": 20, "scale": 65536, "rebalance": "author algorithm with identical row-chunk distances"}, "n_probe": 4, "k": 10, "gates": 1108650, "gate_source": "exact observed static count", "domain_bits": 21, "guard_domain_bits": 21, "proof_phase_memory_estimate_GiB": 64.7032241821289, "planned_machine_memory_GiB": 132.10225601196288, "fits_512GiB_scenario": true, "query_ms": 1106506.8513653728, "verify_ms": 26.21434358784885, "vo_kb": 278.592, "declared_sensitivity": {"query_ms": [553253.4256826864, 2213013.7027307455], "verify_ms": [13.107171793924426, 52.4286871756977], "vo_kb": [236.80319999999998, 320.38079999999997]}, "label": "512GiB条件预测，未在512GiB机器实测", "recall_scope": "existing search calibration only", "model": "sift1m-1000000-M128-K1024", "recall": 0.85, "recall_source": "/mnt/d/paper_source/work_9/VeriANN_repro_2026-09-30/VeriANN_repro_2026-09-30/V3DB-26VLDB/work9-cache/sift1m-1000000-M128-K1024/calibration.json", "recall_queries": 20}}</t>
        </is>
      </c>
    </row>
    <row r="19">
      <c r="A19" s="0" t="inlineStr">
        <is>
          <t>SIFT1M</t>
        </is>
      </c>
      <c r="B19" s="0" t="inlineStr">
        <is>
          <t>T51</t>
        </is>
      </c>
      <c r="C19" s="0" t="inlineStr">
        <is>
          <t>预算内未测</t>
        </is>
      </c>
      <c r="D19" s="0" t="n">
        <v>546727.954928051</v>
      </c>
      <c r="E19" s="0" t="b">
        <v>1</v>
      </c>
      <c r="F19" s="0" t="inlineStr">
        <is>
          <t>{"kind": "curve", "dataset": "sift1m", "sheet": "SIFT1M", "column": 20, "target": 0.85, "choice": {"status": "conditional_forecast", "config": {"dataset": "sift1m", "source": "sift1m", "N": 1000000, "D": 128, "n_list": 1024, "M": 64, "K": 256, "n_iter": 25, "seed": 0, "capacity": 2048, "query_offset": 100, "query_count": 20, "scale": 65536, "rebalance": "author algorithm with identical row-chunk distances"}, "n_probe": 8, "k": 10, "gates": 1027151, "gate_source": "structural estimate", "domain_bits": 20, "guard_domain_bits": 21, "proof_phase_memory_estimate_GiB": 32.35161209106445, "planned_machine_memory_GiB": 132.10225601196288, "fits_512GiB_scenario": true, "query_ms": 546727.9549280506, "verify_ms": 26.55926640830789, "vo_kb": 335.917, "declared_sensitivity": {"query_ms": [273363.9774640253, 1093455.9098561013], "verify_ms": [13.279633204153946, 53.11853281661578], "vo_kb": [285.52945, 386.30454999999995]}, "label": "512GiB条件预测，未在512GiB机器实测", "recall_scope": "existing search calibration only", "model": "sift1m-1000000-M64", "recall": 0.8499999999999999, "recall_source": "/mnt/d/paper_source/work_9/VeriANN_repro_2026-09-30/VeriANN_repro_2026-09-30/V3DB-26VLDB/work9-cache/sift1m-1000000-M64/calibration.json", "recall_queries": 20}, "reason": "existing calibrated configuration fits declared 512GiB planning envelope", "smallest_memory_reaching_target": {"status": "conditional_forecast", "config": {"dataset": "sift1m", "source": "sift1m", "N": 1000000, "D": 128, "n_list": 1024, "M": 128, "K": 1024, "n_iter": 25, "seed": 0, "capacity": 2048, "query_offset": 100, "query_count": 20, "scale": 65536, "rebalance": "author algorithm with identical row-chunk distances"}, "n_probe": 4, "k": 10, "gates": 1108650, "gate_source": "exact observed static count", "domain_bits": 21, "guard_domain_bits": 21, "proof_phase_memory_estimate_GiB": 64.7032241821289, "planned_machine_memory_GiB": 132.10225601196288, "fits_512GiB_scenario": true, "query_ms": 1106506.8513653728, "verify_ms": 26.21434358784885, "vo_kb": 278.592, "declared_sensitivity": {"query_ms": [553253.4256826864, 2213013.7027307455], "verify_ms": [13.107171793924426, 52.4286871756977], "vo_kb": [236.80319999999998, 320.38079999999997]}, "label": "512GiB条件预测，未在512GiB机器实测", "recall_scope": "existing search calibration only", "model": "sift1m-1000000-M128-K1024", "recall": 0.85, "recall_source": "/mnt/d/paper_source/work_9/VeriANN_repro_2026-09-30/VeriANN_repro_2026-09-30/V3DB-26VLDB/work9-cache/sift1m-1000000-M128-K1024/calibration.json", "recall_queries": 20}}</t>
        </is>
      </c>
    </row>
    <row r="20">
      <c r="A20" s="0" t="inlineStr">
        <is>
          <t>SIFT1M</t>
        </is>
      </c>
      <c r="B20" s="0" t="inlineStr">
        <is>
          <t>U26</t>
        </is>
      </c>
      <c r="C20" s="0" t="inlineStr">
        <is>
          <t>预算内未测</t>
        </is>
      </c>
      <c r="D20" s="0" t="n">
        <v>92</v>
      </c>
      <c r="E20" s="0" t="b">
        <v>0</v>
      </c>
      <c r="F20" s="0" t="inlineStr">
        <is>
          <t>{"kind": "curve", "dataset": "sift1m", "sheet": "SIFT1M", "column": 21, "target": 0.9, "choice": {"status": "conditional_forecast", "config": {"dataset": "sift1m", "source": "sift1m", "N": 1000000, "D": 128, "n_list": 1024, "M": 128, "K": 512, "n_iter": 25, "seed": 0, "capacity": 2048, "query_offset": 100, "query_count": 20, "scale": 65536, "rebalance": "author algorithm with identical row-chunk distances"}, "n_probe": 8, "k": 10, "gates": 1993393, "gate_source": "structural estimate", "domain_bits": 21, "guard_domain_bits": 22, "proof_phase_memory_estimate_GiB": 64.7032241821289, "planned_machine_memory_GiB": 232.20451202392576, "fits_512GiB_scenario": true, "query_ms": 1148128.705348906, "verify_ms": 27.70851142378635, "vo_kb": 344.128, "declared_sensitivity": {"query_ms": [574064.352674453, 2296257.410697812], "verify_ms": [13.854255711893176, 55.4170228475727], "vo_kb": [292.5088, 395.74719999999996]}, "label": "512GiB条件预测，未在512GiB机器实测", "recall_scope": "existing search calibration only", "model": "sift1m-1000000-M128-K512", "recall": 0.9199999999999999, "recall_source": "/mnt/d/paper_source/work_9/VeriANN_repro_2026-09-30/VeriANN_repro_2026-09-30/V3DB-26VLDB/work9-cache/sift1m-1000000-M128-K512/calibration.json",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8, "k": 10, "gates": 1910640, "gate_source": "structural estimate", "domain_bits": 21, "guard_domain_bits": 22, "proof_phase_memory_estimate_GiB": 64.7032241821289, "planned_machine_memory_GiB": 232.20451202392576, "fits_512GiB_scenario": true, "query_ms": 1148128.705348906, "verify_ms": 27.70851142378635, "vo_kb": 344.128, "declared_sensitivity": {"query_ms": [574064.352674453, 2296257.410697812], "verify_ms": [13.854255711893176, 55.4170228475727], "vo_kb": [292.5088, 395.74719999999996]}, "label": "512GiB条件预测，未在512GiB机器实测", "recall_scope": "existing search calibration only", "model": "sift1m-1000000-M128", "recall": 0.9249999999999998, "recall_source": "/mnt/d/paper_source/work_9/VeriANN_repro_2026-09-30/VeriANN_repro_2026-09-30/V3DB-26VLDB/work9-cache/sift1m-1000000-M128/calibration.json", "recall_queries": 20}}</t>
        </is>
      </c>
    </row>
    <row r="21">
      <c r="A21" s="0" t="inlineStr">
        <is>
          <t>SIFT1M</t>
        </is>
      </c>
      <c r="B21" s="0" t="inlineStr">
        <is>
          <t>U27</t>
        </is>
      </c>
      <c r="C21" s="0" t="inlineStr">
        <is>
          <t>预算内未测</t>
        </is>
      </c>
      <c r="D21" s="0" t="n">
        <v>344.128</v>
      </c>
      <c r="E21" s="0" t="b">
        <v>1</v>
      </c>
      <c r="F21" s="0" t="inlineStr">
        <is>
          <t>{"kind": "curve", "dataset": "sift1m", "sheet": "SIFT1M", "column": 21, "target": 0.9, "choice": {"status": "conditional_forecast", "config": {"dataset": "sift1m", "source": "sift1m", "N": 1000000, "D": 128, "n_list": 1024, "M": 128, "K": 512, "n_iter": 25, "seed": 0, "capacity": 2048, "query_offset": 100, "query_count": 20, "scale": 65536, "rebalance": "author algorithm with identical row-chunk distances"}, "n_probe": 8, "k": 10, "gates": 1993393, "gate_source": "structural estimate", "domain_bits": 21, "guard_domain_bits": 22, "proof_phase_memory_estimate_GiB": 64.7032241821289, "planned_machine_memory_GiB": 232.20451202392576, "fits_512GiB_scenario": true, "query_ms": 1148128.705348906, "verify_ms": 27.70851142378635, "vo_kb": 344.128, "declared_sensitivity": {"query_ms": [574064.352674453, 2296257.410697812], "verify_ms": [13.854255711893176, 55.4170228475727], "vo_kb": [292.5088, 395.74719999999996]}, "label": "512GiB条件预测，未在512GiB机器实测", "recall_scope": "existing search calibration only", "model": "sift1m-1000000-M128-K512", "recall": 0.9199999999999999, "recall_source": "/mnt/d/paper_source/work_9/VeriANN_repro_2026-09-30/VeriANN_repro_2026-09-30/V3DB-26VLDB/work9-cache/sift1m-1000000-M128-K512/calibration.json",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8, "k": 10, "gates": 1910640, "gate_source": "structural estimate", "domain_bits": 21, "guard_domain_bits": 22, "proof_phase_memory_estimate_GiB": 64.7032241821289, "planned_machine_memory_GiB": 232.20451202392576, "fits_512GiB_scenario": true, "query_ms": 1148128.705348906, "verify_ms": 27.70851142378635, "vo_kb": 344.128, "declared_sensitivity": {"query_ms": [574064.352674453, 2296257.410697812], "verify_ms": [13.854255711893176, 55.4170228475727], "vo_kb": [292.5088, 395.74719999999996]}, "label": "512GiB条件预测，未在512GiB机器实测", "recall_scope": "existing search calibration only", "model": "sift1m-1000000-M128", "recall": 0.9249999999999998, "recall_source": "/mnt/d/paper_source/work_9/VeriANN_repro_2026-09-30/VeriANN_repro_2026-09-30/V3DB-26VLDB/work9-cache/sift1m-1000000-M128/calibration.json", "recall_queries": 20}}</t>
        </is>
      </c>
    </row>
    <row r="22">
      <c r="A22" s="0" t="inlineStr">
        <is>
          <t>SIFT1M</t>
        </is>
      </c>
      <c r="B22" s="0" t="inlineStr">
        <is>
          <t>U38</t>
        </is>
      </c>
      <c r="C22" s="0" t="inlineStr">
        <is>
          <t>预算内未测</t>
        </is>
      </c>
      <c r="D22" s="0" t="n">
        <v>92</v>
      </c>
      <c r="E22" s="0" t="b">
        <v>0</v>
      </c>
      <c r="F22" s="0" t="inlineStr">
        <is>
          <t>{"kind": "curve", "dataset": "sift1m", "sheet": "SIFT1M", "column": 21, "target": 0.9, "choice": {"status": "conditional_forecast", "config": {"dataset": "sift1m", "source": "sift1m", "N": 1000000, "D": 128, "n_list": 1024, "M": 128, "K": 512, "n_iter": 25, "seed": 0, "capacity": 2048, "query_offset": 100, "query_count": 20, "scale": 65536, "rebalance": "author algorithm with identical row-chunk distances"}, "n_probe": 8, "k": 10, "gates": 1993393, "gate_source": "structural estimate", "domain_bits": 21, "guard_domain_bits": 22, "proof_phase_memory_estimate_GiB": 64.7032241821289, "planned_machine_memory_GiB": 232.20451202392576, "fits_512GiB_scenario": true, "query_ms": 1148128.705348906, "verify_ms": 27.70851142378635, "vo_kb": 344.128, "declared_sensitivity": {"query_ms": [574064.352674453, 2296257.410697812], "verify_ms": [13.854255711893176, 55.4170228475727], "vo_kb": [292.5088, 395.74719999999996]}, "label": "512GiB条件预测，未在512GiB机器实测", "recall_scope": "existing search calibration only", "model": "sift1m-1000000-M128-K512", "recall": 0.9199999999999999, "recall_source": "/mnt/d/paper_source/work_9/VeriANN_repro_2026-09-30/VeriANN_repro_2026-09-30/V3DB-26VLDB/work9-cache/sift1m-1000000-M128-K512/calibration.json",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8, "k": 10, "gates": 1910640, "gate_source": "structural estimate", "domain_bits": 21, "guard_domain_bits": 22, "proof_phase_memory_estimate_GiB": 64.7032241821289, "planned_machine_memory_GiB": 232.20451202392576, "fits_512GiB_scenario": true, "query_ms": 1148128.705348906, "verify_ms": 27.70851142378635, "vo_kb": 344.128, "declared_sensitivity": {"query_ms": [574064.352674453, 2296257.410697812], "verify_ms": [13.854255711893176, 55.4170228475727], "vo_kb": [292.5088, 395.74719999999996]}, "label": "512GiB条件预测，未在512GiB机器实测", "recall_scope": "existing search calibration only", "model": "sift1m-1000000-M128", "recall": 0.9249999999999998, "recall_source": "/mnt/d/paper_source/work_9/VeriANN_repro_2026-09-30/VeriANN_repro_2026-09-30/V3DB-26VLDB/work9-cache/sift1m-1000000-M128/calibration.json", "recall_queries": 20}}</t>
        </is>
      </c>
    </row>
    <row r="23">
      <c r="A23" s="0" t="inlineStr">
        <is>
          <t>SIFT1M</t>
        </is>
      </c>
      <c r="B23" s="0" t="inlineStr">
        <is>
          <t>U39</t>
        </is>
      </c>
      <c r="C23" s="0" t="inlineStr">
        <is>
          <t>预算内未测</t>
        </is>
      </c>
      <c r="D23" s="0" t="n">
        <v>27.7085114237864</v>
      </c>
      <c r="E23" s="0" t="b">
        <v>1</v>
      </c>
      <c r="F23" s="0" t="inlineStr">
        <is>
          <t>{"kind": "curve", "dataset": "sift1m", "sheet": "SIFT1M", "column": 21, "target": 0.9, "choice": {"status": "conditional_forecast", "config": {"dataset": "sift1m", "source": "sift1m", "N": 1000000, "D": 128, "n_list": 1024, "M": 128, "K": 512, "n_iter": 25, "seed": 0, "capacity": 2048, "query_offset": 100, "query_count": 20, "scale": 65536, "rebalance": "author algorithm with identical row-chunk distances"}, "n_probe": 8, "k": 10, "gates": 1993393, "gate_source": "structural estimate", "domain_bits": 21, "guard_domain_bits": 22, "proof_phase_memory_estimate_GiB": 64.7032241821289, "planned_machine_memory_GiB": 232.20451202392576, "fits_512GiB_scenario": true, "query_ms": 1148128.705348906, "verify_ms": 27.70851142378635, "vo_kb": 344.128, "declared_sensitivity": {"query_ms": [574064.352674453, 2296257.410697812], "verify_ms": [13.854255711893176, 55.4170228475727], "vo_kb": [292.5088, 395.74719999999996]}, "label": "512GiB条件预测，未在512GiB机器实测", "recall_scope": "existing search calibration only", "model": "sift1m-1000000-M128-K512", "recall": 0.9199999999999999, "recall_source": "/mnt/d/paper_source/work_9/VeriANN_repro_2026-09-30/VeriANN_repro_2026-09-30/V3DB-26VLDB/work9-cache/sift1m-1000000-M128-K512/calibration.json",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8, "k": 10, "gates": 1910640, "gate_source": "structural estimate", "domain_bits": 21, "guard_domain_bits": 22, "proof_phase_memory_estimate_GiB": 64.7032241821289, "planned_machine_memory_GiB": 232.20451202392576, "fits_512GiB_scenario": true, "query_ms": 1148128.705348906, "verify_ms": 27.70851142378635, "vo_kb": 344.128, "declared_sensitivity": {"query_ms": [574064.352674453, 2296257.410697812], "verify_ms": [13.854255711893176, 55.4170228475727], "vo_kb": [292.5088, 395.74719999999996]}, "label": "512GiB条件预测，未在512GiB机器实测", "recall_scope": "existing search calibration only", "model": "sift1m-1000000-M128", "recall": 0.9249999999999998, "recall_source": "/mnt/d/paper_source/work_9/VeriANN_repro_2026-09-30/VeriANN_repro_2026-09-30/V3DB-26VLDB/work9-cache/sift1m-1000000-M128/calibration.json", "recall_queries": 20}}</t>
        </is>
      </c>
    </row>
    <row r="24">
      <c r="A24" s="0" t="inlineStr">
        <is>
          <t>SIFT1M</t>
        </is>
      </c>
      <c r="B24" s="0" t="inlineStr">
        <is>
          <t>U50</t>
        </is>
      </c>
      <c r="C24" s="0" t="inlineStr">
        <is>
          <t>预算内未测</t>
        </is>
      </c>
      <c r="D24" s="0" t="n">
        <v>92</v>
      </c>
      <c r="E24" s="0" t="b">
        <v>0</v>
      </c>
      <c r="F24" s="0" t="inlineStr">
        <is>
          <t>{"kind": "curve", "dataset": "sift1m", "sheet": "SIFT1M", "column": 21, "target": 0.9, "choice": {"status": "conditional_forecast", "config": {"dataset": "sift1m", "source": "sift1m", "N": 1000000, "D": 128, "n_list": 1024, "M": 128, "K": 512, "n_iter": 25, "seed": 0, "capacity": 2048, "query_offset": 100, "query_count": 20, "scale": 65536, "rebalance": "author algorithm with identical row-chunk distances"}, "n_probe": 8, "k": 10, "gates": 1993393, "gate_source": "structural estimate", "domain_bits": 21, "guard_domain_bits": 22, "proof_phase_memory_estimate_GiB": 64.7032241821289, "planned_machine_memory_GiB": 232.20451202392576, "fits_512GiB_scenario": true, "query_ms": 1148128.705348906, "verify_ms": 27.70851142378635, "vo_kb": 344.128, "declared_sensitivity": {"query_ms": [574064.352674453, 2296257.410697812], "verify_ms": [13.854255711893176, 55.4170228475727], "vo_kb": [292.5088, 395.74719999999996]}, "label": "512GiB条件预测，未在512GiB机器实测", "recall_scope": "existing search calibration only", "model": "sift1m-1000000-M128-K512", "recall": 0.9199999999999999, "recall_source": "/mnt/d/paper_source/work_9/VeriANN_repro_2026-09-30/VeriANN_repro_2026-09-30/V3DB-26VLDB/work9-cache/sift1m-1000000-M128-K512/calibration.json",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8, "k": 10, "gates": 1910640, "gate_source": "structural estimate", "domain_bits": 21, "guard_domain_bits": 22, "proof_phase_memory_estimate_GiB": 64.7032241821289, "planned_machine_memory_GiB": 232.20451202392576, "fits_512GiB_scenario": true, "query_ms": 1148128.705348906, "verify_ms": 27.70851142378635, "vo_kb": 344.128, "declared_sensitivity": {"query_ms": [574064.352674453, 2296257.410697812], "verify_ms": [13.854255711893176, 55.4170228475727], "vo_kb": [292.5088, 395.74719999999996]}, "label": "512GiB条件预测，未在512GiB机器实测", "recall_scope": "existing search calibration only", "model": "sift1m-1000000-M128", "recall": 0.9249999999999998, "recall_source": "/mnt/d/paper_source/work_9/VeriANN_repro_2026-09-30/VeriANN_repro_2026-09-30/V3DB-26VLDB/work9-cache/sift1m-1000000-M128/calibration.json", "recall_queries": 20}}</t>
        </is>
      </c>
    </row>
    <row r="25">
      <c r="A25" s="0" t="inlineStr">
        <is>
          <t>SIFT1M</t>
        </is>
      </c>
      <c r="B25" s="0" t="inlineStr">
        <is>
          <t>U51</t>
        </is>
      </c>
      <c r="C25" s="0" t="inlineStr">
        <is>
          <t>预算内未测</t>
        </is>
      </c>
      <c r="D25" s="0" t="n">
        <v>1148128.70534891</v>
      </c>
      <c r="E25" s="0" t="b">
        <v>1</v>
      </c>
      <c r="F25" s="0" t="inlineStr">
        <is>
          <t>{"kind": "curve", "dataset": "sift1m", "sheet": "SIFT1M", "column": 21, "target": 0.9, "choice": {"status": "conditional_forecast", "config": {"dataset": "sift1m", "source": "sift1m", "N": 1000000, "D": 128, "n_list": 1024, "M": 128, "K": 512, "n_iter": 25, "seed": 0, "capacity": 2048, "query_offset": 100, "query_count": 20, "scale": 65536, "rebalance": "author algorithm with identical row-chunk distances"}, "n_probe": 8, "k": 10, "gates": 1993393, "gate_source": "structural estimate", "domain_bits": 21, "guard_domain_bits": 22, "proof_phase_memory_estimate_GiB": 64.7032241821289, "planned_machine_memory_GiB": 232.20451202392576, "fits_512GiB_scenario": true, "query_ms": 1148128.705348906, "verify_ms": 27.70851142378635, "vo_kb": 344.128, "declared_sensitivity": {"query_ms": [574064.352674453, 2296257.410697812], "verify_ms": [13.854255711893176, 55.4170228475727], "vo_kb": [292.5088, 395.74719999999996]}, "label": "512GiB条件预测，未在512GiB机器实测", "recall_scope": "existing search calibration only", "model": "sift1m-1000000-M128-K512", "recall": 0.9199999999999999, "recall_source": "/mnt/d/paper_source/work_9/VeriANN_repro_2026-09-30/VeriANN_repro_2026-09-30/V3DB-26VLDB/work9-cache/sift1m-1000000-M128-K512/calibration.json",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8, "k": 10, "gates": 1910640, "gate_source": "structural estimate", "domain_bits": 21, "guard_domain_bits": 22, "proof_phase_memory_estimate_GiB": 64.7032241821289, "planned_machine_memory_GiB": 232.20451202392576, "fits_512GiB_scenario": true, "query_ms": 1148128.705348906, "verify_ms": 27.70851142378635, "vo_kb": 344.128, "declared_sensitivity": {"query_ms": [574064.352674453, 2296257.410697812], "verify_ms": [13.854255711893176, 55.4170228475727], "vo_kb": [292.5088, 395.74719999999996]}, "label": "512GiB条件预测，未在512GiB机器实测", "recall_scope": "existing search calibration only", "model": "sift1m-1000000-M128", "recall": 0.9249999999999998, "recall_source": "/mnt/d/paper_source/work_9/VeriANN_repro_2026-09-30/VeriANN_repro_2026-09-30/V3DB-26VLDB/work9-cache/sift1m-1000000-M128/calibration.json", "recall_queries": 20}}</t>
        </is>
      </c>
    </row>
    <row r="26">
      <c r="A26" s="0" t="inlineStr">
        <is>
          <t>SIFT1M</t>
        </is>
      </c>
      <c r="B26" s="0" t="inlineStr">
        <is>
          <t>V26</t>
        </is>
      </c>
      <c r="C26" s="0" t="inlineStr">
        <is>
          <t>预算内未测</t>
        </is>
      </c>
      <c r="D26" s="0" t="n">
        <v>95</v>
      </c>
      <c r="E26" s="0" t="b">
        <v>0</v>
      </c>
      <c r="F26" s="0" t="inlineStr">
        <is>
          <t>{"kind": "curve", "dataset": "sift1m", "sheet": "SIFT1M", "column": 22, "target": 0.95, "choice": {"status": "conditional_forecast", "config": {"dataset": "sift1m", "source": "sift1m", "N": 1000000, "D": 128, "n_list": 1024, "M": 128, "K": 256, "n_iter": 25, "seed": 0, "capacity": 2048, "query_offset": 100, "query_count": 20, "scale": 65536, "rebalance": "author algorithm with identical row-chunk distances"},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{"query_ms": [1202801.5008417112, 4811206.003366845], "verify_ms": [15.923046055569907, 63.69218422227963], "vo_kb": [410.89934999999997, 555.92265]},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{"query_ms": [1202801.5008417112, 4811206.003366845], "verify_ms": [15.923046055569907, 63.69218422227963], "vo_kb": [410.89934999999997, 555.92265]},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t>
        </is>
      </c>
    </row>
    <row r="27">
      <c r="A27" s="0" t="inlineStr">
        <is>
          <t>SIFT1M</t>
        </is>
      </c>
      <c r="B27" s="0" t="inlineStr">
        <is>
          <t>V27</t>
        </is>
      </c>
      <c r="C27" s="0" t="inlineStr">
        <is>
          <t>预算内未测</t>
        </is>
      </c>
      <c r="D27" s="0" t="n">
        <v>483.411</v>
      </c>
      <c r="E27" s="0" t="b">
        <v>1</v>
      </c>
      <c r="F27" s="0" t="inlineStr">
        <is>
          <t>{"kind": "curve", "dataset": "sift1m", "sheet": "SIFT1M", "column": 22, "target": 0.95, "choice": {"status": "conditional_forecast", "config": {"dataset": "sift1m", "source": "sift1m", "N": 1000000, "D": 128, "n_list": 1024, "M": 128, "K": 256, "n_iter": 25, "seed": 0, "capacity": 2048, "query_offset": 100, "query_count": 20, "scale": 65536, "rebalance": "author algorithm with identical row-chunk distances"},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{"query_ms": [1202801.5008417112, 4811206.003366845], "verify_ms": [15.923046055569907, 63.69218422227963], "vo_kb": [410.89934999999997, 555.92265]},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{"query_ms": [1202801.5008417112, 4811206.003366845], "verify_ms": [15.923046055569907, 63.69218422227963], "vo_kb": [410.89934999999997, 555.92265]},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t>
        </is>
      </c>
    </row>
    <row r="28">
      <c r="A28" s="0" t="inlineStr">
        <is>
          <t>SIFT1M</t>
        </is>
      </c>
      <c r="B28" s="0" t="inlineStr">
        <is>
          <t>V38</t>
        </is>
      </c>
      <c r="C28" s="0" t="inlineStr">
        <is>
          <t>预算内未测</t>
        </is>
      </c>
      <c r="D28" s="0" t="n">
        <v>95</v>
      </c>
      <c r="E28" s="0" t="b">
        <v>0</v>
      </c>
      <c r="F28" s="0" t="inlineStr">
        <is>
          <t>{"kind": "curve", "dataset": "sift1m", "sheet": "SIFT1M", "column": 22, "target": 0.95, "choice": {"status": "conditional_forecast", "config": {"dataset": "sift1m", "source": "sift1m", "N": 1000000, "D": 128, "n_list": 1024, "M": 128, "K": 256, "n_iter": 25, "seed": 0, "capacity": 2048, "query_offset": 100, "query_count": 20, "scale": 65536, "rebalance": "author algorithm with identical row-chunk distances"},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{"query_ms": [1202801.5008417112, 4811206.003366845], "verify_ms": [15.923046055569907, 63.69218422227963], "vo_kb": [410.89934999999997, 555.92265]},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{"query_ms": [1202801.5008417112, 4811206.003366845], "verify_ms": [15.923046055569907, 63.69218422227963], "vo_kb": [410.89934999999997, 555.92265]},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t>
        </is>
      </c>
    </row>
    <row r="29">
      <c r="A29" s="0" t="inlineStr">
        <is>
          <t>SIFT1M</t>
        </is>
      </c>
      <c r="B29" s="0" t="inlineStr">
        <is>
          <t>V39</t>
        </is>
      </c>
      <c r="C29" s="0" t="inlineStr">
        <is>
          <t>预算内未测</t>
        </is>
      </c>
      <c r="D29" s="0" t="n">
        <v>31.8460921111398</v>
      </c>
      <c r="E29" s="0" t="b">
        <v>1</v>
      </c>
      <c r="F29" s="0" t="inlineStr">
        <is>
          <t>{"kind": "curve", "dataset": "sift1m", "sheet": "SIFT1M", "column": 22, "target": 0.95, "choice": {"status": "conditional_forecast", "config": {"dataset": "sift1m", "source": "sift1m", "N": 1000000, "D": 128, "n_list": 1024, "M": 128, "K": 256, "n_iter": 25, "seed": 0, "capacity": 2048, "query_offset": 100, "query_count": 20, "scale": 65536, "rebalance": "author algorithm with identical row-chunk distances"},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{"query_ms": [1202801.5008417112, 4811206.003366845], "verify_ms": [15.923046055569907, 63.69218422227963], "vo_kb": [410.89934999999997, 555.92265]},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{"query_ms": [1202801.5008417112, 4811206.003366845], "verify_ms": [15.923046055569907, 63.69218422227963], "vo_kb": [410.89934999999997, 555.92265]},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t>
        </is>
      </c>
    </row>
    <row r="30">
      <c r="A30" s="0" t="inlineStr">
        <is>
          <t>SIFT1M</t>
        </is>
      </c>
      <c r="B30" s="0" t="inlineStr">
        <is>
          <t>V50</t>
        </is>
      </c>
      <c r="C30" s="0" t="inlineStr">
        <is>
          <t>预算内未测</t>
        </is>
      </c>
      <c r="D30" s="0" t="n">
        <v>95</v>
      </c>
      <c r="E30" s="0" t="b">
        <v>0</v>
      </c>
      <c r="F30" s="0" t="inlineStr">
        <is>
          <t>{"kind": "curve", "dataset": "sift1m", "sheet": "SIFT1M", "column": 22, "target": 0.95, "choice": {"status": "conditional_forecast", "config": {"dataset": "sift1m", "source": "sift1m", "N": 1000000, "D": 128, "n_list": 1024, "M": 128, "K": 256, "n_iter": 25, "seed": 0, "capacity": 2048, "query_offset": 100, "query_count": 20, "scale": 65536, "rebalance": "author algorithm with identical row-chunk distances"},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{"query_ms": [1202801.5008417112, 4811206.003366845], "verify_ms": [15.923046055569907, 63.69218422227963], "vo_kb": [410.89934999999997, 555.92265]},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{"query_ms": [1202801.5008417112, 4811206.003366845], "verify_ms": [15.923046055569907, 63.69218422227963], "vo_kb": [410.89934999999997, 555.92265]},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t>
        </is>
      </c>
    </row>
    <row r="31">
      <c r="A31" s="0" t="inlineStr">
        <is>
          <t>SIFT1M</t>
        </is>
      </c>
      <c r="B31" s="0" t="inlineStr">
        <is>
          <t>V51</t>
        </is>
      </c>
      <c r="C31" s="0" t="inlineStr">
        <is>
          <t>预算内未测</t>
        </is>
      </c>
      <c r="D31" s="0" t="n">
        <v>2405603.00168342</v>
      </c>
      <c r="E31" s="0" t="b">
        <v>1</v>
      </c>
      <c r="F31" s="0" t="inlineStr">
        <is>
          <t>{"kind": "curve", "dataset": "sift1m", "sheet": "SIFT1M", "column": 22, "target": 0.95, "choice": {"status": "conditional_forecast", "config": {"dataset": "sift1m", "source": "sift1m", "N": 1000000, "D": 128, "n_list": 1024, "M": 128, "K": 256, "n_iter": 25, "seed": 0, "capacity": 2048, "query_offset": 100, "query_count": 20, "scale": 65536, "rebalance": "author algorithm with identical row-chunk distances"},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{"query_ms": [1202801.5008417112, 4811206.003366845], "verify_ms": [15.923046055569907, 63.69218422227963], "vo_kb": [410.89934999999997, 555.92265]},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{"query_ms": [1202801.5008417112, 4811206.003366845], "verify_ms": [15.923046055569907, 63.69218422227963], "vo_kb": [410.89934999999997, 555.92265]},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t>
        </is>
      </c>
    </row>
    <row r="32">
      <c r="A32" s="0" t="inlineStr">
        <is>
          <t>SIFT1M</t>
        </is>
      </c>
      <c r="B32" s="0" t="inlineStr">
        <is>
          <t>W26</t>
        </is>
      </c>
      <c r="C32" s="0" t="inlineStr">
        <is>
          <t>预算内未测</t>
        </is>
      </c>
      <c r="D32" s="0" t="n">
        <v>97</v>
      </c>
      <c r="E32" s="0" t="b">
        <v>0</v>
      </c>
      <c r="F32" s="0" t="inlineStr">
        <is>
          <t>{"kind": "curve", "dataset": "sift1m", "sheet": "SIFT1M", "column": 23, "target": 0.97, "choice": {"status": "conditional_forecast", "config": {"dataset": "sift1m", "source": "sift1m", "N": 1000000, "D": 128, "n_list": 1024, "M": 128, "K": 256, "n_iter": 25, "seed": 0, "capacity": 2048, "query_offset": 100, "query_count": 20, "scale": 65536, "rebalance": "author algorithm with identical row-chunk distances"},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{"query_ms": [2514948.5926690325, 10059794.37067613], "verify_ms": [19.486004235184136, 77.94401694073655], "vo_kb": [640.7011, 866.8308999999999]},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{"query_ms": [2514948.5926690325, 10059794.37067613], "verify_ms": [19.486004235184136, 77.94401694073655], "vo_kb": [640.7011, 866.8308999999999]},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t>
        </is>
      </c>
    </row>
    <row r="33">
      <c r="A33" s="0" t="inlineStr">
        <is>
          <t>SIFT1M</t>
        </is>
      </c>
      <c r="B33" s="0" t="inlineStr">
        <is>
          <t>W27</t>
        </is>
      </c>
      <c r="C33" s="0" t="inlineStr">
        <is>
          <t>预算内未测</t>
        </is>
      </c>
      <c r="D33" s="0" t="n">
        <v>753.766</v>
      </c>
      <c r="E33" s="0" t="b">
        <v>1</v>
      </c>
      <c r="F33" s="0" t="inlineStr">
        <is>
          <t>{"kind": "curve", "dataset": "sift1m", "sheet": "SIFT1M", "column": 23, "target": 0.97, "choice": {"status": "conditional_forecast", "config": {"dataset": "sift1m", "source": "sift1m", "N": 1000000, "D": 128, "n_list": 1024, "M": 128, "K": 256, "n_iter": 25, "seed": 0, "capacity": 2048, "query_offset": 100, "query_count": 20, "scale": 65536, "rebalance": "author algorithm with identical row-chunk distances"},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{"query_ms": [2514948.5926690325, 10059794.37067613], "verify_ms": [19.486004235184136, 77.94401694073655], "vo_kb": [640.7011, 866.8308999999999]},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{"query_ms": [2514948.5926690325, 10059794.37067613], "verify_ms": [19.486004235184136, 77.94401694073655], "vo_kb": [640.7011, 866.8308999999999]},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t>
        </is>
      </c>
    </row>
    <row r="34">
      <c r="A34" s="0" t="inlineStr">
        <is>
          <t>SIFT1M</t>
        </is>
      </c>
      <c r="B34" s="0" t="inlineStr">
        <is>
          <t>W38</t>
        </is>
      </c>
      <c r="C34" s="0" t="inlineStr">
        <is>
          <t>预算内未测</t>
        </is>
      </c>
      <c r="D34" s="0" t="n">
        <v>97</v>
      </c>
      <c r="E34" s="0" t="b">
        <v>0</v>
      </c>
      <c r="F34" s="0" t="inlineStr">
        <is>
          <t>{"kind": "curve", "dataset": "sift1m", "sheet": "SIFT1M", "column": 23, "target": 0.97, "choice": {"status": "conditional_forecast", "config": {"dataset": "sift1m", "source": "sift1m", "N": 1000000, "D": 128, "n_list": 1024, "M": 128, "K": 256, "n_iter": 25, "seed": 0, "capacity": 2048, "query_offset": 100, "query_count": 20, "scale": 65536, "rebalance": "author algorithm with identical row-chunk distances"},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{"query_ms": [2514948.5926690325, 10059794.37067613], "verify_ms": [19.486004235184136, 77.94401694073655], "vo_kb": [640.7011, 866.8308999999999]},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{"query_ms": [2514948.5926690325, 10059794.37067613], "verify_ms": [19.486004235184136, 77.94401694073655], "vo_kb": [640.7011, 866.8308999999999]},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t>
        </is>
      </c>
    </row>
    <row r="35">
      <c r="A35" s="0" t="inlineStr">
        <is>
          <t>SIFT1M</t>
        </is>
      </c>
      <c r="B35" s="0" t="inlineStr">
        <is>
          <t>W39</t>
        </is>
      </c>
      <c r="C35" s="0" t="inlineStr">
        <is>
          <t>预算内未测</t>
        </is>
      </c>
      <c r="D35" s="0" t="n">
        <v>38.9720084703683</v>
      </c>
      <c r="E35" s="0" t="b">
        <v>1</v>
      </c>
      <c r="F35" s="0" t="inlineStr">
        <is>
          <t>{"kind": "curve", "dataset": "sift1m", "sheet": "SIFT1M", "column": 23, "target": 0.97, "choice": {"status": "conditional_forecast", "config": {"dataset": "sift1m", "source": "sift1m", "N": 1000000, "D": 128, "n_list": 1024, "M": 128, "K": 256, "n_iter": 25, "seed": 0, "capacity": 2048, "query_offset": 100, "query_count": 20, "scale": 65536, "rebalance": "author algorithm with identical row-chunk distances"},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{"query_ms": [2514948.5926690325, 10059794.37067613], "verify_ms": [19.486004235184136, 77.94401694073655], "vo_kb": [640.7011, 866.8308999999999]},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{"query_ms": [2514948.5926690325, 10059794.37067613], "verify_ms": [19.486004235184136, 77.94401694073655], "vo_kb": [640.7011, 866.8308999999999]},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t>
        </is>
      </c>
    </row>
    <row r="36">
      <c r="A36" s="0" t="inlineStr">
        <is>
          <t>SIFT1M</t>
        </is>
      </c>
      <c r="B36" s="0" t="inlineStr">
        <is>
          <t>W50</t>
        </is>
      </c>
      <c r="C36" s="0" t="inlineStr">
        <is>
          <t>预算内未测</t>
        </is>
      </c>
      <c r="D36" s="0" t="n">
        <v>97</v>
      </c>
      <c r="E36" s="0" t="b">
        <v>0</v>
      </c>
      <c r="F36" s="0" t="inlineStr">
        <is>
          <t>{"kind": "curve", "dataset": "sift1m", "sheet": "SIFT1M", "column": 23, "target": 0.97, "choice": {"status": "conditional_forecast", "config": {"dataset": "sift1m", "source": "sift1m", "N": 1000000, "D": 128, "n_list": 1024, "M": 128, "K": 256, "n_iter": 25, "seed": 0, "capacity": 2048, "query_offset": 100, "query_count": 20, "scale": 65536, "rebalance": "author algorithm with identical row-chunk distances"},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{"query_ms": [2514948.5926690325, 10059794.37067613], "verify_ms": [19.486004235184136, 77.94401694073655], "vo_kb": [640.7011, 866.8308999999999]},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{"query_ms": [2514948.5926690325, 10059794.37067613], "verify_ms": [19.486004235184136, 77.94401694073655], "vo_kb": [640.7011, 866.8308999999999]},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t>
        </is>
      </c>
    </row>
    <row r="37">
      <c r="A37" s="0" t="inlineStr">
        <is>
          <t>SIFT1M</t>
        </is>
      </c>
      <c r="B37" s="0" t="inlineStr">
        <is>
          <t>W51</t>
        </is>
      </c>
      <c r="C37" s="0" t="inlineStr">
        <is>
          <t>预算内未测</t>
        </is>
      </c>
      <c r="D37" s="0" t="n">
        <v>5029897.18533807</v>
      </c>
      <c r="E37" s="0" t="b">
        <v>1</v>
      </c>
      <c r="F37" s="0" t="inlineStr">
        <is>
          <t>{"kind": "curve", "dataset": "sift1m", "sheet": "SIFT1M", "column": 23, "target": 0.97, "choice": {"status": "conditional_forecast", "config": {"dataset": "sift1m", "source": "sift1m", "N": 1000000, "D": 128, "n_list": 1024, "M": 128, "K": 256, "n_iter": 25, "seed": 0, "capacity": 2048, "query_offset": 100, "query_count": 20, "scale": 65536, "rebalance": "author algorithm with identical row-chunk distances"},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{"query_ms": [2514948.5926690325, 10059794.37067613], "verify_ms": [19.486004235184136, 77.94401694073655], "vo_kb": [640.7011, 866.8308999999999]},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{"query_ms": [2514948.5926690325, 10059794.37067613], "verify_ms": [19.486004235184136, 77.94401694073655], "vo_kb": [640.7011, 866.8308999999999]},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t>
        </is>
      </c>
    </row>
    <row r="38">
      <c r="A38" s="0" t="inlineStr">
        <is>
          <t>SIFT1M</t>
        </is>
      </c>
      <c r="B38" s="0" t="inlineStr">
        <is>
          <t>X26</t>
        </is>
      </c>
      <c r="C38" s="0" t="inlineStr">
        <is>
          <t>预算内未测</t>
        </is>
      </c>
      <c r="E38" s="0" t="b">
        <v>0</v>
      </c>
      <c r="F38" s="0" t="inlineStr">
        <is>
          <t>{"kind": "curve", "dataset": "sift1m", "sheet": "SIFT1M", "column": 24, "target": 0.98, "choice": null, "reason": "all calibrated configurations reaching this target exceed the declared 512GiB planning envelope", "smallest_memory_reaching_target": {"status": "outside_512GiB_scenario", "config": {"dataset": "sift1m", "source": "sift1m", "N": 1000000, "D": 128, "n_list": 1024, "M": 128, "K": 256, "n_iter": 25, "seed": 0, "capacity": 2048, "query_offset": 100, "query_count": 20, "scale": 65536, "rebalance": "author algorithm with identical row-chunk distances"}, "n_probe": 64, "k": 10, "gates": 14979411, "gate_source": "structural estimate", "domain_bits": 24, "guard_domain_bits": 24, "proof_phase_memory_estimate_GiB": 517.6257934570312, "planned_machine_memory_GiB": 832.818048095703, "fits_512GiB_scenario": false, "query_ms": 10497176.73461857, "verify_ms": 52.074596173346734, "vo_kb": 1286.265, "declared_sensitivity": {"query_ms": [5248588.367309285, 20994353.46923714], "verify_ms": [26.037298086673367, 104.14919234669347], "vo_kb": [1093.32525, 1479.20475]}, "label": "512GiB条件预测，未在512GiB机器实测", "recall_scope": "existing search calibration only", "model": "sift1m-1000000-M128", "recall": 0.9799999999999999, "recall_source": "/mnt/d/paper_source/work_9/VeriANN_repro_2026-09-30/VeriANN_repro_2026-09-30/V3DB-26VLDB/work9-cache/sift1m-1000000-M128/calibration.json", "recall_queries": 20}}</t>
        </is>
      </c>
    </row>
    <row r="39">
      <c r="A39" s="0" t="inlineStr">
        <is>
          <t>SIFT1M</t>
        </is>
      </c>
      <c r="B39" s="0" t="inlineStr">
        <is>
          <t>X27</t>
        </is>
      </c>
      <c r="C39" s="0" t="inlineStr">
        <is>
          <t>预算内未测</t>
        </is>
      </c>
      <c r="E39" s="0" t="b">
        <v>0</v>
      </c>
      <c r="F39" s="0" t="inlineStr">
        <is>
          <t>{"kind": "curve", "dataset": "sift1m", "sheet": "SIFT1M", "column": 24, "target": 0.98, "choice": null, "reason": "all calibrated configurations reaching this target exceed the declared 512GiB planning envelope", "smallest_memory_reaching_target": {"status": "outside_512GiB_scenario", "config": {"dataset": "sift1m", "source": "sift1m", "N": 1000000, "D": 128, "n_list": 1024, "M": 128, "K": 256, "n_iter": 25, "seed": 0, "capacity": 2048, "query_offset": 100, "query_count": 20, "scale": 65536, "rebalance": "author algorithm with identical row-chunk distances"}, "n_probe": 64, "k": 10, "gates": 14979411, "gate_source": "structural estimate", "domain_bits": 24, "guard_domain_bits": 24, "proof_phase_memory_estimate_GiB": 517.6257934570312, "planned_machine_memory_GiB": 832.818048095703, "fits_512GiB_scenario": false, "query_ms": 10497176.73461857, "verify_ms": 52.074596173346734, "vo_kb": 1286.265, "declared_sensitivity": {"query_ms": [5248588.367309285, 20994353.46923714], "verify_ms": [26.037298086673367, 104.14919234669347], "vo_kb": [1093.32525, 1479.20475]}, "label": "512GiB条件预测，未在512GiB机器实测", "recall_scope": "existing search calibration only", "model": "sift1m-1000000-M128", "recall": 0.9799999999999999, "recall_source": "/mnt/d/paper_source/work_9/VeriANN_repro_2026-09-30/VeriANN_repro_2026-09-30/V3DB-26VLDB/work9-cache/sift1m-1000000-M128/calibration.json", "recall_queries": 20}}</t>
        </is>
      </c>
    </row>
    <row r="40">
      <c r="A40" s="0" t="inlineStr">
        <is>
          <t>SIFT1M</t>
        </is>
      </c>
      <c r="B40" s="0" t="inlineStr">
        <is>
          <t>X38</t>
        </is>
      </c>
      <c r="C40" s="0" t="inlineStr">
        <is>
          <t>预算内未测</t>
        </is>
      </c>
      <c r="E40" s="0" t="b">
        <v>0</v>
      </c>
      <c r="F40" s="0" t="inlineStr">
        <is>
          <t>{"kind": "curve", "dataset": "sift1m", "sheet": "SIFT1M", "column": 24, "target": 0.98, "choice": null, "reason": "all calibrated configurations reaching this target exceed the declared 512GiB planning envelope", "smallest_memory_reaching_target": {"status": "outside_512GiB_scenario", "config": {"dataset": "sift1m", "source": "sift1m", "N": 1000000, "D": 128, "n_list": 1024, "M": 128, "K": 256, "n_iter": 25, "seed": 0, "capacity": 2048, "query_offset": 100, "query_count": 20, "scale": 65536, "rebalance": "author algorithm with identical row-chunk distances"}, "n_probe": 64, "k": 10, "gates": 14979411, "gate_source": "structural estimate", "domain_bits": 24, "guard_domain_bits": 24, "proof_phase_memory_estimate_GiB": 517.6257934570312, "planned_machine_memory_GiB": 832.818048095703, "fits_512GiB_scenario": false, "query_ms": 10497176.73461857, "verify_ms": 52.074596173346734, "vo_kb": 1286.265, "declared_sensitivity": {"query_ms": [5248588.367309285, 20994353.46923714], "verify_ms": [26.037298086673367, 104.14919234669347], "vo_kb": [1093.32525, 1479.20475]}, "label": "512GiB条件预测，未在512GiB机器实测", "recall_scope": "existing search calibration only", "model": "sift1m-1000000-M128", "recall": 0.9799999999999999, "recall_source": "/mnt/d/paper_source/work_9/VeriANN_repro_2026-09-30/VeriANN_repro_2026-09-30/V3DB-26VLDB/work9-cache/sift1m-1000000-M128/calibration.json", "recall_queries": 20}}</t>
        </is>
      </c>
    </row>
    <row r="41">
      <c r="A41" s="0" t="inlineStr">
        <is>
          <t>SIFT1M</t>
        </is>
      </c>
      <c r="B41" s="0" t="inlineStr">
        <is>
          <t>X39</t>
        </is>
      </c>
      <c r="C41" s="0" t="inlineStr">
        <is>
          <t>预算内未测</t>
        </is>
      </c>
      <c r="E41" s="0" t="b">
        <v>0</v>
      </c>
      <c r="F41" s="0" t="inlineStr">
        <is>
          <t>{"kind": "curve", "dataset": "sift1m", "sheet": "SIFT1M", "column": 24, "target": 0.98, "choice": null, "reason": "all calibrated configurations reaching this target exceed the declared 512GiB planning envelope", "smallest_memory_reaching_target": {"status": "outside_512GiB_scenario", "config": {"dataset": "sift1m", "source": "sift1m", "N": 1000000, "D": 128, "n_list": 1024, "M": 128, "K": 256, "n_iter": 25, "seed": 0, "capacity": 2048, "query_offset": 100, "query_count": 20, "scale": 65536, "rebalance": "author algorithm with identical row-chunk distances"}, "n_probe": 64, "k": 10, "gates": 14979411, "gate_source": "structural estimate", "domain_bits": 24, "guard_domain_bits": 24, "proof_phase_memory_estimate_GiB": 517.6257934570312, "planned_machine_memory_GiB": 832.818048095703, "fits_512GiB_scenario": false, "query_ms": 10497176.73461857, "verify_ms": 52.074596173346734, "vo_kb": 1286.265, "declared_sensitivity": {"query_ms": [5248588.367309285, 20994353.46923714], "verify_ms": [26.037298086673367, 104.14919234669347], "vo_kb": [1093.32525, 1479.20475]}, "label": "512GiB条件预测，未在512GiB机器实测", "recall_scope": "existing search calibration only", "model": "sift1m-1000000-M128", "recall": 0.9799999999999999, "recall_source": "/mnt/d/paper_source/work_9/VeriANN_repro_2026-09-30/VeriANN_repro_2026-09-30/V3DB-26VLDB/work9-cache/sift1m-1000000-M128/calibration.json", "recall_queries": 20}}</t>
        </is>
      </c>
    </row>
    <row r="42">
      <c r="A42" s="0" t="inlineStr">
        <is>
          <t>SIFT1M</t>
        </is>
      </c>
      <c r="B42" s="0" t="inlineStr">
        <is>
          <t>X50</t>
        </is>
      </c>
      <c r="C42" s="0" t="inlineStr">
        <is>
          <t>预算内未测</t>
        </is>
      </c>
      <c r="E42" s="0" t="b">
        <v>0</v>
      </c>
      <c r="F42" s="0" t="inlineStr">
        <is>
          <t>{"kind": "curve", "dataset": "sift1m", "sheet": "SIFT1M", "column": 24, "target": 0.98, "choice": null, "reason": "all calibrated configurations reaching this target exceed the declared 512GiB planning envelope", "smallest_memory_reaching_target": {"status": "outside_512GiB_scenario", "config": {"dataset": "sift1m", "source": "sift1m", "N": 1000000, "D": 128, "n_list": 1024, "M": 128, "K": 256, "n_iter": 25, "seed": 0, "capacity": 2048, "query_offset": 100, "query_count": 20, "scale": 65536, "rebalance": "author algorithm with identical row-chunk distances"}, "n_probe": 64, "k": 10, "gates": 14979411, "gate_source": "structural estimate", "domain_bits": 24, "guard_domain_bits": 24, "proof_phase_memory_estimate_GiB": 517.6257934570312, "planned_machine_memory_GiB": 832.818048095703, "fits_512GiB_scenario": false, "query_ms": 10497176.73461857, "verify_ms": 52.074596173346734, "vo_kb": 1286.265, "declared_sensitivity": {"query_ms": [5248588.367309285, 20994353.46923714], "verify_ms": [26.037298086673367, 104.14919234669347], "vo_kb": [1093.32525, 1479.20475]}, "label": "512GiB条件预测，未在512GiB机器实测", "recall_scope": "existing search calibration only", "model": "sift1m-1000000-M128", "recall": 0.9799999999999999, "recall_source": "/mnt/d/paper_source/work_9/VeriANN_repro_2026-09-30/VeriANN_repro_2026-09-30/V3DB-26VLDB/work9-cache/sift1m-1000000-M128/calibration.json", "recall_queries": 20}}</t>
        </is>
      </c>
    </row>
    <row r="43">
      <c r="A43" s="0" t="inlineStr">
        <is>
          <t>SIFT1M</t>
        </is>
      </c>
      <c r="B43" s="0" t="inlineStr">
        <is>
          <t>X51</t>
        </is>
      </c>
      <c r="C43" s="0" t="inlineStr">
        <is>
          <t>预算内未测</t>
        </is>
      </c>
      <c r="E43" s="0" t="b">
        <v>0</v>
      </c>
      <c r="F43" s="0" t="inlineStr">
        <is>
          <t>{"kind": "curve", "dataset": "sift1m", "sheet": "SIFT1M", "column": 24, "target": 0.98, "choice": null, "reason": "all calibrated configurations reaching this target exceed the declared 512GiB planning envelope", "smallest_memory_reaching_target": {"status": "outside_512GiB_scenario", "config": {"dataset": "sift1m", "source": "sift1m", "N": 1000000, "D": 128, "n_list": 1024, "M": 128, "K": 256, "n_iter": 25, "seed": 0, "capacity": 2048, "query_offset": 100, "query_count": 20, "scale": 65536, "rebalance": "author algorithm with identical row-chunk distances"}, "n_probe": 64, "k": 10, "gates": 14979411, "gate_source": "structural estimate", "domain_bits": 24, "guard_domain_bits": 24, "proof_phase_memory_estimate_GiB": 517.6257934570312, "planned_machine_memory_GiB": 832.818048095703, "fits_512GiB_scenario": false, "query_ms": 10497176.73461857, "verify_ms": 52.074596173346734, "vo_kb": 1286.265, "declared_sensitivity": {"query_ms": [5248588.367309285, 20994353.46923714], "verify_ms": [26.037298086673367, 104.14919234669347], "vo_kb": [1093.32525, 1479.20475]}, "label": "512GiB条件预测，未在512GiB机器实测", "recall_scope": "existing search calibration only", "model": "sift1m-1000000-M128", "recall": 0.9799999999999999, "recall_source": "/mnt/d/paper_source/work_9/VeriANN_repro_2026-09-30/VeriANN_repro_2026-09-30/V3DB-26VLDB/work9-cache/sift1m-1000000-M128/calibration.json", "recall_queries": 20}}</t>
        </is>
      </c>
    </row>
    <row r="44">
      <c r="A44" s="0" t="inlineStr">
        <is>
          <t>SIFT1M</t>
        </is>
      </c>
      <c r="B44" s="0" t="inlineStr">
        <is>
          <t>Y26</t>
        </is>
      </c>
      <c r="C44" s="0" t="inlineStr">
        <is>
          <t>预算内未测</t>
        </is>
      </c>
      <c r="E44" s="0" t="b">
        <v>0</v>
      </c>
      <c r="F44" s="0" t="inlineStr">
        <is>
          <t>{"kind": "curve", "dataset": "sift1m", "sheet": "SIFT1M", "column": 25, "target": 0.99, "choice": null, "reason": "all calibrated configurations reaching this target exceed the declared 512GiB planning envelope", "smallest_memory_reaching_target": {"status": "outside_512GiB_scenario", "config": {"dataset": "sift1m", "source": "sift1m", "N": 1000000, "D": 128, "n_list": 1024, "M": 128, "K": 1024, "n_iter": 25, "seed": 0, "capacity": 2048, "query_offset": 100, "query_count": 20, "scale": 65536, "rebalance": "author algorithm with identical row-chunk distances"}, "n_probe": 64, "k": 10, "gates": 16880827, "gate_source": "structural estimate", "domain_bits": 25, "guard_domain_bits": 25, "proof_phase_memory_estimate_GiB": 1035.2515869140625, "planned_machine_memory_GiB": 1633.636096191406, "fits_512GiB_scenario": false, "query_ms": 21082086.776342478, "verify_ms": 53.2238411888252, "vo_kb": 1294.476, "declared_sensitivity": {"query_ms": [10541043.388171239, 42164173.552684955], "verify_ms": [26.6119205944126, 106.4476823776504], "vo_kb": [1100.3046000000002, 1488.6474]}, "label": "512GiB条件预测，未在512GiB机器实测", "recall_scope": "existing search calibration only", "model": "sift1m-1000000-M128-K1024", "recall": 0.9949999999999999, "recall_source": "/mnt/d/paper_source/work_9/VeriANN_repro_2026-09-30/VeriANN_repro_2026-09-30/V3DB-26VLDB/work9-cache/sift1m-1000000-M128-K1024/calibration.json", "recall_queries": 20}}</t>
        </is>
      </c>
    </row>
    <row r="45">
      <c r="A45" s="0" t="inlineStr">
        <is>
          <t>SIFT1M</t>
        </is>
      </c>
      <c r="B45" s="0" t="inlineStr">
        <is>
          <t>Y27</t>
        </is>
      </c>
      <c r="C45" s="0" t="inlineStr">
        <is>
          <t>预算内未测</t>
        </is>
      </c>
      <c r="E45" s="0" t="b">
        <v>0</v>
      </c>
      <c r="F45" s="0" t="inlineStr">
        <is>
          <t>{"kind": "curve", "dataset": "sift1m", "sheet": "SIFT1M", "column": 25, "target": 0.99, "choice": null, "reason": "all calibrated configurations reaching this target exceed the declared 512GiB planning envelope", "smallest_memory_reaching_target": {"status": "outside_512GiB_scenario", "config": {"dataset": "sift1m", "source": "sift1m", "N": 1000000, "D": 128, "n_list": 1024, "M": 128, "K": 1024, "n_iter": 25, "seed": 0, "capacity": 2048, "query_offset": 100, "query_count": 20, "scale": 65536, "rebalance": "author algorithm with identical row-chunk distances"}, "n_probe": 64, "k": 10, "gates": 16880827, "gate_source": "structural estimate", "domain_bits": 25, "guard_domain_bits": 25, "proof_phase_memory_estimate_GiB": 1035.2515869140625, "planned_machine_memory_GiB": 1633.636096191406, "fits_512GiB_scenario": false, "query_ms": 21082086.776342478, "verify_ms": 53.2238411888252, "vo_kb": 1294.476, "declared_sensitivity": {"query_ms": [10541043.388171239, 42164173.552684955], "verify_ms": [26.6119205944126, 106.4476823776504], "vo_kb": [1100.3046000000002, 1488.6474]}, "label": "512GiB条件预测，未在512GiB机器实测", "recall_scope": "existing search calibration only", "model": "sift1m-1000000-M128-K1024", "recall": 0.9949999999999999, "recall_source": "/mnt/d/paper_source/work_9/VeriANN_repro_2026-09-30/VeriANN_repro_2026-09-30/V3DB-26VLDB/work9-cache/sift1m-1000000-M128-K1024/calibration.json", "recall_queries": 20}}</t>
        </is>
      </c>
    </row>
    <row r="46">
      <c r="A46" s="0" t="inlineStr">
        <is>
          <t>SIFT1M</t>
        </is>
      </c>
      <c r="B46" s="0" t="inlineStr">
        <is>
          <t>Y38</t>
        </is>
      </c>
      <c r="C46" s="0" t="inlineStr">
        <is>
          <t>预算内未测</t>
        </is>
      </c>
      <c r="E46" s="0" t="b">
        <v>0</v>
      </c>
      <c r="F46" s="0" t="inlineStr">
        <is>
          <t>{"kind": "curve", "dataset": "sift1m", "sheet": "SIFT1M", "column": 25, "target": 0.99, "choice": null, "reason": "all calibrated configurations reaching this target exceed the declared 512GiB planning envelope", "smallest_memory_reaching_target": {"status": "outside_512GiB_scenario", "config": {"dataset": "sift1m", "source": "sift1m", "N": 1000000, "D": 128, "n_list": 1024, "M": 128, "K": 1024, "n_iter": 25, "seed": 0, "capacity": 2048, "query_offset": 100, "query_count": 20, "scale": 65536, "rebalance": "author algorithm with identical row-chunk distances"}, "n_probe": 64, "k": 10, "gates": 16880827, "gate_source": "structural estimate", "domain_bits": 25, "guard_domain_bits": 25, "proof_phase_memory_estimate_GiB": 1035.2515869140625, "planned_machine_memory_GiB": 1633.636096191406, "fits_512GiB_scenario": false, "query_ms": 21082086.776342478, "verify_ms": 53.2238411888252, "vo_kb": 1294.476, "declared_sensitivity": {"query_ms": [10541043.388171239, 42164173.552684955], "verify_ms": [26.6119205944126, 106.4476823776504], "vo_kb": [1100.3046000000002, 1488.6474]}, "label": "512GiB条件预测，未在512GiB机器实测", "recall_scope": "existing search calibration only", "model": "sift1m-1000000-M128-K1024", "recall": 0.9949999999999999, "recall_source": "/mnt/d/paper_source/work_9/VeriANN_repro_2026-09-30/VeriANN_repro_2026-09-30/V3DB-26VLDB/work9-cache/sift1m-1000000-M128-K1024/calibration.json", "recall_queries": 20}}</t>
        </is>
      </c>
    </row>
    <row r="47">
      <c r="A47" s="0" t="inlineStr">
        <is>
          <t>SIFT1M</t>
        </is>
      </c>
      <c r="B47" s="0" t="inlineStr">
        <is>
          <t>Y39</t>
        </is>
      </c>
      <c r="C47" s="0" t="inlineStr">
        <is>
          <t>预算内未测</t>
        </is>
      </c>
      <c r="E47" s="0" t="b">
        <v>0</v>
      </c>
      <c r="F47" s="0" t="inlineStr">
        <is>
          <t>{"kind": "curve", "dataset": "sift1m", "sheet": "SIFT1M", "column": 25, "target": 0.99, "choice": null, "reason": "all calibrated configurations reaching this target exceed the declared 512GiB planning envelope", "smallest_memory_reaching_target": {"status": "outside_512GiB_scenario", "config": {"dataset": "sift1m", "source": "sift1m", "N": 1000000, "D": 128, "n_list": 1024, "M": 128, "K": 1024, "n_iter": 25, "seed": 0, "capacity": 2048, "query_offset": 100, "query_count": 20, "scale": 65536, "rebalance": "author algorithm with identical row-chunk distances"}, "n_probe": 64, "k": 10, "gates": 16880827, "gate_source": "structural estimate", "domain_bits": 25, "guard_domain_bits": 25, "proof_phase_memory_estimate_GiB": 1035.2515869140625, "planned_machine_memory_GiB": 1633.636096191406, "fits_512GiB_scenario": false, "query_ms": 21082086.776342478, "verify_ms": 53.2238411888252, "vo_kb": 1294.476, "declared_sensitivity": {"query_ms": [10541043.388171239, 42164173.552684955], "verify_ms": [26.6119205944126, 106.4476823776504], "vo_kb": [1100.3046000000002, 1488.6474]}, "label": "512GiB条件预测，未在512GiB机器实测", "recall_scope": "existing search calibration only", "model": "sift1m-1000000-M128-K1024", "recall": 0.9949999999999999, "recall_source": "/mnt/d/paper_source/work_9/VeriANN_repro_2026-09-30/VeriANN_repro_2026-09-30/V3DB-26VLDB/work9-cache/sift1m-1000000-M128-K1024/calibration.json", "recall_queries": 20}}</t>
        </is>
      </c>
    </row>
    <row r="48">
      <c r="A48" s="0" t="inlineStr">
        <is>
          <t>SIFT1M</t>
        </is>
      </c>
      <c r="B48" s="0" t="inlineStr">
        <is>
          <t>Y50</t>
        </is>
      </c>
      <c r="C48" s="0" t="inlineStr">
        <is>
          <t>预算内未测</t>
        </is>
      </c>
      <c r="E48" s="0" t="b">
        <v>0</v>
      </c>
      <c r="F48" s="0" t="inlineStr">
        <is>
          <t>{"kind": "curve", "dataset": "sift1m", "sheet": "SIFT1M", "column": 25, "target": 0.99, "choice": null, "reason": "all calibrated configurations reaching this target exceed the declared 512GiB planning envelope", "smallest_memory_reaching_target": {"status": "outside_512GiB_scenario", "config": {"dataset": "sift1m", "source": "sift1m", "N": 1000000, "D": 128, "n_list": 1024, "M": 128, "K": 1024, "n_iter": 25, "seed": 0, "capacity": 2048, "query_offset": 100, "query_count": 20, "scale": 65536, "rebalance": "author algorithm with identical row-chunk distances"}, "n_probe": 64, "k": 10, "gates": 16880827, "gate_source": "structural estimate", "domain_bits": 25, "guard_domain_bits": 25, "proof_phase_memory_estimate_GiB": 1035.2515869140625, "planned_machine_memory_GiB": 1633.636096191406, "fits_512GiB_scenario": false, "query_ms": 21082086.776342478, "verify_ms": 53.2238411888252, "vo_kb": 1294.476, "declared_sensitivity": {"query_ms": [10541043.388171239, 42164173.552684955], "verify_ms": [26.6119205944126, 106.4476823776504], "vo_kb": [1100.3046000000002, 1488.6474]}, "label": "512GiB条件预测，未在512GiB机器实测", "recall_scope": "existing search calibration only", "model": "sift1m-1000000-M128-K1024", "recall": 0.9949999999999999, "recall_source": "/mnt/d/paper_source/work_9/VeriANN_repro_2026-09-30/VeriANN_repro_2026-09-30/V3DB-26VLDB/work9-cache/sift1m-1000000-M128-K1024/calibration.json", "recall_queries": 20}}</t>
        </is>
      </c>
    </row>
    <row r="49">
      <c r="A49" s="0" t="inlineStr">
        <is>
          <t>SIFT1M</t>
        </is>
      </c>
      <c r="B49" s="0" t="inlineStr">
        <is>
          <t>Y51</t>
        </is>
      </c>
      <c r="C49" s="0" t="inlineStr">
        <is>
          <t>预算内未测</t>
        </is>
      </c>
      <c r="E49" s="0" t="b">
        <v>0</v>
      </c>
      <c r="F49" s="0" t="inlineStr">
        <is>
          <t>{"kind": "curve", "dataset": "sift1m", "sheet": "SIFT1M", "column": 25, "target": 0.99, "choice": null, "reason": "all calibrated configurations reaching this target exceed the declared 512GiB planning envelope", "smallest_memory_reaching_target": {"status": "outside_512GiB_scenario", "config": {"dataset": "sift1m", "source": "sift1m", "N": 1000000, "D": 128, "n_list": 1024, "M": 128, "K": 1024, "n_iter": 25, "seed": 0, "capacity": 2048, "query_offset": 100, "query_count": 20, "scale": 65536, "rebalance": "author algorithm with identical row-chunk distances"}, "n_probe": 64, "k": 10, "gates": 16880827, "gate_source": "structural estimate", "domain_bits": 25, "guard_domain_bits": 25, "proof_phase_memory_estimate_GiB": 1035.2515869140625, "planned_machine_memory_GiB": 1633.636096191406, "fits_512GiB_scenario": false, "query_ms": 21082086.776342478, "verify_ms": 53.2238411888252, "vo_kb": 1294.476, "declared_sensitivity": {"query_ms": [10541043.388171239, 42164173.552684955], "verify_ms": [26.6119205944126, 106.4476823776504], "vo_kb": [1100.3046000000002, 1488.6474]}, "label": "512GiB条件预测，未在512GiB机器实测", "recall_scope": "existing search calibration only", "model": "sift1m-1000000-M128-K1024", "recall": 0.9949999999999999, "recall_source": "/mnt/d/paper_source/work_9/VeriANN_repro_2026-09-30/VeriANN_repro_2026-09-30/V3DB-26VLDB/work9-cache/sift1m-1000000-M128-K1024/calibration.json", "recall_queries": 20}}</t>
        </is>
      </c>
    </row>
    <row r="50">
      <c r="A50" s="0" t="inlineStr">
        <is>
          <t>SIFT1M</t>
        </is>
      </c>
      <c r="B50" s="0" t="inlineStr">
        <is>
          <t>G64</t>
        </is>
      </c>
      <c r="C50" s="0" t="inlineStr">
        <is>
          <t>超证明域预算，未出证</t>
        </is>
      </c>
      <c r="D50" s="0" t="n">
        <v>270.4</v>
      </c>
      <c r="E50" s="0" t="b">
        <v>1</v>
      </c>
      <c r="F50" s="0" t="inlineStr">
        <is>
          <t>{"kind": "size", "dataset": "sift1m", "sheet": "SIFT1M", "column": 7, "N": 500000, "choice": {"status": "conditional_forecast", "config": {"dataset": "sift1m", "source": "bigann10m", "N": 500000, "D": 128, "n_list": 1024, "M": 128, "K": 1024, "n_iter": 25, "seed": 0, "capacity": 1024, "query_offset": 100, "query_count": 20, "scale": 65536, "rebalance": "author algorithm with identical row-chunk distances"}, "n_probe": 8, "k": 10, "gates": 1266110, "gate_source": "exact observed static count", "domain_bits": 21, "guard_domain_bits": 21, "proof_phase_memory_estimate_GiB": 64.7032241821289, "planned_machine_memory_GiB": 132.10225601196288, "fits_512GiB_scenario": true, "query_ms": 1106506.8513653728, "verify_ms": 26.027572608356664, "vo_kb": 270.4, "declared_sensitivity": {"query_ms": [553253.4256826864, 2213013.7027307455], "verify_ms": [13.013786304178332, 52.05514521671333], "vo_kb": [229.83999999999997, 310.9599999999999]}, "label": "512GiB条件预测，未在512GiB机器实测", "recall_scope": "existing search calibration only", "model": "bigann10m-500000-M128-K1024", "recall": 0.78, "recall_source": "/mnt/d/paper_source/work_9/VeriANN_repro_2026-09-30/VeriANN_repro_2026-09-30/V3DB-26VLDB/work9-cache/bigann10m-500000-M128-K1024/calibration.json", "recall_queries": 20}, "reason": "existing prefix-index calibration reaches the existing default target", "resource_assessment": {"status": "conditional_forecast", "config": {"dataset": "sift1m", "source": "bigann10m", "N": 500000, "D": 128, "n_list": 1024, "M": 128, "K": 1024, "n_iter": 25, "seed": 0, "capacity": 1024, "query_offset": 100, "query_count": 20, "scale": 65536, "rebalance": "author algorithm with identical row-chunk distances"}, "n_probe": 8, "k": 10, "gates": 1266110, "gate_source": "exact observed static count", "domain_bits": 21, "guard_domain_bits": 21, "proof_phase_memory_estimate_GiB": 64.7032241821289, "planned_machine_memory_GiB": 132.10225601196288, "fits_512GiB_scenario": true, "query_ms": 1106506.8513653728, "verify_ms": 26.027572608356664, "vo_kb": 270.4, "declared_sensitivity": {"query_ms": [553253.4256826864, 2213013.7027307455], "verify_ms": [13.013786304178332, 52.05514521671333], "vo_kb": [229.83999999999997, 310.9599999999999]}, "label": "512GiB条件预测，未在512GiB机器实测", "recall_scope": "existing search calibration only", "model": "bigann10m-500000-M128-K1024", "recall": 0.78, "recall_source": "/mnt/d/paper_source/work_9/VeriANN_repro_2026-09-30/VeriANN_repro_2026-09-30/V3DB-26VLDB/work9-cache/bigann10m-500000-M128-K1024/calibration.json", "recall_queries": 20}}</t>
        </is>
      </c>
    </row>
    <row r="51">
      <c r="A51" s="0" t="inlineStr">
        <is>
          <t>SIFT1M</t>
        </is>
      </c>
      <c r="B51" s="0" t="inlineStr">
        <is>
          <t>G75</t>
        </is>
      </c>
      <c r="C51" s="0" t="inlineStr">
        <is>
          <t>超证明域预算，未出证</t>
        </is>
      </c>
      <c r="D51" s="0" t="n">
        <v>26.0275726083567</v>
      </c>
      <c r="E51" s="0" t="b">
        <v>1</v>
      </c>
      <c r="F51" s="0" t="inlineStr">
        <is>
          <t>{"kind": "size", "dataset": "sift1m", "sheet": "SIFT1M", "column": 7, "N": 500000, "choice": {"status": "conditional_forecast", "config": {"dataset": "sift1m", "source": "bigann10m", "N": 500000, "D": 128, "n_list": 1024, "M": 128, "K": 1024, "n_iter": 25, "seed": 0, "capacity": 1024, "query_offset": 100, "query_count": 20, "scale": 65536, "rebalance": "author algorithm with identical row-chunk distances"}, "n_probe": 8, "k": 10, "gates": 1266110, "gate_source": "exact observed static count", "domain_bits": 21, "guard_domain_bits": 21, "proof_phase_memory_estimate_GiB": 64.7032241821289, "planned_machine_memory_GiB": 132.10225601196288, "fits_512GiB_scenario": true, "query_ms": 1106506.8513653728, "verify_ms": 26.027572608356664, "vo_kb": 270.4, "declared_sensitivity": {"query_ms": [553253.4256826864, 2213013.7027307455], "verify_ms": [13.013786304178332, 52.05514521671333], "vo_kb": [229.83999999999997, 310.9599999999999]}, "label": "512GiB条件预测，未在512GiB机器实测", "recall_scope": "existing search calibration only", "model": "bigann10m-500000-M128-K1024", "recall": 0.78, "recall_source": "/mnt/d/paper_source/work_9/VeriANN_repro_2026-09-30/VeriANN_repro_2026-09-30/V3DB-26VLDB/work9-cache/bigann10m-500000-M128-K1024/calibration.json", "recall_queries": 20}, "reason": "existing prefix-index calibration reaches the existing default target", "resource_assessment": {"status": "conditional_forecast", "config": {"dataset": "sift1m", "source": "bigann10m", "N": 500000, "D": 128, "n_list": 1024, "M": 128, "K": 1024, "n_iter": 25, "seed": 0, "capacity": 1024, "query_offset": 100, "query_count": 20, "scale": 65536, "rebalance": "author algorithm with identical row-chunk distances"}, "n_probe": 8, "k": 10, "gates": 1266110, "gate_source": "exact observed static count", "domain_bits": 21, "guard_domain_bits": 21, "proof_phase_memory_estimate_GiB": 64.7032241821289, "planned_machine_memory_GiB": 132.10225601196288, "fits_512GiB_scenario": true, "query_ms": 1106506.8513653728, "verify_ms": 26.027572608356664, "vo_kb": 270.4, "declared_sensitivity": {"query_ms": [553253.4256826864, 2213013.7027307455], "verify_ms": [13.013786304178332, 52.05514521671333], "vo_kb": [229.83999999999997, 310.9599999999999]}, "label": "512GiB条件预测，未在512GiB机器实测", "recall_scope": "existing search calibration only", "model": "bigann10m-500000-M128-K1024", "recall": 0.78, "recall_source": "/mnt/d/paper_source/work_9/VeriANN_repro_2026-09-30/VeriANN_repro_2026-09-30/V3DB-26VLDB/work9-cache/bigann10m-500000-M128-K1024/calibration.json", "recall_queries": 20}}</t>
        </is>
      </c>
    </row>
    <row r="52">
      <c r="A52" s="0" t="inlineStr">
        <is>
          <t>SIFT1M</t>
        </is>
      </c>
      <c r="B52" s="0" t="inlineStr">
        <is>
          <t>G85</t>
        </is>
      </c>
      <c r="C52" s="0" t="inlineStr">
        <is>
          <t>超证明域预算，未出证</t>
        </is>
      </c>
      <c r="D52" s="0" t="n">
        <v>1106506.85136537</v>
      </c>
      <c r="E52" s="0" t="b">
        <v>1</v>
      </c>
      <c r="F52" s="0" t="inlineStr">
        <is>
          <t>{"kind": "size", "dataset": "sift1m", "sheet": "SIFT1M", "column": 7, "N": 500000, "choice": {"status": "conditional_forecast", "config": {"dataset": "sift1m", "source": "bigann10m", "N": 500000, "D": 128, "n_list": 1024, "M": 128, "K": 1024, "n_iter": 25, "seed": 0, "capacity": 1024, "query_offset": 100, "query_count": 20, "scale": 65536, "rebalance": "author algorithm with identical row-chunk distances"}, "n_probe": 8, "k": 10, "gates": 1266110, "gate_source": "exact observed static count", "domain_bits": 21, "guard_domain_bits": 21, "proof_phase_memory_estimate_GiB": 64.7032241821289, "planned_machine_memory_GiB": 132.10225601196288, "fits_512GiB_scenario": true, "query_ms": 1106506.8513653728, "verify_ms": 26.027572608356664, "vo_kb": 270.4, "declared_sensitivity": {"query_ms": [553253.4256826864, 2213013.7027307455], "verify_ms": [13.013786304178332, 52.05514521671333], "vo_kb": [229.83999999999997, 310.9599999999999]}, "label": "512GiB条件预测，未在512GiB机器实测", "recall_scope": "existing search calibration only", "model": "bigann10m-500000-M128-K1024", "recall": 0.78, "recall_source": "/mnt/d/paper_source/work_9/VeriANN_repro_2026-09-30/VeriANN_repro_2026-09-30/V3DB-26VLDB/work9-cache/bigann10m-500000-M128-K1024/calibration.json", "recall_queries": 20}, "reason": "existing prefix-index calibration reaches the existing default target", "resource_assessment": {"status": "conditional_forecast", "config": {"dataset": "sift1m", "source": "bigann10m", "N": 500000, "D": 128, "n_list": 1024, "M": 128, "K": 1024, "n_iter": 25, "seed": 0, "capacity": 1024, "query_offset": 100, "query_count": 20, "scale": 65536, "rebalance": "author algorithm with identical row-chunk distances"}, "n_probe": 8, "k": 10, "gates": 1266110, "gate_source": "exact observed static count", "domain_bits": 21, "guard_domain_bits": 21, "proof_phase_memory_estimate_GiB": 64.7032241821289, "planned_machine_memory_GiB": 132.10225601196288, "fits_512GiB_scenario": true, "query_ms": 1106506.8513653728, "verify_ms": 26.027572608356664, "vo_kb": 270.4, "declared_sensitivity": {"query_ms": [553253.4256826864, 2213013.7027307455], "verify_ms": [13.013786304178332, 52.05514521671333], "vo_kb": [229.83999999999997, 310.9599999999999]}, "label": "512GiB条件预测，未在512GiB机器实测", "recall_scope": "existing search calibration only", "model": "bigann10m-500000-M128-K1024", "recall": 0.78, "recall_source": "/mnt/d/paper_source/work_9/VeriANN_repro_2026-09-30/VeriANN_repro_2026-09-30/V3DB-26VLDB/work9-cache/bigann10m-500000-M128-K1024/calibration.json", "recall_queries": 20}}</t>
        </is>
      </c>
    </row>
    <row r="53">
      <c r="A53" s="0" t="inlineStr">
        <is>
          <t>SIFT1M</t>
        </is>
      </c>
      <c r="B53" s="0" t="inlineStr">
        <is>
          <t>H64</t>
        </is>
      </c>
      <c r="C53" s="0" t="inlineStr">
        <is>
          <t>超构建预算，未出证</t>
        </is>
      </c>
      <c r="D53" s="0" t="n">
        <v>352.339</v>
      </c>
      <c r="E53" s="0" t="b">
        <v>1</v>
      </c>
      <c r="F53" s="0" t="inlineStr">
        <is>
          <t>{"kind": "size", "dataset": "sift1m", "sheet": "SIFT1M", "column": 8, "N": 1000000, "choice": {"status": "conditional_forecast", "config": {"dataset": "sift1m", "source": "bigann10m", "N": 1000000, "D": 128, "n_list": 1024, "M": 128, "K": 1024, "n_iter": 25, "seed": 0, "capacity": 2048, "query_offset": 100, "query_count": 20, "scale": 65536, "rebalance": "author algorithm with identical row-chunk distances"}, "n_probe": 8, "k": 10, "gates": 2158901, "gate_source": "structural estimate", "domain_bits": 22, "guard_domain_bits": 22, "proof_phase_memory_estimate_GiB": 129.4064483642578, "planned_machine_memory_GiB": 232.20451202392576, "fits_512GiB_scenario": true, "query_ms": 2318575.488808762, "verify_ms": 28.857756439264815, "vo_kb": 352.339, "declared_sensitivity": {"query_ms": [1159287.744404381, 4637150.977617524], "verify_ms": [14.428878219632407, 57.71551287852963], "vo_kb": [299.48815, 405.18985]}, "label": "512GiB条件预测，未在512GiB机器实测", "recall_scope": "existing search calibration only", "model": "bigann10m-1000000-M128-K1024", "recall": 0.79, "recall_source": "/mnt/d/paper_source/work_9/VeriANN_repro_2026-09-30/VeriANN_repro_2026-09-30/V3DB-26VLDB/work9-cache/bigann10m-1000000-M128-K1024/calibration.json", "recall_queries": 20}, "reason": "existing prefix-index calibration reaches the existing default target", "resource_assessment": {"status": "conditional_forecast", "config": {"dataset": "sift1m", "source": "bigann10m", "N": 1000000, "D": 128, "n_list": 1024, "M": 128, "K": 1024, "n_iter": 25, "seed": 0, "capacity": 2048, "query_offset": 100, "query_count": 20, "scale": 65536, "rebalance": "author algorithm with identical row-chunk distances"}, "n_probe": 8, "k": 10, "gates": 2158901, "gate_source": "structural estimate", "domain_bits": 22, "guard_domain_bits": 22, "proof_phase_memory_estimate_GiB": 129.4064483642578, "planned_machine_memory_GiB": 232.20451202392576, "fits_512GiB_scenario": true, "query_ms": 2318575.488808762, "verify_ms": 28.857756439264815, "vo_kb": 352.339, "declared_sensitivity": {"query_ms": [1159287.744404381, 4637150.977617524], "verify_ms": [14.428878219632407, 57.71551287852963], "vo_kb": [299.48815, 405.18985]}, "label": "512GiB条件预测，未在512GiB机器实测", "recall_scope": "existing search calibration only", "model": "bigann10m-1000000-M128-K1024", "recall": 0.79, "recall_source": "/mnt/d/paper_source/work_9/VeriANN_repro_2026-09-30/VeriANN_repro_2026-09-30/V3DB-26VLDB/work9-cache/bigann10m-1000000-M128-K1024/calibration.json", "recall_queries": 20}}</t>
        </is>
      </c>
    </row>
    <row r="54">
      <c r="A54" s="0" t="inlineStr">
        <is>
          <t>SIFT1M</t>
        </is>
      </c>
      <c r="B54" s="0" t="inlineStr">
        <is>
          <t>H75</t>
        </is>
      </c>
      <c r="C54" s="0" t="inlineStr">
        <is>
          <t>超构建预算，未出证</t>
        </is>
      </c>
      <c r="D54" s="0" t="n">
        <v>28.8577564392648</v>
      </c>
      <c r="E54" s="0" t="b">
        <v>1</v>
      </c>
      <c r="F54" s="0" t="inlineStr">
        <is>
          <t>{"kind": "size", "dataset": "sift1m", "sheet": "SIFT1M", "column": 8, "N": 1000000, "choice": {"status": "conditional_forecast", "config": {"dataset": "sift1m", "source": "bigann10m", "N": 1000000, "D": 128, "n_list": 1024, "M": 128, "K": 1024, "n_iter": 25, "seed": 0, "capacity": 2048, "query_offset": 100, "query_count": 20, "scale": 65536, "rebalance": "author algorithm with identical row-chunk distances"}, "n_probe": 8, "k": 10, "gates": 2158901, "gate_source": "structural estimate", "domain_bits": 22, "guard_domain_bits": 22, "proof_phase_memory_estimate_GiB": 129.4064483642578, "planned_machine_memory_GiB": 232.20451202392576, "fits_512GiB_scenario": true, "query_ms": 2318575.488808762, "verify_ms": 28.857756439264815, "vo_kb": 352.339, "declared_sensitivity": {"query_ms": [1159287.744404381, 4637150.977617524], "verify_ms": [14.428878219632407, 57.71551287852963], "vo_kb": [299.48815, 405.18985]}, "label": "512GiB条件预测，未在512GiB机器实测", "recall_scope": "existing search calibration only", "model": "bigann10m-1000000-M128-K1024", "recall": 0.79, "recall_source": "/mnt/d/paper_source/work_9/VeriANN_repro_2026-09-30/VeriANN_repro_2026-09-30/V3DB-26VLDB/work9-cache/bigann10m-1000000-M128-K1024/calibration.json", "recall_queries": 20}, "reason": "existing prefix-index calibration reaches the existing default target", "resource_assessment": {"status": "conditional_forecast", "config": {"dataset": "sift1m", "source": "bigann10m", "N": 1000000, "D": 128, "n_list": 1024, "M": 128, "K": 1024, "n_iter": 25, "seed": 0, "capacity": 2048, "query_offset": 100, "query_count": 20, "scale": 65536, "rebalance": "author algorithm with identical row-chunk distances"}, "n_probe": 8, "k": 10, "gates": 2158901, "gate_source": "structural estimate", "domain_bits": 22, "guard_domain_bits": 22, "proof_phase_memory_estimate_GiB": 129.4064483642578, "planned_machine_memory_GiB": 232.20451202392576, "fits_512GiB_scenario": true, "query_ms": 2318575.488808762, "verify_ms": 28.857756439264815, "vo_kb": 352.339, "declared_sensitivity": {"query_ms": [1159287.744404381, 4637150.977617524], "verify_ms": [14.428878219632407, 57.71551287852963], "vo_kb": [299.48815, 405.18985]}, "label": "512GiB条件预测，未在512GiB机器实测", "recall_scope": "existing search calibration only", "model": "bigann10m-1000000-M128-K1024", "recall": 0.79, "recall_source": "/mnt/d/paper_source/work_9/VeriANN_repro_2026-09-30/VeriANN_repro_2026-09-30/V3DB-26VLDB/work9-cache/bigann10m-1000000-M128-K1024/calibration.json", "recall_queries": 20}}</t>
        </is>
      </c>
    </row>
    <row r="55">
      <c r="A55" s="0" t="inlineStr">
        <is>
          <t>SIFT1M</t>
        </is>
      </c>
      <c r="B55" s="0" t="inlineStr">
        <is>
          <t>H85</t>
        </is>
      </c>
      <c r="C55" s="0" t="inlineStr">
        <is>
          <t>超构建预算，未出证</t>
        </is>
      </c>
      <c r="D55" s="0" t="n">
        <v>2318575.48880876</v>
      </c>
      <c r="E55" s="0" t="b">
        <v>1</v>
      </c>
      <c r="F55" s="0" t="inlineStr">
        <is>
          <t>{"kind": "size", "dataset": "sift1m", "sheet": "SIFT1M", "column": 8, "N": 1000000, "choice": {"status": "conditional_forecast", "config": {"dataset": "sift1m", "source": "bigann10m", "N": 1000000, "D": 128, "n_list": 1024, "M": 128, "K": 1024, "n_iter": 25, "seed": 0, "capacity": 2048, "query_offset": 100, "query_count": 20, "scale": 65536, "rebalance": "author algorithm with identical row-chunk distances"}, "n_probe": 8, "k": 10, "gates": 2158901, "gate_source": "structural estimate", "domain_bits": 22, "guard_domain_bits": 22, "proof_phase_memory_estimate_GiB": 129.4064483642578, "planned_machine_memory_GiB": 232.20451202392576, "fits_512GiB_scenario": true, "query_ms": 2318575.488808762, "verify_ms": 28.857756439264815, "vo_kb": 352.339, "declared_sensitivity": {"query_ms": [1159287.744404381, 4637150.977617524], "verify_ms": [14.428878219632407, 57.71551287852963], "vo_kb": [299.48815, 405.18985]}, "label": "512GiB条件预测，未在512GiB机器实测", "recall_scope": "existing search calibration only", "model": "bigann10m-1000000-M128-K1024", "recall": 0.79, "recall_source": "/mnt/d/paper_source/work_9/VeriANN_repro_2026-09-30/VeriANN_repro_2026-09-30/V3DB-26VLDB/work9-cache/bigann10m-1000000-M128-K1024/calibration.json", "recall_queries": 20}, "reason": "existing prefix-index calibration reaches the existing default target", "resource_assessment": {"status": "conditional_forecast", "config": {"dataset": "sift1m", "source": "bigann10m", "N": 1000000, "D": 128, "n_list": 1024, "M": 128, "K": 1024, "n_iter": 25, "seed": 0, "capacity": 2048, "query_offset": 100, "query_count": 20, "scale": 65536, "rebalance": "author algorithm with identical row-chunk distances"}, "n_probe": 8, "k": 10, "gates": 2158901, "gate_source": "structural estimate", "domain_bits": 22, "guard_domain_bits": 22, "proof_phase_memory_estimate_GiB": 129.4064483642578, "planned_machine_memory_GiB": 232.20451202392576, "fits_512GiB_scenario": true, "query_ms": 2318575.488808762, "verify_ms": 28.857756439264815, "vo_kb": 352.339, "declared_sensitivity": {"query_ms": [1159287.744404381, 4637150.977617524], "verify_ms": [14.428878219632407, 57.71551287852963], "vo_kb": [299.48815, 405.18985]}, "label": "512GiB条件预测，未在512GiB机器实测", "recall_scope": "existing search calibration only", "model": "bigann10m-1000000-M128-K1024", "recall": 0.79, "recall_source": "/mnt/d/paper_source/work_9/VeriANN_repro_2026-09-30/VeriANN_repro_2026-09-30/V3DB-26VLDB/work9-cache/bigann10m-1000000-M128-K1024/calibration.json", "recall_queries": 20}}</t>
        </is>
      </c>
    </row>
    <row r="56">
      <c r="A56" s="0" t="inlineStr">
        <is>
          <t>SIFT1M</t>
        </is>
      </c>
      <c r="B56" s="0" t="inlineStr">
        <is>
          <t>I64</t>
        </is>
      </c>
      <c r="C56" s="0" t="inlineStr">
        <is>
          <t>超构建预算，未出证</t>
        </is>
      </c>
      <c r="E56" s="0" t="b">
        <v>0</v>
      </c>
      <c r="F56" s="0" t="inlineStr">
        <is>
          <t>{"kind": "size", "dataset": "sift1m", "sheet": "SIFT1M", "column": 9, "N": 5000000, "choice": null, "reason": "no index/recall calibration; matched-recall performance is unsupported", "fixed_budget_hypothesis": {"status": "outside_512GiB_scenario", "config": {"dataset": "sift1m", "source": "bigann10m", "N": 5000000, "D": 128, "M": 128, "K": 1024, "n_list": 1024, "capacity": 16384}, "n_probe": 8, "k": 10, "gates": 14674282, "gate_source": "structural estimate", "domain_bits": 24, "guard_domain_bits": 24, "proof_phase_memory_estimate_GiB": 517.6257934570312, "planned_machine_memory_GiB": 832.818048095703, "fits_512GiB_scenario": false, "query_ms": 10497176.73461857, "verify_ms": 54.689389886237365, "vo_kb": 1400.953, "declared_sensitivity": {"query_ms": [5248588.367309285, 20994353.46923714], "verify_ms": [27.344694943118682, 109.37877977247473], "vo_kb": [1190.81005, 1611.09595]}, "label": "512GiB条件预测，未在512GiB机器实测", "recall_scope": "existing search calibration only", "parameter_assumption": true, "recall": null, "reason": "fixed query budget hypothesis only; no trained/calibrated index for this prefix. Not an equal/default-recall result."}}</t>
        </is>
      </c>
    </row>
    <row r="57">
      <c r="A57" s="0" t="inlineStr">
        <is>
          <t>SIFT1M</t>
        </is>
      </c>
      <c r="B57" s="0" t="inlineStr">
        <is>
          <t>I75</t>
        </is>
      </c>
      <c r="C57" s="0" t="inlineStr">
        <is>
          <t>超构建预算，未出证</t>
        </is>
      </c>
      <c r="E57" s="0" t="b">
        <v>0</v>
      </c>
      <c r="F57" s="0" t="inlineStr">
        <is>
          <t>{"kind": "size", "dataset": "sift1m", "sheet": "SIFT1M", "column": 9, "N": 5000000, "choice": null, "reason": "no index/recall calibration; matched-recall performance is unsupported", "fixed_budget_hypothesis": {"status": "outside_512GiB_scenario", "config": {"dataset": "sift1m", "source": "bigann10m", "N": 5000000, "D": 128, "M": 128, "K": 1024, "n_list": 1024, "capacity": 16384}, "n_probe": 8, "k": 10, "gates": 14674282, "gate_source": "structural estimate", "domain_bits": 24, "guard_domain_bits": 24, "proof_phase_memory_estimate_GiB": 517.6257934570312, "planned_machine_memory_GiB": 832.818048095703, "fits_512GiB_scenario": false, "query_ms": 10497176.73461857, "verify_ms": 54.689389886237365, "vo_kb": 1400.953, "declared_sensitivity": {"query_ms": [5248588.367309285, 20994353.46923714], "verify_ms": [27.344694943118682, 109.37877977247473], "vo_kb": [1190.81005, 1611.09595]}, "label": "512GiB条件预测，未在512GiB机器实测", "recall_scope": "existing search calibration only", "parameter_assumption": true, "recall": null, "reason": "fixed query budget hypothesis only; no trained/calibrated index for this prefix. Not an equal/default-recall result."}}</t>
        </is>
      </c>
    </row>
    <row r="58">
      <c r="A58" s="0" t="inlineStr">
        <is>
          <t>SIFT1M</t>
        </is>
      </c>
      <c r="B58" s="0" t="inlineStr">
        <is>
          <t>I85</t>
        </is>
      </c>
      <c r="C58" s="0" t="inlineStr">
        <is>
          <t>超构建预算，未出证</t>
        </is>
      </c>
      <c r="E58" s="0" t="b">
        <v>0</v>
      </c>
      <c r="F58" s="0" t="inlineStr">
        <is>
          <t>{"kind": "size", "dataset": "sift1m", "sheet": "SIFT1M", "column": 9, "N": 5000000, "choice": null, "reason": "no index/recall calibration; matched-recall performance is unsupported", "fixed_budget_hypothesis": {"status": "outside_512GiB_scenario", "config": {"dataset": "sift1m", "source": "bigann10m", "N": 5000000, "D": 128, "M": 128, "K": 1024, "n_list": 1024, "capacity": 16384}, "n_probe": 8, "k": 10, "gates": 14674282, "gate_source": "structural estimate", "domain_bits": 24, "guard_domain_bits": 24, "proof_phase_memory_estimate_GiB": 517.6257934570312, "planned_machine_memory_GiB": 832.818048095703, "fits_512GiB_scenario": false, "query_ms": 10497176.73461857, "verify_ms": 54.689389886237365, "vo_kb": 1400.953, "declared_sensitivity": {"query_ms": [5248588.367309285, 20994353.46923714], "verify_ms": [27.344694943118682, 109.37877977247473], "vo_kb": [1190.81005, 1611.09595]}, "label": "512GiB条件预测，未在512GiB机器实测", "recall_scope": "existing search calibration only", "parameter_assumption": true, "recall": null, "reason": "fixed query budget hypothesis only; no trained/calibrated index for this prefix. Not an equal/default-recall result."}}</t>
        </is>
      </c>
    </row>
    <row r="59">
      <c r="A59" s="0" t="inlineStr">
        <is>
          <t>SIFT1M</t>
        </is>
      </c>
      <c r="B59" s="0" t="inlineStr">
        <is>
          <t>J64</t>
        </is>
      </c>
      <c r="C59" s="0" t="inlineStr">
        <is>
          <t>超构建预算，未出证</t>
        </is>
      </c>
      <c r="E59" s="0" t="b">
        <v>0</v>
      </c>
      <c r="F59" s="0" t="inlineStr">
        <is>
          <t>{"kind": "size", "dataset": "sift1m", "sheet": "SIFT1M", "column": 10, "N": 10000000, "choice": null, "reason": "no index/recall calibration; matched-recall performance is unsupported", "fixed_budget_hypothesis": {"status": "outside_512GiB_scenario", "config": {"dataset": "sift1m", "source": "bigann10m", "N": 10000000, "D": 128, "M": 128, "K": 1024, "n_list": 1024, "capacity": 32768}, "n_probe": 8, "k": 10, "gates": 28977576, "gate_source": "structural estimate", "domain_bits": 25, "guard_domain_bits": 25, "proof_phase_memory_estimate_GiB": 1035.2515869140625, "planned_machine_memory_GiB": 1633.636096191406, "fits_512GiB_scenario": false, "query_ms": 21869118.197122023, "verify_ms": 82.73365594859082, "vo_kb": 2588.812, "declared_sensitivity": {"query_ms": [10934559.098561011, 43738236.394244045], "verify_ms": [41.36682797429541, 165.46731189718165], "vo_kb": [2200.4901999999997, 2977.1337999999996]}, "label": "512GiB条件预测，未在512GiB机器实测", "recall_scope": "existing search calibration only", "parameter_assumption": true, "recall": null, "reason": "fixed query budget hypothesis only; no trained/calibrated index for this prefix. Not an equal/default-recall result."}}</t>
        </is>
      </c>
    </row>
    <row r="60">
      <c r="A60" s="0" t="inlineStr">
        <is>
          <t>SIFT1M</t>
        </is>
      </c>
      <c r="B60" s="0" t="inlineStr">
        <is>
          <t>J75</t>
        </is>
      </c>
      <c r="C60" s="0" t="inlineStr">
        <is>
          <t>超构建预算，未出证</t>
        </is>
      </c>
      <c r="E60" s="0" t="b">
        <v>0</v>
      </c>
      <c r="F60" s="0" t="inlineStr">
        <is>
          <t>{"kind": "size", "dataset": "sift1m", "sheet": "SIFT1M", "column": 10, "N": 10000000, "choice": null, "reason": "no index/recall calibration; matched-recall performance is unsupported", "fixed_budget_hypothesis": {"status": "outside_512GiB_scenario", "config": {"dataset": "sift1m", "source": "bigann10m", "N": 10000000, "D": 128, "M": 128, "K": 1024, "n_list": 1024, "capacity": 32768}, "n_probe": 8, "k": 10, "gates": 28977576, "gate_source": "structural estimate", "domain_bits": 25, "guard_domain_bits": 25, "proof_phase_memory_estimate_GiB": 1035.2515869140625, "planned_machine_memory_GiB": 1633.636096191406, "fits_512GiB_scenario": false, "query_ms": 21869118.197122023, "verify_ms": 82.73365594859082, "vo_kb": 2588.812, "declared_sensitivity": {"query_ms": [10934559.098561011, 43738236.394244045], "verify_ms": [41.36682797429541, 165.46731189718165], "vo_kb": [2200.4901999999997, 2977.1337999999996]}, "label": "512GiB条件预测，未在512GiB机器实测", "recall_scope": "existing search calibration only", "parameter_assumption": true, "recall": null, "reason": "fixed query budget hypothesis only; no trained/calibrated index for this prefix. Not an equal/default-recall result."}}</t>
        </is>
      </c>
    </row>
    <row r="61">
      <c r="A61" s="0" t="inlineStr">
        <is>
          <t>SIFT1M</t>
        </is>
      </c>
      <c r="B61" s="0" t="inlineStr">
        <is>
          <t>J85</t>
        </is>
      </c>
      <c r="C61" s="0" t="inlineStr">
        <is>
          <t>超构建预算，未出证</t>
        </is>
      </c>
      <c r="E61" s="0" t="b">
        <v>0</v>
      </c>
      <c r="F61" s="0" t="inlineStr">
        <is>
          <t>{"kind": "size", "dataset": "sift1m", "sheet": "SIFT1M", "column": 10, "N": 10000000, "choice": null, "reason": "no index/recall calibration; matched-recall performance is unsupported", "fixed_budget_hypothesis": {"status": "outside_512GiB_scenario", "config": {"dataset": "sift1m", "source": "bigann10m", "N": 10000000, "D": 128, "M": 128, "K": 1024, "n_list": 1024, "capacity": 32768}, "n_probe": 8, "k": 10, "gates": 28977576, "gate_source": "structural estimate", "domain_bits": 25, "guard_domain_bits": 25, "proof_phase_memory_estimate_GiB": 1035.2515869140625, "planned_machine_memory_GiB": 1633.636096191406, "fits_512GiB_scenario": false, "query_ms": 21869118.197122023, "verify_ms": 82.73365594859082, "vo_kb": 2588.812, "declared_sensitivity": {"query_ms": [10934559.098561011, 43738236.394244045], "verify_ms": [41.36682797429541, 165.46731189718165], "vo_kb": [2200.4901999999997, 2977.1337999999996]}, "label": "512GiB条件预测，未在512GiB机器实测", "recall_scope": "existing search calibration only", "parameter_assumption": true, "recall": null, "reason": "fixed query budget hypothesis only; no trained/calibrated index for this prefix. Not an equal/default-recall result."}}</t>
        </is>
      </c>
    </row>
    <row r="62">
      <c r="A62" s="0" t="inlineStr">
        <is>
          <t>NYTimes-256</t>
        </is>
      </c>
      <c r="B62" s="0" t="inlineStr">
        <is>
          <t>O26</t>
        </is>
      </c>
      <c r="C62" s="0" t="inlineStr">
        <is>
          <t>预算内未测</t>
        </is>
      </c>
      <c r="D62" s="0" t="n">
        <v>62.5</v>
      </c>
      <c r="E62" s="0" t="b">
        <v>0</v>
      </c>
      <c r="F62" s="0" t="inlineStr">
        <is>
          <t>{"kind": "curve", "dataset": "nytimes256", "sheet": "NYTimes-256", "column": 15, "target": 0.6, "choice": {"status": "conditional_forecast", "config": {"dataset": "nytimes256", "source": "nytimes256", "N": 289761, "D": 256, "n_list": 512, "M": 128, "K": 256, "n_iter": 25, "seed": 0, "capacity": 2048, "query_offset": 100, "query_count": 20, "scale": 65536, "rebalance": "author algorithm with identical row-chunk distances"},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{"query_ms": [273363.9774640253, 1093455.9098561013], "verify_ms": [12.49752972753041, 49.99011891012164], "vo_kb": [227.21265000000002, 307.40535]},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{"query_ms": [273363.9774640253, 1093455.9098561013], "verify_ms": [12.49752972753041, 49.99011891012164], "vo_kb": [227.21265000000002, 307.40535]},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t>
        </is>
      </c>
    </row>
    <row r="63">
      <c r="A63" s="0" t="inlineStr">
        <is>
          <t>NYTimes-256</t>
        </is>
      </c>
      <c r="B63" s="0" t="inlineStr">
        <is>
          <t>O27</t>
        </is>
      </c>
      <c r="C63" s="0" t="inlineStr">
        <is>
          <t>预算内未测</t>
        </is>
      </c>
      <c r="D63" s="0" t="n">
        <v>267.309</v>
      </c>
      <c r="E63" s="0" t="b">
        <v>1</v>
      </c>
      <c r="F63" s="0" t="inlineStr">
        <is>
          <t>{"kind": "curve", "dataset": "nytimes256", "sheet": "NYTimes-256", "column": 15, "target": 0.6, "choice": {"status": "conditional_forecast", "config": {"dataset": "nytimes256", "source": "nytimes256", "N": 289761, "D": 256, "n_list": 512, "M": 128, "K": 256, "n_iter": 25, "seed": 0, "capacity": 2048, "query_offset": 100, "query_count": 20, "scale": 65536, "rebalance": "author algorithm with identical row-chunk distances"},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{"query_ms": [273363.9774640253, 1093455.9098561013], "verify_ms": [12.49752972753041, 49.99011891012164], "vo_kb": [227.21265000000002, 307.40535]},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{"query_ms": [273363.9774640253, 1093455.9098561013], "verify_ms": [12.49752972753041, 49.99011891012164], "vo_kb": [227.21265000000002, 307.40535]},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t>
        </is>
      </c>
    </row>
    <row r="64">
      <c r="A64" s="0" t="inlineStr">
        <is>
          <t>NYTimes-256</t>
        </is>
      </c>
      <c r="B64" s="0" t="inlineStr">
        <is>
          <t>O38</t>
        </is>
      </c>
      <c r="C64" s="0" t="inlineStr">
        <is>
          <t>预算内未测</t>
        </is>
      </c>
      <c r="D64" s="0" t="n">
        <v>62.5</v>
      </c>
      <c r="E64" s="0" t="b">
        <v>0</v>
      </c>
      <c r="F64" s="0" t="inlineStr">
        <is>
          <t>{"kind": "curve", "dataset": "nytimes256", "sheet": "NYTimes-256", "column": 15, "target": 0.6, "choice": {"status": "conditional_forecast", "config": {"dataset": "nytimes256", "source": "nytimes256", "N": 289761, "D": 256, "n_list": 512, "M": 128, "K": 256, "n_iter": 25, "seed": 0, "capacity": 2048, "query_offset": 100, "query_count": 20, "scale": 65536, "rebalance": "author algorithm with identical row-chunk distances"},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{"query_ms": [273363.9774640253, 1093455.9098561013], "verify_ms": [12.49752972753041, 49.99011891012164], "vo_kb": [227.21265000000002, 307.40535]},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{"query_ms": [273363.9774640253, 1093455.9098561013], "verify_ms": [12.49752972753041, 49.99011891012164], "vo_kb": [227.21265000000002, 307.40535]},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t>
        </is>
      </c>
    </row>
    <row r="65">
      <c r="A65" s="0" t="inlineStr">
        <is>
          <t>NYTimes-256</t>
        </is>
      </c>
      <c r="B65" s="0" t="inlineStr">
        <is>
          <t>O39</t>
        </is>
      </c>
      <c r="C65" s="0" t="inlineStr">
        <is>
          <t>预算内未测</t>
        </is>
      </c>
      <c r="D65" s="0" t="n">
        <v>24.9950594550608</v>
      </c>
      <c r="E65" s="0" t="b">
        <v>1</v>
      </c>
      <c r="F65" s="0" t="inlineStr">
        <is>
          <t>{"kind": "curve", "dataset": "nytimes256", "sheet": "NYTimes-256", "column": 15, "target": 0.6, "choice": {"status": "conditional_forecast", "config": {"dataset": "nytimes256", "source": "nytimes256", "N": 289761, "D": 256, "n_list": 512, "M": 128, "K": 256, "n_iter": 25, "seed": 0, "capacity": 2048, "query_offset": 100, "query_count": 20, "scale": 65536, "rebalance": "author algorithm with identical row-chunk distances"},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{"query_ms": [273363.9774640253, 1093455.9098561013], "verify_ms": [12.49752972753041, 49.99011891012164], "vo_kb": [227.21265000000002, 307.40535]},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{"query_ms": [273363.9774640253, 1093455.9098561013], "verify_ms": [12.49752972753041, 49.99011891012164], "vo_kb": [227.21265000000002, 307.40535]},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t>
        </is>
      </c>
    </row>
    <row r="66">
      <c r="A66" s="0" t="inlineStr">
        <is>
          <t>NYTimes-256</t>
        </is>
      </c>
      <c r="B66" s="0" t="inlineStr">
        <is>
          <t>O50</t>
        </is>
      </c>
      <c r="C66" s="0" t="inlineStr">
        <is>
          <t>预算内未测</t>
        </is>
      </c>
      <c r="D66" s="0" t="n">
        <v>62.5</v>
      </c>
      <c r="E66" s="0" t="b">
        <v>0</v>
      </c>
      <c r="F66" s="0" t="inlineStr">
        <is>
          <t>{"kind": "curve", "dataset": "nytimes256", "sheet": "NYTimes-256", "column": 15, "target": 0.6, "choice": {"status": "conditional_forecast", "config": {"dataset": "nytimes256", "source": "nytimes256", "N": 289761, "D": 256, "n_list": 512, "M": 128, "K": 256, "n_iter": 25, "seed": 0, "capacity": 2048, "query_offset": 100, "query_count": 20, "scale": 65536, "rebalance": "author algorithm with identical row-chunk distances"},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{"query_ms": [273363.9774640253, 1093455.9098561013], "verify_ms": [12.49752972753041, 49.99011891012164], "vo_kb": [227.21265000000002, 307.40535]},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{"query_ms": [273363.9774640253, 1093455.9098561013], "verify_ms": [12.49752972753041, 49.99011891012164], "vo_kb": [227.21265000000002, 307.40535]},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t>
        </is>
      </c>
    </row>
    <row r="67">
      <c r="A67" s="0" t="inlineStr">
        <is>
          <t>NYTimes-256</t>
        </is>
      </c>
      <c r="B67" s="0" t="inlineStr">
        <is>
          <t>O51</t>
        </is>
      </c>
      <c r="C67" s="0" t="inlineStr">
        <is>
          <t>预算内未测</t>
        </is>
      </c>
      <c r="D67" s="0" t="n">
        <v>546727.954928051</v>
      </c>
      <c r="E67" s="0" t="b">
        <v>1</v>
      </c>
      <c r="F67" s="0" t="inlineStr">
        <is>
          <t>{"kind": "curve", "dataset": "nytimes256", "sheet": "NYTimes-256", "column": 15, "target": 0.6, "choice": {"status": "conditional_forecast", "config": {"dataset": "nytimes256", "source": "nytimes256", "N": 289761, "D": 256, "n_list": 512, "M": 128, "K": 256, "n_iter": 25, "seed": 0, "capacity": 2048, "query_offset": 100, "query_count": 20, "scale": 65536, "rebalance": "author algorithm with identical row-chunk distances"},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{"query_ms": [273363.9774640253, 1093455.9098561013], "verify_ms": [12.49752972753041, 49.99011891012164], "vo_kb": [227.21265000000002, 307.40535]},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{"query_ms": [273363.9774640253, 1093455.9098561013], "verify_ms": [12.49752972753041, 49.99011891012164], "vo_kb": [227.21265000000002, 307.40535]},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t>
        </is>
      </c>
    </row>
    <row r="68">
      <c r="A68" s="0" t="inlineStr">
        <is>
          <t>NYTimes-256</t>
        </is>
      </c>
      <c r="B68" s="0" t="inlineStr">
        <is>
          <t>P26</t>
        </is>
      </c>
      <c r="C68" s="0" t="inlineStr">
        <is>
          <t>预算内未测</t>
        </is>
      </c>
      <c r="D68" s="0" t="n">
        <v>65.5</v>
      </c>
      <c r="E68" s="0" t="b">
        <v>0</v>
      </c>
      <c r="F68" s="0" t="inlineStr">
        <is>
          <t>{"kind": "curve", "dataset": "nytimes256", "sheet": "NYTimes-256", "column": 16, "target": 0.65, "choice": {"status": "conditional_forecast", "config": {"dataset": "nytimes256", "source": "nytimes256", "N": 289761, "D": 256, "n_list": 512, "M": 64, "K": 256, "n_iter": 25, "seed": 0, "capacity": 2048, "query_offset": 100, "query_count": 20, "scale": 65536, "rebalance": "author algorithm with identical row-chunk distances"}, "n_probe": 16, "k": 10, "gates": 2091784, "gate_source": "structural estimate", "domain_bits": 21, "guard_domain_bits": 22, "proof_phase_memory_estimate_GiB": 64.7032241821289, "planned_machine_memory_GiB": 232.20451202392576, "fits_512GiB_scenario": true, "query_ms": 1148128.705348906, "verify_ms": 30.62680797835178, "vo_kb": 472.128, "declared_sensitivity": {"query_ms": [574064.352674453, 2296257.410697812], "verify_ms": [15.31340398917589, 61.25361595670356], "vo_kb": [401.30879999999996, 542.9472]}, "label": "512GiB条件预测，未在512GiB机器实测", "recall_scope": "existing search calibration only", "model": "nytimes256-289761-M64", "recall": 0.655, "recall_source": "/mnt/d/paper_source/work_9/VeriANN_repro_2026-09-30/VeriANN_repro_2026-09-30/V3DB-26VLDB/work9-cache/nytimes256-289761-M64/calibration.json",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8, "k": 10, "gates": 1952373, "gate_source": "structural estimate", "domain_bits": 21, "guard_domain_bits": 22, "proof_phase_memory_estimate_GiB": 64.7032241821289, "planned_machine_memory_GiB": 232.20451202392576, "fits_512GiB_scenario": true, "query_ms": 1148128.705348906, "verify_ms": 27.63847230647678, "vo_kb": 341.056, "declared_sensitivity": {"query_ms": [574064.352674453, 2296257.410697812], "verify_ms": [13.81923615323839, 55.27694461295356], "vo_kb": [289.89759999999995, 392.21439999999996]}, "label": "512GiB条件预测，未在512GiB机器实测", "recall_scope": "existing search calibration only", "model": "nytimes256-289761-M128", "recall": 0.66, "recall_source": "/mnt/d/paper_source/work_9/VeriANN_repro_2026-09-30/VeriANN_repro_2026-09-30/V3DB-26VLDB/work9-cache/nytimes256-289761-M128/calibration.json", "recall_queries": 20}}</t>
        </is>
      </c>
    </row>
    <row r="69">
      <c r="A69" s="0" t="inlineStr">
        <is>
          <t>NYTimes-256</t>
        </is>
      </c>
      <c r="B69" s="0" t="inlineStr">
        <is>
          <t>P27</t>
        </is>
      </c>
      <c r="C69" s="0" t="inlineStr">
        <is>
          <t>预算内未测</t>
        </is>
      </c>
      <c r="D69" s="0" t="n">
        <v>472.128</v>
      </c>
      <c r="E69" s="0" t="b">
        <v>1</v>
      </c>
      <c r="F69" s="0" t="inlineStr">
        <is>
          <t>{"kind": "curve", "dataset": "nytimes256", "sheet": "NYTimes-256", "column": 16, "target": 0.65, "choice": {"status": "conditional_forecast", "config": {"dataset": "nytimes256", "source": "nytimes256", "N": 289761, "D": 256, "n_list": 512, "M": 64, "K": 256, "n_iter": 25, "seed": 0, "capacity": 2048, "query_offset": 100, "query_count": 20, "scale": 65536, "rebalance": "author algorithm with identical row-chunk distances"}, "n_probe": 16, "k": 10, "gates": 2091784, "gate_source": "structural estimate", "domain_bits": 21, "guard_domain_bits": 22, "proof_phase_memory_estimate_GiB": 64.7032241821289, "planned_machine_memory_GiB": 232.20451202392576, "fits_512GiB_scenario": true, "query_ms": 1148128.705348906, "verify_ms": 30.62680797835178, "vo_kb": 472.128, "declared_sensitivity": {"query_ms": [574064.352674453, 2296257.410697812], "verify_ms": [15.31340398917589, 61.25361595670356], "vo_kb": [401.30879999999996, 542.9472]}, "label": "512GiB条件预测，未在512GiB机器实测", "recall_scope": "existing search calibration only", "model": "nytimes256-289761-M64", "recall": 0.655, "recall_source": "/mnt/d/paper_source/work_9/VeriANN_repro_2026-09-30/VeriANN_repro_2026-09-30/V3DB-26VLDB/work9-cache/nytimes256-289761-M64/calibration.json",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8, "k": 10, "gates": 1952373, "gate_source": "structural estimate", "domain_bits": 21, "guard_domain_bits": 22, "proof_phase_memory_estimate_GiB": 64.7032241821289, "planned_machine_memory_GiB": 232.20451202392576, "fits_512GiB_scenario": true, "query_ms": 1148128.705348906, "verify_ms": 27.63847230647678, "vo_kb": 341.056, "declared_sensitivity": {"query_ms": [574064.352674453, 2296257.410697812], "verify_ms": [13.81923615323839, 55.27694461295356], "vo_kb": [289.89759999999995, 392.21439999999996]}, "label": "512GiB条件预测，未在512GiB机器实测", "recall_scope": "existing search calibration only", "model": "nytimes256-289761-M128", "recall": 0.66, "recall_source": "/mnt/d/paper_source/work_9/VeriANN_repro_2026-09-30/VeriANN_repro_2026-09-30/V3DB-26VLDB/work9-cache/nytimes256-289761-M128/calibration.json", "recall_queries": 20}}</t>
        </is>
      </c>
    </row>
    <row r="70">
      <c r="A70" s="0" t="inlineStr">
        <is>
          <t>NYTimes-256</t>
        </is>
      </c>
      <c r="B70" s="0" t="inlineStr">
        <is>
          <t>P38</t>
        </is>
      </c>
      <c r="C70" s="0" t="inlineStr">
        <is>
          <t>预算内未测</t>
        </is>
      </c>
      <c r="D70" s="0" t="n">
        <v>65.5</v>
      </c>
      <c r="E70" s="0" t="b">
        <v>0</v>
      </c>
      <c r="F70" s="0" t="inlineStr">
        <is>
          <t>{"kind": "curve", "dataset": "nytimes256", "sheet": "NYTimes-256", "column": 16, "target": 0.65, "choice": {"status": "conditional_forecast", "config": {"dataset": "nytimes256", "source": "nytimes256", "N": 289761, "D": 256, "n_list": 512, "M": 64, "K": 256, "n_iter": 25, "seed": 0, "capacity": 2048, "query_offset": 100, "query_count": 20, "scale": 65536, "rebalance": "author algorithm with identical row-chunk distances"}, "n_probe": 16, "k": 10, "gates": 2091784, "gate_source": "structural estimate", "domain_bits": 21, "guard_domain_bits": 22, "proof_phase_memory_estimate_GiB": 64.7032241821289, "planned_machine_memory_GiB": 232.20451202392576, "fits_512GiB_scenario": true, "query_ms": 1148128.705348906, "verify_ms": 30.62680797835178, "vo_kb": 472.128, "declared_sensitivity": {"query_ms": [574064.352674453, 2296257.410697812], "verify_ms": [15.31340398917589, 61.25361595670356], "vo_kb": [401.30879999999996, 542.9472]}, "label": "512GiB条件预测，未在512GiB机器实测", "recall_scope": "existing search calibration only", "model": "nytimes256-289761-M64", "recall": 0.655, "recall_source": "/mnt/d/paper_source/work_9/VeriANN_repro_2026-09-30/VeriANN_repro_2026-09-30/V3DB-26VLDB/work9-cache/nytimes256-289761-M64/calibration.json",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8, "k": 10, "gates": 1952373, "gate_source": "structural estimate", "domain_bits": 21, "guard_domain_bits": 22, "proof_phase_memory_estimate_GiB": 64.7032241821289, "planned_machine_memory_GiB": 232.20451202392576, "fits_512GiB_scenario": true, "query_ms": 1148128.705348906, "verify_ms": 27.63847230647678, "vo_kb": 341.056, "declared_sensitivity": {"query_ms": [574064.352674453, 2296257.410697812], "verify_ms": [13.81923615323839, 55.27694461295356], "vo_kb": [289.89759999999995, 392.21439999999996]}, "label": "512GiB条件预测，未在512GiB机器实测", "recall_scope": "existing search calibration only", "model": "nytimes256-289761-M128", "recall": 0.66, "recall_source": "/mnt/d/paper_source/work_9/VeriANN_repro_2026-09-30/VeriANN_repro_2026-09-30/V3DB-26VLDB/work9-cache/nytimes256-289761-M128/calibration.json", "recall_queries": 20}}</t>
        </is>
      </c>
    </row>
    <row r="71">
      <c r="A71" s="0" t="inlineStr">
        <is>
          <t>NYTimes-256</t>
        </is>
      </c>
      <c r="B71" s="0" t="inlineStr">
        <is>
          <t>P39</t>
        </is>
      </c>
      <c r="C71" s="0" t="inlineStr">
        <is>
          <t>预算内未测</t>
        </is>
      </c>
      <c r="D71" s="0" t="n">
        <v>30.6268079783518</v>
      </c>
      <c r="E71" s="0" t="b">
        <v>1</v>
      </c>
      <c r="F71" s="0" t="inlineStr">
        <is>
          <t>{"kind": "curve", "dataset": "nytimes256", "sheet": "NYTimes-256", "column": 16, "target": 0.65, "choice": {"status": "conditional_forecast", "config": {"dataset": "nytimes256", "source": "nytimes256", "N": 289761, "D": 256, "n_list": 512, "M": 64, "K": 256, "n_iter": 25, "seed": 0, "capacity": 2048, "query_offset": 100, "query_count": 20, "scale": 65536, "rebalance": "author algorithm with identical row-chunk distances"}, "n_probe": 16, "k": 10, "gates": 2091784, "gate_source": "structural estimate", "domain_bits": 21, "guard_domain_bits": 22, "proof_phase_memory_estimate_GiB": 64.7032241821289, "planned_machine_memory_GiB": 232.20451202392576, "fits_512GiB_scenario": true, "query_ms": 1148128.705348906, "verify_ms": 30.62680797835178, "vo_kb": 472.128, "declared_sensitivity": {"query_ms": [574064.352674453, 2296257.410697812], "verify_ms": [15.31340398917589, 61.25361595670356], "vo_kb": [401.30879999999996, 542.9472]}, "label": "512GiB条件预测，未在512GiB机器实测", "recall_scope": "existing search calibration only", "model": "nytimes256-289761-M64", "recall": 0.655, "recall_source": "/mnt/d/paper_source/work_9/VeriANN_repro_2026-09-30/VeriANN_repro_2026-09-30/V3DB-26VLDB/work9-cache/nytimes256-289761-M64/calibration.json",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8, "k": 10, "gates": 1952373, "gate_source": "structural estimate", "domain_bits": 21, "guard_domain_bits": 22, "proof_phase_memory_estimate_GiB": 64.7032241821289, "planned_machine_memory_GiB": 232.20451202392576, "fits_512GiB_scenario": true, "query_ms": 1148128.705348906, "verify_ms": 27.63847230647678, "vo_kb": 341.056, "declared_sensitivity": {"query_ms": [574064.352674453, 2296257.410697812], "verify_ms": [13.81923615323839, 55.27694461295356], "vo_kb": [289.89759999999995, 392.21439999999996]}, "label": "512GiB条件预测，未在512GiB机器实测", "recall_scope": "existing search calibration only", "model": "nytimes256-289761-M128", "recall": 0.66, "recall_source": "/mnt/d/paper_source/work_9/VeriANN_repro_2026-09-30/VeriANN_repro_2026-09-30/V3DB-26VLDB/work9-cache/nytimes256-289761-M128/calibration.json", "recall_queries": 20}}</t>
        </is>
      </c>
    </row>
    <row r="72">
      <c r="A72" s="0" t="inlineStr">
        <is>
          <t>NYTimes-256</t>
        </is>
      </c>
      <c r="B72" s="0" t="inlineStr">
        <is>
          <t>P50</t>
        </is>
      </c>
      <c r="C72" s="0" t="inlineStr">
        <is>
          <t>预算内未测</t>
        </is>
      </c>
      <c r="D72" s="0" t="n">
        <v>65.5</v>
      </c>
      <c r="E72" s="0" t="b">
        <v>0</v>
      </c>
      <c r="F72" s="0" t="inlineStr">
        <is>
          <t>{"kind": "curve", "dataset": "nytimes256", "sheet": "NYTimes-256", "column": 16, "target": 0.65, "choice": {"status": "conditional_forecast", "config": {"dataset": "nytimes256", "source": "nytimes256", "N": 289761, "D": 256, "n_list": 512, "M": 64, "K": 256, "n_iter": 25, "seed": 0, "capacity": 2048, "query_offset": 100, "query_count": 20, "scale": 65536, "rebalance": "author algorithm with identical row-chunk distances"}, "n_probe": 16, "k": 10, "gates": 2091784, "gate_source": "structural estimate", "domain_bits": 21, "guard_domain_bits": 22, "proof_phase_memory_estimate_GiB": 64.7032241821289, "planned_machine_memory_GiB": 232.20451202392576, "fits_512GiB_scenario": true, "query_ms": 1148128.705348906, "verify_ms": 30.62680797835178, "vo_kb": 472.128, "declared_sensitivity": {"query_ms": [574064.352674453, 2296257.410697812], "verify_ms": [15.31340398917589, 61.25361595670356], "vo_kb": [401.30879999999996, 542.9472]}, "label": "512GiB条件预测，未在512GiB机器实测", "recall_scope": "existing search calibration only", "model": "nytimes256-289761-M64", "recall": 0.655, "recall_source": "/mnt/d/paper_source/work_9/VeriANN_repro_2026-09-30/VeriANN_repro_2026-09-30/V3DB-26VLDB/work9-cache/nytimes256-289761-M64/calibration.json",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8, "k": 10, "gates": 1952373, "gate_source": "structural estimate", "domain_bits": 21, "guard_domain_bits": 22, "proof_phase_memory_estimate_GiB": 64.7032241821289, "planned_machine_memory_GiB": 232.20451202392576, "fits_512GiB_scenario": true, "query_ms": 1148128.705348906, "verify_ms": 27.63847230647678, "vo_kb": 341.056, "declared_sensitivity": {"query_ms": [574064.352674453, 2296257.410697812], "verify_ms": [13.81923615323839, 55.27694461295356], "vo_kb": [289.89759999999995, 392.21439999999996]}, "label": "512GiB条件预测，未在512GiB机器实测", "recall_scope": "existing search calibration only", "model": "nytimes256-289761-M128", "recall": 0.66, "recall_source": "/mnt/d/paper_source/work_9/VeriANN_repro_2026-09-30/VeriANN_repro_2026-09-30/V3DB-26VLDB/work9-cache/nytimes256-289761-M128/calibration.json", "recall_queries": 20}}</t>
        </is>
      </c>
    </row>
    <row r="73">
      <c r="A73" s="0" t="inlineStr">
        <is>
          <t>NYTimes-256</t>
        </is>
      </c>
      <c r="B73" s="0" t="inlineStr">
        <is>
          <t>P51</t>
        </is>
      </c>
      <c r="C73" s="0" t="inlineStr">
        <is>
          <t>预算内未测</t>
        </is>
      </c>
      <c r="D73" s="0" t="n">
        <v>1148128.70534891</v>
      </c>
      <c r="E73" s="0" t="b">
        <v>1</v>
      </c>
      <c r="F73" s="0" t="inlineStr">
        <is>
          <t>{"kind": "curve", "dataset": "nytimes256", "sheet": "NYTimes-256", "column": 16, "target": 0.65, "choice": {"status": "conditional_forecast", "config": {"dataset": "nytimes256", "source": "nytimes256", "N": 289761, "D": 256, "n_list": 512, "M": 64, "K": 256, "n_iter": 25, "seed": 0, "capacity": 2048, "query_offset": 100, "query_count": 20, "scale": 65536, "rebalance": "author algorithm with identical row-chunk distances"}, "n_probe": 16, "k": 10, "gates": 2091784, "gate_source": "structural estimate", "domain_bits": 21, "guard_domain_bits": 22, "proof_phase_memory_estimate_GiB": 64.7032241821289, "planned_machine_memory_GiB": 232.20451202392576, "fits_512GiB_scenario": true, "query_ms": 1148128.705348906, "verify_ms": 30.62680797835178, "vo_kb": 472.128, "declared_sensitivity": {"query_ms": [574064.352674453, 2296257.410697812], "verify_ms": [15.31340398917589, 61.25361595670356], "vo_kb": [401.30879999999996, 542.9472]}, "label": "512GiB条件预测，未在512GiB机器实测", "recall_scope": "existing search calibration only", "model": "nytimes256-289761-M64", "recall": 0.655, "recall_source": "/mnt/d/paper_source/work_9/VeriANN_repro_2026-09-30/VeriANN_repro_2026-09-30/V3DB-26VLDB/work9-cache/nytimes256-289761-M64/calibration.json",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8, "k": 10, "gates": 1952373, "gate_source": "structural estimate", "domain_bits": 21, "guard_domain_bits": 22, "proof_phase_memory_estimate_GiB": 64.7032241821289, "planned_machine_memory_GiB": 232.20451202392576, "fits_512GiB_scenario": true, "query_ms": 1148128.705348906, "verify_ms": 27.63847230647678, "vo_kb": 341.056, "declared_sensitivity": {"query_ms": [574064.352674453, 2296257.410697812], "verify_ms": [13.81923615323839, 55.27694461295356], "vo_kb": [289.89759999999995, 392.21439999999996]}, "label": "512GiB条件预测，未在512GiB机器实测", "recall_scope": "existing search calibration only", "model": "nytimes256-289761-M128", "recall": 0.66, "recall_source": "/mnt/d/paper_source/work_9/VeriANN_repro_2026-09-30/VeriANN_repro_2026-09-30/V3DB-26VLDB/work9-cache/nytimes256-289761-M128/calibration.json", "recall_queries": 20}}</t>
        </is>
      </c>
    </row>
    <row r="74">
      <c r="A74" s="0" t="inlineStr">
        <is>
          <t>NYTimes-256</t>
        </is>
      </c>
      <c r="B74" s="0" t="inlineStr">
        <is>
          <t>Q26</t>
        </is>
      </c>
      <c r="C74" s="0" t="inlineStr">
        <is>
          <t>预算内未测</t>
        </is>
      </c>
      <c r="D74" s="0" t="n">
        <v>72</v>
      </c>
      <c r="E74" s="0" t="b">
        <v>0</v>
      </c>
      <c r="F74" s="0" t="inlineStr">
        <is>
          <t>{"kind": "curve", "dataset": "nytimes256", "sheet": "NYTimes-256", "column": 17, "target": 0.7, "choice": {"status": "conditional_forecast", "config": {"dataset": "nytimes256", "source": "nytimes256", "N": 289761, "D": 256, "n_list": 512, "M": 64, "K": 256, "n_iter": 25, "seed": 0, "capacity": 2048, "query_offset": 100, "query_count": 20, "scale": 65536, "rebalance": "author algorithm with identical row-chunk distances"}, "n_probe": 32, "k": 10, "gates": 4137582, "gate_source": "structural estimate", "domain_bits": 22, "guard_domain_bits": 23, "proof_phase_memory_estimate_GiB": 129.4064483642578, "planned_machine_memory_GiB": 432.4090240478515, "fits_512GiB_scenario": true, "query_ms": 2405603.0016834224, "verify_ms": 37.75272433758025, "vo_kb": 742.483, "declared_sensitivity": {"query_ms": [1202801.5008417112, 4811206.003366845], "verify_ms": [18.876362168790124, 75.5054486751605], "vo_kb": [631.11055, 853.8554499999999]}, "label": "512GiB条件预测，未在512GiB机器实测", "recall_scope": "existing search calibration only", "model": "nytimes256-289761-M64", "recall": 0.72, "recall_source": "/mnt/d/paper_source/work_9/VeriANN_repro_2026-09-30/VeriANN_repro_2026-09-30/V3DB-26VLDB/work9-cache/nytimes256-289761-M64/calibration.json",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t>
        </is>
      </c>
    </row>
    <row r="75">
      <c r="A75" s="0" t="inlineStr">
        <is>
          <t>NYTimes-256</t>
        </is>
      </c>
      <c r="B75" s="0" t="inlineStr">
        <is>
          <t>Q27</t>
        </is>
      </c>
      <c r="C75" s="0" t="inlineStr">
        <is>
          <t>预算内未测</t>
        </is>
      </c>
      <c r="D75" s="0" t="n">
        <v>742.4829999999999</v>
      </c>
      <c r="E75" s="0" t="b">
        <v>1</v>
      </c>
      <c r="F75" s="0" t="inlineStr">
        <is>
          <t>{"kind": "curve", "dataset": "nytimes256", "sheet": "NYTimes-256", "column": 17, "target": 0.7, "choice": {"status": "conditional_forecast", "config": {"dataset": "nytimes256", "source": "nytimes256", "N": 289761, "D": 256, "n_list": 512, "M": 64, "K": 256, "n_iter": 25, "seed": 0, "capacity": 2048, "query_offset": 100, "query_count": 20, "scale": 65536, "rebalance": "author algorithm with identical row-chunk distances"}, "n_probe": 32, "k": 10, "gates": 4137582, "gate_source": "structural estimate", "domain_bits": 22, "guard_domain_bits": 23, "proof_phase_memory_estimate_GiB": 129.4064483642578, "planned_machine_memory_GiB": 432.4090240478515, "fits_512GiB_scenario": true, "query_ms": 2405603.0016834224, "verify_ms": 37.75272433758025, "vo_kb": 742.483, "declared_sensitivity": {"query_ms": [1202801.5008417112, 4811206.003366845], "verify_ms": [18.876362168790124, 75.5054486751605], "vo_kb": [631.11055, 853.8554499999999]}, "label": "512GiB条件预测，未在512GiB机器实测", "recall_scope": "existing search calibration only", "model": "nytimes256-289761-M64", "recall": 0.72, "recall_source": "/mnt/d/paper_source/work_9/VeriANN_repro_2026-09-30/VeriANN_repro_2026-09-30/V3DB-26VLDB/work9-cache/nytimes256-289761-M64/calibration.json",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t>
        </is>
      </c>
    </row>
    <row r="76">
      <c r="A76" s="0" t="inlineStr">
        <is>
          <t>NYTimes-256</t>
        </is>
      </c>
      <c r="B76" s="0" t="inlineStr">
        <is>
          <t>Q38</t>
        </is>
      </c>
      <c r="C76" s="0" t="inlineStr">
        <is>
          <t>预算内未测</t>
        </is>
      </c>
      <c r="D76" s="0" t="n">
        <v>72</v>
      </c>
      <c r="E76" s="0" t="b">
        <v>0</v>
      </c>
      <c r="F76" s="0" t="inlineStr">
        <is>
          <t>{"kind": "curve", "dataset": "nytimes256", "sheet": "NYTimes-256", "column": 17, "target": 0.7, "choice": {"status": "conditional_forecast", "config": {"dataset": "nytimes256", "source": "nytimes256", "N": 289761, "D": 256, "n_list": 512, "M": 64, "K": 256, "n_iter": 25, "seed": 0, "capacity": 2048, "query_offset": 100, "query_count": 20, "scale": 65536, "rebalance": "author algorithm with identical row-chunk distances"}, "n_probe": 32, "k": 10, "gates": 4137582, "gate_source": "structural estimate", "domain_bits": 22, "guard_domain_bits": 23, "proof_phase_memory_estimate_GiB": 129.4064483642578, "planned_machine_memory_GiB": 432.4090240478515, "fits_512GiB_scenario": true, "query_ms": 2405603.0016834224, "verify_ms": 37.75272433758025, "vo_kb": 742.483, "declared_sensitivity": {"query_ms": [1202801.5008417112, 4811206.003366845], "verify_ms": [18.876362168790124, 75.5054486751605], "vo_kb": [631.11055, 853.8554499999999]}, "label": "512GiB条件预测，未在512GiB机器实测", "recall_scope": "existing search calibration only", "model": "nytimes256-289761-M64", "recall": 0.72, "recall_source": "/mnt/d/paper_source/work_9/VeriANN_repro_2026-09-30/VeriANN_repro_2026-09-30/V3DB-26VLDB/work9-cache/nytimes256-289761-M64/calibration.json",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t>
        </is>
      </c>
    </row>
    <row r="77">
      <c r="A77" s="0" t="inlineStr">
        <is>
          <t>NYTimes-256</t>
        </is>
      </c>
      <c r="B77" s="0" t="inlineStr">
        <is>
          <t>Q39</t>
        </is>
      </c>
      <c r="C77" s="0" t="inlineStr">
        <is>
          <t>预算内未测</t>
        </is>
      </c>
      <c r="D77" s="0" t="n">
        <v>37.7527243375802</v>
      </c>
      <c r="E77" s="0" t="b">
        <v>1</v>
      </c>
      <c r="F77" s="0" t="inlineStr">
        <is>
          <t>{"kind": "curve", "dataset": "nytimes256", "sheet": "NYTimes-256", "column": 17, "target": 0.7, "choice": {"status": "conditional_forecast", "config": {"dataset": "nytimes256", "source": "nytimes256", "N": 289761, "D": 256, "n_list": 512, "M": 64, "K": 256, "n_iter": 25, "seed": 0, "capacity": 2048, "query_offset": 100, "query_count": 20, "scale": 65536, "rebalance": "author algorithm with identical row-chunk distances"}, "n_probe": 32, "k": 10, "gates": 4137582, "gate_source": "structural estimate", "domain_bits": 22, "guard_domain_bits": 23, "proof_phase_memory_estimate_GiB": 129.4064483642578, "planned_machine_memory_GiB": 432.4090240478515, "fits_512GiB_scenario": true, "query_ms": 2405603.0016834224, "verify_ms": 37.75272433758025, "vo_kb": 742.483, "declared_sensitivity": {"query_ms": [1202801.5008417112, 4811206.003366845], "verify_ms": [18.876362168790124, 75.5054486751605], "vo_kb": [631.11055, 853.8554499999999]}, "label": "512GiB条件预测，未在512GiB机器实测", "recall_scope": "existing search calibration only", "model": "nytimes256-289761-M64", "recall": 0.72, "recall_source": "/mnt/d/paper_source/work_9/VeriANN_repro_2026-09-30/VeriANN_repro_2026-09-30/V3DB-26VLDB/work9-cache/nytimes256-289761-M64/calibration.json",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t>
        </is>
      </c>
    </row>
    <row r="78">
      <c r="A78" s="0" t="inlineStr">
        <is>
          <t>NYTimes-256</t>
        </is>
      </c>
      <c r="B78" s="0" t="inlineStr">
        <is>
          <t>Q50</t>
        </is>
      </c>
      <c r="C78" s="0" t="inlineStr">
        <is>
          <t>预算内未测</t>
        </is>
      </c>
      <c r="D78" s="0" t="n">
        <v>72</v>
      </c>
      <c r="E78" s="0" t="b">
        <v>0</v>
      </c>
      <c r="F78" s="0" t="inlineStr">
        <is>
          <t>{"kind": "curve", "dataset": "nytimes256", "sheet": "NYTimes-256", "column": 17, "target": 0.7, "choice": {"status": "conditional_forecast", "config": {"dataset": "nytimes256", "source": "nytimes256", "N": 289761, "D": 256, "n_list": 512, "M": 64, "K": 256, "n_iter": 25, "seed": 0, "capacity": 2048, "query_offset": 100, "query_count": 20, "scale": 65536, "rebalance": "author algorithm with identical row-chunk distances"}, "n_probe": 32, "k": 10, "gates": 4137582, "gate_source": "structural estimate", "domain_bits": 22, "guard_domain_bits": 23, "proof_phase_memory_estimate_GiB": 129.4064483642578, "planned_machine_memory_GiB": 432.4090240478515, "fits_512GiB_scenario": true, "query_ms": 2405603.0016834224, "verify_ms": 37.75272433758025, "vo_kb": 742.483, "declared_sensitivity": {"query_ms": [1202801.5008417112, 4811206.003366845], "verify_ms": [18.876362168790124, 75.5054486751605], "vo_kb": [631.11055, 853.8554499999999]}, "label": "512GiB条件预测，未在512GiB机器实测", "recall_scope": "existing search calibration only", "model": "nytimes256-289761-M64", "recall": 0.72, "recall_source": "/mnt/d/paper_source/work_9/VeriANN_repro_2026-09-30/VeriANN_repro_2026-09-30/V3DB-26VLDB/work9-cache/nytimes256-289761-M64/calibration.json",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t>
        </is>
      </c>
    </row>
    <row r="79">
      <c r="A79" s="0" t="inlineStr">
        <is>
          <t>NYTimes-256</t>
        </is>
      </c>
      <c r="B79" s="0" t="inlineStr">
        <is>
          <t>Q51</t>
        </is>
      </c>
      <c r="C79" s="0" t="inlineStr">
        <is>
          <t>预算内未测</t>
        </is>
      </c>
      <c r="D79" s="0" t="n">
        <v>2405603.00168342</v>
      </c>
      <c r="E79" s="0" t="b">
        <v>1</v>
      </c>
      <c r="F79" s="0" t="inlineStr">
        <is>
          <t>{"kind": "curve", "dataset": "nytimes256", "sheet": "NYTimes-256", "column": 17, "target": 0.7, "choice": {"status": "conditional_forecast", "config": {"dataset": "nytimes256", "source": "nytimes256", "N": 289761, "D": 256, "n_list": 512, "M": 64, "K": 256, "n_iter": 25, "seed": 0, "capacity": 2048, "query_offset": 100, "query_count": 20, "scale": 65536, "rebalance": "author algorithm with identical row-chunk distances"}, "n_probe": 32, "k": 10, "gates": 4137582, "gate_source": "structural estimate", "domain_bits": 22, "guard_domain_bits": 23, "proof_phase_memory_estimate_GiB": 129.4064483642578, "planned_machine_memory_GiB": 432.4090240478515, "fits_512GiB_scenario": true, "query_ms": 2405603.0016834224, "verify_ms": 37.75272433758025, "vo_kb": 742.483, "declared_sensitivity": {"query_ms": [1202801.5008417112, 4811206.003366845], "verify_ms": [18.876362168790124, 75.5054486751605], "vo_kb": [631.11055, 853.8554499999999]}, "label": "512GiB条件预测，未在512GiB机器实测", "recall_scope": "existing search calibration only", "model": "nytimes256-289761-M64", "recall": 0.72, "recall_source": "/mnt/d/paper_source/work_9/VeriANN_repro_2026-09-30/VeriANN_repro_2026-09-30/V3DB-26VLDB/work9-cache/nytimes256-289761-M64/calibration.json",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t>
        </is>
      </c>
    </row>
    <row r="80">
      <c r="A80" s="0" t="inlineStr">
        <is>
          <t>NYTimes-256</t>
        </is>
      </c>
      <c r="B80" s="0" t="inlineStr">
        <is>
          <t>R26</t>
        </is>
      </c>
      <c r="C80" s="0" t="inlineStr">
        <is>
          <t>预算内未测</t>
        </is>
      </c>
      <c r="D80" s="0" t="n">
        <v>76</v>
      </c>
      <c r="E80" s="0" t="b">
        <v>0</v>
      </c>
      <c r="F80" s="0" t="inlineStr">
        <is>
          <t>{"kind": "curve", "dataset": "nytimes256", "sheet": "NYTimes-256", "column": 18, "target": 0.75, "choice":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t>
        </is>
      </c>
    </row>
    <row r="81">
      <c r="A81" s="0" t="inlineStr">
        <is>
          <t>NYTimes-256</t>
        </is>
      </c>
      <c r="B81" s="0" t="inlineStr">
        <is>
          <t>R27</t>
        </is>
      </c>
      <c r="C81" s="0" t="inlineStr">
        <is>
          <t>预算内未测</t>
        </is>
      </c>
      <c r="D81" s="0" t="n">
        <v>480.339</v>
      </c>
      <c r="E81" s="0" t="b">
        <v>1</v>
      </c>
      <c r="F81" s="0" t="inlineStr">
        <is>
          <t>{"kind": "curve", "dataset": "nytimes256", "sheet": "NYTimes-256", "column": 18, "target": 0.75, "choice":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t>
        </is>
      </c>
    </row>
    <row r="82">
      <c r="A82" s="0" t="inlineStr">
        <is>
          <t>NYTimes-256</t>
        </is>
      </c>
      <c r="B82" s="0" t="inlineStr">
        <is>
          <t>R38</t>
        </is>
      </c>
      <c r="C82" s="0" t="inlineStr">
        <is>
          <t>预算内未测</t>
        </is>
      </c>
      <c r="D82" s="0" t="n">
        <v>76</v>
      </c>
      <c r="E82" s="0" t="b">
        <v>0</v>
      </c>
      <c r="F82" s="0" t="inlineStr">
        <is>
          <t>{"kind": "curve", "dataset": "nytimes256", "sheet": "NYTimes-256", "column": 18, "target": 0.75, "choice":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t>
        </is>
      </c>
    </row>
    <row r="83">
      <c r="A83" s="0" t="inlineStr">
        <is>
          <t>NYTimes-256</t>
        </is>
      </c>
      <c r="B83" s="0" t="inlineStr">
        <is>
          <t>R39</t>
        </is>
      </c>
      <c r="C83" s="0" t="inlineStr">
        <is>
          <t>预算内未测</t>
        </is>
      </c>
      <c r="D83" s="0" t="n">
        <v>31.7760529938302</v>
      </c>
      <c r="E83" s="0" t="b">
        <v>1</v>
      </c>
      <c r="F83" s="0" t="inlineStr">
        <is>
          <t>{"kind": "curve", "dataset": "nytimes256", "sheet": "NYTimes-256", "column": 18, "target": 0.75, "choice":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t>
        </is>
      </c>
    </row>
    <row r="84">
      <c r="A84" s="0" t="inlineStr">
        <is>
          <t>NYTimes-256</t>
        </is>
      </c>
      <c r="B84" s="0" t="inlineStr">
        <is>
          <t>R50</t>
        </is>
      </c>
      <c r="C84" s="0" t="inlineStr">
        <is>
          <t>预算内未测</t>
        </is>
      </c>
      <c r="D84" s="0" t="n">
        <v>76</v>
      </c>
      <c r="E84" s="0" t="b">
        <v>0</v>
      </c>
      <c r="F84" s="0" t="inlineStr">
        <is>
          <t>{"kind": "curve", "dataset": "nytimes256", "sheet": "NYTimes-256", "column": 18, "target": 0.75, "choice":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t>
        </is>
      </c>
    </row>
    <row r="85">
      <c r="A85" s="0" t="inlineStr">
        <is>
          <t>NYTimes-256</t>
        </is>
      </c>
      <c r="B85" s="0" t="inlineStr">
        <is>
          <t>R51</t>
        </is>
      </c>
      <c r="C85" s="0" t="inlineStr">
        <is>
          <t>预算内未测</t>
        </is>
      </c>
      <c r="D85" s="0" t="n">
        <v>2405603.00168342</v>
      </c>
      <c r="E85" s="0" t="b">
        <v>1</v>
      </c>
      <c r="F85" s="0" t="inlineStr">
        <is>
          <t>{"kind": "curve", "dataset": "nytimes256", "sheet": "NYTimes-256", "column": 18, "target": 0.75, "choice":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t>
        </is>
      </c>
    </row>
    <row r="86">
      <c r="A86" s="0" t="inlineStr">
        <is>
          <t>NYTimes-256</t>
        </is>
      </c>
      <c r="B86" s="0" t="inlineStr">
        <is>
          <t>S26</t>
        </is>
      </c>
      <c r="C86" s="0" t="inlineStr">
        <is>
          <t>预算内未测</t>
        </is>
      </c>
      <c r="E86" s="0" t="b">
        <v>0</v>
      </c>
      <c r="F86" s="0" t="inlineStr">
        <is>
          <t>{"kind": "curve", "dataset": "nytimes256", "sheet": "NYTimes-256", "column": 19, "target": 0.8, "choice": null, "reason": "all calibrated configurations reaching this target exceed the declared 512GiB planning envelope", "smallest_memory_reaching_target": {"status": "outside_512GiB_scenario", "config": {"dataset": "nytimes256", "source": "nytimes256", "N": 289761, "D": 256, "n_list": 512, "M": 128, "K": 256, "n_iter": 25, "seed": 0, "capacity": 2048, "query_offset": 100, "query_count": 20, "scale": 65536, "rebalance": "author algorithm with identical row-chunk distances"}, "n_probe": 32, "k": 10, "gates": 7671536, "gate_source": "structural estimate", "domain_bits": 23, "guard_domain_bits": 24, "proof_phase_memory_estimate_GiB": 258.8128967285156, "planned_machine_memory_GiB": 832.818048095703, "fits_512GiB_scenario": false, "query_ms": 5029897.185338065, "verify_ms": 38.9019693530587, "vo_kb": 750.694, "declared_sensitivity": {"query_ms": [2514948.5926690325, 10059794.37067613], "verify_ms": [19.45098467652935, 77.8039387061174], "vo_kb": [638.0899, 863.2980999999999]}, "label": "512GiB条件预测，未在512GiB机器实测", "recall_scope": "existing search calibration only", "model": "nytimes256-289761-M128", "recall": 0.8250000000000002, "recall_source": "/mnt/d/paper_source/work_9/VeriANN_repro_2026-09-30/VeriANN_repro_2026-09-30/V3DB-26VLDB/work9-cache/nytimes256-289761-M128/calibration.json", "recall_queries": 20}}</t>
        </is>
      </c>
    </row>
    <row r="87">
      <c r="A87" s="0" t="inlineStr">
        <is>
          <t>NYTimes-256</t>
        </is>
      </c>
      <c r="B87" s="0" t="inlineStr">
        <is>
          <t>S27</t>
        </is>
      </c>
      <c r="C87" s="0" t="inlineStr">
        <is>
          <t>预算内未测</t>
        </is>
      </c>
      <c r="E87" s="0" t="b">
        <v>0</v>
      </c>
      <c r="F87" s="0" t="inlineStr">
        <is>
          <t>{"kind": "curve", "dataset": "nytimes256", "sheet": "NYTimes-256", "column": 19, "target": 0.8, "choice": null, "reason": "all calibrated configurations reaching this target exceed the declared 512GiB planning envelope", "smallest_memory_reaching_target": {"status": "outside_512GiB_scenario", "config": {"dataset": "nytimes256", "source": "nytimes256", "N": 289761, "D": 256, "n_list": 512, "M": 128, "K": 256, "n_iter": 25, "seed": 0, "capacity": 2048, "query_offset": 100, "query_count": 20, "scale": 65536, "rebalance": "author algorithm with identical row-chunk distances"}, "n_probe": 32, "k": 10, "gates": 7671536, "gate_source": "structural estimate", "domain_bits": 23, "guard_domain_bits": 24, "proof_phase_memory_estimate_GiB": 258.8128967285156, "planned_machine_memory_GiB": 832.818048095703, "fits_512GiB_scenario": false, "query_ms": 5029897.185338065, "verify_ms": 38.9019693530587, "vo_kb": 750.694, "declared_sensitivity": {"query_ms": [2514948.5926690325, 10059794.37067613], "verify_ms": [19.45098467652935, 77.8039387061174], "vo_kb": [638.0899, 863.2980999999999]}, "label": "512GiB条件预测，未在512GiB机器实测", "recall_scope": "existing search calibration only", "model": "nytimes256-289761-M128", "recall": 0.8250000000000002, "recall_source": "/mnt/d/paper_source/work_9/VeriANN_repro_2026-09-30/VeriANN_repro_2026-09-30/V3DB-26VLDB/work9-cache/nytimes256-289761-M128/calibration.json", "recall_queries": 20}}</t>
        </is>
      </c>
    </row>
    <row r="88">
      <c r="A88" s="0" t="inlineStr">
        <is>
          <t>NYTimes-256</t>
        </is>
      </c>
      <c r="B88" s="0" t="inlineStr">
        <is>
          <t>S38</t>
        </is>
      </c>
      <c r="C88" s="0" t="inlineStr">
        <is>
          <t>预算内未测</t>
        </is>
      </c>
      <c r="E88" s="0" t="b">
        <v>0</v>
      </c>
      <c r="F88" s="0" t="inlineStr">
        <is>
          <t>{"kind": "curve", "dataset": "nytimes256", "sheet": "NYTimes-256", "column": 19, "target": 0.8, "choice": null, "reason": "all calibrated configurations reaching this target exceed the declared 512GiB planning envelope", "smallest_memory_reaching_target": {"status": "outside_512GiB_scenario", "config": {"dataset": "nytimes256", "source": "nytimes256", "N": 289761, "D": 256, "n_list": 512, "M": 128, "K": 256, "n_iter": 25, "seed": 0, "capacity": 2048, "query_offset": 100, "query_count": 20, "scale": 65536, "rebalance": "author algorithm with identical row-chunk distances"}, "n_probe": 32, "k": 10, "gates": 7671536, "gate_source": "structural estimate", "domain_bits": 23, "guard_domain_bits": 24, "proof_phase_memory_estimate_GiB": 258.8128967285156, "planned_machine_memory_GiB": 832.818048095703, "fits_512GiB_scenario": false, "query_ms": 5029897.185338065, "verify_ms": 38.9019693530587, "vo_kb": 750.694, "declared_sensitivity": {"query_ms": [2514948.5926690325, 10059794.37067613], "verify_ms": [19.45098467652935, 77.8039387061174], "vo_kb": [638.0899, 863.2980999999999]}, "label": "512GiB条件预测，未在512GiB机器实测", "recall_scope": "existing search calibration only", "model": "nytimes256-289761-M128", "recall": 0.8250000000000002, "recall_source": "/mnt/d/paper_source/work_9/VeriANN_repro_2026-09-30/VeriANN_repro_2026-09-30/V3DB-26VLDB/work9-cache/nytimes256-289761-M128/calibration.json", "recall_queries": 20}}</t>
        </is>
      </c>
    </row>
    <row r="89">
      <c r="A89" s="0" t="inlineStr">
        <is>
          <t>NYTimes-256</t>
        </is>
      </c>
      <c r="B89" s="0" t="inlineStr">
        <is>
          <t>S39</t>
        </is>
      </c>
      <c r="C89" s="0" t="inlineStr">
        <is>
          <t>预算内未测</t>
        </is>
      </c>
      <c r="E89" s="0" t="b">
        <v>0</v>
      </c>
      <c r="F89" s="0" t="inlineStr">
        <is>
          <t>{"kind": "curve", "dataset": "nytimes256", "sheet": "NYTimes-256", "column": 19, "target": 0.8, "choice": null, "reason": "all calibrated configurations reaching this target exceed the declared 512GiB planning envelope", "smallest_memory_reaching_target": {"status": "outside_512GiB_scenario", "config": {"dataset": "nytimes256", "source": "nytimes256", "N": 289761, "D": 256, "n_list": 512, "M": 128, "K": 256, "n_iter": 25, "seed": 0, "capacity": 2048, "query_offset": 100, "query_count": 20, "scale": 65536, "rebalance": "author algorithm with identical row-chunk distances"}, "n_probe": 32, "k": 10, "gates": 7671536, "gate_source": "structural estimate", "domain_bits": 23, "guard_domain_bits": 24, "proof_phase_memory_estimate_GiB": 258.8128967285156, "planned_machine_memory_GiB": 832.818048095703, "fits_512GiB_scenario": false, "query_ms": 5029897.185338065, "verify_ms": 38.9019693530587, "vo_kb": 750.694, "declared_sensitivity": {"query_ms": [2514948.5926690325, 10059794.37067613], "verify_ms": [19.45098467652935, 77.8039387061174], "vo_kb": [638.0899, 863.2980999999999]}, "label": "512GiB条件预测，未在512GiB机器实测", "recall_scope": "existing search calibration only", "model": "nytimes256-289761-M128", "recall": 0.8250000000000002, "recall_source": "/mnt/d/paper_source/work_9/VeriANN_repro_2026-09-30/VeriANN_repro_2026-09-30/V3DB-26VLDB/work9-cache/nytimes256-289761-M128/calibration.json", "recall_queries": 20}}</t>
        </is>
      </c>
    </row>
    <row r="90">
      <c r="A90" s="0" t="inlineStr">
        <is>
          <t>NYTimes-256</t>
        </is>
      </c>
      <c r="B90" s="0" t="inlineStr">
        <is>
          <t>S50</t>
        </is>
      </c>
      <c r="C90" s="0" t="inlineStr">
        <is>
          <t>预算内未测</t>
        </is>
      </c>
      <c r="E90" s="0" t="b">
        <v>0</v>
      </c>
      <c r="F90" s="0" t="inlineStr">
        <is>
          <t>{"kind": "curve", "dataset": "nytimes256", "sheet": "NYTimes-256", "column": 19, "target": 0.8, "choice": null, "reason": "all calibrated configurations reaching this target exceed the declared 512GiB planning envelope", "smallest_memory_reaching_target": {"status": "outside_512GiB_scenario", "config": {"dataset": "nytimes256", "source": "nytimes256", "N": 289761, "D": 256, "n_list": 512, "M": 128, "K": 256, "n_iter": 25, "seed": 0, "capacity": 2048, "query_offset": 100, "query_count": 20, "scale": 65536, "rebalance": "author algorithm with identical row-chunk distances"}, "n_probe": 32, "k": 10, "gates": 7671536, "gate_source": "structural estimate", "domain_bits": 23, "guard_domain_bits": 24, "proof_phase_memory_estimate_GiB": 258.8128967285156, "planned_machine_memory_GiB": 832.818048095703, "fits_512GiB_scenario": false, "query_ms": 5029897.185338065, "verify_ms": 38.9019693530587, "vo_kb": 750.694, "declared_sensitivity": {"query_ms": [2514948.5926690325, 10059794.37067613], "verify_ms": [19.45098467652935, 77.8039387061174], "vo_kb": [638.0899, 863.2980999999999]}, "label": "512GiB条件预测，未在512GiB机器实测", "recall_scope": "existing search calibration only", "model": "nytimes256-289761-M128", "recall": 0.8250000000000002, "recall_source": "/mnt/d/paper_source/work_9/VeriANN_repro_2026-09-30/VeriANN_repro_2026-09-30/V3DB-26VLDB/work9-cache/nytimes256-289761-M128/calibration.json", "recall_queries": 20}}</t>
        </is>
      </c>
    </row>
    <row r="91">
      <c r="A91" s="0" t="inlineStr">
        <is>
          <t>NYTimes-256</t>
        </is>
      </c>
      <c r="B91" s="0" t="inlineStr">
        <is>
          <t>S51</t>
        </is>
      </c>
      <c r="C91" s="0" t="inlineStr">
        <is>
          <t>预算内未测</t>
        </is>
      </c>
      <c r="E91" s="0" t="b">
        <v>0</v>
      </c>
      <c r="F91" s="0" t="inlineStr">
        <is>
          <t>{"kind": "curve", "dataset": "nytimes256", "sheet": "NYTimes-256", "column": 19, "target": 0.8, "choice": null, "reason": "all calibrated configurations reaching this target exceed the declared 512GiB planning envelope", "smallest_memory_reaching_target": {"status": "outside_512GiB_scenario", "config": {"dataset": "nytimes256", "source": "nytimes256", "N": 289761, "D": 256, "n_list": 512, "M": 128, "K": 256, "n_iter": 25, "seed": 0, "capacity": 2048, "query_offset": 100, "query_count": 20, "scale": 65536, "rebalance": "author algorithm with identical row-chunk distances"}, "n_probe": 32, "k": 10, "gates": 7671536, "gate_source": "structural estimate", "domain_bits": 23, "guard_domain_bits": 24, "proof_phase_memory_estimate_GiB": 258.8128967285156, "planned_machine_memory_GiB": 832.818048095703, "fits_512GiB_scenario": false, "query_ms": 5029897.185338065, "verify_ms": 38.9019693530587, "vo_kb": 750.694, "declared_sensitivity": {"query_ms": [2514948.5926690325, 10059794.37067613], "verify_ms": [19.45098467652935, 77.8039387061174], "vo_kb": [638.0899, 863.2980999999999]}, "label": "512GiB条件预测，未在512GiB机器实测", "recall_scope": "existing search calibration only", "model": "nytimes256-289761-M128", "recall": 0.8250000000000002, "recall_source": "/mnt/d/paper_source/work_9/VeriANN_repro_2026-09-30/VeriANN_repro_2026-09-30/V3DB-26VLDB/work9-cache/nytimes256-289761-M128/calibration.json", "recall_queries": 20}}</t>
        </is>
      </c>
    </row>
    <row r="92">
      <c r="A92" s="0" t="inlineStr">
        <is>
          <t>NYTimes-256</t>
        </is>
      </c>
      <c r="B92" s="0" t="inlineStr">
        <is>
          <t>T26</t>
        </is>
      </c>
      <c r="C92" s="0" t="inlineStr">
        <is>
          <t>预算内未测</t>
        </is>
      </c>
      <c r="E92" s="0" t="b">
        <v>0</v>
      </c>
      <c r="F92" s="0" t="inlineStr">
        <is>
          <t>{"kind": "curve", "dataset": "nytimes256", "sheet": "NYTimes-256", "column": 20, "target": 0.85,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32, "k": 10, "gates": 14739445, "gate_source": "structural estimate", "domain_bits": 24, "guard_domain_bits": 24, "proof_phase_memory_estimate_GiB": 517.6257934570312, "planned_machine_memory_GiB": 832.818048095703, "fits_512GiB_scenario": false, "query_ms": 10497176.73461857, "verify_ms": 40.05121436853717, "vo_kb": 758.905, "declared_sensitivity": {"query_ms": [5248588.367309285, 20994353.46923714], "verify_ms": [20.025607184268583, 80.10242873707433], "vo_kb": [645.06925, 872.7407499999999]}, "label": "512GiB条件预测，未在512GiB机器实测", "recall_scope": "existing search calibration only", "model": "nytimes256-289761-M256", "recall": 0.8500000000000002, "recall_source": "/mnt/d/paper_source/work_9/VeriANN_repro_2026-09-30/VeriANN_repro_2026-09-30/V3DB-26VLDB/work9-cache/nytimes256-289761-M256/calibration.json", "recall_queries": 20}}</t>
        </is>
      </c>
    </row>
    <row r="93">
      <c r="A93" s="0" t="inlineStr">
        <is>
          <t>NYTimes-256</t>
        </is>
      </c>
      <c r="B93" s="0" t="inlineStr">
        <is>
          <t>T27</t>
        </is>
      </c>
      <c r="C93" s="0" t="inlineStr">
        <is>
          <t>预算内未测</t>
        </is>
      </c>
      <c r="E93" s="0" t="b">
        <v>0</v>
      </c>
      <c r="F93" s="0" t="inlineStr">
        <is>
          <t>{"kind": "curve", "dataset": "nytimes256", "sheet": "NYTimes-256", "column": 20, "target": 0.85,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32, "k": 10, "gates": 14739445, "gate_source": "structural estimate", "domain_bits": 24, "guard_domain_bits": 24, "proof_phase_memory_estimate_GiB": 517.6257934570312, "planned_machine_memory_GiB": 832.818048095703, "fits_512GiB_scenario": false, "query_ms": 10497176.73461857, "verify_ms": 40.05121436853717, "vo_kb": 758.905, "declared_sensitivity": {"query_ms": [5248588.367309285, 20994353.46923714], "verify_ms": [20.025607184268583, 80.10242873707433], "vo_kb": [645.06925, 872.7407499999999]}, "label": "512GiB条件预测，未在512GiB机器实测", "recall_scope": "existing search calibration only", "model": "nytimes256-289761-M256", "recall": 0.8500000000000002, "recall_source": "/mnt/d/paper_source/work_9/VeriANN_repro_2026-09-30/VeriANN_repro_2026-09-30/V3DB-26VLDB/work9-cache/nytimes256-289761-M256/calibration.json", "recall_queries": 20}}</t>
        </is>
      </c>
    </row>
    <row r="94">
      <c r="A94" s="0" t="inlineStr">
        <is>
          <t>NYTimes-256</t>
        </is>
      </c>
      <c r="B94" s="0" t="inlineStr">
        <is>
          <t>T38</t>
        </is>
      </c>
      <c r="C94" s="0" t="inlineStr">
        <is>
          <t>预算内未测</t>
        </is>
      </c>
      <c r="E94" s="0" t="b">
        <v>0</v>
      </c>
      <c r="F94" s="0" t="inlineStr">
        <is>
          <t>{"kind": "curve", "dataset": "nytimes256", "sheet": "NYTimes-256", "column": 20, "target": 0.85,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32, "k": 10, "gates": 14739445, "gate_source": "structural estimate", "domain_bits": 24, "guard_domain_bits": 24, "proof_phase_memory_estimate_GiB": 517.6257934570312, "planned_machine_memory_GiB": 832.818048095703, "fits_512GiB_scenario": false, "query_ms": 10497176.73461857, "verify_ms": 40.05121436853717, "vo_kb": 758.905, "declared_sensitivity": {"query_ms": [5248588.367309285, 20994353.46923714], "verify_ms": [20.025607184268583, 80.10242873707433], "vo_kb": [645.06925, 872.7407499999999]}, "label": "512GiB条件预测，未在512GiB机器实测", "recall_scope": "existing search calibration only", "model": "nytimes256-289761-M256", "recall": 0.8500000000000002, "recall_source": "/mnt/d/paper_source/work_9/VeriANN_repro_2026-09-30/VeriANN_repro_2026-09-30/V3DB-26VLDB/work9-cache/nytimes256-289761-M256/calibration.json", "recall_queries": 20}}</t>
        </is>
      </c>
    </row>
    <row r="95">
      <c r="A95" s="0" t="inlineStr">
        <is>
          <t>NYTimes-256</t>
        </is>
      </c>
      <c r="B95" s="0" t="inlineStr">
        <is>
          <t>T39</t>
        </is>
      </c>
      <c r="C95" s="0" t="inlineStr">
        <is>
          <t>预算内未测</t>
        </is>
      </c>
      <c r="E95" s="0" t="b">
        <v>0</v>
      </c>
      <c r="F95" s="0" t="inlineStr">
        <is>
          <t>{"kind": "curve", "dataset": "nytimes256", "sheet": "NYTimes-256", "column": 20, "target": 0.85,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32, "k": 10, "gates": 14739445, "gate_source": "structural estimate", "domain_bits": 24, "guard_domain_bits": 24, "proof_phase_memory_estimate_GiB": 517.6257934570312, "planned_machine_memory_GiB": 832.818048095703, "fits_512GiB_scenario": false, "query_ms": 10497176.73461857, "verify_ms": 40.05121436853717, "vo_kb": 758.905, "declared_sensitivity": {"query_ms": [5248588.367309285, 20994353.46923714], "verify_ms": [20.025607184268583, 80.10242873707433], "vo_kb": [645.06925, 872.7407499999999]}, "label": "512GiB条件预测，未在512GiB机器实测", "recall_scope": "existing search calibration only", "model": "nytimes256-289761-M256", "recall": 0.8500000000000002, "recall_source": "/mnt/d/paper_source/work_9/VeriANN_repro_2026-09-30/VeriANN_repro_2026-09-30/V3DB-26VLDB/work9-cache/nytimes256-289761-M256/calibration.json", "recall_queries": 20}}</t>
        </is>
      </c>
    </row>
    <row r="96">
      <c r="A96" s="0" t="inlineStr">
        <is>
          <t>NYTimes-256</t>
        </is>
      </c>
      <c r="B96" s="0" t="inlineStr">
        <is>
          <t>T50</t>
        </is>
      </c>
      <c r="C96" s="0" t="inlineStr">
        <is>
          <t>预算内未测</t>
        </is>
      </c>
      <c r="E96" s="0" t="b">
        <v>0</v>
      </c>
      <c r="F96" s="0" t="inlineStr">
        <is>
          <t>{"kind": "curve", "dataset": "nytimes256", "sheet": "NYTimes-256", "column": 20, "target": 0.85,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32, "k": 10, "gates": 14739445, "gate_source": "structural estimate", "domain_bits": 24, "guard_domain_bits": 24, "proof_phase_memory_estimate_GiB": 517.6257934570312, "planned_machine_memory_GiB": 832.818048095703, "fits_512GiB_scenario": false, "query_ms": 10497176.73461857, "verify_ms": 40.05121436853717, "vo_kb": 758.905, "declared_sensitivity": {"query_ms": [5248588.367309285, 20994353.46923714], "verify_ms": [20.025607184268583, 80.10242873707433], "vo_kb": [645.06925, 872.7407499999999]}, "label": "512GiB条件预测，未在512GiB机器实测", "recall_scope": "existing search calibration only", "model": "nytimes256-289761-M256", "recall": 0.8500000000000002, "recall_source": "/mnt/d/paper_source/work_9/VeriANN_repro_2026-09-30/VeriANN_repro_2026-09-30/V3DB-26VLDB/work9-cache/nytimes256-289761-M256/calibration.json", "recall_queries": 20}}</t>
        </is>
      </c>
    </row>
    <row r="97">
      <c r="A97" s="0" t="inlineStr">
        <is>
          <t>NYTimes-256</t>
        </is>
      </c>
      <c r="B97" s="0" t="inlineStr">
        <is>
          <t>T51</t>
        </is>
      </c>
      <c r="C97" s="0" t="inlineStr">
        <is>
          <t>预算内未测</t>
        </is>
      </c>
      <c r="E97" s="0" t="b">
        <v>0</v>
      </c>
      <c r="F97" s="0" t="inlineStr">
        <is>
          <t>{"kind": "curve", "dataset": "nytimes256", "sheet": "NYTimes-256", "column": 20, "target": 0.85,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32, "k": 10, "gates": 14739445, "gate_source": "structural estimate", "domain_bits": 24, "guard_domain_bits": 24, "proof_phase_memory_estimate_GiB": 517.6257934570312, "planned_machine_memory_GiB": 832.818048095703, "fits_512GiB_scenario": false, "query_ms": 10497176.73461857, "verify_ms": 40.05121436853717, "vo_kb": 758.905, "declared_sensitivity": {"query_ms": [5248588.367309285, 20994353.46923714], "verify_ms": [20.025607184268583, 80.10242873707433], "vo_kb": [645.06925, 872.7407499999999]}, "label": "512GiB条件预测，未在512GiB机器实测", "recall_scope": "existing search calibration only", "model": "nytimes256-289761-M256", "recall": 0.8500000000000002, "recall_source": "/mnt/d/paper_source/work_9/VeriANN_repro_2026-09-30/VeriANN_repro_2026-09-30/V3DB-26VLDB/work9-cache/nytimes256-289761-M256/calibration.json", "recall_queries": 20}}</t>
        </is>
      </c>
    </row>
    <row r="98">
      <c r="A98" s="0" t="inlineStr">
        <is>
          <t>NYTimes-256</t>
        </is>
      </c>
      <c r="B98" s="0" t="inlineStr">
        <is>
          <t>U26</t>
        </is>
      </c>
      <c r="C98" s="0" t="inlineStr">
        <is>
          <t>预算内未测</t>
        </is>
      </c>
      <c r="E98" s="0" t="b">
        <v>0</v>
      </c>
      <c r="F98" s="0" t="inlineStr">
        <is>
          <t>{"kind": "curve", "dataset": "nytimes256", "sheet": "NYTimes-256", "column": 21, "target": 0.9,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128, "k": 10, "gates": 58819823, "gate_source": "structural estimate", "domain_bits": 26, "guard_domain_bits": 26, "proof_phase_memory_estimate_GiB": 2070.503173828125, "planned_machine_memory_GiB": 3235.272192382812, "fits_512GiB_scenario": false, "query_ms": 45487765.85001381, "verify_ms": 78.2097324619941, "vo_kb": 2348.191, "declared_sensitivity": {"query_ms": [22743882.925006904, 90975531.70002761], "verify_ms": [39.10486623099705, 156.4194649239882], "vo_kb": [1995.9623499999998, 2700.4196499999994]}, "label": "512GiB条件预测，未在512GiB机器实测", "recall_scope": "existing search calibration only", "model": "nytimes256-289761-M256", "recall": 0.915, "recall_source": "/mnt/d/paper_source/work_9/VeriANN_repro_2026-09-30/VeriANN_repro_2026-09-30/V3DB-26VLDB/work9-cache/nytimes256-289761-M256/calibration.json", "recall_queries": 20}}</t>
        </is>
      </c>
    </row>
    <row r="99">
      <c r="A99" s="0" t="inlineStr">
        <is>
          <t>NYTimes-256</t>
        </is>
      </c>
      <c r="B99" s="0" t="inlineStr">
        <is>
          <t>U27</t>
        </is>
      </c>
      <c r="C99" s="0" t="inlineStr">
        <is>
          <t>预算内未测</t>
        </is>
      </c>
      <c r="E99" s="0" t="b">
        <v>0</v>
      </c>
      <c r="F99" s="0" t="inlineStr">
        <is>
          <t>{"kind": "curve", "dataset": "nytimes256", "sheet": "NYTimes-256", "column": 21, "target": 0.9,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128, "k": 10, "gates": 58819823, "gate_source": "structural estimate", "domain_bits": 26, "guard_domain_bits": 26, "proof_phase_memory_estimate_GiB": 2070.503173828125, "planned_machine_memory_GiB": 3235.272192382812, "fits_512GiB_scenario": false, "query_ms": 45487765.85001381, "verify_ms": 78.2097324619941, "vo_kb": 2348.191, "declared_sensitivity": {"query_ms": [22743882.925006904, 90975531.70002761], "verify_ms": [39.10486623099705, 156.4194649239882], "vo_kb": [1995.9623499999998, 2700.4196499999994]}, "label": "512GiB条件预测，未在512GiB机器实测", "recall_scope": "existing search calibration only", "model": "nytimes256-289761-M256", "recall": 0.915, "recall_source": "/mnt/d/paper_source/work_9/VeriANN_repro_2026-09-30/VeriANN_repro_2026-09-30/V3DB-26VLDB/work9-cache/nytimes256-289761-M256/calibration.json", "recall_queries": 20}}</t>
        </is>
      </c>
    </row>
    <row r="100">
      <c r="A100" s="0" t="inlineStr">
        <is>
          <t>NYTimes-256</t>
        </is>
      </c>
      <c r="B100" s="0" t="inlineStr">
        <is>
          <t>U38</t>
        </is>
      </c>
      <c r="C100" s="0" t="inlineStr">
        <is>
          <t>预算内未测</t>
        </is>
      </c>
      <c r="E100" s="0" t="b">
        <v>0</v>
      </c>
      <c r="F100" s="0" t="inlineStr">
        <is>
          <t>{"kind": "curve", "dataset": "nytimes256", "sheet": "NYTimes-256", "column": 21, "target": 0.9,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128, "k": 10, "gates": 58819823, "gate_source": "structural estimate", "domain_bits": 26, "guard_domain_bits": 26, "proof_phase_memory_estimate_GiB": 2070.503173828125, "planned_machine_memory_GiB": 3235.272192382812, "fits_512GiB_scenario": false, "query_ms": 45487765.85001381, "verify_ms": 78.2097324619941, "vo_kb": 2348.191, "declared_sensitivity": {"query_ms": [22743882.925006904, 90975531.70002761], "verify_ms": [39.10486623099705, 156.4194649239882], "vo_kb": [1995.9623499999998, 2700.4196499999994]}, "label": "512GiB条件预测，未在512GiB机器实测", "recall_scope": "existing search calibration only", "model": "nytimes256-289761-M256", "recall": 0.915, "recall_source": "/mnt/d/paper_source/work_9/VeriANN_repro_2026-09-30/VeriANN_repro_2026-09-30/V3DB-26VLDB/work9-cache/nytimes256-289761-M256/calibration.json", "recall_queries": 20}}</t>
        </is>
      </c>
    </row>
    <row r="101">
      <c r="A101" s="0" t="inlineStr">
        <is>
          <t>NYTimes-256</t>
        </is>
      </c>
      <c r="B101" s="0" t="inlineStr">
        <is>
          <t>U39</t>
        </is>
      </c>
      <c r="C101" s="0" t="inlineStr">
        <is>
          <t>预算内未测</t>
        </is>
      </c>
      <c r="E101" s="0" t="b">
        <v>0</v>
      </c>
      <c r="F101" s="0" t="inlineStr">
        <is>
          <t>{"kind": "curve", "dataset": "nytimes256", "sheet": "NYTimes-256", "column": 21, "target": 0.9,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128, "k": 10, "gates": 58819823, "gate_source": "structural estimate", "domain_bits": 26, "guard_domain_bits": 26, "proof_phase_memory_estimate_GiB": 2070.503173828125, "planned_machine_memory_GiB": 3235.272192382812, "fits_512GiB_scenario": false, "query_ms": 45487765.85001381, "verify_ms": 78.2097324619941, "vo_kb": 2348.191, "declared_sensitivity": {"query_ms": [22743882.925006904, 90975531.70002761], "verify_ms": [39.10486623099705, 156.4194649239882], "vo_kb": [1995.9623499999998, 2700.4196499999994]}, "label": "512GiB条件预测，未在512GiB机器实测", "recall_scope": "existing search calibration only", "model": "nytimes256-289761-M256", "recall": 0.915, "recall_source": "/mnt/d/paper_source/work_9/VeriANN_repro_2026-09-30/VeriANN_repro_2026-09-30/V3DB-26VLDB/work9-cache/nytimes256-289761-M256/calibration.json", "recall_queries": 20}}</t>
        </is>
      </c>
    </row>
    <row r="102">
      <c r="A102" s="0" t="inlineStr">
        <is>
          <t>NYTimes-256</t>
        </is>
      </c>
      <c r="B102" s="0" t="inlineStr">
        <is>
          <t>U50</t>
        </is>
      </c>
      <c r="C102" s="0" t="inlineStr">
        <is>
          <t>预算内未测</t>
        </is>
      </c>
      <c r="E102" s="0" t="b">
        <v>0</v>
      </c>
      <c r="F102" s="0" t="inlineStr">
        <is>
          <t>{"kind": "curve", "dataset": "nytimes256", "sheet": "NYTimes-256", "column": 21, "target": 0.9,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128, "k": 10, "gates": 58819823, "gate_source": "structural estimate", "domain_bits": 26, "guard_domain_bits": 26, "proof_phase_memory_estimate_GiB": 2070.503173828125, "planned_machine_memory_GiB": 3235.272192382812, "fits_512GiB_scenario": false, "query_ms": 45487765.85001381, "verify_ms": 78.2097324619941, "vo_kb": 2348.191, "declared_sensitivity": {"query_ms": [22743882.925006904, 90975531.70002761], "verify_ms": [39.10486623099705, 156.4194649239882], "vo_kb": [1995.9623499999998, 2700.4196499999994]}, "label": "512GiB条件预测，未在512GiB机器实测", "recall_scope": "existing search calibration only", "model": "nytimes256-289761-M256", "recall": 0.915, "recall_source": "/mnt/d/paper_source/work_9/VeriANN_repro_2026-09-30/VeriANN_repro_2026-09-30/V3DB-26VLDB/work9-cache/nytimes256-289761-M256/calibration.json", "recall_queries": 20}}</t>
        </is>
      </c>
    </row>
    <row r="103">
      <c r="A103" s="0" t="inlineStr">
        <is>
          <t>NYTimes-256</t>
        </is>
      </c>
      <c r="B103" s="0" t="inlineStr">
        <is>
          <t>U51</t>
        </is>
      </c>
      <c r="C103" s="0" t="inlineStr">
        <is>
          <t>预算内未测</t>
        </is>
      </c>
      <c r="E103" s="0" t="b">
        <v>0</v>
      </c>
      <c r="F103" s="0" t="inlineStr">
        <is>
          <t>{"kind": "curve", "dataset": "nytimes256", "sheet": "NYTimes-256", "column": 21, "target": 0.9,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128, "k": 10, "gates": 58819823, "gate_source": "structural estimate", "domain_bits": 26, "guard_domain_bits": 26, "proof_phase_memory_estimate_GiB": 2070.503173828125, "planned_machine_memory_GiB": 3235.272192382812, "fits_512GiB_scenario": false, "query_ms": 45487765.85001381, "verify_ms": 78.2097324619941, "vo_kb": 2348.191, "declared_sensitivity": {"query_ms": [22743882.925006904, 90975531.70002761], "verify_ms": [39.10486623099705, 156.4194649239882], "vo_kb": [1995.9623499999998, 2700.4196499999994]}, "label": "512GiB条件预测，未在512GiB机器实测", "recall_scope": "existing search calibration only", "model": "nytimes256-289761-M256", "recall": 0.915, "recall_source": "/mnt/d/paper_source/work_9/VeriANN_repro_2026-09-30/VeriANN_repro_2026-09-30/V3DB-26VLDB/work9-cache/nytimes256-289761-M256/calibration.json", "recall_queries": 20}}</t>
        </is>
      </c>
    </row>
    <row r="104">
      <c r="A104" s="0" t="inlineStr">
        <is>
          <t>NYTimes-256</t>
        </is>
      </c>
      <c r="B104" s="0" t="inlineStr">
        <is>
          <t>V26</t>
        </is>
      </c>
      <c r="C104" s="0" t="inlineStr">
        <is>
          <t>预算内未测</t>
        </is>
      </c>
      <c r="E104" s="0" t="b">
        <v>0</v>
      </c>
      <c r="F104" s="0" t="inlineStr">
        <is>
          <t>{"kind": "curve", "dataset": "nytimes256", "sheet": "NYTimes-256", "column": 22, "target": 0.95,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{"query_ms": [47237295.30578357, 188949181.22313428], "verify_ms": [63.58617411373628, 254.3446964549451], "vo_kb": [3785.5209, 5121.5871]},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t>
        </is>
      </c>
    </row>
    <row r="105">
      <c r="A105" s="0" t="inlineStr">
        <is>
          <t>NYTimes-256</t>
        </is>
      </c>
      <c r="B105" s="0" t="inlineStr">
        <is>
          <t>V27</t>
        </is>
      </c>
      <c r="C105" s="0" t="inlineStr">
        <is>
          <t>预算内未测</t>
        </is>
      </c>
      <c r="E105" s="0" t="b">
        <v>0</v>
      </c>
      <c r="F105" s="0" t="inlineStr">
        <is>
          <t>{"kind": "curve", "dataset": "nytimes256", "sheet": "NYTimes-256", "column": 22, "target": 0.95,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{"query_ms": [47237295.30578357, 188949181.22313428], "verify_ms": [63.58617411373628, 254.3446964549451], "vo_kb": [3785.5209, 5121.5871]},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t>
        </is>
      </c>
    </row>
    <row r="106">
      <c r="A106" s="0" t="inlineStr">
        <is>
          <t>NYTimes-256</t>
        </is>
      </c>
      <c r="B106" s="0" t="inlineStr">
        <is>
          <t>V38</t>
        </is>
      </c>
      <c r="C106" s="0" t="inlineStr">
        <is>
          <t>预算内未测</t>
        </is>
      </c>
      <c r="E106" s="0" t="b">
        <v>0</v>
      </c>
      <c r="F106" s="0" t="inlineStr">
        <is>
          <t>{"kind": "curve", "dataset": "nytimes256", "sheet": "NYTimes-256", "column": 22, "target": 0.95,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{"query_ms": [47237295.30578357, 188949181.22313428], "verify_ms": [63.58617411373628, 254.3446964549451], "vo_kb": [3785.5209, 5121.5871]},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t>
        </is>
      </c>
    </row>
    <row r="107">
      <c r="A107" s="0" t="inlineStr">
        <is>
          <t>NYTimes-256</t>
        </is>
      </c>
      <c r="B107" s="0" t="inlineStr">
        <is>
          <t>V39</t>
        </is>
      </c>
      <c r="C107" s="0" t="inlineStr">
        <is>
          <t>预算内未测</t>
        </is>
      </c>
      <c r="E107" s="0" t="b">
        <v>0</v>
      </c>
      <c r="F107" s="0" t="inlineStr">
        <is>
          <t>{"kind": "curve", "dataset": "nytimes256", "sheet": "NYTimes-256", "column": 22, "target": 0.95,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{"query_ms": [47237295.30578357, 188949181.22313428], "verify_ms": [63.58617411373628, 254.3446964549451], "vo_kb": [3785.5209, 5121.5871]},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t>
        </is>
      </c>
    </row>
    <row r="108">
      <c r="A108" s="0" t="inlineStr">
        <is>
          <t>NYTimes-256</t>
        </is>
      </c>
      <c r="B108" s="0" t="inlineStr">
        <is>
          <t>V50</t>
        </is>
      </c>
      <c r="C108" s="0" t="inlineStr">
        <is>
          <t>预算内未测</t>
        </is>
      </c>
      <c r="E108" s="0" t="b">
        <v>0</v>
      </c>
      <c r="F108" s="0" t="inlineStr">
        <is>
          <t>{"kind": "curve", "dataset": "nytimes256", "sheet": "NYTimes-256", "column": 22, "target": 0.95,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{"query_ms": [47237295.30578357, 188949181.22313428], "verify_ms": [63.58617411373628, 254.3446964549451], "vo_kb": [3785.5209, 5121.5871]},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t>
        </is>
      </c>
    </row>
    <row r="109">
      <c r="A109" s="0" t="inlineStr">
        <is>
          <t>NYTimes-256</t>
        </is>
      </c>
      <c r="B109" s="0" t="inlineStr">
        <is>
          <t>V51</t>
        </is>
      </c>
      <c r="C109" s="0" t="inlineStr">
        <is>
          <t>预算内未测</t>
        </is>
      </c>
      <c r="E109" s="0" t="b">
        <v>0</v>
      </c>
      <c r="F109" s="0" t="inlineStr">
        <is>
          <t>{"kind": "curve", "dataset": "nytimes256", "sheet": "NYTimes-256", "column": 22, "target": 0.95,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{"query_ms": [47237295.30578357, 188949181.22313428], "verify_ms": [63.58617411373628, 254.3446964549451], "vo_kb": [3785.5209, 5121.5871]},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t>
        </is>
      </c>
    </row>
    <row r="110">
      <c r="A110" s="0" t="inlineStr">
        <is>
          <t>NYTimes-256</t>
        </is>
      </c>
      <c r="B110" s="0" t="inlineStr">
        <is>
          <t>W26</t>
        </is>
      </c>
      <c r="C110" s="0" t="inlineStr">
        <is>
          <t>预算内未测</t>
        </is>
      </c>
      <c r="E110" s="0" t="b">
        <v>0</v>
      </c>
      <c r="F110" s="0" t="inlineStr">
        <is>
          <t>{"kind": "curve", "dataset": "nytimes256", "sheet": "NYTimes-256", "column": 23, "target": 0.97,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{"query_ms": [47237295.30578357, 188949181.22313428], "verify_ms": [63.58617411373628, 254.3446964549451], "vo_kb": [3785.5209, 5121.5871]},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t>
        </is>
      </c>
    </row>
    <row r="111">
      <c r="A111" s="0" t="inlineStr">
        <is>
          <t>NYTimes-256</t>
        </is>
      </c>
      <c r="B111" s="0" t="inlineStr">
        <is>
          <t>W27</t>
        </is>
      </c>
      <c r="C111" s="0" t="inlineStr">
        <is>
          <t>预算内未测</t>
        </is>
      </c>
      <c r="E111" s="0" t="b">
        <v>0</v>
      </c>
      <c r="F111" s="0" t="inlineStr">
        <is>
          <t>{"kind": "curve", "dataset": "nytimes256", "sheet": "NYTimes-256", "column": 23, "target": 0.97,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{"query_ms": [47237295.30578357, 188949181.22313428], "verify_ms": [63.58617411373628, 254.3446964549451], "vo_kb": [3785.5209, 5121.5871]},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t>
        </is>
      </c>
    </row>
    <row r="112">
      <c r="A112" s="0" t="inlineStr">
        <is>
          <t>NYTimes-256</t>
        </is>
      </c>
      <c r="B112" s="0" t="inlineStr">
        <is>
          <t>W38</t>
        </is>
      </c>
      <c r="C112" s="0" t="inlineStr">
        <is>
          <t>预算内未测</t>
        </is>
      </c>
      <c r="E112" s="0" t="b">
        <v>0</v>
      </c>
      <c r="F112" s="0" t="inlineStr">
        <is>
          <t>{"kind": "curve", "dataset": "nytimes256", "sheet": "NYTimes-256", "column": 23, "target": 0.97,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{"query_ms": [47237295.30578357, 188949181.22313428], "verify_ms": [63.58617411373628, 254.3446964549451], "vo_kb": [3785.5209, 5121.5871]},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t>
        </is>
      </c>
    </row>
    <row r="113">
      <c r="A113" s="0" t="inlineStr">
        <is>
          <t>NYTimes-256</t>
        </is>
      </c>
      <c r="B113" s="0" t="inlineStr">
        <is>
          <t>W39</t>
        </is>
      </c>
      <c r="C113" s="0" t="inlineStr">
        <is>
          <t>预算内未测</t>
        </is>
      </c>
      <c r="E113" s="0" t="b">
        <v>0</v>
      </c>
      <c r="F113" s="0" t="inlineStr">
        <is>
          <t>{"kind": "curve", "dataset": "nytimes256", "sheet": "NYTimes-256", "column": 23, "target": 0.97,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{"query_ms": [47237295.30578357, 188949181.22313428], "verify_ms": [63.58617411373628, 254.3446964549451], "vo_kb": [3785.5209, 5121.5871]},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t>
        </is>
      </c>
    </row>
    <row r="114">
      <c r="A114" s="0" t="inlineStr">
        <is>
          <t>NYTimes-256</t>
        </is>
      </c>
      <c r="B114" s="0" t="inlineStr">
        <is>
          <t>W50</t>
        </is>
      </c>
      <c r="C114" s="0" t="inlineStr">
        <is>
          <t>预算内未测</t>
        </is>
      </c>
      <c r="E114" s="0" t="b">
        <v>0</v>
      </c>
      <c r="F114" s="0" t="inlineStr">
        <is>
          <t>{"kind": "curve", "dataset": "nytimes256", "sheet": "NYTimes-256", "column": 23, "target": 0.97,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{"query_ms": [47237295.30578357, 188949181.22313428], "verify_ms": [63.58617411373628, 254.3446964549451], "vo_kb": [3785.5209, 5121.5871]},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t>
        </is>
      </c>
    </row>
    <row r="115">
      <c r="A115" s="0" t="inlineStr">
        <is>
          <t>NYTimes-256</t>
        </is>
      </c>
      <c r="B115" s="0" t="inlineStr">
        <is>
          <t>W51</t>
        </is>
      </c>
      <c r="C115" s="0" t="inlineStr">
        <is>
          <t>预算内未测</t>
        </is>
      </c>
      <c r="E115" s="0" t="b">
        <v>0</v>
      </c>
      <c r="F115" s="0" t="inlineStr">
        <is>
          <t>{"kind": "curve", "dataset": "nytimes256", "sheet": "NYTimes-256", "column": 23, "target": 0.97,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{"query_ms": [47237295.30578357, 188949181.22313428], "verify_ms": [63.58617411373628, 254.3446964549451], "vo_kb": [3785.5209, 5121.5871]},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t>
        </is>
      </c>
    </row>
    <row r="116">
      <c r="A116" s="0" t="inlineStr">
        <is>
          <t>NYTimes-256</t>
        </is>
      </c>
      <c r="B116" s="0" t="inlineStr">
        <is>
          <t>X26</t>
        </is>
      </c>
      <c r="C116" s="0" t="inlineStr">
        <is>
          <t>预算内未测</t>
        </is>
      </c>
      <c r="E116" s="0" t="b">
        <v>0</v>
      </c>
      <c r="F116" s="0" t="inlineStr">
        <is>
          <t>{"kind": "curve", "dataset": "nytimes256", "sheet": "NYTimes-256", "column": 24, "target": 0.98,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{"query_ms": [97973649.52310666, 391894598.09242666], "verify_ms": [111.97416737147552, 447.89666948590207], "vo_kb": [7357.658649999999, 9954.479349999998]},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t>
        </is>
      </c>
    </row>
    <row r="117">
      <c r="A117" s="0" t="inlineStr">
        <is>
          <t>NYTimes-256</t>
        </is>
      </c>
      <c r="B117" s="0" t="inlineStr">
        <is>
          <t>X27</t>
        </is>
      </c>
      <c r="C117" s="0" t="inlineStr">
        <is>
          <t>预算内未测</t>
        </is>
      </c>
      <c r="E117" s="0" t="b">
        <v>0</v>
      </c>
      <c r="F117" s="0" t="inlineStr">
        <is>
          <t>{"kind": "curve", "dataset": "nytimes256", "sheet": "NYTimes-256", "column": 24, "target": 0.98,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{"query_ms": [97973649.52310666, 391894598.09242666], "verify_ms": [111.97416737147552, 447.89666948590207], "vo_kb": [7357.658649999999, 9954.479349999998]},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t>
        </is>
      </c>
    </row>
    <row r="118">
      <c r="A118" s="0" t="inlineStr">
        <is>
          <t>NYTimes-256</t>
        </is>
      </c>
      <c r="B118" s="0" t="inlineStr">
        <is>
          <t>X38</t>
        </is>
      </c>
      <c r="C118" s="0" t="inlineStr">
        <is>
          <t>预算内未测</t>
        </is>
      </c>
      <c r="E118" s="0" t="b">
        <v>0</v>
      </c>
      <c r="F118" s="0" t="inlineStr">
        <is>
          <t>{"kind": "curve", "dataset": "nytimes256", "sheet": "NYTimes-256", "column": 24, "target": 0.98,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{"query_ms": [97973649.52310666, 391894598.09242666], "verify_ms": [111.97416737147552, 447.89666948590207], "vo_kb": [7357.658649999999, 9954.479349999998]},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t>
        </is>
      </c>
    </row>
    <row r="119">
      <c r="A119" s="0" t="inlineStr">
        <is>
          <t>NYTimes-256</t>
        </is>
      </c>
      <c r="B119" s="0" t="inlineStr">
        <is>
          <t>X39</t>
        </is>
      </c>
      <c r="C119" s="0" t="inlineStr">
        <is>
          <t>预算内未测</t>
        </is>
      </c>
      <c r="E119" s="0" t="b">
        <v>0</v>
      </c>
      <c r="F119" s="0" t="inlineStr">
        <is>
          <t>{"kind": "curve", "dataset": "nytimes256", "sheet": "NYTimes-256", "column": 24, "target": 0.98,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{"query_ms": [97973649.52310666, 391894598.09242666], "verify_ms": [111.97416737147552, 447.89666948590207], "vo_kb": [7357.658649999999, 9954.479349999998]},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t>
        </is>
      </c>
    </row>
    <row r="120">
      <c r="A120" s="0" t="inlineStr">
        <is>
          <t>NYTimes-256</t>
        </is>
      </c>
      <c r="B120" s="0" t="inlineStr">
        <is>
          <t>X50</t>
        </is>
      </c>
      <c r="C120" s="0" t="inlineStr">
        <is>
          <t>预算内未测</t>
        </is>
      </c>
      <c r="E120" s="0" t="b">
        <v>0</v>
      </c>
      <c r="F120" s="0" t="inlineStr">
        <is>
          <t>{"kind": "curve", "dataset": "nytimes256", "sheet": "NYTimes-256", "column": 24, "target": 0.98,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{"query_ms": [97973649.52310666, 391894598.09242666], "verify_ms": [111.97416737147552, 447.89666948590207], "vo_kb": [7357.658649999999, 9954.479349999998]},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t>
        </is>
      </c>
    </row>
    <row r="121">
      <c r="A121" s="0" t="inlineStr">
        <is>
          <t>NYTimes-256</t>
        </is>
      </c>
      <c r="B121" s="0" t="inlineStr">
        <is>
          <t>X51</t>
        </is>
      </c>
      <c r="C121" s="0" t="inlineStr">
        <is>
          <t>预算内未测</t>
        </is>
      </c>
      <c r="E121" s="0" t="b">
        <v>0</v>
      </c>
      <c r="F121" s="0" t="inlineStr">
        <is>
          <t>{"kind": "curve", "dataset": "nytimes256", "sheet": "NYTimes-256", "column": 24, "target": 0.98,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{"query_ms": [97973649.52310666, 391894598.09242666], "verify_ms": [111.97416737147552, 447.89666948590207], "vo_kb": [7357.658649999999, 9954.479349999998]},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t>
        </is>
      </c>
    </row>
    <row r="122">
      <c r="A122" s="0" t="inlineStr">
        <is>
          <t>NYTimes-256</t>
        </is>
      </c>
      <c r="B122" s="0" t="inlineStr">
        <is>
          <t>Y26</t>
        </is>
      </c>
      <c r="C122" s="0" t="inlineStr">
        <is>
          <t>预算内未测</t>
        </is>
      </c>
      <c r="E122" s="0" t="b">
        <v>0</v>
      </c>
      <c r="F122" s="0" t="inlineStr">
        <is>
          <t>{"kind": "curve", "dataset": "nytimes256", "sheet": "NYTimes-256", "column": 25, "target": 0.99,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{"query_ms": [97973649.52310666, 391894598.09242666], "verify_ms": [111.97416737147552, 447.89666948590207], "vo_kb": [7357.658649999999, 9954.479349999998]},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t>
        </is>
      </c>
    </row>
    <row r="123">
      <c r="A123" s="0" t="inlineStr">
        <is>
          <t>NYTimes-256</t>
        </is>
      </c>
      <c r="B123" s="0" t="inlineStr">
        <is>
          <t>Y27</t>
        </is>
      </c>
      <c r="C123" s="0" t="inlineStr">
        <is>
          <t>预算内未测</t>
        </is>
      </c>
      <c r="E123" s="0" t="b">
        <v>0</v>
      </c>
      <c r="F123" s="0" t="inlineStr">
        <is>
          <t>{"kind": "curve", "dataset": "nytimes256", "sheet": "NYTimes-256", "column": 25, "target": 0.99,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{"query_ms": [97973649.52310666, 391894598.09242666], "verify_ms": [111.97416737147552, 447.89666948590207], "vo_kb": [7357.658649999999, 9954.479349999998]},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t>
        </is>
      </c>
    </row>
    <row r="124">
      <c r="A124" s="0" t="inlineStr">
        <is>
          <t>NYTimes-256</t>
        </is>
      </c>
      <c r="B124" s="0" t="inlineStr">
        <is>
          <t>Y38</t>
        </is>
      </c>
      <c r="C124" s="0" t="inlineStr">
        <is>
          <t>预算内未测</t>
        </is>
      </c>
      <c r="E124" s="0" t="b">
        <v>0</v>
      </c>
      <c r="F124" s="0" t="inlineStr">
        <is>
          <t>{"kind": "curve", "dataset": "nytimes256", "sheet": "NYTimes-256", "column": 25, "target": 0.99,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{"query_ms": [97973649.52310666, 391894598.09242666], "verify_ms": [111.97416737147552, 447.89666948590207], "vo_kb": [7357.658649999999, 9954.479349999998]},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t>
        </is>
      </c>
    </row>
    <row r="125">
      <c r="A125" s="0" t="inlineStr">
        <is>
          <t>NYTimes-256</t>
        </is>
      </c>
      <c r="B125" s="0" t="inlineStr">
        <is>
          <t>Y39</t>
        </is>
      </c>
      <c r="C125" s="0" t="inlineStr">
        <is>
          <t>预算内未测</t>
        </is>
      </c>
      <c r="E125" s="0" t="b">
        <v>0</v>
      </c>
      <c r="F125" s="0" t="inlineStr">
        <is>
          <t>{"kind": "curve", "dataset": "nytimes256", "sheet": "NYTimes-256", "column": 25, "target": 0.99,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{"query_ms": [97973649.52310666, 391894598.09242666], "verify_ms": [111.97416737147552, 447.89666948590207], "vo_kb": [7357.658649999999, 9954.479349999998]},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t>
        </is>
      </c>
    </row>
    <row r="126">
      <c r="A126" s="0" t="inlineStr">
        <is>
          <t>NYTimes-256</t>
        </is>
      </c>
      <c r="B126" s="0" t="inlineStr">
        <is>
          <t>Y50</t>
        </is>
      </c>
      <c r="C126" s="0" t="inlineStr">
        <is>
          <t>预算内未测</t>
        </is>
      </c>
      <c r="E126" s="0" t="b">
        <v>0</v>
      </c>
      <c r="F126" s="0" t="inlineStr">
        <is>
          <t>{"kind": "curve", "dataset": "nytimes256", "sheet": "NYTimes-256", "column": 25, "target": 0.99,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{"query_ms": [97973649.52310666, 391894598.09242666], "verify_ms": [111.97416737147552, 447.89666948590207], "vo_kb": [7357.658649999999, 9954.479349999998]},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t>
        </is>
      </c>
    </row>
    <row r="127">
      <c r="A127" s="0" t="inlineStr">
        <is>
          <t>NYTimes-256</t>
        </is>
      </c>
      <c r="B127" s="0" t="inlineStr">
        <is>
          <t>Y51</t>
        </is>
      </c>
      <c r="C127" s="0" t="inlineStr">
        <is>
          <t>预算内未测</t>
        </is>
      </c>
      <c r="E127" s="0" t="b">
        <v>0</v>
      </c>
      <c r="F127" s="0" t="inlineStr">
        <is>
          <t>{"kind": "curve", "dataset": "nytimes256", "sheet": "NYTimes-256", "column": 25, "target": 0.99,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{"query_ms": [97973649.52310666, 391894598.09242666], "verify_ms": [111.97416737147552, 447.89666948590207], "vo_kb": [7357.658649999999, 9954.479349999998]},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t>
        </is>
      </c>
    </row>
    <row r="128">
      <c r="A128" s="0" t="inlineStr">
        <is>
          <t>NYTimes-256</t>
        </is>
      </c>
      <c r="B128" s="0" t="inlineStr">
        <is>
          <t>G64</t>
        </is>
      </c>
      <c r="C128" s="0" t="inlineStr">
        <is>
          <t>待V3DB实测</t>
        </is>
      </c>
      <c r="E128" s="0" t="b">
        <v>0</v>
      </c>
      <c r="F128" s="0" t="inlineStr">
        <is>
          <t>{"kind": "size", "dataset": "nytimes256", "sheet": "NYTimes-256", "column": 7, "N": 500000, "choice": null, "reason": "requested size exceeds actual available corpus; not a RAM question"}</t>
        </is>
      </c>
    </row>
    <row r="129">
      <c r="A129" s="0" t="inlineStr">
        <is>
          <t>NYTimes-256</t>
        </is>
      </c>
      <c r="B129" s="0" t="inlineStr">
        <is>
          <t>G75</t>
        </is>
      </c>
      <c r="C129" s="0" t="inlineStr">
        <is>
          <t>待V3DB实测</t>
        </is>
      </c>
      <c r="E129" s="0" t="b">
        <v>0</v>
      </c>
      <c r="F129" s="0" t="inlineStr">
        <is>
          <t>{"kind": "size", "dataset": "nytimes256", "sheet": "NYTimes-256", "column": 7, "N": 500000, "choice": null, "reason": "requested size exceeds actual available corpus; not a RAM question"}</t>
        </is>
      </c>
    </row>
    <row r="130">
      <c r="A130" s="0" t="inlineStr">
        <is>
          <t>NYTimes-256</t>
        </is>
      </c>
      <c r="B130" s="0" t="inlineStr">
        <is>
          <t>G85</t>
        </is>
      </c>
      <c r="C130" s="0" t="inlineStr">
        <is>
          <t>待V3DB实测</t>
        </is>
      </c>
      <c r="E130" s="0" t="b">
        <v>0</v>
      </c>
      <c r="F130" s="0" t="inlineStr">
        <is>
          <t>{"kind": "size", "dataset": "nytimes256", "sheet": "NYTimes-256", "column": 7, "N": 500000, "choice": null, "reason": "requested size exceeds actual available corpus; not a RAM question"}</t>
        </is>
      </c>
    </row>
    <row r="131">
      <c r="A131" s="0" t="inlineStr">
        <is>
          <t>NYTimes-256</t>
        </is>
      </c>
      <c r="B131" s="0" t="inlineStr">
        <is>
          <t>H64</t>
        </is>
      </c>
      <c r="C131" s="0" t="inlineStr">
        <is>
          <t>待V3DB实测</t>
        </is>
      </c>
      <c r="E131" s="0" t="b">
        <v>0</v>
      </c>
      <c r="F131" s="0" t="inlineStr">
        <is>
          <t>{"kind": "size", "dataset": "nytimes256", "sheet": "NYTimes-256", "column": 8, "N": 1000000, "choice": null, "reason": "requested size exceeds actual available corpus; not a RAM question"}</t>
        </is>
      </c>
    </row>
    <row r="132">
      <c r="A132" s="0" t="inlineStr">
        <is>
          <t>NYTimes-256</t>
        </is>
      </c>
      <c r="B132" s="0" t="inlineStr">
        <is>
          <t>H75</t>
        </is>
      </c>
      <c r="C132" s="0" t="inlineStr">
        <is>
          <t>待V3DB实测</t>
        </is>
      </c>
      <c r="E132" s="0" t="b">
        <v>0</v>
      </c>
      <c r="F132" s="0" t="inlineStr">
        <is>
          <t>{"kind": "size", "dataset": "nytimes256", "sheet": "NYTimes-256", "column": 8, "N": 1000000, "choice": null, "reason": "requested size exceeds actual available corpus; not a RAM question"}</t>
        </is>
      </c>
    </row>
    <row r="133">
      <c r="A133" s="0" t="inlineStr">
        <is>
          <t>NYTimes-256</t>
        </is>
      </c>
      <c r="B133" s="0" t="inlineStr">
        <is>
          <t>H85</t>
        </is>
      </c>
      <c r="C133" s="0" t="inlineStr">
        <is>
          <t>待V3DB实测</t>
        </is>
      </c>
      <c r="E133" s="0" t="b">
        <v>0</v>
      </c>
      <c r="F133" s="0" t="inlineStr">
        <is>
          <t>{"kind": "size", "dataset": "nytimes256", "sheet": "NYTimes-256", "column": 8, "N": 1000000, "choice": null, "reason": "requested size exceeds actual available corpus; not a RAM question"}</t>
        </is>
      </c>
    </row>
    <row r="134">
      <c r="A134" s="0" t="inlineStr">
        <is>
          <t>NYTimes-256</t>
        </is>
      </c>
      <c r="B134" s="0" t="inlineStr">
        <is>
          <t>I64</t>
        </is>
      </c>
      <c r="C134" s="0" t="inlineStr">
        <is>
          <t>待V3DB实测</t>
        </is>
      </c>
      <c r="E134" s="0" t="b">
        <v>0</v>
      </c>
      <c r="F134" s="0" t="inlineStr">
        <is>
          <t>{"kind": "size", "dataset": "nytimes256", "sheet": "NYTimes-256", "column": 9, "N": 5000000, "choice": null, "reason": "requested size exceeds actual available corpus; not a RAM question"}</t>
        </is>
      </c>
    </row>
    <row r="135">
      <c r="A135" s="0" t="inlineStr">
        <is>
          <t>NYTimes-256</t>
        </is>
      </c>
      <c r="B135" s="0" t="inlineStr">
        <is>
          <t>I75</t>
        </is>
      </c>
      <c r="C135" s="0" t="inlineStr">
        <is>
          <t>待V3DB实测</t>
        </is>
      </c>
      <c r="E135" s="0" t="b">
        <v>0</v>
      </c>
      <c r="F135" s="0" t="inlineStr">
        <is>
          <t>{"kind": "size", "dataset": "nytimes256", "sheet": "NYTimes-256", "column": 9, "N": 5000000, "choice": null, "reason": "requested size exceeds actual available corpus; not a RAM question"}</t>
        </is>
      </c>
    </row>
    <row r="136">
      <c r="A136" s="0" t="inlineStr">
        <is>
          <t>NYTimes-256</t>
        </is>
      </c>
      <c r="B136" s="0" t="inlineStr">
        <is>
          <t>I85</t>
        </is>
      </c>
      <c r="C136" s="0" t="inlineStr">
        <is>
          <t>待V3DB实测</t>
        </is>
      </c>
      <c r="E136" s="0" t="b">
        <v>0</v>
      </c>
      <c r="F136" s="0" t="inlineStr">
        <is>
          <t>{"kind": "size", "dataset": "nytimes256", "sheet": "NYTimes-256", "column": 9, "N": 5000000, "choice": null, "reason": "requested size exceeds actual available corpus; not a RAM question"}</t>
        </is>
      </c>
    </row>
    <row r="137">
      <c r="A137" s="0" t="inlineStr">
        <is>
          <t>NYTimes-256</t>
        </is>
      </c>
      <c r="B137" s="0" t="inlineStr">
        <is>
          <t>J64</t>
        </is>
      </c>
      <c r="C137" s="0" t="inlineStr">
        <is>
          <t>待V3DB实测</t>
        </is>
      </c>
      <c r="E137" s="0" t="b">
        <v>0</v>
      </c>
      <c r="F137" s="0" t="inlineStr">
        <is>
          <t>{"kind": "size", "dataset": "nytimes256", "sheet": "NYTimes-256", "column": 10, "N": 10000000, "choice": null, "reason": "requested size exceeds actual available corpus; not a RAM question"}</t>
        </is>
      </c>
    </row>
    <row r="138">
      <c r="A138" s="0" t="inlineStr">
        <is>
          <t>NYTimes-256</t>
        </is>
      </c>
      <c r="B138" s="0" t="inlineStr">
        <is>
          <t>J75</t>
        </is>
      </c>
      <c r="C138" s="0" t="inlineStr">
        <is>
          <t>待V3DB实测</t>
        </is>
      </c>
      <c r="E138" s="0" t="b">
        <v>0</v>
      </c>
      <c r="F138" s="0" t="inlineStr">
        <is>
          <t>{"kind": "size", "dataset": "nytimes256", "sheet": "NYTimes-256", "column": 10, "N": 10000000, "choice": null, "reason": "requested size exceeds actual available corpus; not a RAM question"}</t>
        </is>
      </c>
    </row>
    <row r="139">
      <c r="A139" s="0" t="inlineStr">
        <is>
          <t>NYTimes-256</t>
        </is>
      </c>
      <c r="B139" s="0" t="inlineStr">
        <is>
          <t>J85</t>
        </is>
      </c>
      <c r="C139" s="0" t="inlineStr">
        <is>
          <t>待V3DB实测</t>
        </is>
      </c>
      <c r="E139" s="0" t="b">
        <v>0</v>
      </c>
      <c r="F139" s="0" t="inlineStr">
        <is>
          <t>{"kind": "size", "dataset": "nytimes256", "sheet": "NYTimes-256", "column": 10, "N": 10000000, "choice": null, "reason": "requested size exceeds actual available corpus; not a RAM question"}</t>
        </is>
      </c>
    </row>
    <row r="140">
      <c r="A140" s="0" t="inlineStr">
        <is>
          <t>GloVe-100</t>
        </is>
      </c>
      <c r="B140" s="0" t="inlineStr">
        <is>
          <t>L26</t>
        </is>
      </c>
      <c r="C140" s="0" t="inlineStr">
        <is>
          <t>预算内未测</t>
        </is>
      </c>
      <c r="D140" s="0" t="n">
        <v>47</v>
      </c>
      <c r="E140" s="0" t="b">
        <v>0</v>
      </c>
      <c r="F140" s="0" t="inlineStr">
        <is>
          <t>{"kind": "curve", "dataset": "glove100", "sheet": "GloVe-100", "column": 12, "target": 0.45, "choice": {"status": "conditional_forecast", "config": {"dataset": "glove100", "source": "glove100", "N": 1183514, "D": 100, "n_list": 1024, "M": 50, "K": 256, "n_iter": 25, "seed": 0, "capacity": 4096, "query_offset": 100, "query_count": 20, "scale": 65536, "rebalance": "author algorithm with identical row-chunk distances"},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{"query_ms": [268962.2418820984, 1075848.9675283935], "verify_ms": [13.463850674160888, 53.85540269664355], "vo_kb": [299.26545, 404.88854999999995]},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{"query_ms": [268962.2418820984, 1075848.9675283935], "verify_ms": [13.463850674160888, 53.85540269664355], "vo_kb": [299.26545, 404.88854999999995]},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t>
        </is>
      </c>
    </row>
    <row r="141">
      <c r="A141" s="0" t="inlineStr">
        <is>
          <t>GloVe-100</t>
        </is>
      </c>
      <c r="B141" s="0" t="inlineStr">
        <is>
          <t>L27</t>
        </is>
      </c>
      <c r="C141" s="0" t="inlineStr">
        <is>
          <t>预算内未测</t>
        </is>
      </c>
      <c r="D141" s="0" t="n">
        <v>352.077</v>
      </c>
      <c r="E141" s="0" t="b">
        <v>1</v>
      </c>
      <c r="F141" s="0" t="inlineStr">
        <is>
          <t>{"kind": "curve", "dataset": "glove100", "sheet": "GloVe-100", "column": 12, "target": 0.45, "choice": {"status": "conditional_forecast", "config": {"dataset": "glove100", "source": "glove100", "N": 1183514, "D": 100, "n_list": 1024, "M": 50, "K": 256, "n_iter": 25, "seed": 0, "capacity": 4096, "query_offset": 100, "query_count": 20, "scale": 65536, "rebalance": "author algorithm with identical row-chunk distances"},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{"query_ms": [268962.2418820984, 1075848.9675283935], "verify_ms": [13.463850674160888, 53.85540269664355], "vo_kb": [299.26545, 404.88854999999995]},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{"query_ms": [268962.2418820984, 1075848.9675283935], "verify_ms": [13.463850674160888, 53.85540269664355], "vo_kb": [299.26545, 404.88854999999995]},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t>
        </is>
      </c>
    </row>
    <row r="142">
      <c r="A142" s="0" t="inlineStr">
        <is>
          <t>GloVe-100</t>
        </is>
      </c>
      <c r="B142" s="0" t="inlineStr">
        <is>
          <t>L38</t>
        </is>
      </c>
      <c r="C142" s="0" t="inlineStr">
        <is>
          <t>预算内未测</t>
        </is>
      </c>
      <c r="D142" s="0" t="n">
        <v>47</v>
      </c>
      <c r="E142" s="0" t="b">
        <v>0</v>
      </c>
      <c r="F142" s="0" t="inlineStr">
        <is>
          <t>{"kind": "curve", "dataset": "glove100", "sheet": "GloVe-100", "column": 12, "target": 0.45, "choice": {"status": "conditional_forecast", "config": {"dataset": "glove100", "source": "glove100", "N": 1183514, "D": 100, "n_list": 1024, "M": 50, "K": 256, "n_iter": 25, "seed": 0, "capacity": 4096, "query_offset": 100, "query_count": 20, "scale": 65536, "rebalance": "author algorithm with identical row-chunk distances"},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{"query_ms": [268962.2418820984, 1075848.9675283935], "verify_ms": [13.463850674160888, 53.85540269664355], "vo_kb": [299.26545, 404.88854999999995]},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{"query_ms": [268962.2418820984, 1075848.9675283935], "verify_ms": [13.463850674160888, 53.85540269664355], "vo_kb": [299.26545, 404.88854999999995]},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t>
        </is>
      </c>
    </row>
    <row r="143">
      <c r="A143" s="0" t="inlineStr">
        <is>
          <t>GloVe-100</t>
        </is>
      </c>
      <c r="B143" s="0" t="inlineStr">
        <is>
          <t>L39</t>
        </is>
      </c>
      <c r="C143" s="0" t="inlineStr">
        <is>
          <t>预算内未测</t>
        </is>
      </c>
      <c r="D143" s="0" t="n">
        <v>26.9277013483218</v>
      </c>
      <c r="E143" s="0" t="b">
        <v>1</v>
      </c>
      <c r="F143" s="0" t="inlineStr">
        <is>
          <t>{"kind": "curve", "dataset": "glove100", "sheet": "GloVe-100", "column": 12, "target": 0.45, "choice": {"status": "conditional_forecast", "config": {"dataset": "glove100", "source": "glove100", "N": 1183514, "D": 100, "n_list": 1024, "M": 50, "K": 256, "n_iter": 25, "seed": 0, "capacity": 4096, "query_offset": 100, "query_count": 20, "scale": 65536, "rebalance": "author algorithm with identical row-chunk distances"},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{"query_ms": [268962.2418820984, 1075848.9675283935], "verify_ms": [13.463850674160888, 53.85540269664355], "vo_kb": [299.26545, 404.88854999999995]},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{"query_ms": [268962.2418820984, 1075848.9675283935], "verify_ms": [13.463850674160888, 53.85540269664355], "vo_kb": [299.26545, 404.88854999999995]},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t>
        </is>
      </c>
    </row>
    <row r="144">
      <c r="A144" s="0" t="inlineStr">
        <is>
          <t>GloVe-100</t>
        </is>
      </c>
      <c r="B144" s="0" t="inlineStr">
        <is>
          <t>L50</t>
        </is>
      </c>
      <c r="C144" s="0" t="inlineStr">
        <is>
          <t>预算内未测</t>
        </is>
      </c>
      <c r="D144" s="0" t="n">
        <v>47</v>
      </c>
      <c r="E144" s="0" t="b">
        <v>0</v>
      </c>
      <c r="F144" s="0" t="inlineStr">
        <is>
          <t>{"kind": "curve", "dataset": "glove100", "sheet": "GloVe-100", "column": 12, "target": 0.45, "choice": {"status": "conditional_forecast", "config": {"dataset": "glove100", "source": "glove100", "N": 1183514, "D": 100, "n_list": 1024, "M": 50, "K": 256, "n_iter": 25, "seed": 0, "capacity": 4096, "query_offset": 100, "query_count": 20, "scale": 65536, "rebalance": "author algorithm with identical row-chunk distances"},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{"query_ms": [268962.2418820984, 1075848.9675283935], "verify_ms": [13.463850674160888, 53.85540269664355], "vo_kb": [299.26545, 404.88854999999995]},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{"query_ms": [268962.2418820984, 1075848.9675283935], "verify_ms": [13.463850674160888, 53.85540269664355], "vo_kb": [299.26545, 404.88854999999995]},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t>
        </is>
      </c>
    </row>
    <row r="145">
      <c r="A145" s="0" t="inlineStr">
        <is>
          <t>GloVe-100</t>
        </is>
      </c>
      <c r="B145" s="0" t="inlineStr">
        <is>
          <t>L51</t>
        </is>
      </c>
      <c r="C145" s="0" t="inlineStr">
        <is>
          <t>预算内未测</t>
        </is>
      </c>
      <c r="D145" s="0" t="n">
        <v>537924.483764197</v>
      </c>
      <c r="E145" s="0" t="b">
        <v>1</v>
      </c>
      <c r="F145" s="0" t="inlineStr">
        <is>
          <t>{"kind": "curve", "dataset": "glove100", "sheet": "GloVe-100", "column": 12, "target": 0.45, "choice": {"status": "conditional_forecast", "config": {"dataset": "glove100", "source": "glove100", "N": 1183514, "D": 100, "n_list": 1024, "M": 50, "K": 256, "n_iter": 25, "seed": 0, "capacity": 4096, "query_offset": 100, "query_count": 20, "scale": 65536, "rebalance": "author algorithm with identical row-chunk distances"},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{"query_ms": [268962.2418820984, 1075848.9675283935], "verify_ms": [13.463850674160888, 53.85540269664355], "vo_kb": [299.26545, 404.88854999999995]},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{"query_ms": [268962.2418820984, 1075848.9675283935], "verify_ms": [13.463850674160888, 53.85540269664355], "vo_kb": [299.26545, 404.88854999999995]},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t>
        </is>
      </c>
    </row>
    <row r="146">
      <c r="A146" s="0" t="inlineStr">
        <is>
          <t>GloVe-100</t>
        </is>
      </c>
      <c r="B146" s="0" t="inlineStr">
        <is>
          <t>M26</t>
        </is>
      </c>
      <c r="C146" s="0" t="inlineStr">
        <is>
          <t>预算内未测</t>
        </is>
      </c>
      <c r="D146" s="0" t="n">
        <v>55</v>
      </c>
      <c r="E146" s="0" t="b">
        <v>0</v>
      </c>
      <c r="F146" s="0" t="inlineStr">
        <is>
          <t>{"kind": "curve", "dataset": "glove100", "sheet": "GloVe-100", "column": 13, "target": 0.5, "choice":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t>
        </is>
      </c>
    </row>
    <row r="147">
      <c r="A147" s="0" t="inlineStr">
        <is>
          <t>GloVe-100</t>
        </is>
      </c>
      <c r="B147" s="0" t="inlineStr">
        <is>
          <t>M27</t>
        </is>
      </c>
      <c r="C147" s="0" t="inlineStr">
        <is>
          <t>预算内未测</t>
        </is>
      </c>
      <c r="D147" s="0" t="n">
        <v>491.36</v>
      </c>
      <c r="E147" s="0" t="b">
        <v>1</v>
      </c>
      <c r="F147" s="0" t="inlineStr">
        <is>
          <t>{"kind": "curve", "dataset": "glove100", "sheet": "GloVe-100", "column": 13, "target": 0.5, "choice":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t>
        </is>
      </c>
    </row>
    <row r="148">
      <c r="A148" s="0" t="inlineStr">
        <is>
          <t>GloVe-100</t>
        </is>
      </c>
      <c r="B148" s="0" t="inlineStr">
        <is>
          <t>M38</t>
        </is>
      </c>
      <c r="C148" s="0" t="inlineStr">
        <is>
          <t>预算内未测</t>
        </is>
      </c>
      <c r="D148" s="0" t="n">
        <v>55</v>
      </c>
      <c r="E148" s="0" t="b">
        <v>0</v>
      </c>
      <c r="F148" s="0" t="inlineStr">
        <is>
          <t>{"kind": "curve", "dataset": "glove100", "sheet": "GloVe-100", "column": 13, "target": 0.5, "choice":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t>
        </is>
      </c>
    </row>
    <row r="149">
      <c r="A149" s="0" t="inlineStr">
        <is>
          <t>GloVe-100</t>
        </is>
      </c>
      <c r="B149" s="0" t="inlineStr">
        <is>
          <t>M39</t>
        </is>
      </c>
      <c r="C149" s="0" t="inlineStr">
        <is>
          <t>预算内未测</t>
        </is>
      </c>
      <c r="D149" s="0" t="n">
        <v>31.0652820356752</v>
      </c>
      <c r="E149" s="0" t="b">
        <v>1</v>
      </c>
      <c r="F149" s="0" t="inlineStr">
        <is>
          <t>{"kind": "curve", "dataset": "glove100", "sheet": "GloVe-100", "column": 13, "target": 0.5, "choice":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t>
        </is>
      </c>
    </row>
    <row r="150">
      <c r="A150" s="0" t="inlineStr">
        <is>
          <t>GloVe-100</t>
        </is>
      </c>
      <c r="B150" s="0" t="inlineStr">
        <is>
          <t>M50</t>
        </is>
      </c>
      <c r="C150" s="0" t="inlineStr">
        <is>
          <t>预算内未测</t>
        </is>
      </c>
      <c r="D150" s="0" t="n">
        <v>55</v>
      </c>
      <c r="E150" s="0" t="b">
        <v>0</v>
      </c>
      <c r="F150" s="0" t="inlineStr">
        <is>
          <t>{"kind": "curve", "dataset": "glove100", "sheet": "GloVe-100", "column": 13, "target": 0.5, "choice":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t>
        </is>
      </c>
    </row>
    <row r="151">
      <c r="A151" s="0" t="inlineStr">
        <is>
          <t>GloVe-100</t>
        </is>
      </c>
      <c r="B151" s="0" t="inlineStr">
        <is>
          <t>M51</t>
        </is>
      </c>
      <c r="C151" s="0" t="inlineStr">
        <is>
          <t>预算内未测</t>
        </is>
      </c>
      <c r="D151" s="0" t="n">
        <v>1129694.05569766</v>
      </c>
      <c r="E151" s="0" t="b">
        <v>1</v>
      </c>
      <c r="F151" s="0" t="inlineStr">
        <is>
          <t>{"kind": "curve", "dataset": "glove100", "sheet": "GloVe-100", "column": 13, "target": 0.5, "choice":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t>
        </is>
      </c>
    </row>
    <row r="152">
      <c r="A152" s="0" t="inlineStr">
        <is>
          <t>GloVe-100</t>
        </is>
      </c>
      <c r="B152" s="0" t="inlineStr">
        <is>
          <t>N26</t>
        </is>
      </c>
      <c r="C152" s="0" t="inlineStr">
        <is>
          <t>预算内未测</t>
        </is>
      </c>
      <c r="D152" s="0" t="n">
        <v>55</v>
      </c>
      <c r="E152" s="0" t="b">
        <v>0</v>
      </c>
      <c r="F152" s="0" t="inlineStr">
        <is>
          <t>{"kind": "curve", "dataset": "glove100", "sheet": "GloVe-100", "column": 14, "target": 0.55, "choice":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t>
        </is>
      </c>
    </row>
    <row r="153">
      <c r="A153" s="0" t="inlineStr">
        <is>
          <t>GloVe-100</t>
        </is>
      </c>
      <c r="B153" s="0" t="inlineStr">
        <is>
          <t>N27</t>
        </is>
      </c>
      <c r="C153" s="0" t="inlineStr">
        <is>
          <t>预算内未测</t>
        </is>
      </c>
      <c r="D153" s="0" t="n">
        <v>491.36</v>
      </c>
      <c r="E153" s="0" t="b">
        <v>1</v>
      </c>
      <c r="F153" s="0" t="inlineStr">
        <is>
          <t>{"kind": "curve", "dataset": "glove100", "sheet": "GloVe-100", "column": 14, "target": 0.55, "choice":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t>
        </is>
      </c>
    </row>
    <row r="154">
      <c r="A154" s="0" t="inlineStr">
        <is>
          <t>GloVe-100</t>
        </is>
      </c>
      <c r="B154" s="0" t="inlineStr">
        <is>
          <t>N38</t>
        </is>
      </c>
      <c r="C154" s="0" t="inlineStr">
        <is>
          <t>预算内未测</t>
        </is>
      </c>
      <c r="D154" s="0" t="n">
        <v>55</v>
      </c>
      <c r="E154" s="0" t="b">
        <v>0</v>
      </c>
      <c r="F154" s="0" t="inlineStr">
        <is>
          <t>{"kind": "curve", "dataset": "glove100", "sheet": "GloVe-100", "column": 14, "target": 0.55, "choice":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t>
        </is>
      </c>
    </row>
    <row r="155">
      <c r="A155" s="0" t="inlineStr">
        <is>
          <t>GloVe-100</t>
        </is>
      </c>
      <c r="B155" s="0" t="inlineStr">
        <is>
          <t>N39</t>
        </is>
      </c>
      <c r="C155" s="0" t="inlineStr">
        <is>
          <t>预算内未测</t>
        </is>
      </c>
      <c r="D155" s="0" t="n">
        <v>31.0652820356752</v>
      </c>
      <c r="E155" s="0" t="b">
        <v>1</v>
      </c>
      <c r="F155" s="0" t="inlineStr">
        <is>
          <t>{"kind": "curve", "dataset": "glove100", "sheet": "GloVe-100", "column": 14, "target": 0.55, "choice":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t>
        </is>
      </c>
    </row>
    <row r="156">
      <c r="A156" s="0" t="inlineStr">
        <is>
          <t>GloVe-100</t>
        </is>
      </c>
      <c r="B156" s="0" t="inlineStr">
        <is>
          <t>N50</t>
        </is>
      </c>
      <c r="C156" s="0" t="inlineStr">
        <is>
          <t>预算内未测</t>
        </is>
      </c>
      <c r="D156" s="0" t="n">
        <v>55</v>
      </c>
      <c r="E156" s="0" t="b">
        <v>0</v>
      </c>
      <c r="F156" s="0" t="inlineStr">
        <is>
          <t>{"kind": "curve", "dataset": "glove100", "sheet": "GloVe-100", "column": 14, "target": 0.55, "choice":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t>
        </is>
      </c>
    </row>
    <row r="157">
      <c r="A157" s="0" t="inlineStr">
        <is>
          <t>GloVe-100</t>
        </is>
      </c>
      <c r="B157" s="0" t="inlineStr">
        <is>
          <t>N51</t>
        </is>
      </c>
      <c r="C157" s="0" t="inlineStr">
        <is>
          <t>预算内未测</t>
        </is>
      </c>
      <c r="D157" s="0" t="n">
        <v>1129694.05569766</v>
      </c>
      <c r="E157" s="0" t="b">
        <v>1</v>
      </c>
      <c r="F157" s="0" t="inlineStr">
        <is>
          <t>{"kind": "curve", "dataset": "glove100", "sheet": "GloVe-100", "column": 14, "target": 0.55, "choice":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t>
        </is>
      </c>
    </row>
    <row r="158">
      <c r="A158" s="0" t="inlineStr">
        <is>
          <t>GloVe-100</t>
        </is>
      </c>
      <c r="B158" s="0" t="inlineStr">
        <is>
          <t>O26</t>
        </is>
      </c>
      <c r="C158" s="0" t="inlineStr">
        <is>
          <t>预算内未测</t>
        </is>
      </c>
      <c r="D158" s="0" t="n">
        <v>64.5</v>
      </c>
      <c r="E158" s="0" t="b">
        <v>0</v>
      </c>
      <c r="F158" s="0" t="inlineStr">
        <is>
          <t>{"kind": "curve", "dataset": "glove100", "sheet": "GloVe-100", "column": 15, "target": 0.6, "choice": {"status": "conditional_forecast", "config": {"dataset": "glove100", "source": "glove100", "N": 1183514, "D": 100, "n_list": 1024, "M": 50, "K": 256, "n_iter": 25, "seed": 0, "capacity": 4096, "query_offset": 100, "query_count": 20, "scale": 65536, "rebalance": "author algorithm with identical row-chunk distances"},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{"query_ms": [1183539.1438669313, 4734156.575467725], "verify_ms": [19.09559919745185, 76.3823967898074], "vo_kb": [647.45775, 875.9722499999999]},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{"query_ms": [1183539.1438669313, 4734156.575467725], "verify_ms": [19.09559919745185, 76.3823967898074], "vo_kb": [647.45775, 875.9722499999999]},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t>
        </is>
      </c>
    </row>
    <row r="159">
      <c r="A159" s="0" t="inlineStr">
        <is>
          <t>GloVe-100</t>
        </is>
      </c>
      <c r="B159" s="0" t="inlineStr">
        <is>
          <t>O27</t>
        </is>
      </c>
      <c r="C159" s="0" t="inlineStr">
        <is>
          <t>预算内未测</t>
        </is>
      </c>
      <c r="D159" s="0" t="n">
        <v>761.715</v>
      </c>
      <c r="E159" s="0" t="b">
        <v>1</v>
      </c>
      <c r="F159" s="0" t="inlineStr">
        <is>
          <t>{"kind": "curve", "dataset": "glove100", "sheet": "GloVe-100", "column": 15, "target": 0.6, "choice": {"status": "conditional_forecast", "config": {"dataset": "glove100", "source": "glove100", "N": 1183514, "D": 100, "n_list": 1024, "M": 50, "K": 256, "n_iter": 25, "seed": 0, "capacity": 4096, "query_offset": 100, "query_count": 20, "scale": 65536, "rebalance": "author algorithm with identical row-chunk distances"},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{"query_ms": [1183539.1438669313, 4734156.575467725], "verify_ms": [19.09559919745185, 76.3823967898074], "vo_kb": [647.45775, 875.9722499999999]},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{"query_ms": [1183539.1438669313, 4734156.575467725], "verify_ms": [19.09559919745185, 76.3823967898074], "vo_kb": [647.45775, 875.9722499999999]},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t>
        </is>
      </c>
    </row>
    <row r="160">
      <c r="A160" s="0" t="inlineStr">
        <is>
          <t>GloVe-100</t>
        </is>
      </c>
      <c r="B160" s="0" t="inlineStr">
        <is>
          <t>O38</t>
        </is>
      </c>
      <c r="C160" s="0" t="inlineStr">
        <is>
          <t>预算内未测</t>
        </is>
      </c>
      <c r="D160" s="0" t="n">
        <v>64.5</v>
      </c>
      <c r="E160" s="0" t="b">
        <v>0</v>
      </c>
      <c r="F160" s="0" t="inlineStr">
        <is>
          <t>{"kind": "curve", "dataset": "glove100", "sheet": "GloVe-100", "column": 15, "target": 0.6, "choice": {"status": "conditional_forecast", "config": {"dataset": "glove100", "source": "glove100", "N": 1183514, "D": 100, "n_list": 1024, "M": 50, "K": 256, "n_iter": 25, "seed": 0, "capacity": 4096, "query_offset": 100, "query_count": 20, "scale": 65536, "rebalance": "author algorithm with identical row-chunk distances"},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{"query_ms": [1183539.1438669313, 4734156.575467725], "verify_ms": [19.09559919745185, 76.3823967898074], "vo_kb": [647.45775, 875.9722499999999]},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{"query_ms": [1183539.1438669313, 4734156.575467725], "verify_ms": [19.09559919745185, 76.3823967898074], "vo_kb": [647.45775, 875.9722499999999]},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t>
        </is>
      </c>
    </row>
    <row r="161">
      <c r="A161" s="0" t="inlineStr">
        <is>
          <t>GloVe-100</t>
        </is>
      </c>
      <c r="B161" s="0" t="inlineStr">
        <is>
          <t>O39</t>
        </is>
      </c>
      <c r="C161" s="0" t="inlineStr">
        <is>
          <t>预算内未测</t>
        </is>
      </c>
      <c r="D161" s="0" t="n">
        <v>38.1911983949037</v>
      </c>
      <c r="E161" s="0" t="b">
        <v>1</v>
      </c>
      <c r="F161" s="0" t="inlineStr">
        <is>
          <t>{"kind": "curve", "dataset": "glove100", "sheet": "GloVe-100", "column": 15, "target": 0.6, "choice": {"status": "conditional_forecast", "config": {"dataset": "glove100", "source": "glove100", "N": 1183514, "D": 100, "n_list": 1024, "M": 50, "K": 256, "n_iter": 25, "seed": 0, "capacity": 4096, "query_offset": 100, "query_count": 20, "scale": 65536, "rebalance": "author algorithm with identical row-chunk distances"},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{"query_ms": [1183539.1438669313, 4734156.575467725], "verify_ms": [19.09559919745185, 76.3823967898074], "vo_kb": [647.45775, 875.9722499999999]},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{"query_ms": [1183539.1438669313, 4734156.575467725], "verify_ms": [19.09559919745185, 76.3823967898074], "vo_kb": [647.45775, 875.9722499999999]},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t>
        </is>
      </c>
    </row>
    <row r="162">
      <c r="A162" s="0" t="inlineStr">
        <is>
          <t>GloVe-100</t>
        </is>
      </c>
      <c r="B162" s="0" t="inlineStr">
        <is>
          <t>O50</t>
        </is>
      </c>
      <c r="C162" s="0" t="inlineStr">
        <is>
          <t>预算内未测</t>
        </is>
      </c>
      <c r="D162" s="0" t="n">
        <v>64.5</v>
      </c>
      <c r="E162" s="0" t="b">
        <v>0</v>
      </c>
      <c r="F162" s="0" t="inlineStr">
        <is>
          <t>{"kind": "curve", "dataset": "glove100", "sheet": "GloVe-100", "column": 15, "target": 0.6, "choice": {"status": "conditional_forecast", "config": {"dataset": "glove100", "source": "glove100", "N": 1183514, "D": 100, "n_list": 1024, "M": 50, "K": 256, "n_iter": 25, "seed": 0, "capacity": 4096, "query_offset": 100, "query_count": 20, "scale": 65536, "rebalance": "author algorithm with identical row-chunk distances"},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{"query_ms": [1183539.1438669313, 4734156.575467725], "verify_ms": [19.09559919745185, 76.3823967898074], "vo_kb": [647.45775, 875.9722499999999]},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{"query_ms": [1183539.1438669313, 4734156.575467725], "verify_ms": [19.09559919745185, 76.3823967898074], "vo_kb": [647.45775, 875.9722499999999]},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t>
        </is>
      </c>
    </row>
    <row r="163">
      <c r="A163" s="0" t="inlineStr">
        <is>
          <t>GloVe-100</t>
        </is>
      </c>
      <c r="B163" s="0" t="inlineStr">
        <is>
          <t>O51</t>
        </is>
      </c>
      <c r="C163" s="0" t="inlineStr">
        <is>
          <t>预算内未测</t>
        </is>
      </c>
      <c r="D163" s="0" t="n">
        <v>2367078.28773386</v>
      </c>
      <c r="E163" s="0" t="b">
        <v>1</v>
      </c>
      <c r="F163" s="0" t="inlineStr">
        <is>
          <t>{"kind": "curve", "dataset": "glove100", "sheet": "GloVe-100", "column": 15, "target": 0.6, "choice": {"status": "conditional_forecast", "config": {"dataset": "glove100", "source": "glove100", "N": 1183514, "D": 100, "n_list": 1024, "M": 50, "K": 256, "n_iter": 25, "seed": 0, "capacity": 4096, "query_offset": 100, "query_count": 20, "scale": 65536, "rebalance": "author algorithm with identical row-chunk distances"},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{"query_ms": [1183539.1438669313, 4734156.575467725], "verify_ms": [19.09559919745185, 76.3823967898074], "vo_kb": [647.45775, 875.9722499999999]},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{"query_ms": [1183539.1438669313, 4734156.575467725], "verify_ms": [19.09559919745185, 76.3823967898074], "vo_kb": [647.45775, 875.9722499999999]},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t>
        </is>
      </c>
    </row>
    <row r="164">
      <c r="A164" s="0" t="inlineStr">
        <is>
          <t>GloVe-100</t>
        </is>
      </c>
      <c r="B164" s="0" t="inlineStr">
        <is>
          <t>P26</t>
        </is>
      </c>
      <c r="C164" s="0" t="inlineStr">
        <is>
          <t>预算内未测</t>
        </is>
      </c>
      <c r="D164" s="0" t="n">
        <v>68</v>
      </c>
      <c r="E164" s="0" t="b">
        <v>0</v>
      </c>
      <c r="F164" s="0" t="inlineStr">
        <is>
          <t>{"kind": "curve", "dataset": "glove100", "sheet": "GloVe-100", "column": 16, "target": 0.65, "choice": {"status": "conditional_forecast", "config": {"dataset": "glove100", "source": "glove100", "N": 1183514, "D": 100, "n_list": 1024, "M": 100, "K": 256, "n_iter": 25, "seed": 0, "capacity": 4096, "query_offset": 100, "query_count": 20, "scale": 65536, "rebalance": "author algorithm with identical row-chunk distances"},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{"query_ms": [2474768.4640724007, 9899073.856289603], "verify_ms": [19.670221705191082, 78.68088682076433], "vo_kb": [654.4371, 885.4149]},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"reason": "existing calibrated configuration fits declared 512GiB planning envelope", "smallest_memory_reaching_target": {"status": "conditional_forecast", "config": {"dataset": "glove100", "source": "glove100", "N": 1183514, "D": 100, "n_list": 1024, "M": 100, "K": 256, "n_iter": 25, "seed": 0, "capacity": 4096, "query_offset": 100, "query_count": 20, "scale": 65536, "rebalance": "author algorithm with identical row-chunk distances"},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{"query_ms": [2474768.4640724007, 9899073.856289603], "verify_ms": [19.670221705191082, 78.68088682076433], "vo_kb": [654.4371, 885.4149]},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t>
        </is>
      </c>
    </row>
    <row r="165">
      <c r="A165" s="0" t="inlineStr">
        <is>
          <t>GloVe-100</t>
        </is>
      </c>
      <c r="B165" s="0" t="inlineStr">
        <is>
          <t>P27</t>
        </is>
      </c>
      <c r="C165" s="0" t="inlineStr">
        <is>
          <t>预算内未测</t>
        </is>
      </c>
      <c r="D165" s="0" t="n">
        <v>769.926</v>
      </c>
      <c r="E165" s="0" t="b">
        <v>1</v>
      </c>
      <c r="F165" s="0" t="inlineStr">
        <is>
          <t>{"kind": "curve", "dataset": "glove100", "sheet": "GloVe-100", "column": 16, "target": 0.65, "choice": {"status": "conditional_forecast", "config": {"dataset": "glove100", "source": "glove100", "N": 1183514, "D": 100, "n_list": 1024, "M": 100, "K": 256, "n_iter": 25, "seed": 0, "capacity": 4096, "query_offset": 100, "query_count": 20, "scale": 65536, "rebalance": "author algorithm with identical row-chunk distances"},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{"query_ms": [2474768.4640724007, 9899073.856289603], "verify_ms": [19.670221705191082, 78.68088682076433], "vo_kb": [654.4371, 885.4149]},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"reason": "existing calibrated configuration fits declared 512GiB planning envelope", "smallest_memory_reaching_target": {"status": "conditional_forecast", "config": {"dataset": "glove100", "source": "glove100", "N": 1183514, "D": 100, "n_list": 1024, "M": 100, "K": 256, "n_iter": 25, "seed": 0, "capacity": 4096, "query_offset": 100, "query_count": 20, "scale": 65536, "rebalance": "author algorithm with identical row-chunk distances"},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{"query_ms": [2474768.4640724007, 9899073.856289603], "verify_ms": [19.670221705191082, 78.68088682076433], "vo_kb": [654.4371, 885.4149]},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t>
        </is>
      </c>
    </row>
    <row r="166">
      <c r="A166" s="0" t="inlineStr">
        <is>
          <t>GloVe-100</t>
        </is>
      </c>
      <c r="B166" s="0" t="inlineStr">
        <is>
          <t>P38</t>
        </is>
      </c>
      <c r="C166" s="0" t="inlineStr">
        <is>
          <t>预算内未测</t>
        </is>
      </c>
      <c r="D166" s="0" t="n">
        <v>68</v>
      </c>
      <c r="E166" s="0" t="b">
        <v>0</v>
      </c>
      <c r="F166" s="0" t="inlineStr">
        <is>
          <t>{"kind": "curve", "dataset": "glove100", "sheet": "GloVe-100", "column": 16, "target": 0.65, "choice": {"status": "conditional_forecast", "config": {"dataset": "glove100", "source": "glove100", "N": 1183514, "D": 100, "n_list": 1024, "M": 100, "K": 256, "n_iter": 25, "seed": 0, "capacity": 4096, "query_offset": 100, "query_count": 20, "scale": 65536, "rebalance": "author algorithm with identical row-chunk distances"},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{"query_ms": [2474768.4640724007, 9899073.856289603], "verify_ms": [19.670221705191082, 78.68088682076433], "vo_kb": [654.4371, 885.4149]},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"reason": "existing calibrated configuration fits declared 512GiB planning envelope", "smallest_memory_reaching_target": {"status": "conditional_forecast", "config": {"dataset": "glove100", "source": "glove100", "N": 1183514, "D": 100, "n_list": 1024, "M": 100, "K": 256, "n_iter": 25, "seed": 0, "capacity": 4096, "query_offset": 100, "query_count": 20, "scale": 65536, "rebalance": "author algorithm with identical row-chunk distances"},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{"query_ms": [2474768.4640724007, 9899073.856289603], "verify_ms": [19.670221705191082, 78.68088682076433], "vo_kb": [654.4371, 885.4149]},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t>
        </is>
      </c>
    </row>
    <row r="167">
      <c r="A167" s="0" t="inlineStr">
        <is>
          <t>GloVe-100</t>
        </is>
      </c>
      <c r="B167" s="0" t="inlineStr">
        <is>
          <t>P39</t>
        </is>
      </c>
      <c r="C167" s="0" t="inlineStr">
        <is>
          <t>预算内未测</t>
        </is>
      </c>
      <c r="D167" s="0" t="n">
        <v>39.3404434103822</v>
      </c>
      <c r="E167" s="0" t="b">
        <v>1</v>
      </c>
      <c r="F167" s="0" t="inlineStr">
        <is>
          <t>{"kind": "curve", "dataset": "glove100", "sheet": "GloVe-100", "column": 16, "target": 0.65, "choice": {"status": "conditional_forecast", "config": {"dataset": "glove100", "source": "glove100", "N": 1183514, "D": 100, "n_list": 1024, "M": 100, "K": 256, "n_iter": 25, "seed": 0, "capacity": 4096, "query_offset": 100, "query_count": 20, "scale": 65536, "rebalance": "author algorithm with identical row-chunk distances"},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{"query_ms": [2474768.4640724007, 9899073.856289603], "verify_ms": [19.670221705191082, 78.68088682076433], "vo_kb": [654.4371, 885.4149]},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"reason": "existing calibrated configuration fits declared 512GiB planning envelope", "smallest_memory_reaching_target": {"status": "conditional_forecast", "config": {"dataset": "glove100", "source": "glove100", "N": 1183514, "D": 100, "n_list": 1024, "M": 100, "K": 256, "n_iter": 25, "seed": 0, "capacity": 4096, "query_offset": 100, "query_count": 20, "scale": 65536, "rebalance": "author algorithm with identical row-chunk distances"},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{"query_ms": [2474768.4640724007, 9899073.856289603], "verify_ms": [19.670221705191082, 78.68088682076433], "vo_kb": [654.4371, 885.4149]},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t>
        </is>
      </c>
    </row>
    <row r="168">
      <c r="A168" s="0" t="inlineStr">
        <is>
          <t>GloVe-100</t>
        </is>
      </c>
      <c r="B168" s="0" t="inlineStr">
        <is>
          <t>P50</t>
        </is>
      </c>
      <c r="C168" s="0" t="inlineStr">
        <is>
          <t>预算内未测</t>
        </is>
      </c>
      <c r="D168" s="0" t="n">
        <v>68</v>
      </c>
      <c r="E168" s="0" t="b">
        <v>0</v>
      </c>
      <c r="F168" s="0" t="inlineStr">
        <is>
          <t>{"kind": "curve", "dataset": "glove100", "sheet": "GloVe-100", "column": 16, "target": 0.65, "choice": {"status": "conditional_forecast", "config": {"dataset": "glove100", "source": "glove100", "N": 1183514, "D": 100, "n_list": 1024, "M": 100, "K": 256, "n_iter": 25, "seed": 0, "capacity": 4096, "query_offset": 100, "query_count": 20, "scale": 65536, "rebalance": "author algorithm with identical row-chunk distances"},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{"query_ms": [2474768.4640724007, 9899073.856289603], "verify_ms": [19.670221705191082, 78.68088682076433], "vo_kb": [654.4371, 885.4149]},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"reason": "existing calibrated configuration fits declared 512GiB planning envelope", "smallest_memory_reaching_target": {"status": "conditional_forecast", "config": {"dataset": "glove100", "source": "glove100", "N": 1183514, "D": 100, "n_list": 1024, "M": 100, "K": 256, "n_iter": 25, "seed": 0, "capacity": 4096, "query_offset": 100, "query_count": 20, "scale": 65536, "rebalance": "author algorithm with identical row-chunk distances"},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{"query_ms": [2474768.4640724007, 9899073.856289603], "verify_ms": [19.670221705191082, 78.68088682076433], "vo_kb": [654.4371, 885.4149]},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t>
        </is>
      </c>
    </row>
    <row r="169">
      <c r="A169" s="0" t="inlineStr">
        <is>
          <t>GloVe-100</t>
        </is>
      </c>
      <c r="B169" s="0" t="inlineStr">
        <is>
          <t>P51</t>
        </is>
      </c>
      <c r="C169" s="0" t="inlineStr">
        <is>
          <t>预算内未测</t>
        </is>
      </c>
      <c r="D169" s="0" t="n">
        <v>4949536.9281448</v>
      </c>
      <c r="E169" s="0" t="b">
        <v>1</v>
      </c>
      <c r="F169" s="0" t="inlineStr">
        <is>
          <t>{"kind": "curve", "dataset": "glove100", "sheet": "GloVe-100", "column": 16, "target": 0.65, "choice": {"status": "conditional_forecast", "config": {"dataset": "glove100", "source": "glove100", "N": 1183514, "D": 100, "n_list": 1024, "M": 100, "K": 256, "n_iter": 25, "seed": 0, "capacity": 4096, "query_offset": 100, "query_count": 20, "scale": 65536, "rebalance": "author algorithm with identical row-chunk distances"},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{"query_ms": [2474768.4640724007, 9899073.856289603], "verify_ms": [19.670221705191082, 78.68088682076433], "vo_kb": [654.4371, 885.4149]},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"reason": "existing calibrated configuration fits declared 512GiB planning envelope", "smallest_memory_reaching_target": {"status": "conditional_forecast", "config": {"dataset": "glove100", "source": "glove100", "N": 1183514, "D": 100, "n_list": 1024, "M": 100, "K": 256, "n_iter": 25, "seed": 0, "capacity": 4096, "query_offset": 100, "query_count": 20, "scale": 65536, "rebalance": "author algorithm with identical row-chunk distances"},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{"query_ms": [2474768.4640724007, 9899073.856289603], "verify_ms": [19.670221705191082, 78.68088682076433], "vo_kb": [654.4371, 885.4149]},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t>
        </is>
      </c>
    </row>
    <row r="170">
      <c r="A170" s="0" t="inlineStr">
        <is>
          <t>GloVe-100</t>
        </is>
      </c>
      <c r="B170" s="0" t="inlineStr">
        <is>
          <t>Q26</t>
        </is>
      </c>
      <c r="C170" s="0" t="inlineStr">
        <is>
          <t>预算内未测</t>
        </is>
      </c>
      <c r="D170" s="0" t="n">
        <v>71.5</v>
      </c>
      <c r="E170" s="0" t="b">
        <v>0</v>
      </c>
      <c r="F170" s="0" t="inlineStr">
        <is>
          <t>{"kind": "curve", "dataset": "glove100", "sheet": "GloVe-100", "column": 17, "target": 0.7, "choice": {"status": "conditional_forecast", "config": {"dataset": "glove100", "source": "glove100", "N": 1183514, "D": 100, "n_list": 1024, "M": 50, "K": 256, "n_iter": 25, "seed": 0, "capacity": 4096, "query_offset": 100, "query_count": 20, "scale": 65536, "rebalance": "author algorithm with identical row-chunk distances"},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{"query_ms": [2474768.4640724007, 9899073.856289603], "verify_ms": [25.64689304894108, 102.58757219576432], "vo_kb": [1100.0819, 1488.3460999999998]},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{"query_ms": [2474768.4640724007, 9899073.856289603], "verify_ms": [25.64689304894108, 102.58757219576432], "vo_kb": [1100.0819, 1488.3460999999998]},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t>
        </is>
      </c>
    </row>
    <row r="171">
      <c r="A171" s="0" t="inlineStr">
        <is>
          <t>GloVe-100</t>
        </is>
      </c>
      <c r="B171" s="0" t="inlineStr">
        <is>
          <t>Q27</t>
        </is>
      </c>
      <c r="C171" s="0" t="inlineStr">
        <is>
          <t>预算内未测</t>
        </is>
      </c>
      <c r="D171" s="0" t="n">
        <v>1294.214</v>
      </c>
      <c r="E171" s="0" t="b">
        <v>1</v>
      </c>
      <c r="F171" s="0" t="inlineStr">
        <is>
          <t>{"kind": "curve", "dataset": "glove100", "sheet": "GloVe-100", "column": 17, "target": 0.7, "choice": {"status": "conditional_forecast", "config": {"dataset": "glove100", "source": "glove100", "N": 1183514, "D": 100, "n_list": 1024, "M": 50, "K": 256, "n_iter": 25, "seed": 0, "capacity": 4096, "query_offset": 100, "query_count": 20, "scale": 65536, "rebalance": "author algorithm with identical row-chunk distances"},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{"query_ms": [2474768.4640724007, 9899073.856289603], "verify_ms": [25.64689304894108, 102.58757219576432], "vo_kb": [1100.0819, 1488.3460999999998]},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{"query_ms": [2474768.4640724007, 9899073.856289603], "verify_ms": [25.64689304894108, 102.58757219576432], "vo_kb": [1100.0819, 1488.3460999999998]},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t>
        </is>
      </c>
    </row>
    <row r="172">
      <c r="A172" s="0" t="inlineStr">
        <is>
          <t>GloVe-100</t>
        </is>
      </c>
      <c r="B172" s="0" t="inlineStr">
        <is>
          <t>Q38</t>
        </is>
      </c>
      <c r="C172" s="0" t="inlineStr">
        <is>
          <t>预算内未测</t>
        </is>
      </c>
      <c r="D172" s="0" t="n">
        <v>71.5</v>
      </c>
      <c r="E172" s="0" t="b">
        <v>0</v>
      </c>
      <c r="F172" s="0" t="inlineStr">
        <is>
          <t>{"kind": "curve", "dataset": "glove100", "sheet": "GloVe-100", "column": 17, "target": 0.7, "choice": {"status": "conditional_forecast", "config": {"dataset": "glove100", "source": "glove100", "N": 1183514, "D": 100, "n_list": 1024, "M": 50, "K": 256, "n_iter": 25, "seed": 0, "capacity": 4096, "query_offset": 100, "query_count": 20, "scale": 65536, "rebalance": "author algorithm with identical row-chunk distances"},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{"query_ms": [2474768.4640724007, 9899073.856289603], "verify_ms": [25.64689304894108, 102.58757219576432], "vo_kb": [1100.0819, 1488.3460999999998]},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{"query_ms": [2474768.4640724007, 9899073.856289603], "verify_ms": [25.64689304894108, 102.58757219576432], "vo_kb": [1100.0819, 1488.3460999999998]},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t>
        </is>
      </c>
    </row>
    <row r="173">
      <c r="A173" s="0" t="inlineStr">
        <is>
          <t>GloVe-100</t>
        </is>
      </c>
      <c r="B173" s="0" t="inlineStr">
        <is>
          <t>Q39</t>
        </is>
      </c>
      <c r="C173" s="0" t="inlineStr">
        <is>
          <t>预算内未测</t>
        </is>
      </c>
      <c r="D173" s="0" t="n">
        <v>51.2937860978822</v>
      </c>
      <c r="E173" s="0" t="b">
        <v>1</v>
      </c>
      <c r="F173" s="0" t="inlineStr">
        <is>
          <t>{"kind": "curve", "dataset": "glove100", "sheet": "GloVe-100", "column": 17, "target": 0.7, "choice": {"status": "conditional_forecast", "config": {"dataset": "glove100", "source": "glove100", "N": 1183514, "D": 100, "n_list": 1024, "M": 50, "K": 256, "n_iter": 25, "seed": 0, "capacity": 4096, "query_offset": 100, "query_count": 20, "scale": 65536, "rebalance": "author algorithm with identical row-chunk distances"},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{"query_ms": [2474768.4640724007, 9899073.856289603], "verify_ms": [25.64689304894108, 102.58757219576432], "vo_kb": [1100.0819, 1488.3460999999998]},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{"query_ms": [2474768.4640724007, 9899073.856289603], "verify_ms": [25.64689304894108, 102.58757219576432], "vo_kb": [1100.0819, 1488.3460999999998]},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t>
        </is>
      </c>
    </row>
    <row r="174">
      <c r="A174" s="0" t="inlineStr">
        <is>
          <t>GloVe-100</t>
        </is>
      </c>
      <c r="B174" s="0" t="inlineStr">
        <is>
          <t>Q50</t>
        </is>
      </c>
      <c r="C174" s="0" t="inlineStr">
        <is>
          <t>预算内未测</t>
        </is>
      </c>
      <c r="D174" s="0" t="n">
        <v>71.5</v>
      </c>
      <c r="E174" s="0" t="b">
        <v>0</v>
      </c>
      <c r="F174" s="0" t="inlineStr">
        <is>
          <t>{"kind": "curve", "dataset": "glove100", "sheet": "GloVe-100", "column": 17, "target": 0.7, "choice": {"status": "conditional_forecast", "config": {"dataset": "glove100", "source": "glove100", "N": 1183514, "D": 100, "n_list": 1024, "M": 50, "K": 256, "n_iter": 25, "seed": 0, "capacity": 4096, "query_offset": 100, "query_count": 20, "scale": 65536, "rebalance": "author algorithm with identical row-chunk distances"},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{"query_ms": [2474768.4640724007, 9899073.856289603], "verify_ms": [25.64689304894108, 102.58757219576432], "vo_kb": [1100.0819, 1488.3460999999998]},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{"query_ms": [2474768.4640724007, 9899073.856289603], "verify_ms": [25.64689304894108, 102.58757219576432], "vo_kb": [1100.0819, 1488.3460999999998]},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t>
        </is>
      </c>
    </row>
    <row r="175">
      <c r="A175" s="0" t="inlineStr">
        <is>
          <t>GloVe-100</t>
        </is>
      </c>
      <c r="B175" s="0" t="inlineStr">
        <is>
          <t>Q51</t>
        </is>
      </c>
      <c r="C175" s="0" t="inlineStr">
        <is>
          <t>预算内未测</t>
        </is>
      </c>
      <c r="D175" s="0" t="n">
        <v>4949536.9281448</v>
      </c>
      <c r="E175" s="0" t="b">
        <v>1</v>
      </c>
      <c r="F175" s="0" t="inlineStr">
        <is>
          <t>{"kind": "curve", "dataset": "glove100", "sheet": "GloVe-100", "column": 17, "target": 0.7, "choice": {"status": "conditional_forecast", "config": {"dataset": "glove100", "source": "glove100", "N": 1183514, "D": 100, "n_list": 1024, "M": 50, "K": 256, "n_iter": 25, "seed": 0, "capacity": 4096, "query_offset": 100, "query_count": 20, "scale": 65536, "rebalance": "author algorithm with identical row-chunk distances"},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{"query_ms": [2474768.4640724007, 9899073.856289603], "verify_ms": [25.64689304894108, 102.58757219576432], "vo_kb": [1100.0819, 1488.3460999999998]},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{"query_ms": [2474768.4640724007, 9899073.856289603], "verify_ms": [25.64689304894108, 102.58757219576432], "vo_kb": [1100.0819, 1488.3460999999998]},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t>
        </is>
      </c>
    </row>
    <row r="176">
      <c r="A176" s="0" t="inlineStr">
        <is>
          <t>GloVe-100</t>
        </is>
      </c>
      <c r="B176" s="0" t="inlineStr">
        <is>
          <t>R26</t>
        </is>
      </c>
      <c r="C176" s="0" t="inlineStr">
        <is>
          <t>预算内未测</t>
        </is>
      </c>
      <c r="E176" s="0" t="b">
        <v>0</v>
      </c>
      <c r="F176" s="0" t="inlineStr">
        <is>
          <t>{"kind": "curve", "dataset": "glove100", "sheet": "GloVe-100", "column": 18, "target": 0.75, "choice": null, "reason": "all calibrated configurations reaching this target exceed the declared 512GiB planning envelope", "smallest_memory_reaching_target": {"status": "outside_512GiB_scenario", "config": {"dataset": "glove100", "source": "glove100", "N": 1183514, "D": 100, "n_list": 1024, "M": 100, "K": 256, "n_iter": 25, "seed": 0, "capacity": 4096, "query_offset": 100, "query_count": 20, "scale": 65536, "rebalance": "author algorithm with identical row-chunk distances"}, "n_probe": 32, "k": 10, "gates": 11562258, "gate_source": "structural estimate", "domain_bits": 24, "guard_domain_bits": 24, "proof_phase_memory_estimate_GiB": 517.6257934570312, "planned_machine_memory_GiB": 832.818048095703, "fits_512GiB_scenario": false, "query_ms": 10329834.561643753, "verify_ms": 52.443031113360625, "vo_kb": 1302.425, "declared_sensitivity": {"query_ms": [5164917.280821877, 20659669.123287506], "verify_ms": [26.221515556680313, 104.88606222672125], "vo_kb": [1107.06125, 1497.78875]}, "label": "512GiB条件预测，未在512GiB机器实测", "recall_scope": "existing search calibration only", "model": "glove100-1183514-M100", "recall": 0.78, "recall_source": "/mnt/d/paper_source/work_9/VeriANN_repro_2026-09-30/VeriANN_repro_2026-09-30/V3DB-26VLDB/work9-cache/glove100-1183514-M100/calibration.json", "recall_queries": 20}}</t>
        </is>
      </c>
    </row>
    <row r="177">
      <c r="A177" s="0" t="inlineStr">
        <is>
          <t>GloVe-100</t>
        </is>
      </c>
      <c r="B177" s="0" t="inlineStr">
        <is>
          <t>R27</t>
        </is>
      </c>
      <c r="C177" s="0" t="inlineStr">
        <is>
          <t>预算内未测</t>
        </is>
      </c>
      <c r="E177" s="0" t="b">
        <v>0</v>
      </c>
      <c r="F177" s="0" t="inlineStr">
        <is>
          <t>{"kind": "curve", "dataset": "glove100", "sheet": "GloVe-100", "column": 18, "target": 0.75, "choice": null, "reason": "all calibrated configurations reaching this target exceed the declared 512GiB planning envelope", "smallest_memory_reaching_target": {"status": "outside_512GiB_scenario", "config": {"dataset": "glove100", "source": "glove100", "N": 1183514, "D": 100, "n_list": 1024, "M": 100, "K": 256, "n_iter": 25, "seed": 0, "capacity": 4096, "query_offset": 100, "query_count": 20, "scale": 65536, "rebalance": "author algorithm with identical row-chunk distances"}, "n_probe": 32, "k": 10, "gates": 11562258, "gate_source": "structural estimate", "domain_bits": 24, "guard_domain_bits": 24, "proof_phase_memory_estimate_GiB": 517.6257934570312, "planned_machine_memory_GiB": 832.818048095703, "fits_512GiB_scenario": false, "query_ms": 10329834.561643753, "verify_ms": 52.443031113360625, "vo_kb": 1302.425, "declared_sensitivity": {"query_ms": [5164917.280821877, 20659669.123287506], "verify_ms": [26.221515556680313, 104.88606222672125], "vo_kb": [1107.06125, 1497.78875]}, "label": "512GiB条件预测，未在512GiB机器实测", "recall_scope": "existing search calibration only", "model": "glove100-1183514-M100", "recall": 0.78, "recall_source": "/mnt/d/paper_source/work_9/VeriANN_repro_2026-09-30/VeriANN_repro_2026-09-30/V3DB-26VLDB/work9-cache/glove100-1183514-M100/calibration.json", "recall_queries": 20}}</t>
        </is>
      </c>
    </row>
    <row r="178">
      <c r="A178" s="0" t="inlineStr">
        <is>
          <t>GloVe-100</t>
        </is>
      </c>
      <c r="B178" s="0" t="inlineStr">
        <is>
          <t>R38</t>
        </is>
      </c>
      <c r="C178" s="0" t="inlineStr">
        <is>
          <t>预算内未测</t>
        </is>
      </c>
      <c r="E178" s="0" t="b">
        <v>0</v>
      </c>
      <c r="F178" s="0" t="inlineStr">
        <is>
          <t>{"kind": "curve", "dataset": "glove100", "sheet": "GloVe-100", "column": 18, "target": 0.75, "choice": null, "reason": "all calibrated configurations reaching this target exceed the declared 512GiB planning envelope", "smallest_memory_reaching_target": {"status": "outside_512GiB_scenario", "config": {"dataset": "glove100", "source": "glove100", "N": 1183514, "D": 100, "n_list": 1024, "M": 100, "K": 256, "n_iter": 25, "seed": 0, "capacity": 4096, "query_offset": 100, "query_count": 20, "scale": 65536, "rebalance": "author algorithm with identical row-chunk distances"}, "n_probe": 32, "k": 10, "gates": 11562258, "gate_source": "structural estimate", "domain_bits": 24, "guard_domain_bits": 24, "proof_phase_memory_estimate_GiB": 517.6257934570312, "planned_machine_memory_GiB": 832.818048095703, "fits_512GiB_scenario": false, "query_ms": 10329834.561643753, "verify_ms": 52.443031113360625, "vo_kb": 1302.425, "declared_sensitivity": {"query_ms": [5164917.280821877, 20659669.123287506], "verify_ms": [26.221515556680313, 104.88606222672125], "vo_kb": [1107.06125, 1497.78875]}, "label": "512GiB条件预测，未在512GiB机器实测", "recall_scope": "existing search calibration only", "model": "glove100-1183514-M100", "recall": 0.78, "recall_source": "/mnt/d/paper_source/work_9/VeriANN_repro_2026-09-30/VeriANN_repro_2026-09-30/V3DB-26VLDB/work9-cache/glove100-1183514-M100/calibration.json", "recall_queries": 20}}</t>
        </is>
      </c>
    </row>
    <row r="179">
      <c r="A179" s="0" t="inlineStr">
        <is>
          <t>GloVe-100</t>
        </is>
      </c>
      <c r="B179" s="0" t="inlineStr">
        <is>
          <t>R39</t>
        </is>
      </c>
      <c r="C179" s="0" t="inlineStr">
        <is>
          <t>预算内未测</t>
        </is>
      </c>
      <c r="E179" s="0" t="b">
        <v>0</v>
      </c>
      <c r="F179" s="0" t="inlineStr">
        <is>
          <t>{"kind": "curve", "dataset": "glove100", "sheet": "GloVe-100", "column": 18, "target": 0.75, "choice": null, "reason": "all calibrated configurations reaching this target exceed the declared 512GiB planning envelope", "smallest_memory_reaching_target": {"status": "outside_512GiB_scenario", "config": {"dataset": "glove100", "source": "glove100", "N": 1183514, "D": 100, "n_list": 1024, "M": 100, "K": 256, "n_iter": 25, "seed": 0, "capacity": 4096, "query_offset": 100, "query_count": 20, "scale": 65536, "rebalance": "author algorithm with identical row-chunk distances"}, "n_probe": 32, "k": 10, "gates": 11562258, "gate_source": "structural estimate", "domain_bits": 24, "guard_domain_bits": 24, "proof_phase_memory_estimate_GiB": 517.6257934570312, "planned_machine_memory_GiB": 832.818048095703, "fits_512GiB_scenario": false, "query_ms": 10329834.561643753, "verify_ms": 52.443031113360625, "vo_kb": 1302.425, "declared_sensitivity": {"query_ms": [5164917.280821877, 20659669.123287506], "verify_ms": [26.221515556680313, 104.88606222672125], "vo_kb": [1107.06125, 1497.78875]}, "label": "512GiB条件预测，未在512GiB机器实测", "recall_scope": "existing search calibration only", "model": "glove100-1183514-M100", "recall": 0.78, "recall_source": "/mnt/d/paper_source/work_9/VeriANN_repro_2026-09-30/VeriANN_repro_2026-09-30/V3DB-26VLDB/work9-cache/glove100-1183514-M100/calibration.json", "recall_queries": 20}}</t>
        </is>
      </c>
    </row>
    <row r="180">
      <c r="A180" s="0" t="inlineStr">
        <is>
          <t>GloVe-100</t>
        </is>
      </c>
      <c r="B180" s="0" t="inlineStr">
        <is>
          <t>R50</t>
        </is>
      </c>
      <c r="C180" s="0" t="inlineStr">
        <is>
          <t>预算内未测</t>
        </is>
      </c>
      <c r="E180" s="0" t="b">
        <v>0</v>
      </c>
      <c r="F180" s="0" t="inlineStr">
        <is>
          <t>{"kind": "curve", "dataset": "glove100", "sheet": "GloVe-100", "column": 18, "target": 0.75, "choice": null, "reason": "all calibrated configurations reaching this target exceed the declared 512GiB planning envelope", "smallest_memory_reaching_target": {"status": "outside_512GiB_scenario", "config": {"dataset": "glove100", "source": "glove100", "N": 1183514, "D": 100, "n_list": 1024, "M": 100, "K": 256, "n_iter": 25, "seed": 0, "capacity": 4096, "query_offset": 100, "query_count": 20, "scale": 65536, "rebalance": "author algorithm with identical row-chunk distances"}, "n_probe": 32, "k": 10, "gates": 11562258, "gate_source": "structural estimate", "domain_bits": 24, "guard_domain_bits": 24, "proof_phase_memory_estimate_GiB": 517.6257934570312, "planned_machine_memory_GiB": 832.818048095703, "fits_512GiB_scenario": false, "query_ms": 10329834.561643753, "verify_ms": 52.443031113360625, "vo_kb": 1302.425, "declared_sensitivity": {"query_ms": [5164917.280821877, 20659669.123287506], "verify_ms": [26.221515556680313, 104.88606222672125], "vo_kb": [1107.06125, 1497.78875]}, "label": "512GiB条件预测，未在512GiB机器实测", "recall_scope": "existing search calibration only", "model": "glove100-1183514-M100", "recall": 0.78, "recall_source": "/mnt/d/paper_source/work_9/VeriANN_repro_2026-09-30/VeriANN_repro_2026-09-30/V3DB-26VLDB/work9-cache/glove100-1183514-M100/calibration.json", "recall_queries": 20}}</t>
        </is>
      </c>
    </row>
    <row r="181">
      <c r="A181" s="0" t="inlineStr">
        <is>
          <t>GloVe-100</t>
        </is>
      </c>
      <c r="B181" s="0" t="inlineStr">
        <is>
          <t>R51</t>
        </is>
      </c>
      <c r="C181" s="0" t="inlineStr">
        <is>
          <t>预算内未测</t>
        </is>
      </c>
      <c r="E181" s="0" t="b">
        <v>0</v>
      </c>
      <c r="F181" s="0" t="inlineStr">
        <is>
          <t>{"kind": "curve", "dataset": "glove100", "sheet": "GloVe-100", "column": 18, "target": 0.75, "choice": null, "reason": "all calibrated configurations reaching this target exceed the declared 512GiB planning envelope", "smallest_memory_reaching_target": {"status": "outside_512GiB_scenario", "config": {"dataset": "glove100", "source": "glove100", "N": 1183514, "D": 100, "n_list": 1024, "M": 100, "K": 256, "n_iter": 25, "seed": 0, "capacity": 4096, "query_offset": 100, "query_count": 20, "scale": 65536, "rebalance": "author algorithm with identical row-chunk distances"}, "n_probe": 32, "k": 10, "gates": 11562258, "gate_source": "structural estimate", "domain_bits": 24, "guard_domain_bits": 24, "proof_phase_memory_estimate_GiB": 517.6257934570312, "planned_machine_memory_GiB": 832.818048095703, "fits_512GiB_scenario": false, "query_ms": 10329834.561643753, "verify_ms": 52.443031113360625, "vo_kb": 1302.425, "declared_sensitivity": {"query_ms": [5164917.280821877, 20659669.123287506], "verify_ms": [26.221515556680313, 104.88606222672125], "vo_kb": [1107.06125, 1497.78875]}, "label": "512GiB条件预测，未在512GiB机器实测", "recall_scope": "existing search calibration only", "model": "glove100-1183514-M100", "recall": 0.78, "recall_source": "/mnt/d/paper_source/work_9/VeriANN_repro_2026-09-30/VeriANN_repro_2026-09-30/V3DB-26VLDB/work9-cache/glove100-1183514-M100/calibration.json", "recall_queries": 20}}</t>
        </is>
      </c>
    </row>
    <row r="182">
      <c r="A182" s="0" t="inlineStr">
        <is>
          <t>GloVe-100</t>
        </is>
      </c>
      <c r="B182" s="0" t="inlineStr">
        <is>
          <t>S26</t>
        </is>
      </c>
      <c r="C182" s="0" t="inlineStr">
        <is>
          <t>预算内未测</t>
        </is>
      </c>
      <c r="E182" s="0" t="b">
        <v>0</v>
      </c>
      <c r="F182" s="0" t="inlineStr">
        <is>
          <t>{"kind": "curve", "dataset": "glove100", "sheet": "GloVe-100", "column": 19, "target": 0.8, "choice": null, "reason": "all calibrated configurations reaching this target exceed the declared 512GiB planning envelope", "smallest_memory_reaching_target": {"status": "outside_512GiB_scenario", "config": {"dataset": "glove100", "source": "glove100", "N": 1183514, "D": 100, "n_list": 1024, "M": 100, "K": 512, "n_iter": 25, "seed": 0, "capacity": 4096, "query_offset": 100, "query_count": 20, "scale": 65536, "rebalance": "author algorithm with identical row-chunk distances"}, "n_probe": 32, "k": 10, "gates": 11811413, "gate_source": "structural estimate", "domain_bits": 24, "guard_domain_bits": 24, "proof_phase_memory_estimate_GiB": 517.6257934570312, "planned_machine_memory_GiB": 832.818048095703, "fits_512GiB_scenario": false, "query_ms": 10329834.561643753, "verify_ms": 52.443031113360625, "vo_kb": 1302.425, "declared_sensitivity": {"query_ms": [5164917.280821877, 20659669.123287506], "verify_ms": [26.221515556680313, 104.88606222672125], "vo_kb": [1107.06125, 1497.78875]}, "label": "512GiB条件预测，未在512GiB机器实测", "recall_scope": "existing search calibration only", "model": "glove100-1183514-M100-K512", "recall": 0.8, "recall_source": "/mnt/d/paper_source/work_9/VeriANN_repro_2026-09-30/VeriANN_repro_2026-09-30/V3DB-26VLDB/work9-cache/glove100-1183514-M100-K512/calibration.json", "recall_queries": 20}}</t>
        </is>
      </c>
    </row>
    <row r="183">
      <c r="A183" s="0" t="inlineStr">
        <is>
          <t>GloVe-100</t>
        </is>
      </c>
      <c r="B183" s="0" t="inlineStr">
        <is>
          <t>S27</t>
        </is>
      </c>
      <c r="C183" s="0" t="inlineStr">
        <is>
          <t>预算内未测</t>
        </is>
      </c>
      <c r="E183" s="0" t="b">
        <v>0</v>
      </c>
      <c r="F183" s="0" t="inlineStr">
        <is>
          <t>{"kind": "curve", "dataset": "glove100", "sheet": "GloVe-100", "column": 19, "target": 0.8, "choice": null, "reason": "all calibrated configurations reaching this target exceed the declared 512GiB planning envelope", "smallest_memory_reaching_target": {"status": "outside_512GiB_scenario", "config": {"dataset": "glove100", "source": "glove100", "N": 1183514, "D": 100, "n_list": 1024, "M": 100, "K": 512, "n_iter": 25, "seed": 0, "capacity": 4096, "query_offset": 100, "query_count": 20, "scale": 65536, "rebalance": "author algorithm with identical row-chunk distances"}, "n_probe": 32, "k": 10, "gates": 11811413, "gate_source": "structural estimate", "domain_bits": 24, "guard_domain_bits": 24, "proof_phase_memory_estimate_GiB": 517.6257934570312, "planned_machine_memory_GiB": 832.818048095703, "fits_512GiB_scenario": false, "query_ms": 10329834.561643753, "verify_ms": 52.443031113360625, "vo_kb": 1302.425, "declared_sensitivity": {"query_ms": [5164917.280821877, 20659669.123287506], "verify_ms": [26.221515556680313, 104.88606222672125], "vo_kb": [1107.06125, 1497.78875]}, "label": "512GiB条件预测，未在512GiB机器实测", "recall_scope": "existing search calibration only", "model": "glove100-1183514-M100-K512", "recall": 0.8, "recall_source": "/mnt/d/paper_source/work_9/VeriANN_repro_2026-09-30/VeriANN_repro_2026-09-30/V3DB-26VLDB/work9-cache/glove100-1183514-M100-K512/calibration.json", "recall_queries": 20}}</t>
        </is>
      </c>
    </row>
    <row r="184">
      <c r="A184" s="0" t="inlineStr">
        <is>
          <t>GloVe-100</t>
        </is>
      </c>
      <c r="B184" s="0" t="inlineStr">
        <is>
          <t>S38</t>
        </is>
      </c>
      <c r="C184" s="0" t="inlineStr">
        <is>
          <t>预算内未测</t>
        </is>
      </c>
      <c r="E184" s="0" t="b">
        <v>0</v>
      </c>
      <c r="F184" s="0" t="inlineStr">
        <is>
          <t>{"kind": "curve", "dataset": "glove100", "sheet": "GloVe-100", "column": 19, "target": 0.8, "choice": null, "reason": "all calibrated configurations reaching this target exceed the declared 512GiB planning envelope", "smallest_memory_reaching_target": {"status": "outside_512GiB_scenario", "config": {"dataset": "glove100", "source": "glove100", "N": 1183514, "D": 100, "n_list": 1024, "M": 100, "K": 512, "n_iter": 25, "seed": 0, "capacity": 4096, "query_offset": 100, "query_count": 20, "scale": 65536, "rebalance": "author algorithm with identical row-chunk distances"}, "n_probe": 32, "k": 10, "gates": 11811413, "gate_source": "structural estimate", "domain_bits": 24, "guard_domain_bits": 24, "proof_phase_memory_estimate_GiB": 517.6257934570312, "planned_machine_memory_GiB": 832.818048095703, "fits_512GiB_scenario": false, "query_ms": 10329834.561643753, "verify_ms": 52.443031113360625, "vo_kb": 1302.425, "declared_sensitivity": {"query_ms": [5164917.280821877, 20659669.123287506], "verify_ms": [26.221515556680313, 104.88606222672125], "vo_kb": [1107.06125, 1497.78875]}, "label": "512GiB条件预测，未在512GiB机器实测", "recall_scope": "existing search calibration only", "model": "glove100-1183514-M100-K512", "recall": 0.8, "recall_source": "/mnt/d/paper_source/work_9/VeriANN_repro_2026-09-30/VeriANN_repro_2026-09-30/V3DB-26VLDB/work9-cache/glove100-1183514-M100-K512/calibration.json", "recall_queries": 20}}</t>
        </is>
      </c>
    </row>
    <row r="185">
      <c r="A185" s="0" t="inlineStr">
        <is>
          <t>GloVe-100</t>
        </is>
      </c>
      <c r="B185" s="0" t="inlineStr">
        <is>
          <t>S39</t>
        </is>
      </c>
      <c r="C185" s="0" t="inlineStr">
        <is>
          <t>预算内未测</t>
        </is>
      </c>
      <c r="E185" s="0" t="b">
        <v>0</v>
      </c>
      <c r="F185" s="0" t="inlineStr">
        <is>
          <t>{"kind": "curve", "dataset": "glove100", "sheet": "GloVe-100", "column": 19, "target": 0.8, "choice": null, "reason": "all calibrated configurations reaching this target exceed the declared 512GiB planning envelope", "smallest_memory_reaching_target": {"status": "outside_512GiB_scenario", "config": {"dataset": "glove100", "source": "glove100", "N": 1183514, "D": 100, "n_list": 1024, "M": 100, "K": 512, "n_iter": 25, "seed": 0, "capacity": 4096, "query_offset": 100, "query_count": 20, "scale": 65536, "rebalance": "author algorithm with identical row-chunk distances"}, "n_probe": 32, "k": 10, "gates": 11811413, "gate_source": "structural estimate", "domain_bits": 24, "guard_domain_bits": 24, "proof_phase_memory_estimate_GiB": 517.6257934570312, "planned_machine_memory_GiB": 832.818048095703, "fits_512GiB_scenario": false, "query_ms": 10329834.561643753, "verify_ms": 52.443031113360625, "vo_kb": 1302.425, "declared_sensitivity": {"query_ms": [5164917.280821877, 20659669.123287506], "verify_ms": [26.221515556680313, 104.88606222672125], "vo_kb": [1107.06125, 1497.78875]}, "label": "512GiB条件预测，未在512GiB机器实测", "recall_scope": "existing search calibration only", "model": "glove100-1183514-M100-K512", "recall": 0.8, "recall_source": "/mnt/d/paper_source/work_9/VeriANN_repro_2026-09-30/VeriANN_repro_2026-09-30/V3DB-26VLDB/work9-cache/glove100-1183514-M100-K512/calibration.json", "recall_queries": 20}}</t>
        </is>
      </c>
    </row>
    <row r="186">
      <c r="A186" s="0" t="inlineStr">
        <is>
          <t>GloVe-100</t>
        </is>
      </c>
      <c r="B186" s="0" t="inlineStr">
        <is>
          <t>S50</t>
        </is>
      </c>
      <c r="C186" s="0" t="inlineStr">
        <is>
          <t>预算内未测</t>
        </is>
      </c>
      <c r="E186" s="0" t="b">
        <v>0</v>
      </c>
      <c r="F186" s="0" t="inlineStr">
        <is>
          <t>{"kind": "curve", "dataset": "glove100", "sheet": "GloVe-100", "column": 19, "target": 0.8, "choice": null, "reason": "all calibrated configurations reaching this target exceed the declared 512GiB planning envelope", "smallest_memory_reaching_target": {"status": "outside_512GiB_scenario", "config": {"dataset": "glove100", "source": "glove100", "N": 1183514, "D": 100, "n_list": 1024, "M": 100, "K": 512, "n_iter": 25, "seed": 0, "capacity": 4096, "query_offset": 100, "query_count": 20, "scale": 65536, "rebalance": "author algorithm with identical row-chunk distances"}, "n_probe": 32, "k": 10, "gates": 11811413, "gate_source": "structural estimate", "domain_bits": 24, "guard_domain_bits": 24, "proof_phase_memory_estimate_GiB": 517.6257934570312, "planned_machine_memory_GiB": 832.818048095703, "fits_512GiB_scenario": false, "query_ms": 10329834.561643753, "verify_ms": 52.443031113360625, "vo_kb": 1302.425, "declared_sensitivity": {"query_ms": [5164917.280821877, 20659669.123287506], "verify_ms": [26.221515556680313, 104.88606222672125], "vo_kb": [1107.06125, 1497.78875]}, "label": "512GiB条件预测，未在512GiB机器实测", "recall_scope": "existing search calibration only", "model": "glove100-1183514-M100-K512", "recall": 0.8, "recall_source": "/mnt/d/paper_source/work_9/VeriANN_repro_2026-09-30/VeriANN_repro_2026-09-30/V3DB-26VLDB/work9-cache/glove100-1183514-M100-K512/calibration.json", "recall_queries": 20}}</t>
        </is>
      </c>
    </row>
    <row r="187">
      <c r="A187" s="0" t="inlineStr">
        <is>
          <t>GloVe-100</t>
        </is>
      </c>
      <c r="B187" s="0" t="inlineStr">
        <is>
          <t>S51</t>
        </is>
      </c>
      <c r="C187" s="0" t="inlineStr">
        <is>
          <t>预算内未测</t>
        </is>
      </c>
      <c r="E187" s="0" t="b">
        <v>0</v>
      </c>
      <c r="F187" s="0" t="inlineStr">
        <is>
          <t>{"kind": "curve", "dataset": "glove100", "sheet": "GloVe-100", "column": 19, "target": 0.8, "choice": null, "reason": "all calibrated configurations reaching this target exceed the declared 512GiB planning envelope", "smallest_memory_reaching_target": {"status": "outside_512GiB_scenario", "config": {"dataset": "glove100", "source": "glove100", "N": 1183514, "D": 100, "n_list": 1024, "M": 100, "K": 512, "n_iter": 25, "seed": 0, "capacity": 4096, "query_offset": 100, "query_count": 20, "scale": 65536, "rebalance": "author algorithm with identical row-chunk distances"}, "n_probe": 32, "k": 10, "gates": 11811413, "gate_source": "structural estimate", "domain_bits": 24, "guard_domain_bits": 24, "proof_phase_memory_estimate_GiB": 517.6257934570312, "planned_machine_memory_GiB": 832.818048095703, "fits_512GiB_scenario": false, "query_ms": 10329834.561643753, "verify_ms": 52.443031113360625, "vo_kb": 1302.425, "declared_sensitivity": {"query_ms": [5164917.280821877, 20659669.123287506], "verify_ms": [26.221515556680313, 104.88606222672125], "vo_kb": [1107.06125, 1497.78875]}, "label": "512GiB条件预测，未在512GiB机器实测", "recall_scope": "existing search calibration only", "model": "glove100-1183514-M100-K512", "recall": 0.8, "recall_source": "/mnt/d/paper_source/work_9/VeriANN_repro_2026-09-30/VeriANN_repro_2026-09-30/V3DB-26VLDB/work9-cache/glove100-1183514-M100-K512/calibration.json", "recall_queries": 20}}</t>
        </is>
      </c>
    </row>
    <row r="188">
      <c r="A188" s="0" t="inlineStr">
        <is>
          <t>GloVe-100</t>
        </is>
      </c>
      <c r="B188" s="0" t="inlineStr">
        <is>
          <t>T26</t>
        </is>
      </c>
      <c r="C188" s="0" t="inlineStr">
        <is>
          <t>预算内未测</t>
        </is>
      </c>
      <c r="E188" s="0" t="b">
        <v>0</v>
      </c>
      <c r="F188" s="0" t="inlineStr">
        <is>
          <t>{"kind": "curve", "dataset": "glove100", "sheet": "GloVe-100", "column": 20, "target": 0.85,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64, "k": 10, "gates": 24575116, "gate_source": "structural estimate", "domain_bits": 25, "guard_domain_bits": 25, "proof_phase_memory_estimate_GiB": 1035.2515869140625, "planned_machine_memory_GiB": 1633.636096191406, "fits_512GiB_scenario": false, "query_ms": 21521190.533995807, "verify_ms": 77.49896150383908, "vo_kb": 2359.212, "declared_sensitivity": {"query_ms": [10760595.266997904, 43042381.067991614], "verify_ms": [38.74948075191954, 154.99792300767817], "vo_kb": [2005.3301999999999, 2713.0937999999996]}, "label": "512GiB条件预测，未在512GiB机器实测", "recall_scope": "existing search calibration only", "model": "glove100-1183514-M100-K1024", "recall": 0.86, "recall_source": "/mnt/d/paper_source/work_9/VeriANN_repro_2026-09-30/VeriANN_repro_2026-09-30/V3DB-26VLDB/work9-cache/glove100-1183514-M100-K1024/calibration.json", "recall_queries": 20}}</t>
        </is>
      </c>
    </row>
    <row r="189">
      <c r="A189" s="0" t="inlineStr">
        <is>
          <t>GloVe-100</t>
        </is>
      </c>
      <c r="B189" s="0" t="inlineStr">
        <is>
          <t>T27</t>
        </is>
      </c>
      <c r="C189" s="0" t="inlineStr">
        <is>
          <t>预算内未测</t>
        </is>
      </c>
      <c r="E189" s="0" t="b">
        <v>0</v>
      </c>
      <c r="F189" s="0" t="inlineStr">
        <is>
          <t>{"kind": "curve", "dataset": "glove100", "sheet": "GloVe-100", "column": 20, "target": 0.85,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64, "k": 10, "gates": 24575116, "gate_source": "structural estimate", "domain_bits": 25, "guard_domain_bits": 25, "proof_phase_memory_estimate_GiB": 1035.2515869140625, "planned_machine_memory_GiB": 1633.636096191406, "fits_512GiB_scenario": false, "query_ms": 21521190.533995807, "verify_ms": 77.49896150383908, "vo_kb": 2359.212, "declared_sensitivity": {"query_ms": [10760595.266997904, 43042381.067991614], "verify_ms": [38.74948075191954, 154.99792300767817], "vo_kb": [2005.3301999999999, 2713.0937999999996]}, "label": "512GiB条件预测，未在512GiB机器实测", "recall_scope": "existing search calibration only", "model": "glove100-1183514-M100-K1024", "recall": 0.86, "recall_source": "/mnt/d/paper_source/work_9/VeriANN_repro_2026-09-30/VeriANN_repro_2026-09-30/V3DB-26VLDB/work9-cache/glove100-1183514-M100-K1024/calibration.json", "recall_queries": 20}}</t>
        </is>
      </c>
    </row>
    <row r="190">
      <c r="A190" s="0" t="inlineStr">
        <is>
          <t>GloVe-100</t>
        </is>
      </c>
      <c r="B190" s="0" t="inlineStr">
        <is>
          <t>T38</t>
        </is>
      </c>
      <c r="C190" s="0" t="inlineStr">
        <is>
          <t>预算内未测</t>
        </is>
      </c>
      <c r="E190" s="0" t="b">
        <v>0</v>
      </c>
      <c r="F190" s="0" t="inlineStr">
        <is>
          <t>{"kind": "curve", "dataset": "glove100", "sheet": "GloVe-100", "column": 20, "target": 0.85,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64, "k": 10, "gates": 24575116, "gate_source": "structural estimate", "domain_bits": 25, "guard_domain_bits": 25, "proof_phase_memory_estimate_GiB": 1035.2515869140625, "planned_machine_memory_GiB": 1633.636096191406, "fits_512GiB_scenario": false, "query_ms": 21521190.533995807, "verify_ms": 77.49896150383908, "vo_kb": 2359.212, "declared_sensitivity": {"query_ms": [10760595.266997904, 43042381.067991614], "verify_ms": [38.74948075191954, 154.99792300767817], "vo_kb": [2005.3301999999999, 2713.0937999999996]}, "label": "512GiB条件预测，未在512GiB机器实测", "recall_scope": "existing search calibration only", "model": "glove100-1183514-M100-K1024", "recall": 0.86, "recall_source": "/mnt/d/paper_source/work_9/VeriANN_repro_2026-09-30/VeriANN_repro_2026-09-30/V3DB-26VLDB/work9-cache/glove100-1183514-M100-K1024/calibration.json", "recall_queries": 20}}</t>
        </is>
      </c>
    </row>
    <row r="191">
      <c r="A191" s="0" t="inlineStr">
        <is>
          <t>GloVe-100</t>
        </is>
      </c>
      <c r="B191" s="0" t="inlineStr">
        <is>
          <t>T39</t>
        </is>
      </c>
      <c r="C191" s="0" t="inlineStr">
        <is>
          <t>预算内未测</t>
        </is>
      </c>
      <c r="E191" s="0" t="b">
        <v>0</v>
      </c>
      <c r="F191" s="0" t="inlineStr">
        <is>
          <t>{"kind": "curve", "dataset": "glove100", "sheet": "GloVe-100", "column": 20, "target": 0.85,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64, "k": 10, "gates": 24575116, "gate_source": "structural estimate", "domain_bits": 25, "guard_domain_bits": 25, "proof_phase_memory_estimate_GiB": 1035.2515869140625, "planned_machine_memory_GiB": 1633.636096191406, "fits_512GiB_scenario": false, "query_ms": 21521190.533995807, "verify_ms": 77.49896150383908, "vo_kb": 2359.212, "declared_sensitivity": {"query_ms": [10760595.266997904, 43042381.067991614], "verify_ms": [38.74948075191954, 154.99792300767817], "vo_kb": [2005.3301999999999, 2713.0937999999996]}, "label": "512GiB条件预测，未在512GiB机器实测", "recall_scope": "existing search calibration only", "model": "glove100-1183514-M100-K1024", "recall": 0.86, "recall_source": "/mnt/d/paper_source/work_9/VeriANN_repro_2026-09-30/VeriANN_repro_2026-09-30/V3DB-26VLDB/work9-cache/glove100-1183514-M100-K1024/calibration.json", "recall_queries": 20}}</t>
        </is>
      </c>
    </row>
    <row r="192">
      <c r="A192" s="0" t="inlineStr">
        <is>
          <t>GloVe-100</t>
        </is>
      </c>
      <c r="B192" s="0" t="inlineStr">
        <is>
          <t>T50</t>
        </is>
      </c>
      <c r="C192" s="0" t="inlineStr">
        <is>
          <t>预算内未测</t>
        </is>
      </c>
      <c r="E192" s="0" t="b">
        <v>0</v>
      </c>
      <c r="F192" s="0" t="inlineStr">
        <is>
          <t>{"kind": "curve", "dataset": "glove100", "sheet": "GloVe-100", "column": 20, "target": 0.85,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64, "k": 10, "gates": 24575116, "gate_source": "structural estimate", "domain_bits": 25, "guard_domain_bits": 25, "proof_phase_memory_estimate_GiB": 1035.2515869140625, "planned_machine_memory_GiB": 1633.636096191406, "fits_512GiB_scenario": false, "query_ms": 21521190.533995807, "verify_ms": 77.49896150383908, "vo_kb": 2359.212, "declared_sensitivity": {"query_ms": [10760595.266997904, 43042381.067991614], "verify_ms": [38.74948075191954, 154.99792300767817], "vo_kb": [2005.3301999999999, 2713.0937999999996]}, "label": "512GiB条件预测，未在512GiB机器实测", "recall_scope": "existing search calibration only", "model": "glove100-1183514-M100-K1024", "recall": 0.86, "recall_source": "/mnt/d/paper_source/work_9/VeriANN_repro_2026-09-30/VeriANN_repro_2026-09-30/V3DB-26VLDB/work9-cache/glove100-1183514-M100-K1024/calibration.json", "recall_queries": 20}}</t>
        </is>
      </c>
    </row>
    <row r="193">
      <c r="A193" s="0" t="inlineStr">
        <is>
          <t>GloVe-100</t>
        </is>
      </c>
      <c r="B193" s="0" t="inlineStr">
        <is>
          <t>T51</t>
        </is>
      </c>
      <c r="C193" s="0" t="inlineStr">
        <is>
          <t>预算内未测</t>
        </is>
      </c>
      <c r="E193" s="0" t="b">
        <v>0</v>
      </c>
      <c r="F193" s="0" t="inlineStr">
        <is>
          <t>{"kind": "curve", "dataset": "glove100", "sheet": "GloVe-100", "column": 20, "target": 0.85,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64, "k": 10, "gates": 24575116, "gate_source": "structural estimate", "domain_bits": 25, "guard_domain_bits": 25, "proof_phase_memory_estimate_GiB": 1035.2515869140625, "planned_machine_memory_GiB": 1633.636096191406, "fits_512GiB_scenario": false, "query_ms": 21521190.533995807, "verify_ms": 77.49896150383908, "vo_kb": 2359.212, "declared_sensitivity": {"query_ms": [10760595.266997904, 43042381.067991614], "verify_ms": [38.74948075191954, 154.99792300767817], "vo_kb": [2005.3301999999999, 2713.0937999999996]}, "label": "512GiB条件预测，未在512GiB机器实测", "recall_scope": "existing search calibration only", "model": "glove100-1183514-M100-K1024", "recall": 0.86, "recall_source": "/mnt/d/paper_source/work_9/VeriANN_repro_2026-09-30/VeriANN_repro_2026-09-30/V3DB-26VLDB/work9-cache/glove100-1183514-M100-K1024/calibration.json", "recall_queries": 20}}</t>
        </is>
      </c>
    </row>
    <row r="194">
      <c r="A194" s="0" t="inlineStr">
        <is>
          <t>GloVe-100</t>
        </is>
      </c>
      <c r="B194" s="0" t="inlineStr">
        <is>
          <t>U26</t>
        </is>
      </c>
      <c r="C194" s="0" t="inlineStr">
        <is>
          <t>预算内未测</t>
        </is>
      </c>
      <c r="E194" s="0" t="b">
        <v>0</v>
      </c>
      <c r="F194" s="0" t="inlineStr">
        <is>
          <t>{"kind": "curve", "dataset": "glove100", "sheet": "GloVe-100", "column": 21, "target": 0.9,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128, "k": 10, "gates": 49105901, "gate_source": "structural estimate", "domain_bits": 26, "guard_domain_bits": 26, "proof_phase_memory_estimate_GiB": 2070.503173828125, "planned_machine_memory_GiB": 3235.272192382812, "fits_512GiB_scenario": false, "query_ms": 44765423.889408216, "verify_ms": 126.46157726931756, "vo_kb": 4464.575, "declared_sensitivity": {"query_ms": [22382711.944704108, 89530847.77881643], "verify_ms": [63.23078863465878, 252.92315453863512], "vo_kb": [3794.8887499999996, 5134.26125]}, "label": "512GiB条件预测，未在512GiB机器实测", "recall_scope": "existing search calibration only", "model": "glove100-1183514-M100-K1024", "recall": 0.9100000000000001, "recall_source": "/mnt/d/paper_source/work_9/VeriANN_repro_2026-09-30/VeriANN_repro_2026-09-30/V3DB-26VLDB/work9-cache/glove100-1183514-M100-K1024/calibration.json", "recall_queries": 20}}</t>
        </is>
      </c>
    </row>
    <row r="195">
      <c r="A195" s="0" t="inlineStr">
        <is>
          <t>GloVe-100</t>
        </is>
      </c>
      <c r="B195" s="0" t="inlineStr">
        <is>
          <t>U27</t>
        </is>
      </c>
      <c r="C195" s="0" t="inlineStr">
        <is>
          <t>预算内未测</t>
        </is>
      </c>
      <c r="E195" s="0" t="b">
        <v>0</v>
      </c>
      <c r="F195" s="0" t="inlineStr">
        <is>
          <t>{"kind": "curve", "dataset": "glove100", "sheet": "GloVe-100", "column": 21, "target": 0.9,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128, "k": 10, "gates": 49105901, "gate_source": "structural estimate", "domain_bits": 26, "guard_domain_bits": 26, "proof_phase_memory_estimate_GiB": 2070.503173828125, "planned_machine_memory_GiB": 3235.272192382812, "fits_512GiB_scenario": false, "query_ms": 44765423.889408216, "verify_ms": 126.46157726931756, "vo_kb": 4464.575, "declared_sensitivity": {"query_ms": [22382711.944704108, 89530847.77881643], "verify_ms": [63.23078863465878, 252.92315453863512], "vo_kb": [3794.8887499999996, 5134.26125]}, "label": "512GiB条件预测，未在512GiB机器实测", "recall_scope": "existing search calibration only", "model": "glove100-1183514-M100-K1024", "recall": 0.9100000000000001, "recall_source": "/mnt/d/paper_source/work_9/VeriANN_repro_2026-09-30/VeriANN_repro_2026-09-30/V3DB-26VLDB/work9-cache/glove100-1183514-M100-K1024/calibration.json", "recall_queries": 20}}</t>
        </is>
      </c>
    </row>
    <row r="196">
      <c r="A196" s="0" t="inlineStr">
        <is>
          <t>GloVe-100</t>
        </is>
      </c>
      <c r="B196" s="0" t="inlineStr">
        <is>
          <t>U38</t>
        </is>
      </c>
      <c r="C196" s="0" t="inlineStr">
        <is>
          <t>预算内未测</t>
        </is>
      </c>
      <c r="E196" s="0" t="b">
        <v>0</v>
      </c>
      <c r="F196" s="0" t="inlineStr">
        <is>
          <t>{"kind": "curve", "dataset": "glove100", "sheet": "GloVe-100", "column": 21, "target": 0.9,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128, "k": 10, "gates": 49105901, "gate_source": "structural estimate", "domain_bits": 26, "guard_domain_bits": 26, "proof_phase_memory_estimate_GiB": 2070.503173828125, "planned_machine_memory_GiB": 3235.272192382812, "fits_512GiB_scenario": false, "query_ms": 44765423.889408216, "verify_ms": 126.46157726931756, "vo_kb": 4464.575, "declared_sensitivity": {"query_ms": [22382711.944704108, 89530847.77881643], "verify_ms": [63.23078863465878, 252.92315453863512], "vo_kb": [3794.8887499999996, 5134.26125]}, "label": "512GiB条件预测，未在512GiB机器实测", "recall_scope": "existing search calibration only", "model": "glove100-1183514-M100-K1024", "recall": 0.9100000000000001, "recall_source": "/mnt/d/paper_source/work_9/VeriANN_repro_2026-09-30/VeriANN_repro_2026-09-30/V3DB-26VLDB/work9-cache/glove100-1183514-M100-K1024/calibration.json", "recall_queries": 20}}</t>
        </is>
      </c>
    </row>
    <row r="197">
      <c r="A197" s="0" t="inlineStr">
        <is>
          <t>GloVe-100</t>
        </is>
      </c>
      <c r="B197" s="0" t="inlineStr">
        <is>
          <t>U39</t>
        </is>
      </c>
      <c r="C197" s="0" t="inlineStr">
        <is>
          <t>预算内未测</t>
        </is>
      </c>
      <c r="E197" s="0" t="b">
        <v>0</v>
      </c>
      <c r="F197" s="0" t="inlineStr">
        <is>
          <t>{"kind": "curve", "dataset": "glove100", "sheet": "GloVe-100", "column": 21, "target": 0.9,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128, "k": 10, "gates": 49105901, "gate_source": "structural estimate", "domain_bits": 26, "guard_domain_bits": 26, "proof_phase_memory_estimate_GiB": 2070.503173828125, "planned_machine_memory_GiB": 3235.272192382812, "fits_512GiB_scenario": false, "query_ms": 44765423.889408216, "verify_ms": 126.46157726931756, "vo_kb": 4464.575, "declared_sensitivity": {"query_ms": [22382711.944704108, 89530847.77881643], "verify_ms": [63.23078863465878, 252.92315453863512], "vo_kb": [3794.8887499999996, 5134.26125]}, "label": "512GiB条件预测，未在512GiB机器实测", "recall_scope": "existing search calibration only", "model": "glove100-1183514-M100-K1024", "recall": 0.9100000000000001, "recall_source": "/mnt/d/paper_source/work_9/VeriANN_repro_2026-09-30/VeriANN_repro_2026-09-30/V3DB-26VLDB/work9-cache/glove100-1183514-M100-K1024/calibration.json", "recall_queries": 20}}</t>
        </is>
      </c>
    </row>
    <row r="198">
      <c r="A198" s="0" t="inlineStr">
        <is>
          <t>GloVe-100</t>
        </is>
      </c>
      <c r="B198" s="0" t="inlineStr">
        <is>
          <t>U50</t>
        </is>
      </c>
      <c r="C198" s="0" t="inlineStr">
        <is>
          <t>预算内未测</t>
        </is>
      </c>
      <c r="E198" s="0" t="b">
        <v>0</v>
      </c>
      <c r="F198" s="0" t="inlineStr">
        <is>
          <t>{"kind": "curve", "dataset": "glove100", "sheet": "GloVe-100", "column": 21, "target": 0.9,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128, "k": 10, "gates": 49105901, "gate_source": "structural estimate", "domain_bits": 26, "guard_domain_bits": 26, "proof_phase_memory_estimate_GiB": 2070.503173828125, "planned_machine_memory_GiB": 3235.272192382812, "fits_512GiB_scenario": false, "query_ms": 44765423.889408216, "verify_ms": 126.46157726931756, "vo_kb": 4464.575, "declared_sensitivity": {"query_ms": [22382711.944704108, 89530847.77881643], "verify_ms": [63.23078863465878, 252.92315453863512], "vo_kb": [3794.8887499999996, 5134.26125]}, "label": "512GiB条件预测，未在512GiB机器实测", "recall_scope": "existing search calibration only", "model": "glove100-1183514-M100-K1024", "recall": 0.9100000000000001, "recall_source": "/mnt/d/paper_source/work_9/VeriANN_repro_2026-09-30/VeriANN_repro_2026-09-30/V3DB-26VLDB/work9-cache/glove100-1183514-M100-K1024/calibration.json", "recall_queries": 20}}</t>
        </is>
      </c>
    </row>
    <row r="199">
      <c r="A199" s="0" t="inlineStr">
        <is>
          <t>GloVe-100</t>
        </is>
      </c>
      <c r="B199" s="0" t="inlineStr">
        <is>
          <t>U51</t>
        </is>
      </c>
      <c r="C199" s="0" t="inlineStr">
        <is>
          <t>预算内未测</t>
        </is>
      </c>
      <c r="E199" s="0" t="b">
        <v>0</v>
      </c>
      <c r="F199" s="0" t="inlineStr">
        <is>
          <t>{"kind": "curve", "dataset": "glove100", "sheet": "GloVe-100", "column": 21, "target": 0.9,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128, "k": 10, "gates": 49105901, "gate_source": "structural estimate", "domain_bits": 26, "guard_domain_bits": 26, "proof_phase_memory_estimate_GiB": 2070.503173828125, "planned_machine_memory_GiB": 3235.272192382812, "fits_512GiB_scenario": false, "query_ms": 44765423.889408216, "verify_ms": 126.46157726931756, "vo_kb": 4464.575, "declared_sensitivity": {"query_ms": [22382711.944704108, 89530847.77881643], "verify_ms": [63.23078863465878, 252.92315453863512], "vo_kb": [3794.8887499999996, 5134.26125]}, "label": "512GiB条件预测，未在512GiB机器实测", "recall_scope": "existing search calibration only", "model": "glove100-1183514-M100-K1024", "recall": 0.9100000000000001, "recall_source": "/mnt/d/paper_source/work_9/VeriANN_repro_2026-09-30/VeriANN_repro_2026-09-30/V3DB-26VLDB/work9-cache/glove100-1183514-M100-K1024/calibration.json", "recall_queries": 20}}</t>
        </is>
      </c>
    </row>
    <row r="200">
      <c r="A200" s="0" t="inlineStr">
        <is>
          <t>GloVe-100</t>
        </is>
      </c>
      <c r="B200" s="0" t="inlineStr">
        <is>
          <t>V26</t>
        </is>
      </c>
      <c r="C200" s="0" t="inlineStr">
        <is>
          <t>预算内未测</t>
        </is>
      </c>
      <c r="E200" s="0" t="b">
        <v>0</v>
      </c>
      <c r="F200" s="0" t="inlineStr">
        <is>
          <t>{"kind": "curve", "dataset": "glove100", "sheet": "GloVe-100", "column": 22, "target": 0.95,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256, "k": 10, "gates": 98167471, "gate_source": "structural estimate", "domain_bits": 27, "guard_domain_bits": 27, "proof_phase_memory_estimate_GiB": 4141.00634765625, "planned_machine_memory_GiB": 6438.544384765624, "fits_512GiB_scenario": false, "query_ms": 92976933.42164965, "verify_ms": 223.237563784796, "vo_kb": 8667.09, "declared_sensitivity": {"query_ms": [46488466.710824825, 185953866.8432993], "verify_ms": [111.618781892398, 446.475127569592], "vo_kb": [7367.0265, 9967.153499999999]}, "label": "512GiB条件预测，未在512GiB机器实测", "recall_scope": "existing search calibration only", "model": "glove100-1183514-M100-K1024", "recall": 0.9650000000000001, "recall_source": "/mnt/d/paper_source/work_9/VeriANN_repro_2026-09-30/VeriANN_repro_2026-09-30/V3DB-26VLDB/work9-cache/glove100-1183514-M100-K1024/calibration.json", "recall_queries": 20}}</t>
        </is>
      </c>
    </row>
    <row r="201">
      <c r="A201" s="0" t="inlineStr">
        <is>
          <t>GloVe-100</t>
        </is>
      </c>
      <c r="B201" s="0" t="inlineStr">
        <is>
          <t>V27</t>
        </is>
      </c>
      <c r="C201" s="0" t="inlineStr">
        <is>
          <t>预算内未测</t>
        </is>
      </c>
      <c r="E201" s="0" t="b">
        <v>0</v>
      </c>
      <c r="F201" s="0" t="inlineStr">
        <is>
          <t>{"kind": "curve", "dataset": "glove100", "sheet": "GloVe-100", "column": 22, "target": 0.95,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256, "k": 10, "gates": 98167471, "gate_source": "structural estimate", "domain_bits": 27, "guard_domain_bits": 27, "proof_phase_memory_estimate_GiB": 4141.00634765625, "planned_machine_memory_GiB": 6438.544384765624, "fits_512GiB_scenario": false, "query_ms": 92976933.42164965, "verify_ms": 223.237563784796, "vo_kb": 8667.09, "declared_sensitivity": {"query_ms": [46488466.710824825, 185953866.8432993], "verify_ms": [111.618781892398, 446.475127569592], "vo_kb": [7367.0265, 9967.153499999999]}, "label": "512GiB条件预测，未在512GiB机器实测", "recall_scope": "existing search calibration only", "model": "glove100-1183514-M100-K1024", "recall": 0.9650000000000001, "recall_source": "/mnt/d/paper_source/work_9/VeriANN_repro_2026-09-30/VeriANN_repro_2026-09-30/V3DB-26VLDB/work9-cache/glove100-1183514-M100-K1024/calibration.json", "recall_queries": 20}}</t>
        </is>
      </c>
    </row>
    <row r="202">
      <c r="A202" s="0" t="inlineStr">
        <is>
          <t>GloVe-100</t>
        </is>
      </c>
      <c r="B202" s="0" t="inlineStr">
        <is>
          <t>V38</t>
        </is>
      </c>
      <c r="C202" s="0" t="inlineStr">
        <is>
          <t>预算内未测</t>
        </is>
      </c>
      <c r="E202" s="0" t="b">
        <v>0</v>
      </c>
      <c r="F202" s="0" t="inlineStr">
        <is>
          <t>{"kind": "curve", "dataset": "glove100", "sheet": "GloVe-100", "column": 22, "target": 0.95,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256, "k": 10, "gates": 98167471, "gate_source": "structural estimate", "domain_bits": 27, "guard_domain_bits": 27, "proof_phase_memory_estimate_GiB": 4141.00634765625, "planned_machine_memory_GiB": 6438.544384765624, "fits_512GiB_scenario": false, "query_ms": 92976933.42164965, "verify_ms": 223.237563784796, "vo_kb": 8667.09, "declared_sensitivity": {"query_ms": [46488466.710824825, 185953866.8432993], "verify_ms": [111.618781892398, 446.475127569592], "vo_kb": [7367.0265, 9967.153499999999]}, "label": "512GiB条件预测，未在512GiB机器实测", "recall_scope": "existing search calibration only", "model": "glove100-1183514-M100-K1024", "recall": 0.9650000000000001, "recall_source": "/mnt/d/paper_source/work_9/VeriANN_repro_2026-09-30/VeriANN_repro_2026-09-30/V3DB-26VLDB/work9-cache/glove100-1183514-M100-K1024/calibration.json", "recall_queries": 20}}</t>
        </is>
      </c>
    </row>
    <row r="203">
      <c r="A203" s="0" t="inlineStr">
        <is>
          <t>GloVe-100</t>
        </is>
      </c>
      <c r="B203" s="0" t="inlineStr">
        <is>
          <t>V39</t>
        </is>
      </c>
      <c r="C203" s="0" t="inlineStr">
        <is>
          <t>预算内未测</t>
        </is>
      </c>
      <c r="E203" s="0" t="b">
        <v>0</v>
      </c>
      <c r="F203" s="0" t="inlineStr">
        <is>
          <t>{"kind": "curve", "dataset": "glove100", "sheet": "GloVe-100", "column": 22, "target": 0.95,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256, "k": 10, "gates": 98167471, "gate_source": "structural estimate", "domain_bits": 27, "guard_domain_bits": 27, "proof_phase_memory_estimate_GiB": 4141.00634765625, "planned_machine_memory_GiB": 6438.544384765624, "fits_512GiB_scenario": false, "query_ms": 92976933.42164965, "verify_ms": 223.237563784796, "vo_kb": 8667.09, "declared_sensitivity": {"query_ms": [46488466.710824825, 185953866.8432993], "verify_ms": [111.618781892398, 446.475127569592], "vo_kb": [7367.0265, 9967.153499999999]}, "label": "512GiB条件预测，未在512GiB机器实测", "recall_scope": "existing search calibration only", "model": "glove100-1183514-M100-K1024", "recall": 0.9650000000000001, "recall_source": "/mnt/d/paper_source/work_9/VeriANN_repro_2026-09-30/VeriANN_repro_2026-09-30/V3DB-26VLDB/work9-cache/glove100-1183514-M100-K1024/calibration.json", "recall_queries": 20}}</t>
        </is>
      </c>
    </row>
    <row r="204">
      <c r="A204" s="0" t="inlineStr">
        <is>
          <t>GloVe-100</t>
        </is>
      </c>
      <c r="B204" s="0" t="inlineStr">
        <is>
          <t>V50</t>
        </is>
      </c>
      <c r="C204" s="0" t="inlineStr">
        <is>
          <t>预算内未测</t>
        </is>
      </c>
      <c r="E204" s="0" t="b">
        <v>0</v>
      </c>
      <c r="F204" s="0" t="inlineStr">
        <is>
          <t>{"kind": "curve", "dataset": "glove100", "sheet": "GloVe-100", "column": 22, "target": 0.95,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256, "k": 10, "gates": 98167471, "gate_source": "structural estimate", "domain_bits": 27, "guard_domain_bits": 27, "proof_phase_memory_estimate_GiB": 4141.00634765625, "planned_machine_memory_GiB": 6438.544384765624, "fits_512GiB_scenario": false, "query_ms": 92976933.42164965, "verify_ms": 223.237563784796, "vo_kb": 8667.09, "declared_sensitivity": {"query_ms": [46488466.710824825, 185953866.8432993], "verify_ms": [111.618781892398, 446.475127569592], "vo_kb": [7367.0265, 9967.153499999999]}, "label": "512GiB条件预测，未在512GiB机器实测", "recall_scope": "existing search calibration only", "model": "glove100-1183514-M100-K1024", "recall": 0.9650000000000001, "recall_source": "/mnt/d/paper_source/work_9/VeriANN_repro_2026-09-30/VeriANN_repro_2026-09-30/V3DB-26VLDB/work9-cache/glove100-1183514-M100-K1024/calibration.json", "recall_queries": 20}}</t>
        </is>
      </c>
    </row>
    <row r="205">
      <c r="A205" s="0" t="inlineStr">
        <is>
          <t>GloVe-100</t>
        </is>
      </c>
      <c r="B205" s="0" t="inlineStr">
        <is>
          <t>V51</t>
        </is>
      </c>
      <c r="C205" s="0" t="inlineStr">
        <is>
          <t>预算内未测</t>
        </is>
      </c>
      <c r="E205" s="0" t="b">
        <v>0</v>
      </c>
      <c r="F205" s="0" t="inlineStr">
        <is>
          <t>{"kind": "curve", "dataset": "glove100", "sheet": "GloVe-100", "column": 22, "target": 0.95,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256, "k": 10, "gates": 98167471, "gate_source": "structural estimate", "domain_bits": 27, "guard_domain_bits": 27, "proof_phase_memory_estimate_GiB": 4141.00634765625, "planned_machine_memory_GiB": 6438.544384765624, "fits_512GiB_scenario": false, "query_ms": 92976933.42164965, "verify_ms": 223.237563784796, "vo_kb": 8667.09, "declared_sensitivity": {"query_ms": [46488466.710824825, 185953866.8432993], "verify_ms": [111.618781892398, 446.475127569592], "vo_kb": [7367.0265, 9967.153499999999]}, "label": "512GiB条件预测，未在512GiB机器实测", "recall_scope": "existing search calibration only", "model": "glove100-1183514-M100-K1024", "recall": 0.9650000000000001, "recall_source": "/mnt/d/paper_source/work_9/VeriANN_repro_2026-09-30/VeriANN_repro_2026-09-30/V3DB-26VLDB/work9-cache/glove100-1183514-M100-K1024/calibration.json", "recall_queries": 20}}</t>
        </is>
      </c>
    </row>
    <row r="206">
      <c r="A206" s="0" t="inlineStr">
        <is>
          <t>GloVe-100</t>
        </is>
      </c>
      <c r="B206" s="0" t="inlineStr">
        <is>
          <t>W26</t>
        </is>
      </c>
      <c r="C206" s="0" t="inlineStr">
        <is>
          <t>预算内未测</t>
        </is>
      </c>
      <c r="E206" s="0" t="b">
        <v>0</v>
      </c>
      <c r="F206" s="0" t="inlineStr">
        <is>
          <t>{"kind": "curve", "dataset": "glove100", "sheet": "GloVe-100", "column": 23, "target": 0.97,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{"query_ms": [96423019.06448285, 385692076.2579314], "verify_ms": [207.82014590013725, 831.280583600549], "vo_kb": [14504.32265, 19623.495349999997]},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t>
        </is>
      </c>
    </row>
    <row r="207">
      <c r="A207" s="0" t="inlineStr">
        <is>
          <t>GloVe-100</t>
        </is>
      </c>
      <c r="B207" s="0" t="inlineStr">
        <is>
          <t>W27</t>
        </is>
      </c>
      <c r="C207" s="0" t="inlineStr">
        <is>
          <t>预算内未测</t>
        </is>
      </c>
      <c r="E207" s="0" t="b">
        <v>0</v>
      </c>
      <c r="F207" s="0" t="inlineStr">
        <is>
          <t>{"kind": "curve", "dataset": "glove100", "sheet": "GloVe-100", "column": 23, "target": 0.97,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{"query_ms": [96423019.06448285, 385692076.2579314], "verify_ms": [207.82014590013725, 831.280583600549], "vo_kb": [14504.32265, 19623.495349999997]},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t>
        </is>
      </c>
    </row>
    <row r="208">
      <c r="A208" s="0" t="inlineStr">
        <is>
          <t>GloVe-100</t>
        </is>
      </c>
      <c r="B208" s="0" t="inlineStr">
        <is>
          <t>W38</t>
        </is>
      </c>
      <c r="C208" s="0" t="inlineStr">
        <is>
          <t>预算内未测</t>
        </is>
      </c>
      <c r="E208" s="0" t="b">
        <v>0</v>
      </c>
      <c r="F208" s="0" t="inlineStr">
        <is>
          <t>{"kind": "curve", "dataset": "glove100", "sheet": "GloVe-100", "column": 23, "target": 0.97,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{"query_ms": [96423019.06448285, 385692076.2579314], "verify_ms": [207.82014590013725, 831.280583600549], "vo_kb": [14504.32265, 19623.495349999997]},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t>
        </is>
      </c>
    </row>
    <row r="209">
      <c r="A209" s="0" t="inlineStr">
        <is>
          <t>GloVe-100</t>
        </is>
      </c>
      <c r="B209" s="0" t="inlineStr">
        <is>
          <t>W39</t>
        </is>
      </c>
      <c r="C209" s="0" t="inlineStr">
        <is>
          <t>预算内未测</t>
        </is>
      </c>
      <c r="E209" s="0" t="b">
        <v>0</v>
      </c>
      <c r="F209" s="0" t="inlineStr">
        <is>
          <t>{"kind": "curve", "dataset": "glove100", "sheet": "GloVe-100", "column": 23, "target": 0.97,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{"query_ms": [96423019.06448285, 385692076.2579314], "verify_ms": [207.82014590013725, 831.280583600549], "vo_kb": [14504.32265, 19623.495349999997]},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t>
        </is>
      </c>
    </row>
    <row r="210">
      <c r="A210" s="0" t="inlineStr">
        <is>
          <t>GloVe-100</t>
        </is>
      </c>
      <c r="B210" s="0" t="inlineStr">
        <is>
          <t>W50</t>
        </is>
      </c>
      <c r="C210" s="0" t="inlineStr">
        <is>
          <t>预算内未测</t>
        </is>
      </c>
      <c r="E210" s="0" t="b">
        <v>0</v>
      </c>
      <c r="F210" s="0" t="inlineStr">
        <is>
          <t>{"kind": "curve", "dataset": "glove100", "sheet": "GloVe-100", "column": 23, "target": 0.97,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{"query_ms": [96423019.06448285, 385692076.2579314], "verify_ms": [207.82014590013725, 831.280583600549], "vo_kb": [14504.32265, 19623.495349999997]},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t>
        </is>
      </c>
    </row>
    <row r="211">
      <c r="A211" s="0" t="inlineStr">
        <is>
          <t>GloVe-100</t>
        </is>
      </c>
      <c r="B211" s="0" t="inlineStr">
        <is>
          <t>W51</t>
        </is>
      </c>
      <c r="C211" s="0" t="inlineStr">
        <is>
          <t>预算内未测</t>
        </is>
      </c>
      <c r="E211" s="0" t="b">
        <v>0</v>
      </c>
      <c r="F211" s="0" t="inlineStr">
        <is>
          <t>{"kind": "curve", "dataset": "glove100", "sheet": "GloVe-100", "column": 23, "target": 0.97,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{"query_ms": [96423019.06448285, 385692076.2579314], "verify_ms": [207.82014590013725, 831.280583600549], "vo_kb": [14504.32265, 19623.495349999997]},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t>
        </is>
      </c>
    </row>
    <row r="212">
      <c r="A212" s="0" t="inlineStr">
        <is>
          <t>GloVe-100</t>
        </is>
      </c>
      <c r="B212" s="0" t="inlineStr">
        <is>
          <t>X26</t>
        </is>
      </c>
      <c r="C212" s="0" t="inlineStr">
        <is>
          <t>预算内未测</t>
        </is>
      </c>
      <c r="E212" s="0" t="b">
        <v>0</v>
      </c>
      <c r="F212" s="0" t="inlineStr">
        <is>
          <t>{"kind": "curve", "dataset": "glove100", "sheet": "GloVe-100", "column": 24, "target": 0.98,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{"query_ms": [96423019.06448285, 385692076.2579314], "verify_ms": [207.82014590013725, 831.280583600549], "vo_kb": [14504.32265, 19623.495349999997]},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t>
        </is>
      </c>
    </row>
    <row r="213">
      <c r="A213" s="0" t="inlineStr">
        <is>
          <t>GloVe-100</t>
        </is>
      </c>
      <c r="B213" s="0" t="inlineStr">
        <is>
          <t>X27</t>
        </is>
      </c>
      <c r="C213" s="0" t="inlineStr">
        <is>
          <t>预算内未测</t>
        </is>
      </c>
      <c r="E213" s="0" t="b">
        <v>0</v>
      </c>
      <c r="F213" s="0" t="inlineStr">
        <is>
          <t>{"kind": "curve", "dataset": "glove100", "sheet": "GloVe-100", "column": 24, "target": 0.98,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{"query_ms": [96423019.06448285, 385692076.2579314], "verify_ms": [207.82014590013725, 831.280583600549], "vo_kb": [14504.32265, 19623.495349999997]},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t>
        </is>
      </c>
    </row>
    <row r="214">
      <c r="A214" s="0" t="inlineStr">
        <is>
          <t>GloVe-100</t>
        </is>
      </c>
      <c r="B214" s="0" t="inlineStr">
        <is>
          <t>X38</t>
        </is>
      </c>
      <c r="C214" s="0" t="inlineStr">
        <is>
          <t>预算内未测</t>
        </is>
      </c>
      <c r="E214" s="0" t="b">
        <v>0</v>
      </c>
      <c r="F214" s="0" t="inlineStr">
        <is>
          <t>{"kind": "curve", "dataset": "glove100", "sheet": "GloVe-100", "column": 24, "target": 0.98,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{"query_ms": [96423019.06448285, 385692076.2579314], "verify_ms": [207.82014590013725, 831.280583600549], "vo_kb": [14504.32265, 19623.495349999997]},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t>
        </is>
      </c>
    </row>
    <row r="215">
      <c r="A215" s="0" t="inlineStr">
        <is>
          <t>GloVe-100</t>
        </is>
      </c>
      <c r="B215" s="0" t="inlineStr">
        <is>
          <t>X39</t>
        </is>
      </c>
      <c r="C215" s="0" t="inlineStr">
        <is>
          <t>预算内未测</t>
        </is>
      </c>
      <c r="E215" s="0" t="b">
        <v>0</v>
      </c>
      <c r="F215" s="0" t="inlineStr">
        <is>
          <t>{"kind": "curve", "dataset": "glove100", "sheet": "GloVe-100", "column": 24, "target": 0.98,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{"query_ms": [96423019.06448285, 385692076.2579314], "verify_ms": [207.82014590013725, 831.280583600549], "vo_kb": [14504.32265, 19623.495349999997]},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t>
        </is>
      </c>
    </row>
    <row r="216">
      <c r="A216" s="0" t="inlineStr">
        <is>
          <t>GloVe-100</t>
        </is>
      </c>
      <c r="B216" s="0" t="inlineStr">
        <is>
          <t>X50</t>
        </is>
      </c>
      <c r="C216" s="0" t="inlineStr">
        <is>
          <t>预算内未测</t>
        </is>
      </c>
      <c r="E216" s="0" t="b">
        <v>0</v>
      </c>
      <c r="F216" s="0" t="inlineStr">
        <is>
          <t>{"kind": "curve", "dataset": "glove100", "sheet": "GloVe-100", "column": 24, "target": 0.98,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{"query_ms": [96423019.06448285, 385692076.2579314], "verify_ms": [207.82014590013725, 831.280583600549], "vo_kb": [14504.32265, 19623.495349999997]},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t>
        </is>
      </c>
    </row>
    <row r="217">
      <c r="A217" s="0" t="inlineStr">
        <is>
          <t>GloVe-100</t>
        </is>
      </c>
      <c r="B217" s="0" t="inlineStr">
        <is>
          <t>X51</t>
        </is>
      </c>
      <c r="C217" s="0" t="inlineStr">
        <is>
          <t>预算内未测</t>
        </is>
      </c>
      <c r="E217" s="0" t="b">
        <v>0</v>
      </c>
      <c r="F217" s="0" t="inlineStr">
        <is>
          <t>{"kind": "curve", "dataset": "glove100", "sheet": "GloVe-100", "column": 24, "target": 0.98,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{"query_ms": [96423019.06448285, 385692076.2579314], "verify_ms": [207.82014590013725, 831.280583600549], "vo_kb": [14504.32265, 19623.495349999997]},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t>
        </is>
      </c>
    </row>
    <row r="218">
      <c r="A218" s="0" t="inlineStr">
        <is>
          <t>GloVe-100</t>
        </is>
      </c>
      <c r="B218" s="0" t="inlineStr">
        <is>
          <t>Y26</t>
        </is>
      </c>
      <c r="C218" s="0" t="inlineStr">
        <is>
          <t>预算内未测</t>
        </is>
      </c>
      <c r="E218" s="0" t="b">
        <v>0</v>
      </c>
      <c r="F218" s="0" t="inlineStr">
        <is>
          <t>{"kind": "curve", "dataset": "glove100", "sheet": "GloVe-100", "column": 25, "target": 0.99, "choice": null, "reason": "no existing calibrated configuration reaches target; recall cannot be invented", "smallest_memory_reaching_target": null}</t>
        </is>
      </c>
    </row>
    <row r="219">
      <c r="A219" s="0" t="inlineStr">
        <is>
          <t>GloVe-100</t>
        </is>
      </c>
      <c r="B219" s="0" t="inlineStr">
        <is>
          <t>Y27</t>
        </is>
      </c>
      <c r="C219" s="0" t="inlineStr">
        <is>
          <t>预算内未测</t>
        </is>
      </c>
      <c r="E219" s="0" t="b">
        <v>0</v>
      </c>
      <c r="F219" s="0" t="inlineStr">
        <is>
          <t>{"kind": "curve", "dataset": "glove100", "sheet": "GloVe-100", "column": 25, "target": 0.99, "choice": null, "reason": "no existing calibrated configuration reaches target; recall cannot be invented", "smallest_memory_reaching_target": null}</t>
        </is>
      </c>
    </row>
    <row r="220">
      <c r="A220" s="0" t="inlineStr">
        <is>
          <t>GloVe-100</t>
        </is>
      </c>
      <c r="B220" s="0" t="inlineStr">
        <is>
          <t>Y38</t>
        </is>
      </c>
      <c r="C220" s="0" t="inlineStr">
        <is>
          <t>预算内未测</t>
        </is>
      </c>
      <c r="E220" s="0" t="b">
        <v>0</v>
      </c>
      <c r="F220" s="0" t="inlineStr">
        <is>
          <t>{"kind": "curve", "dataset": "glove100", "sheet": "GloVe-100", "column": 25, "target": 0.99, "choice": null, "reason": "no existing calibrated configuration reaches target; recall cannot be invented", "smallest_memory_reaching_target": null}</t>
        </is>
      </c>
    </row>
    <row r="221">
      <c r="A221" s="0" t="inlineStr">
        <is>
          <t>GloVe-100</t>
        </is>
      </c>
      <c r="B221" s="0" t="inlineStr">
        <is>
          <t>Y39</t>
        </is>
      </c>
      <c r="C221" s="0" t="inlineStr">
        <is>
          <t>预算内未测</t>
        </is>
      </c>
      <c r="E221" s="0" t="b">
        <v>0</v>
      </c>
      <c r="F221" s="0" t="inlineStr">
        <is>
          <t>{"kind": "curve", "dataset": "glove100", "sheet": "GloVe-100", "column": 25, "target": 0.99, "choice": null, "reason": "no existing calibrated configuration reaches target; recall cannot be invented", "smallest_memory_reaching_target": null}</t>
        </is>
      </c>
    </row>
    <row r="222">
      <c r="A222" s="0" t="inlineStr">
        <is>
          <t>GloVe-100</t>
        </is>
      </c>
      <c r="B222" s="0" t="inlineStr">
        <is>
          <t>Y50</t>
        </is>
      </c>
      <c r="C222" s="0" t="inlineStr">
        <is>
          <t>预算内未测</t>
        </is>
      </c>
      <c r="E222" s="0" t="b">
        <v>0</v>
      </c>
      <c r="F222" s="0" t="inlineStr">
        <is>
          <t>{"kind": "curve", "dataset": "glove100", "sheet": "GloVe-100", "column": 25, "target": 0.99, "choice": null, "reason": "no existing calibrated configuration reaches target; recall cannot be invented", "smallest_memory_reaching_target": null}</t>
        </is>
      </c>
    </row>
    <row r="223">
      <c r="A223" s="0" t="inlineStr">
        <is>
          <t>GloVe-100</t>
        </is>
      </c>
      <c r="B223" s="0" t="inlineStr">
        <is>
          <t>Y51</t>
        </is>
      </c>
      <c r="C223" s="0" t="inlineStr">
        <is>
          <t>预算内未测</t>
        </is>
      </c>
      <c r="E223" s="0" t="b">
        <v>0</v>
      </c>
      <c r="F223" s="0" t="inlineStr">
        <is>
          <t>{"kind": "curve", "dataset": "glove100", "sheet": "GloVe-100", "column": 25, "target": 0.99, "choice": null, "reason": "no existing calibrated configuration reaches target; recall cannot be invented", "smallest_memory_reaching_target": null}</t>
        </is>
      </c>
    </row>
    <row r="224">
      <c r="A224" s="0" t="inlineStr">
        <is>
          <t>GloVe-100</t>
        </is>
      </c>
      <c r="B224" s="0" t="inlineStr">
        <is>
          <t>I64</t>
        </is>
      </c>
      <c r="C224" s="0" t="inlineStr">
        <is>
          <t>待V3DB实测</t>
        </is>
      </c>
      <c r="E224" s="0" t="b">
        <v>0</v>
      </c>
      <c r="F224" s="0" t="inlineStr">
        <is>
          <t>{"kind": "size", "dataset": "glove100", "sheet": "GloVe-100", "column": 9, "N": 5000000, "choice": null, "reason": "requested size exceeds actual available corpus; not a RAM question"}</t>
        </is>
      </c>
    </row>
    <row r="225">
      <c r="A225" s="0" t="inlineStr">
        <is>
          <t>GloVe-100</t>
        </is>
      </c>
      <c r="B225" s="0" t="inlineStr">
        <is>
          <t>I75</t>
        </is>
      </c>
      <c r="C225" s="0" t="inlineStr">
        <is>
          <t>待V3DB实测</t>
        </is>
      </c>
      <c r="E225" s="0" t="b">
        <v>0</v>
      </c>
      <c r="F225" s="0" t="inlineStr">
        <is>
          <t>{"kind": "size", "dataset": "glove100", "sheet": "GloVe-100", "column": 9, "N": 5000000, "choice": null, "reason": "requested size exceeds actual available corpus; not a RAM question"}</t>
        </is>
      </c>
    </row>
    <row r="226">
      <c r="A226" s="0" t="inlineStr">
        <is>
          <t>GloVe-100</t>
        </is>
      </c>
      <c r="B226" s="0" t="inlineStr">
        <is>
          <t>I85</t>
        </is>
      </c>
      <c r="C226" s="0" t="inlineStr">
        <is>
          <t>待V3DB实测</t>
        </is>
      </c>
      <c r="E226" s="0" t="b">
        <v>0</v>
      </c>
      <c r="F226" s="0" t="inlineStr">
        <is>
          <t>{"kind": "size", "dataset": "glove100", "sheet": "GloVe-100", "column": 9, "N": 5000000, "choice": null, "reason": "requested size exceeds actual available corpus; not a RAM question"}</t>
        </is>
      </c>
    </row>
    <row r="227">
      <c r="A227" s="0" t="inlineStr">
        <is>
          <t>GloVe-100</t>
        </is>
      </c>
      <c r="B227" s="0" t="inlineStr">
        <is>
          <t>J64</t>
        </is>
      </c>
      <c r="C227" s="0" t="inlineStr">
        <is>
          <t>待V3DB实测</t>
        </is>
      </c>
      <c r="E227" s="0" t="b">
        <v>0</v>
      </c>
      <c r="F227" s="0" t="inlineStr">
        <is>
          <t>{"kind": "size", "dataset": "glove100", "sheet": "GloVe-100", "column": 10, "N": 10000000, "choice": null, "reason": "requested size exceeds actual available corpus; not a RAM question"}</t>
        </is>
      </c>
    </row>
    <row r="228">
      <c r="A228" s="0" t="inlineStr">
        <is>
          <t>GloVe-100</t>
        </is>
      </c>
      <c r="B228" s="0" t="inlineStr">
        <is>
          <t>J75</t>
        </is>
      </c>
      <c r="C228" s="0" t="inlineStr">
        <is>
          <t>待V3DB实测</t>
        </is>
      </c>
      <c r="E228" s="0" t="b">
        <v>0</v>
      </c>
      <c r="F228" s="0" t="inlineStr">
        <is>
          <t>{"kind": "size", "dataset": "glove100", "sheet": "GloVe-100", "column": 10, "N": 10000000, "choice": null, "reason": "requested size exceeds actual available corpus; not a RAM question"}</t>
        </is>
      </c>
    </row>
    <row r="229">
      <c r="A229" s="0" t="inlineStr">
        <is>
          <t>GloVe-100</t>
        </is>
      </c>
      <c r="B229" s="0" t="inlineStr">
        <is>
          <t>J85</t>
        </is>
      </c>
      <c r="C229" s="0" t="inlineStr">
        <is>
          <t>待V3DB实测</t>
        </is>
      </c>
      <c r="E229" s="0" t="b">
        <v>0</v>
      </c>
      <c r="F229" s="0" t="inlineStr">
        <is>
          <t>{"kind": "size", "dataset": "glove100", "sheet": "GloVe-100", "column": 10, "N": 10000000, "choice": null, "reason": "requested size exceeds actual available corpus; not a RAM question"}</t>
        </is>
      </c>
    </row>
    <row r="230">
      <c r="A230" s="0" t="inlineStr">
        <is>
          <t>DEEP1M</t>
        </is>
      </c>
      <c r="B230" s="0" t="inlineStr">
        <is>
          <t>S26</t>
        </is>
      </c>
      <c r="C230" s="0" t="inlineStr">
        <is>
          <t>预算内未测</t>
        </is>
      </c>
      <c r="D230" s="0" t="n">
        <v>80</v>
      </c>
      <c r="E230" s="0" t="b">
        <v>0</v>
      </c>
      <c r="F230" s="0" t="inlineStr">
        <is>
          <t>{"kind": "curve", "dataset": "deep1m", "sheet": "DEEP1M", "column": 19, "target": 0.8, "choice": {"status": "conditional_forecast", "config": {"dataset": "deep1m", "source": "deep1m", "N": 1000000, "D": 96, "n_list": 1024, "M": 48, "K": 256, "n_iter": 25, "seed": 0, "capacity": 2048, "query_offset": 100, "query_count": 20, "scale": 65536, "rebalance": "author algorithm with identical row-chunk distances"},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{"query_ms": [268339.76740579406, 1073359.0696231762], "verify_ms": [13.27671490759938, 53.10685963039752], "vo_kb": [285.31185, 386.01014999999995]},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"reason": "existing calibrated configuration fits declared 512GiB planning envelope", "smallest_memory_reaching_target": {"status": "conditional_forecast", "config": {"dataset": "deep1m", "source": "deep1m", "N": 1000000, "D": 96, "n_list": 1024, "M": 48, "K": 256, "n_iter": 25, "seed": 0, "capacity": 2048, "query_offset": 100, "query_count": 20, "scale": 65536, "rebalance": "author algorithm with identical row-chunk distances"},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{"query_ms": [268339.76740579406, 1073359.0696231762], "verify_ms": [13.27671490759938, 53.10685963039752], "vo_kb": [285.31185, 386.01014999999995]},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t>
        </is>
      </c>
    </row>
    <row r="231">
      <c r="A231" s="0" t="inlineStr">
        <is>
          <t>DEEP1M</t>
        </is>
      </c>
      <c r="B231" s="0" t="inlineStr">
        <is>
          <t>S27</t>
        </is>
      </c>
      <c r="C231" s="0" t="inlineStr">
        <is>
          <t>预算内未测</t>
        </is>
      </c>
      <c r="D231" s="0" t="n">
        <v>335.661</v>
      </c>
      <c r="E231" s="0" t="b">
        <v>1</v>
      </c>
      <c r="F231" s="0" t="inlineStr">
        <is>
          <t>{"kind": "curve", "dataset": "deep1m", "sheet": "DEEP1M", "column": 19, "target": 0.8, "choice": {"status": "conditional_forecast", "config": {"dataset": "deep1m", "source": "deep1m", "N": 1000000, "D": 96, "n_list": 1024, "M": 48, "K": 256, "n_iter": 25, "seed": 0, "capacity": 2048, "query_offset": 100, "query_count": 20, "scale": 65536, "rebalance": "author algorithm with identical row-chunk distances"},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{"query_ms": [268339.76740579406, 1073359.0696231762], "verify_ms": [13.27671490759938, 53.10685963039752], "vo_kb": [285.31185, 386.01014999999995]},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"reason": "existing calibrated configuration fits declared 512GiB planning envelope", "smallest_memory_reaching_target": {"status": "conditional_forecast", "config": {"dataset": "deep1m", "source": "deep1m", "N": 1000000, "D": 96, "n_list": 1024, "M": 48, "K": 256, "n_iter": 25, "seed": 0, "capacity": 2048, "query_offset": 100, "query_count": 20, "scale": 65536, "rebalance": "author algorithm with identical row-chunk distances"},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{"query_ms": [268339.76740579406, 1073359.0696231762], "verify_ms": [13.27671490759938, 53.10685963039752], "vo_kb": [285.31185, 386.01014999999995]},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t>
        </is>
      </c>
    </row>
    <row r="232">
      <c r="A232" s="0" t="inlineStr">
        <is>
          <t>DEEP1M</t>
        </is>
      </c>
      <c r="B232" s="0" t="inlineStr">
        <is>
          <t>S38</t>
        </is>
      </c>
      <c r="C232" s="0" t="inlineStr">
        <is>
          <t>预算内未测</t>
        </is>
      </c>
      <c r="D232" s="0" t="n">
        <v>80</v>
      </c>
      <c r="E232" s="0" t="b">
        <v>0</v>
      </c>
      <c r="F232" s="0" t="inlineStr">
        <is>
          <t>{"kind": "curve", "dataset": "deep1m", "sheet": "DEEP1M", "column": 19, "target": 0.8, "choice": {"status": "conditional_forecast", "config": {"dataset": "deep1m", "source": "deep1m", "N": 1000000, "D": 96, "n_list": 1024, "M": 48, "K": 256, "n_iter": 25, "seed": 0, "capacity": 2048, "query_offset": 100, "query_count": 20, "scale": 65536, "rebalance": "author algorithm with identical row-chunk distances"},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{"query_ms": [268339.76740579406, 1073359.0696231762], "verify_ms": [13.27671490759938, 53.10685963039752], "vo_kb": [285.31185, 386.01014999999995]},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"reason": "existing calibrated configuration fits declared 512GiB planning envelope", "smallest_memory_reaching_target": {"status": "conditional_forecast", "config": {"dataset": "deep1m", "source": "deep1m", "N": 1000000, "D": 96, "n_list": 1024, "M": 48, "K": 256, "n_iter": 25, "seed": 0, "capacity": 2048, "query_offset": 100, "query_count": 20, "scale": 65536, "rebalance": "author algorithm with identical row-chunk distances"},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{"query_ms": [268339.76740579406, 1073359.0696231762], "verify_ms": [13.27671490759938, 53.10685963039752], "vo_kb": [285.31185, 386.01014999999995]},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t>
        </is>
      </c>
    </row>
    <row r="233">
      <c r="A233" s="0" t="inlineStr">
        <is>
          <t>DEEP1M</t>
        </is>
      </c>
      <c r="B233" s="0" t="inlineStr">
        <is>
          <t>S39</t>
        </is>
      </c>
      <c r="C233" s="0" t="inlineStr">
        <is>
          <t>预算内未测</t>
        </is>
      </c>
      <c r="D233" s="0" t="n">
        <v>26.5534298151988</v>
      </c>
      <c r="E233" s="0" t="b">
        <v>1</v>
      </c>
      <c r="F233" s="0" t="inlineStr">
        <is>
          <t>{"kind": "curve", "dataset": "deep1m", "sheet": "DEEP1M", "column": 19, "target": 0.8, "choice": {"status": "conditional_forecast", "config": {"dataset": "deep1m", "source": "deep1m", "N": 1000000, "D": 96, "n_list": 1024, "M": 48, "K": 256, "n_iter": 25, "seed": 0, "capacity": 2048, "query_offset": 100, "query_count": 20, "scale": 65536, "rebalance": "author algorithm with identical row-chunk distances"},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{"query_ms": [268339.76740579406, 1073359.0696231762], "verify_ms": [13.27671490759938, 53.10685963039752], "vo_kb": [285.31185, 386.01014999999995]},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"reason": "existing calibrated configuration fits declared 512GiB planning envelope", "smallest_memory_reaching_target": {"status": "conditional_forecast", "config": {"dataset": "deep1m", "source": "deep1m", "N": 1000000, "D": 96, "n_list": 1024, "M": 48, "K": 256, "n_iter": 25, "seed": 0, "capacity": 2048, "query_offset": 100, "query_count": 20, "scale": 65536, "rebalance": "author algorithm with identical row-chunk distances"},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{"query_ms": [268339.76740579406, 1073359.0696231762], "verify_ms": [13.27671490759938, 53.10685963039752], "vo_kb": [285.31185, 386.01014999999995]},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t>
        </is>
      </c>
    </row>
    <row r="234">
      <c r="A234" s="0" t="inlineStr">
        <is>
          <t>DEEP1M</t>
        </is>
      </c>
      <c r="B234" s="0" t="inlineStr">
        <is>
          <t>S50</t>
        </is>
      </c>
      <c r="C234" s="0" t="inlineStr">
        <is>
          <t>预算内未测</t>
        </is>
      </c>
      <c r="D234" s="0" t="n">
        <v>80</v>
      </c>
      <c r="E234" s="0" t="b">
        <v>0</v>
      </c>
      <c r="F234" s="0" t="inlineStr">
        <is>
          <t>{"kind": "curve", "dataset": "deep1m", "sheet": "DEEP1M", "column": 19, "target": 0.8, "choice": {"status": "conditional_forecast", "config": {"dataset": "deep1m", "source": "deep1m", "N": 1000000, "D": 96, "n_list": 1024, "M": 48, "K": 256, "n_iter": 25, "seed": 0, "capacity": 2048, "query_offset": 100, "query_count": 20, "scale": 65536, "rebalance": "author algorithm with identical row-chunk distances"},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{"query_ms": [268339.76740579406, 1073359.0696231762], "verify_ms": [13.27671490759938, 53.10685963039752], "vo_kb": [285.31185, 386.01014999999995]},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"reason": "existing calibrated configuration fits declared 512GiB planning envelope", "smallest_memory_reaching_target": {"status": "conditional_forecast", "config": {"dataset": "deep1m", "source": "deep1m", "N": 1000000, "D": 96, "n_list": 1024, "M": 48, "K": 256, "n_iter": 25, "seed": 0, "capacity": 2048, "query_offset": 100, "query_count": 20, "scale": 65536, "rebalance": "author algorithm with identical row-chunk distances"},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{"query_ms": [268339.76740579406, 1073359.0696231762], "verify_ms": [13.27671490759938, 53.10685963039752], "vo_kb": [285.31185, 386.01014999999995]},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t>
        </is>
      </c>
    </row>
    <row r="235">
      <c r="A235" s="0" t="inlineStr">
        <is>
          <t>DEEP1M</t>
        </is>
      </c>
      <c r="B235" s="0" t="inlineStr">
        <is>
          <t>S51</t>
        </is>
      </c>
      <c r="C235" s="0" t="inlineStr">
        <is>
          <t>预算内未测</t>
        </is>
      </c>
      <c r="D235" s="0" t="n">
        <v>536679.534811588</v>
      </c>
      <c r="E235" s="0" t="b">
        <v>1</v>
      </c>
      <c r="F235" s="0" t="inlineStr">
        <is>
          <t>{"kind": "curve", "dataset": "deep1m", "sheet": "DEEP1M", "column": 19, "target": 0.8, "choice": {"status": "conditional_forecast", "config": {"dataset": "deep1m", "source": "deep1m", "N": 1000000, "D": 96, "n_list": 1024, "M": 48, "K": 256, "n_iter": 25, "seed": 0, "capacity": 2048, "query_offset": 100, "query_count": 20, "scale": 65536, "rebalance": "author algorithm with identical row-chunk distances"},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{"query_ms": [268339.76740579406, 1073359.0696231762], "verify_ms": [13.27671490759938, 53.10685963039752], "vo_kb": [285.31185, 386.01014999999995]},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"reason": "existing calibrated configuration fits declared 512GiB planning envelope", "smallest_memory_reaching_target": {"status": "conditional_forecast", "config": {"dataset": "deep1m", "source": "deep1m", "N": 1000000, "D": 96, "n_list": 1024, "M": 48, "K": 256, "n_iter": 25, "seed": 0, "capacity": 2048, "query_offset": 100, "query_count": 20, "scale": 65536, "rebalance": "author algorithm with identical row-chunk distances"},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{"query_ms": [268339.76740579406, 1073359.0696231762], "verify_ms": [13.27671490759938, 53.10685963039752], "vo_kb": [285.31185, 386.01014999999995]},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t>
        </is>
      </c>
    </row>
    <row r="236">
      <c r="A236" s="0" t="inlineStr">
        <is>
          <t>DEEP1M</t>
        </is>
      </c>
      <c r="B236" s="0" t="inlineStr">
        <is>
          <t>T26</t>
        </is>
      </c>
      <c r="C236" s="0" t="inlineStr">
        <is>
          <t>预算内未测</t>
        </is>
      </c>
      <c r="D236" s="0" t="n">
        <v>88.5</v>
      </c>
      <c r="E236" s="0" t="b">
        <v>0</v>
      </c>
      <c r="F236" s="0" t="inlineStr">
        <is>
          <t>{"kind": "curve", "dataset": "deep1m", "sheet": "DEEP1M", "column": 20, "target": 0.85, "choice": {"status": "conditional_forecast", "config": {"dataset": "deep1m", "source": "deep1m", "N": 1000000, "D": 96, "n_list": 1024, "M": 96, "K": 512, "n_iter": 25, "seed": 0, "capacity": 2048, "query_offset": 100, "query_count": 20, "scale": 65536, "rebalance": "author algorithm with identical row-chunk distances"}, "n_probe": 8, "k": 10, "gates": 1511042, "gate_source": "structural estimate",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"deep1m-1000000-M96-K512", "recall": 0.8850000000000001, "recall_source": "/mnt/d/paper_source/work_9/VeriANN_repro_2026-09-30/VeriANN_repro_2026-09-30/V3DB-26VLDB/work9-cache/deep1m-1000000-M96-K512/calibration.json", "recall_queries": 20}, "reason": "existing calibrated configuration fits declared 512GiB planning envelope", "smallest_memory_reaching_target": {"status": "conditional_forecast", "config": {"dataset": "deep1m", "source": "deep1m", "N": 1000000, "D": 96, "n_list": 1024, "M": 96, "K": 256, "n_iter": 25, "seed": 0, "capacity": 2048, "query_offset": 100, "query_count": 20, "scale": 65536, "rebalance": "author algorithm with identical row-chunk distances"}, "n_probe": 8, "k": 10, "gates": 1448977, "gate_source": "structural estimate",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 "recall": 0.8900000000000002, "recall_source": "/mnt/d/paper_source/work_9/VeriANN_repro_2026-09-30/VeriANN_repro_2026-09-30/V3DB-26VLDB/work9-cache/deep1m-1000000-M96/calibration.json", "recall_queries": 20}}</t>
        </is>
      </c>
    </row>
    <row r="237">
      <c r="A237" s="0" t="inlineStr">
        <is>
          <t>DEEP1M</t>
        </is>
      </c>
      <c r="B237" s="0" t="inlineStr">
        <is>
          <t>T27</t>
        </is>
      </c>
      <c r="C237" s="0" t="inlineStr">
        <is>
          <t>预算内未测</t>
        </is>
      </c>
      <c r="D237" s="0" t="n">
        <v>343.872</v>
      </c>
      <c r="E237" s="0" t="b">
        <v>1</v>
      </c>
      <c r="F237" s="0" t="inlineStr">
        <is>
          <t>{"kind": "curve", "dataset": "deep1m", "sheet": "DEEP1M", "column": 20, "target": 0.85, "choice": {"status": "conditional_forecast", "config": {"dataset": "deep1m", "source": "deep1m", "N": 1000000, "D": 96, "n_list": 1024, "M": 96, "K": 512, "n_iter": 25, "seed": 0, "capacity": 2048, "query_offset": 100, "query_count": 20, "scale": 65536, "rebalance": "author algorithm with identical row-chunk distances"}, "n_probe": 8, "k": 10, "gates": 1511042, "gate_source": "structural estimate",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"deep1m-1000000-M96-K512", "recall": 0.8850000000000001, "recall_source": "/mnt/d/paper_source/work_9/VeriANN_repro_2026-09-30/VeriANN_repro_2026-09-30/V3DB-26VLDB/work9-cache/deep1m-1000000-M96-K512/calibration.json", "recall_queries": 20}, "reason": "existing calibrated configuration fits declared 512GiB planning envelope", "smallest_memory_reaching_target": {"status": "conditional_forecast", "config": {"dataset": "deep1m", "source": "deep1m", "N": 1000000, "D": 96, "n_list": 1024, "M": 96, "K": 256, "n_iter": 25, "seed": 0, "capacity": 2048, "query_offset": 100, "query_count": 20, "scale": 65536, "rebalance": "author algorithm with identical row-chunk distances"}, "n_probe": 8, "k": 10, "gates": 1448977, "gate_source": "structural estimate",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 "recall": 0.8900000000000002, "recall_source": "/mnt/d/paper_source/work_9/VeriANN_repro_2026-09-30/VeriANN_repro_2026-09-30/V3DB-26VLDB/work9-cache/deep1m-1000000-M96/calibration.json", "recall_queries": 20}}</t>
        </is>
      </c>
    </row>
    <row r="238">
      <c r="A238" s="0" t="inlineStr">
        <is>
          <t>DEEP1M</t>
        </is>
      </c>
      <c r="B238" s="0" t="inlineStr">
        <is>
          <t>T38</t>
        </is>
      </c>
      <c r="C238" s="0" t="inlineStr">
        <is>
          <t>预算内未测</t>
        </is>
      </c>
      <c r="D238" s="0" t="n">
        <v>88.5</v>
      </c>
      <c r="E238" s="0" t="b">
        <v>0</v>
      </c>
      <c r="F238" s="0" t="inlineStr">
        <is>
          <t>{"kind": "curve", "dataset": "deep1m", "sheet": "DEEP1M", "column": 20, "target": 0.85, "choice": {"status": "conditional_forecast", "config": {"dataset": "deep1m", "source": "deep1m", "N": 1000000, "D": 96, "n_list": 1024, "M": 96, "K": 512, "n_iter": 25, "seed": 0, "capacity": 2048, "query_offset": 100, "query_count": 20, "scale": 65536, "rebalance": "author algorithm with identical row-chunk distances"}, "n_probe": 8, "k": 10, "gates": 1511042, "gate_source": "structural estimate",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"deep1m-1000000-M96-K512", "recall": 0.8850000000000001, "recall_source": "/mnt/d/paper_source/work_9/VeriANN_repro_2026-09-30/VeriANN_repro_2026-09-30/V3DB-26VLDB/work9-cache/deep1m-1000000-M96-K512/calibration.json", "recall_queries": 20}, "reason": "existing calibrated configuration fits declared 512GiB planning envelope", "smallest_memory_reaching_target": {"status": "conditional_forecast", "config": {"dataset": "deep1m", "source": "deep1m", "N": 1000000, "D": 96, "n_list": 1024, "M": 96, "K": 256, "n_iter": 25, "seed": 0, "capacity": 2048, "query_offset": 100, "query_count": 20, "scale": 65536, "rebalance": "author algorithm with identical row-chunk distances"}, "n_probe": 8, "k": 10, "gates": 1448977, "gate_source": "structural estimate",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 "recall": 0.8900000000000002, "recall_source": "/mnt/d/paper_source/work_9/VeriANN_repro_2026-09-30/VeriANN_repro_2026-09-30/V3DB-26VLDB/work9-cache/deep1m-1000000-M96/calibration.json", "recall_queries": 20}}</t>
        </is>
      </c>
    </row>
    <row r="239">
      <c r="A239" s="0" t="inlineStr">
        <is>
          <t>DEEP1M</t>
        </is>
      </c>
      <c r="B239" s="0" t="inlineStr">
        <is>
          <t>T39</t>
        </is>
      </c>
      <c r="C239" s="0" t="inlineStr">
        <is>
          <t>预算内未测</t>
        </is>
      </c>
      <c r="D239" s="0" t="n">
        <v>27.7026748306772</v>
      </c>
      <c r="E239" s="0" t="b">
        <v>1</v>
      </c>
      <c r="F239" s="0" t="inlineStr">
        <is>
          <t>{"kind": "curve", "dataset": "deep1m", "sheet": "DEEP1M", "column": 20, "target": 0.85, "choice": {"status": "conditional_forecast", "config": {"dataset": "deep1m", "source": "deep1m", "N": 1000000, "D": 96, "n_list": 1024, "M": 96, "K": 512, "n_iter": 25, "seed": 0, "capacity": 2048, "query_offset": 100, "query_count": 20, "scale": 65536, "rebalance": "author algorithm with identical row-chunk distances"}, "n_probe": 8, "k": 10, "gates": 1511042, "gate_source": "structural estimate",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"deep1m-1000000-M96-K512", "recall": 0.8850000000000001, "recall_source": "/mnt/d/paper_source/work_9/VeriANN_repro_2026-09-30/VeriANN_repro_2026-09-30/V3DB-26VLDB/work9-cache/deep1m-1000000-M96-K512/calibration.json", "recall_queries": 20}, "reason": "existing calibrated configuration fits declared 512GiB planning envelope", "smallest_memory_reaching_target": {"status": "conditional_forecast", "config": {"dataset": "deep1m", "source": "deep1m", "N": 1000000, "D": 96, "n_list": 1024, "M": 96, "K": 256, "n_iter": 25, "seed": 0, "capacity": 2048, "query_offset": 100, "query_count": 20, "scale": 65536, "rebalance": "author algorithm with identical row-chunk distances"}, "n_probe": 8, "k": 10, "gates": 1448977, "gate_source": "structural estimate",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 "recall": 0.8900000000000002, "recall_source": "/mnt/d/paper_source/work_9/VeriANN_repro_2026-09-30/VeriANN_repro_2026-09-30/V3DB-26VLDB/work9-cache/deep1m-1000000-M96/calibration.json", "recall_queries": 20}}</t>
        </is>
      </c>
    </row>
    <row r="240">
      <c r="A240" s="0" t="inlineStr">
        <is>
          <t>DEEP1M</t>
        </is>
      </c>
      <c r="B240" s="0" t="inlineStr">
        <is>
          <t>T50</t>
        </is>
      </c>
      <c r="C240" s="0" t="inlineStr">
        <is>
          <t>预算内未测</t>
        </is>
      </c>
      <c r="D240" s="0" t="n">
        <v>88.5</v>
      </c>
      <c r="E240" s="0" t="b">
        <v>0</v>
      </c>
      <c r="F240" s="0" t="inlineStr">
        <is>
          <t>{"kind": "curve", "dataset": "deep1m", "sheet": "DEEP1M", "column": 20, "target": 0.85, "choice": {"status": "conditional_forecast", "config": {"dataset": "deep1m", "source": "deep1m", "N": 1000000, "D": 96, "n_list": 1024, "M": 96, "K": 512, "n_iter": 25, "seed": 0, "capacity": 2048, "query_offset": 100, "query_count": 20, "scale": 65536, "rebalance": "author algorithm with identical row-chunk distances"}, "n_probe": 8, "k": 10, "gates": 1511042, "gate_source": "structural estimate",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"deep1m-1000000-M96-K512", "recall": 0.8850000000000001, "recall_source": "/mnt/d/paper_source/work_9/VeriANN_repro_2026-09-30/VeriANN_repro_2026-09-30/V3DB-26VLDB/work9-cache/deep1m-1000000-M96-K512/calibration.json", "recall_queries": 20}, "reason": "existing calibrated configuration fits declared 512GiB planning envelope", "smallest_memory_reaching_target": {"status": "conditional_forecast", "config": {"dataset": "deep1m", "source": "deep1m", "N": 1000000, "D": 96, "n_list": 1024, "M": 96, "K": 256, "n_iter": 25, "seed": 0, "capacity": 2048, "query_offset": 100, "query_count": 20, "scale": 65536, "rebalance": "author algorithm with identical row-chunk distances"}, "n_probe": 8, "k": 10, "gates": 1448977, "gate_source": "structural estimate",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 "recall": 0.8900000000000002, "recall_source": "/mnt/d/paper_source/work_9/VeriANN_repro_2026-09-30/VeriANN_repro_2026-09-30/V3DB-26VLDB/work9-cache/deep1m-1000000-M96/calibration.json", "recall_queries": 20}}</t>
        </is>
      </c>
    </row>
    <row r="241">
      <c r="A241" s="0" t="inlineStr">
        <is>
          <t>DEEP1M</t>
        </is>
      </c>
      <c r="B241" s="0" t="inlineStr">
        <is>
          <t>T51</t>
        </is>
      </c>
      <c r="C241" s="0" t="inlineStr">
        <is>
          <t>预算内未测</t>
        </is>
      </c>
      <c r="D241" s="0" t="n">
        <v>1127085.91388908</v>
      </c>
      <c r="E241" s="0" t="b">
        <v>1</v>
      </c>
      <c r="F241" s="0" t="inlineStr">
        <is>
          <t>{"kind": "curve", "dataset": "deep1m", "sheet": "DEEP1M", "column": 20, "target": 0.85, "choice": {"status": "conditional_forecast", "config": {"dataset": "deep1m", "source": "deep1m", "N": 1000000, "D": 96, "n_list": 1024, "M": 96, "K": 512, "n_iter": 25, "seed": 0, "capacity": 2048, "query_offset": 100, "query_count": 20, "scale": 65536, "rebalance": "author algorithm with identical row-chunk distances"}, "n_probe": 8, "k": 10, "gates": 1511042, "gate_source": "structural estimate",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"deep1m-1000000-M96-K512", "recall": 0.8850000000000001, "recall_source": "/mnt/d/paper_source/work_9/VeriANN_repro_2026-09-30/VeriANN_repro_2026-09-30/V3DB-26VLDB/work9-cache/deep1m-1000000-M96-K512/calibration.json", "recall_queries": 20}, "reason": "existing calibrated configuration fits declared 512GiB planning envelope", "smallest_memory_reaching_target": {"status": "conditional_forecast", "config": {"dataset": "deep1m", "source": "deep1m", "N": 1000000, "D": 96, "n_list": 1024, "M": 96, "K": 256, "n_iter": 25, "seed": 0, "capacity": 2048, "query_offset": 100, "query_count": 20, "scale": 65536, "rebalance": "author algorithm with identical row-chunk distances"}, "n_probe": 8, "k": 10, "gates": 1448977, "gate_source": "structural estimate",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 "recall": 0.8900000000000002, "recall_source": "/mnt/d/paper_source/work_9/VeriANN_repro_2026-09-30/VeriANN_repro_2026-09-30/V3DB-26VLDB/work9-cache/deep1m-1000000-M96/calibration.json", "recall_queries": 20}}</t>
        </is>
      </c>
    </row>
    <row r="242">
      <c r="A242" s="0" t="inlineStr">
        <is>
          <t>DEEP1M</t>
        </is>
      </c>
      <c r="B242" s="0" t="inlineStr">
        <is>
          <t>U26</t>
        </is>
      </c>
      <c r="C242" s="0" t="inlineStr">
        <is>
          <t>预算内未测</t>
        </is>
      </c>
      <c r="D242" s="0" t="n">
        <v>90</v>
      </c>
      <c r="E242" s="0" t="b">
        <v>0</v>
      </c>
      <c r="F242" s="0" t="inlineStr">
        <is>
          <t>{"kind": "curve", "dataset": "deep1m", "sheet": "DEEP1M", "column": 21, "target": 0.9, "choice": {"status": "conditional_forecast", "config": {"dataset": "deep1m", "source": "deep1m", "N": 1000000, "D": 96, "n_list": 1024, "M": 96, "K": 1024, "n_iter": 25, "seed": 0, "capacity": 2048, "query_offset": 100, "query_count": 20, "scale": 65536, "rebalance": "author algorithm with identical row-chunk distances"},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"reason": "existing calibrated configuration fits declared 512GiB planning envelope", "smallest_memory_reaching_target": {"status": "conditional_forecast", "config": {"dataset": "deep1m", "source": "deep1m", "N": 1000000, "D": 96, "n_list": 1024, "M": 96, "K": 1024, "n_iter": 25, "seed": 0, "capacity": 2048, "query_offset": 100, "query_count": 20, "scale": 65536, "rebalance": "author algorithm with identical row-chunk distances"},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t>
        </is>
      </c>
    </row>
    <row r="243">
      <c r="A243" s="0" t="inlineStr">
        <is>
          <t>DEEP1M</t>
        </is>
      </c>
      <c r="B243" s="0" t="inlineStr">
        <is>
          <t>U27</t>
        </is>
      </c>
      <c r="C243" s="0" t="inlineStr">
        <is>
          <t>预算内未测</t>
        </is>
      </c>
      <c r="D243" s="0" t="n">
        <v>343.872</v>
      </c>
      <c r="E243" s="0" t="b">
        <v>1</v>
      </c>
      <c r="F243" s="0" t="inlineStr">
        <is>
          <t>{"kind": "curve", "dataset": "deep1m", "sheet": "DEEP1M", "column": 21, "target": 0.9, "choice": {"status": "conditional_forecast", "config": {"dataset": "deep1m", "source": "deep1m", "N": 1000000, "D": 96, "n_list": 1024, "M": 96, "K": 1024, "n_iter": 25, "seed": 0, "capacity": 2048, "query_offset": 100, "query_count": 20, "scale": 65536, "rebalance": "author algorithm with identical row-chunk distances"},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"reason": "existing calibrated configuration fits declared 512GiB planning envelope", "smallest_memory_reaching_target": {"status": "conditional_forecast", "config": {"dataset": "deep1m", "source": "deep1m", "N": 1000000, "D": 96, "n_list": 1024, "M": 96, "K": 1024, "n_iter": 25, "seed": 0, "capacity": 2048, "query_offset": 100, "query_count": 20, "scale": 65536, "rebalance": "author algorithm with identical row-chunk distances"},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t>
        </is>
      </c>
    </row>
    <row r="244">
      <c r="A244" s="0" t="inlineStr">
        <is>
          <t>DEEP1M</t>
        </is>
      </c>
      <c r="B244" s="0" t="inlineStr">
        <is>
          <t>U38</t>
        </is>
      </c>
      <c r="C244" s="0" t="inlineStr">
        <is>
          <t>预算内未测</t>
        </is>
      </c>
      <c r="D244" s="0" t="n">
        <v>90</v>
      </c>
      <c r="E244" s="0" t="b">
        <v>0</v>
      </c>
      <c r="F244" s="0" t="inlineStr">
        <is>
          <t>{"kind": "curve", "dataset": "deep1m", "sheet": "DEEP1M", "column": 21, "target": 0.9, "choice": {"status": "conditional_forecast", "config": {"dataset": "deep1m", "source": "deep1m", "N": 1000000, "D": 96, "n_list": 1024, "M": 96, "K": 1024, "n_iter": 25, "seed": 0, "capacity": 2048, "query_offset": 100, "query_count": 20, "scale": 65536, "rebalance": "author algorithm with identical row-chunk distances"},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"reason": "existing calibrated configuration fits declared 512GiB planning envelope", "smallest_memory_reaching_target": {"status": "conditional_forecast", "config": {"dataset": "deep1m", "source": "deep1m", "N": 1000000, "D": 96, "n_list": 1024, "M": 96, "K": 1024, "n_iter": 25, "seed": 0, "capacity": 2048, "query_offset": 100, "query_count": 20, "scale": 65536, "rebalance": "author algorithm with identical row-chunk distances"},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t>
        </is>
      </c>
    </row>
    <row r="245">
      <c r="A245" s="0" t="inlineStr">
        <is>
          <t>DEEP1M</t>
        </is>
      </c>
      <c r="B245" s="0" t="inlineStr">
        <is>
          <t>U39</t>
        </is>
      </c>
      <c r="C245" s="0" t="inlineStr">
        <is>
          <t>预算内未测</t>
        </is>
      </c>
      <c r="D245" s="0" t="n">
        <v>27.7026748306772</v>
      </c>
      <c r="E245" s="0" t="b">
        <v>1</v>
      </c>
      <c r="F245" s="0" t="inlineStr">
        <is>
          <t>{"kind": "curve", "dataset": "deep1m", "sheet": "DEEP1M", "column": 21, "target": 0.9, "choice": {"status": "conditional_forecast", "config": {"dataset": "deep1m", "source": "deep1m", "N": 1000000, "D": 96, "n_list": 1024, "M": 96, "K": 1024, "n_iter": 25, "seed": 0, "capacity": 2048, "query_offset": 100, "query_count": 20, "scale": 65536, "rebalance": "author algorithm with identical row-chunk distances"},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"reason": "existing calibrated configuration fits declared 512GiB planning envelope", "smallest_memory_reaching_target": {"status": "conditional_forecast", "config": {"dataset": "deep1m", "source": "deep1m", "N": 1000000, "D": 96, "n_list": 1024, "M": 96, "K": 1024, "n_iter": 25, "seed": 0, "capacity": 2048, "query_offset": 100, "query_count": 20, "scale": 65536, "rebalance": "author algorithm with identical row-chunk distances"},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t>
        </is>
      </c>
    </row>
    <row r="246">
      <c r="A246" s="0" t="inlineStr">
        <is>
          <t>DEEP1M</t>
        </is>
      </c>
      <c r="B246" s="0" t="inlineStr">
        <is>
          <t>U50</t>
        </is>
      </c>
      <c r="C246" s="0" t="inlineStr">
        <is>
          <t>预算内未测</t>
        </is>
      </c>
      <c r="D246" s="0" t="n">
        <v>90</v>
      </c>
      <c r="E246" s="0" t="b">
        <v>0</v>
      </c>
      <c r="F246" s="0" t="inlineStr">
        <is>
          <t>{"kind": "curve", "dataset": "deep1m", "sheet": "DEEP1M", "column": 21, "target": 0.9, "choice": {"status": "conditional_forecast", "config": {"dataset": "deep1m", "source": "deep1m", "N": 1000000, "D": 96, "n_list": 1024, "M": 96, "K": 1024, "n_iter": 25, "seed": 0, "capacity": 2048, "query_offset": 100, "query_count": 20, "scale": 65536, "rebalance": "author algorithm with identical row-chunk distances"},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"reason": "existing calibrated configuration fits declared 512GiB planning envelope", "smallest_memory_reaching_target": {"status": "conditional_forecast", "config": {"dataset": "deep1m", "source": "deep1m", "N": 1000000, "D": 96, "n_list": 1024, "M": 96, "K": 1024, "n_iter": 25, "seed": 0, "capacity": 2048, "query_offset": 100, "query_count": 20, "scale": 65536, "rebalance": "author algorithm with identical row-chunk distances"},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t>
        </is>
      </c>
    </row>
    <row r="247">
      <c r="A247" s="0" t="inlineStr">
        <is>
          <t>DEEP1M</t>
        </is>
      </c>
      <c r="B247" s="0" t="inlineStr">
        <is>
          <t>U51</t>
        </is>
      </c>
      <c r="C247" s="0" t="inlineStr">
        <is>
          <t>预算内未测</t>
        </is>
      </c>
      <c r="D247" s="0" t="n">
        <v>1127085.91388908</v>
      </c>
      <c r="E247" s="0" t="b">
        <v>1</v>
      </c>
      <c r="F247" s="0" t="inlineStr">
        <is>
          <t>{"kind": "curve", "dataset": "deep1m", "sheet": "DEEP1M", "column": 21, "target": 0.9, "choice": {"status": "conditional_forecast", "config": {"dataset": "deep1m", "source": "deep1m", "N": 1000000, "D": 96, "n_list": 1024, "M": 96, "K": 1024, "n_iter": 25, "seed": 0, "capacity": 2048, "query_offset": 100, "query_count": 20, "scale": 65536, "rebalance": "author algorithm with identical row-chunk distances"},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"reason": "existing calibrated configuration fits declared 512GiB planning envelope", "smallest_memory_reaching_target": {"status": "conditional_forecast", "config": {"dataset": "deep1m", "source": "deep1m", "N": 1000000, "D": 96, "n_list": 1024, "M": 96, "K": 1024, "n_iter": 25, "seed": 0, "capacity": 2048, "query_offset": 100, "query_count": 20, "scale": 65536, "rebalance": "author algorithm with identical row-chunk distances"},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t>
        </is>
      </c>
    </row>
    <row r="248">
      <c r="A248" s="0" t="inlineStr">
        <is>
          <t>DEEP1M</t>
        </is>
      </c>
      <c r="B248" s="0" t="inlineStr">
        <is>
          <t>V26</t>
        </is>
      </c>
      <c r="C248" s="0" t="inlineStr">
        <is>
          <t>预算内未测</t>
        </is>
      </c>
      <c r="D248" s="0" t="n">
        <v>95.5</v>
      </c>
      <c r="E248" s="0" t="b">
        <v>0</v>
      </c>
      <c r="F248" s="0" t="inlineStr">
        <is>
          <t>{"kind": "curve", "dataset": "deep1m", "sheet": "DEEP1M", "column": 22, "target": 0.95, "choice": {"status": "conditional_forecast", "config": {"dataset": "deep1m", "source": "deep1m", "N": 1000000, "D": 96, "n_list": 1024, "M": 96, "K": 1024, "n_iter": 25, "seed": 0, "capacity": 2048, "query_offset": 100, "query_count": 20, "scale": 65536, "rebalance": "author algorithm with identical row-chunk distances"},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{"query_ms": [1180812.7581549895, 4723251.032619958], "verify_ms": [15.920127759015342, 63.68051103606137], "vo_kb": [410.68174999999997, 555.62825]},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"reason": "existing calibrated configuration fits declared 512GiB planning envelope", "smallest_memory_reaching_target": {"status": "conditional_forecast", "config": {"dataset": "deep1m", "source": "deep1m", "N": 1000000, "D": 96, "n_list": 1024, "M": 96, "K": 1024, "n_iter": 25, "seed": 0, "capacity": 2048, "query_offset": 100, "query_count": 20, "scale": 65536, "rebalance": "author algorithm with identical row-chunk distances"},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{"query_ms": [1180812.7581549895, 4723251.032619958], "verify_ms": [15.920127759015342, 63.68051103606137], "vo_kb": [410.68174999999997, 555.62825]},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t>
        </is>
      </c>
    </row>
    <row r="249">
      <c r="A249" s="0" t="inlineStr">
        <is>
          <t>DEEP1M</t>
        </is>
      </c>
      <c r="B249" s="0" t="inlineStr">
        <is>
          <t>V27</t>
        </is>
      </c>
      <c r="C249" s="0" t="inlineStr">
        <is>
          <t>预算内未测</t>
        </is>
      </c>
      <c r="D249" s="0" t="n">
        <v>483.155</v>
      </c>
      <c r="E249" s="0" t="b">
        <v>1</v>
      </c>
      <c r="F249" s="0" t="inlineStr">
        <is>
          <t>{"kind": "curve", "dataset": "deep1m", "sheet": "DEEP1M", "column": 22, "target": 0.95, "choice": {"status": "conditional_forecast", "config": {"dataset": "deep1m", "source": "deep1m", "N": 1000000, "D": 96, "n_list": 1024, "M": 96, "K": 1024, "n_iter": 25, "seed": 0, "capacity": 2048, "query_offset": 100, "query_count": 20, "scale": 65536, "rebalance": "author algorithm with identical row-chunk distances"},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{"query_ms": [1180812.7581549895, 4723251.032619958], "verify_ms": [15.920127759015342, 63.68051103606137], "vo_kb": [410.68174999999997, 555.62825]},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"reason": "existing calibrated configuration fits declared 512GiB planning envelope", "smallest_memory_reaching_target": {"status": "conditional_forecast", "config": {"dataset": "deep1m", "source": "deep1m", "N": 1000000, "D": 96, "n_list": 1024, "M": 96, "K": 1024, "n_iter": 25, "seed": 0, "capacity": 2048, "query_offset": 100, "query_count": 20, "scale": 65536, "rebalance": "author algorithm with identical row-chunk distances"},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{"query_ms": [1180812.7581549895, 4723251.032619958], "verify_ms": [15.920127759015342, 63.68051103606137], "vo_kb": [410.68174999999997, 555.62825]},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t>
        </is>
      </c>
    </row>
    <row r="250">
      <c r="A250" s="0" t="inlineStr">
        <is>
          <t>DEEP1M</t>
        </is>
      </c>
      <c r="B250" s="0" t="inlineStr">
        <is>
          <t>V38</t>
        </is>
      </c>
      <c r="C250" s="0" t="inlineStr">
        <is>
          <t>预算内未测</t>
        </is>
      </c>
      <c r="D250" s="0" t="n">
        <v>95.5</v>
      </c>
      <c r="E250" s="0" t="b">
        <v>0</v>
      </c>
      <c r="F250" s="0" t="inlineStr">
        <is>
          <t>{"kind": "curve", "dataset": "deep1m", "sheet": "DEEP1M", "column": 22, "target": 0.95, "choice": {"status": "conditional_forecast", "config": {"dataset": "deep1m", "source": "deep1m", "N": 1000000, "D": 96, "n_list": 1024, "M": 96, "K": 1024, "n_iter": 25, "seed": 0, "capacity": 2048, "query_offset": 100, "query_count": 20, "scale": 65536, "rebalance": "author algorithm with identical row-chunk distances"},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{"query_ms": [1180812.7581549895, 4723251.032619958], "verify_ms": [15.920127759015342, 63.68051103606137], "vo_kb": [410.68174999999997, 555.62825]},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"reason": "existing calibrated configuration fits declared 512GiB planning envelope", "smallest_memory_reaching_target": {"status": "conditional_forecast", "config": {"dataset": "deep1m", "source": "deep1m", "N": 1000000, "D": 96, "n_list": 1024, "M": 96, "K": 1024, "n_iter": 25, "seed": 0, "capacity": 2048, "query_offset": 100, "query_count": 20, "scale": 65536, "rebalance": "author algorithm with identical row-chunk distances"},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{"query_ms": [1180812.7581549895, 4723251.032619958], "verify_ms": [15.920127759015342, 63.68051103606137], "vo_kb": [410.68174999999997, 555.62825]},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t>
        </is>
      </c>
    </row>
    <row r="251">
      <c r="A251" s="0" t="inlineStr">
        <is>
          <t>DEEP1M</t>
        </is>
      </c>
      <c r="B251" s="0" t="inlineStr">
        <is>
          <t>V39</t>
        </is>
      </c>
      <c r="C251" s="0" t="inlineStr">
        <is>
          <t>预算内未测</t>
        </is>
      </c>
      <c r="D251" s="0" t="n">
        <v>31.8402555180307</v>
      </c>
      <c r="E251" s="0" t="b">
        <v>1</v>
      </c>
      <c r="F251" s="0" t="inlineStr">
        <is>
          <t>{"kind": "curve", "dataset": "deep1m", "sheet": "DEEP1M", "column": 22, "target": 0.95, "choice": {"status": "conditional_forecast", "config": {"dataset": "deep1m", "source": "deep1m", "N": 1000000, "D": 96, "n_list": 1024, "M": 96, "K": 1024, "n_iter": 25, "seed": 0, "capacity": 2048, "query_offset": 100, "query_count": 20, "scale": 65536, "rebalance": "author algorithm with identical row-chunk distances"},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{"query_ms": [1180812.7581549895, 4723251.032619958], "verify_ms": [15.920127759015342, 63.68051103606137], "vo_kb": [410.68174999999997, 555.62825]},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"reason": "existing calibrated configuration fits declared 512GiB planning envelope", "smallest_memory_reaching_target": {"status": "conditional_forecast", "config": {"dataset": "deep1m", "source": "deep1m", "N": 1000000, "D": 96, "n_list": 1024, "M": 96, "K": 1024, "n_iter": 25, "seed": 0, "capacity": 2048, "query_offset": 100, "query_count": 20, "scale": 65536, "rebalance": "author algorithm with identical row-chunk distances"},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{"query_ms": [1180812.7581549895, 4723251.032619958], "verify_ms": [15.920127759015342, 63.68051103606137], "vo_kb": [410.68174999999997, 555.62825]},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t>
        </is>
      </c>
    </row>
    <row r="252">
      <c r="A252" s="0" t="inlineStr">
        <is>
          <t>DEEP1M</t>
        </is>
      </c>
      <c r="B252" s="0" t="inlineStr">
        <is>
          <t>V50</t>
        </is>
      </c>
      <c r="C252" s="0" t="inlineStr">
        <is>
          <t>预算内未测</t>
        </is>
      </c>
      <c r="D252" s="0" t="n">
        <v>95.5</v>
      </c>
      <c r="E252" s="0" t="b">
        <v>0</v>
      </c>
      <c r="F252" s="0" t="inlineStr">
        <is>
          <t>{"kind": "curve", "dataset": "deep1m", "sheet": "DEEP1M", "column": 22, "target": 0.95, "choice": {"status": "conditional_forecast", "config": {"dataset": "deep1m", "source": "deep1m", "N": 1000000, "D": 96, "n_list": 1024, "M": 96, "K": 1024, "n_iter": 25, "seed": 0, "capacity": 2048, "query_offset": 100, "query_count": 20, "scale": 65536, "rebalance": "author algorithm with identical row-chunk distances"},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{"query_ms": [1180812.7581549895, 4723251.032619958], "verify_ms": [15.920127759015342, 63.68051103606137], "vo_kb": [410.68174999999997, 555.62825]},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"reason": "existing calibrated configuration fits declared 512GiB planning envelope", "smallest_memory_reaching_target": {"status": "conditional_forecast", "config": {"dataset": "deep1m", "source": "deep1m", "N": 1000000, "D": 96, "n_list": 1024, "M": 96, "K": 1024, "n_iter": 25, "seed": 0, "capacity": 2048, "query_offset": 100, "query_count": 20, "scale": 65536, "rebalance": "author algorithm with identical row-chunk distances"},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{"query_ms": [1180812.7581549895, 4723251.032619958], "verify_ms": [15.920127759015342, 63.68051103606137], "vo_kb": [410.68174999999997, 555.62825]},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t>
        </is>
      </c>
    </row>
    <row r="253">
      <c r="A253" s="0" t="inlineStr">
        <is>
          <t>DEEP1M</t>
        </is>
      </c>
      <c r="B253" s="0" t="inlineStr">
        <is>
          <t>V51</t>
        </is>
      </c>
      <c r="C253" s="0" t="inlineStr">
        <is>
          <t>预算内未测</t>
        </is>
      </c>
      <c r="D253" s="0" t="n">
        <v>2361625.51630998</v>
      </c>
      <c r="E253" s="0" t="b">
        <v>1</v>
      </c>
      <c r="F253" s="0" t="inlineStr">
        <is>
          <t>{"kind": "curve", "dataset": "deep1m", "sheet": "DEEP1M", "column": 22, "target": 0.95, "choice": {"status": "conditional_forecast", "config": {"dataset": "deep1m", "source": "deep1m", "N": 1000000, "D": 96, "n_list": 1024, "M": 96, "K": 1024, "n_iter": 25, "seed": 0, "capacity": 2048, "query_offset": 100, "query_count": 20, "scale": 65536, "rebalance": "author algorithm with identical row-chunk distances"},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{"query_ms": [1180812.7581549895, 4723251.032619958], "verify_ms": [15.920127759015342, 63.68051103606137], "vo_kb": [410.68174999999997, 555.62825]},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"reason": "existing calibrated configuration fits declared 512GiB planning envelope", "smallest_memory_reaching_target": {"status": "conditional_forecast", "config": {"dataset": "deep1m", "source": "deep1m", "N": 1000000, "D": 96, "n_list": 1024, "M": 96, "K": 1024, "n_iter": 25, "seed": 0, "capacity": 2048, "query_offset": 100, "query_count": 20, "scale": 65536, "rebalance": "author algorithm with identical row-chunk distances"},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{"query_ms": [1180812.7581549895, 4723251.032619958], "verify_ms": [15.920127759015342, 63.68051103606137], "vo_kb": [410.68174999999997, 555.62825]},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t>
        </is>
      </c>
    </row>
    <row r="254">
      <c r="A254" s="0" t="inlineStr">
        <is>
          <t>DEEP1M</t>
        </is>
      </c>
      <c r="B254" s="0" t="inlineStr">
        <is>
          <t>W26</t>
        </is>
      </c>
      <c r="C254" s="0" t="inlineStr">
        <is>
          <t>预算内未测</t>
        </is>
      </c>
      <c r="E254" s="0" t="b">
        <v>0</v>
      </c>
      <c r="F254" s="0" t="inlineStr">
        <is>
          <t>{"kind": "curve", "dataset": "deep1m", "sheet": "DEEP1M", "column": 23, "target": 0.97, "choice": null, "reason": "all calibrated configurations reaching this target exceed the declared 512GiB planning envelope", "smallest_memory_reaching_target": {"status": "outside_512GiB_scenario", "config": {"dataset": "deep1m", "source": "deep1m", "N": 1000000, "D": 96, "n_list": 1024, "M": 96, "K": 1024, "n_iter": 25, "seed": 0, "capacity": 2048, "query_offset": 100, "query_count": 20, "scale": 65536, "rebalance": "author algorithm with identical row-chunk distances"},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{"query_ms": [5153065.78674721, 20612263.14698884], "verify_ms": [26.034379790118805, 104.13751916047522], "vo_kb": [1093.10765, 1478.9103499999999]},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t>
        </is>
      </c>
    </row>
    <row r="255">
      <c r="A255" s="0" t="inlineStr">
        <is>
          <t>DEEP1M</t>
        </is>
      </c>
      <c r="B255" s="0" t="inlineStr">
        <is>
          <t>W27</t>
        </is>
      </c>
      <c r="C255" s="0" t="inlineStr">
        <is>
          <t>预算内未测</t>
        </is>
      </c>
      <c r="E255" s="0" t="b">
        <v>0</v>
      </c>
      <c r="F255" s="0" t="inlineStr">
        <is>
          <t>{"kind": "curve", "dataset": "deep1m", "sheet": "DEEP1M", "column": 23, "target": 0.97, "choice": null, "reason": "all calibrated configurations reaching this target exceed the declared 512GiB planning envelope", "smallest_memory_reaching_target": {"status": "outside_512GiB_scenario", "config": {"dataset": "deep1m", "source": "deep1m", "N": 1000000, "D": 96, "n_list": 1024, "M": 96, "K": 1024, "n_iter": 25, "seed": 0, "capacity": 2048, "query_offset": 100, "query_count": 20, "scale": 65536, "rebalance": "author algorithm with identical row-chunk distances"},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{"query_ms": [5153065.78674721, 20612263.14698884], "verify_ms": [26.034379790118805, 104.13751916047522], "vo_kb": [1093.10765, 1478.9103499999999]},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t>
        </is>
      </c>
    </row>
    <row r="256">
      <c r="A256" s="0" t="inlineStr">
        <is>
          <t>DEEP1M</t>
        </is>
      </c>
      <c r="B256" s="0" t="inlineStr">
        <is>
          <t>W38</t>
        </is>
      </c>
      <c r="C256" s="0" t="inlineStr">
        <is>
          <t>预算内未测</t>
        </is>
      </c>
      <c r="E256" s="0" t="b">
        <v>0</v>
      </c>
      <c r="F256" s="0" t="inlineStr">
        <is>
          <t>{"kind": "curve", "dataset": "deep1m", "sheet": "DEEP1M", "column": 23, "target": 0.97, "choice": null, "reason": "all calibrated configurations reaching this target exceed the declared 512GiB planning envelope", "smallest_memory_reaching_target": {"status": "outside_512GiB_scenario", "config": {"dataset": "deep1m", "source": "deep1m", "N": 1000000, "D": 96, "n_list": 1024, "M": 96, "K": 1024, "n_iter": 25, "seed": 0, "capacity": 2048, "query_offset": 100, "query_count": 20, "scale": 65536, "rebalance": "author algorithm with identical row-chunk distances"},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{"query_ms": [5153065.78674721, 20612263.14698884], "verify_ms": [26.034379790118805, 104.13751916047522], "vo_kb": [1093.10765, 1478.9103499999999]},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t>
        </is>
      </c>
    </row>
    <row r="257">
      <c r="A257" s="0" t="inlineStr">
        <is>
          <t>DEEP1M</t>
        </is>
      </c>
      <c r="B257" s="0" t="inlineStr">
        <is>
          <t>W39</t>
        </is>
      </c>
      <c r="C257" s="0" t="inlineStr">
        <is>
          <t>预算内未测</t>
        </is>
      </c>
      <c r="E257" s="0" t="b">
        <v>0</v>
      </c>
      <c r="F257" s="0" t="inlineStr">
        <is>
          <t>{"kind": "curve", "dataset": "deep1m", "sheet": "DEEP1M", "column": 23, "target": 0.97, "choice": null, "reason": "all calibrated configurations reaching this target exceed the declared 512GiB planning envelope", "smallest_memory_reaching_target": {"status": "outside_512GiB_scenario", "config": {"dataset": "deep1m", "source": "deep1m", "N": 1000000, "D": 96, "n_list": 1024, "M": 96, "K": 1024, "n_iter": 25, "seed": 0, "capacity": 2048, "query_offset": 100, "query_count": 20, "scale": 65536, "rebalance": "author algorithm with identical row-chunk distances"},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{"query_ms": [5153065.78674721, 20612263.14698884], "verify_ms": [26.034379790118805, 104.13751916047522], "vo_kb": [1093.10765, 1478.9103499999999]},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t>
        </is>
      </c>
    </row>
    <row r="258">
      <c r="A258" s="0" t="inlineStr">
        <is>
          <t>DEEP1M</t>
        </is>
      </c>
      <c r="B258" s="0" t="inlineStr">
        <is>
          <t>W50</t>
        </is>
      </c>
      <c r="C258" s="0" t="inlineStr">
        <is>
          <t>预算内未测</t>
        </is>
      </c>
      <c r="E258" s="0" t="b">
        <v>0</v>
      </c>
      <c r="F258" s="0" t="inlineStr">
        <is>
          <t>{"kind": "curve", "dataset": "deep1m", "sheet": "DEEP1M", "column": 23, "target": 0.97, "choice": null, "reason": "all calibrated configurations reaching this target exceed the declared 512GiB planning envelope", "smallest_memory_reaching_target": {"status": "outside_512GiB_scenario", "config": {"dataset": "deep1m", "source": "deep1m", "N": 1000000, "D": 96, "n_list": 1024, "M": 96, "K": 1024, "n_iter": 25, "seed": 0, "capacity": 2048, "query_offset": 100, "query_count": 20, "scale": 65536, "rebalance": "author algorithm with identical row-chunk distances"},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{"query_ms": [5153065.78674721, 20612263.14698884], "verify_ms": [26.034379790118805, 104.13751916047522], "vo_kb": [1093.10765, 1478.9103499999999]},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t>
        </is>
      </c>
    </row>
    <row r="259">
      <c r="A259" s="0" t="inlineStr">
        <is>
          <t>DEEP1M</t>
        </is>
      </c>
      <c r="B259" s="0" t="inlineStr">
        <is>
          <t>W51</t>
        </is>
      </c>
      <c r="C259" s="0" t="inlineStr">
        <is>
          <t>预算内未测</t>
        </is>
      </c>
      <c r="E259" s="0" t="b">
        <v>0</v>
      </c>
      <c r="F259" s="0" t="inlineStr">
        <is>
          <t>{"kind": "curve", "dataset": "deep1m", "sheet": "DEEP1M", "column": 23, "target": 0.97, "choice": null, "reason": "all calibrated configurations reaching this target exceed the declared 512GiB planning envelope", "smallest_memory_reaching_target": {"status": "outside_512GiB_scenario", "config": {"dataset": "deep1m", "source": "deep1m", "N": 1000000, "D": 96, "n_list": 1024, "M": 96, "K": 1024, "n_iter": 25, "seed": 0, "capacity": 2048, "query_offset": 100, "query_count": 20, "scale": 65536, "rebalance": "author algorithm with identical row-chunk distances"},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{"query_ms": [5153065.78674721, 20612263.14698884], "verify_ms": [26.034379790118805, 104.13751916047522], "vo_kb": [1093.10765, 1478.9103499999999]},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t>
        </is>
      </c>
    </row>
    <row r="260">
      <c r="A260" s="0" t="inlineStr">
        <is>
          <t>DEEP1M</t>
        </is>
      </c>
      <c r="B260" s="0" t="inlineStr">
        <is>
          <t>X26</t>
        </is>
      </c>
      <c r="C260" s="0" t="inlineStr">
        <is>
          <t>预算内未测</t>
        </is>
      </c>
      <c r="E260" s="0" t="b">
        <v>0</v>
      </c>
      <c r="F260" s="0" t="inlineStr">
        <is>
          <t>{"kind": "curve", "dataset": "deep1m", "sheet": "DEEP1M", "column": 24, "target": 0.98, "choice": null, "reason": "all calibrated configurations reaching this target exceed the declared 512GiB planning envelope", "smallest_memory_reaching_target": {"status": "outside_512GiB_scenario", "config": {"dataset": "deep1m", "source": "deep1m", "N": 1000000, "D": 96, "n_list": 1024, "M": 96, "K": 1024, "n_iter": 25, "seed": 0, "capacity": 2048, "query_offset": 100, "query_count": 20, "scale": 65536, "rebalance": "author algorithm with identical row-chunk distances"},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{"query_ms": [5153065.78674721, 20612263.14698884], "verify_ms": [26.034379790118805, 104.13751916047522], "vo_kb": [1093.10765, 1478.9103499999999]},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t>
        </is>
      </c>
    </row>
    <row r="261">
      <c r="A261" s="0" t="inlineStr">
        <is>
          <t>DEEP1M</t>
        </is>
      </c>
      <c r="B261" s="0" t="inlineStr">
        <is>
          <t>X27</t>
        </is>
      </c>
      <c r="C261" s="0" t="inlineStr">
        <is>
          <t>预算内未测</t>
        </is>
      </c>
      <c r="E261" s="0" t="b">
        <v>0</v>
      </c>
      <c r="F261" s="0" t="inlineStr">
        <is>
          <t>{"kind": "curve", "dataset": "deep1m", "sheet": "DEEP1M", "column": 24, "target": 0.98, "choice": null, "reason": "all calibrated configurations reaching this target exceed the declared 512GiB planning envelope", "smallest_memory_reaching_target": {"status": "outside_512GiB_scenario", "config": {"dataset": "deep1m", "source": "deep1m", "N": 1000000, "D": 96, "n_list": 1024, "M": 96, "K": 1024, "n_iter": 25, "seed": 0, "capacity": 2048, "query_offset": 100, "query_count": 20, "scale": 65536, "rebalance": "author algorithm with identical row-chunk distances"},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{"query_ms": [5153065.78674721, 20612263.14698884], "verify_ms": [26.034379790118805, 104.13751916047522], "vo_kb": [1093.10765, 1478.9103499999999]},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t>
        </is>
      </c>
    </row>
    <row r="262">
      <c r="A262" s="0" t="inlineStr">
        <is>
          <t>DEEP1M</t>
        </is>
      </c>
      <c r="B262" s="0" t="inlineStr">
        <is>
          <t>X38</t>
        </is>
      </c>
      <c r="C262" s="0" t="inlineStr">
        <is>
          <t>预算内未测</t>
        </is>
      </c>
      <c r="E262" s="0" t="b">
        <v>0</v>
      </c>
      <c r="F262" s="0" t="inlineStr">
        <is>
          <t>{"kind": "curve", "dataset": "deep1m", "sheet": "DEEP1M", "column": 24, "target": 0.98, "choice": null, "reason": "all calibrated configurations reaching this target exceed the declared 512GiB planning envelope", "smallest_memory_reaching_target": {"status": "outside_512GiB_scenario", "config": {"dataset": "deep1m", "source": "deep1m", "N": 1000000, "D": 96, "n_list": 1024, "M": 96, "K": 1024, "n_iter": 25, "seed": 0, "capacity": 2048, "query_offset": 100, "query_count": 20, "scale": 65536, "rebalance": "author algorithm with identical row-chunk distances"},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{"query_ms": [5153065.78674721, 20612263.14698884], "verify_ms": [26.034379790118805, 104.13751916047522], "vo_kb": [1093.10765, 1478.9103499999999]},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t>
        </is>
      </c>
    </row>
    <row r="263">
      <c r="A263" s="0" t="inlineStr">
        <is>
          <t>DEEP1M</t>
        </is>
      </c>
      <c r="B263" s="0" t="inlineStr">
        <is>
          <t>X39</t>
        </is>
      </c>
      <c r="C263" s="0" t="inlineStr">
        <is>
          <t>预算内未测</t>
        </is>
      </c>
      <c r="E263" s="0" t="b">
        <v>0</v>
      </c>
      <c r="F263" s="0" t="inlineStr">
        <is>
          <t>{"kind": "curve", "dataset": "deep1m", "sheet": "DEEP1M", "column": 24, "target": 0.98, "choice": null, "reason": "all calibrated configurations reaching this target exceed the declared 512GiB planning envelope", "smallest_memory_reaching_target": {"status": "outside_512GiB_scenario", "config": {"dataset": "deep1m", "source": "deep1m", "N": 1000000, "D": 96, "n_list": 1024, "M": 96, "K": 1024, "n_iter": 25, "seed": 0, "capacity": 2048, "query_offset": 100, "query_count": 20, "scale": 65536, "rebalance": "author algorithm with identical row-chunk distances"},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{"query_ms": [5153065.78674721, 20612263.14698884], "verify_ms": [26.034379790118805, 104.13751916047522], "vo_kb": [1093.10765, 1478.9103499999999]},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t>
        </is>
      </c>
    </row>
    <row r="264">
      <c r="A264" s="0" t="inlineStr">
        <is>
          <t>DEEP1M</t>
        </is>
      </c>
      <c r="B264" s="0" t="inlineStr">
        <is>
          <t>X50</t>
        </is>
      </c>
      <c r="C264" s="0" t="inlineStr">
        <is>
          <t>预算内未测</t>
        </is>
      </c>
      <c r="E264" s="0" t="b">
        <v>0</v>
      </c>
      <c r="F264" s="0" t="inlineStr">
        <is>
          <t>{"kind": "curve", "dataset": "deep1m", "sheet": "DEEP1M", "column": 24, "target": 0.98, "choice": null, "reason": "all calibrated configurations reaching this target exceed the declared 512GiB planning envelope", "smallest_memory_reaching_target": {"status": "outside_512GiB_scenario", "config": {"dataset": "deep1m", "source": "deep1m", "N": 1000000, "D": 96, "n_list": 1024, "M": 96, "K": 1024, "n_iter": 25, "seed": 0, "capacity": 2048, "query_offset": 100, "query_count": 20, "scale": 65536, "rebalance": "author algorithm with identical row-chunk distances"},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{"query_ms": [5153065.78674721, 20612263.14698884], "verify_ms": [26.034379790118805, 104.13751916047522], "vo_kb": [1093.10765, 1478.9103499999999]},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t>
        </is>
      </c>
    </row>
    <row r="265">
      <c r="A265" s="0" t="inlineStr">
        <is>
          <t>DEEP1M</t>
        </is>
      </c>
      <c r="B265" s="0" t="inlineStr">
        <is>
          <t>X51</t>
        </is>
      </c>
      <c r="C265" s="0" t="inlineStr">
        <is>
          <t>预算内未测</t>
        </is>
      </c>
      <c r="E265" s="0" t="b">
        <v>0</v>
      </c>
      <c r="F265" s="0" t="inlineStr">
        <is>
          <t>{"kind": "curve", "dataset": "deep1m", "sheet": "DEEP1M", "column": 24, "target": 0.98, "choice": null, "reason": "all calibrated configurations reaching this target exceed the declared 512GiB planning envelope", "smallest_memory_reaching_target": {"status": "outside_512GiB_scenario", "config": {"dataset": "deep1m", "source": "deep1m", "N": 1000000, "D": 96, "n_list": 1024, "M": 96, "K": 1024, "n_iter": 25, "seed": 0, "capacity": 2048, "query_offset": 100, "query_count": 20, "scale": 65536, "rebalance": "author algorithm with identical row-chunk distances"},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{"query_ms": [5153065.78674721, 20612263.14698884], "verify_ms": [26.034379790118805, 104.13751916047522], "vo_kb": [1093.10765, 1478.9103499999999]},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t>
        </is>
      </c>
    </row>
    <row r="266">
      <c r="A266" s="0" t="inlineStr">
        <is>
          <t>DEEP1M</t>
        </is>
      </c>
      <c r="B266" s="0" t="inlineStr">
        <is>
          <t>Y26</t>
        </is>
      </c>
      <c r="C266" s="0" t="inlineStr">
        <is>
          <t>预算内未测</t>
        </is>
      </c>
      <c r="E266" s="0" t="b">
        <v>0</v>
      </c>
      <c r="F266" s="0" t="inlineStr">
        <is>
          <t>{"kind": "curve", "dataset": "deep1m", "sheet": "DEEP1M", "column": 25, "target": 0.99, "choice": null, "reason": "no existing calibrated configuration reaches target; recall cannot be invented", "smallest_memory_reaching_target": null}</t>
        </is>
      </c>
    </row>
    <row r="267">
      <c r="A267" s="0" t="inlineStr">
        <is>
          <t>DEEP1M</t>
        </is>
      </c>
      <c r="B267" s="0" t="inlineStr">
        <is>
          <t>Y27</t>
        </is>
      </c>
      <c r="C267" s="0" t="inlineStr">
        <is>
          <t>预算内未测</t>
        </is>
      </c>
      <c r="E267" s="0" t="b">
        <v>0</v>
      </c>
      <c r="F267" s="0" t="inlineStr">
        <is>
          <t>{"kind": "curve", "dataset": "deep1m", "sheet": "DEEP1M", "column": 25, "target": 0.99, "choice": null, "reason": "no existing calibrated configuration reaches target; recall cannot be invented", "smallest_memory_reaching_target": null}</t>
        </is>
      </c>
    </row>
    <row r="268">
      <c r="A268" s="0" t="inlineStr">
        <is>
          <t>DEEP1M</t>
        </is>
      </c>
      <c r="B268" s="0" t="inlineStr">
        <is>
          <t>Y38</t>
        </is>
      </c>
      <c r="C268" s="0" t="inlineStr">
        <is>
          <t>预算内未测</t>
        </is>
      </c>
      <c r="E268" s="0" t="b">
        <v>0</v>
      </c>
      <c r="F268" s="0" t="inlineStr">
        <is>
          <t>{"kind": "curve", "dataset": "deep1m", "sheet": "DEEP1M", "column": 25, "target": 0.99, "choice": null, "reason": "no existing calibrated configuration reaches target; recall cannot be invented", "smallest_memory_reaching_target": null}</t>
        </is>
      </c>
    </row>
    <row r="269">
      <c r="A269" s="0" t="inlineStr">
        <is>
          <t>DEEP1M</t>
        </is>
      </c>
      <c r="B269" s="0" t="inlineStr">
        <is>
          <t>Y39</t>
        </is>
      </c>
      <c r="C269" s="0" t="inlineStr">
        <is>
          <t>预算内未测</t>
        </is>
      </c>
      <c r="E269" s="0" t="b">
        <v>0</v>
      </c>
      <c r="F269" s="0" t="inlineStr">
        <is>
          <t>{"kind": "curve", "dataset": "deep1m", "sheet": "DEEP1M", "column": 25, "target": 0.99, "choice": null, "reason": "no existing calibrated configuration reaches target; recall cannot be invented", "smallest_memory_reaching_target": null}</t>
        </is>
      </c>
    </row>
    <row r="270">
      <c r="A270" s="0" t="inlineStr">
        <is>
          <t>DEEP1M</t>
        </is>
      </c>
      <c r="B270" s="0" t="inlineStr">
        <is>
          <t>Y50</t>
        </is>
      </c>
      <c r="C270" s="0" t="inlineStr">
        <is>
          <t>预算内未测</t>
        </is>
      </c>
      <c r="E270" s="0" t="b">
        <v>0</v>
      </c>
      <c r="F270" s="0" t="inlineStr">
        <is>
          <t>{"kind": "curve", "dataset": "deep1m", "sheet": "DEEP1M", "column": 25, "target": 0.99, "choice": null, "reason": "no existing calibrated configuration reaches target; recall cannot be invented", "smallest_memory_reaching_target": null}</t>
        </is>
      </c>
    </row>
    <row r="271">
      <c r="A271" s="0" t="inlineStr">
        <is>
          <t>DEEP1M</t>
        </is>
      </c>
      <c r="B271" s="0" t="inlineStr">
        <is>
          <t>Y51</t>
        </is>
      </c>
      <c r="C271" s="0" t="inlineStr">
        <is>
          <t>预算内未测</t>
        </is>
      </c>
      <c r="E271" s="0" t="b">
        <v>0</v>
      </c>
      <c r="F271" s="0" t="inlineStr">
        <is>
          <t>{"kind": "curve", "dataset": "deep1m", "sheet": "DEEP1M", "column": 25, "target": 0.99, "choice": null, "reason": "no existing calibrated configuration reaches target; recall cannot be invented", "smallest_memory_reaching_target": null}</t>
        </is>
      </c>
    </row>
    <row r="272">
      <c r="A272" s="0" t="inlineStr">
        <is>
          <t>DEEP1M</t>
        </is>
      </c>
      <c r="B272" s="0" t="inlineStr">
        <is>
          <t>I64</t>
        </is>
      </c>
      <c r="C272" s="0" t="inlineStr">
        <is>
          <t>超证明域预算，未出证</t>
        </is>
      </c>
      <c r="E272" s="0" t="b">
        <v>0</v>
      </c>
      <c r="F272" s="0" t="inlineStr">
        <is>
          <t>{"kind": "size", "dataset": "deep1m", "sheet": "DEEP1M", "column": 9, "N": 5000000, "choice": null, "reason": "no index/recall calibration; matched-recall performance is unsupported", "fixed_budget_hypothesis": {"status": "conditional_forecast", "config": {"dataset": "deep1m", "source": "deep10m", "N": 5000000, "D": 96, "M": 96, "K": 1024, "n_list": 1024, "capacity": 16384}, "n_probe": 4, "k": 10, "gates": 5585143, "gate_source": "structural estimate", "domain_bits": 23, "guard_domain_bits": 23, "proof_phase_memory_estimate_GiB": 258.8128967285156, "planned_machine_memory_GiB": 432.4090240478515, "fits_512GiB_scenario": true, "query_ms": 4938158.409683584, "verify_ms": 41.580965590149766, "vo_kb": 868.198, "declared_sensitivity": {"query_ms": [2469079.204841792, 9876316.819367168], "verify_ms": [20.790482795074883, 83.16193118029953], "vo_kb": [737.9683, 998.4276999999998]}, "label": "512GiB条件预测，未在512GiB机器实测", "recall_scope": "existing search calibration only", "parameter_assumption": true, "recall": null, "reason": "fixed query budget hypothesis only; no trained/calibrated index for this prefix. Not an equal/default-recall result."}}</t>
        </is>
      </c>
    </row>
    <row r="273">
      <c r="A273" s="0" t="inlineStr">
        <is>
          <t>DEEP1M</t>
        </is>
      </c>
      <c r="B273" s="0" t="inlineStr">
        <is>
          <t>I75</t>
        </is>
      </c>
      <c r="C273" s="0" t="inlineStr">
        <is>
          <t>超证明域预算，未出证</t>
        </is>
      </c>
      <c r="E273" s="0" t="b">
        <v>0</v>
      </c>
      <c r="F273" s="0" t="inlineStr">
        <is>
          <t>{"kind": "size", "dataset": "deep1m", "sheet": "DEEP1M", "column": 9, "N": 5000000, "choice": null, "reason": "no index/recall calibration; matched-recall performance is unsupported", "fixed_budget_hypothesis": {"status": "conditional_forecast", "config": {"dataset": "deep1m", "source": "deep10m", "N": 5000000, "D": 96, "M": 96, "K": 1024, "n_list": 1024, "capacity": 16384}, "n_probe": 4, "k": 10, "gates": 5585143, "gate_source": "structural estimate", "domain_bits": 23, "guard_domain_bits": 23, "proof_phase_memory_estimate_GiB": 258.8128967285156, "planned_machine_memory_GiB": 432.4090240478515, "fits_512GiB_scenario": true, "query_ms": 4938158.409683584, "verify_ms": 41.580965590149766, "vo_kb": 868.198, "declared_sensitivity": {"query_ms": [2469079.204841792, 9876316.819367168], "verify_ms": [20.790482795074883, 83.16193118029953], "vo_kb": [737.9683, 998.4276999999998]}, "label": "512GiB条件预测，未在512GiB机器实测", "recall_scope": "existing search calibration only", "parameter_assumption": true, "recall": null, "reason": "fixed query budget hypothesis only; no trained/calibrated index for this prefix. Not an equal/default-recall result."}}</t>
        </is>
      </c>
    </row>
    <row r="274">
      <c r="A274" s="0" t="inlineStr">
        <is>
          <t>DEEP1M</t>
        </is>
      </c>
      <c r="B274" s="0" t="inlineStr">
        <is>
          <t>I85</t>
        </is>
      </c>
      <c r="C274" s="0" t="inlineStr">
        <is>
          <t>超证明域预算，未出证</t>
        </is>
      </c>
      <c r="E274" s="0" t="b">
        <v>0</v>
      </c>
      <c r="F274" s="0" t="inlineStr">
        <is>
          <t>{"kind": "size", "dataset": "deep1m", "sheet": "DEEP1M", "column": 9, "N": 5000000, "choice": null, "reason": "no index/recall calibration; matched-recall performance is unsupported", "fixed_budget_hypothesis": {"status": "conditional_forecast", "config": {"dataset": "deep1m", "source": "deep10m", "N": 5000000, "D": 96, "M": 96, "K": 1024, "n_list": 1024, "capacity": 16384}, "n_probe": 4, "k": 10, "gates": 5585143, "gate_source": "structural estimate", "domain_bits": 23, "guard_domain_bits": 23, "proof_phase_memory_estimate_GiB": 258.8128967285156, "planned_machine_memory_GiB": 432.4090240478515, "fits_512GiB_scenario": true, "query_ms": 4938158.409683584, "verify_ms": 41.580965590149766, "vo_kb": 868.198, "declared_sensitivity": {"query_ms": [2469079.204841792, 9876316.819367168], "verify_ms": [20.790482795074883, 83.16193118029953], "vo_kb": [737.9683, 998.4276999999998]}, "label": "512GiB条件预测，未在512GiB机器实测", "recall_scope": "existing search calibration only", "parameter_assumption": true, "recall": null, "reason": "fixed query budget hypothesis only; no trained/calibrated index for this prefix. Not an equal/default-recall result."}}</t>
        </is>
      </c>
    </row>
    <row r="275">
      <c r="A275" s="0" t="inlineStr">
        <is>
          <t>DEEP1M</t>
        </is>
      </c>
      <c r="B275" s="0" t="inlineStr">
        <is>
          <t>J64</t>
        </is>
      </c>
      <c r="C275" s="0" t="inlineStr">
        <is>
          <t>超构建预算，未出证</t>
        </is>
      </c>
      <c r="E275" s="0" t="b">
        <v>0</v>
      </c>
      <c r="F275" s="0" t="inlineStr">
        <is>
          <t>{"kind": "size", "dataset": "deep1m", "sheet": "DEEP1M", "column": 10, "N": 10000000, "choice": null, "reason": "no index/recall calibration; matched-recall performance is unsupported", "fixed_budget_hypothesis": {"status": "outside_512GiB_scenario", "config": {"dataset": "deep1m", "source": "deep10m", "N": 10000000, "D": 96, "M": 96, "K": 1024, "n_list": 1024, "capacity": 32768}, "n_probe": 4, "k": 10, "gates": 11009381, "gate_source": "structural estimate", "domain_bits": 24, "guard_domain_bits": 24, "proof_phase_memory_estimate_GiB": 517.6257934570312, "planned_machine_memory_GiB": 832.818048095703, "fits_512GiB_scenario": false, "query_ms": 10306131.57349442, "verify_ms": 57.671888965003234, "vo_kb": 1531.769, "declared_sensitivity": {"query_ms": [5153065.78674721, 20612263.14698884], "verify_ms": [28.835944482501617, 115.34377793000647], "vo_kb": [1302.0036499999999, 1761.53435]}, "label": "512GiB条件预测，未在512GiB机器实测", "recall_scope": "existing search calibration only", "parameter_assumption": true, "recall": null, "reason": "fixed query budget hypothesis only; no trained/calibrated index for this prefix. Not an equal/default-recall result."}}</t>
        </is>
      </c>
    </row>
    <row r="276">
      <c r="A276" s="0" t="inlineStr">
        <is>
          <t>DEEP1M</t>
        </is>
      </c>
      <c r="B276" s="0" t="inlineStr">
        <is>
          <t>J75</t>
        </is>
      </c>
      <c r="C276" s="0" t="inlineStr">
        <is>
          <t>超构建预算，未出证</t>
        </is>
      </c>
      <c r="E276" s="0" t="b">
        <v>0</v>
      </c>
      <c r="F276" s="0" t="inlineStr">
        <is>
          <t>{"kind": "size", "dataset": "deep1m", "sheet": "DEEP1M", "column": 10, "N": 10000000, "choice": null, "reason": "no index/recall calibration; matched-recall performance is unsupported", "fixed_budget_hypothesis": {"status": "outside_512GiB_scenario", "config": {"dataset": "deep1m", "source": "deep10m", "N": 10000000, "D": 96, "M": 96, "K": 1024, "n_list": 1024, "capacity": 32768}, "n_probe": 4, "k": 10, "gates": 11009381, "gate_source": "structural estimate", "domain_bits": 24, "guard_domain_bits": 24, "proof_phase_memory_estimate_GiB": 517.6257934570312, "planned_machine_memory_GiB": 832.818048095703, "fits_512GiB_scenario": false, "query_ms": 10306131.57349442, "verify_ms": 57.671888965003234, "vo_kb": 1531.769, "declared_sensitivity": {"query_ms": [5153065.78674721, 20612263.14698884], "verify_ms": [28.835944482501617, 115.34377793000647], "vo_kb": [1302.0036499999999, 1761.53435]}, "label": "512GiB条件预测，未在512GiB机器实测", "recall_scope": "existing search calibration only", "parameter_assumption": true, "recall": null, "reason": "fixed query budget hypothesis only; no trained/calibrated index for this prefix. Not an equal/default-recall result."}}</t>
        </is>
      </c>
    </row>
    <row r="277">
      <c r="A277" s="0" t="inlineStr">
        <is>
          <t>DEEP1M</t>
        </is>
      </c>
      <c r="B277" s="0" t="inlineStr">
        <is>
          <t>J85</t>
        </is>
      </c>
      <c r="C277" s="0" t="inlineStr">
        <is>
          <t>超构建预算，未出证</t>
        </is>
      </c>
      <c r="E277" s="0" t="b">
        <v>0</v>
      </c>
      <c r="F277" s="0" t="inlineStr">
        <is>
          <t>{"kind": "size", "dataset": "deep1m", "sheet": "DEEP1M", "column": 10, "N": 10000000, "choice": null, "reason": "no index/recall calibration; matched-recall performance is unsupported", "fixed_budget_hypothesis": {"status": "outside_512GiB_scenario", "config": {"dataset": "deep1m", "source": "deep10m", "N": 10000000, "D": 96, "M": 96, "K": 1024, "n_list": 1024, "capacity": 32768}, "n_probe": 4, "k": 10, "gates": 11009381, "gate_source": "structural estimate", "domain_bits": 24, "guard_domain_bits": 24, "proof_phase_memory_estimate_GiB": 517.6257934570312, "planned_machine_memory_GiB": 832.818048095703, "fits_512GiB_scenario": false, "query_ms": 10306131.57349442, "verify_ms": 57.671888965003234, "vo_kb": 1531.769, "declared_sensitivity": {"query_ms": [5153065.78674721, 20612263.14698884], "verify_ms": [28.835944482501617, 115.34377793000647], "vo_kb": [1302.0036499999999, 1761.53435]}, "label": "512GiB条件预测，未在512GiB机器实测", "recall_scope": "existing search calibration only", "parameter_assumption": true, "recall": null, "reason": "fixed query budget hypothesis only; no trained/calibrated index for this prefix. Not an equal/default-recall result."}}</t>
        </is>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M5"/>
  <sheetViews>
    <sheetView workbookViewId="0">
      <selection activeCell="A1" sqref="A1"/>
    </sheetView>
  </sheetViews>
  <sheetFormatPr baseColWidth="8" defaultColWidth="9" defaultRowHeight="13.5" outlineLevelRow="4"/>
  <sheetData>
    <row r="1">
      <c r="A1" s="0" t="inlineStr">
        <is>
          <t>dataset</t>
        </is>
      </c>
      <c r="B1" s="0" t="inlineStr">
        <is>
          <t>N</t>
        </is>
      </c>
      <c r="C1" s="0" t="inlineStr">
        <is>
          <t>M</t>
        </is>
      </c>
      <c r="D1" s="0" t="inlineStr">
        <is>
          <t>K</t>
        </is>
      </c>
      <c r="E1" s="0" t="inlineStr">
        <is>
          <t>probe assumed</t>
        </is>
      </c>
      <c r="F1" s="0" t="inlineStr">
        <is>
          <t>RSS proof GiB estimate</t>
        </is>
      </c>
      <c r="G1" s="0" t="inlineStr">
        <is>
          <t>RAM GiB planning</t>
        </is>
      </c>
      <c r="H1" s="0" t="inlineStr">
        <is>
          <t>fits scenario</t>
        </is>
      </c>
      <c r="I1" s="0" t="inlineStr">
        <is>
          <t>Query ms hypothetical</t>
        </is>
      </c>
      <c r="J1" s="0" t="inlineStr">
        <is>
          <t>Verify ms hypothetical</t>
        </is>
      </c>
      <c r="K1" s="0" t="inlineStr">
        <is>
          <t>VO KB hypothetical</t>
        </is>
      </c>
      <c r="L1" s="0" t="inlineStr">
        <is>
          <t>recall</t>
        </is>
      </c>
      <c r="M1" s="0" t="inlineStr">
        <is>
          <t>warning</t>
        </is>
      </c>
    </row>
    <row r="2">
      <c r="A2" s="0" t="inlineStr">
        <is>
          <t>sift1m</t>
        </is>
      </c>
      <c r="B2" s="0" t="n">
        <v>5000000</v>
      </c>
      <c r="C2" s="0" t="n">
        <v>128</v>
      </c>
      <c r="D2" s="0" t="n">
        <v>1024</v>
      </c>
      <c r="E2" s="0" t="n">
        <v>8</v>
      </c>
      <c r="F2" s="0" t="n">
        <v>517.625793457031</v>
      </c>
      <c r="G2" s="0" t="n">
        <v>832.818048095703</v>
      </c>
      <c r="H2" s="0" t="b">
        <v>0</v>
      </c>
      <c r="L2" s="0" t="inlineStr">
        <is>
          <t>未知/未校准</t>
        </is>
      </c>
      <c r="M2" s="0" t="inlineStr">
        <is>
          <t>fixed query budget hypothesis only; no trained/calibrated index for this prefix. Not an equal/default-recall result.</t>
        </is>
      </c>
    </row>
    <row r="3">
      <c r="A3" s="0" t="inlineStr">
        <is>
          <t>sift1m</t>
        </is>
      </c>
      <c r="B3" s="0" t="n">
        <v>10000000</v>
      </c>
      <c r="C3" s="0" t="n">
        <v>128</v>
      </c>
      <c r="D3" s="0" t="n">
        <v>1024</v>
      </c>
      <c r="E3" s="0" t="n">
        <v>8</v>
      </c>
      <c r="F3" s="0" t="n">
        <v>1035.25158691406</v>
      </c>
      <c r="G3" s="0" t="n">
        <v>1633.63609619141</v>
      </c>
      <c r="H3" s="0" t="b">
        <v>0</v>
      </c>
      <c r="L3" s="0" t="inlineStr">
        <is>
          <t>未知/未校准</t>
        </is>
      </c>
      <c r="M3" s="0" t="inlineStr">
        <is>
          <t>fixed query budget hypothesis only; no trained/calibrated index for this prefix. Not an equal/default-recall result.</t>
        </is>
      </c>
    </row>
    <row r="4">
      <c r="A4" s="0" t="inlineStr">
        <is>
          <t>deep1m</t>
        </is>
      </c>
      <c r="B4" s="0" t="n">
        <v>5000000</v>
      </c>
      <c r="C4" s="0" t="n">
        <v>96</v>
      </c>
      <c r="D4" s="0" t="n">
        <v>1024</v>
      </c>
      <c r="E4" s="0" t="n">
        <v>4</v>
      </c>
      <c r="F4" s="0" t="n">
        <v>258.812896728516</v>
      </c>
      <c r="G4" s="0" t="n">
        <v>432.409024047852</v>
      </c>
      <c r="H4" s="0" t="b">
        <v>1</v>
      </c>
      <c r="I4" s="0" t="n">
        <v>4938158.40968358</v>
      </c>
      <c r="J4" s="0" t="n">
        <v>41.5809655901498</v>
      </c>
      <c r="K4" s="0" t="n">
        <v>868.198</v>
      </c>
      <c r="L4" s="0" t="inlineStr">
        <is>
          <t>未知/未校准</t>
        </is>
      </c>
      <c r="M4" s="0" t="inlineStr">
        <is>
          <t>fixed query budget hypothesis only; no trained/calibrated index for this prefix. Not an equal/default-recall result.</t>
        </is>
      </c>
    </row>
    <row r="5">
      <c r="A5" s="0" t="inlineStr">
        <is>
          <t>deep1m</t>
        </is>
      </c>
      <c r="B5" s="0" t="n">
        <v>10000000</v>
      </c>
      <c r="C5" s="0" t="n">
        <v>96</v>
      </c>
      <c r="D5" s="0" t="n">
        <v>1024</v>
      </c>
      <c r="E5" s="0" t="n">
        <v>4</v>
      </c>
      <c r="F5" s="0" t="n">
        <v>517.625793457031</v>
      </c>
      <c r="G5" s="0" t="n">
        <v>832.818048095703</v>
      </c>
      <c r="H5" s="0" t="b">
        <v>0</v>
      </c>
      <c r="L5" s="0" t="inlineStr">
        <is>
          <t>未知/未校准</t>
        </is>
      </c>
      <c r="M5" s="0" t="inlineStr">
        <is>
          <t>fixed query budget hypothesis only; no trained/calibrated index for this prefix. Not an equal/default-recall result.</t>
        </is>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ColWidth="9" defaultRowHeight="13.5"/>
  <cols>
    <col width="23" customWidth="1" style="1" min="1" max="1"/>
    <col width="145" customWidth="1" style="1" min="2" max="2"/>
  </cols>
  <sheetData>
    <row r="1">
      <c r="A1" s="0" t="inlineStr">
        <is>
          <t>项目</t>
        </is>
      </c>
      <c r="B1" s="0" t="inlineStr">
        <is>
          <t>说明</t>
        </is>
      </c>
    </row>
    <row r="2">
      <c r="A2" s="0" t="inlineStr">
        <is>
          <t>论文</t>
        </is>
      </c>
      <c r="B2" s="0" t="inlineStr">
        <is>
          <t>Chen, Hu, Xu. Authenticating Top-k Queries in Location-based Services with Confidentiality. PVLDB 7(1), 49–60, 2013.</t>
        </is>
      </c>
    </row>
    <row r="3">
      <c r="A3" s="0" t="inlineStr">
        <is>
          <t>实现范围</t>
        </is>
      </c>
      <c r="B3" s="0" t="inlineStr">
        <is>
          <t>第5.1.1节与图6(a)明文MR-tree：精确best-first kNN、剩余frontier MBB、Merkle重建与签名根；多维原坐标、非空间权重置零。</t>
        </is>
      </c>
    </row>
    <row r="4">
      <c r="A4" s="0" t="inlineStr">
        <is>
          <t>改编与限制</t>
        </is>
      </c>
      <c r="B4" s="0" t="inlineStr">
        <is>
          <t>不是作者完整隐私MR/EMR/PD复现：空间批量装载代替R*-tree；fanout16、leaf64；SHA256与Ed25519；无PPB/PLB、无Power Diagram、无投影/PQ。对高维效果只解释为这一明文改编版本。</t>
        </is>
      </c>
    </row>
    <row r="5">
      <c r="A5" s="0" t="inlineStr">
        <is>
          <t>默认值</t>
        </is>
      </c>
      <c r="B5" s="0" t="inlineStr">
        <is>
          <t>仅新增Chen13默认精确100%；原VLAH/ANNProof/Ours约95%及V3DB低召回默认、所有已实测/预测值均保持。</t>
        </is>
      </c>
    </row>
    <row r="6">
      <c r="A6" s="0" t="inlineStr">
        <is>
          <t>召回曲线</t>
        </is>
      </c>
      <c r="B6" s="0" t="inlineStr">
        <is>
          <t>精确方法无低召回参数；新增Z列100%唯一参考点。新行原15–99%栏留空表示不适用，不能把该参考点说成等召回对比。</t>
        </is>
      </c>
    </row>
    <row r="7">
      <c r="A7" s="0" t="inlineStr">
        <is>
          <t>实验协议</t>
        </is>
      </c>
      <c r="B7" s="0" t="inlineStr">
        <is>
          <t>20条查询IDs100..119×3次，单线程；四数据集默认k10；K和规模只测SIFT/DEEP；每个规模独立全扫描GT、每次真实VO验证通过。</t>
        </is>
      </c>
    </row>
    <row r="8">
      <c r="A8" s="0" t="inlineStr">
        <is>
          <t>实测机器</t>
        </is>
      </c>
      <c r="B8" s="0" t="inlineStr">
        <is>
          <t>当前WSL约62GiB可用总内存，进程地址空间上限50GiB；不是512GiB机器实测。历史V3DB的512GiB预测条件与标记保持原样。环境记录见build-environment.json。</t>
        </is>
      </c>
    </row>
    <row r="9">
      <c r="A9" s="0" t="inlineStr">
        <is>
          <t>K</t>
        </is>
      </c>
      <c r="B9" s="0" t="inlineStr">
        <is>
          <t>1/5/10/20/50/100；SIFT1M与DEEP1M。</t>
        </is>
      </c>
    </row>
    <row r="10">
      <c r="A10" s="0" t="inlineStr">
        <is>
          <t>规模</t>
        </is>
      </c>
      <c r="B10" s="0" t="inlineStr">
        <is>
          <t>100K/500K/1M/5M/10M；SIFT使用原表BIGANN前缀，与单独SIFT1M默认不同；DEEP同源前缀。</t>
        </is>
      </c>
    </row>
    <row r="11">
      <c r="A11" s="0" t="inlineStr">
        <is>
          <t>单位</t>
        </is>
      </c>
      <c r="B11" s="0" t="inlineStr">
        <is>
          <t>查询/验证ms；VO十进制KB，含根/签名/查询绑定/结果ID；索引十进制MB；构建秒。查询=搜索+VO序列化；验证含解码、签名、Merkle、排名与完整性。</t>
        </is>
      </c>
    </row>
    <row r="12">
      <c r="A12" s="0" t="inlineStr">
        <is>
          <t>索引</t>
        </is>
      </c>
      <c r="B12" s="0" t="inlineStr">
        <is>
          <t>完整无压缩服务快照：原向量、ID、节点拓扑/MBB/哈希、元数据/签名/公钥；不重复算原文件、查询VO。构建一次，排除输入/GT和最终快照I/O。</t>
        </is>
      </c>
    </row>
    <row r="13">
      <c r="A13" s="0" t="inlineStr">
        <is>
          <t>正确性</t>
        </is>
      </c>
      <c r="B13" s="0" t="inlineStr">
        <is>
          <t>独立全扫描逐查询逐k对齐ID与距离次序；同距按ID。2/100/128/256维测试含重复点/零向量；每k执行9项真实序列化篡改拒绝测试。验证器没有索引或原数据访问。</t>
        </is>
      </c>
    </row>
    <row r="14">
      <c r="A14" s="0" t="inlineStr">
        <is>
          <t>共享GT口径</t>
        </is>
      </c>
      <c r="B14" s="0" t="inlineStr">
        <is>
          <t>全部23个参数点、每点20条查询另行核对原项目float32逐维L2+ID排序，与本实现float64精确答案完全一致。故表中100%同时满足原项目GT口径。详见ground-truth-compatibility.json。</t>
        </is>
      </c>
    </row>
    <row r="15">
      <c r="A15" s="0" t="inlineStr">
        <is>
          <t>消融表</t>
        </is>
      </c>
      <c r="B15" s="0" t="inlineStr">
        <is>
          <t>新增行仅外部baseline参考，不是Ours消融。</t>
        </is>
      </c>
    </row>
    <row r="16">
      <c r="A16" s="0" t="inlineStr">
        <is>
          <t>实测/未测</t>
        </is>
      </c>
      <c r="B16" s="0" t="inlineStr">
        <is>
          <t>只写measurement.json中的完成组；未完成留空，不以预测冒充实测。NYTimes/GloVe的K/规模按用户要求不测。</t>
        </is>
      </c>
    </row>
    <row r="17">
      <c r="A17" s="0" t="inlineStr">
        <is>
          <t>源码</t>
        </is>
      </c>
      <c r="B17" s="0" t="inlineStr">
        <is>
          <t>/mnt/d/paper_source/work_9/VeriANN_repro_2026-09-30/VeriANN_repro_2026-09-30/Chen13-MR/mr.cpp</t>
        </is>
      </c>
    </row>
    <row r="18">
      <c r="A18" s="0" t="inlineStr">
        <is>
          <t>备份</t>
        </is>
      </c>
      <c r="B18" s="0" t="inlineStr">
        <is>
          <t>/mnt/d/paper_source/work_9/VeriANN_repro_2026-09-30/VeriANN_repro_2026-09-30/experiments/work9-chen13-20261021/work9_before_chen13.xlsx</t>
        </is>
      </c>
    </row>
    <row r="19">
      <c r="A19" s="0" t="inlineStr">
        <is>
          <t>原有来源坐标</t>
        </is>
      </c>
      <c r="B19" s="0" t="inlineStr">
        <is>
          <t>历史来源附表记录的是当时坐标，保持原始档案；本次新增Chen13位置映射给出插行前→当前坐标。</t>
        </is>
      </c>
    </row>
    <row r="20">
      <c r="A20" s="0" t="inlineStr">
        <is>
          <t>状态</t>
        </is>
      </c>
      <c r="B20" s="0" t="inlineStr">
        <is>
          <t>全部完成</t>
        </is>
      </c>
    </row>
    <row r="21">
      <c r="A21" s="0" t="inlineStr">
        <is>
          <t>新增行</t>
        </is>
      </c>
      <c r="B21" s="0" t="inlineStr">
        <is>
          <t>{"SIFT1M": {"overall": 13, "curves": [29, 43, 57], "size": [72, 84, 95], "k": [108, 120, 131], "ablation": 149}, "NYTimes-256": {"overall": 13, "curves": [29, 43, 57], "size": [72, 84, 95], "k": [108, 120, 131], "ablation": 148}, "GloVe-100": {"overall": 13, "curves": [29, 43, 57], "size": [72, 84, 95], "k": [108, 120, 131], "ablation": 148}, "DEEP1M": {"overall": 13, "curves": [29, 43, 57], "size": [72, 84, 95], "k": [108, 120, 131], "ablation": 150}}</t>
        </is>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O24"/>
  <sheetViews>
    <sheetView workbookViewId="0">
      <selection activeCell="A1" sqref="A1"/>
    </sheetView>
  </sheetViews>
  <sheetFormatPr baseColWidth="8" defaultColWidth="9" defaultRowHeight="13.5"/>
  <sheetData>
    <row r="1">
      <c r="A1" s="0" t="inlineStr">
        <is>
          <t>Dataset</t>
        </is>
      </c>
      <c r="B1" s="0" t="inlineStr">
        <is>
          <t>N</t>
        </is>
      </c>
      <c r="C1" s="0" t="inlineStr">
        <is>
          <t>Kind</t>
        </is>
      </c>
      <c r="D1" s="0" t="inlineStr">
        <is>
          <t>k</t>
        </is>
      </c>
      <c r="E1" s="0" t="inlineStr">
        <is>
          <t>Recall</t>
        </is>
      </c>
      <c r="F1" s="0" t="inlineStr">
        <is>
          <t>Samples</t>
        </is>
      </c>
      <c r="G1" s="0" t="inlineStr">
        <is>
          <t>Query ms</t>
        </is>
      </c>
      <c r="H1" s="0" t="inlineStr">
        <is>
          <t>Verify ms</t>
        </is>
      </c>
      <c r="I1" s="0" t="inlineStr">
        <is>
          <t>VO KB</t>
        </is>
      </c>
      <c r="J1" s="0" t="inlineStr">
        <is>
          <t>Index MB</t>
        </is>
      </c>
      <c r="K1" s="0" t="inlineStr">
        <is>
          <t>Build s</t>
        </is>
      </c>
      <c r="L1" s="0" t="inlineStr">
        <is>
          <t>Snapshot I/O s</t>
        </is>
      </c>
      <c r="M1" s="0" t="inlineStr">
        <is>
          <t>Process peak RSS GiB</t>
        </is>
      </c>
      <c r="N1" s="0" t="inlineStr">
        <is>
          <t>Mean examined vectors</t>
        </is>
      </c>
      <c r="O1" s="0" t="inlineStr">
        <is>
          <t>Source</t>
        </is>
      </c>
    </row>
    <row r="2">
      <c r="A2" s="0" t="inlineStr">
        <is>
          <t>bigann10m</t>
        </is>
      </c>
      <c r="B2" s="0" t="n">
        <v>100000</v>
      </c>
      <c r="C2" s="0" t="inlineStr">
        <is>
          <t>size</t>
        </is>
      </c>
      <c r="D2" s="0" t="n">
        <v>10</v>
      </c>
      <c r="E2" s="0" t="n">
        <v>1</v>
      </c>
      <c r="F2" s="0" t="n">
        <v>60</v>
      </c>
      <c r="G2" s="0" t="n">
        <v>42.2586082833333</v>
      </c>
      <c r="H2" s="0" t="n">
        <v>39.2904184833333</v>
      </c>
      <c r="I2" s="0" t="n">
        <v>46178.4553</v>
      </c>
      <c r="J2" s="0" t="n">
        <v>53.87988</v>
      </c>
      <c r="K2" s="0" t="n">
        <v>0.09727957800000001</v>
      </c>
      <c r="L2" s="0" t="n">
        <v>1.735304905</v>
      </c>
      <c r="M2" s="0" t="n">
        <v>0.207393646240234</v>
      </c>
      <c r="N2" s="0" t="n">
        <v>89357.95</v>
      </c>
      <c r="O2" s="0" t="inlineStr">
        <is>
          <t>/mnt/d/paper_source/work_9/VeriANN_repro_2026-09-30/VeriANN_repro_2026-09-30/results/work9-chen13-20261021/bigann10m-100000-size/measurement.json</t>
        </is>
      </c>
    </row>
    <row r="3">
      <c r="A3" s="0" t="inlineStr">
        <is>
          <t>bigann10m</t>
        </is>
      </c>
      <c r="B3" s="0" t="n">
        <v>1000000</v>
      </c>
      <c r="C3" s="0" t="inlineStr">
        <is>
          <t>size</t>
        </is>
      </c>
      <c r="D3" s="0" t="n">
        <v>10</v>
      </c>
      <c r="E3" s="0" t="n">
        <v>1</v>
      </c>
      <c r="F3" s="0" t="n">
        <v>60</v>
      </c>
      <c r="G3" s="0" t="n">
        <v>543.135667783333</v>
      </c>
      <c r="H3" s="0" t="n">
        <v>373.327522583333</v>
      </c>
      <c r="I3" s="0" t="n">
        <v>430432.6258</v>
      </c>
      <c r="J3" s="0" t="n">
        <v>538.911432</v>
      </c>
      <c r="K3" s="0" t="n">
        <v>1.066890794</v>
      </c>
      <c r="L3" s="0" t="n">
        <v>21.196860408</v>
      </c>
      <c r="M3" s="0" t="n">
        <v>1.88580703735352</v>
      </c>
      <c r="N3" s="0" t="n">
        <v>831885.45</v>
      </c>
      <c r="O3" s="0" t="inlineStr">
        <is>
          <t>/mnt/d/paper_source/work_9/VeriANN_repro_2026-09-30/VeriANN_repro_2026-09-30/results/work9-chen13-20261021/bigann10m-1000000-size/measurement.json</t>
        </is>
      </c>
    </row>
    <row r="4">
      <c r="A4" s="0" t="inlineStr">
        <is>
          <t>bigann10m</t>
        </is>
      </c>
      <c r="B4" s="0" t="n">
        <v>10000000</v>
      </c>
      <c r="C4" s="0" t="inlineStr">
        <is>
          <t>size</t>
        </is>
      </c>
      <c r="D4" s="0" t="n">
        <v>10</v>
      </c>
      <c r="E4" s="0" t="n">
        <v>1</v>
      </c>
      <c r="F4" s="0" t="n">
        <v>60</v>
      </c>
      <c r="G4" s="0" t="n">
        <v>6877.85179683333</v>
      </c>
      <c r="H4" s="0" t="n">
        <v>3621.54099505</v>
      </c>
      <c r="I4" s="0" t="n">
        <v>3540889.0141</v>
      </c>
      <c r="J4" s="0" t="n">
        <v>5454.230472</v>
      </c>
      <c r="K4" s="0" t="n">
        <v>15.990118383</v>
      </c>
      <c r="L4" s="0" t="n">
        <v>227.138065185</v>
      </c>
      <c r="M4" s="0" t="n">
        <v>17.4495887756348</v>
      </c>
      <c r="N4" s="0" t="n">
        <v>6804565.3</v>
      </c>
      <c r="O4" s="0" t="inlineStr">
        <is>
          <t>/mnt/d/paper_source/work_9/VeriANN_repro_2026-09-30/VeriANN_repro_2026-09-30/results/work9-chen13-20261021/bigann10m-10000000-size/measurement.json</t>
        </is>
      </c>
    </row>
    <row r="5">
      <c r="A5" s="0" t="inlineStr">
        <is>
          <t>bigann10m</t>
        </is>
      </c>
      <c r="B5" s="0" t="n">
        <v>500000</v>
      </c>
      <c r="C5" s="0" t="inlineStr">
        <is>
          <t>size</t>
        </is>
      </c>
      <c r="D5" s="0" t="n">
        <v>10</v>
      </c>
      <c r="E5" s="0" t="n">
        <v>1</v>
      </c>
      <c r="F5" s="0" t="n">
        <v>60</v>
      </c>
      <c r="G5" s="0" t="n">
        <v>248.674287616667</v>
      </c>
      <c r="H5" s="0" t="n">
        <v>193.01397485</v>
      </c>
      <c r="I5" s="0" t="n">
        <v>221250.0015</v>
      </c>
      <c r="J5" s="0" t="n">
        <v>271.867464</v>
      </c>
      <c r="K5" s="0" t="n">
        <v>0.511468196</v>
      </c>
      <c r="L5" s="0" t="n">
        <v>9.250464190000001</v>
      </c>
      <c r="M5" s="0" t="n">
        <v>0.968849182128906</v>
      </c>
      <c r="N5" s="0" t="n">
        <v>427963.6</v>
      </c>
      <c r="O5" s="0" t="inlineStr">
        <is>
          <t>/mnt/d/paper_source/work_9/VeriANN_repro_2026-09-30/VeriANN_repro_2026-09-30/results/work9-chen13-20261021/bigann10m-500000-size/measurement.json</t>
        </is>
      </c>
    </row>
    <row r="6">
      <c r="A6" s="0" t="inlineStr">
        <is>
          <t>bigann10m</t>
        </is>
      </c>
      <c r="B6" s="0" t="n">
        <v>5000000</v>
      </c>
      <c r="C6" s="0" t="inlineStr">
        <is>
          <t>size</t>
        </is>
      </c>
      <c r="D6" s="0" t="n">
        <v>10</v>
      </c>
      <c r="E6" s="0" t="n">
        <v>1</v>
      </c>
      <c r="F6" s="0" t="n">
        <v>60</v>
      </c>
      <c r="G6" s="0" t="n">
        <v>3453.18142985</v>
      </c>
      <c r="H6" s="0" t="n">
        <v>1844.40709105</v>
      </c>
      <c r="I6" s="0" t="n">
        <v>1781569.5488</v>
      </c>
      <c r="J6" s="0" t="n">
        <v>2801.878728</v>
      </c>
      <c r="K6" s="0" t="n">
        <v>7.043338517</v>
      </c>
      <c r="L6" s="0" t="n">
        <v>114.548186827</v>
      </c>
      <c r="M6" s="0" t="n">
        <v>8.744453430175779</v>
      </c>
      <c r="N6" s="0" t="n">
        <v>3413306.9</v>
      </c>
      <c r="O6" s="0" t="inlineStr">
        <is>
          <t>/mnt/d/paper_source/work_9/VeriANN_repro_2026-09-30/VeriANN_repro_2026-09-30/results/work9-chen13-20261021/bigann10m-5000000-size/measurement.json</t>
        </is>
      </c>
    </row>
    <row r="7">
      <c r="A7" s="0" t="inlineStr">
        <is>
          <t>deep10m</t>
        </is>
      </c>
      <c r="B7" s="0" t="n">
        <v>10000000</v>
      </c>
      <c r="C7" s="0" t="inlineStr">
        <is>
          <t>size</t>
        </is>
      </c>
      <c r="D7" s="0" t="n">
        <v>10</v>
      </c>
      <c r="E7" s="0" t="n">
        <v>1</v>
      </c>
      <c r="F7" s="0" t="n">
        <v>60</v>
      </c>
      <c r="G7" s="0" t="n">
        <v>7666.33279241667</v>
      </c>
      <c r="H7" s="0" t="n">
        <v>3766.15816781667</v>
      </c>
      <c r="I7" s="0" t="n">
        <v>3422248.8626</v>
      </c>
      <c r="J7" s="0" t="n">
        <v>4106.003144</v>
      </c>
      <c r="K7" s="0" t="n">
        <v>12.627885712</v>
      </c>
      <c r="L7" s="0" t="n">
        <v>165.790857154</v>
      </c>
      <c r="M7" s="0" t="n">
        <v>14.6285972595215</v>
      </c>
      <c r="N7" s="0" t="n">
        <v>8783662.550000001</v>
      </c>
      <c r="O7" s="0" t="inlineStr">
        <is>
          <t>/mnt/d/paper_source/work_9/VeriANN_repro_2026-09-30/VeriANN_repro_2026-09-30/results/work9-chen13-20261021/deep10m-10000000-size/measurement.json</t>
        </is>
      </c>
    </row>
    <row r="8">
      <c r="A8" s="0" t="inlineStr">
        <is>
          <t>deep10m</t>
        </is>
      </c>
      <c r="B8" s="0" t="n">
        <v>5000000</v>
      </c>
      <c r="C8" s="0" t="inlineStr">
        <is>
          <t>size</t>
        </is>
      </c>
      <c r="D8" s="0" t="n">
        <v>10</v>
      </c>
      <c r="E8" s="0" t="n">
        <v>1</v>
      </c>
      <c r="F8" s="0" t="n">
        <v>60</v>
      </c>
      <c r="G8" s="0" t="n">
        <v>3333.6834242</v>
      </c>
      <c r="H8" s="0" t="n">
        <v>1824.90793928333</v>
      </c>
      <c r="I8" s="0" t="n">
        <v>1713383.2791</v>
      </c>
      <c r="J8" s="0" t="n">
        <v>2110.428616</v>
      </c>
      <c r="K8" s="0" t="n">
        <v>5.870657015</v>
      </c>
      <c r="L8" s="0" t="n">
        <v>87.108500873</v>
      </c>
      <c r="M8" s="0" t="n">
        <v>7.38823699951172</v>
      </c>
      <c r="N8" s="0" t="n">
        <v>4392930.3</v>
      </c>
      <c r="O8" s="0" t="inlineStr">
        <is>
          <t>/mnt/d/paper_source/work_9/VeriANN_repro_2026-09-30/VeriANN_repro_2026-09-30/results/work9-chen13-20261021/deep10m-5000000-size/measurement.json</t>
        </is>
      </c>
    </row>
    <row r="9">
      <c r="A9" s="0" t="inlineStr">
        <is>
          <t>deep1m</t>
        </is>
      </c>
      <c r="B9" s="0" t="n">
        <v>100000</v>
      </c>
      <c r="C9" s="0" t="inlineStr">
        <is>
          <t>size</t>
        </is>
      </c>
      <c r="D9" s="0" t="n">
        <v>10</v>
      </c>
      <c r="E9" s="0" t="n">
        <v>1</v>
      </c>
      <c r="F9" s="0" t="n">
        <v>60</v>
      </c>
      <c r="G9" s="0" t="n">
        <v>34.1787667166667</v>
      </c>
      <c r="H9" s="0" t="n">
        <v>32.1024564333333</v>
      </c>
      <c r="I9" s="0" t="n">
        <v>38597.20825</v>
      </c>
      <c r="J9" s="0" t="n">
        <v>40.55124</v>
      </c>
      <c r="K9" s="0" t="n">
        <v>0.069903796</v>
      </c>
      <c r="L9" s="0" t="n">
        <v>1.495267729</v>
      </c>
      <c r="M9" s="0" t="n">
        <v>0.159706115722656</v>
      </c>
      <c r="N9" s="0" t="n">
        <v>99429.95</v>
      </c>
      <c r="O9" s="0" t="inlineStr">
        <is>
          <t>/mnt/d/paper_source/work_9/VeriANN_repro_2026-09-30/VeriANN_repro_2026-09-30/results/work9-chen13-20261021/deep1m-100000-size/measurement.json</t>
        </is>
      </c>
    </row>
    <row r="10">
      <c r="A10" s="0" t="inlineStr">
        <is>
          <t>deep1m</t>
        </is>
      </c>
      <c r="B10" s="0" t="n">
        <v>1000000</v>
      </c>
      <c r="C10" s="0" t="inlineStr">
        <is>
          <t>overall</t>
        </is>
      </c>
      <c r="D10" s="0" t="n">
        <v>1</v>
      </c>
      <c r="E10" s="0" t="n">
        <v>1</v>
      </c>
      <c r="F10" s="0" t="n">
        <v>60</v>
      </c>
      <c r="G10" s="0" t="n">
        <v>488.3672002</v>
      </c>
      <c r="H10" s="0" t="n">
        <v>408.864738566667</v>
      </c>
      <c r="I10" s="0" t="n">
        <v>360288.1178</v>
      </c>
      <c r="J10" s="0" t="n">
        <v>405.598664</v>
      </c>
      <c r="K10" s="0" t="n">
        <v>0.850518323</v>
      </c>
      <c r="L10" s="0" t="n">
        <v>15.774029282</v>
      </c>
      <c r="M10" s="0" t="n">
        <v>1.48029327392578</v>
      </c>
      <c r="N10" s="0" t="n">
        <v>926498.4</v>
      </c>
      <c r="O10" s="0" t="inlineStr">
        <is>
          <t>/mnt/d/paper_source/work_9/VeriANN_repro_2026-09-30/VeriANN_repro_2026-09-30/results/work9-chen13-20261021/deep1m-1000000-overall/measurement.json</t>
        </is>
      </c>
    </row>
    <row r="11">
      <c r="A11" s="0" t="inlineStr">
        <is>
          <t>deep1m</t>
        </is>
      </c>
      <c r="B11" s="0" t="n">
        <v>1000000</v>
      </c>
      <c r="C11" s="0" t="inlineStr">
        <is>
          <t>overall</t>
        </is>
      </c>
      <c r="D11" s="0" t="n">
        <v>5</v>
      </c>
      <c r="E11" s="0" t="n">
        <v>1</v>
      </c>
      <c r="F11" s="0" t="n">
        <v>60</v>
      </c>
      <c r="G11" s="0" t="n">
        <v>432.975034566667</v>
      </c>
      <c r="H11" s="0" t="n">
        <v>393.244281533333</v>
      </c>
      <c r="I11" s="0" t="n">
        <v>371371.2318</v>
      </c>
      <c r="J11" s="0" t="n">
        <v>405.598664</v>
      </c>
      <c r="K11" s="0" t="n">
        <v>0.850518323</v>
      </c>
      <c r="L11" s="0" t="n">
        <v>15.774029282</v>
      </c>
      <c r="M11" s="0" t="n">
        <v>1.48029327392578</v>
      </c>
      <c r="N11" s="0" t="n">
        <v>955748.1</v>
      </c>
      <c r="O11" s="0" t="inlineStr">
        <is>
          <t>/mnt/d/paper_source/work_9/VeriANN_repro_2026-09-30/VeriANN_repro_2026-09-30/results/work9-chen13-20261021/deep1m-1000000-overall/measurement.json</t>
        </is>
      </c>
    </row>
    <row r="12">
      <c r="A12" s="0" t="inlineStr">
        <is>
          <t>deep1m</t>
        </is>
      </c>
      <c r="B12" s="0" t="n">
        <v>1000000</v>
      </c>
      <c r="C12" s="0" t="inlineStr">
        <is>
          <t>overall</t>
        </is>
      </c>
      <c r="D12" s="0" t="n">
        <v>10</v>
      </c>
      <c r="E12" s="0" t="n">
        <v>1</v>
      </c>
      <c r="F12" s="0" t="n">
        <v>60</v>
      </c>
      <c r="G12" s="0" t="n">
        <v>423.303868183333</v>
      </c>
      <c r="H12" s="0" t="n">
        <v>398.21774055</v>
      </c>
      <c r="I12" s="0" t="n">
        <v>373923.6996</v>
      </c>
      <c r="J12" s="0" t="n">
        <v>405.598664</v>
      </c>
      <c r="K12" s="0" t="n">
        <v>0.850518323</v>
      </c>
      <c r="L12" s="0" t="n">
        <v>15.774029282</v>
      </c>
      <c r="M12" s="0" t="n">
        <v>1.48029327392578</v>
      </c>
      <c r="N12" s="0" t="n">
        <v>962483.15</v>
      </c>
      <c r="O12" s="0" t="inlineStr">
        <is>
          <t>/mnt/d/paper_source/work_9/VeriANN_repro_2026-09-30/VeriANN_repro_2026-09-30/results/work9-chen13-20261021/deep1m-1000000-overall/measurement.json</t>
        </is>
      </c>
    </row>
    <row r="13">
      <c r="A13" s="0" t="inlineStr">
        <is>
          <t>deep1m</t>
        </is>
      </c>
      <c r="B13" s="0" t="n">
        <v>1000000</v>
      </c>
      <c r="C13" s="0" t="inlineStr">
        <is>
          <t>overall</t>
        </is>
      </c>
      <c r="D13" s="0" t="n">
        <v>20</v>
      </c>
      <c r="E13" s="0" t="n">
        <v>1</v>
      </c>
      <c r="F13" s="0" t="n">
        <v>60</v>
      </c>
      <c r="G13" s="0" t="n">
        <v>452.8132656</v>
      </c>
      <c r="H13" s="0" t="n">
        <v>416.0471105</v>
      </c>
      <c r="I13" s="0" t="n">
        <v>375980.7638</v>
      </c>
      <c r="J13" s="0" t="n">
        <v>405.598664</v>
      </c>
      <c r="K13" s="0" t="n">
        <v>0.850518323</v>
      </c>
      <c r="L13" s="0" t="n">
        <v>15.774029282</v>
      </c>
      <c r="M13" s="0" t="n">
        <v>1.48029327392578</v>
      </c>
      <c r="N13" s="0" t="n">
        <v>967905.6</v>
      </c>
      <c r="O13" s="0" t="inlineStr">
        <is>
          <t>/mnt/d/paper_source/work_9/VeriANN_repro_2026-09-30/VeriANN_repro_2026-09-30/results/work9-chen13-20261021/deep1m-1000000-overall/measurement.json</t>
        </is>
      </c>
    </row>
    <row r="14">
      <c r="A14" s="0" t="inlineStr">
        <is>
          <t>deep1m</t>
        </is>
      </c>
      <c r="B14" s="0" t="n">
        <v>1000000</v>
      </c>
      <c r="C14" s="0" t="inlineStr">
        <is>
          <t>overall</t>
        </is>
      </c>
      <c r="D14" s="0" t="n">
        <v>50</v>
      </c>
      <c r="E14" s="0" t="n">
        <v>1</v>
      </c>
      <c r="F14" s="0" t="n">
        <v>60</v>
      </c>
      <c r="G14" s="0" t="n">
        <v>432.269984416667</v>
      </c>
      <c r="H14" s="0" t="n">
        <v>412.4364474</v>
      </c>
      <c r="I14" s="0" t="n">
        <v>378363.169</v>
      </c>
      <c r="J14" s="0" t="n">
        <v>405.598664</v>
      </c>
      <c r="K14" s="0" t="n">
        <v>0.850518323</v>
      </c>
      <c r="L14" s="0" t="n">
        <v>15.774029282</v>
      </c>
      <c r="M14" s="0" t="n">
        <v>1.48029327392578</v>
      </c>
      <c r="N14" s="0" t="n">
        <v>974194.55</v>
      </c>
      <c r="O14" s="0" t="inlineStr">
        <is>
          <t>/mnt/d/paper_source/work_9/VeriANN_repro_2026-09-30/VeriANN_repro_2026-09-30/results/work9-chen13-20261021/deep1m-1000000-overall/measurement.json</t>
        </is>
      </c>
    </row>
    <row r="15">
      <c r="A15" s="0" t="inlineStr">
        <is>
          <t>deep1m</t>
        </is>
      </c>
      <c r="B15" s="0" t="n">
        <v>1000000</v>
      </c>
      <c r="C15" s="0" t="inlineStr">
        <is>
          <t>overall</t>
        </is>
      </c>
      <c r="D15" s="0" t="n">
        <v>100</v>
      </c>
      <c r="E15" s="0" t="n">
        <v>1</v>
      </c>
      <c r="F15" s="0" t="n">
        <v>60</v>
      </c>
      <c r="G15" s="0" t="n">
        <v>426.545693716667</v>
      </c>
      <c r="H15" s="0" t="n">
        <v>418.408925816667</v>
      </c>
      <c r="I15" s="0" t="n">
        <v>379997.2324</v>
      </c>
      <c r="J15" s="0" t="n">
        <v>405.598664</v>
      </c>
      <c r="K15" s="0" t="n">
        <v>0.850518323</v>
      </c>
      <c r="L15" s="0" t="n">
        <v>15.774029282</v>
      </c>
      <c r="M15" s="0" t="n">
        <v>1.48029327392578</v>
      </c>
      <c r="N15" s="0" t="n">
        <v>978518</v>
      </c>
      <c r="O15" s="0" t="inlineStr">
        <is>
          <t>/mnt/d/paper_source/work_9/VeriANN_repro_2026-09-30/VeriANN_repro_2026-09-30/results/work9-chen13-20261021/deep1m-1000000-overall/measurement.json</t>
        </is>
      </c>
    </row>
    <row r="16">
      <c r="A16" s="0" t="inlineStr">
        <is>
          <t>deep1m</t>
        </is>
      </c>
      <c r="B16" s="0" t="n">
        <v>500000</v>
      </c>
      <c r="C16" s="0" t="inlineStr">
        <is>
          <t>size</t>
        </is>
      </c>
      <c r="D16" s="0" t="n">
        <v>10</v>
      </c>
      <c r="E16" s="0" t="n">
        <v>1</v>
      </c>
      <c r="F16" s="0" t="n">
        <v>60</v>
      </c>
      <c r="G16" s="0" t="n">
        <v>188.8071176</v>
      </c>
      <c r="H16" s="0" t="n">
        <v>158.030989166667</v>
      </c>
      <c r="I16" s="0" t="n">
        <v>189887.388</v>
      </c>
      <c r="J16" s="0" t="n">
        <v>204.651848</v>
      </c>
      <c r="K16" s="0" t="n">
        <v>0.435085888</v>
      </c>
      <c r="L16" s="0" t="n">
        <v>7.335662884</v>
      </c>
      <c r="M16" s="0" t="n">
        <v>0.749217987060547</v>
      </c>
      <c r="N16" s="0" t="n">
        <v>488952.7</v>
      </c>
      <c r="O16" s="0" t="inlineStr">
        <is>
          <t>/mnt/d/paper_source/work_9/VeriANN_repro_2026-09-30/VeriANN_repro_2026-09-30/results/work9-chen13-20261021/deep1m-500000-size/measurement.json</t>
        </is>
      </c>
    </row>
    <row r="17">
      <c r="A17" s="0" t="inlineStr">
        <is>
          <t>glove100</t>
        </is>
      </c>
      <c r="B17" s="0" t="n">
        <v>1183514</v>
      </c>
      <c r="C17" s="0" t="inlineStr">
        <is>
          <t>overall</t>
        </is>
      </c>
      <c r="D17" s="0" t="n">
        <v>10</v>
      </c>
      <c r="E17" s="0" t="n">
        <v>1</v>
      </c>
      <c r="F17" s="0" t="n">
        <v>60</v>
      </c>
      <c r="G17" s="0" t="n">
        <v>468.738694633333</v>
      </c>
      <c r="H17" s="0" t="n">
        <v>390.349265616667</v>
      </c>
      <c r="I17" s="0" t="n">
        <v>466932.94075</v>
      </c>
      <c r="J17" s="0" t="n">
        <v>500.006896</v>
      </c>
      <c r="K17" s="0" t="n">
        <v>1.067556071</v>
      </c>
      <c r="L17" s="0" t="n">
        <v>17.396116707</v>
      </c>
      <c r="M17" s="0" t="n">
        <v>1.82352828979492</v>
      </c>
      <c r="N17" s="0" t="n">
        <v>1155242.25</v>
      </c>
      <c r="O17" s="0" t="inlineStr">
        <is>
          <t>/mnt/d/paper_source/work_9/VeriANN_repro_2026-09-30/VeriANN_repro_2026-09-30/results/work9-chen13-20261021/glove100-1183514-overall/measurement.json</t>
        </is>
      </c>
    </row>
    <row r="18">
      <c r="A18" s="0" t="inlineStr">
        <is>
          <t>nytimes256</t>
        </is>
      </c>
      <c r="B18" s="0" t="n">
        <v>289761</v>
      </c>
      <c r="C18" s="0" t="inlineStr">
        <is>
          <t>overall</t>
        </is>
      </c>
      <c r="D18" s="0" t="n">
        <v>10</v>
      </c>
      <c r="E18" s="0" t="n">
        <v>1</v>
      </c>
      <c r="F18" s="0" t="n">
        <v>60</v>
      </c>
      <c r="G18" s="0" t="n">
        <v>204.621311333333</v>
      </c>
      <c r="H18" s="0" t="n">
        <v>243.191143033333</v>
      </c>
      <c r="I18" s="0" t="n">
        <v>282958.9249</v>
      </c>
      <c r="J18" s="0" t="n">
        <v>324.604236</v>
      </c>
      <c r="K18" s="0" t="n">
        <v>0.4626211</v>
      </c>
      <c r="L18" s="0" t="n">
        <v>11.646002549</v>
      </c>
      <c r="M18" s="0" t="n">
        <v>1.15620803833008</v>
      </c>
      <c r="N18" s="0" t="n">
        <v>275184.05</v>
      </c>
      <c r="O18" s="0" t="inlineStr">
        <is>
          <t>/mnt/d/paper_source/work_9/VeriANN_repro_2026-09-30/VeriANN_repro_2026-09-30/results/work9-chen13-20261021/nytimes256-289761-overall/measurement.json</t>
        </is>
      </c>
    </row>
    <row r="19">
      <c r="A19" s="0" t="inlineStr">
        <is>
          <t>sift1m</t>
        </is>
      </c>
      <c r="B19" s="0" t="n">
        <v>1000000</v>
      </c>
      <c r="C19" s="0" t="inlineStr">
        <is>
          <t>overall</t>
        </is>
      </c>
      <c r="D19" s="0" t="n">
        <v>1</v>
      </c>
      <c r="E19" s="0" t="n">
        <v>1</v>
      </c>
      <c r="F19" s="0" t="n">
        <v>60</v>
      </c>
      <c r="G19" s="0" t="n">
        <v>227.695262816667</v>
      </c>
      <c r="H19" s="0" t="n">
        <v>160.63404775</v>
      </c>
      <c r="I19" s="0" t="n">
        <v>184730.9122</v>
      </c>
      <c r="J19" s="0" t="n">
        <v>538.911432</v>
      </c>
      <c r="K19" s="0" t="n">
        <v>1.054957767</v>
      </c>
      <c r="L19" s="0" t="n">
        <v>25.462244753</v>
      </c>
      <c r="M19" s="0" t="n">
        <v>1.37533569335937</v>
      </c>
      <c r="N19" s="0" t="n">
        <v>350923.3</v>
      </c>
      <c r="O19" s="0" t="inlineStr">
        <is>
          <t>/mnt/d/paper_source/work_9/VeriANN_repro_2026-09-30/VeriANN_repro_2026-09-30/results/work9-chen13-20261021/sift1m-1000000-overall/measurement.json</t>
        </is>
      </c>
    </row>
    <row r="20">
      <c r="A20" s="0" t="inlineStr">
        <is>
          <t>sift1m</t>
        </is>
      </c>
      <c r="B20" s="0" t="n">
        <v>1000000</v>
      </c>
      <c r="C20" s="0" t="inlineStr">
        <is>
          <t>overall</t>
        </is>
      </c>
      <c r="D20" s="0" t="n">
        <v>5</v>
      </c>
      <c r="E20" s="0" t="n">
        <v>1</v>
      </c>
      <c r="F20" s="0" t="n">
        <v>60</v>
      </c>
      <c r="G20" s="0" t="n">
        <v>283.166553666667</v>
      </c>
      <c r="H20" s="0" t="n">
        <v>199.048243566667</v>
      </c>
      <c r="I20" s="0" t="n">
        <v>220632.699</v>
      </c>
      <c r="J20" s="0" t="n">
        <v>538.911432</v>
      </c>
      <c r="K20" s="0" t="n">
        <v>1.054957767</v>
      </c>
      <c r="L20" s="0" t="n">
        <v>25.462244753</v>
      </c>
      <c r="M20" s="0" t="n">
        <v>1.37533569335937</v>
      </c>
      <c r="N20" s="0" t="n">
        <v>419693.55</v>
      </c>
      <c r="O20" s="0" t="inlineStr">
        <is>
          <t>/mnt/d/paper_source/work_9/VeriANN_repro_2026-09-30/VeriANN_repro_2026-09-30/results/work9-chen13-20261021/sift1m-1000000-overall/measurement.json</t>
        </is>
      </c>
    </row>
    <row r="21">
      <c r="A21" s="0" t="inlineStr">
        <is>
          <t>sift1m</t>
        </is>
      </c>
      <c r="B21" s="0" t="n">
        <v>1000000</v>
      </c>
      <c r="C21" s="0" t="inlineStr">
        <is>
          <t>overall</t>
        </is>
      </c>
      <c r="D21" s="0" t="n">
        <v>10</v>
      </c>
      <c r="E21" s="0" t="n">
        <v>1</v>
      </c>
      <c r="F21" s="0" t="n">
        <v>60</v>
      </c>
      <c r="G21" s="0" t="n">
        <v>278.25155455</v>
      </c>
      <c r="H21" s="0" t="n">
        <v>202.1477637</v>
      </c>
      <c r="I21" s="0" t="n">
        <v>235214.3172</v>
      </c>
      <c r="J21" s="0" t="n">
        <v>538.911432</v>
      </c>
      <c r="K21" s="0" t="n">
        <v>1.054957767</v>
      </c>
      <c r="L21" s="0" t="n">
        <v>25.462244753</v>
      </c>
      <c r="M21" s="0" t="n">
        <v>1.37533569335937</v>
      </c>
      <c r="N21" s="0" t="n">
        <v>447879</v>
      </c>
      <c r="O21" s="0" t="inlineStr">
        <is>
          <t>/mnt/d/paper_source/work_9/VeriANN_repro_2026-09-30/VeriANN_repro_2026-09-30/results/work9-chen13-20261021/sift1m-1000000-overall/measurement.json</t>
        </is>
      </c>
    </row>
    <row r="22">
      <c r="A22" s="0" t="inlineStr">
        <is>
          <t>sift1m</t>
        </is>
      </c>
      <c r="B22" s="0" t="n">
        <v>1000000</v>
      </c>
      <c r="C22" s="0" t="inlineStr">
        <is>
          <t>overall</t>
        </is>
      </c>
      <c r="D22" s="0" t="n">
        <v>20</v>
      </c>
      <c r="E22" s="0" t="n">
        <v>1</v>
      </c>
      <c r="F22" s="0" t="n">
        <v>60</v>
      </c>
      <c r="G22" s="0" t="n">
        <v>297.04332695</v>
      </c>
      <c r="H22" s="0" t="n">
        <v>212.73261085</v>
      </c>
      <c r="I22" s="0" t="n">
        <v>248120.588</v>
      </c>
      <c r="J22" s="0" t="n">
        <v>538.911432</v>
      </c>
      <c r="K22" s="0" t="n">
        <v>1.054957767</v>
      </c>
      <c r="L22" s="0" t="n">
        <v>25.462244753</v>
      </c>
      <c r="M22" s="0" t="n">
        <v>1.37533569335937</v>
      </c>
      <c r="N22" s="0" t="n">
        <v>472961.9</v>
      </c>
      <c r="O22" s="0" t="inlineStr">
        <is>
          <t>/mnt/d/paper_source/work_9/VeriANN_repro_2026-09-30/VeriANN_repro_2026-09-30/results/work9-chen13-20261021/sift1m-1000000-overall/measurement.json</t>
        </is>
      </c>
    </row>
    <row r="23">
      <c r="A23" s="0" t="inlineStr">
        <is>
          <t>sift1m</t>
        </is>
      </c>
      <c r="B23" s="0" t="n">
        <v>1000000</v>
      </c>
      <c r="C23" s="0" t="inlineStr">
        <is>
          <t>overall</t>
        </is>
      </c>
      <c r="D23" s="0" t="n">
        <v>50</v>
      </c>
      <c r="E23" s="0" t="n">
        <v>1</v>
      </c>
      <c r="F23" s="0" t="n">
        <v>60</v>
      </c>
      <c r="G23" s="0" t="n">
        <v>318.888658433333</v>
      </c>
      <c r="H23" s="0" t="n">
        <v>228.675316866667</v>
      </c>
      <c r="I23" s="0" t="n">
        <v>268165.0974</v>
      </c>
      <c r="J23" s="0" t="n">
        <v>538.911432</v>
      </c>
      <c r="K23" s="0" t="n">
        <v>1.054957767</v>
      </c>
      <c r="L23" s="0" t="n">
        <v>25.462244753</v>
      </c>
      <c r="M23" s="0" t="n">
        <v>1.37533569335937</v>
      </c>
      <c r="N23" s="0" t="n">
        <v>511926.8</v>
      </c>
      <c r="O23" s="0" t="inlineStr">
        <is>
          <t>/mnt/d/paper_source/work_9/VeriANN_repro_2026-09-30/VeriANN_repro_2026-09-30/results/work9-chen13-20261021/sift1m-1000000-overall/measurement.json</t>
        </is>
      </c>
    </row>
    <row r="24">
      <c r="A24" s="0" t="inlineStr">
        <is>
          <t>sift1m</t>
        </is>
      </c>
      <c r="B24" s="0" t="n">
        <v>1000000</v>
      </c>
      <c r="C24" s="0" t="inlineStr">
        <is>
          <t>overall</t>
        </is>
      </c>
      <c r="D24" s="0" t="n">
        <v>100</v>
      </c>
      <c r="E24" s="0" t="n">
        <v>1</v>
      </c>
      <c r="F24" s="0" t="n">
        <v>60</v>
      </c>
      <c r="G24" s="0" t="n">
        <v>353.327317433333</v>
      </c>
      <c r="H24" s="0" t="n">
        <v>245.971459666667</v>
      </c>
      <c r="I24" s="0" t="n">
        <v>284625.379</v>
      </c>
      <c r="J24" s="0" t="n">
        <v>538.911432</v>
      </c>
      <c r="K24" s="0" t="n">
        <v>1.054957767</v>
      </c>
      <c r="L24" s="0" t="n">
        <v>25.462244753</v>
      </c>
      <c r="M24" s="0" t="n">
        <v>1.37533569335937</v>
      </c>
      <c r="N24" s="0" t="n">
        <v>543990.5</v>
      </c>
      <c r="O24" s="0" t="inlineStr">
        <is>
          <t>/mnt/d/paper_source/work_9/VeriANN_repro_2026-09-30/VeriANN_repro_2026-09-30/results/work9-chen13-20261021/sift1m-1000000-overall/measurement.json</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D3517"/>
  <sheetViews>
    <sheetView workbookViewId="0">
      <selection activeCell="A1" sqref="A1"/>
    </sheetView>
  </sheetViews>
  <sheetFormatPr baseColWidth="8" defaultColWidth="9" defaultRowHeight="13.5"/>
  <sheetData>
    <row r="1">
      <c r="A1" s="0" t="inlineStr">
        <is>
          <t>Sheet</t>
        </is>
      </c>
      <c r="B1" s="0" t="inlineStr">
        <is>
          <t>Before cell</t>
        </is>
      </c>
      <c r="C1" s="0" t="inlineStr">
        <is>
          <t>Current cell</t>
        </is>
      </c>
      <c r="D1" s="0" t="inlineStr">
        <is>
          <t>Original value</t>
        </is>
      </c>
    </row>
    <row r="2">
      <c r="A2" s="0" t="inlineStr">
        <is>
          <t>SIFT1M</t>
        </is>
      </c>
      <c r="B2" s="0" t="inlineStr">
        <is>
          <t>A1</t>
        </is>
      </c>
      <c r="C2" s="0" t="inlineStr">
        <is>
          <t>A1</t>
        </is>
      </c>
      <c r="D2" s="0" t="inlineStr">
        <is>
          <t>All query time includes the vo generation time</t>
        </is>
      </c>
    </row>
    <row r="3">
      <c r="A3" s="0" t="inlineStr">
        <is>
          <t>SIFT1M</t>
        </is>
      </c>
      <c r="B3" s="0" t="inlineStr">
        <is>
          <t>A3</t>
        </is>
      </c>
      <c r="C3" s="0" t="inlineStr">
        <is>
          <t>A3</t>
        </is>
      </c>
      <c r="D3" s="0" t="inlineStr">
        <is>
          <t>Query/verify time: ms; VO: KB (1000 bytes); recall: %; Query Time includes VO generation.</t>
        </is>
      </c>
    </row>
    <row r="4">
      <c r="A4" s="0" t="inlineStr">
        <is>
          <t>SIFT1M</t>
        </is>
      </c>
      <c r="B4" s="0" t="inlineStr">
        <is>
          <t>A4</t>
        </is>
      </c>
      <c r="C4" s="0" t="inlineStr">
        <is>
          <t>A4</t>
        </is>
      </c>
      <c r="D4" s="0" t="inlineStr">
        <is>
          <t>VLAH、ANNProof、Ours维持原默认约95%召回率及原实测数据。只有V3DB采用本机可运行的低Recall@10默认配置。低召回率扩展仅用于Recall@10曲线；不同默认召回率不视为等质量比较。
橙色*为512GiB单线程条件预测，†为既有20查询搜索校准召回；不是512GiB机器实测。超规划内存/无校准依据的缺项留空，见V3DB512GiB说明。</t>
        </is>
      </c>
    </row>
    <row r="5">
      <c r="A5" s="0" t="inlineStr">
        <is>
          <t>SIFT1M</t>
        </is>
      </c>
      <c r="B5" s="0" t="inlineStr">
        <is>
          <t>E5</t>
        </is>
      </c>
      <c r="C5" s="0" t="inlineStr">
        <is>
          <t>E5</t>
        </is>
      </c>
      <c r="D5" s="0" t="inlineStr">
        <is>
          <t>Overall Table</t>
        </is>
      </c>
    </row>
    <row r="6">
      <c r="A6" s="0" t="inlineStr">
        <is>
          <t>SIFT1M</t>
        </is>
      </c>
      <c r="B6" s="0" t="inlineStr">
        <is>
          <t>D7</t>
        </is>
      </c>
      <c r="C6" s="0" t="inlineStr">
        <is>
          <t>D7</t>
        </is>
      </c>
      <c r="D6" s="0" t="inlineStr">
        <is>
          <t>SIFT1M</t>
        </is>
      </c>
    </row>
    <row r="7">
      <c r="A7" s="0" t="inlineStr">
        <is>
          <t>SIFT1M</t>
        </is>
      </c>
      <c r="B7" s="0" t="inlineStr">
        <is>
          <t>I7</t>
        </is>
      </c>
      <c r="C7" s="0" t="inlineStr">
        <is>
          <t>I7</t>
        </is>
      </c>
    </row>
    <row r="8">
      <c r="A8" s="0" t="inlineStr">
        <is>
          <t>SIFT1M</t>
        </is>
      </c>
      <c r="B8" s="0" t="inlineStr">
        <is>
          <t>J7</t>
        </is>
      </c>
      <c r="C8" s="0" t="inlineStr">
        <is>
          <t>J7</t>
        </is>
      </c>
    </row>
    <row r="9">
      <c r="A9" s="0" t="inlineStr">
        <is>
          <t>SIFT1M</t>
        </is>
      </c>
      <c r="B9" s="0" t="inlineStr">
        <is>
          <t>D8</t>
        </is>
      </c>
      <c r="C9" s="0" t="inlineStr">
        <is>
          <t>D8</t>
        </is>
      </c>
      <c r="D9" s="0" t="inlineStr">
        <is>
          <t xml:space="preserve">Method </t>
        </is>
      </c>
    </row>
    <row r="10">
      <c r="A10" s="0" t="inlineStr">
        <is>
          <t>SIFT1M</t>
        </is>
      </c>
      <c r="B10" s="0" t="inlineStr">
        <is>
          <t>E8</t>
        </is>
      </c>
      <c r="C10" s="0" t="inlineStr">
        <is>
          <t>E8</t>
        </is>
      </c>
      <c r="D10" s="0" t="inlineStr">
        <is>
          <t>Recall@10</t>
        </is>
      </c>
    </row>
    <row r="11">
      <c r="A11" s="0" t="inlineStr">
        <is>
          <t>SIFT1M</t>
        </is>
      </c>
      <c r="B11" s="0" t="inlineStr">
        <is>
          <t>F8</t>
        </is>
      </c>
      <c r="C11" s="0" t="inlineStr">
        <is>
          <t>F8</t>
        </is>
      </c>
      <c r="D11" s="0" t="inlineStr">
        <is>
          <t>Query Time</t>
        </is>
      </c>
    </row>
    <row r="12">
      <c r="A12" s="0" t="inlineStr">
        <is>
          <t>SIFT1M</t>
        </is>
      </c>
      <c r="B12" s="0" t="inlineStr">
        <is>
          <t>G8</t>
        </is>
      </c>
      <c r="C12" s="0" t="inlineStr">
        <is>
          <t>G8</t>
        </is>
      </c>
      <c r="D12" s="0" t="inlineStr">
        <is>
          <t>VO Size</t>
        </is>
      </c>
    </row>
    <row r="13">
      <c r="A13" s="0" t="inlineStr">
        <is>
          <t>SIFT1M</t>
        </is>
      </c>
      <c r="B13" s="0" t="inlineStr">
        <is>
          <t>H8</t>
        </is>
      </c>
      <c r="C13" s="0" t="inlineStr">
        <is>
          <t>H8</t>
        </is>
      </c>
      <c r="D13" s="0" t="inlineStr">
        <is>
          <t>Verify Time</t>
        </is>
      </c>
    </row>
    <row r="14">
      <c r="A14" s="0" t="inlineStr">
        <is>
          <t>SIFT1M</t>
        </is>
      </c>
      <c r="B14" s="0" t="inlineStr">
        <is>
          <t>I8</t>
        </is>
      </c>
      <c r="C14" s="0" t="inlineStr">
        <is>
          <t>I8</t>
        </is>
      </c>
      <c r="D14" s="0" t="inlineStr">
        <is>
          <t>Index Size (MB)</t>
        </is>
      </c>
    </row>
    <row r="15">
      <c r="A15" s="0" t="inlineStr">
        <is>
          <t>SIFT1M</t>
        </is>
      </c>
      <c r="B15" s="0" t="inlineStr">
        <is>
          <t>J8</t>
        </is>
      </c>
      <c r="C15" s="0" t="inlineStr">
        <is>
          <t>J8</t>
        </is>
      </c>
      <c r="D15" s="0" t="inlineStr">
        <is>
          <t>Index Construct Time (s)</t>
        </is>
      </c>
    </row>
    <row r="16">
      <c r="A16" s="0" t="inlineStr">
        <is>
          <t>SIFT1M</t>
        </is>
      </c>
      <c r="B16" s="0" t="inlineStr">
        <is>
          <t>D9</t>
        </is>
      </c>
      <c r="C16" s="0" t="inlineStr">
        <is>
          <t>D9</t>
        </is>
      </c>
      <c r="D16" s="0" t="inlineStr">
        <is>
          <t>VLAH</t>
        </is>
      </c>
    </row>
    <row r="17">
      <c r="A17" s="0" t="inlineStr">
        <is>
          <t>SIFT1M</t>
        </is>
      </c>
      <c r="B17" s="0" t="inlineStr">
        <is>
          <t>E9</t>
        </is>
      </c>
      <c r="C17" s="0" t="inlineStr">
        <is>
          <t>E9</t>
        </is>
      </c>
      <c r="D17" s="0" t="n">
        <v>96.3</v>
      </c>
    </row>
    <row r="18">
      <c r="A18" s="0" t="inlineStr">
        <is>
          <t>SIFT1M</t>
        </is>
      </c>
      <c r="B18" s="0" t="inlineStr">
        <is>
          <t>F9</t>
        </is>
      </c>
      <c r="C18" s="0" t="inlineStr">
        <is>
          <t>F9</t>
        </is>
      </c>
      <c r="D18" s="0" t="n">
        <v>36.8899369933333</v>
      </c>
    </row>
    <row r="19">
      <c r="A19" s="0" t="inlineStr">
        <is>
          <t>SIFT1M</t>
        </is>
      </c>
      <c r="B19" s="0" t="inlineStr">
        <is>
          <t>G9</t>
        </is>
      </c>
      <c r="C19" s="0" t="inlineStr">
        <is>
          <t>G9</t>
        </is>
      </c>
      <c r="D19" s="0" t="n">
        <v>14857.74121</v>
      </c>
    </row>
    <row r="20">
      <c r="A20" s="0" t="inlineStr">
        <is>
          <t>SIFT1M</t>
        </is>
      </c>
      <c r="B20" s="0" t="inlineStr">
        <is>
          <t>H9</t>
        </is>
      </c>
      <c r="C20" s="0" t="inlineStr">
        <is>
          <t>H9</t>
        </is>
      </c>
      <c r="D20" s="0" t="n">
        <v>101.284282156667</v>
      </c>
    </row>
    <row r="21">
      <c r="A21" s="0" t="inlineStr">
        <is>
          <t>SIFT1M</t>
        </is>
      </c>
      <c r="B21" s="0" t="inlineStr">
        <is>
          <t>I9</t>
        </is>
      </c>
      <c r="C21" s="0" t="inlineStr">
        <is>
          <t>I9</t>
        </is>
      </c>
      <c r="D21" s="0" t="n">
        <v>751.900461</v>
      </c>
    </row>
    <row r="22">
      <c r="A22" s="0" t="inlineStr">
        <is>
          <t>SIFT1M</t>
        </is>
      </c>
      <c r="B22" s="0" t="inlineStr">
        <is>
          <t>J9</t>
        </is>
      </c>
      <c r="C22" s="0" t="inlineStr">
        <is>
          <t>J9</t>
        </is>
      </c>
      <c r="D22" s="0" t="n">
        <v>68.792677146</v>
      </c>
    </row>
    <row r="23">
      <c r="A23" s="0" t="inlineStr">
        <is>
          <t>SIFT1M</t>
        </is>
      </c>
      <c r="B23" s="0" t="inlineStr">
        <is>
          <t>D10</t>
        </is>
      </c>
      <c r="C23" s="0" t="inlineStr">
        <is>
          <t>D10</t>
        </is>
      </c>
      <c r="D23" s="0" t="inlineStr">
        <is>
          <t>ANNProof</t>
        </is>
      </c>
    </row>
    <row r="24">
      <c r="A24" s="0" t="inlineStr">
        <is>
          <t>SIFT1M</t>
        </is>
      </c>
      <c r="B24" s="0" t="inlineStr">
        <is>
          <t>E10</t>
        </is>
      </c>
      <c r="C24" s="0" t="inlineStr">
        <is>
          <t>E10</t>
        </is>
      </c>
      <c r="D24" s="0" t="n">
        <v>95.09999999999999</v>
      </c>
    </row>
    <row r="25">
      <c r="A25" s="0" t="inlineStr">
        <is>
          <t>SIFT1M</t>
        </is>
      </c>
      <c r="B25" s="0" t="inlineStr">
        <is>
          <t>F10</t>
        </is>
      </c>
      <c r="C25" s="0" t="inlineStr">
        <is>
          <t>F10</t>
        </is>
      </c>
      <c r="D25" s="0" t="n">
        <v>2.79075900666667</v>
      </c>
    </row>
    <row r="26">
      <c r="A26" s="0" t="inlineStr">
        <is>
          <t>SIFT1M</t>
        </is>
      </c>
      <c r="B26" s="0" t="inlineStr">
        <is>
          <t>G10</t>
        </is>
      </c>
      <c r="C26" s="0" t="inlineStr">
        <is>
          <t>G10</t>
        </is>
      </c>
      <c r="D26" s="0" t="n">
        <v>1071.01752</v>
      </c>
    </row>
    <row r="27">
      <c r="A27" s="0" t="inlineStr">
        <is>
          <t>SIFT1M</t>
        </is>
      </c>
      <c r="B27" s="0" t="inlineStr">
        <is>
          <t>H10</t>
        </is>
      </c>
      <c r="C27" s="0" t="inlineStr">
        <is>
          <t>H10</t>
        </is>
      </c>
      <c r="D27" s="0" t="n">
        <v>13.5371411</v>
      </c>
    </row>
    <row r="28">
      <c r="A28" s="0" t="inlineStr">
        <is>
          <t>SIFT1M</t>
        </is>
      </c>
      <c r="B28" s="0" t="inlineStr">
        <is>
          <t>I10</t>
        </is>
      </c>
      <c r="C28" s="0" t="inlineStr">
        <is>
          <t>I10</t>
        </is>
      </c>
      <c r="D28" s="0" t="n">
        <v>807.889756</v>
      </c>
    </row>
    <row r="29">
      <c r="A29" s="0" t="inlineStr">
        <is>
          <t>SIFT1M</t>
        </is>
      </c>
      <c r="B29" s="0" t="inlineStr">
        <is>
          <t>J10</t>
        </is>
      </c>
      <c r="C29" s="0" t="inlineStr">
        <is>
          <t>J10</t>
        </is>
      </c>
      <c r="D29" s="0" t="n">
        <v>251.954190975</v>
      </c>
    </row>
    <row r="30">
      <c r="A30" s="0" t="inlineStr">
        <is>
          <t>SIFT1M</t>
        </is>
      </c>
      <c r="B30" s="0" t="inlineStr">
        <is>
          <t>D11</t>
        </is>
      </c>
      <c r="C30" s="0" t="inlineStr">
        <is>
          <t>D11</t>
        </is>
      </c>
      <c r="D30" s="0" t="inlineStr">
        <is>
          <t>Ours</t>
        </is>
      </c>
    </row>
    <row r="31">
      <c r="A31" s="0" t="inlineStr">
        <is>
          <t>SIFT1M</t>
        </is>
      </c>
      <c r="B31" s="0" t="inlineStr">
        <is>
          <t>E11</t>
        </is>
      </c>
      <c r="C31" s="0" t="inlineStr">
        <is>
          <t>E11</t>
        </is>
      </c>
      <c r="D31" s="0" t="n">
        <v>95.40000000000001</v>
      </c>
    </row>
    <row r="32">
      <c r="A32" s="0" t="inlineStr">
        <is>
          <t>SIFT1M</t>
        </is>
      </c>
      <c r="B32" s="0" t="inlineStr">
        <is>
          <t>F11</t>
        </is>
      </c>
      <c r="C32" s="0" t="inlineStr">
        <is>
          <t>F11</t>
        </is>
      </c>
      <c r="D32" s="0" t="n">
        <v>2.35313838333333</v>
      </c>
    </row>
    <row r="33">
      <c r="A33" s="0" t="inlineStr">
        <is>
          <t>SIFT1M</t>
        </is>
      </c>
      <c r="B33" s="0" t="inlineStr">
        <is>
          <t>G11</t>
        </is>
      </c>
      <c r="C33" s="0" t="inlineStr">
        <is>
          <t>G11</t>
        </is>
      </c>
      <c r="D33" s="0" t="n">
        <v>236.02116</v>
      </c>
    </row>
    <row r="34">
      <c r="A34" s="0" t="inlineStr">
        <is>
          <t>SIFT1M</t>
        </is>
      </c>
      <c r="B34" s="0" t="inlineStr">
        <is>
          <t>H11</t>
        </is>
      </c>
      <c r="C34" s="0" t="inlineStr">
        <is>
          <t>H11</t>
        </is>
      </c>
      <c r="D34" s="0" t="n">
        <v>4.71155782</v>
      </c>
    </row>
    <row r="35">
      <c r="A35" s="0" t="inlineStr">
        <is>
          <t>SIFT1M</t>
        </is>
      </c>
      <c r="B35" s="0" t="inlineStr">
        <is>
          <t>I11</t>
        </is>
      </c>
      <c r="C35" s="0" t="inlineStr">
        <is>
          <t>I11</t>
        </is>
      </c>
      <c r="D35" s="0" t="n">
        <v>965.00391</v>
      </c>
    </row>
    <row r="36">
      <c r="A36" s="0" t="inlineStr">
        <is>
          <t>SIFT1M</t>
        </is>
      </c>
      <c r="B36" s="0" t="inlineStr">
        <is>
          <t>J11</t>
        </is>
      </c>
      <c r="C36" s="0" t="inlineStr">
        <is>
          <t>J11</t>
        </is>
      </c>
      <c r="D36" s="0" t="n">
        <v>252.766764481</v>
      </c>
    </row>
    <row r="37">
      <c r="A37" s="0" t="inlineStr">
        <is>
          <t>SIFT1M</t>
        </is>
      </c>
      <c r="B37" s="0" t="inlineStr">
        <is>
          <t>D12</t>
        </is>
      </c>
      <c r="C37" s="0" t="inlineStr">
        <is>
          <t>D12</t>
        </is>
      </c>
      <c r="D37" s="0" t="inlineStr">
        <is>
          <t>V3DB（单次）</t>
        </is>
      </c>
    </row>
    <row r="38">
      <c r="A38" s="0" t="inlineStr">
        <is>
          <t>SIFT1M</t>
        </is>
      </c>
      <c r="B38" s="0" t="inlineStr">
        <is>
          <t>E12</t>
        </is>
      </c>
      <c r="C38" s="0" t="inlineStr">
        <is>
          <t>E12</t>
        </is>
      </c>
      <c r="D38" s="0" t="n">
        <v>70.5</v>
      </c>
    </row>
    <row r="39">
      <c r="A39" s="0" t="inlineStr">
        <is>
          <t>SIFT1M</t>
        </is>
      </c>
      <c r="B39" s="0" t="inlineStr">
        <is>
          <t>F12</t>
        </is>
      </c>
      <c r="C39" s="0" t="inlineStr">
        <is>
          <t>F12</t>
        </is>
      </c>
      <c r="D39" s="0" t="n">
        <v>517760.920454</v>
      </c>
    </row>
    <row r="40">
      <c r="A40" s="0" t="inlineStr">
        <is>
          <t>SIFT1M</t>
        </is>
      </c>
      <c r="B40" s="0" t="inlineStr">
        <is>
          <t>G12</t>
        </is>
      </c>
      <c r="C40" s="0" t="inlineStr">
        <is>
          <t>G12</t>
        </is>
      </c>
      <c r="D40" s="0" t="n">
        <v>235.675</v>
      </c>
    </row>
    <row r="41">
      <c r="A41" s="0" t="inlineStr">
        <is>
          <t>SIFT1M</t>
        </is>
      </c>
      <c r="B41" s="0" t="inlineStr">
        <is>
          <t>H12</t>
        </is>
      </c>
      <c r="C41" s="0" t="inlineStr">
        <is>
          <t>H12</t>
        </is>
      </c>
      <c r="D41" s="0" t="n">
        <v>71.0790379998798</v>
      </c>
    </row>
    <row r="42">
      <c r="A42" s="0" t="inlineStr">
        <is>
          <t>SIFT1M</t>
        </is>
      </c>
      <c r="B42" s="0" t="inlineStr">
        <is>
          <t>I12</t>
        </is>
      </c>
      <c r="C42" s="0" t="inlineStr">
        <is>
          <t>I12</t>
        </is>
      </c>
      <c r="D42" s="0" t="n">
        <v>522.115894</v>
      </c>
    </row>
    <row r="43">
      <c r="A43" s="0" t="inlineStr">
        <is>
          <t>SIFT1M</t>
        </is>
      </c>
      <c r="B43" s="0" t="inlineStr">
        <is>
          <t>J12</t>
        </is>
      </c>
      <c r="C43" s="0" t="inlineStr">
        <is>
          <t>J12</t>
        </is>
      </c>
      <c r="D43" s="0" t="n">
        <v>199.013861061</v>
      </c>
    </row>
    <row r="44">
      <c r="A44" s="0" t="inlineStr">
        <is>
          <t>SIFT1M</t>
        </is>
      </c>
      <c r="B44" s="0" t="inlineStr">
        <is>
          <t>E16</t>
        </is>
      </c>
      <c r="C44" s="0" t="inlineStr">
        <is>
          <t>E17</t>
        </is>
      </c>
      <c r="D44" s="0" t="inlineStr">
        <is>
          <t>Target Recall (%) — expanded low-recall curve</t>
        </is>
      </c>
    </row>
    <row r="45">
      <c r="A45" s="0" t="inlineStr">
        <is>
          <t>SIFT1M</t>
        </is>
      </c>
      <c r="B45" s="0" t="inlineStr">
        <is>
          <t>F16</t>
        </is>
      </c>
      <c r="C45" s="0" t="inlineStr">
        <is>
          <t>F17</t>
        </is>
      </c>
      <c r="D45" s="0" t="n">
        <v>15</v>
      </c>
    </row>
    <row r="46">
      <c r="A46" s="0" t="inlineStr">
        <is>
          <t>SIFT1M</t>
        </is>
      </c>
      <c r="B46" s="0" t="inlineStr">
        <is>
          <t>G16</t>
        </is>
      </c>
      <c r="C46" s="0" t="inlineStr">
        <is>
          <t>G17</t>
        </is>
      </c>
      <c r="D46" s="0" t="n">
        <v>20</v>
      </c>
    </row>
    <row r="47">
      <c r="A47" s="0" t="inlineStr">
        <is>
          <t>SIFT1M</t>
        </is>
      </c>
      <c r="B47" s="0" t="inlineStr">
        <is>
          <t>H16</t>
        </is>
      </c>
      <c r="C47" s="0" t="inlineStr">
        <is>
          <t>H17</t>
        </is>
      </c>
      <c r="D47" s="0" t="n">
        <v>25</v>
      </c>
    </row>
    <row r="48">
      <c r="A48" s="0" t="inlineStr">
        <is>
          <t>SIFT1M</t>
        </is>
      </c>
      <c r="B48" s="0" t="inlineStr">
        <is>
          <t>I16</t>
        </is>
      </c>
      <c r="C48" s="0" t="inlineStr">
        <is>
          <t>I17</t>
        </is>
      </c>
      <c r="D48" s="0" t="n">
        <v>30</v>
      </c>
    </row>
    <row r="49">
      <c r="A49" s="0" t="inlineStr">
        <is>
          <t>SIFT1M</t>
        </is>
      </c>
      <c r="B49" s="0" t="inlineStr">
        <is>
          <t>J16</t>
        </is>
      </c>
      <c r="C49" s="0" t="inlineStr">
        <is>
          <t>J17</t>
        </is>
      </c>
      <c r="D49" s="0" t="n">
        <v>35</v>
      </c>
    </row>
    <row r="50">
      <c r="A50" s="0" t="inlineStr">
        <is>
          <t>SIFT1M</t>
        </is>
      </c>
      <c r="B50" s="0" t="inlineStr">
        <is>
          <t>K16</t>
        </is>
      </c>
      <c r="C50" s="0" t="inlineStr">
        <is>
          <t>K17</t>
        </is>
      </c>
      <c r="D50" s="0" t="n">
        <v>40</v>
      </c>
    </row>
    <row r="51">
      <c r="A51" s="0" t="inlineStr">
        <is>
          <t>SIFT1M</t>
        </is>
      </c>
      <c r="B51" s="0" t="inlineStr">
        <is>
          <t>L16</t>
        </is>
      </c>
      <c r="C51" s="0" t="inlineStr">
        <is>
          <t>L17</t>
        </is>
      </c>
      <c r="D51" s="0" t="n">
        <v>45</v>
      </c>
    </row>
    <row r="52">
      <c r="A52" s="0" t="inlineStr">
        <is>
          <t>SIFT1M</t>
        </is>
      </c>
      <c r="B52" s="0" t="inlineStr">
        <is>
          <t>M16</t>
        </is>
      </c>
      <c r="C52" s="0" t="inlineStr">
        <is>
          <t>M17</t>
        </is>
      </c>
      <c r="D52" s="0" t="n">
        <v>50</v>
      </c>
    </row>
    <row r="53">
      <c r="A53" s="0" t="inlineStr">
        <is>
          <t>SIFT1M</t>
        </is>
      </c>
      <c r="B53" s="0" t="inlineStr">
        <is>
          <t>N16</t>
        </is>
      </c>
      <c r="C53" s="0" t="inlineStr">
        <is>
          <t>N17</t>
        </is>
      </c>
      <c r="D53" s="0" t="n">
        <v>55</v>
      </c>
    </row>
    <row r="54">
      <c r="A54" s="0" t="inlineStr">
        <is>
          <t>SIFT1M</t>
        </is>
      </c>
      <c r="B54" s="0" t="inlineStr">
        <is>
          <t>O16</t>
        </is>
      </c>
      <c r="C54" s="0" t="inlineStr">
        <is>
          <t>O17</t>
        </is>
      </c>
      <c r="D54" s="0" t="n">
        <v>60</v>
      </c>
    </row>
    <row r="55">
      <c r="A55" s="0" t="inlineStr">
        <is>
          <t>SIFT1M</t>
        </is>
      </c>
      <c r="B55" s="0" t="inlineStr">
        <is>
          <t>P16</t>
        </is>
      </c>
      <c r="C55" s="0" t="inlineStr">
        <is>
          <t>P17</t>
        </is>
      </c>
      <c r="D55" s="0" t="n">
        <v>65</v>
      </c>
    </row>
    <row r="56">
      <c r="A56" s="0" t="inlineStr">
        <is>
          <t>SIFT1M</t>
        </is>
      </c>
      <c r="B56" s="0" t="inlineStr">
        <is>
          <t>Q16</t>
        </is>
      </c>
      <c r="C56" s="0" t="inlineStr">
        <is>
          <t>Q17</t>
        </is>
      </c>
      <c r="D56" s="0" t="n">
        <v>70</v>
      </c>
    </row>
    <row r="57">
      <c r="A57" s="0" t="inlineStr">
        <is>
          <t>SIFT1M</t>
        </is>
      </c>
      <c r="B57" s="0" t="inlineStr">
        <is>
          <t>R16</t>
        </is>
      </c>
      <c r="C57" s="0" t="inlineStr">
        <is>
          <t>R17</t>
        </is>
      </c>
      <c r="D57" s="0" t="n">
        <v>75</v>
      </c>
    </row>
    <row r="58">
      <c r="A58" s="0" t="inlineStr">
        <is>
          <t>SIFT1M</t>
        </is>
      </c>
      <c r="B58" s="0" t="inlineStr">
        <is>
          <t>S16</t>
        </is>
      </c>
      <c r="C58" s="0" t="inlineStr">
        <is>
          <t>S17</t>
        </is>
      </c>
      <c r="D58" s="0" t="n">
        <v>80</v>
      </c>
    </row>
    <row r="59">
      <c r="A59" s="0" t="inlineStr">
        <is>
          <t>SIFT1M</t>
        </is>
      </c>
      <c r="B59" s="0" t="inlineStr">
        <is>
          <t>T16</t>
        </is>
      </c>
      <c r="C59" s="0" t="inlineStr">
        <is>
          <t>T17</t>
        </is>
      </c>
      <c r="D59" s="0" t="n">
        <v>85</v>
      </c>
    </row>
    <row r="60">
      <c r="A60" s="0" t="inlineStr">
        <is>
          <t>SIFT1M</t>
        </is>
      </c>
      <c r="B60" s="0" t="inlineStr">
        <is>
          <t>U16</t>
        </is>
      </c>
      <c r="C60" s="0" t="inlineStr">
        <is>
          <t>U17</t>
        </is>
      </c>
      <c r="D60" s="0" t="n">
        <v>90</v>
      </c>
    </row>
    <row r="61">
      <c r="A61" s="0" t="inlineStr">
        <is>
          <t>SIFT1M</t>
        </is>
      </c>
      <c r="B61" s="0" t="inlineStr">
        <is>
          <t>V16</t>
        </is>
      </c>
      <c r="C61" s="0" t="inlineStr">
        <is>
          <t>V17</t>
        </is>
      </c>
      <c r="D61" s="0" t="n">
        <v>95</v>
      </c>
    </row>
    <row r="62">
      <c r="A62" s="0" t="inlineStr">
        <is>
          <t>SIFT1M</t>
        </is>
      </c>
      <c r="B62" s="0" t="inlineStr">
        <is>
          <t>W16</t>
        </is>
      </c>
      <c r="C62" s="0" t="inlineStr">
        <is>
          <t>W17</t>
        </is>
      </c>
      <c r="D62" s="0" t="n">
        <v>97</v>
      </c>
    </row>
    <row r="63">
      <c r="A63" s="0" t="inlineStr">
        <is>
          <t>SIFT1M</t>
        </is>
      </c>
      <c r="B63" s="0" t="inlineStr">
        <is>
          <t>X16</t>
        </is>
      </c>
      <c r="C63" s="0" t="inlineStr">
        <is>
          <t>X17</t>
        </is>
      </c>
      <c r="D63" s="0" t="n">
        <v>98</v>
      </c>
    </row>
    <row r="64">
      <c r="A64" s="0" t="inlineStr">
        <is>
          <t>SIFT1M</t>
        </is>
      </c>
      <c r="B64" s="0" t="inlineStr">
        <is>
          <t>Y16</t>
        </is>
      </c>
      <c r="C64" s="0" t="inlineStr">
        <is>
          <t>Y17</t>
        </is>
      </c>
      <c r="D64" s="0" t="n">
        <v>99</v>
      </c>
    </row>
    <row r="65">
      <c r="A65" s="0" t="inlineStr">
        <is>
          <t>SIFT1M</t>
        </is>
      </c>
      <c r="B65" s="0" t="inlineStr">
        <is>
          <t>E17</t>
        </is>
      </c>
      <c r="C65" s="0" t="inlineStr">
        <is>
          <t>E18</t>
        </is>
      </c>
      <c r="D65" s="0" t="inlineStr">
        <is>
          <t>Recall@10 (change parameters enabling different recall rate) vs. VO size</t>
        </is>
      </c>
    </row>
    <row r="66">
      <c r="A66" s="0" t="inlineStr">
        <is>
          <t>SIFT1M</t>
        </is>
      </c>
      <c r="B66" s="0" t="inlineStr">
        <is>
          <t>D19</t>
        </is>
      </c>
      <c r="C66" s="0" t="inlineStr">
        <is>
          <t>D20</t>
        </is>
      </c>
      <c r="D66" s="0" t="inlineStr">
        <is>
          <t>SIFT1M</t>
        </is>
      </c>
    </row>
    <row r="67">
      <c r="A67" s="0" t="inlineStr">
        <is>
          <t>SIFT1M</t>
        </is>
      </c>
      <c r="B67" s="0" t="inlineStr">
        <is>
          <t>D20</t>
        </is>
      </c>
      <c r="C67" s="0" t="inlineStr">
        <is>
          <t>D21</t>
        </is>
      </c>
      <c r="D67" s="0" t="inlineStr">
        <is>
          <t>VLAH</t>
        </is>
      </c>
    </row>
    <row r="68">
      <c r="A68" s="0" t="inlineStr">
        <is>
          <t>SIFT1M</t>
        </is>
      </c>
      <c r="B68" s="0" t="inlineStr">
        <is>
          <t>E20</t>
        </is>
      </c>
      <c r="C68" s="0" t="inlineStr">
        <is>
          <t>E21</t>
        </is>
      </c>
      <c r="D68" s="0" t="inlineStr">
        <is>
          <t>Recall rate</t>
        </is>
      </c>
    </row>
    <row r="69">
      <c r="A69" s="0" t="inlineStr">
        <is>
          <t>SIFT1M</t>
        </is>
      </c>
      <c r="B69" s="0" t="inlineStr">
        <is>
          <t>F20</t>
        </is>
      </c>
      <c r="C69" s="0" t="inlineStr">
        <is>
          <t>F21</t>
        </is>
      </c>
      <c r="D69" s="0" t="n">
        <v>38</v>
      </c>
    </row>
    <row r="70">
      <c r="A70" s="0" t="inlineStr">
        <is>
          <t>SIFT1M</t>
        </is>
      </c>
      <c r="B70" s="0" t="inlineStr">
        <is>
          <t>G20</t>
        </is>
      </c>
      <c r="C70" s="0" t="inlineStr">
        <is>
          <t>G21</t>
        </is>
      </c>
      <c r="D70" s="0" t="n">
        <v>38</v>
      </c>
    </row>
    <row r="71">
      <c r="A71" s="0" t="inlineStr">
        <is>
          <t>SIFT1M</t>
        </is>
      </c>
      <c r="B71" s="0" t="inlineStr">
        <is>
          <t>H20</t>
        </is>
      </c>
      <c r="C71" s="0" t="inlineStr">
        <is>
          <t>H21</t>
        </is>
      </c>
      <c r="D71" s="0" t="n">
        <v>38</v>
      </c>
    </row>
    <row r="72">
      <c r="A72" s="0" t="inlineStr">
        <is>
          <t>SIFT1M</t>
        </is>
      </c>
      <c r="B72" s="0" t="inlineStr">
        <is>
          <t>I20</t>
        </is>
      </c>
      <c r="C72" s="0" t="inlineStr">
        <is>
          <t>I21</t>
        </is>
      </c>
      <c r="D72" s="0" t="n">
        <v>38</v>
      </c>
    </row>
    <row r="73">
      <c r="A73" s="0" t="inlineStr">
        <is>
          <t>SIFT1M</t>
        </is>
      </c>
      <c r="B73" s="0" t="inlineStr">
        <is>
          <t>J20</t>
        </is>
      </c>
      <c r="C73" s="0" t="inlineStr">
        <is>
          <t>J21</t>
        </is>
      </c>
      <c r="D73" s="0" t="n">
        <v>38</v>
      </c>
    </row>
    <row r="74">
      <c r="A74" s="0" t="inlineStr">
        <is>
          <t>SIFT1M</t>
        </is>
      </c>
      <c r="B74" s="0" t="inlineStr">
        <is>
          <t>K20</t>
        </is>
      </c>
      <c r="C74" s="0" t="inlineStr">
        <is>
          <t>K21</t>
        </is>
      </c>
      <c r="D74" s="0" t="n">
        <v>42.5</v>
      </c>
    </row>
    <row r="75">
      <c r="A75" s="0" t="inlineStr">
        <is>
          <t>SIFT1M</t>
        </is>
      </c>
      <c r="B75" s="0" t="inlineStr">
        <is>
          <t>L20</t>
        </is>
      </c>
      <c r="C75" s="0" t="inlineStr">
        <is>
          <t>L21</t>
        </is>
      </c>
      <c r="D75" s="0" t="n">
        <v>50.5</v>
      </c>
    </row>
    <row r="76">
      <c r="A76" s="0" t="inlineStr">
        <is>
          <t>SIFT1M</t>
        </is>
      </c>
      <c r="B76" s="0" t="inlineStr">
        <is>
          <t>M20</t>
        </is>
      </c>
      <c r="C76" s="0" t="inlineStr">
        <is>
          <t>M21</t>
        </is>
      </c>
      <c r="D76" s="0" t="n">
        <v>50.5</v>
      </c>
    </row>
    <row r="77">
      <c r="A77" s="0" t="inlineStr">
        <is>
          <t>SIFT1M</t>
        </is>
      </c>
      <c r="B77" s="0" t="inlineStr">
        <is>
          <t>N20</t>
        </is>
      </c>
      <c r="C77" s="0" t="inlineStr">
        <is>
          <t>N21</t>
        </is>
      </c>
      <c r="D77" s="0" t="n">
        <v>55</v>
      </c>
    </row>
    <row r="78">
      <c r="A78" s="0" t="inlineStr">
        <is>
          <t>SIFT1M</t>
        </is>
      </c>
      <c r="B78" s="0" t="inlineStr">
        <is>
          <t>O20</t>
        </is>
      </c>
      <c r="C78" s="0" t="inlineStr">
        <is>
          <t>O21</t>
        </is>
      </c>
      <c r="D78" s="0" t="n">
        <v>60.7</v>
      </c>
    </row>
    <row r="79">
      <c r="A79" s="0" t="inlineStr">
        <is>
          <t>SIFT1M</t>
        </is>
      </c>
      <c r="B79" s="0" t="inlineStr">
        <is>
          <t>P20</t>
        </is>
      </c>
      <c r="C79" s="0" t="inlineStr">
        <is>
          <t>P21</t>
        </is>
      </c>
      <c r="D79" s="0" t="n">
        <v>65.40000000000001</v>
      </c>
    </row>
    <row r="80">
      <c r="A80" s="0" t="inlineStr">
        <is>
          <t>SIFT1M</t>
        </is>
      </c>
      <c r="B80" s="0" t="inlineStr">
        <is>
          <t>Q20</t>
        </is>
      </c>
      <c r="C80" s="0" t="inlineStr">
        <is>
          <t>Q21</t>
        </is>
      </c>
      <c r="D80" s="0" t="n">
        <v>70.8</v>
      </c>
    </row>
    <row r="81">
      <c r="A81" s="0" t="inlineStr">
        <is>
          <t>SIFT1M</t>
        </is>
      </c>
      <c r="B81" s="0" t="inlineStr">
        <is>
          <t>R20</t>
        </is>
      </c>
      <c r="C81" s="0" t="inlineStr">
        <is>
          <t>R21</t>
        </is>
      </c>
      <c r="D81" s="0" t="n">
        <v>75</v>
      </c>
    </row>
    <row r="82">
      <c r="A82" s="0" t="inlineStr">
        <is>
          <t>SIFT1M</t>
        </is>
      </c>
      <c r="B82" s="0" t="inlineStr">
        <is>
          <t>S20</t>
        </is>
      </c>
      <c r="C82" s="0" t="inlineStr">
        <is>
          <t>S21</t>
        </is>
      </c>
      <c r="D82" s="0" t="n">
        <v>80</v>
      </c>
    </row>
    <row r="83">
      <c r="A83" s="0" t="inlineStr">
        <is>
          <t>SIFT1M</t>
        </is>
      </c>
      <c r="B83" s="0" t="inlineStr">
        <is>
          <t>T20</t>
        </is>
      </c>
      <c r="C83" s="0" t="inlineStr">
        <is>
          <t>T21</t>
        </is>
      </c>
      <c r="D83" s="0" t="n">
        <v>85</v>
      </c>
    </row>
    <row r="84">
      <c r="A84" s="0" t="inlineStr">
        <is>
          <t>SIFT1M</t>
        </is>
      </c>
      <c r="B84" s="0" t="inlineStr">
        <is>
          <t>U20</t>
        </is>
      </c>
      <c r="C84" s="0" t="inlineStr">
        <is>
          <t>U21</t>
        </is>
      </c>
      <c r="D84" s="0" t="n">
        <v>90.3</v>
      </c>
    </row>
    <row r="85">
      <c r="A85" s="0" t="inlineStr">
        <is>
          <t>SIFT1M</t>
        </is>
      </c>
      <c r="B85" s="0" t="inlineStr">
        <is>
          <t>V20</t>
        </is>
      </c>
      <c r="C85" s="0" t="inlineStr">
        <is>
          <t>V21</t>
        </is>
      </c>
      <c r="D85" s="0" t="n">
        <v>95.2</v>
      </c>
    </row>
    <row r="86">
      <c r="A86" s="0" t="inlineStr">
        <is>
          <t>SIFT1M</t>
        </is>
      </c>
      <c r="B86" s="0" t="inlineStr">
        <is>
          <t>W20</t>
        </is>
      </c>
      <c r="C86" s="0" t="inlineStr">
        <is>
          <t>W21</t>
        </is>
      </c>
      <c r="D86" s="0" t="n">
        <v>97.2</v>
      </c>
    </row>
    <row r="87">
      <c r="A87" s="0" t="inlineStr">
        <is>
          <t>SIFT1M</t>
        </is>
      </c>
      <c r="B87" s="0" t="inlineStr">
        <is>
          <t>X20</t>
        </is>
      </c>
      <c r="C87" s="0" t="inlineStr">
        <is>
          <t>X21</t>
        </is>
      </c>
      <c r="D87" s="0" t="n">
        <v>98</v>
      </c>
    </row>
    <row r="88">
      <c r="A88" s="0" t="inlineStr">
        <is>
          <t>SIFT1M</t>
        </is>
      </c>
      <c r="B88" s="0" t="inlineStr">
        <is>
          <t>Y20</t>
        </is>
      </c>
      <c r="C88" s="0" t="inlineStr">
        <is>
          <t>Y21</t>
        </is>
      </c>
      <c r="D88" s="0" t="n">
        <v>99.09999999999999</v>
      </c>
    </row>
    <row r="89">
      <c r="A89" s="0" t="inlineStr">
        <is>
          <t>SIFT1M</t>
        </is>
      </c>
      <c r="B89" s="0" t="inlineStr">
        <is>
          <t>E21</t>
        </is>
      </c>
      <c r="C89" s="0" t="inlineStr">
        <is>
          <t>E22</t>
        </is>
      </c>
      <c r="D89" s="0" t="inlineStr">
        <is>
          <t>VO size</t>
        </is>
      </c>
    </row>
    <row r="90">
      <c r="A90" s="0" t="inlineStr">
        <is>
          <t>SIFT1M</t>
        </is>
      </c>
      <c r="B90" s="0" t="inlineStr">
        <is>
          <t>F21</t>
        </is>
      </c>
      <c r="C90" s="0" t="inlineStr">
        <is>
          <t>F22</t>
        </is>
      </c>
      <c r="D90" s="0" t="n">
        <v>561.1591</v>
      </c>
    </row>
    <row r="91">
      <c r="A91" s="0" t="inlineStr">
        <is>
          <t>SIFT1M</t>
        </is>
      </c>
      <c r="B91" s="0" t="inlineStr">
        <is>
          <t>G21</t>
        </is>
      </c>
      <c r="C91" s="0" t="inlineStr">
        <is>
          <t>G22</t>
        </is>
      </c>
      <c r="D91" s="0" t="n">
        <v>561.1591</v>
      </c>
    </row>
    <row r="92">
      <c r="A92" s="0" t="inlineStr">
        <is>
          <t>SIFT1M</t>
        </is>
      </c>
      <c r="B92" s="0" t="inlineStr">
        <is>
          <t>H21</t>
        </is>
      </c>
      <c r="C92" s="0" t="inlineStr">
        <is>
          <t>H22</t>
        </is>
      </c>
      <c r="D92" s="0" t="n">
        <v>561.1591</v>
      </c>
    </row>
    <row r="93">
      <c r="A93" s="0" t="inlineStr">
        <is>
          <t>SIFT1M</t>
        </is>
      </c>
      <c r="B93" s="0" t="inlineStr">
        <is>
          <t>I21</t>
        </is>
      </c>
      <c r="C93" s="0" t="inlineStr">
        <is>
          <t>I22</t>
        </is>
      </c>
      <c r="D93" s="0" t="n">
        <v>561.1591</v>
      </c>
    </row>
    <row r="94">
      <c r="A94" s="0" t="inlineStr">
        <is>
          <t>SIFT1M</t>
        </is>
      </c>
      <c r="B94" s="0" t="inlineStr">
        <is>
          <t>J21</t>
        </is>
      </c>
      <c r="C94" s="0" t="inlineStr">
        <is>
          <t>J22</t>
        </is>
      </c>
      <c r="D94" s="0" t="n">
        <v>561.1591</v>
      </c>
    </row>
    <row r="95">
      <c r="A95" s="0" t="inlineStr">
        <is>
          <t>SIFT1M</t>
        </is>
      </c>
      <c r="B95" s="0" t="inlineStr">
        <is>
          <t>K21</t>
        </is>
      </c>
      <c r="C95" s="0" t="inlineStr">
        <is>
          <t>K22</t>
        </is>
      </c>
      <c r="D95" s="0" t="n">
        <v>1128.9626</v>
      </c>
    </row>
    <row r="96">
      <c r="A96" s="0" t="inlineStr">
        <is>
          <t>SIFT1M</t>
        </is>
      </c>
      <c r="B96" s="0" t="inlineStr">
        <is>
          <t>L21</t>
        </is>
      </c>
      <c r="C96" s="0" t="inlineStr">
        <is>
          <t>L22</t>
        </is>
      </c>
      <c r="D96" s="0" t="n">
        <v>1704.33865</v>
      </c>
    </row>
    <row r="97">
      <c r="A97" s="0" t="inlineStr">
        <is>
          <t>SIFT1M</t>
        </is>
      </c>
      <c r="B97" s="0" t="inlineStr">
        <is>
          <t>M21</t>
        </is>
      </c>
      <c r="C97" s="0" t="inlineStr">
        <is>
          <t>M22</t>
        </is>
      </c>
      <c r="D97" s="0" t="n">
        <v>1704.33865</v>
      </c>
    </row>
    <row r="98">
      <c r="A98" s="0" t="inlineStr">
        <is>
          <t>SIFT1M</t>
        </is>
      </c>
      <c r="B98" s="0" t="inlineStr">
        <is>
          <t>N21</t>
        </is>
      </c>
      <c r="C98" s="0" t="inlineStr">
        <is>
          <t>N22</t>
        </is>
      </c>
      <c r="D98" s="0" t="n">
        <v>2823.3977</v>
      </c>
    </row>
    <row r="99">
      <c r="A99" s="0" t="inlineStr">
        <is>
          <t>SIFT1M</t>
        </is>
      </c>
      <c r="B99" s="0" t="inlineStr">
        <is>
          <t>O21</t>
        </is>
      </c>
      <c r="C99" s="0" t="inlineStr">
        <is>
          <t>O22</t>
        </is>
      </c>
      <c r="D99" s="0" t="n">
        <v>6884.91722</v>
      </c>
    </row>
    <row r="100">
      <c r="A100" s="0" t="inlineStr">
        <is>
          <t>SIFT1M</t>
        </is>
      </c>
      <c r="B100" s="0" t="inlineStr">
        <is>
          <t>P21</t>
        </is>
      </c>
      <c r="C100" s="0" t="inlineStr">
        <is>
          <t>P22</t>
        </is>
      </c>
      <c r="D100" s="0" t="n">
        <v>8168.20064</v>
      </c>
    </row>
    <row r="101">
      <c r="A101" s="0" t="inlineStr">
        <is>
          <t>SIFT1M</t>
        </is>
      </c>
      <c r="B101" s="0" t="inlineStr">
        <is>
          <t>Q21</t>
        </is>
      </c>
      <c r="C101" s="0" t="inlineStr">
        <is>
          <t>Q22</t>
        </is>
      </c>
      <c r="D101" s="0" t="n">
        <v>10594.0396</v>
      </c>
    </row>
    <row r="102">
      <c r="A102" s="0" t="inlineStr">
        <is>
          <t>SIFT1M</t>
        </is>
      </c>
      <c r="B102" s="0" t="inlineStr">
        <is>
          <t>R21</t>
        </is>
      </c>
      <c r="C102" s="0" t="inlineStr">
        <is>
          <t>R22</t>
        </is>
      </c>
      <c r="D102" s="0" t="n">
        <v>11799.26473</v>
      </c>
    </row>
    <row r="103">
      <c r="A103" s="0" t="inlineStr">
        <is>
          <t>SIFT1M</t>
        </is>
      </c>
      <c r="B103" s="0" t="inlineStr">
        <is>
          <t>S21</t>
        </is>
      </c>
      <c r="C103" s="0" t="inlineStr">
        <is>
          <t>S22</t>
        </is>
      </c>
      <c r="D103" s="0" t="n">
        <v>14707.67269</v>
      </c>
    </row>
    <row r="104">
      <c r="A104" s="0" t="inlineStr">
        <is>
          <t>SIFT1M</t>
        </is>
      </c>
      <c r="B104" s="0" t="inlineStr">
        <is>
          <t>T21</t>
        </is>
      </c>
      <c r="C104" s="0" t="inlineStr">
        <is>
          <t>T22</t>
        </is>
      </c>
      <c r="D104" s="0" t="n">
        <v>16410.55426</v>
      </c>
    </row>
    <row r="105">
      <c r="A105" s="0" t="inlineStr">
        <is>
          <t>SIFT1M</t>
        </is>
      </c>
      <c r="B105" s="0" t="inlineStr">
        <is>
          <t>U21</t>
        </is>
      </c>
      <c r="C105" s="0" t="inlineStr">
        <is>
          <t>U22</t>
        </is>
      </c>
      <c r="D105" s="0" t="n">
        <v>19121.68517</v>
      </c>
    </row>
    <row r="106">
      <c r="A106" s="0" t="inlineStr">
        <is>
          <t>SIFT1M</t>
        </is>
      </c>
      <c r="B106" s="0" t="inlineStr">
        <is>
          <t>V21</t>
        </is>
      </c>
      <c r="C106" s="0" t="inlineStr">
        <is>
          <t>V22</t>
        </is>
      </c>
      <c r="D106" s="0" t="n">
        <v>22551.14638</v>
      </c>
    </row>
    <row r="107">
      <c r="A107" s="0" t="inlineStr">
        <is>
          <t>SIFT1M</t>
        </is>
      </c>
      <c r="B107" s="0" t="inlineStr">
        <is>
          <t>W21</t>
        </is>
      </c>
      <c r="C107" s="0" t="inlineStr">
        <is>
          <t>W22</t>
        </is>
      </c>
      <c r="D107" s="0" t="n">
        <v>23604.59377</v>
      </c>
    </row>
    <row r="108">
      <c r="A108" s="0" t="inlineStr">
        <is>
          <t>SIFT1M</t>
        </is>
      </c>
      <c r="B108" s="0" t="inlineStr">
        <is>
          <t>X21</t>
        </is>
      </c>
      <c r="C108" s="0" t="inlineStr">
        <is>
          <t>X22</t>
        </is>
      </c>
      <c r="D108" s="0" t="n">
        <v>24977.07306</v>
      </c>
    </row>
    <row r="109">
      <c r="A109" s="0" t="inlineStr">
        <is>
          <t>SIFT1M</t>
        </is>
      </c>
      <c r="B109" s="0" t="inlineStr">
        <is>
          <t>Y21</t>
        </is>
      </c>
      <c r="C109" s="0" t="inlineStr">
        <is>
          <t>Y22</t>
        </is>
      </c>
      <c r="D109" s="0" t="n">
        <v>26276.0758</v>
      </c>
    </row>
    <row r="110">
      <c r="A110" s="0" t="inlineStr">
        <is>
          <t>SIFT1M</t>
        </is>
      </c>
      <c r="B110" s="0" t="inlineStr">
        <is>
          <t>D22</t>
        </is>
      </c>
      <c r="C110" s="0" t="inlineStr">
        <is>
          <t>D23</t>
        </is>
      </c>
      <c r="D110" s="0" t="inlineStr">
        <is>
          <t>ANNProof</t>
        </is>
      </c>
    </row>
    <row r="111">
      <c r="A111" s="0" t="inlineStr">
        <is>
          <t>SIFT1M</t>
        </is>
      </c>
      <c r="B111" s="0" t="inlineStr">
        <is>
          <t>E22</t>
        </is>
      </c>
      <c r="C111" s="0" t="inlineStr">
        <is>
          <t>E23</t>
        </is>
      </c>
      <c r="D111" s="0" t="inlineStr">
        <is>
          <t>Recall rate</t>
        </is>
      </c>
    </row>
    <row r="112">
      <c r="A112" s="0" t="inlineStr">
        <is>
          <t>SIFT1M</t>
        </is>
      </c>
      <c r="B112" s="0" t="inlineStr">
        <is>
          <t>F22</t>
        </is>
      </c>
      <c r="C112" s="0" t="inlineStr">
        <is>
          <t>F23</t>
        </is>
      </c>
      <c r="D112" s="0" t="n">
        <v>67.5</v>
      </c>
    </row>
    <row r="113">
      <c r="A113" s="0" t="inlineStr">
        <is>
          <t>SIFT1M</t>
        </is>
      </c>
      <c r="B113" s="0" t="inlineStr">
        <is>
          <t>G22</t>
        </is>
      </c>
      <c r="C113" s="0" t="inlineStr">
        <is>
          <t>G23</t>
        </is>
      </c>
      <c r="D113" s="0" t="n">
        <v>67.5</v>
      </c>
    </row>
    <row r="114">
      <c r="A114" s="0" t="inlineStr">
        <is>
          <t>SIFT1M</t>
        </is>
      </c>
      <c r="B114" s="0" t="inlineStr">
        <is>
          <t>H22</t>
        </is>
      </c>
      <c r="C114" s="0" t="inlineStr">
        <is>
          <t>H23</t>
        </is>
      </c>
      <c r="D114" s="0" t="n">
        <v>67.5</v>
      </c>
    </row>
    <row r="115">
      <c r="A115" s="0" t="inlineStr">
        <is>
          <t>SIFT1M</t>
        </is>
      </c>
      <c r="B115" s="0" t="inlineStr">
        <is>
          <t>I22</t>
        </is>
      </c>
      <c r="C115" s="0" t="inlineStr">
        <is>
          <t>I23</t>
        </is>
      </c>
      <c r="D115" s="0" t="n">
        <v>67.5</v>
      </c>
    </row>
    <row r="116">
      <c r="A116" s="0" t="inlineStr">
        <is>
          <t>SIFT1M</t>
        </is>
      </c>
      <c r="B116" s="0" t="inlineStr">
        <is>
          <t>J22</t>
        </is>
      </c>
      <c r="C116" s="0" t="inlineStr">
        <is>
          <t>J23</t>
        </is>
      </c>
      <c r="D116" s="0" t="n">
        <v>67.5</v>
      </c>
    </row>
    <row r="117">
      <c r="A117" s="0" t="inlineStr">
        <is>
          <t>SIFT1M</t>
        </is>
      </c>
      <c r="B117" s="0" t="inlineStr">
        <is>
          <t>K22</t>
        </is>
      </c>
      <c r="C117" s="0" t="inlineStr">
        <is>
          <t>K23</t>
        </is>
      </c>
      <c r="D117" s="0" t="n">
        <v>67.5</v>
      </c>
    </row>
    <row r="118">
      <c r="A118" s="0" t="inlineStr">
        <is>
          <t>SIFT1M</t>
        </is>
      </c>
      <c r="B118" s="0" t="inlineStr">
        <is>
          <t>L22</t>
        </is>
      </c>
      <c r="C118" s="0" t="inlineStr">
        <is>
          <t>L23</t>
        </is>
      </c>
      <c r="D118" s="0" t="n">
        <v>67.5</v>
      </c>
    </row>
    <row r="119">
      <c r="A119" s="0" t="inlineStr">
        <is>
          <t>SIFT1M</t>
        </is>
      </c>
      <c r="B119" s="0" t="inlineStr">
        <is>
          <t>M22</t>
        </is>
      </c>
      <c r="C119" s="0" t="inlineStr">
        <is>
          <t>M23</t>
        </is>
      </c>
      <c r="D119" s="0" t="n">
        <v>67.5</v>
      </c>
    </row>
    <row r="120">
      <c r="A120" s="0" t="inlineStr">
        <is>
          <t>SIFT1M</t>
        </is>
      </c>
      <c r="B120" s="0" t="inlineStr">
        <is>
          <t>N22</t>
        </is>
      </c>
      <c r="C120" s="0" t="inlineStr">
        <is>
          <t>N23</t>
        </is>
      </c>
      <c r="D120" s="0" t="n">
        <v>67.5</v>
      </c>
    </row>
    <row r="121">
      <c r="A121" s="0" t="inlineStr">
        <is>
          <t>SIFT1M</t>
        </is>
      </c>
      <c r="B121" s="0" t="inlineStr">
        <is>
          <t>O22</t>
        </is>
      </c>
      <c r="C121" s="0" t="inlineStr">
        <is>
          <t>O23</t>
        </is>
      </c>
      <c r="D121" s="0" t="n">
        <v>62.1</v>
      </c>
    </row>
    <row r="122">
      <c r="A122" s="0" t="inlineStr">
        <is>
          <t>SIFT1M</t>
        </is>
      </c>
      <c r="B122" s="0" t="inlineStr">
        <is>
          <t>P22</t>
        </is>
      </c>
      <c r="C122" s="0" t="inlineStr">
        <is>
          <t>P23</t>
        </is>
      </c>
      <c r="D122" s="0" t="n">
        <v>66.7</v>
      </c>
    </row>
    <row r="123">
      <c r="A123" s="0" t="inlineStr">
        <is>
          <t>SIFT1M</t>
        </is>
      </c>
      <c r="B123" s="0" t="inlineStr">
        <is>
          <t>Q22</t>
        </is>
      </c>
      <c r="C123" s="0" t="inlineStr">
        <is>
          <t>Q23</t>
        </is>
      </c>
      <c r="D123" s="0" t="n">
        <v>71.59999999999999</v>
      </c>
    </row>
    <row r="124">
      <c r="A124" s="0" t="inlineStr">
        <is>
          <t>SIFT1M</t>
        </is>
      </c>
      <c r="B124" s="0" t="inlineStr">
        <is>
          <t>R22</t>
        </is>
      </c>
      <c r="C124" s="0" t="inlineStr">
        <is>
          <t>R23</t>
        </is>
      </c>
      <c r="D124" s="0" t="n">
        <v>75.59999999999999</v>
      </c>
    </row>
    <row r="125">
      <c r="A125" s="0" t="inlineStr">
        <is>
          <t>SIFT1M</t>
        </is>
      </c>
      <c r="B125" s="0" t="inlineStr">
        <is>
          <t>S22</t>
        </is>
      </c>
      <c r="C125" s="0" t="inlineStr">
        <is>
          <t>S23</t>
        </is>
      </c>
      <c r="D125" s="0" t="n">
        <v>81.40000000000001</v>
      </c>
    </row>
    <row r="126">
      <c r="A126" s="0" t="inlineStr">
        <is>
          <t>SIFT1M</t>
        </is>
      </c>
      <c r="B126" s="0" t="inlineStr">
        <is>
          <t>T22</t>
        </is>
      </c>
      <c r="C126" s="0" t="inlineStr">
        <is>
          <t>T23</t>
        </is>
      </c>
      <c r="D126" s="0" t="n">
        <v>86.5</v>
      </c>
    </row>
    <row r="127">
      <c r="A127" s="0" t="inlineStr">
        <is>
          <t>SIFT1M</t>
        </is>
      </c>
      <c r="B127" s="0" t="inlineStr">
        <is>
          <t>U22</t>
        </is>
      </c>
      <c r="C127" s="0" t="inlineStr">
        <is>
          <t>U23</t>
        </is>
      </c>
      <c r="D127" s="0" t="n">
        <v>90.2</v>
      </c>
    </row>
    <row r="128">
      <c r="A128" s="0" t="inlineStr">
        <is>
          <t>SIFT1M</t>
        </is>
      </c>
      <c r="B128" s="0" t="inlineStr">
        <is>
          <t>V22</t>
        </is>
      </c>
      <c r="C128" s="0" t="inlineStr">
        <is>
          <t>V23</t>
        </is>
      </c>
      <c r="D128" s="0" t="n">
        <v>95.09999999999999</v>
      </c>
    </row>
    <row r="129">
      <c r="A129" s="0" t="inlineStr">
        <is>
          <t>SIFT1M</t>
        </is>
      </c>
      <c r="B129" s="0" t="inlineStr">
        <is>
          <t>W22</t>
        </is>
      </c>
      <c r="C129" s="0" t="inlineStr">
        <is>
          <t>W23</t>
        </is>
      </c>
      <c r="D129" s="0" t="n">
        <v>97.3</v>
      </c>
    </row>
    <row r="130">
      <c r="A130" s="0" t="inlineStr">
        <is>
          <t>SIFT1M</t>
        </is>
      </c>
      <c r="B130" s="0" t="inlineStr">
        <is>
          <t>X22</t>
        </is>
      </c>
      <c r="C130" s="0" t="inlineStr">
        <is>
          <t>X23</t>
        </is>
      </c>
      <c r="D130" s="0" t="n">
        <v>98.09999999999999</v>
      </c>
    </row>
    <row r="131">
      <c r="A131" s="0" t="inlineStr">
        <is>
          <t>SIFT1M</t>
        </is>
      </c>
      <c r="B131" s="0" t="inlineStr">
        <is>
          <t>Y22</t>
        </is>
      </c>
      <c r="C131" s="0" t="inlineStr">
        <is>
          <t>Y23</t>
        </is>
      </c>
      <c r="D131" s="0" t="n">
        <v>99</v>
      </c>
    </row>
    <row r="132">
      <c r="A132" s="0" t="inlineStr">
        <is>
          <t>SIFT1M</t>
        </is>
      </c>
      <c r="B132" s="0" t="inlineStr">
        <is>
          <t>E23</t>
        </is>
      </c>
      <c r="C132" s="0" t="inlineStr">
        <is>
          <t>E24</t>
        </is>
      </c>
      <c r="D132" s="0" t="inlineStr">
        <is>
          <t>VO size</t>
        </is>
      </c>
    </row>
    <row r="133">
      <c r="A133" s="0" t="inlineStr">
        <is>
          <t>SIFT1M</t>
        </is>
      </c>
      <c r="B133" s="0" t="inlineStr">
        <is>
          <t>F23</t>
        </is>
      </c>
      <c r="C133" s="0" t="inlineStr">
        <is>
          <t>F24</t>
        </is>
      </c>
      <c r="D133" s="0" t="n">
        <v>237.845</v>
      </c>
    </row>
    <row r="134">
      <c r="A134" s="0" t="inlineStr">
        <is>
          <t>SIFT1M</t>
        </is>
      </c>
      <c r="B134" s="0" t="inlineStr">
        <is>
          <t>G23</t>
        </is>
      </c>
      <c r="C134" s="0" t="inlineStr">
        <is>
          <t>G24</t>
        </is>
      </c>
      <c r="D134" s="0" t="n">
        <v>237.845</v>
      </c>
    </row>
    <row r="135">
      <c r="A135" s="0" t="inlineStr">
        <is>
          <t>SIFT1M</t>
        </is>
      </c>
      <c r="B135" s="0" t="inlineStr">
        <is>
          <t>H23</t>
        </is>
      </c>
      <c r="C135" s="0" t="inlineStr">
        <is>
          <t>H24</t>
        </is>
      </c>
      <c r="D135" s="0" t="n">
        <v>237.845</v>
      </c>
    </row>
    <row r="136">
      <c r="A136" s="0" t="inlineStr">
        <is>
          <t>SIFT1M</t>
        </is>
      </c>
      <c r="B136" s="0" t="inlineStr">
        <is>
          <t>I23</t>
        </is>
      </c>
      <c r="C136" s="0" t="inlineStr">
        <is>
          <t>I24</t>
        </is>
      </c>
      <c r="D136" s="0" t="n">
        <v>237.845</v>
      </c>
    </row>
    <row r="137">
      <c r="A137" s="0" t="inlineStr">
        <is>
          <t>SIFT1M</t>
        </is>
      </c>
      <c r="B137" s="0" t="inlineStr">
        <is>
          <t>J23</t>
        </is>
      </c>
      <c r="C137" s="0" t="inlineStr">
        <is>
          <t>J24</t>
        </is>
      </c>
      <c r="D137" s="0" t="n">
        <v>237.845</v>
      </c>
    </row>
    <row r="138">
      <c r="A138" s="0" t="inlineStr">
        <is>
          <t>SIFT1M</t>
        </is>
      </c>
      <c r="B138" s="0" t="inlineStr">
        <is>
          <t>K23</t>
        </is>
      </c>
      <c r="C138" s="0" t="inlineStr">
        <is>
          <t>K24</t>
        </is>
      </c>
      <c r="D138" s="0" t="n">
        <v>237.845</v>
      </c>
    </row>
    <row r="139">
      <c r="A139" s="0" t="inlineStr">
        <is>
          <t>SIFT1M</t>
        </is>
      </c>
      <c r="B139" s="0" t="inlineStr">
        <is>
          <t>L23</t>
        </is>
      </c>
      <c r="C139" s="0" t="inlineStr">
        <is>
          <t>L24</t>
        </is>
      </c>
      <c r="D139" s="0" t="n">
        <v>237.845</v>
      </c>
    </row>
    <row r="140">
      <c r="A140" s="0" t="inlineStr">
        <is>
          <t>SIFT1M</t>
        </is>
      </c>
      <c r="B140" s="0" t="inlineStr">
        <is>
          <t>M23</t>
        </is>
      </c>
      <c r="C140" s="0" t="inlineStr">
        <is>
          <t>M24</t>
        </is>
      </c>
      <c r="D140" s="0" t="n">
        <v>237.845</v>
      </c>
    </row>
    <row r="141">
      <c r="A141" s="0" t="inlineStr">
        <is>
          <t>SIFT1M</t>
        </is>
      </c>
      <c r="B141" s="0" t="inlineStr">
        <is>
          <t>N23</t>
        </is>
      </c>
      <c r="C141" s="0" t="inlineStr">
        <is>
          <t>N24</t>
        </is>
      </c>
      <c r="D141" s="0" t="n">
        <v>237.845</v>
      </c>
    </row>
    <row r="142">
      <c r="A142" s="0" t="inlineStr">
        <is>
          <t>SIFT1M</t>
        </is>
      </c>
      <c r="B142" s="0" t="inlineStr">
        <is>
          <t>O23</t>
        </is>
      </c>
      <c r="C142" s="0" t="inlineStr">
        <is>
          <t>O24</t>
        </is>
      </c>
      <c r="D142" s="0" t="n">
        <v>304.84092</v>
      </c>
    </row>
    <row r="143">
      <c r="A143" s="0" t="inlineStr">
        <is>
          <t>SIFT1M</t>
        </is>
      </c>
      <c r="B143" s="0" t="inlineStr">
        <is>
          <t>P23</t>
        </is>
      </c>
      <c r="C143" s="0" t="inlineStr">
        <is>
          <t>P24</t>
        </is>
      </c>
      <c r="D143" s="0" t="n">
        <v>329.81636</v>
      </c>
    </row>
    <row r="144">
      <c r="A144" s="0" t="inlineStr">
        <is>
          <t>SIFT1M</t>
        </is>
      </c>
      <c r="B144" s="0" t="inlineStr">
        <is>
          <t>Q23</t>
        </is>
      </c>
      <c r="C144" s="0" t="inlineStr">
        <is>
          <t>Q24</t>
        </is>
      </c>
      <c r="D144" s="0" t="n">
        <v>371.42244</v>
      </c>
    </row>
    <row r="145">
      <c r="A145" s="0" t="inlineStr">
        <is>
          <t>SIFT1M</t>
        </is>
      </c>
      <c r="B145" s="0" t="inlineStr">
        <is>
          <t>R23</t>
        </is>
      </c>
      <c r="C145" s="0" t="inlineStr">
        <is>
          <t>R24</t>
        </is>
      </c>
      <c r="D145" s="0" t="n">
        <v>410.95908</v>
      </c>
    </row>
    <row r="146">
      <c r="A146" s="0" t="inlineStr">
        <is>
          <t>SIFT1M</t>
        </is>
      </c>
      <c r="B146" s="0" t="inlineStr">
        <is>
          <t>S23</t>
        </is>
      </c>
      <c r="C146" s="0" t="inlineStr">
        <is>
          <t>S24</t>
        </is>
      </c>
      <c r="D146" s="0" t="n">
        <v>502.67152</v>
      </c>
    </row>
    <row r="147">
      <c r="A147" s="0" t="inlineStr">
        <is>
          <t>SIFT1M</t>
        </is>
      </c>
      <c r="B147" s="0" t="inlineStr">
        <is>
          <t>T23</t>
        </is>
      </c>
      <c r="C147" s="0" t="inlineStr">
        <is>
          <t>T24</t>
        </is>
      </c>
      <c r="D147" s="0" t="n">
        <v>629.9272</v>
      </c>
    </row>
    <row r="148">
      <c r="A148" s="0" t="inlineStr">
        <is>
          <t>SIFT1M</t>
        </is>
      </c>
      <c r="B148" s="0" t="inlineStr">
        <is>
          <t>U23</t>
        </is>
      </c>
      <c r="C148" s="0" t="inlineStr">
        <is>
          <t>U24</t>
        </is>
      </c>
      <c r="D148" s="0" t="n">
        <v>775.95196</v>
      </c>
    </row>
    <row r="149">
      <c r="A149" s="0" t="inlineStr">
        <is>
          <t>SIFT1M</t>
        </is>
      </c>
      <c r="B149" s="0" t="inlineStr">
        <is>
          <t>V23</t>
        </is>
      </c>
      <c r="C149" s="0" t="inlineStr">
        <is>
          <t>V24</t>
        </is>
      </c>
      <c r="D149" s="0" t="n">
        <v>1071.01752</v>
      </c>
    </row>
    <row r="150">
      <c r="A150" s="0" t="inlineStr">
        <is>
          <t>SIFT1M</t>
        </is>
      </c>
      <c r="B150" s="0" t="inlineStr">
        <is>
          <t>W23</t>
        </is>
      </c>
      <c r="C150" s="0" t="inlineStr">
        <is>
          <t>W24</t>
        </is>
      </c>
      <c r="D150" s="0" t="n">
        <v>1533.3312</v>
      </c>
    </row>
    <row r="151">
      <c r="A151" s="0" t="inlineStr">
        <is>
          <t>SIFT1M</t>
        </is>
      </c>
      <c r="B151" s="0" t="inlineStr">
        <is>
          <t>X23</t>
        </is>
      </c>
      <c r="C151" s="0" t="inlineStr">
        <is>
          <t>X24</t>
        </is>
      </c>
      <c r="D151" s="0" t="n">
        <v>2202.81128</v>
      </c>
    </row>
    <row r="152">
      <c r="A152" s="0" t="inlineStr">
        <is>
          <t>SIFT1M</t>
        </is>
      </c>
      <c r="B152" s="0" t="inlineStr">
        <is>
          <t>Y23</t>
        </is>
      </c>
      <c r="C152" s="0" t="inlineStr">
        <is>
          <t>Y24</t>
        </is>
      </c>
      <c r="D152" s="0" t="n">
        <v>3757.36496</v>
      </c>
    </row>
    <row r="153">
      <c r="A153" s="0" t="inlineStr">
        <is>
          <t>SIFT1M</t>
        </is>
      </c>
      <c r="B153" s="0" t="inlineStr">
        <is>
          <t>D24</t>
        </is>
      </c>
      <c r="C153" s="0" t="inlineStr">
        <is>
          <t>D25</t>
        </is>
      </c>
      <c r="D153" s="0" t="inlineStr">
        <is>
          <t>Ours</t>
        </is>
      </c>
    </row>
    <row r="154">
      <c r="A154" s="0" t="inlineStr">
        <is>
          <t>SIFT1M</t>
        </is>
      </c>
      <c r="B154" s="0" t="inlineStr">
        <is>
          <t>E24</t>
        </is>
      </c>
      <c r="C154" s="0" t="inlineStr">
        <is>
          <t>E25</t>
        </is>
      </c>
      <c r="D154" s="0" t="inlineStr">
        <is>
          <t>Recall rate</t>
        </is>
      </c>
    </row>
    <row r="155">
      <c r="A155" s="0" t="inlineStr">
        <is>
          <t>SIFT1M</t>
        </is>
      </c>
      <c r="B155" s="0" t="inlineStr">
        <is>
          <t>F24</t>
        </is>
      </c>
      <c r="C155" s="0" t="inlineStr">
        <is>
          <t>F25</t>
        </is>
      </c>
      <c r="D155" s="0" t="n">
        <v>24</v>
      </c>
    </row>
    <row r="156">
      <c r="A156" s="0" t="inlineStr">
        <is>
          <t>SIFT1M</t>
        </is>
      </c>
      <c r="B156" s="0" t="inlineStr">
        <is>
          <t>G24</t>
        </is>
      </c>
      <c r="C156" s="0" t="inlineStr">
        <is>
          <t>G25</t>
        </is>
      </c>
      <c r="D156" s="0" t="n">
        <v>24</v>
      </c>
    </row>
    <row r="157">
      <c r="A157" s="0" t="inlineStr">
        <is>
          <t>SIFT1M</t>
        </is>
      </c>
      <c r="B157" s="0" t="inlineStr">
        <is>
          <t>H24</t>
        </is>
      </c>
      <c r="C157" s="0" t="inlineStr">
        <is>
          <t>H25</t>
        </is>
      </c>
      <c r="D157" s="0" t="n">
        <v>33</v>
      </c>
    </row>
    <row r="158">
      <c r="A158" s="0" t="inlineStr">
        <is>
          <t>SIFT1M</t>
        </is>
      </c>
      <c r="B158" s="0" t="inlineStr">
        <is>
          <t>I24</t>
        </is>
      </c>
      <c r="C158" s="0" t="inlineStr">
        <is>
          <t>I25</t>
        </is>
      </c>
      <c r="D158" s="0" t="n">
        <v>33</v>
      </c>
    </row>
    <row r="159">
      <c r="A159" s="0" t="inlineStr">
        <is>
          <t>SIFT1M</t>
        </is>
      </c>
      <c r="B159" s="0" t="inlineStr">
        <is>
          <t>J24</t>
        </is>
      </c>
      <c r="C159" s="0" t="inlineStr">
        <is>
          <t>J25</t>
        </is>
      </c>
      <c r="D159" s="0" t="n">
        <v>41</v>
      </c>
    </row>
    <row r="160">
      <c r="A160" s="0" t="inlineStr">
        <is>
          <t>SIFT1M</t>
        </is>
      </c>
      <c r="B160" s="0" t="inlineStr">
        <is>
          <t>K24</t>
        </is>
      </c>
      <c r="C160" s="0" t="inlineStr">
        <is>
          <t>K25</t>
        </is>
      </c>
      <c r="D160" s="0" t="n">
        <v>41</v>
      </c>
    </row>
    <row r="161">
      <c r="A161" s="0" t="inlineStr">
        <is>
          <t>SIFT1M</t>
        </is>
      </c>
      <c r="B161" s="0" t="inlineStr">
        <is>
          <t>L24</t>
        </is>
      </c>
      <c r="C161" s="0" t="inlineStr">
        <is>
          <t>L25</t>
        </is>
      </c>
      <c r="D161" s="0" t="n">
        <v>51</v>
      </c>
    </row>
    <row r="162">
      <c r="A162" s="0" t="inlineStr">
        <is>
          <t>SIFT1M</t>
        </is>
      </c>
      <c r="B162" s="0" t="inlineStr">
        <is>
          <t>M24</t>
        </is>
      </c>
      <c r="C162" s="0" t="inlineStr">
        <is>
          <t>M25</t>
        </is>
      </c>
      <c r="D162" s="0" t="n">
        <v>51</v>
      </c>
    </row>
    <row r="163">
      <c r="A163" s="0" t="inlineStr">
        <is>
          <t>SIFT1M</t>
        </is>
      </c>
      <c r="B163" s="0" t="inlineStr">
        <is>
          <t>N24</t>
        </is>
      </c>
      <c r="C163" s="0" t="inlineStr">
        <is>
          <t>N25</t>
        </is>
      </c>
      <c r="D163" s="0" t="n">
        <v>55.5</v>
      </c>
    </row>
    <row r="164">
      <c r="A164" s="0" t="inlineStr">
        <is>
          <t>SIFT1M</t>
        </is>
      </c>
      <c r="B164" s="0" t="inlineStr">
        <is>
          <t>O24</t>
        </is>
      </c>
      <c r="C164" s="0" t="inlineStr">
        <is>
          <t>O25</t>
        </is>
      </c>
      <c r="D164" s="0" t="n">
        <v>62.3</v>
      </c>
    </row>
    <row r="165">
      <c r="A165" s="0" t="inlineStr">
        <is>
          <t>SIFT1M</t>
        </is>
      </c>
      <c r="B165" s="0" t="inlineStr">
        <is>
          <t>P24</t>
        </is>
      </c>
      <c r="C165" s="0" t="inlineStr">
        <is>
          <t>P25</t>
        </is>
      </c>
      <c r="D165" s="0" t="n">
        <v>66.3</v>
      </c>
    </row>
    <row r="166">
      <c r="A166" s="0" t="inlineStr">
        <is>
          <t>SIFT1M</t>
        </is>
      </c>
      <c r="B166" s="0" t="inlineStr">
        <is>
          <t>Q24</t>
        </is>
      </c>
      <c r="C166" s="0" t="inlineStr">
        <is>
          <t>Q25</t>
        </is>
      </c>
      <c r="D166" s="0" t="n">
        <v>70.2</v>
      </c>
    </row>
    <row r="167">
      <c r="A167" s="0" t="inlineStr">
        <is>
          <t>SIFT1M</t>
        </is>
      </c>
      <c r="B167" s="0" t="inlineStr">
        <is>
          <t>R24</t>
        </is>
      </c>
      <c r="C167" s="0" t="inlineStr">
        <is>
          <t>R25</t>
        </is>
      </c>
      <c r="D167" s="0" t="n">
        <v>76</v>
      </c>
    </row>
    <row r="168">
      <c r="A168" s="0" t="inlineStr">
        <is>
          <t>SIFT1M</t>
        </is>
      </c>
      <c r="B168" s="0" t="inlineStr">
        <is>
          <t>S24</t>
        </is>
      </c>
      <c r="C168" s="0" t="inlineStr">
        <is>
          <t>S25</t>
        </is>
      </c>
      <c r="D168" s="0" t="n">
        <v>80.3</v>
      </c>
    </row>
    <row r="169">
      <c r="A169" s="0" t="inlineStr">
        <is>
          <t>SIFT1M</t>
        </is>
      </c>
      <c r="B169" s="0" t="inlineStr">
        <is>
          <t>T24</t>
        </is>
      </c>
      <c r="C169" s="0" t="inlineStr">
        <is>
          <t>T25</t>
        </is>
      </c>
      <c r="D169" s="0" t="n">
        <v>87.3</v>
      </c>
    </row>
    <row r="170">
      <c r="A170" s="0" t="inlineStr">
        <is>
          <t>SIFT1M</t>
        </is>
      </c>
      <c r="B170" s="0" t="inlineStr">
        <is>
          <t>U24</t>
        </is>
      </c>
      <c r="C170" s="0" t="inlineStr">
        <is>
          <t>U25</t>
        </is>
      </c>
      <c r="D170" s="0" t="n">
        <v>90.40000000000001</v>
      </c>
    </row>
    <row r="171">
      <c r="A171" s="0" t="inlineStr">
        <is>
          <t>SIFT1M</t>
        </is>
      </c>
      <c r="B171" s="0" t="inlineStr">
        <is>
          <t>V24</t>
        </is>
      </c>
      <c r="C171" s="0" t="inlineStr">
        <is>
          <t>V25</t>
        </is>
      </c>
      <c r="D171" s="0" t="n">
        <v>95.40000000000001</v>
      </c>
    </row>
    <row r="172">
      <c r="A172" s="0" t="inlineStr">
        <is>
          <t>SIFT1M</t>
        </is>
      </c>
      <c r="B172" s="0" t="inlineStr">
        <is>
          <t>W24</t>
        </is>
      </c>
      <c r="C172" s="0" t="inlineStr">
        <is>
          <t>W25</t>
        </is>
      </c>
      <c r="D172" s="0" t="n">
        <v>97.2</v>
      </c>
    </row>
    <row r="173">
      <c r="A173" s="0" t="inlineStr">
        <is>
          <t>SIFT1M</t>
        </is>
      </c>
      <c r="B173" s="0" t="inlineStr">
        <is>
          <t>X24</t>
        </is>
      </c>
      <c r="C173" s="0" t="inlineStr">
        <is>
          <t>X25</t>
        </is>
      </c>
      <c r="D173" s="0" t="n">
        <v>98.7</v>
      </c>
    </row>
    <row r="174">
      <c r="A174" s="0" t="inlineStr">
        <is>
          <t>SIFT1M</t>
        </is>
      </c>
      <c r="B174" s="0" t="inlineStr">
        <is>
          <t>Y24</t>
        </is>
      </c>
      <c r="C174" s="0" t="inlineStr">
        <is>
          <t>Y25</t>
        </is>
      </c>
      <c r="D174" s="0" t="n">
        <v>99</v>
      </c>
    </row>
    <row r="175">
      <c r="A175" s="0" t="inlineStr">
        <is>
          <t>SIFT1M</t>
        </is>
      </c>
      <c r="B175" s="0" t="inlineStr">
        <is>
          <t>E25</t>
        </is>
      </c>
      <c r="C175" s="0" t="inlineStr">
        <is>
          <t>E26</t>
        </is>
      </c>
      <c r="D175" s="0" t="inlineStr">
        <is>
          <t>VO size</t>
        </is>
      </c>
    </row>
    <row r="176">
      <c r="A176" s="0" t="inlineStr">
        <is>
          <t>SIFT1M</t>
        </is>
      </c>
      <c r="B176" s="0" t="inlineStr">
        <is>
          <t>F25</t>
        </is>
      </c>
      <c r="C176" s="0" t="inlineStr">
        <is>
          <t>F26</t>
        </is>
      </c>
      <c r="D176" s="0" t="n">
        <v>44.958</v>
      </c>
    </row>
    <row r="177">
      <c r="A177" s="0" t="inlineStr">
        <is>
          <t>SIFT1M</t>
        </is>
      </c>
      <c r="B177" s="0" t="inlineStr">
        <is>
          <t>G25</t>
        </is>
      </c>
      <c r="C177" s="0" t="inlineStr">
        <is>
          <t>G26</t>
        </is>
      </c>
      <c r="D177" s="0" t="n">
        <v>44.958</v>
      </c>
    </row>
    <row r="178">
      <c r="A178" s="0" t="inlineStr">
        <is>
          <t>SIFT1M</t>
        </is>
      </c>
      <c r="B178" s="0" t="inlineStr">
        <is>
          <t>H25</t>
        </is>
      </c>
      <c r="C178" s="0" t="inlineStr">
        <is>
          <t>H26</t>
        </is>
      </c>
      <c r="D178" s="0" t="n">
        <v>46.0892</v>
      </c>
    </row>
    <row r="179">
      <c r="A179" s="0" t="inlineStr">
        <is>
          <t>SIFT1M</t>
        </is>
      </c>
      <c r="B179" s="0" t="inlineStr">
        <is>
          <t>I25</t>
        </is>
      </c>
      <c r="C179" s="0" t="inlineStr">
        <is>
          <t>I26</t>
        </is>
      </c>
      <c r="D179" s="0" t="n">
        <v>46.0892</v>
      </c>
    </row>
    <row r="180">
      <c r="A180" s="0" t="inlineStr">
        <is>
          <t>SIFT1M</t>
        </is>
      </c>
      <c r="B180" s="0" t="inlineStr">
        <is>
          <t>J25</t>
        </is>
      </c>
      <c r="C180" s="0" t="inlineStr">
        <is>
          <t>J26</t>
        </is>
      </c>
      <c r="D180" s="0" t="n">
        <v>48.8174</v>
      </c>
    </row>
    <row r="181">
      <c r="A181" s="0" t="inlineStr">
        <is>
          <t>SIFT1M</t>
        </is>
      </c>
      <c r="B181" s="0" t="inlineStr">
        <is>
          <t>K25</t>
        </is>
      </c>
      <c r="C181" s="0" t="inlineStr">
        <is>
          <t>K26</t>
        </is>
      </c>
      <c r="D181" s="0" t="n">
        <v>48.8174</v>
      </c>
    </row>
    <row r="182">
      <c r="A182" s="0" t="inlineStr">
        <is>
          <t>SIFT1M</t>
        </is>
      </c>
      <c r="B182" s="0" t="inlineStr">
        <is>
          <t>L25</t>
        </is>
      </c>
      <c r="C182" s="0" t="inlineStr">
        <is>
          <t>L26</t>
        </is>
      </c>
      <c r="D182" s="0" t="n">
        <v>55.1616</v>
      </c>
    </row>
    <row r="183">
      <c r="A183" s="0" t="inlineStr">
        <is>
          <t>SIFT1M</t>
        </is>
      </c>
      <c r="B183" s="0" t="inlineStr">
        <is>
          <t>M25</t>
        </is>
      </c>
      <c r="C183" s="0" t="inlineStr">
        <is>
          <t>M26</t>
        </is>
      </c>
      <c r="D183" s="0" t="n">
        <v>55.1616</v>
      </c>
    </row>
    <row r="184">
      <c r="A184" s="0" t="inlineStr">
        <is>
          <t>SIFT1M</t>
        </is>
      </c>
      <c r="B184" s="0" t="inlineStr">
        <is>
          <t>N25</t>
        </is>
      </c>
      <c r="C184" s="0" t="inlineStr">
        <is>
          <t>N26</t>
        </is>
      </c>
      <c r="D184" s="0" t="n">
        <v>57.291</v>
      </c>
    </row>
    <row r="185">
      <c r="A185" s="0" t="inlineStr">
        <is>
          <t>SIFT1M</t>
        </is>
      </c>
      <c r="B185" s="0" t="inlineStr">
        <is>
          <t>O25</t>
        </is>
      </c>
      <c r="C185" s="0" t="inlineStr">
        <is>
          <t>O26</t>
        </is>
      </c>
      <c r="D185" s="0" t="n">
        <v>77.5966</v>
      </c>
    </row>
    <row r="186">
      <c r="A186" s="0" t="inlineStr">
        <is>
          <t>SIFT1M</t>
        </is>
      </c>
      <c r="B186" s="0" t="inlineStr">
        <is>
          <t>P25</t>
        </is>
      </c>
      <c r="C186" s="0" t="inlineStr">
        <is>
          <t>P26</t>
        </is>
      </c>
      <c r="D186" s="0" t="n">
        <v>82.3378</v>
      </c>
    </row>
    <row r="187">
      <c r="A187" s="0" t="inlineStr">
        <is>
          <t>SIFT1M</t>
        </is>
      </c>
      <c r="B187" s="0" t="inlineStr">
        <is>
          <t>Q25</t>
        </is>
      </c>
      <c r="C187" s="0" t="inlineStr">
        <is>
          <t>Q26</t>
        </is>
      </c>
      <c r="D187" s="0" t="n">
        <v>91.27648000000001</v>
      </c>
    </row>
    <row r="188">
      <c r="A188" s="0" t="inlineStr">
        <is>
          <t>SIFT1M</t>
        </is>
      </c>
      <c r="B188" s="0" t="inlineStr">
        <is>
          <t>R25</t>
        </is>
      </c>
      <c r="C188" s="0" t="inlineStr">
        <is>
          <t>R26</t>
        </is>
      </c>
      <c r="D188" s="0" t="n">
        <v>103.21712</v>
      </c>
    </row>
    <row r="189">
      <c r="A189" s="0" t="inlineStr">
        <is>
          <t>SIFT1M</t>
        </is>
      </c>
      <c r="B189" s="0" t="inlineStr">
        <is>
          <t>S25</t>
        </is>
      </c>
      <c r="C189" s="0" t="inlineStr">
        <is>
          <t>S26</t>
        </is>
      </c>
      <c r="D189" s="0" t="n">
        <v>114.56068</v>
      </c>
    </row>
    <row r="190">
      <c r="A190" s="0" t="inlineStr">
        <is>
          <t>SIFT1M</t>
        </is>
      </c>
      <c r="B190" s="0" t="inlineStr">
        <is>
          <t>T25</t>
        </is>
      </c>
      <c r="C190" s="0" t="inlineStr">
        <is>
          <t>T26</t>
        </is>
      </c>
      <c r="D190" s="0" t="n">
        <v>153.43736</v>
      </c>
    </row>
    <row r="191">
      <c r="A191" s="0" t="inlineStr">
        <is>
          <t>SIFT1M</t>
        </is>
      </c>
      <c r="B191" s="0" t="inlineStr">
        <is>
          <t>U25</t>
        </is>
      </c>
      <c r="C191" s="0" t="inlineStr">
        <is>
          <t>U26</t>
        </is>
      </c>
      <c r="D191" s="0" t="n">
        <v>175.69476</v>
      </c>
    </row>
    <row r="192">
      <c r="A192" s="0" t="inlineStr">
        <is>
          <t>SIFT1M</t>
        </is>
      </c>
      <c r="B192" s="0" t="inlineStr">
        <is>
          <t>V25</t>
        </is>
      </c>
      <c r="C192" s="0" t="inlineStr">
        <is>
          <t>V26</t>
        </is>
      </c>
      <c r="D192" s="0" t="n">
        <v>236.02116</v>
      </c>
    </row>
    <row r="193">
      <c r="A193" s="0" t="inlineStr">
        <is>
          <t>SIFT1M</t>
        </is>
      </c>
      <c r="B193" s="0" t="inlineStr">
        <is>
          <t>W25</t>
        </is>
      </c>
      <c r="C193" s="0" t="inlineStr">
        <is>
          <t>W26</t>
        </is>
      </c>
      <c r="D193" s="0" t="n">
        <v>307.025</v>
      </c>
    </row>
    <row r="194">
      <c r="A194" s="0" t="inlineStr">
        <is>
          <t>SIFT1M</t>
        </is>
      </c>
      <c r="B194" s="0" t="inlineStr">
        <is>
          <t>X25</t>
        </is>
      </c>
      <c r="C194" s="0" t="inlineStr">
        <is>
          <t>X26</t>
        </is>
      </c>
      <c r="D194" s="0" t="n">
        <v>490.266</v>
      </c>
    </row>
    <row r="195">
      <c r="A195" s="0" t="inlineStr">
        <is>
          <t>SIFT1M</t>
        </is>
      </c>
      <c r="B195" s="0" t="inlineStr">
        <is>
          <t>Y25</t>
        </is>
      </c>
      <c r="C195" s="0" t="inlineStr">
        <is>
          <t>Y26</t>
        </is>
      </c>
      <c r="D195" s="0" t="n">
        <v>599.2962</v>
      </c>
    </row>
    <row r="196">
      <c r="A196" s="0" t="inlineStr">
        <is>
          <t>SIFT1M</t>
        </is>
      </c>
      <c r="B196" s="0" t="inlineStr">
        <is>
          <t>D26</t>
        </is>
      </c>
      <c r="C196" s="0" t="inlineStr">
        <is>
          <t>D27</t>
        </is>
      </c>
      <c r="D196" s="0" t="inlineStr">
        <is>
          <t>V3DB（单次）</t>
        </is>
      </c>
    </row>
    <row r="197">
      <c r="A197" s="0" t="inlineStr">
        <is>
          <t>SIFT1M</t>
        </is>
      </c>
      <c r="B197" s="0" t="inlineStr">
        <is>
          <t>E26</t>
        </is>
      </c>
      <c r="C197" s="0" t="inlineStr">
        <is>
          <t>E27</t>
        </is>
      </c>
      <c r="D197" s="0" t="inlineStr">
        <is>
          <t>Recall rate</t>
        </is>
      </c>
    </row>
    <row r="198">
      <c r="A198" s="0" t="inlineStr">
        <is>
          <t>SIFT1M</t>
        </is>
      </c>
      <c r="B198" s="0" t="inlineStr">
        <is>
          <t>F26</t>
        </is>
      </c>
      <c r="C198" s="0" t="inlineStr">
        <is>
          <t>F27</t>
        </is>
      </c>
      <c r="D198" s="0" t="n">
        <v>34</v>
      </c>
    </row>
    <row r="199">
      <c r="A199" s="0" t="inlineStr">
        <is>
          <t>SIFT1M</t>
        </is>
      </c>
      <c r="B199" s="0" t="inlineStr">
        <is>
          <t>G26</t>
        </is>
      </c>
      <c r="C199" s="0" t="inlineStr">
        <is>
          <t>G27</t>
        </is>
      </c>
      <c r="D199" s="0" t="n">
        <v>34</v>
      </c>
    </row>
    <row r="200">
      <c r="A200" s="0" t="inlineStr">
        <is>
          <t>SIFT1M</t>
        </is>
      </c>
      <c r="B200" s="0" t="inlineStr">
        <is>
          <t>H26</t>
        </is>
      </c>
      <c r="C200" s="0" t="inlineStr">
        <is>
          <t>H27</t>
        </is>
      </c>
      <c r="D200" s="0" t="n">
        <v>34</v>
      </c>
    </row>
    <row r="201">
      <c r="A201" s="0" t="inlineStr">
        <is>
          <t>SIFT1M</t>
        </is>
      </c>
      <c r="B201" s="0" t="inlineStr">
        <is>
          <t>I26</t>
        </is>
      </c>
      <c r="C201" s="0" t="inlineStr">
        <is>
          <t>I27</t>
        </is>
      </c>
      <c r="D201" s="0" t="n">
        <v>34</v>
      </c>
    </row>
    <row r="202">
      <c r="A202" s="0" t="inlineStr">
        <is>
          <t>SIFT1M</t>
        </is>
      </c>
      <c r="B202" s="0" t="inlineStr">
        <is>
          <t>J26</t>
        </is>
      </c>
      <c r="C202" s="0" t="inlineStr">
        <is>
          <t>J27</t>
        </is>
      </c>
      <c r="D202" s="0" t="n">
        <v>51</v>
      </c>
    </row>
    <row r="203">
      <c r="A203" s="0" t="inlineStr">
        <is>
          <t>SIFT1M</t>
        </is>
      </c>
      <c r="B203" s="0" t="inlineStr">
        <is>
          <t>K26</t>
        </is>
      </c>
      <c r="C203" s="0" t="inlineStr">
        <is>
          <t>K27</t>
        </is>
      </c>
      <c r="D203" s="0" t="n">
        <v>51</v>
      </c>
    </row>
    <row r="204">
      <c r="A204" s="0" t="inlineStr">
        <is>
          <t>SIFT1M</t>
        </is>
      </c>
      <c r="B204" s="0" t="inlineStr">
        <is>
          <t>L26</t>
        </is>
      </c>
      <c r="C204" s="0" t="inlineStr">
        <is>
          <t>L27</t>
        </is>
      </c>
      <c r="D204" s="0" t="n">
        <v>51</v>
      </c>
    </row>
    <row r="205">
      <c r="A205" s="0" t="inlineStr">
        <is>
          <t>SIFT1M</t>
        </is>
      </c>
      <c r="B205" s="0" t="inlineStr">
        <is>
          <t>M26</t>
        </is>
      </c>
      <c r="C205" s="0" t="inlineStr">
        <is>
          <t>M27</t>
        </is>
      </c>
      <c r="D205" s="0" t="n">
        <v>51</v>
      </c>
    </row>
    <row r="206">
      <c r="A206" s="0" t="inlineStr">
        <is>
          <t>SIFT1M</t>
        </is>
      </c>
      <c r="B206" s="0" t="inlineStr">
        <is>
          <t>N26</t>
        </is>
      </c>
      <c r="C206" s="0" t="inlineStr">
        <is>
          <t>N27</t>
        </is>
      </c>
      <c r="D206" s="0" t="n">
        <v>58</v>
      </c>
    </row>
    <row r="207">
      <c r="A207" s="0" t="inlineStr">
        <is>
          <t>SIFT1M</t>
        </is>
      </c>
      <c r="B207" s="0" t="inlineStr">
        <is>
          <t>O26</t>
        </is>
      </c>
      <c r="C207" s="0" t="inlineStr">
        <is>
          <t>O27</t>
        </is>
      </c>
      <c r="D207" s="0" t="n">
        <v>70.5</v>
      </c>
    </row>
    <row r="208">
      <c r="A208" s="0" t="inlineStr">
        <is>
          <t>SIFT1M</t>
        </is>
      </c>
      <c r="B208" s="0" t="inlineStr">
        <is>
          <t>P26</t>
        </is>
      </c>
      <c r="C208" s="0" t="inlineStr">
        <is>
          <t>P27</t>
        </is>
      </c>
      <c r="D208" s="0" t="n">
        <v>70.5</v>
      </c>
    </row>
    <row r="209">
      <c r="A209" s="0" t="inlineStr">
        <is>
          <t>SIFT1M</t>
        </is>
      </c>
      <c r="B209" s="0" t="inlineStr">
        <is>
          <t>Q26</t>
        </is>
      </c>
      <c r="C209" s="0" t="inlineStr">
        <is>
          <t>Q27</t>
        </is>
      </c>
      <c r="D209" s="0" t="n">
        <v>70.5</v>
      </c>
    </row>
    <row r="210">
      <c r="A210" s="0" t="inlineStr">
        <is>
          <t>SIFT1M</t>
        </is>
      </c>
      <c r="B210" s="0" t="inlineStr">
        <is>
          <t>R26</t>
        </is>
      </c>
      <c r="C210" s="0" t="inlineStr">
        <is>
          <t>R27</t>
        </is>
      </c>
      <c r="D210" s="0" t="n">
        <v>77.5</v>
      </c>
    </row>
    <row r="211">
      <c r="A211" s="0" t="inlineStr">
        <is>
          <t>SIFT1M</t>
        </is>
      </c>
      <c r="B211" s="0" t="inlineStr">
        <is>
          <t>S26</t>
        </is>
      </c>
      <c r="C211" s="0" t="inlineStr">
        <is>
          <t>S27</t>
        </is>
      </c>
      <c r="D211" s="0" t="n">
        <v>84</v>
      </c>
    </row>
    <row r="212">
      <c r="A212" s="0" t="inlineStr">
        <is>
          <t>SIFT1M</t>
        </is>
      </c>
      <c r="B212" s="0" t="inlineStr">
        <is>
          <t>T26</t>
        </is>
      </c>
      <c r="C212" s="0" t="inlineStr">
        <is>
          <t>T27</t>
        </is>
      </c>
      <c r="D212" s="0" t="n">
        <v>85</v>
      </c>
    </row>
    <row r="213">
      <c r="A213" s="0" t="inlineStr">
        <is>
          <t>SIFT1M</t>
        </is>
      </c>
      <c r="B213" s="0" t="inlineStr">
        <is>
          <t>U26</t>
        </is>
      </c>
      <c r="C213" s="0" t="inlineStr">
        <is>
          <t>U27</t>
        </is>
      </c>
      <c r="D213" s="0" t="n">
        <v>92</v>
      </c>
    </row>
    <row r="214">
      <c r="A214" s="0" t="inlineStr">
        <is>
          <t>SIFT1M</t>
        </is>
      </c>
      <c r="B214" s="0" t="inlineStr">
        <is>
          <t>V26</t>
        </is>
      </c>
      <c r="C214" s="0" t="inlineStr">
        <is>
          <t>V27</t>
        </is>
      </c>
      <c r="D214" s="0" t="n">
        <v>95</v>
      </c>
    </row>
    <row r="215">
      <c r="A215" s="0" t="inlineStr">
        <is>
          <t>SIFT1M</t>
        </is>
      </c>
      <c r="B215" s="0" t="inlineStr">
        <is>
          <t>W26</t>
        </is>
      </c>
      <c r="C215" s="0" t="inlineStr">
        <is>
          <t>W27</t>
        </is>
      </c>
      <c r="D215" s="0" t="n">
        <v>97</v>
      </c>
    </row>
    <row r="216">
      <c r="A216" s="0" t="inlineStr">
        <is>
          <t>SIFT1M</t>
        </is>
      </c>
      <c r="B216" s="0" t="inlineStr">
        <is>
          <t>X26</t>
        </is>
      </c>
      <c r="C216" s="0" t="inlineStr">
        <is>
          <t>X27</t>
        </is>
      </c>
    </row>
    <row r="217">
      <c r="A217" s="0" t="inlineStr">
        <is>
          <t>SIFT1M</t>
        </is>
      </c>
      <c r="B217" s="0" t="inlineStr">
        <is>
          <t>Y26</t>
        </is>
      </c>
      <c r="C217" s="0" t="inlineStr">
        <is>
          <t>Y27</t>
        </is>
      </c>
    </row>
    <row r="218">
      <c r="A218" s="0" t="inlineStr">
        <is>
          <t>SIFT1M</t>
        </is>
      </c>
      <c r="B218" s="0" t="inlineStr">
        <is>
          <t>E27</t>
        </is>
      </c>
      <c r="C218" s="0" t="inlineStr">
        <is>
          <t>E28</t>
        </is>
      </c>
      <c r="D218" s="0" t="inlineStr">
        <is>
          <t>VO size</t>
        </is>
      </c>
    </row>
    <row r="219">
      <c r="A219" s="0" t="inlineStr">
        <is>
          <t>SIFT1M</t>
        </is>
      </c>
      <c r="B219" s="0" t="inlineStr">
        <is>
          <t>F27</t>
        </is>
      </c>
      <c r="C219" s="0" t="inlineStr">
        <is>
          <t>F28</t>
        </is>
      </c>
      <c r="D219" s="0" t="n">
        <v>196.643</v>
      </c>
    </row>
    <row r="220">
      <c r="A220" s="0" t="inlineStr">
        <is>
          <t>SIFT1M</t>
        </is>
      </c>
      <c r="B220" s="0" t="inlineStr">
        <is>
          <t>G27</t>
        </is>
      </c>
      <c r="C220" s="0" t="inlineStr">
        <is>
          <t>G28</t>
        </is>
      </c>
      <c r="D220" s="0" t="n">
        <v>196.643</v>
      </c>
    </row>
    <row r="221">
      <c r="A221" s="0" t="inlineStr">
        <is>
          <t>SIFT1M</t>
        </is>
      </c>
      <c r="B221" s="0" t="inlineStr">
        <is>
          <t>H27</t>
        </is>
      </c>
      <c r="C221" s="0" t="inlineStr">
        <is>
          <t>H28</t>
        </is>
      </c>
      <c r="D221" s="0" t="n">
        <v>196.643</v>
      </c>
    </row>
    <row r="222">
      <c r="A222" s="0" t="inlineStr">
        <is>
          <t>SIFT1M</t>
        </is>
      </c>
      <c r="B222" s="0" t="inlineStr">
        <is>
          <t>I27</t>
        </is>
      </c>
      <c r="C222" s="0" t="inlineStr">
        <is>
          <t>I28</t>
        </is>
      </c>
      <c r="D222" s="0" t="n">
        <v>196.643</v>
      </c>
    </row>
    <row r="223">
      <c r="A223" s="0" t="inlineStr">
        <is>
          <t>SIFT1M</t>
        </is>
      </c>
      <c r="B223" s="0" t="inlineStr">
        <is>
          <t>J27</t>
        </is>
      </c>
      <c r="C223" s="0" t="inlineStr">
        <is>
          <t>J28</t>
        </is>
      </c>
      <c r="D223" s="0" t="n">
        <v>196.067</v>
      </c>
    </row>
    <row r="224">
      <c r="A224" s="0" t="inlineStr">
        <is>
          <t>SIFT1M</t>
        </is>
      </c>
      <c r="B224" s="0" t="inlineStr">
        <is>
          <t>K27</t>
        </is>
      </c>
      <c r="C224" s="0" t="inlineStr">
        <is>
          <t>K28</t>
        </is>
      </c>
      <c r="D224" s="0" t="n">
        <v>196.067</v>
      </c>
    </row>
    <row r="225">
      <c r="A225" s="0" t="inlineStr">
        <is>
          <t>SIFT1M</t>
        </is>
      </c>
      <c r="B225" s="0" t="inlineStr">
        <is>
          <t>L27</t>
        </is>
      </c>
      <c r="C225" s="0" t="inlineStr">
        <is>
          <t>L28</t>
        </is>
      </c>
      <c r="D225" s="0" t="n">
        <v>196.067</v>
      </c>
    </row>
    <row r="226">
      <c r="A226" s="0" t="inlineStr">
        <is>
          <t>SIFT1M</t>
        </is>
      </c>
      <c r="B226" s="0" t="inlineStr">
        <is>
          <t>M27</t>
        </is>
      </c>
      <c r="C226" s="0" t="inlineStr">
        <is>
          <t>M28</t>
        </is>
      </c>
      <c r="D226" s="0" t="n">
        <v>196.067</v>
      </c>
    </row>
    <row r="227">
      <c r="A227" s="0" t="inlineStr">
        <is>
          <t>SIFT1M</t>
        </is>
      </c>
      <c r="B227" s="0" t="inlineStr">
        <is>
          <t>N27</t>
        </is>
      </c>
      <c r="C227" s="0" t="inlineStr">
        <is>
          <t>N28</t>
        </is>
      </c>
      <c r="D227" s="0" t="n">
        <v>211.816</v>
      </c>
    </row>
    <row r="228">
      <c r="A228" s="0" t="inlineStr">
        <is>
          <t>SIFT1M</t>
        </is>
      </c>
      <c r="B228" s="0" t="inlineStr">
        <is>
          <t>O27</t>
        </is>
      </c>
      <c r="C228" s="0" t="inlineStr">
        <is>
          <t>O28</t>
        </is>
      </c>
      <c r="D228" s="0" t="n">
        <v>235.675</v>
      </c>
    </row>
    <row r="229">
      <c r="A229" s="0" t="inlineStr">
        <is>
          <t>SIFT1M</t>
        </is>
      </c>
      <c r="B229" s="0" t="inlineStr">
        <is>
          <t>P27</t>
        </is>
      </c>
      <c r="C229" s="0" t="inlineStr">
        <is>
          <t>P28</t>
        </is>
      </c>
      <c r="D229" s="0" t="n">
        <v>235.675</v>
      </c>
    </row>
    <row r="230">
      <c r="A230" s="0" t="inlineStr">
        <is>
          <t>SIFT1M</t>
        </is>
      </c>
      <c r="B230" s="0" t="inlineStr">
        <is>
          <t>Q27</t>
        </is>
      </c>
      <c r="C230" s="0" t="inlineStr">
        <is>
          <t>Q28</t>
        </is>
      </c>
      <c r="D230" s="0" t="n">
        <v>235.675</v>
      </c>
    </row>
    <row r="231">
      <c r="A231" s="0" t="inlineStr">
        <is>
          <t>SIFT1M</t>
        </is>
      </c>
      <c r="B231" s="0" t="inlineStr">
        <is>
          <t>R27</t>
        </is>
      </c>
      <c r="C231" s="0" t="inlineStr">
        <is>
          <t>R28</t>
        </is>
      </c>
      <c r="D231" s="0" t="n">
        <v>270.381</v>
      </c>
    </row>
    <row r="232">
      <c r="A232" s="0" t="inlineStr">
        <is>
          <t>SIFT1M</t>
        </is>
      </c>
      <c r="B232" s="0" t="inlineStr">
        <is>
          <t>S27</t>
        </is>
      </c>
      <c r="C232" s="0" t="inlineStr">
        <is>
          <t>S28</t>
        </is>
      </c>
      <c r="D232" s="0" t="n">
        <v>270.381</v>
      </c>
    </row>
    <row r="233">
      <c r="A233" s="0" t="inlineStr">
        <is>
          <t>SIFT1M</t>
        </is>
      </c>
      <c r="B233" s="0" t="inlineStr">
        <is>
          <t>T27</t>
        </is>
      </c>
      <c r="C233" s="0" t="inlineStr">
        <is>
          <t>T28</t>
        </is>
      </c>
      <c r="D233" s="0" t="n">
        <v>335.917</v>
      </c>
    </row>
    <row r="234">
      <c r="A234" s="0" t="inlineStr">
        <is>
          <t>SIFT1M</t>
        </is>
      </c>
      <c r="B234" s="0" t="inlineStr">
        <is>
          <t>U27</t>
        </is>
      </c>
      <c r="C234" s="0" t="inlineStr">
        <is>
          <t>U28</t>
        </is>
      </c>
      <c r="D234" s="0" t="n">
        <v>344.128</v>
      </c>
    </row>
    <row r="235">
      <c r="A235" s="0" t="inlineStr">
        <is>
          <t>SIFT1M</t>
        </is>
      </c>
      <c r="B235" s="0" t="inlineStr">
        <is>
          <t>V27</t>
        </is>
      </c>
      <c r="C235" s="0" t="inlineStr">
        <is>
          <t>V28</t>
        </is>
      </c>
      <c r="D235" s="0" t="n">
        <v>483.411</v>
      </c>
    </row>
    <row r="236">
      <c r="A236" s="0" t="inlineStr">
        <is>
          <t>SIFT1M</t>
        </is>
      </c>
      <c r="B236" s="0" t="inlineStr">
        <is>
          <t>W27</t>
        </is>
      </c>
      <c r="C236" s="0" t="inlineStr">
        <is>
          <t>W28</t>
        </is>
      </c>
      <c r="D236" s="0" t="n">
        <v>753.766</v>
      </c>
    </row>
    <row r="237">
      <c r="A237" s="0" t="inlineStr">
        <is>
          <t>SIFT1M</t>
        </is>
      </c>
      <c r="B237" s="0" t="inlineStr">
        <is>
          <t>X27</t>
        </is>
      </c>
      <c r="C237" s="0" t="inlineStr">
        <is>
          <t>X28</t>
        </is>
      </c>
    </row>
    <row r="238">
      <c r="A238" s="0" t="inlineStr">
        <is>
          <t>SIFT1M</t>
        </is>
      </c>
      <c r="B238" s="0" t="inlineStr">
        <is>
          <t>Y27</t>
        </is>
      </c>
      <c r="C238" s="0" t="inlineStr">
        <is>
          <t>Y28</t>
        </is>
      </c>
    </row>
    <row r="239">
      <c r="A239" s="0" t="inlineStr">
        <is>
          <t>SIFT1M</t>
        </is>
      </c>
      <c r="B239" s="0" t="inlineStr">
        <is>
          <t>D28</t>
        </is>
      </c>
      <c r="C239" s="0" t="inlineStr">
        <is>
          <t>D31</t>
        </is>
      </c>
    </row>
    <row r="240">
      <c r="A240" s="0" t="inlineStr">
        <is>
          <t>SIFT1M</t>
        </is>
      </c>
      <c r="B240" s="0" t="inlineStr">
        <is>
          <t>E28</t>
        </is>
      </c>
      <c r="C240" s="0" t="inlineStr">
        <is>
          <t>E31</t>
        </is>
      </c>
      <c r="D240" s="0" t="inlineStr">
        <is>
          <t>Target Recall (%)</t>
        </is>
      </c>
    </row>
    <row r="241">
      <c r="A241" s="0" t="inlineStr">
        <is>
          <t>SIFT1M</t>
        </is>
      </c>
      <c r="B241" s="0" t="inlineStr">
        <is>
          <t>F28</t>
        </is>
      </c>
      <c r="C241" s="0" t="inlineStr">
        <is>
          <t>F31</t>
        </is>
      </c>
      <c r="D241" s="0" t="n">
        <v>15</v>
      </c>
    </row>
    <row r="242">
      <c r="A242" s="0" t="inlineStr">
        <is>
          <t>SIFT1M</t>
        </is>
      </c>
      <c r="B242" s="0" t="inlineStr">
        <is>
          <t>G28</t>
        </is>
      </c>
      <c r="C242" s="0" t="inlineStr">
        <is>
          <t>G31</t>
        </is>
      </c>
      <c r="D242" s="0" t="n">
        <v>20</v>
      </c>
    </row>
    <row r="243">
      <c r="A243" s="0" t="inlineStr">
        <is>
          <t>SIFT1M</t>
        </is>
      </c>
      <c r="B243" s="0" t="inlineStr">
        <is>
          <t>H28</t>
        </is>
      </c>
      <c r="C243" s="0" t="inlineStr">
        <is>
          <t>H31</t>
        </is>
      </c>
      <c r="D243" s="0" t="n">
        <v>25</v>
      </c>
    </row>
    <row r="244">
      <c r="A244" s="0" t="inlineStr">
        <is>
          <t>SIFT1M</t>
        </is>
      </c>
      <c r="B244" s="0" t="inlineStr">
        <is>
          <t>I28</t>
        </is>
      </c>
      <c r="C244" s="0" t="inlineStr">
        <is>
          <t>I31</t>
        </is>
      </c>
      <c r="D244" s="0" t="n">
        <v>30</v>
      </c>
    </row>
    <row r="245">
      <c r="A245" s="0" t="inlineStr">
        <is>
          <t>SIFT1M</t>
        </is>
      </c>
      <c r="B245" s="0" t="inlineStr">
        <is>
          <t>J28</t>
        </is>
      </c>
      <c r="C245" s="0" t="inlineStr">
        <is>
          <t>J31</t>
        </is>
      </c>
      <c r="D245" s="0" t="n">
        <v>35</v>
      </c>
    </row>
    <row r="246">
      <c r="A246" s="0" t="inlineStr">
        <is>
          <t>SIFT1M</t>
        </is>
      </c>
      <c r="B246" s="0" t="inlineStr">
        <is>
          <t>K28</t>
        </is>
      </c>
      <c r="C246" s="0" t="inlineStr">
        <is>
          <t>K31</t>
        </is>
      </c>
      <c r="D246" s="0" t="n">
        <v>40</v>
      </c>
    </row>
    <row r="247">
      <c r="A247" s="0" t="inlineStr">
        <is>
          <t>SIFT1M</t>
        </is>
      </c>
      <c r="B247" s="0" t="inlineStr">
        <is>
          <t>L28</t>
        </is>
      </c>
      <c r="C247" s="0" t="inlineStr">
        <is>
          <t>L31</t>
        </is>
      </c>
      <c r="D247" s="0" t="n">
        <v>45</v>
      </c>
    </row>
    <row r="248">
      <c r="A248" s="0" t="inlineStr">
        <is>
          <t>SIFT1M</t>
        </is>
      </c>
      <c r="B248" s="0" t="inlineStr">
        <is>
          <t>M28</t>
        </is>
      </c>
      <c r="C248" s="0" t="inlineStr">
        <is>
          <t>M31</t>
        </is>
      </c>
      <c r="D248" s="0" t="n">
        <v>50</v>
      </c>
    </row>
    <row r="249">
      <c r="A249" s="0" t="inlineStr">
        <is>
          <t>SIFT1M</t>
        </is>
      </c>
      <c r="B249" s="0" t="inlineStr">
        <is>
          <t>N28</t>
        </is>
      </c>
      <c r="C249" s="0" t="inlineStr">
        <is>
          <t>N31</t>
        </is>
      </c>
      <c r="D249" s="0" t="n">
        <v>55</v>
      </c>
    </row>
    <row r="250">
      <c r="A250" s="0" t="inlineStr">
        <is>
          <t>SIFT1M</t>
        </is>
      </c>
      <c r="B250" s="0" t="inlineStr">
        <is>
          <t>O28</t>
        </is>
      </c>
      <c r="C250" s="0" t="inlineStr">
        <is>
          <t>O31</t>
        </is>
      </c>
      <c r="D250" s="0" t="n">
        <v>60</v>
      </c>
    </row>
    <row r="251">
      <c r="A251" s="0" t="inlineStr">
        <is>
          <t>SIFT1M</t>
        </is>
      </c>
      <c r="B251" s="0" t="inlineStr">
        <is>
          <t>P28</t>
        </is>
      </c>
      <c r="C251" s="0" t="inlineStr">
        <is>
          <t>P31</t>
        </is>
      </c>
      <c r="D251" s="0" t="n">
        <v>65</v>
      </c>
    </row>
    <row r="252">
      <c r="A252" s="0" t="inlineStr">
        <is>
          <t>SIFT1M</t>
        </is>
      </c>
      <c r="B252" s="0" t="inlineStr">
        <is>
          <t>Q28</t>
        </is>
      </c>
      <c r="C252" s="0" t="inlineStr">
        <is>
          <t>Q31</t>
        </is>
      </c>
      <c r="D252" s="0" t="n">
        <v>70</v>
      </c>
    </row>
    <row r="253">
      <c r="A253" s="0" t="inlineStr">
        <is>
          <t>SIFT1M</t>
        </is>
      </c>
      <c r="B253" s="0" t="inlineStr">
        <is>
          <t>R28</t>
        </is>
      </c>
      <c r="C253" s="0" t="inlineStr">
        <is>
          <t>R31</t>
        </is>
      </c>
      <c r="D253" s="0" t="n">
        <v>75</v>
      </c>
    </row>
    <row r="254">
      <c r="A254" s="0" t="inlineStr">
        <is>
          <t>SIFT1M</t>
        </is>
      </c>
      <c r="B254" s="0" t="inlineStr">
        <is>
          <t>S28</t>
        </is>
      </c>
      <c r="C254" s="0" t="inlineStr">
        <is>
          <t>S31</t>
        </is>
      </c>
      <c r="D254" s="0" t="n">
        <v>80</v>
      </c>
    </row>
    <row r="255">
      <c r="A255" s="0" t="inlineStr">
        <is>
          <t>SIFT1M</t>
        </is>
      </c>
      <c r="B255" s="0" t="inlineStr">
        <is>
          <t>T28</t>
        </is>
      </c>
      <c r="C255" s="0" t="inlineStr">
        <is>
          <t>T31</t>
        </is>
      </c>
      <c r="D255" s="0" t="n">
        <v>85</v>
      </c>
    </row>
    <row r="256">
      <c r="A256" s="0" t="inlineStr">
        <is>
          <t>SIFT1M</t>
        </is>
      </c>
      <c r="B256" s="0" t="inlineStr">
        <is>
          <t>U28</t>
        </is>
      </c>
      <c r="C256" s="0" t="inlineStr">
        <is>
          <t>U31</t>
        </is>
      </c>
      <c r="D256" s="0" t="n">
        <v>90</v>
      </c>
    </row>
    <row r="257">
      <c r="A257" s="0" t="inlineStr">
        <is>
          <t>SIFT1M</t>
        </is>
      </c>
      <c r="B257" s="0" t="inlineStr">
        <is>
          <t>V28</t>
        </is>
      </c>
      <c r="C257" s="0" t="inlineStr">
        <is>
          <t>V31</t>
        </is>
      </c>
      <c r="D257" s="0" t="n">
        <v>95</v>
      </c>
    </row>
    <row r="258">
      <c r="A258" s="0" t="inlineStr">
        <is>
          <t>SIFT1M</t>
        </is>
      </c>
      <c r="B258" s="0" t="inlineStr">
        <is>
          <t>W28</t>
        </is>
      </c>
      <c r="C258" s="0" t="inlineStr">
        <is>
          <t>W31</t>
        </is>
      </c>
      <c r="D258" s="0" t="n">
        <v>97</v>
      </c>
    </row>
    <row r="259">
      <c r="A259" s="0" t="inlineStr">
        <is>
          <t>SIFT1M</t>
        </is>
      </c>
      <c r="B259" s="0" t="inlineStr">
        <is>
          <t>X28</t>
        </is>
      </c>
      <c r="C259" s="0" t="inlineStr">
        <is>
          <t>X31</t>
        </is>
      </c>
      <c r="D259" s="0" t="n">
        <v>98</v>
      </c>
    </row>
    <row r="260">
      <c r="A260" s="0" t="inlineStr">
        <is>
          <t>SIFT1M</t>
        </is>
      </c>
      <c r="B260" s="0" t="inlineStr">
        <is>
          <t>Y28</t>
        </is>
      </c>
      <c r="C260" s="0" t="inlineStr">
        <is>
          <t>Y31</t>
        </is>
      </c>
      <c r="D260" s="0" t="n">
        <v>99</v>
      </c>
    </row>
    <row r="261">
      <c r="A261" s="0" t="inlineStr">
        <is>
          <t>SIFT1M</t>
        </is>
      </c>
      <c r="B261" s="0" t="inlineStr">
        <is>
          <t>E29</t>
        </is>
      </c>
      <c r="C261" s="0" t="inlineStr">
        <is>
          <t>E32</t>
        </is>
      </c>
      <c r="D261" s="0" t="inlineStr">
        <is>
          <t>Recall@10 (change parameters enabling different recall rate) vs. verify time</t>
        </is>
      </c>
    </row>
    <row r="262">
      <c r="A262" s="0" t="inlineStr">
        <is>
          <t>SIFT1M</t>
        </is>
      </c>
      <c r="B262" s="0" t="inlineStr">
        <is>
          <t>D31</t>
        </is>
      </c>
      <c r="C262" s="0" t="inlineStr">
        <is>
          <t>D34</t>
        </is>
      </c>
      <c r="D262" s="0" t="inlineStr">
        <is>
          <t>SIFT1M</t>
        </is>
      </c>
    </row>
    <row r="263">
      <c r="A263" s="0" t="inlineStr">
        <is>
          <t>SIFT1M</t>
        </is>
      </c>
      <c r="B263" s="0" t="inlineStr">
        <is>
          <t>D32</t>
        </is>
      </c>
      <c r="C263" s="0" t="inlineStr">
        <is>
          <t>D35</t>
        </is>
      </c>
      <c r="D263" s="0" t="inlineStr">
        <is>
          <t>VLAH</t>
        </is>
      </c>
    </row>
    <row r="264">
      <c r="A264" s="0" t="inlineStr">
        <is>
          <t>SIFT1M</t>
        </is>
      </c>
      <c r="B264" s="0" t="inlineStr">
        <is>
          <t>E32</t>
        </is>
      </c>
      <c r="C264" s="0" t="inlineStr">
        <is>
          <t>E35</t>
        </is>
      </c>
      <c r="D264" s="0" t="inlineStr">
        <is>
          <t>Recall rate</t>
        </is>
      </c>
    </row>
    <row r="265">
      <c r="A265" s="0" t="inlineStr">
        <is>
          <t>SIFT1M</t>
        </is>
      </c>
      <c r="B265" s="0" t="inlineStr">
        <is>
          <t>F32</t>
        </is>
      </c>
      <c r="C265" s="0" t="inlineStr">
        <is>
          <t>F35</t>
        </is>
      </c>
      <c r="D265" s="0" t="n">
        <v>38</v>
      </c>
    </row>
    <row r="266">
      <c r="A266" s="0" t="inlineStr">
        <is>
          <t>SIFT1M</t>
        </is>
      </c>
      <c r="B266" s="0" t="inlineStr">
        <is>
          <t>G32</t>
        </is>
      </c>
      <c r="C266" s="0" t="inlineStr">
        <is>
          <t>G35</t>
        </is>
      </c>
      <c r="D266" s="0" t="n">
        <v>38</v>
      </c>
    </row>
    <row r="267">
      <c r="A267" s="0" t="inlineStr">
        <is>
          <t>SIFT1M</t>
        </is>
      </c>
      <c r="B267" s="0" t="inlineStr">
        <is>
          <t>H32</t>
        </is>
      </c>
      <c r="C267" s="0" t="inlineStr">
        <is>
          <t>H35</t>
        </is>
      </c>
      <c r="D267" s="0" t="n">
        <v>38</v>
      </c>
    </row>
    <row r="268">
      <c r="A268" s="0" t="inlineStr">
        <is>
          <t>SIFT1M</t>
        </is>
      </c>
      <c r="B268" s="0" t="inlineStr">
        <is>
          <t>I32</t>
        </is>
      </c>
      <c r="C268" s="0" t="inlineStr">
        <is>
          <t>I35</t>
        </is>
      </c>
      <c r="D268" s="0" t="n">
        <v>38</v>
      </c>
    </row>
    <row r="269">
      <c r="A269" s="0" t="inlineStr">
        <is>
          <t>SIFT1M</t>
        </is>
      </c>
      <c r="B269" s="0" t="inlineStr">
        <is>
          <t>J32</t>
        </is>
      </c>
      <c r="C269" s="0" t="inlineStr">
        <is>
          <t>J35</t>
        </is>
      </c>
      <c r="D269" s="0" t="n">
        <v>38</v>
      </c>
    </row>
    <row r="270">
      <c r="A270" s="0" t="inlineStr">
        <is>
          <t>SIFT1M</t>
        </is>
      </c>
      <c r="B270" s="0" t="inlineStr">
        <is>
          <t>K32</t>
        </is>
      </c>
      <c r="C270" s="0" t="inlineStr">
        <is>
          <t>K35</t>
        </is>
      </c>
      <c r="D270" s="0" t="n">
        <v>42.5</v>
      </c>
    </row>
    <row r="271">
      <c r="A271" s="0" t="inlineStr">
        <is>
          <t>SIFT1M</t>
        </is>
      </c>
      <c r="B271" s="0" t="inlineStr">
        <is>
          <t>L32</t>
        </is>
      </c>
      <c r="C271" s="0" t="inlineStr">
        <is>
          <t>L35</t>
        </is>
      </c>
      <c r="D271" s="0" t="n">
        <v>50.5</v>
      </c>
    </row>
    <row r="272">
      <c r="A272" s="0" t="inlineStr">
        <is>
          <t>SIFT1M</t>
        </is>
      </c>
      <c r="B272" s="0" t="inlineStr">
        <is>
          <t>M32</t>
        </is>
      </c>
      <c r="C272" s="0" t="inlineStr">
        <is>
          <t>M35</t>
        </is>
      </c>
      <c r="D272" s="0" t="n">
        <v>50.5</v>
      </c>
    </row>
    <row r="273">
      <c r="A273" s="0" t="inlineStr">
        <is>
          <t>SIFT1M</t>
        </is>
      </c>
      <c r="B273" s="0" t="inlineStr">
        <is>
          <t>N32</t>
        </is>
      </c>
      <c r="C273" s="0" t="inlineStr">
        <is>
          <t>N35</t>
        </is>
      </c>
      <c r="D273" s="0" t="n">
        <v>55</v>
      </c>
    </row>
    <row r="274">
      <c r="A274" s="0" t="inlineStr">
        <is>
          <t>SIFT1M</t>
        </is>
      </c>
      <c r="B274" s="0" t="inlineStr">
        <is>
          <t>O32</t>
        </is>
      </c>
      <c r="C274" s="0" t="inlineStr">
        <is>
          <t>O35</t>
        </is>
      </c>
      <c r="D274" s="0" t="n">
        <v>60.7</v>
      </c>
    </row>
    <row r="275">
      <c r="A275" s="0" t="inlineStr">
        <is>
          <t>SIFT1M</t>
        </is>
      </c>
      <c r="B275" s="0" t="inlineStr">
        <is>
          <t>P32</t>
        </is>
      </c>
      <c r="C275" s="0" t="inlineStr">
        <is>
          <t>P35</t>
        </is>
      </c>
      <c r="D275" s="0" t="n">
        <v>65.40000000000001</v>
      </c>
    </row>
    <row r="276">
      <c r="A276" s="0" t="inlineStr">
        <is>
          <t>SIFT1M</t>
        </is>
      </c>
      <c r="B276" s="0" t="inlineStr">
        <is>
          <t>Q32</t>
        </is>
      </c>
      <c r="C276" s="0" t="inlineStr">
        <is>
          <t>Q35</t>
        </is>
      </c>
      <c r="D276" s="0" t="n">
        <v>70.8</v>
      </c>
    </row>
    <row r="277">
      <c r="A277" s="0" t="inlineStr">
        <is>
          <t>SIFT1M</t>
        </is>
      </c>
      <c r="B277" s="0" t="inlineStr">
        <is>
          <t>R32</t>
        </is>
      </c>
      <c r="C277" s="0" t="inlineStr">
        <is>
          <t>R35</t>
        </is>
      </c>
      <c r="D277" s="0" t="n">
        <v>75</v>
      </c>
    </row>
    <row r="278">
      <c r="A278" s="0" t="inlineStr">
        <is>
          <t>SIFT1M</t>
        </is>
      </c>
      <c r="B278" s="0" t="inlineStr">
        <is>
          <t>S32</t>
        </is>
      </c>
      <c r="C278" s="0" t="inlineStr">
        <is>
          <t>S35</t>
        </is>
      </c>
      <c r="D278" s="0" t="n">
        <v>80</v>
      </c>
    </row>
    <row r="279">
      <c r="A279" s="0" t="inlineStr">
        <is>
          <t>SIFT1M</t>
        </is>
      </c>
      <c r="B279" s="0" t="inlineStr">
        <is>
          <t>T32</t>
        </is>
      </c>
      <c r="C279" s="0" t="inlineStr">
        <is>
          <t>T35</t>
        </is>
      </c>
      <c r="D279" s="0" t="n">
        <v>85</v>
      </c>
    </row>
    <row r="280">
      <c r="A280" s="0" t="inlineStr">
        <is>
          <t>SIFT1M</t>
        </is>
      </c>
      <c r="B280" s="0" t="inlineStr">
        <is>
          <t>U32</t>
        </is>
      </c>
      <c r="C280" s="0" t="inlineStr">
        <is>
          <t>U35</t>
        </is>
      </c>
      <c r="D280" s="0" t="n">
        <v>90.3</v>
      </c>
    </row>
    <row r="281">
      <c r="A281" s="0" t="inlineStr">
        <is>
          <t>SIFT1M</t>
        </is>
      </c>
      <c r="B281" s="0" t="inlineStr">
        <is>
          <t>V32</t>
        </is>
      </c>
      <c r="C281" s="0" t="inlineStr">
        <is>
          <t>V35</t>
        </is>
      </c>
      <c r="D281" s="0" t="n">
        <v>95.2</v>
      </c>
    </row>
    <row r="282">
      <c r="A282" s="0" t="inlineStr">
        <is>
          <t>SIFT1M</t>
        </is>
      </c>
      <c r="B282" s="0" t="inlineStr">
        <is>
          <t>W32</t>
        </is>
      </c>
      <c r="C282" s="0" t="inlineStr">
        <is>
          <t>W35</t>
        </is>
      </c>
      <c r="D282" s="0" t="n">
        <v>97.2</v>
      </c>
    </row>
    <row r="283">
      <c r="A283" s="0" t="inlineStr">
        <is>
          <t>SIFT1M</t>
        </is>
      </c>
      <c r="B283" s="0" t="inlineStr">
        <is>
          <t>X32</t>
        </is>
      </c>
      <c r="C283" s="0" t="inlineStr">
        <is>
          <t>X35</t>
        </is>
      </c>
      <c r="D283" s="0" t="n">
        <v>98</v>
      </c>
    </row>
    <row r="284">
      <c r="A284" s="0" t="inlineStr">
        <is>
          <t>SIFT1M</t>
        </is>
      </c>
      <c r="B284" s="0" t="inlineStr">
        <is>
          <t>Y32</t>
        </is>
      </c>
      <c r="C284" s="0" t="inlineStr">
        <is>
          <t>Y35</t>
        </is>
      </c>
      <c r="D284" s="0" t="n">
        <v>99.09999999999999</v>
      </c>
    </row>
    <row r="285">
      <c r="A285" s="0" t="inlineStr">
        <is>
          <t>SIFT1M</t>
        </is>
      </c>
      <c r="B285" s="0" t="inlineStr">
        <is>
          <t>E33</t>
        </is>
      </c>
      <c r="C285" s="0" t="inlineStr">
        <is>
          <t>E36</t>
        </is>
      </c>
      <c r="D285" s="0" t="inlineStr">
        <is>
          <t>verify time</t>
        </is>
      </c>
    </row>
    <row r="286">
      <c r="A286" s="0" t="inlineStr">
        <is>
          <t>SIFT1M</t>
        </is>
      </c>
      <c r="B286" s="0" t="inlineStr">
        <is>
          <t>F33</t>
        </is>
      </c>
      <c r="C286" s="0" t="inlineStr">
        <is>
          <t>F36</t>
        </is>
      </c>
      <c r="D286" s="0" t="n">
        <v>3.55255883333333</v>
      </c>
    </row>
    <row r="287">
      <c r="A287" s="0" t="inlineStr">
        <is>
          <t>SIFT1M</t>
        </is>
      </c>
      <c r="B287" s="0" t="inlineStr">
        <is>
          <t>G33</t>
        </is>
      </c>
      <c r="C287" s="0" t="inlineStr">
        <is>
          <t>G36</t>
        </is>
      </c>
      <c r="D287" s="0" t="n">
        <v>3.55255883333333</v>
      </c>
    </row>
    <row r="288">
      <c r="A288" s="0" t="inlineStr">
        <is>
          <t>SIFT1M</t>
        </is>
      </c>
      <c r="B288" s="0" t="inlineStr">
        <is>
          <t>H33</t>
        </is>
      </c>
      <c r="C288" s="0" t="inlineStr">
        <is>
          <t>H36</t>
        </is>
      </c>
      <c r="D288" s="0" t="n">
        <v>3.55255883333333</v>
      </c>
    </row>
    <row r="289">
      <c r="A289" s="0" t="inlineStr">
        <is>
          <t>SIFT1M</t>
        </is>
      </c>
      <c r="B289" s="0" t="inlineStr">
        <is>
          <t>I33</t>
        </is>
      </c>
      <c r="C289" s="0" t="inlineStr">
        <is>
          <t>I36</t>
        </is>
      </c>
      <c r="D289" s="0" t="n">
        <v>3.55255883333333</v>
      </c>
    </row>
    <row r="290">
      <c r="A290" s="0" t="inlineStr">
        <is>
          <t>SIFT1M</t>
        </is>
      </c>
      <c r="B290" s="0" t="inlineStr">
        <is>
          <t>J33</t>
        </is>
      </c>
      <c r="C290" s="0" t="inlineStr">
        <is>
          <t>J36</t>
        </is>
      </c>
      <c r="D290" s="0" t="n">
        <v>3.55255883333333</v>
      </c>
    </row>
    <row r="291">
      <c r="A291" s="0" t="inlineStr">
        <is>
          <t>SIFT1M</t>
        </is>
      </c>
      <c r="B291" s="0" t="inlineStr">
        <is>
          <t>K33</t>
        </is>
      </c>
      <c r="C291" s="0" t="inlineStr">
        <is>
          <t>K36</t>
        </is>
      </c>
      <c r="D291" s="0" t="n">
        <v>7.15511848333333</v>
      </c>
    </row>
    <row r="292">
      <c r="A292" s="0" t="inlineStr">
        <is>
          <t>SIFT1M</t>
        </is>
      </c>
      <c r="B292" s="0" t="inlineStr">
        <is>
          <t>L33</t>
        </is>
      </c>
      <c r="C292" s="0" t="inlineStr">
        <is>
          <t>L36</t>
        </is>
      </c>
      <c r="D292" s="0" t="n">
        <v>10.8073846</v>
      </c>
    </row>
    <row r="293">
      <c r="A293" s="0" t="inlineStr">
        <is>
          <t>SIFT1M</t>
        </is>
      </c>
      <c r="B293" s="0" t="inlineStr">
        <is>
          <t>M33</t>
        </is>
      </c>
      <c r="C293" s="0" t="inlineStr">
        <is>
          <t>M36</t>
        </is>
      </c>
      <c r="D293" s="0" t="n">
        <v>10.8073846</v>
      </c>
    </row>
    <row r="294">
      <c r="A294" s="0" t="inlineStr">
        <is>
          <t>SIFT1M</t>
        </is>
      </c>
      <c r="B294" s="0" t="inlineStr">
        <is>
          <t>N33</t>
        </is>
      </c>
      <c r="C294" s="0" t="inlineStr">
        <is>
          <t>N36</t>
        </is>
      </c>
      <c r="D294" s="0" t="n">
        <v>18.1088253333333</v>
      </c>
    </row>
    <row r="295">
      <c r="A295" s="0" t="inlineStr">
        <is>
          <t>SIFT1M</t>
        </is>
      </c>
      <c r="B295" s="0" t="inlineStr">
        <is>
          <t>O33</t>
        </is>
      </c>
      <c r="C295" s="0" t="inlineStr">
        <is>
          <t>O36</t>
        </is>
      </c>
      <c r="D295" s="0" t="n">
        <v>45.3004235666667</v>
      </c>
    </row>
    <row r="296">
      <c r="A296" s="0" t="inlineStr">
        <is>
          <t>SIFT1M</t>
        </is>
      </c>
      <c r="B296" s="0" t="inlineStr">
        <is>
          <t>P33</t>
        </is>
      </c>
      <c r="C296" s="0" t="inlineStr">
        <is>
          <t>P36</t>
        </is>
      </c>
      <c r="D296" s="0" t="n">
        <v>53.9443851833333</v>
      </c>
    </row>
    <row r="297">
      <c r="A297" s="0" t="inlineStr">
        <is>
          <t>SIFT1M</t>
        </is>
      </c>
      <c r="B297" s="0" t="inlineStr">
        <is>
          <t>Q33</t>
        </is>
      </c>
      <c r="C297" s="0" t="inlineStr">
        <is>
          <t>Q36</t>
        </is>
      </c>
      <c r="D297" s="0" t="n">
        <v>70.0221579833333</v>
      </c>
    </row>
    <row r="298">
      <c r="A298" s="0" t="inlineStr">
        <is>
          <t>SIFT1M</t>
        </is>
      </c>
      <c r="B298" s="0" t="inlineStr">
        <is>
          <t>R33</t>
        </is>
      </c>
      <c r="C298" s="0" t="inlineStr">
        <is>
          <t>R36</t>
        </is>
      </c>
      <c r="D298" s="0" t="n">
        <v>78.27115032</v>
      </c>
    </row>
    <row r="299">
      <c r="A299" s="0" t="inlineStr">
        <is>
          <t>SIFT1M</t>
        </is>
      </c>
      <c r="B299" s="0" t="inlineStr">
        <is>
          <t>S33</t>
        </is>
      </c>
      <c r="C299" s="0" t="inlineStr">
        <is>
          <t>S36</t>
        </is>
      </c>
      <c r="D299" s="0" t="n">
        <v>97.75630345</v>
      </c>
    </row>
    <row r="300">
      <c r="A300" s="0" t="inlineStr">
        <is>
          <t>SIFT1M</t>
        </is>
      </c>
      <c r="B300" s="0" t="inlineStr">
        <is>
          <t>T33</t>
        </is>
      </c>
      <c r="C300" s="0" t="inlineStr">
        <is>
          <t>T36</t>
        </is>
      </c>
      <c r="D300" s="0" t="n">
        <v>109.452387803333</v>
      </c>
    </row>
    <row r="301">
      <c r="A301" s="0" t="inlineStr">
        <is>
          <t>SIFT1M</t>
        </is>
      </c>
      <c r="B301" s="0" t="inlineStr">
        <is>
          <t>U33</t>
        </is>
      </c>
      <c r="C301" s="0" t="inlineStr">
        <is>
          <t>U36</t>
        </is>
      </c>
      <c r="D301" s="0" t="n">
        <v>127.420139816667</v>
      </c>
    </row>
    <row r="302">
      <c r="A302" s="0" t="inlineStr">
        <is>
          <t>SIFT1M</t>
        </is>
      </c>
      <c r="B302" s="0" t="inlineStr">
        <is>
          <t>V33</t>
        </is>
      </c>
      <c r="C302" s="0" t="inlineStr">
        <is>
          <t>V36</t>
        </is>
      </c>
      <c r="D302" s="0" t="n">
        <v>150.39012002</v>
      </c>
    </row>
    <row r="303">
      <c r="A303" s="0" t="inlineStr">
        <is>
          <t>SIFT1M</t>
        </is>
      </c>
      <c r="B303" s="0" t="inlineStr">
        <is>
          <t>W33</t>
        </is>
      </c>
      <c r="C303" s="0" t="inlineStr">
        <is>
          <t>W36</t>
        </is>
      </c>
      <c r="D303" s="0" t="n">
        <v>158.266914293333</v>
      </c>
    </row>
    <row r="304">
      <c r="A304" s="0" t="inlineStr">
        <is>
          <t>SIFT1M</t>
        </is>
      </c>
      <c r="B304" s="0" t="inlineStr">
        <is>
          <t>X33</t>
        </is>
      </c>
      <c r="C304" s="0" t="inlineStr">
        <is>
          <t>X36</t>
        </is>
      </c>
      <c r="D304" s="0" t="n">
        <v>167.846554113333</v>
      </c>
    </row>
    <row r="305">
      <c r="A305" s="0" t="inlineStr">
        <is>
          <t>SIFT1M</t>
        </is>
      </c>
      <c r="B305" s="0" t="inlineStr">
        <is>
          <t>Y33</t>
        </is>
      </c>
      <c r="C305" s="0" t="inlineStr">
        <is>
          <t>Y36</t>
        </is>
      </c>
      <c r="D305" s="0" t="n">
        <v>176.97110718</v>
      </c>
    </row>
    <row r="306">
      <c r="A306" s="0" t="inlineStr">
        <is>
          <t>SIFT1M</t>
        </is>
      </c>
      <c r="B306" s="0" t="inlineStr">
        <is>
          <t>D34</t>
        </is>
      </c>
      <c r="C306" s="0" t="inlineStr">
        <is>
          <t>D37</t>
        </is>
      </c>
      <c r="D306" s="0" t="inlineStr">
        <is>
          <t>ANNProof</t>
        </is>
      </c>
    </row>
    <row r="307">
      <c r="A307" s="0" t="inlineStr">
        <is>
          <t>SIFT1M</t>
        </is>
      </c>
      <c r="B307" s="0" t="inlineStr">
        <is>
          <t>E34</t>
        </is>
      </c>
      <c r="C307" s="0" t="inlineStr">
        <is>
          <t>E37</t>
        </is>
      </c>
      <c r="D307" s="0" t="inlineStr">
        <is>
          <t>Recall rate</t>
        </is>
      </c>
    </row>
    <row r="308">
      <c r="A308" s="0" t="inlineStr">
        <is>
          <t>SIFT1M</t>
        </is>
      </c>
      <c r="B308" s="0" t="inlineStr">
        <is>
          <t>F34</t>
        </is>
      </c>
      <c r="C308" s="0" t="inlineStr">
        <is>
          <t>F37</t>
        </is>
      </c>
      <c r="D308" s="0" t="n">
        <v>67.5</v>
      </c>
    </row>
    <row r="309">
      <c r="A309" s="0" t="inlineStr">
        <is>
          <t>SIFT1M</t>
        </is>
      </c>
      <c r="B309" s="0" t="inlineStr">
        <is>
          <t>G34</t>
        </is>
      </c>
      <c r="C309" s="0" t="inlineStr">
        <is>
          <t>G37</t>
        </is>
      </c>
      <c r="D309" s="0" t="n">
        <v>67.5</v>
      </c>
    </row>
    <row r="310">
      <c r="A310" s="0" t="inlineStr">
        <is>
          <t>SIFT1M</t>
        </is>
      </c>
      <c r="B310" s="0" t="inlineStr">
        <is>
          <t>H34</t>
        </is>
      </c>
      <c r="C310" s="0" t="inlineStr">
        <is>
          <t>H37</t>
        </is>
      </c>
      <c r="D310" s="0" t="n">
        <v>67.5</v>
      </c>
    </row>
    <row r="311">
      <c r="A311" s="0" t="inlineStr">
        <is>
          <t>SIFT1M</t>
        </is>
      </c>
      <c r="B311" s="0" t="inlineStr">
        <is>
          <t>I34</t>
        </is>
      </c>
      <c r="C311" s="0" t="inlineStr">
        <is>
          <t>I37</t>
        </is>
      </c>
      <c r="D311" s="0" t="n">
        <v>67.5</v>
      </c>
    </row>
    <row r="312">
      <c r="A312" s="0" t="inlineStr">
        <is>
          <t>SIFT1M</t>
        </is>
      </c>
      <c r="B312" s="0" t="inlineStr">
        <is>
          <t>J34</t>
        </is>
      </c>
      <c r="C312" s="0" t="inlineStr">
        <is>
          <t>J37</t>
        </is>
      </c>
      <c r="D312" s="0" t="n">
        <v>67.5</v>
      </c>
    </row>
    <row r="313">
      <c r="A313" s="0" t="inlineStr">
        <is>
          <t>SIFT1M</t>
        </is>
      </c>
      <c r="B313" s="0" t="inlineStr">
        <is>
          <t>K34</t>
        </is>
      </c>
      <c r="C313" s="0" t="inlineStr">
        <is>
          <t>K37</t>
        </is>
      </c>
      <c r="D313" s="0" t="n">
        <v>67.5</v>
      </c>
    </row>
    <row r="314">
      <c r="A314" s="0" t="inlineStr">
        <is>
          <t>SIFT1M</t>
        </is>
      </c>
      <c r="B314" s="0" t="inlineStr">
        <is>
          <t>L34</t>
        </is>
      </c>
      <c r="C314" s="0" t="inlineStr">
        <is>
          <t>L37</t>
        </is>
      </c>
      <c r="D314" s="0" t="n">
        <v>67.5</v>
      </c>
    </row>
    <row r="315">
      <c r="A315" s="0" t="inlineStr">
        <is>
          <t>SIFT1M</t>
        </is>
      </c>
      <c r="B315" s="0" t="inlineStr">
        <is>
          <t>M34</t>
        </is>
      </c>
      <c r="C315" s="0" t="inlineStr">
        <is>
          <t>M37</t>
        </is>
      </c>
      <c r="D315" s="0" t="n">
        <v>67.5</v>
      </c>
    </row>
    <row r="316">
      <c r="A316" s="0" t="inlineStr">
        <is>
          <t>SIFT1M</t>
        </is>
      </c>
      <c r="B316" s="0" t="inlineStr">
        <is>
          <t>N34</t>
        </is>
      </c>
      <c r="C316" s="0" t="inlineStr">
        <is>
          <t>N37</t>
        </is>
      </c>
      <c r="D316" s="0" t="n">
        <v>67.5</v>
      </c>
    </row>
    <row r="317">
      <c r="A317" s="0" t="inlineStr">
        <is>
          <t>SIFT1M</t>
        </is>
      </c>
      <c r="B317" s="0" t="inlineStr">
        <is>
          <t>O34</t>
        </is>
      </c>
      <c r="C317" s="0" t="inlineStr">
        <is>
          <t>O37</t>
        </is>
      </c>
      <c r="D317" s="0" t="n">
        <v>62.1</v>
      </c>
    </row>
    <row r="318">
      <c r="A318" s="0" t="inlineStr">
        <is>
          <t>SIFT1M</t>
        </is>
      </c>
      <c r="B318" s="0" t="inlineStr">
        <is>
          <t>P34</t>
        </is>
      </c>
      <c r="C318" s="0" t="inlineStr">
        <is>
          <t>P37</t>
        </is>
      </c>
      <c r="D318" s="0" t="n">
        <v>66.7</v>
      </c>
    </row>
    <row r="319">
      <c r="A319" s="0" t="inlineStr">
        <is>
          <t>SIFT1M</t>
        </is>
      </c>
      <c r="B319" s="0" t="inlineStr">
        <is>
          <t>Q34</t>
        </is>
      </c>
      <c r="C319" s="0" t="inlineStr">
        <is>
          <t>Q37</t>
        </is>
      </c>
      <c r="D319" s="0" t="n">
        <v>71.59999999999999</v>
      </c>
    </row>
    <row r="320">
      <c r="A320" s="0" t="inlineStr">
        <is>
          <t>SIFT1M</t>
        </is>
      </c>
      <c r="B320" s="0" t="inlineStr">
        <is>
          <t>R34</t>
        </is>
      </c>
      <c r="C320" s="0" t="inlineStr">
        <is>
          <t>R37</t>
        </is>
      </c>
      <c r="D320" s="0" t="n">
        <v>75.59999999999999</v>
      </c>
    </row>
    <row r="321">
      <c r="A321" s="0" t="inlineStr">
        <is>
          <t>SIFT1M</t>
        </is>
      </c>
      <c r="B321" s="0" t="inlineStr">
        <is>
          <t>S34</t>
        </is>
      </c>
      <c r="C321" s="0" t="inlineStr">
        <is>
          <t>S37</t>
        </is>
      </c>
      <c r="D321" s="0" t="n">
        <v>81.40000000000001</v>
      </c>
    </row>
    <row r="322">
      <c r="A322" s="0" t="inlineStr">
        <is>
          <t>SIFT1M</t>
        </is>
      </c>
      <c r="B322" s="0" t="inlineStr">
        <is>
          <t>T34</t>
        </is>
      </c>
      <c r="C322" s="0" t="inlineStr">
        <is>
          <t>T37</t>
        </is>
      </c>
      <c r="D322" s="0" t="n">
        <v>86.5</v>
      </c>
    </row>
    <row r="323">
      <c r="A323" s="0" t="inlineStr">
        <is>
          <t>SIFT1M</t>
        </is>
      </c>
      <c r="B323" s="0" t="inlineStr">
        <is>
          <t>U34</t>
        </is>
      </c>
      <c r="C323" s="0" t="inlineStr">
        <is>
          <t>U37</t>
        </is>
      </c>
      <c r="D323" s="0" t="n">
        <v>90.2</v>
      </c>
    </row>
    <row r="324">
      <c r="A324" s="0" t="inlineStr">
        <is>
          <t>SIFT1M</t>
        </is>
      </c>
      <c r="B324" s="0" t="inlineStr">
        <is>
          <t>V34</t>
        </is>
      </c>
      <c r="C324" s="0" t="inlineStr">
        <is>
          <t>V37</t>
        </is>
      </c>
      <c r="D324" s="0" t="n">
        <v>95.09999999999999</v>
      </c>
    </row>
    <row r="325">
      <c r="A325" s="0" t="inlineStr">
        <is>
          <t>SIFT1M</t>
        </is>
      </c>
      <c r="B325" s="0" t="inlineStr">
        <is>
          <t>W34</t>
        </is>
      </c>
      <c r="C325" s="0" t="inlineStr">
        <is>
          <t>W37</t>
        </is>
      </c>
      <c r="D325" s="0" t="n">
        <v>97.3</v>
      </c>
    </row>
    <row r="326">
      <c r="A326" s="0" t="inlineStr">
        <is>
          <t>SIFT1M</t>
        </is>
      </c>
      <c r="B326" s="0" t="inlineStr">
        <is>
          <t>X34</t>
        </is>
      </c>
      <c r="C326" s="0" t="inlineStr">
        <is>
          <t>X37</t>
        </is>
      </c>
      <c r="D326" s="0" t="n">
        <v>98.09999999999999</v>
      </c>
    </row>
    <row r="327">
      <c r="A327" s="0" t="inlineStr">
        <is>
          <t>SIFT1M</t>
        </is>
      </c>
      <c r="B327" s="0" t="inlineStr">
        <is>
          <t>Y34</t>
        </is>
      </c>
      <c r="C327" s="0" t="inlineStr">
        <is>
          <t>Y37</t>
        </is>
      </c>
      <c r="D327" s="0" t="n">
        <v>99</v>
      </c>
    </row>
    <row r="328">
      <c r="A328" s="0" t="inlineStr">
        <is>
          <t>SIFT1M</t>
        </is>
      </c>
      <c r="B328" s="0" t="inlineStr">
        <is>
          <t>E35</t>
        </is>
      </c>
      <c r="C328" s="0" t="inlineStr">
        <is>
          <t>E38</t>
        </is>
      </c>
      <c r="D328" s="0" t="inlineStr">
        <is>
          <t>verify time</t>
        </is>
      </c>
    </row>
    <row r="329">
      <c r="A329" s="0" t="inlineStr">
        <is>
          <t>SIFT1M</t>
        </is>
      </c>
      <c r="B329" s="0" t="inlineStr">
        <is>
          <t>F35</t>
        </is>
      </c>
      <c r="C329" s="0" t="inlineStr">
        <is>
          <t>F38</t>
        </is>
      </c>
      <c r="D329" s="0" t="n">
        <v>2.8806561</v>
      </c>
    </row>
    <row r="330">
      <c r="A330" s="0" t="inlineStr">
        <is>
          <t>SIFT1M</t>
        </is>
      </c>
      <c r="B330" s="0" t="inlineStr">
        <is>
          <t>G35</t>
        </is>
      </c>
      <c r="C330" s="0" t="inlineStr">
        <is>
          <t>G38</t>
        </is>
      </c>
      <c r="D330" s="0" t="n">
        <v>2.8806561</v>
      </c>
    </row>
    <row r="331">
      <c r="A331" s="0" t="inlineStr">
        <is>
          <t>SIFT1M</t>
        </is>
      </c>
      <c r="B331" s="0" t="inlineStr">
        <is>
          <t>H35</t>
        </is>
      </c>
      <c r="C331" s="0" t="inlineStr">
        <is>
          <t>H38</t>
        </is>
      </c>
      <c r="D331" s="0" t="n">
        <v>2.8806561</v>
      </c>
    </row>
    <row r="332">
      <c r="A332" s="0" t="inlineStr">
        <is>
          <t>SIFT1M</t>
        </is>
      </c>
      <c r="B332" s="0" t="inlineStr">
        <is>
          <t>I35</t>
        </is>
      </c>
      <c r="C332" s="0" t="inlineStr">
        <is>
          <t>I38</t>
        </is>
      </c>
      <c r="D332" s="0" t="n">
        <v>2.8806561</v>
      </c>
    </row>
    <row r="333">
      <c r="A333" s="0" t="inlineStr">
        <is>
          <t>SIFT1M</t>
        </is>
      </c>
      <c r="B333" s="0" t="inlineStr">
        <is>
          <t>J35</t>
        </is>
      </c>
      <c r="C333" s="0" t="inlineStr">
        <is>
          <t>J38</t>
        </is>
      </c>
      <c r="D333" s="0" t="n">
        <v>2.8806561</v>
      </c>
    </row>
    <row r="334">
      <c r="A334" s="0" t="inlineStr">
        <is>
          <t>SIFT1M</t>
        </is>
      </c>
      <c r="B334" s="0" t="inlineStr">
        <is>
          <t>K35</t>
        </is>
      </c>
      <c r="C334" s="0" t="inlineStr">
        <is>
          <t>K38</t>
        </is>
      </c>
      <c r="D334" s="0" t="n">
        <v>2.8806561</v>
      </c>
    </row>
    <row r="335">
      <c r="A335" s="0" t="inlineStr">
        <is>
          <t>SIFT1M</t>
        </is>
      </c>
      <c r="B335" s="0" t="inlineStr">
        <is>
          <t>L35</t>
        </is>
      </c>
      <c r="C335" s="0" t="inlineStr">
        <is>
          <t>L38</t>
        </is>
      </c>
      <c r="D335" s="0" t="n">
        <v>2.8806561</v>
      </c>
    </row>
    <row r="336">
      <c r="A336" s="0" t="inlineStr">
        <is>
          <t>SIFT1M</t>
        </is>
      </c>
      <c r="B336" s="0" t="inlineStr">
        <is>
          <t>M35</t>
        </is>
      </c>
      <c r="C336" s="0" t="inlineStr">
        <is>
          <t>M38</t>
        </is>
      </c>
      <c r="D336" s="0" t="n">
        <v>2.8806561</v>
      </c>
    </row>
    <row r="337">
      <c r="A337" s="0" t="inlineStr">
        <is>
          <t>SIFT1M</t>
        </is>
      </c>
      <c r="B337" s="0" t="inlineStr">
        <is>
          <t>N35</t>
        </is>
      </c>
      <c r="C337" s="0" t="inlineStr">
        <is>
          <t>N38</t>
        </is>
      </c>
      <c r="D337" s="0" t="n">
        <v>2.8806561</v>
      </c>
    </row>
    <row r="338">
      <c r="A338" s="0" t="inlineStr">
        <is>
          <t>SIFT1M</t>
        </is>
      </c>
      <c r="B338" s="0" t="inlineStr">
        <is>
          <t>O35</t>
        </is>
      </c>
      <c r="C338" s="0" t="inlineStr">
        <is>
          <t>O38</t>
        </is>
      </c>
      <c r="D338" s="0" t="n">
        <v>3.80049899333333</v>
      </c>
    </row>
    <row r="339">
      <c r="A339" s="0" t="inlineStr">
        <is>
          <t>SIFT1M</t>
        </is>
      </c>
      <c r="B339" s="0" t="inlineStr">
        <is>
          <t>P35</t>
        </is>
      </c>
      <c r="C339" s="0" t="inlineStr">
        <is>
          <t>P38</t>
        </is>
      </c>
      <c r="D339" s="0" t="n">
        <v>4.15148504666667</v>
      </c>
    </row>
    <row r="340">
      <c r="A340" s="0" t="inlineStr">
        <is>
          <t>SIFT1M</t>
        </is>
      </c>
      <c r="B340" s="0" t="inlineStr">
        <is>
          <t>Q35</t>
        </is>
      </c>
      <c r="C340" s="0" t="inlineStr">
        <is>
          <t>Q38</t>
        </is>
      </c>
      <c r="D340" s="0" t="n">
        <v>4.66283399333333</v>
      </c>
    </row>
    <row r="341">
      <c r="A341" s="0" t="inlineStr">
        <is>
          <t>SIFT1M</t>
        </is>
      </c>
      <c r="B341" s="0" t="inlineStr">
        <is>
          <t>R35</t>
        </is>
      </c>
      <c r="C341" s="0" t="inlineStr">
        <is>
          <t>R38</t>
        </is>
      </c>
      <c r="D341" s="0" t="n">
        <v>5.12229764666667</v>
      </c>
    </row>
    <row r="342">
      <c r="A342" s="0" t="inlineStr">
        <is>
          <t>SIFT1M</t>
        </is>
      </c>
      <c r="B342" s="0" t="inlineStr">
        <is>
          <t>S35</t>
        </is>
      </c>
      <c r="C342" s="0" t="inlineStr">
        <is>
          <t>S38</t>
        </is>
      </c>
      <c r="D342" s="0" t="n">
        <v>6.30241411666667</v>
      </c>
    </row>
    <row r="343">
      <c r="A343" s="0" t="inlineStr">
        <is>
          <t>SIFT1M</t>
        </is>
      </c>
      <c r="B343" s="0" t="inlineStr">
        <is>
          <t>T35</t>
        </is>
      </c>
      <c r="C343" s="0" t="inlineStr">
        <is>
          <t>T38</t>
        </is>
      </c>
      <c r="D343" s="0" t="n">
        <v>7.90480122</v>
      </c>
    </row>
    <row r="344">
      <c r="A344" s="0" t="inlineStr">
        <is>
          <t>SIFT1M</t>
        </is>
      </c>
      <c r="B344" s="0" t="inlineStr">
        <is>
          <t>U35</t>
        </is>
      </c>
      <c r="C344" s="0" t="inlineStr">
        <is>
          <t>U38</t>
        </is>
      </c>
      <c r="D344" s="0" t="n">
        <v>9.777948606666669</v>
      </c>
    </row>
    <row r="345">
      <c r="A345" s="0" t="inlineStr">
        <is>
          <t>SIFT1M</t>
        </is>
      </c>
      <c r="B345" s="0" t="inlineStr">
        <is>
          <t>V35</t>
        </is>
      </c>
      <c r="C345" s="0" t="inlineStr">
        <is>
          <t>V38</t>
        </is>
      </c>
      <c r="D345" s="0" t="n">
        <v>13.50564445</v>
      </c>
    </row>
    <row r="346">
      <c r="A346" s="0" t="inlineStr">
        <is>
          <t>SIFT1M</t>
        </is>
      </c>
      <c r="B346" s="0" t="inlineStr">
        <is>
          <t>W35</t>
        </is>
      </c>
      <c r="C346" s="0" t="inlineStr">
        <is>
          <t>W38</t>
        </is>
      </c>
      <c r="D346" s="0" t="n">
        <v>19.3207201966667</v>
      </c>
    </row>
    <row r="347">
      <c r="A347" s="0" t="inlineStr">
        <is>
          <t>SIFT1M</t>
        </is>
      </c>
      <c r="B347" s="0" t="inlineStr">
        <is>
          <t>X35</t>
        </is>
      </c>
      <c r="C347" s="0" t="inlineStr">
        <is>
          <t>X38</t>
        </is>
      </c>
      <c r="D347" s="0" t="n">
        <v>27.84074771</v>
      </c>
    </row>
    <row r="348">
      <c r="A348" s="0" t="inlineStr">
        <is>
          <t>SIFT1M</t>
        </is>
      </c>
      <c r="B348" s="0" t="inlineStr">
        <is>
          <t>Y35</t>
        </is>
      </c>
      <c r="C348" s="0" t="inlineStr">
        <is>
          <t>Y38</t>
        </is>
      </c>
      <c r="D348" s="0" t="n">
        <v>47.2809814133333</v>
      </c>
    </row>
    <row r="349">
      <c r="A349" s="0" t="inlineStr">
        <is>
          <t>SIFT1M</t>
        </is>
      </c>
      <c r="B349" s="0" t="inlineStr">
        <is>
          <t>D36</t>
        </is>
      </c>
      <c r="C349" s="0" t="inlineStr">
        <is>
          <t>D39</t>
        </is>
      </c>
      <c r="D349" s="0" t="inlineStr">
        <is>
          <t>Ours</t>
        </is>
      </c>
    </row>
    <row r="350">
      <c r="A350" s="0" t="inlineStr">
        <is>
          <t>SIFT1M</t>
        </is>
      </c>
      <c r="B350" s="0" t="inlineStr">
        <is>
          <t>E36</t>
        </is>
      </c>
      <c r="C350" s="0" t="inlineStr">
        <is>
          <t>E39</t>
        </is>
      </c>
      <c r="D350" s="0" t="inlineStr">
        <is>
          <t>Recall rate</t>
        </is>
      </c>
    </row>
    <row r="351">
      <c r="A351" s="0" t="inlineStr">
        <is>
          <t>SIFT1M</t>
        </is>
      </c>
      <c r="B351" s="0" t="inlineStr">
        <is>
          <t>F36</t>
        </is>
      </c>
      <c r="C351" s="0" t="inlineStr">
        <is>
          <t>F39</t>
        </is>
      </c>
      <c r="D351" s="0" t="n">
        <v>24</v>
      </c>
    </row>
    <row r="352">
      <c r="A352" s="0" t="inlineStr">
        <is>
          <t>SIFT1M</t>
        </is>
      </c>
      <c r="B352" s="0" t="inlineStr">
        <is>
          <t>G36</t>
        </is>
      </c>
      <c r="C352" s="0" t="inlineStr">
        <is>
          <t>G39</t>
        </is>
      </c>
      <c r="D352" s="0" t="n">
        <v>24</v>
      </c>
    </row>
    <row r="353">
      <c r="A353" s="0" t="inlineStr">
        <is>
          <t>SIFT1M</t>
        </is>
      </c>
      <c r="B353" s="0" t="inlineStr">
        <is>
          <t>H36</t>
        </is>
      </c>
      <c r="C353" s="0" t="inlineStr">
        <is>
          <t>H39</t>
        </is>
      </c>
      <c r="D353" s="0" t="n">
        <v>33</v>
      </c>
    </row>
    <row r="354">
      <c r="A354" s="0" t="inlineStr">
        <is>
          <t>SIFT1M</t>
        </is>
      </c>
      <c r="B354" s="0" t="inlineStr">
        <is>
          <t>I36</t>
        </is>
      </c>
      <c r="C354" s="0" t="inlineStr">
        <is>
          <t>I39</t>
        </is>
      </c>
      <c r="D354" s="0" t="n">
        <v>33</v>
      </c>
    </row>
    <row r="355">
      <c r="A355" s="0" t="inlineStr">
        <is>
          <t>SIFT1M</t>
        </is>
      </c>
      <c r="B355" s="0" t="inlineStr">
        <is>
          <t>J36</t>
        </is>
      </c>
      <c r="C355" s="0" t="inlineStr">
        <is>
          <t>J39</t>
        </is>
      </c>
      <c r="D355" s="0" t="n">
        <v>41</v>
      </c>
    </row>
    <row r="356">
      <c r="A356" s="0" t="inlineStr">
        <is>
          <t>SIFT1M</t>
        </is>
      </c>
      <c r="B356" s="0" t="inlineStr">
        <is>
          <t>K36</t>
        </is>
      </c>
      <c r="C356" s="0" t="inlineStr">
        <is>
          <t>K39</t>
        </is>
      </c>
      <c r="D356" s="0" t="n">
        <v>41</v>
      </c>
    </row>
    <row r="357">
      <c r="A357" s="0" t="inlineStr">
        <is>
          <t>SIFT1M</t>
        </is>
      </c>
      <c r="B357" s="0" t="inlineStr">
        <is>
          <t>L36</t>
        </is>
      </c>
      <c r="C357" s="0" t="inlineStr">
        <is>
          <t>L39</t>
        </is>
      </c>
      <c r="D357" s="0" t="n">
        <v>51</v>
      </c>
    </row>
    <row r="358">
      <c r="A358" s="0" t="inlineStr">
        <is>
          <t>SIFT1M</t>
        </is>
      </c>
      <c r="B358" s="0" t="inlineStr">
        <is>
          <t>M36</t>
        </is>
      </c>
      <c r="C358" s="0" t="inlineStr">
        <is>
          <t>M39</t>
        </is>
      </c>
      <c r="D358" s="0" t="n">
        <v>51</v>
      </c>
    </row>
    <row r="359">
      <c r="A359" s="0" t="inlineStr">
        <is>
          <t>SIFT1M</t>
        </is>
      </c>
      <c r="B359" s="0" t="inlineStr">
        <is>
          <t>N36</t>
        </is>
      </c>
      <c r="C359" s="0" t="inlineStr">
        <is>
          <t>N39</t>
        </is>
      </c>
      <c r="D359" s="0" t="n">
        <v>55.5</v>
      </c>
    </row>
    <row r="360">
      <c r="A360" s="0" t="inlineStr">
        <is>
          <t>SIFT1M</t>
        </is>
      </c>
      <c r="B360" s="0" t="inlineStr">
        <is>
          <t>O36</t>
        </is>
      </c>
      <c r="C360" s="0" t="inlineStr">
        <is>
          <t>O39</t>
        </is>
      </c>
      <c r="D360" s="0" t="n">
        <v>62.3</v>
      </c>
    </row>
    <row r="361">
      <c r="A361" s="0" t="inlineStr">
        <is>
          <t>SIFT1M</t>
        </is>
      </c>
      <c r="B361" s="0" t="inlineStr">
        <is>
          <t>P36</t>
        </is>
      </c>
      <c r="C361" s="0" t="inlineStr">
        <is>
          <t>P39</t>
        </is>
      </c>
      <c r="D361" s="0" t="n">
        <v>66.3</v>
      </c>
    </row>
    <row r="362">
      <c r="A362" s="0" t="inlineStr">
        <is>
          <t>SIFT1M</t>
        </is>
      </c>
      <c r="B362" s="0" t="inlineStr">
        <is>
          <t>Q36</t>
        </is>
      </c>
      <c r="C362" s="0" t="inlineStr">
        <is>
          <t>Q39</t>
        </is>
      </c>
      <c r="D362" s="0" t="n">
        <v>70.2</v>
      </c>
    </row>
    <row r="363">
      <c r="A363" s="0" t="inlineStr">
        <is>
          <t>SIFT1M</t>
        </is>
      </c>
      <c r="B363" s="0" t="inlineStr">
        <is>
          <t>R36</t>
        </is>
      </c>
      <c r="C363" s="0" t="inlineStr">
        <is>
          <t>R39</t>
        </is>
      </c>
      <c r="D363" s="0" t="n">
        <v>76</v>
      </c>
    </row>
    <row r="364">
      <c r="A364" s="0" t="inlineStr">
        <is>
          <t>SIFT1M</t>
        </is>
      </c>
      <c r="B364" s="0" t="inlineStr">
        <is>
          <t>S36</t>
        </is>
      </c>
      <c r="C364" s="0" t="inlineStr">
        <is>
          <t>S39</t>
        </is>
      </c>
      <c r="D364" s="0" t="n">
        <v>80.3</v>
      </c>
    </row>
    <row r="365">
      <c r="A365" s="0" t="inlineStr">
        <is>
          <t>SIFT1M</t>
        </is>
      </c>
      <c r="B365" s="0" t="inlineStr">
        <is>
          <t>T36</t>
        </is>
      </c>
      <c r="C365" s="0" t="inlineStr">
        <is>
          <t>T39</t>
        </is>
      </c>
      <c r="D365" s="0" t="n">
        <v>87.3</v>
      </c>
    </row>
    <row r="366">
      <c r="A366" s="0" t="inlineStr">
        <is>
          <t>SIFT1M</t>
        </is>
      </c>
      <c r="B366" s="0" t="inlineStr">
        <is>
          <t>U36</t>
        </is>
      </c>
      <c r="C366" s="0" t="inlineStr">
        <is>
          <t>U39</t>
        </is>
      </c>
      <c r="D366" s="0" t="n">
        <v>90.40000000000001</v>
      </c>
    </row>
    <row r="367">
      <c r="A367" s="0" t="inlineStr">
        <is>
          <t>SIFT1M</t>
        </is>
      </c>
      <c r="B367" s="0" t="inlineStr">
        <is>
          <t>V36</t>
        </is>
      </c>
      <c r="C367" s="0" t="inlineStr">
        <is>
          <t>V39</t>
        </is>
      </c>
      <c r="D367" s="0" t="n">
        <v>95.40000000000001</v>
      </c>
    </row>
    <row r="368">
      <c r="A368" s="0" t="inlineStr">
        <is>
          <t>SIFT1M</t>
        </is>
      </c>
      <c r="B368" s="0" t="inlineStr">
        <is>
          <t>W36</t>
        </is>
      </c>
      <c r="C368" s="0" t="inlineStr">
        <is>
          <t>W39</t>
        </is>
      </c>
      <c r="D368" s="0" t="n">
        <v>97.2</v>
      </c>
    </row>
    <row r="369">
      <c r="A369" s="0" t="inlineStr">
        <is>
          <t>SIFT1M</t>
        </is>
      </c>
      <c r="B369" s="0" t="inlineStr">
        <is>
          <t>X36</t>
        </is>
      </c>
      <c r="C369" s="0" t="inlineStr">
        <is>
          <t>X39</t>
        </is>
      </c>
      <c r="D369" s="0" t="n">
        <v>98.7</v>
      </c>
    </row>
    <row r="370">
      <c r="A370" s="0" t="inlineStr">
        <is>
          <t>SIFT1M</t>
        </is>
      </c>
      <c r="B370" s="0" t="inlineStr">
        <is>
          <t>Y36</t>
        </is>
      </c>
      <c r="C370" s="0" t="inlineStr">
        <is>
          <t>Y39</t>
        </is>
      </c>
      <c r="D370" s="0" t="n">
        <v>99</v>
      </c>
    </row>
    <row r="371">
      <c r="A371" s="0" t="inlineStr">
        <is>
          <t>SIFT1M</t>
        </is>
      </c>
      <c r="B371" s="0" t="inlineStr">
        <is>
          <t>E37</t>
        </is>
      </c>
      <c r="C371" s="0" t="inlineStr">
        <is>
          <t>E40</t>
        </is>
      </c>
      <c r="D371" s="0" t="inlineStr">
        <is>
          <t>verify time</t>
        </is>
      </c>
    </row>
    <row r="372">
      <c r="A372" s="0" t="inlineStr">
        <is>
          <t>SIFT1M</t>
        </is>
      </c>
      <c r="B372" s="0" t="inlineStr">
        <is>
          <t>F37</t>
        </is>
      </c>
      <c r="C372" s="0" t="inlineStr">
        <is>
          <t>F40</t>
        </is>
      </c>
      <c r="D372" s="0" t="n">
        <v>0.905784183333333</v>
      </c>
    </row>
    <row r="373">
      <c r="A373" s="0" t="inlineStr">
        <is>
          <t>SIFT1M</t>
        </is>
      </c>
      <c r="B373" s="0" t="inlineStr">
        <is>
          <t>G37</t>
        </is>
      </c>
      <c r="C373" s="0" t="inlineStr">
        <is>
          <t>G40</t>
        </is>
      </c>
      <c r="D373" s="0" t="n">
        <v>0.905784183333333</v>
      </c>
    </row>
    <row r="374">
      <c r="A374" s="0" t="inlineStr">
        <is>
          <t>SIFT1M</t>
        </is>
      </c>
      <c r="B374" s="0" t="inlineStr">
        <is>
          <t>H37</t>
        </is>
      </c>
      <c r="C374" s="0" t="inlineStr">
        <is>
          <t>H40</t>
        </is>
      </c>
      <c r="D374" s="0" t="n">
        <v>0.903515916666667</v>
      </c>
    </row>
    <row r="375">
      <c r="A375" s="0" t="inlineStr">
        <is>
          <t>SIFT1M</t>
        </is>
      </c>
      <c r="B375" s="0" t="inlineStr">
        <is>
          <t>I37</t>
        </is>
      </c>
      <c r="C375" s="0" t="inlineStr">
        <is>
          <t>I40</t>
        </is>
      </c>
      <c r="D375" s="0" t="n">
        <v>0.903515916666667</v>
      </c>
    </row>
    <row r="376">
      <c r="A376" s="0" t="inlineStr">
        <is>
          <t>SIFT1M</t>
        </is>
      </c>
      <c r="B376" s="0" t="inlineStr">
        <is>
          <t>J37</t>
        </is>
      </c>
      <c r="C376" s="0" t="inlineStr">
        <is>
          <t>J40</t>
        </is>
      </c>
      <c r="D376" s="0" t="n">
        <v>0.942581116666667</v>
      </c>
    </row>
    <row r="377">
      <c r="A377" s="0" t="inlineStr">
        <is>
          <t>SIFT1M</t>
        </is>
      </c>
      <c r="B377" s="0" t="inlineStr">
        <is>
          <t>K37</t>
        </is>
      </c>
      <c r="C377" s="0" t="inlineStr">
        <is>
          <t>K40</t>
        </is>
      </c>
      <c r="D377" s="0" t="n">
        <v>0.942581116666667</v>
      </c>
    </row>
    <row r="378">
      <c r="A378" s="0" t="inlineStr">
        <is>
          <t>SIFT1M</t>
        </is>
      </c>
      <c r="B378" s="0" t="inlineStr">
        <is>
          <t>L37</t>
        </is>
      </c>
      <c r="C378" s="0" t="inlineStr">
        <is>
          <t>L40</t>
        </is>
      </c>
      <c r="D378" s="0" t="n">
        <v>1.07211965</v>
      </c>
    </row>
    <row r="379">
      <c r="A379" s="0" t="inlineStr">
        <is>
          <t>SIFT1M</t>
        </is>
      </c>
      <c r="B379" s="0" t="inlineStr">
        <is>
          <t>M37</t>
        </is>
      </c>
      <c r="C379" s="0" t="inlineStr">
        <is>
          <t>M40</t>
        </is>
      </c>
      <c r="D379" s="0" t="n">
        <v>1.07211965</v>
      </c>
    </row>
    <row r="380">
      <c r="A380" s="0" t="inlineStr">
        <is>
          <t>SIFT1M</t>
        </is>
      </c>
      <c r="B380" s="0" t="inlineStr">
        <is>
          <t>N37</t>
        </is>
      </c>
      <c r="C380" s="0" t="inlineStr">
        <is>
          <t>N40</t>
        </is>
      </c>
      <c r="D380" s="0" t="n">
        <v>1.10992136666667</v>
      </c>
    </row>
    <row r="381">
      <c r="A381" s="0" t="inlineStr">
        <is>
          <t>SIFT1M</t>
        </is>
      </c>
      <c r="B381" s="0" t="inlineStr">
        <is>
          <t>O37</t>
        </is>
      </c>
      <c r="C381" s="0" t="inlineStr">
        <is>
          <t>O40</t>
        </is>
      </c>
      <c r="D381" s="0" t="n">
        <v>1.55806525333333</v>
      </c>
    </row>
    <row r="382">
      <c r="A382" s="0" t="inlineStr">
        <is>
          <t>SIFT1M</t>
        </is>
      </c>
      <c r="B382" s="0" t="inlineStr">
        <is>
          <t>P37</t>
        </is>
      </c>
      <c r="C382" s="0" t="inlineStr">
        <is>
          <t>P40</t>
        </is>
      </c>
      <c r="D382" s="0" t="n">
        <v>1.64942995</v>
      </c>
    </row>
    <row r="383">
      <c r="A383" s="0" t="inlineStr">
        <is>
          <t>SIFT1M</t>
        </is>
      </c>
      <c r="B383" s="0" t="inlineStr">
        <is>
          <t>Q37</t>
        </is>
      </c>
      <c r="C383" s="0" t="inlineStr">
        <is>
          <t>Q40</t>
        </is>
      </c>
      <c r="D383" s="0" t="n">
        <v>1.82777087333333</v>
      </c>
    </row>
    <row r="384">
      <c r="A384" s="0" t="inlineStr">
        <is>
          <t>SIFT1M</t>
        </is>
      </c>
      <c r="B384" s="0" t="inlineStr">
        <is>
          <t>R37</t>
        </is>
      </c>
      <c r="C384" s="0" t="inlineStr">
        <is>
          <t>R40</t>
        </is>
      </c>
      <c r="D384" s="0" t="n">
        <v>2.06668139</v>
      </c>
    </row>
    <row r="385">
      <c r="A385" s="0" t="inlineStr">
        <is>
          <t>SIFT1M</t>
        </is>
      </c>
      <c r="B385" s="0" t="inlineStr">
        <is>
          <t>S37</t>
        </is>
      </c>
      <c r="C385" s="0" t="inlineStr">
        <is>
          <t>S40</t>
        </is>
      </c>
      <c r="D385" s="0" t="n">
        <v>2.30338058333333</v>
      </c>
    </row>
    <row r="386">
      <c r="A386" s="0" t="inlineStr">
        <is>
          <t>SIFT1M</t>
        </is>
      </c>
      <c r="B386" s="0" t="inlineStr">
        <is>
          <t>T37</t>
        </is>
      </c>
      <c r="C386" s="0" t="inlineStr">
        <is>
          <t>T40</t>
        </is>
      </c>
      <c r="D386" s="0" t="n">
        <v>3.06051667666667</v>
      </c>
    </row>
    <row r="387">
      <c r="A387" s="0" t="inlineStr">
        <is>
          <t>SIFT1M</t>
        </is>
      </c>
      <c r="B387" s="0" t="inlineStr">
        <is>
          <t>U37</t>
        </is>
      </c>
      <c r="C387" s="0" t="inlineStr">
        <is>
          <t>U40</t>
        </is>
      </c>
      <c r="D387" s="0" t="n">
        <v>3.48902270333333</v>
      </c>
    </row>
    <row r="388">
      <c r="A388" s="0" t="inlineStr">
        <is>
          <t>SIFT1M</t>
        </is>
      </c>
      <c r="B388" s="0" t="inlineStr">
        <is>
          <t>V37</t>
        </is>
      </c>
      <c r="C388" s="0" t="inlineStr">
        <is>
          <t>V40</t>
        </is>
      </c>
      <c r="D388" s="0" t="n">
        <v>4.68043708333333</v>
      </c>
    </row>
    <row r="389">
      <c r="A389" s="0" t="inlineStr">
        <is>
          <t>SIFT1M</t>
        </is>
      </c>
      <c r="B389" s="0" t="inlineStr">
        <is>
          <t>W37</t>
        </is>
      </c>
      <c r="C389" s="0" t="inlineStr">
        <is>
          <t>W40</t>
        </is>
      </c>
      <c r="D389" s="0" t="n">
        <v>6.08716991666667</v>
      </c>
    </row>
    <row r="390">
      <c r="A390" s="0" t="inlineStr">
        <is>
          <t>SIFT1M</t>
        </is>
      </c>
      <c r="B390" s="0" t="inlineStr">
        <is>
          <t>X37</t>
        </is>
      </c>
      <c r="C390" s="0" t="inlineStr">
        <is>
          <t>X40</t>
        </is>
      </c>
      <c r="D390" s="0" t="n">
        <v>9.89511474333333</v>
      </c>
    </row>
    <row r="391">
      <c r="A391" s="0" t="inlineStr">
        <is>
          <t>SIFT1M</t>
        </is>
      </c>
      <c r="B391" s="0" t="inlineStr">
        <is>
          <t>Y37</t>
        </is>
      </c>
      <c r="C391" s="0" t="inlineStr">
        <is>
          <t>Y40</t>
        </is>
      </c>
      <c r="D391" s="0" t="n">
        <v>12.29062924</v>
      </c>
    </row>
    <row r="392">
      <c r="A392" s="0" t="inlineStr">
        <is>
          <t>SIFT1M</t>
        </is>
      </c>
      <c r="B392" s="0" t="inlineStr">
        <is>
          <t>D38</t>
        </is>
      </c>
      <c r="C392" s="0" t="inlineStr">
        <is>
          <t>D41</t>
        </is>
      </c>
      <c r="D392" s="0" t="inlineStr">
        <is>
          <t>V3DB（单次）</t>
        </is>
      </c>
    </row>
    <row r="393">
      <c r="A393" s="0" t="inlineStr">
        <is>
          <t>SIFT1M</t>
        </is>
      </c>
      <c r="B393" s="0" t="inlineStr">
        <is>
          <t>E38</t>
        </is>
      </c>
      <c r="C393" s="0" t="inlineStr">
        <is>
          <t>E41</t>
        </is>
      </c>
      <c r="D393" s="0" t="inlineStr">
        <is>
          <t>Recall rate</t>
        </is>
      </c>
    </row>
    <row r="394">
      <c r="A394" s="0" t="inlineStr">
        <is>
          <t>SIFT1M</t>
        </is>
      </c>
      <c r="B394" s="0" t="inlineStr">
        <is>
          <t>F38</t>
        </is>
      </c>
      <c r="C394" s="0" t="inlineStr">
        <is>
          <t>F41</t>
        </is>
      </c>
      <c r="D394" s="0" t="n">
        <v>34</v>
      </c>
    </row>
    <row r="395">
      <c r="A395" s="0" t="inlineStr">
        <is>
          <t>SIFT1M</t>
        </is>
      </c>
      <c r="B395" s="0" t="inlineStr">
        <is>
          <t>G38</t>
        </is>
      </c>
      <c r="C395" s="0" t="inlineStr">
        <is>
          <t>G41</t>
        </is>
      </c>
      <c r="D395" s="0" t="n">
        <v>34</v>
      </c>
    </row>
    <row r="396">
      <c r="A396" s="0" t="inlineStr">
        <is>
          <t>SIFT1M</t>
        </is>
      </c>
      <c r="B396" s="0" t="inlineStr">
        <is>
          <t>H38</t>
        </is>
      </c>
      <c r="C396" s="0" t="inlineStr">
        <is>
          <t>H41</t>
        </is>
      </c>
      <c r="D396" s="0" t="n">
        <v>34</v>
      </c>
    </row>
    <row r="397">
      <c r="A397" s="0" t="inlineStr">
        <is>
          <t>SIFT1M</t>
        </is>
      </c>
      <c r="B397" s="0" t="inlineStr">
        <is>
          <t>I38</t>
        </is>
      </c>
      <c r="C397" s="0" t="inlineStr">
        <is>
          <t>I41</t>
        </is>
      </c>
      <c r="D397" s="0" t="n">
        <v>34</v>
      </c>
    </row>
    <row r="398">
      <c r="A398" s="0" t="inlineStr">
        <is>
          <t>SIFT1M</t>
        </is>
      </c>
      <c r="B398" s="0" t="inlineStr">
        <is>
          <t>J38</t>
        </is>
      </c>
      <c r="C398" s="0" t="inlineStr">
        <is>
          <t>J41</t>
        </is>
      </c>
      <c r="D398" s="0" t="n">
        <v>51</v>
      </c>
    </row>
    <row r="399">
      <c r="A399" s="0" t="inlineStr">
        <is>
          <t>SIFT1M</t>
        </is>
      </c>
      <c r="B399" s="0" t="inlineStr">
        <is>
          <t>K38</t>
        </is>
      </c>
      <c r="C399" s="0" t="inlineStr">
        <is>
          <t>K41</t>
        </is>
      </c>
      <c r="D399" s="0" t="n">
        <v>51</v>
      </c>
    </row>
    <row r="400">
      <c r="A400" s="0" t="inlineStr">
        <is>
          <t>SIFT1M</t>
        </is>
      </c>
      <c r="B400" s="0" t="inlineStr">
        <is>
          <t>L38</t>
        </is>
      </c>
      <c r="C400" s="0" t="inlineStr">
        <is>
          <t>L41</t>
        </is>
      </c>
      <c r="D400" s="0" t="n">
        <v>51</v>
      </c>
    </row>
    <row r="401">
      <c r="A401" s="0" t="inlineStr">
        <is>
          <t>SIFT1M</t>
        </is>
      </c>
      <c r="B401" s="0" t="inlineStr">
        <is>
          <t>M38</t>
        </is>
      </c>
      <c r="C401" s="0" t="inlineStr">
        <is>
          <t>M41</t>
        </is>
      </c>
      <c r="D401" s="0" t="n">
        <v>51</v>
      </c>
    </row>
    <row r="402">
      <c r="A402" s="0" t="inlineStr">
        <is>
          <t>SIFT1M</t>
        </is>
      </c>
      <c r="B402" s="0" t="inlineStr">
        <is>
          <t>N38</t>
        </is>
      </c>
      <c r="C402" s="0" t="inlineStr">
        <is>
          <t>N41</t>
        </is>
      </c>
      <c r="D402" s="0" t="n">
        <v>58</v>
      </c>
    </row>
    <row r="403">
      <c r="A403" s="0" t="inlineStr">
        <is>
          <t>SIFT1M</t>
        </is>
      </c>
      <c r="B403" s="0" t="inlineStr">
        <is>
          <t>O38</t>
        </is>
      </c>
      <c r="C403" s="0" t="inlineStr">
        <is>
          <t>O41</t>
        </is>
      </c>
      <c r="D403" s="0" t="n">
        <v>70.5</v>
      </c>
    </row>
    <row r="404">
      <c r="A404" s="0" t="inlineStr">
        <is>
          <t>SIFT1M</t>
        </is>
      </c>
      <c r="B404" s="0" t="inlineStr">
        <is>
          <t>P38</t>
        </is>
      </c>
      <c r="C404" s="0" t="inlineStr">
        <is>
          <t>P41</t>
        </is>
      </c>
      <c r="D404" s="0" t="n">
        <v>70.5</v>
      </c>
    </row>
    <row r="405">
      <c r="A405" s="0" t="inlineStr">
        <is>
          <t>SIFT1M</t>
        </is>
      </c>
      <c r="B405" s="0" t="inlineStr">
        <is>
          <t>Q38</t>
        </is>
      </c>
      <c r="C405" s="0" t="inlineStr">
        <is>
          <t>Q41</t>
        </is>
      </c>
      <c r="D405" s="0" t="n">
        <v>70.5</v>
      </c>
    </row>
    <row r="406">
      <c r="A406" s="0" t="inlineStr">
        <is>
          <t>SIFT1M</t>
        </is>
      </c>
      <c r="B406" s="0" t="inlineStr">
        <is>
          <t>R38</t>
        </is>
      </c>
      <c r="C406" s="0" t="inlineStr">
        <is>
          <t>R41</t>
        </is>
      </c>
      <c r="D406" s="0" t="n">
        <v>77.5</v>
      </c>
    </row>
    <row r="407">
      <c r="A407" s="0" t="inlineStr">
        <is>
          <t>SIFT1M</t>
        </is>
      </c>
      <c r="B407" s="0" t="inlineStr">
        <is>
          <t>S38</t>
        </is>
      </c>
      <c r="C407" s="0" t="inlineStr">
        <is>
          <t>S41</t>
        </is>
      </c>
      <c r="D407" s="0" t="n">
        <v>84</v>
      </c>
    </row>
    <row r="408">
      <c r="A408" s="0" t="inlineStr">
        <is>
          <t>SIFT1M</t>
        </is>
      </c>
      <c r="B408" s="0" t="inlineStr">
        <is>
          <t>T38</t>
        </is>
      </c>
      <c r="C408" s="0" t="inlineStr">
        <is>
          <t>T41</t>
        </is>
      </c>
      <c r="D408" s="0" t="n">
        <v>85</v>
      </c>
    </row>
    <row r="409">
      <c r="A409" s="0" t="inlineStr">
        <is>
          <t>SIFT1M</t>
        </is>
      </c>
      <c r="B409" s="0" t="inlineStr">
        <is>
          <t>U38</t>
        </is>
      </c>
      <c r="C409" s="0" t="inlineStr">
        <is>
          <t>U41</t>
        </is>
      </c>
      <c r="D409" s="0" t="n">
        <v>92</v>
      </c>
    </row>
    <row r="410">
      <c r="A410" s="0" t="inlineStr">
        <is>
          <t>SIFT1M</t>
        </is>
      </c>
      <c r="B410" s="0" t="inlineStr">
        <is>
          <t>V38</t>
        </is>
      </c>
      <c r="C410" s="0" t="inlineStr">
        <is>
          <t>V41</t>
        </is>
      </c>
      <c r="D410" s="0" t="n">
        <v>95</v>
      </c>
    </row>
    <row r="411">
      <c r="A411" s="0" t="inlineStr">
        <is>
          <t>SIFT1M</t>
        </is>
      </c>
      <c r="B411" s="0" t="inlineStr">
        <is>
          <t>W38</t>
        </is>
      </c>
      <c r="C411" s="0" t="inlineStr">
        <is>
          <t>W41</t>
        </is>
      </c>
      <c r="D411" s="0" t="n">
        <v>97</v>
      </c>
    </row>
    <row r="412">
      <c r="A412" s="0" t="inlineStr">
        <is>
          <t>SIFT1M</t>
        </is>
      </c>
      <c r="B412" s="0" t="inlineStr">
        <is>
          <t>X38</t>
        </is>
      </c>
      <c r="C412" s="0" t="inlineStr">
        <is>
          <t>X41</t>
        </is>
      </c>
    </row>
    <row r="413">
      <c r="A413" s="0" t="inlineStr">
        <is>
          <t>SIFT1M</t>
        </is>
      </c>
      <c r="B413" s="0" t="inlineStr">
        <is>
          <t>Y38</t>
        </is>
      </c>
      <c r="C413" s="0" t="inlineStr">
        <is>
          <t>Y41</t>
        </is>
      </c>
    </row>
    <row r="414">
      <c r="A414" s="0" t="inlineStr">
        <is>
          <t>SIFT1M</t>
        </is>
      </c>
      <c r="B414" s="0" t="inlineStr">
        <is>
          <t>E39</t>
        </is>
      </c>
      <c r="C414" s="0" t="inlineStr">
        <is>
          <t>E42</t>
        </is>
      </c>
      <c r="D414" s="0" t="inlineStr">
        <is>
          <t>verify time</t>
        </is>
      </c>
    </row>
    <row r="415">
      <c r="A415" s="0" t="inlineStr">
        <is>
          <t>SIFT1M</t>
        </is>
      </c>
      <c r="B415" s="0" t="inlineStr">
        <is>
          <t>F39</t>
        </is>
      </c>
      <c r="C415" s="0" t="inlineStr">
        <is>
          <t>F42</t>
        </is>
      </c>
      <c r="D415" s="0" t="n">
        <v>11.1058220000047</v>
      </c>
    </row>
    <row r="416">
      <c r="A416" s="0" t="inlineStr">
        <is>
          <t>SIFT1M</t>
        </is>
      </c>
      <c r="B416" s="0" t="inlineStr">
        <is>
          <t>G39</t>
        </is>
      </c>
      <c r="C416" s="0" t="inlineStr">
        <is>
          <t>G42</t>
        </is>
      </c>
      <c r="D416" s="0" t="n">
        <v>11.1058220000047</v>
      </c>
    </row>
    <row r="417">
      <c r="A417" s="0" t="inlineStr">
        <is>
          <t>SIFT1M</t>
        </is>
      </c>
      <c r="B417" s="0" t="inlineStr">
        <is>
          <t>H39</t>
        </is>
      </c>
      <c r="C417" s="0" t="inlineStr">
        <is>
          <t>H42</t>
        </is>
      </c>
      <c r="D417" s="0" t="n">
        <v>11.1058220000047</v>
      </c>
    </row>
    <row r="418">
      <c r="A418" s="0" t="inlineStr">
        <is>
          <t>SIFT1M</t>
        </is>
      </c>
      <c r="B418" s="0" t="inlineStr">
        <is>
          <t>I39</t>
        </is>
      </c>
      <c r="C418" s="0" t="inlineStr">
        <is>
          <t>I42</t>
        </is>
      </c>
      <c r="D418" s="0" t="n">
        <v>11.1058220000047</v>
      </c>
    </row>
    <row r="419">
      <c r="A419" s="0" t="inlineStr">
        <is>
          <t>SIFT1M</t>
        </is>
      </c>
      <c r="B419" s="0" t="inlineStr">
        <is>
          <t>J39</t>
        </is>
      </c>
      <c r="C419" s="0" t="inlineStr">
        <is>
          <t>J42</t>
        </is>
      </c>
      <c r="D419" s="0" t="n">
        <v>11.1032510000086</v>
      </c>
    </row>
    <row r="420">
      <c r="A420" s="0" t="inlineStr">
        <is>
          <t>SIFT1M</t>
        </is>
      </c>
      <c r="B420" s="0" t="inlineStr">
        <is>
          <t>K39</t>
        </is>
      </c>
      <c r="C420" s="0" t="inlineStr">
        <is>
          <t>K42</t>
        </is>
      </c>
      <c r="D420" s="0" t="n">
        <v>11.1032510000086</v>
      </c>
    </row>
    <row r="421">
      <c r="A421" s="0" t="inlineStr">
        <is>
          <t>SIFT1M</t>
        </is>
      </c>
      <c r="B421" s="0" t="inlineStr">
        <is>
          <t>L39</t>
        </is>
      </c>
      <c r="C421" s="0" t="inlineStr">
        <is>
          <t>L42</t>
        </is>
      </c>
      <c r="D421" s="0" t="n">
        <v>11.1032510000086</v>
      </c>
    </row>
    <row r="422">
      <c r="A422" s="0" t="inlineStr">
        <is>
          <t>SIFT1M</t>
        </is>
      </c>
      <c r="B422" s="0" t="inlineStr">
        <is>
          <t>M39</t>
        </is>
      </c>
      <c r="C422" s="0" t="inlineStr">
        <is>
          <t>M42</t>
        </is>
      </c>
      <c r="D422" s="0" t="n">
        <v>11.1032510000086</v>
      </c>
    </row>
    <row r="423">
      <c r="A423" s="0" t="inlineStr">
        <is>
          <t>SIFT1M</t>
        </is>
      </c>
      <c r="B423" s="0" t="inlineStr">
        <is>
          <t>N39</t>
        </is>
      </c>
      <c r="C423" s="0" t="inlineStr">
        <is>
          <t>N42</t>
        </is>
      </c>
      <c r="D423" s="0" t="n">
        <v>14.4067420000056</v>
      </c>
    </row>
    <row r="424">
      <c r="A424" s="0" t="inlineStr">
        <is>
          <t>SIFT1M</t>
        </is>
      </c>
      <c r="B424" s="0" t="inlineStr">
        <is>
          <t>O39</t>
        </is>
      </c>
      <c r="C424" s="0" t="inlineStr">
        <is>
          <t>O42</t>
        </is>
      </c>
      <c r="D424" s="0" t="n">
        <v>71.0790379998798</v>
      </c>
    </row>
    <row r="425">
      <c r="A425" s="0" t="inlineStr">
        <is>
          <t>SIFT1M</t>
        </is>
      </c>
      <c r="B425" s="0" t="inlineStr">
        <is>
          <t>P39</t>
        </is>
      </c>
      <c r="C425" s="0" t="inlineStr">
        <is>
          <t>P42</t>
        </is>
      </c>
      <c r="D425" s="0" t="n">
        <v>71.0790379998798</v>
      </c>
    </row>
    <row r="426">
      <c r="A426" s="0" t="inlineStr">
        <is>
          <t>SIFT1M</t>
        </is>
      </c>
      <c r="B426" s="0" t="inlineStr">
        <is>
          <t>Q39</t>
        </is>
      </c>
      <c r="C426" s="0" t="inlineStr">
        <is>
          <t>Q42</t>
        </is>
      </c>
      <c r="D426" s="0" t="n">
        <v>71.0790379998798</v>
      </c>
    </row>
    <row r="427">
      <c r="A427" s="0" t="inlineStr">
        <is>
          <t>SIFT1M</t>
        </is>
      </c>
      <c r="B427" s="0" t="inlineStr">
        <is>
          <t>R39</t>
        </is>
      </c>
      <c r="C427" s="0" t="inlineStr">
        <is>
          <t>R42</t>
        </is>
      </c>
      <c r="D427" s="0" t="n">
        <v>25.0650985723704</v>
      </c>
    </row>
    <row r="428">
      <c r="A428" s="0" t="inlineStr">
        <is>
          <t>SIFT1M</t>
        </is>
      </c>
      <c r="B428" s="0" t="inlineStr">
        <is>
          <t>S39</t>
        </is>
      </c>
      <c r="C428" s="0" t="inlineStr">
        <is>
          <t>S42</t>
        </is>
      </c>
      <c r="D428" s="0" t="n">
        <v>25.0650985723704</v>
      </c>
    </row>
    <row r="429">
      <c r="A429" s="0" t="inlineStr">
        <is>
          <t>SIFT1M</t>
        </is>
      </c>
      <c r="B429" s="0" t="inlineStr">
        <is>
          <t>T39</t>
        </is>
      </c>
      <c r="C429" s="0" t="inlineStr">
        <is>
          <t>T42</t>
        </is>
      </c>
      <c r="D429" s="0" t="n">
        <v>26.5592664083079</v>
      </c>
    </row>
    <row r="430">
      <c r="A430" s="0" t="inlineStr">
        <is>
          <t>SIFT1M</t>
        </is>
      </c>
      <c r="B430" s="0" t="inlineStr">
        <is>
          <t>U39</t>
        </is>
      </c>
      <c r="C430" s="0" t="inlineStr">
        <is>
          <t>U42</t>
        </is>
      </c>
      <c r="D430" s="0" t="n">
        <v>27.7085114237864</v>
      </c>
    </row>
    <row r="431">
      <c r="A431" s="0" t="inlineStr">
        <is>
          <t>SIFT1M</t>
        </is>
      </c>
      <c r="B431" s="0" t="inlineStr">
        <is>
          <t>V39</t>
        </is>
      </c>
      <c r="C431" s="0" t="inlineStr">
        <is>
          <t>V42</t>
        </is>
      </c>
      <c r="D431" s="0" t="n">
        <v>31.8460921111398</v>
      </c>
    </row>
    <row r="432">
      <c r="A432" s="0" t="inlineStr">
        <is>
          <t>SIFT1M</t>
        </is>
      </c>
      <c r="B432" s="0" t="inlineStr">
        <is>
          <t>W39</t>
        </is>
      </c>
      <c r="C432" s="0" t="inlineStr">
        <is>
          <t>W42</t>
        </is>
      </c>
      <c r="D432" s="0" t="n">
        <v>38.9720084703683</v>
      </c>
    </row>
    <row r="433">
      <c r="A433" s="0" t="inlineStr">
        <is>
          <t>SIFT1M</t>
        </is>
      </c>
      <c r="B433" s="0" t="inlineStr">
        <is>
          <t>X39</t>
        </is>
      </c>
      <c r="C433" s="0" t="inlineStr">
        <is>
          <t>X42</t>
        </is>
      </c>
    </row>
    <row r="434">
      <c r="A434" s="0" t="inlineStr">
        <is>
          <t>SIFT1M</t>
        </is>
      </c>
      <c r="B434" s="0" t="inlineStr">
        <is>
          <t>Y39</t>
        </is>
      </c>
      <c r="C434" s="0" t="inlineStr">
        <is>
          <t>Y42</t>
        </is>
      </c>
    </row>
    <row r="435">
      <c r="A435" s="0" t="inlineStr">
        <is>
          <t>SIFT1M</t>
        </is>
      </c>
      <c r="B435" s="0" t="inlineStr">
        <is>
          <t>D40</t>
        </is>
      </c>
      <c r="C435" s="0" t="inlineStr">
        <is>
          <t>D45</t>
        </is>
      </c>
    </row>
    <row r="436">
      <c r="A436" s="0" t="inlineStr">
        <is>
          <t>SIFT1M</t>
        </is>
      </c>
      <c r="B436" s="0" t="inlineStr">
        <is>
          <t>E40</t>
        </is>
      </c>
      <c r="C436" s="0" t="inlineStr">
        <is>
          <t>E45</t>
        </is>
      </c>
      <c r="D436" s="0" t="inlineStr">
        <is>
          <t>Target Recall (%)</t>
        </is>
      </c>
    </row>
    <row r="437">
      <c r="A437" s="0" t="inlineStr">
        <is>
          <t>SIFT1M</t>
        </is>
      </c>
      <c r="B437" s="0" t="inlineStr">
        <is>
          <t>F40</t>
        </is>
      </c>
      <c r="C437" s="0" t="inlineStr">
        <is>
          <t>F45</t>
        </is>
      </c>
      <c r="D437" s="0" t="n">
        <v>15</v>
      </c>
    </row>
    <row r="438">
      <c r="A438" s="0" t="inlineStr">
        <is>
          <t>SIFT1M</t>
        </is>
      </c>
      <c r="B438" s="0" t="inlineStr">
        <is>
          <t>G40</t>
        </is>
      </c>
      <c r="C438" s="0" t="inlineStr">
        <is>
          <t>G45</t>
        </is>
      </c>
      <c r="D438" s="0" t="n">
        <v>20</v>
      </c>
    </row>
    <row r="439">
      <c r="A439" s="0" t="inlineStr">
        <is>
          <t>SIFT1M</t>
        </is>
      </c>
      <c r="B439" s="0" t="inlineStr">
        <is>
          <t>H40</t>
        </is>
      </c>
      <c r="C439" s="0" t="inlineStr">
        <is>
          <t>H45</t>
        </is>
      </c>
      <c r="D439" s="0" t="n">
        <v>25</v>
      </c>
    </row>
    <row r="440">
      <c r="A440" s="0" t="inlineStr">
        <is>
          <t>SIFT1M</t>
        </is>
      </c>
      <c r="B440" s="0" t="inlineStr">
        <is>
          <t>I40</t>
        </is>
      </c>
      <c r="C440" s="0" t="inlineStr">
        <is>
          <t>I45</t>
        </is>
      </c>
      <c r="D440" s="0" t="n">
        <v>30</v>
      </c>
    </row>
    <row r="441">
      <c r="A441" s="0" t="inlineStr">
        <is>
          <t>SIFT1M</t>
        </is>
      </c>
      <c r="B441" s="0" t="inlineStr">
        <is>
          <t>J40</t>
        </is>
      </c>
      <c r="C441" s="0" t="inlineStr">
        <is>
          <t>J45</t>
        </is>
      </c>
      <c r="D441" s="0" t="n">
        <v>35</v>
      </c>
    </row>
    <row r="442">
      <c r="A442" s="0" t="inlineStr">
        <is>
          <t>SIFT1M</t>
        </is>
      </c>
      <c r="B442" s="0" t="inlineStr">
        <is>
          <t>K40</t>
        </is>
      </c>
      <c r="C442" s="0" t="inlineStr">
        <is>
          <t>K45</t>
        </is>
      </c>
      <c r="D442" s="0" t="n">
        <v>40</v>
      </c>
    </row>
    <row r="443">
      <c r="A443" s="0" t="inlineStr">
        <is>
          <t>SIFT1M</t>
        </is>
      </c>
      <c r="B443" s="0" t="inlineStr">
        <is>
          <t>L40</t>
        </is>
      </c>
      <c r="C443" s="0" t="inlineStr">
        <is>
          <t>L45</t>
        </is>
      </c>
      <c r="D443" s="0" t="n">
        <v>45</v>
      </c>
    </row>
    <row r="444">
      <c r="A444" s="0" t="inlineStr">
        <is>
          <t>SIFT1M</t>
        </is>
      </c>
      <c r="B444" s="0" t="inlineStr">
        <is>
          <t>M40</t>
        </is>
      </c>
      <c r="C444" s="0" t="inlineStr">
        <is>
          <t>M45</t>
        </is>
      </c>
      <c r="D444" s="0" t="n">
        <v>50</v>
      </c>
    </row>
    <row r="445">
      <c r="A445" s="0" t="inlineStr">
        <is>
          <t>SIFT1M</t>
        </is>
      </c>
      <c r="B445" s="0" t="inlineStr">
        <is>
          <t>N40</t>
        </is>
      </c>
      <c r="C445" s="0" t="inlineStr">
        <is>
          <t>N45</t>
        </is>
      </c>
      <c r="D445" s="0" t="n">
        <v>55</v>
      </c>
    </row>
    <row r="446">
      <c r="A446" s="0" t="inlineStr">
        <is>
          <t>SIFT1M</t>
        </is>
      </c>
      <c r="B446" s="0" t="inlineStr">
        <is>
          <t>O40</t>
        </is>
      </c>
      <c r="C446" s="0" t="inlineStr">
        <is>
          <t>O45</t>
        </is>
      </c>
      <c r="D446" s="0" t="n">
        <v>60</v>
      </c>
    </row>
    <row r="447">
      <c r="A447" s="0" t="inlineStr">
        <is>
          <t>SIFT1M</t>
        </is>
      </c>
      <c r="B447" s="0" t="inlineStr">
        <is>
          <t>P40</t>
        </is>
      </c>
      <c r="C447" s="0" t="inlineStr">
        <is>
          <t>P45</t>
        </is>
      </c>
      <c r="D447" s="0" t="n">
        <v>65</v>
      </c>
    </row>
    <row r="448">
      <c r="A448" s="0" t="inlineStr">
        <is>
          <t>SIFT1M</t>
        </is>
      </c>
      <c r="B448" s="0" t="inlineStr">
        <is>
          <t>Q40</t>
        </is>
      </c>
      <c r="C448" s="0" t="inlineStr">
        <is>
          <t>Q45</t>
        </is>
      </c>
      <c r="D448" s="0" t="n">
        <v>70</v>
      </c>
    </row>
    <row r="449">
      <c r="A449" s="0" t="inlineStr">
        <is>
          <t>SIFT1M</t>
        </is>
      </c>
      <c r="B449" s="0" t="inlineStr">
        <is>
          <t>R40</t>
        </is>
      </c>
      <c r="C449" s="0" t="inlineStr">
        <is>
          <t>R45</t>
        </is>
      </c>
      <c r="D449" s="0" t="n">
        <v>75</v>
      </c>
    </row>
    <row r="450">
      <c r="A450" s="0" t="inlineStr">
        <is>
          <t>SIFT1M</t>
        </is>
      </c>
      <c r="B450" s="0" t="inlineStr">
        <is>
          <t>S40</t>
        </is>
      </c>
      <c r="C450" s="0" t="inlineStr">
        <is>
          <t>S45</t>
        </is>
      </c>
      <c r="D450" s="0" t="n">
        <v>80</v>
      </c>
    </row>
    <row r="451">
      <c r="A451" s="0" t="inlineStr">
        <is>
          <t>SIFT1M</t>
        </is>
      </c>
      <c r="B451" s="0" t="inlineStr">
        <is>
          <t>T40</t>
        </is>
      </c>
      <c r="C451" s="0" t="inlineStr">
        <is>
          <t>T45</t>
        </is>
      </c>
      <c r="D451" s="0" t="n">
        <v>85</v>
      </c>
    </row>
    <row r="452">
      <c r="A452" s="0" t="inlineStr">
        <is>
          <t>SIFT1M</t>
        </is>
      </c>
      <c r="B452" s="0" t="inlineStr">
        <is>
          <t>U40</t>
        </is>
      </c>
      <c r="C452" s="0" t="inlineStr">
        <is>
          <t>U45</t>
        </is>
      </c>
      <c r="D452" s="0" t="n">
        <v>90</v>
      </c>
    </row>
    <row r="453">
      <c r="A453" s="0" t="inlineStr">
        <is>
          <t>SIFT1M</t>
        </is>
      </c>
      <c r="B453" s="0" t="inlineStr">
        <is>
          <t>V40</t>
        </is>
      </c>
      <c r="C453" s="0" t="inlineStr">
        <is>
          <t>V45</t>
        </is>
      </c>
      <c r="D453" s="0" t="n">
        <v>95</v>
      </c>
    </row>
    <row r="454">
      <c r="A454" s="0" t="inlineStr">
        <is>
          <t>SIFT1M</t>
        </is>
      </c>
      <c r="B454" s="0" t="inlineStr">
        <is>
          <t>W40</t>
        </is>
      </c>
      <c r="C454" s="0" t="inlineStr">
        <is>
          <t>W45</t>
        </is>
      </c>
      <c r="D454" s="0" t="n">
        <v>97</v>
      </c>
    </row>
    <row r="455">
      <c r="A455" s="0" t="inlineStr">
        <is>
          <t>SIFT1M</t>
        </is>
      </c>
      <c r="B455" s="0" t="inlineStr">
        <is>
          <t>X40</t>
        </is>
      </c>
      <c r="C455" s="0" t="inlineStr">
        <is>
          <t>X45</t>
        </is>
      </c>
      <c r="D455" s="0" t="n">
        <v>98</v>
      </c>
    </row>
    <row r="456">
      <c r="A456" s="0" t="inlineStr">
        <is>
          <t>SIFT1M</t>
        </is>
      </c>
      <c r="B456" s="0" t="inlineStr">
        <is>
          <t>Y40</t>
        </is>
      </c>
      <c r="C456" s="0" t="inlineStr">
        <is>
          <t>Y45</t>
        </is>
      </c>
      <c r="D456" s="0" t="n">
        <v>99</v>
      </c>
    </row>
    <row r="457">
      <c r="A457" s="0" t="inlineStr">
        <is>
          <t>SIFT1M</t>
        </is>
      </c>
      <c r="B457" s="0" t="inlineStr">
        <is>
          <t>E41</t>
        </is>
      </c>
      <c r="C457" s="0" t="inlineStr">
        <is>
          <t>E46</t>
        </is>
      </c>
      <c r="D457" s="0" t="inlineStr">
        <is>
          <t>Recall@10 (change parameters enabling different recall rate) vs. query time</t>
        </is>
      </c>
    </row>
    <row r="458">
      <c r="A458" s="0" t="inlineStr">
        <is>
          <t>SIFT1M</t>
        </is>
      </c>
      <c r="B458" s="0" t="inlineStr">
        <is>
          <t>D43</t>
        </is>
      </c>
      <c r="C458" s="0" t="inlineStr">
        <is>
          <t>D48</t>
        </is>
      </c>
      <c r="D458" s="0" t="inlineStr">
        <is>
          <t>SIFT1M</t>
        </is>
      </c>
    </row>
    <row r="459">
      <c r="A459" s="0" t="inlineStr">
        <is>
          <t>SIFT1M</t>
        </is>
      </c>
      <c r="B459" s="0" t="inlineStr">
        <is>
          <t>D44</t>
        </is>
      </c>
      <c r="C459" s="0" t="inlineStr">
        <is>
          <t>D49</t>
        </is>
      </c>
      <c r="D459" s="0" t="inlineStr">
        <is>
          <t>VLAH</t>
        </is>
      </c>
    </row>
    <row r="460">
      <c r="A460" s="0" t="inlineStr">
        <is>
          <t>SIFT1M</t>
        </is>
      </c>
      <c r="B460" s="0" t="inlineStr">
        <is>
          <t>E44</t>
        </is>
      </c>
      <c r="C460" s="0" t="inlineStr">
        <is>
          <t>E49</t>
        </is>
      </c>
      <c r="D460" s="0" t="inlineStr">
        <is>
          <t>Recall rate</t>
        </is>
      </c>
    </row>
    <row r="461">
      <c r="A461" s="0" t="inlineStr">
        <is>
          <t>SIFT1M</t>
        </is>
      </c>
      <c r="B461" s="0" t="inlineStr">
        <is>
          <t>F44</t>
        </is>
      </c>
      <c r="C461" s="0" t="inlineStr">
        <is>
          <t>F49</t>
        </is>
      </c>
      <c r="D461" s="0" t="n">
        <v>38</v>
      </c>
    </row>
    <row r="462">
      <c r="A462" s="0" t="inlineStr">
        <is>
          <t>SIFT1M</t>
        </is>
      </c>
      <c r="B462" s="0" t="inlineStr">
        <is>
          <t>G44</t>
        </is>
      </c>
      <c r="C462" s="0" t="inlineStr">
        <is>
          <t>G49</t>
        </is>
      </c>
      <c r="D462" s="0" t="n">
        <v>38</v>
      </c>
    </row>
    <row r="463">
      <c r="A463" s="0" t="inlineStr">
        <is>
          <t>SIFT1M</t>
        </is>
      </c>
      <c r="B463" s="0" t="inlineStr">
        <is>
          <t>H44</t>
        </is>
      </c>
      <c r="C463" s="0" t="inlineStr">
        <is>
          <t>H49</t>
        </is>
      </c>
      <c r="D463" s="0" t="n">
        <v>38</v>
      </c>
    </row>
    <row r="464">
      <c r="A464" s="0" t="inlineStr">
        <is>
          <t>SIFT1M</t>
        </is>
      </c>
      <c r="B464" s="0" t="inlineStr">
        <is>
          <t>I44</t>
        </is>
      </c>
      <c r="C464" s="0" t="inlineStr">
        <is>
          <t>I49</t>
        </is>
      </c>
      <c r="D464" s="0" t="n">
        <v>38</v>
      </c>
    </row>
    <row r="465">
      <c r="A465" s="0" t="inlineStr">
        <is>
          <t>SIFT1M</t>
        </is>
      </c>
      <c r="B465" s="0" t="inlineStr">
        <is>
          <t>J44</t>
        </is>
      </c>
      <c r="C465" s="0" t="inlineStr">
        <is>
          <t>J49</t>
        </is>
      </c>
      <c r="D465" s="0" t="n">
        <v>38</v>
      </c>
    </row>
    <row r="466">
      <c r="A466" s="0" t="inlineStr">
        <is>
          <t>SIFT1M</t>
        </is>
      </c>
      <c r="B466" s="0" t="inlineStr">
        <is>
          <t>K44</t>
        </is>
      </c>
      <c r="C466" s="0" t="inlineStr">
        <is>
          <t>K49</t>
        </is>
      </c>
      <c r="D466" s="0" t="n">
        <v>42.5</v>
      </c>
    </row>
    <row r="467">
      <c r="A467" s="0" t="inlineStr">
        <is>
          <t>SIFT1M</t>
        </is>
      </c>
      <c r="B467" s="0" t="inlineStr">
        <is>
          <t>L44</t>
        </is>
      </c>
      <c r="C467" s="0" t="inlineStr">
        <is>
          <t>L49</t>
        </is>
      </c>
      <c r="D467" s="0" t="n">
        <v>50.5</v>
      </c>
    </row>
    <row r="468">
      <c r="A468" s="0" t="inlineStr">
        <is>
          <t>SIFT1M</t>
        </is>
      </c>
      <c r="B468" s="0" t="inlineStr">
        <is>
          <t>M44</t>
        </is>
      </c>
      <c r="C468" s="0" t="inlineStr">
        <is>
          <t>M49</t>
        </is>
      </c>
      <c r="D468" s="0" t="n">
        <v>50.5</v>
      </c>
    </row>
    <row r="469">
      <c r="A469" s="0" t="inlineStr">
        <is>
          <t>SIFT1M</t>
        </is>
      </c>
      <c r="B469" s="0" t="inlineStr">
        <is>
          <t>N44</t>
        </is>
      </c>
      <c r="C469" s="0" t="inlineStr">
        <is>
          <t>N49</t>
        </is>
      </c>
      <c r="D469" s="0" t="n">
        <v>55</v>
      </c>
    </row>
    <row r="470">
      <c r="A470" s="0" t="inlineStr">
        <is>
          <t>SIFT1M</t>
        </is>
      </c>
      <c r="B470" s="0" t="inlineStr">
        <is>
          <t>O44</t>
        </is>
      </c>
      <c r="C470" s="0" t="inlineStr">
        <is>
          <t>O49</t>
        </is>
      </c>
      <c r="D470" s="0" t="n">
        <v>60.7</v>
      </c>
    </row>
    <row r="471">
      <c r="A471" s="0" t="inlineStr">
        <is>
          <t>SIFT1M</t>
        </is>
      </c>
      <c r="B471" s="0" t="inlineStr">
        <is>
          <t>P44</t>
        </is>
      </c>
      <c r="C471" s="0" t="inlineStr">
        <is>
          <t>P49</t>
        </is>
      </c>
      <c r="D471" s="0" t="n">
        <v>65.40000000000001</v>
      </c>
    </row>
    <row r="472">
      <c r="A472" s="0" t="inlineStr">
        <is>
          <t>SIFT1M</t>
        </is>
      </c>
      <c r="B472" s="0" t="inlineStr">
        <is>
          <t>Q44</t>
        </is>
      </c>
      <c r="C472" s="0" t="inlineStr">
        <is>
          <t>Q49</t>
        </is>
      </c>
      <c r="D472" s="0" t="n">
        <v>70.8</v>
      </c>
    </row>
    <row r="473">
      <c r="A473" s="0" t="inlineStr">
        <is>
          <t>SIFT1M</t>
        </is>
      </c>
      <c r="B473" s="0" t="inlineStr">
        <is>
          <t>R44</t>
        </is>
      </c>
      <c r="C473" s="0" t="inlineStr">
        <is>
          <t>R49</t>
        </is>
      </c>
      <c r="D473" s="0" t="n">
        <v>75</v>
      </c>
    </row>
    <row r="474">
      <c r="A474" s="0" t="inlineStr">
        <is>
          <t>SIFT1M</t>
        </is>
      </c>
      <c r="B474" s="0" t="inlineStr">
        <is>
          <t>S44</t>
        </is>
      </c>
      <c r="C474" s="0" t="inlineStr">
        <is>
          <t>S49</t>
        </is>
      </c>
      <c r="D474" s="0" t="n">
        <v>80</v>
      </c>
    </row>
    <row r="475">
      <c r="A475" s="0" t="inlineStr">
        <is>
          <t>SIFT1M</t>
        </is>
      </c>
      <c r="B475" s="0" t="inlineStr">
        <is>
          <t>T44</t>
        </is>
      </c>
      <c r="C475" s="0" t="inlineStr">
        <is>
          <t>T49</t>
        </is>
      </c>
      <c r="D475" s="0" t="n">
        <v>85</v>
      </c>
    </row>
    <row r="476">
      <c r="A476" s="0" t="inlineStr">
        <is>
          <t>SIFT1M</t>
        </is>
      </c>
      <c r="B476" s="0" t="inlineStr">
        <is>
          <t>U44</t>
        </is>
      </c>
      <c r="C476" s="0" t="inlineStr">
        <is>
          <t>U49</t>
        </is>
      </c>
      <c r="D476" s="0" t="n">
        <v>90.3</v>
      </c>
    </row>
    <row r="477">
      <c r="A477" s="0" t="inlineStr">
        <is>
          <t>SIFT1M</t>
        </is>
      </c>
      <c r="B477" s="0" t="inlineStr">
        <is>
          <t>V44</t>
        </is>
      </c>
      <c r="C477" s="0" t="inlineStr">
        <is>
          <t>V49</t>
        </is>
      </c>
      <c r="D477" s="0" t="n">
        <v>95.2</v>
      </c>
    </row>
    <row r="478">
      <c r="A478" s="0" t="inlineStr">
        <is>
          <t>SIFT1M</t>
        </is>
      </c>
      <c r="B478" s="0" t="inlineStr">
        <is>
          <t>W44</t>
        </is>
      </c>
      <c r="C478" s="0" t="inlineStr">
        <is>
          <t>W49</t>
        </is>
      </c>
      <c r="D478" s="0" t="n">
        <v>97.2</v>
      </c>
    </row>
    <row r="479">
      <c r="A479" s="0" t="inlineStr">
        <is>
          <t>SIFT1M</t>
        </is>
      </c>
      <c r="B479" s="0" t="inlineStr">
        <is>
          <t>X44</t>
        </is>
      </c>
      <c r="C479" s="0" t="inlineStr">
        <is>
          <t>X49</t>
        </is>
      </c>
      <c r="D479" s="0" t="n">
        <v>98</v>
      </c>
    </row>
    <row r="480">
      <c r="A480" s="0" t="inlineStr">
        <is>
          <t>SIFT1M</t>
        </is>
      </c>
      <c r="B480" s="0" t="inlineStr">
        <is>
          <t>Y44</t>
        </is>
      </c>
      <c r="C480" s="0" t="inlineStr">
        <is>
          <t>Y49</t>
        </is>
      </c>
      <c r="D480" s="0" t="n">
        <v>99.09999999999999</v>
      </c>
    </row>
    <row r="481">
      <c r="A481" s="0" t="inlineStr">
        <is>
          <t>SIFT1M</t>
        </is>
      </c>
      <c r="B481" s="0" t="inlineStr">
        <is>
          <t>E45</t>
        </is>
      </c>
      <c r="C481" s="0" t="inlineStr">
        <is>
          <t>E50</t>
        </is>
      </c>
      <c r="D481" s="0" t="inlineStr">
        <is>
          <t>query time</t>
        </is>
      </c>
    </row>
    <row r="482">
      <c r="A482" s="0" t="inlineStr">
        <is>
          <t>SIFT1M</t>
        </is>
      </c>
      <c r="B482" s="0" t="inlineStr">
        <is>
          <t>F45</t>
        </is>
      </c>
      <c r="C482" s="0" t="inlineStr">
        <is>
          <t>F50</t>
        </is>
      </c>
      <c r="D482" s="0" t="n">
        <v>1.34392248333333</v>
      </c>
    </row>
    <row r="483">
      <c r="A483" s="0" t="inlineStr">
        <is>
          <t>SIFT1M</t>
        </is>
      </c>
      <c r="B483" s="0" t="inlineStr">
        <is>
          <t>G45</t>
        </is>
      </c>
      <c r="C483" s="0" t="inlineStr">
        <is>
          <t>G50</t>
        </is>
      </c>
      <c r="D483" s="0" t="n">
        <v>1.34392248333333</v>
      </c>
    </row>
    <row r="484">
      <c r="A484" s="0" t="inlineStr">
        <is>
          <t>SIFT1M</t>
        </is>
      </c>
      <c r="B484" s="0" t="inlineStr">
        <is>
          <t>H45</t>
        </is>
      </c>
      <c r="C484" s="0" t="inlineStr">
        <is>
          <t>H50</t>
        </is>
      </c>
      <c r="D484" s="0" t="n">
        <v>1.34392248333333</v>
      </c>
    </row>
    <row r="485">
      <c r="A485" s="0" t="inlineStr">
        <is>
          <t>SIFT1M</t>
        </is>
      </c>
      <c r="B485" s="0" t="inlineStr">
        <is>
          <t>I45</t>
        </is>
      </c>
      <c r="C485" s="0" t="inlineStr">
        <is>
          <t>I50</t>
        </is>
      </c>
      <c r="D485" s="0" t="n">
        <v>1.34392248333333</v>
      </c>
    </row>
    <row r="486">
      <c r="A486" s="0" t="inlineStr">
        <is>
          <t>SIFT1M</t>
        </is>
      </c>
      <c r="B486" s="0" t="inlineStr">
        <is>
          <t>J45</t>
        </is>
      </c>
      <c r="C486" s="0" t="inlineStr">
        <is>
          <t>J50</t>
        </is>
      </c>
      <c r="D486" s="0" t="n">
        <v>1.34392248333333</v>
      </c>
    </row>
    <row r="487">
      <c r="A487" s="0" t="inlineStr">
        <is>
          <t>SIFT1M</t>
        </is>
      </c>
      <c r="B487" s="0" t="inlineStr">
        <is>
          <t>K45</t>
        </is>
      </c>
      <c r="C487" s="0" t="inlineStr">
        <is>
          <t>K50</t>
        </is>
      </c>
      <c r="D487" s="0" t="n">
        <v>2.7165707</v>
      </c>
    </row>
    <row r="488">
      <c r="A488" s="0" t="inlineStr">
        <is>
          <t>SIFT1M</t>
        </is>
      </c>
      <c r="B488" s="0" t="inlineStr">
        <is>
          <t>L45</t>
        </is>
      </c>
      <c r="C488" s="0" t="inlineStr">
        <is>
          <t>L50</t>
        </is>
      </c>
      <c r="D488" s="0" t="n">
        <v>4.05306783333333</v>
      </c>
    </row>
    <row r="489">
      <c r="A489" s="0" t="inlineStr">
        <is>
          <t>SIFT1M</t>
        </is>
      </c>
      <c r="B489" s="0" t="inlineStr">
        <is>
          <t>M45</t>
        </is>
      </c>
      <c r="C489" s="0" t="inlineStr">
        <is>
          <t>M50</t>
        </is>
      </c>
      <c r="D489" s="0" t="n">
        <v>4.05306783333333</v>
      </c>
    </row>
    <row r="490">
      <c r="A490" s="0" t="inlineStr">
        <is>
          <t>SIFT1M</t>
        </is>
      </c>
      <c r="B490" s="0" t="inlineStr">
        <is>
          <t>N45</t>
        </is>
      </c>
      <c r="C490" s="0" t="inlineStr">
        <is>
          <t>N50</t>
        </is>
      </c>
      <c r="D490" s="0" t="n">
        <v>6.9410392</v>
      </c>
    </row>
    <row r="491">
      <c r="A491" s="0" t="inlineStr">
        <is>
          <t>SIFT1M</t>
        </is>
      </c>
      <c r="B491" s="0" t="inlineStr">
        <is>
          <t>O45</t>
        </is>
      </c>
      <c r="C491" s="0" t="inlineStr">
        <is>
          <t>O50</t>
        </is>
      </c>
      <c r="D491" s="0" t="n">
        <v>17.0517269033333</v>
      </c>
    </row>
    <row r="492">
      <c r="A492" s="0" t="inlineStr">
        <is>
          <t>SIFT1M</t>
        </is>
      </c>
      <c r="B492" s="0" t="inlineStr">
        <is>
          <t>P45</t>
        </is>
      </c>
      <c r="C492" s="0" t="inlineStr">
        <is>
          <t>P50</t>
        </is>
      </c>
      <c r="D492" s="0" t="n">
        <v>20.2751743866667</v>
      </c>
    </row>
    <row r="493">
      <c r="A493" s="0" t="inlineStr">
        <is>
          <t>SIFT1M</t>
        </is>
      </c>
      <c r="B493" s="0" t="inlineStr">
        <is>
          <t>Q45</t>
        </is>
      </c>
      <c r="C493" s="0" t="inlineStr">
        <is>
          <t>Q50</t>
        </is>
      </c>
      <c r="D493" s="0" t="n">
        <v>26.32129043</v>
      </c>
    </row>
    <row r="494">
      <c r="A494" s="0" t="inlineStr">
        <is>
          <t>SIFT1M</t>
        </is>
      </c>
      <c r="B494" s="0" t="inlineStr">
        <is>
          <t>R45</t>
        </is>
      </c>
      <c r="C494" s="0" t="inlineStr">
        <is>
          <t>R50</t>
        </is>
      </c>
      <c r="D494" s="0" t="n">
        <v>29.3498243433333</v>
      </c>
    </row>
    <row r="495">
      <c r="A495" s="0" t="inlineStr">
        <is>
          <t>SIFT1M</t>
        </is>
      </c>
      <c r="B495" s="0" t="inlineStr">
        <is>
          <t>S45</t>
        </is>
      </c>
      <c r="C495" s="0" t="inlineStr">
        <is>
          <t>S50</t>
        </is>
      </c>
      <c r="D495" s="0" t="n">
        <v>36.5804762</v>
      </c>
    </row>
    <row r="496">
      <c r="A496" s="0" t="inlineStr">
        <is>
          <t>SIFT1M</t>
        </is>
      </c>
      <c r="B496" s="0" t="inlineStr">
        <is>
          <t>T45</t>
        </is>
      </c>
      <c r="C496" s="0" t="inlineStr">
        <is>
          <t>T50</t>
        </is>
      </c>
      <c r="D496" s="0" t="n">
        <v>40.9267938566667</v>
      </c>
    </row>
    <row r="497">
      <c r="A497" s="0" t="inlineStr">
        <is>
          <t>SIFT1M</t>
        </is>
      </c>
      <c r="B497" s="0" t="inlineStr">
        <is>
          <t>U45</t>
        </is>
      </c>
      <c r="C497" s="0" t="inlineStr">
        <is>
          <t>U50</t>
        </is>
      </c>
      <c r="D497" s="0" t="n">
        <v>48.2655236333333</v>
      </c>
    </row>
    <row r="498">
      <c r="A498" s="0" t="inlineStr">
        <is>
          <t>SIFT1M</t>
        </is>
      </c>
      <c r="B498" s="0" t="inlineStr">
        <is>
          <t>V45</t>
        </is>
      </c>
      <c r="C498" s="0" t="inlineStr">
        <is>
          <t>V50</t>
        </is>
      </c>
      <c r="D498" s="0" t="n">
        <v>56.3584423366667</v>
      </c>
    </row>
    <row r="499">
      <c r="A499" s="0" t="inlineStr">
        <is>
          <t>SIFT1M</t>
        </is>
      </c>
      <c r="B499" s="0" t="inlineStr">
        <is>
          <t>W45</t>
        </is>
      </c>
      <c r="C499" s="0" t="inlineStr">
        <is>
          <t>W50</t>
        </is>
      </c>
      <c r="D499" s="0" t="n">
        <v>60.5991719466667</v>
      </c>
    </row>
    <row r="500">
      <c r="A500" s="0" t="inlineStr">
        <is>
          <t>SIFT1M</t>
        </is>
      </c>
      <c r="B500" s="0" t="inlineStr">
        <is>
          <t>X45</t>
        </is>
      </c>
      <c r="C500" s="0" t="inlineStr">
        <is>
          <t>X50</t>
        </is>
      </c>
      <c r="D500" s="0" t="n">
        <v>67.77530642000001</v>
      </c>
    </row>
    <row r="501">
      <c r="A501" s="0" t="inlineStr">
        <is>
          <t>SIFT1M</t>
        </is>
      </c>
      <c r="B501" s="0" t="inlineStr">
        <is>
          <t>Y45</t>
        </is>
      </c>
      <c r="C501" s="0" t="inlineStr">
        <is>
          <t>Y50</t>
        </is>
      </c>
      <c r="D501" s="0" t="n">
        <v>71.5946153666667</v>
      </c>
    </row>
    <row r="502">
      <c r="A502" s="0" t="inlineStr">
        <is>
          <t>SIFT1M</t>
        </is>
      </c>
      <c r="B502" s="0" t="inlineStr">
        <is>
          <t>D46</t>
        </is>
      </c>
      <c r="C502" s="0" t="inlineStr">
        <is>
          <t>D51</t>
        </is>
      </c>
      <c r="D502" s="0" t="inlineStr">
        <is>
          <t>ANNProof</t>
        </is>
      </c>
    </row>
    <row r="503">
      <c r="A503" s="0" t="inlineStr">
        <is>
          <t>SIFT1M</t>
        </is>
      </c>
      <c r="B503" s="0" t="inlineStr">
        <is>
          <t>E46</t>
        </is>
      </c>
      <c r="C503" s="0" t="inlineStr">
        <is>
          <t>E51</t>
        </is>
      </c>
      <c r="D503" s="0" t="inlineStr">
        <is>
          <t>Recall rate</t>
        </is>
      </c>
    </row>
    <row r="504">
      <c r="A504" s="0" t="inlineStr">
        <is>
          <t>SIFT1M</t>
        </is>
      </c>
      <c r="B504" s="0" t="inlineStr">
        <is>
          <t>F46</t>
        </is>
      </c>
      <c r="C504" s="0" t="inlineStr">
        <is>
          <t>F51</t>
        </is>
      </c>
      <c r="D504" s="0" t="n">
        <v>67.5</v>
      </c>
    </row>
    <row r="505">
      <c r="A505" s="0" t="inlineStr">
        <is>
          <t>SIFT1M</t>
        </is>
      </c>
      <c r="B505" s="0" t="inlineStr">
        <is>
          <t>G46</t>
        </is>
      </c>
      <c r="C505" s="0" t="inlineStr">
        <is>
          <t>G51</t>
        </is>
      </c>
      <c r="D505" s="0" t="n">
        <v>67.5</v>
      </c>
    </row>
    <row r="506">
      <c r="A506" s="0" t="inlineStr">
        <is>
          <t>SIFT1M</t>
        </is>
      </c>
      <c r="B506" s="0" t="inlineStr">
        <is>
          <t>H46</t>
        </is>
      </c>
      <c r="C506" s="0" t="inlineStr">
        <is>
          <t>H51</t>
        </is>
      </c>
      <c r="D506" s="0" t="n">
        <v>67.5</v>
      </c>
    </row>
    <row r="507">
      <c r="A507" s="0" t="inlineStr">
        <is>
          <t>SIFT1M</t>
        </is>
      </c>
      <c r="B507" s="0" t="inlineStr">
        <is>
          <t>I46</t>
        </is>
      </c>
      <c r="C507" s="0" t="inlineStr">
        <is>
          <t>I51</t>
        </is>
      </c>
      <c r="D507" s="0" t="n">
        <v>67.5</v>
      </c>
    </row>
    <row r="508">
      <c r="A508" s="0" t="inlineStr">
        <is>
          <t>SIFT1M</t>
        </is>
      </c>
      <c r="B508" s="0" t="inlineStr">
        <is>
          <t>J46</t>
        </is>
      </c>
      <c r="C508" s="0" t="inlineStr">
        <is>
          <t>J51</t>
        </is>
      </c>
      <c r="D508" s="0" t="n">
        <v>67.5</v>
      </c>
    </row>
    <row r="509">
      <c r="A509" s="0" t="inlineStr">
        <is>
          <t>SIFT1M</t>
        </is>
      </c>
      <c r="B509" s="0" t="inlineStr">
        <is>
          <t>K46</t>
        </is>
      </c>
      <c r="C509" s="0" t="inlineStr">
        <is>
          <t>K51</t>
        </is>
      </c>
      <c r="D509" s="0" t="n">
        <v>67.5</v>
      </c>
    </row>
    <row r="510">
      <c r="A510" s="0" t="inlineStr">
        <is>
          <t>SIFT1M</t>
        </is>
      </c>
      <c r="B510" s="0" t="inlineStr">
        <is>
          <t>L46</t>
        </is>
      </c>
      <c r="C510" s="0" t="inlineStr">
        <is>
          <t>L51</t>
        </is>
      </c>
      <c r="D510" s="0" t="n">
        <v>67.5</v>
      </c>
    </row>
    <row r="511">
      <c r="A511" s="0" t="inlineStr">
        <is>
          <t>SIFT1M</t>
        </is>
      </c>
      <c r="B511" s="0" t="inlineStr">
        <is>
          <t>M46</t>
        </is>
      </c>
      <c r="C511" s="0" t="inlineStr">
        <is>
          <t>M51</t>
        </is>
      </c>
      <c r="D511" s="0" t="n">
        <v>67.5</v>
      </c>
    </row>
    <row r="512">
      <c r="A512" s="0" t="inlineStr">
        <is>
          <t>SIFT1M</t>
        </is>
      </c>
      <c r="B512" s="0" t="inlineStr">
        <is>
          <t>N46</t>
        </is>
      </c>
      <c r="C512" s="0" t="inlineStr">
        <is>
          <t>N51</t>
        </is>
      </c>
      <c r="D512" s="0" t="n">
        <v>67.5</v>
      </c>
    </row>
    <row r="513">
      <c r="A513" s="0" t="inlineStr">
        <is>
          <t>SIFT1M</t>
        </is>
      </c>
      <c r="B513" s="0" t="inlineStr">
        <is>
          <t>O46</t>
        </is>
      </c>
      <c r="C513" s="0" t="inlineStr">
        <is>
          <t>O51</t>
        </is>
      </c>
      <c r="D513" s="0" t="n">
        <v>62.1</v>
      </c>
    </row>
    <row r="514">
      <c r="A514" s="0" t="inlineStr">
        <is>
          <t>SIFT1M</t>
        </is>
      </c>
      <c r="B514" s="0" t="inlineStr">
        <is>
          <t>P46</t>
        </is>
      </c>
      <c r="C514" s="0" t="inlineStr">
        <is>
          <t>P51</t>
        </is>
      </c>
      <c r="D514" s="0" t="n">
        <v>66.7</v>
      </c>
    </row>
    <row r="515">
      <c r="A515" s="0" t="inlineStr">
        <is>
          <t>SIFT1M</t>
        </is>
      </c>
      <c r="B515" s="0" t="inlineStr">
        <is>
          <t>Q46</t>
        </is>
      </c>
      <c r="C515" s="0" t="inlineStr">
        <is>
          <t>Q51</t>
        </is>
      </c>
      <c r="D515" s="0" t="n">
        <v>71.59999999999999</v>
      </c>
    </row>
    <row r="516">
      <c r="A516" s="0" t="inlineStr">
        <is>
          <t>SIFT1M</t>
        </is>
      </c>
      <c r="B516" s="0" t="inlineStr">
        <is>
          <t>R46</t>
        </is>
      </c>
      <c r="C516" s="0" t="inlineStr">
        <is>
          <t>R51</t>
        </is>
      </c>
      <c r="D516" s="0" t="n">
        <v>75.59999999999999</v>
      </c>
    </row>
    <row r="517">
      <c r="A517" s="0" t="inlineStr">
        <is>
          <t>SIFT1M</t>
        </is>
      </c>
      <c r="B517" s="0" t="inlineStr">
        <is>
          <t>S46</t>
        </is>
      </c>
      <c r="C517" s="0" t="inlineStr">
        <is>
          <t>S51</t>
        </is>
      </c>
      <c r="D517" s="0" t="n">
        <v>81.40000000000001</v>
      </c>
    </row>
    <row r="518">
      <c r="A518" s="0" t="inlineStr">
        <is>
          <t>SIFT1M</t>
        </is>
      </c>
      <c r="B518" s="0" t="inlineStr">
        <is>
          <t>T46</t>
        </is>
      </c>
      <c r="C518" s="0" t="inlineStr">
        <is>
          <t>T51</t>
        </is>
      </c>
      <c r="D518" s="0" t="n">
        <v>86.5</v>
      </c>
    </row>
    <row r="519">
      <c r="A519" s="0" t="inlineStr">
        <is>
          <t>SIFT1M</t>
        </is>
      </c>
      <c r="B519" s="0" t="inlineStr">
        <is>
          <t>U46</t>
        </is>
      </c>
      <c r="C519" s="0" t="inlineStr">
        <is>
          <t>U51</t>
        </is>
      </c>
      <c r="D519" s="0" t="n">
        <v>90.2</v>
      </c>
    </row>
    <row r="520">
      <c r="A520" s="0" t="inlineStr">
        <is>
          <t>SIFT1M</t>
        </is>
      </c>
      <c r="B520" s="0" t="inlineStr">
        <is>
          <t>V46</t>
        </is>
      </c>
      <c r="C520" s="0" t="inlineStr">
        <is>
          <t>V51</t>
        </is>
      </c>
      <c r="D520" s="0" t="n">
        <v>95.09999999999999</v>
      </c>
    </row>
    <row r="521">
      <c r="A521" s="0" t="inlineStr">
        <is>
          <t>SIFT1M</t>
        </is>
      </c>
      <c r="B521" s="0" t="inlineStr">
        <is>
          <t>W46</t>
        </is>
      </c>
      <c r="C521" s="0" t="inlineStr">
        <is>
          <t>W51</t>
        </is>
      </c>
      <c r="D521" s="0" t="n">
        <v>97.3</v>
      </c>
    </row>
    <row r="522">
      <c r="A522" s="0" t="inlineStr">
        <is>
          <t>SIFT1M</t>
        </is>
      </c>
      <c r="B522" s="0" t="inlineStr">
        <is>
          <t>X46</t>
        </is>
      </c>
      <c r="C522" s="0" t="inlineStr">
        <is>
          <t>X51</t>
        </is>
      </c>
      <c r="D522" s="0" t="n">
        <v>98.09999999999999</v>
      </c>
    </row>
    <row r="523">
      <c r="A523" s="0" t="inlineStr">
        <is>
          <t>SIFT1M</t>
        </is>
      </c>
      <c r="B523" s="0" t="inlineStr">
        <is>
          <t>Y46</t>
        </is>
      </c>
      <c r="C523" s="0" t="inlineStr">
        <is>
          <t>Y51</t>
        </is>
      </c>
      <c r="D523" s="0" t="n">
        <v>99</v>
      </c>
    </row>
    <row r="524">
      <c r="A524" s="0" t="inlineStr">
        <is>
          <t>SIFT1M</t>
        </is>
      </c>
      <c r="B524" s="0" t="inlineStr">
        <is>
          <t>E47</t>
        </is>
      </c>
      <c r="C524" s="0" t="inlineStr">
        <is>
          <t>E52</t>
        </is>
      </c>
      <c r="D524" s="0" t="inlineStr">
        <is>
          <t>query time</t>
        </is>
      </c>
    </row>
    <row r="525">
      <c r="A525" s="0" t="inlineStr">
        <is>
          <t>SIFT1M</t>
        </is>
      </c>
      <c r="B525" s="0" t="inlineStr">
        <is>
          <t>F47</t>
        </is>
      </c>
      <c r="C525" s="0" t="inlineStr">
        <is>
          <t>F52</t>
        </is>
      </c>
      <c r="D525" s="0" t="n">
        <v>0.5660790999999999</v>
      </c>
    </row>
    <row r="526">
      <c r="A526" s="0" t="inlineStr">
        <is>
          <t>SIFT1M</t>
        </is>
      </c>
      <c r="B526" s="0" t="inlineStr">
        <is>
          <t>G47</t>
        </is>
      </c>
      <c r="C526" s="0" t="inlineStr">
        <is>
          <t>G52</t>
        </is>
      </c>
      <c r="D526" s="0" t="n">
        <v>0.5660790999999999</v>
      </c>
    </row>
    <row r="527">
      <c r="A527" s="0" t="inlineStr">
        <is>
          <t>SIFT1M</t>
        </is>
      </c>
      <c r="B527" s="0" t="inlineStr">
        <is>
          <t>H47</t>
        </is>
      </c>
      <c r="C527" s="0" t="inlineStr">
        <is>
          <t>H52</t>
        </is>
      </c>
      <c r="D527" s="0" t="n">
        <v>0.5660790999999999</v>
      </c>
    </row>
    <row r="528">
      <c r="A528" s="0" t="inlineStr">
        <is>
          <t>SIFT1M</t>
        </is>
      </c>
      <c r="B528" s="0" t="inlineStr">
        <is>
          <t>I47</t>
        </is>
      </c>
      <c r="C528" s="0" t="inlineStr">
        <is>
          <t>I52</t>
        </is>
      </c>
      <c r="D528" s="0" t="n">
        <v>0.5660790999999999</v>
      </c>
    </row>
    <row r="529">
      <c r="A529" s="0" t="inlineStr">
        <is>
          <t>SIFT1M</t>
        </is>
      </c>
      <c r="B529" s="0" t="inlineStr">
        <is>
          <t>J47</t>
        </is>
      </c>
      <c r="C529" s="0" t="inlineStr">
        <is>
          <t>J52</t>
        </is>
      </c>
      <c r="D529" s="0" t="n">
        <v>0.5660790999999999</v>
      </c>
    </row>
    <row r="530">
      <c r="A530" s="0" t="inlineStr">
        <is>
          <t>SIFT1M</t>
        </is>
      </c>
      <c r="B530" s="0" t="inlineStr">
        <is>
          <t>K47</t>
        </is>
      </c>
      <c r="C530" s="0" t="inlineStr">
        <is>
          <t>K52</t>
        </is>
      </c>
      <c r="D530" s="0" t="n">
        <v>0.5660790999999999</v>
      </c>
    </row>
    <row r="531">
      <c r="A531" s="0" t="inlineStr">
        <is>
          <t>SIFT1M</t>
        </is>
      </c>
      <c r="B531" s="0" t="inlineStr">
        <is>
          <t>L47</t>
        </is>
      </c>
      <c r="C531" s="0" t="inlineStr">
        <is>
          <t>L52</t>
        </is>
      </c>
      <c r="D531" s="0" t="n">
        <v>0.5660790999999999</v>
      </c>
    </row>
    <row r="532">
      <c r="A532" s="0" t="inlineStr">
        <is>
          <t>SIFT1M</t>
        </is>
      </c>
      <c r="B532" s="0" t="inlineStr">
        <is>
          <t>M47</t>
        </is>
      </c>
      <c r="C532" s="0" t="inlineStr">
        <is>
          <t>M52</t>
        </is>
      </c>
      <c r="D532" s="0" t="n">
        <v>0.5660790999999999</v>
      </c>
    </row>
    <row r="533">
      <c r="A533" s="0" t="inlineStr">
        <is>
          <t>SIFT1M</t>
        </is>
      </c>
      <c r="B533" s="0" t="inlineStr">
        <is>
          <t>N47</t>
        </is>
      </c>
      <c r="C533" s="0" t="inlineStr">
        <is>
          <t>N52</t>
        </is>
      </c>
      <c r="D533" s="0" t="n">
        <v>0.5660790999999999</v>
      </c>
    </row>
    <row r="534">
      <c r="A534" s="0" t="inlineStr">
        <is>
          <t>SIFT1M</t>
        </is>
      </c>
      <c r="B534" s="0" t="inlineStr">
        <is>
          <t>O47</t>
        </is>
      </c>
      <c r="C534" s="0" t="inlineStr">
        <is>
          <t>O52</t>
        </is>
      </c>
      <c r="D534" s="0" t="n">
        <v>0.716869013333333</v>
      </c>
    </row>
    <row r="535">
      <c r="A535" s="0" t="inlineStr">
        <is>
          <t>SIFT1M</t>
        </is>
      </c>
      <c r="B535" s="0" t="inlineStr">
        <is>
          <t>P47</t>
        </is>
      </c>
      <c r="C535" s="0" t="inlineStr">
        <is>
          <t>P52</t>
        </is>
      </c>
      <c r="D535" s="0" t="n">
        <v>0.752639593333333</v>
      </c>
    </row>
    <row r="536">
      <c r="A536" s="0" t="inlineStr">
        <is>
          <t>SIFT1M</t>
        </is>
      </c>
      <c r="B536" s="0" t="inlineStr">
        <is>
          <t>Q47</t>
        </is>
      </c>
      <c r="C536" s="0" t="inlineStr">
        <is>
          <t>Q52</t>
        </is>
      </c>
      <c r="D536" s="0" t="n">
        <v>0.8841314</v>
      </c>
    </row>
    <row r="537">
      <c r="A537" s="0" t="inlineStr">
        <is>
          <t>SIFT1M</t>
        </is>
      </c>
      <c r="B537" s="0" t="inlineStr">
        <is>
          <t>R47</t>
        </is>
      </c>
      <c r="C537" s="0" t="inlineStr">
        <is>
          <t>R52</t>
        </is>
      </c>
      <c r="D537" s="0" t="n">
        <v>0.94956975</v>
      </c>
    </row>
    <row r="538">
      <c r="A538" s="0" t="inlineStr">
        <is>
          <t>SIFT1M</t>
        </is>
      </c>
      <c r="B538" s="0" t="inlineStr">
        <is>
          <t>S47</t>
        </is>
      </c>
      <c r="C538" s="0" t="inlineStr">
        <is>
          <t>S52</t>
        </is>
      </c>
      <c r="D538" s="0" t="n">
        <v>1.19981304666667</v>
      </c>
    </row>
    <row r="539">
      <c r="A539" s="0" t="inlineStr">
        <is>
          <t>SIFT1M</t>
        </is>
      </c>
      <c r="B539" s="0" t="inlineStr">
        <is>
          <t>T47</t>
        </is>
      </c>
      <c r="C539" s="0" t="inlineStr">
        <is>
          <t>T52</t>
        </is>
      </c>
      <c r="D539" s="0" t="n">
        <v>1.52797133666667</v>
      </c>
    </row>
    <row r="540">
      <c r="A540" s="0" t="inlineStr">
        <is>
          <t>SIFT1M</t>
        </is>
      </c>
      <c r="B540" s="0" t="inlineStr">
        <is>
          <t>U47</t>
        </is>
      </c>
      <c r="C540" s="0" t="inlineStr">
        <is>
          <t>U52</t>
        </is>
      </c>
      <c r="D540" s="0" t="n">
        <v>1.96009546666667</v>
      </c>
    </row>
    <row r="541">
      <c r="A541" s="0" t="inlineStr">
        <is>
          <t>SIFT1M</t>
        </is>
      </c>
      <c r="B541" s="0" t="inlineStr">
        <is>
          <t>V47</t>
        </is>
      </c>
      <c r="C541" s="0" t="inlineStr">
        <is>
          <t>V52</t>
        </is>
      </c>
      <c r="D541" s="0" t="n">
        <v>2.81582243666667</v>
      </c>
    </row>
    <row r="542">
      <c r="A542" s="0" t="inlineStr">
        <is>
          <t>SIFT1M</t>
        </is>
      </c>
      <c r="B542" s="0" t="inlineStr">
        <is>
          <t>W47</t>
        </is>
      </c>
      <c r="C542" s="0" t="inlineStr">
        <is>
          <t>W52</t>
        </is>
      </c>
      <c r="D542" s="0" t="n">
        <v>4.19542150666667</v>
      </c>
    </row>
    <row r="543">
      <c r="A543" s="0" t="inlineStr">
        <is>
          <t>SIFT1M</t>
        </is>
      </c>
      <c r="B543" s="0" t="inlineStr">
        <is>
          <t>X47</t>
        </is>
      </c>
      <c r="C543" s="0" t="inlineStr">
        <is>
          <t>X52</t>
        </is>
      </c>
      <c r="D543" s="0" t="n">
        <v>6.30232666</v>
      </c>
    </row>
    <row r="544">
      <c r="A544" s="0" t="inlineStr">
        <is>
          <t>SIFT1M</t>
        </is>
      </c>
      <c r="B544" s="0" t="inlineStr">
        <is>
          <t>Y47</t>
        </is>
      </c>
      <c r="C544" s="0" t="inlineStr">
        <is>
          <t>Y52</t>
        </is>
      </c>
      <c r="D544" s="0" t="n">
        <v>11.1530746866667</v>
      </c>
    </row>
    <row r="545">
      <c r="A545" s="0" t="inlineStr">
        <is>
          <t>SIFT1M</t>
        </is>
      </c>
      <c r="B545" s="0" t="inlineStr">
        <is>
          <t>D48</t>
        </is>
      </c>
      <c r="C545" s="0" t="inlineStr">
        <is>
          <t>D53</t>
        </is>
      </c>
      <c r="D545" s="0" t="inlineStr">
        <is>
          <t>Ours</t>
        </is>
      </c>
    </row>
    <row r="546">
      <c r="A546" s="0" t="inlineStr">
        <is>
          <t>SIFT1M</t>
        </is>
      </c>
      <c r="B546" s="0" t="inlineStr">
        <is>
          <t>E48</t>
        </is>
      </c>
      <c r="C546" s="0" t="inlineStr">
        <is>
          <t>E53</t>
        </is>
      </c>
      <c r="D546" s="0" t="inlineStr">
        <is>
          <t>Recall rate</t>
        </is>
      </c>
    </row>
    <row r="547">
      <c r="A547" s="0" t="inlineStr">
        <is>
          <t>SIFT1M</t>
        </is>
      </c>
      <c r="B547" s="0" t="inlineStr">
        <is>
          <t>F48</t>
        </is>
      </c>
      <c r="C547" s="0" t="inlineStr">
        <is>
          <t>F53</t>
        </is>
      </c>
      <c r="D547" s="0" t="n">
        <v>24</v>
      </c>
    </row>
    <row r="548">
      <c r="A548" s="0" t="inlineStr">
        <is>
          <t>SIFT1M</t>
        </is>
      </c>
      <c r="B548" s="0" t="inlineStr">
        <is>
          <t>G48</t>
        </is>
      </c>
      <c r="C548" s="0" t="inlineStr">
        <is>
          <t>G53</t>
        </is>
      </c>
      <c r="D548" s="0" t="n">
        <v>24</v>
      </c>
    </row>
    <row r="549">
      <c r="A549" s="0" t="inlineStr">
        <is>
          <t>SIFT1M</t>
        </is>
      </c>
      <c r="B549" s="0" t="inlineStr">
        <is>
          <t>H48</t>
        </is>
      </c>
      <c r="C549" s="0" t="inlineStr">
        <is>
          <t>H53</t>
        </is>
      </c>
      <c r="D549" s="0" t="n">
        <v>33</v>
      </c>
    </row>
    <row r="550">
      <c r="A550" s="0" t="inlineStr">
        <is>
          <t>SIFT1M</t>
        </is>
      </c>
      <c r="B550" s="0" t="inlineStr">
        <is>
          <t>I48</t>
        </is>
      </c>
      <c r="C550" s="0" t="inlineStr">
        <is>
          <t>I53</t>
        </is>
      </c>
      <c r="D550" s="0" t="n">
        <v>33</v>
      </c>
    </row>
    <row r="551">
      <c r="A551" s="0" t="inlineStr">
        <is>
          <t>SIFT1M</t>
        </is>
      </c>
      <c r="B551" s="0" t="inlineStr">
        <is>
          <t>J48</t>
        </is>
      </c>
      <c r="C551" s="0" t="inlineStr">
        <is>
          <t>J53</t>
        </is>
      </c>
      <c r="D551" s="0" t="n">
        <v>41</v>
      </c>
    </row>
    <row r="552">
      <c r="A552" s="0" t="inlineStr">
        <is>
          <t>SIFT1M</t>
        </is>
      </c>
      <c r="B552" s="0" t="inlineStr">
        <is>
          <t>K48</t>
        </is>
      </c>
      <c r="C552" s="0" t="inlineStr">
        <is>
          <t>K53</t>
        </is>
      </c>
      <c r="D552" s="0" t="n">
        <v>41</v>
      </c>
    </row>
    <row r="553">
      <c r="A553" s="0" t="inlineStr">
        <is>
          <t>SIFT1M</t>
        </is>
      </c>
      <c r="B553" s="0" t="inlineStr">
        <is>
          <t>L48</t>
        </is>
      </c>
      <c r="C553" s="0" t="inlineStr">
        <is>
          <t>L53</t>
        </is>
      </c>
      <c r="D553" s="0" t="n">
        <v>51</v>
      </c>
    </row>
    <row r="554">
      <c r="A554" s="0" t="inlineStr">
        <is>
          <t>SIFT1M</t>
        </is>
      </c>
      <c r="B554" s="0" t="inlineStr">
        <is>
          <t>M48</t>
        </is>
      </c>
      <c r="C554" s="0" t="inlineStr">
        <is>
          <t>M53</t>
        </is>
      </c>
      <c r="D554" s="0" t="n">
        <v>51</v>
      </c>
    </row>
    <row r="555">
      <c r="A555" s="0" t="inlineStr">
        <is>
          <t>SIFT1M</t>
        </is>
      </c>
      <c r="B555" s="0" t="inlineStr">
        <is>
          <t>N48</t>
        </is>
      </c>
      <c r="C555" s="0" t="inlineStr">
        <is>
          <t>N53</t>
        </is>
      </c>
      <c r="D555" s="0" t="n">
        <v>55.5</v>
      </c>
    </row>
    <row r="556">
      <c r="A556" s="0" t="inlineStr">
        <is>
          <t>SIFT1M</t>
        </is>
      </c>
      <c r="B556" s="0" t="inlineStr">
        <is>
          <t>O48</t>
        </is>
      </c>
      <c r="C556" s="0" t="inlineStr">
        <is>
          <t>O53</t>
        </is>
      </c>
      <c r="D556" s="0" t="n">
        <v>62.3</v>
      </c>
    </row>
    <row r="557">
      <c r="A557" s="0" t="inlineStr">
        <is>
          <t>SIFT1M</t>
        </is>
      </c>
      <c r="B557" s="0" t="inlineStr">
        <is>
          <t>P48</t>
        </is>
      </c>
      <c r="C557" s="0" t="inlineStr">
        <is>
          <t>P53</t>
        </is>
      </c>
      <c r="D557" s="0" t="n">
        <v>66.3</v>
      </c>
    </row>
    <row r="558">
      <c r="A558" s="0" t="inlineStr">
        <is>
          <t>SIFT1M</t>
        </is>
      </c>
      <c r="B558" s="0" t="inlineStr">
        <is>
          <t>Q48</t>
        </is>
      </c>
      <c r="C558" s="0" t="inlineStr">
        <is>
          <t>Q53</t>
        </is>
      </c>
      <c r="D558" s="0" t="n">
        <v>70.2</v>
      </c>
    </row>
    <row r="559">
      <c r="A559" s="0" t="inlineStr">
        <is>
          <t>SIFT1M</t>
        </is>
      </c>
      <c r="B559" s="0" t="inlineStr">
        <is>
          <t>R48</t>
        </is>
      </c>
      <c r="C559" s="0" t="inlineStr">
        <is>
          <t>R53</t>
        </is>
      </c>
      <c r="D559" s="0" t="n">
        <v>76</v>
      </c>
    </row>
    <row r="560">
      <c r="A560" s="0" t="inlineStr">
        <is>
          <t>SIFT1M</t>
        </is>
      </c>
      <c r="B560" s="0" t="inlineStr">
        <is>
          <t>S48</t>
        </is>
      </c>
      <c r="C560" s="0" t="inlineStr">
        <is>
          <t>S53</t>
        </is>
      </c>
      <c r="D560" s="0" t="n">
        <v>80.3</v>
      </c>
    </row>
    <row r="561">
      <c r="A561" s="0" t="inlineStr">
        <is>
          <t>SIFT1M</t>
        </is>
      </c>
      <c r="B561" s="0" t="inlineStr">
        <is>
          <t>T48</t>
        </is>
      </c>
      <c r="C561" s="0" t="inlineStr">
        <is>
          <t>T53</t>
        </is>
      </c>
      <c r="D561" s="0" t="n">
        <v>87.3</v>
      </c>
    </row>
    <row r="562">
      <c r="A562" s="0" t="inlineStr">
        <is>
          <t>SIFT1M</t>
        </is>
      </c>
      <c r="B562" s="0" t="inlineStr">
        <is>
          <t>U48</t>
        </is>
      </c>
      <c r="C562" s="0" t="inlineStr">
        <is>
          <t>U53</t>
        </is>
      </c>
      <c r="D562" s="0" t="n">
        <v>90.40000000000001</v>
      </c>
    </row>
    <row r="563">
      <c r="A563" s="0" t="inlineStr">
        <is>
          <t>SIFT1M</t>
        </is>
      </c>
      <c r="B563" s="0" t="inlineStr">
        <is>
          <t>V48</t>
        </is>
      </c>
      <c r="C563" s="0" t="inlineStr">
        <is>
          <t>V53</t>
        </is>
      </c>
      <c r="D563" s="0" t="n">
        <v>95.40000000000001</v>
      </c>
    </row>
    <row r="564">
      <c r="A564" s="0" t="inlineStr">
        <is>
          <t>SIFT1M</t>
        </is>
      </c>
      <c r="B564" s="0" t="inlineStr">
        <is>
          <t>W48</t>
        </is>
      </c>
      <c r="C564" s="0" t="inlineStr">
        <is>
          <t>W53</t>
        </is>
      </c>
      <c r="D564" s="0" t="n">
        <v>97.2</v>
      </c>
    </row>
    <row r="565">
      <c r="A565" s="0" t="inlineStr">
        <is>
          <t>SIFT1M</t>
        </is>
      </c>
      <c r="B565" s="0" t="inlineStr">
        <is>
          <t>X48</t>
        </is>
      </c>
      <c r="C565" s="0" t="inlineStr">
        <is>
          <t>X53</t>
        </is>
      </c>
      <c r="D565" s="0" t="n">
        <v>98.7</v>
      </c>
    </row>
    <row r="566">
      <c r="A566" s="0" t="inlineStr">
        <is>
          <t>SIFT1M</t>
        </is>
      </c>
      <c r="B566" s="0" t="inlineStr">
        <is>
          <t>Y48</t>
        </is>
      </c>
      <c r="C566" s="0" t="inlineStr">
        <is>
          <t>Y53</t>
        </is>
      </c>
      <c r="D566" s="0" t="n">
        <v>99</v>
      </c>
    </row>
    <row r="567">
      <c r="A567" s="0" t="inlineStr">
        <is>
          <t>SIFT1M</t>
        </is>
      </c>
      <c r="B567" s="0" t="inlineStr">
        <is>
          <t>E49</t>
        </is>
      </c>
      <c r="C567" s="0" t="inlineStr">
        <is>
          <t>E54</t>
        </is>
      </c>
      <c r="D567" s="0" t="inlineStr">
        <is>
          <t>query time</t>
        </is>
      </c>
    </row>
    <row r="568">
      <c r="A568" s="0" t="inlineStr">
        <is>
          <t>SIFT1M</t>
        </is>
      </c>
      <c r="B568" s="0" t="inlineStr">
        <is>
          <t>F49</t>
        </is>
      </c>
      <c r="C568" s="0" t="inlineStr">
        <is>
          <t>F54</t>
        </is>
      </c>
      <c r="D568" s="0" t="n">
        <v>0.3375467</v>
      </c>
    </row>
    <row r="569">
      <c r="A569" s="0" t="inlineStr">
        <is>
          <t>SIFT1M</t>
        </is>
      </c>
      <c r="B569" s="0" t="inlineStr">
        <is>
          <t>G49</t>
        </is>
      </c>
      <c r="C569" s="0" t="inlineStr">
        <is>
          <t>G54</t>
        </is>
      </c>
      <c r="D569" s="0" t="n">
        <v>0.3375467</v>
      </c>
    </row>
    <row r="570">
      <c r="A570" s="0" t="inlineStr">
        <is>
          <t>SIFT1M</t>
        </is>
      </c>
      <c r="B570" s="0" t="inlineStr">
        <is>
          <t>H49</t>
        </is>
      </c>
      <c r="C570" s="0" t="inlineStr">
        <is>
          <t>H54</t>
        </is>
      </c>
      <c r="D570" s="0" t="n">
        <v>0.331211233333333</v>
      </c>
    </row>
    <row r="571">
      <c r="A571" s="0" t="inlineStr">
        <is>
          <t>SIFT1M</t>
        </is>
      </c>
      <c r="B571" s="0" t="inlineStr">
        <is>
          <t>I49</t>
        </is>
      </c>
      <c r="C571" s="0" t="inlineStr">
        <is>
          <t>I54</t>
        </is>
      </c>
      <c r="D571" s="0" t="n">
        <v>0.331211233333333</v>
      </c>
    </row>
    <row r="572">
      <c r="A572" s="0" t="inlineStr">
        <is>
          <t>SIFT1M</t>
        </is>
      </c>
      <c r="B572" s="0" t="inlineStr">
        <is>
          <t>J49</t>
        </is>
      </c>
      <c r="C572" s="0" t="inlineStr">
        <is>
          <t>J54</t>
        </is>
      </c>
      <c r="D572" s="0" t="n">
        <v>0.362106066666667</v>
      </c>
    </row>
    <row r="573">
      <c r="A573" s="0" t="inlineStr">
        <is>
          <t>SIFT1M</t>
        </is>
      </c>
      <c r="B573" s="0" t="inlineStr">
        <is>
          <t>K49</t>
        </is>
      </c>
      <c r="C573" s="0" t="inlineStr">
        <is>
          <t>K54</t>
        </is>
      </c>
      <c r="D573" s="0" t="n">
        <v>0.362106066666667</v>
      </c>
    </row>
    <row r="574">
      <c r="A574" s="0" t="inlineStr">
        <is>
          <t>SIFT1M</t>
        </is>
      </c>
      <c r="B574" s="0" t="inlineStr">
        <is>
          <t>L49</t>
        </is>
      </c>
      <c r="C574" s="0" t="inlineStr">
        <is>
          <t>L54</t>
        </is>
      </c>
      <c r="D574" s="0" t="n">
        <v>0.416990183333333</v>
      </c>
    </row>
    <row r="575">
      <c r="A575" s="0" t="inlineStr">
        <is>
          <t>SIFT1M</t>
        </is>
      </c>
      <c r="B575" s="0" t="inlineStr">
        <is>
          <t>M49</t>
        </is>
      </c>
      <c r="C575" s="0" t="inlineStr">
        <is>
          <t>M54</t>
        </is>
      </c>
      <c r="D575" s="0" t="n">
        <v>0.416990183333333</v>
      </c>
    </row>
    <row r="576">
      <c r="A576" s="0" t="inlineStr">
        <is>
          <t>SIFT1M</t>
        </is>
      </c>
      <c r="B576" s="0" t="inlineStr">
        <is>
          <t>N49</t>
        </is>
      </c>
      <c r="C576" s="0" t="inlineStr">
        <is>
          <t>N54</t>
        </is>
      </c>
      <c r="D576" s="0" t="n">
        <v>0.429995983333333</v>
      </c>
    </row>
    <row r="577">
      <c r="A577" s="0" t="inlineStr">
        <is>
          <t>SIFT1M</t>
        </is>
      </c>
      <c r="B577" s="0" t="inlineStr">
        <is>
          <t>O49</t>
        </is>
      </c>
      <c r="C577" s="0" t="inlineStr">
        <is>
          <t>O54</t>
        </is>
      </c>
      <c r="D577" s="0" t="n">
        <v>0.615278846666667</v>
      </c>
    </row>
    <row r="578">
      <c r="A578" s="0" t="inlineStr">
        <is>
          <t>SIFT1M</t>
        </is>
      </c>
      <c r="B578" s="0" t="inlineStr">
        <is>
          <t>P49</t>
        </is>
      </c>
      <c r="C578" s="0" t="inlineStr">
        <is>
          <t>P54</t>
        </is>
      </c>
      <c r="D578" s="0" t="n">
        <v>0.658947806666667</v>
      </c>
    </row>
    <row r="579">
      <c r="A579" s="0" t="inlineStr">
        <is>
          <t>SIFT1M</t>
        </is>
      </c>
      <c r="B579" s="0" t="inlineStr">
        <is>
          <t>Q49</t>
        </is>
      </c>
      <c r="C579" s="0" t="inlineStr">
        <is>
          <t>Q54</t>
        </is>
      </c>
      <c r="D579" s="0" t="n">
        <v>0.77556551</v>
      </c>
    </row>
    <row r="580">
      <c r="A580" s="0" t="inlineStr">
        <is>
          <t>SIFT1M</t>
        </is>
      </c>
      <c r="B580" s="0" t="inlineStr">
        <is>
          <t>R49</t>
        </is>
      </c>
      <c r="C580" s="0" t="inlineStr">
        <is>
          <t>R54</t>
        </is>
      </c>
      <c r="D580" s="0" t="n">
        <v>0.85642335</v>
      </c>
    </row>
    <row r="581">
      <c r="A581" s="0" t="inlineStr">
        <is>
          <t>SIFT1M</t>
        </is>
      </c>
      <c r="B581" s="0" t="inlineStr">
        <is>
          <t>S49</t>
        </is>
      </c>
      <c r="C581" s="0" t="inlineStr">
        <is>
          <t>S54</t>
        </is>
      </c>
      <c r="D581" s="0" t="n">
        <v>0.9713977633333331</v>
      </c>
    </row>
    <row r="582">
      <c r="A582" s="0" t="inlineStr">
        <is>
          <t>SIFT1M</t>
        </is>
      </c>
      <c r="B582" s="0" t="inlineStr">
        <is>
          <t>T49</t>
        </is>
      </c>
      <c r="C582" s="0" t="inlineStr">
        <is>
          <t>T54</t>
        </is>
      </c>
      <c r="D582" s="0" t="n">
        <v>1.37489354333333</v>
      </c>
    </row>
    <row r="583">
      <c r="A583" s="0" t="inlineStr">
        <is>
          <t>SIFT1M</t>
        </is>
      </c>
      <c r="B583" s="0" t="inlineStr">
        <is>
          <t>U49</t>
        </is>
      </c>
      <c r="C583" s="0" t="inlineStr">
        <is>
          <t>U54</t>
        </is>
      </c>
      <c r="D583" s="0" t="n">
        <v>1.66592562666667</v>
      </c>
    </row>
    <row r="584">
      <c r="A584" s="0" t="inlineStr">
        <is>
          <t>SIFT1M</t>
        </is>
      </c>
      <c r="B584" s="0" t="inlineStr">
        <is>
          <t>V49</t>
        </is>
      </c>
      <c r="C584" s="0" t="inlineStr">
        <is>
          <t>V54</t>
        </is>
      </c>
      <c r="D584" s="0" t="n">
        <v>2.33039252333333</v>
      </c>
    </row>
    <row r="585">
      <c r="A585" s="0" t="inlineStr">
        <is>
          <t>SIFT1M</t>
        </is>
      </c>
      <c r="B585" s="0" t="inlineStr">
        <is>
          <t>W49</t>
        </is>
      </c>
      <c r="C585" s="0" t="inlineStr">
        <is>
          <t>W54</t>
        </is>
      </c>
      <c r="D585" s="0" t="n">
        <v>3.21146328333333</v>
      </c>
    </row>
    <row r="586">
      <c r="A586" s="0" t="inlineStr">
        <is>
          <t>SIFT1M</t>
        </is>
      </c>
      <c r="B586" s="0" t="inlineStr">
        <is>
          <t>X49</t>
        </is>
      </c>
      <c r="C586" s="0" t="inlineStr">
        <is>
          <t>X54</t>
        </is>
      </c>
      <c r="D586" s="0" t="n">
        <v>5.43708398</v>
      </c>
    </row>
    <row r="587">
      <c r="A587" s="0" t="inlineStr">
        <is>
          <t>SIFT1M</t>
        </is>
      </c>
      <c r="B587" s="0" t="inlineStr">
        <is>
          <t>Y49</t>
        </is>
      </c>
      <c r="C587" s="0" t="inlineStr">
        <is>
          <t>Y54</t>
        </is>
      </c>
      <c r="D587" s="0" t="n">
        <v>6.88074424333333</v>
      </c>
    </row>
    <row r="588">
      <c r="A588" s="0" t="inlineStr">
        <is>
          <t>SIFT1M</t>
        </is>
      </c>
      <c r="B588" s="0" t="inlineStr">
        <is>
          <t>D50</t>
        </is>
      </c>
      <c r="C588" s="0" t="inlineStr">
        <is>
          <t>D55</t>
        </is>
      </c>
      <c r="D588" s="0" t="inlineStr">
        <is>
          <t>V3DB（单次）</t>
        </is>
      </c>
    </row>
    <row r="589">
      <c r="A589" s="0" t="inlineStr">
        <is>
          <t>SIFT1M</t>
        </is>
      </c>
      <c r="B589" s="0" t="inlineStr">
        <is>
          <t>E50</t>
        </is>
      </c>
      <c r="C589" s="0" t="inlineStr">
        <is>
          <t>E55</t>
        </is>
      </c>
      <c r="D589" s="0" t="inlineStr">
        <is>
          <t>Recall rate</t>
        </is>
      </c>
    </row>
    <row r="590">
      <c r="A590" s="0" t="inlineStr">
        <is>
          <t>SIFT1M</t>
        </is>
      </c>
      <c r="B590" s="0" t="inlineStr">
        <is>
          <t>F50</t>
        </is>
      </c>
      <c r="C590" s="0" t="inlineStr">
        <is>
          <t>F55</t>
        </is>
      </c>
      <c r="D590" s="0" t="n">
        <v>34</v>
      </c>
    </row>
    <row r="591">
      <c r="A591" s="0" t="inlineStr">
        <is>
          <t>SIFT1M</t>
        </is>
      </c>
      <c r="B591" s="0" t="inlineStr">
        <is>
          <t>G50</t>
        </is>
      </c>
      <c r="C591" s="0" t="inlineStr">
        <is>
          <t>G55</t>
        </is>
      </c>
      <c r="D591" s="0" t="n">
        <v>34</v>
      </c>
    </row>
    <row r="592">
      <c r="A592" s="0" t="inlineStr">
        <is>
          <t>SIFT1M</t>
        </is>
      </c>
      <c r="B592" s="0" t="inlineStr">
        <is>
          <t>H50</t>
        </is>
      </c>
      <c r="C592" s="0" t="inlineStr">
        <is>
          <t>H55</t>
        </is>
      </c>
      <c r="D592" s="0" t="n">
        <v>34</v>
      </c>
    </row>
    <row r="593">
      <c r="A593" s="0" t="inlineStr">
        <is>
          <t>SIFT1M</t>
        </is>
      </c>
      <c r="B593" s="0" t="inlineStr">
        <is>
          <t>I50</t>
        </is>
      </c>
      <c r="C593" s="0" t="inlineStr">
        <is>
          <t>I55</t>
        </is>
      </c>
      <c r="D593" s="0" t="n">
        <v>34</v>
      </c>
    </row>
    <row r="594">
      <c r="A594" s="0" t="inlineStr">
        <is>
          <t>SIFT1M</t>
        </is>
      </c>
      <c r="B594" s="0" t="inlineStr">
        <is>
          <t>J50</t>
        </is>
      </c>
      <c r="C594" s="0" t="inlineStr">
        <is>
          <t>J55</t>
        </is>
      </c>
      <c r="D594" s="0" t="n">
        <v>51</v>
      </c>
    </row>
    <row r="595">
      <c r="A595" s="0" t="inlineStr">
        <is>
          <t>SIFT1M</t>
        </is>
      </c>
      <c r="B595" s="0" t="inlineStr">
        <is>
          <t>K50</t>
        </is>
      </c>
      <c r="C595" s="0" t="inlineStr">
        <is>
          <t>K55</t>
        </is>
      </c>
      <c r="D595" s="0" t="n">
        <v>51</v>
      </c>
    </row>
    <row r="596">
      <c r="A596" s="0" t="inlineStr">
        <is>
          <t>SIFT1M</t>
        </is>
      </c>
      <c r="B596" s="0" t="inlineStr">
        <is>
          <t>L50</t>
        </is>
      </c>
      <c r="C596" s="0" t="inlineStr">
        <is>
          <t>L55</t>
        </is>
      </c>
      <c r="D596" s="0" t="n">
        <v>51</v>
      </c>
    </row>
    <row r="597">
      <c r="A597" s="0" t="inlineStr">
        <is>
          <t>SIFT1M</t>
        </is>
      </c>
      <c r="B597" s="0" t="inlineStr">
        <is>
          <t>M50</t>
        </is>
      </c>
      <c r="C597" s="0" t="inlineStr">
        <is>
          <t>M55</t>
        </is>
      </c>
      <c r="D597" s="0" t="n">
        <v>51</v>
      </c>
    </row>
    <row r="598">
      <c r="A598" s="0" t="inlineStr">
        <is>
          <t>SIFT1M</t>
        </is>
      </c>
      <c r="B598" s="0" t="inlineStr">
        <is>
          <t>N50</t>
        </is>
      </c>
      <c r="C598" s="0" t="inlineStr">
        <is>
          <t>N55</t>
        </is>
      </c>
      <c r="D598" s="0" t="n">
        <v>58</v>
      </c>
    </row>
    <row r="599">
      <c r="A599" s="0" t="inlineStr">
        <is>
          <t>SIFT1M</t>
        </is>
      </c>
      <c r="B599" s="0" t="inlineStr">
        <is>
          <t>O50</t>
        </is>
      </c>
      <c r="C599" s="0" t="inlineStr">
        <is>
          <t>O55</t>
        </is>
      </c>
      <c r="D599" s="0" t="n">
        <v>70.5</v>
      </c>
    </row>
    <row r="600">
      <c r="A600" s="0" t="inlineStr">
        <is>
          <t>SIFT1M</t>
        </is>
      </c>
      <c r="B600" s="0" t="inlineStr">
        <is>
          <t>P50</t>
        </is>
      </c>
      <c r="C600" s="0" t="inlineStr">
        <is>
          <t>P55</t>
        </is>
      </c>
      <c r="D600" s="0" t="n">
        <v>70.5</v>
      </c>
    </row>
    <row r="601">
      <c r="A601" s="0" t="inlineStr">
        <is>
          <t>SIFT1M</t>
        </is>
      </c>
      <c r="B601" s="0" t="inlineStr">
        <is>
          <t>Q50</t>
        </is>
      </c>
      <c r="C601" s="0" t="inlineStr">
        <is>
          <t>Q55</t>
        </is>
      </c>
      <c r="D601" s="0" t="n">
        <v>70.5</v>
      </c>
    </row>
    <row r="602">
      <c r="A602" s="0" t="inlineStr">
        <is>
          <t>SIFT1M</t>
        </is>
      </c>
      <c r="B602" s="0" t="inlineStr">
        <is>
          <t>R50</t>
        </is>
      </c>
      <c r="C602" s="0" t="inlineStr">
        <is>
          <t>R55</t>
        </is>
      </c>
      <c r="D602" s="0" t="n">
        <v>77.5</v>
      </c>
    </row>
    <row r="603">
      <c r="A603" s="0" t="inlineStr">
        <is>
          <t>SIFT1M</t>
        </is>
      </c>
      <c r="B603" s="0" t="inlineStr">
        <is>
          <t>S50</t>
        </is>
      </c>
      <c r="C603" s="0" t="inlineStr">
        <is>
          <t>S55</t>
        </is>
      </c>
      <c r="D603" s="0" t="n">
        <v>84</v>
      </c>
    </row>
    <row r="604">
      <c r="A604" s="0" t="inlineStr">
        <is>
          <t>SIFT1M</t>
        </is>
      </c>
      <c r="B604" s="0" t="inlineStr">
        <is>
          <t>T50</t>
        </is>
      </c>
      <c r="C604" s="0" t="inlineStr">
        <is>
          <t>T55</t>
        </is>
      </c>
      <c r="D604" s="0" t="n">
        <v>85</v>
      </c>
    </row>
    <row r="605">
      <c r="A605" s="0" t="inlineStr">
        <is>
          <t>SIFT1M</t>
        </is>
      </c>
      <c r="B605" s="0" t="inlineStr">
        <is>
          <t>U50</t>
        </is>
      </c>
      <c r="C605" s="0" t="inlineStr">
        <is>
          <t>U55</t>
        </is>
      </c>
      <c r="D605" s="0" t="n">
        <v>92</v>
      </c>
    </row>
    <row r="606">
      <c r="A606" s="0" t="inlineStr">
        <is>
          <t>SIFT1M</t>
        </is>
      </c>
      <c r="B606" s="0" t="inlineStr">
        <is>
          <t>V50</t>
        </is>
      </c>
      <c r="C606" s="0" t="inlineStr">
        <is>
          <t>V55</t>
        </is>
      </c>
      <c r="D606" s="0" t="n">
        <v>95</v>
      </c>
    </row>
    <row r="607">
      <c r="A607" s="0" t="inlineStr">
        <is>
          <t>SIFT1M</t>
        </is>
      </c>
      <c r="B607" s="0" t="inlineStr">
        <is>
          <t>W50</t>
        </is>
      </c>
      <c r="C607" s="0" t="inlineStr">
        <is>
          <t>W55</t>
        </is>
      </c>
      <c r="D607" s="0" t="n">
        <v>97</v>
      </c>
    </row>
    <row r="608">
      <c r="A608" s="0" t="inlineStr">
        <is>
          <t>SIFT1M</t>
        </is>
      </c>
      <c r="B608" s="0" t="inlineStr">
        <is>
          <t>X50</t>
        </is>
      </c>
      <c r="C608" s="0" t="inlineStr">
        <is>
          <t>X55</t>
        </is>
      </c>
    </row>
    <row r="609">
      <c r="A609" s="0" t="inlineStr">
        <is>
          <t>SIFT1M</t>
        </is>
      </c>
      <c r="B609" s="0" t="inlineStr">
        <is>
          <t>Y50</t>
        </is>
      </c>
      <c r="C609" s="0" t="inlineStr">
        <is>
          <t>Y55</t>
        </is>
      </c>
    </row>
    <row r="610">
      <c r="A610" s="0" t="inlineStr">
        <is>
          <t>SIFT1M</t>
        </is>
      </c>
      <c r="B610" s="0" t="inlineStr">
        <is>
          <t>E51</t>
        </is>
      </c>
      <c r="C610" s="0" t="inlineStr">
        <is>
          <t>E56</t>
        </is>
      </c>
      <c r="D610" s="0" t="inlineStr">
        <is>
          <t>query time</t>
        </is>
      </c>
    </row>
    <row r="611">
      <c r="A611" s="0" t="inlineStr">
        <is>
          <t>SIFT1M</t>
        </is>
      </c>
      <c r="B611" s="0" t="inlineStr">
        <is>
          <t>F51</t>
        </is>
      </c>
      <c r="C611" s="0" t="inlineStr">
        <is>
          <t>F56</t>
        </is>
      </c>
      <c r="D611" s="0" t="n">
        <v>58010.510633</v>
      </c>
    </row>
    <row r="612">
      <c r="A612" s="0" t="inlineStr">
        <is>
          <t>SIFT1M</t>
        </is>
      </c>
      <c r="B612" s="0" t="inlineStr">
        <is>
          <t>G51</t>
        </is>
      </c>
      <c r="C612" s="0" t="inlineStr">
        <is>
          <t>G56</t>
        </is>
      </c>
      <c r="D612" s="0" t="n">
        <v>58010.510633</v>
      </c>
    </row>
    <row r="613">
      <c r="A613" s="0" t="inlineStr">
        <is>
          <t>SIFT1M</t>
        </is>
      </c>
      <c r="B613" s="0" t="inlineStr">
        <is>
          <t>H51</t>
        </is>
      </c>
      <c r="C613" s="0" t="inlineStr">
        <is>
          <t>H56</t>
        </is>
      </c>
      <c r="D613" s="0" t="n">
        <v>58010.510633</v>
      </c>
    </row>
    <row r="614">
      <c r="A614" s="0" t="inlineStr">
        <is>
          <t>SIFT1M</t>
        </is>
      </c>
      <c r="B614" s="0" t="inlineStr">
        <is>
          <t>I51</t>
        </is>
      </c>
      <c r="C614" s="0" t="inlineStr">
        <is>
          <t>I56</t>
        </is>
      </c>
      <c r="D614" s="0" t="n">
        <v>58010.510633</v>
      </c>
    </row>
    <row r="615">
      <c r="A615" s="0" t="inlineStr">
        <is>
          <t>SIFT1M</t>
        </is>
      </c>
      <c r="B615" s="0" t="inlineStr">
        <is>
          <t>J51</t>
        </is>
      </c>
      <c r="C615" s="0" t="inlineStr">
        <is>
          <t>J56</t>
        </is>
      </c>
      <c r="D615" s="0" t="n">
        <v>58572.755462</v>
      </c>
    </row>
    <row r="616">
      <c r="A616" s="0" t="inlineStr">
        <is>
          <t>SIFT1M</t>
        </is>
      </c>
      <c r="B616" s="0" t="inlineStr">
        <is>
          <t>K51</t>
        </is>
      </c>
      <c r="C616" s="0" t="inlineStr">
        <is>
          <t>K56</t>
        </is>
      </c>
      <c r="D616" s="0" t="n">
        <v>58572.755462</v>
      </c>
    </row>
    <row r="617">
      <c r="A617" s="0" t="inlineStr">
        <is>
          <t>SIFT1M</t>
        </is>
      </c>
      <c r="B617" s="0" t="inlineStr">
        <is>
          <t>L51</t>
        </is>
      </c>
      <c r="C617" s="0" t="inlineStr">
        <is>
          <t>L56</t>
        </is>
      </c>
      <c r="D617" s="0" t="n">
        <v>58572.755462</v>
      </c>
    </row>
    <row r="618">
      <c r="A618" s="0" t="inlineStr">
        <is>
          <t>SIFT1M</t>
        </is>
      </c>
      <c r="B618" s="0" t="inlineStr">
        <is>
          <t>M51</t>
        </is>
      </c>
      <c r="C618" s="0" t="inlineStr">
        <is>
          <t>M56</t>
        </is>
      </c>
      <c r="D618" s="0" t="n">
        <v>58572.755462</v>
      </c>
    </row>
    <row r="619">
      <c r="A619" s="0" t="inlineStr">
        <is>
          <t>SIFT1M</t>
        </is>
      </c>
      <c r="B619" s="0" t="inlineStr">
        <is>
          <t>N51</t>
        </is>
      </c>
      <c r="C619" s="0" t="inlineStr">
        <is>
          <t>N56</t>
        </is>
      </c>
      <c r="D619" s="0" t="n">
        <v>239944.70827</v>
      </c>
    </row>
    <row r="620">
      <c r="A620" s="0" t="inlineStr">
        <is>
          <t>SIFT1M</t>
        </is>
      </c>
      <c r="B620" s="0" t="inlineStr">
        <is>
          <t>O51</t>
        </is>
      </c>
      <c r="C620" s="0" t="inlineStr">
        <is>
          <t>O56</t>
        </is>
      </c>
      <c r="D620" s="0" t="n">
        <v>517760.920454</v>
      </c>
    </row>
    <row r="621">
      <c r="A621" s="0" t="inlineStr">
        <is>
          <t>SIFT1M</t>
        </is>
      </c>
      <c r="B621" s="0" t="inlineStr">
        <is>
          <t>P51</t>
        </is>
      </c>
      <c r="C621" s="0" t="inlineStr">
        <is>
          <t>P56</t>
        </is>
      </c>
      <c r="D621" s="0" t="n">
        <v>517760.920454</v>
      </c>
    </row>
    <row r="622">
      <c r="A622" s="0" t="inlineStr">
        <is>
          <t>SIFT1M</t>
        </is>
      </c>
      <c r="B622" s="0" t="inlineStr">
        <is>
          <t>Q51</t>
        </is>
      </c>
      <c r="C622" s="0" t="inlineStr">
        <is>
          <t>Q56</t>
        </is>
      </c>
      <c r="D622" s="0" t="n">
        <v>517760.920454</v>
      </c>
    </row>
    <row r="623">
      <c r="A623" s="0" t="inlineStr">
        <is>
          <t>SIFT1M</t>
        </is>
      </c>
      <c r="B623" s="0" t="inlineStr">
        <is>
          <t>R51</t>
        </is>
      </c>
      <c r="C623" s="0" t="inlineStr">
        <is>
          <t>R56</t>
        </is>
      </c>
      <c r="D623" s="0" t="n">
        <v>526862.979163182</v>
      </c>
    </row>
    <row r="624">
      <c r="A624" s="0" t="inlineStr">
        <is>
          <t>SIFT1M</t>
        </is>
      </c>
      <c r="B624" s="0" t="inlineStr">
        <is>
          <t>S51</t>
        </is>
      </c>
      <c r="C624" s="0" t="inlineStr">
        <is>
          <t>S56</t>
        </is>
      </c>
      <c r="D624" s="0" t="n">
        <v>546727.954928051</v>
      </c>
    </row>
    <row r="625">
      <c r="A625" s="0" t="inlineStr">
        <is>
          <t>SIFT1M</t>
        </is>
      </c>
      <c r="B625" s="0" t="inlineStr">
        <is>
          <t>T51</t>
        </is>
      </c>
      <c r="C625" s="0" t="inlineStr">
        <is>
          <t>T56</t>
        </is>
      </c>
      <c r="D625" s="0" t="n">
        <v>546727.954928051</v>
      </c>
    </row>
    <row r="626">
      <c r="A626" s="0" t="inlineStr">
        <is>
          <t>SIFT1M</t>
        </is>
      </c>
      <c r="B626" s="0" t="inlineStr">
        <is>
          <t>U51</t>
        </is>
      </c>
      <c r="C626" s="0" t="inlineStr">
        <is>
          <t>U56</t>
        </is>
      </c>
      <c r="D626" s="0" t="n">
        <v>1148128.70534891</v>
      </c>
    </row>
    <row r="627">
      <c r="A627" s="0" t="inlineStr">
        <is>
          <t>SIFT1M</t>
        </is>
      </c>
      <c r="B627" s="0" t="inlineStr">
        <is>
          <t>V51</t>
        </is>
      </c>
      <c r="C627" s="0" t="inlineStr">
        <is>
          <t>V56</t>
        </is>
      </c>
      <c r="D627" s="0" t="n">
        <v>2405603.00168342</v>
      </c>
    </row>
    <row r="628">
      <c r="A628" s="0" t="inlineStr">
        <is>
          <t>SIFT1M</t>
        </is>
      </c>
      <c r="B628" s="0" t="inlineStr">
        <is>
          <t>W51</t>
        </is>
      </c>
      <c r="C628" s="0" t="inlineStr">
        <is>
          <t>W56</t>
        </is>
      </c>
      <c r="D628" s="0" t="n">
        <v>5029897.18533807</v>
      </c>
    </row>
    <row r="629">
      <c r="A629" s="0" t="inlineStr">
        <is>
          <t>SIFT1M</t>
        </is>
      </c>
      <c r="B629" s="0" t="inlineStr">
        <is>
          <t>X51</t>
        </is>
      </c>
      <c r="C629" s="0" t="inlineStr">
        <is>
          <t>X56</t>
        </is>
      </c>
    </row>
    <row r="630">
      <c r="A630" s="0" t="inlineStr">
        <is>
          <t>SIFT1M</t>
        </is>
      </c>
      <c r="B630" s="0" t="inlineStr">
        <is>
          <t>Y51</t>
        </is>
      </c>
      <c r="C630" s="0" t="inlineStr">
        <is>
          <t>Y56</t>
        </is>
      </c>
    </row>
    <row r="631">
      <c r="A631" s="0" t="inlineStr">
        <is>
          <t>SIFT1M</t>
        </is>
      </c>
      <c r="B631" s="0" t="inlineStr">
        <is>
          <t>D52</t>
        </is>
      </c>
      <c r="C631" s="0" t="inlineStr">
        <is>
          <t>D59</t>
        </is>
      </c>
    </row>
    <row r="632">
      <c r="A632" s="0" t="inlineStr">
        <is>
          <t>SIFT1M</t>
        </is>
      </c>
      <c r="B632" s="0" t="inlineStr">
        <is>
          <t>D53</t>
        </is>
      </c>
      <c r="C632" s="0" t="inlineStr">
        <is>
          <t>D60</t>
        </is>
      </c>
    </row>
    <row r="633">
      <c r="A633" s="0" t="inlineStr">
        <is>
          <t>SIFT1M</t>
        </is>
      </c>
      <c r="B633" s="0" t="inlineStr">
        <is>
          <t>E57</t>
        </is>
      </c>
      <c r="C633" s="0" t="inlineStr">
        <is>
          <t>E64</t>
        </is>
      </c>
      <c r="D633" s="0" t="inlineStr">
        <is>
          <t>Dataset size vs. VO size</t>
        </is>
      </c>
    </row>
    <row r="634">
      <c r="A634" s="0" t="inlineStr">
        <is>
          <t>SIFT1M</t>
        </is>
      </c>
      <c r="B634" s="0" t="inlineStr">
        <is>
          <t>D59</t>
        </is>
      </c>
      <c r="C634" s="0" t="inlineStr">
        <is>
          <t>D66</t>
        </is>
      </c>
      <c r="D634" s="0" t="inlineStr">
        <is>
          <t>BIGANN / SIFT1B prefix subsets (same source)</t>
        </is>
      </c>
    </row>
    <row r="635">
      <c r="A635" s="0" t="inlineStr">
        <is>
          <t>SIFT1M</t>
        </is>
      </c>
      <c r="B635" s="0" t="inlineStr">
        <is>
          <t>D60</t>
        </is>
      </c>
      <c r="C635" s="0" t="inlineStr">
        <is>
          <t>D67</t>
        </is>
      </c>
      <c r="D635" s="0" t="inlineStr">
        <is>
          <t>dataset size</t>
        </is>
      </c>
    </row>
    <row r="636">
      <c r="A636" s="0" t="inlineStr">
        <is>
          <t>SIFT1M</t>
        </is>
      </c>
      <c r="B636" s="0" t="inlineStr">
        <is>
          <t>F60</t>
        </is>
      </c>
      <c r="C636" s="0" t="inlineStr">
        <is>
          <t>F67</t>
        </is>
      </c>
      <c r="D636" s="0" t="inlineStr">
        <is>
          <t>10^5</t>
        </is>
      </c>
    </row>
    <row r="637">
      <c r="A637" s="0" t="inlineStr">
        <is>
          <t>SIFT1M</t>
        </is>
      </c>
      <c r="B637" s="0" t="inlineStr">
        <is>
          <t>G60</t>
        </is>
      </c>
      <c r="C637" s="0" t="inlineStr">
        <is>
          <t>G67</t>
        </is>
      </c>
      <c r="D637" s="0" t="inlineStr">
        <is>
          <t>5*10^5</t>
        </is>
      </c>
    </row>
    <row r="638">
      <c r="A638" s="0" t="inlineStr">
        <is>
          <t>SIFT1M</t>
        </is>
      </c>
      <c r="B638" s="0" t="inlineStr">
        <is>
          <t>H60</t>
        </is>
      </c>
      <c r="C638" s="0" t="inlineStr">
        <is>
          <t>H67</t>
        </is>
      </c>
      <c r="D638" s="0" t="inlineStr">
        <is>
          <t>10^6</t>
        </is>
      </c>
    </row>
    <row r="639">
      <c r="A639" s="0" t="inlineStr">
        <is>
          <t>SIFT1M</t>
        </is>
      </c>
      <c r="B639" s="0" t="inlineStr">
        <is>
          <t>I60</t>
        </is>
      </c>
      <c r="C639" s="0" t="inlineStr">
        <is>
          <t>I67</t>
        </is>
      </c>
      <c r="D639" s="0" t="inlineStr">
        <is>
          <t>5*10^6</t>
        </is>
      </c>
    </row>
    <row r="640">
      <c r="A640" s="0" t="inlineStr">
        <is>
          <t>SIFT1M</t>
        </is>
      </c>
      <c r="B640" s="0" t="inlineStr">
        <is>
          <t>J60</t>
        </is>
      </c>
      <c r="C640" s="0" t="inlineStr">
        <is>
          <t>J67</t>
        </is>
      </c>
      <c r="D640" s="0" t="inlineStr">
        <is>
          <t>10^7</t>
        </is>
      </c>
    </row>
    <row r="641">
      <c r="A641" s="0" t="inlineStr">
        <is>
          <t>SIFT1M</t>
        </is>
      </c>
      <c r="B641" s="0" t="inlineStr">
        <is>
          <t>D61</t>
        </is>
      </c>
      <c r="C641" s="0" t="inlineStr">
        <is>
          <t>D68</t>
        </is>
      </c>
      <c r="D641" s="0" t="inlineStr">
        <is>
          <t>VLAH</t>
        </is>
      </c>
    </row>
    <row r="642">
      <c r="A642" s="0" t="inlineStr">
        <is>
          <t>SIFT1M</t>
        </is>
      </c>
      <c r="B642" s="0" t="inlineStr">
        <is>
          <t>F61</t>
        </is>
      </c>
      <c r="C642" s="0" t="inlineStr">
        <is>
          <t>F68</t>
        </is>
      </c>
      <c r="D642" s="0" t="n">
        <v>3389.1896</v>
      </c>
    </row>
    <row r="643">
      <c r="A643" s="0" t="inlineStr">
        <is>
          <t>SIFT1M</t>
        </is>
      </c>
      <c r="B643" s="0" t="inlineStr">
        <is>
          <t>G61</t>
        </is>
      </c>
      <c r="C643" s="0" t="inlineStr">
        <is>
          <t>G68</t>
        </is>
      </c>
      <c r="D643" s="0" t="n">
        <v>17109.20832</v>
      </c>
    </row>
    <row r="644">
      <c r="A644" s="0" t="inlineStr">
        <is>
          <t>SIFT1M</t>
        </is>
      </c>
      <c r="B644" s="0" t="inlineStr">
        <is>
          <t>H61</t>
        </is>
      </c>
      <c r="C644" s="0" t="inlineStr">
        <is>
          <t>H68</t>
        </is>
      </c>
      <c r="D644" s="0" t="n">
        <v>34179.50512</v>
      </c>
    </row>
    <row r="645">
      <c r="A645" s="0" t="inlineStr">
        <is>
          <t>SIFT1M</t>
        </is>
      </c>
      <c r="B645" s="0" t="inlineStr">
        <is>
          <t>I61</t>
        </is>
      </c>
      <c r="C645" s="0" t="inlineStr">
        <is>
          <t>I68</t>
        </is>
      </c>
      <c r="D645" s="0" t="n">
        <v>152877.20635</v>
      </c>
    </row>
    <row r="646">
      <c r="A646" s="0" t="inlineStr">
        <is>
          <t>SIFT1M</t>
        </is>
      </c>
      <c r="B646" s="0" t="inlineStr">
        <is>
          <t>J61</t>
        </is>
      </c>
      <c r="C646" s="0" t="inlineStr">
        <is>
          <t>J68</t>
        </is>
      </c>
      <c r="D646" s="0" t="n">
        <v>339318.57888</v>
      </c>
    </row>
    <row r="647">
      <c r="A647" s="0" t="inlineStr">
        <is>
          <t>SIFT1M</t>
        </is>
      </c>
      <c r="B647" s="0" t="inlineStr">
        <is>
          <t>D62</t>
        </is>
      </c>
      <c r="C647" s="0" t="inlineStr">
        <is>
          <t>D69</t>
        </is>
      </c>
      <c r="D647" s="0" t="inlineStr">
        <is>
          <t>ANNProof</t>
        </is>
      </c>
    </row>
    <row r="648">
      <c r="A648" s="0" t="inlineStr">
        <is>
          <t>SIFT1M</t>
        </is>
      </c>
      <c r="B648" s="0" t="inlineStr">
        <is>
          <t>F62</t>
        </is>
      </c>
      <c r="C648" s="0" t="inlineStr">
        <is>
          <t>F69</t>
        </is>
      </c>
      <c r="D648" s="0" t="n">
        <v>820.23484</v>
      </c>
    </row>
    <row r="649">
      <c r="A649" s="0" t="inlineStr">
        <is>
          <t>SIFT1M</t>
        </is>
      </c>
      <c r="B649" s="0" t="inlineStr">
        <is>
          <t>G62</t>
        </is>
      </c>
      <c r="C649" s="0" t="inlineStr">
        <is>
          <t>G69</t>
        </is>
      </c>
      <c r="D649" s="0" t="n">
        <v>1030.35972</v>
      </c>
    </row>
    <row r="650">
      <c r="A650" s="0" t="inlineStr">
        <is>
          <t>SIFT1M</t>
        </is>
      </c>
      <c r="B650" s="0" t="inlineStr">
        <is>
          <t>H62</t>
        </is>
      </c>
      <c r="C650" s="0" t="inlineStr">
        <is>
          <t>H69</t>
        </is>
      </c>
      <c r="D650" s="0" t="n">
        <v>672.4858</v>
      </c>
    </row>
    <row r="651">
      <c r="A651" s="0" t="inlineStr">
        <is>
          <t>SIFT1M</t>
        </is>
      </c>
      <c r="B651" s="0" t="inlineStr">
        <is>
          <t>I62</t>
        </is>
      </c>
      <c r="C651" s="0" t="inlineStr">
        <is>
          <t>I69</t>
        </is>
      </c>
      <c r="D651" s="0" t="n">
        <v>3901.60848</v>
      </c>
    </row>
    <row r="652">
      <c r="A652" s="0" t="inlineStr">
        <is>
          <t>SIFT1M</t>
        </is>
      </c>
      <c r="B652" s="0" t="inlineStr">
        <is>
          <t>J62</t>
        </is>
      </c>
      <c r="C652" s="0" t="inlineStr">
        <is>
          <t>J69</t>
        </is>
      </c>
      <c r="D652" s="0" t="n">
        <v>4217.37468</v>
      </c>
    </row>
    <row r="653">
      <c r="A653" s="0" t="inlineStr">
        <is>
          <t>SIFT1M</t>
        </is>
      </c>
      <c r="B653" s="0" t="inlineStr">
        <is>
          <t>D63</t>
        </is>
      </c>
      <c r="C653" s="0" t="inlineStr">
        <is>
          <t>D70</t>
        </is>
      </c>
      <c r="D653" s="0" t="inlineStr">
        <is>
          <t>Ours</t>
        </is>
      </c>
    </row>
    <row r="654">
      <c r="A654" s="0" t="inlineStr">
        <is>
          <t>SIFT1M</t>
        </is>
      </c>
      <c r="B654" s="0" t="inlineStr">
        <is>
          <t>F63</t>
        </is>
      </c>
      <c r="C654" s="0" t="inlineStr">
        <is>
          <t>F70</t>
        </is>
      </c>
      <c r="D654" s="0" t="n">
        <v>113.31172</v>
      </c>
    </row>
    <row r="655">
      <c r="A655" s="0" t="inlineStr">
        <is>
          <t>SIFT1M</t>
        </is>
      </c>
      <c r="B655" s="0" t="inlineStr">
        <is>
          <t>G63</t>
        </is>
      </c>
      <c r="C655" s="0" t="inlineStr">
        <is>
          <t>G70</t>
        </is>
      </c>
      <c r="D655" s="0" t="n">
        <v>203.17924</v>
      </c>
    </row>
    <row r="656">
      <c r="A656" s="0" t="inlineStr">
        <is>
          <t>SIFT1M</t>
        </is>
      </c>
      <c r="B656" s="0" t="inlineStr">
        <is>
          <t>H63</t>
        </is>
      </c>
      <c r="C656" s="0" t="inlineStr">
        <is>
          <t>H70</t>
        </is>
      </c>
      <c r="D656" s="0" t="n">
        <v>240.95032</v>
      </c>
    </row>
    <row r="657">
      <c r="A657" s="0" t="inlineStr">
        <is>
          <t>SIFT1M</t>
        </is>
      </c>
      <c r="B657" s="0" t="inlineStr">
        <is>
          <t>I63</t>
        </is>
      </c>
      <c r="C657" s="0" t="inlineStr">
        <is>
          <t>I70</t>
        </is>
      </c>
      <c r="D657" s="0" t="n">
        <v>466.398</v>
      </c>
    </row>
    <row r="658">
      <c r="A658" s="0" t="inlineStr">
        <is>
          <t>SIFT1M</t>
        </is>
      </c>
      <c r="B658" s="0" t="inlineStr">
        <is>
          <t>J63</t>
        </is>
      </c>
      <c r="C658" s="0" t="inlineStr">
        <is>
          <t>J70</t>
        </is>
      </c>
      <c r="D658" s="0" t="n">
        <v>823.07632</v>
      </c>
    </row>
    <row r="659">
      <c r="A659" s="0" t="inlineStr">
        <is>
          <t>SIFT1M</t>
        </is>
      </c>
      <c r="B659" s="0" t="inlineStr">
        <is>
          <t>D64</t>
        </is>
      </c>
      <c r="C659" s="0" t="inlineStr">
        <is>
          <t>D71</t>
        </is>
      </c>
      <c r="D659" s="0" t="inlineStr">
        <is>
          <t>V3DB（单次）</t>
        </is>
      </c>
    </row>
    <row r="660">
      <c r="A660" s="0" t="inlineStr">
        <is>
          <t>SIFT1M</t>
        </is>
      </c>
      <c r="B660" s="0" t="inlineStr">
        <is>
          <t>F64</t>
        </is>
      </c>
      <c r="C660" s="0" t="inlineStr">
        <is>
          <t>F71</t>
        </is>
      </c>
      <c r="D660" s="0" t="n">
        <v>216.223</v>
      </c>
    </row>
    <row r="661">
      <c r="A661" s="0" t="inlineStr">
        <is>
          <t>SIFT1M</t>
        </is>
      </c>
      <c r="B661" s="0" t="inlineStr">
        <is>
          <t>G64</t>
        </is>
      </c>
      <c r="C661" s="0" t="inlineStr">
        <is>
          <t>G71</t>
        </is>
      </c>
      <c r="D661" s="0" t="n">
        <v>270.4</v>
      </c>
    </row>
    <row r="662">
      <c r="A662" s="0" t="inlineStr">
        <is>
          <t>SIFT1M</t>
        </is>
      </c>
      <c r="B662" s="0" t="inlineStr">
        <is>
          <t>H64</t>
        </is>
      </c>
      <c r="C662" s="0" t="inlineStr">
        <is>
          <t>H71</t>
        </is>
      </c>
      <c r="D662" s="0" t="n">
        <v>352.339</v>
      </c>
    </row>
    <row r="663">
      <c r="A663" s="0" t="inlineStr">
        <is>
          <t>SIFT1M</t>
        </is>
      </c>
      <c r="B663" s="0" t="inlineStr">
        <is>
          <t>I64</t>
        </is>
      </c>
      <c r="C663" s="0" t="inlineStr">
        <is>
          <t>I71</t>
        </is>
      </c>
    </row>
    <row r="664">
      <c r="A664" s="0" t="inlineStr">
        <is>
          <t>SIFT1M</t>
        </is>
      </c>
      <c r="B664" s="0" t="inlineStr">
        <is>
          <t>J64</t>
        </is>
      </c>
      <c r="C664" s="0" t="inlineStr">
        <is>
          <t>J71</t>
        </is>
      </c>
    </row>
    <row r="665">
      <c r="A665" s="0" t="inlineStr">
        <is>
          <t>SIFT1M</t>
        </is>
      </c>
      <c r="B665" s="0" t="inlineStr">
        <is>
          <t>E68</t>
        </is>
      </c>
      <c r="C665" s="0" t="inlineStr">
        <is>
          <t>E76</t>
        </is>
      </c>
      <c r="D665" s="0" t="inlineStr">
        <is>
          <t>Dataset size vs. Verify time</t>
        </is>
      </c>
    </row>
    <row r="666">
      <c r="A666" s="0" t="inlineStr">
        <is>
          <t>SIFT1M</t>
        </is>
      </c>
      <c r="B666" s="0" t="inlineStr">
        <is>
          <t>D70</t>
        </is>
      </c>
      <c r="C666" s="0" t="inlineStr">
        <is>
          <t>D78</t>
        </is>
      </c>
      <c r="D666" s="0" t="inlineStr">
        <is>
          <t>BIGANN / SIFT1B prefix subsets (same source)</t>
        </is>
      </c>
    </row>
    <row r="667">
      <c r="A667" s="0" t="inlineStr">
        <is>
          <t>SIFT1M</t>
        </is>
      </c>
      <c r="B667" s="0" t="inlineStr">
        <is>
          <t>D71</t>
        </is>
      </c>
      <c r="C667" s="0" t="inlineStr">
        <is>
          <t>D79</t>
        </is>
      </c>
      <c r="D667" s="0" t="inlineStr">
        <is>
          <t>dataset size</t>
        </is>
      </c>
    </row>
    <row r="668">
      <c r="A668" s="0" t="inlineStr">
        <is>
          <t>SIFT1M</t>
        </is>
      </c>
      <c r="B668" s="0" t="inlineStr">
        <is>
          <t>F71</t>
        </is>
      </c>
      <c r="C668" s="0" t="inlineStr">
        <is>
          <t>F79</t>
        </is>
      </c>
      <c r="D668" s="0" t="inlineStr">
        <is>
          <t>10^5</t>
        </is>
      </c>
    </row>
    <row r="669">
      <c r="A669" s="0" t="inlineStr">
        <is>
          <t>SIFT1M</t>
        </is>
      </c>
      <c r="B669" s="0" t="inlineStr">
        <is>
          <t>G71</t>
        </is>
      </c>
      <c r="C669" s="0" t="inlineStr">
        <is>
          <t>G79</t>
        </is>
      </c>
      <c r="D669" s="0" t="inlineStr">
        <is>
          <t>5*10^5</t>
        </is>
      </c>
    </row>
    <row r="670">
      <c r="A670" s="0" t="inlineStr">
        <is>
          <t>SIFT1M</t>
        </is>
      </c>
      <c r="B670" s="0" t="inlineStr">
        <is>
          <t>H71</t>
        </is>
      </c>
      <c r="C670" s="0" t="inlineStr">
        <is>
          <t>H79</t>
        </is>
      </c>
      <c r="D670" s="0" t="inlineStr">
        <is>
          <t>10^6</t>
        </is>
      </c>
    </row>
    <row r="671">
      <c r="A671" s="0" t="inlineStr">
        <is>
          <t>SIFT1M</t>
        </is>
      </c>
      <c r="B671" s="0" t="inlineStr">
        <is>
          <t>I71</t>
        </is>
      </c>
      <c r="C671" s="0" t="inlineStr">
        <is>
          <t>I79</t>
        </is>
      </c>
      <c r="D671" s="0" t="inlineStr">
        <is>
          <t>5*10^6</t>
        </is>
      </c>
    </row>
    <row r="672">
      <c r="A672" s="0" t="inlineStr">
        <is>
          <t>SIFT1M</t>
        </is>
      </c>
      <c r="B672" s="0" t="inlineStr">
        <is>
          <t>J71</t>
        </is>
      </c>
      <c r="C672" s="0" t="inlineStr">
        <is>
          <t>J79</t>
        </is>
      </c>
      <c r="D672" s="0" t="inlineStr">
        <is>
          <t>10^7</t>
        </is>
      </c>
    </row>
    <row r="673">
      <c r="A673" s="0" t="inlineStr">
        <is>
          <t>SIFT1M</t>
        </is>
      </c>
      <c r="B673" s="0" t="inlineStr">
        <is>
          <t>D72</t>
        </is>
      </c>
      <c r="C673" s="0" t="inlineStr">
        <is>
          <t>D80</t>
        </is>
      </c>
      <c r="D673" s="0" t="inlineStr">
        <is>
          <t>VLAH</t>
        </is>
      </c>
    </row>
    <row r="674">
      <c r="A674" s="0" t="inlineStr">
        <is>
          <t>SIFT1M</t>
        </is>
      </c>
      <c r="B674" s="0" t="inlineStr">
        <is>
          <t>F72</t>
        </is>
      </c>
      <c r="C674" s="0" t="inlineStr">
        <is>
          <t>F80</t>
        </is>
      </c>
      <c r="D674" s="0" t="n">
        <v>22.4874884566667</v>
      </c>
    </row>
    <row r="675">
      <c r="A675" s="0" t="inlineStr">
        <is>
          <t>SIFT1M</t>
        </is>
      </c>
      <c r="B675" s="0" t="inlineStr">
        <is>
          <t>G72</t>
        </is>
      </c>
      <c r="C675" s="0" t="inlineStr">
        <is>
          <t>G80</t>
        </is>
      </c>
      <c r="D675" s="0" t="n">
        <v>116.950956503333</v>
      </c>
    </row>
    <row r="676">
      <c r="A676" s="0" t="inlineStr">
        <is>
          <t>SIFT1M</t>
        </is>
      </c>
      <c r="B676" s="0" t="inlineStr">
        <is>
          <t>H72</t>
        </is>
      </c>
      <c r="C676" s="0" t="inlineStr">
        <is>
          <t>H80</t>
        </is>
      </c>
      <c r="D676" s="0" t="n">
        <v>230.809091856667</v>
      </c>
    </row>
    <row r="677">
      <c r="A677" s="0" t="inlineStr">
        <is>
          <t>SIFT1M</t>
        </is>
      </c>
      <c r="B677" s="0" t="inlineStr">
        <is>
          <t>I72</t>
        </is>
      </c>
      <c r="C677" s="0" t="inlineStr">
        <is>
          <t>I80</t>
        </is>
      </c>
      <c r="D677" s="0" t="n">
        <v>1066.10870460667</v>
      </c>
    </row>
    <row r="678">
      <c r="A678" s="0" t="inlineStr">
        <is>
          <t>SIFT1M</t>
        </is>
      </c>
      <c r="B678" s="0" t="inlineStr">
        <is>
          <t>J72</t>
        </is>
      </c>
      <c r="C678" s="0" t="inlineStr">
        <is>
          <t>J80</t>
        </is>
      </c>
      <c r="D678" s="0" t="n">
        <v>2425.17944812</v>
      </c>
    </row>
    <row r="679">
      <c r="A679" s="0" t="inlineStr">
        <is>
          <t>SIFT1M</t>
        </is>
      </c>
      <c r="B679" s="0" t="inlineStr">
        <is>
          <t>D73</t>
        </is>
      </c>
      <c r="C679" s="0" t="inlineStr">
        <is>
          <t>D81</t>
        </is>
      </c>
      <c r="D679" s="0" t="inlineStr">
        <is>
          <t>ANNProof</t>
        </is>
      </c>
    </row>
    <row r="680">
      <c r="A680" s="0" t="inlineStr">
        <is>
          <t>SIFT1M</t>
        </is>
      </c>
      <c r="B680" s="0" t="inlineStr">
        <is>
          <t>F73</t>
        </is>
      </c>
      <c r="C680" s="0" t="inlineStr">
        <is>
          <t>F81</t>
        </is>
      </c>
      <c r="D680" s="0" t="n">
        <v>9.935137016666671</v>
      </c>
    </row>
    <row r="681">
      <c r="A681" s="0" t="inlineStr">
        <is>
          <t>SIFT1M</t>
        </is>
      </c>
      <c r="B681" s="0" t="inlineStr">
        <is>
          <t>G73</t>
        </is>
      </c>
      <c r="C681" s="0" t="inlineStr">
        <is>
          <t>G81</t>
        </is>
      </c>
      <c r="D681" s="0" t="n">
        <v>13.03742486</v>
      </c>
    </row>
    <row r="682">
      <c r="A682" s="0" t="inlineStr">
        <is>
          <t>SIFT1M</t>
        </is>
      </c>
      <c r="B682" s="0" t="inlineStr">
        <is>
          <t>H73</t>
        </is>
      </c>
      <c r="C682" s="0" t="inlineStr">
        <is>
          <t>H81</t>
        </is>
      </c>
      <c r="D682" s="0" t="n">
        <v>8.46944842666667</v>
      </c>
    </row>
    <row r="683">
      <c r="A683" s="0" t="inlineStr">
        <is>
          <t>SIFT1M</t>
        </is>
      </c>
      <c r="B683" s="0" t="inlineStr">
        <is>
          <t>I73</t>
        </is>
      </c>
      <c r="C683" s="0" t="inlineStr">
        <is>
          <t>I81</t>
        </is>
      </c>
      <c r="D683" s="0" t="n">
        <v>49.6618084833333</v>
      </c>
    </row>
    <row r="684">
      <c r="A684" s="0" t="inlineStr">
        <is>
          <t>SIFT1M</t>
        </is>
      </c>
      <c r="B684" s="0" t="inlineStr">
        <is>
          <t>J73</t>
        </is>
      </c>
      <c r="C684" s="0" t="inlineStr">
        <is>
          <t>J81</t>
        </is>
      </c>
      <c r="D684" s="0" t="n">
        <v>52.7983577033333</v>
      </c>
    </row>
    <row r="685">
      <c r="A685" s="0" t="inlineStr">
        <is>
          <t>SIFT1M</t>
        </is>
      </c>
      <c r="B685" s="0" t="inlineStr">
        <is>
          <t>D74</t>
        </is>
      </c>
      <c r="C685" s="0" t="inlineStr">
        <is>
          <t>D82</t>
        </is>
      </c>
      <c r="D685" s="0" t="inlineStr">
        <is>
          <t>Ours</t>
        </is>
      </c>
    </row>
    <row r="686">
      <c r="A686" s="0" t="inlineStr">
        <is>
          <t>SIFT1M</t>
        </is>
      </c>
      <c r="B686" s="0" t="inlineStr">
        <is>
          <t>F74</t>
        </is>
      </c>
      <c r="C686" s="0" t="inlineStr">
        <is>
          <t>F82</t>
        </is>
      </c>
      <c r="D686" s="0" t="n">
        <v>2.21916620333333</v>
      </c>
    </row>
    <row r="687">
      <c r="A687" s="0" t="inlineStr">
        <is>
          <t>SIFT1M</t>
        </is>
      </c>
      <c r="B687" s="0" t="inlineStr">
        <is>
          <t>G74</t>
        </is>
      </c>
      <c r="C687" s="0" t="inlineStr">
        <is>
          <t>G82</t>
        </is>
      </c>
      <c r="D687" s="0" t="n">
        <v>4.03459994</v>
      </c>
    </row>
    <row r="688">
      <c r="A688" s="0" t="inlineStr">
        <is>
          <t>SIFT1M</t>
        </is>
      </c>
      <c r="B688" s="0" t="inlineStr">
        <is>
          <t>H74</t>
        </is>
      </c>
      <c r="C688" s="0" t="inlineStr">
        <is>
          <t>H82</t>
        </is>
      </c>
      <c r="D688" s="0" t="n">
        <v>4.82873155666667</v>
      </c>
    </row>
    <row r="689">
      <c r="A689" s="0" t="inlineStr">
        <is>
          <t>SIFT1M</t>
        </is>
      </c>
      <c r="B689" s="0" t="inlineStr">
        <is>
          <t>I74</t>
        </is>
      </c>
      <c r="C689" s="0" t="inlineStr">
        <is>
          <t>I82</t>
        </is>
      </c>
      <c r="D689" s="0" t="n">
        <v>9.642151933333331</v>
      </c>
    </row>
    <row r="690">
      <c r="A690" s="0" t="inlineStr">
        <is>
          <t>SIFT1M</t>
        </is>
      </c>
      <c r="B690" s="0" t="inlineStr">
        <is>
          <t>J74</t>
        </is>
      </c>
      <c r="C690" s="0" t="inlineStr">
        <is>
          <t>J82</t>
        </is>
      </c>
      <c r="D690" s="0" t="n">
        <v>17.2410478166667</v>
      </c>
    </row>
    <row r="691">
      <c r="A691" s="0" t="inlineStr">
        <is>
          <t>SIFT1M</t>
        </is>
      </c>
      <c r="B691" s="0" t="inlineStr">
        <is>
          <t>D75</t>
        </is>
      </c>
      <c r="C691" s="0" t="inlineStr">
        <is>
          <t>D83</t>
        </is>
      </c>
      <c r="D691" s="0" t="inlineStr">
        <is>
          <t>V3DB（单次）</t>
        </is>
      </c>
    </row>
    <row r="692">
      <c r="A692" s="0" t="inlineStr">
        <is>
          <t>SIFT1M</t>
        </is>
      </c>
      <c r="B692" s="0" t="inlineStr">
        <is>
          <t>F75</t>
        </is>
      </c>
      <c r="C692" s="0" t="inlineStr">
        <is>
          <t>F83</t>
        </is>
      </c>
      <c r="D692" s="0" t="n">
        <v>12.5784319989179</v>
      </c>
    </row>
    <row r="693">
      <c r="A693" s="0" t="inlineStr">
        <is>
          <t>SIFT1M</t>
        </is>
      </c>
      <c r="B693" s="0" t="inlineStr">
        <is>
          <t>G75</t>
        </is>
      </c>
      <c r="C693" s="0" t="inlineStr">
        <is>
          <t>G83</t>
        </is>
      </c>
      <c r="D693" s="0" t="n">
        <v>26.0275726083567</v>
      </c>
    </row>
    <row r="694">
      <c r="A694" s="0" t="inlineStr">
        <is>
          <t>SIFT1M</t>
        </is>
      </c>
      <c r="B694" s="0" t="inlineStr">
        <is>
          <t>H75</t>
        </is>
      </c>
      <c r="C694" s="0" t="inlineStr">
        <is>
          <t>H83</t>
        </is>
      </c>
      <c r="D694" s="0" t="n">
        <v>28.8577564392648</v>
      </c>
    </row>
    <row r="695">
      <c r="A695" s="0" t="inlineStr">
        <is>
          <t>SIFT1M</t>
        </is>
      </c>
      <c r="B695" s="0" t="inlineStr">
        <is>
          <t>I75</t>
        </is>
      </c>
      <c r="C695" s="0" t="inlineStr">
        <is>
          <t>I83</t>
        </is>
      </c>
    </row>
    <row r="696">
      <c r="A696" s="0" t="inlineStr">
        <is>
          <t>SIFT1M</t>
        </is>
      </c>
      <c r="B696" s="0" t="inlineStr">
        <is>
          <t>J75</t>
        </is>
      </c>
      <c r="C696" s="0" t="inlineStr">
        <is>
          <t>J83</t>
        </is>
      </c>
    </row>
    <row r="697">
      <c r="A697" s="0" t="inlineStr">
        <is>
          <t>SIFT1M</t>
        </is>
      </c>
      <c r="B697" s="0" t="inlineStr">
        <is>
          <t>E78</t>
        </is>
      </c>
      <c r="C697" s="0" t="inlineStr">
        <is>
          <t>E87</t>
        </is>
      </c>
      <c r="D697" s="0" t="inlineStr">
        <is>
          <t>Dataset size vs. query time</t>
        </is>
      </c>
    </row>
    <row r="698">
      <c r="A698" s="0" t="inlineStr">
        <is>
          <t>SIFT1M</t>
        </is>
      </c>
      <c r="B698" s="0" t="inlineStr">
        <is>
          <t>D80</t>
        </is>
      </c>
      <c r="C698" s="0" t="inlineStr">
        <is>
          <t>D89</t>
        </is>
      </c>
      <c r="D698" s="0" t="inlineStr">
        <is>
          <t>BIGANN / SIFT1B prefix subsets (same source)</t>
        </is>
      </c>
    </row>
    <row r="699">
      <c r="A699" s="0" t="inlineStr">
        <is>
          <t>SIFT1M</t>
        </is>
      </c>
      <c r="B699" s="0" t="inlineStr">
        <is>
          <t>D81</t>
        </is>
      </c>
      <c r="C699" s="0" t="inlineStr">
        <is>
          <t>D90</t>
        </is>
      </c>
      <c r="D699" s="0" t="inlineStr">
        <is>
          <t>dataset size</t>
        </is>
      </c>
    </row>
    <row r="700">
      <c r="A700" s="0" t="inlineStr">
        <is>
          <t>SIFT1M</t>
        </is>
      </c>
      <c r="B700" s="0" t="inlineStr">
        <is>
          <t>F81</t>
        </is>
      </c>
      <c r="C700" s="0" t="inlineStr">
        <is>
          <t>F90</t>
        </is>
      </c>
      <c r="D700" s="0" t="inlineStr">
        <is>
          <t>10^5</t>
        </is>
      </c>
    </row>
    <row r="701">
      <c r="A701" s="0" t="inlineStr">
        <is>
          <t>SIFT1M</t>
        </is>
      </c>
      <c r="B701" s="0" t="inlineStr">
        <is>
          <t>G81</t>
        </is>
      </c>
      <c r="C701" s="0" t="inlineStr">
        <is>
          <t>G90</t>
        </is>
      </c>
      <c r="D701" s="0" t="inlineStr">
        <is>
          <t>5*10^5</t>
        </is>
      </c>
    </row>
    <row r="702">
      <c r="A702" s="0" t="inlineStr">
        <is>
          <t>SIFT1M</t>
        </is>
      </c>
      <c r="B702" s="0" t="inlineStr">
        <is>
          <t>H81</t>
        </is>
      </c>
      <c r="C702" s="0" t="inlineStr">
        <is>
          <t>H90</t>
        </is>
      </c>
      <c r="D702" s="0" t="inlineStr">
        <is>
          <t>10^6</t>
        </is>
      </c>
    </row>
    <row r="703">
      <c r="A703" s="0" t="inlineStr">
        <is>
          <t>SIFT1M</t>
        </is>
      </c>
      <c r="B703" s="0" t="inlineStr">
        <is>
          <t>I81</t>
        </is>
      </c>
      <c r="C703" s="0" t="inlineStr">
        <is>
          <t>I90</t>
        </is>
      </c>
      <c r="D703" s="0" t="inlineStr">
        <is>
          <t>5*10^6</t>
        </is>
      </c>
    </row>
    <row r="704">
      <c r="A704" s="0" t="inlineStr">
        <is>
          <t>SIFT1M</t>
        </is>
      </c>
      <c r="B704" s="0" t="inlineStr">
        <is>
          <t>J81</t>
        </is>
      </c>
      <c r="C704" s="0" t="inlineStr">
        <is>
          <t>J90</t>
        </is>
      </c>
      <c r="D704" s="0" t="inlineStr">
        <is>
          <t>10^7</t>
        </is>
      </c>
    </row>
    <row r="705">
      <c r="A705" s="0" t="inlineStr">
        <is>
          <t>SIFT1M</t>
        </is>
      </c>
      <c r="B705" s="0" t="inlineStr">
        <is>
          <t>D82</t>
        </is>
      </c>
      <c r="C705" s="0" t="inlineStr">
        <is>
          <t>D91</t>
        </is>
      </c>
      <c r="D705" s="0" t="inlineStr">
        <is>
          <t>VLAH</t>
        </is>
      </c>
    </row>
    <row r="706">
      <c r="A706" s="0" t="inlineStr">
        <is>
          <t>SIFT1M</t>
        </is>
      </c>
      <c r="B706" s="0" t="inlineStr">
        <is>
          <t>F82</t>
        </is>
      </c>
      <c r="C706" s="0" t="inlineStr">
        <is>
          <t>F91</t>
        </is>
      </c>
      <c r="D706" s="0" t="n">
        <v>8.40188443666667</v>
      </c>
    </row>
    <row r="707">
      <c r="A707" s="0" t="inlineStr">
        <is>
          <t>SIFT1M</t>
        </is>
      </c>
      <c r="B707" s="0" t="inlineStr">
        <is>
          <t>G82</t>
        </is>
      </c>
      <c r="C707" s="0" t="inlineStr">
        <is>
          <t>G91</t>
        </is>
      </c>
      <c r="D707" s="0" t="n">
        <v>43.8086204166667</v>
      </c>
    </row>
    <row r="708">
      <c r="A708" s="0" t="inlineStr">
        <is>
          <t>SIFT1M</t>
        </is>
      </c>
      <c r="B708" s="0" t="inlineStr">
        <is>
          <t>H82</t>
        </is>
      </c>
      <c r="C708" s="0" t="inlineStr">
        <is>
          <t>H91</t>
        </is>
      </c>
      <c r="D708" s="0" t="n">
        <v>93.36335403333329</v>
      </c>
    </row>
    <row r="709">
      <c r="A709" s="0" t="inlineStr">
        <is>
          <t>SIFT1M</t>
        </is>
      </c>
      <c r="B709" s="0" t="inlineStr">
        <is>
          <t>I82</t>
        </is>
      </c>
      <c r="C709" s="0" t="inlineStr">
        <is>
          <t>I91</t>
        </is>
      </c>
      <c r="D709" s="0" t="n">
        <v>455.972351206667</v>
      </c>
    </row>
    <row r="710">
      <c r="A710" s="0" t="inlineStr">
        <is>
          <t>SIFT1M</t>
        </is>
      </c>
      <c r="B710" s="0" t="inlineStr">
        <is>
          <t>J82</t>
        </is>
      </c>
      <c r="C710" s="0" t="inlineStr">
        <is>
          <t>J91</t>
        </is>
      </c>
      <c r="D710" s="0" t="n">
        <v>1035.94241575667</v>
      </c>
    </row>
    <row r="711">
      <c r="A711" s="0" t="inlineStr">
        <is>
          <t>SIFT1M</t>
        </is>
      </c>
      <c r="B711" s="0" t="inlineStr">
        <is>
          <t>D83</t>
        </is>
      </c>
      <c r="C711" s="0" t="inlineStr">
        <is>
          <t>D92</t>
        </is>
      </c>
      <c r="D711" s="0" t="inlineStr">
        <is>
          <t>ANNProof</t>
        </is>
      </c>
    </row>
    <row r="712">
      <c r="A712" s="0" t="inlineStr">
        <is>
          <t>SIFT1M</t>
        </is>
      </c>
      <c r="B712" s="0" t="inlineStr">
        <is>
          <t>F83</t>
        </is>
      </c>
      <c r="C712" s="0" t="inlineStr">
        <is>
          <t>F92</t>
        </is>
      </c>
      <c r="D712" s="0" t="n">
        <v>2.12258813</v>
      </c>
    </row>
    <row r="713">
      <c r="A713" s="0" t="inlineStr">
        <is>
          <t>SIFT1M</t>
        </is>
      </c>
      <c r="B713" s="0" t="inlineStr">
        <is>
          <t>G83</t>
        </is>
      </c>
      <c r="C713" s="0" t="inlineStr">
        <is>
          <t>G92</t>
        </is>
      </c>
      <c r="D713" s="0" t="n">
        <v>2.72643945666667</v>
      </c>
    </row>
    <row r="714">
      <c r="A714" s="0" t="inlineStr">
        <is>
          <t>SIFT1M</t>
        </is>
      </c>
      <c r="B714" s="0" t="inlineStr">
        <is>
          <t>H83</t>
        </is>
      </c>
      <c r="C714" s="0" t="inlineStr">
        <is>
          <t>H92</t>
        </is>
      </c>
      <c r="D714" s="0" t="n">
        <v>1.68453729666667</v>
      </c>
    </row>
    <row r="715">
      <c r="A715" s="0" t="inlineStr">
        <is>
          <t>SIFT1M</t>
        </is>
      </c>
      <c r="B715" s="0" t="inlineStr">
        <is>
          <t>I83</t>
        </is>
      </c>
      <c r="C715" s="0" t="inlineStr">
        <is>
          <t>I92</t>
        </is>
      </c>
      <c r="D715" s="0" t="n">
        <v>11.3474714766667</v>
      </c>
    </row>
    <row r="716">
      <c r="A716" s="0" t="inlineStr">
        <is>
          <t>SIFT1M</t>
        </is>
      </c>
      <c r="B716" s="0" t="inlineStr">
        <is>
          <t>J83</t>
        </is>
      </c>
      <c r="C716" s="0" t="inlineStr">
        <is>
          <t>J92</t>
        </is>
      </c>
      <c r="D716" s="0" t="n">
        <v>13.0801662666667</v>
      </c>
    </row>
    <row r="717">
      <c r="A717" s="0" t="inlineStr">
        <is>
          <t>SIFT1M</t>
        </is>
      </c>
      <c r="B717" s="0" t="inlineStr">
        <is>
          <t>D84</t>
        </is>
      </c>
      <c r="C717" s="0" t="inlineStr">
        <is>
          <t>D93</t>
        </is>
      </c>
      <c r="D717" s="0" t="inlineStr">
        <is>
          <t>Ours</t>
        </is>
      </c>
    </row>
    <row r="718">
      <c r="A718" s="0" t="inlineStr">
        <is>
          <t>SIFT1M</t>
        </is>
      </c>
      <c r="B718" s="0" t="inlineStr">
        <is>
          <t>F84</t>
        </is>
      </c>
      <c r="C718" s="0" t="inlineStr">
        <is>
          <t>F93</t>
        </is>
      </c>
      <c r="D718" s="0" t="n">
        <v>0.97129939</v>
      </c>
    </row>
    <row r="719">
      <c r="A719" s="0" t="inlineStr">
        <is>
          <t>SIFT1M</t>
        </is>
      </c>
      <c r="B719" s="0" t="inlineStr">
        <is>
          <t>G84</t>
        </is>
      </c>
      <c r="C719" s="0" t="inlineStr">
        <is>
          <t>G93</t>
        </is>
      </c>
      <c r="D719" s="0" t="n">
        <v>1.98728941666667</v>
      </c>
    </row>
    <row r="720">
      <c r="A720" s="0" t="inlineStr">
        <is>
          <t>SIFT1M</t>
        </is>
      </c>
      <c r="B720" s="0" t="inlineStr">
        <is>
          <t>H84</t>
        </is>
      </c>
      <c r="C720" s="0" t="inlineStr">
        <is>
          <t>H93</t>
        </is>
      </c>
      <c r="D720" s="0" t="n">
        <v>2.48054105666667</v>
      </c>
    </row>
    <row r="721">
      <c r="A721" s="0" t="inlineStr">
        <is>
          <t>SIFT1M</t>
        </is>
      </c>
      <c r="B721" s="0" t="inlineStr">
        <is>
          <t>I84</t>
        </is>
      </c>
      <c r="C721" s="0" t="inlineStr">
        <is>
          <t>I93</t>
        </is>
      </c>
      <c r="D721" s="0" t="n">
        <v>5.62847572</v>
      </c>
    </row>
    <row r="722">
      <c r="A722" s="0" t="inlineStr">
        <is>
          <t>SIFT1M</t>
        </is>
      </c>
      <c r="B722" s="0" t="inlineStr">
        <is>
          <t>J84</t>
        </is>
      </c>
      <c r="C722" s="0" t="inlineStr">
        <is>
          <t>J93</t>
        </is>
      </c>
      <c r="D722" s="0" t="n">
        <v>10.7202669733333</v>
      </c>
    </row>
    <row r="723">
      <c r="A723" s="0" t="inlineStr">
        <is>
          <t>SIFT1M</t>
        </is>
      </c>
      <c r="B723" s="0" t="inlineStr">
        <is>
          <t>D85</t>
        </is>
      </c>
      <c r="C723" s="0" t="inlineStr">
        <is>
          <t>D94</t>
        </is>
      </c>
      <c r="D723" s="0" t="inlineStr">
        <is>
          <t>V3DB（单次）</t>
        </is>
      </c>
    </row>
    <row r="724">
      <c r="A724" s="0" t="inlineStr">
        <is>
          <t>SIFT1M</t>
        </is>
      </c>
      <c r="B724" s="0" t="inlineStr">
        <is>
          <t>F85</t>
        </is>
      </c>
      <c r="C724" s="0" t="inlineStr">
        <is>
          <t>F94</t>
        </is>
      </c>
      <c r="D724" s="0" t="n">
        <v>496923.102522999</v>
      </c>
    </row>
    <row r="725">
      <c r="A725" s="0" t="inlineStr">
        <is>
          <t>SIFT1M</t>
        </is>
      </c>
      <c r="B725" s="0" t="inlineStr">
        <is>
          <t>G85</t>
        </is>
      </c>
      <c r="C725" s="0" t="inlineStr">
        <is>
          <t>G94</t>
        </is>
      </c>
      <c r="D725" s="0" t="n">
        <v>1106506.85136537</v>
      </c>
    </row>
    <row r="726">
      <c r="A726" s="0" t="inlineStr">
        <is>
          <t>SIFT1M</t>
        </is>
      </c>
      <c r="B726" s="0" t="inlineStr">
        <is>
          <t>H85</t>
        </is>
      </c>
      <c r="C726" s="0" t="inlineStr">
        <is>
          <t>H94</t>
        </is>
      </c>
      <c r="D726" s="0" t="n">
        <v>2318575.48880876</v>
      </c>
    </row>
    <row r="727">
      <c r="A727" s="0" t="inlineStr">
        <is>
          <t>SIFT1M</t>
        </is>
      </c>
      <c r="B727" s="0" t="inlineStr">
        <is>
          <t>I85</t>
        </is>
      </c>
      <c r="C727" s="0" t="inlineStr">
        <is>
          <t>I94</t>
        </is>
      </c>
    </row>
    <row r="728">
      <c r="A728" s="0" t="inlineStr">
        <is>
          <t>SIFT1M</t>
        </is>
      </c>
      <c r="B728" s="0" t="inlineStr">
        <is>
          <t>J85</t>
        </is>
      </c>
      <c r="C728" s="0" t="inlineStr">
        <is>
          <t>J94</t>
        </is>
      </c>
    </row>
    <row r="729">
      <c r="A729" s="0" t="inlineStr">
        <is>
          <t>SIFT1M</t>
        </is>
      </c>
      <c r="B729" s="0" t="inlineStr">
        <is>
          <t>E90</t>
        </is>
      </c>
      <c r="C729" s="0" t="inlineStr">
        <is>
          <t>E100</t>
        </is>
      </c>
      <c r="D729" s="0" t="inlineStr">
        <is>
          <t>K vs. VO size (actual Recall@K logged)</t>
        </is>
      </c>
    </row>
    <row r="730">
      <c r="A730" s="0" t="inlineStr">
        <is>
          <t>SIFT1M</t>
        </is>
      </c>
      <c r="B730" s="0" t="inlineStr">
        <is>
          <t>D92</t>
        </is>
      </c>
      <c r="C730" s="0" t="inlineStr">
        <is>
          <t>D102</t>
        </is>
      </c>
      <c r="D730" s="0" t="inlineStr">
        <is>
          <t>SIFT1M</t>
        </is>
      </c>
    </row>
    <row r="731">
      <c r="A731" s="0" t="inlineStr">
        <is>
          <t>SIFT1M</t>
        </is>
      </c>
      <c r="B731" s="0" t="inlineStr">
        <is>
          <t>D93</t>
        </is>
      </c>
      <c r="C731" s="0" t="inlineStr">
        <is>
          <t>D103</t>
        </is>
      </c>
      <c r="D731" s="0" t="inlineStr">
        <is>
          <t>K</t>
        </is>
      </c>
    </row>
    <row r="732">
      <c r="A732" s="0" t="inlineStr">
        <is>
          <t>SIFT1M</t>
        </is>
      </c>
      <c r="B732" s="0" t="inlineStr">
        <is>
          <t>F93</t>
        </is>
      </c>
      <c r="C732" s="0" t="inlineStr">
        <is>
          <t>F103</t>
        </is>
      </c>
      <c r="D732" s="0" t="n">
        <v>1</v>
      </c>
    </row>
    <row r="733">
      <c r="A733" s="0" t="inlineStr">
        <is>
          <t>SIFT1M</t>
        </is>
      </c>
      <c r="B733" s="0" t="inlineStr">
        <is>
          <t>G93</t>
        </is>
      </c>
      <c r="C733" s="0" t="inlineStr">
        <is>
          <t>G103</t>
        </is>
      </c>
      <c r="D733" s="0" t="n">
        <v>5</v>
      </c>
    </row>
    <row r="734">
      <c r="A734" s="0" t="inlineStr">
        <is>
          <t>SIFT1M</t>
        </is>
      </c>
      <c r="B734" s="0" t="inlineStr">
        <is>
          <t>H93</t>
        </is>
      </c>
      <c r="C734" s="0" t="inlineStr">
        <is>
          <t>H103</t>
        </is>
      </c>
      <c r="D734" s="0" t="n">
        <v>10</v>
      </c>
    </row>
    <row r="735">
      <c r="A735" s="0" t="inlineStr">
        <is>
          <t>SIFT1M</t>
        </is>
      </c>
      <c r="B735" s="0" t="inlineStr">
        <is>
          <t>I93</t>
        </is>
      </c>
      <c r="C735" s="0" t="inlineStr">
        <is>
          <t>I103</t>
        </is>
      </c>
      <c r="D735" s="0" t="n">
        <v>20</v>
      </c>
    </row>
    <row r="736">
      <c r="A736" s="0" t="inlineStr">
        <is>
          <t>SIFT1M</t>
        </is>
      </c>
      <c r="B736" s="0" t="inlineStr">
        <is>
          <t>J93</t>
        </is>
      </c>
      <c r="C736" s="0" t="inlineStr">
        <is>
          <t>J103</t>
        </is>
      </c>
      <c r="D736" s="0" t="n">
        <v>50</v>
      </c>
    </row>
    <row r="737">
      <c r="A737" s="0" t="inlineStr">
        <is>
          <t>SIFT1M</t>
        </is>
      </c>
      <c r="B737" s="0" t="inlineStr">
        <is>
          <t>K93</t>
        </is>
      </c>
      <c r="C737" s="0" t="inlineStr">
        <is>
          <t>K103</t>
        </is>
      </c>
      <c r="D737" s="0" t="n">
        <v>100</v>
      </c>
    </row>
    <row r="738">
      <c r="A738" s="0" t="inlineStr">
        <is>
          <t>SIFT1M</t>
        </is>
      </c>
      <c r="B738" s="0" t="inlineStr">
        <is>
          <t>D94</t>
        </is>
      </c>
      <c r="C738" s="0" t="inlineStr">
        <is>
          <t>D104</t>
        </is>
      </c>
      <c r="D738" s="0" t="inlineStr">
        <is>
          <t>VLAH</t>
        </is>
      </c>
    </row>
    <row r="739">
      <c r="A739" s="0" t="inlineStr">
        <is>
          <t>SIFT1M</t>
        </is>
      </c>
      <c r="B739" s="0" t="inlineStr">
        <is>
          <t>F94</t>
        </is>
      </c>
      <c r="C739" s="0" t="inlineStr">
        <is>
          <t>F104</t>
        </is>
      </c>
      <c r="D739" s="0" t="n">
        <v>23604.55777</v>
      </c>
    </row>
    <row r="740">
      <c r="A740" s="0" t="inlineStr">
        <is>
          <t>SIFT1M</t>
        </is>
      </c>
      <c r="B740" s="0" t="inlineStr">
        <is>
          <t>G94</t>
        </is>
      </c>
      <c r="C740" s="0" t="inlineStr">
        <is>
          <t>G104</t>
        </is>
      </c>
      <c r="D740" s="0" t="n">
        <v>23604.57377</v>
      </c>
    </row>
    <row r="741">
      <c r="A741" s="0" t="inlineStr">
        <is>
          <t>SIFT1M</t>
        </is>
      </c>
      <c r="B741" s="0" t="inlineStr">
        <is>
          <t>H94</t>
        </is>
      </c>
      <c r="C741" s="0" t="inlineStr">
        <is>
          <t>H104</t>
        </is>
      </c>
      <c r="D741" s="0" t="n">
        <v>23604.59377</v>
      </c>
    </row>
    <row r="742">
      <c r="A742" s="0" t="inlineStr">
        <is>
          <t>SIFT1M</t>
        </is>
      </c>
      <c r="B742" s="0" t="inlineStr">
        <is>
          <t>I94</t>
        </is>
      </c>
      <c r="C742" s="0" t="inlineStr">
        <is>
          <t>I104</t>
        </is>
      </c>
      <c r="D742" s="0" t="n">
        <v>23604.63377</v>
      </c>
    </row>
    <row r="743">
      <c r="A743" s="0" t="inlineStr">
        <is>
          <t>SIFT1M</t>
        </is>
      </c>
      <c r="B743" s="0" t="inlineStr">
        <is>
          <t>J94</t>
        </is>
      </c>
      <c r="C743" s="0" t="inlineStr">
        <is>
          <t>J104</t>
        </is>
      </c>
      <c r="D743" s="0" t="n">
        <v>23604.75377</v>
      </c>
    </row>
    <row r="744">
      <c r="A744" s="0" t="inlineStr">
        <is>
          <t>SIFT1M</t>
        </is>
      </c>
      <c r="B744" s="0" t="inlineStr">
        <is>
          <t>K94</t>
        </is>
      </c>
      <c r="C744" s="0" t="inlineStr">
        <is>
          <t>K104</t>
        </is>
      </c>
      <c r="D744" s="0" t="n">
        <v>23604.95377</v>
      </c>
    </row>
    <row r="745">
      <c r="A745" s="0" t="inlineStr">
        <is>
          <t>SIFT1M</t>
        </is>
      </c>
      <c r="B745" s="0" t="inlineStr">
        <is>
          <t>D95</t>
        </is>
      </c>
      <c r="C745" s="0" t="inlineStr">
        <is>
          <t>D105</t>
        </is>
      </c>
      <c r="D745" s="0" t="inlineStr">
        <is>
          <t>ANNProof</t>
        </is>
      </c>
    </row>
    <row r="746">
      <c r="A746" s="0" t="inlineStr">
        <is>
          <t>SIFT1M</t>
        </is>
      </c>
      <c r="B746" s="0" t="inlineStr">
        <is>
          <t>F95</t>
        </is>
      </c>
      <c r="C746" s="0" t="inlineStr">
        <is>
          <t>F105</t>
        </is>
      </c>
      <c r="D746" s="0" t="n">
        <v>1066.37392</v>
      </c>
    </row>
    <row r="747">
      <c r="A747" s="0" t="inlineStr">
        <is>
          <t>SIFT1M</t>
        </is>
      </c>
      <c r="B747" s="0" t="inlineStr">
        <is>
          <t>G95</t>
        </is>
      </c>
      <c r="C747" s="0" t="inlineStr">
        <is>
          <t>G105</t>
        </is>
      </c>
      <c r="D747" s="0" t="n">
        <v>1068.47552</v>
      </c>
    </row>
    <row r="748">
      <c r="A748" s="0" t="inlineStr">
        <is>
          <t>SIFT1M</t>
        </is>
      </c>
      <c r="B748" s="0" t="inlineStr">
        <is>
          <t>H95</t>
        </is>
      </c>
      <c r="C748" s="0" t="inlineStr">
        <is>
          <t>H105</t>
        </is>
      </c>
      <c r="D748" s="0" t="n">
        <v>1071.01752</v>
      </c>
    </row>
    <row r="749">
      <c r="A749" s="0" t="inlineStr">
        <is>
          <t>SIFT1M</t>
        </is>
      </c>
      <c r="B749" s="0" t="inlineStr">
        <is>
          <t>I95</t>
        </is>
      </c>
      <c r="C749" s="0" t="inlineStr">
        <is>
          <t>I105</t>
        </is>
      </c>
      <c r="D749" s="0" t="n">
        <v>1075.92512</v>
      </c>
    </row>
    <row r="750">
      <c r="A750" s="0" t="inlineStr">
        <is>
          <t>SIFT1M</t>
        </is>
      </c>
      <c r="B750" s="0" t="inlineStr">
        <is>
          <t>J95</t>
        </is>
      </c>
      <c r="C750" s="0" t="inlineStr">
        <is>
          <t>J105</t>
        </is>
      </c>
      <c r="D750" s="0" t="n">
        <v>1089.86992</v>
      </c>
    </row>
    <row r="751">
      <c r="A751" s="0" t="inlineStr">
        <is>
          <t>SIFT1M</t>
        </is>
      </c>
      <c r="B751" s="0" t="inlineStr">
        <is>
          <t>K95</t>
        </is>
      </c>
      <c r="C751" s="0" t="inlineStr">
        <is>
          <t>K105</t>
        </is>
      </c>
      <c r="D751" s="0" t="n">
        <v>1111.02832</v>
      </c>
    </row>
    <row r="752">
      <c r="A752" s="0" t="inlineStr">
        <is>
          <t>SIFT1M</t>
        </is>
      </c>
      <c r="B752" s="0" t="inlineStr">
        <is>
          <t>D96</t>
        </is>
      </c>
      <c r="C752" s="0" t="inlineStr">
        <is>
          <t>D106</t>
        </is>
      </c>
      <c r="D752" s="0" t="inlineStr">
        <is>
          <t>Ours</t>
        </is>
      </c>
    </row>
    <row r="753">
      <c r="A753" s="0" t="inlineStr">
        <is>
          <t>SIFT1M</t>
        </is>
      </c>
      <c r="B753" s="0" t="inlineStr">
        <is>
          <t>F96</t>
        </is>
      </c>
      <c r="C753" s="0" t="inlineStr">
        <is>
          <t>F106</t>
        </is>
      </c>
      <c r="D753" s="0" t="n">
        <v>167.24012</v>
      </c>
    </row>
    <row r="754">
      <c r="A754" s="0" t="inlineStr">
        <is>
          <t>SIFT1M</t>
        </is>
      </c>
      <c r="B754" s="0" t="inlineStr">
        <is>
          <t>G96</t>
        </is>
      </c>
      <c r="C754" s="0" t="inlineStr">
        <is>
          <t>G106</t>
        </is>
      </c>
      <c r="D754" s="0" t="n">
        <v>206.25892</v>
      </c>
    </row>
    <row r="755">
      <c r="A755" s="0" t="inlineStr">
        <is>
          <t>SIFT1M</t>
        </is>
      </c>
      <c r="B755" s="0" t="inlineStr">
        <is>
          <t>H96</t>
        </is>
      </c>
      <c r="C755" s="0" t="inlineStr">
        <is>
          <t>H106</t>
        </is>
      </c>
      <c r="D755" s="0" t="n">
        <v>236.02116</v>
      </c>
    </row>
    <row r="756">
      <c r="A756" s="0" t="inlineStr">
        <is>
          <t>SIFT1M</t>
        </is>
      </c>
      <c r="B756" s="0" t="inlineStr">
        <is>
          <t>I96</t>
        </is>
      </c>
      <c r="C756" s="0" t="inlineStr">
        <is>
          <t>I106</t>
        </is>
      </c>
      <c r="D756" s="0" t="n">
        <v>276.68988</v>
      </c>
    </row>
    <row r="757">
      <c r="A757" s="0" t="inlineStr">
        <is>
          <t>SIFT1M</t>
        </is>
      </c>
      <c r="B757" s="0" t="inlineStr">
        <is>
          <t>J96</t>
        </is>
      </c>
      <c r="C757" s="0" t="inlineStr">
        <is>
          <t>J106</t>
        </is>
      </c>
      <c r="D757" s="0" t="n">
        <v>358.24828</v>
      </c>
    </row>
    <row r="758">
      <c r="A758" s="0" t="inlineStr">
        <is>
          <t>SIFT1M</t>
        </is>
      </c>
      <c r="B758" s="0" t="inlineStr">
        <is>
          <t>K96</t>
        </is>
      </c>
      <c r="C758" s="0" t="inlineStr">
        <is>
          <t>K106</t>
        </is>
      </c>
      <c r="D758" s="0" t="n">
        <v>454.3086</v>
      </c>
    </row>
    <row r="759">
      <c r="A759" s="0" t="inlineStr">
        <is>
          <t>SIFT1M</t>
        </is>
      </c>
      <c r="B759" s="0" t="inlineStr">
        <is>
          <t>D97</t>
        </is>
      </c>
      <c r="C759" s="0" t="inlineStr">
        <is>
          <t>D107</t>
        </is>
      </c>
      <c r="D759" s="0" t="inlineStr">
        <is>
          <t>V3DB（单次）</t>
        </is>
      </c>
    </row>
    <row r="760">
      <c r="A760" s="0" t="inlineStr">
        <is>
          <t>SIFT1M</t>
        </is>
      </c>
      <c r="B760" s="0" t="inlineStr">
        <is>
          <t>F97</t>
        </is>
      </c>
      <c r="C760" s="0" t="inlineStr">
        <is>
          <t>F107</t>
        </is>
      </c>
      <c r="D760" s="0" t="n">
        <v>238.982</v>
      </c>
    </row>
    <row r="761">
      <c r="A761" s="0" t="inlineStr">
        <is>
          <t>SIFT1M</t>
        </is>
      </c>
      <c r="B761" s="0" t="inlineStr">
        <is>
          <t>G97</t>
        </is>
      </c>
      <c r="C761" s="0" t="inlineStr">
        <is>
          <t>G107</t>
        </is>
      </c>
      <c r="D761" s="0" t="n">
        <v>237.604</v>
      </c>
    </row>
    <row r="762">
      <c r="A762" s="0" t="inlineStr">
        <is>
          <t>SIFT1M</t>
        </is>
      </c>
      <c r="B762" s="0" t="inlineStr">
        <is>
          <t>H97</t>
        </is>
      </c>
      <c r="C762" s="0" t="inlineStr">
        <is>
          <t>H107</t>
        </is>
      </c>
      <c r="D762" s="0" t="n">
        <v>235.675</v>
      </c>
    </row>
    <row r="763">
      <c r="A763" s="0" t="inlineStr">
        <is>
          <t>SIFT1M</t>
        </is>
      </c>
      <c r="B763" s="0" t="inlineStr">
        <is>
          <t>I97</t>
        </is>
      </c>
      <c r="C763" s="0" t="inlineStr">
        <is>
          <t>I107</t>
        </is>
      </c>
      <c r="D763" s="0" t="n">
        <v>239.759</v>
      </c>
    </row>
    <row r="764">
      <c r="A764" s="0" t="inlineStr">
        <is>
          <t>SIFT1M</t>
        </is>
      </c>
      <c r="B764" s="0" t="inlineStr">
        <is>
          <t>J97</t>
        </is>
      </c>
      <c r="C764" s="0" t="inlineStr">
        <is>
          <t>J107</t>
        </is>
      </c>
      <c r="D764" s="0" t="n">
        <v>237.917</v>
      </c>
    </row>
    <row r="765">
      <c r="A765" s="0" t="inlineStr">
        <is>
          <t>SIFT1M</t>
        </is>
      </c>
      <c r="B765" s="0" t="inlineStr">
        <is>
          <t>K97</t>
        </is>
      </c>
      <c r="C765" s="0" t="inlineStr">
        <is>
          <t>K107</t>
        </is>
      </c>
      <c r="D765" s="0" t="n">
        <v>241.711</v>
      </c>
    </row>
    <row r="766">
      <c r="A766" s="0" t="inlineStr">
        <is>
          <t>SIFT1M</t>
        </is>
      </c>
      <c r="B766" s="0" t="inlineStr">
        <is>
          <t>E101</t>
        </is>
      </c>
      <c r="C766" s="0" t="inlineStr">
        <is>
          <t>E112</t>
        </is>
      </c>
      <c r="D766" s="0" t="inlineStr">
        <is>
          <t>K vs. Verify time</t>
        </is>
      </c>
    </row>
    <row r="767">
      <c r="A767" s="0" t="inlineStr">
        <is>
          <t>SIFT1M</t>
        </is>
      </c>
      <c r="B767" s="0" t="inlineStr">
        <is>
          <t>D103</t>
        </is>
      </c>
      <c r="C767" s="0" t="inlineStr">
        <is>
          <t>D114</t>
        </is>
      </c>
      <c r="D767" s="0" t="inlineStr">
        <is>
          <t>SIFT1M</t>
        </is>
      </c>
    </row>
    <row r="768">
      <c r="A768" s="0" t="inlineStr">
        <is>
          <t>SIFT1M</t>
        </is>
      </c>
      <c r="B768" s="0" t="inlineStr">
        <is>
          <t>D104</t>
        </is>
      </c>
      <c r="C768" s="0" t="inlineStr">
        <is>
          <t>D115</t>
        </is>
      </c>
      <c r="D768" s="0" t="inlineStr">
        <is>
          <t>K</t>
        </is>
      </c>
    </row>
    <row r="769">
      <c r="A769" s="0" t="inlineStr">
        <is>
          <t>SIFT1M</t>
        </is>
      </c>
      <c r="B769" s="0" t="inlineStr">
        <is>
          <t>F104</t>
        </is>
      </c>
      <c r="C769" s="0" t="inlineStr">
        <is>
          <t>F115</t>
        </is>
      </c>
      <c r="D769" s="0" t="n">
        <v>1</v>
      </c>
    </row>
    <row r="770">
      <c r="A770" s="0" t="inlineStr">
        <is>
          <t>SIFT1M</t>
        </is>
      </c>
      <c r="B770" s="0" t="inlineStr">
        <is>
          <t>G104</t>
        </is>
      </c>
      <c r="C770" s="0" t="inlineStr">
        <is>
          <t>G115</t>
        </is>
      </c>
      <c r="D770" s="0" t="n">
        <v>5</v>
      </c>
    </row>
    <row r="771">
      <c r="A771" s="0" t="inlineStr">
        <is>
          <t>SIFT1M</t>
        </is>
      </c>
      <c r="B771" s="0" t="inlineStr">
        <is>
          <t>H104</t>
        </is>
      </c>
      <c r="C771" s="0" t="inlineStr">
        <is>
          <t>H115</t>
        </is>
      </c>
      <c r="D771" s="0" t="n">
        <v>10</v>
      </c>
    </row>
    <row r="772">
      <c r="A772" s="0" t="inlineStr">
        <is>
          <t>SIFT1M</t>
        </is>
      </c>
      <c r="B772" s="0" t="inlineStr">
        <is>
          <t>I104</t>
        </is>
      </c>
      <c r="C772" s="0" t="inlineStr">
        <is>
          <t>I115</t>
        </is>
      </c>
      <c r="D772" s="0" t="n">
        <v>20</v>
      </c>
    </row>
    <row r="773">
      <c r="A773" s="0" t="inlineStr">
        <is>
          <t>SIFT1M</t>
        </is>
      </c>
      <c r="B773" s="0" t="inlineStr">
        <is>
          <t>J104</t>
        </is>
      </c>
      <c r="C773" s="0" t="inlineStr">
        <is>
          <t>J115</t>
        </is>
      </c>
      <c r="D773" s="0" t="n">
        <v>50</v>
      </c>
    </row>
    <row r="774">
      <c r="A774" s="0" t="inlineStr">
        <is>
          <t>SIFT1M</t>
        </is>
      </c>
      <c r="B774" s="0" t="inlineStr">
        <is>
          <t>K104</t>
        </is>
      </c>
      <c r="C774" s="0" t="inlineStr">
        <is>
          <t>K115</t>
        </is>
      </c>
      <c r="D774" s="0" t="n">
        <v>100</v>
      </c>
    </row>
    <row r="775">
      <c r="A775" s="0" t="inlineStr">
        <is>
          <t>SIFT1M</t>
        </is>
      </c>
      <c r="B775" s="0" t="inlineStr">
        <is>
          <t>D105</t>
        </is>
      </c>
      <c r="C775" s="0" t="inlineStr">
        <is>
          <t>D116</t>
        </is>
      </c>
      <c r="D775" s="0" t="inlineStr">
        <is>
          <t>VLAH</t>
        </is>
      </c>
    </row>
    <row r="776">
      <c r="A776" s="0" t="inlineStr">
        <is>
          <t>SIFT1M</t>
        </is>
      </c>
      <c r="B776" s="0" t="inlineStr">
        <is>
          <t>F105</t>
        </is>
      </c>
      <c r="C776" s="0" t="inlineStr">
        <is>
          <t>F116</t>
        </is>
      </c>
      <c r="D776" s="0" t="n">
        <v>164.016030326667</v>
      </c>
    </row>
    <row r="777">
      <c r="A777" s="0" t="inlineStr">
        <is>
          <t>SIFT1M</t>
        </is>
      </c>
      <c r="B777" s="0" t="inlineStr">
        <is>
          <t>G105</t>
        </is>
      </c>
      <c r="C777" s="0" t="inlineStr">
        <is>
          <t>G116</t>
        </is>
      </c>
      <c r="D777" s="0" t="n">
        <v>160.885613066667</v>
      </c>
    </row>
    <row r="778">
      <c r="A778" s="0" t="inlineStr">
        <is>
          <t>SIFT1M</t>
        </is>
      </c>
      <c r="B778" s="0" t="inlineStr">
        <is>
          <t>H105</t>
        </is>
      </c>
      <c r="C778" s="0" t="inlineStr">
        <is>
          <t>H116</t>
        </is>
      </c>
      <c r="D778" s="0" t="n">
        <v>163.210839856667</v>
      </c>
    </row>
    <row r="779">
      <c r="A779" s="0" t="inlineStr">
        <is>
          <t>SIFT1M</t>
        </is>
      </c>
      <c r="B779" s="0" t="inlineStr">
        <is>
          <t>I105</t>
        </is>
      </c>
      <c r="C779" s="0" t="inlineStr">
        <is>
          <t>I116</t>
        </is>
      </c>
      <c r="D779" s="0" t="n">
        <v>166.641273096667</v>
      </c>
    </row>
    <row r="780">
      <c r="A780" s="0" t="inlineStr">
        <is>
          <t>SIFT1M</t>
        </is>
      </c>
      <c r="B780" s="0" t="inlineStr">
        <is>
          <t>J105</t>
        </is>
      </c>
      <c r="C780" s="0" t="inlineStr">
        <is>
          <t>J116</t>
        </is>
      </c>
      <c r="D780" s="0" t="n">
        <v>161.22617848</v>
      </c>
    </row>
    <row r="781">
      <c r="A781" s="0" t="inlineStr">
        <is>
          <t>SIFT1M</t>
        </is>
      </c>
      <c r="B781" s="0" t="inlineStr">
        <is>
          <t>K105</t>
        </is>
      </c>
      <c r="C781" s="0" t="inlineStr">
        <is>
          <t>K116</t>
        </is>
      </c>
      <c r="D781" s="0" t="n">
        <v>161.153135363333</v>
      </c>
    </row>
    <row r="782">
      <c r="A782" s="0" t="inlineStr">
        <is>
          <t>SIFT1M</t>
        </is>
      </c>
      <c r="B782" s="0" t="inlineStr">
        <is>
          <t>D106</t>
        </is>
      </c>
      <c r="C782" s="0" t="inlineStr">
        <is>
          <t>D117</t>
        </is>
      </c>
      <c r="D782" s="0" t="inlineStr">
        <is>
          <t>ANNProof</t>
        </is>
      </c>
    </row>
    <row r="783">
      <c r="A783" s="0" t="inlineStr">
        <is>
          <t>SIFT1M</t>
        </is>
      </c>
      <c r="B783" s="0" t="inlineStr">
        <is>
          <t>F106</t>
        </is>
      </c>
      <c r="C783" s="0" t="inlineStr">
        <is>
          <t>F117</t>
        </is>
      </c>
      <c r="D783" s="0" t="n">
        <v>13.50592026</v>
      </c>
    </row>
    <row r="784">
      <c r="A784" s="0" t="inlineStr">
        <is>
          <t>SIFT1M</t>
        </is>
      </c>
      <c r="B784" s="0" t="inlineStr">
        <is>
          <t>G106</t>
        </is>
      </c>
      <c r="C784" s="0" t="inlineStr">
        <is>
          <t>G117</t>
        </is>
      </c>
      <c r="D784" s="0" t="n">
        <v>13.56223147</v>
      </c>
    </row>
    <row r="785">
      <c r="A785" s="0" t="inlineStr">
        <is>
          <t>SIFT1M</t>
        </is>
      </c>
      <c r="B785" s="0" t="inlineStr">
        <is>
          <t>H106</t>
        </is>
      </c>
      <c r="C785" s="0" t="inlineStr">
        <is>
          <t>H117</t>
        </is>
      </c>
      <c r="D785" s="0" t="n">
        <v>13.5985456233333</v>
      </c>
    </row>
    <row r="786">
      <c r="A786" s="0" t="inlineStr">
        <is>
          <t>SIFT1M</t>
        </is>
      </c>
      <c r="B786" s="0" t="inlineStr">
        <is>
          <t>I106</t>
        </is>
      </c>
      <c r="C786" s="0" t="inlineStr">
        <is>
          <t>I117</t>
        </is>
      </c>
      <c r="D786" s="0" t="n">
        <v>13.7384909233333</v>
      </c>
    </row>
    <row r="787">
      <c r="A787" s="0" t="inlineStr">
        <is>
          <t>SIFT1M</t>
        </is>
      </c>
      <c r="B787" s="0" t="inlineStr">
        <is>
          <t>J106</t>
        </is>
      </c>
      <c r="C787" s="0" t="inlineStr">
        <is>
          <t>J117</t>
        </is>
      </c>
      <c r="D787" s="0" t="n">
        <v>14.1065185666667</v>
      </c>
    </row>
    <row r="788">
      <c r="A788" s="0" t="inlineStr">
        <is>
          <t>SIFT1M</t>
        </is>
      </c>
      <c r="B788" s="0" t="inlineStr">
        <is>
          <t>K106</t>
        </is>
      </c>
      <c r="C788" s="0" t="inlineStr">
        <is>
          <t>K117</t>
        </is>
      </c>
      <c r="D788" s="0" t="n">
        <v>14.6850399966667</v>
      </c>
    </row>
    <row r="789">
      <c r="A789" s="0" t="inlineStr">
        <is>
          <t>SIFT1M</t>
        </is>
      </c>
      <c r="B789" s="0" t="inlineStr">
        <is>
          <t>D107</t>
        </is>
      </c>
      <c r="C789" s="0" t="inlineStr">
        <is>
          <t>D118</t>
        </is>
      </c>
      <c r="D789" s="0" t="inlineStr">
        <is>
          <t>Ours</t>
        </is>
      </c>
    </row>
    <row r="790">
      <c r="A790" s="0" t="inlineStr">
        <is>
          <t>SIFT1M</t>
        </is>
      </c>
      <c r="B790" s="0" t="inlineStr">
        <is>
          <t>F107</t>
        </is>
      </c>
      <c r="C790" s="0" t="inlineStr">
        <is>
          <t>F118</t>
        </is>
      </c>
      <c r="D790" s="0" t="n">
        <v>3.12134448666667</v>
      </c>
    </row>
    <row r="791">
      <c r="A791" s="0" t="inlineStr">
        <is>
          <t>SIFT1M</t>
        </is>
      </c>
      <c r="B791" s="0" t="inlineStr">
        <is>
          <t>G107</t>
        </is>
      </c>
      <c r="C791" s="0" t="inlineStr">
        <is>
          <t>G118</t>
        </is>
      </c>
      <c r="D791" s="0" t="n">
        <v>4.03429735</v>
      </c>
    </row>
    <row r="792">
      <c r="A792" s="0" t="inlineStr">
        <is>
          <t>SIFT1M</t>
        </is>
      </c>
      <c r="B792" s="0" t="inlineStr">
        <is>
          <t>H107</t>
        </is>
      </c>
      <c r="C792" s="0" t="inlineStr">
        <is>
          <t>H118</t>
        </is>
      </c>
      <c r="D792" s="0" t="n">
        <v>4.76585432</v>
      </c>
    </row>
    <row r="793">
      <c r="A793" s="0" t="inlineStr">
        <is>
          <t>SIFT1M</t>
        </is>
      </c>
      <c r="B793" s="0" t="inlineStr">
        <is>
          <t>I107</t>
        </is>
      </c>
      <c r="C793" s="0" t="inlineStr">
        <is>
          <t>I118</t>
        </is>
      </c>
      <c r="D793" s="0" t="n">
        <v>5.60640999333333</v>
      </c>
    </row>
    <row r="794">
      <c r="A794" s="0" t="inlineStr">
        <is>
          <t>SIFT1M</t>
        </is>
      </c>
      <c r="B794" s="0" t="inlineStr">
        <is>
          <t>J107</t>
        </is>
      </c>
      <c r="C794" s="0" t="inlineStr">
        <is>
          <t>J118</t>
        </is>
      </c>
      <c r="D794" s="0" t="n">
        <v>7.28955199</v>
      </c>
    </row>
    <row r="795">
      <c r="A795" s="0" t="inlineStr">
        <is>
          <t>SIFT1M</t>
        </is>
      </c>
      <c r="B795" s="0" t="inlineStr">
        <is>
          <t>K107</t>
        </is>
      </c>
      <c r="C795" s="0" t="inlineStr">
        <is>
          <t>K118</t>
        </is>
      </c>
      <c r="D795" s="0" t="n">
        <v>9.077528473333331</v>
      </c>
    </row>
    <row r="796">
      <c r="A796" s="0" t="inlineStr">
        <is>
          <t>SIFT1M</t>
        </is>
      </c>
      <c r="B796" s="0" t="inlineStr">
        <is>
          <t>D108</t>
        </is>
      </c>
      <c r="C796" s="0" t="inlineStr">
        <is>
          <t>D119</t>
        </is>
      </c>
      <c r="D796" s="0" t="inlineStr">
        <is>
          <t>V3DB（单次）</t>
        </is>
      </c>
    </row>
    <row r="797">
      <c r="A797" s="0" t="inlineStr">
        <is>
          <t>SIFT1M</t>
        </is>
      </c>
      <c r="B797" s="0" t="inlineStr">
        <is>
          <t>F108</t>
        </is>
      </c>
      <c r="C797" s="0" t="inlineStr">
        <is>
          <t>F119</t>
        </is>
      </c>
      <c r="D797" s="0" t="n">
        <v>23.8354289999734</v>
      </c>
    </row>
    <row r="798">
      <c r="A798" s="0" t="inlineStr">
        <is>
          <t>SIFT1M</t>
        </is>
      </c>
      <c r="B798" s="0" t="inlineStr">
        <is>
          <t>G108</t>
        </is>
      </c>
      <c r="C798" s="0" t="inlineStr">
        <is>
          <t>G119</t>
        </is>
      </c>
      <c r="D798" s="0" t="n">
        <v>61.2400370000614</v>
      </c>
    </row>
    <row r="799">
      <c r="A799" s="0" t="inlineStr">
        <is>
          <t>SIFT1M</t>
        </is>
      </c>
      <c r="B799" s="0" t="inlineStr">
        <is>
          <t>H108</t>
        </is>
      </c>
      <c r="C799" s="0" t="inlineStr">
        <is>
          <t>H119</t>
        </is>
      </c>
      <c r="D799" s="0" t="n">
        <v>71.0790379998798</v>
      </c>
    </row>
    <row r="800">
      <c r="A800" s="0" t="inlineStr">
        <is>
          <t>SIFT1M</t>
        </is>
      </c>
      <c r="B800" s="0" t="inlineStr">
        <is>
          <t>I108</t>
        </is>
      </c>
      <c r="C800" s="0" t="inlineStr">
        <is>
          <t>I119</t>
        </is>
      </c>
      <c r="D800" s="0" t="n">
        <v>57.7544319999106</v>
      </c>
    </row>
    <row r="801">
      <c r="A801" s="0" t="inlineStr">
        <is>
          <t>SIFT1M</t>
        </is>
      </c>
      <c r="B801" s="0" t="inlineStr">
        <is>
          <t>J108</t>
        </is>
      </c>
      <c r="C801" s="0" t="inlineStr">
        <is>
          <t>J119</t>
        </is>
      </c>
      <c r="D801" s="0" t="n">
        <v>63.1774729999961</v>
      </c>
    </row>
    <row r="802">
      <c r="A802" s="0" t="inlineStr">
        <is>
          <t>SIFT1M</t>
        </is>
      </c>
      <c r="B802" s="0" t="inlineStr">
        <is>
          <t>K108</t>
        </is>
      </c>
      <c r="C802" s="0" t="inlineStr">
        <is>
          <t>K119</t>
        </is>
      </c>
      <c r="D802" s="0" t="n">
        <v>54.7225050004272</v>
      </c>
    </row>
    <row r="803">
      <c r="A803" s="0" t="inlineStr">
        <is>
          <t>SIFT1M</t>
        </is>
      </c>
      <c r="B803" s="0" t="inlineStr">
        <is>
          <t>E111</t>
        </is>
      </c>
      <c r="C803" s="0" t="inlineStr">
        <is>
          <t>E123</t>
        </is>
      </c>
      <c r="D803" s="0" t="inlineStr">
        <is>
          <t>K vs. Query time (includes VO generation)</t>
        </is>
      </c>
    </row>
    <row r="804">
      <c r="A804" s="0" t="inlineStr">
        <is>
          <t>SIFT1M</t>
        </is>
      </c>
      <c r="B804" s="0" t="inlineStr">
        <is>
          <t>D113</t>
        </is>
      </c>
      <c r="C804" s="0" t="inlineStr">
        <is>
          <t>D125</t>
        </is>
      </c>
      <c r="D804" s="0" t="inlineStr">
        <is>
          <t>SIFT1M</t>
        </is>
      </c>
    </row>
    <row r="805">
      <c r="A805" s="0" t="inlineStr">
        <is>
          <t>SIFT1M</t>
        </is>
      </c>
      <c r="B805" s="0" t="inlineStr">
        <is>
          <t>D114</t>
        </is>
      </c>
      <c r="C805" s="0" t="inlineStr">
        <is>
          <t>D126</t>
        </is>
      </c>
      <c r="D805" s="0" t="inlineStr">
        <is>
          <t>K</t>
        </is>
      </c>
    </row>
    <row r="806">
      <c r="A806" s="0" t="inlineStr">
        <is>
          <t>SIFT1M</t>
        </is>
      </c>
      <c r="B806" s="0" t="inlineStr">
        <is>
          <t>F114</t>
        </is>
      </c>
      <c r="C806" s="0" t="inlineStr">
        <is>
          <t>F126</t>
        </is>
      </c>
      <c r="D806" s="0" t="n">
        <v>1</v>
      </c>
    </row>
    <row r="807">
      <c r="A807" s="0" t="inlineStr">
        <is>
          <t>SIFT1M</t>
        </is>
      </c>
      <c r="B807" s="0" t="inlineStr">
        <is>
          <t>G114</t>
        </is>
      </c>
      <c r="C807" s="0" t="inlineStr">
        <is>
          <t>G126</t>
        </is>
      </c>
      <c r="D807" s="0" t="n">
        <v>5</v>
      </c>
    </row>
    <row r="808">
      <c r="A808" s="0" t="inlineStr">
        <is>
          <t>SIFT1M</t>
        </is>
      </c>
      <c r="B808" s="0" t="inlineStr">
        <is>
          <t>H114</t>
        </is>
      </c>
      <c r="C808" s="0" t="inlineStr">
        <is>
          <t>H126</t>
        </is>
      </c>
      <c r="D808" s="0" t="n">
        <v>10</v>
      </c>
    </row>
    <row r="809">
      <c r="A809" s="0" t="inlineStr">
        <is>
          <t>SIFT1M</t>
        </is>
      </c>
      <c r="B809" s="0" t="inlineStr">
        <is>
          <t>I114</t>
        </is>
      </c>
      <c r="C809" s="0" t="inlineStr">
        <is>
          <t>I126</t>
        </is>
      </c>
      <c r="D809" s="0" t="n">
        <v>20</v>
      </c>
    </row>
    <row r="810">
      <c r="A810" s="0" t="inlineStr">
        <is>
          <t>SIFT1M</t>
        </is>
      </c>
      <c r="B810" s="0" t="inlineStr">
        <is>
          <t>J114</t>
        </is>
      </c>
      <c r="C810" s="0" t="inlineStr">
        <is>
          <t>J126</t>
        </is>
      </c>
      <c r="D810" s="0" t="n">
        <v>50</v>
      </c>
    </row>
    <row r="811">
      <c r="A811" s="0" t="inlineStr">
        <is>
          <t>SIFT1M</t>
        </is>
      </c>
      <c r="B811" s="0" t="inlineStr">
        <is>
          <t>K114</t>
        </is>
      </c>
      <c r="C811" s="0" t="inlineStr">
        <is>
          <t>K126</t>
        </is>
      </c>
      <c r="D811" s="0" t="n">
        <v>100</v>
      </c>
    </row>
    <row r="812">
      <c r="A812" s="0" t="inlineStr">
        <is>
          <t>SIFT1M</t>
        </is>
      </c>
      <c r="B812" s="0" t="inlineStr">
        <is>
          <t>D115</t>
        </is>
      </c>
      <c r="C812" s="0" t="inlineStr">
        <is>
          <t>D127</t>
        </is>
      </c>
      <c r="D812" s="0" t="inlineStr">
        <is>
          <t>VLAH</t>
        </is>
      </c>
    </row>
    <row r="813">
      <c r="A813" s="0" t="inlineStr">
        <is>
          <t>SIFT1M</t>
        </is>
      </c>
      <c r="B813" s="0" t="inlineStr">
        <is>
          <t>F115</t>
        </is>
      </c>
      <c r="C813" s="0" t="inlineStr">
        <is>
          <t>F127</t>
        </is>
      </c>
      <c r="D813" s="0" t="n">
        <v>61.7761955166667</v>
      </c>
    </row>
    <row r="814">
      <c r="A814" s="0" t="inlineStr">
        <is>
          <t>SIFT1M</t>
        </is>
      </c>
      <c r="B814" s="0" t="inlineStr">
        <is>
          <t>G115</t>
        </is>
      </c>
      <c r="C814" s="0" t="inlineStr">
        <is>
          <t>G127</t>
        </is>
      </c>
      <c r="D814" s="0" t="n">
        <v>60.2132885166667</v>
      </c>
    </row>
    <row r="815">
      <c r="A815" s="0" t="inlineStr">
        <is>
          <t>SIFT1M</t>
        </is>
      </c>
      <c r="B815" s="0" t="inlineStr">
        <is>
          <t>H115</t>
        </is>
      </c>
      <c r="C815" s="0" t="inlineStr">
        <is>
          <t>H127</t>
        </is>
      </c>
      <c r="D815" s="0" t="n">
        <v>60.7328521566667</v>
      </c>
    </row>
    <row r="816">
      <c r="A816" s="0" t="inlineStr">
        <is>
          <t>SIFT1M</t>
        </is>
      </c>
      <c r="B816" s="0" t="inlineStr">
        <is>
          <t>I115</t>
        </is>
      </c>
      <c r="C816" s="0" t="inlineStr">
        <is>
          <t>I127</t>
        </is>
      </c>
      <c r="D816" s="0" t="n">
        <v>62.4914379533333</v>
      </c>
    </row>
    <row r="817">
      <c r="A817" s="0" t="inlineStr">
        <is>
          <t>SIFT1M</t>
        </is>
      </c>
      <c r="B817" s="0" t="inlineStr">
        <is>
          <t>J115</t>
        </is>
      </c>
      <c r="C817" s="0" t="inlineStr">
        <is>
          <t>J127</t>
        </is>
      </c>
      <c r="D817" s="0" t="n">
        <v>62.8828516033333</v>
      </c>
    </row>
    <row r="818">
      <c r="A818" s="0" t="inlineStr">
        <is>
          <t>SIFT1M</t>
        </is>
      </c>
      <c r="B818" s="0" t="inlineStr">
        <is>
          <t>K115</t>
        </is>
      </c>
      <c r="C818" s="0" t="inlineStr">
        <is>
          <t>K127</t>
        </is>
      </c>
      <c r="D818" s="0" t="n">
        <v>64.8738179366667</v>
      </c>
    </row>
    <row r="819">
      <c r="A819" s="0" t="inlineStr">
        <is>
          <t>SIFT1M</t>
        </is>
      </c>
      <c r="B819" s="0" t="inlineStr">
        <is>
          <t>D116</t>
        </is>
      </c>
      <c r="C819" s="0" t="inlineStr">
        <is>
          <t>D128</t>
        </is>
      </c>
      <c r="D819" s="0" t="inlineStr">
        <is>
          <t>ANNProof</t>
        </is>
      </c>
    </row>
    <row r="820">
      <c r="A820" s="0" t="inlineStr">
        <is>
          <t>SIFT1M</t>
        </is>
      </c>
      <c r="B820" s="0" t="inlineStr">
        <is>
          <t>F116</t>
        </is>
      </c>
      <c r="C820" s="0" t="inlineStr">
        <is>
          <t>F128</t>
        </is>
      </c>
      <c r="D820" s="0" t="n">
        <v>2.86723709</v>
      </c>
    </row>
    <row r="821">
      <c r="A821" s="0" t="inlineStr">
        <is>
          <t>SIFT1M</t>
        </is>
      </c>
      <c r="B821" s="0" t="inlineStr">
        <is>
          <t>G116</t>
        </is>
      </c>
      <c r="C821" s="0" t="inlineStr">
        <is>
          <t>G128</t>
        </is>
      </c>
      <c r="D821" s="0" t="n">
        <v>2.82147357</v>
      </c>
    </row>
    <row r="822">
      <c r="A822" s="0" t="inlineStr">
        <is>
          <t>SIFT1M</t>
        </is>
      </c>
      <c r="B822" s="0" t="inlineStr">
        <is>
          <t>H116</t>
        </is>
      </c>
      <c r="C822" s="0" t="inlineStr">
        <is>
          <t>H128</t>
        </is>
      </c>
      <c r="D822" s="0" t="n">
        <v>2.86063496666667</v>
      </c>
    </row>
    <row r="823">
      <c r="A823" s="0" t="inlineStr">
        <is>
          <t>SIFT1M</t>
        </is>
      </c>
      <c r="B823" s="0" t="inlineStr">
        <is>
          <t>I116</t>
        </is>
      </c>
      <c r="C823" s="0" t="inlineStr">
        <is>
          <t>I128</t>
        </is>
      </c>
      <c r="D823" s="0" t="n">
        <v>2.84033417333333</v>
      </c>
    </row>
    <row r="824">
      <c r="A824" s="0" t="inlineStr">
        <is>
          <t>SIFT1M</t>
        </is>
      </c>
      <c r="B824" s="0" t="inlineStr">
        <is>
          <t>J116</t>
        </is>
      </c>
      <c r="C824" s="0" t="inlineStr">
        <is>
          <t>J128</t>
        </is>
      </c>
      <c r="D824" s="0" t="n">
        <v>2.91575918</v>
      </c>
    </row>
    <row r="825">
      <c r="A825" s="0" t="inlineStr">
        <is>
          <t>SIFT1M</t>
        </is>
      </c>
      <c r="B825" s="0" t="inlineStr">
        <is>
          <t>K116</t>
        </is>
      </c>
      <c r="C825" s="0" t="inlineStr">
        <is>
          <t>K128</t>
        </is>
      </c>
      <c r="D825" s="0" t="n">
        <v>2.94490975</v>
      </c>
    </row>
    <row r="826">
      <c r="A826" s="0" t="inlineStr">
        <is>
          <t>SIFT1M</t>
        </is>
      </c>
      <c r="B826" s="0" t="inlineStr">
        <is>
          <t>D117</t>
        </is>
      </c>
      <c r="C826" s="0" t="inlineStr">
        <is>
          <t>D129</t>
        </is>
      </c>
      <c r="D826" s="0" t="inlineStr">
        <is>
          <t>Ours</t>
        </is>
      </c>
    </row>
    <row r="827">
      <c r="A827" s="0" t="inlineStr">
        <is>
          <t>SIFT1M</t>
        </is>
      </c>
      <c r="B827" s="0" t="inlineStr">
        <is>
          <t>F117</t>
        </is>
      </c>
      <c r="C827" s="0" t="inlineStr">
        <is>
          <t>F129</t>
        </is>
      </c>
      <c r="D827" s="0" t="n">
        <v>1.92241361333333</v>
      </c>
    </row>
    <row r="828">
      <c r="A828" s="0" t="inlineStr">
        <is>
          <t>SIFT1M</t>
        </is>
      </c>
      <c r="B828" s="0" t="inlineStr">
        <is>
          <t>G117</t>
        </is>
      </c>
      <c r="C828" s="0" t="inlineStr">
        <is>
          <t>G129</t>
        </is>
      </c>
      <c r="D828" s="0" t="n">
        <v>2.18742684666667</v>
      </c>
    </row>
    <row r="829">
      <c r="A829" s="0" t="inlineStr">
        <is>
          <t>SIFT1M</t>
        </is>
      </c>
      <c r="B829" s="0" t="inlineStr">
        <is>
          <t>H117</t>
        </is>
      </c>
      <c r="C829" s="0" t="inlineStr">
        <is>
          <t>H129</t>
        </is>
      </c>
      <c r="D829" s="0" t="n">
        <v>2.37117783666667</v>
      </c>
    </row>
    <row r="830">
      <c r="A830" s="0" t="inlineStr">
        <is>
          <t>SIFT1M</t>
        </is>
      </c>
      <c r="B830" s="0" t="inlineStr">
        <is>
          <t>I117</t>
        </is>
      </c>
      <c r="C830" s="0" t="inlineStr">
        <is>
          <t>I129</t>
        </is>
      </c>
      <c r="D830" s="0" t="n">
        <v>2.65065829333333</v>
      </c>
    </row>
    <row r="831">
      <c r="A831" s="0" t="inlineStr">
        <is>
          <t>SIFT1M</t>
        </is>
      </c>
      <c r="B831" s="0" t="inlineStr">
        <is>
          <t>J117</t>
        </is>
      </c>
      <c r="C831" s="0" t="inlineStr">
        <is>
          <t>J129</t>
        </is>
      </c>
      <c r="D831" s="0" t="n">
        <v>3.08604256666667</v>
      </c>
    </row>
    <row r="832">
      <c r="A832" s="0" t="inlineStr">
        <is>
          <t>SIFT1M</t>
        </is>
      </c>
      <c r="B832" s="0" t="inlineStr">
        <is>
          <t>K117</t>
        </is>
      </c>
      <c r="C832" s="0" t="inlineStr">
        <is>
          <t>K129</t>
        </is>
      </c>
      <c r="D832" s="0" t="n">
        <v>3.60933811</v>
      </c>
    </row>
    <row r="833">
      <c r="A833" s="0" t="inlineStr">
        <is>
          <t>SIFT1M</t>
        </is>
      </c>
      <c r="B833" s="0" t="inlineStr">
        <is>
          <t>D118</t>
        </is>
      </c>
      <c r="C833" s="0" t="inlineStr">
        <is>
          <t>D130</t>
        </is>
      </c>
      <c r="D833" s="0" t="inlineStr">
        <is>
          <t>V3DB（单次）</t>
        </is>
      </c>
    </row>
    <row r="834">
      <c r="A834" s="0" t="inlineStr">
        <is>
          <t>SIFT1M</t>
        </is>
      </c>
      <c r="B834" s="0" t="inlineStr">
        <is>
          <t>F118</t>
        </is>
      </c>
      <c r="C834" s="0" t="inlineStr">
        <is>
          <t>F130</t>
        </is>
      </c>
      <c r="D834" s="0" t="n">
        <v>490868.017647</v>
      </c>
    </row>
    <row r="835">
      <c r="A835" s="0" t="inlineStr">
        <is>
          <t>SIFT1M</t>
        </is>
      </c>
      <c r="B835" s="0" t="inlineStr">
        <is>
          <t>G118</t>
        </is>
      </c>
      <c r="C835" s="0" t="inlineStr">
        <is>
          <t>G130</t>
        </is>
      </c>
      <c r="D835" s="0" t="n">
        <v>490562.607889</v>
      </c>
    </row>
    <row r="836">
      <c r="A836" s="0" t="inlineStr">
        <is>
          <t>SIFT1M</t>
        </is>
      </c>
      <c r="B836" s="0" t="inlineStr">
        <is>
          <t>H118</t>
        </is>
      </c>
      <c r="C836" s="0" t="inlineStr">
        <is>
          <t>H130</t>
        </is>
      </c>
      <c r="D836" s="0" t="n">
        <v>517760.920454</v>
      </c>
    </row>
    <row r="837">
      <c r="A837" s="0" t="inlineStr">
        <is>
          <t>SIFT1M</t>
        </is>
      </c>
      <c r="B837" s="0" t="inlineStr">
        <is>
          <t>I118</t>
        </is>
      </c>
      <c r="C837" s="0" t="inlineStr">
        <is>
          <t>I130</t>
        </is>
      </c>
      <c r="D837" s="0" t="n">
        <v>490514.609756</v>
      </c>
    </row>
    <row r="838">
      <c r="A838" s="0" t="inlineStr">
        <is>
          <t>SIFT1M</t>
        </is>
      </c>
      <c r="B838" s="0" t="inlineStr">
        <is>
          <t>J118</t>
        </is>
      </c>
      <c r="C838" s="0" t="inlineStr">
        <is>
          <t>J130</t>
        </is>
      </c>
      <c r="D838" s="0" t="n">
        <v>489702.042629</v>
      </c>
    </row>
    <row r="839">
      <c r="A839" s="0" t="inlineStr">
        <is>
          <t>SIFT1M</t>
        </is>
      </c>
      <c r="B839" s="0" t="inlineStr">
        <is>
          <t>K118</t>
        </is>
      </c>
      <c r="C839" s="0" t="inlineStr">
        <is>
          <t>K130</t>
        </is>
      </c>
      <c r="D839" s="0" t="n">
        <v>490610.642995</v>
      </c>
    </row>
    <row r="840">
      <c r="A840" s="0" t="inlineStr">
        <is>
          <t>SIFT1M</t>
        </is>
      </c>
      <c r="B840" s="0" t="inlineStr">
        <is>
          <t>D124</t>
        </is>
      </c>
      <c r="C840" s="0" t="inlineStr">
        <is>
          <t>D137</t>
        </is>
      </c>
      <c r="D840" s="0" t="inlineStr">
        <is>
          <t>Ablation Study 
（Ours: (i)progressive quantization, 
(ii) verification-decoupled traversal, 
(iii) expansion-centric authentication.）</t>
        </is>
      </c>
    </row>
    <row r="841">
      <c r="A841" s="0" t="inlineStr">
        <is>
          <t>SIFT1M</t>
        </is>
      </c>
      <c r="B841" s="0" t="inlineStr">
        <is>
          <t>D128</t>
        </is>
      </c>
      <c r="C841" s="0" t="inlineStr">
        <is>
          <t>D141</t>
        </is>
      </c>
    </row>
    <row r="842">
      <c r="A842" s="0" t="inlineStr">
        <is>
          <t>SIFT1M</t>
        </is>
      </c>
      <c r="B842" s="0" t="inlineStr">
        <is>
          <t>F128</t>
        </is>
      </c>
      <c r="C842" s="0" t="inlineStr">
        <is>
          <t>F141</t>
        </is>
      </c>
      <c r="D842" s="0" t="inlineStr">
        <is>
          <t>Recall@10</t>
        </is>
      </c>
    </row>
    <row r="843">
      <c r="A843" s="0" t="inlineStr">
        <is>
          <t>SIFT1M</t>
        </is>
      </c>
      <c r="B843" s="0" t="inlineStr">
        <is>
          <t>G128</t>
        </is>
      </c>
      <c r="C843" s="0" t="inlineStr">
        <is>
          <t>G141</t>
        </is>
      </c>
      <c r="D843" s="0" t="inlineStr">
        <is>
          <t>Query Time (ms)</t>
        </is>
      </c>
    </row>
    <row r="844">
      <c r="A844" s="0" t="inlineStr">
        <is>
          <t>SIFT1M</t>
        </is>
      </c>
      <c r="B844" s="0" t="inlineStr">
        <is>
          <t>H128</t>
        </is>
      </c>
      <c r="C844" s="0" t="inlineStr">
        <is>
          <t>H141</t>
        </is>
      </c>
      <c r="D844" s="0" t="inlineStr">
        <is>
          <t>VO Size (KB)</t>
        </is>
      </c>
    </row>
    <row r="845">
      <c r="A845" s="0" t="inlineStr">
        <is>
          <t>SIFT1M</t>
        </is>
      </c>
      <c r="B845" s="0" t="inlineStr">
        <is>
          <t>I128</t>
        </is>
      </c>
      <c r="C845" s="0" t="inlineStr">
        <is>
          <t>I141</t>
        </is>
      </c>
      <c r="D845" s="0" t="inlineStr">
        <is>
          <t>Verify Time (ms)</t>
        </is>
      </c>
    </row>
    <row r="846">
      <c r="A846" s="0" t="inlineStr">
        <is>
          <t>SIFT1M</t>
        </is>
      </c>
      <c r="B846" s="0" t="inlineStr">
        <is>
          <t>D129</t>
        </is>
      </c>
      <c r="C846" s="0" t="inlineStr">
        <is>
          <t>D142</t>
        </is>
      </c>
      <c r="D846" s="0" t="inlineStr">
        <is>
          <t>Merkle+IVF</t>
        </is>
      </c>
    </row>
    <row r="847">
      <c r="A847" s="0" t="inlineStr">
        <is>
          <t>SIFT1M</t>
        </is>
      </c>
      <c r="B847" s="0" t="inlineStr">
        <is>
          <t>F129</t>
        </is>
      </c>
      <c r="C847" s="0" t="inlineStr">
        <is>
          <t>F142</t>
        </is>
      </c>
      <c r="D847" s="0" t="n">
        <v>0.95</v>
      </c>
    </row>
    <row r="848">
      <c r="A848" s="0" t="inlineStr">
        <is>
          <t>SIFT1M</t>
        </is>
      </c>
      <c r="B848" s="0" t="inlineStr">
        <is>
          <t>G129</t>
        </is>
      </c>
      <c r="C848" s="0" t="inlineStr">
        <is>
          <t>G142</t>
        </is>
      </c>
      <c r="D848" s="0" t="n">
        <v>128.915429933333</v>
      </c>
    </row>
    <row r="849">
      <c r="A849" s="0" t="inlineStr">
        <is>
          <t>SIFT1M</t>
        </is>
      </c>
      <c r="B849" s="0" t="inlineStr">
        <is>
          <t>H129</t>
        </is>
      </c>
      <c r="C849" s="0" t="inlineStr">
        <is>
          <t>H142</t>
        </is>
      </c>
      <c r="D849" s="0" t="n">
        <v>24691.9808</v>
      </c>
    </row>
    <row r="850">
      <c r="A850" s="0" t="inlineStr">
        <is>
          <t>SIFT1M</t>
        </is>
      </c>
      <c r="B850" s="0" t="inlineStr">
        <is>
          <t>I129</t>
        </is>
      </c>
      <c r="C850" s="0" t="inlineStr">
        <is>
          <t>I142</t>
        </is>
      </c>
      <c r="D850" s="0" t="n">
        <v>266.394078916667</v>
      </c>
    </row>
    <row r="851">
      <c r="A851" s="0" t="inlineStr">
        <is>
          <t>SIFT1M</t>
        </is>
      </c>
      <c r="B851" s="0" t="inlineStr">
        <is>
          <t>D130</t>
        </is>
      </c>
      <c r="C851" s="0" t="inlineStr">
        <is>
          <t>D143</t>
        </is>
      </c>
      <c r="D851" s="0" t="inlineStr">
        <is>
          <t>Merkle+HNSW</t>
        </is>
      </c>
    </row>
    <row r="852">
      <c r="A852" s="0" t="inlineStr">
        <is>
          <t>SIFT1M</t>
        </is>
      </c>
      <c r="B852" s="0" t="inlineStr">
        <is>
          <t>F130</t>
        </is>
      </c>
      <c r="C852" s="0" t="inlineStr">
        <is>
          <t>F143</t>
        </is>
      </c>
      <c r="D852" s="0" t="n">
        <v>0.95</v>
      </c>
    </row>
    <row r="853">
      <c r="A853" s="0" t="inlineStr">
        <is>
          <t>SIFT1M</t>
        </is>
      </c>
      <c r="B853" s="0" t="inlineStr">
        <is>
          <t>G130</t>
        </is>
      </c>
      <c r="C853" s="0" t="inlineStr">
        <is>
          <t>G143</t>
        </is>
      </c>
      <c r="D853" s="0" t="n">
        <v>2.85575916666667</v>
      </c>
    </row>
    <row r="854">
      <c r="A854" s="0" t="inlineStr">
        <is>
          <t>SIFT1M</t>
        </is>
      </c>
      <c r="B854" s="0" t="inlineStr">
        <is>
          <t>H130</t>
        </is>
      </c>
      <c r="C854" s="0" t="inlineStr">
        <is>
          <t>H143</t>
        </is>
      </c>
      <c r="D854" s="0" t="n">
        <v>569.4453999999999</v>
      </c>
    </row>
    <row r="855">
      <c r="A855" s="0" t="inlineStr">
        <is>
          <t>SIFT1M</t>
        </is>
      </c>
      <c r="B855" s="0" t="inlineStr">
        <is>
          <t>I130</t>
        </is>
      </c>
      <c r="C855" s="0" t="inlineStr">
        <is>
          <t>I143</t>
        </is>
      </c>
      <c r="D855" s="0" t="n">
        <v>5.31483396666667</v>
      </c>
    </row>
    <row r="856">
      <c r="A856" s="0" t="inlineStr">
        <is>
          <t>SIFT1M</t>
        </is>
      </c>
      <c r="B856" s="0" t="inlineStr">
        <is>
          <t>D131</t>
        </is>
      </c>
      <c r="C856" s="0" t="inlineStr">
        <is>
          <t>D144</t>
        </is>
      </c>
      <c r="D856" s="0" t="inlineStr">
        <is>
          <t>Merkle+IVF+(i)</t>
        </is>
      </c>
    </row>
    <row r="857">
      <c r="A857" s="0" t="inlineStr">
        <is>
          <t>SIFT1M</t>
        </is>
      </c>
      <c r="B857" s="0" t="inlineStr">
        <is>
          <t>F131</t>
        </is>
      </c>
      <c r="C857" s="0" t="inlineStr">
        <is>
          <t>F144</t>
        </is>
      </c>
      <c r="D857" s="0" t="n">
        <v>0.95</v>
      </c>
    </row>
    <row r="858">
      <c r="A858" s="0" t="inlineStr">
        <is>
          <t>SIFT1M</t>
        </is>
      </c>
      <c r="B858" s="0" t="inlineStr">
        <is>
          <t>G131</t>
        </is>
      </c>
      <c r="C858" s="0" t="inlineStr">
        <is>
          <t>G144</t>
        </is>
      </c>
      <c r="D858" s="0" t="n">
        <v>47.63649185</v>
      </c>
    </row>
    <row r="859">
      <c r="A859" s="0" t="inlineStr">
        <is>
          <t>SIFT1M</t>
        </is>
      </c>
      <c r="B859" s="0" t="inlineStr">
        <is>
          <t>H131</t>
        </is>
      </c>
      <c r="C859" s="0" t="inlineStr">
        <is>
          <t>H144</t>
        </is>
      </c>
      <c r="D859" s="0" t="n">
        <v>8019.3744</v>
      </c>
    </row>
    <row r="860">
      <c r="A860" s="0" t="inlineStr">
        <is>
          <t>SIFT1M</t>
        </is>
      </c>
      <c r="B860" s="0" t="inlineStr">
        <is>
          <t>I131</t>
        </is>
      </c>
      <c r="C860" s="0" t="inlineStr">
        <is>
          <t>I144</t>
        </is>
      </c>
      <c r="D860" s="0" t="n">
        <v>241.216355</v>
      </c>
    </row>
    <row r="861">
      <c r="A861" s="0" t="inlineStr">
        <is>
          <t>SIFT1M</t>
        </is>
      </c>
      <c r="B861" s="0" t="inlineStr">
        <is>
          <t>D132</t>
        </is>
      </c>
      <c r="C861" s="0" t="inlineStr">
        <is>
          <t>D145</t>
        </is>
      </c>
      <c r="D861" s="0" t="inlineStr">
        <is>
          <t>Merkle+HNSW+(i)</t>
        </is>
      </c>
    </row>
    <row r="862">
      <c r="A862" s="0" t="inlineStr">
        <is>
          <t>SIFT1M</t>
        </is>
      </c>
      <c r="B862" s="0" t="inlineStr">
        <is>
          <t>F132</t>
        </is>
      </c>
      <c r="C862" s="0" t="inlineStr">
        <is>
          <t>F145</t>
        </is>
      </c>
      <c r="D862" s="0" t="n">
        <v>0.95</v>
      </c>
    </row>
    <row r="863">
      <c r="A863" s="0" t="inlineStr">
        <is>
          <t>SIFT1M</t>
        </is>
      </c>
      <c r="B863" s="0" t="inlineStr">
        <is>
          <t>G132</t>
        </is>
      </c>
      <c r="C863" s="0" t="inlineStr">
        <is>
          <t>G145</t>
        </is>
      </c>
      <c r="D863" s="0" t="n">
        <v>2.62924433333333</v>
      </c>
    </row>
    <row r="864">
      <c r="A864" s="0" t="inlineStr">
        <is>
          <t>SIFT1M</t>
        </is>
      </c>
      <c r="B864" s="0" t="inlineStr">
        <is>
          <t>H132</t>
        </is>
      </c>
      <c r="C864" s="0" t="inlineStr">
        <is>
          <t>H145</t>
        </is>
      </c>
      <c r="D864" s="0" t="n">
        <v>478.7218</v>
      </c>
    </row>
    <row r="865">
      <c r="A865" s="0" t="inlineStr">
        <is>
          <t>SIFT1M</t>
        </is>
      </c>
      <c r="B865" s="0" t="inlineStr">
        <is>
          <t>I132</t>
        </is>
      </c>
      <c r="C865" s="0" t="inlineStr">
        <is>
          <t>I145</t>
        </is>
      </c>
      <c r="D865" s="0" t="n">
        <v>8.34040406666667</v>
      </c>
    </row>
    <row r="866">
      <c r="A866" s="0" t="inlineStr">
        <is>
          <t>SIFT1M</t>
        </is>
      </c>
      <c r="B866" s="0" t="inlineStr">
        <is>
          <t>D133</t>
        </is>
      </c>
      <c r="C866" s="0" t="inlineStr">
        <is>
          <t>D146</t>
        </is>
      </c>
      <c r="D866" s="0" t="inlineStr">
        <is>
          <t>(i)+(ii)</t>
        </is>
      </c>
    </row>
    <row r="867">
      <c r="A867" s="0" t="inlineStr">
        <is>
          <t>SIFT1M</t>
        </is>
      </c>
      <c r="B867" s="0" t="inlineStr">
        <is>
          <t>F133</t>
        </is>
      </c>
      <c r="C867" s="0" t="inlineStr">
        <is>
          <t>F146</t>
        </is>
      </c>
      <c r="D867" s="0" t="n">
        <v>0.955</v>
      </c>
    </row>
    <row r="868">
      <c r="A868" s="0" t="inlineStr">
        <is>
          <t>SIFT1M</t>
        </is>
      </c>
      <c r="B868" s="0" t="inlineStr">
        <is>
          <t>G133</t>
        </is>
      </c>
      <c r="C868" s="0" t="inlineStr">
        <is>
          <t>G146</t>
        </is>
      </c>
      <c r="D868" s="0" t="n">
        <v>2.03924105</v>
      </c>
    </row>
    <row r="869">
      <c r="A869" s="0" t="inlineStr">
        <is>
          <t>SIFT1M</t>
        </is>
      </c>
      <c r="B869" s="0" t="inlineStr">
        <is>
          <t>H133</t>
        </is>
      </c>
      <c r="C869" s="0" t="inlineStr">
        <is>
          <t>H146</t>
        </is>
      </c>
      <c r="D869" s="0" t="n">
        <v>289.8754</v>
      </c>
    </row>
    <row r="870">
      <c r="A870" s="0" t="inlineStr">
        <is>
          <t>SIFT1M</t>
        </is>
      </c>
      <c r="B870" s="0" t="inlineStr">
        <is>
          <t>I133</t>
        </is>
      </c>
      <c r="C870" s="0" t="inlineStr">
        <is>
          <t>I146</t>
        </is>
      </c>
      <c r="D870" s="0" t="n">
        <v>5.5222121</v>
      </c>
    </row>
    <row r="871">
      <c r="A871" s="0" t="inlineStr">
        <is>
          <t>SIFT1M</t>
        </is>
      </c>
      <c r="B871" s="0" t="inlineStr">
        <is>
          <t>D134</t>
        </is>
      </c>
      <c r="C871" s="0" t="inlineStr">
        <is>
          <t>D147</t>
        </is>
      </c>
      <c r="D871" s="0" t="inlineStr">
        <is>
          <t>(i)+(ii)+(iii)</t>
        </is>
      </c>
    </row>
    <row r="872">
      <c r="A872" s="0" t="inlineStr">
        <is>
          <t>SIFT1M</t>
        </is>
      </c>
      <c r="B872" s="0" t="inlineStr">
        <is>
          <t>F134</t>
        </is>
      </c>
      <c r="C872" s="0" t="inlineStr">
        <is>
          <t>F147</t>
        </is>
      </c>
      <c r="D872" s="0" t="n">
        <v>0.955</v>
      </c>
    </row>
    <row r="873">
      <c r="A873" s="0" t="inlineStr">
        <is>
          <t>SIFT1M</t>
        </is>
      </c>
      <c r="B873" s="0" t="inlineStr">
        <is>
          <t>G134</t>
        </is>
      </c>
      <c r="C873" s="0" t="inlineStr">
        <is>
          <t>G147</t>
        </is>
      </c>
      <c r="D873" s="0" t="n">
        <v>1.07583855</v>
      </c>
    </row>
    <row r="874">
      <c r="A874" s="0" t="inlineStr">
        <is>
          <t>SIFT1M</t>
        </is>
      </c>
      <c r="B874" s="0" t="inlineStr">
        <is>
          <t>H134</t>
        </is>
      </c>
      <c r="C874" s="0" t="inlineStr">
        <is>
          <t>H147</t>
        </is>
      </c>
      <c r="D874" s="0" t="n">
        <v>112.369</v>
      </c>
    </row>
    <row r="875">
      <c r="A875" s="0" t="inlineStr">
        <is>
          <t>SIFT1M</t>
        </is>
      </c>
      <c r="B875" s="0" t="inlineStr">
        <is>
          <t>I134</t>
        </is>
      </c>
      <c r="C875" s="0" t="inlineStr">
        <is>
          <t>I147</t>
        </is>
      </c>
      <c r="D875" s="0" t="n">
        <v>2.1509119</v>
      </c>
    </row>
    <row r="876">
      <c r="A876" s="0" t="inlineStr">
        <is>
          <t>SIFT1M</t>
        </is>
      </c>
      <c r="B876" s="0" t="inlineStr">
        <is>
          <t>D135</t>
        </is>
      </c>
      <c r="C876" s="0" t="inlineStr">
        <is>
          <t>D148</t>
        </is>
      </c>
      <c r="D876" s="0" t="inlineStr">
        <is>
          <t>V3DB baseline（单次）</t>
        </is>
      </c>
    </row>
    <row r="877">
      <c r="A877" s="0" t="inlineStr">
        <is>
          <t>SIFT1M</t>
        </is>
      </c>
      <c r="B877" s="0" t="inlineStr">
        <is>
          <t>F135</t>
        </is>
      </c>
      <c r="C877" s="0" t="inlineStr">
        <is>
          <t>F148</t>
        </is>
      </c>
      <c r="D877" s="0" t="n">
        <v>0.705</v>
      </c>
    </row>
    <row r="878">
      <c r="A878" s="0" t="inlineStr">
        <is>
          <t>SIFT1M</t>
        </is>
      </c>
      <c r="B878" s="0" t="inlineStr">
        <is>
          <t>G135</t>
        </is>
      </c>
      <c r="C878" s="0" t="inlineStr">
        <is>
          <t>G148</t>
        </is>
      </c>
      <c r="D878" s="0" t="n">
        <v>517760.920454</v>
      </c>
    </row>
    <row r="879">
      <c r="A879" s="0" t="inlineStr">
        <is>
          <t>SIFT1M</t>
        </is>
      </c>
      <c r="B879" s="0" t="inlineStr">
        <is>
          <t>H135</t>
        </is>
      </c>
      <c r="C879" s="0" t="inlineStr">
        <is>
          <t>H148</t>
        </is>
      </c>
      <c r="D879" s="0" t="n">
        <v>235.675</v>
      </c>
    </row>
    <row r="880">
      <c r="A880" s="0" t="inlineStr">
        <is>
          <t>SIFT1M</t>
        </is>
      </c>
      <c r="B880" s="0" t="inlineStr">
        <is>
          <t>I135</t>
        </is>
      </c>
      <c r="C880" s="0" t="inlineStr">
        <is>
          <t>I148</t>
        </is>
      </c>
      <c r="D880" s="0" t="n">
        <v>71.0790379998798</v>
      </c>
    </row>
    <row r="881">
      <c r="A881" s="0" t="inlineStr">
        <is>
          <t>NYTimes-256</t>
        </is>
      </c>
      <c r="B881" s="0" t="inlineStr">
        <is>
          <t>A1</t>
        </is>
      </c>
      <c r="C881" s="0" t="inlineStr">
        <is>
          <t>A1</t>
        </is>
      </c>
      <c r="D881" s="0" t="inlineStr">
        <is>
          <t>All query time includes the vo generation time</t>
        </is>
      </c>
    </row>
    <row r="882">
      <c r="A882" s="0" t="inlineStr">
        <is>
          <t>NYTimes-256</t>
        </is>
      </c>
      <c r="B882" s="0" t="inlineStr">
        <is>
          <t>A3</t>
        </is>
      </c>
      <c r="C882" s="0" t="inlineStr">
        <is>
          <t>A3</t>
        </is>
      </c>
      <c r="D882" s="0" t="inlineStr">
        <is>
          <t>Query/verify time: ms; VO: KB (1000 bytes); recall: %; Query Time includes VO generation.</t>
        </is>
      </c>
    </row>
    <row r="883">
      <c r="A883" s="0" t="inlineStr">
        <is>
          <t>NYTimes-256</t>
        </is>
      </c>
      <c r="B883" s="0" t="inlineStr">
        <is>
          <t>A4</t>
        </is>
      </c>
      <c r="C883" s="0" t="inlineStr">
        <is>
          <t>A4</t>
        </is>
      </c>
      <c r="D883" s="0" t="inlineStr">
        <is>
          <t>VLAH、ANNProof、Ours维持原默认约95%召回率及原实测数据。只有V3DB采用本机可运行的低Recall@10默认配置。低召回率扩展仅用于Recall@10曲线；不同默认召回率不视为等质量比较。
橙色*为512GiB单线程条件预测，†为既有20查询搜索校准召回；不是512GiB机器实测。超规划内存/无校准依据的缺项留空，见V3DB512GiB说明。</t>
        </is>
      </c>
    </row>
    <row r="884">
      <c r="A884" s="0" t="inlineStr">
        <is>
          <t>NYTimes-256</t>
        </is>
      </c>
      <c r="B884" s="0" t="inlineStr">
        <is>
          <t>E5</t>
        </is>
      </c>
      <c r="C884" s="0" t="inlineStr">
        <is>
          <t>E5</t>
        </is>
      </c>
      <c r="D884" s="0" t="inlineStr">
        <is>
          <t>Overall Table</t>
        </is>
      </c>
    </row>
    <row r="885">
      <c r="A885" s="0" t="inlineStr">
        <is>
          <t>NYTimes-256</t>
        </is>
      </c>
      <c r="B885" s="0" t="inlineStr">
        <is>
          <t>D7</t>
        </is>
      </c>
      <c r="C885" s="0" t="inlineStr">
        <is>
          <t>D7</t>
        </is>
      </c>
      <c r="D885" s="0" t="inlineStr">
        <is>
          <t>NYTimes-256 (N=289,761, d=256)</t>
        </is>
      </c>
    </row>
    <row r="886">
      <c r="A886" s="0" t="inlineStr">
        <is>
          <t>NYTimes-256</t>
        </is>
      </c>
      <c r="B886" s="0" t="inlineStr">
        <is>
          <t>I7</t>
        </is>
      </c>
      <c r="C886" s="0" t="inlineStr">
        <is>
          <t>I7</t>
        </is>
      </c>
    </row>
    <row r="887">
      <c r="A887" s="0" t="inlineStr">
        <is>
          <t>NYTimes-256</t>
        </is>
      </c>
      <c r="B887" s="0" t="inlineStr">
        <is>
          <t>J7</t>
        </is>
      </c>
      <c r="C887" s="0" t="inlineStr">
        <is>
          <t>J7</t>
        </is>
      </c>
    </row>
    <row r="888">
      <c r="A888" s="0" t="inlineStr">
        <is>
          <t>NYTimes-256</t>
        </is>
      </c>
      <c r="B888" s="0" t="inlineStr">
        <is>
          <t>D8</t>
        </is>
      </c>
      <c r="C888" s="0" t="inlineStr">
        <is>
          <t>D8</t>
        </is>
      </c>
      <c r="D888" s="0" t="inlineStr">
        <is>
          <t xml:space="preserve">Method </t>
        </is>
      </c>
    </row>
    <row r="889">
      <c r="A889" s="0" t="inlineStr">
        <is>
          <t>NYTimes-256</t>
        </is>
      </c>
      <c r="B889" s="0" t="inlineStr">
        <is>
          <t>E8</t>
        </is>
      </c>
      <c r="C889" s="0" t="inlineStr">
        <is>
          <t>E8</t>
        </is>
      </c>
      <c r="D889" s="0" t="inlineStr">
        <is>
          <t>Recall@10</t>
        </is>
      </c>
    </row>
    <row r="890">
      <c r="A890" s="0" t="inlineStr">
        <is>
          <t>NYTimes-256</t>
        </is>
      </c>
      <c r="B890" s="0" t="inlineStr">
        <is>
          <t>F8</t>
        </is>
      </c>
      <c r="C890" s="0" t="inlineStr">
        <is>
          <t>F8</t>
        </is>
      </c>
      <c r="D890" s="0" t="inlineStr">
        <is>
          <t>Query Time</t>
        </is>
      </c>
    </row>
    <row r="891">
      <c r="A891" s="0" t="inlineStr">
        <is>
          <t>NYTimes-256</t>
        </is>
      </c>
      <c r="B891" s="0" t="inlineStr">
        <is>
          <t>G8</t>
        </is>
      </c>
      <c r="C891" s="0" t="inlineStr">
        <is>
          <t>G8</t>
        </is>
      </c>
      <c r="D891" s="0" t="inlineStr">
        <is>
          <t>VO Size</t>
        </is>
      </c>
    </row>
    <row r="892">
      <c r="A892" s="0" t="inlineStr">
        <is>
          <t>NYTimes-256</t>
        </is>
      </c>
      <c r="B892" s="0" t="inlineStr">
        <is>
          <t>H8</t>
        </is>
      </c>
      <c r="C892" s="0" t="inlineStr">
        <is>
          <t>H8</t>
        </is>
      </c>
      <c r="D892" s="0" t="inlineStr">
        <is>
          <t>Verify Time</t>
        </is>
      </c>
    </row>
    <row r="893">
      <c r="A893" s="0" t="inlineStr">
        <is>
          <t>NYTimes-256</t>
        </is>
      </c>
      <c r="B893" s="0" t="inlineStr">
        <is>
          <t>I8</t>
        </is>
      </c>
      <c r="C893" s="0" t="inlineStr">
        <is>
          <t>I8</t>
        </is>
      </c>
      <c r="D893" s="0" t="inlineStr">
        <is>
          <t>Index Size (MB)</t>
        </is>
      </c>
    </row>
    <row r="894">
      <c r="A894" s="0" t="inlineStr">
        <is>
          <t>NYTimes-256</t>
        </is>
      </c>
      <c r="B894" s="0" t="inlineStr">
        <is>
          <t>J8</t>
        </is>
      </c>
      <c r="C894" s="0" t="inlineStr">
        <is>
          <t>J8</t>
        </is>
      </c>
      <c r="D894" s="0" t="inlineStr">
        <is>
          <t>Index Construct Time (s)</t>
        </is>
      </c>
    </row>
    <row r="895">
      <c r="A895" s="0" t="inlineStr">
        <is>
          <t>NYTimes-256</t>
        </is>
      </c>
      <c r="B895" s="0" t="inlineStr">
        <is>
          <t>D9</t>
        </is>
      </c>
      <c r="C895" s="0" t="inlineStr">
        <is>
          <t>D9</t>
        </is>
      </c>
      <c r="D895" s="0" t="inlineStr">
        <is>
          <t>VLAH</t>
        </is>
      </c>
    </row>
    <row r="896">
      <c r="A896" s="0" t="inlineStr">
        <is>
          <t>NYTimes-256</t>
        </is>
      </c>
      <c r="B896" s="0" t="inlineStr">
        <is>
          <t>E9</t>
        </is>
      </c>
      <c r="C896" s="0" t="inlineStr">
        <is>
          <t>E9</t>
        </is>
      </c>
      <c r="D896" s="0" t="n">
        <v>96</v>
      </c>
    </row>
    <row r="897">
      <c r="A897" s="0" t="inlineStr">
        <is>
          <t>NYTimes-256</t>
        </is>
      </c>
      <c r="B897" s="0" t="inlineStr">
        <is>
          <t>F9</t>
        </is>
      </c>
      <c r="C897" s="0" t="inlineStr">
        <is>
          <t>F9</t>
        </is>
      </c>
      <c r="D897" s="0" t="n">
        <v>295.928621983333</v>
      </c>
    </row>
    <row r="898">
      <c r="A898" s="0" t="inlineStr">
        <is>
          <t>NYTimes-256</t>
        </is>
      </c>
      <c r="B898" s="0" t="inlineStr">
        <is>
          <t>G9</t>
        </is>
      </c>
      <c r="C898" s="0" t="inlineStr">
        <is>
          <t>G9</t>
        </is>
      </c>
      <c r="D898" s="0" t="n">
        <v>135488.6228</v>
      </c>
    </row>
    <row r="899">
      <c r="A899" s="0" t="inlineStr">
        <is>
          <t>NYTimes-256</t>
        </is>
      </c>
      <c r="B899" s="0" t="inlineStr">
        <is>
          <t>H9</t>
        </is>
      </c>
      <c r="C899" s="0" t="inlineStr">
        <is>
          <t>H9</t>
        </is>
      </c>
      <c r="D899" s="0" t="n">
        <v>556.644589733333</v>
      </c>
    </row>
    <row r="900">
      <c r="A900" s="0" t="inlineStr">
        <is>
          <t>NYTimes-256</t>
        </is>
      </c>
      <c r="B900" s="0" t="inlineStr">
        <is>
          <t>I9</t>
        </is>
      </c>
      <c r="C900" s="0" t="inlineStr">
        <is>
          <t>I9</t>
        </is>
      </c>
      <c r="D900" s="0" t="n">
        <v>409.781504</v>
      </c>
    </row>
    <row r="901">
      <c r="A901" s="0" t="inlineStr">
        <is>
          <t>NYTimes-256</t>
        </is>
      </c>
      <c r="B901" s="0" t="inlineStr">
        <is>
          <t>J9</t>
        </is>
      </c>
      <c r="C901" s="0" t="inlineStr">
        <is>
          <t>J9</t>
        </is>
      </c>
      <c r="D901" s="0" t="n">
        <v>227.31142857</v>
      </c>
    </row>
    <row r="902">
      <c r="A902" s="0" t="inlineStr">
        <is>
          <t>NYTimes-256</t>
        </is>
      </c>
      <c r="B902" s="0" t="inlineStr">
        <is>
          <t>D10</t>
        </is>
      </c>
      <c r="C902" s="0" t="inlineStr">
        <is>
          <t>D10</t>
        </is>
      </c>
      <c r="D902" s="0" t="inlineStr">
        <is>
          <t>ANNProof</t>
        </is>
      </c>
    </row>
    <row r="903">
      <c r="A903" s="0" t="inlineStr">
        <is>
          <t>NYTimes-256</t>
        </is>
      </c>
      <c r="B903" s="0" t="inlineStr">
        <is>
          <t>E10</t>
        </is>
      </c>
      <c r="C903" s="0" t="inlineStr">
        <is>
          <t>E10</t>
        </is>
      </c>
      <c r="D903" s="0" t="n">
        <v>96</v>
      </c>
    </row>
    <row r="904">
      <c r="A904" s="0" t="inlineStr">
        <is>
          <t>NYTimes-256</t>
        </is>
      </c>
      <c r="B904" s="0" t="inlineStr">
        <is>
          <t>F10</t>
        </is>
      </c>
      <c r="C904" s="0" t="inlineStr">
        <is>
          <t>F10</t>
        </is>
      </c>
      <c r="D904" s="0" t="n">
        <v>22.3159277666667</v>
      </c>
    </row>
    <row r="905">
      <c r="A905" s="0" t="inlineStr">
        <is>
          <t>NYTimes-256</t>
        </is>
      </c>
      <c r="B905" s="0" t="inlineStr">
        <is>
          <t>G10</t>
        </is>
      </c>
      <c r="C905" s="0" t="inlineStr">
        <is>
          <t>G10</t>
        </is>
      </c>
      <c r="D905" s="0" t="n">
        <v>9647.870999999999</v>
      </c>
    </row>
    <row r="906">
      <c r="A906" s="0" t="inlineStr">
        <is>
          <t>NYTimes-256</t>
        </is>
      </c>
      <c r="B906" s="0" t="inlineStr">
        <is>
          <t>H10</t>
        </is>
      </c>
      <c r="C906" s="0" t="inlineStr">
        <is>
          <t>H10</t>
        </is>
      </c>
      <c r="D906" s="0" t="n">
        <v>86.1523698333333</v>
      </c>
    </row>
    <row r="907">
      <c r="A907" s="0" t="inlineStr">
        <is>
          <t>NYTimes-256</t>
        </is>
      </c>
      <c r="B907" s="0" t="inlineStr">
        <is>
          <t>I10</t>
        </is>
      </c>
      <c r="C907" s="0" t="inlineStr">
        <is>
          <t>I10</t>
        </is>
      </c>
      <c r="D907" s="0" t="n">
        <v>400.544592</v>
      </c>
    </row>
    <row r="908">
      <c r="A908" s="0" t="inlineStr">
        <is>
          <t>NYTimes-256</t>
        </is>
      </c>
      <c r="B908" s="0" t="inlineStr">
        <is>
          <t>J10</t>
        </is>
      </c>
      <c r="C908" s="0" t="inlineStr">
        <is>
          <t>J10</t>
        </is>
      </c>
      <c r="D908" s="0" t="n">
        <v>442.043521594</v>
      </c>
    </row>
    <row r="909">
      <c r="A909" s="0" t="inlineStr">
        <is>
          <t>NYTimes-256</t>
        </is>
      </c>
      <c r="B909" s="0" t="inlineStr">
        <is>
          <t>D11</t>
        </is>
      </c>
      <c r="C909" s="0" t="inlineStr">
        <is>
          <t>D11</t>
        </is>
      </c>
      <c r="D909" s="0" t="inlineStr">
        <is>
          <t>Ours</t>
        </is>
      </c>
    </row>
    <row r="910">
      <c r="A910" s="0" t="inlineStr">
        <is>
          <t>NYTimes-256</t>
        </is>
      </c>
      <c r="B910" s="0" t="inlineStr">
        <is>
          <t>E11</t>
        </is>
      </c>
      <c r="C910" s="0" t="inlineStr">
        <is>
          <t>E11</t>
        </is>
      </c>
      <c r="D910" s="0" t="n">
        <v>95.5</v>
      </c>
    </row>
    <row r="911">
      <c r="A911" s="0" t="inlineStr">
        <is>
          <t>NYTimes-256</t>
        </is>
      </c>
      <c r="B911" s="0" t="inlineStr">
        <is>
          <t>F11</t>
        </is>
      </c>
      <c r="C911" s="0" t="inlineStr">
        <is>
          <t>F11</t>
        </is>
      </c>
      <c r="D911" s="0" t="n">
        <v>10.7765117333333</v>
      </c>
    </row>
    <row r="912">
      <c r="A912" s="0" t="inlineStr">
        <is>
          <t>NYTimes-256</t>
        </is>
      </c>
      <c r="B912" s="0" t="inlineStr">
        <is>
          <t>G11</t>
        </is>
      </c>
      <c r="C912" s="0" t="inlineStr">
        <is>
          <t>G11</t>
        </is>
      </c>
      <c r="D912" s="0" t="n">
        <v>1271.2486</v>
      </c>
    </row>
    <row r="913">
      <c r="A913" s="0" t="inlineStr">
        <is>
          <t>NYTimes-256</t>
        </is>
      </c>
      <c r="B913" s="0" t="inlineStr">
        <is>
          <t>H11</t>
        </is>
      </c>
      <c r="C913" s="0" t="inlineStr">
        <is>
          <t>H11</t>
        </is>
      </c>
      <c r="D913" s="0" t="n">
        <v>22.1553105166667</v>
      </c>
    </row>
    <row r="914">
      <c r="A914" s="0" t="inlineStr">
        <is>
          <t>NYTimes-256</t>
        </is>
      </c>
      <c r="B914" s="0" t="inlineStr">
        <is>
          <t>I11</t>
        </is>
      </c>
      <c r="C914" s="0" t="inlineStr">
        <is>
          <t>I11</t>
        </is>
      </c>
      <c r="D914" s="0" t="n">
        <v>497.141378</v>
      </c>
    </row>
    <row r="915">
      <c r="A915" s="0" t="inlineStr">
        <is>
          <t>NYTimes-256</t>
        </is>
      </c>
      <c r="B915" s="0" t="inlineStr">
        <is>
          <t>J11</t>
        </is>
      </c>
      <c r="C915" s="0" t="inlineStr">
        <is>
          <t>J11</t>
        </is>
      </c>
      <c r="D915" s="0" t="n">
        <v>444.5266415</v>
      </c>
    </row>
    <row r="916">
      <c r="A916" s="0" t="inlineStr">
        <is>
          <t>NYTimes-256</t>
        </is>
      </c>
      <c r="B916" s="0" t="inlineStr">
        <is>
          <t>D12</t>
        </is>
      </c>
      <c r="C916" s="0" t="inlineStr">
        <is>
          <t>D12</t>
        </is>
      </c>
      <c r="D916" s="0" t="inlineStr">
        <is>
          <t>V3DB（单次）</t>
        </is>
      </c>
    </row>
    <row r="917">
      <c r="A917" s="0" t="inlineStr">
        <is>
          <t>NYTimes-256</t>
        </is>
      </c>
      <c r="B917" s="0" t="inlineStr">
        <is>
          <t>E12</t>
        </is>
      </c>
      <c r="C917" s="0" t="inlineStr">
        <is>
          <t>E12</t>
        </is>
      </c>
      <c r="D917" s="0" t="n">
        <v>58</v>
      </c>
    </row>
    <row r="918">
      <c r="A918" s="0" t="inlineStr">
        <is>
          <t>NYTimes-256</t>
        </is>
      </c>
      <c r="B918" s="0" t="inlineStr">
        <is>
          <t>F12</t>
        </is>
      </c>
      <c r="C918" s="0" t="inlineStr">
        <is>
          <t>F12</t>
        </is>
      </c>
      <c r="D918" s="0" t="n">
        <v>525753.569964</v>
      </c>
    </row>
    <row r="919">
      <c r="A919" s="0" t="inlineStr">
        <is>
          <t>NYTimes-256</t>
        </is>
      </c>
      <c r="B919" s="0" t="inlineStr">
        <is>
          <t>G12</t>
        </is>
      </c>
      <c r="C919" s="0" t="inlineStr">
        <is>
          <t>G12</t>
        </is>
      </c>
      <c r="D919" s="0" t="n">
        <v>236.43</v>
      </c>
    </row>
    <row r="920">
      <c r="A920" s="0" t="inlineStr">
        <is>
          <t>NYTimes-256</t>
        </is>
      </c>
      <c r="B920" s="0" t="inlineStr">
        <is>
          <t>H12</t>
        </is>
      </c>
      <c r="C920" s="0" t="inlineStr">
        <is>
          <t>H12</t>
        </is>
      </c>
      <c r="D920" s="0" t="n">
        <v>69.6683460000713</v>
      </c>
    </row>
    <row r="921">
      <c r="A921" s="0" t="inlineStr">
        <is>
          <t>NYTimes-256</t>
        </is>
      </c>
      <c r="B921" s="0" t="inlineStr">
        <is>
          <t>I12</t>
        </is>
      </c>
      <c r="C921" s="0" t="inlineStr">
        <is>
          <t>I12</t>
        </is>
      </c>
      <c r="D921" s="0" t="n">
        <v>300.616766</v>
      </c>
    </row>
    <row r="922">
      <c r="A922" s="0" t="inlineStr">
        <is>
          <t>NYTimes-256</t>
        </is>
      </c>
      <c r="B922" s="0" t="inlineStr">
        <is>
          <t>J12</t>
        </is>
      </c>
      <c r="C922" s="0" t="inlineStr">
        <is>
          <t>J12</t>
        </is>
      </c>
      <c r="D922" s="0" t="n">
        <v>276.221013367</v>
      </c>
    </row>
    <row r="923">
      <c r="A923" s="0" t="inlineStr">
        <is>
          <t>NYTimes-256</t>
        </is>
      </c>
      <c r="B923" s="0" t="inlineStr">
        <is>
          <t>E16</t>
        </is>
      </c>
      <c r="C923" s="0" t="inlineStr">
        <is>
          <t>E17</t>
        </is>
      </c>
      <c r="D923" s="0" t="inlineStr">
        <is>
          <t>Target Recall (%) — expanded low-recall curve</t>
        </is>
      </c>
    </row>
    <row r="924">
      <c r="A924" s="0" t="inlineStr">
        <is>
          <t>NYTimes-256</t>
        </is>
      </c>
      <c r="B924" s="0" t="inlineStr">
        <is>
          <t>F16</t>
        </is>
      </c>
      <c r="C924" s="0" t="inlineStr">
        <is>
          <t>F17</t>
        </is>
      </c>
      <c r="D924" s="0" t="n">
        <v>15</v>
      </c>
    </row>
    <row r="925">
      <c r="A925" s="0" t="inlineStr">
        <is>
          <t>NYTimes-256</t>
        </is>
      </c>
      <c r="B925" s="0" t="inlineStr">
        <is>
          <t>G16</t>
        </is>
      </c>
      <c r="C925" s="0" t="inlineStr">
        <is>
          <t>G17</t>
        </is>
      </c>
      <c r="D925" s="0" t="n">
        <v>20</v>
      </c>
    </row>
    <row r="926">
      <c r="A926" s="0" t="inlineStr">
        <is>
          <t>NYTimes-256</t>
        </is>
      </c>
      <c r="B926" s="0" t="inlineStr">
        <is>
          <t>H16</t>
        </is>
      </c>
      <c r="C926" s="0" t="inlineStr">
        <is>
          <t>H17</t>
        </is>
      </c>
      <c r="D926" s="0" t="n">
        <v>25</v>
      </c>
    </row>
    <row r="927">
      <c r="A927" s="0" t="inlineStr">
        <is>
          <t>NYTimes-256</t>
        </is>
      </c>
      <c r="B927" s="0" t="inlineStr">
        <is>
          <t>I16</t>
        </is>
      </c>
      <c r="C927" s="0" t="inlineStr">
        <is>
          <t>I17</t>
        </is>
      </c>
      <c r="D927" s="0" t="n">
        <v>30</v>
      </c>
    </row>
    <row r="928">
      <c r="A928" s="0" t="inlineStr">
        <is>
          <t>NYTimes-256</t>
        </is>
      </c>
      <c r="B928" s="0" t="inlineStr">
        <is>
          <t>J16</t>
        </is>
      </c>
      <c r="C928" s="0" t="inlineStr">
        <is>
          <t>J17</t>
        </is>
      </c>
      <c r="D928" s="0" t="n">
        <v>35</v>
      </c>
    </row>
    <row r="929">
      <c r="A929" s="0" t="inlineStr">
        <is>
          <t>NYTimes-256</t>
        </is>
      </c>
      <c r="B929" s="0" t="inlineStr">
        <is>
          <t>K16</t>
        </is>
      </c>
      <c r="C929" s="0" t="inlineStr">
        <is>
          <t>K17</t>
        </is>
      </c>
      <c r="D929" s="0" t="n">
        <v>40</v>
      </c>
    </row>
    <row r="930">
      <c r="A930" s="0" t="inlineStr">
        <is>
          <t>NYTimes-256</t>
        </is>
      </c>
      <c r="B930" s="0" t="inlineStr">
        <is>
          <t>L16</t>
        </is>
      </c>
      <c r="C930" s="0" t="inlineStr">
        <is>
          <t>L17</t>
        </is>
      </c>
      <c r="D930" s="0" t="n">
        <v>45</v>
      </c>
    </row>
    <row r="931">
      <c r="A931" s="0" t="inlineStr">
        <is>
          <t>NYTimes-256</t>
        </is>
      </c>
      <c r="B931" s="0" t="inlineStr">
        <is>
          <t>M16</t>
        </is>
      </c>
      <c r="C931" s="0" t="inlineStr">
        <is>
          <t>M17</t>
        </is>
      </c>
      <c r="D931" s="0" t="n">
        <v>50</v>
      </c>
    </row>
    <row r="932">
      <c r="A932" s="0" t="inlineStr">
        <is>
          <t>NYTimes-256</t>
        </is>
      </c>
      <c r="B932" s="0" t="inlineStr">
        <is>
          <t>N16</t>
        </is>
      </c>
      <c r="C932" s="0" t="inlineStr">
        <is>
          <t>N17</t>
        </is>
      </c>
      <c r="D932" s="0" t="n">
        <v>55</v>
      </c>
    </row>
    <row r="933">
      <c r="A933" s="0" t="inlineStr">
        <is>
          <t>NYTimes-256</t>
        </is>
      </c>
      <c r="B933" s="0" t="inlineStr">
        <is>
          <t>O16</t>
        </is>
      </c>
      <c r="C933" s="0" t="inlineStr">
        <is>
          <t>O17</t>
        </is>
      </c>
      <c r="D933" s="0" t="n">
        <v>60</v>
      </c>
    </row>
    <row r="934">
      <c r="A934" s="0" t="inlineStr">
        <is>
          <t>NYTimes-256</t>
        </is>
      </c>
      <c r="B934" s="0" t="inlineStr">
        <is>
          <t>P16</t>
        </is>
      </c>
      <c r="C934" s="0" t="inlineStr">
        <is>
          <t>P17</t>
        </is>
      </c>
      <c r="D934" s="0" t="n">
        <v>65</v>
      </c>
    </row>
    <row r="935">
      <c r="A935" s="0" t="inlineStr">
        <is>
          <t>NYTimes-256</t>
        </is>
      </c>
      <c r="B935" s="0" t="inlineStr">
        <is>
          <t>Q16</t>
        </is>
      </c>
      <c r="C935" s="0" t="inlineStr">
        <is>
          <t>Q17</t>
        </is>
      </c>
      <c r="D935" s="0" t="n">
        <v>70</v>
      </c>
    </row>
    <row r="936">
      <c r="A936" s="0" t="inlineStr">
        <is>
          <t>NYTimes-256</t>
        </is>
      </c>
      <c r="B936" s="0" t="inlineStr">
        <is>
          <t>R16</t>
        </is>
      </c>
      <c r="C936" s="0" t="inlineStr">
        <is>
          <t>R17</t>
        </is>
      </c>
      <c r="D936" s="0" t="n">
        <v>75</v>
      </c>
    </row>
    <row r="937">
      <c r="A937" s="0" t="inlineStr">
        <is>
          <t>NYTimes-256</t>
        </is>
      </c>
      <c r="B937" s="0" t="inlineStr">
        <is>
          <t>S16</t>
        </is>
      </c>
      <c r="C937" s="0" t="inlineStr">
        <is>
          <t>S17</t>
        </is>
      </c>
      <c r="D937" s="0" t="n">
        <v>80</v>
      </c>
    </row>
    <row r="938">
      <c r="A938" s="0" t="inlineStr">
        <is>
          <t>NYTimes-256</t>
        </is>
      </c>
      <c r="B938" s="0" t="inlineStr">
        <is>
          <t>T16</t>
        </is>
      </c>
      <c r="C938" s="0" t="inlineStr">
        <is>
          <t>T17</t>
        </is>
      </c>
      <c r="D938" s="0" t="n">
        <v>85</v>
      </c>
    </row>
    <row r="939">
      <c r="A939" s="0" t="inlineStr">
        <is>
          <t>NYTimes-256</t>
        </is>
      </c>
      <c r="B939" s="0" t="inlineStr">
        <is>
          <t>U16</t>
        </is>
      </c>
      <c r="C939" s="0" t="inlineStr">
        <is>
          <t>U17</t>
        </is>
      </c>
      <c r="D939" s="0" t="n">
        <v>90</v>
      </c>
    </row>
    <row r="940">
      <c r="A940" s="0" t="inlineStr">
        <is>
          <t>NYTimes-256</t>
        </is>
      </c>
      <c r="B940" s="0" t="inlineStr">
        <is>
          <t>V16</t>
        </is>
      </c>
      <c r="C940" s="0" t="inlineStr">
        <is>
          <t>V17</t>
        </is>
      </c>
      <c r="D940" s="0" t="n">
        <v>95</v>
      </c>
    </row>
    <row r="941">
      <c r="A941" s="0" t="inlineStr">
        <is>
          <t>NYTimes-256</t>
        </is>
      </c>
      <c r="B941" s="0" t="inlineStr">
        <is>
          <t>W16</t>
        </is>
      </c>
      <c r="C941" s="0" t="inlineStr">
        <is>
          <t>W17</t>
        </is>
      </c>
      <c r="D941" s="0" t="n">
        <v>97</v>
      </c>
    </row>
    <row r="942">
      <c r="A942" s="0" t="inlineStr">
        <is>
          <t>NYTimes-256</t>
        </is>
      </c>
      <c r="B942" s="0" t="inlineStr">
        <is>
          <t>X16</t>
        </is>
      </c>
      <c r="C942" s="0" t="inlineStr">
        <is>
          <t>X17</t>
        </is>
      </c>
      <c r="D942" s="0" t="n">
        <v>98</v>
      </c>
    </row>
    <row r="943">
      <c r="A943" s="0" t="inlineStr">
        <is>
          <t>NYTimes-256</t>
        </is>
      </c>
      <c r="B943" s="0" t="inlineStr">
        <is>
          <t>Y16</t>
        </is>
      </c>
      <c r="C943" s="0" t="inlineStr">
        <is>
          <t>Y17</t>
        </is>
      </c>
      <c r="D943" s="0" t="n">
        <v>99</v>
      </c>
    </row>
    <row r="944">
      <c r="A944" s="0" t="inlineStr">
        <is>
          <t>NYTimes-256</t>
        </is>
      </c>
      <c r="B944" s="0" t="inlineStr">
        <is>
          <t>E17</t>
        </is>
      </c>
      <c r="C944" s="0" t="inlineStr">
        <is>
          <t>E18</t>
        </is>
      </c>
      <c r="D944" s="0" t="inlineStr">
        <is>
          <t>Recall@10 (change parameters enabling different recall rate) vs. VO size</t>
        </is>
      </c>
    </row>
    <row r="945">
      <c r="A945" s="0" t="inlineStr">
        <is>
          <t>NYTimes-256</t>
        </is>
      </c>
      <c r="B945" s="0" t="inlineStr">
        <is>
          <t>D19</t>
        </is>
      </c>
      <c r="C945" s="0" t="inlineStr">
        <is>
          <t>D20</t>
        </is>
      </c>
      <c r="D945" s="0" t="inlineStr">
        <is>
          <t>NYTimes-256 (N=289,761, d=256)</t>
        </is>
      </c>
    </row>
    <row r="946">
      <c r="A946" s="0" t="inlineStr">
        <is>
          <t>NYTimes-256</t>
        </is>
      </c>
      <c r="B946" s="0" t="inlineStr">
        <is>
          <t>D20</t>
        </is>
      </c>
      <c r="C946" s="0" t="inlineStr">
        <is>
          <t>D21</t>
        </is>
      </c>
      <c r="D946" s="0" t="inlineStr">
        <is>
          <t>VLAH</t>
        </is>
      </c>
    </row>
    <row r="947">
      <c r="A947" s="0" t="inlineStr">
        <is>
          <t>NYTimes-256</t>
        </is>
      </c>
      <c r="B947" s="0" t="inlineStr">
        <is>
          <t>E20</t>
        </is>
      </c>
      <c r="C947" s="0" t="inlineStr">
        <is>
          <t>E21</t>
        </is>
      </c>
      <c r="D947" s="0" t="inlineStr">
        <is>
          <t>Recall rate</t>
        </is>
      </c>
    </row>
    <row r="948">
      <c r="A948" s="0" t="inlineStr">
        <is>
          <t>NYTimes-256</t>
        </is>
      </c>
      <c r="B948" s="0" t="inlineStr">
        <is>
          <t>F20</t>
        </is>
      </c>
      <c r="C948" s="0" t="inlineStr">
        <is>
          <t>F21</t>
        </is>
      </c>
      <c r="D948" s="0" t="n">
        <v>21.5</v>
      </c>
    </row>
    <row r="949">
      <c r="A949" s="0" t="inlineStr">
        <is>
          <t>NYTimes-256</t>
        </is>
      </c>
      <c r="B949" s="0" t="inlineStr">
        <is>
          <t>G20</t>
        </is>
      </c>
      <c r="C949" s="0" t="inlineStr">
        <is>
          <t>G21</t>
        </is>
      </c>
      <c r="D949" s="0" t="n">
        <v>21.5</v>
      </c>
    </row>
    <row r="950">
      <c r="A950" s="0" t="inlineStr">
        <is>
          <t>NYTimes-256</t>
        </is>
      </c>
      <c r="B950" s="0" t="inlineStr">
        <is>
          <t>H20</t>
        </is>
      </c>
      <c r="C950" s="0" t="inlineStr">
        <is>
          <t>H21</t>
        </is>
      </c>
      <c r="D950" s="0" t="n">
        <v>32</v>
      </c>
    </row>
    <row r="951">
      <c r="A951" s="0" t="inlineStr">
        <is>
          <t>NYTimes-256</t>
        </is>
      </c>
      <c r="B951" s="0" t="inlineStr">
        <is>
          <t>I20</t>
        </is>
      </c>
      <c r="C951" s="0" t="inlineStr">
        <is>
          <t>I21</t>
        </is>
      </c>
      <c r="D951" s="0" t="n">
        <v>32</v>
      </c>
    </row>
    <row r="952">
      <c r="A952" s="0" t="inlineStr">
        <is>
          <t>NYTimes-256</t>
        </is>
      </c>
      <c r="B952" s="0" t="inlineStr">
        <is>
          <t>J20</t>
        </is>
      </c>
      <c r="C952" s="0" t="inlineStr">
        <is>
          <t>J21</t>
        </is>
      </c>
      <c r="D952" s="0" t="n">
        <v>45.5</v>
      </c>
    </row>
    <row r="953">
      <c r="A953" s="0" t="inlineStr">
        <is>
          <t>NYTimes-256</t>
        </is>
      </c>
      <c r="B953" s="0" t="inlineStr">
        <is>
          <t>K20</t>
        </is>
      </c>
      <c r="C953" s="0" t="inlineStr">
        <is>
          <t>K21</t>
        </is>
      </c>
      <c r="D953" s="0" t="n">
        <v>45.5</v>
      </c>
    </row>
    <row r="954">
      <c r="A954" s="0" t="inlineStr">
        <is>
          <t>NYTimes-256</t>
        </is>
      </c>
      <c r="B954" s="0" t="inlineStr">
        <is>
          <t>L20</t>
        </is>
      </c>
      <c r="C954" s="0" t="inlineStr">
        <is>
          <t>L21</t>
        </is>
      </c>
      <c r="D954" s="0" t="n">
        <v>45.5</v>
      </c>
    </row>
    <row r="955">
      <c r="A955" s="0" t="inlineStr">
        <is>
          <t>NYTimes-256</t>
        </is>
      </c>
      <c r="B955" s="0" t="inlineStr">
        <is>
          <t>M20</t>
        </is>
      </c>
      <c r="C955" s="0" t="inlineStr">
        <is>
          <t>M21</t>
        </is>
      </c>
      <c r="D955" s="0" t="n">
        <v>56</v>
      </c>
    </row>
    <row r="956">
      <c r="A956" s="0" t="inlineStr">
        <is>
          <t>NYTimes-256</t>
        </is>
      </c>
      <c r="B956" s="0" t="inlineStr">
        <is>
          <t>N20</t>
        </is>
      </c>
      <c r="C956" s="0" t="inlineStr">
        <is>
          <t>N21</t>
        </is>
      </c>
      <c r="D956" s="0" t="n">
        <v>56</v>
      </c>
    </row>
    <row r="957">
      <c r="A957" s="0" t="inlineStr">
        <is>
          <t>NYTimes-256</t>
        </is>
      </c>
      <c r="B957" s="0" t="inlineStr">
        <is>
          <t>O20</t>
        </is>
      </c>
      <c r="C957" s="0" t="inlineStr">
        <is>
          <t>O21</t>
        </is>
      </c>
      <c r="D957" s="0" t="n">
        <v>67</v>
      </c>
    </row>
    <row r="958">
      <c r="A958" s="0" t="inlineStr">
        <is>
          <t>NYTimes-256</t>
        </is>
      </c>
      <c r="B958" s="0" t="inlineStr">
        <is>
          <t>P20</t>
        </is>
      </c>
      <c r="C958" s="0" t="inlineStr">
        <is>
          <t>P21</t>
        </is>
      </c>
      <c r="D958" s="0" t="n">
        <v>67</v>
      </c>
    </row>
    <row r="959">
      <c r="A959" s="0" t="inlineStr">
        <is>
          <t>NYTimes-256</t>
        </is>
      </c>
      <c r="B959" s="0" t="inlineStr">
        <is>
          <t>Q20</t>
        </is>
      </c>
      <c r="C959" s="0" t="inlineStr">
        <is>
          <t>Q21</t>
        </is>
      </c>
      <c r="D959" s="0" t="n">
        <v>71.5</v>
      </c>
    </row>
    <row r="960">
      <c r="A960" s="0" t="inlineStr">
        <is>
          <t>NYTimes-256</t>
        </is>
      </c>
      <c r="B960" s="0" t="inlineStr">
        <is>
          <t>R20</t>
        </is>
      </c>
      <c r="C960" s="0" t="inlineStr">
        <is>
          <t>R21</t>
        </is>
      </c>
      <c r="D960" s="0" t="n">
        <v>78</v>
      </c>
    </row>
    <row r="961">
      <c r="A961" s="0" t="inlineStr">
        <is>
          <t>NYTimes-256</t>
        </is>
      </c>
      <c r="B961" s="0" t="inlineStr">
        <is>
          <t>S20</t>
        </is>
      </c>
      <c r="C961" s="0" t="inlineStr">
        <is>
          <t>S21</t>
        </is>
      </c>
      <c r="D961" s="0" t="n">
        <v>82</v>
      </c>
    </row>
    <row r="962">
      <c r="A962" s="0" t="inlineStr">
        <is>
          <t>NYTimes-256</t>
        </is>
      </c>
      <c r="B962" s="0" t="inlineStr">
        <is>
          <t>T20</t>
        </is>
      </c>
      <c r="C962" s="0" t="inlineStr">
        <is>
          <t>T21</t>
        </is>
      </c>
      <c r="D962" s="0" t="n">
        <v>87.5</v>
      </c>
    </row>
    <row r="963">
      <c r="A963" s="0" t="inlineStr">
        <is>
          <t>NYTimes-256</t>
        </is>
      </c>
      <c r="B963" s="0" t="inlineStr">
        <is>
          <t>U20</t>
        </is>
      </c>
      <c r="C963" s="0" t="inlineStr">
        <is>
          <t>U21</t>
        </is>
      </c>
      <c r="D963" s="0" t="n">
        <v>92.5</v>
      </c>
    </row>
    <row r="964">
      <c r="A964" s="0" t="inlineStr">
        <is>
          <t>NYTimes-256</t>
        </is>
      </c>
      <c r="B964" s="0" t="inlineStr">
        <is>
          <t>V20</t>
        </is>
      </c>
      <c r="C964" s="0" t="inlineStr">
        <is>
          <t>V21</t>
        </is>
      </c>
      <c r="D964" s="0" t="n">
        <v>96</v>
      </c>
    </row>
    <row r="965">
      <c r="A965" s="0" t="inlineStr">
        <is>
          <t>NYTimes-256</t>
        </is>
      </c>
      <c r="B965" s="0" t="inlineStr">
        <is>
          <t>W20</t>
        </is>
      </c>
      <c r="C965" s="0" t="inlineStr">
        <is>
          <t>W21</t>
        </is>
      </c>
      <c r="D965" s="0" t="n">
        <v>99</v>
      </c>
    </row>
    <row r="966">
      <c r="A966" s="0" t="inlineStr">
        <is>
          <t>NYTimes-256</t>
        </is>
      </c>
      <c r="B966" s="0" t="inlineStr">
        <is>
          <t>X20</t>
        </is>
      </c>
      <c r="C966" s="0" t="inlineStr">
        <is>
          <t>X21</t>
        </is>
      </c>
      <c r="D966" s="0" t="n">
        <v>99</v>
      </c>
    </row>
    <row r="967">
      <c r="A967" s="0" t="inlineStr">
        <is>
          <t>NYTimes-256</t>
        </is>
      </c>
      <c r="B967" s="0" t="inlineStr">
        <is>
          <t>Y20</t>
        </is>
      </c>
      <c r="C967" s="0" t="inlineStr">
        <is>
          <t>Y21</t>
        </is>
      </c>
      <c r="D967" s="0" t="n">
        <v>99</v>
      </c>
    </row>
    <row r="968">
      <c r="A968" s="0" t="inlineStr">
        <is>
          <t>NYTimes-256</t>
        </is>
      </c>
      <c r="B968" s="0" t="inlineStr">
        <is>
          <t>E21</t>
        </is>
      </c>
      <c r="C968" s="0" t="inlineStr">
        <is>
          <t>E22</t>
        </is>
      </c>
      <c r="D968" s="0" t="inlineStr">
        <is>
          <t>VO size</t>
        </is>
      </c>
    </row>
    <row r="969">
      <c r="A969" s="0" t="inlineStr">
        <is>
          <t>NYTimes-256</t>
        </is>
      </c>
      <c r="B969" s="0" t="inlineStr">
        <is>
          <t>F21</t>
        </is>
      </c>
      <c r="C969" s="0" t="inlineStr">
        <is>
          <t>F22</t>
        </is>
      </c>
      <c r="D969" s="0" t="n">
        <v>3153.16145</v>
      </c>
    </row>
    <row r="970">
      <c r="A970" s="0" t="inlineStr">
        <is>
          <t>NYTimes-256</t>
        </is>
      </c>
      <c r="B970" s="0" t="inlineStr">
        <is>
          <t>G21</t>
        </is>
      </c>
      <c r="C970" s="0" t="inlineStr">
        <is>
          <t>G22</t>
        </is>
      </c>
      <c r="D970" s="0" t="n">
        <v>3153.16145</v>
      </c>
    </row>
    <row r="971">
      <c r="A971" s="0" t="inlineStr">
        <is>
          <t>NYTimes-256</t>
        </is>
      </c>
      <c r="B971" s="0" t="inlineStr">
        <is>
          <t>H21</t>
        </is>
      </c>
      <c r="C971" s="0" t="inlineStr">
        <is>
          <t>H22</t>
        </is>
      </c>
      <c r="D971" s="0" t="n">
        <v>6504.0347</v>
      </c>
    </row>
    <row r="972">
      <c r="A972" s="0" t="inlineStr">
        <is>
          <t>NYTimes-256</t>
        </is>
      </c>
      <c r="B972" s="0" t="inlineStr">
        <is>
          <t>I21</t>
        </is>
      </c>
      <c r="C972" s="0" t="inlineStr">
        <is>
          <t>I22</t>
        </is>
      </c>
      <c r="D972" s="0" t="n">
        <v>6504.0347</v>
      </c>
    </row>
    <row r="973">
      <c r="A973" s="0" t="inlineStr">
        <is>
          <t>NYTimes-256</t>
        </is>
      </c>
      <c r="B973" s="0" t="inlineStr">
        <is>
          <t>J21</t>
        </is>
      </c>
      <c r="C973" s="0" t="inlineStr">
        <is>
          <t>J22</t>
        </is>
      </c>
      <c r="D973" s="0" t="n">
        <v>12964.6278</v>
      </c>
    </row>
    <row r="974">
      <c r="A974" s="0" t="inlineStr">
        <is>
          <t>NYTimes-256</t>
        </is>
      </c>
      <c r="B974" s="0" t="inlineStr">
        <is>
          <t>K21</t>
        </is>
      </c>
      <c r="C974" s="0" t="inlineStr">
        <is>
          <t>K22</t>
        </is>
      </c>
      <c r="D974" s="0" t="n">
        <v>12964.6278</v>
      </c>
    </row>
    <row r="975">
      <c r="A975" s="0" t="inlineStr">
        <is>
          <t>NYTimes-256</t>
        </is>
      </c>
      <c r="B975" s="0" t="inlineStr">
        <is>
          <t>L21</t>
        </is>
      </c>
      <c r="C975" s="0" t="inlineStr">
        <is>
          <t>L22</t>
        </is>
      </c>
      <c r="D975" s="0" t="n">
        <v>12964.6278</v>
      </c>
    </row>
    <row r="976">
      <c r="A976" s="0" t="inlineStr">
        <is>
          <t>NYTimes-256</t>
        </is>
      </c>
      <c r="B976" s="0" t="inlineStr">
        <is>
          <t>M21</t>
        </is>
      </c>
      <c r="C976" s="0" t="inlineStr">
        <is>
          <t>M22</t>
        </is>
      </c>
      <c r="D976" s="0" t="n">
        <v>16293.85185</v>
      </c>
    </row>
    <row r="977">
      <c r="A977" s="0" t="inlineStr">
        <is>
          <t>NYTimes-256</t>
        </is>
      </c>
      <c r="B977" s="0" t="inlineStr">
        <is>
          <t>N21</t>
        </is>
      </c>
      <c r="C977" s="0" t="inlineStr">
        <is>
          <t>N22</t>
        </is>
      </c>
      <c r="D977" s="0" t="n">
        <v>16293.85185</v>
      </c>
    </row>
    <row r="978">
      <c r="A978" s="0" t="inlineStr">
        <is>
          <t>NYTimes-256</t>
        </is>
      </c>
      <c r="B978" s="0" t="inlineStr">
        <is>
          <t>O21</t>
        </is>
      </c>
      <c r="C978" s="0" t="inlineStr">
        <is>
          <t>O22</t>
        </is>
      </c>
      <c r="D978" s="0" t="n">
        <v>67011.7597</v>
      </c>
    </row>
    <row r="979">
      <c r="A979" s="0" t="inlineStr">
        <is>
          <t>NYTimes-256</t>
        </is>
      </c>
      <c r="B979" s="0" t="inlineStr">
        <is>
          <t>P21</t>
        </is>
      </c>
      <c r="C979" s="0" t="inlineStr">
        <is>
          <t>P22</t>
        </is>
      </c>
      <c r="D979" s="0" t="n">
        <v>67011.7597</v>
      </c>
    </row>
    <row r="980">
      <c r="A980" s="0" t="inlineStr">
        <is>
          <t>NYTimes-256</t>
        </is>
      </c>
      <c r="B980" s="0" t="inlineStr">
        <is>
          <t>Q21</t>
        </is>
      </c>
      <c r="C980" s="0" t="inlineStr">
        <is>
          <t>Q22</t>
        </is>
      </c>
      <c r="D980" s="0" t="n">
        <v>76710.86625000001</v>
      </c>
    </row>
    <row r="981">
      <c r="A981" s="0" t="inlineStr">
        <is>
          <t>NYTimes-256</t>
        </is>
      </c>
      <c r="B981" s="0" t="inlineStr">
        <is>
          <t>R21</t>
        </is>
      </c>
      <c r="C981" s="0" t="inlineStr">
        <is>
          <t>R22</t>
        </is>
      </c>
      <c r="D981" s="0" t="n">
        <v>86460.41185</v>
      </c>
    </row>
    <row r="982">
      <c r="A982" s="0" t="inlineStr">
        <is>
          <t>NYTimes-256</t>
        </is>
      </c>
      <c r="B982" s="0" t="inlineStr">
        <is>
          <t>S21</t>
        </is>
      </c>
      <c r="C982" s="0" t="inlineStr">
        <is>
          <t>S22</t>
        </is>
      </c>
      <c r="D982" s="0" t="n">
        <v>96245.68545</v>
      </c>
    </row>
    <row r="983">
      <c r="A983" s="0" t="inlineStr">
        <is>
          <t>NYTimes-256</t>
        </is>
      </c>
      <c r="B983" s="0" t="inlineStr">
        <is>
          <t>T21</t>
        </is>
      </c>
      <c r="C983" s="0" t="inlineStr">
        <is>
          <t>T22</t>
        </is>
      </c>
      <c r="D983" s="0" t="n">
        <v>105941.9646</v>
      </c>
    </row>
    <row r="984">
      <c r="A984" s="0" t="inlineStr">
        <is>
          <t>NYTimes-256</t>
        </is>
      </c>
      <c r="B984" s="0" t="inlineStr">
        <is>
          <t>U21</t>
        </is>
      </c>
      <c r="C984" s="0" t="inlineStr">
        <is>
          <t>U22</t>
        </is>
      </c>
      <c r="D984" s="0" t="n">
        <v>125732.4714</v>
      </c>
    </row>
    <row r="985">
      <c r="A985" s="0" t="inlineStr">
        <is>
          <t>NYTimes-256</t>
        </is>
      </c>
      <c r="B985" s="0" t="inlineStr">
        <is>
          <t>V21</t>
        </is>
      </c>
      <c r="C985" s="0" t="inlineStr">
        <is>
          <t>V22</t>
        </is>
      </c>
      <c r="D985" s="0" t="n">
        <v>135488.6228</v>
      </c>
    </row>
    <row r="986">
      <c r="A986" s="0" t="inlineStr">
        <is>
          <t>NYTimes-256</t>
        </is>
      </c>
      <c r="B986" s="0" t="inlineStr">
        <is>
          <t>W21</t>
        </is>
      </c>
      <c r="C986" s="0" t="inlineStr">
        <is>
          <t>W22</t>
        </is>
      </c>
      <c r="D986" s="0" t="n">
        <v>143850.9632</v>
      </c>
    </row>
    <row r="987">
      <c r="A987" s="0" t="inlineStr">
        <is>
          <t>NYTimes-256</t>
        </is>
      </c>
      <c r="B987" s="0" t="inlineStr">
        <is>
          <t>X21</t>
        </is>
      </c>
      <c r="C987" s="0" t="inlineStr">
        <is>
          <t>X22</t>
        </is>
      </c>
      <c r="D987" s="0" t="n">
        <v>143850.9632</v>
      </c>
    </row>
    <row r="988">
      <c r="A988" s="0" t="inlineStr">
        <is>
          <t>NYTimes-256</t>
        </is>
      </c>
      <c r="B988" s="0" t="inlineStr">
        <is>
          <t>Y21</t>
        </is>
      </c>
      <c r="C988" s="0" t="inlineStr">
        <is>
          <t>Y22</t>
        </is>
      </c>
      <c r="D988" s="0" t="n">
        <v>143850.9632</v>
      </c>
    </row>
    <row r="989">
      <c r="A989" s="0" t="inlineStr">
        <is>
          <t>NYTimes-256</t>
        </is>
      </c>
      <c r="B989" s="0" t="inlineStr">
        <is>
          <t>D22</t>
        </is>
      </c>
      <c r="C989" s="0" t="inlineStr">
        <is>
          <t>D23</t>
        </is>
      </c>
      <c r="D989" s="0" t="inlineStr">
        <is>
          <t>ANNProof</t>
        </is>
      </c>
    </row>
    <row r="990">
      <c r="A990" s="0" t="inlineStr">
        <is>
          <t>NYTimes-256</t>
        </is>
      </c>
      <c r="B990" s="0" t="inlineStr">
        <is>
          <t>E22</t>
        </is>
      </c>
      <c r="C990" s="0" t="inlineStr">
        <is>
          <t>E23</t>
        </is>
      </c>
      <c r="D990" s="0" t="inlineStr">
        <is>
          <t>Recall rate</t>
        </is>
      </c>
    </row>
    <row r="991">
      <c r="A991" s="0" t="inlineStr">
        <is>
          <t>NYTimes-256</t>
        </is>
      </c>
      <c r="B991" s="0" t="inlineStr">
        <is>
          <t>F22</t>
        </is>
      </c>
      <c r="C991" s="0" t="inlineStr">
        <is>
          <t>F23</t>
        </is>
      </c>
      <c r="D991" s="0" t="n">
        <v>84</v>
      </c>
    </row>
    <row r="992">
      <c r="A992" s="0" t="inlineStr">
        <is>
          <t>NYTimes-256</t>
        </is>
      </c>
      <c r="B992" s="0" t="inlineStr">
        <is>
          <t>G22</t>
        </is>
      </c>
      <c r="C992" s="0" t="inlineStr">
        <is>
          <t>G23</t>
        </is>
      </c>
      <c r="D992" s="0" t="n">
        <v>84</v>
      </c>
    </row>
    <row r="993">
      <c r="A993" s="0" t="inlineStr">
        <is>
          <t>NYTimes-256</t>
        </is>
      </c>
      <c r="B993" s="0" t="inlineStr">
        <is>
          <t>H22</t>
        </is>
      </c>
      <c r="C993" s="0" t="inlineStr">
        <is>
          <t>H23</t>
        </is>
      </c>
      <c r="D993" s="0" t="n">
        <v>84</v>
      </c>
    </row>
    <row r="994">
      <c r="A994" s="0" t="inlineStr">
        <is>
          <t>NYTimes-256</t>
        </is>
      </c>
      <c r="B994" s="0" t="inlineStr">
        <is>
          <t>I22</t>
        </is>
      </c>
      <c r="C994" s="0" t="inlineStr">
        <is>
          <t>I23</t>
        </is>
      </c>
      <c r="D994" s="0" t="n">
        <v>84</v>
      </c>
    </row>
    <row r="995">
      <c r="A995" s="0" t="inlineStr">
        <is>
          <t>NYTimes-256</t>
        </is>
      </c>
      <c r="B995" s="0" t="inlineStr">
        <is>
          <t>J22</t>
        </is>
      </c>
      <c r="C995" s="0" t="inlineStr">
        <is>
          <t>J23</t>
        </is>
      </c>
      <c r="D995" s="0" t="n">
        <v>84</v>
      </c>
    </row>
    <row r="996">
      <c r="A996" s="0" t="inlineStr">
        <is>
          <t>NYTimes-256</t>
        </is>
      </c>
      <c r="B996" s="0" t="inlineStr">
        <is>
          <t>K22</t>
        </is>
      </c>
      <c r="C996" s="0" t="inlineStr">
        <is>
          <t>K23</t>
        </is>
      </c>
      <c r="D996" s="0" t="n">
        <v>84</v>
      </c>
    </row>
    <row r="997">
      <c r="A997" s="0" t="inlineStr">
        <is>
          <t>NYTimes-256</t>
        </is>
      </c>
      <c r="B997" s="0" t="inlineStr">
        <is>
          <t>L22</t>
        </is>
      </c>
      <c r="C997" s="0" t="inlineStr">
        <is>
          <t>L23</t>
        </is>
      </c>
      <c r="D997" s="0" t="n">
        <v>84</v>
      </c>
    </row>
    <row r="998">
      <c r="A998" s="0" t="inlineStr">
        <is>
          <t>NYTimes-256</t>
        </is>
      </c>
      <c r="B998" s="0" t="inlineStr">
        <is>
          <t>M22</t>
        </is>
      </c>
      <c r="C998" s="0" t="inlineStr">
        <is>
          <t>M23</t>
        </is>
      </c>
      <c r="D998" s="0" t="n">
        <v>84</v>
      </c>
    </row>
    <row r="999">
      <c r="A999" s="0" t="inlineStr">
        <is>
          <t>NYTimes-256</t>
        </is>
      </c>
      <c r="B999" s="0" t="inlineStr">
        <is>
          <t>N22</t>
        </is>
      </c>
      <c r="C999" s="0" t="inlineStr">
        <is>
          <t>N23</t>
        </is>
      </c>
      <c r="D999" s="0" t="n">
        <v>84</v>
      </c>
    </row>
    <row r="1000">
      <c r="A1000" s="0" t="inlineStr">
        <is>
          <t>NYTimes-256</t>
        </is>
      </c>
      <c r="B1000" s="0" t="inlineStr">
        <is>
          <t>O22</t>
        </is>
      </c>
      <c r="C1000" s="0" t="inlineStr">
        <is>
          <t>O23</t>
        </is>
      </c>
      <c r="D1000" s="0" t="n">
        <v>84</v>
      </c>
    </row>
    <row r="1001">
      <c r="A1001" s="0" t="inlineStr">
        <is>
          <t>NYTimes-256</t>
        </is>
      </c>
      <c r="B1001" s="0" t="inlineStr">
        <is>
          <t>P22</t>
        </is>
      </c>
      <c r="C1001" s="0" t="inlineStr">
        <is>
          <t>P23</t>
        </is>
      </c>
      <c r="D1001" s="0" t="n">
        <v>84</v>
      </c>
    </row>
    <row r="1002">
      <c r="A1002" s="0" t="inlineStr">
        <is>
          <t>NYTimes-256</t>
        </is>
      </c>
      <c r="B1002" s="0" t="inlineStr">
        <is>
          <t>Q22</t>
        </is>
      </c>
      <c r="C1002" s="0" t="inlineStr">
        <is>
          <t>Q23</t>
        </is>
      </c>
      <c r="D1002" s="0" t="n">
        <v>84</v>
      </c>
    </row>
    <row r="1003">
      <c r="A1003" s="0" t="inlineStr">
        <is>
          <t>NYTimes-256</t>
        </is>
      </c>
      <c r="B1003" s="0" t="inlineStr">
        <is>
          <t>R22</t>
        </is>
      </c>
      <c r="C1003" s="0" t="inlineStr">
        <is>
          <t>R23</t>
        </is>
      </c>
      <c r="D1003" s="0" t="n">
        <v>84</v>
      </c>
    </row>
    <row r="1004">
      <c r="A1004" s="0" t="inlineStr">
        <is>
          <t>NYTimes-256</t>
        </is>
      </c>
      <c r="B1004" s="0" t="inlineStr">
        <is>
          <t>S22</t>
        </is>
      </c>
      <c r="C1004" s="0" t="inlineStr">
        <is>
          <t>S23</t>
        </is>
      </c>
      <c r="D1004" s="0" t="n">
        <v>84</v>
      </c>
    </row>
    <row r="1005">
      <c r="A1005" s="0" t="inlineStr">
        <is>
          <t>NYTimes-256</t>
        </is>
      </c>
      <c r="B1005" s="0" t="inlineStr">
        <is>
          <t>T22</t>
        </is>
      </c>
      <c r="C1005" s="0" t="inlineStr">
        <is>
          <t>T23</t>
        </is>
      </c>
      <c r="D1005" s="0" t="n">
        <v>85.5</v>
      </c>
    </row>
    <row r="1006">
      <c r="A1006" s="0" t="inlineStr">
        <is>
          <t>NYTimes-256</t>
        </is>
      </c>
      <c r="B1006" s="0" t="inlineStr">
        <is>
          <t>U22</t>
        </is>
      </c>
      <c r="C1006" s="0" t="inlineStr">
        <is>
          <t>U23</t>
        </is>
      </c>
      <c r="D1006" s="0" t="n">
        <v>90</v>
      </c>
    </row>
    <row r="1007">
      <c r="A1007" s="0" t="inlineStr">
        <is>
          <t>NYTimes-256</t>
        </is>
      </c>
      <c r="B1007" s="0" t="inlineStr">
        <is>
          <t>V22</t>
        </is>
      </c>
      <c r="C1007" s="0" t="inlineStr">
        <is>
          <t>V23</t>
        </is>
      </c>
      <c r="D1007" s="0" t="n">
        <v>96</v>
      </c>
    </row>
    <row r="1008">
      <c r="A1008" s="0" t="inlineStr">
        <is>
          <t>NYTimes-256</t>
        </is>
      </c>
      <c r="B1008" s="0" t="inlineStr">
        <is>
          <t>W22</t>
        </is>
      </c>
      <c r="C1008" s="0" t="inlineStr">
        <is>
          <t>W23</t>
        </is>
      </c>
      <c r="D1008" s="0" t="n">
        <v>97</v>
      </c>
    </row>
    <row r="1009">
      <c r="A1009" s="0" t="inlineStr">
        <is>
          <t>NYTimes-256</t>
        </is>
      </c>
      <c r="B1009" s="0" t="inlineStr">
        <is>
          <t>X22</t>
        </is>
      </c>
      <c r="C1009" s="0" t="inlineStr">
        <is>
          <t>X23</t>
        </is>
      </c>
      <c r="D1009" s="0" t="n">
        <v>98.5</v>
      </c>
    </row>
    <row r="1010">
      <c r="A1010" s="0" t="inlineStr">
        <is>
          <t>NYTimes-256</t>
        </is>
      </c>
      <c r="B1010" s="0" t="inlineStr">
        <is>
          <t>Y22</t>
        </is>
      </c>
      <c r="C1010" s="0" t="inlineStr">
        <is>
          <t>Y23</t>
        </is>
      </c>
      <c r="D1010" s="0" t="n">
        <v>100</v>
      </c>
    </row>
    <row r="1011">
      <c r="A1011" s="0" t="inlineStr">
        <is>
          <t>NYTimes-256</t>
        </is>
      </c>
      <c r="B1011" s="0" t="inlineStr">
        <is>
          <t>E23</t>
        </is>
      </c>
      <c r="C1011" s="0" t="inlineStr">
        <is>
          <t>E24</t>
        </is>
      </c>
      <c r="D1011" s="0" t="inlineStr">
        <is>
          <t>VO size</t>
        </is>
      </c>
    </row>
    <row r="1012">
      <c r="A1012" s="0" t="inlineStr">
        <is>
          <t>NYTimes-256</t>
        </is>
      </c>
      <c r="B1012" s="0" t="inlineStr">
        <is>
          <t>F23</t>
        </is>
      </c>
      <c r="C1012" s="0" t="inlineStr">
        <is>
          <t>F24</t>
        </is>
      </c>
      <c r="D1012" s="0" t="n">
        <v>651.932</v>
      </c>
    </row>
    <row r="1013">
      <c r="A1013" s="0" t="inlineStr">
        <is>
          <t>NYTimes-256</t>
        </is>
      </c>
      <c r="B1013" s="0" t="inlineStr">
        <is>
          <t>G23</t>
        </is>
      </c>
      <c r="C1013" s="0" t="inlineStr">
        <is>
          <t>G24</t>
        </is>
      </c>
      <c r="D1013" s="0" t="n">
        <v>651.932</v>
      </c>
    </row>
    <row r="1014">
      <c r="A1014" s="0" t="inlineStr">
        <is>
          <t>NYTimes-256</t>
        </is>
      </c>
      <c r="B1014" s="0" t="inlineStr">
        <is>
          <t>H23</t>
        </is>
      </c>
      <c r="C1014" s="0" t="inlineStr">
        <is>
          <t>H24</t>
        </is>
      </c>
      <c r="D1014" s="0" t="n">
        <v>651.932</v>
      </c>
    </row>
    <row r="1015">
      <c r="A1015" s="0" t="inlineStr">
        <is>
          <t>NYTimes-256</t>
        </is>
      </c>
      <c r="B1015" s="0" t="inlineStr">
        <is>
          <t>I23</t>
        </is>
      </c>
      <c r="C1015" s="0" t="inlineStr">
        <is>
          <t>I24</t>
        </is>
      </c>
      <c r="D1015" s="0" t="n">
        <v>651.932</v>
      </c>
    </row>
    <row r="1016">
      <c r="A1016" s="0" t="inlineStr">
        <is>
          <t>NYTimes-256</t>
        </is>
      </c>
      <c r="B1016" s="0" t="inlineStr">
        <is>
          <t>J23</t>
        </is>
      </c>
      <c r="C1016" s="0" t="inlineStr">
        <is>
          <t>J24</t>
        </is>
      </c>
      <c r="D1016" s="0" t="n">
        <v>651.932</v>
      </c>
    </row>
    <row r="1017">
      <c r="A1017" s="0" t="inlineStr">
        <is>
          <t>NYTimes-256</t>
        </is>
      </c>
      <c r="B1017" s="0" t="inlineStr">
        <is>
          <t>K23</t>
        </is>
      </c>
      <c r="C1017" s="0" t="inlineStr">
        <is>
          <t>K24</t>
        </is>
      </c>
      <c r="D1017" s="0" t="n">
        <v>651.932</v>
      </c>
    </row>
    <row r="1018">
      <c r="A1018" s="0" t="inlineStr">
        <is>
          <t>NYTimes-256</t>
        </is>
      </c>
      <c r="B1018" s="0" t="inlineStr">
        <is>
          <t>L23</t>
        </is>
      </c>
      <c r="C1018" s="0" t="inlineStr">
        <is>
          <t>L24</t>
        </is>
      </c>
      <c r="D1018" s="0" t="n">
        <v>651.932</v>
      </c>
    </row>
    <row r="1019">
      <c r="A1019" s="0" t="inlineStr">
        <is>
          <t>NYTimes-256</t>
        </is>
      </c>
      <c r="B1019" s="0" t="inlineStr">
        <is>
          <t>M23</t>
        </is>
      </c>
      <c r="C1019" s="0" t="inlineStr">
        <is>
          <t>M24</t>
        </is>
      </c>
      <c r="D1019" s="0" t="n">
        <v>651.932</v>
      </c>
    </row>
    <row r="1020">
      <c r="A1020" s="0" t="inlineStr">
        <is>
          <t>NYTimes-256</t>
        </is>
      </c>
      <c r="B1020" s="0" t="inlineStr">
        <is>
          <t>N23</t>
        </is>
      </c>
      <c r="C1020" s="0" t="inlineStr">
        <is>
          <t>N24</t>
        </is>
      </c>
      <c r="D1020" s="0" t="n">
        <v>651.932</v>
      </c>
    </row>
    <row r="1021">
      <c r="A1021" s="0" t="inlineStr">
        <is>
          <t>NYTimes-256</t>
        </is>
      </c>
      <c r="B1021" s="0" t="inlineStr">
        <is>
          <t>O23</t>
        </is>
      </c>
      <c r="C1021" s="0" t="inlineStr">
        <is>
          <t>O24</t>
        </is>
      </c>
      <c r="D1021" s="0" t="n">
        <v>651.932</v>
      </c>
    </row>
    <row r="1022">
      <c r="A1022" s="0" t="inlineStr">
        <is>
          <t>NYTimes-256</t>
        </is>
      </c>
      <c r="B1022" s="0" t="inlineStr">
        <is>
          <t>P23</t>
        </is>
      </c>
      <c r="C1022" s="0" t="inlineStr">
        <is>
          <t>P24</t>
        </is>
      </c>
      <c r="D1022" s="0" t="n">
        <v>651.932</v>
      </c>
    </row>
    <row r="1023">
      <c r="A1023" s="0" t="inlineStr">
        <is>
          <t>NYTimes-256</t>
        </is>
      </c>
      <c r="B1023" s="0" t="inlineStr">
        <is>
          <t>Q23</t>
        </is>
      </c>
      <c r="C1023" s="0" t="inlineStr">
        <is>
          <t>Q24</t>
        </is>
      </c>
      <c r="D1023" s="0" t="n">
        <v>651.932</v>
      </c>
    </row>
    <row r="1024">
      <c r="A1024" s="0" t="inlineStr">
        <is>
          <t>NYTimes-256</t>
        </is>
      </c>
      <c r="B1024" s="0" t="inlineStr">
        <is>
          <t>R23</t>
        </is>
      </c>
      <c r="C1024" s="0" t="inlineStr">
        <is>
          <t>R24</t>
        </is>
      </c>
      <c r="D1024" s="0" t="n">
        <v>651.932</v>
      </c>
    </row>
    <row r="1025">
      <c r="A1025" s="0" t="inlineStr">
        <is>
          <t>NYTimes-256</t>
        </is>
      </c>
      <c r="B1025" s="0" t="inlineStr">
        <is>
          <t>S23</t>
        </is>
      </c>
      <c r="C1025" s="0" t="inlineStr">
        <is>
          <t>S24</t>
        </is>
      </c>
      <c r="D1025" s="0" t="n">
        <v>651.932</v>
      </c>
    </row>
    <row r="1026">
      <c r="A1026" s="0" t="inlineStr">
        <is>
          <t>NYTimes-256</t>
        </is>
      </c>
      <c r="B1026" s="0" t="inlineStr">
        <is>
          <t>T23</t>
        </is>
      </c>
      <c r="C1026" s="0" t="inlineStr">
        <is>
          <t>T24</t>
        </is>
      </c>
      <c r="D1026" s="0" t="n">
        <v>1264.985</v>
      </c>
    </row>
    <row r="1027">
      <c r="A1027" s="0" t="inlineStr">
        <is>
          <t>NYTimes-256</t>
        </is>
      </c>
      <c r="B1027" s="0" t="inlineStr">
        <is>
          <t>U23</t>
        </is>
      </c>
      <c r="C1027" s="0" t="inlineStr">
        <is>
          <t>U24</t>
        </is>
      </c>
      <c r="D1027" s="0" t="n">
        <v>2169.0354</v>
      </c>
    </row>
    <row r="1028">
      <c r="A1028" s="0" t="inlineStr">
        <is>
          <t>NYTimes-256</t>
        </is>
      </c>
      <c r="B1028" s="0" t="inlineStr">
        <is>
          <t>V23</t>
        </is>
      </c>
      <c r="C1028" s="0" t="inlineStr">
        <is>
          <t>V24</t>
        </is>
      </c>
      <c r="D1028" s="0" t="n">
        <v>9647.870999999999</v>
      </c>
    </row>
    <row r="1029">
      <c r="A1029" s="0" t="inlineStr">
        <is>
          <t>NYTimes-256</t>
        </is>
      </c>
      <c r="B1029" s="0" t="inlineStr">
        <is>
          <t>W23</t>
        </is>
      </c>
      <c r="C1029" s="0" t="inlineStr">
        <is>
          <t>W24</t>
        </is>
      </c>
      <c r="D1029" s="0" t="n">
        <v>18191.3746</v>
      </c>
    </row>
    <row r="1030">
      <c r="A1030" s="0" t="inlineStr">
        <is>
          <t>NYTimes-256</t>
        </is>
      </c>
      <c r="B1030" s="0" t="inlineStr">
        <is>
          <t>X23</t>
        </is>
      </c>
      <c r="C1030" s="0" t="inlineStr">
        <is>
          <t>X24</t>
        </is>
      </c>
      <c r="D1030" s="0" t="n">
        <v>23543.0654</v>
      </c>
    </row>
    <row r="1031">
      <c r="A1031" s="0" t="inlineStr">
        <is>
          <t>NYTimes-256</t>
        </is>
      </c>
      <c r="B1031" s="0" t="inlineStr">
        <is>
          <t>Y23</t>
        </is>
      </c>
      <c r="C1031" s="0" t="inlineStr">
        <is>
          <t>Y24</t>
        </is>
      </c>
      <c r="D1031" s="0" t="n">
        <v>34273.459</v>
      </c>
    </row>
    <row r="1032">
      <c r="A1032" s="0" t="inlineStr">
        <is>
          <t>NYTimes-256</t>
        </is>
      </c>
      <c r="B1032" s="0" t="inlineStr">
        <is>
          <t>D24</t>
        </is>
      </c>
      <c r="C1032" s="0" t="inlineStr">
        <is>
          <t>D25</t>
        </is>
      </c>
      <c r="D1032" s="0" t="inlineStr">
        <is>
          <t>Ours</t>
        </is>
      </c>
    </row>
    <row r="1033">
      <c r="A1033" s="0" t="inlineStr">
        <is>
          <t>NYTimes-256</t>
        </is>
      </c>
      <c r="B1033" s="0" t="inlineStr">
        <is>
          <t>E24</t>
        </is>
      </c>
      <c r="C1033" s="0" t="inlineStr">
        <is>
          <t>E25</t>
        </is>
      </c>
      <c r="D1033" s="0" t="inlineStr">
        <is>
          <t>Recall rate</t>
        </is>
      </c>
    </row>
    <row r="1034">
      <c r="A1034" s="0" t="inlineStr">
        <is>
          <t>NYTimes-256</t>
        </is>
      </c>
      <c r="B1034" s="0" t="inlineStr">
        <is>
          <t>F24</t>
        </is>
      </c>
      <c r="C1034" s="0" t="inlineStr">
        <is>
          <t>F25</t>
        </is>
      </c>
      <c r="D1034" s="0" t="n">
        <v>20.5</v>
      </c>
    </row>
    <row r="1035">
      <c r="A1035" s="0" t="inlineStr">
        <is>
          <t>NYTimes-256</t>
        </is>
      </c>
      <c r="B1035" s="0" t="inlineStr">
        <is>
          <t>G24</t>
        </is>
      </c>
      <c r="C1035" s="0" t="inlineStr">
        <is>
          <t>G25</t>
        </is>
      </c>
      <c r="D1035" s="0" t="n">
        <v>20.5</v>
      </c>
    </row>
    <row r="1036">
      <c r="A1036" s="0" t="inlineStr">
        <is>
          <t>NYTimes-256</t>
        </is>
      </c>
      <c r="B1036" s="0" t="inlineStr">
        <is>
          <t>H24</t>
        </is>
      </c>
      <c r="C1036" s="0" t="inlineStr">
        <is>
          <t>H25</t>
        </is>
      </c>
      <c r="D1036" s="0" t="n">
        <v>30</v>
      </c>
    </row>
    <row r="1037">
      <c r="A1037" s="0" t="inlineStr">
        <is>
          <t>NYTimes-256</t>
        </is>
      </c>
      <c r="B1037" s="0" t="inlineStr">
        <is>
          <t>I24</t>
        </is>
      </c>
      <c r="C1037" s="0" t="inlineStr">
        <is>
          <t>I25</t>
        </is>
      </c>
      <c r="D1037" s="0" t="n">
        <v>30</v>
      </c>
    </row>
    <row r="1038">
      <c r="A1038" s="0" t="inlineStr">
        <is>
          <t>NYTimes-256</t>
        </is>
      </c>
      <c r="B1038" s="0" t="inlineStr">
        <is>
          <t>J24</t>
        </is>
      </c>
      <c r="C1038" s="0" t="inlineStr">
        <is>
          <t>J25</t>
        </is>
      </c>
      <c r="D1038" s="0" t="n">
        <v>40</v>
      </c>
    </row>
    <row r="1039">
      <c r="A1039" s="0" t="inlineStr">
        <is>
          <t>NYTimes-256</t>
        </is>
      </c>
      <c r="B1039" s="0" t="inlineStr">
        <is>
          <t>K24</t>
        </is>
      </c>
      <c r="C1039" s="0" t="inlineStr">
        <is>
          <t>K25</t>
        </is>
      </c>
      <c r="D1039" s="0" t="n">
        <v>40</v>
      </c>
    </row>
    <row r="1040">
      <c r="A1040" s="0" t="inlineStr">
        <is>
          <t>NYTimes-256</t>
        </is>
      </c>
      <c r="B1040" s="0" t="inlineStr">
        <is>
          <t>L24</t>
        </is>
      </c>
      <c r="C1040" s="0" t="inlineStr">
        <is>
          <t>L25</t>
        </is>
      </c>
      <c r="D1040" s="0" t="n">
        <v>46.5</v>
      </c>
    </row>
    <row r="1041">
      <c r="A1041" s="0" t="inlineStr">
        <is>
          <t>NYTimes-256</t>
        </is>
      </c>
      <c r="B1041" s="0" t="inlineStr">
        <is>
          <t>M24</t>
        </is>
      </c>
      <c r="C1041" s="0" t="inlineStr">
        <is>
          <t>M25</t>
        </is>
      </c>
      <c r="D1041" s="0" t="n">
        <v>51</v>
      </c>
    </row>
    <row r="1042">
      <c r="A1042" s="0" t="inlineStr">
        <is>
          <t>NYTimes-256</t>
        </is>
      </c>
      <c r="B1042" s="0" t="inlineStr">
        <is>
          <t>N24</t>
        </is>
      </c>
      <c r="C1042" s="0" t="inlineStr">
        <is>
          <t>N25</t>
        </is>
      </c>
      <c r="D1042" s="0" t="n">
        <v>55.5</v>
      </c>
    </row>
    <row r="1043">
      <c r="A1043" s="0" t="inlineStr">
        <is>
          <t>NYTimes-256</t>
        </is>
      </c>
      <c r="B1043" s="0" t="inlineStr">
        <is>
          <t>O24</t>
        </is>
      </c>
      <c r="C1043" s="0" t="inlineStr">
        <is>
          <t>O25</t>
        </is>
      </c>
      <c r="D1043" s="0" t="n">
        <v>61</v>
      </c>
    </row>
    <row r="1044">
      <c r="A1044" s="0" t="inlineStr">
        <is>
          <t>NYTimes-256</t>
        </is>
      </c>
      <c r="B1044" s="0" t="inlineStr">
        <is>
          <t>P24</t>
        </is>
      </c>
      <c r="C1044" s="0" t="inlineStr">
        <is>
          <t>P25</t>
        </is>
      </c>
      <c r="D1044" s="0" t="n">
        <v>70</v>
      </c>
    </row>
    <row r="1045">
      <c r="A1045" s="0" t="inlineStr">
        <is>
          <t>NYTimes-256</t>
        </is>
      </c>
      <c r="B1045" s="0" t="inlineStr">
        <is>
          <t>Q24</t>
        </is>
      </c>
      <c r="C1045" s="0" t="inlineStr">
        <is>
          <t>Q25</t>
        </is>
      </c>
      <c r="D1045" s="0" t="n">
        <v>70</v>
      </c>
    </row>
    <row r="1046">
      <c r="A1046" s="0" t="inlineStr">
        <is>
          <t>NYTimes-256</t>
        </is>
      </c>
      <c r="B1046" s="0" t="inlineStr">
        <is>
          <t>R24</t>
        </is>
      </c>
      <c r="C1046" s="0" t="inlineStr">
        <is>
          <t>R25</t>
        </is>
      </c>
      <c r="D1046" s="0" t="n">
        <v>82.5</v>
      </c>
    </row>
    <row r="1047">
      <c r="A1047" s="0" t="inlineStr">
        <is>
          <t>NYTimes-256</t>
        </is>
      </c>
      <c r="B1047" s="0" t="inlineStr">
        <is>
          <t>S24</t>
        </is>
      </c>
      <c r="C1047" s="0" t="inlineStr">
        <is>
          <t>S25</t>
        </is>
      </c>
      <c r="D1047" s="0" t="n">
        <v>82.5</v>
      </c>
    </row>
    <row r="1048">
      <c r="A1048" s="0" t="inlineStr">
        <is>
          <t>NYTimes-256</t>
        </is>
      </c>
      <c r="B1048" s="0" t="inlineStr">
        <is>
          <t>T24</t>
        </is>
      </c>
      <c r="C1048" s="0" t="inlineStr">
        <is>
          <t>T25</t>
        </is>
      </c>
      <c r="D1048" s="0" t="n">
        <v>85.5</v>
      </c>
    </row>
    <row r="1049">
      <c r="A1049" s="0" t="inlineStr">
        <is>
          <t>NYTimes-256</t>
        </is>
      </c>
      <c r="B1049" s="0" t="inlineStr">
        <is>
          <t>U24</t>
        </is>
      </c>
      <c r="C1049" s="0" t="inlineStr">
        <is>
          <t>U25</t>
        </is>
      </c>
      <c r="D1049" s="0" t="n">
        <v>90.5</v>
      </c>
    </row>
    <row r="1050">
      <c r="A1050" s="0" t="inlineStr">
        <is>
          <t>NYTimes-256</t>
        </is>
      </c>
      <c r="B1050" s="0" t="inlineStr">
        <is>
          <t>V24</t>
        </is>
      </c>
      <c r="C1050" s="0" t="inlineStr">
        <is>
          <t>V25</t>
        </is>
      </c>
      <c r="D1050" s="0" t="n">
        <v>95.5</v>
      </c>
    </row>
    <row r="1051">
      <c r="A1051" s="0" t="inlineStr">
        <is>
          <t>NYTimes-256</t>
        </is>
      </c>
      <c r="B1051" s="0" t="inlineStr">
        <is>
          <t>W24</t>
        </is>
      </c>
      <c r="C1051" s="0" t="inlineStr">
        <is>
          <t>W25</t>
        </is>
      </c>
      <c r="D1051" s="0" t="n">
        <v>97</v>
      </c>
    </row>
    <row r="1052">
      <c r="A1052" s="0" t="inlineStr">
        <is>
          <t>NYTimes-256</t>
        </is>
      </c>
      <c r="B1052" s="0" t="inlineStr">
        <is>
          <t>X24</t>
        </is>
      </c>
      <c r="C1052" s="0" t="inlineStr">
        <is>
          <t>X25</t>
        </is>
      </c>
      <c r="D1052" s="0" t="n">
        <v>98</v>
      </c>
    </row>
    <row r="1053">
      <c r="A1053" s="0" t="inlineStr">
        <is>
          <t>NYTimes-256</t>
        </is>
      </c>
      <c r="B1053" s="0" t="inlineStr">
        <is>
          <t>Y24</t>
        </is>
      </c>
      <c r="C1053" s="0" t="inlineStr">
        <is>
          <t>Y25</t>
        </is>
      </c>
      <c r="D1053" s="0" t="n">
        <v>100</v>
      </c>
    </row>
    <row r="1054">
      <c r="A1054" s="0" t="inlineStr">
        <is>
          <t>NYTimes-256</t>
        </is>
      </c>
      <c r="B1054" s="0" t="inlineStr">
        <is>
          <t>E25</t>
        </is>
      </c>
      <c r="C1054" s="0" t="inlineStr">
        <is>
          <t>E26</t>
        </is>
      </c>
      <c r="D1054" s="0" t="inlineStr">
        <is>
          <t>VO size</t>
        </is>
      </c>
    </row>
    <row r="1055">
      <c r="A1055" s="0" t="inlineStr">
        <is>
          <t>NYTimes-256</t>
        </is>
      </c>
      <c r="B1055" s="0" t="inlineStr">
        <is>
          <t>F25</t>
        </is>
      </c>
      <c r="C1055" s="0" t="inlineStr">
        <is>
          <t>F26</t>
        </is>
      </c>
      <c r="D1055" s="0" t="n">
        <v>118.1716</v>
      </c>
    </row>
    <row r="1056">
      <c r="A1056" s="0" t="inlineStr">
        <is>
          <t>NYTimes-256</t>
        </is>
      </c>
      <c r="B1056" s="0" t="inlineStr">
        <is>
          <t>G25</t>
        </is>
      </c>
      <c r="C1056" s="0" t="inlineStr">
        <is>
          <t>G26</t>
        </is>
      </c>
      <c r="D1056" s="0" t="n">
        <v>118.1716</v>
      </c>
    </row>
    <row r="1057">
      <c r="A1057" s="0" t="inlineStr">
        <is>
          <t>NYTimes-256</t>
        </is>
      </c>
      <c r="B1057" s="0" t="inlineStr">
        <is>
          <t>H25</t>
        </is>
      </c>
      <c r="C1057" s="0" t="inlineStr">
        <is>
          <t>H26</t>
        </is>
      </c>
      <c r="D1057" s="0" t="n">
        <v>130.8116</v>
      </c>
    </row>
    <row r="1058">
      <c r="A1058" s="0" t="inlineStr">
        <is>
          <t>NYTimes-256</t>
        </is>
      </c>
      <c r="B1058" s="0" t="inlineStr">
        <is>
          <t>I25</t>
        </is>
      </c>
      <c r="C1058" s="0" t="inlineStr">
        <is>
          <t>I26</t>
        </is>
      </c>
      <c r="D1058" s="0" t="n">
        <v>130.8116</v>
      </c>
    </row>
    <row r="1059">
      <c r="A1059" s="0" t="inlineStr">
        <is>
          <t>NYTimes-256</t>
        </is>
      </c>
      <c r="B1059" s="0" t="inlineStr">
        <is>
          <t>J25</t>
        </is>
      </c>
      <c r="C1059" s="0" t="inlineStr">
        <is>
          <t>J26</t>
        </is>
      </c>
      <c r="D1059" s="0" t="n">
        <v>137.0668</v>
      </c>
    </row>
    <row r="1060">
      <c r="A1060" s="0" t="inlineStr">
        <is>
          <t>NYTimes-256</t>
        </is>
      </c>
      <c r="B1060" s="0" t="inlineStr">
        <is>
          <t>K25</t>
        </is>
      </c>
      <c r="C1060" s="0" t="inlineStr">
        <is>
          <t>K26</t>
        </is>
      </c>
      <c r="D1060" s="0" t="n">
        <v>137.0668</v>
      </c>
    </row>
    <row r="1061">
      <c r="A1061" s="0" t="inlineStr">
        <is>
          <t>NYTimes-256</t>
        </is>
      </c>
      <c r="B1061" s="0" t="inlineStr">
        <is>
          <t>L25</t>
        </is>
      </c>
      <c r="C1061" s="0" t="inlineStr">
        <is>
          <t>L26</t>
        </is>
      </c>
      <c r="D1061" s="0" t="n">
        <v>143.327</v>
      </c>
    </row>
    <row r="1062">
      <c r="A1062" s="0" t="inlineStr">
        <is>
          <t>NYTimes-256</t>
        </is>
      </c>
      <c r="B1062" s="0" t="inlineStr">
        <is>
          <t>M25</t>
        </is>
      </c>
      <c r="C1062" s="0" t="inlineStr">
        <is>
          <t>M26</t>
        </is>
      </c>
      <c r="D1062" s="0" t="n">
        <v>153.4566</v>
      </c>
    </row>
    <row r="1063">
      <c r="A1063" s="0" t="inlineStr">
        <is>
          <t>NYTimes-256</t>
        </is>
      </c>
      <c r="B1063" s="0" t="inlineStr">
        <is>
          <t>N25</t>
        </is>
      </c>
      <c r="C1063" s="0" t="inlineStr">
        <is>
          <t>N26</t>
        </is>
      </c>
      <c r="D1063" s="0" t="n">
        <v>170.2738</v>
      </c>
    </row>
    <row r="1064">
      <c r="A1064" s="0" t="inlineStr">
        <is>
          <t>NYTimes-256</t>
        </is>
      </c>
      <c r="B1064" s="0" t="inlineStr">
        <is>
          <t>O25</t>
        </is>
      </c>
      <c r="C1064" s="0" t="inlineStr">
        <is>
          <t>O26</t>
        </is>
      </c>
      <c r="D1064" s="0" t="n">
        <v>188.3066</v>
      </c>
    </row>
    <row r="1065">
      <c r="A1065" s="0" t="inlineStr">
        <is>
          <t>NYTimes-256</t>
        </is>
      </c>
      <c r="B1065" s="0" t="inlineStr">
        <is>
          <t>P25</t>
        </is>
      </c>
      <c r="C1065" s="0" t="inlineStr">
        <is>
          <t>P26</t>
        </is>
      </c>
      <c r="D1065" s="0" t="n">
        <v>241.1502</v>
      </c>
    </row>
    <row r="1066">
      <c r="A1066" s="0" t="inlineStr">
        <is>
          <t>NYTimes-256</t>
        </is>
      </c>
      <c r="B1066" s="0" t="inlineStr">
        <is>
          <t>Q25</t>
        </is>
      </c>
      <c r="C1066" s="0" t="inlineStr">
        <is>
          <t>Q26</t>
        </is>
      </c>
      <c r="D1066" s="0" t="n">
        <v>241.1502</v>
      </c>
    </row>
    <row r="1067">
      <c r="A1067" s="0" t="inlineStr">
        <is>
          <t>NYTimes-256</t>
        </is>
      </c>
      <c r="B1067" s="0" t="inlineStr">
        <is>
          <t>R25</t>
        </is>
      </c>
      <c r="C1067" s="0" t="inlineStr">
        <is>
          <t>R26</t>
        </is>
      </c>
      <c r="D1067" s="0" t="n">
        <v>283.509</v>
      </c>
    </row>
    <row r="1068">
      <c r="A1068" s="0" t="inlineStr">
        <is>
          <t>NYTimes-256</t>
        </is>
      </c>
      <c r="B1068" s="0" t="inlineStr">
        <is>
          <t>S25</t>
        </is>
      </c>
      <c r="C1068" s="0" t="inlineStr">
        <is>
          <t>S26</t>
        </is>
      </c>
      <c r="D1068" s="0" t="n">
        <v>283.509</v>
      </c>
    </row>
    <row r="1069">
      <c r="A1069" s="0" t="inlineStr">
        <is>
          <t>NYTimes-256</t>
        </is>
      </c>
      <c r="B1069" s="0" t="inlineStr">
        <is>
          <t>T25</t>
        </is>
      </c>
      <c r="C1069" s="0" t="inlineStr">
        <is>
          <t>T26</t>
        </is>
      </c>
      <c r="D1069" s="0" t="n">
        <v>463.9742</v>
      </c>
    </row>
    <row r="1070">
      <c r="A1070" s="0" t="inlineStr">
        <is>
          <t>NYTimes-256</t>
        </is>
      </c>
      <c r="B1070" s="0" t="inlineStr">
        <is>
          <t>U25</t>
        </is>
      </c>
      <c r="C1070" s="0" t="inlineStr">
        <is>
          <t>U26</t>
        </is>
      </c>
      <c r="D1070" s="0" t="n">
        <v>616.955</v>
      </c>
    </row>
    <row r="1071">
      <c r="A1071" s="0" t="inlineStr">
        <is>
          <t>NYTimes-256</t>
        </is>
      </c>
      <c r="B1071" s="0" t="inlineStr">
        <is>
          <t>V25</t>
        </is>
      </c>
      <c r="C1071" s="0" t="inlineStr">
        <is>
          <t>V26</t>
        </is>
      </c>
      <c r="D1071" s="0" t="n">
        <v>1271.2486</v>
      </c>
    </row>
    <row r="1072">
      <c r="A1072" s="0" t="inlineStr">
        <is>
          <t>NYTimes-256</t>
        </is>
      </c>
      <c r="B1072" s="0" t="inlineStr">
        <is>
          <t>W25</t>
        </is>
      </c>
      <c r="C1072" s="0" t="inlineStr">
        <is>
          <t>W26</t>
        </is>
      </c>
      <c r="D1072" s="0" t="n">
        <v>2220.0928</v>
      </c>
    </row>
    <row r="1073">
      <c r="A1073" s="0" t="inlineStr">
        <is>
          <t>NYTimes-256</t>
        </is>
      </c>
      <c r="B1073" s="0" t="inlineStr">
        <is>
          <t>X25</t>
        </is>
      </c>
      <c r="C1073" s="0" t="inlineStr">
        <is>
          <t>X26</t>
        </is>
      </c>
      <c r="D1073" s="0" t="n">
        <v>3968.8662</v>
      </c>
    </row>
    <row r="1074">
      <c r="A1074" s="0" t="inlineStr">
        <is>
          <t>NYTimes-256</t>
        </is>
      </c>
      <c r="B1074" s="0" t="inlineStr">
        <is>
          <t>Y25</t>
        </is>
      </c>
      <c r="C1074" s="0" t="inlineStr">
        <is>
          <t>Y26</t>
        </is>
      </c>
      <c r="D1074" s="0" t="n">
        <v>5573.382</v>
      </c>
    </row>
    <row r="1075">
      <c r="A1075" s="0" t="inlineStr">
        <is>
          <t>NYTimes-256</t>
        </is>
      </c>
      <c r="B1075" s="0" t="inlineStr">
        <is>
          <t>D26</t>
        </is>
      </c>
      <c r="C1075" s="0" t="inlineStr">
        <is>
          <t>D27</t>
        </is>
      </c>
      <c r="D1075" s="0" t="inlineStr">
        <is>
          <t>V3DB（单次）</t>
        </is>
      </c>
    </row>
    <row r="1076">
      <c r="A1076" s="0" t="inlineStr">
        <is>
          <t>NYTimes-256</t>
        </is>
      </c>
      <c r="B1076" s="0" t="inlineStr">
        <is>
          <t>E26</t>
        </is>
      </c>
      <c r="C1076" s="0" t="inlineStr">
        <is>
          <t>E27</t>
        </is>
      </c>
      <c r="D1076" s="0" t="inlineStr">
        <is>
          <t>Recall rate</t>
        </is>
      </c>
    </row>
    <row r="1077">
      <c r="A1077" s="0" t="inlineStr">
        <is>
          <t>NYTimes-256</t>
        </is>
      </c>
      <c r="B1077" s="0" t="inlineStr">
        <is>
          <t>F26</t>
        </is>
      </c>
      <c r="C1077" s="0" t="inlineStr">
        <is>
          <t>F27</t>
        </is>
      </c>
      <c r="D1077" s="0" t="n">
        <v>32.5</v>
      </c>
    </row>
    <row r="1078">
      <c r="A1078" s="0" t="inlineStr">
        <is>
          <t>NYTimes-256</t>
        </is>
      </c>
      <c r="B1078" s="0" t="inlineStr">
        <is>
          <t>G26</t>
        </is>
      </c>
      <c r="C1078" s="0" t="inlineStr">
        <is>
          <t>G27</t>
        </is>
      </c>
      <c r="D1078" s="0" t="n">
        <v>32.5</v>
      </c>
    </row>
    <row r="1079">
      <c r="A1079" s="0" t="inlineStr">
        <is>
          <t>NYTimes-256</t>
        </is>
      </c>
      <c r="B1079" s="0" t="inlineStr">
        <is>
          <t>H26</t>
        </is>
      </c>
      <c r="C1079" s="0" t="inlineStr">
        <is>
          <t>H27</t>
        </is>
      </c>
      <c r="D1079" s="0" t="n">
        <v>32.5</v>
      </c>
    </row>
    <row r="1080">
      <c r="A1080" s="0" t="inlineStr">
        <is>
          <t>NYTimes-256</t>
        </is>
      </c>
      <c r="B1080" s="0" t="inlineStr">
        <is>
          <t>I26</t>
        </is>
      </c>
      <c r="C1080" s="0" t="inlineStr">
        <is>
          <t>I27</t>
        </is>
      </c>
      <c r="D1080" s="0" t="n">
        <v>32.5</v>
      </c>
    </row>
    <row r="1081">
      <c r="A1081" s="0" t="inlineStr">
        <is>
          <t>NYTimes-256</t>
        </is>
      </c>
      <c r="B1081" s="0" t="inlineStr">
        <is>
          <t>J26</t>
        </is>
      </c>
      <c r="C1081" s="0" t="inlineStr">
        <is>
          <t>J27</t>
        </is>
      </c>
      <c r="D1081" s="0" t="n">
        <v>35</v>
      </c>
    </row>
    <row r="1082">
      <c r="A1082" s="0" t="inlineStr">
        <is>
          <t>NYTimes-256</t>
        </is>
      </c>
      <c r="B1082" s="0" t="inlineStr">
        <is>
          <t>K26</t>
        </is>
      </c>
      <c r="C1082" s="0" t="inlineStr">
        <is>
          <t>K27</t>
        </is>
      </c>
      <c r="D1082" s="0" t="n">
        <v>45.5</v>
      </c>
    </row>
    <row r="1083">
      <c r="A1083" s="0" t="inlineStr">
        <is>
          <t>NYTimes-256</t>
        </is>
      </c>
      <c r="B1083" s="0" t="inlineStr">
        <is>
          <t>L26</t>
        </is>
      </c>
      <c r="C1083" s="0" t="inlineStr">
        <is>
          <t>L27</t>
        </is>
      </c>
      <c r="D1083" s="0" t="n">
        <v>45.5</v>
      </c>
    </row>
    <row r="1084">
      <c r="A1084" s="0" t="inlineStr">
        <is>
          <t>NYTimes-256</t>
        </is>
      </c>
      <c r="B1084" s="0" t="inlineStr">
        <is>
          <t>M26</t>
        </is>
      </c>
      <c r="C1084" s="0" t="inlineStr">
        <is>
          <t>M27</t>
        </is>
      </c>
      <c r="D1084" s="0" t="n">
        <v>51.5</v>
      </c>
    </row>
    <row r="1085">
      <c r="A1085" s="0" t="inlineStr">
        <is>
          <t>NYTimes-256</t>
        </is>
      </c>
      <c r="B1085" s="0" t="inlineStr">
        <is>
          <t>N26</t>
        </is>
      </c>
      <c r="C1085" s="0" t="inlineStr">
        <is>
          <t>N27</t>
        </is>
      </c>
      <c r="D1085" s="0" t="n">
        <v>58</v>
      </c>
    </row>
    <row r="1086">
      <c r="A1086" s="0" t="inlineStr">
        <is>
          <t>NYTimes-256</t>
        </is>
      </c>
      <c r="B1086" s="0" t="inlineStr">
        <is>
          <t>O26</t>
        </is>
      </c>
      <c r="C1086" s="0" t="inlineStr">
        <is>
          <t>O27</t>
        </is>
      </c>
      <c r="D1086" s="0" t="n">
        <v>62.5</v>
      </c>
    </row>
    <row r="1087">
      <c r="A1087" s="0" t="inlineStr">
        <is>
          <t>NYTimes-256</t>
        </is>
      </c>
      <c r="B1087" s="0" t="inlineStr">
        <is>
          <t>P26</t>
        </is>
      </c>
      <c r="C1087" s="0" t="inlineStr">
        <is>
          <t>P27</t>
        </is>
      </c>
      <c r="D1087" s="0" t="n">
        <v>65.5</v>
      </c>
    </row>
    <row r="1088">
      <c r="A1088" s="0" t="inlineStr">
        <is>
          <t>NYTimes-256</t>
        </is>
      </c>
      <c r="B1088" s="0" t="inlineStr">
        <is>
          <t>Q26</t>
        </is>
      </c>
      <c r="C1088" s="0" t="inlineStr">
        <is>
          <t>Q27</t>
        </is>
      </c>
      <c r="D1088" s="0" t="n">
        <v>72</v>
      </c>
    </row>
    <row r="1089">
      <c r="A1089" s="0" t="inlineStr">
        <is>
          <t>NYTimes-256</t>
        </is>
      </c>
      <c r="B1089" s="0" t="inlineStr">
        <is>
          <t>R26</t>
        </is>
      </c>
      <c r="C1089" s="0" t="inlineStr">
        <is>
          <t>R27</t>
        </is>
      </c>
      <c r="D1089" s="0" t="n">
        <v>76</v>
      </c>
    </row>
    <row r="1090">
      <c r="A1090" s="0" t="inlineStr">
        <is>
          <t>NYTimes-256</t>
        </is>
      </c>
      <c r="B1090" s="0" t="inlineStr">
        <is>
          <t>S26</t>
        </is>
      </c>
      <c r="C1090" s="0" t="inlineStr">
        <is>
          <t>S27</t>
        </is>
      </c>
    </row>
    <row r="1091">
      <c r="A1091" s="0" t="inlineStr">
        <is>
          <t>NYTimes-256</t>
        </is>
      </c>
      <c r="B1091" s="0" t="inlineStr">
        <is>
          <t>T26</t>
        </is>
      </c>
      <c r="C1091" s="0" t="inlineStr">
        <is>
          <t>T27</t>
        </is>
      </c>
    </row>
    <row r="1092">
      <c r="A1092" s="0" t="inlineStr">
        <is>
          <t>NYTimes-256</t>
        </is>
      </c>
      <c r="B1092" s="0" t="inlineStr">
        <is>
          <t>U26</t>
        </is>
      </c>
      <c r="C1092" s="0" t="inlineStr">
        <is>
          <t>U27</t>
        </is>
      </c>
    </row>
    <row r="1093">
      <c r="A1093" s="0" t="inlineStr">
        <is>
          <t>NYTimes-256</t>
        </is>
      </c>
      <c r="B1093" s="0" t="inlineStr">
        <is>
          <t>V26</t>
        </is>
      </c>
      <c r="C1093" s="0" t="inlineStr">
        <is>
          <t>V27</t>
        </is>
      </c>
    </row>
    <row r="1094">
      <c r="A1094" s="0" t="inlineStr">
        <is>
          <t>NYTimes-256</t>
        </is>
      </c>
      <c r="B1094" s="0" t="inlineStr">
        <is>
          <t>W26</t>
        </is>
      </c>
      <c r="C1094" s="0" t="inlineStr">
        <is>
          <t>W27</t>
        </is>
      </c>
    </row>
    <row r="1095">
      <c r="A1095" s="0" t="inlineStr">
        <is>
          <t>NYTimes-256</t>
        </is>
      </c>
      <c r="B1095" s="0" t="inlineStr">
        <is>
          <t>X26</t>
        </is>
      </c>
      <c r="C1095" s="0" t="inlineStr">
        <is>
          <t>X27</t>
        </is>
      </c>
    </row>
    <row r="1096">
      <c r="A1096" s="0" t="inlineStr">
        <is>
          <t>NYTimes-256</t>
        </is>
      </c>
      <c r="B1096" s="0" t="inlineStr">
        <is>
          <t>Y26</t>
        </is>
      </c>
      <c r="C1096" s="0" t="inlineStr">
        <is>
          <t>Y27</t>
        </is>
      </c>
    </row>
    <row r="1097">
      <c r="A1097" s="0" t="inlineStr">
        <is>
          <t>NYTimes-256</t>
        </is>
      </c>
      <c r="B1097" s="0" t="inlineStr">
        <is>
          <t>E27</t>
        </is>
      </c>
      <c r="C1097" s="0" t="inlineStr">
        <is>
          <t>E28</t>
        </is>
      </c>
      <c r="D1097" s="0" t="inlineStr">
        <is>
          <t>VO size</t>
        </is>
      </c>
    </row>
    <row r="1098">
      <c r="A1098" s="0" t="inlineStr">
        <is>
          <t>NYTimes-256</t>
        </is>
      </c>
      <c r="B1098" s="0" t="inlineStr">
        <is>
          <t>F27</t>
        </is>
      </c>
      <c r="C1098" s="0" t="inlineStr">
        <is>
          <t>F28</t>
        </is>
      </c>
      <c r="D1098" s="0" t="n">
        <v>193.524</v>
      </c>
    </row>
    <row r="1099">
      <c r="A1099" s="0" t="inlineStr">
        <is>
          <t>NYTimes-256</t>
        </is>
      </c>
      <c r="B1099" s="0" t="inlineStr">
        <is>
          <t>G27</t>
        </is>
      </c>
      <c r="C1099" s="0" t="inlineStr">
        <is>
          <t>G28</t>
        </is>
      </c>
      <c r="D1099" s="0" t="n">
        <v>193.524</v>
      </c>
    </row>
    <row r="1100">
      <c r="A1100" s="0" t="inlineStr">
        <is>
          <t>NYTimes-256</t>
        </is>
      </c>
      <c r="B1100" s="0" t="inlineStr">
        <is>
          <t>H27</t>
        </is>
      </c>
      <c r="C1100" s="0" t="inlineStr">
        <is>
          <t>H28</t>
        </is>
      </c>
      <c r="D1100" s="0" t="n">
        <v>193.524</v>
      </c>
    </row>
    <row r="1101">
      <c r="A1101" s="0" t="inlineStr">
        <is>
          <t>NYTimes-256</t>
        </is>
      </c>
      <c r="B1101" s="0" t="inlineStr">
        <is>
          <t>I27</t>
        </is>
      </c>
      <c r="C1101" s="0" t="inlineStr">
        <is>
          <t>I28</t>
        </is>
      </c>
      <c r="D1101" s="0" t="n">
        <v>193.524</v>
      </c>
    </row>
    <row r="1102">
      <c r="A1102" s="0" t="inlineStr">
        <is>
          <t>NYTimes-256</t>
        </is>
      </c>
      <c r="B1102" s="0" t="inlineStr">
        <is>
          <t>J27</t>
        </is>
      </c>
      <c r="C1102" s="0" t="inlineStr">
        <is>
          <t>J28</t>
        </is>
      </c>
      <c r="D1102" s="0" t="n">
        <v>209.394</v>
      </c>
    </row>
    <row r="1103">
      <c r="A1103" s="0" t="inlineStr">
        <is>
          <t>NYTimes-256</t>
        </is>
      </c>
      <c r="B1103" s="0" t="inlineStr">
        <is>
          <t>K27</t>
        </is>
      </c>
      <c r="C1103" s="0" t="inlineStr">
        <is>
          <t>K28</t>
        </is>
      </c>
      <c r="D1103" s="0" t="n">
        <v>203.127</v>
      </c>
    </row>
    <row r="1104">
      <c r="A1104" s="0" t="inlineStr">
        <is>
          <t>NYTimes-256</t>
        </is>
      </c>
      <c r="B1104" s="0" t="inlineStr">
        <is>
          <t>L27</t>
        </is>
      </c>
      <c r="C1104" s="0" t="inlineStr">
        <is>
          <t>L28</t>
        </is>
      </c>
      <c r="D1104" s="0" t="n">
        <v>203.127</v>
      </c>
    </row>
    <row r="1105">
      <c r="A1105" s="0" t="inlineStr">
        <is>
          <t>NYTimes-256</t>
        </is>
      </c>
      <c r="B1105" s="0" t="inlineStr">
        <is>
          <t>M27</t>
        </is>
      </c>
      <c r="C1105" s="0" t="inlineStr">
        <is>
          <t>M28</t>
        </is>
      </c>
      <c r="D1105" s="0" t="n">
        <v>214.815</v>
      </c>
    </row>
    <row r="1106">
      <c r="A1106" s="0" t="inlineStr">
        <is>
          <t>NYTimes-256</t>
        </is>
      </c>
      <c r="B1106" s="0" t="inlineStr">
        <is>
          <t>N27</t>
        </is>
      </c>
      <c r="C1106" s="0" t="inlineStr">
        <is>
          <t>N28</t>
        </is>
      </c>
      <c r="D1106" s="0" t="n">
        <v>236.43</v>
      </c>
    </row>
    <row r="1107">
      <c r="A1107" s="0" t="inlineStr">
        <is>
          <t>NYTimes-256</t>
        </is>
      </c>
      <c r="B1107" s="0" t="inlineStr">
        <is>
          <t>O27</t>
        </is>
      </c>
      <c r="C1107" s="0" t="inlineStr">
        <is>
          <t>O28</t>
        </is>
      </c>
      <c r="D1107" s="0" t="n">
        <v>267.309</v>
      </c>
    </row>
    <row r="1108">
      <c r="A1108" s="0" t="inlineStr">
        <is>
          <t>NYTimes-256</t>
        </is>
      </c>
      <c r="B1108" s="0" t="inlineStr">
        <is>
          <t>P27</t>
        </is>
      </c>
      <c r="C1108" s="0" t="inlineStr">
        <is>
          <t>P28</t>
        </is>
      </c>
      <c r="D1108" s="0" t="n">
        <v>472.128</v>
      </c>
    </row>
    <row r="1109">
      <c r="A1109" s="0" t="inlineStr">
        <is>
          <t>NYTimes-256</t>
        </is>
      </c>
      <c r="B1109" s="0" t="inlineStr">
        <is>
          <t>Q27</t>
        </is>
      </c>
      <c r="C1109" s="0" t="inlineStr">
        <is>
          <t>Q28</t>
        </is>
      </c>
      <c r="D1109" s="0" t="n">
        <v>742.4829999999999</v>
      </c>
    </row>
    <row r="1110">
      <c r="A1110" s="0" t="inlineStr">
        <is>
          <t>NYTimes-256</t>
        </is>
      </c>
      <c r="B1110" s="0" t="inlineStr">
        <is>
          <t>R27</t>
        </is>
      </c>
      <c r="C1110" s="0" t="inlineStr">
        <is>
          <t>R28</t>
        </is>
      </c>
      <c r="D1110" s="0" t="n">
        <v>480.339</v>
      </c>
    </row>
    <row r="1111">
      <c r="A1111" s="0" t="inlineStr">
        <is>
          <t>NYTimes-256</t>
        </is>
      </c>
      <c r="B1111" s="0" t="inlineStr">
        <is>
          <t>S27</t>
        </is>
      </c>
      <c r="C1111" s="0" t="inlineStr">
        <is>
          <t>S28</t>
        </is>
      </c>
    </row>
    <row r="1112">
      <c r="A1112" s="0" t="inlineStr">
        <is>
          <t>NYTimes-256</t>
        </is>
      </c>
      <c r="B1112" s="0" t="inlineStr">
        <is>
          <t>T27</t>
        </is>
      </c>
      <c r="C1112" s="0" t="inlineStr">
        <is>
          <t>T28</t>
        </is>
      </c>
    </row>
    <row r="1113">
      <c r="A1113" s="0" t="inlineStr">
        <is>
          <t>NYTimes-256</t>
        </is>
      </c>
      <c r="B1113" s="0" t="inlineStr">
        <is>
          <t>U27</t>
        </is>
      </c>
      <c r="C1113" s="0" t="inlineStr">
        <is>
          <t>U28</t>
        </is>
      </c>
    </row>
    <row r="1114">
      <c r="A1114" s="0" t="inlineStr">
        <is>
          <t>NYTimes-256</t>
        </is>
      </c>
      <c r="B1114" s="0" t="inlineStr">
        <is>
          <t>V27</t>
        </is>
      </c>
      <c r="C1114" s="0" t="inlineStr">
        <is>
          <t>V28</t>
        </is>
      </c>
    </row>
    <row r="1115">
      <c r="A1115" s="0" t="inlineStr">
        <is>
          <t>NYTimes-256</t>
        </is>
      </c>
      <c r="B1115" s="0" t="inlineStr">
        <is>
          <t>W27</t>
        </is>
      </c>
      <c r="C1115" s="0" t="inlineStr">
        <is>
          <t>W28</t>
        </is>
      </c>
    </row>
    <row r="1116">
      <c r="A1116" s="0" t="inlineStr">
        <is>
          <t>NYTimes-256</t>
        </is>
      </c>
      <c r="B1116" s="0" t="inlineStr">
        <is>
          <t>X27</t>
        </is>
      </c>
      <c r="C1116" s="0" t="inlineStr">
        <is>
          <t>X28</t>
        </is>
      </c>
    </row>
    <row r="1117">
      <c r="A1117" s="0" t="inlineStr">
        <is>
          <t>NYTimes-256</t>
        </is>
      </c>
      <c r="B1117" s="0" t="inlineStr">
        <is>
          <t>Y27</t>
        </is>
      </c>
      <c r="C1117" s="0" t="inlineStr">
        <is>
          <t>Y28</t>
        </is>
      </c>
    </row>
    <row r="1118">
      <c r="A1118" s="0" t="inlineStr">
        <is>
          <t>NYTimes-256</t>
        </is>
      </c>
      <c r="B1118" s="0" t="inlineStr">
        <is>
          <t>D28</t>
        </is>
      </c>
      <c r="C1118" s="0" t="inlineStr">
        <is>
          <t>D31</t>
        </is>
      </c>
    </row>
    <row r="1119">
      <c r="A1119" s="0" t="inlineStr">
        <is>
          <t>NYTimes-256</t>
        </is>
      </c>
      <c r="B1119" s="0" t="inlineStr">
        <is>
          <t>E28</t>
        </is>
      </c>
      <c r="C1119" s="0" t="inlineStr">
        <is>
          <t>E31</t>
        </is>
      </c>
      <c r="D1119" s="0" t="inlineStr">
        <is>
          <t>Target Recall (%)</t>
        </is>
      </c>
    </row>
    <row r="1120">
      <c r="A1120" s="0" t="inlineStr">
        <is>
          <t>NYTimes-256</t>
        </is>
      </c>
      <c r="B1120" s="0" t="inlineStr">
        <is>
          <t>F28</t>
        </is>
      </c>
      <c r="C1120" s="0" t="inlineStr">
        <is>
          <t>F31</t>
        </is>
      </c>
      <c r="D1120" s="0" t="n">
        <v>15</v>
      </c>
    </row>
    <row r="1121">
      <c r="A1121" s="0" t="inlineStr">
        <is>
          <t>NYTimes-256</t>
        </is>
      </c>
      <c r="B1121" s="0" t="inlineStr">
        <is>
          <t>G28</t>
        </is>
      </c>
      <c r="C1121" s="0" t="inlineStr">
        <is>
          <t>G31</t>
        </is>
      </c>
      <c r="D1121" s="0" t="n">
        <v>20</v>
      </c>
    </row>
    <row r="1122">
      <c r="A1122" s="0" t="inlineStr">
        <is>
          <t>NYTimes-256</t>
        </is>
      </c>
      <c r="B1122" s="0" t="inlineStr">
        <is>
          <t>H28</t>
        </is>
      </c>
      <c r="C1122" s="0" t="inlineStr">
        <is>
          <t>H31</t>
        </is>
      </c>
      <c r="D1122" s="0" t="n">
        <v>25</v>
      </c>
    </row>
    <row r="1123">
      <c r="A1123" s="0" t="inlineStr">
        <is>
          <t>NYTimes-256</t>
        </is>
      </c>
      <c r="B1123" s="0" t="inlineStr">
        <is>
          <t>I28</t>
        </is>
      </c>
      <c r="C1123" s="0" t="inlineStr">
        <is>
          <t>I31</t>
        </is>
      </c>
      <c r="D1123" s="0" t="n">
        <v>30</v>
      </c>
    </row>
    <row r="1124">
      <c r="A1124" s="0" t="inlineStr">
        <is>
          <t>NYTimes-256</t>
        </is>
      </c>
      <c r="B1124" s="0" t="inlineStr">
        <is>
          <t>J28</t>
        </is>
      </c>
      <c r="C1124" s="0" t="inlineStr">
        <is>
          <t>J31</t>
        </is>
      </c>
      <c r="D1124" s="0" t="n">
        <v>35</v>
      </c>
    </row>
    <row r="1125">
      <c r="A1125" s="0" t="inlineStr">
        <is>
          <t>NYTimes-256</t>
        </is>
      </c>
      <c r="B1125" s="0" t="inlineStr">
        <is>
          <t>K28</t>
        </is>
      </c>
      <c r="C1125" s="0" t="inlineStr">
        <is>
          <t>K31</t>
        </is>
      </c>
      <c r="D1125" s="0" t="n">
        <v>40</v>
      </c>
    </row>
    <row r="1126">
      <c r="A1126" s="0" t="inlineStr">
        <is>
          <t>NYTimes-256</t>
        </is>
      </c>
      <c r="B1126" s="0" t="inlineStr">
        <is>
          <t>L28</t>
        </is>
      </c>
      <c r="C1126" s="0" t="inlineStr">
        <is>
          <t>L31</t>
        </is>
      </c>
      <c r="D1126" s="0" t="n">
        <v>45</v>
      </c>
    </row>
    <row r="1127">
      <c r="A1127" s="0" t="inlineStr">
        <is>
          <t>NYTimes-256</t>
        </is>
      </c>
      <c r="B1127" s="0" t="inlineStr">
        <is>
          <t>M28</t>
        </is>
      </c>
      <c r="C1127" s="0" t="inlineStr">
        <is>
          <t>M31</t>
        </is>
      </c>
      <c r="D1127" s="0" t="n">
        <v>50</v>
      </c>
    </row>
    <row r="1128">
      <c r="A1128" s="0" t="inlineStr">
        <is>
          <t>NYTimes-256</t>
        </is>
      </c>
      <c r="B1128" s="0" t="inlineStr">
        <is>
          <t>N28</t>
        </is>
      </c>
      <c r="C1128" s="0" t="inlineStr">
        <is>
          <t>N31</t>
        </is>
      </c>
      <c r="D1128" s="0" t="n">
        <v>55</v>
      </c>
    </row>
    <row r="1129">
      <c r="A1129" s="0" t="inlineStr">
        <is>
          <t>NYTimes-256</t>
        </is>
      </c>
      <c r="B1129" s="0" t="inlineStr">
        <is>
          <t>O28</t>
        </is>
      </c>
      <c r="C1129" s="0" t="inlineStr">
        <is>
          <t>O31</t>
        </is>
      </c>
      <c r="D1129" s="0" t="n">
        <v>60</v>
      </c>
    </row>
    <row r="1130">
      <c r="A1130" s="0" t="inlineStr">
        <is>
          <t>NYTimes-256</t>
        </is>
      </c>
      <c r="B1130" s="0" t="inlineStr">
        <is>
          <t>P28</t>
        </is>
      </c>
      <c r="C1130" s="0" t="inlineStr">
        <is>
          <t>P31</t>
        </is>
      </c>
      <c r="D1130" s="0" t="n">
        <v>65</v>
      </c>
    </row>
    <row r="1131">
      <c r="A1131" s="0" t="inlineStr">
        <is>
          <t>NYTimes-256</t>
        </is>
      </c>
      <c r="B1131" s="0" t="inlineStr">
        <is>
          <t>Q28</t>
        </is>
      </c>
      <c r="C1131" s="0" t="inlineStr">
        <is>
          <t>Q31</t>
        </is>
      </c>
      <c r="D1131" s="0" t="n">
        <v>70</v>
      </c>
    </row>
    <row r="1132">
      <c r="A1132" s="0" t="inlineStr">
        <is>
          <t>NYTimes-256</t>
        </is>
      </c>
      <c r="B1132" s="0" t="inlineStr">
        <is>
          <t>R28</t>
        </is>
      </c>
      <c r="C1132" s="0" t="inlineStr">
        <is>
          <t>R31</t>
        </is>
      </c>
      <c r="D1132" s="0" t="n">
        <v>75</v>
      </c>
    </row>
    <row r="1133">
      <c r="A1133" s="0" t="inlineStr">
        <is>
          <t>NYTimes-256</t>
        </is>
      </c>
      <c r="B1133" s="0" t="inlineStr">
        <is>
          <t>S28</t>
        </is>
      </c>
      <c r="C1133" s="0" t="inlineStr">
        <is>
          <t>S31</t>
        </is>
      </c>
      <c r="D1133" s="0" t="n">
        <v>80</v>
      </c>
    </row>
    <row r="1134">
      <c r="A1134" s="0" t="inlineStr">
        <is>
          <t>NYTimes-256</t>
        </is>
      </c>
      <c r="B1134" s="0" t="inlineStr">
        <is>
          <t>T28</t>
        </is>
      </c>
      <c r="C1134" s="0" t="inlineStr">
        <is>
          <t>T31</t>
        </is>
      </c>
      <c r="D1134" s="0" t="n">
        <v>85</v>
      </c>
    </row>
    <row r="1135">
      <c r="A1135" s="0" t="inlineStr">
        <is>
          <t>NYTimes-256</t>
        </is>
      </c>
      <c r="B1135" s="0" t="inlineStr">
        <is>
          <t>U28</t>
        </is>
      </c>
      <c r="C1135" s="0" t="inlineStr">
        <is>
          <t>U31</t>
        </is>
      </c>
      <c r="D1135" s="0" t="n">
        <v>90</v>
      </c>
    </row>
    <row r="1136">
      <c r="A1136" s="0" t="inlineStr">
        <is>
          <t>NYTimes-256</t>
        </is>
      </c>
      <c r="B1136" s="0" t="inlineStr">
        <is>
          <t>V28</t>
        </is>
      </c>
      <c r="C1136" s="0" t="inlineStr">
        <is>
          <t>V31</t>
        </is>
      </c>
      <c r="D1136" s="0" t="n">
        <v>95</v>
      </c>
    </row>
    <row r="1137">
      <c r="A1137" s="0" t="inlineStr">
        <is>
          <t>NYTimes-256</t>
        </is>
      </c>
      <c r="B1137" s="0" t="inlineStr">
        <is>
          <t>W28</t>
        </is>
      </c>
      <c r="C1137" s="0" t="inlineStr">
        <is>
          <t>W31</t>
        </is>
      </c>
      <c r="D1137" s="0" t="n">
        <v>97</v>
      </c>
    </row>
    <row r="1138">
      <c r="A1138" s="0" t="inlineStr">
        <is>
          <t>NYTimes-256</t>
        </is>
      </c>
      <c r="B1138" s="0" t="inlineStr">
        <is>
          <t>X28</t>
        </is>
      </c>
      <c r="C1138" s="0" t="inlineStr">
        <is>
          <t>X31</t>
        </is>
      </c>
      <c r="D1138" s="0" t="n">
        <v>98</v>
      </c>
    </row>
    <row r="1139">
      <c r="A1139" s="0" t="inlineStr">
        <is>
          <t>NYTimes-256</t>
        </is>
      </c>
      <c r="B1139" s="0" t="inlineStr">
        <is>
          <t>Y28</t>
        </is>
      </c>
      <c r="C1139" s="0" t="inlineStr">
        <is>
          <t>Y31</t>
        </is>
      </c>
      <c r="D1139" s="0" t="n">
        <v>99</v>
      </c>
    </row>
    <row r="1140">
      <c r="A1140" s="0" t="inlineStr">
        <is>
          <t>NYTimes-256</t>
        </is>
      </c>
      <c r="B1140" s="0" t="inlineStr">
        <is>
          <t>E29</t>
        </is>
      </c>
      <c r="C1140" s="0" t="inlineStr">
        <is>
          <t>E32</t>
        </is>
      </c>
      <c r="D1140" s="0" t="inlineStr">
        <is>
          <t>Recall@10 (change parameters enabling different recall rate) vs. verify time</t>
        </is>
      </c>
    </row>
    <row r="1141">
      <c r="A1141" s="0" t="inlineStr">
        <is>
          <t>NYTimes-256</t>
        </is>
      </c>
      <c r="B1141" s="0" t="inlineStr">
        <is>
          <t>D31</t>
        </is>
      </c>
      <c r="C1141" s="0" t="inlineStr">
        <is>
          <t>D34</t>
        </is>
      </c>
      <c r="D1141" s="0" t="inlineStr">
        <is>
          <t>NYTimes-256 (N=289,761, d=256)</t>
        </is>
      </c>
    </row>
    <row r="1142">
      <c r="A1142" s="0" t="inlineStr">
        <is>
          <t>NYTimes-256</t>
        </is>
      </c>
      <c r="B1142" s="0" t="inlineStr">
        <is>
          <t>D32</t>
        </is>
      </c>
      <c r="C1142" s="0" t="inlineStr">
        <is>
          <t>D35</t>
        </is>
      </c>
      <c r="D1142" s="0" t="inlineStr">
        <is>
          <t>VLAH</t>
        </is>
      </c>
    </row>
    <row r="1143">
      <c r="A1143" s="0" t="inlineStr">
        <is>
          <t>NYTimes-256</t>
        </is>
      </c>
      <c r="B1143" s="0" t="inlineStr">
        <is>
          <t>E32</t>
        </is>
      </c>
      <c r="C1143" s="0" t="inlineStr">
        <is>
          <t>E35</t>
        </is>
      </c>
      <c r="D1143" s="0" t="inlineStr">
        <is>
          <t>Recall rate</t>
        </is>
      </c>
    </row>
    <row r="1144">
      <c r="A1144" s="0" t="inlineStr">
        <is>
          <t>NYTimes-256</t>
        </is>
      </c>
      <c r="B1144" s="0" t="inlineStr">
        <is>
          <t>F32</t>
        </is>
      </c>
      <c r="C1144" s="0" t="inlineStr">
        <is>
          <t>F35</t>
        </is>
      </c>
      <c r="D1144" s="0" t="n">
        <v>21.5</v>
      </c>
    </row>
    <row r="1145">
      <c r="A1145" s="0" t="inlineStr">
        <is>
          <t>NYTimes-256</t>
        </is>
      </c>
      <c r="B1145" s="0" t="inlineStr">
        <is>
          <t>G32</t>
        </is>
      </c>
      <c r="C1145" s="0" t="inlineStr">
        <is>
          <t>G35</t>
        </is>
      </c>
      <c r="D1145" s="0" t="n">
        <v>21.5</v>
      </c>
    </row>
    <row r="1146">
      <c r="A1146" s="0" t="inlineStr">
        <is>
          <t>NYTimes-256</t>
        </is>
      </c>
      <c r="B1146" s="0" t="inlineStr">
        <is>
          <t>H32</t>
        </is>
      </c>
      <c r="C1146" s="0" t="inlineStr">
        <is>
          <t>H35</t>
        </is>
      </c>
      <c r="D1146" s="0" t="n">
        <v>32</v>
      </c>
    </row>
    <row r="1147">
      <c r="A1147" s="0" t="inlineStr">
        <is>
          <t>NYTimes-256</t>
        </is>
      </c>
      <c r="B1147" s="0" t="inlineStr">
        <is>
          <t>I32</t>
        </is>
      </c>
      <c r="C1147" s="0" t="inlineStr">
        <is>
          <t>I35</t>
        </is>
      </c>
      <c r="D1147" s="0" t="n">
        <v>32</v>
      </c>
    </row>
    <row r="1148">
      <c r="A1148" s="0" t="inlineStr">
        <is>
          <t>NYTimes-256</t>
        </is>
      </c>
      <c r="B1148" s="0" t="inlineStr">
        <is>
          <t>J32</t>
        </is>
      </c>
      <c r="C1148" s="0" t="inlineStr">
        <is>
          <t>J35</t>
        </is>
      </c>
      <c r="D1148" s="0" t="n">
        <v>45.5</v>
      </c>
    </row>
    <row r="1149">
      <c r="A1149" s="0" t="inlineStr">
        <is>
          <t>NYTimes-256</t>
        </is>
      </c>
      <c r="B1149" s="0" t="inlineStr">
        <is>
          <t>K32</t>
        </is>
      </c>
      <c r="C1149" s="0" t="inlineStr">
        <is>
          <t>K35</t>
        </is>
      </c>
      <c r="D1149" s="0" t="n">
        <v>45.5</v>
      </c>
    </row>
    <row r="1150">
      <c r="A1150" s="0" t="inlineStr">
        <is>
          <t>NYTimes-256</t>
        </is>
      </c>
      <c r="B1150" s="0" t="inlineStr">
        <is>
          <t>L32</t>
        </is>
      </c>
      <c r="C1150" s="0" t="inlineStr">
        <is>
          <t>L35</t>
        </is>
      </c>
      <c r="D1150" s="0" t="n">
        <v>45.5</v>
      </c>
    </row>
    <row r="1151">
      <c r="A1151" s="0" t="inlineStr">
        <is>
          <t>NYTimes-256</t>
        </is>
      </c>
      <c r="B1151" s="0" t="inlineStr">
        <is>
          <t>M32</t>
        </is>
      </c>
      <c r="C1151" s="0" t="inlineStr">
        <is>
          <t>M35</t>
        </is>
      </c>
      <c r="D1151" s="0" t="n">
        <v>56</v>
      </c>
    </row>
    <row r="1152">
      <c r="A1152" s="0" t="inlineStr">
        <is>
          <t>NYTimes-256</t>
        </is>
      </c>
      <c r="B1152" s="0" t="inlineStr">
        <is>
          <t>N32</t>
        </is>
      </c>
      <c r="C1152" s="0" t="inlineStr">
        <is>
          <t>N35</t>
        </is>
      </c>
      <c r="D1152" s="0" t="n">
        <v>56</v>
      </c>
    </row>
    <row r="1153">
      <c r="A1153" s="0" t="inlineStr">
        <is>
          <t>NYTimes-256</t>
        </is>
      </c>
      <c r="B1153" s="0" t="inlineStr">
        <is>
          <t>O32</t>
        </is>
      </c>
      <c r="C1153" s="0" t="inlineStr">
        <is>
          <t>O35</t>
        </is>
      </c>
      <c r="D1153" s="0" t="n">
        <v>67</v>
      </c>
    </row>
    <row r="1154">
      <c r="A1154" s="0" t="inlineStr">
        <is>
          <t>NYTimes-256</t>
        </is>
      </c>
      <c r="B1154" s="0" t="inlineStr">
        <is>
          <t>P32</t>
        </is>
      </c>
      <c r="C1154" s="0" t="inlineStr">
        <is>
          <t>P35</t>
        </is>
      </c>
      <c r="D1154" s="0" t="n">
        <v>67</v>
      </c>
    </row>
    <row r="1155">
      <c r="A1155" s="0" t="inlineStr">
        <is>
          <t>NYTimes-256</t>
        </is>
      </c>
      <c r="B1155" s="0" t="inlineStr">
        <is>
          <t>Q32</t>
        </is>
      </c>
      <c r="C1155" s="0" t="inlineStr">
        <is>
          <t>Q35</t>
        </is>
      </c>
      <c r="D1155" s="0" t="n">
        <v>71.5</v>
      </c>
    </row>
    <row r="1156">
      <c r="A1156" s="0" t="inlineStr">
        <is>
          <t>NYTimes-256</t>
        </is>
      </c>
      <c r="B1156" s="0" t="inlineStr">
        <is>
          <t>R32</t>
        </is>
      </c>
      <c r="C1156" s="0" t="inlineStr">
        <is>
          <t>R35</t>
        </is>
      </c>
      <c r="D1156" s="0" t="n">
        <v>78</v>
      </c>
    </row>
    <row r="1157">
      <c r="A1157" s="0" t="inlineStr">
        <is>
          <t>NYTimes-256</t>
        </is>
      </c>
      <c r="B1157" s="0" t="inlineStr">
        <is>
          <t>S32</t>
        </is>
      </c>
      <c r="C1157" s="0" t="inlineStr">
        <is>
          <t>S35</t>
        </is>
      </c>
      <c r="D1157" s="0" t="n">
        <v>82</v>
      </c>
    </row>
    <row r="1158">
      <c r="A1158" s="0" t="inlineStr">
        <is>
          <t>NYTimes-256</t>
        </is>
      </c>
      <c r="B1158" s="0" t="inlineStr">
        <is>
          <t>T32</t>
        </is>
      </c>
      <c r="C1158" s="0" t="inlineStr">
        <is>
          <t>T35</t>
        </is>
      </c>
      <c r="D1158" s="0" t="n">
        <v>87.5</v>
      </c>
    </row>
    <row r="1159">
      <c r="A1159" s="0" t="inlineStr">
        <is>
          <t>NYTimes-256</t>
        </is>
      </c>
      <c r="B1159" s="0" t="inlineStr">
        <is>
          <t>U32</t>
        </is>
      </c>
      <c r="C1159" s="0" t="inlineStr">
        <is>
          <t>U35</t>
        </is>
      </c>
      <c r="D1159" s="0" t="n">
        <v>92.5</v>
      </c>
    </row>
    <row r="1160">
      <c r="A1160" s="0" t="inlineStr">
        <is>
          <t>NYTimes-256</t>
        </is>
      </c>
      <c r="B1160" s="0" t="inlineStr">
        <is>
          <t>V32</t>
        </is>
      </c>
      <c r="C1160" s="0" t="inlineStr">
        <is>
          <t>V35</t>
        </is>
      </c>
      <c r="D1160" s="0" t="n">
        <v>96</v>
      </c>
    </row>
    <row r="1161">
      <c r="A1161" s="0" t="inlineStr">
        <is>
          <t>NYTimes-256</t>
        </is>
      </c>
      <c r="B1161" s="0" t="inlineStr">
        <is>
          <t>W32</t>
        </is>
      </c>
      <c r="C1161" s="0" t="inlineStr">
        <is>
          <t>W35</t>
        </is>
      </c>
      <c r="D1161" s="0" t="n">
        <v>99</v>
      </c>
    </row>
    <row r="1162">
      <c r="A1162" s="0" t="inlineStr">
        <is>
          <t>NYTimes-256</t>
        </is>
      </c>
      <c r="B1162" s="0" t="inlineStr">
        <is>
          <t>X32</t>
        </is>
      </c>
      <c r="C1162" s="0" t="inlineStr">
        <is>
          <t>X35</t>
        </is>
      </c>
      <c r="D1162" s="0" t="n">
        <v>99</v>
      </c>
    </row>
    <row r="1163">
      <c r="A1163" s="0" t="inlineStr">
        <is>
          <t>NYTimes-256</t>
        </is>
      </c>
      <c r="B1163" s="0" t="inlineStr">
        <is>
          <t>Y32</t>
        </is>
      </c>
      <c r="C1163" s="0" t="inlineStr">
        <is>
          <t>Y35</t>
        </is>
      </c>
      <c r="D1163" s="0" t="n">
        <v>99</v>
      </c>
    </row>
    <row r="1164">
      <c r="A1164" s="0" t="inlineStr">
        <is>
          <t>NYTimes-256</t>
        </is>
      </c>
      <c r="B1164" s="0" t="inlineStr">
        <is>
          <t>E33</t>
        </is>
      </c>
      <c r="C1164" s="0" t="inlineStr">
        <is>
          <t>E36</t>
        </is>
      </c>
      <c r="D1164" s="0" t="inlineStr">
        <is>
          <t>verify time</t>
        </is>
      </c>
    </row>
    <row r="1165">
      <c r="A1165" s="0" t="inlineStr">
        <is>
          <t>NYTimes-256</t>
        </is>
      </c>
      <c r="B1165" s="0" t="inlineStr">
        <is>
          <t>F33</t>
        </is>
      </c>
      <c r="C1165" s="0" t="inlineStr">
        <is>
          <t>F36</t>
        </is>
      </c>
      <c r="D1165" s="0" t="n">
        <v>11.8245270833333</v>
      </c>
    </row>
    <row r="1166">
      <c r="A1166" s="0" t="inlineStr">
        <is>
          <t>NYTimes-256</t>
        </is>
      </c>
      <c r="B1166" s="0" t="inlineStr">
        <is>
          <t>G33</t>
        </is>
      </c>
      <c r="C1166" s="0" t="inlineStr">
        <is>
          <t>G36</t>
        </is>
      </c>
      <c r="D1166" s="0" t="n">
        <v>11.8245270833333</v>
      </c>
    </row>
    <row r="1167">
      <c r="A1167" s="0" t="inlineStr">
        <is>
          <t>NYTimes-256</t>
        </is>
      </c>
      <c r="B1167" s="0" t="inlineStr">
        <is>
          <t>H33</t>
        </is>
      </c>
      <c r="C1167" s="0" t="inlineStr">
        <is>
          <t>H36</t>
        </is>
      </c>
      <c r="D1167" s="0" t="n">
        <v>24.84340715</v>
      </c>
    </row>
    <row r="1168">
      <c r="A1168" s="0" t="inlineStr">
        <is>
          <t>NYTimes-256</t>
        </is>
      </c>
      <c r="B1168" s="0" t="inlineStr">
        <is>
          <t>I33</t>
        </is>
      </c>
      <c r="C1168" s="0" t="inlineStr">
        <is>
          <t>I36</t>
        </is>
      </c>
      <c r="D1168" s="0" t="n">
        <v>24.84340715</v>
      </c>
    </row>
    <row r="1169">
      <c r="A1169" s="0" t="inlineStr">
        <is>
          <t>NYTimes-256</t>
        </is>
      </c>
      <c r="B1169" s="0" t="inlineStr">
        <is>
          <t>J33</t>
        </is>
      </c>
      <c r="C1169" s="0" t="inlineStr">
        <is>
          <t>J36</t>
        </is>
      </c>
      <c r="D1169" s="0" t="n">
        <v>49.9269825</v>
      </c>
    </row>
    <row r="1170">
      <c r="A1170" s="0" t="inlineStr">
        <is>
          <t>NYTimes-256</t>
        </is>
      </c>
      <c r="B1170" s="0" t="inlineStr">
        <is>
          <t>K33</t>
        </is>
      </c>
      <c r="C1170" s="0" t="inlineStr">
        <is>
          <t>K36</t>
        </is>
      </c>
      <c r="D1170" s="0" t="n">
        <v>49.9269825</v>
      </c>
    </row>
    <row r="1171">
      <c r="A1171" s="0" t="inlineStr">
        <is>
          <t>NYTimes-256</t>
        </is>
      </c>
      <c r="B1171" s="0" t="inlineStr">
        <is>
          <t>L33</t>
        </is>
      </c>
      <c r="C1171" s="0" t="inlineStr">
        <is>
          <t>L36</t>
        </is>
      </c>
      <c r="D1171" s="0" t="n">
        <v>49.9269825</v>
      </c>
    </row>
    <row r="1172">
      <c r="A1172" s="0" t="inlineStr">
        <is>
          <t>NYTimes-256</t>
        </is>
      </c>
      <c r="B1172" s="0" t="inlineStr">
        <is>
          <t>M33</t>
        </is>
      </c>
      <c r="C1172" s="0" t="inlineStr">
        <is>
          <t>M36</t>
        </is>
      </c>
      <c r="D1172" s="0" t="n">
        <v>63.0482701666667</v>
      </c>
    </row>
    <row r="1173">
      <c r="A1173" s="0" t="inlineStr">
        <is>
          <t>NYTimes-256</t>
        </is>
      </c>
      <c r="B1173" s="0" t="inlineStr">
        <is>
          <t>N33</t>
        </is>
      </c>
      <c r="C1173" s="0" t="inlineStr">
        <is>
          <t>N36</t>
        </is>
      </c>
      <c r="D1173" s="0" t="n">
        <v>63.0482701666667</v>
      </c>
    </row>
    <row r="1174">
      <c r="A1174" s="0" t="inlineStr">
        <is>
          <t>NYTimes-256</t>
        </is>
      </c>
      <c r="B1174" s="0" t="inlineStr">
        <is>
          <t>O33</t>
        </is>
      </c>
      <c r="C1174" s="0" t="inlineStr">
        <is>
          <t>O36</t>
        </is>
      </c>
      <c r="D1174" s="0" t="n">
        <v>272.33098235</v>
      </c>
    </row>
    <row r="1175">
      <c r="A1175" s="0" t="inlineStr">
        <is>
          <t>NYTimes-256</t>
        </is>
      </c>
      <c r="B1175" s="0" t="inlineStr">
        <is>
          <t>P33</t>
        </is>
      </c>
      <c r="C1175" s="0" t="inlineStr">
        <is>
          <t>P36</t>
        </is>
      </c>
      <c r="D1175" s="0" t="n">
        <v>272.33098235</v>
      </c>
    </row>
    <row r="1176">
      <c r="A1176" s="0" t="inlineStr">
        <is>
          <t>NYTimes-256</t>
        </is>
      </c>
      <c r="B1176" s="0" t="inlineStr">
        <is>
          <t>Q33</t>
        </is>
      </c>
      <c r="C1176" s="0" t="inlineStr">
        <is>
          <t>Q36</t>
        </is>
      </c>
      <c r="D1176" s="0" t="n">
        <v>311.96292125</v>
      </c>
    </row>
    <row r="1177">
      <c r="A1177" s="0" t="inlineStr">
        <is>
          <t>NYTimes-256</t>
        </is>
      </c>
      <c r="B1177" s="0" t="inlineStr">
        <is>
          <t>R33</t>
        </is>
      </c>
      <c r="C1177" s="0" t="inlineStr">
        <is>
          <t>R36</t>
        </is>
      </c>
      <c r="D1177" s="0" t="n">
        <v>351.799705383333</v>
      </c>
    </row>
    <row r="1178">
      <c r="A1178" s="0" t="inlineStr">
        <is>
          <t>NYTimes-256</t>
        </is>
      </c>
      <c r="B1178" s="0" t="inlineStr">
        <is>
          <t>S33</t>
        </is>
      </c>
      <c r="C1178" s="0" t="inlineStr">
        <is>
          <t>S36</t>
        </is>
      </c>
      <c r="D1178" s="0" t="n">
        <v>392.74538455</v>
      </c>
    </row>
    <row r="1179">
      <c r="A1179" s="0" t="inlineStr">
        <is>
          <t>NYTimes-256</t>
        </is>
      </c>
      <c r="B1179" s="0" t="inlineStr">
        <is>
          <t>T33</t>
        </is>
      </c>
      <c r="C1179" s="0" t="inlineStr">
        <is>
          <t>T36</t>
        </is>
      </c>
      <c r="D1179" s="0" t="n">
        <v>433.156968933333</v>
      </c>
    </row>
    <row r="1180">
      <c r="A1180" s="0" t="inlineStr">
        <is>
          <t>NYTimes-256</t>
        </is>
      </c>
      <c r="B1180" s="0" t="inlineStr">
        <is>
          <t>U33</t>
        </is>
      </c>
      <c r="C1180" s="0" t="inlineStr">
        <is>
          <t>U36</t>
        </is>
      </c>
      <c r="D1180" s="0" t="n">
        <v>515.45168045</v>
      </c>
    </row>
    <row r="1181">
      <c r="A1181" s="0" t="inlineStr">
        <is>
          <t>NYTimes-256</t>
        </is>
      </c>
      <c r="B1181" s="0" t="inlineStr">
        <is>
          <t>V33</t>
        </is>
      </c>
      <c r="C1181" s="0" t="inlineStr">
        <is>
          <t>V36</t>
        </is>
      </c>
      <c r="D1181" s="0" t="n">
        <v>556.644589733333</v>
      </c>
    </row>
    <row r="1182">
      <c r="A1182" s="0" t="inlineStr">
        <is>
          <t>NYTimes-256</t>
        </is>
      </c>
      <c r="B1182" s="0" t="inlineStr">
        <is>
          <t>W33</t>
        </is>
      </c>
      <c r="C1182" s="0" t="inlineStr">
        <is>
          <t>W36</t>
        </is>
      </c>
      <c r="D1182" s="0" t="n">
        <v>590.977314</v>
      </c>
    </row>
    <row r="1183">
      <c r="A1183" s="0" t="inlineStr">
        <is>
          <t>NYTimes-256</t>
        </is>
      </c>
      <c r="B1183" s="0" t="inlineStr">
        <is>
          <t>X33</t>
        </is>
      </c>
      <c r="C1183" s="0" t="inlineStr">
        <is>
          <t>X36</t>
        </is>
      </c>
      <c r="D1183" s="0" t="n">
        <v>590.977314</v>
      </c>
    </row>
    <row r="1184">
      <c r="A1184" s="0" t="inlineStr">
        <is>
          <t>NYTimes-256</t>
        </is>
      </c>
      <c r="B1184" s="0" t="inlineStr">
        <is>
          <t>Y33</t>
        </is>
      </c>
      <c r="C1184" s="0" t="inlineStr">
        <is>
          <t>Y36</t>
        </is>
      </c>
      <c r="D1184" s="0" t="n">
        <v>590.977314</v>
      </c>
    </row>
    <row r="1185">
      <c r="A1185" s="0" t="inlineStr">
        <is>
          <t>NYTimes-256</t>
        </is>
      </c>
      <c r="B1185" s="0" t="inlineStr">
        <is>
          <t>D34</t>
        </is>
      </c>
      <c r="C1185" s="0" t="inlineStr">
        <is>
          <t>D37</t>
        </is>
      </c>
      <c r="D1185" s="0" t="inlineStr">
        <is>
          <t>ANNProof</t>
        </is>
      </c>
    </row>
    <row r="1186">
      <c r="A1186" s="0" t="inlineStr">
        <is>
          <t>NYTimes-256</t>
        </is>
      </c>
      <c r="B1186" s="0" t="inlineStr">
        <is>
          <t>E34</t>
        </is>
      </c>
      <c r="C1186" s="0" t="inlineStr">
        <is>
          <t>E37</t>
        </is>
      </c>
      <c r="D1186" s="0" t="inlineStr">
        <is>
          <t>Recall rate</t>
        </is>
      </c>
    </row>
    <row r="1187">
      <c r="A1187" s="0" t="inlineStr">
        <is>
          <t>NYTimes-256</t>
        </is>
      </c>
      <c r="B1187" s="0" t="inlineStr">
        <is>
          <t>F34</t>
        </is>
      </c>
      <c r="C1187" s="0" t="inlineStr">
        <is>
          <t>F37</t>
        </is>
      </c>
      <c r="D1187" s="0" t="n">
        <v>84</v>
      </c>
    </row>
    <row r="1188">
      <c r="A1188" s="0" t="inlineStr">
        <is>
          <t>NYTimes-256</t>
        </is>
      </c>
      <c r="B1188" s="0" t="inlineStr">
        <is>
          <t>G34</t>
        </is>
      </c>
      <c r="C1188" s="0" t="inlineStr">
        <is>
          <t>G37</t>
        </is>
      </c>
      <c r="D1188" s="0" t="n">
        <v>84</v>
      </c>
    </row>
    <row r="1189">
      <c r="A1189" s="0" t="inlineStr">
        <is>
          <t>NYTimes-256</t>
        </is>
      </c>
      <c r="B1189" s="0" t="inlineStr">
        <is>
          <t>H34</t>
        </is>
      </c>
      <c r="C1189" s="0" t="inlineStr">
        <is>
          <t>H37</t>
        </is>
      </c>
      <c r="D1189" s="0" t="n">
        <v>84</v>
      </c>
    </row>
    <row r="1190">
      <c r="A1190" s="0" t="inlineStr">
        <is>
          <t>NYTimes-256</t>
        </is>
      </c>
      <c r="B1190" s="0" t="inlineStr">
        <is>
          <t>I34</t>
        </is>
      </c>
      <c r="C1190" s="0" t="inlineStr">
        <is>
          <t>I37</t>
        </is>
      </c>
      <c r="D1190" s="0" t="n">
        <v>84</v>
      </c>
    </row>
    <row r="1191">
      <c r="A1191" s="0" t="inlineStr">
        <is>
          <t>NYTimes-256</t>
        </is>
      </c>
      <c r="B1191" s="0" t="inlineStr">
        <is>
          <t>J34</t>
        </is>
      </c>
      <c r="C1191" s="0" t="inlineStr">
        <is>
          <t>J37</t>
        </is>
      </c>
      <c r="D1191" s="0" t="n">
        <v>84</v>
      </c>
    </row>
    <row r="1192">
      <c r="A1192" s="0" t="inlineStr">
        <is>
          <t>NYTimes-256</t>
        </is>
      </c>
      <c r="B1192" s="0" t="inlineStr">
        <is>
          <t>K34</t>
        </is>
      </c>
      <c r="C1192" s="0" t="inlineStr">
        <is>
          <t>K37</t>
        </is>
      </c>
      <c r="D1192" s="0" t="n">
        <v>84</v>
      </c>
    </row>
    <row r="1193">
      <c r="A1193" s="0" t="inlineStr">
        <is>
          <t>NYTimes-256</t>
        </is>
      </c>
      <c r="B1193" s="0" t="inlineStr">
        <is>
          <t>L34</t>
        </is>
      </c>
      <c r="C1193" s="0" t="inlineStr">
        <is>
          <t>L37</t>
        </is>
      </c>
      <c r="D1193" s="0" t="n">
        <v>84</v>
      </c>
    </row>
    <row r="1194">
      <c r="A1194" s="0" t="inlineStr">
        <is>
          <t>NYTimes-256</t>
        </is>
      </c>
      <c r="B1194" s="0" t="inlineStr">
        <is>
          <t>M34</t>
        </is>
      </c>
      <c r="C1194" s="0" t="inlineStr">
        <is>
          <t>M37</t>
        </is>
      </c>
      <c r="D1194" s="0" t="n">
        <v>84</v>
      </c>
    </row>
    <row r="1195">
      <c r="A1195" s="0" t="inlineStr">
        <is>
          <t>NYTimes-256</t>
        </is>
      </c>
      <c r="B1195" s="0" t="inlineStr">
        <is>
          <t>N34</t>
        </is>
      </c>
      <c r="C1195" s="0" t="inlineStr">
        <is>
          <t>N37</t>
        </is>
      </c>
      <c r="D1195" s="0" t="n">
        <v>84</v>
      </c>
    </row>
    <row r="1196">
      <c r="A1196" s="0" t="inlineStr">
        <is>
          <t>NYTimes-256</t>
        </is>
      </c>
      <c r="B1196" s="0" t="inlineStr">
        <is>
          <t>O34</t>
        </is>
      </c>
      <c r="C1196" s="0" t="inlineStr">
        <is>
          <t>O37</t>
        </is>
      </c>
      <c r="D1196" s="0" t="n">
        <v>84</v>
      </c>
    </row>
    <row r="1197">
      <c r="A1197" s="0" t="inlineStr">
        <is>
          <t>NYTimes-256</t>
        </is>
      </c>
      <c r="B1197" s="0" t="inlineStr">
        <is>
          <t>P34</t>
        </is>
      </c>
      <c r="C1197" s="0" t="inlineStr">
        <is>
          <t>P37</t>
        </is>
      </c>
      <c r="D1197" s="0" t="n">
        <v>84</v>
      </c>
    </row>
    <row r="1198">
      <c r="A1198" s="0" t="inlineStr">
        <is>
          <t>NYTimes-256</t>
        </is>
      </c>
      <c r="B1198" s="0" t="inlineStr">
        <is>
          <t>Q34</t>
        </is>
      </c>
      <c r="C1198" s="0" t="inlineStr">
        <is>
          <t>Q37</t>
        </is>
      </c>
      <c r="D1198" s="0" t="n">
        <v>84</v>
      </c>
    </row>
    <row r="1199">
      <c r="A1199" s="0" t="inlineStr">
        <is>
          <t>NYTimes-256</t>
        </is>
      </c>
      <c r="B1199" s="0" t="inlineStr">
        <is>
          <t>R34</t>
        </is>
      </c>
      <c r="C1199" s="0" t="inlineStr">
        <is>
          <t>R37</t>
        </is>
      </c>
      <c r="D1199" s="0" t="n">
        <v>84</v>
      </c>
    </row>
    <row r="1200">
      <c r="A1200" s="0" t="inlineStr">
        <is>
          <t>NYTimes-256</t>
        </is>
      </c>
      <c r="B1200" s="0" t="inlineStr">
        <is>
          <t>S34</t>
        </is>
      </c>
      <c r="C1200" s="0" t="inlineStr">
        <is>
          <t>S37</t>
        </is>
      </c>
      <c r="D1200" s="0" t="n">
        <v>84</v>
      </c>
    </row>
    <row r="1201">
      <c r="A1201" s="0" t="inlineStr">
        <is>
          <t>NYTimes-256</t>
        </is>
      </c>
      <c r="B1201" s="0" t="inlineStr">
        <is>
          <t>T34</t>
        </is>
      </c>
      <c r="C1201" s="0" t="inlineStr">
        <is>
          <t>T37</t>
        </is>
      </c>
      <c r="D1201" s="0" t="n">
        <v>85.5</v>
      </c>
    </row>
    <row r="1202">
      <c r="A1202" s="0" t="inlineStr">
        <is>
          <t>NYTimes-256</t>
        </is>
      </c>
      <c r="B1202" s="0" t="inlineStr">
        <is>
          <t>U34</t>
        </is>
      </c>
      <c r="C1202" s="0" t="inlineStr">
        <is>
          <t>U37</t>
        </is>
      </c>
      <c r="D1202" s="0" t="n">
        <v>90</v>
      </c>
    </row>
    <row r="1203">
      <c r="A1203" s="0" t="inlineStr">
        <is>
          <t>NYTimes-256</t>
        </is>
      </c>
      <c r="B1203" s="0" t="inlineStr">
        <is>
          <t>V34</t>
        </is>
      </c>
      <c r="C1203" s="0" t="inlineStr">
        <is>
          <t>V37</t>
        </is>
      </c>
      <c r="D1203" s="0" t="n">
        <v>96</v>
      </c>
    </row>
    <row r="1204">
      <c r="A1204" s="0" t="inlineStr">
        <is>
          <t>NYTimes-256</t>
        </is>
      </c>
      <c r="B1204" s="0" t="inlineStr">
        <is>
          <t>W34</t>
        </is>
      </c>
      <c r="C1204" s="0" t="inlineStr">
        <is>
          <t>W37</t>
        </is>
      </c>
      <c r="D1204" s="0" t="n">
        <v>97</v>
      </c>
    </row>
    <row r="1205">
      <c r="A1205" s="0" t="inlineStr">
        <is>
          <t>NYTimes-256</t>
        </is>
      </c>
      <c r="B1205" s="0" t="inlineStr">
        <is>
          <t>X34</t>
        </is>
      </c>
      <c r="C1205" s="0" t="inlineStr">
        <is>
          <t>X37</t>
        </is>
      </c>
      <c r="D1205" s="0" t="n">
        <v>98.5</v>
      </c>
    </row>
    <row r="1206">
      <c r="A1206" s="0" t="inlineStr">
        <is>
          <t>NYTimes-256</t>
        </is>
      </c>
      <c r="B1206" s="0" t="inlineStr">
        <is>
          <t>Y34</t>
        </is>
      </c>
      <c r="C1206" s="0" t="inlineStr">
        <is>
          <t>Y37</t>
        </is>
      </c>
      <c r="D1206" s="0" t="n">
        <v>100</v>
      </c>
    </row>
    <row r="1207">
      <c r="A1207" s="0" t="inlineStr">
        <is>
          <t>NYTimes-256</t>
        </is>
      </c>
      <c r="B1207" s="0" t="inlineStr">
        <is>
          <t>E35</t>
        </is>
      </c>
      <c r="C1207" s="0" t="inlineStr">
        <is>
          <t>E38</t>
        </is>
      </c>
      <c r="D1207" s="0" t="inlineStr">
        <is>
          <t>verify time</t>
        </is>
      </c>
    </row>
    <row r="1208">
      <c r="A1208" s="0" t="inlineStr">
        <is>
          <t>NYTimes-256</t>
        </is>
      </c>
      <c r="B1208" s="0" t="inlineStr">
        <is>
          <t>F35</t>
        </is>
      </c>
      <c r="C1208" s="0" t="inlineStr">
        <is>
          <t>F38</t>
        </is>
      </c>
      <c r="D1208" s="0" t="n">
        <v>6.00087845</v>
      </c>
    </row>
    <row r="1209">
      <c r="A1209" s="0" t="inlineStr">
        <is>
          <t>NYTimes-256</t>
        </is>
      </c>
      <c r="B1209" s="0" t="inlineStr">
        <is>
          <t>G35</t>
        </is>
      </c>
      <c r="C1209" s="0" t="inlineStr">
        <is>
          <t>G38</t>
        </is>
      </c>
      <c r="D1209" s="0" t="n">
        <v>6.00087845</v>
      </c>
    </row>
    <row r="1210">
      <c r="A1210" s="0" t="inlineStr">
        <is>
          <t>NYTimes-256</t>
        </is>
      </c>
      <c r="B1210" s="0" t="inlineStr">
        <is>
          <t>H35</t>
        </is>
      </c>
      <c r="C1210" s="0" t="inlineStr">
        <is>
          <t>H38</t>
        </is>
      </c>
      <c r="D1210" s="0" t="n">
        <v>6.00087845</v>
      </c>
    </row>
    <row r="1211">
      <c r="A1211" s="0" t="inlineStr">
        <is>
          <t>NYTimes-256</t>
        </is>
      </c>
      <c r="B1211" s="0" t="inlineStr">
        <is>
          <t>I35</t>
        </is>
      </c>
      <c r="C1211" s="0" t="inlineStr">
        <is>
          <t>I38</t>
        </is>
      </c>
      <c r="D1211" s="0" t="n">
        <v>6.00087845</v>
      </c>
    </row>
    <row r="1212">
      <c r="A1212" s="0" t="inlineStr">
        <is>
          <t>NYTimes-256</t>
        </is>
      </c>
      <c r="B1212" s="0" t="inlineStr">
        <is>
          <t>J35</t>
        </is>
      </c>
      <c r="C1212" s="0" t="inlineStr">
        <is>
          <t>J38</t>
        </is>
      </c>
      <c r="D1212" s="0" t="n">
        <v>6.00087845</v>
      </c>
    </row>
    <row r="1213">
      <c r="A1213" s="0" t="inlineStr">
        <is>
          <t>NYTimes-256</t>
        </is>
      </c>
      <c r="B1213" s="0" t="inlineStr">
        <is>
          <t>K35</t>
        </is>
      </c>
      <c r="C1213" s="0" t="inlineStr">
        <is>
          <t>K38</t>
        </is>
      </c>
      <c r="D1213" s="0" t="n">
        <v>6.00087845</v>
      </c>
    </row>
    <row r="1214">
      <c r="A1214" s="0" t="inlineStr">
        <is>
          <t>NYTimes-256</t>
        </is>
      </c>
      <c r="B1214" s="0" t="inlineStr">
        <is>
          <t>L35</t>
        </is>
      </c>
      <c r="C1214" s="0" t="inlineStr">
        <is>
          <t>L38</t>
        </is>
      </c>
      <c r="D1214" s="0" t="n">
        <v>6.00087845</v>
      </c>
    </row>
    <row r="1215">
      <c r="A1215" s="0" t="inlineStr">
        <is>
          <t>NYTimes-256</t>
        </is>
      </c>
      <c r="B1215" s="0" t="inlineStr">
        <is>
          <t>M35</t>
        </is>
      </c>
      <c r="C1215" s="0" t="inlineStr">
        <is>
          <t>M38</t>
        </is>
      </c>
      <c r="D1215" s="0" t="n">
        <v>6.00087845</v>
      </c>
    </row>
    <row r="1216">
      <c r="A1216" s="0" t="inlineStr">
        <is>
          <t>NYTimes-256</t>
        </is>
      </c>
      <c r="B1216" s="0" t="inlineStr">
        <is>
          <t>N35</t>
        </is>
      </c>
      <c r="C1216" s="0" t="inlineStr">
        <is>
          <t>N38</t>
        </is>
      </c>
      <c r="D1216" s="0" t="n">
        <v>6.00087845</v>
      </c>
    </row>
    <row r="1217">
      <c r="A1217" s="0" t="inlineStr">
        <is>
          <t>NYTimes-256</t>
        </is>
      </c>
      <c r="B1217" s="0" t="inlineStr">
        <is>
          <t>O35</t>
        </is>
      </c>
      <c r="C1217" s="0" t="inlineStr">
        <is>
          <t>O38</t>
        </is>
      </c>
      <c r="D1217" s="0" t="n">
        <v>6.37703646666667</v>
      </c>
    </row>
    <row r="1218">
      <c r="A1218" s="0" t="inlineStr">
        <is>
          <t>NYTimes-256</t>
        </is>
      </c>
      <c r="B1218" s="0" t="inlineStr">
        <is>
          <t>P35</t>
        </is>
      </c>
      <c r="C1218" s="0" t="inlineStr">
        <is>
          <t>P38</t>
        </is>
      </c>
      <c r="D1218" s="0" t="n">
        <v>6.37703646666667</v>
      </c>
    </row>
    <row r="1219">
      <c r="A1219" s="0" t="inlineStr">
        <is>
          <t>NYTimes-256</t>
        </is>
      </c>
      <c r="B1219" s="0" t="inlineStr">
        <is>
          <t>Q35</t>
        </is>
      </c>
      <c r="C1219" s="0" t="inlineStr">
        <is>
          <t>Q38</t>
        </is>
      </c>
      <c r="D1219" s="0" t="n">
        <v>6.37703646666667</v>
      </c>
    </row>
    <row r="1220">
      <c r="A1220" s="0" t="inlineStr">
        <is>
          <t>NYTimes-256</t>
        </is>
      </c>
      <c r="B1220" s="0" t="inlineStr">
        <is>
          <t>R35</t>
        </is>
      </c>
      <c r="C1220" s="0" t="inlineStr">
        <is>
          <t>R38</t>
        </is>
      </c>
      <c r="D1220" s="0" t="n">
        <v>6.37703646666667</v>
      </c>
    </row>
    <row r="1221">
      <c r="A1221" s="0" t="inlineStr">
        <is>
          <t>NYTimes-256</t>
        </is>
      </c>
      <c r="B1221" s="0" t="inlineStr">
        <is>
          <t>S35</t>
        </is>
      </c>
      <c r="C1221" s="0" t="inlineStr">
        <is>
          <t>S38</t>
        </is>
      </c>
      <c r="D1221" s="0" t="n">
        <v>6.37703646666667</v>
      </c>
    </row>
    <row r="1222">
      <c r="A1222" s="0" t="inlineStr">
        <is>
          <t>NYTimes-256</t>
        </is>
      </c>
      <c r="B1222" s="0" t="inlineStr">
        <is>
          <t>T35</t>
        </is>
      </c>
      <c r="C1222" s="0" t="inlineStr">
        <is>
          <t>T38</t>
        </is>
      </c>
      <c r="D1222" s="0" t="n">
        <v>12.07894735</v>
      </c>
    </row>
    <row r="1223">
      <c r="A1223" s="0" t="inlineStr">
        <is>
          <t>NYTimes-256</t>
        </is>
      </c>
      <c r="B1223" s="0" t="inlineStr">
        <is>
          <t>U35</t>
        </is>
      </c>
      <c r="C1223" s="0" t="inlineStr">
        <is>
          <t>U38</t>
        </is>
      </c>
      <c r="D1223" s="0" t="n">
        <v>20.1642276166667</v>
      </c>
    </row>
    <row r="1224">
      <c r="A1224" s="0" t="inlineStr">
        <is>
          <t>NYTimes-256</t>
        </is>
      </c>
      <c r="B1224" s="0" t="inlineStr">
        <is>
          <t>V35</t>
        </is>
      </c>
      <c r="C1224" s="0" t="inlineStr">
        <is>
          <t>V38</t>
        </is>
      </c>
      <c r="D1224" s="0" t="n">
        <v>86.1523698333333</v>
      </c>
    </row>
    <row r="1225">
      <c r="A1225" s="0" t="inlineStr">
        <is>
          <t>NYTimes-256</t>
        </is>
      </c>
      <c r="B1225" s="0" t="inlineStr">
        <is>
          <t>W35</t>
        </is>
      </c>
      <c r="C1225" s="0" t="inlineStr">
        <is>
          <t>W38</t>
        </is>
      </c>
      <c r="D1225" s="0" t="n">
        <v>158.61361355</v>
      </c>
    </row>
    <row r="1226">
      <c r="A1226" s="0" t="inlineStr">
        <is>
          <t>NYTimes-256</t>
        </is>
      </c>
      <c r="B1226" s="0" t="inlineStr">
        <is>
          <t>X35</t>
        </is>
      </c>
      <c r="C1226" s="0" t="inlineStr">
        <is>
          <t>X38</t>
        </is>
      </c>
      <c r="D1226" s="0" t="n">
        <v>204.722528233333</v>
      </c>
    </row>
    <row r="1227">
      <c r="A1227" s="0" t="inlineStr">
        <is>
          <t>NYTimes-256</t>
        </is>
      </c>
      <c r="B1227" s="0" t="inlineStr">
        <is>
          <t>Y35</t>
        </is>
      </c>
      <c r="C1227" s="0" t="inlineStr">
        <is>
          <t>Y38</t>
        </is>
      </c>
      <c r="D1227" s="0" t="n">
        <v>295.476212833333</v>
      </c>
    </row>
    <row r="1228">
      <c r="A1228" s="0" t="inlineStr">
        <is>
          <t>NYTimes-256</t>
        </is>
      </c>
      <c r="B1228" s="0" t="inlineStr">
        <is>
          <t>D36</t>
        </is>
      </c>
      <c r="C1228" s="0" t="inlineStr">
        <is>
          <t>D39</t>
        </is>
      </c>
      <c r="D1228" s="0" t="inlineStr">
        <is>
          <t>Ours</t>
        </is>
      </c>
    </row>
    <row r="1229">
      <c r="A1229" s="0" t="inlineStr">
        <is>
          <t>NYTimes-256</t>
        </is>
      </c>
      <c r="B1229" s="0" t="inlineStr">
        <is>
          <t>E36</t>
        </is>
      </c>
      <c r="C1229" s="0" t="inlineStr">
        <is>
          <t>E39</t>
        </is>
      </c>
      <c r="D1229" s="0" t="inlineStr">
        <is>
          <t>Recall rate</t>
        </is>
      </c>
    </row>
    <row r="1230">
      <c r="A1230" s="0" t="inlineStr">
        <is>
          <t>NYTimes-256</t>
        </is>
      </c>
      <c r="B1230" s="0" t="inlineStr">
        <is>
          <t>F36</t>
        </is>
      </c>
      <c r="C1230" s="0" t="inlineStr">
        <is>
          <t>F39</t>
        </is>
      </c>
      <c r="D1230" s="0" t="n">
        <v>20.5</v>
      </c>
    </row>
    <row r="1231">
      <c r="A1231" s="0" t="inlineStr">
        <is>
          <t>NYTimes-256</t>
        </is>
      </c>
      <c r="B1231" s="0" t="inlineStr">
        <is>
          <t>G36</t>
        </is>
      </c>
      <c r="C1231" s="0" t="inlineStr">
        <is>
          <t>G39</t>
        </is>
      </c>
      <c r="D1231" s="0" t="n">
        <v>20.5</v>
      </c>
    </row>
    <row r="1232">
      <c r="A1232" s="0" t="inlineStr">
        <is>
          <t>NYTimes-256</t>
        </is>
      </c>
      <c r="B1232" s="0" t="inlineStr">
        <is>
          <t>H36</t>
        </is>
      </c>
      <c r="C1232" s="0" t="inlineStr">
        <is>
          <t>H39</t>
        </is>
      </c>
      <c r="D1232" s="0" t="n">
        <v>30</v>
      </c>
    </row>
    <row r="1233">
      <c r="A1233" s="0" t="inlineStr">
        <is>
          <t>NYTimes-256</t>
        </is>
      </c>
      <c r="B1233" s="0" t="inlineStr">
        <is>
          <t>I36</t>
        </is>
      </c>
      <c r="C1233" s="0" t="inlineStr">
        <is>
          <t>I39</t>
        </is>
      </c>
      <c r="D1233" s="0" t="n">
        <v>30</v>
      </c>
    </row>
    <row r="1234">
      <c r="A1234" s="0" t="inlineStr">
        <is>
          <t>NYTimes-256</t>
        </is>
      </c>
      <c r="B1234" s="0" t="inlineStr">
        <is>
          <t>J36</t>
        </is>
      </c>
      <c r="C1234" s="0" t="inlineStr">
        <is>
          <t>J39</t>
        </is>
      </c>
      <c r="D1234" s="0" t="n">
        <v>40</v>
      </c>
    </row>
    <row r="1235">
      <c r="A1235" s="0" t="inlineStr">
        <is>
          <t>NYTimes-256</t>
        </is>
      </c>
      <c r="B1235" s="0" t="inlineStr">
        <is>
          <t>K36</t>
        </is>
      </c>
      <c r="C1235" s="0" t="inlineStr">
        <is>
          <t>K39</t>
        </is>
      </c>
      <c r="D1235" s="0" t="n">
        <v>40</v>
      </c>
    </row>
    <row r="1236">
      <c r="A1236" s="0" t="inlineStr">
        <is>
          <t>NYTimes-256</t>
        </is>
      </c>
      <c r="B1236" s="0" t="inlineStr">
        <is>
          <t>L36</t>
        </is>
      </c>
      <c r="C1236" s="0" t="inlineStr">
        <is>
          <t>L39</t>
        </is>
      </c>
      <c r="D1236" s="0" t="n">
        <v>46.5</v>
      </c>
    </row>
    <row r="1237">
      <c r="A1237" s="0" t="inlineStr">
        <is>
          <t>NYTimes-256</t>
        </is>
      </c>
      <c r="B1237" s="0" t="inlineStr">
        <is>
          <t>M36</t>
        </is>
      </c>
      <c r="C1237" s="0" t="inlineStr">
        <is>
          <t>M39</t>
        </is>
      </c>
      <c r="D1237" s="0" t="n">
        <v>51</v>
      </c>
    </row>
    <row r="1238">
      <c r="A1238" s="0" t="inlineStr">
        <is>
          <t>NYTimes-256</t>
        </is>
      </c>
      <c r="B1238" s="0" t="inlineStr">
        <is>
          <t>N36</t>
        </is>
      </c>
      <c r="C1238" s="0" t="inlineStr">
        <is>
          <t>N39</t>
        </is>
      </c>
      <c r="D1238" s="0" t="n">
        <v>55.5</v>
      </c>
    </row>
    <row r="1239">
      <c r="A1239" s="0" t="inlineStr">
        <is>
          <t>NYTimes-256</t>
        </is>
      </c>
      <c r="B1239" s="0" t="inlineStr">
        <is>
          <t>O36</t>
        </is>
      </c>
      <c r="C1239" s="0" t="inlineStr">
        <is>
          <t>O39</t>
        </is>
      </c>
      <c r="D1239" s="0" t="n">
        <v>61</v>
      </c>
    </row>
    <row r="1240">
      <c r="A1240" s="0" t="inlineStr">
        <is>
          <t>NYTimes-256</t>
        </is>
      </c>
      <c r="B1240" s="0" t="inlineStr">
        <is>
          <t>P36</t>
        </is>
      </c>
      <c r="C1240" s="0" t="inlineStr">
        <is>
          <t>P39</t>
        </is>
      </c>
      <c r="D1240" s="0" t="n">
        <v>70</v>
      </c>
    </row>
    <row r="1241">
      <c r="A1241" s="0" t="inlineStr">
        <is>
          <t>NYTimes-256</t>
        </is>
      </c>
      <c r="B1241" s="0" t="inlineStr">
        <is>
          <t>Q36</t>
        </is>
      </c>
      <c r="C1241" s="0" t="inlineStr">
        <is>
          <t>Q39</t>
        </is>
      </c>
      <c r="D1241" s="0" t="n">
        <v>70</v>
      </c>
    </row>
    <row r="1242">
      <c r="A1242" s="0" t="inlineStr">
        <is>
          <t>NYTimes-256</t>
        </is>
      </c>
      <c r="B1242" s="0" t="inlineStr">
        <is>
          <t>R36</t>
        </is>
      </c>
      <c r="C1242" s="0" t="inlineStr">
        <is>
          <t>R39</t>
        </is>
      </c>
      <c r="D1242" s="0" t="n">
        <v>82.5</v>
      </c>
    </row>
    <row r="1243">
      <c r="A1243" s="0" t="inlineStr">
        <is>
          <t>NYTimes-256</t>
        </is>
      </c>
      <c r="B1243" s="0" t="inlineStr">
        <is>
          <t>S36</t>
        </is>
      </c>
      <c r="C1243" s="0" t="inlineStr">
        <is>
          <t>S39</t>
        </is>
      </c>
      <c r="D1243" s="0" t="n">
        <v>82.5</v>
      </c>
    </row>
    <row r="1244">
      <c r="A1244" s="0" t="inlineStr">
        <is>
          <t>NYTimes-256</t>
        </is>
      </c>
      <c r="B1244" s="0" t="inlineStr">
        <is>
          <t>T36</t>
        </is>
      </c>
      <c r="C1244" s="0" t="inlineStr">
        <is>
          <t>T39</t>
        </is>
      </c>
      <c r="D1244" s="0" t="n">
        <v>85.5</v>
      </c>
    </row>
    <row r="1245">
      <c r="A1245" s="0" t="inlineStr">
        <is>
          <t>NYTimes-256</t>
        </is>
      </c>
      <c r="B1245" s="0" t="inlineStr">
        <is>
          <t>U36</t>
        </is>
      </c>
      <c r="C1245" s="0" t="inlineStr">
        <is>
          <t>U39</t>
        </is>
      </c>
      <c r="D1245" s="0" t="n">
        <v>90.5</v>
      </c>
    </row>
    <row r="1246">
      <c r="A1246" s="0" t="inlineStr">
        <is>
          <t>NYTimes-256</t>
        </is>
      </c>
      <c r="B1246" s="0" t="inlineStr">
        <is>
          <t>V36</t>
        </is>
      </c>
      <c r="C1246" s="0" t="inlineStr">
        <is>
          <t>V39</t>
        </is>
      </c>
      <c r="D1246" s="0" t="n">
        <v>95.5</v>
      </c>
    </row>
    <row r="1247">
      <c r="A1247" s="0" t="inlineStr">
        <is>
          <t>NYTimes-256</t>
        </is>
      </c>
      <c r="B1247" s="0" t="inlineStr">
        <is>
          <t>W36</t>
        </is>
      </c>
      <c r="C1247" s="0" t="inlineStr">
        <is>
          <t>W39</t>
        </is>
      </c>
      <c r="D1247" s="0" t="n">
        <v>97</v>
      </c>
    </row>
    <row r="1248">
      <c r="A1248" s="0" t="inlineStr">
        <is>
          <t>NYTimes-256</t>
        </is>
      </c>
      <c r="B1248" s="0" t="inlineStr">
        <is>
          <t>X36</t>
        </is>
      </c>
      <c r="C1248" s="0" t="inlineStr">
        <is>
          <t>X39</t>
        </is>
      </c>
      <c r="D1248" s="0" t="n">
        <v>98</v>
      </c>
    </row>
    <row r="1249">
      <c r="A1249" s="0" t="inlineStr">
        <is>
          <t>NYTimes-256</t>
        </is>
      </c>
      <c r="B1249" s="0" t="inlineStr">
        <is>
          <t>Y36</t>
        </is>
      </c>
      <c r="C1249" s="0" t="inlineStr">
        <is>
          <t>Y39</t>
        </is>
      </c>
      <c r="D1249" s="0" t="n">
        <v>100</v>
      </c>
    </row>
    <row r="1250">
      <c r="A1250" s="0" t="inlineStr">
        <is>
          <t>NYTimes-256</t>
        </is>
      </c>
      <c r="B1250" s="0" t="inlineStr">
        <is>
          <t>E37</t>
        </is>
      </c>
      <c r="C1250" s="0" t="inlineStr">
        <is>
          <t>E40</t>
        </is>
      </c>
      <c r="D1250" s="0" t="inlineStr">
        <is>
          <t>verify time</t>
        </is>
      </c>
    </row>
    <row r="1251">
      <c r="A1251" s="0" t="inlineStr">
        <is>
          <t>NYTimes-256</t>
        </is>
      </c>
      <c r="B1251" s="0" t="inlineStr">
        <is>
          <t>F37</t>
        </is>
      </c>
      <c r="C1251" s="0" t="inlineStr">
        <is>
          <t>F40</t>
        </is>
      </c>
      <c r="D1251" s="0" t="n">
        <v>1.91927213333333</v>
      </c>
    </row>
    <row r="1252">
      <c r="A1252" s="0" t="inlineStr">
        <is>
          <t>NYTimes-256</t>
        </is>
      </c>
      <c r="B1252" s="0" t="inlineStr">
        <is>
          <t>G37</t>
        </is>
      </c>
      <c r="C1252" s="0" t="inlineStr">
        <is>
          <t>G40</t>
        </is>
      </c>
      <c r="D1252" s="0" t="n">
        <v>1.91927213333333</v>
      </c>
    </row>
    <row r="1253">
      <c r="A1253" s="0" t="inlineStr">
        <is>
          <t>NYTimes-256</t>
        </is>
      </c>
      <c r="B1253" s="0" t="inlineStr">
        <is>
          <t>H37</t>
        </is>
      </c>
      <c r="C1253" s="0" t="inlineStr">
        <is>
          <t>H40</t>
        </is>
      </c>
      <c r="D1253" s="0" t="n">
        <v>2.0790368</v>
      </c>
    </row>
    <row r="1254">
      <c r="A1254" s="0" t="inlineStr">
        <is>
          <t>NYTimes-256</t>
        </is>
      </c>
      <c r="B1254" s="0" t="inlineStr">
        <is>
          <t>I37</t>
        </is>
      </c>
      <c r="C1254" s="0" t="inlineStr">
        <is>
          <t>I40</t>
        </is>
      </c>
      <c r="D1254" s="0" t="n">
        <v>2.0790368</v>
      </c>
    </row>
    <row r="1255">
      <c r="A1255" s="0" t="inlineStr">
        <is>
          <t>NYTimes-256</t>
        </is>
      </c>
      <c r="B1255" s="0" t="inlineStr">
        <is>
          <t>J37</t>
        </is>
      </c>
      <c r="C1255" s="0" t="inlineStr">
        <is>
          <t>J40</t>
        </is>
      </c>
      <c r="D1255" s="0" t="n">
        <v>2.29411655</v>
      </c>
    </row>
    <row r="1256">
      <c r="A1256" s="0" t="inlineStr">
        <is>
          <t>NYTimes-256</t>
        </is>
      </c>
      <c r="B1256" s="0" t="inlineStr">
        <is>
          <t>K37</t>
        </is>
      </c>
      <c r="C1256" s="0" t="inlineStr">
        <is>
          <t>K40</t>
        </is>
      </c>
      <c r="D1256" s="0" t="n">
        <v>2.29411655</v>
      </c>
    </row>
    <row r="1257">
      <c r="A1257" s="0" t="inlineStr">
        <is>
          <t>NYTimes-256</t>
        </is>
      </c>
      <c r="B1257" s="0" t="inlineStr">
        <is>
          <t>L37</t>
        </is>
      </c>
      <c r="C1257" s="0" t="inlineStr">
        <is>
          <t>L40</t>
        </is>
      </c>
      <c r="D1257" s="0" t="n">
        <v>2.31848076666667</v>
      </c>
    </row>
    <row r="1258">
      <c r="A1258" s="0" t="inlineStr">
        <is>
          <t>NYTimes-256</t>
        </is>
      </c>
      <c r="B1258" s="0" t="inlineStr">
        <is>
          <t>M37</t>
        </is>
      </c>
      <c r="C1258" s="0" t="inlineStr">
        <is>
          <t>M40</t>
        </is>
      </c>
      <c r="D1258" s="0" t="n">
        <v>2.44207511666667</v>
      </c>
    </row>
    <row r="1259">
      <c r="A1259" s="0" t="inlineStr">
        <is>
          <t>NYTimes-256</t>
        </is>
      </c>
      <c r="B1259" s="0" t="inlineStr">
        <is>
          <t>N37</t>
        </is>
      </c>
      <c r="C1259" s="0" t="inlineStr">
        <is>
          <t>N40</t>
        </is>
      </c>
      <c r="D1259" s="0" t="n">
        <v>2.7583536</v>
      </c>
    </row>
    <row r="1260">
      <c r="A1260" s="0" t="inlineStr">
        <is>
          <t>NYTimes-256</t>
        </is>
      </c>
      <c r="B1260" s="0" t="inlineStr">
        <is>
          <t>O37</t>
        </is>
      </c>
      <c r="C1260" s="0" t="inlineStr">
        <is>
          <t>O40</t>
        </is>
      </c>
      <c r="D1260" s="0" t="n">
        <v>3.15162981666667</v>
      </c>
    </row>
    <row r="1261">
      <c r="A1261" s="0" t="inlineStr">
        <is>
          <t>NYTimes-256</t>
        </is>
      </c>
      <c r="B1261" s="0" t="inlineStr">
        <is>
          <t>P37</t>
        </is>
      </c>
      <c r="C1261" s="0" t="inlineStr">
        <is>
          <t>P40</t>
        </is>
      </c>
      <c r="D1261" s="0" t="n">
        <v>4.04489688333333</v>
      </c>
    </row>
    <row r="1262">
      <c r="A1262" s="0" t="inlineStr">
        <is>
          <t>NYTimes-256</t>
        </is>
      </c>
      <c r="B1262" s="0" t="inlineStr">
        <is>
          <t>Q37</t>
        </is>
      </c>
      <c r="C1262" s="0" t="inlineStr">
        <is>
          <t>Q40</t>
        </is>
      </c>
      <c r="D1262" s="0" t="n">
        <v>4.04489688333333</v>
      </c>
    </row>
    <row r="1263">
      <c r="A1263" s="0" t="inlineStr">
        <is>
          <t>NYTimes-256</t>
        </is>
      </c>
      <c r="B1263" s="0" t="inlineStr">
        <is>
          <t>R37</t>
        </is>
      </c>
      <c r="C1263" s="0" t="inlineStr">
        <is>
          <t>R40</t>
        </is>
      </c>
      <c r="D1263" s="0" t="n">
        <v>4.75943038333333</v>
      </c>
    </row>
    <row r="1264">
      <c r="A1264" s="0" t="inlineStr">
        <is>
          <t>NYTimes-256</t>
        </is>
      </c>
      <c r="B1264" s="0" t="inlineStr">
        <is>
          <t>S37</t>
        </is>
      </c>
      <c r="C1264" s="0" t="inlineStr">
        <is>
          <t>S40</t>
        </is>
      </c>
      <c r="D1264" s="0" t="n">
        <v>4.75943038333333</v>
      </c>
    </row>
    <row r="1265">
      <c r="A1265" s="0" t="inlineStr">
        <is>
          <t>NYTimes-256</t>
        </is>
      </c>
      <c r="B1265" s="0" t="inlineStr">
        <is>
          <t>T37</t>
        </is>
      </c>
      <c r="C1265" s="0" t="inlineStr">
        <is>
          <t>T40</t>
        </is>
      </c>
      <c r="D1265" s="0" t="n">
        <v>7.83703861666667</v>
      </c>
    </row>
    <row r="1266">
      <c r="A1266" s="0" t="inlineStr">
        <is>
          <t>NYTimes-256</t>
        </is>
      </c>
      <c r="B1266" s="0" t="inlineStr">
        <is>
          <t>U37</t>
        </is>
      </c>
      <c r="C1266" s="0" t="inlineStr">
        <is>
          <t>U40</t>
        </is>
      </c>
      <c r="D1266" s="0" t="n">
        <v>10.51414495</v>
      </c>
    </row>
    <row r="1267">
      <c r="A1267" s="0" t="inlineStr">
        <is>
          <t>NYTimes-256</t>
        </is>
      </c>
      <c r="B1267" s="0" t="inlineStr">
        <is>
          <t>V37</t>
        </is>
      </c>
      <c r="C1267" s="0" t="inlineStr">
        <is>
          <t>V40</t>
        </is>
      </c>
      <c r="D1267" s="0" t="n">
        <v>22.1553105166667</v>
      </c>
    </row>
    <row r="1268">
      <c r="A1268" s="0" t="inlineStr">
        <is>
          <t>NYTimes-256</t>
        </is>
      </c>
      <c r="B1268" s="0" t="inlineStr">
        <is>
          <t>W37</t>
        </is>
      </c>
      <c r="C1268" s="0" t="inlineStr">
        <is>
          <t>W40</t>
        </is>
      </c>
      <c r="D1268" s="0" t="n">
        <v>39.7045313</v>
      </c>
    </row>
    <row r="1269">
      <c r="A1269" s="0" t="inlineStr">
        <is>
          <t>NYTimes-256</t>
        </is>
      </c>
      <c r="B1269" s="0" t="inlineStr">
        <is>
          <t>X37</t>
        </is>
      </c>
      <c r="C1269" s="0" t="inlineStr">
        <is>
          <t>X40</t>
        </is>
      </c>
      <c r="D1269" s="0" t="n">
        <v>74.0049278666667</v>
      </c>
    </row>
    <row r="1270">
      <c r="A1270" s="0" t="inlineStr">
        <is>
          <t>NYTimes-256</t>
        </is>
      </c>
      <c r="B1270" s="0" t="inlineStr">
        <is>
          <t>Y37</t>
        </is>
      </c>
      <c r="C1270" s="0" t="inlineStr">
        <is>
          <t>Y40</t>
        </is>
      </c>
      <c r="D1270" s="0" t="n">
        <v>108.36732445</v>
      </c>
    </row>
    <row r="1271">
      <c r="A1271" s="0" t="inlineStr">
        <is>
          <t>NYTimes-256</t>
        </is>
      </c>
      <c r="B1271" s="0" t="inlineStr">
        <is>
          <t>D38</t>
        </is>
      </c>
      <c r="C1271" s="0" t="inlineStr">
        <is>
          <t>D41</t>
        </is>
      </c>
      <c r="D1271" s="0" t="inlineStr">
        <is>
          <t>V3DB（单次）</t>
        </is>
      </c>
    </row>
    <row r="1272">
      <c r="A1272" s="0" t="inlineStr">
        <is>
          <t>NYTimes-256</t>
        </is>
      </c>
      <c r="B1272" s="0" t="inlineStr">
        <is>
          <t>E38</t>
        </is>
      </c>
      <c r="C1272" s="0" t="inlineStr">
        <is>
          <t>E41</t>
        </is>
      </c>
      <c r="D1272" s="0" t="inlineStr">
        <is>
          <t>Recall rate</t>
        </is>
      </c>
    </row>
    <row r="1273">
      <c r="A1273" s="0" t="inlineStr">
        <is>
          <t>NYTimes-256</t>
        </is>
      </c>
      <c r="B1273" s="0" t="inlineStr">
        <is>
          <t>F38</t>
        </is>
      </c>
      <c r="C1273" s="0" t="inlineStr">
        <is>
          <t>F41</t>
        </is>
      </c>
      <c r="D1273" s="0" t="n">
        <v>32.5</v>
      </c>
    </row>
    <row r="1274">
      <c r="A1274" s="0" t="inlineStr">
        <is>
          <t>NYTimes-256</t>
        </is>
      </c>
      <c r="B1274" s="0" t="inlineStr">
        <is>
          <t>G38</t>
        </is>
      </c>
      <c r="C1274" s="0" t="inlineStr">
        <is>
          <t>G41</t>
        </is>
      </c>
      <c r="D1274" s="0" t="n">
        <v>32.5</v>
      </c>
    </row>
    <row r="1275">
      <c r="A1275" s="0" t="inlineStr">
        <is>
          <t>NYTimes-256</t>
        </is>
      </c>
      <c r="B1275" s="0" t="inlineStr">
        <is>
          <t>H38</t>
        </is>
      </c>
      <c r="C1275" s="0" t="inlineStr">
        <is>
          <t>H41</t>
        </is>
      </c>
      <c r="D1275" s="0" t="n">
        <v>32.5</v>
      </c>
    </row>
    <row r="1276">
      <c r="A1276" s="0" t="inlineStr">
        <is>
          <t>NYTimes-256</t>
        </is>
      </c>
      <c r="B1276" s="0" t="inlineStr">
        <is>
          <t>I38</t>
        </is>
      </c>
      <c r="C1276" s="0" t="inlineStr">
        <is>
          <t>I41</t>
        </is>
      </c>
      <c r="D1276" s="0" t="n">
        <v>32.5</v>
      </c>
    </row>
    <row r="1277">
      <c r="A1277" s="0" t="inlineStr">
        <is>
          <t>NYTimes-256</t>
        </is>
      </c>
      <c r="B1277" s="0" t="inlineStr">
        <is>
          <t>J38</t>
        </is>
      </c>
      <c r="C1277" s="0" t="inlineStr">
        <is>
          <t>J41</t>
        </is>
      </c>
      <c r="D1277" s="0" t="n">
        <v>35</v>
      </c>
    </row>
    <row r="1278">
      <c r="A1278" s="0" t="inlineStr">
        <is>
          <t>NYTimes-256</t>
        </is>
      </c>
      <c r="B1278" s="0" t="inlineStr">
        <is>
          <t>K38</t>
        </is>
      </c>
      <c r="C1278" s="0" t="inlineStr">
        <is>
          <t>K41</t>
        </is>
      </c>
      <c r="D1278" s="0" t="n">
        <v>45.5</v>
      </c>
    </row>
    <row r="1279">
      <c r="A1279" s="0" t="inlineStr">
        <is>
          <t>NYTimes-256</t>
        </is>
      </c>
      <c r="B1279" s="0" t="inlineStr">
        <is>
          <t>L38</t>
        </is>
      </c>
      <c r="C1279" s="0" t="inlineStr">
        <is>
          <t>L41</t>
        </is>
      </c>
      <c r="D1279" s="0" t="n">
        <v>45.5</v>
      </c>
    </row>
    <row r="1280">
      <c r="A1280" s="0" t="inlineStr">
        <is>
          <t>NYTimes-256</t>
        </is>
      </c>
      <c r="B1280" s="0" t="inlineStr">
        <is>
          <t>M38</t>
        </is>
      </c>
      <c r="C1280" s="0" t="inlineStr">
        <is>
          <t>M41</t>
        </is>
      </c>
      <c r="D1280" s="0" t="n">
        <v>51.5</v>
      </c>
    </row>
    <row r="1281">
      <c r="A1281" s="0" t="inlineStr">
        <is>
          <t>NYTimes-256</t>
        </is>
      </c>
      <c r="B1281" s="0" t="inlineStr">
        <is>
          <t>N38</t>
        </is>
      </c>
      <c r="C1281" s="0" t="inlineStr">
        <is>
          <t>N41</t>
        </is>
      </c>
      <c r="D1281" s="0" t="n">
        <v>58</v>
      </c>
    </row>
    <row r="1282">
      <c r="A1282" s="0" t="inlineStr">
        <is>
          <t>NYTimes-256</t>
        </is>
      </c>
      <c r="B1282" s="0" t="inlineStr">
        <is>
          <t>O38</t>
        </is>
      </c>
      <c r="C1282" s="0" t="inlineStr">
        <is>
          <t>O41</t>
        </is>
      </c>
      <c r="D1282" s="0" t="n">
        <v>62.5</v>
      </c>
    </row>
    <row r="1283">
      <c r="A1283" s="0" t="inlineStr">
        <is>
          <t>NYTimes-256</t>
        </is>
      </c>
      <c r="B1283" s="0" t="inlineStr">
        <is>
          <t>P38</t>
        </is>
      </c>
      <c r="C1283" s="0" t="inlineStr">
        <is>
          <t>P41</t>
        </is>
      </c>
      <c r="D1283" s="0" t="n">
        <v>65.5</v>
      </c>
    </row>
    <row r="1284">
      <c r="A1284" s="0" t="inlineStr">
        <is>
          <t>NYTimes-256</t>
        </is>
      </c>
      <c r="B1284" s="0" t="inlineStr">
        <is>
          <t>Q38</t>
        </is>
      </c>
      <c r="C1284" s="0" t="inlineStr">
        <is>
          <t>Q41</t>
        </is>
      </c>
      <c r="D1284" s="0" t="n">
        <v>72</v>
      </c>
    </row>
    <row r="1285">
      <c r="A1285" s="0" t="inlineStr">
        <is>
          <t>NYTimes-256</t>
        </is>
      </c>
      <c r="B1285" s="0" t="inlineStr">
        <is>
          <t>R38</t>
        </is>
      </c>
      <c r="C1285" s="0" t="inlineStr">
        <is>
          <t>R41</t>
        </is>
      </c>
      <c r="D1285" s="0" t="n">
        <v>76</v>
      </c>
    </row>
    <row r="1286">
      <c r="A1286" s="0" t="inlineStr">
        <is>
          <t>NYTimes-256</t>
        </is>
      </c>
      <c r="B1286" s="0" t="inlineStr">
        <is>
          <t>S38</t>
        </is>
      </c>
      <c r="C1286" s="0" t="inlineStr">
        <is>
          <t>S41</t>
        </is>
      </c>
    </row>
    <row r="1287">
      <c r="A1287" s="0" t="inlineStr">
        <is>
          <t>NYTimes-256</t>
        </is>
      </c>
      <c r="B1287" s="0" t="inlineStr">
        <is>
          <t>T38</t>
        </is>
      </c>
      <c r="C1287" s="0" t="inlineStr">
        <is>
          <t>T41</t>
        </is>
      </c>
    </row>
    <row r="1288">
      <c r="A1288" s="0" t="inlineStr">
        <is>
          <t>NYTimes-256</t>
        </is>
      </c>
      <c r="B1288" s="0" t="inlineStr">
        <is>
          <t>U38</t>
        </is>
      </c>
      <c r="C1288" s="0" t="inlineStr">
        <is>
          <t>U41</t>
        </is>
      </c>
    </row>
    <row r="1289">
      <c r="A1289" s="0" t="inlineStr">
        <is>
          <t>NYTimes-256</t>
        </is>
      </c>
      <c r="B1289" s="0" t="inlineStr">
        <is>
          <t>V38</t>
        </is>
      </c>
      <c r="C1289" s="0" t="inlineStr">
        <is>
          <t>V41</t>
        </is>
      </c>
    </row>
    <row r="1290">
      <c r="A1290" s="0" t="inlineStr">
        <is>
          <t>NYTimes-256</t>
        </is>
      </c>
      <c r="B1290" s="0" t="inlineStr">
        <is>
          <t>W38</t>
        </is>
      </c>
      <c r="C1290" s="0" t="inlineStr">
        <is>
          <t>W41</t>
        </is>
      </c>
    </row>
    <row r="1291">
      <c r="A1291" s="0" t="inlineStr">
        <is>
          <t>NYTimes-256</t>
        </is>
      </c>
      <c r="B1291" s="0" t="inlineStr">
        <is>
          <t>X38</t>
        </is>
      </c>
      <c r="C1291" s="0" t="inlineStr">
        <is>
          <t>X41</t>
        </is>
      </c>
    </row>
    <row r="1292">
      <c r="A1292" s="0" t="inlineStr">
        <is>
          <t>NYTimes-256</t>
        </is>
      </c>
      <c r="B1292" s="0" t="inlineStr">
        <is>
          <t>Y38</t>
        </is>
      </c>
      <c r="C1292" s="0" t="inlineStr">
        <is>
          <t>Y41</t>
        </is>
      </c>
    </row>
    <row r="1293">
      <c r="A1293" s="0" t="inlineStr">
        <is>
          <t>NYTimes-256</t>
        </is>
      </c>
      <c r="B1293" s="0" t="inlineStr">
        <is>
          <t>E39</t>
        </is>
      </c>
      <c r="C1293" s="0" t="inlineStr">
        <is>
          <t>E42</t>
        </is>
      </c>
      <c r="D1293" s="0" t="inlineStr">
        <is>
          <t>verify time</t>
        </is>
      </c>
    </row>
    <row r="1294">
      <c r="A1294" s="0" t="inlineStr">
        <is>
          <t>NYTimes-256</t>
        </is>
      </c>
      <c r="B1294" s="0" t="inlineStr">
        <is>
          <t>F39</t>
        </is>
      </c>
      <c r="C1294" s="0" t="inlineStr">
        <is>
          <t>F42</t>
        </is>
      </c>
      <c r="D1294" s="0" t="n">
        <v>10.7410540000501</v>
      </c>
    </row>
    <row r="1295">
      <c r="A1295" s="0" t="inlineStr">
        <is>
          <t>NYTimes-256</t>
        </is>
      </c>
      <c r="B1295" s="0" t="inlineStr">
        <is>
          <t>G39</t>
        </is>
      </c>
      <c r="C1295" s="0" t="inlineStr">
        <is>
          <t>G42</t>
        </is>
      </c>
      <c r="D1295" s="0" t="n">
        <v>10.7410540000501</v>
      </c>
    </row>
    <row r="1296">
      <c r="A1296" s="0" t="inlineStr">
        <is>
          <t>NYTimes-256</t>
        </is>
      </c>
      <c r="B1296" s="0" t="inlineStr">
        <is>
          <t>H39</t>
        </is>
      </c>
      <c r="C1296" s="0" t="inlineStr">
        <is>
          <t>H42</t>
        </is>
      </c>
      <c r="D1296" s="0" t="n">
        <v>10.7410540000501</v>
      </c>
    </row>
    <row r="1297">
      <c r="A1297" s="0" t="inlineStr">
        <is>
          <t>NYTimes-256</t>
        </is>
      </c>
      <c r="B1297" s="0" t="inlineStr">
        <is>
          <t>I39</t>
        </is>
      </c>
      <c r="C1297" s="0" t="inlineStr">
        <is>
          <t>I42</t>
        </is>
      </c>
      <c r="D1297" s="0" t="n">
        <v>10.7410540000501</v>
      </c>
    </row>
    <row r="1298">
      <c r="A1298" s="0" t="inlineStr">
        <is>
          <t>NYTimes-256</t>
        </is>
      </c>
      <c r="B1298" s="0" t="inlineStr">
        <is>
          <t>J39</t>
        </is>
      </c>
      <c r="C1298" s="0" t="inlineStr">
        <is>
          <t>J42</t>
        </is>
      </c>
      <c r="D1298" s="0" t="n">
        <v>11.4872139999989</v>
      </c>
    </row>
    <row r="1299">
      <c r="A1299" s="0" t="inlineStr">
        <is>
          <t>NYTimes-256</t>
        </is>
      </c>
      <c r="B1299" s="0" t="inlineStr">
        <is>
          <t>K39</t>
        </is>
      </c>
      <c r="C1299" s="0" t="inlineStr">
        <is>
          <t>K42</t>
        </is>
      </c>
      <c r="D1299" s="0" t="n">
        <v>13.1931410000448</v>
      </c>
    </row>
    <row r="1300">
      <c r="A1300" s="0" t="inlineStr">
        <is>
          <t>NYTimes-256</t>
        </is>
      </c>
      <c r="B1300" s="0" t="inlineStr">
        <is>
          <t>L39</t>
        </is>
      </c>
      <c r="C1300" s="0" t="inlineStr">
        <is>
          <t>L42</t>
        </is>
      </c>
      <c r="D1300" s="0" t="n">
        <v>13.1931410000448</v>
      </c>
    </row>
    <row r="1301">
      <c r="A1301" s="0" t="inlineStr">
        <is>
          <t>NYTimes-256</t>
        </is>
      </c>
      <c r="B1301" s="0" t="inlineStr">
        <is>
          <t>M39</t>
        </is>
      </c>
      <c r="C1301" s="0" t="inlineStr">
        <is>
          <t>M42</t>
        </is>
      </c>
      <c r="D1301" s="0" t="n">
        <v>12.7548779998961</v>
      </c>
    </row>
    <row r="1302">
      <c r="A1302" s="0" t="inlineStr">
        <is>
          <t>NYTimes-256</t>
        </is>
      </c>
      <c r="B1302" s="0" t="inlineStr">
        <is>
          <t>N39</t>
        </is>
      </c>
      <c r="C1302" s="0" t="inlineStr">
        <is>
          <t>N42</t>
        </is>
      </c>
      <c r="D1302" s="0" t="n">
        <v>69.6683460000713</v>
      </c>
    </row>
    <row r="1303">
      <c r="A1303" s="0" t="inlineStr">
        <is>
          <t>NYTimes-256</t>
        </is>
      </c>
      <c r="B1303" s="0" t="inlineStr">
        <is>
          <t>O39</t>
        </is>
      </c>
      <c r="C1303" s="0" t="inlineStr">
        <is>
          <t>O42</t>
        </is>
      </c>
      <c r="D1303" s="0" t="n">
        <v>24.9950594550608</v>
      </c>
    </row>
    <row r="1304">
      <c r="A1304" s="0" t="inlineStr">
        <is>
          <t>NYTimes-256</t>
        </is>
      </c>
      <c r="B1304" s="0" t="inlineStr">
        <is>
          <t>P39</t>
        </is>
      </c>
      <c r="C1304" s="0" t="inlineStr">
        <is>
          <t>P42</t>
        </is>
      </c>
      <c r="D1304" s="0" t="n">
        <v>30.6268079783518</v>
      </c>
    </row>
    <row r="1305">
      <c r="A1305" s="0" t="inlineStr">
        <is>
          <t>NYTimes-256</t>
        </is>
      </c>
      <c r="B1305" s="0" t="inlineStr">
        <is>
          <t>Q39</t>
        </is>
      </c>
      <c r="C1305" s="0" t="inlineStr">
        <is>
          <t>Q42</t>
        </is>
      </c>
      <c r="D1305" s="0" t="n">
        <v>37.7527243375802</v>
      </c>
    </row>
    <row r="1306">
      <c r="A1306" s="0" t="inlineStr">
        <is>
          <t>NYTimes-256</t>
        </is>
      </c>
      <c r="B1306" s="0" t="inlineStr">
        <is>
          <t>R39</t>
        </is>
      </c>
      <c r="C1306" s="0" t="inlineStr">
        <is>
          <t>R42</t>
        </is>
      </c>
      <c r="D1306" s="0" t="n">
        <v>31.7760529938302</v>
      </c>
    </row>
    <row r="1307">
      <c r="A1307" s="0" t="inlineStr">
        <is>
          <t>NYTimes-256</t>
        </is>
      </c>
      <c r="B1307" s="0" t="inlineStr">
        <is>
          <t>S39</t>
        </is>
      </c>
      <c r="C1307" s="0" t="inlineStr">
        <is>
          <t>S42</t>
        </is>
      </c>
    </row>
    <row r="1308">
      <c r="A1308" s="0" t="inlineStr">
        <is>
          <t>NYTimes-256</t>
        </is>
      </c>
      <c r="B1308" s="0" t="inlineStr">
        <is>
          <t>T39</t>
        </is>
      </c>
      <c r="C1308" s="0" t="inlineStr">
        <is>
          <t>T42</t>
        </is>
      </c>
    </row>
    <row r="1309">
      <c r="A1309" s="0" t="inlineStr">
        <is>
          <t>NYTimes-256</t>
        </is>
      </c>
      <c r="B1309" s="0" t="inlineStr">
        <is>
          <t>U39</t>
        </is>
      </c>
      <c r="C1309" s="0" t="inlineStr">
        <is>
          <t>U42</t>
        </is>
      </c>
    </row>
    <row r="1310">
      <c r="A1310" s="0" t="inlineStr">
        <is>
          <t>NYTimes-256</t>
        </is>
      </c>
      <c r="B1310" s="0" t="inlineStr">
        <is>
          <t>V39</t>
        </is>
      </c>
      <c r="C1310" s="0" t="inlineStr">
        <is>
          <t>V42</t>
        </is>
      </c>
    </row>
    <row r="1311">
      <c r="A1311" s="0" t="inlineStr">
        <is>
          <t>NYTimes-256</t>
        </is>
      </c>
      <c r="B1311" s="0" t="inlineStr">
        <is>
          <t>W39</t>
        </is>
      </c>
      <c r="C1311" s="0" t="inlineStr">
        <is>
          <t>W42</t>
        </is>
      </c>
    </row>
    <row r="1312">
      <c r="A1312" s="0" t="inlineStr">
        <is>
          <t>NYTimes-256</t>
        </is>
      </c>
      <c r="B1312" s="0" t="inlineStr">
        <is>
          <t>X39</t>
        </is>
      </c>
      <c r="C1312" s="0" t="inlineStr">
        <is>
          <t>X42</t>
        </is>
      </c>
    </row>
    <row r="1313">
      <c r="A1313" s="0" t="inlineStr">
        <is>
          <t>NYTimes-256</t>
        </is>
      </c>
      <c r="B1313" s="0" t="inlineStr">
        <is>
          <t>Y39</t>
        </is>
      </c>
      <c r="C1313" s="0" t="inlineStr">
        <is>
          <t>Y42</t>
        </is>
      </c>
    </row>
    <row r="1314">
      <c r="A1314" s="0" t="inlineStr">
        <is>
          <t>NYTimes-256</t>
        </is>
      </c>
      <c r="B1314" s="0" t="inlineStr">
        <is>
          <t>D40</t>
        </is>
      </c>
      <c r="C1314" s="0" t="inlineStr">
        <is>
          <t>D45</t>
        </is>
      </c>
    </row>
    <row r="1315">
      <c r="A1315" s="0" t="inlineStr">
        <is>
          <t>NYTimes-256</t>
        </is>
      </c>
      <c r="B1315" s="0" t="inlineStr">
        <is>
          <t>E40</t>
        </is>
      </c>
      <c r="C1315" s="0" t="inlineStr">
        <is>
          <t>E45</t>
        </is>
      </c>
      <c r="D1315" s="0" t="inlineStr">
        <is>
          <t>Target Recall (%)</t>
        </is>
      </c>
    </row>
    <row r="1316">
      <c r="A1316" s="0" t="inlineStr">
        <is>
          <t>NYTimes-256</t>
        </is>
      </c>
      <c r="B1316" s="0" t="inlineStr">
        <is>
          <t>F40</t>
        </is>
      </c>
      <c r="C1316" s="0" t="inlineStr">
        <is>
          <t>F45</t>
        </is>
      </c>
      <c r="D1316" s="0" t="n">
        <v>15</v>
      </c>
    </row>
    <row r="1317">
      <c r="A1317" s="0" t="inlineStr">
        <is>
          <t>NYTimes-256</t>
        </is>
      </c>
      <c r="B1317" s="0" t="inlineStr">
        <is>
          <t>G40</t>
        </is>
      </c>
      <c r="C1317" s="0" t="inlineStr">
        <is>
          <t>G45</t>
        </is>
      </c>
      <c r="D1317" s="0" t="n">
        <v>20</v>
      </c>
    </row>
    <row r="1318">
      <c r="A1318" s="0" t="inlineStr">
        <is>
          <t>NYTimes-256</t>
        </is>
      </c>
      <c r="B1318" s="0" t="inlineStr">
        <is>
          <t>H40</t>
        </is>
      </c>
      <c r="C1318" s="0" t="inlineStr">
        <is>
          <t>H45</t>
        </is>
      </c>
      <c r="D1318" s="0" t="n">
        <v>25</v>
      </c>
    </row>
    <row r="1319">
      <c r="A1319" s="0" t="inlineStr">
        <is>
          <t>NYTimes-256</t>
        </is>
      </c>
      <c r="B1319" s="0" t="inlineStr">
        <is>
          <t>I40</t>
        </is>
      </c>
      <c r="C1319" s="0" t="inlineStr">
        <is>
          <t>I45</t>
        </is>
      </c>
      <c r="D1319" s="0" t="n">
        <v>30</v>
      </c>
    </row>
    <row r="1320">
      <c r="A1320" s="0" t="inlineStr">
        <is>
          <t>NYTimes-256</t>
        </is>
      </c>
      <c r="B1320" s="0" t="inlineStr">
        <is>
          <t>J40</t>
        </is>
      </c>
      <c r="C1320" s="0" t="inlineStr">
        <is>
          <t>J45</t>
        </is>
      </c>
      <c r="D1320" s="0" t="n">
        <v>35</v>
      </c>
    </row>
    <row r="1321">
      <c r="A1321" s="0" t="inlineStr">
        <is>
          <t>NYTimes-256</t>
        </is>
      </c>
      <c r="B1321" s="0" t="inlineStr">
        <is>
          <t>K40</t>
        </is>
      </c>
      <c r="C1321" s="0" t="inlineStr">
        <is>
          <t>K45</t>
        </is>
      </c>
      <c r="D1321" s="0" t="n">
        <v>40</v>
      </c>
    </row>
    <row r="1322">
      <c r="A1322" s="0" t="inlineStr">
        <is>
          <t>NYTimes-256</t>
        </is>
      </c>
      <c r="B1322" s="0" t="inlineStr">
        <is>
          <t>L40</t>
        </is>
      </c>
      <c r="C1322" s="0" t="inlineStr">
        <is>
          <t>L45</t>
        </is>
      </c>
      <c r="D1322" s="0" t="n">
        <v>45</v>
      </c>
    </row>
    <row r="1323">
      <c r="A1323" s="0" t="inlineStr">
        <is>
          <t>NYTimes-256</t>
        </is>
      </c>
      <c r="B1323" s="0" t="inlineStr">
        <is>
          <t>M40</t>
        </is>
      </c>
      <c r="C1323" s="0" t="inlineStr">
        <is>
          <t>M45</t>
        </is>
      </c>
      <c r="D1323" s="0" t="n">
        <v>50</v>
      </c>
    </row>
    <row r="1324">
      <c r="A1324" s="0" t="inlineStr">
        <is>
          <t>NYTimes-256</t>
        </is>
      </c>
      <c r="B1324" s="0" t="inlineStr">
        <is>
          <t>N40</t>
        </is>
      </c>
      <c r="C1324" s="0" t="inlineStr">
        <is>
          <t>N45</t>
        </is>
      </c>
      <c r="D1324" s="0" t="n">
        <v>55</v>
      </c>
    </row>
    <row r="1325">
      <c r="A1325" s="0" t="inlineStr">
        <is>
          <t>NYTimes-256</t>
        </is>
      </c>
      <c r="B1325" s="0" t="inlineStr">
        <is>
          <t>O40</t>
        </is>
      </c>
      <c r="C1325" s="0" t="inlineStr">
        <is>
          <t>O45</t>
        </is>
      </c>
      <c r="D1325" s="0" t="n">
        <v>60</v>
      </c>
    </row>
    <row r="1326">
      <c r="A1326" s="0" t="inlineStr">
        <is>
          <t>NYTimes-256</t>
        </is>
      </c>
      <c r="B1326" s="0" t="inlineStr">
        <is>
          <t>P40</t>
        </is>
      </c>
      <c r="C1326" s="0" t="inlineStr">
        <is>
          <t>P45</t>
        </is>
      </c>
      <c r="D1326" s="0" t="n">
        <v>65</v>
      </c>
    </row>
    <row r="1327">
      <c r="A1327" s="0" t="inlineStr">
        <is>
          <t>NYTimes-256</t>
        </is>
      </c>
      <c r="B1327" s="0" t="inlineStr">
        <is>
          <t>Q40</t>
        </is>
      </c>
      <c r="C1327" s="0" t="inlineStr">
        <is>
          <t>Q45</t>
        </is>
      </c>
      <c r="D1327" s="0" t="n">
        <v>70</v>
      </c>
    </row>
    <row r="1328">
      <c r="A1328" s="0" t="inlineStr">
        <is>
          <t>NYTimes-256</t>
        </is>
      </c>
      <c r="B1328" s="0" t="inlineStr">
        <is>
          <t>R40</t>
        </is>
      </c>
      <c r="C1328" s="0" t="inlineStr">
        <is>
          <t>R45</t>
        </is>
      </c>
      <c r="D1328" s="0" t="n">
        <v>75</v>
      </c>
    </row>
    <row r="1329">
      <c r="A1329" s="0" t="inlineStr">
        <is>
          <t>NYTimes-256</t>
        </is>
      </c>
      <c r="B1329" s="0" t="inlineStr">
        <is>
          <t>S40</t>
        </is>
      </c>
      <c r="C1329" s="0" t="inlineStr">
        <is>
          <t>S45</t>
        </is>
      </c>
      <c r="D1329" s="0" t="n">
        <v>80</v>
      </c>
    </row>
    <row r="1330">
      <c r="A1330" s="0" t="inlineStr">
        <is>
          <t>NYTimes-256</t>
        </is>
      </c>
      <c r="B1330" s="0" t="inlineStr">
        <is>
          <t>T40</t>
        </is>
      </c>
      <c r="C1330" s="0" t="inlineStr">
        <is>
          <t>T45</t>
        </is>
      </c>
      <c r="D1330" s="0" t="n">
        <v>85</v>
      </c>
    </row>
    <row r="1331">
      <c r="A1331" s="0" t="inlineStr">
        <is>
          <t>NYTimes-256</t>
        </is>
      </c>
      <c r="B1331" s="0" t="inlineStr">
        <is>
          <t>U40</t>
        </is>
      </c>
      <c r="C1331" s="0" t="inlineStr">
        <is>
          <t>U45</t>
        </is>
      </c>
      <c r="D1331" s="0" t="n">
        <v>90</v>
      </c>
    </row>
    <row r="1332">
      <c r="A1332" s="0" t="inlineStr">
        <is>
          <t>NYTimes-256</t>
        </is>
      </c>
      <c r="B1332" s="0" t="inlineStr">
        <is>
          <t>V40</t>
        </is>
      </c>
      <c r="C1332" s="0" t="inlineStr">
        <is>
          <t>V45</t>
        </is>
      </c>
      <c r="D1332" s="0" t="n">
        <v>95</v>
      </c>
    </row>
    <row r="1333">
      <c r="A1333" s="0" t="inlineStr">
        <is>
          <t>NYTimes-256</t>
        </is>
      </c>
      <c r="B1333" s="0" t="inlineStr">
        <is>
          <t>W40</t>
        </is>
      </c>
      <c r="C1333" s="0" t="inlineStr">
        <is>
          <t>W45</t>
        </is>
      </c>
      <c r="D1333" s="0" t="n">
        <v>97</v>
      </c>
    </row>
    <row r="1334">
      <c r="A1334" s="0" t="inlineStr">
        <is>
          <t>NYTimes-256</t>
        </is>
      </c>
      <c r="B1334" s="0" t="inlineStr">
        <is>
          <t>X40</t>
        </is>
      </c>
      <c r="C1334" s="0" t="inlineStr">
        <is>
          <t>X45</t>
        </is>
      </c>
      <c r="D1334" s="0" t="n">
        <v>98</v>
      </c>
    </row>
    <row r="1335">
      <c r="A1335" s="0" t="inlineStr">
        <is>
          <t>NYTimes-256</t>
        </is>
      </c>
      <c r="B1335" s="0" t="inlineStr">
        <is>
          <t>Y40</t>
        </is>
      </c>
      <c r="C1335" s="0" t="inlineStr">
        <is>
          <t>Y45</t>
        </is>
      </c>
      <c r="D1335" s="0" t="n">
        <v>99</v>
      </c>
    </row>
    <row r="1336">
      <c r="A1336" s="0" t="inlineStr">
        <is>
          <t>NYTimes-256</t>
        </is>
      </c>
      <c r="B1336" s="0" t="inlineStr">
        <is>
          <t>E41</t>
        </is>
      </c>
      <c r="C1336" s="0" t="inlineStr">
        <is>
          <t>E46</t>
        </is>
      </c>
      <c r="D1336" s="0" t="inlineStr">
        <is>
          <t>Recall@10 (change parameters enabling different recall rate) vs. query time</t>
        </is>
      </c>
    </row>
    <row r="1337">
      <c r="A1337" s="0" t="inlineStr">
        <is>
          <t>NYTimes-256</t>
        </is>
      </c>
      <c r="B1337" s="0" t="inlineStr">
        <is>
          <t>D43</t>
        </is>
      </c>
      <c r="C1337" s="0" t="inlineStr">
        <is>
          <t>D48</t>
        </is>
      </c>
      <c r="D1337" s="0" t="inlineStr">
        <is>
          <t>NYTimes-256 (N=289,761, d=256)</t>
        </is>
      </c>
    </row>
    <row r="1338">
      <c r="A1338" s="0" t="inlineStr">
        <is>
          <t>NYTimes-256</t>
        </is>
      </c>
      <c r="B1338" s="0" t="inlineStr">
        <is>
          <t>D44</t>
        </is>
      </c>
      <c r="C1338" s="0" t="inlineStr">
        <is>
          <t>D49</t>
        </is>
      </c>
      <c r="D1338" s="0" t="inlineStr">
        <is>
          <t>VLAH</t>
        </is>
      </c>
    </row>
    <row r="1339">
      <c r="A1339" s="0" t="inlineStr">
        <is>
          <t>NYTimes-256</t>
        </is>
      </c>
      <c r="B1339" s="0" t="inlineStr">
        <is>
          <t>E44</t>
        </is>
      </c>
      <c r="C1339" s="0" t="inlineStr">
        <is>
          <t>E49</t>
        </is>
      </c>
      <c r="D1339" s="0" t="inlineStr">
        <is>
          <t>Recall rate</t>
        </is>
      </c>
    </row>
    <row r="1340">
      <c r="A1340" s="0" t="inlineStr">
        <is>
          <t>NYTimes-256</t>
        </is>
      </c>
      <c r="B1340" s="0" t="inlineStr">
        <is>
          <t>F44</t>
        </is>
      </c>
      <c r="C1340" s="0" t="inlineStr">
        <is>
          <t>F49</t>
        </is>
      </c>
      <c r="D1340" s="0" t="n">
        <v>21.5</v>
      </c>
    </row>
    <row r="1341">
      <c r="A1341" s="0" t="inlineStr">
        <is>
          <t>NYTimes-256</t>
        </is>
      </c>
      <c r="B1341" s="0" t="inlineStr">
        <is>
          <t>G44</t>
        </is>
      </c>
      <c r="C1341" s="0" t="inlineStr">
        <is>
          <t>G49</t>
        </is>
      </c>
      <c r="D1341" s="0" t="n">
        <v>21.5</v>
      </c>
    </row>
    <row r="1342">
      <c r="A1342" s="0" t="inlineStr">
        <is>
          <t>NYTimes-256</t>
        </is>
      </c>
      <c r="B1342" s="0" t="inlineStr">
        <is>
          <t>H44</t>
        </is>
      </c>
      <c r="C1342" s="0" t="inlineStr">
        <is>
          <t>H49</t>
        </is>
      </c>
      <c r="D1342" s="0" t="n">
        <v>32</v>
      </c>
    </row>
    <row r="1343">
      <c r="A1343" s="0" t="inlineStr">
        <is>
          <t>NYTimes-256</t>
        </is>
      </c>
      <c r="B1343" s="0" t="inlineStr">
        <is>
          <t>I44</t>
        </is>
      </c>
      <c r="C1343" s="0" t="inlineStr">
        <is>
          <t>I49</t>
        </is>
      </c>
      <c r="D1343" s="0" t="n">
        <v>32</v>
      </c>
    </row>
    <row r="1344">
      <c r="A1344" s="0" t="inlineStr">
        <is>
          <t>NYTimes-256</t>
        </is>
      </c>
      <c r="B1344" s="0" t="inlineStr">
        <is>
          <t>J44</t>
        </is>
      </c>
      <c r="C1344" s="0" t="inlineStr">
        <is>
          <t>J49</t>
        </is>
      </c>
      <c r="D1344" s="0" t="n">
        <v>45.5</v>
      </c>
    </row>
    <row r="1345">
      <c r="A1345" s="0" t="inlineStr">
        <is>
          <t>NYTimes-256</t>
        </is>
      </c>
      <c r="B1345" s="0" t="inlineStr">
        <is>
          <t>K44</t>
        </is>
      </c>
      <c r="C1345" s="0" t="inlineStr">
        <is>
          <t>K49</t>
        </is>
      </c>
      <c r="D1345" s="0" t="n">
        <v>45.5</v>
      </c>
    </row>
    <row r="1346">
      <c r="A1346" s="0" t="inlineStr">
        <is>
          <t>NYTimes-256</t>
        </is>
      </c>
      <c r="B1346" s="0" t="inlineStr">
        <is>
          <t>L44</t>
        </is>
      </c>
      <c r="C1346" s="0" t="inlineStr">
        <is>
          <t>L49</t>
        </is>
      </c>
      <c r="D1346" s="0" t="n">
        <v>45.5</v>
      </c>
    </row>
    <row r="1347">
      <c r="A1347" s="0" t="inlineStr">
        <is>
          <t>NYTimes-256</t>
        </is>
      </c>
      <c r="B1347" s="0" t="inlineStr">
        <is>
          <t>M44</t>
        </is>
      </c>
      <c r="C1347" s="0" t="inlineStr">
        <is>
          <t>M49</t>
        </is>
      </c>
      <c r="D1347" s="0" t="n">
        <v>56</v>
      </c>
    </row>
    <row r="1348">
      <c r="A1348" s="0" t="inlineStr">
        <is>
          <t>NYTimes-256</t>
        </is>
      </c>
      <c r="B1348" s="0" t="inlineStr">
        <is>
          <t>N44</t>
        </is>
      </c>
      <c r="C1348" s="0" t="inlineStr">
        <is>
          <t>N49</t>
        </is>
      </c>
      <c r="D1348" s="0" t="n">
        <v>56</v>
      </c>
    </row>
    <row r="1349">
      <c r="A1349" s="0" t="inlineStr">
        <is>
          <t>NYTimes-256</t>
        </is>
      </c>
      <c r="B1349" s="0" t="inlineStr">
        <is>
          <t>O44</t>
        </is>
      </c>
      <c r="C1349" s="0" t="inlineStr">
        <is>
          <t>O49</t>
        </is>
      </c>
      <c r="D1349" s="0" t="n">
        <v>67</v>
      </c>
    </row>
    <row r="1350">
      <c r="A1350" s="0" t="inlineStr">
        <is>
          <t>NYTimes-256</t>
        </is>
      </c>
      <c r="B1350" s="0" t="inlineStr">
        <is>
          <t>P44</t>
        </is>
      </c>
      <c r="C1350" s="0" t="inlineStr">
        <is>
          <t>P49</t>
        </is>
      </c>
      <c r="D1350" s="0" t="n">
        <v>67</v>
      </c>
    </row>
    <row r="1351">
      <c r="A1351" s="0" t="inlineStr">
        <is>
          <t>NYTimes-256</t>
        </is>
      </c>
      <c r="B1351" s="0" t="inlineStr">
        <is>
          <t>Q44</t>
        </is>
      </c>
      <c r="C1351" s="0" t="inlineStr">
        <is>
          <t>Q49</t>
        </is>
      </c>
      <c r="D1351" s="0" t="n">
        <v>71.5</v>
      </c>
    </row>
    <row r="1352">
      <c r="A1352" s="0" t="inlineStr">
        <is>
          <t>NYTimes-256</t>
        </is>
      </c>
      <c r="B1352" s="0" t="inlineStr">
        <is>
          <t>R44</t>
        </is>
      </c>
      <c r="C1352" s="0" t="inlineStr">
        <is>
          <t>R49</t>
        </is>
      </c>
      <c r="D1352" s="0" t="n">
        <v>78</v>
      </c>
    </row>
    <row r="1353">
      <c r="A1353" s="0" t="inlineStr">
        <is>
          <t>NYTimes-256</t>
        </is>
      </c>
      <c r="B1353" s="0" t="inlineStr">
        <is>
          <t>S44</t>
        </is>
      </c>
      <c r="C1353" s="0" t="inlineStr">
        <is>
          <t>S49</t>
        </is>
      </c>
      <c r="D1353" s="0" t="n">
        <v>82</v>
      </c>
    </row>
    <row r="1354">
      <c r="A1354" s="0" t="inlineStr">
        <is>
          <t>NYTimes-256</t>
        </is>
      </c>
      <c r="B1354" s="0" t="inlineStr">
        <is>
          <t>T44</t>
        </is>
      </c>
      <c r="C1354" s="0" t="inlineStr">
        <is>
          <t>T49</t>
        </is>
      </c>
      <c r="D1354" s="0" t="n">
        <v>87.5</v>
      </c>
    </row>
    <row r="1355">
      <c r="A1355" s="0" t="inlineStr">
        <is>
          <t>NYTimes-256</t>
        </is>
      </c>
      <c r="B1355" s="0" t="inlineStr">
        <is>
          <t>U44</t>
        </is>
      </c>
      <c r="C1355" s="0" t="inlineStr">
        <is>
          <t>U49</t>
        </is>
      </c>
      <c r="D1355" s="0" t="n">
        <v>92.5</v>
      </c>
    </row>
    <row r="1356">
      <c r="A1356" s="0" t="inlineStr">
        <is>
          <t>NYTimes-256</t>
        </is>
      </c>
      <c r="B1356" s="0" t="inlineStr">
        <is>
          <t>V44</t>
        </is>
      </c>
      <c r="C1356" s="0" t="inlineStr">
        <is>
          <t>V49</t>
        </is>
      </c>
      <c r="D1356" s="0" t="n">
        <v>96</v>
      </c>
    </row>
    <row r="1357">
      <c r="A1357" s="0" t="inlineStr">
        <is>
          <t>NYTimes-256</t>
        </is>
      </c>
      <c r="B1357" s="0" t="inlineStr">
        <is>
          <t>W44</t>
        </is>
      </c>
      <c r="C1357" s="0" t="inlineStr">
        <is>
          <t>W49</t>
        </is>
      </c>
      <c r="D1357" s="0" t="n">
        <v>99</v>
      </c>
    </row>
    <row r="1358">
      <c r="A1358" s="0" t="inlineStr">
        <is>
          <t>NYTimes-256</t>
        </is>
      </c>
      <c r="B1358" s="0" t="inlineStr">
        <is>
          <t>X44</t>
        </is>
      </c>
      <c r="C1358" s="0" t="inlineStr">
        <is>
          <t>X49</t>
        </is>
      </c>
      <c r="D1358" s="0" t="n">
        <v>99</v>
      </c>
    </row>
    <row r="1359">
      <c r="A1359" s="0" t="inlineStr">
        <is>
          <t>NYTimes-256</t>
        </is>
      </c>
      <c r="B1359" s="0" t="inlineStr">
        <is>
          <t>Y44</t>
        </is>
      </c>
      <c r="C1359" s="0" t="inlineStr">
        <is>
          <t>Y49</t>
        </is>
      </c>
      <c r="D1359" s="0" t="n">
        <v>99</v>
      </c>
    </row>
    <row r="1360">
      <c r="A1360" s="0" t="inlineStr">
        <is>
          <t>NYTimes-256</t>
        </is>
      </c>
      <c r="B1360" s="0" t="inlineStr">
        <is>
          <t>E45</t>
        </is>
      </c>
      <c r="C1360" s="0" t="inlineStr">
        <is>
          <t>E50</t>
        </is>
      </c>
      <c r="D1360" s="0" t="inlineStr">
        <is>
          <t>query time</t>
        </is>
      </c>
    </row>
    <row r="1361">
      <c r="A1361" s="0" t="inlineStr">
        <is>
          <t>NYTimes-256</t>
        </is>
      </c>
      <c r="B1361" s="0" t="inlineStr">
        <is>
          <t>F45</t>
        </is>
      </c>
      <c r="C1361" s="0" t="inlineStr">
        <is>
          <t>F50</t>
        </is>
      </c>
      <c r="D1361" s="0" t="n">
        <v>5.15774473333333</v>
      </c>
    </row>
    <row r="1362">
      <c r="A1362" s="0" t="inlineStr">
        <is>
          <t>NYTimes-256</t>
        </is>
      </c>
      <c r="B1362" s="0" t="inlineStr">
        <is>
          <t>G45</t>
        </is>
      </c>
      <c r="C1362" s="0" t="inlineStr">
        <is>
          <t>G50</t>
        </is>
      </c>
      <c r="D1362" s="0" t="n">
        <v>5.15774473333333</v>
      </c>
    </row>
    <row r="1363">
      <c r="A1363" s="0" t="inlineStr">
        <is>
          <t>NYTimes-256</t>
        </is>
      </c>
      <c r="B1363" s="0" t="inlineStr">
        <is>
          <t>H45</t>
        </is>
      </c>
      <c r="C1363" s="0" t="inlineStr">
        <is>
          <t>H50</t>
        </is>
      </c>
      <c r="D1363" s="0" t="n">
        <v>10.7862751</v>
      </c>
    </row>
    <row r="1364">
      <c r="A1364" s="0" t="inlineStr">
        <is>
          <t>NYTimes-256</t>
        </is>
      </c>
      <c r="B1364" s="0" t="inlineStr">
        <is>
          <t>I45</t>
        </is>
      </c>
      <c r="C1364" s="0" t="inlineStr">
        <is>
          <t>I50</t>
        </is>
      </c>
      <c r="D1364" s="0" t="n">
        <v>10.7862751</v>
      </c>
    </row>
    <row r="1365">
      <c r="A1365" s="0" t="inlineStr">
        <is>
          <t>NYTimes-256</t>
        </is>
      </c>
      <c r="B1365" s="0" t="inlineStr">
        <is>
          <t>J45</t>
        </is>
      </c>
      <c r="C1365" s="0" t="inlineStr">
        <is>
          <t>J50</t>
        </is>
      </c>
      <c r="D1365" s="0" t="n">
        <v>21.5674819333333</v>
      </c>
    </row>
    <row r="1366">
      <c r="A1366" s="0" t="inlineStr">
        <is>
          <t>NYTimes-256</t>
        </is>
      </c>
      <c r="B1366" s="0" t="inlineStr">
        <is>
          <t>K45</t>
        </is>
      </c>
      <c r="C1366" s="0" t="inlineStr">
        <is>
          <t>K50</t>
        </is>
      </c>
      <c r="D1366" s="0" t="n">
        <v>21.5674819333333</v>
      </c>
    </row>
    <row r="1367">
      <c r="A1367" s="0" t="inlineStr">
        <is>
          <t>NYTimes-256</t>
        </is>
      </c>
      <c r="B1367" s="0" t="inlineStr">
        <is>
          <t>L45</t>
        </is>
      </c>
      <c r="C1367" s="0" t="inlineStr">
        <is>
          <t>L50</t>
        </is>
      </c>
      <c r="D1367" s="0" t="n">
        <v>21.5674819333333</v>
      </c>
    </row>
    <row r="1368">
      <c r="A1368" s="0" t="inlineStr">
        <is>
          <t>NYTimes-256</t>
        </is>
      </c>
      <c r="B1368" s="0" t="inlineStr">
        <is>
          <t>M45</t>
        </is>
      </c>
      <c r="C1368" s="0" t="inlineStr">
        <is>
          <t>M50</t>
        </is>
      </c>
      <c r="D1368" s="0" t="n">
        <v>28.6460560666667</v>
      </c>
    </row>
    <row r="1369">
      <c r="A1369" s="0" t="inlineStr">
        <is>
          <t>NYTimes-256</t>
        </is>
      </c>
      <c r="B1369" s="0" t="inlineStr">
        <is>
          <t>N45</t>
        </is>
      </c>
      <c r="C1369" s="0" t="inlineStr">
        <is>
          <t>N50</t>
        </is>
      </c>
      <c r="D1369" s="0" t="n">
        <v>28.6460560666667</v>
      </c>
    </row>
    <row r="1370">
      <c r="A1370" s="0" t="inlineStr">
        <is>
          <t>NYTimes-256</t>
        </is>
      </c>
      <c r="B1370" s="0" t="inlineStr">
        <is>
          <t>O45</t>
        </is>
      </c>
      <c r="C1370" s="0" t="inlineStr">
        <is>
          <t>O50</t>
        </is>
      </c>
      <c r="D1370" s="0" t="n">
        <v>143.59484805</v>
      </c>
    </row>
    <row r="1371">
      <c r="A1371" s="0" t="inlineStr">
        <is>
          <t>NYTimes-256</t>
        </is>
      </c>
      <c r="B1371" s="0" t="inlineStr">
        <is>
          <t>P45</t>
        </is>
      </c>
      <c r="C1371" s="0" t="inlineStr">
        <is>
          <t>P50</t>
        </is>
      </c>
      <c r="D1371" s="0" t="n">
        <v>143.59484805</v>
      </c>
    </row>
    <row r="1372">
      <c r="A1372" s="0" t="inlineStr">
        <is>
          <t>NYTimes-256</t>
        </is>
      </c>
      <c r="B1372" s="0" t="inlineStr">
        <is>
          <t>Q45</t>
        </is>
      </c>
      <c r="C1372" s="0" t="inlineStr">
        <is>
          <t>Q50</t>
        </is>
      </c>
      <c r="D1372" s="0" t="n">
        <v>164.394885933333</v>
      </c>
    </row>
    <row r="1373">
      <c r="A1373" s="0" t="inlineStr">
        <is>
          <t>NYTimes-256</t>
        </is>
      </c>
      <c r="B1373" s="0" t="inlineStr">
        <is>
          <t>R45</t>
        </is>
      </c>
      <c r="C1373" s="0" t="inlineStr">
        <is>
          <t>R50</t>
        </is>
      </c>
      <c r="D1373" s="0" t="n">
        <v>185.147734933333</v>
      </c>
    </row>
    <row r="1374">
      <c r="A1374" s="0" t="inlineStr">
        <is>
          <t>NYTimes-256</t>
        </is>
      </c>
      <c r="B1374" s="0" t="inlineStr">
        <is>
          <t>S45</t>
        </is>
      </c>
      <c r="C1374" s="0" t="inlineStr">
        <is>
          <t>S50</t>
        </is>
      </c>
      <c r="D1374" s="0" t="n">
        <v>206.091788883333</v>
      </c>
    </row>
    <row r="1375">
      <c r="A1375" s="0" t="inlineStr">
        <is>
          <t>NYTimes-256</t>
        </is>
      </c>
      <c r="B1375" s="0" t="inlineStr">
        <is>
          <t>T45</t>
        </is>
      </c>
      <c r="C1375" s="0" t="inlineStr">
        <is>
          <t>T50</t>
        </is>
      </c>
      <c r="D1375" s="0" t="n">
        <v>231.242866266667</v>
      </c>
    </row>
    <row r="1376">
      <c r="A1376" s="0" t="inlineStr">
        <is>
          <t>NYTimes-256</t>
        </is>
      </c>
      <c r="B1376" s="0" t="inlineStr">
        <is>
          <t>U45</t>
        </is>
      </c>
      <c r="C1376" s="0" t="inlineStr">
        <is>
          <t>U50</t>
        </is>
      </c>
      <c r="D1376" s="0" t="n">
        <v>273.801794433333</v>
      </c>
    </row>
    <row r="1377">
      <c r="A1377" s="0" t="inlineStr">
        <is>
          <t>NYTimes-256</t>
        </is>
      </c>
      <c r="B1377" s="0" t="inlineStr">
        <is>
          <t>V45</t>
        </is>
      </c>
      <c r="C1377" s="0" t="inlineStr">
        <is>
          <t>V50</t>
        </is>
      </c>
      <c r="D1377" s="0" t="n">
        <v>295.928621983333</v>
      </c>
    </row>
    <row r="1378">
      <c r="A1378" s="0" t="inlineStr">
        <is>
          <t>NYTimes-256</t>
        </is>
      </c>
      <c r="B1378" s="0" t="inlineStr">
        <is>
          <t>W45</t>
        </is>
      </c>
      <c r="C1378" s="0" t="inlineStr">
        <is>
          <t>W50</t>
        </is>
      </c>
      <c r="D1378" s="0" t="n">
        <v>315.256652616667</v>
      </c>
    </row>
    <row r="1379">
      <c r="A1379" s="0" t="inlineStr">
        <is>
          <t>NYTimes-256</t>
        </is>
      </c>
      <c r="B1379" s="0" t="inlineStr">
        <is>
          <t>X45</t>
        </is>
      </c>
      <c r="C1379" s="0" t="inlineStr">
        <is>
          <t>X50</t>
        </is>
      </c>
      <c r="D1379" s="0" t="n">
        <v>315.256652616667</v>
      </c>
    </row>
    <row r="1380">
      <c r="A1380" s="0" t="inlineStr">
        <is>
          <t>NYTimes-256</t>
        </is>
      </c>
      <c r="B1380" s="0" t="inlineStr">
        <is>
          <t>Y45</t>
        </is>
      </c>
      <c r="C1380" s="0" t="inlineStr">
        <is>
          <t>Y50</t>
        </is>
      </c>
      <c r="D1380" s="0" t="n">
        <v>315.256652616667</v>
      </c>
    </row>
    <row r="1381">
      <c r="A1381" s="0" t="inlineStr">
        <is>
          <t>NYTimes-256</t>
        </is>
      </c>
      <c r="B1381" s="0" t="inlineStr">
        <is>
          <t>D46</t>
        </is>
      </c>
      <c r="C1381" s="0" t="inlineStr">
        <is>
          <t>D51</t>
        </is>
      </c>
      <c r="D1381" s="0" t="inlineStr">
        <is>
          <t>ANNProof</t>
        </is>
      </c>
    </row>
    <row r="1382">
      <c r="A1382" s="0" t="inlineStr">
        <is>
          <t>NYTimes-256</t>
        </is>
      </c>
      <c r="B1382" s="0" t="inlineStr">
        <is>
          <t>E46</t>
        </is>
      </c>
      <c r="C1382" s="0" t="inlineStr">
        <is>
          <t>E51</t>
        </is>
      </c>
      <c r="D1382" s="0" t="inlineStr">
        <is>
          <t>Recall rate</t>
        </is>
      </c>
    </row>
    <row r="1383">
      <c r="A1383" s="0" t="inlineStr">
        <is>
          <t>NYTimes-256</t>
        </is>
      </c>
      <c r="B1383" s="0" t="inlineStr">
        <is>
          <t>F46</t>
        </is>
      </c>
      <c r="C1383" s="0" t="inlineStr">
        <is>
          <t>F51</t>
        </is>
      </c>
      <c r="D1383" s="0" t="n">
        <v>84</v>
      </c>
    </row>
    <row r="1384">
      <c r="A1384" s="0" t="inlineStr">
        <is>
          <t>NYTimes-256</t>
        </is>
      </c>
      <c r="B1384" s="0" t="inlineStr">
        <is>
          <t>G46</t>
        </is>
      </c>
      <c r="C1384" s="0" t="inlineStr">
        <is>
          <t>G51</t>
        </is>
      </c>
      <c r="D1384" s="0" t="n">
        <v>84</v>
      </c>
    </row>
    <row r="1385">
      <c r="A1385" s="0" t="inlineStr">
        <is>
          <t>NYTimes-256</t>
        </is>
      </c>
      <c r="B1385" s="0" t="inlineStr">
        <is>
          <t>H46</t>
        </is>
      </c>
      <c r="C1385" s="0" t="inlineStr">
        <is>
          <t>H51</t>
        </is>
      </c>
      <c r="D1385" s="0" t="n">
        <v>84</v>
      </c>
    </row>
    <row r="1386">
      <c r="A1386" s="0" t="inlineStr">
        <is>
          <t>NYTimes-256</t>
        </is>
      </c>
      <c r="B1386" s="0" t="inlineStr">
        <is>
          <t>I46</t>
        </is>
      </c>
      <c r="C1386" s="0" t="inlineStr">
        <is>
          <t>I51</t>
        </is>
      </c>
      <c r="D1386" s="0" t="n">
        <v>84</v>
      </c>
    </row>
    <row r="1387">
      <c r="A1387" s="0" t="inlineStr">
        <is>
          <t>NYTimes-256</t>
        </is>
      </c>
      <c r="B1387" s="0" t="inlineStr">
        <is>
          <t>J46</t>
        </is>
      </c>
      <c r="C1387" s="0" t="inlineStr">
        <is>
          <t>J51</t>
        </is>
      </c>
      <c r="D1387" s="0" t="n">
        <v>84</v>
      </c>
    </row>
    <row r="1388">
      <c r="A1388" s="0" t="inlineStr">
        <is>
          <t>NYTimes-256</t>
        </is>
      </c>
      <c r="B1388" s="0" t="inlineStr">
        <is>
          <t>K46</t>
        </is>
      </c>
      <c r="C1388" s="0" t="inlineStr">
        <is>
          <t>K51</t>
        </is>
      </c>
      <c r="D1388" s="0" t="n">
        <v>84</v>
      </c>
    </row>
    <row r="1389">
      <c r="A1389" s="0" t="inlineStr">
        <is>
          <t>NYTimes-256</t>
        </is>
      </c>
      <c r="B1389" s="0" t="inlineStr">
        <is>
          <t>L46</t>
        </is>
      </c>
      <c r="C1389" s="0" t="inlineStr">
        <is>
          <t>L51</t>
        </is>
      </c>
      <c r="D1389" s="0" t="n">
        <v>84</v>
      </c>
    </row>
    <row r="1390">
      <c r="A1390" s="0" t="inlineStr">
        <is>
          <t>NYTimes-256</t>
        </is>
      </c>
      <c r="B1390" s="0" t="inlineStr">
        <is>
          <t>M46</t>
        </is>
      </c>
      <c r="C1390" s="0" t="inlineStr">
        <is>
          <t>M51</t>
        </is>
      </c>
      <c r="D1390" s="0" t="n">
        <v>84</v>
      </c>
    </row>
    <row r="1391">
      <c r="A1391" s="0" t="inlineStr">
        <is>
          <t>NYTimes-256</t>
        </is>
      </c>
      <c r="B1391" s="0" t="inlineStr">
        <is>
          <t>N46</t>
        </is>
      </c>
      <c r="C1391" s="0" t="inlineStr">
        <is>
          <t>N51</t>
        </is>
      </c>
      <c r="D1391" s="0" t="n">
        <v>84</v>
      </c>
    </row>
    <row r="1392">
      <c r="A1392" s="0" t="inlineStr">
        <is>
          <t>NYTimes-256</t>
        </is>
      </c>
      <c r="B1392" s="0" t="inlineStr">
        <is>
          <t>O46</t>
        </is>
      </c>
      <c r="C1392" s="0" t="inlineStr">
        <is>
          <t>O51</t>
        </is>
      </c>
      <c r="D1392" s="0" t="n">
        <v>84</v>
      </c>
    </row>
    <row r="1393">
      <c r="A1393" s="0" t="inlineStr">
        <is>
          <t>NYTimes-256</t>
        </is>
      </c>
      <c r="B1393" s="0" t="inlineStr">
        <is>
          <t>P46</t>
        </is>
      </c>
      <c r="C1393" s="0" t="inlineStr">
        <is>
          <t>P51</t>
        </is>
      </c>
      <c r="D1393" s="0" t="n">
        <v>84</v>
      </c>
    </row>
    <row r="1394">
      <c r="A1394" s="0" t="inlineStr">
        <is>
          <t>NYTimes-256</t>
        </is>
      </c>
      <c r="B1394" s="0" t="inlineStr">
        <is>
          <t>Q46</t>
        </is>
      </c>
      <c r="C1394" s="0" t="inlineStr">
        <is>
          <t>Q51</t>
        </is>
      </c>
      <c r="D1394" s="0" t="n">
        <v>84</v>
      </c>
    </row>
    <row r="1395">
      <c r="A1395" s="0" t="inlineStr">
        <is>
          <t>NYTimes-256</t>
        </is>
      </c>
      <c r="B1395" s="0" t="inlineStr">
        <is>
          <t>R46</t>
        </is>
      </c>
      <c r="C1395" s="0" t="inlineStr">
        <is>
          <t>R51</t>
        </is>
      </c>
      <c r="D1395" s="0" t="n">
        <v>84</v>
      </c>
    </row>
    <row r="1396">
      <c r="A1396" s="0" t="inlineStr">
        <is>
          <t>NYTimes-256</t>
        </is>
      </c>
      <c r="B1396" s="0" t="inlineStr">
        <is>
          <t>S46</t>
        </is>
      </c>
      <c r="C1396" s="0" t="inlineStr">
        <is>
          <t>S51</t>
        </is>
      </c>
      <c r="D1396" s="0" t="n">
        <v>84</v>
      </c>
    </row>
    <row r="1397">
      <c r="A1397" s="0" t="inlineStr">
        <is>
          <t>NYTimes-256</t>
        </is>
      </c>
      <c r="B1397" s="0" t="inlineStr">
        <is>
          <t>T46</t>
        </is>
      </c>
      <c r="C1397" s="0" t="inlineStr">
        <is>
          <t>T51</t>
        </is>
      </c>
      <c r="D1397" s="0" t="n">
        <v>85.5</v>
      </c>
    </row>
    <row r="1398">
      <c r="A1398" s="0" t="inlineStr">
        <is>
          <t>NYTimes-256</t>
        </is>
      </c>
      <c r="B1398" s="0" t="inlineStr">
        <is>
          <t>U46</t>
        </is>
      </c>
      <c r="C1398" s="0" t="inlineStr">
        <is>
          <t>U51</t>
        </is>
      </c>
      <c r="D1398" s="0" t="n">
        <v>90</v>
      </c>
    </row>
    <row r="1399">
      <c r="A1399" s="0" t="inlineStr">
        <is>
          <t>NYTimes-256</t>
        </is>
      </c>
      <c r="B1399" s="0" t="inlineStr">
        <is>
          <t>V46</t>
        </is>
      </c>
      <c r="C1399" s="0" t="inlineStr">
        <is>
          <t>V51</t>
        </is>
      </c>
      <c r="D1399" s="0" t="n">
        <v>96</v>
      </c>
    </row>
    <row r="1400">
      <c r="A1400" s="0" t="inlineStr">
        <is>
          <t>NYTimes-256</t>
        </is>
      </c>
      <c r="B1400" s="0" t="inlineStr">
        <is>
          <t>W46</t>
        </is>
      </c>
      <c r="C1400" s="0" t="inlineStr">
        <is>
          <t>W51</t>
        </is>
      </c>
      <c r="D1400" s="0" t="n">
        <v>97</v>
      </c>
    </row>
    <row r="1401">
      <c r="A1401" s="0" t="inlineStr">
        <is>
          <t>NYTimes-256</t>
        </is>
      </c>
      <c r="B1401" s="0" t="inlineStr">
        <is>
          <t>X46</t>
        </is>
      </c>
      <c r="C1401" s="0" t="inlineStr">
        <is>
          <t>X51</t>
        </is>
      </c>
      <c r="D1401" s="0" t="n">
        <v>98.5</v>
      </c>
    </row>
    <row r="1402">
      <c r="A1402" s="0" t="inlineStr">
        <is>
          <t>NYTimes-256</t>
        </is>
      </c>
      <c r="B1402" s="0" t="inlineStr">
        <is>
          <t>Y46</t>
        </is>
      </c>
      <c r="C1402" s="0" t="inlineStr">
        <is>
          <t>Y51</t>
        </is>
      </c>
      <c r="D1402" s="0" t="n">
        <v>100</v>
      </c>
    </row>
    <row r="1403">
      <c r="A1403" s="0" t="inlineStr">
        <is>
          <t>NYTimes-256</t>
        </is>
      </c>
      <c r="B1403" s="0" t="inlineStr">
        <is>
          <t>E47</t>
        </is>
      </c>
      <c r="C1403" s="0" t="inlineStr">
        <is>
          <t>E52</t>
        </is>
      </c>
      <c r="D1403" s="0" t="inlineStr">
        <is>
          <t>query time</t>
        </is>
      </c>
    </row>
    <row r="1404">
      <c r="A1404" s="0" t="inlineStr">
        <is>
          <t>NYTimes-256</t>
        </is>
      </c>
      <c r="B1404" s="0" t="inlineStr">
        <is>
          <t>F47</t>
        </is>
      </c>
      <c r="C1404" s="0" t="inlineStr">
        <is>
          <t>F52</t>
        </is>
      </c>
      <c r="D1404" s="0" t="n">
        <v>1.16845576666667</v>
      </c>
    </row>
    <row r="1405">
      <c r="A1405" s="0" t="inlineStr">
        <is>
          <t>NYTimes-256</t>
        </is>
      </c>
      <c r="B1405" s="0" t="inlineStr">
        <is>
          <t>G47</t>
        </is>
      </c>
      <c r="C1405" s="0" t="inlineStr">
        <is>
          <t>G52</t>
        </is>
      </c>
      <c r="D1405" s="0" t="n">
        <v>1.16845576666667</v>
      </c>
    </row>
    <row r="1406">
      <c r="A1406" s="0" t="inlineStr">
        <is>
          <t>NYTimes-256</t>
        </is>
      </c>
      <c r="B1406" s="0" t="inlineStr">
        <is>
          <t>H47</t>
        </is>
      </c>
      <c r="C1406" s="0" t="inlineStr">
        <is>
          <t>H52</t>
        </is>
      </c>
      <c r="D1406" s="0" t="n">
        <v>1.16845576666667</v>
      </c>
    </row>
    <row r="1407">
      <c r="A1407" s="0" t="inlineStr">
        <is>
          <t>NYTimes-256</t>
        </is>
      </c>
      <c r="B1407" s="0" t="inlineStr">
        <is>
          <t>I47</t>
        </is>
      </c>
      <c r="C1407" s="0" t="inlineStr">
        <is>
          <t>I52</t>
        </is>
      </c>
      <c r="D1407" s="0" t="n">
        <v>1.16845576666667</v>
      </c>
    </row>
    <row r="1408">
      <c r="A1408" s="0" t="inlineStr">
        <is>
          <t>NYTimes-256</t>
        </is>
      </c>
      <c r="B1408" s="0" t="inlineStr">
        <is>
          <t>J47</t>
        </is>
      </c>
      <c r="C1408" s="0" t="inlineStr">
        <is>
          <t>J52</t>
        </is>
      </c>
      <c r="D1408" s="0" t="n">
        <v>1.16845576666667</v>
      </c>
    </row>
    <row r="1409">
      <c r="A1409" s="0" t="inlineStr">
        <is>
          <t>NYTimes-256</t>
        </is>
      </c>
      <c r="B1409" s="0" t="inlineStr">
        <is>
          <t>K47</t>
        </is>
      </c>
      <c r="C1409" s="0" t="inlineStr">
        <is>
          <t>K52</t>
        </is>
      </c>
      <c r="D1409" s="0" t="n">
        <v>1.16845576666667</v>
      </c>
    </row>
    <row r="1410">
      <c r="A1410" s="0" t="inlineStr">
        <is>
          <t>NYTimes-256</t>
        </is>
      </c>
      <c r="B1410" s="0" t="inlineStr">
        <is>
          <t>L47</t>
        </is>
      </c>
      <c r="C1410" s="0" t="inlineStr">
        <is>
          <t>L52</t>
        </is>
      </c>
      <c r="D1410" s="0" t="n">
        <v>1.16845576666667</v>
      </c>
    </row>
    <row r="1411">
      <c r="A1411" s="0" t="inlineStr">
        <is>
          <t>NYTimes-256</t>
        </is>
      </c>
      <c r="B1411" s="0" t="inlineStr">
        <is>
          <t>M47</t>
        </is>
      </c>
      <c r="C1411" s="0" t="inlineStr">
        <is>
          <t>M52</t>
        </is>
      </c>
      <c r="D1411" s="0" t="n">
        <v>1.16845576666667</v>
      </c>
    </row>
    <row r="1412">
      <c r="A1412" s="0" t="inlineStr">
        <is>
          <t>NYTimes-256</t>
        </is>
      </c>
      <c r="B1412" s="0" t="inlineStr">
        <is>
          <t>N47</t>
        </is>
      </c>
      <c r="C1412" s="0" t="inlineStr">
        <is>
          <t>N52</t>
        </is>
      </c>
      <c r="D1412" s="0" t="n">
        <v>1.16845576666667</v>
      </c>
    </row>
    <row r="1413">
      <c r="A1413" s="0" t="inlineStr">
        <is>
          <t>NYTimes-256</t>
        </is>
      </c>
      <c r="B1413" s="0" t="inlineStr">
        <is>
          <t>O47</t>
        </is>
      </c>
      <c r="C1413" s="0" t="inlineStr">
        <is>
          <t>O52</t>
        </is>
      </c>
      <c r="D1413" s="0" t="n">
        <v>1.28528681666667</v>
      </c>
    </row>
    <row r="1414">
      <c r="A1414" s="0" t="inlineStr">
        <is>
          <t>NYTimes-256</t>
        </is>
      </c>
      <c r="B1414" s="0" t="inlineStr">
        <is>
          <t>P47</t>
        </is>
      </c>
      <c r="C1414" s="0" t="inlineStr">
        <is>
          <t>P52</t>
        </is>
      </c>
      <c r="D1414" s="0" t="n">
        <v>1.28528681666667</v>
      </c>
    </row>
    <row r="1415">
      <c r="A1415" s="0" t="inlineStr">
        <is>
          <t>NYTimes-256</t>
        </is>
      </c>
      <c r="B1415" s="0" t="inlineStr">
        <is>
          <t>Q47</t>
        </is>
      </c>
      <c r="C1415" s="0" t="inlineStr">
        <is>
          <t>Q52</t>
        </is>
      </c>
      <c r="D1415" s="0" t="n">
        <v>1.28528681666667</v>
      </c>
    </row>
    <row r="1416">
      <c r="A1416" s="0" t="inlineStr">
        <is>
          <t>NYTimes-256</t>
        </is>
      </c>
      <c r="B1416" s="0" t="inlineStr">
        <is>
          <t>R47</t>
        </is>
      </c>
      <c r="C1416" s="0" t="inlineStr">
        <is>
          <t>R52</t>
        </is>
      </c>
      <c r="D1416" s="0" t="n">
        <v>1.28528681666667</v>
      </c>
    </row>
    <row r="1417">
      <c r="A1417" s="0" t="inlineStr">
        <is>
          <t>NYTimes-256</t>
        </is>
      </c>
      <c r="B1417" s="0" t="inlineStr">
        <is>
          <t>S47</t>
        </is>
      </c>
      <c r="C1417" s="0" t="inlineStr">
        <is>
          <t>S52</t>
        </is>
      </c>
      <c r="D1417" s="0" t="n">
        <v>1.28528681666667</v>
      </c>
    </row>
    <row r="1418">
      <c r="A1418" s="0" t="inlineStr">
        <is>
          <t>NYTimes-256</t>
        </is>
      </c>
      <c r="B1418" s="0" t="inlineStr">
        <is>
          <t>T47</t>
        </is>
      </c>
      <c r="C1418" s="0" t="inlineStr">
        <is>
          <t>T52</t>
        </is>
      </c>
      <c r="D1418" s="0" t="n">
        <v>2.58172271666667</v>
      </c>
    </row>
    <row r="1419">
      <c r="A1419" s="0" t="inlineStr">
        <is>
          <t>NYTimes-256</t>
        </is>
      </c>
      <c r="B1419" s="0" t="inlineStr">
        <is>
          <t>U47</t>
        </is>
      </c>
      <c r="C1419" s="0" t="inlineStr">
        <is>
          <t>U52</t>
        </is>
      </c>
      <c r="D1419" s="0" t="n">
        <v>4.64559393333333</v>
      </c>
    </row>
    <row r="1420">
      <c r="A1420" s="0" t="inlineStr">
        <is>
          <t>NYTimes-256</t>
        </is>
      </c>
      <c r="B1420" s="0" t="inlineStr">
        <is>
          <t>V47</t>
        </is>
      </c>
      <c r="C1420" s="0" t="inlineStr">
        <is>
          <t>V52</t>
        </is>
      </c>
      <c r="D1420" s="0" t="n">
        <v>22.3159277666667</v>
      </c>
    </row>
    <row r="1421">
      <c r="A1421" s="0" t="inlineStr">
        <is>
          <t>NYTimes-256</t>
        </is>
      </c>
      <c r="B1421" s="0" t="inlineStr">
        <is>
          <t>W47</t>
        </is>
      </c>
      <c r="C1421" s="0" t="inlineStr">
        <is>
          <t>W52</t>
        </is>
      </c>
      <c r="D1421" s="0" t="n">
        <v>44.3849581833333</v>
      </c>
    </row>
    <row r="1422">
      <c r="A1422" s="0" t="inlineStr">
        <is>
          <t>NYTimes-256</t>
        </is>
      </c>
      <c r="B1422" s="0" t="inlineStr">
        <is>
          <t>X47</t>
        </is>
      </c>
      <c r="C1422" s="0" t="inlineStr">
        <is>
          <t>X52</t>
        </is>
      </c>
      <c r="D1422" s="0" t="n">
        <v>56.8982416833333</v>
      </c>
    </row>
    <row r="1423">
      <c r="A1423" s="0" t="inlineStr">
        <is>
          <t>NYTimes-256</t>
        </is>
      </c>
      <c r="B1423" s="0" t="inlineStr">
        <is>
          <t>Y47</t>
        </is>
      </c>
      <c r="C1423" s="0" t="inlineStr">
        <is>
          <t>Y52</t>
        </is>
      </c>
      <c r="D1423" s="0" t="n">
        <v>87.84406300000001</v>
      </c>
    </row>
    <row r="1424">
      <c r="A1424" s="0" t="inlineStr">
        <is>
          <t>NYTimes-256</t>
        </is>
      </c>
      <c r="B1424" s="0" t="inlineStr">
        <is>
          <t>D48</t>
        </is>
      </c>
      <c r="C1424" s="0" t="inlineStr">
        <is>
          <t>D53</t>
        </is>
      </c>
      <c r="D1424" s="0" t="inlineStr">
        <is>
          <t>Ours</t>
        </is>
      </c>
    </row>
    <row r="1425">
      <c r="A1425" s="0" t="inlineStr">
        <is>
          <t>NYTimes-256</t>
        </is>
      </c>
      <c r="B1425" s="0" t="inlineStr">
        <is>
          <t>E48</t>
        </is>
      </c>
      <c r="C1425" s="0" t="inlineStr">
        <is>
          <t>E53</t>
        </is>
      </c>
      <c r="D1425" s="0" t="inlineStr">
        <is>
          <t>Recall rate</t>
        </is>
      </c>
    </row>
    <row r="1426">
      <c r="A1426" s="0" t="inlineStr">
        <is>
          <t>NYTimes-256</t>
        </is>
      </c>
      <c r="B1426" s="0" t="inlineStr">
        <is>
          <t>F48</t>
        </is>
      </c>
      <c r="C1426" s="0" t="inlineStr">
        <is>
          <t>F53</t>
        </is>
      </c>
      <c r="D1426" s="0" t="n">
        <v>20.5</v>
      </c>
    </row>
    <row r="1427">
      <c r="A1427" s="0" t="inlineStr">
        <is>
          <t>NYTimes-256</t>
        </is>
      </c>
      <c r="B1427" s="0" t="inlineStr">
        <is>
          <t>G48</t>
        </is>
      </c>
      <c r="C1427" s="0" t="inlineStr">
        <is>
          <t>G53</t>
        </is>
      </c>
      <c r="D1427" s="0" t="n">
        <v>20.5</v>
      </c>
    </row>
    <row r="1428">
      <c r="A1428" s="0" t="inlineStr">
        <is>
          <t>NYTimes-256</t>
        </is>
      </c>
      <c r="B1428" s="0" t="inlineStr">
        <is>
          <t>H48</t>
        </is>
      </c>
      <c r="C1428" s="0" t="inlineStr">
        <is>
          <t>H53</t>
        </is>
      </c>
      <c r="D1428" s="0" t="n">
        <v>30</v>
      </c>
    </row>
    <row r="1429">
      <c r="A1429" s="0" t="inlineStr">
        <is>
          <t>NYTimes-256</t>
        </is>
      </c>
      <c r="B1429" s="0" t="inlineStr">
        <is>
          <t>I48</t>
        </is>
      </c>
      <c r="C1429" s="0" t="inlineStr">
        <is>
          <t>I53</t>
        </is>
      </c>
      <c r="D1429" s="0" t="n">
        <v>30</v>
      </c>
    </row>
    <row r="1430">
      <c r="A1430" s="0" t="inlineStr">
        <is>
          <t>NYTimes-256</t>
        </is>
      </c>
      <c r="B1430" s="0" t="inlineStr">
        <is>
          <t>J48</t>
        </is>
      </c>
      <c r="C1430" s="0" t="inlineStr">
        <is>
          <t>J53</t>
        </is>
      </c>
      <c r="D1430" s="0" t="n">
        <v>40</v>
      </c>
    </row>
    <row r="1431">
      <c r="A1431" s="0" t="inlineStr">
        <is>
          <t>NYTimes-256</t>
        </is>
      </c>
      <c r="B1431" s="0" t="inlineStr">
        <is>
          <t>K48</t>
        </is>
      </c>
      <c r="C1431" s="0" t="inlineStr">
        <is>
          <t>K53</t>
        </is>
      </c>
      <c r="D1431" s="0" t="n">
        <v>40</v>
      </c>
    </row>
    <row r="1432">
      <c r="A1432" s="0" t="inlineStr">
        <is>
          <t>NYTimes-256</t>
        </is>
      </c>
      <c r="B1432" s="0" t="inlineStr">
        <is>
          <t>L48</t>
        </is>
      </c>
      <c r="C1432" s="0" t="inlineStr">
        <is>
          <t>L53</t>
        </is>
      </c>
      <c r="D1432" s="0" t="n">
        <v>46.5</v>
      </c>
    </row>
    <row r="1433">
      <c r="A1433" s="0" t="inlineStr">
        <is>
          <t>NYTimes-256</t>
        </is>
      </c>
      <c r="B1433" s="0" t="inlineStr">
        <is>
          <t>M48</t>
        </is>
      </c>
      <c r="C1433" s="0" t="inlineStr">
        <is>
          <t>M53</t>
        </is>
      </c>
      <c r="D1433" s="0" t="n">
        <v>51</v>
      </c>
    </row>
    <row r="1434">
      <c r="A1434" s="0" t="inlineStr">
        <is>
          <t>NYTimes-256</t>
        </is>
      </c>
      <c r="B1434" s="0" t="inlineStr">
        <is>
          <t>N48</t>
        </is>
      </c>
      <c r="C1434" s="0" t="inlineStr">
        <is>
          <t>N53</t>
        </is>
      </c>
      <c r="D1434" s="0" t="n">
        <v>55.5</v>
      </c>
    </row>
    <row r="1435">
      <c r="A1435" s="0" t="inlineStr">
        <is>
          <t>NYTimes-256</t>
        </is>
      </c>
      <c r="B1435" s="0" t="inlineStr">
        <is>
          <t>O48</t>
        </is>
      </c>
      <c r="C1435" s="0" t="inlineStr">
        <is>
          <t>O53</t>
        </is>
      </c>
      <c r="D1435" s="0" t="n">
        <v>61</v>
      </c>
    </row>
    <row r="1436">
      <c r="A1436" s="0" t="inlineStr">
        <is>
          <t>NYTimes-256</t>
        </is>
      </c>
      <c r="B1436" s="0" t="inlineStr">
        <is>
          <t>P48</t>
        </is>
      </c>
      <c r="C1436" s="0" t="inlineStr">
        <is>
          <t>P53</t>
        </is>
      </c>
      <c r="D1436" s="0" t="n">
        <v>70</v>
      </c>
    </row>
    <row r="1437">
      <c r="A1437" s="0" t="inlineStr">
        <is>
          <t>NYTimes-256</t>
        </is>
      </c>
      <c r="B1437" s="0" t="inlineStr">
        <is>
          <t>Q48</t>
        </is>
      </c>
      <c r="C1437" s="0" t="inlineStr">
        <is>
          <t>Q53</t>
        </is>
      </c>
      <c r="D1437" s="0" t="n">
        <v>70</v>
      </c>
    </row>
    <row r="1438">
      <c r="A1438" s="0" t="inlineStr">
        <is>
          <t>NYTimes-256</t>
        </is>
      </c>
      <c r="B1438" s="0" t="inlineStr">
        <is>
          <t>R48</t>
        </is>
      </c>
      <c r="C1438" s="0" t="inlineStr">
        <is>
          <t>R53</t>
        </is>
      </c>
      <c r="D1438" s="0" t="n">
        <v>82.5</v>
      </c>
    </row>
    <row r="1439">
      <c r="A1439" s="0" t="inlineStr">
        <is>
          <t>NYTimes-256</t>
        </is>
      </c>
      <c r="B1439" s="0" t="inlineStr">
        <is>
          <t>S48</t>
        </is>
      </c>
      <c r="C1439" s="0" t="inlineStr">
        <is>
          <t>S53</t>
        </is>
      </c>
      <c r="D1439" s="0" t="n">
        <v>82.5</v>
      </c>
    </row>
    <row r="1440">
      <c r="A1440" s="0" t="inlineStr">
        <is>
          <t>NYTimes-256</t>
        </is>
      </c>
      <c r="B1440" s="0" t="inlineStr">
        <is>
          <t>T48</t>
        </is>
      </c>
      <c r="C1440" s="0" t="inlineStr">
        <is>
          <t>T53</t>
        </is>
      </c>
      <c r="D1440" s="0" t="n">
        <v>85.5</v>
      </c>
    </row>
    <row r="1441">
      <c r="A1441" s="0" t="inlineStr">
        <is>
          <t>NYTimes-256</t>
        </is>
      </c>
      <c r="B1441" s="0" t="inlineStr">
        <is>
          <t>U48</t>
        </is>
      </c>
      <c r="C1441" s="0" t="inlineStr">
        <is>
          <t>U53</t>
        </is>
      </c>
      <c r="D1441" s="0" t="n">
        <v>90.5</v>
      </c>
    </row>
    <row r="1442">
      <c r="A1442" s="0" t="inlineStr">
        <is>
          <t>NYTimes-256</t>
        </is>
      </c>
      <c r="B1442" s="0" t="inlineStr">
        <is>
          <t>V48</t>
        </is>
      </c>
      <c r="C1442" s="0" t="inlineStr">
        <is>
          <t>V53</t>
        </is>
      </c>
      <c r="D1442" s="0" t="n">
        <v>95.5</v>
      </c>
    </row>
    <row r="1443">
      <c r="A1443" s="0" t="inlineStr">
        <is>
          <t>NYTimes-256</t>
        </is>
      </c>
      <c r="B1443" s="0" t="inlineStr">
        <is>
          <t>W48</t>
        </is>
      </c>
      <c r="C1443" s="0" t="inlineStr">
        <is>
          <t>W53</t>
        </is>
      </c>
      <c r="D1443" s="0" t="n">
        <v>97</v>
      </c>
    </row>
    <row r="1444">
      <c r="A1444" s="0" t="inlineStr">
        <is>
          <t>NYTimes-256</t>
        </is>
      </c>
      <c r="B1444" s="0" t="inlineStr">
        <is>
          <t>X48</t>
        </is>
      </c>
      <c r="C1444" s="0" t="inlineStr">
        <is>
          <t>X53</t>
        </is>
      </c>
      <c r="D1444" s="0" t="n">
        <v>98</v>
      </c>
    </row>
    <row r="1445">
      <c r="A1445" s="0" t="inlineStr">
        <is>
          <t>NYTimes-256</t>
        </is>
      </c>
      <c r="B1445" s="0" t="inlineStr">
        <is>
          <t>Y48</t>
        </is>
      </c>
      <c r="C1445" s="0" t="inlineStr">
        <is>
          <t>Y53</t>
        </is>
      </c>
      <c r="D1445" s="0" t="n">
        <v>100</v>
      </c>
    </row>
    <row r="1446">
      <c r="A1446" s="0" t="inlineStr">
        <is>
          <t>NYTimes-256</t>
        </is>
      </c>
      <c r="B1446" s="0" t="inlineStr">
        <is>
          <t>E49</t>
        </is>
      </c>
      <c r="C1446" s="0" t="inlineStr">
        <is>
          <t>E54</t>
        </is>
      </c>
      <c r="D1446" s="0" t="inlineStr">
        <is>
          <t>query time</t>
        </is>
      </c>
    </row>
    <row r="1447">
      <c r="A1447" s="0" t="inlineStr">
        <is>
          <t>NYTimes-256</t>
        </is>
      </c>
      <c r="B1447" s="0" t="inlineStr">
        <is>
          <t>F49</t>
        </is>
      </c>
      <c r="C1447" s="0" t="inlineStr">
        <is>
          <t>F54</t>
        </is>
      </c>
      <c r="D1447" s="0" t="n">
        <v>0.6952223333333331</v>
      </c>
    </row>
    <row r="1448">
      <c r="A1448" s="0" t="inlineStr">
        <is>
          <t>NYTimes-256</t>
        </is>
      </c>
      <c r="B1448" s="0" t="inlineStr">
        <is>
          <t>G49</t>
        </is>
      </c>
      <c r="C1448" s="0" t="inlineStr">
        <is>
          <t>G54</t>
        </is>
      </c>
      <c r="D1448" s="0" t="n">
        <v>0.6952223333333331</v>
      </c>
    </row>
    <row r="1449">
      <c r="A1449" s="0" t="inlineStr">
        <is>
          <t>NYTimes-256</t>
        </is>
      </c>
      <c r="B1449" s="0" t="inlineStr">
        <is>
          <t>H49</t>
        </is>
      </c>
      <c r="C1449" s="0" t="inlineStr">
        <is>
          <t>H54</t>
        </is>
      </c>
      <c r="D1449" s="0" t="n">
        <v>0.769519916666667</v>
      </c>
    </row>
    <row r="1450">
      <c r="A1450" s="0" t="inlineStr">
        <is>
          <t>NYTimes-256</t>
        </is>
      </c>
      <c r="B1450" s="0" t="inlineStr">
        <is>
          <t>I49</t>
        </is>
      </c>
      <c r="C1450" s="0" t="inlineStr">
        <is>
          <t>I54</t>
        </is>
      </c>
      <c r="D1450" s="0" t="n">
        <v>0.769519916666667</v>
      </c>
    </row>
    <row r="1451">
      <c r="A1451" s="0" t="inlineStr">
        <is>
          <t>NYTimes-256</t>
        </is>
      </c>
      <c r="B1451" s="0" t="inlineStr">
        <is>
          <t>J49</t>
        </is>
      </c>
      <c r="C1451" s="0" t="inlineStr">
        <is>
          <t>J54</t>
        </is>
      </c>
      <c r="D1451" s="0" t="n">
        <v>0.802065933333333</v>
      </c>
    </row>
    <row r="1452">
      <c r="A1452" s="0" t="inlineStr">
        <is>
          <t>NYTimes-256</t>
        </is>
      </c>
      <c r="B1452" s="0" t="inlineStr">
        <is>
          <t>K49</t>
        </is>
      </c>
      <c r="C1452" s="0" t="inlineStr">
        <is>
          <t>K54</t>
        </is>
      </c>
      <c r="D1452" s="0" t="n">
        <v>0.802065933333333</v>
      </c>
    </row>
    <row r="1453">
      <c r="A1453" s="0" t="inlineStr">
        <is>
          <t>NYTimes-256</t>
        </is>
      </c>
      <c r="B1453" s="0" t="inlineStr">
        <is>
          <t>L49</t>
        </is>
      </c>
      <c r="C1453" s="0" t="inlineStr">
        <is>
          <t>L54</t>
        </is>
      </c>
      <c r="D1453" s="0" t="n">
        <v>0.840614183333333</v>
      </c>
    </row>
    <row r="1454">
      <c r="A1454" s="0" t="inlineStr">
        <is>
          <t>NYTimes-256</t>
        </is>
      </c>
      <c r="B1454" s="0" t="inlineStr">
        <is>
          <t>M49</t>
        </is>
      </c>
      <c r="C1454" s="0" t="inlineStr">
        <is>
          <t>M54</t>
        </is>
      </c>
      <c r="D1454" s="0" t="n">
        <v>0.983466383333333</v>
      </c>
    </row>
    <row r="1455">
      <c r="A1455" s="0" t="inlineStr">
        <is>
          <t>NYTimes-256</t>
        </is>
      </c>
      <c r="B1455" s="0" t="inlineStr">
        <is>
          <t>N49</t>
        </is>
      </c>
      <c r="C1455" s="0" t="inlineStr">
        <is>
          <t>N54</t>
        </is>
      </c>
      <c r="D1455" s="0" t="n">
        <v>1.09736606666667</v>
      </c>
    </row>
    <row r="1456">
      <c r="A1456" s="0" t="inlineStr">
        <is>
          <t>NYTimes-256</t>
        </is>
      </c>
      <c r="B1456" s="0" t="inlineStr">
        <is>
          <t>O49</t>
        </is>
      </c>
      <c r="C1456" s="0" t="inlineStr">
        <is>
          <t>O54</t>
        </is>
      </c>
      <c r="D1456" s="0" t="n">
        <v>1.3048278</v>
      </c>
    </row>
    <row r="1457">
      <c r="A1457" s="0" t="inlineStr">
        <is>
          <t>NYTimes-256</t>
        </is>
      </c>
      <c r="B1457" s="0" t="inlineStr">
        <is>
          <t>P49</t>
        </is>
      </c>
      <c r="C1457" s="0" t="inlineStr">
        <is>
          <t>P54</t>
        </is>
      </c>
      <c r="D1457" s="0" t="n">
        <v>1.7065919</v>
      </c>
    </row>
    <row r="1458">
      <c r="A1458" s="0" t="inlineStr">
        <is>
          <t>NYTimes-256</t>
        </is>
      </c>
      <c r="B1458" s="0" t="inlineStr">
        <is>
          <t>Q49</t>
        </is>
      </c>
      <c r="C1458" s="0" t="inlineStr">
        <is>
          <t>Q54</t>
        </is>
      </c>
      <c r="D1458" s="0" t="n">
        <v>1.7065919</v>
      </c>
    </row>
    <row r="1459">
      <c r="A1459" s="0" t="inlineStr">
        <is>
          <t>NYTimes-256</t>
        </is>
      </c>
      <c r="B1459" s="0" t="inlineStr">
        <is>
          <t>R49</t>
        </is>
      </c>
      <c r="C1459" s="0" t="inlineStr">
        <is>
          <t>R54</t>
        </is>
      </c>
      <c r="D1459" s="0" t="n">
        <v>2.05966926666667</v>
      </c>
    </row>
    <row r="1460">
      <c r="A1460" s="0" t="inlineStr">
        <is>
          <t>NYTimes-256</t>
        </is>
      </c>
      <c r="B1460" s="0" t="inlineStr">
        <is>
          <t>S49</t>
        </is>
      </c>
      <c r="C1460" s="0" t="inlineStr">
        <is>
          <t>S54</t>
        </is>
      </c>
      <c r="D1460" s="0" t="n">
        <v>2.05966926666667</v>
      </c>
    </row>
    <row r="1461">
      <c r="A1461" s="0" t="inlineStr">
        <is>
          <t>NYTimes-256</t>
        </is>
      </c>
      <c r="B1461" s="0" t="inlineStr">
        <is>
          <t>T49</t>
        </is>
      </c>
      <c r="C1461" s="0" t="inlineStr">
        <is>
          <t>T54</t>
        </is>
      </c>
      <c r="D1461" s="0" t="n">
        <v>3.5460066</v>
      </c>
    </row>
    <row r="1462">
      <c r="A1462" s="0" t="inlineStr">
        <is>
          <t>NYTimes-256</t>
        </is>
      </c>
      <c r="B1462" s="0" t="inlineStr">
        <is>
          <t>U49</t>
        </is>
      </c>
      <c r="C1462" s="0" t="inlineStr">
        <is>
          <t>U54</t>
        </is>
      </c>
      <c r="D1462" s="0" t="n">
        <v>4.89644948333333</v>
      </c>
    </row>
    <row r="1463">
      <c r="A1463" s="0" t="inlineStr">
        <is>
          <t>NYTimes-256</t>
        </is>
      </c>
      <c r="B1463" s="0" t="inlineStr">
        <is>
          <t>V49</t>
        </is>
      </c>
      <c r="C1463" s="0" t="inlineStr">
        <is>
          <t>V54</t>
        </is>
      </c>
      <c r="D1463" s="0" t="n">
        <v>10.7765117333333</v>
      </c>
    </row>
    <row r="1464">
      <c r="A1464" s="0" t="inlineStr">
        <is>
          <t>NYTimes-256</t>
        </is>
      </c>
      <c r="B1464" s="0" t="inlineStr">
        <is>
          <t>W49</t>
        </is>
      </c>
      <c r="C1464" s="0" t="inlineStr">
        <is>
          <t>W54</t>
        </is>
      </c>
      <c r="D1464" s="0" t="n">
        <v>19.7508237</v>
      </c>
    </row>
    <row r="1465">
      <c r="A1465" s="0" t="inlineStr">
        <is>
          <t>NYTimes-256</t>
        </is>
      </c>
      <c r="B1465" s="0" t="inlineStr">
        <is>
          <t>X49</t>
        </is>
      </c>
      <c r="C1465" s="0" t="inlineStr">
        <is>
          <t>X54</t>
        </is>
      </c>
      <c r="D1465" s="0" t="n">
        <v>37.6738647166667</v>
      </c>
    </row>
    <row r="1466">
      <c r="A1466" s="0" t="inlineStr">
        <is>
          <t>NYTimes-256</t>
        </is>
      </c>
      <c r="B1466" s="0" t="inlineStr">
        <is>
          <t>Y49</t>
        </is>
      </c>
      <c r="C1466" s="0" t="inlineStr">
        <is>
          <t>Y54</t>
        </is>
      </c>
      <c r="D1466" s="0" t="n">
        <v>55.6170811833333</v>
      </c>
    </row>
    <row r="1467">
      <c r="A1467" s="0" t="inlineStr">
        <is>
          <t>NYTimes-256</t>
        </is>
      </c>
      <c r="B1467" s="0" t="inlineStr">
        <is>
          <t>D50</t>
        </is>
      </c>
      <c r="C1467" s="0" t="inlineStr">
        <is>
          <t>D55</t>
        </is>
      </c>
      <c r="D1467" s="0" t="inlineStr">
        <is>
          <t>V3DB（单次）</t>
        </is>
      </c>
    </row>
    <row r="1468">
      <c r="A1468" s="0" t="inlineStr">
        <is>
          <t>NYTimes-256</t>
        </is>
      </c>
      <c r="B1468" s="0" t="inlineStr">
        <is>
          <t>E50</t>
        </is>
      </c>
      <c r="C1468" s="0" t="inlineStr">
        <is>
          <t>E55</t>
        </is>
      </c>
      <c r="D1468" s="0" t="inlineStr">
        <is>
          <t>Recall rate</t>
        </is>
      </c>
    </row>
    <row r="1469">
      <c r="A1469" s="0" t="inlineStr">
        <is>
          <t>NYTimes-256</t>
        </is>
      </c>
      <c r="B1469" s="0" t="inlineStr">
        <is>
          <t>F50</t>
        </is>
      </c>
      <c r="C1469" s="0" t="inlineStr">
        <is>
          <t>F55</t>
        </is>
      </c>
      <c r="D1469" s="0" t="n">
        <v>32.5</v>
      </c>
    </row>
    <row r="1470">
      <c r="A1470" s="0" t="inlineStr">
        <is>
          <t>NYTimes-256</t>
        </is>
      </c>
      <c r="B1470" s="0" t="inlineStr">
        <is>
          <t>G50</t>
        </is>
      </c>
      <c r="C1470" s="0" t="inlineStr">
        <is>
          <t>G55</t>
        </is>
      </c>
      <c r="D1470" s="0" t="n">
        <v>32.5</v>
      </c>
    </row>
    <row r="1471">
      <c r="A1471" s="0" t="inlineStr">
        <is>
          <t>NYTimes-256</t>
        </is>
      </c>
      <c r="B1471" s="0" t="inlineStr">
        <is>
          <t>H50</t>
        </is>
      </c>
      <c r="C1471" s="0" t="inlineStr">
        <is>
          <t>H55</t>
        </is>
      </c>
      <c r="D1471" s="0" t="n">
        <v>32.5</v>
      </c>
    </row>
    <row r="1472">
      <c r="A1472" s="0" t="inlineStr">
        <is>
          <t>NYTimes-256</t>
        </is>
      </c>
      <c r="B1472" s="0" t="inlineStr">
        <is>
          <t>I50</t>
        </is>
      </c>
      <c r="C1472" s="0" t="inlineStr">
        <is>
          <t>I55</t>
        </is>
      </c>
      <c r="D1472" s="0" t="n">
        <v>32.5</v>
      </c>
    </row>
    <row r="1473">
      <c r="A1473" s="0" t="inlineStr">
        <is>
          <t>NYTimes-256</t>
        </is>
      </c>
      <c r="B1473" s="0" t="inlineStr">
        <is>
          <t>J50</t>
        </is>
      </c>
      <c r="C1473" s="0" t="inlineStr">
        <is>
          <t>J55</t>
        </is>
      </c>
      <c r="D1473" s="0" t="n">
        <v>35</v>
      </c>
    </row>
    <row r="1474">
      <c r="A1474" s="0" t="inlineStr">
        <is>
          <t>NYTimes-256</t>
        </is>
      </c>
      <c r="B1474" s="0" t="inlineStr">
        <is>
          <t>K50</t>
        </is>
      </c>
      <c r="C1474" s="0" t="inlineStr">
        <is>
          <t>K55</t>
        </is>
      </c>
      <c r="D1474" s="0" t="n">
        <v>45.5</v>
      </c>
    </row>
    <row r="1475">
      <c r="A1475" s="0" t="inlineStr">
        <is>
          <t>NYTimes-256</t>
        </is>
      </c>
      <c r="B1475" s="0" t="inlineStr">
        <is>
          <t>L50</t>
        </is>
      </c>
      <c r="C1475" s="0" t="inlineStr">
        <is>
          <t>L55</t>
        </is>
      </c>
      <c r="D1475" s="0" t="n">
        <v>45.5</v>
      </c>
    </row>
    <row r="1476">
      <c r="A1476" s="0" t="inlineStr">
        <is>
          <t>NYTimes-256</t>
        </is>
      </c>
      <c r="B1476" s="0" t="inlineStr">
        <is>
          <t>M50</t>
        </is>
      </c>
      <c r="C1476" s="0" t="inlineStr">
        <is>
          <t>M55</t>
        </is>
      </c>
      <c r="D1476" s="0" t="n">
        <v>51.5</v>
      </c>
    </row>
    <row r="1477">
      <c r="A1477" s="0" t="inlineStr">
        <is>
          <t>NYTimes-256</t>
        </is>
      </c>
      <c r="B1477" s="0" t="inlineStr">
        <is>
          <t>N50</t>
        </is>
      </c>
      <c r="C1477" s="0" t="inlineStr">
        <is>
          <t>N55</t>
        </is>
      </c>
      <c r="D1477" s="0" t="n">
        <v>58</v>
      </c>
    </row>
    <row r="1478">
      <c r="A1478" s="0" t="inlineStr">
        <is>
          <t>NYTimes-256</t>
        </is>
      </c>
      <c r="B1478" s="0" t="inlineStr">
        <is>
          <t>O50</t>
        </is>
      </c>
      <c r="C1478" s="0" t="inlineStr">
        <is>
          <t>O55</t>
        </is>
      </c>
      <c r="D1478" s="0" t="n">
        <v>62.5</v>
      </c>
    </row>
    <row r="1479">
      <c r="A1479" s="0" t="inlineStr">
        <is>
          <t>NYTimes-256</t>
        </is>
      </c>
      <c r="B1479" s="0" t="inlineStr">
        <is>
          <t>P50</t>
        </is>
      </c>
      <c r="C1479" s="0" t="inlineStr">
        <is>
          <t>P55</t>
        </is>
      </c>
      <c r="D1479" s="0" t="n">
        <v>65.5</v>
      </c>
    </row>
    <row r="1480">
      <c r="A1480" s="0" t="inlineStr">
        <is>
          <t>NYTimes-256</t>
        </is>
      </c>
      <c r="B1480" s="0" t="inlineStr">
        <is>
          <t>Q50</t>
        </is>
      </c>
      <c r="C1480" s="0" t="inlineStr">
        <is>
          <t>Q55</t>
        </is>
      </c>
      <c r="D1480" s="0" t="n">
        <v>72</v>
      </c>
    </row>
    <row r="1481">
      <c r="A1481" s="0" t="inlineStr">
        <is>
          <t>NYTimes-256</t>
        </is>
      </c>
      <c r="B1481" s="0" t="inlineStr">
        <is>
          <t>R50</t>
        </is>
      </c>
      <c r="C1481" s="0" t="inlineStr">
        <is>
          <t>R55</t>
        </is>
      </c>
      <c r="D1481" s="0" t="n">
        <v>76</v>
      </c>
    </row>
    <row r="1482">
      <c r="A1482" s="0" t="inlineStr">
        <is>
          <t>NYTimes-256</t>
        </is>
      </c>
      <c r="B1482" s="0" t="inlineStr">
        <is>
          <t>S50</t>
        </is>
      </c>
      <c r="C1482" s="0" t="inlineStr">
        <is>
          <t>S55</t>
        </is>
      </c>
    </row>
    <row r="1483">
      <c r="A1483" s="0" t="inlineStr">
        <is>
          <t>NYTimes-256</t>
        </is>
      </c>
      <c r="B1483" s="0" t="inlineStr">
        <is>
          <t>T50</t>
        </is>
      </c>
      <c r="C1483" s="0" t="inlineStr">
        <is>
          <t>T55</t>
        </is>
      </c>
    </row>
    <row r="1484">
      <c r="A1484" s="0" t="inlineStr">
        <is>
          <t>NYTimes-256</t>
        </is>
      </c>
      <c r="B1484" s="0" t="inlineStr">
        <is>
          <t>U50</t>
        </is>
      </c>
      <c r="C1484" s="0" t="inlineStr">
        <is>
          <t>U55</t>
        </is>
      </c>
    </row>
    <row r="1485">
      <c r="A1485" s="0" t="inlineStr">
        <is>
          <t>NYTimes-256</t>
        </is>
      </c>
      <c r="B1485" s="0" t="inlineStr">
        <is>
          <t>V50</t>
        </is>
      </c>
      <c r="C1485" s="0" t="inlineStr">
        <is>
          <t>V55</t>
        </is>
      </c>
    </row>
    <row r="1486">
      <c r="A1486" s="0" t="inlineStr">
        <is>
          <t>NYTimes-256</t>
        </is>
      </c>
      <c r="B1486" s="0" t="inlineStr">
        <is>
          <t>W50</t>
        </is>
      </c>
      <c r="C1486" s="0" t="inlineStr">
        <is>
          <t>W55</t>
        </is>
      </c>
    </row>
    <row r="1487">
      <c r="A1487" s="0" t="inlineStr">
        <is>
          <t>NYTimes-256</t>
        </is>
      </c>
      <c r="B1487" s="0" t="inlineStr">
        <is>
          <t>X50</t>
        </is>
      </c>
      <c r="C1487" s="0" t="inlineStr">
        <is>
          <t>X55</t>
        </is>
      </c>
    </row>
    <row r="1488">
      <c r="A1488" s="0" t="inlineStr">
        <is>
          <t>NYTimes-256</t>
        </is>
      </c>
      <c r="B1488" s="0" t="inlineStr">
        <is>
          <t>Y50</t>
        </is>
      </c>
      <c r="C1488" s="0" t="inlineStr">
        <is>
          <t>Y55</t>
        </is>
      </c>
    </row>
    <row r="1489">
      <c r="A1489" s="0" t="inlineStr">
        <is>
          <t>NYTimes-256</t>
        </is>
      </c>
      <c r="B1489" s="0" t="inlineStr">
        <is>
          <t>E51</t>
        </is>
      </c>
      <c r="C1489" s="0" t="inlineStr">
        <is>
          <t>E56</t>
        </is>
      </c>
      <c r="D1489" s="0" t="inlineStr">
        <is>
          <t>query time</t>
        </is>
      </c>
    </row>
    <row r="1490">
      <c r="A1490" s="0" t="inlineStr">
        <is>
          <t>NYTimes-256</t>
        </is>
      </c>
      <c r="B1490" s="0" t="inlineStr">
        <is>
          <t>F51</t>
        </is>
      </c>
      <c r="C1490" s="0" t="inlineStr">
        <is>
          <t>F56</t>
        </is>
      </c>
      <c r="D1490" s="0" t="n">
        <v>58004.043308</v>
      </c>
    </row>
    <row r="1491">
      <c r="A1491" s="0" t="inlineStr">
        <is>
          <t>NYTimes-256</t>
        </is>
      </c>
      <c r="B1491" s="0" t="inlineStr">
        <is>
          <t>G51</t>
        </is>
      </c>
      <c r="C1491" s="0" t="inlineStr">
        <is>
          <t>G56</t>
        </is>
      </c>
      <c r="D1491" s="0" t="n">
        <v>58004.043308</v>
      </c>
    </row>
    <row r="1492">
      <c r="A1492" s="0" t="inlineStr">
        <is>
          <t>NYTimes-256</t>
        </is>
      </c>
      <c r="B1492" s="0" t="inlineStr">
        <is>
          <t>H51</t>
        </is>
      </c>
      <c r="C1492" s="0" t="inlineStr">
        <is>
          <t>H56</t>
        </is>
      </c>
      <c r="D1492" s="0" t="n">
        <v>58004.043308</v>
      </c>
    </row>
    <row r="1493">
      <c r="A1493" s="0" t="inlineStr">
        <is>
          <t>NYTimes-256</t>
        </is>
      </c>
      <c r="B1493" s="0" t="inlineStr">
        <is>
          <t>I51</t>
        </is>
      </c>
      <c r="C1493" s="0" t="inlineStr">
        <is>
          <t>I56</t>
        </is>
      </c>
      <c r="D1493" s="0" t="n">
        <v>58004.043308</v>
      </c>
    </row>
    <row r="1494">
      <c r="A1494" s="0" t="inlineStr">
        <is>
          <t>NYTimes-256</t>
        </is>
      </c>
      <c r="B1494" s="0" t="inlineStr">
        <is>
          <t>J51</t>
        </is>
      </c>
      <c r="C1494" s="0" t="inlineStr">
        <is>
          <t>J56</t>
        </is>
      </c>
      <c r="D1494" s="0" t="n">
        <v>58626.753393</v>
      </c>
    </row>
    <row r="1495">
      <c r="A1495" s="0" t="inlineStr">
        <is>
          <t>NYTimes-256</t>
        </is>
      </c>
      <c r="B1495" s="0" t="inlineStr">
        <is>
          <t>K51</t>
        </is>
      </c>
      <c r="C1495" s="0" t="inlineStr">
        <is>
          <t>K56</t>
        </is>
      </c>
      <c r="D1495" s="0" t="n">
        <v>118898.04465</v>
      </c>
    </row>
    <row r="1496">
      <c r="A1496" s="0" t="inlineStr">
        <is>
          <t>NYTimes-256</t>
        </is>
      </c>
      <c r="B1496" s="0" t="inlineStr">
        <is>
          <t>L51</t>
        </is>
      </c>
      <c r="C1496" s="0" t="inlineStr">
        <is>
          <t>L56</t>
        </is>
      </c>
      <c r="D1496" s="0" t="n">
        <v>118898.04465</v>
      </c>
    </row>
    <row r="1497">
      <c r="A1497" s="0" t="inlineStr">
        <is>
          <t>NYTimes-256</t>
        </is>
      </c>
      <c r="B1497" s="0" t="inlineStr">
        <is>
          <t>M51</t>
        </is>
      </c>
      <c r="C1497" s="0" t="inlineStr">
        <is>
          <t>M56</t>
        </is>
      </c>
      <c r="D1497" s="0" t="n">
        <v>242087.284154</v>
      </c>
    </row>
    <row r="1498">
      <c r="A1498" s="0" t="inlineStr">
        <is>
          <t>NYTimes-256</t>
        </is>
      </c>
      <c r="B1498" s="0" t="inlineStr">
        <is>
          <t>N51</t>
        </is>
      </c>
      <c r="C1498" s="0" t="inlineStr">
        <is>
          <t>N56</t>
        </is>
      </c>
      <c r="D1498" s="0" t="n">
        <v>525753.569964</v>
      </c>
    </row>
    <row r="1499">
      <c r="A1499" s="0" t="inlineStr">
        <is>
          <t>NYTimes-256</t>
        </is>
      </c>
      <c r="B1499" s="0" t="inlineStr">
        <is>
          <t>O51</t>
        </is>
      </c>
      <c r="C1499" s="0" t="inlineStr">
        <is>
          <t>O56</t>
        </is>
      </c>
      <c r="D1499" s="0" t="n">
        <v>546727.954928051</v>
      </c>
    </row>
    <row r="1500">
      <c r="A1500" s="0" t="inlineStr">
        <is>
          <t>NYTimes-256</t>
        </is>
      </c>
      <c r="B1500" s="0" t="inlineStr">
        <is>
          <t>P51</t>
        </is>
      </c>
      <c r="C1500" s="0" t="inlineStr">
        <is>
          <t>P56</t>
        </is>
      </c>
      <c r="D1500" s="0" t="n">
        <v>1148128.70534891</v>
      </c>
    </row>
    <row r="1501">
      <c r="A1501" s="0" t="inlineStr">
        <is>
          <t>NYTimes-256</t>
        </is>
      </c>
      <c r="B1501" s="0" t="inlineStr">
        <is>
          <t>Q51</t>
        </is>
      </c>
      <c r="C1501" s="0" t="inlineStr">
        <is>
          <t>Q56</t>
        </is>
      </c>
      <c r="D1501" s="0" t="n">
        <v>2405603.00168342</v>
      </c>
    </row>
    <row r="1502">
      <c r="A1502" s="0" t="inlineStr">
        <is>
          <t>NYTimes-256</t>
        </is>
      </c>
      <c r="B1502" s="0" t="inlineStr">
        <is>
          <t>R51</t>
        </is>
      </c>
      <c r="C1502" s="0" t="inlineStr">
        <is>
          <t>R56</t>
        </is>
      </c>
      <c r="D1502" s="0" t="n">
        <v>2405603.00168342</v>
      </c>
    </row>
    <row r="1503">
      <c r="A1503" s="0" t="inlineStr">
        <is>
          <t>NYTimes-256</t>
        </is>
      </c>
      <c r="B1503" s="0" t="inlineStr">
        <is>
          <t>S51</t>
        </is>
      </c>
      <c r="C1503" s="0" t="inlineStr">
        <is>
          <t>S56</t>
        </is>
      </c>
    </row>
    <row r="1504">
      <c r="A1504" s="0" t="inlineStr">
        <is>
          <t>NYTimes-256</t>
        </is>
      </c>
      <c r="B1504" s="0" t="inlineStr">
        <is>
          <t>T51</t>
        </is>
      </c>
      <c r="C1504" s="0" t="inlineStr">
        <is>
          <t>T56</t>
        </is>
      </c>
    </row>
    <row r="1505">
      <c r="A1505" s="0" t="inlineStr">
        <is>
          <t>NYTimes-256</t>
        </is>
      </c>
      <c r="B1505" s="0" t="inlineStr">
        <is>
          <t>U51</t>
        </is>
      </c>
      <c r="C1505" s="0" t="inlineStr">
        <is>
          <t>U56</t>
        </is>
      </c>
    </row>
    <row r="1506">
      <c r="A1506" s="0" t="inlineStr">
        <is>
          <t>NYTimes-256</t>
        </is>
      </c>
      <c r="B1506" s="0" t="inlineStr">
        <is>
          <t>V51</t>
        </is>
      </c>
      <c r="C1506" s="0" t="inlineStr">
        <is>
          <t>V56</t>
        </is>
      </c>
    </row>
    <row r="1507">
      <c r="A1507" s="0" t="inlineStr">
        <is>
          <t>NYTimes-256</t>
        </is>
      </c>
      <c r="B1507" s="0" t="inlineStr">
        <is>
          <t>W51</t>
        </is>
      </c>
      <c r="C1507" s="0" t="inlineStr">
        <is>
          <t>W56</t>
        </is>
      </c>
    </row>
    <row r="1508">
      <c r="A1508" s="0" t="inlineStr">
        <is>
          <t>NYTimes-256</t>
        </is>
      </c>
      <c r="B1508" s="0" t="inlineStr">
        <is>
          <t>X51</t>
        </is>
      </c>
      <c r="C1508" s="0" t="inlineStr">
        <is>
          <t>X56</t>
        </is>
      </c>
    </row>
    <row r="1509">
      <c r="A1509" s="0" t="inlineStr">
        <is>
          <t>NYTimes-256</t>
        </is>
      </c>
      <c r="B1509" s="0" t="inlineStr">
        <is>
          <t>Y51</t>
        </is>
      </c>
      <c r="C1509" s="0" t="inlineStr">
        <is>
          <t>Y56</t>
        </is>
      </c>
    </row>
    <row r="1510">
      <c r="A1510" s="0" t="inlineStr">
        <is>
          <t>NYTimes-256</t>
        </is>
      </c>
      <c r="B1510" s="0" t="inlineStr">
        <is>
          <t>D52</t>
        </is>
      </c>
      <c r="C1510" s="0" t="inlineStr">
        <is>
          <t>D59</t>
        </is>
      </c>
    </row>
    <row r="1511">
      <c r="A1511" s="0" t="inlineStr">
        <is>
          <t>NYTimes-256</t>
        </is>
      </c>
      <c r="B1511" s="0" t="inlineStr">
        <is>
          <t>D53</t>
        </is>
      </c>
      <c r="C1511" s="0" t="inlineStr">
        <is>
          <t>D60</t>
        </is>
      </c>
    </row>
    <row r="1512">
      <c r="A1512" s="0" t="inlineStr">
        <is>
          <t>NYTimes-256</t>
        </is>
      </c>
      <c r="B1512" s="0" t="inlineStr">
        <is>
          <t>E57</t>
        </is>
      </c>
      <c r="C1512" s="0" t="inlineStr">
        <is>
          <t>E64</t>
        </is>
      </c>
      <c r="D1512" s="0" t="inlineStr">
        <is>
          <t>Dataset size vs. VO size</t>
        </is>
      </c>
    </row>
    <row r="1513">
      <c r="A1513" s="0" t="inlineStr">
        <is>
          <t>NYTimes-256</t>
        </is>
      </c>
      <c r="B1513" s="0" t="inlineStr">
        <is>
          <t>D59</t>
        </is>
      </c>
      <c r="C1513" s="0" t="inlineStr">
        <is>
          <t>D66</t>
        </is>
      </c>
      <c r="D1513" s="0" t="inlineStr">
        <is>
          <t>NYTimes-256: real prefix subsets; 5M/10M not applicable</t>
        </is>
      </c>
    </row>
    <row r="1514">
      <c r="A1514" s="0" t="inlineStr">
        <is>
          <t>NYTimes-256</t>
        </is>
      </c>
      <c r="B1514" s="0" t="inlineStr">
        <is>
          <t>D60</t>
        </is>
      </c>
      <c r="C1514" s="0" t="inlineStr">
        <is>
          <t>D67</t>
        </is>
      </c>
      <c r="D1514" s="0" t="inlineStr">
        <is>
          <t>dataset size</t>
        </is>
      </c>
    </row>
    <row r="1515">
      <c r="A1515" s="0" t="inlineStr">
        <is>
          <t>NYTimes-256</t>
        </is>
      </c>
      <c r="B1515" s="0" t="inlineStr">
        <is>
          <t>F60</t>
        </is>
      </c>
      <c r="C1515" s="0" t="inlineStr">
        <is>
          <t>F67</t>
        </is>
      </c>
      <c r="D1515" s="0" t="inlineStr">
        <is>
          <t>10^5</t>
        </is>
      </c>
    </row>
    <row r="1516">
      <c r="A1516" s="0" t="inlineStr">
        <is>
          <t>NYTimes-256</t>
        </is>
      </c>
      <c r="B1516" s="0" t="inlineStr">
        <is>
          <t>G60</t>
        </is>
      </c>
      <c r="C1516" s="0" t="inlineStr">
        <is>
          <t>G67</t>
        </is>
      </c>
      <c r="D1516" s="0" t="inlineStr">
        <is>
          <t>5*10^5</t>
        </is>
      </c>
    </row>
    <row r="1517">
      <c r="A1517" s="0" t="inlineStr">
        <is>
          <t>NYTimes-256</t>
        </is>
      </c>
      <c r="B1517" s="0" t="inlineStr">
        <is>
          <t>H60</t>
        </is>
      </c>
      <c r="C1517" s="0" t="inlineStr">
        <is>
          <t>H67</t>
        </is>
      </c>
      <c r="D1517" s="0" t="inlineStr">
        <is>
          <t>10^6</t>
        </is>
      </c>
    </row>
    <row r="1518">
      <c r="A1518" s="0" t="inlineStr">
        <is>
          <t>NYTimes-256</t>
        </is>
      </c>
      <c r="B1518" s="0" t="inlineStr">
        <is>
          <t>I60</t>
        </is>
      </c>
      <c r="C1518" s="0" t="inlineStr">
        <is>
          <t>I67</t>
        </is>
      </c>
      <c r="D1518" s="0" t="inlineStr">
        <is>
          <t>5*10^6</t>
        </is>
      </c>
    </row>
    <row r="1519">
      <c r="A1519" s="0" t="inlineStr">
        <is>
          <t>NYTimes-256</t>
        </is>
      </c>
      <c r="B1519" s="0" t="inlineStr">
        <is>
          <t>J60</t>
        </is>
      </c>
      <c r="C1519" s="0" t="inlineStr">
        <is>
          <t>J67</t>
        </is>
      </c>
      <c r="D1519" s="0" t="inlineStr">
        <is>
          <t>10^7</t>
        </is>
      </c>
    </row>
    <row r="1520">
      <c r="A1520" s="0" t="inlineStr">
        <is>
          <t>NYTimes-256</t>
        </is>
      </c>
      <c r="B1520" s="0" t="inlineStr">
        <is>
          <t>D61</t>
        </is>
      </c>
      <c r="C1520" s="0" t="inlineStr">
        <is>
          <t>D68</t>
        </is>
      </c>
      <c r="D1520" s="0" t="inlineStr">
        <is>
          <t>VLAH</t>
        </is>
      </c>
    </row>
    <row r="1521">
      <c r="A1521" s="0" t="inlineStr">
        <is>
          <t>NYTimes-256</t>
        </is>
      </c>
      <c r="B1521" s="0" t="inlineStr">
        <is>
          <t>F61</t>
        </is>
      </c>
      <c r="C1521" s="0" t="inlineStr">
        <is>
          <t>F68</t>
        </is>
      </c>
      <c r="D1521" s="0" t="n">
        <v>17664.8286</v>
      </c>
    </row>
    <row r="1522">
      <c r="A1522" s="0" t="inlineStr">
        <is>
          <t>NYTimes-256</t>
        </is>
      </c>
      <c r="B1522" s="0" t="inlineStr">
        <is>
          <t>G61</t>
        </is>
      </c>
      <c r="C1522" s="0" t="inlineStr">
        <is>
          <t>G68</t>
        </is>
      </c>
      <c r="D1522" s="0" t="inlineStr">
        <is>
          <t>不适用</t>
        </is>
      </c>
    </row>
    <row r="1523">
      <c r="A1523" s="0" t="inlineStr">
        <is>
          <t>NYTimes-256</t>
        </is>
      </c>
      <c r="B1523" s="0" t="inlineStr">
        <is>
          <t>H61</t>
        </is>
      </c>
      <c r="C1523" s="0" t="inlineStr">
        <is>
          <t>H68</t>
        </is>
      </c>
      <c r="D1523" s="0" t="inlineStr">
        <is>
          <t>不适用</t>
        </is>
      </c>
    </row>
    <row r="1524">
      <c r="A1524" s="0" t="inlineStr">
        <is>
          <t>NYTimes-256</t>
        </is>
      </c>
      <c r="B1524" s="0" t="inlineStr">
        <is>
          <t>I61</t>
        </is>
      </c>
      <c r="C1524" s="0" t="inlineStr">
        <is>
          <t>I68</t>
        </is>
      </c>
      <c r="D1524" s="0" t="inlineStr">
        <is>
          <t>不适用</t>
        </is>
      </c>
    </row>
    <row r="1525">
      <c r="A1525" s="0" t="inlineStr">
        <is>
          <t>NYTimes-256</t>
        </is>
      </c>
      <c r="B1525" s="0" t="inlineStr">
        <is>
          <t>J61</t>
        </is>
      </c>
      <c r="C1525" s="0" t="inlineStr">
        <is>
          <t>J68</t>
        </is>
      </c>
      <c r="D1525" s="0" t="inlineStr">
        <is>
          <t>不适用</t>
        </is>
      </c>
    </row>
    <row r="1526">
      <c r="A1526" s="0" t="inlineStr">
        <is>
          <t>NYTimes-256</t>
        </is>
      </c>
      <c r="B1526" s="0" t="inlineStr">
        <is>
          <t>D62</t>
        </is>
      </c>
      <c r="C1526" s="0" t="inlineStr">
        <is>
          <t>D69</t>
        </is>
      </c>
      <c r="D1526" s="0" t="inlineStr">
        <is>
          <t>ANNProof</t>
        </is>
      </c>
    </row>
    <row r="1527">
      <c r="A1527" s="0" t="inlineStr">
        <is>
          <t>NYTimes-256</t>
        </is>
      </c>
      <c r="B1527" s="0" t="inlineStr">
        <is>
          <t>F62</t>
        </is>
      </c>
      <c r="C1527" s="0" t="inlineStr">
        <is>
          <t>F69</t>
        </is>
      </c>
      <c r="D1527" s="0" t="n">
        <v>13711.3812</v>
      </c>
    </row>
    <row r="1528">
      <c r="A1528" s="0" t="inlineStr">
        <is>
          <t>NYTimes-256</t>
        </is>
      </c>
      <c r="B1528" s="0" t="inlineStr">
        <is>
          <t>G62</t>
        </is>
      </c>
      <c r="C1528" s="0" t="inlineStr">
        <is>
          <t>G69</t>
        </is>
      </c>
      <c r="D1528" s="0" t="inlineStr">
        <is>
          <t>不适用</t>
        </is>
      </c>
    </row>
    <row r="1529">
      <c r="A1529" s="0" t="inlineStr">
        <is>
          <t>NYTimes-256</t>
        </is>
      </c>
      <c r="B1529" s="0" t="inlineStr">
        <is>
          <t>H62</t>
        </is>
      </c>
      <c r="C1529" s="0" t="inlineStr">
        <is>
          <t>H69</t>
        </is>
      </c>
      <c r="D1529" s="0" t="inlineStr">
        <is>
          <t>不适用</t>
        </is>
      </c>
    </row>
    <row r="1530">
      <c r="A1530" s="0" t="inlineStr">
        <is>
          <t>NYTimes-256</t>
        </is>
      </c>
      <c r="B1530" s="0" t="inlineStr">
        <is>
          <t>I62</t>
        </is>
      </c>
      <c r="C1530" s="0" t="inlineStr">
        <is>
          <t>I69</t>
        </is>
      </c>
      <c r="D1530" s="0" t="inlineStr">
        <is>
          <t>不适用</t>
        </is>
      </c>
    </row>
    <row r="1531">
      <c r="A1531" s="0" t="inlineStr">
        <is>
          <t>NYTimes-256</t>
        </is>
      </c>
      <c r="B1531" s="0" t="inlineStr">
        <is>
          <t>J62</t>
        </is>
      </c>
      <c r="C1531" s="0" t="inlineStr">
        <is>
          <t>J69</t>
        </is>
      </c>
      <c r="D1531" s="0" t="inlineStr">
        <is>
          <t>不适用</t>
        </is>
      </c>
    </row>
    <row r="1532">
      <c r="A1532" s="0" t="inlineStr">
        <is>
          <t>NYTimes-256</t>
        </is>
      </c>
      <c r="B1532" s="0" t="inlineStr">
        <is>
          <t>D63</t>
        </is>
      </c>
      <c r="C1532" s="0" t="inlineStr">
        <is>
          <t>D70</t>
        </is>
      </c>
      <c r="D1532" s="0" t="inlineStr">
        <is>
          <t>Ours</t>
        </is>
      </c>
    </row>
    <row r="1533">
      <c r="A1533" s="0" t="inlineStr">
        <is>
          <t>NYTimes-256</t>
        </is>
      </c>
      <c r="B1533" s="0" t="inlineStr">
        <is>
          <t>F63</t>
        </is>
      </c>
      <c r="C1533" s="0" t="inlineStr">
        <is>
          <t>F70</t>
        </is>
      </c>
      <c r="D1533" s="0" t="n">
        <v>2368.6286</v>
      </c>
    </row>
    <row r="1534">
      <c r="A1534" s="0" t="inlineStr">
        <is>
          <t>NYTimes-256</t>
        </is>
      </c>
      <c r="B1534" s="0" t="inlineStr">
        <is>
          <t>G63</t>
        </is>
      </c>
      <c r="C1534" s="0" t="inlineStr">
        <is>
          <t>G70</t>
        </is>
      </c>
      <c r="D1534" s="0" t="inlineStr">
        <is>
          <t>不适用</t>
        </is>
      </c>
    </row>
    <row r="1535">
      <c r="A1535" s="0" t="inlineStr">
        <is>
          <t>NYTimes-256</t>
        </is>
      </c>
      <c r="B1535" s="0" t="inlineStr">
        <is>
          <t>H63</t>
        </is>
      </c>
      <c r="C1535" s="0" t="inlineStr">
        <is>
          <t>H70</t>
        </is>
      </c>
      <c r="D1535" s="0" t="inlineStr">
        <is>
          <t>不适用</t>
        </is>
      </c>
    </row>
    <row r="1536">
      <c r="A1536" s="0" t="inlineStr">
        <is>
          <t>NYTimes-256</t>
        </is>
      </c>
      <c r="B1536" s="0" t="inlineStr">
        <is>
          <t>I63</t>
        </is>
      </c>
      <c r="C1536" s="0" t="inlineStr">
        <is>
          <t>I70</t>
        </is>
      </c>
      <c r="D1536" s="0" t="inlineStr">
        <is>
          <t>不适用</t>
        </is>
      </c>
    </row>
    <row r="1537">
      <c r="A1537" s="0" t="inlineStr">
        <is>
          <t>NYTimes-256</t>
        </is>
      </c>
      <c r="B1537" s="0" t="inlineStr">
        <is>
          <t>J63</t>
        </is>
      </c>
      <c r="C1537" s="0" t="inlineStr">
        <is>
          <t>J70</t>
        </is>
      </c>
      <c r="D1537" s="0" t="inlineStr">
        <is>
          <t>不适用</t>
        </is>
      </c>
    </row>
    <row r="1538">
      <c r="A1538" s="0" t="inlineStr">
        <is>
          <t>NYTimes-256</t>
        </is>
      </c>
      <c r="B1538" s="0" t="inlineStr">
        <is>
          <t>D64</t>
        </is>
      </c>
      <c r="C1538" s="0" t="inlineStr">
        <is>
          <t>D71</t>
        </is>
      </c>
      <c r="D1538" s="0" t="inlineStr">
        <is>
          <t>V3DB（单次）</t>
        </is>
      </c>
    </row>
    <row r="1539">
      <c r="A1539" s="0" t="inlineStr">
        <is>
          <t>NYTimes-256</t>
        </is>
      </c>
      <c r="B1539" s="0" t="inlineStr">
        <is>
          <t>F64</t>
        </is>
      </c>
      <c r="C1539" s="0" t="inlineStr">
        <is>
          <t>F71</t>
        </is>
      </c>
      <c r="D1539" s="0" t="n">
        <v>204.78</v>
      </c>
    </row>
    <row r="1540">
      <c r="A1540" s="0" t="inlineStr">
        <is>
          <t>NYTimes-256</t>
        </is>
      </c>
      <c r="B1540" s="0" t="inlineStr">
        <is>
          <t>G64</t>
        </is>
      </c>
      <c r="C1540" s="0" t="inlineStr">
        <is>
          <t>G71</t>
        </is>
      </c>
    </row>
    <row r="1541">
      <c r="A1541" s="0" t="inlineStr">
        <is>
          <t>NYTimes-256</t>
        </is>
      </c>
      <c r="B1541" s="0" t="inlineStr">
        <is>
          <t>H64</t>
        </is>
      </c>
      <c r="C1541" s="0" t="inlineStr">
        <is>
          <t>H71</t>
        </is>
      </c>
    </row>
    <row r="1542">
      <c r="A1542" s="0" t="inlineStr">
        <is>
          <t>NYTimes-256</t>
        </is>
      </c>
      <c r="B1542" s="0" t="inlineStr">
        <is>
          <t>I64</t>
        </is>
      </c>
      <c r="C1542" s="0" t="inlineStr">
        <is>
          <t>I71</t>
        </is>
      </c>
    </row>
    <row r="1543">
      <c r="A1543" s="0" t="inlineStr">
        <is>
          <t>NYTimes-256</t>
        </is>
      </c>
      <c r="B1543" s="0" t="inlineStr">
        <is>
          <t>J64</t>
        </is>
      </c>
      <c r="C1543" s="0" t="inlineStr">
        <is>
          <t>J71</t>
        </is>
      </c>
    </row>
    <row r="1544">
      <c r="A1544" s="0" t="inlineStr">
        <is>
          <t>NYTimes-256</t>
        </is>
      </c>
      <c r="B1544" s="0" t="inlineStr">
        <is>
          <t>E68</t>
        </is>
      </c>
      <c r="C1544" s="0" t="inlineStr">
        <is>
          <t>E76</t>
        </is>
      </c>
      <c r="D1544" s="0" t="inlineStr">
        <is>
          <t>Dataset size vs. Verify time</t>
        </is>
      </c>
    </row>
    <row r="1545">
      <c r="A1545" s="0" t="inlineStr">
        <is>
          <t>NYTimes-256</t>
        </is>
      </c>
      <c r="B1545" s="0" t="inlineStr">
        <is>
          <t>D70</t>
        </is>
      </c>
      <c r="C1545" s="0" t="inlineStr">
        <is>
          <t>D78</t>
        </is>
      </c>
      <c r="D1545" s="0" t="inlineStr">
        <is>
          <t>NYTimes-256: real prefix subsets; 5M/10M not applicable</t>
        </is>
      </c>
    </row>
    <row r="1546">
      <c r="A1546" s="0" t="inlineStr">
        <is>
          <t>NYTimes-256</t>
        </is>
      </c>
      <c r="B1546" s="0" t="inlineStr">
        <is>
          <t>D71</t>
        </is>
      </c>
      <c r="C1546" s="0" t="inlineStr">
        <is>
          <t>D79</t>
        </is>
      </c>
      <c r="D1546" s="0" t="inlineStr">
        <is>
          <t>dataset size</t>
        </is>
      </c>
    </row>
    <row r="1547">
      <c r="A1547" s="0" t="inlineStr">
        <is>
          <t>NYTimes-256</t>
        </is>
      </c>
      <c r="B1547" s="0" t="inlineStr">
        <is>
          <t>F71</t>
        </is>
      </c>
      <c r="C1547" s="0" t="inlineStr">
        <is>
          <t>F79</t>
        </is>
      </c>
      <c r="D1547" s="0" t="inlineStr">
        <is>
          <t>10^5</t>
        </is>
      </c>
    </row>
    <row r="1548">
      <c r="A1548" s="0" t="inlineStr">
        <is>
          <t>NYTimes-256</t>
        </is>
      </c>
      <c r="B1548" s="0" t="inlineStr">
        <is>
          <t>G71</t>
        </is>
      </c>
      <c r="C1548" s="0" t="inlineStr">
        <is>
          <t>G79</t>
        </is>
      </c>
      <c r="D1548" s="0" t="inlineStr">
        <is>
          <t>5*10^5</t>
        </is>
      </c>
    </row>
    <row r="1549">
      <c r="A1549" s="0" t="inlineStr">
        <is>
          <t>NYTimes-256</t>
        </is>
      </c>
      <c r="B1549" s="0" t="inlineStr">
        <is>
          <t>H71</t>
        </is>
      </c>
      <c r="C1549" s="0" t="inlineStr">
        <is>
          <t>H79</t>
        </is>
      </c>
      <c r="D1549" s="0" t="inlineStr">
        <is>
          <t>10^6</t>
        </is>
      </c>
    </row>
    <row r="1550">
      <c r="A1550" s="0" t="inlineStr">
        <is>
          <t>NYTimes-256</t>
        </is>
      </c>
      <c r="B1550" s="0" t="inlineStr">
        <is>
          <t>I71</t>
        </is>
      </c>
      <c r="C1550" s="0" t="inlineStr">
        <is>
          <t>I79</t>
        </is>
      </c>
      <c r="D1550" s="0" t="inlineStr">
        <is>
          <t>5*10^6</t>
        </is>
      </c>
    </row>
    <row r="1551">
      <c r="A1551" s="0" t="inlineStr">
        <is>
          <t>NYTimes-256</t>
        </is>
      </c>
      <c r="B1551" s="0" t="inlineStr">
        <is>
          <t>J71</t>
        </is>
      </c>
      <c r="C1551" s="0" t="inlineStr">
        <is>
          <t>J79</t>
        </is>
      </c>
      <c r="D1551" s="0" t="inlineStr">
        <is>
          <t>10^7</t>
        </is>
      </c>
    </row>
    <row r="1552">
      <c r="A1552" s="0" t="inlineStr">
        <is>
          <t>NYTimes-256</t>
        </is>
      </c>
      <c r="B1552" s="0" t="inlineStr">
        <is>
          <t>D72</t>
        </is>
      </c>
      <c r="C1552" s="0" t="inlineStr">
        <is>
          <t>D80</t>
        </is>
      </c>
      <c r="D1552" s="0" t="inlineStr">
        <is>
          <t>VLAH</t>
        </is>
      </c>
    </row>
    <row r="1553">
      <c r="A1553" s="0" t="inlineStr">
        <is>
          <t>NYTimes-256</t>
        </is>
      </c>
      <c r="B1553" s="0" t="inlineStr">
        <is>
          <t>F72</t>
        </is>
      </c>
      <c r="C1553" s="0" t="inlineStr">
        <is>
          <t>F80</t>
        </is>
      </c>
      <c r="D1553" s="0" t="n">
        <v>73.12613981666669</v>
      </c>
    </row>
    <row r="1554">
      <c r="A1554" s="0" t="inlineStr">
        <is>
          <t>NYTimes-256</t>
        </is>
      </c>
      <c r="B1554" s="0" t="inlineStr">
        <is>
          <t>G72</t>
        </is>
      </c>
      <c r="C1554" s="0" t="inlineStr">
        <is>
          <t>G80</t>
        </is>
      </c>
      <c r="D1554" s="0" t="inlineStr">
        <is>
          <t>不适用</t>
        </is>
      </c>
    </row>
    <row r="1555">
      <c r="A1555" s="0" t="inlineStr">
        <is>
          <t>NYTimes-256</t>
        </is>
      </c>
      <c r="B1555" s="0" t="inlineStr">
        <is>
          <t>H72</t>
        </is>
      </c>
      <c r="C1555" s="0" t="inlineStr">
        <is>
          <t>H80</t>
        </is>
      </c>
      <c r="D1555" s="0" t="inlineStr">
        <is>
          <t>不适用</t>
        </is>
      </c>
    </row>
    <row r="1556">
      <c r="A1556" s="0" t="inlineStr">
        <is>
          <t>NYTimes-256</t>
        </is>
      </c>
      <c r="B1556" s="0" t="inlineStr">
        <is>
          <t>I72</t>
        </is>
      </c>
      <c r="C1556" s="0" t="inlineStr">
        <is>
          <t>I80</t>
        </is>
      </c>
      <c r="D1556" s="0" t="inlineStr">
        <is>
          <t>不适用</t>
        </is>
      </c>
    </row>
    <row r="1557">
      <c r="A1557" s="0" t="inlineStr">
        <is>
          <t>NYTimes-256</t>
        </is>
      </c>
      <c r="B1557" s="0" t="inlineStr">
        <is>
          <t>J72</t>
        </is>
      </c>
      <c r="C1557" s="0" t="inlineStr">
        <is>
          <t>J80</t>
        </is>
      </c>
      <c r="D1557" s="0" t="inlineStr">
        <is>
          <t>不适用</t>
        </is>
      </c>
    </row>
    <row r="1558">
      <c r="A1558" s="0" t="inlineStr">
        <is>
          <t>NYTimes-256</t>
        </is>
      </c>
      <c r="B1558" s="0" t="inlineStr">
        <is>
          <t>D73</t>
        </is>
      </c>
      <c r="C1558" s="0" t="inlineStr">
        <is>
          <t>D81</t>
        </is>
      </c>
      <c r="D1558" s="0" t="inlineStr">
        <is>
          <t>ANNProof</t>
        </is>
      </c>
    </row>
    <row r="1559">
      <c r="A1559" s="0" t="inlineStr">
        <is>
          <t>NYTimes-256</t>
        </is>
      </c>
      <c r="B1559" s="0" t="inlineStr">
        <is>
          <t>F73</t>
        </is>
      </c>
      <c r="C1559" s="0" t="inlineStr">
        <is>
          <t>F81</t>
        </is>
      </c>
      <c r="D1559" s="0" t="n">
        <v>114.572638983333</v>
      </c>
    </row>
    <row r="1560">
      <c r="A1560" s="0" t="inlineStr">
        <is>
          <t>NYTimes-256</t>
        </is>
      </c>
      <c r="B1560" s="0" t="inlineStr">
        <is>
          <t>G73</t>
        </is>
      </c>
      <c r="C1560" s="0" t="inlineStr">
        <is>
          <t>G81</t>
        </is>
      </c>
      <c r="D1560" s="0" t="inlineStr">
        <is>
          <t>不适用</t>
        </is>
      </c>
    </row>
    <row r="1561">
      <c r="A1561" s="0" t="inlineStr">
        <is>
          <t>NYTimes-256</t>
        </is>
      </c>
      <c r="B1561" s="0" t="inlineStr">
        <is>
          <t>H73</t>
        </is>
      </c>
      <c r="C1561" s="0" t="inlineStr">
        <is>
          <t>H81</t>
        </is>
      </c>
      <c r="D1561" s="0" t="inlineStr">
        <is>
          <t>不适用</t>
        </is>
      </c>
    </row>
    <row r="1562">
      <c r="A1562" s="0" t="inlineStr">
        <is>
          <t>NYTimes-256</t>
        </is>
      </c>
      <c r="B1562" s="0" t="inlineStr">
        <is>
          <t>I73</t>
        </is>
      </c>
      <c r="C1562" s="0" t="inlineStr">
        <is>
          <t>I81</t>
        </is>
      </c>
      <c r="D1562" s="0" t="inlineStr">
        <is>
          <t>不适用</t>
        </is>
      </c>
    </row>
    <row r="1563">
      <c r="A1563" s="0" t="inlineStr">
        <is>
          <t>NYTimes-256</t>
        </is>
      </c>
      <c r="B1563" s="0" t="inlineStr">
        <is>
          <t>J73</t>
        </is>
      </c>
      <c r="C1563" s="0" t="inlineStr">
        <is>
          <t>J81</t>
        </is>
      </c>
      <c r="D1563" s="0" t="inlineStr">
        <is>
          <t>不适用</t>
        </is>
      </c>
    </row>
    <row r="1564">
      <c r="A1564" s="0" t="inlineStr">
        <is>
          <t>NYTimes-256</t>
        </is>
      </c>
      <c r="B1564" s="0" t="inlineStr">
        <is>
          <t>D74</t>
        </is>
      </c>
      <c r="C1564" s="0" t="inlineStr">
        <is>
          <t>D82</t>
        </is>
      </c>
      <c r="D1564" s="0" t="inlineStr">
        <is>
          <t>Ours</t>
        </is>
      </c>
    </row>
    <row r="1565">
      <c r="A1565" s="0" t="inlineStr">
        <is>
          <t>NYTimes-256</t>
        </is>
      </c>
      <c r="B1565" s="0" t="inlineStr">
        <is>
          <t>F74</t>
        </is>
      </c>
      <c r="C1565" s="0" t="inlineStr">
        <is>
          <t>F82</t>
        </is>
      </c>
      <c r="D1565" s="0" t="n">
        <v>40.9393915166667</v>
      </c>
    </row>
    <row r="1566">
      <c r="A1566" s="0" t="inlineStr">
        <is>
          <t>NYTimes-256</t>
        </is>
      </c>
      <c r="B1566" s="0" t="inlineStr">
        <is>
          <t>G74</t>
        </is>
      </c>
      <c r="C1566" s="0" t="inlineStr">
        <is>
          <t>G82</t>
        </is>
      </c>
      <c r="D1566" s="0" t="inlineStr">
        <is>
          <t>不适用</t>
        </is>
      </c>
    </row>
    <row r="1567">
      <c r="A1567" s="0" t="inlineStr">
        <is>
          <t>NYTimes-256</t>
        </is>
      </c>
      <c r="B1567" s="0" t="inlineStr">
        <is>
          <t>H74</t>
        </is>
      </c>
      <c r="C1567" s="0" t="inlineStr">
        <is>
          <t>H82</t>
        </is>
      </c>
      <c r="D1567" s="0" t="inlineStr">
        <is>
          <t>不适用</t>
        </is>
      </c>
    </row>
    <row r="1568">
      <c r="A1568" s="0" t="inlineStr">
        <is>
          <t>NYTimes-256</t>
        </is>
      </c>
      <c r="B1568" s="0" t="inlineStr">
        <is>
          <t>I74</t>
        </is>
      </c>
      <c r="C1568" s="0" t="inlineStr">
        <is>
          <t>I82</t>
        </is>
      </c>
      <c r="D1568" s="0" t="inlineStr">
        <is>
          <t>不适用</t>
        </is>
      </c>
    </row>
    <row r="1569">
      <c r="A1569" s="0" t="inlineStr">
        <is>
          <t>NYTimes-256</t>
        </is>
      </c>
      <c r="B1569" s="0" t="inlineStr">
        <is>
          <t>J74</t>
        </is>
      </c>
      <c r="C1569" s="0" t="inlineStr">
        <is>
          <t>J82</t>
        </is>
      </c>
      <c r="D1569" s="0" t="inlineStr">
        <is>
          <t>不适用</t>
        </is>
      </c>
    </row>
    <row r="1570">
      <c r="A1570" s="0" t="inlineStr">
        <is>
          <t>NYTimes-256</t>
        </is>
      </c>
      <c r="B1570" s="0" t="inlineStr">
        <is>
          <t>D75</t>
        </is>
      </c>
      <c r="C1570" s="0" t="inlineStr">
        <is>
          <t>D83</t>
        </is>
      </c>
      <c r="D1570" s="0" t="inlineStr">
        <is>
          <t>V3DB（单次）</t>
        </is>
      </c>
    </row>
    <row r="1571">
      <c r="A1571" s="0" t="inlineStr">
        <is>
          <t>NYTimes-256</t>
        </is>
      </c>
      <c r="B1571" s="0" t="inlineStr">
        <is>
          <t>F75</t>
        </is>
      </c>
      <c r="C1571" s="0" t="inlineStr">
        <is>
          <t>F83</t>
        </is>
      </c>
      <c r="D1571" s="0" t="n">
        <v>21.182078999118</v>
      </c>
    </row>
    <row r="1572">
      <c r="A1572" s="0" t="inlineStr">
        <is>
          <t>NYTimes-256</t>
        </is>
      </c>
      <c r="B1572" s="0" t="inlineStr">
        <is>
          <t>G75</t>
        </is>
      </c>
      <c r="C1572" s="0" t="inlineStr">
        <is>
          <t>G83</t>
        </is>
      </c>
    </row>
    <row r="1573">
      <c r="A1573" s="0" t="inlineStr">
        <is>
          <t>NYTimes-256</t>
        </is>
      </c>
      <c r="B1573" s="0" t="inlineStr">
        <is>
          <t>H75</t>
        </is>
      </c>
      <c r="C1573" s="0" t="inlineStr">
        <is>
          <t>H83</t>
        </is>
      </c>
    </row>
    <row r="1574">
      <c r="A1574" s="0" t="inlineStr">
        <is>
          <t>NYTimes-256</t>
        </is>
      </c>
      <c r="B1574" s="0" t="inlineStr">
        <is>
          <t>I75</t>
        </is>
      </c>
      <c r="C1574" s="0" t="inlineStr">
        <is>
          <t>I83</t>
        </is>
      </c>
    </row>
    <row r="1575">
      <c r="A1575" s="0" t="inlineStr">
        <is>
          <t>NYTimes-256</t>
        </is>
      </c>
      <c r="B1575" s="0" t="inlineStr">
        <is>
          <t>J75</t>
        </is>
      </c>
      <c r="C1575" s="0" t="inlineStr">
        <is>
          <t>J83</t>
        </is>
      </c>
    </row>
    <row r="1576">
      <c r="A1576" s="0" t="inlineStr">
        <is>
          <t>NYTimes-256</t>
        </is>
      </c>
      <c r="B1576" s="0" t="inlineStr">
        <is>
          <t>E78</t>
        </is>
      </c>
      <c r="C1576" s="0" t="inlineStr">
        <is>
          <t>E87</t>
        </is>
      </c>
      <c r="D1576" s="0" t="inlineStr">
        <is>
          <t>Dataset size vs. query time</t>
        </is>
      </c>
    </row>
    <row r="1577">
      <c r="A1577" s="0" t="inlineStr">
        <is>
          <t>NYTimes-256</t>
        </is>
      </c>
      <c r="B1577" s="0" t="inlineStr">
        <is>
          <t>D80</t>
        </is>
      </c>
      <c r="C1577" s="0" t="inlineStr">
        <is>
          <t>D89</t>
        </is>
      </c>
      <c r="D1577" s="0" t="inlineStr">
        <is>
          <t>NYTimes-256: real prefix subsets; 5M/10M not applicable</t>
        </is>
      </c>
    </row>
    <row r="1578">
      <c r="A1578" s="0" t="inlineStr">
        <is>
          <t>NYTimes-256</t>
        </is>
      </c>
      <c r="B1578" s="0" t="inlineStr">
        <is>
          <t>D81</t>
        </is>
      </c>
      <c r="C1578" s="0" t="inlineStr">
        <is>
          <t>D90</t>
        </is>
      </c>
      <c r="D1578" s="0" t="inlineStr">
        <is>
          <t>dataset size</t>
        </is>
      </c>
    </row>
    <row r="1579">
      <c r="A1579" s="0" t="inlineStr">
        <is>
          <t>NYTimes-256</t>
        </is>
      </c>
      <c r="B1579" s="0" t="inlineStr">
        <is>
          <t>F81</t>
        </is>
      </c>
      <c r="C1579" s="0" t="inlineStr">
        <is>
          <t>F90</t>
        </is>
      </c>
      <c r="D1579" s="0" t="inlineStr">
        <is>
          <t>10^5</t>
        </is>
      </c>
    </row>
    <row r="1580">
      <c r="A1580" s="0" t="inlineStr">
        <is>
          <t>NYTimes-256</t>
        </is>
      </c>
      <c r="B1580" s="0" t="inlineStr">
        <is>
          <t>G81</t>
        </is>
      </c>
      <c r="C1580" s="0" t="inlineStr">
        <is>
          <t>G90</t>
        </is>
      </c>
      <c r="D1580" s="0" t="inlineStr">
        <is>
          <t>5*10^5</t>
        </is>
      </c>
    </row>
    <row r="1581">
      <c r="A1581" s="0" t="inlineStr">
        <is>
          <t>NYTimes-256</t>
        </is>
      </c>
      <c r="B1581" s="0" t="inlineStr">
        <is>
          <t>H81</t>
        </is>
      </c>
      <c r="C1581" s="0" t="inlineStr">
        <is>
          <t>H90</t>
        </is>
      </c>
      <c r="D1581" s="0" t="inlineStr">
        <is>
          <t>10^6</t>
        </is>
      </c>
    </row>
    <row r="1582">
      <c r="A1582" s="0" t="inlineStr">
        <is>
          <t>NYTimes-256</t>
        </is>
      </c>
      <c r="B1582" s="0" t="inlineStr">
        <is>
          <t>I81</t>
        </is>
      </c>
      <c r="C1582" s="0" t="inlineStr">
        <is>
          <t>I90</t>
        </is>
      </c>
      <c r="D1582" s="0" t="inlineStr">
        <is>
          <t>5*10^6</t>
        </is>
      </c>
    </row>
    <row r="1583">
      <c r="A1583" s="0" t="inlineStr">
        <is>
          <t>NYTimes-256</t>
        </is>
      </c>
      <c r="B1583" s="0" t="inlineStr">
        <is>
          <t>J81</t>
        </is>
      </c>
      <c r="C1583" s="0" t="inlineStr">
        <is>
          <t>J90</t>
        </is>
      </c>
      <c r="D1583" s="0" t="inlineStr">
        <is>
          <t>10^7</t>
        </is>
      </c>
    </row>
    <row r="1584">
      <c r="A1584" s="0" t="inlineStr">
        <is>
          <t>NYTimes-256</t>
        </is>
      </c>
      <c r="B1584" s="0" t="inlineStr">
        <is>
          <t>D82</t>
        </is>
      </c>
      <c r="C1584" s="0" t="inlineStr">
        <is>
          <t>D91</t>
        </is>
      </c>
      <c r="D1584" s="0" t="inlineStr">
        <is>
          <t>VLAH</t>
        </is>
      </c>
    </row>
    <row r="1585">
      <c r="A1585" s="0" t="inlineStr">
        <is>
          <t>NYTimes-256</t>
        </is>
      </c>
      <c r="B1585" s="0" t="inlineStr">
        <is>
          <t>F82</t>
        </is>
      </c>
      <c r="C1585" s="0" t="inlineStr">
        <is>
          <t>F91</t>
        </is>
      </c>
      <c r="D1585" s="0" t="n">
        <v>31.56787525</v>
      </c>
    </row>
    <row r="1586">
      <c r="A1586" s="0" t="inlineStr">
        <is>
          <t>NYTimes-256</t>
        </is>
      </c>
      <c r="B1586" s="0" t="inlineStr">
        <is>
          <t>G82</t>
        </is>
      </c>
      <c r="C1586" s="0" t="inlineStr">
        <is>
          <t>G91</t>
        </is>
      </c>
      <c r="D1586" s="0" t="inlineStr">
        <is>
          <t>不适用</t>
        </is>
      </c>
    </row>
    <row r="1587">
      <c r="A1587" s="0" t="inlineStr">
        <is>
          <t>NYTimes-256</t>
        </is>
      </c>
      <c r="B1587" s="0" t="inlineStr">
        <is>
          <t>H82</t>
        </is>
      </c>
      <c r="C1587" s="0" t="inlineStr">
        <is>
          <t>H91</t>
        </is>
      </c>
      <c r="D1587" s="0" t="inlineStr">
        <is>
          <t>不适用</t>
        </is>
      </c>
    </row>
    <row r="1588">
      <c r="A1588" s="0" t="inlineStr">
        <is>
          <t>NYTimes-256</t>
        </is>
      </c>
      <c r="B1588" s="0" t="inlineStr">
        <is>
          <t>I82</t>
        </is>
      </c>
      <c r="C1588" s="0" t="inlineStr">
        <is>
          <t>I91</t>
        </is>
      </c>
      <c r="D1588" s="0" t="inlineStr">
        <is>
          <t>不适用</t>
        </is>
      </c>
    </row>
    <row r="1589">
      <c r="A1589" s="0" t="inlineStr">
        <is>
          <t>NYTimes-256</t>
        </is>
      </c>
      <c r="B1589" s="0" t="inlineStr">
        <is>
          <t>J82</t>
        </is>
      </c>
      <c r="C1589" s="0" t="inlineStr">
        <is>
          <t>J91</t>
        </is>
      </c>
      <c r="D1589" s="0" t="inlineStr">
        <is>
          <t>不适用</t>
        </is>
      </c>
    </row>
    <row r="1590">
      <c r="A1590" s="0" t="inlineStr">
        <is>
          <t>NYTimes-256</t>
        </is>
      </c>
      <c r="B1590" s="0" t="inlineStr">
        <is>
          <t>D83</t>
        </is>
      </c>
      <c r="C1590" s="0" t="inlineStr">
        <is>
          <t>D92</t>
        </is>
      </c>
      <c r="D1590" s="0" t="inlineStr">
        <is>
          <t>ANNProof</t>
        </is>
      </c>
    </row>
    <row r="1591">
      <c r="A1591" s="0" t="inlineStr">
        <is>
          <t>NYTimes-256</t>
        </is>
      </c>
      <c r="B1591" s="0" t="inlineStr">
        <is>
          <t>F83</t>
        </is>
      </c>
      <c r="C1591" s="0" t="inlineStr">
        <is>
          <t>F92</t>
        </is>
      </c>
      <c r="D1591" s="0" t="n">
        <v>27.97978905</v>
      </c>
    </row>
    <row r="1592">
      <c r="A1592" s="0" t="inlineStr">
        <is>
          <t>NYTimes-256</t>
        </is>
      </c>
      <c r="B1592" s="0" t="inlineStr">
        <is>
          <t>G83</t>
        </is>
      </c>
      <c r="C1592" s="0" t="inlineStr">
        <is>
          <t>G92</t>
        </is>
      </c>
      <c r="D1592" s="0" t="inlineStr">
        <is>
          <t>不适用</t>
        </is>
      </c>
    </row>
    <row r="1593">
      <c r="A1593" s="0" t="inlineStr">
        <is>
          <t>NYTimes-256</t>
        </is>
      </c>
      <c r="B1593" s="0" t="inlineStr">
        <is>
          <t>H83</t>
        </is>
      </c>
      <c r="C1593" s="0" t="inlineStr">
        <is>
          <t>H92</t>
        </is>
      </c>
      <c r="D1593" s="0" t="inlineStr">
        <is>
          <t>不适用</t>
        </is>
      </c>
    </row>
    <row r="1594">
      <c r="A1594" s="0" t="inlineStr">
        <is>
          <t>NYTimes-256</t>
        </is>
      </c>
      <c r="B1594" s="0" t="inlineStr">
        <is>
          <t>I83</t>
        </is>
      </c>
      <c r="C1594" s="0" t="inlineStr">
        <is>
          <t>I92</t>
        </is>
      </c>
      <c r="D1594" s="0" t="inlineStr">
        <is>
          <t>不适用</t>
        </is>
      </c>
    </row>
    <row r="1595">
      <c r="A1595" s="0" t="inlineStr">
        <is>
          <t>NYTimes-256</t>
        </is>
      </c>
      <c r="B1595" s="0" t="inlineStr">
        <is>
          <t>J83</t>
        </is>
      </c>
      <c r="C1595" s="0" t="inlineStr">
        <is>
          <t>J92</t>
        </is>
      </c>
      <c r="D1595" s="0" t="inlineStr">
        <is>
          <t>不适用</t>
        </is>
      </c>
    </row>
    <row r="1596">
      <c r="A1596" s="0" t="inlineStr">
        <is>
          <t>NYTimes-256</t>
        </is>
      </c>
      <c r="B1596" s="0" t="inlineStr">
        <is>
          <t>D84</t>
        </is>
      </c>
      <c r="C1596" s="0" t="inlineStr">
        <is>
          <t>D93</t>
        </is>
      </c>
      <c r="D1596" s="0" t="inlineStr">
        <is>
          <t>Ours</t>
        </is>
      </c>
    </row>
    <row r="1597">
      <c r="A1597" s="0" t="inlineStr">
        <is>
          <t>NYTimes-256</t>
        </is>
      </c>
      <c r="B1597" s="0" t="inlineStr">
        <is>
          <t>F84</t>
        </is>
      </c>
      <c r="C1597" s="0" t="inlineStr">
        <is>
          <t>F93</t>
        </is>
      </c>
      <c r="D1597" s="0" t="n">
        <v>20.45735275</v>
      </c>
    </row>
    <row r="1598">
      <c r="A1598" s="0" t="inlineStr">
        <is>
          <t>NYTimes-256</t>
        </is>
      </c>
      <c r="B1598" s="0" t="inlineStr">
        <is>
          <t>G84</t>
        </is>
      </c>
      <c r="C1598" s="0" t="inlineStr">
        <is>
          <t>G93</t>
        </is>
      </c>
      <c r="D1598" s="0" t="inlineStr">
        <is>
          <t>不适用</t>
        </is>
      </c>
    </row>
    <row r="1599">
      <c r="A1599" s="0" t="inlineStr">
        <is>
          <t>NYTimes-256</t>
        </is>
      </c>
      <c r="B1599" s="0" t="inlineStr">
        <is>
          <t>H84</t>
        </is>
      </c>
      <c r="C1599" s="0" t="inlineStr">
        <is>
          <t>H93</t>
        </is>
      </c>
      <c r="D1599" s="0" t="inlineStr">
        <is>
          <t>不适用</t>
        </is>
      </c>
    </row>
    <row r="1600">
      <c r="A1600" s="0" t="inlineStr">
        <is>
          <t>NYTimes-256</t>
        </is>
      </c>
      <c r="B1600" s="0" t="inlineStr">
        <is>
          <t>I84</t>
        </is>
      </c>
      <c r="C1600" s="0" t="inlineStr">
        <is>
          <t>I93</t>
        </is>
      </c>
      <c r="D1600" s="0" t="inlineStr">
        <is>
          <t>不适用</t>
        </is>
      </c>
    </row>
    <row r="1601">
      <c r="A1601" s="0" t="inlineStr">
        <is>
          <t>NYTimes-256</t>
        </is>
      </c>
      <c r="B1601" s="0" t="inlineStr">
        <is>
          <t>J84</t>
        </is>
      </c>
      <c r="C1601" s="0" t="inlineStr">
        <is>
          <t>J93</t>
        </is>
      </c>
      <c r="D1601" s="0" t="inlineStr">
        <is>
          <t>不适用</t>
        </is>
      </c>
    </row>
    <row r="1602">
      <c r="A1602" s="0" t="inlineStr">
        <is>
          <t>NYTimes-256</t>
        </is>
      </c>
      <c r="B1602" s="0" t="inlineStr">
        <is>
          <t>D85</t>
        </is>
      </c>
      <c r="C1602" s="0" t="inlineStr">
        <is>
          <t>D94</t>
        </is>
      </c>
      <c r="D1602" s="0" t="inlineStr">
        <is>
          <t>V3DB（单次）</t>
        </is>
      </c>
    </row>
    <row r="1603">
      <c r="A1603" s="0" t="inlineStr">
        <is>
          <t>NYTimes-256</t>
        </is>
      </c>
      <c r="B1603" s="0" t="inlineStr">
        <is>
          <t>F85</t>
        </is>
      </c>
      <c r="C1603" s="0" t="inlineStr">
        <is>
          <t>F94</t>
        </is>
      </c>
      <c r="D1603" s="0" t="n">
        <v>490476.277908999</v>
      </c>
    </row>
    <row r="1604">
      <c r="A1604" s="0" t="inlineStr">
        <is>
          <t>NYTimes-256</t>
        </is>
      </c>
      <c r="B1604" s="0" t="inlineStr">
        <is>
          <t>G85</t>
        </is>
      </c>
      <c r="C1604" s="0" t="inlineStr">
        <is>
          <t>G94</t>
        </is>
      </c>
    </row>
    <row r="1605">
      <c r="A1605" s="0" t="inlineStr">
        <is>
          <t>NYTimes-256</t>
        </is>
      </c>
      <c r="B1605" s="0" t="inlineStr">
        <is>
          <t>H85</t>
        </is>
      </c>
      <c r="C1605" s="0" t="inlineStr">
        <is>
          <t>H94</t>
        </is>
      </c>
    </row>
    <row r="1606">
      <c r="A1606" s="0" t="inlineStr">
        <is>
          <t>NYTimes-256</t>
        </is>
      </c>
      <c r="B1606" s="0" t="inlineStr">
        <is>
          <t>I85</t>
        </is>
      </c>
      <c r="C1606" s="0" t="inlineStr">
        <is>
          <t>I94</t>
        </is>
      </c>
    </row>
    <row r="1607">
      <c r="A1607" s="0" t="inlineStr">
        <is>
          <t>NYTimes-256</t>
        </is>
      </c>
      <c r="B1607" s="0" t="inlineStr">
        <is>
          <t>J85</t>
        </is>
      </c>
      <c r="C1607" s="0" t="inlineStr">
        <is>
          <t>J94</t>
        </is>
      </c>
    </row>
    <row r="1608">
      <c r="A1608" s="0" t="inlineStr">
        <is>
          <t>NYTimes-256</t>
        </is>
      </c>
      <c r="B1608" s="0" t="inlineStr">
        <is>
          <t>E90</t>
        </is>
      </c>
      <c r="C1608" s="0" t="inlineStr">
        <is>
          <t>E100</t>
        </is>
      </c>
      <c r="D1608" s="0" t="inlineStr">
        <is>
          <t>K vs. VO size (actual Recall@K logged)</t>
        </is>
      </c>
    </row>
    <row r="1609">
      <c r="A1609" s="0" t="inlineStr">
        <is>
          <t>NYTimes-256</t>
        </is>
      </c>
      <c r="B1609" s="0" t="inlineStr">
        <is>
          <t>D92</t>
        </is>
      </c>
      <c r="C1609" s="0" t="inlineStr">
        <is>
          <t>D102</t>
        </is>
      </c>
      <c r="D1609" s="0" t="inlineStr">
        <is>
          <t>NYTimes-256 (N=289,761, d=256)</t>
        </is>
      </c>
    </row>
    <row r="1610">
      <c r="A1610" s="0" t="inlineStr">
        <is>
          <t>NYTimes-256</t>
        </is>
      </c>
      <c r="B1610" s="0" t="inlineStr">
        <is>
          <t>D93</t>
        </is>
      </c>
      <c r="C1610" s="0" t="inlineStr">
        <is>
          <t>D103</t>
        </is>
      </c>
      <c r="D1610" s="0" t="inlineStr">
        <is>
          <t>K</t>
        </is>
      </c>
    </row>
    <row r="1611">
      <c r="A1611" s="0" t="inlineStr">
        <is>
          <t>NYTimes-256</t>
        </is>
      </c>
      <c r="B1611" s="0" t="inlineStr">
        <is>
          <t>F93</t>
        </is>
      </c>
      <c r="C1611" s="0" t="inlineStr">
        <is>
          <t>F103</t>
        </is>
      </c>
      <c r="D1611" s="0" t="n">
        <v>1</v>
      </c>
    </row>
    <row r="1612">
      <c r="A1612" s="0" t="inlineStr">
        <is>
          <t>NYTimes-256</t>
        </is>
      </c>
      <c r="B1612" s="0" t="inlineStr">
        <is>
          <t>G93</t>
        </is>
      </c>
      <c r="C1612" s="0" t="inlineStr">
        <is>
          <t>G103</t>
        </is>
      </c>
      <c r="D1612" s="0" t="n">
        <v>5</v>
      </c>
    </row>
    <row r="1613">
      <c r="A1613" s="0" t="inlineStr">
        <is>
          <t>NYTimes-256</t>
        </is>
      </c>
      <c r="B1613" s="0" t="inlineStr">
        <is>
          <t>H93</t>
        </is>
      </c>
      <c r="C1613" s="0" t="inlineStr">
        <is>
          <t>H103</t>
        </is>
      </c>
      <c r="D1613" s="0" t="n">
        <v>10</v>
      </c>
    </row>
    <row r="1614">
      <c r="A1614" s="0" t="inlineStr">
        <is>
          <t>NYTimes-256</t>
        </is>
      </c>
      <c r="B1614" s="0" t="inlineStr">
        <is>
          <t>I93</t>
        </is>
      </c>
      <c r="C1614" s="0" t="inlineStr">
        <is>
          <t>I103</t>
        </is>
      </c>
      <c r="D1614" s="0" t="n">
        <v>20</v>
      </c>
    </row>
    <row r="1615">
      <c r="A1615" s="0" t="inlineStr">
        <is>
          <t>NYTimes-256</t>
        </is>
      </c>
      <c r="B1615" s="0" t="inlineStr">
        <is>
          <t>J93</t>
        </is>
      </c>
      <c r="C1615" s="0" t="inlineStr">
        <is>
          <t>J103</t>
        </is>
      </c>
      <c r="D1615" s="0" t="n">
        <v>50</v>
      </c>
    </row>
    <row r="1616">
      <c r="A1616" s="0" t="inlineStr">
        <is>
          <t>NYTimes-256</t>
        </is>
      </c>
      <c r="B1616" s="0" t="inlineStr">
        <is>
          <t>K93</t>
        </is>
      </c>
      <c r="C1616" s="0" t="inlineStr">
        <is>
          <t>K103</t>
        </is>
      </c>
      <c r="D1616" s="0" t="n">
        <v>100</v>
      </c>
    </row>
    <row r="1617">
      <c r="A1617" s="0" t="inlineStr">
        <is>
          <t>NYTimes-256</t>
        </is>
      </c>
      <c r="B1617" s="0" t="inlineStr">
        <is>
          <t>D94</t>
        </is>
      </c>
      <c r="C1617" s="0" t="inlineStr">
        <is>
          <t>D104</t>
        </is>
      </c>
      <c r="D1617" s="0" t="inlineStr">
        <is>
          <t>VLAH</t>
        </is>
      </c>
    </row>
    <row r="1618">
      <c r="A1618" s="0" t="inlineStr">
        <is>
          <t>NYTimes-256</t>
        </is>
      </c>
      <c r="B1618" s="0" t="inlineStr">
        <is>
          <t>F94</t>
        </is>
      </c>
      <c r="C1618" s="0" t="inlineStr">
        <is>
          <t>F104</t>
        </is>
      </c>
      <c r="D1618" s="0" t="n">
        <v>135488.5868</v>
      </c>
    </row>
    <row r="1619">
      <c r="A1619" s="0" t="inlineStr">
        <is>
          <t>NYTimes-256</t>
        </is>
      </c>
      <c r="B1619" s="0" t="inlineStr">
        <is>
          <t>G94</t>
        </is>
      </c>
      <c r="C1619" s="0" t="inlineStr">
        <is>
          <t>G104</t>
        </is>
      </c>
      <c r="D1619" s="0" t="n">
        <v>135488.6028</v>
      </c>
    </row>
    <row r="1620">
      <c r="A1620" s="0" t="inlineStr">
        <is>
          <t>NYTimes-256</t>
        </is>
      </c>
      <c r="B1620" s="0" t="inlineStr">
        <is>
          <t>H94</t>
        </is>
      </c>
      <c r="C1620" s="0" t="inlineStr">
        <is>
          <t>H104</t>
        </is>
      </c>
      <c r="D1620" s="0" t="n">
        <v>135488.6228</v>
      </c>
    </row>
    <row r="1621">
      <c r="A1621" s="0" t="inlineStr">
        <is>
          <t>NYTimes-256</t>
        </is>
      </c>
      <c r="B1621" s="0" t="inlineStr">
        <is>
          <t>I94</t>
        </is>
      </c>
      <c r="C1621" s="0" t="inlineStr">
        <is>
          <t>I104</t>
        </is>
      </c>
      <c r="D1621" s="0" t="n">
        <v>135488.6628</v>
      </c>
    </row>
    <row r="1622">
      <c r="A1622" s="0" t="inlineStr">
        <is>
          <t>NYTimes-256</t>
        </is>
      </c>
      <c r="B1622" s="0" t="inlineStr">
        <is>
          <t>J94</t>
        </is>
      </c>
      <c r="C1622" s="0" t="inlineStr">
        <is>
          <t>J104</t>
        </is>
      </c>
      <c r="D1622" s="0" t="n">
        <v>135488.7828</v>
      </c>
    </row>
    <row r="1623">
      <c r="A1623" s="0" t="inlineStr">
        <is>
          <t>NYTimes-256</t>
        </is>
      </c>
      <c r="B1623" s="0" t="inlineStr">
        <is>
          <t>K94</t>
        </is>
      </c>
      <c r="C1623" s="0" t="inlineStr">
        <is>
          <t>K104</t>
        </is>
      </c>
      <c r="D1623" s="0" t="n">
        <v>135488.9828</v>
      </c>
    </row>
    <row r="1624">
      <c r="A1624" s="0" t="inlineStr">
        <is>
          <t>NYTimes-256</t>
        </is>
      </c>
      <c r="B1624" s="0" t="inlineStr">
        <is>
          <t>D95</t>
        </is>
      </c>
      <c r="C1624" s="0" t="inlineStr">
        <is>
          <t>D105</t>
        </is>
      </c>
      <c r="D1624" s="0" t="inlineStr">
        <is>
          <t>ANNProof</t>
        </is>
      </c>
    </row>
    <row r="1625">
      <c r="A1625" s="0" t="inlineStr">
        <is>
          <t>NYTimes-256</t>
        </is>
      </c>
      <c r="B1625" s="0" t="inlineStr">
        <is>
          <t>F95</t>
        </is>
      </c>
      <c r="C1625" s="0" t="inlineStr">
        <is>
          <t>F105</t>
        </is>
      </c>
      <c r="D1625" s="0" t="n">
        <v>9643.027</v>
      </c>
    </row>
    <row r="1626">
      <c r="A1626" s="0" t="inlineStr">
        <is>
          <t>NYTimes-256</t>
        </is>
      </c>
      <c r="B1626" s="0" t="inlineStr">
        <is>
          <t>G95</t>
        </is>
      </c>
      <c r="C1626" s="0" t="inlineStr">
        <is>
          <t>G105</t>
        </is>
      </c>
      <c r="D1626" s="0" t="n">
        <v>9645.218999999999</v>
      </c>
    </row>
    <row r="1627">
      <c r="A1627" s="0" t="inlineStr">
        <is>
          <t>NYTimes-256</t>
        </is>
      </c>
      <c r="B1627" s="0" t="inlineStr">
        <is>
          <t>H95</t>
        </is>
      </c>
      <c r="C1627" s="0" t="inlineStr">
        <is>
          <t>H105</t>
        </is>
      </c>
      <c r="D1627" s="0" t="n">
        <v>9647.870999999999</v>
      </c>
    </row>
    <row r="1628">
      <c r="A1628" s="0" t="inlineStr">
        <is>
          <t>NYTimes-256</t>
        </is>
      </c>
      <c r="B1628" s="0" t="inlineStr">
        <is>
          <t>I95</t>
        </is>
      </c>
      <c r="C1628" s="0" t="inlineStr">
        <is>
          <t>I105</t>
        </is>
      </c>
      <c r="D1628" s="0" t="n">
        <v>9652.963</v>
      </c>
    </row>
    <row r="1629">
      <c r="A1629" s="0" t="inlineStr">
        <is>
          <t>NYTimes-256</t>
        </is>
      </c>
      <c r="B1629" s="0" t="inlineStr">
        <is>
          <t>J95</t>
        </is>
      </c>
      <c r="C1629" s="0" t="inlineStr">
        <is>
          <t>J105</t>
        </is>
      </c>
      <c r="D1629" s="0" t="n">
        <v>9666.671</v>
      </c>
    </row>
    <row r="1630">
      <c r="A1630" s="0" t="inlineStr">
        <is>
          <t>NYTimes-256</t>
        </is>
      </c>
      <c r="B1630" s="0" t="inlineStr">
        <is>
          <t>K95</t>
        </is>
      </c>
      <c r="C1630" s="0" t="inlineStr">
        <is>
          <t>K105</t>
        </is>
      </c>
      <c r="D1630" s="0" t="n">
        <v>9686.540999999999</v>
      </c>
    </row>
    <row r="1631">
      <c r="A1631" s="0" t="inlineStr">
        <is>
          <t>NYTimes-256</t>
        </is>
      </c>
      <c r="B1631" s="0" t="inlineStr">
        <is>
          <t>D96</t>
        </is>
      </c>
      <c r="C1631" s="0" t="inlineStr">
        <is>
          <t>D106</t>
        </is>
      </c>
      <c r="D1631" s="0" t="inlineStr">
        <is>
          <t>Ours</t>
        </is>
      </c>
    </row>
    <row r="1632">
      <c r="A1632" s="0" t="inlineStr">
        <is>
          <t>NYTimes-256</t>
        </is>
      </c>
      <c r="B1632" s="0" t="inlineStr">
        <is>
          <t>F96</t>
        </is>
      </c>
      <c r="C1632" s="0" t="inlineStr">
        <is>
          <t>F106</t>
        </is>
      </c>
      <c r="D1632" s="0" t="n">
        <v>803.3574</v>
      </c>
    </row>
    <row r="1633">
      <c r="A1633" s="0" t="inlineStr">
        <is>
          <t>NYTimes-256</t>
        </is>
      </c>
      <c r="B1633" s="0" t="inlineStr">
        <is>
          <t>G96</t>
        </is>
      </c>
      <c r="C1633" s="0" t="inlineStr">
        <is>
          <t>G106</t>
        </is>
      </c>
      <c r="D1633" s="0" t="n">
        <v>1033.0934</v>
      </c>
    </row>
    <row r="1634">
      <c r="A1634" s="0" t="inlineStr">
        <is>
          <t>NYTimes-256</t>
        </is>
      </c>
      <c r="B1634" s="0" t="inlineStr">
        <is>
          <t>H96</t>
        </is>
      </c>
      <c r="C1634" s="0" t="inlineStr">
        <is>
          <t>H106</t>
        </is>
      </c>
      <c r="D1634" s="0" t="n">
        <v>1271.2486</v>
      </c>
    </row>
    <row r="1635">
      <c r="A1635" s="0" t="inlineStr">
        <is>
          <t>NYTimes-256</t>
        </is>
      </c>
      <c r="B1635" s="0" t="inlineStr">
        <is>
          <t>I96</t>
        </is>
      </c>
      <c r="C1635" s="0" t="inlineStr">
        <is>
          <t>I106</t>
        </is>
      </c>
      <c r="D1635" s="0" t="n">
        <v>1445.0162</v>
      </c>
    </row>
    <row r="1636">
      <c r="A1636" s="0" t="inlineStr">
        <is>
          <t>NYTimes-256</t>
        </is>
      </c>
      <c r="B1636" s="0" t="inlineStr">
        <is>
          <t>J96</t>
        </is>
      </c>
      <c r="C1636" s="0" t="inlineStr">
        <is>
          <t>J106</t>
        </is>
      </c>
      <c r="D1636" s="0" t="n">
        <v>1875.9198</v>
      </c>
    </row>
    <row r="1637">
      <c r="A1637" s="0" t="inlineStr">
        <is>
          <t>NYTimes-256</t>
        </is>
      </c>
      <c r="B1637" s="0" t="inlineStr">
        <is>
          <t>K96</t>
        </is>
      </c>
      <c r="C1637" s="0" t="inlineStr">
        <is>
          <t>K106</t>
        </is>
      </c>
      <c r="D1637" s="0" t="n">
        <v>2233.7482</v>
      </c>
    </row>
    <row r="1638">
      <c r="A1638" s="0" t="inlineStr">
        <is>
          <t>NYTimes-256</t>
        </is>
      </c>
      <c r="B1638" s="0" t="inlineStr">
        <is>
          <t>D97</t>
        </is>
      </c>
      <c r="C1638" s="0" t="inlineStr">
        <is>
          <t>D107</t>
        </is>
      </c>
      <c r="D1638" s="0" t="inlineStr">
        <is>
          <t>V3DB（单次）</t>
        </is>
      </c>
    </row>
    <row r="1639">
      <c r="A1639" s="0" t="inlineStr">
        <is>
          <t>NYTimes-256</t>
        </is>
      </c>
      <c r="B1639" s="0" t="inlineStr">
        <is>
          <t>F97</t>
        </is>
      </c>
      <c r="C1639" s="0" t="inlineStr">
        <is>
          <t>F107</t>
        </is>
      </c>
      <c r="D1639" s="0" t="n">
        <v>232.836</v>
      </c>
    </row>
    <row r="1640">
      <c r="A1640" s="0" t="inlineStr">
        <is>
          <t>NYTimes-256</t>
        </is>
      </c>
      <c r="B1640" s="0" t="inlineStr">
        <is>
          <t>G97</t>
        </is>
      </c>
      <c r="C1640" s="0" t="inlineStr">
        <is>
          <t>G107</t>
        </is>
      </c>
      <c r="D1640" s="0" t="n">
        <v>237.512</v>
      </c>
    </row>
    <row r="1641">
      <c r="A1641" s="0" t="inlineStr">
        <is>
          <t>NYTimes-256</t>
        </is>
      </c>
      <c r="B1641" s="0" t="inlineStr">
        <is>
          <t>H97</t>
        </is>
      </c>
      <c r="C1641" s="0" t="inlineStr">
        <is>
          <t>H107</t>
        </is>
      </c>
      <c r="D1641" s="0" t="n">
        <v>236.43</v>
      </c>
    </row>
    <row r="1642">
      <c r="A1642" s="0" t="inlineStr">
        <is>
          <t>NYTimes-256</t>
        </is>
      </c>
      <c r="B1642" s="0" t="inlineStr">
        <is>
          <t>I97</t>
        </is>
      </c>
      <c r="C1642" s="0" t="inlineStr">
        <is>
          <t>I107</t>
        </is>
      </c>
      <c r="D1642" s="0" t="n">
        <v>233.148</v>
      </c>
    </row>
    <row r="1643">
      <c r="A1643" s="0" t="inlineStr">
        <is>
          <t>NYTimes-256</t>
        </is>
      </c>
      <c r="B1643" s="0" t="inlineStr">
        <is>
          <t>J97</t>
        </is>
      </c>
      <c r="C1643" s="0" t="inlineStr">
        <is>
          <t>J107</t>
        </is>
      </c>
      <c r="D1643" s="0" t="n">
        <v>238.719</v>
      </c>
    </row>
    <row r="1644">
      <c r="A1644" s="0" t="inlineStr">
        <is>
          <t>NYTimes-256</t>
        </is>
      </c>
      <c r="B1644" s="0" t="inlineStr">
        <is>
          <t>K97</t>
        </is>
      </c>
      <c r="C1644" s="0" t="inlineStr">
        <is>
          <t>K107</t>
        </is>
      </c>
      <c r="D1644" s="0" t="n">
        <v>235.053</v>
      </c>
    </row>
    <row r="1645">
      <c r="A1645" s="0" t="inlineStr">
        <is>
          <t>NYTimes-256</t>
        </is>
      </c>
      <c r="B1645" s="0" t="inlineStr">
        <is>
          <t>E101</t>
        </is>
      </c>
      <c r="C1645" s="0" t="inlineStr">
        <is>
          <t>E112</t>
        </is>
      </c>
      <c r="D1645" s="0" t="inlineStr">
        <is>
          <t>K vs. Verify time</t>
        </is>
      </c>
    </row>
    <row r="1646">
      <c r="A1646" s="0" t="inlineStr">
        <is>
          <t>NYTimes-256</t>
        </is>
      </c>
      <c r="B1646" s="0" t="inlineStr">
        <is>
          <t>D103</t>
        </is>
      </c>
      <c r="C1646" s="0" t="inlineStr">
        <is>
          <t>D114</t>
        </is>
      </c>
      <c r="D1646" s="0" t="inlineStr">
        <is>
          <t>NYTimes-256 (N=289,761, d=256)</t>
        </is>
      </c>
    </row>
    <row r="1647">
      <c r="A1647" s="0" t="inlineStr">
        <is>
          <t>NYTimes-256</t>
        </is>
      </c>
      <c r="B1647" s="0" t="inlineStr">
        <is>
          <t>D104</t>
        </is>
      </c>
      <c r="C1647" s="0" t="inlineStr">
        <is>
          <t>D115</t>
        </is>
      </c>
      <c r="D1647" s="0" t="inlineStr">
        <is>
          <t>K</t>
        </is>
      </c>
    </row>
    <row r="1648">
      <c r="A1648" s="0" t="inlineStr">
        <is>
          <t>NYTimes-256</t>
        </is>
      </c>
      <c r="B1648" s="0" t="inlineStr">
        <is>
          <t>F104</t>
        </is>
      </c>
      <c r="C1648" s="0" t="inlineStr">
        <is>
          <t>F115</t>
        </is>
      </c>
      <c r="D1648" s="0" t="n">
        <v>1</v>
      </c>
    </row>
    <row r="1649">
      <c r="A1649" s="0" t="inlineStr">
        <is>
          <t>NYTimes-256</t>
        </is>
      </c>
      <c r="B1649" s="0" t="inlineStr">
        <is>
          <t>G104</t>
        </is>
      </c>
      <c r="C1649" s="0" t="inlineStr">
        <is>
          <t>G115</t>
        </is>
      </c>
      <c r="D1649" s="0" t="n">
        <v>5</v>
      </c>
    </row>
    <row r="1650">
      <c r="A1650" s="0" t="inlineStr">
        <is>
          <t>NYTimes-256</t>
        </is>
      </c>
      <c r="B1650" s="0" t="inlineStr">
        <is>
          <t>H104</t>
        </is>
      </c>
      <c r="C1650" s="0" t="inlineStr">
        <is>
          <t>H115</t>
        </is>
      </c>
      <c r="D1650" s="0" t="n">
        <v>10</v>
      </c>
    </row>
    <row r="1651">
      <c r="A1651" s="0" t="inlineStr">
        <is>
          <t>NYTimes-256</t>
        </is>
      </c>
      <c r="B1651" s="0" t="inlineStr">
        <is>
          <t>I104</t>
        </is>
      </c>
      <c r="C1651" s="0" t="inlineStr">
        <is>
          <t>I115</t>
        </is>
      </c>
      <c r="D1651" s="0" t="n">
        <v>20</v>
      </c>
    </row>
    <row r="1652">
      <c r="A1652" s="0" t="inlineStr">
        <is>
          <t>NYTimes-256</t>
        </is>
      </c>
      <c r="B1652" s="0" t="inlineStr">
        <is>
          <t>J104</t>
        </is>
      </c>
      <c r="C1652" s="0" t="inlineStr">
        <is>
          <t>J115</t>
        </is>
      </c>
      <c r="D1652" s="0" t="n">
        <v>50</v>
      </c>
    </row>
    <row r="1653">
      <c r="A1653" s="0" t="inlineStr">
        <is>
          <t>NYTimes-256</t>
        </is>
      </c>
      <c r="B1653" s="0" t="inlineStr">
        <is>
          <t>K104</t>
        </is>
      </c>
      <c r="C1653" s="0" t="inlineStr">
        <is>
          <t>K115</t>
        </is>
      </c>
      <c r="D1653" s="0" t="n">
        <v>100</v>
      </c>
    </row>
    <row r="1654">
      <c r="A1654" s="0" t="inlineStr">
        <is>
          <t>NYTimes-256</t>
        </is>
      </c>
      <c r="B1654" s="0" t="inlineStr">
        <is>
          <t>D105</t>
        </is>
      </c>
      <c r="C1654" s="0" t="inlineStr">
        <is>
          <t>D116</t>
        </is>
      </c>
      <c r="D1654" s="0" t="inlineStr">
        <is>
          <t>VLAH</t>
        </is>
      </c>
    </row>
    <row r="1655">
      <c r="A1655" s="0" t="inlineStr">
        <is>
          <t>NYTimes-256</t>
        </is>
      </c>
      <c r="B1655" s="0" t="inlineStr">
        <is>
          <t>F105</t>
        </is>
      </c>
      <c r="C1655" s="0" t="inlineStr">
        <is>
          <t>F116</t>
        </is>
      </c>
      <c r="D1655" s="0" t="n">
        <v>557.39184855</v>
      </c>
    </row>
    <row r="1656">
      <c r="A1656" s="0" t="inlineStr">
        <is>
          <t>NYTimes-256</t>
        </is>
      </c>
      <c r="B1656" s="0" t="inlineStr">
        <is>
          <t>G105</t>
        </is>
      </c>
      <c r="C1656" s="0" t="inlineStr">
        <is>
          <t>G116</t>
        </is>
      </c>
      <c r="D1656" s="0" t="n">
        <v>554.970474783333</v>
      </c>
    </row>
    <row r="1657">
      <c r="A1657" s="0" t="inlineStr">
        <is>
          <t>NYTimes-256</t>
        </is>
      </c>
      <c r="B1657" s="0" t="inlineStr">
        <is>
          <t>H105</t>
        </is>
      </c>
      <c r="C1657" s="0" t="inlineStr">
        <is>
          <t>H116</t>
        </is>
      </c>
      <c r="D1657" s="0" t="n">
        <v>551.9385411666671</v>
      </c>
    </row>
    <row r="1658">
      <c r="A1658" s="0" t="inlineStr">
        <is>
          <t>NYTimes-256</t>
        </is>
      </c>
      <c r="B1658" s="0" t="inlineStr">
        <is>
          <t>I105</t>
        </is>
      </c>
      <c r="C1658" s="0" t="inlineStr">
        <is>
          <t>I116</t>
        </is>
      </c>
      <c r="D1658" s="0" t="n">
        <v>551.736770516667</v>
      </c>
    </row>
    <row r="1659">
      <c r="A1659" s="0" t="inlineStr">
        <is>
          <t>NYTimes-256</t>
        </is>
      </c>
      <c r="B1659" s="0" t="inlineStr">
        <is>
          <t>J105</t>
        </is>
      </c>
      <c r="C1659" s="0" t="inlineStr">
        <is>
          <t>J116</t>
        </is>
      </c>
      <c r="D1659" s="0" t="n">
        <v>546.579682183333</v>
      </c>
    </row>
    <row r="1660">
      <c r="A1660" s="0" t="inlineStr">
        <is>
          <t>NYTimes-256</t>
        </is>
      </c>
      <c r="B1660" s="0" t="inlineStr">
        <is>
          <t>K105</t>
        </is>
      </c>
      <c r="C1660" s="0" t="inlineStr">
        <is>
          <t>K116</t>
        </is>
      </c>
      <c r="D1660" s="0" t="n">
        <v>549.201274666667</v>
      </c>
    </row>
    <row r="1661">
      <c r="A1661" s="0" t="inlineStr">
        <is>
          <t>NYTimes-256</t>
        </is>
      </c>
      <c r="B1661" s="0" t="inlineStr">
        <is>
          <t>D106</t>
        </is>
      </c>
      <c r="C1661" s="0" t="inlineStr">
        <is>
          <t>D117</t>
        </is>
      </c>
      <c r="D1661" s="0" t="inlineStr">
        <is>
          <t>ANNProof</t>
        </is>
      </c>
    </row>
    <row r="1662">
      <c r="A1662" s="0" t="inlineStr">
        <is>
          <t>NYTimes-256</t>
        </is>
      </c>
      <c r="B1662" s="0" t="inlineStr">
        <is>
          <t>F106</t>
        </is>
      </c>
      <c r="C1662" s="0" t="inlineStr">
        <is>
          <t>F117</t>
        </is>
      </c>
      <c r="D1662" s="0" t="n">
        <v>86.42896823333329</v>
      </c>
    </row>
    <row r="1663">
      <c r="A1663" s="0" t="inlineStr">
        <is>
          <t>NYTimes-256</t>
        </is>
      </c>
      <c r="B1663" s="0" t="inlineStr">
        <is>
          <t>G106</t>
        </is>
      </c>
      <c r="C1663" s="0" t="inlineStr">
        <is>
          <t>G117</t>
        </is>
      </c>
      <c r="D1663" s="0" t="n">
        <v>85.90255790000001</v>
      </c>
    </row>
    <row r="1664">
      <c r="A1664" s="0" t="inlineStr">
        <is>
          <t>NYTimes-256</t>
        </is>
      </c>
      <c r="B1664" s="0" t="inlineStr">
        <is>
          <t>H106</t>
        </is>
      </c>
      <c r="C1664" s="0" t="inlineStr">
        <is>
          <t>H117</t>
        </is>
      </c>
      <c r="D1664" s="0" t="n">
        <v>86.1797332</v>
      </c>
    </row>
    <row r="1665">
      <c r="A1665" s="0" t="inlineStr">
        <is>
          <t>NYTimes-256</t>
        </is>
      </c>
      <c r="B1665" s="0" t="inlineStr">
        <is>
          <t>I106</t>
        </is>
      </c>
      <c r="C1665" s="0" t="inlineStr">
        <is>
          <t>I117</t>
        </is>
      </c>
      <c r="D1665" s="0" t="n">
        <v>86.4042274666667</v>
      </c>
    </row>
    <row r="1666">
      <c r="A1666" s="0" t="inlineStr">
        <is>
          <t>NYTimes-256</t>
        </is>
      </c>
      <c r="B1666" s="0" t="inlineStr">
        <is>
          <t>J106</t>
        </is>
      </c>
      <c r="C1666" s="0" t="inlineStr">
        <is>
          <t>J117</t>
        </is>
      </c>
      <c r="D1666" s="0" t="n">
        <v>86.7584221666667</v>
      </c>
    </row>
    <row r="1667">
      <c r="A1667" s="0" t="inlineStr">
        <is>
          <t>NYTimes-256</t>
        </is>
      </c>
      <c r="B1667" s="0" t="inlineStr">
        <is>
          <t>K106</t>
        </is>
      </c>
      <c r="C1667" s="0" t="inlineStr">
        <is>
          <t>K117</t>
        </is>
      </c>
      <c r="D1667" s="0" t="n">
        <v>87.5149089666667</v>
      </c>
    </row>
    <row r="1668">
      <c r="A1668" s="0" t="inlineStr">
        <is>
          <t>NYTimes-256</t>
        </is>
      </c>
      <c r="B1668" s="0" t="inlineStr">
        <is>
          <t>D107</t>
        </is>
      </c>
      <c r="C1668" s="0" t="inlineStr">
        <is>
          <t>D118</t>
        </is>
      </c>
      <c r="D1668" s="0" t="inlineStr">
        <is>
          <t>Ours</t>
        </is>
      </c>
    </row>
    <row r="1669">
      <c r="A1669" s="0" t="inlineStr">
        <is>
          <t>NYTimes-256</t>
        </is>
      </c>
      <c r="B1669" s="0" t="inlineStr">
        <is>
          <t>F107</t>
        </is>
      </c>
      <c r="C1669" s="0" t="inlineStr">
        <is>
          <t>F118</t>
        </is>
      </c>
      <c r="D1669" s="0" t="n">
        <v>10.3712085166667</v>
      </c>
    </row>
    <row r="1670">
      <c r="A1670" s="0" t="inlineStr">
        <is>
          <t>NYTimes-256</t>
        </is>
      </c>
      <c r="B1670" s="0" t="inlineStr">
        <is>
          <t>G107</t>
        </is>
      </c>
      <c r="C1670" s="0" t="inlineStr">
        <is>
          <t>G118</t>
        </is>
      </c>
      <c r="D1670" s="0" t="n">
        <v>16.2769371666667</v>
      </c>
    </row>
    <row r="1671">
      <c r="A1671" s="0" t="inlineStr">
        <is>
          <t>NYTimes-256</t>
        </is>
      </c>
      <c r="B1671" s="0" t="inlineStr">
        <is>
          <t>H107</t>
        </is>
      </c>
      <c r="C1671" s="0" t="inlineStr">
        <is>
          <t>H118</t>
        </is>
      </c>
      <c r="D1671" s="0" t="n">
        <v>22.1618087833333</v>
      </c>
    </row>
    <row r="1672">
      <c r="A1672" s="0" t="inlineStr">
        <is>
          <t>NYTimes-256</t>
        </is>
      </c>
      <c r="B1672" s="0" t="inlineStr">
        <is>
          <t>I107</t>
        </is>
      </c>
      <c r="C1672" s="0" t="inlineStr">
        <is>
          <t>I118</t>
        </is>
      </c>
      <c r="D1672" s="0" t="n">
        <v>25.8016828666667</v>
      </c>
    </row>
    <row r="1673">
      <c r="A1673" s="0" t="inlineStr">
        <is>
          <t>NYTimes-256</t>
        </is>
      </c>
      <c r="B1673" s="0" t="inlineStr">
        <is>
          <t>J107</t>
        </is>
      </c>
      <c r="C1673" s="0" t="inlineStr">
        <is>
          <t>J118</t>
        </is>
      </c>
      <c r="D1673" s="0" t="n">
        <v>34.4756043666667</v>
      </c>
    </row>
    <row r="1674">
      <c r="A1674" s="0" t="inlineStr">
        <is>
          <t>NYTimes-256</t>
        </is>
      </c>
      <c r="B1674" s="0" t="inlineStr">
        <is>
          <t>K107</t>
        </is>
      </c>
      <c r="C1674" s="0" t="inlineStr">
        <is>
          <t>K118</t>
        </is>
      </c>
      <c r="D1674" s="0" t="n">
        <v>39.6819354666667</v>
      </c>
    </row>
    <row r="1675">
      <c r="A1675" s="0" t="inlineStr">
        <is>
          <t>NYTimes-256</t>
        </is>
      </c>
      <c r="B1675" s="0" t="inlineStr">
        <is>
          <t>D108</t>
        </is>
      </c>
      <c r="C1675" s="0" t="inlineStr">
        <is>
          <t>D119</t>
        </is>
      </c>
      <c r="D1675" s="0" t="inlineStr">
        <is>
          <t>V3DB（单次）</t>
        </is>
      </c>
    </row>
    <row r="1676">
      <c r="A1676" s="0" t="inlineStr">
        <is>
          <t>NYTimes-256</t>
        </is>
      </c>
      <c r="B1676" s="0" t="inlineStr">
        <is>
          <t>F108</t>
        </is>
      </c>
      <c r="C1676" s="0" t="inlineStr">
        <is>
          <t>F119</t>
        </is>
      </c>
      <c r="D1676" s="0" t="n">
        <v>66.8346259999453</v>
      </c>
    </row>
    <row r="1677">
      <c r="A1677" s="0" t="inlineStr">
        <is>
          <t>NYTimes-256</t>
        </is>
      </c>
      <c r="B1677" s="0" t="inlineStr">
        <is>
          <t>G108</t>
        </is>
      </c>
      <c r="C1677" s="0" t="inlineStr">
        <is>
          <t>G119</t>
        </is>
      </c>
      <c r="D1677" s="0" t="n">
        <v>13.6101110001619</v>
      </c>
    </row>
    <row r="1678">
      <c r="A1678" s="0" t="inlineStr">
        <is>
          <t>NYTimes-256</t>
        </is>
      </c>
      <c r="B1678" s="0" t="inlineStr">
        <is>
          <t>H108</t>
        </is>
      </c>
      <c r="C1678" s="0" t="inlineStr">
        <is>
          <t>H119</t>
        </is>
      </c>
      <c r="D1678" s="0" t="n">
        <v>69.6683460000713</v>
      </c>
    </row>
    <row r="1679">
      <c r="A1679" s="0" t="inlineStr">
        <is>
          <t>NYTimes-256</t>
        </is>
      </c>
      <c r="B1679" s="0" t="inlineStr">
        <is>
          <t>I108</t>
        </is>
      </c>
      <c r="C1679" s="0" t="inlineStr">
        <is>
          <t>I119</t>
        </is>
      </c>
      <c r="D1679" s="0" t="n">
        <v>78.58429200041429</v>
      </c>
    </row>
    <row r="1680">
      <c r="A1680" s="0" t="inlineStr">
        <is>
          <t>NYTimes-256</t>
        </is>
      </c>
      <c r="B1680" s="0" t="inlineStr">
        <is>
          <t>J108</t>
        </is>
      </c>
      <c r="C1680" s="0" t="inlineStr">
        <is>
          <t>J119</t>
        </is>
      </c>
      <c r="D1680" s="0" t="n">
        <v>13.2116089998817</v>
      </c>
    </row>
    <row r="1681">
      <c r="A1681" s="0" t="inlineStr">
        <is>
          <t>NYTimes-256</t>
        </is>
      </c>
      <c r="B1681" s="0" t="inlineStr">
        <is>
          <t>K108</t>
        </is>
      </c>
      <c r="C1681" s="0" t="inlineStr">
        <is>
          <t>K119</t>
        </is>
      </c>
      <c r="D1681" s="0" t="n">
        <v>13.3960200000729</v>
      </c>
    </row>
    <row r="1682">
      <c r="A1682" s="0" t="inlineStr">
        <is>
          <t>NYTimes-256</t>
        </is>
      </c>
      <c r="B1682" s="0" t="inlineStr">
        <is>
          <t>E111</t>
        </is>
      </c>
      <c r="C1682" s="0" t="inlineStr">
        <is>
          <t>E123</t>
        </is>
      </c>
      <c r="D1682" s="0" t="inlineStr">
        <is>
          <t>K vs. Query time (includes VO generation)</t>
        </is>
      </c>
    </row>
    <row r="1683">
      <c r="A1683" s="0" t="inlineStr">
        <is>
          <t>NYTimes-256</t>
        </is>
      </c>
      <c r="B1683" s="0" t="inlineStr">
        <is>
          <t>D113</t>
        </is>
      </c>
      <c r="C1683" s="0" t="inlineStr">
        <is>
          <t>D125</t>
        </is>
      </c>
      <c r="D1683" s="0" t="inlineStr">
        <is>
          <t>NYTimes-256 (N=289,761, d=256)</t>
        </is>
      </c>
    </row>
    <row r="1684">
      <c r="A1684" s="0" t="inlineStr">
        <is>
          <t>NYTimes-256</t>
        </is>
      </c>
      <c r="B1684" s="0" t="inlineStr">
        <is>
          <t>D114</t>
        </is>
      </c>
      <c r="C1684" s="0" t="inlineStr">
        <is>
          <t>D126</t>
        </is>
      </c>
      <c r="D1684" s="0" t="inlineStr">
        <is>
          <t>K</t>
        </is>
      </c>
    </row>
    <row r="1685">
      <c r="A1685" s="0" t="inlineStr">
        <is>
          <t>NYTimes-256</t>
        </is>
      </c>
      <c r="B1685" s="0" t="inlineStr">
        <is>
          <t>F114</t>
        </is>
      </c>
      <c r="C1685" s="0" t="inlineStr">
        <is>
          <t>F126</t>
        </is>
      </c>
      <c r="D1685" s="0" t="n">
        <v>1</v>
      </c>
    </row>
    <row r="1686">
      <c r="A1686" s="0" t="inlineStr">
        <is>
          <t>NYTimes-256</t>
        </is>
      </c>
      <c r="B1686" s="0" t="inlineStr">
        <is>
          <t>G114</t>
        </is>
      </c>
      <c r="C1686" s="0" t="inlineStr">
        <is>
          <t>G126</t>
        </is>
      </c>
      <c r="D1686" s="0" t="n">
        <v>5</v>
      </c>
    </row>
    <row r="1687">
      <c r="A1687" s="0" t="inlineStr">
        <is>
          <t>NYTimes-256</t>
        </is>
      </c>
      <c r="B1687" s="0" t="inlineStr">
        <is>
          <t>H114</t>
        </is>
      </c>
      <c r="C1687" s="0" t="inlineStr">
        <is>
          <t>H126</t>
        </is>
      </c>
      <c r="D1687" s="0" t="n">
        <v>10</v>
      </c>
    </row>
    <row r="1688">
      <c r="A1688" s="0" t="inlineStr">
        <is>
          <t>NYTimes-256</t>
        </is>
      </c>
      <c r="B1688" s="0" t="inlineStr">
        <is>
          <t>I114</t>
        </is>
      </c>
      <c r="C1688" s="0" t="inlineStr">
        <is>
          <t>I126</t>
        </is>
      </c>
      <c r="D1688" s="0" t="n">
        <v>20</v>
      </c>
    </row>
    <row r="1689">
      <c r="A1689" s="0" t="inlineStr">
        <is>
          <t>NYTimes-256</t>
        </is>
      </c>
      <c r="B1689" s="0" t="inlineStr">
        <is>
          <t>J114</t>
        </is>
      </c>
      <c r="C1689" s="0" t="inlineStr">
        <is>
          <t>J126</t>
        </is>
      </c>
      <c r="D1689" s="0" t="n">
        <v>50</v>
      </c>
    </row>
    <row r="1690">
      <c r="A1690" s="0" t="inlineStr">
        <is>
          <t>NYTimes-256</t>
        </is>
      </c>
      <c r="B1690" s="0" t="inlineStr">
        <is>
          <t>K114</t>
        </is>
      </c>
      <c r="C1690" s="0" t="inlineStr">
        <is>
          <t>K126</t>
        </is>
      </c>
      <c r="D1690" s="0" t="n">
        <v>100</v>
      </c>
    </row>
    <row r="1691">
      <c r="A1691" s="0" t="inlineStr">
        <is>
          <t>NYTimes-256</t>
        </is>
      </c>
      <c r="B1691" s="0" t="inlineStr">
        <is>
          <t>D115</t>
        </is>
      </c>
      <c r="C1691" s="0" t="inlineStr">
        <is>
          <t>D127</t>
        </is>
      </c>
      <c r="D1691" s="0" t="inlineStr">
        <is>
          <t>VLAH</t>
        </is>
      </c>
    </row>
    <row r="1692">
      <c r="A1692" s="0" t="inlineStr">
        <is>
          <t>NYTimes-256</t>
        </is>
      </c>
      <c r="B1692" s="0" t="inlineStr">
        <is>
          <t>F115</t>
        </is>
      </c>
      <c r="C1692" s="0" t="inlineStr">
        <is>
          <t>F127</t>
        </is>
      </c>
      <c r="D1692" s="0" t="n">
        <v>295.26614955</v>
      </c>
    </row>
    <row r="1693">
      <c r="A1693" s="0" t="inlineStr">
        <is>
          <t>NYTimes-256</t>
        </is>
      </c>
      <c r="B1693" s="0" t="inlineStr">
        <is>
          <t>G115</t>
        </is>
      </c>
      <c r="C1693" s="0" t="inlineStr">
        <is>
          <t>G127</t>
        </is>
      </c>
      <c r="D1693" s="0" t="n">
        <v>296.0646922</v>
      </c>
    </row>
    <row r="1694">
      <c r="A1694" s="0" t="inlineStr">
        <is>
          <t>NYTimes-256</t>
        </is>
      </c>
      <c r="B1694" s="0" t="inlineStr">
        <is>
          <t>H115</t>
        </is>
      </c>
      <c r="C1694" s="0" t="inlineStr">
        <is>
          <t>H127</t>
        </is>
      </c>
      <c r="D1694" s="0" t="n">
        <v>296.208391566667</v>
      </c>
    </row>
    <row r="1695">
      <c r="A1695" s="0" t="inlineStr">
        <is>
          <t>NYTimes-256</t>
        </is>
      </c>
      <c r="B1695" s="0" t="inlineStr">
        <is>
          <t>I115</t>
        </is>
      </c>
      <c r="C1695" s="0" t="inlineStr">
        <is>
          <t>I127</t>
        </is>
      </c>
      <c r="D1695" s="0" t="n">
        <v>297.812085416667</v>
      </c>
    </row>
    <row r="1696">
      <c r="A1696" s="0" t="inlineStr">
        <is>
          <t>NYTimes-256</t>
        </is>
      </c>
      <c r="B1696" s="0" t="inlineStr">
        <is>
          <t>J115</t>
        </is>
      </c>
      <c r="C1696" s="0" t="inlineStr">
        <is>
          <t>J127</t>
        </is>
      </c>
      <c r="D1696" s="0" t="n">
        <v>297.087626583333</v>
      </c>
    </row>
    <row r="1697">
      <c r="A1697" s="0" t="inlineStr">
        <is>
          <t>NYTimes-256</t>
        </is>
      </c>
      <c r="B1697" s="0" t="inlineStr">
        <is>
          <t>K115</t>
        </is>
      </c>
      <c r="C1697" s="0" t="inlineStr">
        <is>
          <t>K127</t>
        </is>
      </c>
      <c r="D1697" s="0" t="n">
        <v>300.96242795</v>
      </c>
    </row>
    <row r="1698">
      <c r="A1698" s="0" t="inlineStr">
        <is>
          <t>NYTimes-256</t>
        </is>
      </c>
      <c r="B1698" s="0" t="inlineStr">
        <is>
          <t>D116</t>
        </is>
      </c>
      <c r="C1698" s="0" t="inlineStr">
        <is>
          <t>D128</t>
        </is>
      </c>
      <c r="D1698" s="0" t="inlineStr">
        <is>
          <t>ANNProof</t>
        </is>
      </c>
    </row>
    <row r="1699">
      <c r="A1699" s="0" t="inlineStr">
        <is>
          <t>NYTimes-256</t>
        </is>
      </c>
      <c r="B1699" s="0" t="inlineStr">
        <is>
          <t>F116</t>
        </is>
      </c>
      <c r="C1699" s="0" t="inlineStr">
        <is>
          <t>F128</t>
        </is>
      </c>
      <c r="D1699" s="0" t="n">
        <v>21.75351015</v>
      </c>
    </row>
    <row r="1700">
      <c r="A1700" s="0" t="inlineStr">
        <is>
          <t>NYTimes-256</t>
        </is>
      </c>
      <c r="B1700" s="0" t="inlineStr">
        <is>
          <t>G116</t>
        </is>
      </c>
      <c r="C1700" s="0" t="inlineStr">
        <is>
          <t>G128</t>
        </is>
      </c>
      <c r="D1700" s="0" t="n">
        <v>21.3636953333333</v>
      </c>
    </row>
    <row r="1701">
      <c r="A1701" s="0" t="inlineStr">
        <is>
          <t>NYTimes-256</t>
        </is>
      </c>
      <c r="B1701" s="0" t="inlineStr">
        <is>
          <t>H116</t>
        </is>
      </c>
      <c r="C1701" s="0" t="inlineStr">
        <is>
          <t>H128</t>
        </is>
      </c>
      <c r="D1701" s="0" t="n">
        <v>21.5098418666667</v>
      </c>
    </row>
    <row r="1702">
      <c r="A1702" s="0" t="inlineStr">
        <is>
          <t>NYTimes-256</t>
        </is>
      </c>
      <c r="B1702" s="0" t="inlineStr">
        <is>
          <t>I116</t>
        </is>
      </c>
      <c r="C1702" s="0" t="inlineStr">
        <is>
          <t>I128</t>
        </is>
      </c>
      <c r="D1702" s="0" t="n">
        <v>21.3020279666667</v>
      </c>
    </row>
    <row r="1703">
      <c r="A1703" s="0" t="inlineStr">
        <is>
          <t>NYTimes-256</t>
        </is>
      </c>
      <c r="B1703" s="0" t="inlineStr">
        <is>
          <t>J116</t>
        </is>
      </c>
      <c r="C1703" s="0" t="inlineStr">
        <is>
          <t>J128</t>
        </is>
      </c>
      <c r="D1703" s="0" t="n">
        <v>21.4257339333333</v>
      </c>
    </row>
    <row r="1704">
      <c r="A1704" s="0" t="inlineStr">
        <is>
          <t>NYTimes-256</t>
        </is>
      </c>
      <c r="B1704" s="0" t="inlineStr">
        <is>
          <t>K116</t>
        </is>
      </c>
      <c r="C1704" s="0" t="inlineStr">
        <is>
          <t>K128</t>
        </is>
      </c>
      <c r="D1704" s="0" t="n">
        <v>21.5724279</v>
      </c>
    </row>
    <row r="1705">
      <c r="A1705" s="0" t="inlineStr">
        <is>
          <t>NYTimes-256</t>
        </is>
      </c>
      <c r="B1705" s="0" t="inlineStr">
        <is>
          <t>D117</t>
        </is>
      </c>
      <c r="C1705" s="0" t="inlineStr">
        <is>
          <t>D129</t>
        </is>
      </c>
      <c r="D1705" s="0" t="inlineStr">
        <is>
          <t>Ours</t>
        </is>
      </c>
    </row>
    <row r="1706">
      <c r="A1706" s="0" t="inlineStr">
        <is>
          <t>NYTimes-256</t>
        </is>
      </c>
      <c r="B1706" s="0" t="inlineStr">
        <is>
          <t>F117</t>
        </is>
      </c>
      <c r="C1706" s="0" t="inlineStr">
        <is>
          <t>F129</t>
        </is>
      </c>
      <c r="D1706" s="0" t="n">
        <v>7.70907898333333</v>
      </c>
    </row>
    <row r="1707">
      <c r="A1707" s="0" t="inlineStr">
        <is>
          <t>NYTimes-256</t>
        </is>
      </c>
      <c r="B1707" s="0" t="inlineStr">
        <is>
          <t>G117</t>
        </is>
      </c>
      <c r="C1707" s="0" t="inlineStr">
        <is>
          <t>G129</t>
        </is>
      </c>
      <c r="D1707" s="0" t="n">
        <v>9.274682500000001</v>
      </c>
    </row>
    <row r="1708">
      <c r="A1708" s="0" t="inlineStr">
        <is>
          <t>NYTimes-256</t>
        </is>
      </c>
      <c r="B1708" s="0" t="inlineStr">
        <is>
          <t>H117</t>
        </is>
      </c>
      <c r="C1708" s="0" t="inlineStr">
        <is>
          <t>H129</t>
        </is>
      </c>
      <c r="D1708" s="0" t="n">
        <v>10.8469290166667</v>
      </c>
    </row>
    <row r="1709">
      <c r="A1709" s="0" t="inlineStr">
        <is>
          <t>NYTimes-256</t>
        </is>
      </c>
      <c r="B1709" s="0" t="inlineStr">
        <is>
          <t>I117</t>
        </is>
      </c>
      <c r="C1709" s="0" t="inlineStr">
        <is>
          <t>I129</t>
        </is>
      </c>
      <c r="D1709" s="0" t="n">
        <v>11.9913693833333</v>
      </c>
    </row>
    <row r="1710">
      <c r="A1710" s="0" t="inlineStr">
        <is>
          <t>NYTimes-256</t>
        </is>
      </c>
      <c r="B1710" s="0" t="inlineStr">
        <is>
          <t>J117</t>
        </is>
      </c>
      <c r="C1710" s="0" t="inlineStr">
        <is>
          <t>J129</t>
        </is>
      </c>
      <c r="D1710" s="0" t="n">
        <v>14.3016029333333</v>
      </c>
    </row>
    <row r="1711">
      <c r="A1711" s="0" t="inlineStr">
        <is>
          <t>NYTimes-256</t>
        </is>
      </c>
      <c r="B1711" s="0" t="inlineStr">
        <is>
          <t>K117</t>
        </is>
      </c>
      <c r="C1711" s="0" t="inlineStr">
        <is>
          <t>K129</t>
        </is>
      </c>
      <c r="D1711" s="0" t="n">
        <v>16.0406685</v>
      </c>
    </row>
    <row r="1712">
      <c r="A1712" s="0" t="inlineStr">
        <is>
          <t>NYTimes-256</t>
        </is>
      </c>
      <c r="B1712" s="0" t="inlineStr">
        <is>
          <t>D118</t>
        </is>
      </c>
      <c r="C1712" s="0" t="inlineStr">
        <is>
          <t>D130</t>
        </is>
      </c>
      <c r="D1712" s="0" t="inlineStr">
        <is>
          <t>V3DB（单次）</t>
        </is>
      </c>
    </row>
    <row r="1713">
      <c r="A1713" s="0" t="inlineStr">
        <is>
          <t>NYTimes-256</t>
        </is>
      </c>
      <c r="B1713" s="0" t="inlineStr">
        <is>
          <t>F118</t>
        </is>
      </c>
      <c r="C1713" s="0" t="inlineStr">
        <is>
          <t>F130</t>
        </is>
      </c>
      <c r="D1713" s="0" t="n">
        <v>497518.470578999</v>
      </c>
    </row>
    <row r="1714">
      <c r="A1714" s="0" t="inlineStr">
        <is>
          <t>NYTimes-256</t>
        </is>
      </c>
      <c r="B1714" s="0" t="inlineStr">
        <is>
          <t>G118</t>
        </is>
      </c>
      <c r="C1714" s="0" t="inlineStr">
        <is>
          <t>G130</t>
        </is>
      </c>
      <c r="D1714" s="0" t="n">
        <v>500123.765209001</v>
      </c>
    </row>
    <row r="1715">
      <c r="A1715" s="0" t="inlineStr">
        <is>
          <t>NYTimes-256</t>
        </is>
      </c>
      <c r="B1715" s="0" t="inlineStr">
        <is>
          <t>H118</t>
        </is>
      </c>
      <c r="C1715" s="0" t="inlineStr">
        <is>
          <t>H130</t>
        </is>
      </c>
      <c r="D1715" s="0" t="n">
        <v>525753.569964</v>
      </c>
    </row>
    <row r="1716">
      <c r="A1716" s="0" t="inlineStr">
        <is>
          <t>NYTimes-256</t>
        </is>
      </c>
      <c r="B1716" s="0" t="inlineStr">
        <is>
          <t>I118</t>
        </is>
      </c>
      <c r="C1716" s="0" t="inlineStr">
        <is>
          <t>I130</t>
        </is>
      </c>
      <c r="D1716" s="0" t="n">
        <v>499521.62197</v>
      </c>
    </row>
    <row r="1717">
      <c r="A1717" s="0" t="inlineStr">
        <is>
          <t>NYTimes-256</t>
        </is>
      </c>
      <c r="B1717" s="0" t="inlineStr">
        <is>
          <t>J118</t>
        </is>
      </c>
      <c r="C1717" s="0" t="inlineStr">
        <is>
          <t>J130</t>
        </is>
      </c>
      <c r="D1717" s="0" t="n">
        <v>498341.342619</v>
      </c>
    </row>
    <row r="1718">
      <c r="A1718" s="0" t="inlineStr">
        <is>
          <t>NYTimes-256</t>
        </is>
      </c>
      <c r="B1718" s="0" t="inlineStr">
        <is>
          <t>K118</t>
        </is>
      </c>
      <c r="C1718" s="0" t="inlineStr">
        <is>
          <t>K130</t>
        </is>
      </c>
      <c r="D1718" s="0" t="n">
        <v>499108.047751</v>
      </c>
    </row>
    <row r="1719">
      <c r="A1719" s="0" t="inlineStr">
        <is>
          <t>NYTimes-256</t>
        </is>
      </c>
      <c r="B1719" s="0" t="inlineStr">
        <is>
          <t>D123</t>
        </is>
      </c>
      <c r="C1719" s="0" t="inlineStr">
        <is>
          <t>D136</t>
        </is>
      </c>
      <c r="D1719" s="0" t="inlineStr">
        <is>
          <t>Ablation Study 
（Ours: (i)progressive quantization, 
(ii) verification-decoupled traversal, 
(iii) expansion-centric authentication.）</t>
        </is>
      </c>
    </row>
    <row r="1720">
      <c r="A1720" s="0" t="inlineStr">
        <is>
          <t>NYTimes-256</t>
        </is>
      </c>
      <c r="B1720" s="0" t="inlineStr">
        <is>
          <t>D127</t>
        </is>
      </c>
      <c r="C1720" s="0" t="inlineStr">
        <is>
          <t>D140</t>
        </is>
      </c>
    </row>
    <row r="1721">
      <c r="A1721" s="0" t="inlineStr">
        <is>
          <t>NYTimes-256</t>
        </is>
      </c>
      <c r="B1721" s="0" t="inlineStr">
        <is>
          <t>F127</t>
        </is>
      </c>
      <c r="C1721" s="0" t="inlineStr">
        <is>
          <t>F140</t>
        </is>
      </c>
      <c r="D1721" s="0" t="inlineStr">
        <is>
          <t>Recall@10</t>
        </is>
      </c>
    </row>
    <row r="1722">
      <c r="A1722" s="0" t="inlineStr">
        <is>
          <t>NYTimes-256</t>
        </is>
      </c>
      <c r="B1722" s="0" t="inlineStr">
        <is>
          <t>G127</t>
        </is>
      </c>
      <c r="C1722" s="0" t="inlineStr">
        <is>
          <t>G140</t>
        </is>
      </c>
      <c r="D1722" s="0" t="inlineStr">
        <is>
          <t>Query Time (ms)</t>
        </is>
      </c>
    </row>
    <row r="1723">
      <c r="A1723" s="0" t="inlineStr">
        <is>
          <t>NYTimes-256</t>
        </is>
      </c>
      <c r="B1723" s="0" t="inlineStr">
        <is>
          <t>H127</t>
        </is>
      </c>
      <c r="C1723" s="0" t="inlineStr">
        <is>
          <t>H140</t>
        </is>
      </c>
      <c r="D1723" s="0" t="inlineStr">
        <is>
          <t>VO Size (KB)</t>
        </is>
      </c>
    </row>
    <row r="1724">
      <c r="A1724" s="0" t="inlineStr">
        <is>
          <t>NYTimes-256</t>
        </is>
      </c>
      <c r="B1724" s="0" t="inlineStr">
        <is>
          <t>I127</t>
        </is>
      </c>
      <c r="C1724" s="0" t="inlineStr">
        <is>
          <t>I140</t>
        </is>
      </c>
      <c r="D1724" s="0" t="inlineStr">
        <is>
          <t>Verify Time (ms)</t>
        </is>
      </c>
    </row>
    <row r="1725">
      <c r="A1725" s="0" t="inlineStr">
        <is>
          <t>NYTimes-256</t>
        </is>
      </c>
      <c r="B1725" s="0" t="inlineStr">
        <is>
          <t>D128</t>
        </is>
      </c>
      <c r="C1725" s="0" t="inlineStr">
        <is>
          <t>D141</t>
        </is>
      </c>
      <c r="D1725" s="0" t="inlineStr">
        <is>
          <t>Merkle+IVF</t>
        </is>
      </c>
    </row>
    <row r="1726">
      <c r="A1726" s="0" t="inlineStr">
        <is>
          <t>NYTimes-256</t>
        </is>
      </c>
      <c r="B1726" s="0" t="inlineStr">
        <is>
          <t>F128</t>
        </is>
      </c>
      <c r="C1726" s="0" t="inlineStr">
        <is>
          <t>F141</t>
        </is>
      </c>
      <c r="D1726" s="0" t="n">
        <v>0.96</v>
      </c>
    </row>
    <row r="1727">
      <c r="A1727" s="0" t="inlineStr">
        <is>
          <t>NYTimes-256</t>
        </is>
      </c>
      <c r="B1727" s="0" t="inlineStr">
        <is>
          <t>G128</t>
        </is>
      </c>
      <c r="C1727" s="0" t="inlineStr">
        <is>
          <t>G141</t>
        </is>
      </c>
      <c r="D1727" s="0" t="n">
        <v>897.470651166667</v>
      </c>
    </row>
    <row r="1728">
      <c r="A1728" s="0" t="inlineStr">
        <is>
          <t>NYTimes-256</t>
        </is>
      </c>
      <c r="B1728" s="0" t="inlineStr">
        <is>
          <t>H128</t>
        </is>
      </c>
      <c r="C1728" s="0" t="inlineStr">
        <is>
          <t>H141</t>
        </is>
      </c>
      <c r="D1728" s="0" t="n">
        <v>171156.1546</v>
      </c>
    </row>
    <row r="1729">
      <c r="A1729" s="0" t="inlineStr">
        <is>
          <t>NYTimes-256</t>
        </is>
      </c>
      <c r="B1729" s="0" t="inlineStr">
        <is>
          <t>I128</t>
        </is>
      </c>
      <c r="C1729" s="0" t="inlineStr">
        <is>
          <t>I141</t>
        </is>
      </c>
      <c r="D1729" s="0" t="n">
        <v>913.826305316667</v>
      </c>
    </row>
    <row r="1730">
      <c r="A1730" s="0" t="inlineStr">
        <is>
          <t>NYTimes-256</t>
        </is>
      </c>
      <c r="B1730" s="0" t="inlineStr">
        <is>
          <t>D129</t>
        </is>
      </c>
      <c r="C1730" s="0" t="inlineStr">
        <is>
          <t>D142</t>
        </is>
      </c>
      <c r="D1730" s="0" t="inlineStr">
        <is>
          <t>Merkle+HNSW</t>
        </is>
      </c>
    </row>
    <row r="1731">
      <c r="A1731" s="0" t="inlineStr">
        <is>
          <t>NYTimes-256</t>
        </is>
      </c>
      <c r="B1731" s="0" t="inlineStr">
        <is>
          <t>F129</t>
        </is>
      </c>
      <c r="C1731" s="0" t="inlineStr">
        <is>
          <t>F142</t>
        </is>
      </c>
      <c r="D1731" s="0" t="n">
        <v>0.96</v>
      </c>
    </row>
    <row r="1732">
      <c r="A1732" s="0" t="inlineStr">
        <is>
          <t>NYTimes-256</t>
        </is>
      </c>
      <c r="B1732" s="0" t="inlineStr">
        <is>
          <t>G129</t>
        </is>
      </c>
      <c r="C1732" s="0" t="inlineStr">
        <is>
          <t>G142</t>
        </is>
      </c>
      <c r="D1732" s="0" t="n">
        <v>44.24996445</v>
      </c>
    </row>
    <row r="1733">
      <c r="A1733" s="0" t="inlineStr">
        <is>
          <t>NYTimes-256</t>
        </is>
      </c>
      <c r="B1733" s="0" t="inlineStr">
        <is>
          <t>H129</t>
        </is>
      </c>
      <c r="C1733" s="0" t="inlineStr">
        <is>
          <t>H142</t>
        </is>
      </c>
      <c r="D1733" s="0" t="n">
        <v>9233.227000000001</v>
      </c>
    </row>
    <row r="1734">
      <c r="A1734" s="0" t="inlineStr">
        <is>
          <t>NYTimes-256</t>
        </is>
      </c>
      <c r="B1734" s="0" t="inlineStr">
        <is>
          <t>I129</t>
        </is>
      </c>
      <c r="C1734" s="0" t="inlineStr">
        <is>
          <t>I142</t>
        </is>
      </c>
      <c r="D1734" s="0" t="n">
        <v>58.7405594666667</v>
      </c>
    </row>
    <row r="1735">
      <c r="A1735" s="0" t="inlineStr">
        <is>
          <t>NYTimes-256</t>
        </is>
      </c>
      <c r="B1735" s="0" t="inlineStr">
        <is>
          <t>D130</t>
        </is>
      </c>
      <c r="C1735" s="0" t="inlineStr">
        <is>
          <t>D143</t>
        </is>
      </c>
      <c r="D1735" s="0" t="inlineStr">
        <is>
          <t>Merkle+IVF+(i)</t>
        </is>
      </c>
    </row>
    <row r="1736">
      <c r="A1736" s="0" t="inlineStr">
        <is>
          <t>NYTimes-256</t>
        </is>
      </c>
      <c r="B1736" s="0" t="inlineStr">
        <is>
          <t>F130</t>
        </is>
      </c>
      <c r="C1736" s="0" t="inlineStr">
        <is>
          <t>F143</t>
        </is>
      </c>
      <c r="D1736" s="0" t="n">
        <v>0.96</v>
      </c>
    </row>
    <row r="1737">
      <c r="A1737" s="0" t="inlineStr">
        <is>
          <t>NYTimes-256</t>
        </is>
      </c>
      <c r="B1737" s="0" t="inlineStr">
        <is>
          <t>G130</t>
        </is>
      </c>
      <c r="C1737" s="0" t="inlineStr">
        <is>
          <t>G143</t>
        </is>
      </c>
      <c r="D1737" s="0" t="n">
        <v>223.033000433333</v>
      </c>
    </row>
    <row r="1738">
      <c r="A1738" s="0" t="inlineStr">
        <is>
          <t>NYTimes-256</t>
        </is>
      </c>
      <c r="B1738" s="0" t="inlineStr">
        <is>
          <t>H130</t>
        </is>
      </c>
      <c r="C1738" s="0" t="inlineStr">
        <is>
          <t>H143</t>
        </is>
      </c>
      <c r="D1738" s="0" t="n">
        <v>34822.193</v>
      </c>
    </row>
    <row r="1739">
      <c r="A1739" s="0" t="inlineStr">
        <is>
          <t>NYTimes-256</t>
        </is>
      </c>
      <c r="B1739" s="0" t="inlineStr">
        <is>
          <t>I130</t>
        </is>
      </c>
      <c r="C1739" s="0" t="inlineStr">
        <is>
          <t>I143</t>
        </is>
      </c>
      <c r="D1739" s="0" t="n">
        <v>909.57802055</v>
      </c>
    </row>
    <row r="1740">
      <c r="A1740" s="0" t="inlineStr">
        <is>
          <t>NYTimes-256</t>
        </is>
      </c>
      <c r="B1740" s="0" t="inlineStr">
        <is>
          <t>D131</t>
        </is>
      </c>
      <c r="C1740" s="0" t="inlineStr">
        <is>
          <t>D144</t>
        </is>
      </c>
      <c r="D1740" s="0" t="inlineStr">
        <is>
          <t>Merkle+HNSW+(i)</t>
        </is>
      </c>
    </row>
    <row r="1741">
      <c r="A1741" s="0" t="inlineStr">
        <is>
          <t>NYTimes-256</t>
        </is>
      </c>
      <c r="B1741" s="0" t="inlineStr">
        <is>
          <t>F131</t>
        </is>
      </c>
      <c r="C1741" s="0" t="inlineStr">
        <is>
          <t>F144</t>
        </is>
      </c>
      <c r="D1741" s="0" t="n">
        <v>0.96</v>
      </c>
    </row>
    <row r="1742">
      <c r="A1742" s="0" t="inlineStr">
        <is>
          <t>NYTimes-256</t>
        </is>
      </c>
      <c r="B1742" s="0" t="inlineStr">
        <is>
          <t>G131</t>
        </is>
      </c>
      <c r="C1742" s="0" t="inlineStr">
        <is>
          <t>G144</t>
        </is>
      </c>
      <c r="D1742" s="0" t="n">
        <v>39.5950298666667</v>
      </c>
    </row>
    <row r="1743">
      <c r="A1743" s="0" t="inlineStr">
        <is>
          <t>NYTimes-256</t>
        </is>
      </c>
      <c r="B1743" s="0" t="inlineStr">
        <is>
          <t>H131</t>
        </is>
      </c>
      <c r="C1743" s="0" t="inlineStr">
        <is>
          <t>H144</t>
        </is>
      </c>
      <c r="D1743" s="0" t="n">
        <v>7321.6886</v>
      </c>
    </row>
    <row r="1744">
      <c r="A1744" s="0" t="inlineStr">
        <is>
          <t>NYTimes-256</t>
        </is>
      </c>
      <c r="B1744" s="0" t="inlineStr">
        <is>
          <t>I131</t>
        </is>
      </c>
      <c r="C1744" s="0" t="inlineStr">
        <is>
          <t>I144</t>
        </is>
      </c>
      <c r="D1744" s="0" t="n">
        <v>109.0550328</v>
      </c>
    </row>
    <row r="1745">
      <c r="A1745" s="0" t="inlineStr">
        <is>
          <t>NYTimes-256</t>
        </is>
      </c>
      <c r="B1745" s="0" t="inlineStr">
        <is>
          <t>D132</t>
        </is>
      </c>
      <c r="C1745" s="0" t="inlineStr">
        <is>
          <t>D145</t>
        </is>
      </c>
      <c r="D1745" s="0" t="inlineStr">
        <is>
          <t>(i)+(ii)</t>
        </is>
      </c>
    </row>
    <row r="1746">
      <c r="A1746" s="0" t="inlineStr">
        <is>
          <t>NYTimes-256</t>
        </is>
      </c>
      <c r="B1746" s="0" t="inlineStr">
        <is>
          <t>F132</t>
        </is>
      </c>
      <c r="C1746" s="0" t="inlineStr">
        <is>
          <t>F145</t>
        </is>
      </c>
      <c r="D1746" s="0" t="n">
        <v>0.955</v>
      </c>
    </row>
    <row r="1747">
      <c r="A1747" s="0" t="inlineStr">
        <is>
          <t>NYTimes-256</t>
        </is>
      </c>
      <c r="B1747" s="0" t="inlineStr">
        <is>
          <t>G132</t>
        </is>
      </c>
      <c r="C1747" s="0" t="inlineStr">
        <is>
          <t>G145</t>
        </is>
      </c>
      <c r="D1747" s="0" t="n">
        <v>17.1721145</v>
      </c>
    </row>
    <row r="1748">
      <c r="A1748" s="0" t="inlineStr">
        <is>
          <t>NYTimes-256</t>
        </is>
      </c>
      <c r="B1748" s="0" t="inlineStr">
        <is>
          <t>H132</t>
        </is>
      </c>
      <c r="C1748" s="0" t="inlineStr">
        <is>
          <t>H145</t>
        </is>
      </c>
      <c r="D1748" s="0" t="n">
        <v>2504.2254</v>
      </c>
    </row>
    <row r="1749">
      <c r="A1749" s="0" t="inlineStr">
        <is>
          <t>NYTimes-256</t>
        </is>
      </c>
      <c r="B1749" s="0" t="inlineStr">
        <is>
          <t>I132</t>
        </is>
      </c>
      <c r="C1749" s="0" t="inlineStr">
        <is>
          <t>I145</t>
        </is>
      </c>
      <c r="D1749" s="0" t="n">
        <v>46.6341235666667</v>
      </c>
    </row>
    <row r="1750">
      <c r="A1750" s="0" t="inlineStr">
        <is>
          <t>NYTimes-256</t>
        </is>
      </c>
      <c r="B1750" s="0" t="inlineStr">
        <is>
          <t>D133</t>
        </is>
      </c>
      <c r="C1750" s="0" t="inlineStr">
        <is>
          <t>D146</t>
        </is>
      </c>
      <c r="D1750" s="0" t="inlineStr">
        <is>
          <t>(i)+(ii)+(iii)</t>
        </is>
      </c>
    </row>
    <row r="1751">
      <c r="A1751" s="0" t="inlineStr">
        <is>
          <t>NYTimes-256</t>
        </is>
      </c>
      <c r="B1751" s="0" t="inlineStr">
        <is>
          <t>F133</t>
        </is>
      </c>
      <c r="C1751" s="0" t="inlineStr">
        <is>
          <t>F146</t>
        </is>
      </c>
      <c r="D1751" s="0" t="n">
        <v>0.955</v>
      </c>
    </row>
    <row r="1752">
      <c r="A1752" s="0" t="inlineStr">
        <is>
          <t>NYTimes-256</t>
        </is>
      </c>
      <c r="B1752" s="0" t="inlineStr">
        <is>
          <t>G133</t>
        </is>
      </c>
      <c r="C1752" s="0" t="inlineStr">
        <is>
          <t>G146</t>
        </is>
      </c>
      <c r="D1752" s="0" t="n">
        <v>10.9337633333333</v>
      </c>
    </row>
    <row r="1753">
      <c r="A1753" s="0" t="inlineStr">
        <is>
          <t>NYTimes-256</t>
        </is>
      </c>
      <c r="B1753" s="0" t="inlineStr">
        <is>
          <t>H133</t>
        </is>
      </c>
      <c r="C1753" s="0" t="inlineStr">
        <is>
          <t>H146</t>
        </is>
      </c>
      <c r="D1753" s="0" t="n">
        <v>1271.2486</v>
      </c>
    </row>
    <row r="1754">
      <c r="A1754" s="0" t="inlineStr">
        <is>
          <t>NYTimes-256</t>
        </is>
      </c>
      <c r="B1754" s="0" t="inlineStr">
        <is>
          <t>I133</t>
        </is>
      </c>
      <c r="C1754" s="0" t="inlineStr">
        <is>
          <t>I146</t>
        </is>
      </c>
      <c r="D1754" s="0" t="n">
        <v>21.8082549833333</v>
      </c>
    </row>
    <row r="1755">
      <c r="A1755" s="0" t="inlineStr">
        <is>
          <t>NYTimes-256</t>
        </is>
      </c>
      <c r="B1755" s="0" t="inlineStr">
        <is>
          <t>D134</t>
        </is>
      </c>
      <c r="C1755" s="0" t="inlineStr">
        <is>
          <t>D147</t>
        </is>
      </c>
      <c r="D1755" s="0" t="inlineStr">
        <is>
          <t>V3DB baseline（单次）</t>
        </is>
      </c>
    </row>
    <row r="1756">
      <c r="A1756" s="0" t="inlineStr">
        <is>
          <t>NYTimes-256</t>
        </is>
      </c>
      <c r="B1756" s="0" t="inlineStr">
        <is>
          <t>F134</t>
        </is>
      </c>
      <c r="C1756" s="0" t="inlineStr">
        <is>
          <t>F147</t>
        </is>
      </c>
      <c r="D1756" s="0" t="n">
        <v>0.58</v>
      </c>
    </row>
    <row r="1757">
      <c r="A1757" s="0" t="inlineStr">
        <is>
          <t>NYTimes-256</t>
        </is>
      </c>
      <c r="B1757" s="0" t="inlineStr">
        <is>
          <t>G134</t>
        </is>
      </c>
      <c r="C1757" s="0" t="inlineStr">
        <is>
          <t>G147</t>
        </is>
      </c>
      <c r="D1757" s="0" t="n">
        <v>525753.569964</v>
      </c>
    </row>
    <row r="1758">
      <c r="A1758" s="0" t="inlineStr">
        <is>
          <t>NYTimes-256</t>
        </is>
      </c>
      <c r="B1758" s="0" t="inlineStr">
        <is>
          <t>H134</t>
        </is>
      </c>
      <c r="C1758" s="0" t="inlineStr">
        <is>
          <t>H147</t>
        </is>
      </c>
      <c r="D1758" s="0" t="n">
        <v>236.43</v>
      </c>
    </row>
    <row r="1759">
      <c r="A1759" s="0" t="inlineStr">
        <is>
          <t>NYTimes-256</t>
        </is>
      </c>
      <c r="B1759" s="0" t="inlineStr">
        <is>
          <t>I134</t>
        </is>
      </c>
      <c r="C1759" s="0" t="inlineStr">
        <is>
          <t>I147</t>
        </is>
      </c>
      <c r="D1759" s="0" t="n">
        <v>69.6683460000713</v>
      </c>
    </row>
    <row r="1760">
      <c r="A1760" s="0" t="inlineStr">
        <is>
          <t>GloVe-100</t>
        </is>
      </c>
      <c r="B1760" s="0" t="inlineStr">
        <is>
          <t>A1</t>
        </is>
      </c>
      <c r="C1760" s="0" t="inlineStr">
        <is>
          <t>A1</t>
        </is>
      </c>
      <c r="D1760" s="0" t="inlineStr">
        <is>
          <t>All query time includes the vo generation time</t>
        </is>
      </c>
    </row>
    <row r="1761">
      <c r="A1761" s="0" t="inlineStr">
        <is>
          <t>GloVe-100</t>
        </is>
      </c>
      <c r="B1761" s="0" t="inlineStr">
        <is>
          <t>A3</t>
        </is>
      </c>
      <c r="C1761" s="0" t="inlineStr">
        <is>
          <t>A3</t>
        </is>
      </c>
      <c r="D1761" s="0" t="inlineStr">
        <is>
          <t>Query/verify time: ms; VO: KB (1000 bytes); recall: %; Query Time includes VO generation.</t>
        </is>
      </c>
    </row>
    <row r="1762">
      <c r="A1762" s="0" t="inlineStr">
        <is>
          <t>GloVe-100</t>
        </is>
      </c>
      <c r="B1762" s="0" t="inlineStr">
        <is>
          <t>A4</t>
        </is>
      </c>
      <c r="C1762" s="0" t="inlineStr">
        <is>
          <t>A4</t>
        </is>
      </c>
      <c r="D1762" s="0" t="inlineStr">
        <is>
          <t>VLAH、ANNProof、Ours维持原默认约95%召回率及原实测数据。只有V3DB采用本机可运行的低Recall@10默认配置。低召回率扩展仅用于Recall@10曲线；不同默认召回率不视为等质量比较。
橙色*为512GiB单线程条件预测，†为既有20查询搜索校准召回；不是512GiB机器实测。超规划内存/无校准依据的缺项留空，见V3DB512GiB说明。</t>
        </is>
      </c>
    </row>
    <row r="1763">
      <c r="A1763" s="0" t="inlineStr">
        <is>
          <t>GloVe-100</t>
        </is>
      </c>
      <c r="B1763" s="0" t="inlineStr">
        <is>
          <t>E5</t>
        </is>
      </c>
      <c r="C1763" s="0" t="inlineStr">
        <is>
          <t>E5</t>
        </is>
      </c>
      <c r="D1763" s="0" t="inlineStr">
        <is>
          <t>Overall Table</t>
        </is>
      </c>
    </row>
    <row r="1764">
      <c r="A1764" s="0" t="inlineStr">
        <is>
          <t>GloVe-100</t>
        </is>
      </c>
      <c r="B1764" s="0" t="inlineStr">
        <is>
          <t>D7</t>
        </is>
      </c>
      <c r="C1764" s="0" t="inlineStr">
        <is>
          <t>D7</t>
        </is>
      </c>
      <c r="D1764" s="0" t="inlineStr">
        <is>
          <t>GloVe-100 (N=1,183,514, d=100)</t>
        </is>
      </c>
    </row>
    <row r="1765">
      <c r="A1765" s="0" t="inlineStr">
        <is>
          <t>GloVe-100</t>
        </is>
      </c>
      <c r="B1765" s="0" t="inlineStr">
        <is>
          <t>I7</t>
        </is>
      </c>
      <c r="C1765" s="0" t="inlineStr">
        <is>
          <t>I7</t>
        </is>
      </c>
    </row>
    <row r="1766">
      <c r="A1766" s="0" t="inlineStr">
        <is>
          <t>GloVe-100</t>
        </is>
      </c>
      <c r="B1766" s="0" t="inlineStr">
        <is>
          <t>J7</t>
        </is>
      </c>
      <c r="C1766" s="0" t="inlineStr">
        <is>
          <t>J7</t>
        </is>
      </c>
    </row>
    <row r="1767">
      <c r="A1767" s="0" t="inlineStr">
        <is>
          <t>GloVe-100</t>
        </is>
      </c>
      <c r="B1767" s="0" t="inlineStr">
        <is>
          <t>D8</t>
        </is>
      </c>
      <c r="C1767" s="0" t="inlineStr">
        <is>
          <t>D8</t>
        </is>
      </c>
      <c r="D1767" s="0" t="inlineStr">
        <is>
          <t xml:space="preserve">Method </t>
        </is>
      </c>
    </row>
    <row r="1768">
      <c r="A1768" s="0" t="inlineStr">
        <is>
          <t>GloVe-100</t>
        </is>
      </c>
      <c r="B1768" s="0" t="inlineStr">
        <is>
          <t>E8</t>
        </is>
      </c>
      <c r="C1768" s="0" t="inlineStr">
        <is>
          <t>E8</t>
        </is>
      </c>
      <c r="D1768" s="0" t="inlineStr">
        <is>
          <t>Recall@10</t>
        </is>
      </c>
    </row>
    <row r="1769">
      <c r="A1769" s="0" t="inlineStr">
        <is>
          <t>GloVe-100</t>
        </is>
      </c>
      <c r="B1769" s="0" t="inlineStr">
        <is>
          <t>F8</t>
        </is>
      </c>
      <c r="C1769" s="0" t="inlineStr">
        <is>
          <t>F8</t>
        </is>
      </c>
      <c r="D1769" s="0" t="inlineStr">
        <is>
          <t>Query Time</t>
        </is>
      </c>
    </row>
    <row r="1770">
      <c r="A1770" s="0" t="inlineStr">
        <is>
          <t>GloVe-100</t>
        </is>
      </c>
      <c r="B1770" s="0" t="inlineStr">
        <is>
          <t>G8</t>
        </is>
      </c>
      <c r="C1770" s="0" t="inlineStr">
        <is>
          <t>G8</t>
        </is>
      </c>
      <c r="D1770" s="0" t="inlineStr">
        <is>
          <t>VO Size</t>
        </is>
      </c>
    </row>
    <row r="1771">
      <c r="A1771" s="0" t="inlineStr">
        <is>
          <t>GloVe-100</t>
        </is>
      </c>
      <c r="B1771" s="0" t="inlineStr">
        <is>
          <t>H8</t>
        </is>
      </c>
      <c r="C1771" s="0" t="inlineStr">
        <is>
          <t>H8</t>
        </is>
      </c>
      <c r="D1771" s="0" t="inlineStr">
        <is>
          <t>Verify Time</t>
        </is>
      </c>
    </row>
    <row r="1772">
      <c r="A1772" s="0" t="inlineStr">
        <is>
          <t>GloVe-100</t>
        </is>
      </c>
      <c r="B1772" s="0" t="inlineStr">
        <is>
          <t>I8</t>
        </is>
      </c>
      <c r="C1772" s="0" t="inlineStr">
        <is>
          <t>I8</t>
        </is>
      </c>
      <c r="D1772" s="0" t="inlineStr">
        <is>
          <t>Index Size (MB)</t>
        </is>
      </c>
    </row>
    <row r="1773">
      <c r="A1773" s="0" t="inlineStr">
        <is>
          <t>GloVe-100</t>
        </is>
      </c>
      <c r="B1773" s="0" t="inlineStr">
        <is>
          <t>J8</t>
        </is>
      </c>
      <c r="C1773" s="0" t="inlineStr">
        <is>
          <t>J8</t>
        </is>
      </c>
      <c r="D1773" s="0" t="inlineStr">
        <is>
          <t>Index Construct Time (s)</t>
        </is>
      </c>
    </row>
    <row r="1774">
      <c r="A1774" s="0" t="inlineStr">
        <is>
          <t>GloVe-100</t>
        </is>
      </c>
      <c r="B1774" s="0" t="inlineStr">
        <is>
          <t>D9</t>
        </is>
      </c>
      <c r="C1774" s="0" t="inlineStr">
        <is>
          <t>D9</t>
        </is>
      </c>
      <c r="D1774" s="0" t="inlineStr">
        <is>
          <t>VLAH</t>
        </is>
      </c>
    </row>
    <row r="1775">
      <c r="A1775" s="0" t="inlineStr">
        <is>
          <t>GloVe-100</t>
        </is>
      </c>
      <c r="B1775" s="0" t="inlineStr">
        <is>
          <t>E9</t>
        </is>
      </c>
      <c r="C1775" s="0" t="inlineStr">
        <is>
          <t>E9</t>
        </is>
      </c>
      <c r="D1775" s="0" t="n">
        <v>95</v>
      </c>
    </row>
    <row r="1776">
      <c r="A1776" s="0" t="inlineStr">
        <is>
          <t>GloVe-100</t>
        </is>
      </c>
      <c r="B1776" s="0" t="inlineStr">
        <is>
          <t>F9</t>
        </is>
      </c>
      <c r="C1776" s="0" t="inlineStr">
        <is>
          <t>F9</t>
        </is>
      </c>
      <c r="D1776" s="0" t="n">
        <v>420.781040966667</v>
      </c>
    </row>
    <row r="1777">
      <c r="A1777" s="0" t="inlineStr">
        <is>
          <t>GloVe-100</t>
        </is>
      </c>
      <c r="B1777" s="0" t="inlineStr">
        <is>
          <t>G9</t>
        </is>
      </c>
      <c r="C1777" s="0" t="inlineStr">
        <is>
          <t>G9</t>
        </is>
      </c>
      <c r="D1777" s="0" t="n">
        <v>156085.1456</v>
      </c>
    </row>
    <row r="1778">
      <c r="A1778" s="0" t="inlineStr">
        <is>
          <t>GloVe-100</t>
        </is>
      </c>
      <c r="B1778" s="0" t="inlineStr">
        <is>
          <t>H9</t>
        </is>
      </c>
      <c r="C1778" s="0" t="inlineStr">
        <is>
          <t>H9</t>
        </is>
      </c>
      <c r="D1778" s="0" t="n">
        <v>1028.47328478333</v>
      </c>
    </row>
    <row r="1779">
      <c r="A1779" s="0" t="inlineStr">
        <is>
          <t>GloVe-100</t>
        </is>
      </c>
      <c r="B1779" s="0" t="inlineStr">
        <is>
          <t>I9</t>
        </is>
      </c>
      <c r="C1779" s="0" t="inlineStr">
        <is>
          <t>I9</t>
        </is>
      </c>
      <c r="D1779" s="0" t="n">
        <v>898.071726</v>
      </c>
    </row>
    <row r="1780">
      <c r="A1780" s="0" t="inlineStr">
        <is>
          <t>GloVe-100</t>
        </is>
      </c>
      <c r="B1780" s="0" t="inlineStr">
        <is>
          <t>J9</t>
        </is>
      </c>
      <c r="C1780" s="0" t="inlineStr">
        <is>
          <t>J9</t>
        </is>
      </c>
      <c r="D1780" s="0" t="n">
        <v>231.449208385</v>
      </c>
    </row>
    <row r="1781">
      <c r="A1781" s="0" t="inlineStr">
        <is>
          <t>GloVe-100</t>
        </is>
      </c>
      <c r="B1781" s="0" t="inlineStr">
        <is>
          <t>D10</t>
        </is>
      </c>
      <c r="C1781" s="0" t="inlineStr">
        <is>
          <t>D10</t>
        </is>
      </c>
      <c r="D1781" s="0" t="inlineStr">
        <is>
          <t>ANNProof</t>
        </is>
      </c>
    </row>
    <row r="1782">
      <c r="A1782" s="0" t="inlineStr">
        <is>
          <t>GloVe-100</t>
        </is>
      </c>
      <c r="B1782" s="0" t="inlineStr">
        <is>
          <t>E10</t>
        </is>
      </c>
      <c r="C1782" s="0" t="inlineStr">
        <is>
          <t>E10</t>
        </is>
      </c>
      <c r="D1782" s="0" t="n">
        <v>95.5</v>
      </c>
    </row>
    <row r="1783">
      <c r="A1783" s="0" t="inlineStr">
        <is>
          <t>GloVe-100</t>
        </is>
      </c>
      <c r="B1783" s="0" t="inlineStr">
        <is>
          <t>F10</t>
        </is>
      </c>
      <c r="C1783" s="0" t="inlineStr">
        <is>
          <t>F10</t>
        </is>
      </c>
      <c r="D1783" s="0" t="n">
        <v>69.7219818833333</v>
      </c>
    </row>
    <row r="1784">
      <c r="A1784" s="0" t="inlineStr">
        <is>
          <t>GloVe-100</t>
        </is>
      </c>
      <c r="B1784" s="0" t="inlineStr">
        <is>
          <t>G10</t>
        </is>
      </c>
      <c r="C1784" s="0" t="inlineStr">
        <is>
          <t>G10</t>
        </is>
      </c>
      <c r="D1784" s="0" t="n">
        <v>20286.7284</v>
      </c>
    </row>
    <row r="1785">
      <c r="A1785" s="0" t="inlineStr">
        <is>
          <t>GloVe-100</t>
        </is>
      </c>
      <c r="B1785" s="0" t="inlineStr">
        <is>
          <t>H10</t>
        </is>
      </c>
      <c r="C1785" s="0" t="inlineStr">
        <is>
          <t>H10</t>
        </is>
      </c>
      <c r="D1785" s="0" t="n">
        <v>263.942687483333</v>
      </c>
    </row>
    <row r="1786">
      <c r="A1786" s="0" t="inlineStr">
        <is>
          <t>GloVe-100</t>
        </is>
      </c>
      <c r="B1786" s="0" t="inlineStr">
        <is>
          <t>I10</t>
        </is>
      </c>
      <c r="C1786" s="0" t="inlineStr">
        <is>
          <t>I10</t>
        </is>
      </c>
      <c r="D1786" s="0" t="n">
        <v>887.3549400000001</v>
      </c>
    </row>
    <row r="1787">
      <c r="A1787" s="0" t="inlineStr">
        <is>
          <t>GloVe-100</t>
        </is>
      </c>
      <c r="B1787" s="0" t="inlineStr">
        <is>
          <t>J10</t>
        </is>
      </c>
      <c r="C1787" s="0" t="inlineStr">
        <is>
          <t>J10</t>
        </is>
      </c>
      <c r="D1787" s="0" t="n">
        <v>849.842353233</v>
      </c>
    </row>
    <row r="1788">
      <c r="A1788" s="0" t="inlineStr">
        <is>
          <t>GloVe-100</t>
        </is>
      </c>
      <c r="B1788" s="0" t="inlineStr">
        <is>
          <t>D11</t>
        </is>
      </c>
      <c r="C1788" s="0" t="inlineStr">
        <is>
          <t>D11</t>
        </is>
      </c>
      <c r="D1788" s="0" t="inlineStr">
        <is>
          <t>Ours</t>
        </is>
      </c>
    </row>
    <row r="1789">
      <c r="A1789" s="0" t="inlineStr">
        <is>
          <t>GloVe-100</t>
        </is>
      </c>
      <c r="B1789" s="0" t="inlineStr">
        <is>
          <t>E11</t>
        </is>
      </c>
      <c r="C1789" s="0" t="inlineStr">
        <is>
          <t>E11</t>
        </is>
      </c>
      <c r="D1789" s="0" t="n">
        <v>96</v>
      </c>
    </row>
    <row r="1790">
      <c r="A1790" s="0" t="inlineStr">
        <is>
          <t>GloVe-100</t>
        </is>
      </c>
      <c r="B1790" s="0" t="inlineStr">
        <is>
          <t>F11</t>
        </is>
      </c>
      <c r="C1790" s="0" t="inlineStr">
        <is>
          <t>F11</t>
        </is>
      </c>
      <c r="D1790" s="0" t="n">
        <v>52.0690504666667</v>
      </c>
    </row>
    <row r="1791">
      <c r="A1791" s="0" t="inlineStr">
        <is>
          <t>GloVe-100</t>
        </is>
      </c>
      <c r="B1791" s="0" t="inlineStr">
        <is>
          <t>G11</t>
        </is>
      </c>
      <c r="C1791" s="0" t="inlineStr">
        <is>
          <t>G11</t>
        </is>
      </c>
      <c r="D1791" s="0" t="n">
        <v>3831.7115</v>
      </c>
    </row>
    <row r="1792">
      <c r="A1792" s="0" t="inlineStr">
        <is>
          <t>GloVe-100</t>
        </is>
      </c>
      <c r="B1792" s="0" t="inlineStr">
        <is>
          <t>H11</t>
        </is>
      </c>
      <c r="C1792" s="0" t="inlineStr">
        <is>
          <t>H11</t>
        </is>
      </c>
      <c r="D1792" s="0" t="n">
        <v>110.41652915</v>
      </c>
    </row>
    <row r="1793">
      <c r="A1793" s="0" t="inlineStr">
        <is>
          <t>GloVe-100</t>
        </is>
      </c>
      <c r="B1793" s="0" t="inlineStr">
        <is>
          <t>I11</t>
        </is>
      </c>
      <c r="C1793" s="0" t="inlineStr">
        <is>
          <t>I11</t>
        </is>
      </c>
      <c r="D1793" s="0" t="n">
        <v>1145.040246</v>
      </c>
    </row>
    <row r="1794">
      <c r="A1794" s="0" t="inlineStr">
        <is>
          <t>GloVe-100</t>
        </is>
      </c>
      <c r="B1794" s="0" t="inlineStr">
        <is>
          <t>J11</t>
        </is>
      </c>
      <c r="C1794" s="0" t="inlineStr">
        <is>
          <t>J11</t>
        </is>
      </c>
      <c r="D1794" s="0" t="n">
        <v>859.85777673</v>
      </c>
    </row>
    <row r="1795">
      <c r="A1795" s="0" t="inlineStr">
        <is>
          <t>GloVe-100</t>
        </is>
      </c>
      <c r="B1795" s="0" t="inlineStr">
        <is>
          <t>D12</t>
        </is>
      </c>
      <c r="C1795" s="0" t="inlineStr">
        <is>
          <t>D12</t>
        </is>
      </c>
      <c r="D1795" s="0" t="inlineStr">
        <is>
          <t>V3DB（单次）</t>
        </is>
      </c>
    </row>
    <row r="1796">
      <c r="A1796" s="0" t="inlineStr">
        <is>
          <t>GloVe-100</t>
        </is>
      </c>
      <c r="B1796" s="0" t="inlineStr">
        <is>
          <t>E12</t>
        </is>
      </c>
      <c r="C1796" s="0" t="inlineStr">
        <is>
          <t>E12</t>
        </is>
      </c>
      <c r="D1796" s="0" t="n">
        <v>40.5</v>
      </c>
    </row>
    <row r="1797">
      <c r="A1797" s="0" t="inlineStr">
        <is>
          <t>GloVe-100</t>
        </is>
      </c>
      <c r="B1797" s="0" t="inlineStr">
        <is>
          <t>F12</t>
        </is>
      </c>
      <c r="C1797" s="0" t="inlineStr">
        <is>
          <t>F12</t>
        </is>
      </c>
      <c r="D1797" s="0" t="n">
        <v>491486.434967</v>
      </c>
    </row>
    <row r="1798">
      <c r="A1798" s="0" t="inlineStr">
        <is>
          <t>GloVe-100</t>
        </is>
      </c>
      <c r="B1798" s="0" t="inlineStr">
        <is>
          <t>G12</t>
        </is>
      </c>
      <c r="C1798" s="0" t="inlineStr">
        <is>
          <t>G12</t>
        </is>
      </c>
      <c r="D1798" s="0" t="n">
        <v>287.485</v>
      </c>
    </row>
    <row r="1799">
      <c r="A1799" s="0" t="inlineStr">
        <is>
          <t>GloVe-100</t>
        </is>
      </c>
      <c r="B1799" s="0" t="inlineStr">
        <is>
          <t>H12</t>
        </is>
      </c>
      <c r="C1799" s="0" t="inlineStr">
        <is>
          <t>H12</t>
        </is>
      </c>
      <c r="D1799" s="0" t="n">
        <v>19.9993839999024</v>
      </c>
    </row>
    <row r="1800">
      <c r="A1800" s="0" t="inlineStr">
        <is>
          <t>GloVe-100</t>
        </is>
      </c>
      <c r="B1800" s="0" t="inlineStr">
        <is>
          <t>I12</t>
        </is>
      </c>
      <c r="C1800" s="0" t="inlineStr">
        <is>
          <t>I12</t>
        </is>
      </c>
      <c r="D1800" s="0" t="n">
        <v>484.530854</v>
      </c>
    </row>
    <row r="1801">
      <c r="A1801" s="0" t="inlineStr">
        <is>
          <t>GloVe-100</t>
        </is>
      </c>
      <c r="B1801" s="0" t="inlineStr">
        <is>
          <t>J12</t>
        </is>
      </c>
      <c r="C1801" s="0" t="inlineStr">
        <is>
          <t>J12</t>
        </is>
      </c>
      <c r="D1801" s="0" t="n">
        <v>202.072790683</v>
      </c>
    </row>
    <row r="1802">
      <c r="A1802" s="0" t="inlineStr">
        <is>
          <t>GloVe-100</t>
        </is>
      </c>
      <c r="B1802" s="0" t="inlineStr">
        <is>
          <t>E16</t>
        </is>
      </c>
      <c r="C1802" s="0" t="inlineStr">
        <is>
          <t>E17</t>
        </is>
      </c>
      <c r="D1802" s="0" t="inlineStr">
        <is>
          <t>Target Recall (%) — expanded low-recall curve</t>
        </is>
      </c>
    </row>
    <row r="1803">
      <c r="A1803" s="0" t="inlineStr">
        <is>
          <t>GloVe-100</t>
        </is>
      </c>
      <c r="B1803" s="0" t="inlineStr">
        <is>
          <t>F16</t>
        </is>
      </c>
      <c r="C1803" s="0" t="inlineStr">
        <is>
          <t>F17</t>
        </is>
      </c>
      <c r="D1803" s="0" t="n">
        <v>15</v>
      </c>
    </row>
    <row r="1804">
      <c r="A1804" s="0" t="inlineStr">
        <is>
          <t>GloVe-100</t>
        </is>
      </c>
      <c r="B1804" s="0" t="inlineStr">
        <is>
          <t>G16</t>
        </is>
      </c>
      <c r="C1804" s="0" t="inlineStr">
        <is>
          <t>G17</t>
        </is>
      </c>
      <c r="D1804" s="0" t="n">
        <v>20</v>
      </c>
    </row>
    <row r="1805">
      <c r="A1805" s="0" t="inlineStr">
        <is>
          <t>GloVe-100</t>
        </is>
      </c>
      <c r="B1805" s="0" t="inlineStr">
        <is>
          <t>H16</t>
        </is>
      </c>
      <c r="C1805" s="0" t="inlineStr">
        <is>
          <t>H17</t>
        </is>
      </c>
      <c r="D1805" s="0" t="n">
        <v>25</v>
      </c>
    </row>
    <row r="1806">
      <c r="A1806" s="0" t="inlineStr">
        <is>
          <t>GloVe-100</t>
        </is>
      </c>
      <c r="B1806" s="0" t="inlineStr">
        <is>
          <t>I16</t>
        </is>
      </c>
      <c r="C1806" s="0" t="inlineStr">
        <is>
          <t>I17</t>
        </is>
      </c>
      <c r="D1806" s="0" t="n">
        <v>30</v>
      </c>
    </row>
    <row r="1807">
      <c r="A1807" s="0" t="inlineStr">
        <is>
          <t>GloVe-100</t>
        </is>
      </c>
      <c r="B1807" s="0" t="inlineStr">
        <is>
          <t>J16</t>
        </is>
      </c>
      <c r="C1807" s="0" t="inlineStr">
        <is>
          <t>J17</t>
        </is>
      </c>
      <c r="D1807" s="0" t="n">
        <v>35</v>
      </c>
    </row>
    <row r="1808">
      <c r="A1808" s="0" t="inlineStr">
        <is>
          <t>GloVe-100</t>
        </is>
      </c>
      <c r="B1808" s="0" t="inlineStr">
        <is>
          <t>K16</t>
        </is>
      </c>
      <c r="C1808" s="0" t="inlineStr">
        <is>
          <t>K17</t>
        </is>
      </c>
      <c r="D1808" s="0" t="n">
        <v>40</v>
      </c>
    </row>
    <row r="1809">
      <c r="A1809" s="0" t="inlineStr">
        <is>
          <t>GloVe-100</t>
        </is>
      </c>
      <c r="B1809" s="0" t="inlineStr">
        <is>
          <t>L16</t>
        </is>
      </c>
      <c r="C1809" s="0" t="inlineStr">
        <is>
          <t>L17</t>
        </is>
      </c>
      <c r="D1809" s="0" t="n">
        <v>45</v>
      </c>
    </row>
    <row r="1810">
      <c r="A1810" s="0" t="inlineStr">
        <is>
          <t>GloVe-100</t>
        </is>
      </c>
      <c r="B1810" s="0" t="inlineStr">
        <is>
          <t>M16</t>
        </is>
      </c>
      <c r="C1810" s="0" t="inlineStr">
        <is>
          <t>M17</t>
        </is>
      </c>
      <c r="D1810" s="0" t="n">
        <v>50</v>
      </c>
    </row>
    <row r="1811">
      <c r="A1811" s="0" t="inlineStr">
        <is>
          <t>GloVe-100</t>
        </is>
      </c>
      <c r="B1811" s="0" t="inlineStr">
        <is>
          <t>N16</t>
        </is>
      </c>
      <c r="C1811" s="0" t="inlineStr">
        <is>
          <t>N17</t>
        </is>
      </c>
      <c r="D1811" s="0" t="n">
        <v>55</v>
      </c>
    </row>
    <row r="1812">
      <c r="A1812" s="0" t="inlineStr">
        <is>
          <t>GloVe-100</t>
        </is>
      </c>
      <c r="B1812" s="0" t="inlineStr">
        <is>
          <t>O16</t>
        </is>
      </c>
      <c r="C1812" s="0" t="inlineStr">
        <is>
          <t>O17</t>
        </is>
      </c>
      <c r="D1812" s="0" t="n">
        <v>60</v>
      </c>
    </row>
    <row r="1813">
      <c r="A1813" s="0" t="inlineStr">
        <is>
          <t>GloVe-100</t>
        </is>
      </c>
      <c r="B1813" s="0" t="inlineStr">
        <is>
          <t>P16</t>
        </is>
      </c>
      <c r="C1813" s="0" t="inlineStr">
        <is>
          <t>P17</t>
        </is>
      </c>
      <c r="D1813" s="0" t="n">
        <v>65</v>
      </c>
    </row>
    <row r="1814">
      <c r="A1814" s="0" t="inlineStr">
        <is>
          <t>GloVe-100</t>
        </is>
      </c>
      <c r="B1814" s="0" t="inlineStr">
        <is>
          <t>Q16</t>
        </is>
      </c>
      <c r="C1814" s="0" t="inlineStr">
        <is>
          <t>Q17</t>
        </is>
      </c>
      <c r="D1814" s="0" t="n">
        <v>70</v>
      </c>
    </row>
    <row r="1815">
      <c r="A1815" s="0" t="inlineStr">
        <is>
          <t>GloVe-100</t>
        </is>
      </c>
      <c r="B1815" s="0" t="inlineStr">
        <is>
          <t>R16</t>
        </is>
      </c>
      <c r="C1815" s="0" t="inlineStr">
        <is>
          <t>R17</t>
        </is>
      </c>
      <c r="D1815" s="0" t="n">
        <v>75</v>
      </c>
    </row>
    <row r="1816">
      <c r="A1816" s="0" t="inlineStr">
        <is>
          <t>GloVe-100</t>
        </is>
      </c>
      <c r="B1816" s="0" t="inlineStr">
        <is>
          <t>S16</t>
        </is>
      </c>
      <c r="C1816" s="0" t="inlineStr">
        <is>
          <t>S17</t>
        </is>
      </c>
      <c r="D1816" s="0" t="n">
        <v>80</v>
      </c>
    </row>
    <row r="1817">
      <c r="A1817" s="0" t="inlineStr">
        <is>
          <t>GloVe-100</t>
        </is>
      </c>
      <c r="B1817" s="0" t="inlineStr">
        <is>
          <t>T16</t>
        </is>
      </c>
      <c r="C1817" s="0" t="inlineStr">
        <is>
          <t>T17</t>
        </is>
      </c>
      <c r="D1817" s="0" t="n">
        <v>85</v>
      </c>
    </row>
    <row r="1818">
      <c r="A1818" s="0" t="inlineStr">
        <is>
          <t>GloVe-100</t>
        </is>
      </c>
      <c r="B1818" s="0" t="inlineStr">
        <is>
          <t>U16</t>
        </is>
      </c>
      <c r="C1818" s="0" t="inlineStr">
        <is>
          <t>U17</t>
        </is>
      </c>
      <c r="D1818" s="0" t="n">
        <v>90</v>
      </c>
    </row>
    <row r="1819">
      <c r="A1819" s="0" t="inlineStr">
        <is>
          <t>GloVe-100</t>
        </is>
      </c>
      <c r="B1819" s="0" t="inlineStr">
        <is>
          <t>V16</t>
        </is>
      </c>
      <c r="C1819" s="0" t="inlineStr">
        <is>
          <t>V17</t>
        </is>
      </c>
      <c r="D1819" s="0" t="n">
        <v>95</v>
      </c>
    </row>
    <row r="1820">
      <c r="A1820" s="0" t="inlineStr">
        <is>
          <t>GloVe-100</t>
        </is>
      </c>
      <c r="B1820" s="0" t="inlineStr">
        <is>
          <t>W16</t>
        </is>
      </c>
      <c r="C1820" s="0" t="inlineStr">
        <is>
          <t>W17</t>
        </is>
      </c>
      <c r="D1820" s="0" t="n">
        <v>97</v>
      </c>
    </row>
    <row r="1821">
      <c r="A1821" s="0" t="inlineStr">
        <is>
          <t>GloVe-100</t>
        </is>
      </c>
      <c r="B1821" s="0" t="inlineStr">
        <is>
          <t>X16</t>
        </is>
      </c>
      <c r="C1821" s="0" t="inlineStr">
        <is>
          <t>X17</t>
        </is>
      </c>
      <c r="D1821" s="0" t="n">
        <v>98</v>
      </c>
    </row>
    <row r="1822">
      <c r="A1822" s="0" t="inlineStr">
        <is>
          <t>GloVe-100</t>
        </is>
      </c>
      <c r="B1822" s="0" t="inlineStr">
        <is>
          <t>Y16</t>
        </is>
      </c>
      <c r="C1822" s="0" t="inlineStr">
        <is>
          <t>Y17</t>
        </is>
      </c>
      <c r="D1822" s="0" t="n">
        <v>99</v>
      </c>
    </row>
    <row r="1823">
      <c r="A1823" s="0" t="inlineStr">
        <is>
          <t>GloVe-100</t>
        </is>
      </c>
      <c r="B1823" s="0" t="inlineStr">
        <is>
          <t>E17</t>
        </is>
      </c>
      <c r="C1823" s="0" t="inlineStr">
        <is>
          <t>E18</t>
        </is>
      </c>
      <c r="D1823" s="0" t="inlineStr">
        <is>
          <t>Recall@10 (change parameters enabling different recall rate) vs. VO size</t>
        </is>
      </c>
    </row>
    <row r="1824">
      <c r="A1824" s="0" t="inlineStr">
        <is>
          <t>GloVe-100</t>
        </is>
      </c>
      <c r="B1824" s="0" t="inlineStr">
        <is>
          <t>D19</t>
        </is>
      </c>
      <c r="C1824" s="0" t="inlineStr">
        <is>
          <t>D20</t>
        </is>
      </c>
      <c r="D1824" s="0" t="inlineStr">
        <is>
          <t>GloVe-100 (N=1,183,514, d=100)</t>
        </is>
      </c>
    </row>
    <row r="1825">
      <c r="A1825" s="0" t="inlineStr">
        <is>
          <t>GloVe-100</t>
        </is>
      </c>
      <c r="B1825" s="0" t="inlineStr">
        <is>
          <t>D20</t>
        </is>
      </c>
      <c r="C1825" s="0" t="inlineStr">
        <is>
          <t>D21</t>
        </is>
      </c>
      <c r="D1825" s="0" t="inlineStr">
        <is>
          <t>VLAH</t>
        </is>
      </c>
    </row>
    <row r="1826">
      <c r="A1826" s="0" t="inlineStr">
        <is>
          <t>GloVe-100</t>
        </is>
      </c>
      <c r="B1826" s="0" t="inlineStr">
        <is>
          <t>E20</t>
        </is>
      </c>
      <c r="C1826" s="0" t="inlineStr">
        <is>
          <t>E21</t>
        </is>
      </c>
      <c r="D1826" s="0" t="inlineStr">
        <is>
          <t>Recall rate</t>
        </is>
      </c>
    </row>
    <row r="1827">
      <c r="A1827" s="0" t="inlineStr">
        <is>
          <t>GloVe-100</t>
        </is>
      </c>
      <c r="B1827" s="0" t="inlineStr">
        <is>
          <t>F20</t>
        </is>
      </c>
      <c r="C1827" s="0" t="inlineStr">
        <is>
          <t>F21</t>
        </is>
      </c>
      <c r="D1827" s="0" t="n">
        <v>16</v>
      </c>
    </row>
    <row r="1828">
      <c r="A1828" s="0" t="inlineStr">
        <is>
          <t>GloVe-100</t>
        </is>
      </c>
      <c r="B1828" s="0" t="inlineStr">
        <is>
          <t>G20</t>
        </is>
      </c>
      <c r="C1828" s="0" t="inlineStr">
        <is>
          <t>G21</t>
        </is>
      </c>
      <c r="D1828" s="0" t="n">
        <v>21</v>
      </c>
    </row>
    <row r="1829">
      <c r="A1829" s="0" t="inlineStr">
        <is>
          <t>GloVe-100</t>
        </is>
      </c>
      <c r="B1829" s="0" t="inlineStr">
        <is>
          <t>H20</t>
        </is>
      </c>
      <c r="C1829" s="0" t="inlineStr">
        <is>
          <t>H21</t>
        </is>
      </c>
      <c r="D1829" s="0" t="n">
        <v>26.5</v>
      </c>
    </row>
    <row r="1830">
      <c r="A1830" s="0" t="inlineStr">
        <is>
          <t>GloVe-100</t>
        </is>
      </c>
      <c r="B1830" s="0" t="inlineStr">
        <is>
          <t>I20</t>
        </is>
      </c>
      <c r="C1830" s="0" t="inlineStr">
        <is>
          <t>I21</t>
        </is>
      </c>
      <c r="D1830" s="0" t="n">
        <v>31.5</v>
      </c>
    </row>
    <row r="1831">
      <c r="A1831" s="0" t="inlineStr">
        <is>
          <t>GloVe-100</t>
        </is>
      </c>
      <c r="B1831" s="0" t="inlineStr">
        <is>
          <t>J20</t>
        </is>
      </c>
      <c r="C1831" s="0" t="inlineStr">
        <is>
          <t>J21</t>
        </is>
      </c>
      <c r="D1831" s="0" t="n">
        <v>36.5</v>
      </c>
    </row>
    <row r="1832">
      <c r="A1832" s="0" t="inlineStr">
        <is>
          <t>GloVe-100</t>
        </is>
      </c>
      <c r="B1832" s="0" t="inlineStr">
        <is>
          <t>K20</t>
        </is>
      </c>
      <c r="C1832" s="0" t="inlineStr">
        <is>
          <t>K21</t>
        </is>
      </c>
      <c r="D1832" s="0" t="n">
        <v>41</v>
      </c>
    </row>
    <row r="1833">
      <c r="A1833" s="0" t="inlineStr">
        <is>
          <t>GloVe-100</t>
        </is>
      </c>
      <c r="B1833" s="0" t="inlineStr">
        <is>
          <t>L20</t>
        </is>
      </c>
      <c r="C1833" s="0" t="inlineStr">
        <is>
          <t>L21</t>
        </is>
      </c>
      <c r="D1833" s="0" t="n">
        <v>45</v>
      </c>
    </row>
    <row r="1834">
      <c r="A1834" s="0" t="inlineStr">
        <is>
          <t>GloVe-100</t>
        </is>
      </c>
      <c r="B1834" s="0" t="inlineStr">
        <is>
          <t>M20</t>
        </is>
      </c>
      <c r="C1834" s="0" t="inlineStr">
        <is>
          <t>M21</t>
        </is>
      </c>
      <c r="D1834" s="0" t="n">
        <v>52.5</v>
      </c>
    </row>
    <row r="1835">
      <c r="A1835" s="0" t="inlineStr">
        <is>
          <t>GloVe-100</t>
        </is>
      </c>
      <c r="B1835" s="0" t="inlineStr">
        <is>
          <t>N20</t>
        </is>
      </c>
      <c r="C1835" s="0" t="inlineStr">
        <is>
          <t>N21</t>
        </is>
      </c>
      <c r="D1835" s="0" t="n">
        <v>55.5</v>
      </c>
    </row>
    <row r="1836">
      <c r="A1836" s="0" t="inlineStr">
        <is>
          <t>GloVe-100</t>
        </is>
      </c>
      <c r="B1836" s="0" t="inlineStr">
        <is>
          <t>O20</t>
        </is>
      </c>
      <c r="C1836" s="0" t="inlineStr">
        <is>
          <t>O21</t>
        </is>
      </c>
      <c r="D1836" s="0" t="n">
        <v>60</v>
      </c>
    </row>
    <row r="1837">
      <c r="A1837" s="0" t="inlineStr">
        <is>
          <t>GloVe-100</t>
        </is>
      </c>
      <c r="B1837" s="0" t="inlineStr">
        <is>
          <t>P20</t>
        </is>
      </c>
      <c r="C1837" s="0" t="inlineStr">
        <is>
          <t>P21</t>
        </is>
      </c>
      <c r="D1837" s="0" t="n">
        <v>66</v>
      </c>
    </row>
    <row r="1838">
      <c r="A1838" s="0" t="inlineStr">
        <is>
          <t>GloVe-100</t>
        </is>
      </c>
      <c r="B1838" s="0" t="inlineStr">
        <is>
          <t>Q20</t>
        </is>
      </c>
      <c r="C1838" s="0" t="inlineStr">
        <is>
          <t>Q21</t>
        </is>
      </c>
      <c r="D1838" s="0" t="n">
        <v>70</v>
      </c>
    </row>
    <row r="1839">
      <c r="A1839" s="0" t="inlineStr">
        <is>
          <t>GloVe-100</t>
        </is>
      </c>
      <c r="B1839" s="0" t="inlineStr">
        <is>
          <t>R20</t>
        </is>
      </c>
      <c r="C1839" s="0" t="inlineStr">
        <is>
          <t>R21</t>
        </is>
      </c>
      <c r="D1839" s="0" t="n">
        <v>75.5</v>
      </c>
    </row>
    <row r="1840">
      <c r="A1840" s="0" t="inlineStr">
        <is>
          <t>GloVe-100</t>
        </is>
      </c>
      <c r="B1840" s="0" t="inlineStr">
        <is>
          <t>S20</t>
        </is>
      </c>
      <c r="C1840" s="0" t="inlineStr">
        <is>
          <t>S21</t>
        </is>
      </c>
      <c r="D1840" s="0" t="n">
        <v>80</v>
      </c>
    </row>
    <row r="1841">
      <c r="A1841" s="0" t="inlineStr">
        <is>
          <t>GloVe-100</t>
        </is>
      </c>
      <c r="B1841" s="0" t="inlineStr">
        <is>
          <t>T20</t>
        </is>
      </c>
      <c r="C1841" s="0" t="inlineStr">
        <is>
          <t>T21</t>
        </is>
      </c>
      <c r="D1841" s="0" t="n">
        <v>85</v>
      </c>
    </row>
    <row r="1842">
      <c r="A1842" s="0" t="inlineStr">
        <is>
          <t>GloVe-100</t>
        </is>
      </c>
      <c r="B1842" s="0" t="inlineStr">
        <is>
          <t>U20</t>
        </is>
      </c>
      <c r="C1842" s="0" t="inlineStr">
        <is>
          <t>U21</t>
        </is>
      </c>
      <c r="D1842" s="0" t="n">
        <v>90</v>
      </c>
    </row>
    <row r="1843">
      <c r="A1843" s="0" t="inlineStr">
        <is>
          <t>GloVe-100</t>
        </is>
      </c>
      <c r="B1843" s="0" t="inlineStr">
        <is>
          <t>V20</t>
        </is>
      </c>
      <c r="C1843" s="0" t="inlineStr">
        <is>
          <t>V21</t>
        </is>
      </c>
      <c r="D1843" s="0" t="n">
        <v>95</v>
      </c>
    </row>
    <row r="1844">
      <c r="A1844" s="0" t="inlineStr">
        <is>
          <t>GloVe-100</t>
        </is>
      </c>
      <c r="B1844" s="0" t="inlineStr">
        <is>
          <t>W20</t>
        </is>
      </c>
      <c r="C1844" s="0" t="inlineStr">
        <is>
          <t>W21</t>
        </is>
      </c>
      <c r="D1844" s="0" t="n">
        <v>97.5</v>
      </c>
    </row>
    <row r="1845">
      <c r="A1845" s="0" t="inlineStr">
        <is>
          <t>GloVe-100</t>
        </is>
      </c>
      <c r="B1845" s="0" t="inlineStr">
        <is>
          <t>X20</t>
        </is>
      </c>
      <c r="C1845" s="0" t="inlineStr">
        <is>
          <t>X21</t>
        </is>
      </c>
      <c r="D1845" s="0" t="n">
        <v>99</v>
      </c>
    </row>
    <row r="1846">
      <c r="A1846" s="0" t="inlineStr">
        <is>
          <t>GloVe-100</t>
        </is>
      </c>
      <c r="B1846" s="0" t="inlineStr">
        <is>
          <t>Y20</t>
        </is>
      </c>
      <c r="C1846" s="0" t="inlineStr">
        <is>
          <t>Y21</t>
        </is>
      </c>
      <c r="D1846" s="0" t="n">
        <v>99</v>
      </c>
    </row>
    <row r="1847">
      <c r="A1847" s="0" t="inlineStr">
        <is>
          <t>GloVe-100</t>
        </is>
      </c>
      <c r="B1847" s="0" t="inlineStr">
        <is>
          <t>E21</t>
        </is>
      </c>
      <c r="C1847" s="0" t="inlineStr">
        <is>
          <t>E22</t>
        </is>
      </c>
      <c r="D1847" s="0" t="inlineStr">
        <is>
          <t>VO size</t>
        </is>
      </c>
    </row>
    <row r="1848">
      <c r="A1848" s="0" t="inlineStr">
        <is>
          <t>GloVe-100</t>
        </is>
      </c>
      <c r="B1848" s="0" t="inlineStr">
        <is>
          <t>F21</t>
        </is>
      </c>
      <c r="C1848" s="0" t="inlineStr">
        <is>
          <t>F22</t>
        </is>
      </c>
      <c r="D1848" s="0" t="n">
        <v>3340.40705</v>
      </c>
    </row>
    <row r="1849">
      <c r="A1849" s="0" t="inlineStr">
        <is>
          <t>GloVe-100</t>
        </is>
      </c>
      <c r="B1849" s="0" t="inlineStr">
        <is>
          <t>G21</t>
        </is>
      </c>
      <c r="C1849" s="0" t="inlineStr">
        <is>
          <t>G22</t>
        </is>
      </c>
      <c r="D1849" s="0" t="n">
        <v>6706.90815</v>
      </c>
    </row>
    <row r="1850">
      <c r="A1850" s="0" t="inlineStr">
        <is>
          <t>GloVe-100</t>
        </is>
      </c>
      <c r="B1850" s="0" t="inlineStr">
        <is>
          <t>H21</t>
        </is>
      </c>
      <c r="C1850" s="0" t="inlineStr">
        <is>
          <t>H22</t>
        </is>
      </c>
      <c r="D1850" s="0" t="n">
        <v>8406.96125</v>
      </c>
    </row>
    <row r="1851">
      <c r="A1851" s="0" t="inlineStr">
        <is>
          <t>GloVe-100</t>
        </is>
      </c>
      <c r="B1851" s="0" t="inlineStr">
        <is>
          <t>I21</t>
        </is>
      </c>
      <c r="C1851" s="0" t="inlineStr">
        <is>
          <t>I22</t>
        </is>
      </c>
      <c r="D1851" s="0" t="n">
        <v>11749.45825</v>
      </c>
    </row>
    <row r="1852">
      <c r="A1852" s="0" t="inlineStr">
        <is>
          <t>GloVe-100</t>
        </is>
      </c>
      <c r="B1852" s="0" t="inlineStr">
        <is>
          <t>J21</t>
        </is>
      </c>
      <c r="C1852" s="0" t="inlineStr">
        <is>
          <t>J22</t>
        </is>
      </c>
      <c r="D1852" s="0" t="n">
        <v>18520.25115</v>
      </c>
    </row>
    <row r="1853">
      <c r="A1853" s="0" t="inlineStr">
        <is>
          <t>GloVe-100</t>
        </is>
      </c>
      <c r="B1853" s="0" t="inlineStr">
        <is>
          <t>K21</t>
        </is>
      </c>
      <c r="C1853" s="0" t="inlineStr">
        <is>
          <t>K22</t>
        </is>
      </c>
      <c r="D1853" s="0" t="n">
        <v>23529.4354</v>
      </c>
    </row>
    <row r="1854">
      <c r="A1854" s="0" t="inlineStr">
        <is>
          <t>GloVe-100</t>
        </is>
      </c>
      <c r="B1854" s="0" t="inlineStr">
        <is>
          <t>L21</t>
        </is>
      </c>
      <c r="C1854" s="0" t="inlineStr">
        <is>
          <t>L22</t>
        </is>
      </c>
      <c r="D1854" s="0" t="n">
        <v>28612.07915</v>
      </c>
    </row>
    <row r="1855">
      <c r="A1855" s="0" t="inlineStr">
        <is>
          <t>GloVe-100</t>
        </is>
      </c>
      <c r="B1855" s="0" t="inlineStr">
        <is>
          <t>M21</t>
        </is>
      </c>
      <c r="C1855" s="0" t="inlineStr">
        <is>
          <t>M22</t>
        </is>
      </c>
      <c r="D1855" s="0" t="n">
        <v>35285.3301</v>
      </c>
    </row>
    <row r="1856">
      <c r="A1856" s="0" t="inlineStr">
        <is>
          <t>GloVe-100</t>
        </is>
      </c>
      <c r="B1856" s="0" t="inlineStr">
        <is>
          <t>N21</t>
        </is>
      </c>
      <c r="C1856" s="0" t="inlineStr">
        <is>
          <t>N22</t>
        </is>
      </c>
      <c r="D1856" s="0" t="n">
        <v>38604.66135</v>
      </c>
    </row>
    <row r="1857">
      <c r="A1857" s="0" t="inlineStr">
        <is>
          <t>GloVe-100</t>
        </is>
      </c>
      <c r="B1857" s="0" t="inlineStr">
        <is>
          <t>O21</t>
        </is>
      </c>
      <c r="C1857" s="0" t="inlineStr">
        <is>
          <t>O22</t>
        </is>
      </c>
      <c r="D1857" s="0" t="n">
        <v>71940.71705000001</v>
      </c>
    </row>
    <row r="1858">
      <c r="A1858" s="0" t="inlineStr">
        <is>
          <t>GloVe-100</t>
        </is>
      </c>
      <c r="B1858" s="0" t="inlineStr">
        <is>
          <t>P21</t>
        </is>
      </c>
      <c r="C1858" s="0" t="inlineStr">
        <is>
          <t>P22</t>
        </is>
      </c>
      <c r="D1858" s="0" t="n">
        <v>80033.77295</v>
      </c>
    </row>
    <row r="1859">
      <c r="A1859" s="0" t="inlineStr">
        <is>
          <t>GloVe-100</t>
        </is>
      </c>
      <c r="B1859" s="0" t="inlineStr">
        <is>
          <t>Q21</t>
        </is>
      </c>
      <c r="C1859" s="0" t="inlineStr">
        <is>
          <t>Q22</t>
        </is>
      </c>
      <c r="D1859" s="0" t="n">
        <v>93865.80645</v>
      </c>
    </row>
    <row r="1860">
      <c r="A1860" s="0" t="inlineStr">
        <is>
          <t>GloVe-100</t>
        </is>
      </c>
      <c r="B1860" s="0" t="inlineStr">
        <is>
          <t>R21</t>
        </is>
      </c>
      <c r="C1860" s="0" t="inlineStr">
        <is>
          <t>R22</t>
        </is>
      </c>
      <c r="D1860" s="0" t="n">
        <v>101923.7214</v>
      </c>
    </row>
    <row r="1861">
      <c r="A1861" s="0" t="inlineStr">
        <is>
          <t>GloVe-100</t>
        </is>
      </c>
      <c r="B1861" s="0" t="inlineStr">
        <is>
          <t>S21</t>
        </is>
      </c>
      <c r="C1861" s="0" t="inlineStr">
        <is>
          <t>S22</t>
        </is>
      </c>
      <c r="D1861" s="0" t="n">
        <v>110226.50895</v>
      </c>
    </row>
    <row r="1862">
      <c r="A1862" s="0" t="inlineStr">
        <is>
          <t>GloVe-100</t>
        </is>
      </c>
      <c r="B1862" s="0" t="inlineStr">
        <is>
          <t>T21</t>
        </is>
      </c>
      <c r="C1862" s="0" t="inlineStr">
        <is>
          <t>T22</t>
        </is>
      </c>
      <c r="D1862" s="0" t="n">
        <v>133079.4778</v>
      </c>
    </row>
    <row r="1863">
      <c r="A1863" s="0" t="inlineStr">
        <is>
          <t>GloVe-100</t>
        </is>
      </c>
      <c r="B1863" s="0" t="inlineStr">
        <is>
          <t>U21</t>
        </is>
      </c>
      <c r="C1863" s="0" t="inlineStr">
        <is>
          <t>U22</t>
        </is>
      </c>
      <c r="D1863" s="0" t="n">
        <v>144688.8688</v>
      </c>
    </row>
    <row r="1864">
      <c r="A1864" s="0" t="inlineStr">
        <is>
          <t>GloVe-100</t>
        </is>
      </c>
      <c r="B1864" s="0" t="inlineStr">
        <is>
          <t>V21</t>
        </is>
      </c>
      <c r="C1864" s="0" t="inlineStr">
        <is>
          <t>V22</t>
        </is>
      </c>
      <c r="D1864" s="0" t="n">
        <v>156085.1456</v>
      </c>
    </row>
    <row r="1865">
      <c r="A1865" s="0" t="inlineStr">
        <is>
          <t>GloVe-100</t>
        </is>
      </c>
      <c r="B1865" s="0" t="inlineStr">
        <is>
          <t>W21</t>
        </is>
      </c>
      <c r="C1865" s="0" t="inlineStr">
        <is>
          <t>W22</t>
        </is>
      </c>
      <c r="D1865" s="0" t="n">
        <v>161728.77015</v>
      </c>
    </row>
    <row r="1866">
      <c r="A1866" s="0" t="inlineStr">
        <is>
          <t>GloVe-100</t>
        </is>
      </c>
      <c r="B1866" s="0" t="inlineStr">
        <is>
          <t>X21</t>
        </is>
      </c>
      <c r="C1866" s="0" t="inlineStr">
        <is>
          <t>X22</t>
        </is>
      </c>
      <c r="D1866" s="0" t="n">
        <v>166742.1118</v>
      </c>
    </row>
    <row r="1867">
      <c r="A1867" s="0" t="inlineStr">
        <is>
          <t>GloVe-100</t>
        </is>
      </c>
      <c r="B1867" s="0" t="inlineStr">
        <is>
          <t>Y21</t>
        </is>
      </c>
      <c r="C1867" s="0" t="inlineStr">
        <is>
          <t>Y22</t>
        </is>
      </c>
      <c r="D1867" s="0" t="n">
        <v>166742.1118</v>
      </c>
    </row>
    <row r="1868">
      <c r="A1868" s="0" t="inlineStr">
        <is>
          <t>GloVe-100</t>
        </is>
      </c>
      <c r="B1868" s="0" t="inlineStr">
        <is>
          <t>D22</t>
        </is>
      </c>
      <c r="C1868" s="0" t="inlineStr">
        <is>
          <t>D23</t>
        </is>
      </c>
      <c r="D1868" s="0" t="inlineStr">
        <is>
          <t>ANNProof</t>
        </is>
      </c>
    </row>
    <row r="1869">
      <c r="A1869" s="0" t="inlineStr">
        <is>
          <t>GloVe-100</t>
        </is>
      </c>
      <c r="B1869" s="0" t="inlineStr">
        <is>
          <t>E22</t>
        </is>
      </c>
      <c r="C1869" s="0" t="inlineStr">
        <is>
          <t>E23</t>
        </is>
      </c>
      <c r="D1869" s="0" t="inlineStr">
        <is>
          <t>Recall rate</t>
        </is>
      </c>
    </row>
    <row r="1870">
      <c r="A1870" s="0" t="inlineStr">
        <is>
          <t>GloVe-100</t>
        </is>
      </c>
      <c r="B1870" s="0" t="inlineStr">
        <is>
          <t>F22</t>
        </is>
      </c>
      <c r="C1870" s="0" t="inlineStr">
        <is>
          <t>F23</t>
        </is>
      </c>
      <c r="D1870" s="0" t="n">
        <v>36</v>
      </c>
    </row>
    <row r="1871">
      <c r="A1871" s="0" t="inlineStr">
        <is>
          <t>GloVe-100</t>
        </is>
      </c>
      <c r="B1871" s="0" t="inlineStr">
        <is>
          <t>G22</t>
        </is>
      </c>
      <c r="C1871" s="0" t="inlineStr">
        <is>
          <t>G23</t>
        </is>
      </c>
      <c r="D1871" s="0" t="n">
        <v>36</v>
      </c>
    </row>
    <row r="1872">
      <c r="A1872" s="0" t="inlineStr">
        <is>
          <t>GloVe-100</t>
        </is>
      </c>
      <c r="B1872" s="0" t="inlineStr">
        <is>
          <t>H22</t>
        </is>
      </c>
      <c r="C1872" s="0" t="inlineStr">
        <is>
          <t>H23</t>
        </is>
      </c>
      <c r="D1872" s="0" t="n">
        <v>36</v>
      </c>
    </row>
    <row r="1873">
      <c r="A1873" s="0" t="inlineStr">
        <is>
          <t>GloVe-100</t>
        </is>
      </c>
      <c r="B1873" s="0" t="inlineStr">
        <is>
          <t>I22</t>
        </is>
      </c>
      <c r="C1873" s="0" t="inlineStr">
        <is>
          <t>I23</t>
        </is>
      </c>
      <c r="D1873" s="0" t="n">
        <v>36</v>
      </c>
    </row>
    <row r="1874">
      <c r="A1874" s="0" t="inlineStr">
        <is>
          <t>GloVe-100</t>
        </is>
      </c>
      <c r="B1874" s="0" t="inlineStr">
        <is>
          <t>J22</t>
        </is>
      </c>
      <c r="C1874" s="0" t="inlineStr">
        <is>
          <t>J23</t>
        </is>
      </c>
      <c r="D1874" s="0" t="n">
        <v>36</v>
      </c>
    </row>
    <row r="1875">
      <c r="A1875" s="0" t="inlineStr">
        <is>
          <t>GloVe-100</t>
        </is>
      </c>
      <c r="B1875" s="0" t="inlineStr">
        <is>
          <t>K22</t>
        </is>
      </c>
      <c r="C1875" s="0" t="inlineStr">
        <is>
          <t>K23</t>
        </is>
      </c>
      <c r="D1875" s="0" t="n">
        <v>40</v>
      </c>
    </row>
    <row r="1876">
      <c r="A1876" s="0" t="inlineStr">
        <is>
          <t>GloVe-100</t>
        </is>
      </c>
      <c r="B1876" s="0" t="inlineStr">
        <is>
          <t>L22</t>
        </is>
      </c>
      <c r="C1876" s="0" t="inlineStr">
        <is>
          <t>L23</t>
        </is>
      </c>
      <c r="D1876" s="0" t="n">
        <v>45.5</v>
      </c>
    </row>
    <row r="1877">
      <c r="A1877" s="0" t="inlineStr">
        <is>
          <t>GloVe-100</t>
        </is>
      </c>
      <c r="B1877" s="0" t="inlineStr">
        <is>
          <t>M22</t>
        </is>
      </c>
      <c r="C1877" s="0" t="inlineStr">
        <is>
          <t>M23</t>
        </is>
      </c>
      <c r="D1877" s="0" t="n">
        <v>50.5</v>
      </c>
    </row>
    <row r="1878">
      <c r="A1878" s="0" t="inlineStr">
        <is>
          <t>GloVe-100</t>
        </is>
      </c>
      <c r="B1878" s="0" t="inlineStr">
        <is>
          <t>N22</t>
        </is>
      </c>
      <c r="C1878" s="0" t="inlineStr">
        <is>
          <t>N23</t>
        </is>
      </c>
      <c r="D1878" s="0" t="n">
        <v>56.5</v>
      </c>
    </row>
    <row r="1879">
      <c r="A1879" s="0" t="inlineStr">
        <is>
          <t>GloVe-100</t>
        </is>
      </c>
      <c r="B1879" s="0" t="inlineStr">
        <is>
          <t>O22</t>
        </is>
      </c>
      <c r="C1879" s="0" t="inlineStr">
        <is>
          <t>O23</t>
        </is>
      </c>
      <c r="D1879" s="0" t="n">
        <v>66.5</v>
      </c>
    </row>
    <row r="1880">
      <c r="A1880" s="0" t="inlineStr">
        <is>
          <t>GloVe-100</t>
        </is>
      </c>
      <c r="B1880" s="0" t="inlineStr">
        <is>
          <t>P22</t>
        </is>
      </c>
      <c r="C1880" s="0" t="inlineStr">
        <is>
          <t>P23</t>
        </is>
      </c>
      <c r="D1880" s="0" t="n">
        <v>66.5</v>
      </c>
    </row>
    <row r="1881">
      <c r="A1881" s="0" t="inlineStr">
        <is>
          <t>GloVe-100</t>
        </is>
      </c>
      <c r="B1881" s="0" t="inlineStr">
        <is>
          <t>Q22</t>
        </is>
      </c>
      <c r="C1881" s="0" t="inlineStr">
        <is>
          <t>Q23</t>
        </is>
      </c>
      <c r="D1881" s="0" t="n">
        <v>77.5</v>
      </c>
    </row>
    <row r="1882">
      <c r="A1882" s="0" t="inlineStr">
        <is>
          <t>GloVe-100</t>
        </is>
      </c>
      <c r="B1882" s="0" t="inlineStr">
        <is>
          <t>R22</t>
        </is>
      </c>
      <c r="C1882" s="0" t="inlineStr">
        <is>
          <t>R23</t>
        </is>
      </c>
      <c r="D1882" s="0" t="n">
        <v>77.5</v>
      </c>
    </row>
    <row r="1883">
      <c r="A1883" s="0" t="inlineStr">
        <is>
          <t>GloVe-100</t>
        </is>
      </c>
      <c r="B1883" s="0" t="inlineStr">
        <is>
          <t>S22</t>
        </is>
      </c>
      <c r="C1883" s="0" t="inlineStr">
        <is>
          <t>S23</t>
        </is>
      </c>
      <c r="D1883" s="0" t="n">
        <v>83.5</v>
      </c>
    </row>
    <row r="1884">
      <c r="A1884" s="0" t="inlineStr">
        <is>
          <t>GloVe-100</t>
        </is>
      </c>
      <c r="B1884" s="0" t="inlineStr">
        <is>
          <t>T22</t>
        </is>
      </c>
      <c r="C1884" s="0" t="inlineStr">
        <is>
          <t>T23</t>
        </is>
      </c>
      <c r="D1884" s="0" t="n">
        <v>87.5</v>
      </c>
    </row>
    <row r="1885">
      <c r="A1885" s="0" t="inlineStr">
        <is>
          <t>GloVe-100</t>
        </is>
      </c>
      <c r="B1885" s="0" t="inlineStr">
        <is>
          <t>U22</t>
        </is>
      </c>
      <c r="C1885" s="0" t="inlineStr">
        <is>
          <t>U23</t>
        </is>
      </c>
      <c r="D1885" s="0" t="n">
        <v>90</v>
      </c>
    </row>
    <row r="1886">
      <c r="A1886" s="0" t="inlineStr">
        <is>
          <t>GloVe-100</t>
        </is>
      </c>
      <c r="B1886" s="0" t="inlineStr">
        <is>
          <t>V22</t>
        </is>
      </c>
      <c r="C1886" s="0" t="inlineStr">
        <is>
          <t>V23</t>
        </is>
      </c>
      <c r="D1886" s="0" t="n">
        <v>95.5</v>
      </c>
    </row>
    <row r="1887">
      <c r="A1887" s="0" t="inlineStr">
        <is>
          <t>GloVe-100</t>
        </is>
      </c>
      <c r="B1887" s="0" t="inlineStr">
        <is>
          <t>W22</t>
        </is>
      </c>
      <c r="C1887" s="0" t="inlineStr">
        <is>
          <t>W23</t>
        </is>
      </c>
      <c r="D1887" s="0" t="n">
        <v>97.5</v>
      </c>
    </row>
    <row r="1888">
      <c r="A1888" s="0" t="inlineStr">
        <is>
          <t>GloVe-100</t>
        </is>
      </c>
      <c r="B1888" s="0" t="inlineStr">
        <is>
          <t>X22</t>
        </is>
      </c>
      <c r="C1888" s="0" t="inlineStr">
        <is>
          <t>X23</t>
        </is>
      </c>
      <c r="D1888" s="0" t="n">
        <v>98.5</v>
      </c>
    </row>
    <row r="1889">
      <c r="A1889" s="0" t="inlineStr">
        <is>
          <t>GloVe-100</t>
        </is>
      </c>
      <c r="B1889" s="0" t="inlineStr">
        <is>
          <t>Y22</t>
        </is>
      </c>
      <c r="C1889" s="0" t="inlineStr">
        <is>
          <t>Y23</t>
        </is>
      </c>
      <c r="D1889" s="0" t="n">
        <v>99</v>
      </c>
    </row>
    <row r="1890">
      <c r="A1890" s="0" t="inlineStr">
        <is>
          <t>GloVe-100</t>
        </is>
      </c>
      <c r="B1890" s="0" t="inlineStr">
        <is>
          <t>E23</t>
        </is>
      </c>
      <c r="C1890" s="0" t="inlineStr">
        <is>
          <t>E24</t>
        </is>
      </c>
      <c r="D1890" s="0" t="inlineStr">
        <is>
          <t>VO size</t>
        </is>
      </c>
    </row>
    <row r="1891">
      <c r="A1891" s="0" t="inlineStr">
        <is>
          <t>GloVe-100</t>
        </is>
      </c>
      <c r="B1891" s="0" t="inlineStr">
        <is>
          <t>F23</t>
        </is>
      </c>
      <c r="C1891" s="0" t="inlineStr">
        <is>
          <t>F24</t>
        </is>
      </c>
      <c r="D1891" s="0" t="n">
        <v>515.5492</v>
      </c>
    </row>
    <row r="1892">
      <c r="A1892" s="0" t="inlineStr">
        <is>
          <t>GloVe-100</t>
        </is>
      </c>
      <c r="B1892" s="0" t="inlineStr">
        <is>
          <t>G23</t>
        </is>
      </c>
      <c r="C1892" s="0" t="inlineStr">
        <is>
          <t>G24</t>
        </is>
      </c>
      <c r="D1892" s="0" t="n">
        <v>515.5492</v>
      </c>
    </row>
    <row r="1893">
      <c r="A1893" s="0" t="inlineStr">
        <is>
          <t>GloVe-100</t>
        </is>
      </c>
      <c r="B1893" s="0" t="inlineStr">
        <is>
          <t>H23</t>
        </is>
      </c>
      <c r="C1893" s="0" t="inlineStr">
        <is>
          <t>H24</t>
        </is>
      </c>
      <c r="D1893" s="0" t="n">
        <v>515.5492</v>
      </c>
    </row>
    <row r="1894">
      <c r="A1894" s="0" t="inlineStr">
        <is>
          <t>GloVe-100</t>
        </is>
      </c>
      <c r="B1894" s="0" t="inlineStr">
        <is>
          <t>I23</t>
        </is>
      </c>
      <c r="C1894" s="0" t="inlineStr">
        <is>
          <t>I24</t>
        </is>
      </c>
      <c r="D1894" s="0" t="n">
        <v>515.5492</v>
      </c>
    </row>
    <row r="1895">
      <c r="A1895" s="0" t="inlineStr">
        <is>
          <t>GloVe-100</t>
        </is>
      </c>
      <c r="B1895" s="0" t="inlineStr">
        <is>
          <t>J23</t>
        </is>
      </c>
      <c r="C1895" s="0" t="inlineStr">
        <is>
          <t>J24</t>
        </is>
      </c>
      <c r="D1895" s="0" t="n">
        <v>515.5492</v>
      </c>
    </row>
    <row r="1896">
      <c r="A1896" s="0" t="inlineStr">
        <is>
          <t>GloVe-100</t>
        </is>
      </c>
      <c r="B1896" s="0" t="inlineStr">
        <is>
          <t>K23</t>
        </is>
      </c>
      <c r="C1896" s="0" t="inlineStr">
        <is>
          <t>K24</t>
        </is>
      </c>
      <c r="D1896" s="0" t="n">
        <v>693.6684</v>
      </c>
    </row>
    <row r="1897">
      <c r="A1897" s="0" t="inlineStr">
        <is>
          <t>GloVe-100</t>
        </is>
      </c>
      <c r="B1897" s="0" t="inlineStr">
        <is>
          <t>L23</t>
        </is>
      </c>
      <c r="C1897" s="0" t="inlineStr">
        <is>
          <t>L24</t>
        </is>
      </c>
      <c r="D1897" s="0" t="n">
        <v>830.1814000000001</v>
      </c>
    </row>
    <row r="1898">
      <c r="A1898" s="0" t="inlineStr">
        <is>
          <t>GloVe-100</t>
        </is>
      </c>
      <c r="B1898" s="0" t="inlineStr">
        <is>
          <t>M23</t>
        </is>
      </c>
      <c r="C1898" s="0" t="inlineStr">
        <is>
          <t>M24</t>
        </is>
      </c>
      <c r="D1898" s="0" t="n">
        <v>1026.1096</v>
      </c>
    </row>
    <row r="1899">
      <c r="A1899" s="0" t="inlineStr">
        <is>
          <t>GloVe-100</t>
        </is>
      </c>
      <c r="B1899" s="0" t="inlineStr">
        <is>
          <t>N23</t>
        </is>
      </c>
      <c r="C1899" s="0" t="inlineStr">
        <is>
          <t>N24</t>
        </is>
      </c>
      <c r="D1899" s="0" t="n">
        <v>1245.8634</v>
      </c>
    </row>
    <row r="1900">
      <c r="A1900" s="0" t="inlineStr">
        <is>
          <t>GloVe-100</t>
        </is>
      </c>
      <c r="B1900" s="0" t="inlineStr">
        <is>
          <t>O23</t>
        </is>
      </c>
      <c r="C1900" s="0" t="inlineStr">
        <is>
          <t>O24</t>
        </is>
      </c>
      <c r="D1900" s="0" t="n">
        <v>1768.2552</v>
      </c>
    </row>
    <row r="1901">
      <c r="A1901" s="0" t="inlineStr">
        <is>
          <t>GloVe-100</t>
        </is>
      </c>
      <c r="B1901" s="0" t="inlineStr">
        <is>
          <t>P23</t>
        </is>
      </c>
      <c r="C1901" s="0" t="inlineStr">
        <is>
          <t>P24</t>
        </is>
      </c>
      <c r="D1901" s="0" t="n">
        <v>1768.2552</v>
      </c>
    </row>
    <row r="1902">
      <c r="A1902" s="0" t="inlineStr">
        <is>
          <t>GloVe-100</t>
        </is>
      </c>
      <c r="B1902" s="0" t="inlineStr">
        <is>
          <t>Q23</t>
        </is>
      </c>
      <c r="C1902" s="0" t="inlineStr">
        <is>
          <t>Q24</t>
        </is>
      </c>
      <c r="D1902" s="0" t="n">
        <v>2889.171</v>
      </c>
    </row>
    <row r="1903">
      <c r="A1903" s="0" t="inlineStr">
        <is>
          <t>GloVe-100</t>
        </is>
      </c>
      <c r="B1903" s="0" t="inlineStr">
        <is>
          <t>R23</t>
        </is>
      </c>
      <c r="C1903" s="0" t="inlineStr">
        <is>
          <t>R24</t>
        </is>
      </c>
      <c r="D1903" s="0" t="n">
        <v>2889.171</v>
      </c>
    </row>
    <row r="1904">
      <c r="A1904" s="0" t="inlineStr">
        <is>
          <t>GloVe-100</t>
        </is>
      </c>
      <c r="B1904" s="0" t="inlineStr">
        <is>
          <t>S23</t>
        </is>
      </c>
      <c r="C1904" s="0" t="inlineStr">
        <is>
          <t>S24</t>
        </is>
      </c>
      <c r="D1904" s="0" t="n">
        <v>3909.6394</v>
      </c>
    </row>
    <row r="1905">
      <c r="A1905" s="0" t="inlineStr">
        <is>
          <t>GloVe-100</t>
        </is>
      </c>
      <c r="B1905" s="0" t="inlineStr">
        <is>
          <t>T23</t>
        </is>
      </c>
      <c r="C1905" s="0" t="inlineStr">
        <is>
          <t>T24</t>
        </is>
      </c>
      <c r="D1905" s="0" t="n">
        <v>4944.9728</v>
      </c>
    </row>
    <row r="1906">
      <c r="A1906" s="0" t="inlineStr">
        <is>
          <t>GloVe-100</t>
        </is>
      </c>
      <c r="B1906" s="0" t="inlineStr">
        <is>
          <t>U23</t>
        </is>
      </c>
      <c r="C1906" s="0" t="inlineStr">
        <is>
          <t>U24</t>
        </is>
      </c>
      <c r="D1906" s="0" t="n">
        <v>6713.085</v>
      </c>
    </row>
    <row r="1907">
      <c r="A1907" s="0" t="inlineStr">
        <is>
          <t>GloVe-100</t>
        </is>
      </c>
      <c r="B1907" s="0" t="inlineStr">
        <is>
          <t>V23</t>
        </is>
      </c>
      <c r="C1907" s="0" t="inlineStr">
        <is>
          <t>V24</t>
        </is>
      </c>
      <c r="D1907" s="0" t="n">
        <v>20286.7284</v>
      </c>
    </row>
    <row r="1908">
      <c r="A1908" s="0" t="inlineStr">
        <is>
          <t>GloVe-100</t>
        </is>
      </c>
      <c r="B1908" s="0" t="inlineStr">
        <is>
          <t>W23</t>
        </is>
      </c>
      <c r="C1908" s="0" t="inlineStr">
        <is>
          <t>W24</t>
        </is>
      </c>
      <c r="D1908" s="0" t="n">
        <v>25439.6608</v>
      </c>
    </row>
    <row r="1909">
      <c r="A1909" s="0" t="inlineStr">
        <is>
          <t>GloVe-100</t>
        </is>
      </c>
      <c r="B1909" s="0" t="inlineStr">
        <is>
          <t>X23</t>
        </is>
      </c>
      <c r="C1909" s="0" t="inlineStr">
        <is>
          <t>X24</t>
        </is>
      </c>
      <c r="D1909" s="0" t="n">
        <v>43668.8608</v>
      </c>
    </row>
    <row r="1910">
      <c r="A1910" s="0" t="inlineStr">
        <is>
          <t>GloVe-100</t>
        </is>
      </c>
      <c r="B1910" s="0" t="inlineStr">
        <is>
          <t>Y23</t>
        </is>
      </c>
      <c r="C1910" s="0" t="inlineStr">
        <is>
          <t>Y24</t>
        </is>
      </c>
      <c r="D1910" s="0" t="n">
        <v>73904.36840000001</v>
      </c>
    </row>
    <row r="1911">
      <c r="A1911" s="0" t="inlineStr">
        <is>
          <t>GloVe-100</t>
        </is>
      </c>
      <c r="B1911" s="0" t="inlineStr">
        <is>
          <t>D24</t>
        </is>
      </c>
      <c r="C1911" s="0" t="inlineStr">
        <is>
          <t>D25</t>
        </is>
      </c>
      <c r="D1911" s="0" t="inlineStr">
        <is>
          <t>Ours</t>
        </is>
      </c>
    </row>
    <row r="1912">
      <c r="A1912" s="0" t="inlineStr">
        <is>
          <t>GloVe-100</t>
        </is>
      </c>
      <c r="B1912" s="0" t="inlineStr">
        <is>
          <t>E24</t>
        </is>
      </c>
      <c r="C1912" s="0" t="inlineStr">
        <is>
          <t>E25</t>
        </is>
      </c>
      <c r="D1912" s="0" t="inlineStr">
        <is>
          <t>Recall rate</t>
        </is>
      </c>
    </row>
    <row r="1913">
      <c r="A1913" s="0" t="inlineStr">
        <is>
          <t>GloVe-100</t>
        </is>
      </c>
      <c r="B1913" s="0" t="inlineStr">
        <is>
          <t>F24</t>
        </is>
      </c>
      <c r="C1913" s="0" t="inlineStr">
        <is>
          <t>F25</t>
        </is>
      </c>
      <c r="D1913" s="0" t="n">
        <v>15.5</v>
      </c>
    </row>
    <row r="1914">
      <c r="A1914" s="0" t="inlineStr">
        <is>
          <t>GloVe-100</t>
        </is>
      </c>
      <c r="B1914" s="0" t="inlineStr">
        <is>
          <t>G24</t>
        </is>
      </c>
      <c r="C1914" s="0" t="inlineStr">
        <is>
          <t>G25</t>
        </is>
      </c>
      <c r="D1914" s="0" t="n">
        <v>23</v>
      </c>
    </row>
    <row r="1915">
      <c r="A1915" s="0" t="inlineStr">
        <is>
          <t>GloVe-100</t>
        </is>
      </c>
      <c r="B1915" s="0" t="inlineStr">
        <is>
          <t>H24</t>
        </is>
      </c>
      <c r="C1915" s="0" t="inlineStr">
        <is>
          <t>H25</t>
        </is>
      </c>
      <c r="D1915" s="0" t="n">
        <v>25.5</v>
      </c>
    </row>
    <row r="1916">
      <c r="A1916" s="0" t="inlineStr">
        <is>
          <t>GloVe-100</t>
        </is>
      </c>
      <c r="B1916" s="0" t="inlineStr">
        <is>
          <t>I24</t>
        </is>
      </c>
      <c r="C1916" s="0" t="inlineStr">
        <is>
          <t>I25</t>
        </is>
      </c>
      <c r="D1916" s="0" t="n">
        <v>30</v>
      </c>
    </row>
    <row r="1917">
      <c r="A1917" s="0" t="inlineStr">
        <is>
          <t>GloVe-100</t>
        </is>
      </c>
      <c r="B1917" s="0" t="inlineStr">
        <is>
          <t>J24</t>
        </is>
      </c>
      <c r="C1917" s="0" t="inlineStr">
        <is>
          <t>J25</t>
        </is>
      </c>
      <c r="D1917" s="0" t="n">
        <v>35</v>
      </c>
    </row>
    <row r="1918">
      <c r="A1918" s="0" t="inlineStr">
        <is>
          <t>GloVe-100</t>
        </is>
      </c>
      <c r="B1918" s="0" t="inlineStr">
        <is>
          <t>K24</t>
        </is>
      </c>
      <c r="C1918" s="0" t="inlineStr">
        <is>
          <t>K25</t>
        </is>
      </c>
      <c r="D1918" s="0" t="n">
        <v>41.5</v>
      </c>
    </row>
    <row r="1919">
      <c r="A1919" s="0" t="inlineStr">
        <is>
          <t>GloVe-100</t>
        </is>
      </c>
      <c r="B1919" s="0" t="inlineStr">
        <is>
          <t>L24</t>
        </is>
      </c>
      <c r="C1919" s="0" t="inlineStr">
        <is>
          <t>L25</t>
        </is>
      </c>
      <c r="D1919" s="0" t="n">
        <v>45.5</v>
      </c>
    </row>
    <row r="1920">
      <c r="A1920" s="0" t="inlineStr">
        <is>
          <t>GloVe-100</t>
        </is>
      </c>
      <c r="B1920" s="0" t="inlineStr">
        <is>
          <t>M24</t>
        </is>
      </c>
      <c r="C1920" s="0" t="inlineStr">
        <is>
          <t>M25</t>
        </is>
      </c>
      <c r="D1920" s="0" t="n">
        <v>50.5</v>
      </c>
    </row>
    <row r="1921">
      <c r="A1921" s="0" t="inlineStr">
        <is>
          <t>GloVe-100</t>
        </is>
      </c>
      <c r="B1921" s="0" t="inlineStr">
        <is>
          <t>N24</t>
        </is>
      </c>
      <c r="C1921" s="0" t="inlineStr">
        <is>
          <t>N25</t>
        </is>
      </c>
      <c r="D1921" s="0" t="n">
        <v>55</v>
      </c>
    </row>
    <row r="1922">
      <c r="A1922" s="0" t="inlineStr">
        <is>
          <t>GloVe-100</t>
        </is>
      </c>
      <c r="B1922" s="0" t="inlineStr">
        <is>
          <t>O24</t>
        </is>
      </c>
      <c r="C1922" s="0" t="inlineStr">
        <is>
          <t>O25</t>
        </is>
      </c>
      <c r="D1922" s="0" t="n">
        <v>60.5</v>
      </c>
    </row>
    <row r="1923">
      <c r="A1923" s="0" t="inlineStr">
        <is>
          <t>GloVe-100</t>
        </is>
      </c>
      <c r="B1923" s="0" t="inlineStr">
        <is>
          <t>P24</t>
        </is>
      </c>
      <c r="C1923" s="0" t="inlineStr">
        <is>
          <t>P25</t>
        </is>
      </c>
      <c r="D1923" s="0" t="n">
        <v>71.5</v>
      </c>
    </row>
    <row r="1924">
      <c r="A1924" s="0" t="inlineStr">
        <is>
          <t>GloVe-100</t>
        </is>
      </c>
      <c r="B1924" s="0" t="inlineStr">
        <is>
          <t>Q24</t>
        </is>
      </c>
      <c r="C1924" s="0" t="inlineStr">
        <is>
          <t>Q25</t>
        </is>
      </c>
      <c r="D1924" s="0" t="n">
        <v>71.5</v>
      </c>
    </row>
    <row r="1925">
      <c r="A1925" s="0" t="inlineStr">
        <is>
          <t>GloVe-100</t>
        </is>
      </c>
      <c r="B1925" s="0" t="inlineStr">
        <is>
          <t>R24</t>
        </is>
      </c>
      <c r="C1925" s="0" t="inlineStr">
        <is>
          <t>R25</t>
        </is>
      </c>
      <c r="D1925" s="0" t="n">
        <v>81</v>
      </c>
    </row>
    <row r="1926">
      <c r="A1926" s="0" t="inlineStr">
        <is>
          <t>GloVe-100</t>
        </is>
      </c>
      <c r="B1926" s="0" t="inlineStr">
        <is>
          <t>S24</t>
        </is>
      </c>
      <c r="C1926" s="0" t="inlineStr">
        <is>
          <t>S25</t>
        </is>
      </c>
      <c r="D1926" s="0" t="n">
        <v>81</v>
      </c>
    </row>
    <row r="1927">
      <c r="A1927" s="0" t="inlineStr">
        <is>
          <t>GloVe-100</t>
        </is>
      </c>
      <c r="B1927" s="0" t="inlineStr">
        <is>
          <t>T24</t>
        </is>
      </c>
      <c r="C1927" s="0" t="inlineStr">
        <is>
          <t>T25</t>
        </is>
      </c>
      <c r="D1927" s="0" t="n">
        <v>85.5</v>
      </c>
    </row>
    <row r="1928">
      <c r="A1928" s="0" t="inlineStr">
        <is>
          <t>GloVe-100</t>
        </is>
      </c>
      <c r="B1928" s="0" t="inlineStr">
        <is>
          <t>U24</t>
        </is>
      </c>
      <c r="C1928" s="0" t="inlineStr">
        <is>
          <t>U25</t>
        </is>
      </c>
      <c r="D1928" s="0" t="n">
        <v>91</v>
      </c>
    </row>
    <row r="1929">
      <c r="A1929" s="0" t="inlineStr">
        <is>
          <t>GloVe-100</t>
        </is>
      </c>
      <c r="B1929" s="0" t="inlineStr">
        <is>
          <t>V24</t>
        </is>
      </c>
      <c r="C1929" s="0" t="inlineStr">
        <is>
          <t>V25</t>
        </is>
      </c>
      <c r="D1929" s="0" t="n">
        <v>96</v>
      </c>
    </row>
    <row r="1930">
      <c r="A1930" s="0" t="inlineStr">
        <is>
          <t>GloVe-100</t>
        </is>
      </c>
      <c r="B1930" s="0" t="inlineStr">
        <is>
          <t>W24</t>
        </is>
      </c>
      <c r="C1930" s="0" t="inlineStr">
        <is>
          <t>W25</t>
        </is>
      </c>
      <c r="D1930" s="0" t="n">
        <v>97.5</v>
      </c>
    </row>
    <row r="1931">
      <c r="A1931" s="0" t="inlineStr">
        <is>
          <t>GloVe-100</t>
        </is>
      </c>
      <c r="B1931" s="0" t="inlineStr">
        <is>
          <t>X24</t>
        </is>
      </c>
      <c r="C1931" s="0" t="inlineStr">
        <is>
          <t>X25</t>
        </is>
      </c>
      <c r="D1931" s="0" t="n">
        <v>98.5</v>
      </c>
    </row>
    <row r="1932">
      <c r="A1932" s="0" t="inlineStr">
        <is>
          <t>GloVe-100</t>
        </is>
      </c>
      <c r="B1932" s="0" t="inlineStr">
        <is>
          <t>Y24</t>
        </is>
      </c>
      <c r="C1932" s="0" t="inlineStr">
        <is>
          <t>Y25</t>
        </is>
      </c>
      <c r="D1932" s="0" t="n">
        <v>99.5</v>
      </c>
    </row>
    <row r="1933">
      <c r="A1933" s="0" t="inlineStr">
        <is>
          <t>GloVe-100</t>
        </is>
      </c>
      <c r="B1933" s="0" t="inlineStr">
        <is>
          <t>E25</t>
        </is>
      </c>
      <c r="C1933" s="0" t="inlineStr">
        <is>
          <t>E26</t>
        </is>
      </c>
      <c r="D1933" s="0" t="inlineStr">
        <is>
          <t>VO size</t>
        </is>
      </c>
    </row>
    <row r="1934">
      <c r="A1934" s="0" t="inlineStr">
        <is>
          <t>GloVe-100</t>
        </is>
      </c>
      <c r="B1934" s="0" t="inlineStr">
        <is>
          <t>F25</t>
        </is>
      </c>
      <c r="C1934" s="0" t="inlineStr">
        <is>
          <t>F26</t>
        </is>
      </c>
      <c r="D1934" s="0" t="n">
        <v>120.20935</v>
      </c>
    </row>
    <row r="1935">
      <c r="A1935" s="0" t="inlineStr">
        <is>
          <t>GloVe-100</t>
        </is>
      </c>
      <c r="B1935" s="0" t="inlineStr">
        <is>
          <t>G25</t>
        </is>
      </c>
      <c r="C1935" s="0" t="inlineStr">
        <is>
          <t>G26</t>
        </is>
      </c>
      <c r="D1935" s="0" t="n">
        <v>146.55395</v>
      </c>
    </row>
    <row r="1936">
      <c r="A1936" s="0" t="inlineStr">
        <is>
          <t>GloVe-100</t>
        </is>
      </c>
      <c r="B1936" s="0" t="inlineStr">
        <is>
          <t>H25</t>
        </is>
      </c>
      <c r="C1936" s="0" t="inlineStr">
        <is>
          <t>H26</t>
        </is>
      </c>
      <c r="D1936" s="0" t="n">
        <v>162.7497</v>
      </c>
    </row>
    <row r="1937">
      <c r="A1937" s="0" t="inlineStr">
        <is>
          <t>GloVe-100</t>
        </is>
      </c>
      <c r="B1937" s="0" t="inlineStr">
        <is>
          <t>I25</t>
        </is>
      </c>
      <c r="C1937" s="0" t="inlineStr">
        <is>
          <t>I26</t>
        </is>
      </c>
      <c r="D1937" s="0" t="n">
        <v>182.30215</v>
      </c>
    </row>
    <row r="1938">
      <c r="A1938" s="0" t="inlineStr">
        <is>
          <t>GloVe-100</t>
        </is>
      </c>
      <c r="B1938" s="0" t="inlineStr">
        <is>
          <t>J25</t>
        </is>
      </c>
      <c r="C1938" s="0" t="inlineStr">
        <is>
          <t>J26</t>
        </is>
      </c>
      <c r="D1938" s="0" t="n">
        <v>213.8622</v>
      </c>
    </row>
    <row r="1939">
      <c r="A1939" s="0" t="inlineStr">
        <is>
          <t>GloVe-100</t>
        </is>
      </c>
      <c r="B1939" s="0" t="inlineStr">
        <is>
          <t>K25</t>
        </is>
      </c>
      <c r="C1939" s="0" t="inlineStr">
        <is>
          <t>K26</t>
        </is>
      </c>
      <c r="D1939" s="0" t="n">
        <v>263.86515</v>
      </c>
    </row>
    <row r="1940">
      <c r="A1940" s="0" t="inlineStr">
        <is>
          <t>GloVe-100</t>
        </is>
      </c>
      <c r="B1940" s="0" t="inlineStr">
        <is>
          <t>L25</t>
        </is>
      </c>
      <c r="C1940" s="0" t="inlineStr">
        <is>
          <t>L26</t>
        </is>
      </c>
      <c r="D1940" s="0" t="n">
        <v>274.05425</v>
      </c>
    </row>
    <row r="1941">
      <c r="A1941" s="0" t="inlineStr">
        <is>
          <t>GloVe-100</t>
        </is>
      </c>
      <c r="B1941" s="0" t="inlineStr">
        <is>
          <t>M25</t>
        </is>
      </c>
      <c r="C1941" s="0" t="inlineStr">
        <is>
          <t>M26</t>
        </is>
      </c>
      <c r="D1941" s="0" t="n">
        <v>319.727</v>
      </c>
    </row>
    <row r="1942">
      <c r="A1942" s="0" t="inlineStr">
        <is>
          <t>GloVe-100</t>
        </is>
      </c>
      <c r="B1942" s="0" t="inlineStr">
        <is>
          <t>N25</t>
        </is>
      </c>
      <c r="C1942" s="0" t="inlineStr">
        <is>
          <t>N26</t>
        </is>
      </c>
      <c r="D1942" s="0" t="n">
        <v>363.04355</v>
      </c>
    </row>
    <row r="1943">
      <c r="A1943" s="0" t="inlineStr">
        <is>
          <t>GloVe-100</t>
        </is>
      </c>
      <c r="B1943" s="0" t="inlineStr">
        <is>
          <t>O25</t>
        </is>
      </c>
      <c r="C1943" s="0" t="inlineStr">
        <is>
          <t>O26</t>
        </is>
      </c>
      <c r="D1943" s="0" t="n">
        <v>433.98015</v>
      </c>
    </row>
    <row r="1944">
      <c r="A1944" s="0" t="inlineStr">
        <is>
          <t>GloVe-100</t>
        </is>
      </c>
      <c r="B1944" s="0" t="inlineStr">
        <is>
          <t>P25</t>
        </is>
      </c>
      <c r="C1944" s="0" t="inlineStr">
        <is>
          <t>P26</t>
        </is>
      </c>
      <c r="D1944" s="0" t="n">
        <v>568.61565</v>
      </c>
    </row>
    <row r="1945">
      <c r="A1945" s="0" t="inlineStr">
        <is>
          <t>GloVe-100</t>
        </is>
      </c>
      <c r="B1945" s="0" t="inlineStr">
        <is>
          <t>Q25</t>
        </is>
      </c>
      <c r="C1945" s="0" t="inlineStr">
        <is>
          <t>Q26</t>
        </is>
      </c>
      <c r="D1945" s="0" t="n">
        <v>568.61565</v>
      </c>
    </row>
    <row r="1946">
      <c r="A1946" s="0" t="inlineStr">
        <is>
          <t>GloVe-100</t>
        </is>
      </c>
      <c r="B1946" s="0" t="inlineStr">
        <is>
          <t>R25</t>
        </is>
      </c>
      <c r="C1946" s="0" t="inlineStr">
        <is>
          <t>R26</t>
        </is>
      </c>
      <c r="D1946" s="0" t="n">
        <v>914.7816</v>
      </c>
    </row>
    <row r="1947">
      <c r="A1947" s="0" t="inlineStr">
        <is>
          <t>GloVe-100</t>
        </is>
      </c>
      <c r="B1947" s="0" t="inlineStr">
        <is>
          <t>S25</t>
        </is>
      </c>
      <c r="C1947" s="0" t="inlineStr">
        <is>
          <t>S26</t>
        </is>
      </c>
      <c r="D1947" s="0" t="n">
        <v>914.7816</v>
      </c>
    </row>
    <row r="1948">
      <c r="A1948" s="0" t="inlineStr">
        <is>
          <t>GloVe-100</t>
        </is>
      </c>
      <c r="B1948" s="0" t="inlineStr">
        <is>
          <t>T25</t>
        </is>
      </c>
      <c r="C1948" s="0" t="inlineStr">
        <is>
          <t>T26</t>
        </is>
      </c>
      <c r="D1948" s="0" t="n">
        <v>1116.3342</v>
      </c>
    </row>
    <row r="1949">
      <c r="A1949" s="0" t="inlineStr">
        <is>
          <t>GloVe-100</t>
        </is>
      </c>
      <c r="B1949" s="0" t="inlineStr">
        <is>
          <t>U25</t>
        </is>
      </c>
      <c r="C1949" s="0" t="inlineStr">
        <is>
          <t>U26</t>
        </is>
      </c>
      <c r="D1949" s="0" t="n">
        <v>1801.49875</v>
      </c>
    </row>
    <row r="1950">
      <c r="A1950" s="0" t="inlineStr">
        <is>
          <t>GloVe-100</t>
        </is>
      </c>
      <c r="B1950" s="0" t="inlineStr">
        <is>
          <t>V25</t>
        </is>
      </c>
      <c r="C1950" s="0" t="inlineStr">
        <is>
          <t>V26</t>
        </is>
      </c>
      <c r="D1950" s="0" t="n">
        <v>3831.7115</v>
      </c>
    </row>
    <row r="1951">
      <c r="A1951" s="0" t="inlineStr">
        <is>
          <t>GloVe-100</t>
        </is>
      </c>
      <c r="B1951" s="0" t="inlineStr">
        <is>
          <t>W25</t>
        </is>
      </c>
      <c r="C1951" s="0" t="inlineStr">
        <is>
          <t>W26</t>
        </is>
      </c>
      <c r="D1951" s="0" t="n">
        <v>4656.3122</v>
      </c>
    </row>
    <row r="1952">
      <c r="A1952" s="0" t="inlineStr">
        <is>
          <t>GloVe-100</t>
        </is>
      </c>
      <c r="B1952" s="0" t="inlineStr">
        <is>
          <t>X25</t>
        </is>
      </c>
      <c r="C1952" s="0" t="inlineStr">
        <is>
          <t>X26</t>
        </is>
      </c>
      <c r="D1952" s="0" t="n">
        <v>7489.0097</v>
      </c>
    </row>
    <row r="1953">
      <c r="A1953" s="0" t="inlineStr">
        <is>
          <t>GloVe-100</t>
        </is>
      </c>
      <c r="B1953" s="0" t="inlineStr">
        <is>
          <t>Y25</t>
        </is>
      </c>
      <c r="C1953" s="0" t="inlineStr">
        <is>
          <t>Y26</t>
        </is>
      </c>
      <c r="D1953" s="0" t="n">
        <v>12067.1025</v>
      </c>
    </row>
    <row r="1954">
      <c r="A1954" s="0" t="inlineStr">
        <is>
          <t>GloVe-100</t>
        </is>
      </c>
      <c r="B1954" s="0" t="inlineStr">
        <is>
          <t>D26</t>
        </is>
      </c>
      <c r="C1954" s="0" t="inlineStr">
        <is>
          <t>D27</t>
        </is>
      </c>
      <c r="D1954" s="0" t="inlineStr">
        <is>
          <t>V3DB（单次）</t>
        </is>
      </c>
    </row>
    <row r="1955">
      <c r="A1955" s="0" t="inlineStr">
        <is>
          <t>GloVe-100</t>
        </is>
      </c>
      <c r="B1955" s="0" t="inlineStr">
        <is>
          <t>E26</t>
        </is>
      </c>
      <c r="C1955" s="0" t="inlineStr">
        <is>
          <t>E27</t>
        </is>
      </c>
      <c r="D1955" s="0" t="inlineStr">
        <is>
          <t>Recall rate</t>
        </is>
      </c>
    </row>
    <row r="1956">
      <c r="A1956" s="0" t="inlineStr">
        <is>
          <t>GloVe-100</t>
        </is>
      </c>
      <c r="B1956" s="0" t="inlineStr">
        <is>
          <t>F26</t>
        </is>
      </c>
      <c r="C1956" s="0" t="inlineStr">
        <is>
          <t>F27</t>
        </is>
      </c>
      <c r="D1956" s="0" t="n">
        <v>16.5</v>
      </c>
    </row>
    <row r="1957">
      <c r="A1957" s="0" t="inlineStr">
        <is>
          <t>GloVe-100</t>
        </is>
      </c>
      <c r="B1957" s="0" t="inlineStr">
        <is>
          <t>G26</t>
        </is>
      </c>
      <c r="C1957" s="0" t="inlineStr">
        <is>
          <t>G27</t>
        </is>
      </c>
      <c r="D1957" s="0" t="n">
        <v>20</v>
      </c>
    </row>
    <row r="1958">
      <c r="A1958" s="0" t="inlineStr">
        <is>
          <t>GloVe-100</t>
        </is>
      </c>
      <c r="B1958" s="0" t="inlineStr">
        <is>
          <t>H26</t>
        </is>
      </c>
      <c r="C1958" s="0" t="inlineStr">
        <is>
          <t>H27</t>
        </is>
      </c>
      <c r="D1958" s="0" t="n">
        <v>28.5</v>
      </c>
    </row>
    <row r="1959">
      <c r="A1959" s="0" t="inlineStr">
        <is>
          <t>GloVe-100</t>
        </is>
      </c>
      <c r="B1959" s="0" t="inlineStr">
        <is>
          <t>I26</t>
        </is>
      </c>
      <c r="C1959" s="0" t="inlineStr">
        <is>
          <t>I27</t>
        </is>
      </c>
      <c r="D1959" s="0" t="n">
        <v>40.5</v>
      </c>
    </row>
    <row r="1960">
      <c r="A1960" s="0" t="inlineStr">
        <is>
          <t>GloVe-100</t>
        </is>
      </c>
      <c r="B1960" s="0" t="inlineStr">
        <is>
          <t>J26</t>
        </is>
      </c>
      <c r="C1960" s="0" t="inlineStr">
        <is>
          <t>J27</t>
        </is>
      </c>
      <c r="D1960" s="0" t="n">
        <v>40.5</v>
      </c>
    </row>
    <row r="1961">
      <c r="A1961" s="0" t="inlineStr">
        <is>
          <t>GloVe-100</t>
        </is>
      </c>
      <c r="B1961" s="0" t="inlineStr">
        <is>
          <t>K26</t>
        </is>
      </c>
      <c r="C1961" s="0" t="inlineStr">
        <is>
          <t>K27</t>
        </is>
      </c>
      <c r="D1961" s="0" t="n">
        <v>40.5</v>
      </c>
    </row>
    <row r="1962">
      <c r="A1962" s="0" t="inlineStr">
        <is>
          <t>GloVe-100</t>
        </is>
      </c>
      <c r="B1962" s="0" t="inlineStr">
        <is>
          <t>L26</t>
        </is>
      </c>
      <c r="C1962" s="0" t="inlineStr">
        <is>
          <t>L27</t>
        </is>
      </c>
      <c r="D1962" s="0" t="n">
        <v>47</v>
      </c>
    </row>
    <row r="1963">
      <c r="A1963" s="0" t="inlineStr">
        <is>
          <t>GloVe-100</t>
        </is>
      </c>
      <c r="B1963" s="0" t="inlineStr">
        <is>
          <t>M26</t>
        </is>
      </c>
      <c r="C1963" s="0" t="inlineStr">
        <is>
          <t>M27</t>
        </is>
      </c>
      <c r="D1963" s="0" t="n">
        <v>55</v>
      </c>
    </row>
    <row r="1964">
      <c r="A1964" s="0" t="inlineStr">
        <is>
          <t>GloVe-100</t>
        </is>
      </c>
      <c r="B1964" s="0" t="inlineStr">
        <is>
          <t>N26</t>
        </is>
      </c>
      <c r="C1964" s="0" t="inlineStr">
        <is>
          <t>N27</t>
        </is>
      </c>
      <c r="D1964" s="0" t="n">
        <v>55</v>
      </c>
    </row>
    <row r="1965">
      <c r="A1965" s="0" t="inlineStr">
        <is>
          <t>GloVe-100</t>
        </is>
      </c>
      <c r="B1965" s="0" t="inlineStr">
        <is>
          <t>O26</t>
        </is>
      </c>
      <c r="C1965" s="0" t="inlineStr">
        <is>
          <t>O27</t>
        </is>
      </c>
      <c r="D1965" s="0" t="n">
        <v>64.5</v>
      </c>
    </row>
    <row r="1966">
      <c r="A1966" s="0" t="inlineStr">
        <is>
          <t>GloVe-100</t>
        </is>
      </c>
      <c r="B1966" s="0" t="inlineStr">
        <is>
          <t>P26</t>
        </is>
      </c>
      <c r="C1966" s="0" t="inlineStr">
        <is>
          <t>P27</t>
        </is>
      </c>
      <c r="D1966" s="0" t="n">
        <v>68</v>
      </c>
    </row>
    <row r="1967">
      <c r="A1967" s="0" t="inlineStr">
        <is>
          <t>GloVe-100</t>
        </is>
      </c>
      <c r="B1967" s="0" t="inlineStr">
        <is>
          <t>Q26</t>
        </is>
      </c>
      <c r="C1967" s="0" t="inlineStr">
        <is>
          <t>Q27</t>
        </is>
      </c>
      <c r="D1967" s="0" t="n">
        <v>71.5</v>
      </c>
    </row>
    <row r="1968">
      <c r="A1968" s="0" t="inlineStr">
        <is>
          <t>GloVe-100</t>
        </is>
      </c>
      <c r="B1968" s="0" t="inlineStr">
        <is>
          <t>R26</t>
        </is>
      </c>
      <c r="C1968" s="0" t="inlineStr">
        <is>
          <t>R27</t>
        </is>
      </c>
    </row>
    <row r="1969">
      <c r="A1969" s="0" t="inlineStr">
        <is>
          <t>GloVe-100</t>
        </is>
      </c>
      <c r="B1969" s="0" t="inlineStr">
        <is>
          <t>S26</t>
        </is>
      </c>
      <c r="C1969" s="0" t="inlineStr">
        <is>
          <t>S27</t>
        </is>
      </c>
    </row>
    <row r="1970">
      <c r="A1970" s="0" t="inlineStr">
        <is>
          <t>GloVe-100</t>
        </is>
      </c>
      <c r="B1970" s="0" t="inlineStr">
        <is>
          <t>T26</t>
        </is>
      </c>
      <c r="C1970" s="0" t="inlineStr">
        <is>
          <t>T27</t>
        </is>
      </c>
    </row>
    <row r="1971">
      <c r="A1971" s="0" t="inlineStr">
        <is>
          <t>GloVe-100</t>
        </is>
      </c>
      <c r="B1971" s="0" t="inlineStr">
        <is>
          <t>U26</t>
        </is>
      </c>
      <c r="C1971" s="0" t="inlineStr">
        <is>
          <t>U27</t>
        </is>
      </c>
    </row>
    <row r="1972">
      <c r="A1972" s="0" t="inlineStr">
        <is>
          <t>GloVe-100</t>
        </is>
      </c>
      <c r="B1972" s="0" t="inlineStr">
        <is>
          <t>V26</t>
        </is>
      </c>
      <c r="C1972" s="0" t="inlineStr">
        <is>
          <t>V27</t>
        </is>
      </c>
    </row>
    <row r="1973">
      <c r="A1973" s="0" t="inlineStr">
        <is>
          <t>GloVe-100</t>
        </is>
      </c>
      <c r="B1973" s="0" t="inlineStr">
        <is>
          <t>W26</t>
        </is>
      </c>
      <c r="C1973" s="0" t="inlineStr">
        <is>
          <t>W27</t>
        </is>
      </c>
    </row>
    <row r="1974">
      <c r="A1974" s="0" t="inlineStr">
        <is>
          <t>GloVe-100</t>
        </is>
      </c>
      <c r="B1974" s="0" t="inlineStr">
        <is>
          <t>X26</t>
        </is>
      </c>
      <c r="C1974" s="0" t="inlineStr">
        <is>
          <t>X27</t>
        </is>
      </c>
    </row>
    <row r="1975">
      <c r="A1975" s="0" t="inlineStr">
        <is>
          <t>GloVe-100</t>
        </is>
      </c>
      <c r="B1975" s="0" t="inlineStr">
        <is>
          <t>Y26</t>
        </is>
      </c>
      <c r="C1975" s="0" t="inlineStr">
        <is>
          <t>Y27</t>
        </is>
      </c>
    </row>
    <row r="1976">
      <c r="A1976" s="0" t="inlineStr">
        <is>
          <t>GloVe-100</t>
        </is>
      </c>
      <c r="B1976" s="0" t="inlineStr">
        <is>
          <t>E27</t>
        </is>
      </c>
      <c r="C1976" s="0" t="inlineStr">
        <is>
          <t>E28</t>
        </is>
      </c>
      <c r="D1976" s="0" t="inlineStr">
        <is>
          <t>VO size</t>
        </is>
      </c>
    </row>
    <row r="1977">
      <c r="A1977" s="0" t="inlineStr">
        <is>
          <t>GloVe-100</t>
        </is>
      </c>
      <c r="B1977" s="0" t="inlineStr">
        <is>
          <t>F27</t>
        </is>
      </c>
      <c r="C1977" s="0" t="inlineStr">
        <is>
          <t>F28</t>
        </is>
      </c>
      <c r="D1977" s="0" t="n">
        <v>225.089</v>
      </c>
    </row>
    <row r="1978">
      <c r="A1978" s="0" t="inlineStr">
        <is>
          <t>GloVe-100</t>
        </is>
      </c>
      <c r="B1978" s="0" t="inlineStr">
        <is>
          <t>G27</t>
        </is>
      </c>
      <c r="C1978" s="0" t="inlineStr">
        <is>
          <t>G28</t>
        </is>
      </c>
      <c r="D1978" s="0" t="n">
        <v>275.131</v>
      </c>
    </row>
    <row r="1979">
      <c r="A1979" s="0" t="inlineStr">
        <is>
          <t>GloVe-100</t>
        </is>
      </c>
      <c r="B1979" s="0" t="inlineStr">
        <is>
          <t>H27</t>
        </is>
      </c>
      <c r="C1979" s="0" t="inlineStr">
        <is>
          <t>H28</t>
        </is>
      </c>
      <c r="D1979" s="0" t="n">
        <v>247.916</v>
      </c>
    </row>
    <row r="1980">
      <c r="A1980" s="0" t="inlineStr">
        <is>
          <t>GloVe-100</t>
        </is>
      </c>
      <c r="B1980" s="0" t="inlineStr">
        <is>
          <t>I27</t>
        </is>
      </c>
      <c r="C1980" s="0" t="inlineStr">
        <is>
          <t>I28</t>
        </is>
      </c>
      <c r="D1980" s="0" t="n">
        <v>287.485</v>
      </c>
    </row>
    <row r="1981">
      <c r="A1981" s="0" t="inlineStr">
        <is>
          <t>GloVe-100</t>
        </is>
      </c>
      <c r="B1981" s="0" t="inlineStr">
        <is>
          <t>J27</t>
        </is>
      </c>
      <c r="C1981" s="0" t="inlineStr">
        <is>
          <t>J28</t>
        </is>
      </c>
      <c r="D1981" s="0" t="n">
        <v>287.485</v>
      </c>
    </row>
    <row r="1982">
      <c r="A1982" s="0" t="inlineStr">
        <is>
          <t>GloVe-100</t>
        </is>
      </c>
      <c r="B1982" s="0" t="inlineStr">
        <is>
          <t>K27</t>
        </is>
      </c>
      <c r="C1982" s="0" t="inlineStr">
        <is>
          <t>K28</t>
        </is>
      </c>
      <c r="D1982" s="0" t="n">
        <v>287.485</v>
      </c>
    </row>
    <row r="1983">
      <c r="A1983" s="0" t="inlineStr">
        <is>
          <t>GloVe-100</t>
        </is>
      </c>
      <c r="B1983" s="0" t="inlineStr">
        <is>
          <t>L27</t>
        </is>
      </c>
      <c r="C1983" s="0" t="inlineStr">
        <is>
          <t>L28</t>
        </is>
      </c>
      <c r="D1983" s="0" t="n">
        <v>352.077</v>
      </c>
    </row>
    <row r="1984">
      <c r="A1984" s="0" t="inlineStr">
        <is>
          <t>GloVe-100</t>
        </is>
      </c>
      <c r="B1984" s="0" t="inlineStr">
        <is>
          <t>M27</t>
        </is>
      </c>
      <c r="C1984" s="0" t="inlineStr">
        <is>
          <t>M28</t>
        </is>
      </c>
      <c r="D1984" s="0" t="n">
        <v>491.36</v>
      </c>
    </row>
    <row r="1985">
      <c r="A1985" s="0" t="inlineStr">
        <is>
          <t>GloVe-100</t>
        </is>
      </c>
      <c r="B1985" s="0" t="inlineStr">
        <is>
          <t>N27</t>
        </is>
      </c>
      <c r="C1985" s="0" t="inlineStr">
        <is>
          <t>N28</t>
        </is>
      </c>
      <c r="D1985" s="0" t="n">
        <v>491.36</v>
      </c>
    </row>
    <row r="1986">
      <c r="A1986" s="0" t="inlineStr">
        <is>
          <t>GloVe-100</t>
        </is>
      </c>
      <c r="B1986" s="0" t="inlineStr">
        <is>
          <t>O27</t>
        </is>
      </c>
      <c r="C1986" s="0" t="inlineStr">
        <is>
          <t>O28</t>
        </is>
      </c>
      <c r="D1986" s="0" t="n">
        <v>761.715</v>
      </c>
    </row>
    <row r="1987">
      <c r="A1987" s="0" t="inlineStr">
        <is>
          <t>GloVe-100</t>
        </is>
      </c>
      <c r="B1987" s="0" t="inlineStr">
        <is>
          <t>P27</t>
        </is>
      </c>
      <c r="C1987" s="0" t="inlineStr">
        <is>
          <t>P28</t>
        </is>
      </c>
      <c r="D1987" s="0" t="n">
        <v>769.926</v>
      </c>
    </row>
    <row r="1988">
      <c r="A1988" s="0" t="inlineStr">
        <is>
          <t>GloVe-100</t>
        </is>
      </c>
      <c r="B1988" s="0" t="inlineStr">
        <is>
          <t>Q27</t>
        </is>
      </c>
      <c r="C1988" s="0" t="inlineStr">
        <is>
          <t>Q28</t>
        </is>
      </c>
      <c r="D1988" s="0" t="n">
        <v>1294.214</v>
      </c>
    </row>
    <row r="1989">
      <c r="A1989" s="0" t="inlineStr">
        <is>
          <t>GloVe-100</t>
        </is>
      </c>
      <c r="B1989" s="0" t="inlineStr">
        <is>
          <t>R27</t>
        </is>
      </c>
      <c r="C1989" s="0" t="inlineStr">
        <is>
          <t>R28</t>
        </is>
      </c>
    </row>
    <row r="1990">
      <c r="A1990" s="0" t="inlineStr">
        <is>
          <t>GloVe-100</t>
        </is>
      </c>
      <c r="B1990" s="0" t="inlineStr">
        <is>
          <t>S27</t>
        </is>
      </c>
      <c r="C1990" s="0" t="inlineStr">
        <is>
          <t>S28</t>
        </is>
      </c>
    </row>
    <row r="1991">
      <c r="A1991" s="0" t="inlineStr">
        <is>
          <t>GloVe-100</t>
        </is>
      </c>
      <c r="B1991" s="0" t="inlineStr">
        <is>
          <t>T27</t>
        </is>
      </c>
      <c r="C1991" s="0" t="inlineStr">
        <is>
          <t>T28</t>
        </is>
      </c>
    </row>
    <row r="1992">
      <c r="A1992" s="0" t="inlineStr">
        <is>
          <t>GloVe-100</t>
        </is>
      </c>
      <c r="B1992" s="0" t="inlineStr">
        <is>
          <t>U27</t>
        </is>
      </c>
      <c r="C1992" s="0" t="inlineStr">
        <is>
          <t>U28</t>
        </is>
      </c>
    </row>
    <row r="1993">
      <c r="A1993" s="0" t="inlineStr">
        <is>
          <t>GloVe-100</t>
        </is>
      </c>
      <c r="B1993" s="0" t="inlineStr">
        <is>
          <t>V27</t>
        </is>
      </c>
      <c r="C1993" s="0" t="inlineStr">
        <is>
          <t>V28</t>
        </is>
      </c>
    </row>
    <row r="1994">
      <c r="A1994" s="0" t="inlineStr">
        <is>
          <t>GloVe-100</t>
        </is>
      </c>
      <c r="B1994" s="0" t="inlineStr">
        <is>
          <t>W27</t>
        </is>
      </c>
      <c r="C1994" s="0" t="inlineStr">
        <is>
          <t>W28</t>
        </is>
      </c>
    </row>
    <row r="1995">
      <c r="A1995" s="0" t="inlineStr">
        <is>
          <t>GloVe-100</t>
        </is>
      </c>
      <c r="B1995" s="0" t="inlineStr">
        <is>
          <t>X27</t>
        </is>
      </c>
      <c r="C1995" s="0" t="inlineStr">
        <is>
          <t>X28</t>
        </is>
      </c>
    </row>
    <row r="1996">
      <c r="A1996" s="0" t="inlineStr">
        <is>
          <t>GloVe-100</t>
        </is>
      </c>
      <c r="B1996" s="0" t="inlineStr">
        <is>
          <t>Y27</t>
        </is>
      </c>
      <c r="C1996" s="0" t="inlineStr">
        <is>
          <t>Y28</t>
        </is>
      </c>
    </row>
    <row r="1997">
      <c r="A1997" s="0" t="inlineStr">
        <is>
          <t>GloVe-100</t>
        </is>
      </c>
      <c r="B1997" s="0" t="inlineStr">
        <is>
          <t>D28</t>
        </is>
      </c>
      <c r="C1997" s="0" t="inlineStr">
        <is>
          <t>D31</t>
        </is>
      </c>
    </row>
    <row r="1998">
      <c r="A1998" s="0" t="inlineStr">
        <is>
          <t>GloVe-100</t>
        </is>
      </c>
      <c r="B1998" s="0" t="inlineStr">
        <is>
          <t>E28</t>
        </is>
      </c>
      <c r="C1998" s="0" t="inlineStr">
        <is>
          <t>E31</t>
        </is>
      </c>
      <c r="D1998" s="0" t="inlineStr">
        <is>
          <t>Target Recall (%)</t>
        </is>
      </c>
    </row>
    <row r="1999">
      <c r="A1999" s="0" t="inlineStr">
        <is>
          <t>GloVe-100</t>
        </is>
      </c>
      <c r="B1999" s="0" t="inlineStr">
        <is>
          <t>F28</t>
        </is>
      </c>
      <c r="C1999" s="0" t="inlineStr">
        <is>
          <t>F31</t>
        </is>
      </c>
      <c r="D1999" s="0" t="n">
        <v>15</v>
      </c>
    </row>
    <row r="2000">
      <c r="A2000" s="0" t="inlineStr">
        <is>
          <t>GloVe-100</t>
        </is>
      </c>
      <c r="B2000" s="0" t="inlineStr">
        <is>
          <t>G28</t>
        </is>
      </c>
      <c r="C2000" s="0" t="inlineStr">
        <is>
          <t>G31</t>
        </is>
      </c>
      <c r="D2000" s="0" t="n">
        <v>20</v>
      </c>
    </row>
    <row r="2001">
      <c r="A2001" s="0" t="inlineStr">
        <is>
          <t>GloVe-100</t>
        </is>
      </c>
      <c r="B2001" s="0" t="inlineStr">
        <is>
          <t>H28</t>
        </is>
      </c>
      <c r="C2001" s="0" t="inlineStr">
        <is>
          <t>H31</t>
        </is>
      </c>
      <c r="D2001" s="0" t="n">
        <v>25</v>
      </c>
    </row>
    <row r="2002">
      <c r="A2002" s="0" t="inlineStr">
        <is>
          <t>GloVe-100</t>
        </is>
      </c>
      <c r="B2002" s="0" t="inlineStr">
        <is>
          <t>I28</t>
        </is>
      </c>
      <c r="C2002" s="0" t="inlineStr">
        <is>
          <t>I31</t>
        </is>
      </c>
      <c r="D2002" s="0" t="n">
        <v>30</v>
      </c>
    </row>
    <row r="2003">
      <c r="A2003" s="0" t="inlineStr">
        <is>
          <t>GloVe-100</t>
        </is>
      </c>
      <c r="B2003" s="0" t="inlineStr">
        <is>
          <t>J28</t>
        </is>
      </c>
      <c r="C2003" s="0" t="inlineStr">
        <is>
          <t>J31</t>
        </is>
      </c>
      <c r="D2003" s="0" t="n">
        <v>35</v>
      </c>
    </row>
    <row r="2004">
      <c r="A2004" s="0" t="inlineStr">
        <is>
          <t>GloVe-100</t>
        </is>
      </c>
      <c r="B2004" s="0" t="inlineStr">
        <is>
          <t>K28</t>
        </is>
      </c>
      <c r="C2004" s="0" t="inlineStr">
        <is>
          <t>K31</t>
        </is>
      </c>
      <c r="D2004" s="0" t="n">
        <v>40</v>
      </c>
    </row>
    <row r="2005">
      <c r="A2005" s="0" t="inlineStr">
        <is>
          <t>GloVe-100</t>
        </is>
      </c>
      <c r="B2005" s="0" t="inlineStr">
        <is>
          <t>L28</t>
        </is>
      </c>
      <c r="C2005" s="0" t="inlineStr">
        <is>
          <t>L31</t>
        </is>
      </c>
      <c r="D2005" s="0" t="n">
        <v>45</v>
      </c>
    </row>
    <row r="2006">
      <c r="A2006" s="0" t="inlineStr">
        <is>
          <t>GloVe-100</t>
        </is>
      </c>
      <c r="B2006" s="0" t="inlineStr">
        <is>
          <t>M28</t>
        </is>
      </c>
      <c r="C2006" s="0" t="inlineStr">
        <is>
          <t>M31</t>
        </is>
      </c>
      <c r="D2006" s="0" t="n">
        <v>50</v>
      </c>
    </row>
    <row r="2007">
      <c r="A2007" s="0" t="inlineStr">
        <is>
          <t>GloVe-100</t>
        </is>
      </c>
      <c r="B2007" s="0" t="inlineStr">
        <is>
          <t>N28</t>
        </is>
      </c>
      <c r="C2007" s="0" t="inlineStr">
        <is>
          <t>N31</t>
        </is>
      </c>
      <c r="D2007" s="0" t="n">
        <v>55</v>
      </c>
    </row>
    <row r="2008">
      <c r="A2008" s="0" t="inlineStr">
        <is>
          <t>GloVe-100</t>
        </is>
      </c>
      <c r="B2008" s="0" t="inlineStr">
        <is>
          <t>O28</t>
        </is>
      </c>
      <c r="C2008" s="0" t="inlineStr">
        <is>
          <t>O31</t>
        </is>
      </c>
      <c r="D2008" s="0" t="n">
        <v>60</v>
      </c>
    </row>
    <row r="2009">
      <c r="A2009" s="0" t="inlineStr">
        <is>
          <t>GloVe-100</t>
        </is>
      </c>
      <c r="B2009" s="0" t="inlineStr">
        <is>
          <t>P28</t>
        </is>
      </c>
      <c r="C2009" s="0" t="inlineStr">
        <is>
          <t>P31</t>
        </is>
      </c>
      <c r="D2009" s="0" t="n">
        <v>65</v>
      </c>
    </row>
    <row r="2010">
      <c r="A2010" s="0" t="inlineStr">
        <is>
          <t>GloVe-100</t>
        </is>
      </c>
      <c r="B2010" s="0" t="inlineStr">
        <is>
          <t>Q28</t>
        </is>
      </c>
      <c r="C2010" s="0" t="inlineStr">
        <is>
          <t>Q31</t>
        </is>
      </c>
      <c r="D2010" s="0" t="n">
        <v>70</v>
      </c>
    </row>
    <row r="2011">
      <c r="A2011" s="0" t="inlineStr">
        <is>
          <t>GloVe-100</t>
        </is>
      </c>
      <c r="B2011" s="0" t="inlineStr">
        <is>
          <t>R28</t>
        </is>
      </c>
      <c r="C2011" s="0" t="inlineStr">
        <is>
          <t>R31</t>
        </is>
      </c>
      <c r="D2011" s="0" t="n">
        <v>75</v>
      </c>
    </row>
    <row r="2012">
      <c r="A2012" s="0" t="inlineStr">
        <is>
          <t>GloVe-100</t>
        </is>
      </c>
      <c r="B2012" s="0" t="inlineStr">
        <is>
          <t>S28</t>
        </is>
      </c>
      <c r="C2012" s="0" t="inlineStr">
        <is>
          <t>S31</t>
        </is>
      </c>
      <c r="D2012" s="0" t="n">
        <v>80</v>
      </c>
    </row>
    <row r="2013">
      <c r="A2013" s="0" t="inlineStr">
        <is>
          <t>GloVe-100</t>
        </is>
      </c>
      <c r="B2013" s="0" t="inlineStr">
        <is>
          <t>T28</t>
        </is>
      </c>
      <c r="C2013" s="0" t="inlineStr">
        <is>
          <t>T31</t>
        </is>
      </c>
      <c r="D2013" s="0" t="n">
        <v>85</v>
      </c>
    </row>
    <row r="2014">
      <c r="A2014" s="0" t="inlineStr">
        <is>
          <t>GloVe-100</t>
        </is>
      </c>
      <c r="B2014" s="0" t="inlineStr">
        <is>
          <t>U28</t>
        </is>
      </c>
      <c r="C2014" s="0" t="inlineStr">
        <is>
          <t>U31</t>
        </is>
      </c>
      <c r="D2014" s="0" t="n">
        <v>90</v>
      </c>
    </row>
    <row r="2015">
      <c r="A2015" s="0" t="inlineStr">
        <is>
          <t>GloVe-100</t>
        </is>
      </c>
      <c r="B2015" s="0" t="inlineStr">
        <is>
          <t>V28</t>
        </is>
      </c>
      <c r="C2015" s="0" t="inlineStr">
        <is>
          <t>V31</t>
        </is>
      </c>
      <c r="D2015" s="0" t="n">
        <v>95</v>
      </c>
    </row>
    <row r="2016">
      <c r="A2016" s="0" t="inlineStr">
        <is>
          <t>GloVe-100</t>
        </is>
      </c>
      <c r="B2016" s="0" t="inlineStr">
        <is>
          <t>W28</t>
        </is>
      </c>
      <c r="C2016" s="0" t="inlineStr">
        <is>
          <t>W31</t>
        </is>
      </c>
      <c r="D2016" s="0" t="n">
        <v>97</v>
      </c>
    </row>
    <row r="2017">
      <c r="A2017" s="0" t="inlineStr">
        <is>
          <t>GloVe-100</t>
        </is>
      </c>
      <c r="B2017" s="0" t="inlineStr">
        <is>
          <t>X28</t>
        </is>
      </c>
      <c r="C2017" s="0" t="inlineStr">
        <is>
          <t>X31</t>
        </is>
      </c>
      <c r="D2017" s="0" t="n">
        <v>98</v>
      </c>
    </row>
    <row r="2018">
      <c r="A2018" s="0" t="inlineStr">
        <is>
          <t>GloVe-100</t>
        </is>
      </c>
      <c r="B2018" s="0" t="inlineStr">
        <is>
          <t>Y28</t>
        </is>
      </c>
      <c r="C2018" s="0" t="inlineStr">
        <is>
          <t>Y31</t>
        </is>
      </c>
      <c r="D2018" s="0" t="n">
        <v>99</v>
      </c>
    </row>
    <row r="2019">
      <c r="A2019" s="0" t="inlineStr">
        <is>
          <t>GloVe-100</t>
        </is>
      </c>
      <c r="B2019" s="0" t="inlineStr">
        <is>
          <t>E29</t>
        </is>
      </c>
      <c r="C2019" s="0" t="inlineStr">
        <is>
          <t>E32</t>
        </is>
      </c>
      <c r="D2019" s="0" t="inlineStr">
        <is>
          <t>Recall@10 (change parameters enabling different recall rate) vs. verify time</t>
        </is>
      </c>
    </row>
    <row r="2020">
      <c r="A2020" s="0" t="inlineStr">
        <is>
          <t>GloVe-100</t>
        </is>
      </c>
      <c r="B2020" s="0" t="inlineStr">
        <is>
          <t>D31</t>
        </is>
      </c>
      <c r="C2020" s="0" t="inlineStr">
        <is>
          <t>D34</t>
        </is>
      </c>
      <c r="D2020" s="0" t="inlineStr">
        <is>
          <t>GloVe-100 (N=1,183,514, d=100)</t>
        </is>
      </c>
    </row>
    <row r="2021">
      <c r="A2021" s="0" t="inlineStr">
        <is>
          <t>GloVe-100</t>
        </is>
      </c>
      <c r="B2021" s="0" t="inlineStr">
        <is>
          <t>D32</t>
        </is>
      </c>
      <c r="C2021" s="0" t="inlineStr">
        <is>
          <t>D35</t>
        </is>
      </c>
      <c r="D2021" s="0" t="inlineStr">
        <is>
          <t>VLAH</t>
        </is>
      </c>
    </row>
    <row r="2022">
      <c r="A2022" s="0" t="inlineStr">
        <is>
          <t>GloVe-100</t>
        </is>
      </c>
      <c r="B2022" s="0" t="inlineStr">
        <is>
          <t>E32</t>
        </is>
      </c>
      <c r="C2022" s="0" t="inlineStr">
        <is>
          <t>E35</t>
        </is>
      </c>
      <c r="D2022" s="0" t="inlineStr">
        <is>
          <t>Recall rate</t>
        </is>
      </c>
    </row>
    <row r="2023">
      <c r="A2023" s="0" t="inlineStr">
        <is>
          <t>GloVe-100</t>
        </is>
      </c>
      <c r="B2023" s="0" t="inlineStr">
        <is>
          <t>F32</t>
        </is>
      </c>
      <c r="C2023" s="0" t="inlineStr">
        <is>
          <t>F35</t>
        </is>
      </c>
      <c r="D2023" s="0" t="n">
        <v>16</v>
      </c>
    </row>
    <row r="2024">
      <c r="A2024" s="0" t="inlineStr">
        <is>
          <t>GloVe-100</t>
        </is>
      </c>
      <c r="B2024" s="0" t="inlineStr">
        <is>
          <t>G32</t>
        </is>
      </c>
      <c r="C2024" s="0" t="inlineStr">
        <is>
          <t>G35</t>
        </is>
      </c>
      <c r="D2024" s="0" t="n">
        <v>21</v>
      </c>
    </row>
    <row r="2025">
      <c r="A2025" s="0" t="inlineStr">
        <is>
          <t>GloVe-100</t>
        </is>
      </c>
      <c r="B2025" s="0" t="inlineStr">
        <is>
          <t>H32</t>
        </is>
      </c>
      <c r="C2025" s="0" t="inlineStr">
        <is>
          <t>H35</t>
        </is>
      </c>
      <c r="D2025" s="0" t="n">
        <v>26.5</v>
      </c>
    </row>
    <row r="2026">
      <c r="A2026" s="0" t="inlineStr">
        <is>
          <t>GloVe-100</t>
        </is>
      </c>
      <c r="B2026" s="0" t="inlineStr">
        <is>
          <t>I32</t>
        </is>
      </c>
      <c r="C2026" s="0" t="inlineStr">
        <is>
          <t>I35</t>
        </is>
      </c>
      <c r="D2026" s="0" t="n">
        <v>31.5</v>
      </c>
    </row>
    <row r="2027">
      <c r="A2027" s="0" t="inlineStr">
        <is>
          <t>GloVe-100</t>
        </is>
      </c>
      <c r="B2027" s="0" t="inlineStr">
        <is>
          <t>J32</t>
        </is>
      </c>
      <c r="C2027" s="0" t="inlineStr">
        <is>
          <t>J35</t>
        </is>
      </c>
      <c r="D2027" s="0" t="n">
        <v>36.5</v>
      </c>
    </row>
    <row r="2028">
      <c r="A2028" s="0" t="inlineStr">
        <is>
          <t>GloVe-100</t>
        </is>
      </c>
      <c r="B2028" s="0" t="inlineStr">
        <is>
          <t>K32</t>
        </is>
      </c>
      <c r="C2028" s="0" t="inlineStr">
        <is>
          <t>K35</t>
        </is>
      </c>
      <c r="D2028" s="0" t="n">
        <v>41</v>
      </c>
    </row>
    <row r="2029">
      <c r="A2029" s="0" t="inlineStr">
        <is>
          <t>GloVe-100</t>
        </is>
      </c>
      <c r="B2029" s="0" t="inlineStr">
        <is>
          <t>L32</t>
        </is>
      </c>
      <c r="C2029" s="0" t="inlineStr">
        <is>
          <t>L35</t>
        </is>
      </c>
      <c r="D2029" s="0" t="n">
        <v>45</v>
      </c>
    </row>
    <row r="2030">
      <c r="A2030" s="0" t="inlineStr">
        <is>
          <t>GloVe-100</t>
        </is>
      </c>
      <c r="B2030" s="0" t="inlineStr">
        <is>
          <t>M32</t>
        </is>
      </c>
      <c r="C2030" s="0" t="inlineStr">
        <is>
          <t>M35</t>
        </is>
      </c>
      <c r="D2030" s="0" t="n">
        <v>52.5</v>
      </c>
    </row>
    <row r="2031">
      <c r="A2031" s="0" t="inlineStr">
        <is>
          <t>GloVe-100</t>
        </is>
      </c>
      <c r="B2031" s="0" t="inlineStr">
        <is>
          <t>N32</t>
        </is>
      </c>
      <c r="C2031" s="0" t="inlineStr">
        <is>
          <t>N35</t>
        </is>
      </c>
      <c r="D2031" s="0" t="n">
        <v>55.5</v>
      </c>
    </row>
    <row r="2032">
      <c r="A2032" s="0" t="inlineStr">
        <is>
          <t>GloVe-100</t>
        </is>
      </c>
      <c r="B2032" s="0" t="inlineStr">
        <is>
          <t>O32</t>
        </is>
      </c>
      <c r="C2032" s="0" t="inlineStr">
        <is>
          <t>O35</t>
        </is>
      </c>
      <c r="D2032" s="0" t="n">
        <v>60</v>
      </c>
    </row>
    <row r="2033">
      <c r="A2033" s="0" t="inlineStr">
        <is>
          <t>GloVe-100</t>
        </is>
      </c>
      <c r="B2033" s="0" t="inlineStr">
        <is>
          <t>P32</t>
        </is>
      </c>
      <c r="C2033" s="0" t="inlineStr">
        <is>
          <t>P35</t>
        </is>
      </c>
      <c r="D2033" s="0" t="n">
        <v>66</v>
      </c>
    </row>
    <row r="2034">
      <c r="A2034" s="0" t="inlineStr">
        <is>
          <t>GloVe-100</t>
        </is>
      </c>
      <c r="B2034" s="0" t="inlineStr">
        <is>
          <t>Q32</t>
        </is>
      </c>
      <c r="C2034" s="0" t="inlineStr">
        <is>
          <t>Q35</t>
        </is>
      </c>
      <c r="D2034" s="0" t="n">
        <v>70</v>
      </c>
    </row>
    <row r="2035">
      <c r="A2035" s="0" t="inlineStr">
        <is>
          <t>GloVe-100</t>
        </is>
      </c>
      <c r="B2035" s="0" t="inlineStr">
        <is>
          <t>R32</t>
        </is>
      </c>
      <c r="C2035" s="0" t="inlineStr">
        <is>
          <t>R35</t>
        </is>
      </c>
      <c r="D2035" s="0" t="n">
        <v>75.5</v>
      </c>
    </row>
    <row r="2036">
      <c r="A2036" s="0" t="inlineStr">
        <is>
          <t>GloVe-100</t>
        </is>
      </c>
      <c r="B2036" s="0" t="inlineStr">
        <is>
          <t>S32</t>
        </is>
      </c>
      <c r="C2036" s="0" t="inlineStr">
        <is>
          <t>S35</t>
        </is>
      </c>
      <c r="D2036" s="0" t="n">
        <v>80</v>
      </c>
    </row>
    <row r="2037">
      <c r="A2037" s="0" t="inlineStr">
        <is>
          <t>GloVe-100</t>
        </is>
      </c>
      <c r="B2037" s="0" t="inlineStr">
        <is>
          <t>T32</t>
        </is>
      </c>
      <c r="C2037" s="0" t="inlineStr">
        <is>
          <t>T35</t>
        </is>
      </c>
      <c r="D2037" s="0" t="n">
        <v>85</v>
      </c>
    </row>
    <row r="2038">
      <c r="A2038" s="0" t="inlineStr">
        <is>
          <t>GloVe-100</t>
        </is>
      </c>
      <c r="B2038" s="0" t="inlineStr">
        <is>
          <t>U32</t>
        </is>
      </c>
      <c r="C2038" s="0" t="inlineStr">
        <is>
          <t>U35</t>
        </is>
      </c>
      <c r="D2038" s="0" t="n">
        <v>90</v>
      </c>
    </row>
    <row r="2039">
      <c r="A2039" s="0" t="inlineStr">
        <is>
          <t>GloVe-100</t>
        </is>
      </c>
      <c r="B2039" s="0" t="inlineStr">
        <is>
          <t>V32</t>
        </is>
      </c>
      <c r="C2039" s="0" t="inlineStr">
        <is>
          <t>V35</t>
        </is>
      </c>
      <c r="D2039" s="0" t="n">
        <v>95</v>
      </c>
    </row>
    <row r="2040">
      <c r="A2040" s="0" t="inlineStr">
        <is>
          <t>GloVe-100</t>
        </is>
      </c>
      <c r="B2040" s="0" t="inlineStr">
        <is>
          <t>W32</t>
        </is>
      </c>
      <c r="C2040" s="0" t="inlineStr">
        <is>
          <t>W35</t>
        </is>
      </c>
      <c r="D2040" s="0" t="n">
        <v>97.5</v>
      </c>
    </row>
    <row r="2041">
      <c r="A2041" s="0" t="inlineStr">
        <is>
          <t>GloVe-100</t>
        </is>
      </c>
      <c r="B2041" s="0" t="inlineStr">
        <is>
          <t>X32</t>
        </is>
      </c>
      <c r="C2041" s="0" t="inlineStr">
        <is>
          <t>X35</t>
        </is>
      </c>
      <c r="D2041" s="0" t="n">
        <v>99</v>
      </c>
    </row>
    <row r="2042">
      <c r="A2042" s="0" t="inlineStr">
        <is>
          <t>GloVe-100</t>
        </is>
      </c>
      <c r="B2042" s="0" t="inlineStr">
        <is>
          <t>Y32</t>
        </is>
      </c>
      <c r="C2042" s="0" t="inlineStr">
        <is>
          <t>Y35</t>
        </is>
      </c>
      <c r="D2042" s="0" t="n">
        <v>99</v>
      </c>
    </row>
    <row r="2043">
      <c r="A2043" s="0" t="inlineStr">
        <is>
          <t>GloVe-100</t>
        </is>
      </c>
      <c r="B2043" s="0" t="inlineStr">
        <is>
          <t>E33</t>
        </is>
      </c>
      <c r="C2043" s="0" t="inlineStr">
        <is>
          <t>E36</t>
        </is>
      </c>
      <c r="D2043" s="0" t="inlineStr">
        <is>
          <t>verify time</t>
        </is>
      </c>
    </row>
    <row r="2044">
      <c r="A2044" s="0" t="inlineStr">
        <is>
          <t>GloVe-100</t>
        </is>
      </c>
      <c r="B2044" s="0" t="inlineStr">
        <is>
          <t>F33</t>
        </is>
      </c>
      <c r="C2044" s="0" t="inlineStr">
        <is>
          <t>F36</t>
        </is>
      </c>
      <c r="D2044" s="0" t="n">
        <v>20.8436542166667</v>
      </c>
    </row>
    <row r="2045">
      <c r="A2045" s="0" t="inlineStr">
        <is>
          <t>GloVe-100</t>
        </is>
      </c>
      <c r="B2045" s="0" t="inlineStr">
        <is>
          <t>G33</t>
        </is>
      </c>
      <c r="C2045" s="0" t="inlineStr">
        <is>
          <t>G36</t>
        </is>
      </c>
      <c r="D2045" s="0" t="n">
        <v>43.2735672166667</v>
      </c>
    </row>
    <row r="2046">
      <c r="A2046" s="0" t="inlineStr">
        <is>
          <t>GloVe-100</t>
        </is>
      </c>
      <c r="B2046" s="0" t="inlineStr">
        <is>
          <t>H33</t>
        </is>
      </c>
      <c r="C2046" s="0" t="inlineStr">
        <is>
          <t>H36</t>
        </is>
      </c>
      <c r="D2046" s="0" t="n">
        <v>56.7885860833333</v>
      </c>
    </row>
    <row r="2047">
      <c r="A2047" s="0" t="inlineStr">
        <is>
          <t>GloVe-100</t>
        </is>
      </c>
      <c r="B2047" s="0" t="inlineStr">
        <is>
          <t>I33</t>
        </is>
      </c>
      <c r="C2047" s="0" t="inlineStr">
        <is>
          <t>I36</t>
        </is>
      </c>
      <c r="D2047" s="0" t="n">
        <v>80.1626145666667</v>
      </c>
    </row>
    <row r="2048">
      <c r="A2048" s="0" t="inlineStr">
        <is>
          <t>GloVe-100</t>
        </is>
      </c>
      <c r="B2048" s="0" t="inlineStr">
        <is>
          <t>J33</t>
        </is>
      </c>
      <c r="C2048" s="0" t="inlineStr">
        <is>
          <t>J36</t>
        </is>
      </c>
      <c r="D2048" s="0" t="n">
        <v>126.2832732</v>
      </c>
    </row>
    <row r="2049">
      <c r="A2049" s="0" t="inlineStr">
        <is>
          <t>GloVe-100</t>
        </is>
      </c>
      <c r="B2049" s="0" t="inlineStr">
        <is>
          <t>K33</t>
        </is>
      </c>
      <c r="C2049" s="0" t="inlineStr">
        <is>
          <t>K36</t>
        </is>
      </c>
      <c r="D2049" s="0" t="n">
        <v>162.54243325</v>
      </c>
    </row>
    <row r="2050">
      <c r="A2050" s="0" t="inlineStr">
        <is>
          <t>GloVe-100</t>
        </is>
      </c>
      <c r="B2050" s="0" t="inlineStr">
        <is>
          <t>L33</t>
        </is>
      </c>
      <c r="C2050" s="0" t="inlineStr">
        <is>
          <t>L36</t>
        </is>
      </c>
      <c r="D2050" s="0" t="n">
        <v>196.11805405</v>
      </c>
    </row>
    <row r="2051">
      <c r="A2051" s="0" t="inlineStr">
        <is>
          <t>GloVe-100</t>
        </is>
      </c>
      <c r="B2051" s="0" t="inlineStr">
        <is>
          <t>M33</t>
        </is>
      </c>
      <c r="C2051" s="0" t="inlineStr">
        <is>
          <t>M36</t>
        </is>
      </c>
      <c r="D2051" s="0" t="n">
        <v>241.9402729</v>
      </c>
    </row>
    <row r="2052">
      <c r="A2052" s="0" t="inlineStr">
        <is>
          <t>GloVe-100</t>
        </is>
      </c>
      <c r="B2052" s="0" t="inlineStr">
        <is>
          <t>N33</t>
        </is>
      </c>
      <c r="C2052" s="0" t="inlineStr">
        <is>
          <t>N36</t>
        </is>
      </c>
      <c r="D2052" s="0" t="n">
        <v>267.098332333333</v>
      </c>
    </row>
    <row r="2053">
      <c r="A2053" s="0" t="inlineStr">
        <is>
          <t>GloVe-100</t>
        </is>
      </c>
      <c r="B2053" s="0" t="inlineStr">
        <is>
          <t>O33</t>
        </is>
      </c>
      <c r="C2053" s="0" t="inlineStr">
        <is>
          <t>O36</t>
        </is>
      </c>
      <c r="D2053" s="0" t="n">
        <v>469.069549433333</v>
      </c>
    </row>
    <row r="2054">
      <c r="A2054" s="0" t="inlineStr">
        <is>
          <t>GloVe-100</t>
        </is>
      </c>
      <c r="B2054" s="0" t="inlineStr">
        <is>
          <t>P33</t>
        </is>
      </c>
      <c r="C2054" s="0" t="inlineStr">
        <is>
          <t>P36</t>
        </is>
      </c>
      <c r="D2054" s="0" t="n">
        <v>523.3854418333329</v>
      </c>
    </row>
    <row r="2055">
      <c r="A2055" s="0" t="inlineStr">
        <is>
          <t>GloVe-100</t>
        </is>
      </c>
      <c r="B2055" s="0" t="inlineStr">
        <is>
          <t>Q33</t>
        </is>
      </c>
      <c r="C2055" s="0" t="inlineStr">
        <is>
          <t>Q36</t>
        </is>
      </c>
      <c r="D2055" s="0" t="n">
        <v>615.426474783333</v>
      </c>
    </row>
    <row r="2056">
      <c r="A2056" s="0" t="inlineStr">
        <is>
          <t>GloVe-100</t>
        </is>
      </c>
      <c r="B2056" s="0" t="inlineStr">
        <is>
          <t>R33</t>
        </is>
      </c>
      <c r="C2056" s="0" t="inlineStr">
        <is>
          <t>R36</t>
        </is>
      </c>
      <c r="D2056" s="0" t="n">
        <v>668.950644383333</v>
      </c>
    </row>
    <row r="2057">
      <c r="A2057" s="0" t="inlineStr">
        <is>
          <t>GloVe-100</t>
        </is>
      </c>
      <c r="B2057" s="0" t="inlineStr">
        <is>
          <t>S33</t>
        </is>
      </c>
      <c r="C2057" s="0" t="inlineStr">
        <is>
          <t>S36</t>
        </is>
      </c>
      <c r="D2057" s="0" t="n">
        <v>726.525109466667</v>
      </c>
    </row>
    <row r="2058">
      <c r="A2058" s="0" t="inlineStr">
        <is>
          <t>GloVe-100</t>
        </is>
      </c>
      <c r="B2058" s="0" t="inlineStr">
        <is>
          <t>T33</t>
        </is>
      </c>
      <c r="C2058" s="0" t="inlineStr">
        <is>
          <t>T36</t>
        </is>
      </c>
      <c r="D2058" s="0" t="n">
        <v>872.817767766667</v>
      </c>
    </row>
    <row r="2059">
      <c r="A2059" s="0" t="inlineStr">
        <is>
          <t>GloVe-100</t>
        </is>
      </c>
      <c r="B2059" s="0" t="inlineStr">
        <is>
          <t>U33</t>
        </is>
      </c>
      <c r="C2059" s="0" t="inlineStr">
        <is>
          <t>U36</t>
        </is>
      </c>
      <c r="D2059" s="0" t="n">
        <v>950.4888157833331</v>
      </c>
    </row>
    <row r="2060">
      <c r="A2060" s="0" t="inlineStr">
        <is>
          <t>GloVe-100</t>
        </is>
      </c>
      <c r="B2060" s="0" t="inlineStr">
        <is>
          <t>V33</t>
        </is>
      </c>
      <c r="C2060" s="0" t="inlineStr">
        <is>
          <t>V36</t>
        </is>
      </c>
      <c r="D2060" s="0" t="n">
        <v>1028.47328478333</v>
      </c>
    </row>
    <row r="2061">
      <c r="A2061" s="0" t="inlineStr">
        <is>
          <t>GloVe-100</t>
        </is>
      </c>
      <c r="B2061" s="0" t="inlineStr">
        <is>
          <t>W33</t>
        </is>
      </c>
      <c r="C2061" s="0" t="inlineStr">
        <is>
          <t>W36</t>
        </is>
      </c>
      <c r="D2061" s="0" t="n">
        <v>1065.72324375</v>
      </c>
    </row>
    <row r="2062">
      <c r="A2062" s="0" t="inlineStr">
        <is>
          <t>GloVe-100</t>
        </is>
      </c>
      <c r="B2062" s="0" t="inlineStr">
        <is>
          <t>X33</t>
        </is>
      </c>
      <c r="C2062" s="0" t="inlineStr">
        <is>
          <t>X36</t>
        </is>
      </c>
      <c r="D2062" s="0" t="n">
        <v>1099.20293456667</v>
      </c>
    </row>
    <row r="2063">
      <c r="A2063" s="0" t="inlineStr">
        <is>
          <t>GloVe-100</t>
        </is>
      </c>
      <c r="B2063" s="0" t="inlineStr">
        <is>
          <t>Y33</t>
        </is>
      </c>
      <c r="C2063" s="0" t="inlineStr">
        <is>
          <t>Y36</t>
        </is>
      </c>
      <c r="D2063" s="0" t="n">
        <v>1099.20293456667</v>
      </c>
    </row>
    <row r="2064">
      <c r="A2064" s="0" t="inlineStr">
        <is>
          <t>GloVe-100</t>
        </is>
      </c>
      <c r="B2064" s="0" t="inlineStr">
        <is>
          <t>D34</t>
        </is>
      </c>
      <c r="C2064" s="0" t="inlineStr">
        <is>
          <t>D37</t>
        </is>
      </c>
      <c r="D2064" s="0" t="inlineStr">
        <is>
          <t>ANNProof</t>
        </is>
      </c>
    </row>
    <row r="2065">
      <c r="A2065" s="0" t="inlineStr">
        <is>
          <t>GloVe-100</t>
        </is>
      </c>
      <c r="B2065" s="0" t="inlineStr">
        <is>
          <t>E34</t>
        </is>
      </c>
      <c r="C2065" s="0" t="inlineStr">
        <is>
          <t>E37</t>
        </is>
      </c>
      <c r="D2065" s="0" t="inlineStr">
        <is>
          <t>Recall rate</t>
        </is>
      </c>
    </row>
    <row r="2066">
      <c r="A2066" s="0" t="inlineStr">
        <is>
          <t>GloVe-100</t>
        </is>
      </c>
      <c r="B2066" s="0" t="inlineStr">
        <is>
          <t>F34</t>
        </is>
      </c>
      <c r="C2066" s="0" t="inlineStr">
        <is>
          <t>F37</t>
        </is>
      </c>
      <c r="D2066" s="0" t="n">
        <v>36</v>
      </c>
    </row>
    <row r="2067">
      <c r="A2067" s="0" t="inlineStr">
        <is>
          <t>GloVe-100</t>
        </is>
      </c>
      <c r="B2067" s="0" t="inlineStr">
        <is>
          <t>G34</t>
        </is>
      </c>
      <c r="C2067" s="0" t="inlineStr">
        <is>
          <t>G37</t>
        </is>
      </c>
      <c r="D2067" s="0" t="n">
        <v>36</v>
      </c>
    </row>
    <row r="2068">
      <c r="A2068" s="0" t="inlineStr">
        <is>
          <t>GloVe-100</t>
        </is>
      </c>
      <c r="B2068" s="0" t="inlineStr">
        <is>
          <t>H34</t>
        </is>
      </c>
      <c r="C2068" s="0" t="inlineStr">
        <is>
          <t>H37</t>
        </is>
      </c>
      <c r="D2068" s="0" t="n">
        <v>36</v>
      </c>
    </row>
    <row r="2069">
      <c r="A2069" s="0" t="inlineStr">
        <is>
          <t>GloVe-100</t>
        </is>
      </c>
      <c r="B2069" s="0" t="inlineStr">
        <is>
          <t>I34</t>
        </is>
      </c>
      <c r="C2069" s="0" t="inlineStr">
        <is>
          <t>I37</t>
        </is>
      </c>
      <c r="D2069" s="0" t="n">
        <v>36</v>
      </c>
    </row>
    <row r="2070">
      <c r="A2070" s="0" t="inlineStr">
        <is>
          <t>GloVe-100</t>
        </is>
      </c>
      <c r="B2070" s="0" t="inlineStr">
        <is>
          <t>J34</t>
        </is>
      </c>
      <c r="C2070" s="0" t="inlineStr">
        <is>
          <t>J37</t>
        </is>
      </c>
      <c r="D2070" s="0" t="n">
        <v>36</v>
      </c>
    </row>
    <row r="2071">
      <c r="A2071" s="0" t="inlineStr">
        <is>
          <t>GloVe-100</t>
        </is>
      </c>
      <c r="B2071" s="0" t="inlineStr">
        <is>
          <t>K34</t>
        </is>
      </c>
      <c r="C2071" s="0" t="inlineStr">
        <is>
          <t>K37</t>
        </is>
      </c>
      <c r="D2071" s="0" t="n">
        <v>40</v>
      </c>
    </row>
    <row r="2072">
      <c r="A2072" s="0" t="inlineStr">
        <is>
          <t>GloVe-100</t>
        </is>
      </c>
      <c r="B2072" s="0" t="inlineStr">
        <is>
          <t>L34</t>
        </is>
      </c>
      <c r="C2072" s="0" t="inlineStr">
        <is>
          <t>L37</t>
        </is>
      </c>
      <c r="D2072" s="0" t="n">
        <v>45.5</v>
      </c>
    </row>
    <row r="2073">
      <c r="A2073" s="0" t="inlineStr">
        <is>
          <t>GloVe-100</t>
        </is>
      </c>
      <c r="B2073" s="0" t="inlineStr">
        <is>
          <t>M34</t>
        </is>
      </c>
      <c r="C2073" s="0" t="inlineStr">
        <is>
          <t>M37</t>
        </is>
      </c>
      <c r="D2073" s="0" t="n">
        <v>50.5</v>
      </c>
    </row>
    <row r="2074">
      <c r="A2074" s="0" t="inlineStr">
        <is>
          <t>GloVe-100</t>
        </is>
      </c>
      <c r="B2074" s="0" t="inlineStr">
        <is>
          <t>N34</t>
        </is>
      </c>
      <c r="C2074" s="0" t="inlineStr">
        <is>
          <t>N37</t>
        </is>
      </c>
      <c r="D2074" s="0" t="n">
        <v>56.5</v>
      </c>
    </row>
    <row r="2075">
      <c r="A2075" s="0" t="inlineStr">
        <is>
          <t>GloVe-100</t>
        </is>
      </c>
      <c r="B2075" s="0" t="inlineStr">
        <is>
          <t>O34</t>
        </is>
      </c>
      <c r="C2075" s="0" t="inlineStr">
        <is>
          <t>O37</t>
        </is>
      </c>
      <c r="D2075" s="0" t="n">
        <v>66.5</v>
      </c>
    </row>
    <row r="2076">
      <c r="A2076" s="0" t="inlineStr">
        <is>
          <t>GloVe-100</t>
        </is>
      </c>
      <c r="B2076" s="0" t="inlineStr">
        <is>
          <t>P34</t>
        </is>
      </c>
      <c r="C2076" s="0" t="inlineStr">
        <is>
          <t>P37</t>
        </is>
      </c>
      <c r="D2076" s="0" t="n">
        <v>66.5</v>
      </c>
    </row>
    <row r="2077">
      <c r="A2077" s="0" t="inlineStr">
        <is>
          <t>GloVe-100</t>
        </is>
      </c>
      <c r="B2077" s="0" t="inlineStr">
        <is>
          <t>Q34</t>
        </is>
      </c>
      <c r="C2077" s="0" t="inlineStr">
        <is>
          <t>Q37</t>
        </is>
      </c>
      <c r="D2077" s="0" t="n">
        <v>77.5</v>
      </c>
    </row>
    <row r="2078">
      <c r="A2078" s="0" t="inlineStr">
        <is>
          <t>GloVe-100</t>
        </is>
      </c>
      <c r="B2078" s="0" t="inlineStr">
        <is>
          <t>R34</t>
        </is>
      </c>
      <c r="C2078" s="0" t="inlineStr">
        <is>
          <t>R37</t>
        </is>
      </c>
      <c r="D2078" s="0" t="n">
        <v>77.5</v>
      </c>
    </row>
    <row r="2079">
      <c r="A2079" s="0" t="inlineStr">
        <is>
          <t>GloVe-100</t>
        </is>
      </c>
      <c r="B2079" s="0" t="inlineStr">
        <is>
          <t>S34</t>
        </is>
      </c>
      <c r="C2079" s="0" t="inlineStr">
        <is>
          <t>S37</t>
        </is>
      </c>
      <c r="D2079" s="0" t="n">
        <v>83.5</v>
      </c>
    </row>
    <row r="2080">
      <c r="A2080" s="0" t="inlineStr">
        <is>
          <t>GloVe-100</t>
        </is>
      </c>
      <c r="B2080" s="0" t="inlineStr">
        <is>
          <t>T34</t>
        </is>
      </c>
      <c r="C2080" s="0" t="inlineStr">
        <is>
          <t>T37</t>
        </is>
      </c>
      <c r="D2080" s="0" t="n">
        <v>87.5</v>
      </c>
    </row>
    <row r="2081">
      <c r="A2081" s="0" t="inlineStr">
        <is>
          <t>GloVe-100</t>
        </is>
      </c>
      <c r="B2081" s="0" t="inlineStr">
        <is>
          <t>U34</t>
        </is>
      </c>
      <c r="C2081" s="0" t="inlineStr">
        <is>
          <t>U37</t>
        </is>
      </c>
      <c r="D2081" s="0" t="n">
        <v>90</v>
      </c>
    </row>
    <row r="2082">
      <c r="A2082" s="0" t="inlineStr">
        <is>
          <t>GloVe-100</t>
        </is>
      </c>
      <c r="B2082" s="0" t="inlineStr">
        <is>
          <t>V34</t>
        </is>
      </c>
      <c r="C2082" s="0" t="inlineStr">
        <is>
          <t>V37</t>
        </is>
      </c>
      <c r="D2082" s="0" t="n">
        <v>95.5</v>
      </c>
    </row>
    <row r="2083">
      <c r="A2083" s="0" t="inlineStr">
        <is>
          <t>GloVe-100</t>
        </is>
      </c>
      <c r="B2083" s="0" t="inlineStr">
        <is>
          <t>W34</t>
        </is>
      </c>
      <c r="C2083" s="0" t="inlineStr">
        <is>
          <t>W37</t>
        </is>
      </c>
      <c r="D2083" s="0" t="n">
        <v>97.5</v>
      </c>
    </row>
    <row r="2084">
      <c r="A2084" s="0" t="inlineStr">
        <is>
          <t>GloVe-100</t>
        </is>
      </c>
      <c r="B2084" s="0" t="inlineStr">
        <is>
          <t>X34</t>
        </is>
      </c>
      <c r="C2084" s="0" t="inlineStr">
        <is>
          <t>X37</t>
        </is>
      </c>
      <c r="D2084" s="0" t="n">
        <v>98.5</v>
      </c>
    </row>
    <row r="2085">
      <c r="A2085" s="0" t="inlineStr">
        <is>
          <t>GloVe-100</t>
        </is>
      </c>
      <c r="B2085" s="0" t="inlineStr">
        <is>
          <t>Y34</t>
        </is>
      </c>
      <c r="C2085" s="0" t="inlineStr">
        <is>
          <t>Y37</t>
        </is>
      </c>
      <c r="D2085" s="0" t="n">
        <v>99</v>
      </c>
    </row>
    <row r="2086">
      <c r="A2086" s="0" t="inlineStr">
        <is>
          <t>GloVe-100</t>
        </is>
      </c>
      <c r="B2086" s="0" t="inlineStr">
        <is>
          <t>E35</t>
        </is>
      </c>
      <c r="C2086" s="0" t="inlineStr">
        <is>
          <t>E38</t>
        </is>
      </c>
      <c r="D2086" s="0" t="inlineStr">
        <is>
          <t>verify time</t>
        </is>
      </c>
    </row>
    <row r="2087">
      <c r="A2087" s="0" t="inlineStr">
        <is>
          <t>GloVe-100</t>
        </is>
      </c>
      <c r="B2087" s="0" t="inlineStr">
        <is>
          <t>F35</t>
        </is>
      </c>
      <c r="C2087" s="0" t="inlineStr">
        <is>
          <t>F38</t>
        </is>
      </c>
      <c r="D2087" s="0" t="n">
        <v>6.70903365</v>
      </c>
    </row>
    <row r="2088">
      <c r="A2088" s="0" t="inlineStr">
        <is>
          <t>GloVe-100</t>
        </is>
      </c>
      <c r="B2088" s="0" t="inlineStr">
        <is>
          <t>G35</t>
        </is>
      </c>
      <c r="C2088" s="0" t="inlineStr">
        <is>
          <t>G38</t>
        </is>
      </c>
      <c r="D2088" s="0" t="n">
        <v>6.70903365</v>
      </c>
    </row>
    <row r="2089">
      <c r="A2089" s="0" t="inlineStr">
        <is>
          <t>GloVe-100</t>
        </is>
      </c>
      <c r="B2089" s="0" t="inlineStr">
        <is>
          <t>H35</t>
        </is>
      </c>
      <c r="C2089" s="0" t="inlineStr">
        <is>
          <t>H38</t>
        </is>
      </c>
      <c r="D2089" s="0" t="n">
        <v>6.70903365</v>
      </c>
    </row>
    <row r="2090">
      <c r="A2090" s="0" t="inlineStr">
        <is>
          <t>GloVe-100</t>
        </is>
      </c>
      <c r="B2090" s="0" t="inlineStr">
        <is>
          <t>I35</t>
        </is>
      </c>
      <c r="C2090" s="0" t="inlineStr">
        <is>
          <t>I38</t>
        </is>
      </c>
      <c r="D2090" s="0" t="n">
        <v>6.70903365</v>
      </c>
    </row>
    <row r="2091">
      <c r="A2091" s="0" t="inlineStr">
        <is>
          <t>GloVe-100</t>
        </is>
      </c>
      <c r="B2091" s="0" t="inlineStr">
        <is>
          <t>J35</t>
        </is>
      </c>
      <c r="C2091" s="0" t="inlineStr">
        <is>
          <t>J38</t>
        </is>
      </c>
      <c r="D2091" s="0" t="n">
        <v>6.70903365</v>
      </c>
    </row>
    <row r="2092">
      <c r="A2092" s="0" t="inlineStr">
        <is>
          <t>GloVe-100</t>
        </is>
      </c>
      <c r="B2092" s="0" t="inlineStr">
        <is>
          <t>K35</t>
        </is>
      </c>
      <c r="C2092" s="0" t="inlineStr">
        <is>
          <t>K38</t>
        </is>
      </c>
      <c r="D2092" s="0" t="n">
        <v>9.1337694</v>
      </c>
    </row>
    <row r="2093">
      <c r="A2093" s="0" t="inlineStr">
        <is>
          <t>GloVe-100</t>
        </is>
      </c>
      <c r="B2093" s="0" t="inlineStr">
        <is>
          <t>L35</t>
        </is>
      </c>
      <c r="C2093" s="0" t="inlineStr">
        <is>
          <t>L38</t>
        </is>
      </c>
      <c r="D2093" s="0" t="n">
        <v>10.8781289333333</v>
      </c>
    </row>
    <row r="2094">
      <c r="A2094" s="0" t="inlineStr">
        <is>
          <t>GloVe-100</t>
        </is>
      </c>
      <c r="B2094" s="0" t="inlineStr">
        <is>
          <t>M35</t>
        </is>
      </c>
      <c r="C2094" s="0" t="inlineStr">
        <is>
          <t>M38</t>
        </is>
      </c>
      <c r="D2094" s="0" t="n">
        <v>13.3027162</v>
      </c>
    </row>
    <row r="2095">
      <c r="A2095" s="0" t="inlineStr">
        <is>
          <t>GloVe-100</t>
        </is>
      </c>
      <c r="B2095" s="0" t="inlineStr">
        <is>
          <t>N35</t>
        </is>
      </c>
      <c r="C2095" s="0" t="inlineStr">
        <is>
          <t>N38</t>
        </is>
      </c>
      <c r="D2095" s="0" t="n">
        <v>16.0786200333333</v>
      </c>
    </row>
    <row r="2096">
      <c r="A2096" s="0" t="inlineStr">
        <is>
          <t>GloVe-100</t>
        </is>
      </c>
      <c r="B2096" s="0" t="inlineStr">
        <is>
          <t>O35</t>
        </is>
      </c>
      <c r="C2096" s="0" t="inlineStr">
        <is>
          <t>O38</t>
        </is>
      </c>
      <c r="D2096" s="0" t="n">
        <v>23.1672442333333</v>
      </c>
    </row>
    <row r="2097">
      <c r="A2097" s="0" t="inlineStr">
        <is>
          <t>GloVe-100</t>
        </is>
      </c>
      <c r="B2097" s="0" t="inlineStr">
        <is>
          <t>P35</t>
        </is>
      </c>
      <c r="C2097" s="0" t="inlineStr">
        <is>
          <t>P38</t>
        </is>
      </c>
      <c r="D2097" s="0" t="n">
        <v>23.1672442333333</v>
      </c>
    </row>
    <row r="2098">
      <c r="A2098" s="0" t="inlineStr">
        <is>
          <t>GloVe-100</t>
        </is>
      </c>
      <c r="B2098" s="0" t="inlineStr">
        <is>
          <t>Q35</t>
        </is>
      </c>
      <c r="C2098" s="0" t="inlineStr">
        <is>
          <t>Q38</t>
        </is>
      </c>
      <c r="D2098" s="0" t="n">
        <v>37.8451976166667</v>
      </c>
    </row>
    <row r="2099">
      <c r="A2099" s="0" t="inlineStr">
        <is>
          <t>GloVe-100</t>
        </is>
      </c>
      <c r="B2099" s="0" t="inlineStr">
        <is>
          <t>R35</t>
        </is>
      </c>
      <c r="C2099" s="0" t="inlineStr">
        <is>
          <t>R38</t>
        </is>
      </c>
      <c r="D2099" s="0" t="n">
        <v>37.8451976166667</v>
      </c>
    </row>
    <row r="2100">
      <c r="A2100" s="0" t="inlineStr">
        <is>
          <t>GloVe-100</t>
        </is>
      </c>
      <c r="B2100" s="0" t="inlineStr">
        <is>
          <t>S35</t>
        </is>
      </c>
      <c r="C2100" s="0" t="inlineStr">
        <is>
          <t>S38</t>
        </is>
      </c>
      <c r="D2100" s="0" t="n">
        <v>51.5586544166667</v>
      </c>
    </row>
    <row r="2101">
      <c r="A2101" s="0" t="inlineStr">
        <is>
          <t>GloVe-100</t>
        </is>
      </c>
      <c r="B2101" s="0" t="inlineStr">
        <is>
          <t>T35</t>
        </is>
      </c>
      <c r="C2101" s="0" t="inlineStr">
        <is>
          <t>T38</t>
        </is>
      </c>
      <c r="D2101" s="0" t="n">
        <v>65.0245705333333</v>
      </c>
    </row>
    <row r="2102">
      <c r="A2102" s="0" t="inlineStr">
        <is>
          <t>GloVe-100</t>
        </is>
      </c>
      <c r="B2102" s="0" t="inlineStr">
        <is>
          <t>U35</t>
        </is>
      </c>
      <c r="C2102" s="0" t="inlineStr">
        <is>
          <t>U38</t>
        </is>
      </c>
      <c r="D2102" s="0" t="n">
        <v>88.47731368333331</v>
      </c>
    </row>
    <row r="2103">
      <c r="A2103" s="0" t="inlineStr">
        <is>
          <t>GloVe-100</t>
        </is>
      </c>
      <c r="B2103" s="0" t="inlineStr">
        <is>
          <t>V35</t>
        </is>
      </c>
      <c r="C2103" s="0" t="inlineStr">
        <is>
          <t>V38</t>
        </is>
      </c>
      <c r="D2103" s="0" t="n">
        <v>263.942687483333</v>
      </c>
    </row>
    <row r="2104">
      <c r="A2104" s="0" t="inlineStr">
        <is>
          <t>GloVe-100</t>
        </is>
      </c>
      <c r="B2104" s="0" t="inlineStr">
        <is>
          <t>W35</t>
        </is>
      </c>
      <c r="C2104" s="0" t="inlineStr">
        <is>
          <t>W38</t>
        </is>
      </c>
      <c r="D2104" s="0" t="n">
        <v>330.828721833333</v>
      </c>
    </row>
    <row r="2105">
      <c r="A2105" s="0" t="inlineStr">
        <is>
          <t>GloVe-100</t>
        </is>
      </c>
      <c r="B2105" s="0" t="inlineStr">
        <is>
          <t>X35</t>
        </is>
      </c>
      <c r="C2105" s="0" t="inlineStr">
        <is>
          <t>X38</t>
        </is>
      </c>
      <c r="D2105" s="0" t="n">
        <v>572.20322455</v>
      </c>
    </row>
    <row r="2106">
      <c r="A2106" s="0" t="inlineStr">
        <is>
          <t>GloVe-100</t>
        </is>
      </c>
      <c r="B2106" s="0" t="inlineStr">
        <is>
          <t>Y35</t>
        </is>
      </c>
      <c r="C2106" s="0" t="inlineStr">
        <is>
          <t>Y38</t>
        </is>
      </c>
      <c r="D2106" s="0" t="n">
        <v>986.772749533333</v>
      </c>
    </row>
    <row r="2107">
      <c r="A2107" s="0" t="inlineStr">
        <is>
          <t>GloVe-100</t>
        </is>
      </c>
      <c r="B2107" s="0" t="inlineStr">
        <is>
          <t>D36</t>
        </is>
      </c>
      <c r="C2107" s="0" t="inlineStr">
        <is>
          <t>D39</t>
        </is>
      </c>
      <c r="D2107" s="0" t="inlineStr">
        <is>
          <t>Ours</t>
        </is>
      </c>
    </row>
    <row r="2108">
      <c r="A2108" s="0" t="inlineStr">
        <is>
          <t>GloVe-100</t>
        </is>
      </c>
      <c r="B2108" s="0" t="inlineStr">
        <is>
          <t>E36</t>
        </is>
      </c>
      <c r="C2108" s="0" t="inlineStr">
        <is>
          <t>E39</t>
        </is>
      </c>
      <c r="D2108" s="0" t="inlineStr">
        <is>
          <t>Recall rate</t>
        </is>
      </c>
    </row>
    <row r="2109">
      <c r="A2109" s="0" t="inlineStr">
        <is>
          <t>GloVe-100</t>
        </is>
      </c>
      <c r="B2109" s="0" t="inlineStr">
        <is>
          <t>F36</t>
        </is>
      </c>
      <c r="C2109" s="0" t="inlineStr">
        <is>
          <t>F39</t>
        </is>
      </c>
      <c r="D2109" s="0" t="n">
        <v>15.5</v>
      </c>
    </row>
    <row r="2110">
      <c r="A2110" s="0" t="inlineStr">
        <is>
          <t>GloVe-100</t>
        </is>
      </c>
      <c r="B2110" s="0" t="inlineStr">
        <is>
          <t>G36</t>
        </is>
      </c>
      <c r="C2110" s="0" t="inlineStr">
        <is>
          <t>G39</t>
        </is>
      </c>
      <c r="D2110" s="0" t="n">
        <v>23</v>
      </c>
    </row>
    <row r="2111">
      <c r="A2111" s="0" t="inlineStr">
        <is>
          <t>GloVe-100</t>
        </is>
      </c>
      <c r="B2111" s="0" t="inlineStr">
        <is>
          <t>H36</t>
        </is>
      </c>
      <c r="C2111" s="0" t="inlineStr">
        <is>
          <t>H39</t>
        </is>
      </c>
      <c r="D2111" s="0" t="n">
        <v>25.5</v>
      </c>
    </row>
    <row r="2112">
      <c r="A2112" s="0" t="inlineStr">
        <is>
          <t>GloVe-100</t>
        </is>
      </c>
      <c r="B2112" s="0" t="inlineStr">
        <is>
          <t>I36</t>
        </is>
      </c>
      <c r="C2112" s="0" t="inlineStr">
        <is>
          <t>I39</t>
        </is>
      </c>
      <c r="D2112" s="0" t="n">
        <v>30</v>
      </c>
    </row>
    <row r="2113">
      <c r="A2113" s="0" t="inlineStr">
        <is>
          <t>GloVe-100</t>
        </is>
      </c>
      <c r="B2113" s="0" t="inlineStr">
        <is>
          <t>J36</t>
        </is>
      </c>
      <c r="C2113" s="0" t="inlineStr">
        <is>
          <t>J39</t>
        </is>
      </c>
      <c r="D2113" s="0" t="n">
        <v>35</v>
      </c>
    </row>
    <row r="2114">
      <c r="A2114" s="0" t="inlineStr">
        <is>
          <t>GloVe-100</t>
        </is>
      </c>
      <c r="B2114" s="0" t="inlineStr">
        <is>
          <t>K36</t>
        </is>
      </c>
      <c r="C2114" s="0" t="inlineStr">
        <is>
          <t>K39</t>
        </is>
      </c>
      <c r="D2114" s="0" t="n">
        <v>41.5</v>
      </c>
    </row>
    <row r="2115">
      <c r="A2115" s="0" t="inlineStr">
        <is>
          <t>GloVe-100</t>
        </is>
      </c>
      <c r="B2115" s="0" t="inlineStr">
        <is>
          <t>L36</t>
        </is>
      </c>
      <c r="C2115" s="0" t="inlineStr">
        <is>
          <t>L39</t>
        </is>
      </c>
      <c r="D2115" s="0" t="n">
        <v>45.5</v>
      </c>
    </row>
    <row r="2116">
      <c r="A2116" s="0" t="inlineStr">
        <is>
          <t>GloVe-100</t>
        </is>
      </c>
      <c r="B2116" s="0" t="inlineStr">
        <is>
          <t>M36</t>
        </is>
      </c>
      <c r="C2116" s="0" t="inlineStr">
        <is>
          <t>M39</t>
        </is>
      </c>
      <c r="D2116" s="0" t="n">
        <v>50.5</v>
      </c>
    </row>
    <row r="2117">
      <c r="A2117" s="0" t="inlineStr">
        <is>
          <t>GloVe-100</t>
        </is>
      </c>
      <c r="B2117" s="0" t="inlineStr">
        <is>
          <t>N36</t>
        </is>
      </c>
      <c r="C2117" s="0" t="inlineStr">
        <is>
          <t>N39</t>
        </is>
      </c>
      <c r="D2117" s="0" t="n">
        <v>55</v>
      </c>
    </row>
    <row r="2118">
      <c r="A2118" s="0" t="inlineStr">
        <is>
          <t>GloVe-100</t>
        </is>
      </c>
      <c r="B2118" s="0" t="inlineStr">
        <is>
          <t>O36</t>
        </is>
      </c>
      <c r="C2118" s="0" t="inlineStr">
        <is>
          <t>O39</t>
        </is>
      </c>
      <c r="D2118" s="0" t="n">
        <v>60.5</v>
      </c>
    </row>
    <row r="2119">
      <c r="A2119" s="0" t="inlineStr">
        <is>
          <t>GloVe-100</t>
        </is>
      </c>
      <c r="B2119" s="0" t="inlineStr">
        <is>
          <t>P36</t>
        </is>
      </c>
      <c r="C2119" s="0" t="inlineStr">
        <is>
          <t>P39</t>
        </is>
      </c>
      <c r="D2119" s="0" t="n">
        <v>71.5</v>
      </c>
    </row>
    <row r="2120">
      <c r="A2120" s="0" t="inlineStr">
        <is>
          <t>GloVe-100</t>
        </is>
      </c>
      <c r="B2120" s="0" t="inlineStr">
        <is>
          <t>Q36</t>
        </is>
      </c>
      <c r="C2120" s="0" t="inlineStr">
        <is>
          <t>Q39</t>
        </is>
      </c>
      <c r="D2120" s="0" t="n">
        <v>71.5</v>
      </c>
    </row>
    <row r="2121">
      <c r="A2121" s="0" t="inlineStr">
        <is>
          <t>GloVe-100</t>
        </is>
      </c>
      <c r="B2121" s="0" t="inlineStr">
        <is>
          <t>R36</t>
        </is>
      </c>
      <c r="C2121" s="0" t="inlineStr">
        <is>
          <t>R39</t>
        </is>
      </c>
      <c r="D2121" s="0" t="n">
        <v>81</v>
      </c>
    </row>
    <row r="2122">
      <c r="A2122" s="0" t="inlineStr">
        <is>
          <t>GloVe-100</t>
        </is>
      </c>
      <c r="B2122" s="0" t="inlineStr">
        <is>
          <t>S36</t>
        </is>
      </c>
      <c r="C2122" s="0" t="inlineStr">
        <is>
          <t>S39</t>
        </is>
      </c>
      <c r="D2122" s="0" t="n">
        <v>81</v>
      </c>
    </row>
    <row r="2123">
      <c r="A2123" s="0" t="inlineStr">
        <is>
          <t>GloVe-100</t>
        </is>
      </c>
      <c r="B2123" s="0" t="inlineStr">
        <is>
          <t>T36</t>
        </is>
      </c>
      <c r="C2123" s="0" t="inlineStr">
        <is>
          <t>T39</t>
        </is>
      </c>
      <c r="D2123" s="0" t="n">
        <v>85.5</v>
      </c>
    </row>
    <row r="2124">
      <c r="A2124" s="0" t="inlineStr">
        <is>
          <t>GloVe-100</t>
        </is>
      </c>
      <c r="B2124" s="0" t="inlineStr">
        <is>
          <t>U36</t>
        </is>
      </c>
      <c r="C2124" s="0" t="inlineStr">
        <is>
          <t>U39</t>
        </is>
      </c>
      <c r="D2124" s="0" t="n">
        <v>91</v>
      </c>
    </row>
    <row r="2125">
      <c r="A2125" s="0" t="inlineStr">
        <is>
          <t>GloVe-100</t>
        </is>
      </c>
      <c r="B2125" s="0" t="inlineStr">
        <is>
          <t>V36</t>
        </is>
      </c>
      <c r="C2125" s="0" t="inlineStr">
        <is>
          <t>V39</t>
        </is>
      </c>
      <c r="D2125" s="0" t="n">
        <v>96</v>
      </c>
    </row>
    <row r="2126">
      <c r="A2126" s="0" t="inlineStr">
        <is>
          <t>GloVe-100</t>
        </is>
      </c>
      <c r="B2126" s="0" t="inlineStr">
        <is>
          <t>W36</t>
        </is>
      </c>
      <c r="C2126" s="0" t="inlineStr">
        <is>
          <t>W39</t>
        </is>
      </c>
      <c r="D2126" s="0" t="n">
        <v>97.5</v>
      </c>
    </row>
    <row r="2127">
      <c r="A2127" s="0" t="inlineStr">
        <is>
          <t>GloVe-100</t>
        </is>
      </c>
      <c r="B2127" s="0" t="inlineStr">
        <is>
          <t>X36</t>
        </is>
      </c>
      <c r="C2127" s="0" t="inlineStr">
        <is>
          <t>X39</t>
        </is>
      </c>
      <c r="D2127" s="0" t="n">
        <v>98.5</v>
      </c>
    </row>
    <row r="2128">
      <c r="A2128" s="0" t="inlineStr">
        <is>
          <t>GloVe-100</t>
        </is>
      </c>
      <c r="B2128" s="0" t="inlineStr">
        <is>
          <t>Y36</t>
        </is>
      </c>
      <c r="C2128" s="0" t="inlineStr">
        <is>
          <t>Y39</t>
        </is>
      </c>
      <c r="D2128" s="0" t="n">
        <v>99.5</v>
      </c>
    </row>
    <row r="2129">
      <c r="A2129" s="0" t="inlineStr">
        <is>
          <t>GloVe-100</t>
        </is>
      </c>
      <c r="B2129" s="0" t="inlineStr">
        <is>
          <t>E37</t>
        </is>
      </c>
      <c r="C2129" s="0" t="inlineStr">
        <is>
          <t>E40</t>
        </is>
      </c>
      <c r="D2129" s="0" t="inlineStr">
        <is>
          <t>verify time</t>
        </is>
      </c>
    </row>
    <row r="2130">
      <c r="A2130" s="0" t="inlineStr">
        <is>
          <t>GloVe-100</t>
        </is>
      </c>
      <c r="B2130" s="0" t="inlineStr">
        <is>
          <t>F37</t>
        </is>
      </c>
      <c r="C2130" s="0" t="inlineStr">
        <is>
          <t>F40</t>
        </is>
      </c>
      <c r="D2130" s="0" t="n">
        <v>2.65325696666667</v>
      </c>
    </row>
    <row r="2131">
      <c r="A2131" s="0" t="inlineStr">
        <is>
          <t>GloVe-100</t>
        </is>
      </c>
      <c r="B2131" s="0" t="inlineStr">
        <is>
          <t>G37</t>
        </is>
      </c>
      <c r="C2131" s="0" t="inlineStr">
        <is>
          <t>G40</t>
        </is>
      </c>
      <c r="D2131" s="0" t="n">
        <v>3.19250186666667</v>
      </c>
    </row>
    <row r="2132">
      <c r="A2132" s="0" t="inlineStr">
        <is>
          <t>GloVe-100</t>
        </is>
      </c>
      <c r="B2132" s="0" t="inlineStr">
        <is>
          <t>H37</t>
        </is>
      </c>
      <c r="C2132" s="0" t="inlineStr">
        <is>
          <t>H40</t>
        </is>
      </c>
      <c r="D2132" s="0" t="n">
        <v>3.58026891666667</v>
      </c>
    </row>
    <row r="2133">
      <c r="A2133" s="0" t="inlineStr">
        <is>
          <t>GloVe-100</t>
        </is>
      </c>
      <c r="B2133" s="0" t="inlineStr">
        <is>
          <t>I37</t>
        </is>
      </c>
      <c r="C2133" s="0" t="inlineStr">
        <is>
          <t>I40</t>
        </is>
      </c>
      <c r="D2133" s="0" t="n">
        <v>4.14065143333333</v>
      </c>
    </row>
    <row r="2134">
      <c r="A2134" s="0" t="inlineStr">
        <is>
          <t>GloVe-100</t>
        </is>
      </c>
      <c r="B2134" s="0" t="inlineStr">
        <is>
          <t>J37</t>
        </is>
      </c>
      <c r="C2134" s="0" t="inlineStr">
        <is>
          <t>J40</t>
        </is>
      </c>
      <c r="D2134" s="0" t="n">
        <v>4.86813466666667</v>
      </c>
    </row>
    <row r="2135">
      <c r="A2135" s="0" t="inlineStr">
        <is>
          <t>GloVe-100</t>
        </is>
      </c>
      <c r="B2135" s="0" t="inlineStr">
        <is>
          <t>K37</t>
        </is>
      </c>
      <c r="C2135" s="0" t="inlineStr">
        <is>
          <t>K40</t>
        </is>
      </c>
      <c r="D2135" s="0" t="n">
        <v>6.17333213333333</v>
      </c>
    </row>
    <row r="2136">
      <c r="A2136" s="0" t="inlineStr">
        <is>
          <t>GloVe-100</t>
        </is>
      </c>
      <c r="B2136" s="0" t="inlineStr">
        <is>
          <t>L37</t>
        </is>
      </c>
      <c r="C2136" s="0" t="inlineStr">
        <is>
          <t>L40</t>
        </is>
      </c>
      <c r="D2136" s="0" t="n">
        <v>6.21699503333333</v>
      </c>
    </row>
    <row r="2137">
      <c r="A2137" s="0" t="inlineStr">
        <is>
          <t>GloVe-100</t>
        </is>
      </c>
      <c r="B2137" s="0" t="inlineStr">
        <is>
          <t>M37</t>
        </is>
      </c>
      <c r="C2137" s="0" t="inlineStr">
        <is>
          <t>M40</t>
        </is>
      </c>
      <c r="D2137" s="0" t="n">
        <v>7.257134</v>
      </c>
    </row>
    <row r="2138">
      <c r="A2138" s="0" t="inlineStr">
        <is>
          <t>GloVe-100</t>
        </is>
      </c>
      <c r="B2138" s="0" t="inlineStr">
        <is>
          <t>N37</t>
        </is>
      </c>
      <c r="C2138" s="0" t="inlineStr">
        <is>
          <t>N40</t>
        </is>
      </c>
      <c r="D2138" s="0" t="n">
        <v>8.477766000000001</v>
      </c>
    </row>
    <row r="2139">
      <c r="A2139" s="0" t="inlineStr">
        <is>
          <t>GloVe-100</t>
        </is>
      </c>
      <c r="B2139" s="0" t="inlineStr">
        <is>
          <t>O37</t>
        </is>
      </c>
      <c r="C2139" s="0" t="inlineStr">
        <is>
          <t>O40</t>
        </is>
      </c>
      <c r="D2139" s="0" t="n">
        <v>10.0785719</v>
      </c>
    </row>
    <row r="2140">
      <c r="A2140" s="0" t="inlineStr">
        <is>
          <t>GloVe-100</t>
        </is>
      </c>
      <c r="B2140" s="0" t="inlineStr">
        <is>
          <t>P37</t>
        </is>
      </c>
      <c r="C2140" s="0" t="inlineStr">
        <is>
          <t>P40</t>
        </is>
      </c>
      <c r="D2140" s="0" t="n">
        <v>13.6206651666667</v>
      </c>
    </row>
    <row r="2141">
      <c r="A2141" s="0" t="inlineStr">
        <is>
          <t>GloVe-100</t>
        </is>
      </c>
      <c r="B2141" s="0" t="inlineStr">
        <is>
          <t>Q37</t>
        </is>
      </c>
      <c r="C2141" s="0" t="inlineStr">
        <is>
          <t>Q40</t>
        </is>
      </c>
      <c r="D2141" s="0" t="n">
        <v>13.6206651666667</v>
      </c>
    </row>
    <row r="2142">
      <c r="A2142" s="0" t="inlineStr">
        <is>
          <t>GloVe-100</t>
        </is>
      </c>
      <c r="B2142" s="0" t="inlineStr">
        <is>
          <t>R37</t>
        </is>
      </c>
      <c r="C2142" s="0" t="inlineStr">
        <is>
          <t>R40</t>
        </is>
      </c>
      <c r="D2142" s="0" t="n">
        <v>22.532446</v>
      </c>
    </row>
    <row r="2143">
      <c r="A2143" s="0" t="inlineStr">
        <is>
          <t>GloVe-100</t>
        </is>
      </c>
      <c r="B2143" s="0" t="inlineStr">
        <is>
          <t>S37</t>
        </is>
      </c>
      <c r="C2143" s="0" t="inlineStr">
        <is>
          <t>S40</t>
        </is>
      </c>
      <c r="D2143" s="0" t="n">
        <v>22.532446</v>
      </c>
    </row>
    <row r="2144">
      <c r="A2144" s="0" t="inlineStr">
        <is>
          <t>GloVe-100</t>
        </is>
      </c>
      <c r="B2144" s="0" t="inlineStr">
        <is>
          <t>T37</t>
        </is>
      </c>
      <c r="C2144" s="0" t="inlineStr">
        <is>
          <t>T40</t>
        </is>
      </c>
      <c r="D2144" s="0" t="n">
        <v>27.8385452166667</v>
      </c>
    </row>
    <row r="2145">
      <c r="A2145" s="0" t="inlineStr">
        <is>
          <t>GloVe-100</t>
        </is>
      </c>
      <c r="B2145" s="0" t="inlineStr">
        <is>
          <t>U37</t>
        </is>
      </c>
      <c r="C2145" s="0" t="inlineStr">
        <is>
          <t>U40</t>
        </is>
      </c>
      <c r="D2145" s="0" t="n">
        <v>47.1646365666667</v>
      </c>
    </row>
    <row r="2146">
      <c r="A2146" s="0" t="inlineStr">
        <is>
          <t>GloVe-100</t>
        </is>
      </c>
      <c r="B2146" s="0" t="inlineStr">
        <is>
          <t>V37</t>
        </is>
      </c>
      <c r="C2146" s="0" t="inlineStr">
        <is>
          <t>V40</t>
        </is>
      </c>
      <c r="D2146" s="0" t="n">
        <v>110.41652915</v>
      </c>
    </row>
    <row r="2147">
      <c r="A2147" s="0" t="inlineStr">
        <is>
          <t>GloVe-100</t>
        </is>
      </c>
      <c r="B2147" s="0" t="inlineStr">
        <is>
          <t>W37</t>
        </is>
      </c>
      <c r="C2147" s="0" t="inlineStr">
        <is>
          <t>W40</t>
        </is>
      </c>
      <c r="D2147" s="0" t="n">
        <v>138.8817882</v>
      </c>
    </row>
    <row r="2148">
      <c r="A2148" s="0" t="inlineStr">
        <is>
          <t>GloVe-100</t>
        </is>
      </c>
      <c r="B2148" s="0" t="inlineStr">
        <is>
          <t>X37</t>
        </is>
      </c>
      <c r="C2148" s="0" t="inlineStr">
        <is>
          <t>X40</t>
        </is>
      </c>
      <c r="D2148" s="0" t="n">
        <v>249.028947166667</v>
      </c>
    </row>
    <row r="2149">
      <c r="A2149" s="0" t="inlineStr">
        <is>
          <t>GloVe-100</t>
        </is>
      </c>
      <c r="B2149" s="0" t="inlineStr">
        <is>
          <t>Y37</t>
        </is>
      </c>
      <c r="C2149" s="0" t="inlineStr">
        <is>
          <t>Y40</t>
        </is>
      </c>
      <c r="D2149" s="0" t="n">
        <v>476.421713883333</v>
      </c>
    </row>
    <row r="2150">
      <c r="A2150" s="0" t="inlineStr">
        <is>
          <t>GloVe-100</t>
        </is>
      </c>
      <c r="B2150" s="0" t="inlineStr">
        <is>
          <t>D38</t>
        </is>
      </c>
      <c r="C2150" s="0" t="inlineStr">
        <is>
          <t>D41</t>
        </is>
      </c>
      <c r="D2150" s="0" t="inlineStr">
        <is>
          <t>V3DB（单次）</t>
        </is>
      </c>
    </row>
    <row r="2151">
      <c r="A2151" s="0" t="inlineStr">
        <is>
          <t>GloVe-100</t>
        </is>
      </c>
      <c r="B2151" s="0" t="inlineStr">
        <is>
          <t>E38</t>
        </is>
      </c>
      <c r="C2151" s="0" t="inlineStr">
        <is>
          <t>E41</t>
        </is>
      </c>
      <c r="D2151" s="0" t="inlineStr">
        <is>
          <t>Recall rate</t>
        </is>
      </c>
    </row>
    <row r="2152">
      <c r="A2152" s="0" t="inlineStr">
        <is>
          <t>GloVe-100</t>
        </is>
      </c>
      <c r="B2152" s="0" t="inlineStr">
        <is>
          <t>F38</t>
        </is>
      </c>
      <c r="C2152" s="0" t="inlineStr">
        <is>
          <t>F41</t>
        </is>
      </c>
      <c r="D2152" s="0" t="n">
        <v>16.5</v>
      </c>
    </row>
    <row r="2153">
      <c r="A2153" s="0" t="inlineStr">
        <is>
          <t>GloVe-100</t>
        </is>
      </c>
      <c r="B2153" s="0" t="inlineStr">
        <is>
          <t>G38</t>
        </is>
      </c>
      <c r="C2153" s="0" t="inlineStr">
        <is>
          <t>G41</t>
        </is>
      </c>
      <c r="D2153" s="0" t="n">
        <v>20</v>
      </c>
    </row>
    <row r="2154">
      <c r="A2154" s="0" t="inlineStr">
        <is>
          <t>GloVe-100</t>
        </is>
      </c>
      <c r="B2154" s="0" t="inlineStr">
        <is>
          <t>H38</t>
        </is>
      </c>
      <c r="C2154" s="0" t="inlineStr">
        <is>
          <t>H41</t>
        </is>
      </c>
      <c r="D2154" s="0" t="n">
        <v>28.5</v>
      </c>
    </row>
    <row r="2155">
      <c r="A2155" s="0" t="inlineStr">
        <is>
          <t>GloVe-100</t>
        </is>
      </c>
      <c r="B2155" s="0" t="inlineStr">
        <is>
          <t>I38</t>
        </is>
      </c>
      <c r="C2155" s="0" t="inlineStr">
        <is>
          <t>I41</t>
        </is>
      </c>
      <c r="D2155" s="0" t="n">
        <v>40.5</v>
      </c>
    </row>
    <row r="2156">
      <c r="A2156" s="0" t="inlineStr">
        <is>
          <t>GloVe-100</t>
        </is>
      </c>
      <c r="B2156" s="0" t="inlineStr">
        <is>
          <t>J38</t>
        </is>
      </c>
      <c r="C2156" s="0" t="inlineStr">
        <is>
          <t>J41</t>
        </is>
      </c>
      <c r="D2156" s="0" t="n">
        <v>40.5</v>
      </c>
    </row>
    <row r="2157">
      <c r="A2157" s="0" t="inlineStr">
        <is>
          <t>GloVe-100</t>
        </is>
      </c>
      <c r="B2157" s="0" t="inlineStr">
        <is>
          <t>K38</t>
        </is>
      </c>
      <c r="C2157" s="0" t="inlineStr">
        <is>
          <t>K41</t>
        </is>
      </c>
      <c r="D2157" s="0" t="n">
        <v>40.5</v>
      </c>
    </row>
    <row r="2158">
      <c r="A2158" s="0" t="inlineStr">
        <is>
          <t>GloVe-100</t>
        </is>
      </c>
      <c r="B2158" s="0" t="inlineStr">
        <is>
          <t>L38</t>
        </is>
      </c>
      <c r="C2158" s="0" t="inlineStr">
        <is>
          <t>L41</t>
        </is>
      </c>
      <c r="D2158" s="0" t="n">
        <v>47</v>
      </c>
    </row>
    <row r="2159">
      <c r="A2159" s="0" t="inlineStr">
        <is>
          <t>GloVe-100</t>
        </is>
      </c>
      <c r="B2159" s="0" t="inlineStr">
        <is>
          <t>M38</t>
        </is>
      </c>
      <c r="C2159" s="0" t="inlineStr">
        <is>
          <t>M41</t>
        </is>
      </c>
      <c r="D2159" s="0" t="n">
        <v>55</v>
      </c>
    </row>
    <row r="2160">
      <c r="A2160" s="0" t="inlineStr">
        <is>
          <t>GloVe-100</t>
        </is>
      </c>
      <c r="B2160" s="0" t="inlineStr">
        <is>
          <t>N38</t>
        </is>
      </c>
      <c r="C2160" s="0" t="inlineStr">
        <is>
          <t>N41</t>
        </is>
      </c>
      <c r="D2160" s="0" t="n">
        <v>55</v>
      </c>
    </row>
    <row r="2161">
      <c r="A2161" s="0" t="inlineStr">
        <is>
          <t>GloVe-100</t>
        </is>
      </c>
      <c r="B2161" s="0" t="inlineStr">
        <is>
          <t>O38</t>
        </is>
      </c>
      <c r="C2161" s="0" t="inlineStr">
        <is>
          <t>O41</t>
        </is>
      </c>
      <c r="D2161" s="0" t="n">
        <v>64.5</v>
      </c>
    </row>
    <row r="2162">
      <c r="A2162" s="0" t="inlineStr">
        <is>
          <t>GloVe-100</t>
        </is>
      </c>
      <c r="B2162" s="0" t="inlineStr">
        <is>
          <t>P38</t>
        </is>
      </c>
      <c r="C2162" s="0" t="inlineStr">
        <is>
          <t>P41</t>
        </is>
      </c>
      <c r="D2162" s="0" t="n">
        <v>68</v>
      </c>
    </row>
    <row r="2163">
      <c r="A2163" s="0" t="inlineStr">
        <is>
          <t>GloVe-100</t>
        </is>
      </c>
      <c r="B2163" s="0" t="inlineStr">
        <is>
          <t>Q38</t>
        </is>
      </c>
      <c r="C2163" s="0" t="inlineStr">
        <is>
          <t>Q41</t>
        </is>
      </c>
      <c r="D2163" s="0" t="n">
        <v>71.5</v>
      </c>
    </row>
    <row r="2164">
      <c r="A2164" s="0" t="inlineStr">
        <is>
          <t>GloVe-100</t>
        </is>
      </c>
      <c r="B2164" s="0" t="inlineStr">
        <is>
          <t>R38</t>
        </is>
      </c>
      <c r="C2164" s="0" t="inlineStr">
        <is>
          <t>R41</t>
        </is>
      </c>
    </row>
    <row r="2165">
      <c r="A2165" s="0" t="inlineStr">
        <is>
          <t>GloVe-100</t>
        </is>
      </c>
      <c r="B2165" s="0" t="inlineStr">
        <is>
          <t>S38</t>
        </is>
      </c>
      <c r="C2165" s="0" t="inlineStr">
        <is>
          <t>S41</t>
        </is>
      </c>
    </row>
    <row r="2166">
      <c r="A2166" s="0" t="inlineStr">
        <is>
          <t>GloVe-100</t>
        </is>
      </c>
      <c r="B2166" s="0" t="inlineStr">
        <is>
          <t>T38</t>
        </is>
      </c>
      <c r="C2166" s="0" t="inlineStr">
        <is>
          <t>T41</t>
        </is>
      </c>
    </row>
    <row r="2167">
      <c r="A2167" s="0" t="inlineStr">
        <is>
          <t>GloVe-100</t>
        </is>
      </c>
      <c r="B2167" s="0" t="inlineStr">
        <is>
          <t>U38</t>
        </is>
      </c>
      <c r="C2167" s="0" t="inlineStr">
        <is>
          <t>U41</t>
        </is>
      </c>
    </row>
    <row r="2168">
      <c r="A2168" s="0" t="inlineStr">
        <is>
          <t>GloVe-100</t>
        </is>
      </c>
      <c r="B2168" s="0" t="inlineStr">
        <is>
          <t>V38</t>
        </is>
      </c>
      <c r="C2168" s="0" t="inlineStr">
        <is>
          <t>V41</t>
        </is>
      </c>
    </row>
    <row r="2169">
      <c r="A2169" s="0" t="inlineStr">
        <is>
          <t>GloVe-100</t>
        </is>
      </c>
      <c r="B2169" s="0" t="inlineStr">
        <is>
          <t>W38</t>
        </is>
      </c>
      <c r="C2169" s="0" t="inlineStr">
        <is>
          <t>W41</t>
        </is>
      </c>
    </row>
    <row r="2170">
      <c r="A2170" s="0" t="inlineStr">
        <is>
          <t>GloVe-100</t>
        </is>
      </c>
      <c r="B2170" s="0" t="inlineStr">
        <is>
          <t>X38</t>
        </is>
      </c>
      <c r="C2170" s="0" t="inlineStr">
        <is>
          <t>X41</t>
        </is>
      </c>
    </row>
    <row r="2171">
      <c r="A2171" s="0" t="inlineStr">
        <is>
          <t>GloVe-100</t>
        </is>
      </c>
      <c r="B2171" s="0" t="inlineStr">
        <is>
          <t>Y38</t>
        </is>
      </c>
      <c r="C2171" s="0" t="inlineStr">
        <is>
          <t>Y41</t>
        </is>
      </c>
    </row>
    <row r="2172">
      <c r="A2172" s="0" t="inlineStr">
        <is>
          <t>GloVe-100</t>
        </is>
      </c>
      <c r="B2172" s="0" t="inlineStr">
        <is>
          <t>E39</t>
        </is>
      </c>
      <c r="C2172" s="0" t="inlineStr">
        <is>
          <t>E42</t>
        </is>
      </c>
      <c r="D2172" s="0" t="inlineStr">
        <is>
          <t>verify time</t>
        </is>
      </c>
    </row>
    <row r="2173">
      <c r="A2173" s="0" t="inlineStr">
        <is>
          <t>GloVe-100</t>
        </is>
      </c>
      <c r="B2173" s="0" t="inlineStr">
        <is>
          <t>F39</t>
        </is>
      </c>
      <c r="C2173" s="0" t="inlineStr">
        <is>
          <t>F42</t>
        </is>
      </c>
      <c r="D2173" s="0" t="n">
        <v>11.4302449999286</v>
      </c>
    </row>
    <row r="2174">
      <c r="A2174" s="0" t="inlineStr">
        <is>
          <t>GloVe-100</t>
        </is>
      </c>
      <c r="B2174" s="0" t="inlineStr">
        <is>
          <t>G39</t>
        </is>
      </c>
      <c r="C2174" s="0" t="inlineStr">
        <is>
          <t>G42</t>
        </is>
      </c>
      <c r="D2174" s="0" t="n">
        <v>14.618057000007</v>
      </c>
    </row>
    <row r="2175">
      <c r="A2175" s="0" t="inlineStr">
        <is>
          <t>GloVe-100</t>
        </is>
      </c>
      <c r="B2175" s="0" t="inlineStr">
        <is>
          <t>H39</t>
        </is>
      </c>
      <c r="C2175" s="0" t="inlineStr">
        <is>
          <t>H42</t>
        </is>
      </c>
      <c r="D2175" s="0" t="n">
        <v>12.9159059999893</v>
      </c>
    </row>
    <row r="2176">
      <c r="A2176" s="0" t="inlineStr">
        <is>
          <t>GloVe-100</t>
        </is>
      </c>
      <c r="B2176" s="0" t="inlineStr">
        <is>
          <t>I39</t>
        </is>
      </c>
      <c r="C2176" s="0" t="inlineStr">
        <is>
          <t>I42</t>
        </is>
      </c>
      <c r="D2176" s="0" t="n">
        <v>19.9993839999024</v>
      </c>
    </row>
    <row r="2177">
      <c r="A2177" s="0" t="inlineStr">
        <is>
          <t>GloVe-100</t>
        </is>
      </c>
      <c r="B2177" s="0" t="inlineStr">
        <is>
          <t>J39</t>
        </is>
      </c>
      <c r="C2177" s="0" t="inlineStr">
        <is>
          <t>J42</t>
        </is>
      </c>
      <c r="D2177" s="0" t="n">
        <v>19.9993839999024</v>
      </c>
    </row>
    <row r="2178">
      <c r="A2178" s="0" t="inlineStr">
        <is>
          <t>GloVe-100</t>
        </is>
      </c>
      <c r="B2178" s="0" t="inlineStr">
        <is>
          <t>K39</t>
        </is>
      </c>
      <c r="C2178" s="0" t="inlineStr">
        <is>
          <t>K42</t>
        </is>
      </c>
      <c r="D2178" s="0" t="n">
        <v>19.9993839999024</v>
      </c>
    </row>
    <row r="2179">
      <c r="A2179" s="0" t="inlineStr">
        <is>
          <t>GloVe-100</t>
        </is>
      </c>
      <c r="B2179" s="0" t="inlineStr">
        <is>
          <t>L39</t>
        </is>
      </c>
      <c r="C2179" s="0" t="inlineStr">
        <is>
          <t>L42</t>
        </is>
      </c>
      <c r="D2179" s="0" t="n">
        <v>26.9277013483218</v>
      </c>
    </row>
    <row r="2180">
      <c r="A2180" s="0" t="inlineStr">
        <is>
          <t>GloVe-100</t>
        </is>
      </c>
      <c r="B2180" s="0" t="inlineStr">
        <is>
          <t>M39</t>
        </is>
      </c>
      <c r="C2180" s="0" t="inlineStr">
        <is>
          <t>M42</t>
        </is>
      </c>
      <c r="D2180" s="0" t="n">
        <v>31.0652820356752</v>
      </c>
    </row>
    <row r="2181">
      <c r="A2181" s="0" t="inlineStr">
        <is>
          <t>GloVe-100</t>
        </is>
      </c>
      <c r="B2181" s="0" t="inlineStr">
        <is>
          <t>N39</t>
        </is>
      </c>
      <c r="C2181" s="0" t="inlineStr">
        <is>
          <t>N42</t>
        </is>
      </c>
      <c r="D2181" s="0" t="n">
        <v>31.0652820356752</v>
      </c>
    </row>
    <row r="2182">
      <c r="A2182" s="0" t="inlineStr">
        <is>
          <t>GloVe-100</t>
        </is>
      </c>
      <c r="B2182" s="0" t="inlineStr">
        <is>
          <t>O39</t>
        </is>
      </c>
      <c r="C2182" s="0" t="inlineStr">
        <is>
          <t>O42</t>
        </is>
      </c>
      <c r="D2182" s="0" t="n">
        <v>38.1911983949037</v>
      </c>
    </row>
    <row r="2183">
      <c r="A2183" s="0" t="inlineStr">
        <is>
          <t>GloVe-100</t>
        </is>
      </c>
      <c r="B2183" s="0" t="inlineStr">
        <is>
          <t>P39</t>
        </is>
      </c>
      <c r="C2183" s="0" t="inlineStr">
        <is>
          <t>P42</t>
        </is>
      </c>
      <c r="D2183" s="0" t="n">
        <v>39.3404434103822</v>
      </c>
    </row>
    <row r="2184">
      <c r="A2184" s="0" t="inlineStr">
        <is>
          <t>GloVe-100</t>
        </is>
      </c>
      <c r="B2184" s="0" t="inlineStr">
        <is>
          <t>Q39</t>
        </is>
      </c>
      <c r="C2184" s="0" t="inlineStr">
        <is>
          <t>Q42</t>
        </is>
      </c>
      <c r="D2184" s="0" t="n">
        <v>51.2937860978822</v>
      </c>
    </row>
    <row r="2185">
      <c r="A2185" s="0" t="inlineStr">
        <is>
          <t>GloVe-100</t>
        </is>
      </c>
      <c r="B2185" s="0" t="inlineStr">
        <is>
          <t>R39</t>
        </is>
      </c>
      <c r="C2185" s="0" t="inlineStr">
        <is>
          <t>R42</t>
        </is>
      </c>
    </row>
    <row r="2186">
      <c r="A2186" s="0" t="inlineStr">
        <is>
          <t>GloVe-100</t>
        </is>
      </c>
      <c r="B2186" s="0" t="inlineStr">
        <is>
          <t>S39</t>
        </is>
      </c>
      <c r="C2186" s="0" t="inlineStr">
        <is>
          <t>S42</t>
        </is>
      </c>
    </row>
    <row r="2187">
      <c r="A2187" s="0" t="inlineStr">
        <is>
          <t>GloVe-100</t>
        </is>
      </c>
      <c r="B2187" s="0" t="inlineStr">
        <is>
          <t>T39</t>
        </is>
      </c>
      <c r="C2187" s="0" t="inlineStr">
        <is>
          <t>T42</t>
        </is>
      </c>
    </row>
    <row r="2188">
      <c r="A2188" s="0" t="inlineStr">
        <is>
          <t>GloVe-100</t>
        </is>
      </c>
      <c r="B2188" s="0" t="inlineStr">
        <is>
          <t>U39</t>
        </is>
      </c>
      <c r="C2188" s="0" t="inlineStr">
        <is>
          <t>U42</t>
        </is>
      </c>
    </row>
    <row r="2189">
      <c r="A2189" s="0" t="inlineStr">
        <is>
          <t>GloVe-100</t>
        </is>
      </c>
      <c r="B2189" s="0" t="inlineStr">
        <is>
          <t>V39</t>
        </is>
      </c>
      <c r="C2189" s="0" t="inlineStr">
        <is>
          <t>V42</t>
        </is>
      </c>
    </row>
    <row r="2190">
      <c r="A2190" s="0" t="inlineStr">
        <is>
          <t>GloVe-100</t>
        </is>
      </c>
      <c r="B2190" s="0" t="inlineStr">
        <is>
          <t>W39</t>
        </is>
      </c>
      <c r="C2190" s="0" t="inlineStr">
        <is>
          <t>W42</t>
        </is>
      </c>
    </row>
    <row r="2191">
      <c r="A2191" s="0" t="inlineStr">
        <is>
          <t>GloVe-100</t>
        </is>
      </c>
      <c r="B2191" s="0" t="inlineStr">
        <is>
          <t>X39</t>
        </is>
      </c>
      <c r="C2191" s="0" t="inlineStr">
        <is>
          <t>X42</t>
        </is>
      </c>
    </row>
    <row r="2192">
      <c r="A2192" s="0" t="inlineStr">
        <is>
          <t>GloVe-100</t>
        </is>
      </c>
      <c r="B2192" s="0" t="inlineStr">
        <is>
          <t>Y39</t>
        </is>
      </c>
      <c r="C2192" s="0" t="inlineStr">
        <is>
          <t>Y42</t>
        </is>
      </c>
    </row>
    <row r="2193">
      <c r="A2193" s="0" t="inlineStr">
        <is>
          <t>GloVe-100</t>
        </is>
      </c>
      <c r="B2193" s="0" t="inlineStr">
        <is>
          <t>D40</t>
        </is>
      </c>
      <c r="C2193" s="0" t="inlineStr">
        <is>
          <t>D45</t>
        </is>
      </c>
    </row>
    <row r="2194">
      <c r="A2194" s="0" t="inlineStr">
        <is>
          <t>GloVe-100</t>
        </is>
      </c>
      <c r="B2194" s="0" t="inlineStr">
        <is>
          <t>E40</t>
        </is>
      </c>
      <c r="C2194" s="0" t="inlineStr">
        <is>
          <t>E45</t>
        </is>
      </c>
      <c r="D2194" s="0" t="inlineStr">
        <is>
          <t>Target Recall (%)</t>
        </is>
      </c>
    </row>
    <row r="2195">
      <c r="A2195" s="0" t="inlineStr">
        <is>
          <t>GloVe-100</t>
        </is>
      </c>
      <c r="B2195" s="0" t="inlineStr">
        <is>
          <t>F40</t>
        </is>
      </c>
      <c r="C2195" s="0" t="inlineStr">
        <is>
          <t>F45</t>
        </is>
      </c>
      <c r="D2195" s="0" t="n">
        <v>15</v>
      </c>
    </row>
    <row r="2196">
      <c r="A2196" s="0" t="inlineStr">
        <is>
          <t>GloVe-100</t>
        </is>
      </c>
      <c r="B2196" s="0" t="inlineStr">
        <is>
          <t>G40</t>
        </is>
      </c>
      <c r="C2196" s="0" t="inlineStr">
        <is>
          <t>G45</t>
        </is>
      </c>
      <c r="D2196" s="0" t="n">
        <v>20</v>
      </c>
    </row>
    <row r="2197">
      <c r="A2197" s="0" t="inlineStr">
        <is>
          <t>GloVe-100</t>
        </is>
      </c>
      <c r="B2197" s="0" t="inlineStr">
        <is>
          <t>H40</t>
        </is>
      </c>
      <c r="C2197" s="0" t="inlineStr">
        <is>
          <t>H45</t>
        </is>
      </c>
      <c r="D2197" s="0" t="n">
        <v>25</v>
      </c>
    </row>
    <row r="2198">
      <c r="A2198" s="0" t="inlineStr">
        <is>
          <t>GloVe-100</t>
        </is>
      </c>
      <c r="B2198" s="0" t="inlineStr">
        <is>
          <t>I40</t>
        </is>
      </c>
      <c r="C2198" s="0" t="inlineStr">
        <is>
          <t>I45</t>
        </is>
      </c>
      <c r="D2198" s="0" t="n">
        <v>30</v>
      </c>
    </row>
    <row r="2199">
      <c r="A2199" s="0" t="inlineStr">
        <is>
          <t>GloVe-100</t>
        </is>
      </c>
      <c r="B2199" s="0" t="inlineStr">
        <is>
          <t>J40</t>
        </is>
      </c>
      <c r="C2199" s="0" t="inlineStr">
        <is>
          <t>J45</t>
        </is>
      </c>
      <c r="D2199" s="0" t="n">
        <v>35</v>
      </c>
    </row>
    <row r="2200">
      <c r="A2200" s="0" t="inlineStr">
        <is>
          <t>GloVe-100</t>
        </is>
      </c>
      <c r="B2200" s="0" t="inlineStr">
        <is>
          <t>K40</t>
        </is>
      </c>
      <c r="C2200" s="0" t="inlineStr">
        <is>
          <t>K45</t>
        </is>
      </c>
      <c r="D2200" s="0" t="n">
        <v>40</v>
      </c>
    </row>
    <row r="2201">
      <c r="A2201" s="0" t="inlineStr">
        <is>
          <t>GloVe-100</t>
        </is>
      </c>
      <c r="B2201" s="0" t="inlineStr">
        <is>
          <t>L40</t>
        </is>
      </c>
      <c r="C2201" s="0" t="inlineStr">
        <is>
          <t>L45</t>
        </is>
      </c>
      <c r="D2201" s="0" t="n">
        <v>45</v>
      </c>
    </row>
    <row r="2202">
      <c r="A2202" s="0" t="inlineStr">
        <is>
          <t>GloVe-100</t>
        </is>
      </c>
      <c r="B2202" s="0" t="inlineStr">
        <is>
          <t>M40</t>
        </is>
      </c>
      <c r="C2202" s="0" t="inlineStr">
        <is>
          <t>M45</t>
        </is>
      </c>
      <c r="D2202" s="0" t="n">
        <v>50</v>
      </c>
    </row>
    <row r="2203">
      <c r="A2203" s="0" t="inlineStr">
        <is>
          <t>GloVe-100</t>
        </is>
      </c>
      <c r="B2203" s="0" t="inlineStr">
        <is>
          <t>N40</t>
        </is>
      </c>
      <c r="C2203" s="0" t="inlineStr">
        <is>
          <t>N45</t>
        </is>
      </c>
      <c r="D2203" s="0" t="n">
        <v>55</v>
      </c>
    </row>
    <row r="2204">
      <c r="A2204" s="0" t="inlineStr">
        <is>
          <t>GloVe-100</t>
        </is>
      </c>
      <c r="B2204" s="0" t="inlineStr">
        <is>
          <t>O40</t>
        </is>
      </c>
      <c r="C2204" s="0" t="inlineStr">
        <is>
          <t>O45</t>
        </is>
      </c>
      <c r="D2204" s="0" t="n">
        <v>60</v>
      </c>
    </row>
    <row r="2205">
      <c r="A2205" s="0" t="inlineStr">
        <is>
          <t>GloVe-100</t>
        </is>
      </c>
      <c r="B2205" s="0" t="inlineStr">
        <is>
          <t>P40</t>
        </is>
      </c>
      <c r="C2205" s="0" t="inlineStr">
        <is>
          <t>P45</t>
        </is>
      </c>
      <c r="D2205" s="0" t="n">
        <v>65</v>
      </c>
    </row>
    <row r="2206">
      <c r="A2206" s="0" t="inlineStr">
        <is>
          <t>GloVe-100</t>
        </is>
      </c>
      <c r="B2206" s="0" t="inlineStr">
        <is>
          <t>Q40</t>
        </is>
      </c>
      <c r="C2206" s="0" t="inlineStr">
        <is>
          <t>Q45</t>
        </is>
      </c>
      <c r="D2206" s="0" t="n">
        <v>70</v>
      </c>
    </row>
    <row r="2207">
      <c r="A2207" s="0" t="inlineStr">
        <is>
          <t>GloVe-100</t>
        </is>
      </c>
      <c r="B2207" s="0" t="inlineStr">
        <is>
          <t>R40</t>
        </is>
      </c>
      <c r="C2207" s="0" t="inlineStr">
        <is>
          <t>R45</t>
        </is>
      </c>
      <c r="D2207" s="0" t="n">
        <v>75</v>
      </c>
    </row>
    <row r="2208">
      <c r="A2208" s="0" t="inlineStr">
        <is>
          <t>GloVe-100</t>
        </is>
      </c>
      <c r="B2208" s="0" t="inlineStr">
        <is>
          <t>S40</t>
        </is>
      </c>
      <c r="C2208" s="0" t="inlineStr">
        <is>
          <t>S45</t>
        </is>
      </c>
      <c r="D2208" s="0" t="n">
        <v>80</v>
      </c>
    </row>
    <row r="2209">
      <c r="A2209" s="0" t="inlineStr">
        <is>
          <t>GloVe-100</t>
        </is>
      </c>
      <c r="B2209" s="0" t="inlineStr">
        <is>
          <t>T40</t>
        </is>
      </c>
      <c r="C2209" s="0" t="inlineStr">
        <is>
          <t>T45</t>
        </is>
      </c>
      <c r="D2209" s="0" t="n">
        <v>85</v>
      </c>
    </row>
    <row r="2210">
      <c r="A2210" s="0" t="inlineStr">
        <is>
          <t>GloVe-100</t>
        </is>
      </c>
      <c r="B2210" s="0" t="inlineStr">
        <is>
          <t>U40</t>
        </is>
      </c>
      <c r="C2210" s="0" t="inlineStr">
        <is>
          <t>U45</t>
        </is>
      </c>
      <c r="D2210" s="0" t="n">
        <v>90</v>
      </c>
    </row>
    <row r="2211">
      <c r="A2211" s="0" t="inlineStr">
        <is>
          <t>GloVe-100</t>
        </is>
      </c>
      <c r="B2211" s="0" t="inlineStr">
        <is>
          <t>V40</t>
        </is>
      </c>
      <c r="C2211" s="0" t="inlineStr">
        <is>
          <t>V45</t>
        </is>
      </c>
      <c r="D2211" s="0" t="n">
        <v>95</v>
      </c>
    </row>
    <row r="2212">
      <c r="A2212" s="0" t="inlineStr">
        <is>
          <t>GloVe-100</t>
        </is>
      </c>
      <c r="B2212" s="0" t="inlineStr">
        <is>
          <t>W40</t>
        </is>
      </c>
      <c r="C2212" s="0" t="inlineStr">
        <is>
          <t>W45</t>
        </is>
      </c>
      <c r="D2212" s="0" t="n">
        <v>97</v>
      </c>
    </row>
    <row r="2213">
      <c r="A2213" s="0" t="inlineStr">
        <is>
          <t>GloVe-100</t>
        </is>
      </c>
      <c r="B2213" s="0" t="inlineStr">
        <is>
          <t>X40</t>
        </is>
      </c>
      <c r="C2213" s="0" t="inlineStr">
        <is>
          <t>X45</t>
        </is>
      </c>
      <c r="D2213" s="0" t="n">
        <v>98</v>
      </c>
    </row>
    <row r="2214">
      <c r="A2214" s="0" t="inlineStr">
        <is>
          <t>GloVe-100</t>
        </is>
      </c>
      <c r="B2214" s="0" t="inlineStr">
        <is>
          <t>Y40</t>
        </is>
      </c>
      <c r="C2214" s="0" t="inlineStr">
        <is>
          <t>Y45</t>
        </is>
      </c>
      <c r="D2214" s="0" t="n">
        <v>99</v>
      </c>
    </row>
    <row r="2215">
      <c r="A2215" s="0" t="inlineStr">
        <is>
          <t>GloVe-100</t>
        </is>
      </c>
      <c r="B2215" s="0" t="inlineStr">
        <is>
          <t>E41</t>
        </is>
      </c>
      <c r="C2215" s="0" t="inlineStr">
        <is>
          <t>E46</t>
        </is>
      </c>
      <c r="D2215" s="0" t="inlineStr">
        <is>
          <t>Recall@10 (change parameters enabling different recall rate) vs. query time</t>
        </is>
      </c>
    </row>
    <row r="2216">
      <c r="A2216" s="0" t="inlineStr">
        <is>
          <t>GloVe-100</t>
        </is>
      </c>
      <c r="B2216" s="0" t="inlineStr">
        <is>
          <t>D43</t>
        </is>
      </c>
      <c r="C2216" s="0" t="inlineStr">
        <is>
          <t>D48</t>
        </is>
      </c>
      <c r="D2216" s="0" t="inlineStr">
        <is>
          <t>GloVe-100 (N=1,183,514, d=100)</t>
        </is>
      </c>
    </row>
    <row r="2217">
      <c r="A2217" s="0" t="inlineStr">
        <is>
          <t>GloVe-100</t>
        </is>
      </c>
      <c r="B2217" s="0" t="inlineStr">
        <is>
          <t>D44</t>
        </is>
      </c>
      <c r="C2217" s="0" t="inlineStr">
        <is>
          <t>D49</t>
        </is>
      </c>
      <c r="D2217" s="0" t="inlineStr">
        <is>
          <t>VLAH</t>
        </is>
      </c>
    </row>
    <row r="2218">
      <c r="A2218" s="0" t="inlineStr">
        <is>
          <t>GloVe-100</t>
        </is>
      </c>
      <c r="B2218" s="0" t="inlineStr">
        <is>
          <t>E44</t>
        </is>
      </c>
      <c r="C2218" s="0" t="inlineStr">
        <is>
          <t>E49</t>
        </is>
      </c>
      <c r="D2218" s="0" t="inlineStr">
        <is>
          <t>Recall rate</t>
        </is>
      </c>
    </row>
    <row r="2219">
      <c r="A2219" s="0" t="inlineStr">
        <is>
          <t>GloVe-100</t>
        </is>
      </c>
      <c r="B2219" s="0" t="inlineStr">
        <is>
          <t>F44</t>
        </is>
      </c>
      <c r="C2219" s="0" t="inlineStr">
        <is>
          <t>F49</t>
        </is>
      </c>
      <c r="D2219" s="0" t="n">
        <v>16</v>
      </c>
    </row>
    <row r="2220">
      <c r="A2220" s="0" t="inlineStr">
        <is>
          <t>GloVe-100</t>
        </is>
      </c>
      <c r="B2220" s="0" t="inlineStr">
        <is>
          <t>G44</t>
        </is>
      </c>
      <c r="C2220" s="0" t="inlineStr">
        <is>
          <t>G49</t>
        </is>
      </c>
      <c r="D2220" s="0" t="n">
        <v>21</v>
      </c>
    </row>
    <row r="2221">
      <c r="A2221" s="0" t="inlineStr">
        <is>
          <t>GloVe-100</t>
        </is>
      </c>
      <c r="B2221" s="0" t="inlineStr">
        <is>
          <t>H44</t>
        </is>
      </c>
      <c r="C2221" s="0" t="inlineStr">
        <is>
          <t>H49</t>
        </is>
      </c>
      <c r="D2221" s="0" t="n">
        <v>26.5</v>
      </c>
    </row>
    <row r="2222">
      <c r="A2222" s="0" t="inlineStr">
        <is>
          <t>GloVe-100</t>
        </is>
      </c>
      <c r="B2222" s="0" t="inlineStr">
        <is>
          <t>I44</t>
        </is>
      </c>
      <c r="C2222" s="0" t="inlineStr">
        <is>
          <t>I49</t>
        </is>
      </c>
      <c r="D2222" s="0" t="n">
        <v>31.5</v>
      </c>
    </row>
    <row r="2223">
      <c r="A2223" s="0" t="inlineStr">
        <is>
          <t>GloVe-100</t>
        </is>
      </c>
      <c r="B2223" s="0" t="inlineStr">
        <is>
          <t>J44</t>
        </is>
      </c>
      <c r="C2223" s="0" t="inlineStr">
        <is>
          <t>J49</t>
        </is>
      </c>
      <c r="D2223" s="0" t="n">
        <v>36.5</v>
      </c>
    </row>
    <row r="2224">
      <c r="A2224" s="0" t="inlineStr">
        <is>
          <t>GloVe-100</t>
        </is>
      </c>
      <c r="B2224" s="0" t="inlineStr">
        <is>
          <t>K44</t>
        </is>
      </c>
      <c r="C2224" s="0" t="inlineStr">
        <is>
          <t>K49</t>
        </is>
      </c>
      <c r="D2224" s="0" t="n">
        <v>41</v>
      </c>
    </row>
    <row r="2225">
      <c r="A2225" s="0" t="inlineStr">
        <is>
          <t>GloVe-100</t>
        </is>
      </c>
      <c r="B2225" s="0" t="inlineStr">
        <is>
          <t>L44</t>
        </is>
      </c>
      <c r="C2225" s="0" t="inlineStr">
        <is>
          <t>L49</t>
        </is>
      </c>
      <c r="D2225" s="0" t="n">
        <v>45</v>
      </c>
    </row>
    <row r="2226">
      <c r="A2226" s="0" t="inlineStr">
        <is>
          <t>GloVe-100</t>
        </is>
      </c>
      <c r="B2226" s="0" t="inlineStr">
        <is>
          <t>M44</t>
        </is>
      </c>
      <c r="C2226" s="0" t="inlineStr">
        <is>
          <t>M49</t>
        </is>
      </c>
      <c r="D2226" s="0" t="n">
        <v>52.5</v>
      </c>
    </row>
    <row r="2227">
      <c r="A2227" s="0" t="inlineStr">
        <is>
          <t>GloVe-100</t>
        </is>
      </c>
      <c r="B2227" s="0" t="inlineStr">
        <is>
          <t>N44</t>
        </is>
      </c>
      <c r="C2227" s="0" t="inlineStr">
        <is>
          <t>N49</t>
        </is>
      </c>
      <c r="D2227" s="0" t="n">
        <v>55.5</v>
      </c>
    </row>
    <row r="2228">
      <c r="A2228" s="0" t="inlineStr">
        <is>
          <t>GloVe-100</t>
        </is>
      </c>
      <c r="B2228" s="0" t="inlineStr">
        <is>
          <t>O44</t>
        </is>
      </c>
      <c r="C2228" s="0" t="inlineStr">
        <is>
          <t>O49</t>
        </is>
      </c>
      <c r="D2228" s="0" t="n">
        <v>60</v>
      </c>
    </row>
    <row r="2229">
      <c r="A2229" s="0" t="inlineStr">
        <is>
          <t>GloVe-100</t>
        </is>
      </c>
      <c r="B2229" s="0" t="inlineStr">
        <is>
          <t>P44</t>
        </is>
      </c>
      <c r="C2229" s="0" t="inlineStr">
        <is>
          <t>P49</t>
        </is>
      </c>
      <c r="D2229" s="0" t="n">
        <v>66</v>
      </c>
    </row>
    <row r="2230">
      <c r="A2230" s="0" t="inlineStr">
        <is>
          <t>GloVe-100</t>
        </is>
      </c>
      <c r="B2230" s="0" t="inlineStr">
        <is>
          <t>Q44</t>
        </is>
      </c>
      <c r="C2230" s="0" t="inlineStr">
        <is>
          <t>Q49</t>
        </is>
      </c>
      <c r="D2230" s="0" t="n">
        <v>70</v>
      </c>
    </row>
    <row r="2231">
      <c r="A2231" s="0" t="inlineStr">
        <is>
          <t>GloVe-100</t>
        </is>
      </c>
      <c r="B2231" s="0" t="inlineStr">
        <is>
          <t>R44</t>
        </is>
      </c>
      <c r="C2231" s="0" t="inlineStr">
        <is>
          <t>R49</t>
        </is>
      </c>
      <c r="D2231" s="0" t="n">
        <v>75.5</v>
      </c>
    </row>
    <row r="2232">
      <c r="A2232" s="0" t="inlineStr">
        <is>
          <t>GloVe-100</t>
        </is>
      </c>
      <c r="B2232" s="0" t="inlineStr">
        <is>
          <t>S44</t>
        </is>
      </c>
      <c r="C2232" s="0" t="inlineStr">
        <is>
          <t>S49</t>
        </is>
      </c>
      <c r="D2232" s="0" t="n">
        <v>80</v>
      </c>
    </row>
    <row r="2233">
      <c r="A2233" s="0" t="inlineStr">
        <is>
          <t>GloVe-100</t>
        </is>
      </c>
      <c r="B2233" s="0" t="inlineStr">
        <is>
          <t>T44</t>
        </is>
      </c>
      <c r="C2233" s="0" t="inlineStr">
        <is>
          <t>T49</t>
        </is>
      </c>
      <c r="D2233" s="0" t="n">
        <v>85</v>
      </c>
    </row>
    <row r="2234">
      <c r="A2234" s="0" t="inlineStr">
        <is>
          <t>GloVe-100</t>
        </is>
      </c>
      <c r="B2234" s="0" t="inlineStr">
        <is>
          <t>U44</t>
        </is>
      </c>
      <c r="C2234" s="0" t="inlineStr">
        <is>
          <t>U49</t>
        </is>
      </c>
      <c r="D2234" s="0" t="n">
        <v>90</v>
      </c>
    </row>
    <row r="2235">
      <c r="A2235" s="0" t="inlineStr">
        <is>
          <t>GloVe-100</t>
        </is>
      </c>
      <c r="B2235" s="0" t="inlineStr">
        <is>
          <t>V44</t>
        </is>
      </c>
      <c r="C2235" s="0" t="inlineStr">
        <is>
          <t>V49</t>
        </is>
      </c>
      <c r="D2235" s="0" t="n">
        <v>95</v>
      </c>
    </row>
    <row r="2236">
      <c r="A2236" s="0" t="inlineStr">
        <is>
          <t>GloVe-100</t>
        </is>
      </c>
      <c r="B2236" s="0" t="inlineStr">
        <is>
          <t>W44</t>
        </is>
      </c>
      <c r="C2236" s="0" t="inlineStr">
        <is>
          <t>W49</t>
        </is>
      </c>
      <c r="D2236" s="0" t="n">
        <v>97.5</v>
      </c>
    </row>
    <row r="2237">
      <c r="A2237" s="0" t="inlineStr">
        <is>
          <t>GloVe-100</t>
        </is>
      </c>
      <c r="B2237" s="0" t="inlineStr">
        <is>
          <t>X44</t>
        </is>
      </c>
      <c r="C2237" s="0" t="inlineStr">
        <is>
          <t>X49</t>
        </is>
      </c>
      <c r="D2237" s="0" t="n">
        <v>99</v>
      </c>
    </row>
    <row r="2238">
      <c r="A2238" s="0" t="inlineStr">
        <is>
          <t>GloVe-100</t>
        </is>
      </c>
      <c r="B2238" s="0" t="inlineStr">
        <is>
          <t>Y44</t>
        </is>
      </c>
      <c r="C2238" s="0" t="inlineStr">
        <is>
          <t>Y49</t>
        </is>
      </c>
      <c r="D2238" s="0" t="n">
        <v>99</v>
      </c>
    </row>
    <row r="2239">
      <c r="A2239" s="0" t="inlineStr">
        <is>
          <t>GloVe-100</t>
        </is>
      </c>
      <c r="B2239" s="0" t="inlineStr">
        <is>
          <t>E45</t>
        </is>
      </c>
      <c r="C2239" s="0" t="inlineStr">
        <is>
          <t>E50</t>
        </is>
      </c>
      <c r="D2239" s="0" t="inlineStr">
        <is>
          <t>query time</t>
        </is>
      </c>
    </row>
    <row r="2240">
      <c r="A2240" s="0" t="inlineStr">
        <is>
          <t>GloVe-100</t>
        </is>
      </c>
      <c r="B2240" s="0" t="inlineStr">
        <is>
          <t>F45</t>
        </is>
      </c>
      <c r="C2240" s="0" t="inlineStr">
        <is>
          <t>F50</t>
        </is>
      </c>
      <c r="D2240" s="0" t="n">
        <v>7.3318917</v>
      </c>
    </row>
    <row r="2241">
      <c r="A2241" s="0" t="inlineStr">
        <is>
          <t>GloVe-100</t>
        </is>
      </c>
      <c r="B2241" s="0" t="inlineStr">
        <is>
          <t>G45</t>
        </is>
      </c>
      <c r="C2241" s="0" t="inlineStr">
        <is>
          <t>G50</t>
        </is>
      </c>
      <c r="D2241" s="0" t="n">
        <v>15.2476492333333</v>
      </c>
    </row>
    <row r="2242">
      <c r="A2242" s="0" t="inlineStr">
        <is>
          <t>GloVe-100</t>
        </is>
      </c>
      <c r="B2242" s="0" t="inlineStr">
        <is>
          <t>H45</t>
        </is>
      </c>
      <c r="C2242" s="0" t="inlineStr">
        <is>
          <t>H50</t>
        </is>
      </c>
      <c r="D2242" s="0" t="n">
        <v>19.9759850166667</v>
      </c>
    </row>
    <row r="2243">
      <c r="A2243" s="0" t="inlineStr">
        <is>
          <t>GloVe-100</t>
        </is>
      </c>
      <c r="B2243" s="0" t="inlineStr">
        <is>
          <t>I45</t>
        </is>
      </c>
      <c r="C2243" s="0" t="inlineStr">
        <is>
          <t>I50</t>
        </is>
      </c>
      <c r="D2243" s="0" t="n">
        <v>27.8080570833333</v>
      </c>
    </row>
    <row r="2244">
      <c r="A2244" s="0" t="inlineStr">
        <is>
          <t>GloVe-100</t>
        </is>
      </c>
      <c r="B2244" s="0" t="inlineStr">
        <is>
          <t>J45</t>
        </is>
      </c>
      <c r="C2244" s="0" t="inlineStr">
        <is>
          <t>J50</t>
        </is>
      </c>
      <c r="D2244" s="0" t="n">
        <v>46.3768232</v>
      </c>
    </row>
    <row r="2245">
      <c r="A2245" s="0" t="inlineStr">
        <is>
          <t>GloVe-100</t>
        </is>
      </c>
      <c r="B2245" s="0" t="inlineStr">
        <is>
          <t>K45</t>
        </is>
      </c>
      <c r="C2245" s="0" t="inlineStr">
        <is>
          <t>K50</t>
        </is>
      </c>
      <c r="D2245" s="0" t="n">
        <v>60.5663312333333</v>
      </c>
    </row>
    <row r="2246">
      <c r="A2246" s="0" t="inlineStr">
        <is>
          <t>GloVe-100</t>
        </is>
      </c>
      <c r="B2246" s="0" t="inlineStr">
        <is>
          <t>L45</t>
        </is>
      </c>
      <c r="C2246" s="0" t="inlineStr">
        <is>
          <t>L50</t>
        </is>
      </c>
      <c r="D2246" s="0" t="n">
        <v>73.6096228333333</v>
      </c>
    </row>
    <row r="2247">
      <c r="A2247" s="0" t="inlineStr">
        <is>
          <t>GloVe-100</t>
        </is>
      </c>
      <c r="B2247" s="0" t="inlineStr">
        <is>
          <t>M45</t>
        </is>
      </c>
      <c r="C2247" s="0" t="inlineStr">
        <is>
          <t>M50</t>
        </is>
      </c>
      <c r="D2247" s="0" t="n">
        <v>94.3804684666667</v>
      </c>
    </row>
    <row r="2248">
      <c r="A2248" s="0" t="inlineStr">
        <is>
          <t>GloVe-100</t>
        </is>
      </c>
      <c r="B2248" s="0" t="inlineStr">
        <is>
          <t>N45</t>
        </is>
      </c>
      <c r="C2248" s="0" t="inlineStr">
        <is>
          <t>N50</t>
        </is>
      </c>
      <c r="D2248" s="0" t="n">
        <v>107.98516335</v>
      </c>
    </row>
    <row r="2249">
      <c r="A2249" s="0" t="inlineStr">
        <is>
          <t>GloVe-100</t>
        </is>
      </c>
      <c r="B2249" s="0" t="inlineStr">
        <is>
          <t>O45</t>
        </is>
      </c>
      <c r="C2249" s="0" t="inlineStr">
        <is>
          <t>O50</t>
        </is>
      </c>
      <c r="D2249" s="0" t="n">
        <v>191.6756877</v>
      </c>
    </row>
    <row r="2250">
      <c r="A2250" s="0" t="inlineStr">
        <is>
          <t>GloVe-100</t>
        </is>
      </c>
      <c r="B2250" s="0" t="inlineStr">
        <is>
          <t>P45</t>
        </is>
      </c>
      <c r="C2250" s="0" t="inlineStr">
        <is>
          <t>P50</t>
        </is>
      </c>
      <c r="D2250" s="0" t="n">
        <v>214.483257416667</v>
      </c>
    </row>
    <row r="2251">
      <c r="A2251" s="0" t="inlineStr">
        <is>
          <t>GloVe-100</t>
        </is>
      </c>
      <c r="B2251" s="0" t="inlineStr">
        <is>
          <t>Q45</t>
        </is>
      </c>
      <c r="C2251" s="0" t="inlineStr">
        <is>
          <t>Q50</t>
        </is>
      </c>
      <c r="D2251" s="0" t="n">
        <v>255.16067945</v>
      </c>
    </row>
    <row r="2252">
      <c r="A2252" s="0" t="inlineStr">
        <is>
          <t>GloVe-100</t>
        </is>
      </c>
      <c r="B2252" s="0" t="inlineStr">
        <is>
          <t>R45</t>
        </is>
      </c>
      <c r="C2252" s="0" t="inlineStr">
        <is>
          <t>R50</t>
        </is>
      </c>
      <c r="D2252" s="0" t="n">
        <v>272.635821866667</v>
      </c>
    </row>
    <row r="2253">
      <c r="A2253" s="0" t="inlineStr">
        <is>
          <t>GloVe-100</t>
        </is>
      </c>
      <c r="B2253" s="0" t="inlineStr">
        <is>
          <t>S45</t>
        </is>
      </c>
      <c r="C2253" s="0" t="inlineStr">
        <is>
          <t>S50</t>
        </is>
      </c>
      <c r="D2253" s="0" t="n">
        <v>297.966906316667</v>
      </c>
    </row>
    <row r="2254">
      <c r="A2254" s="0" t="inlineStr">
        <is>
          <t>GloVe-100</t>
        </is>
      </c>
      <c r="B2254" s="0" t="inlineStr">
        <is>
          <t>T45</t>
        </is>
      </c>
      <c r="C2254" s="0" t="inlineStr">
        <is>
          <t>T50</t>
        </is>
      </c>
      <c r="D2254" s="0" t="n">
        <v>362.26386005</v>
      </c>
    </row>
    <row r="2255">
      <c r="A2255" s="0" t="inlineStr">
        <is>
          <t>GloVe-100</t>
        </is>
      </c>
      <c r="B2255" s="0" t="inlineStr">
        <is>
          <t>U45</t>
        </is>
      </c>
      <c r="C2255" s="0" t="inlineStr">
        <is>
          <t>U50</t>
        </is>
      </c>
      <c r="D2255" s="0" t="n">
        <v>391.939616166667</v>
      </c>
    </row>
    <row r="2256">
      <c r="A2256" s="0" t="inlineStr">
        <is>
          <t>GloVe-100</t>
        </is>
      </c>
      <c r="B2256" s="0" t="inlineStr">
        <is>
          <t>V45</t>
        </is>
      </c>
      <c r="C2256" s="0" t="inlineStr">
        <is>
          <t>V50</t>
        </is>
      </c>
      <c r="D2256" s="0" t="n">
        <v>420.781040966667</v>
      </c>
    </row>
    <row r="2257">
      <c r="A2257" s="0" t="inlineStr">
        <is>
          <t>GloVe-100</t>
        </is>
      </c>
      <c r="B2257" s="0" t="inlineStr">
        <is>
          <t>W45</t>
        </is>
      </c>
      <c r="C2257" s="0" t="inlineStr">
        <is>
          <t>W50</t>
        </is>
      </c>
      <c r="D2257" s="0" t="n">
        <v>443.8091156</v>
      </c>
    </row>
    <row r="2258">
      <c r="A2258" s="0" t="inlineStr">
        <is>
          <t>GloVe-100</t>
        </is>
      </c>
      <c r="B2258" s="0" t="inlineStr">
        <is>
          <t>X45</t>
        </is>
      </c>
      <c r="C2258" s="0" t="inlineStr">
        <is>
          <t>X50</t>
        </is>
      </c>
      <c r="D2258" s="0" t="n">
        <v>451.888928783333</v>
      </c>
    </row>
    <row r="2259">
      <c r="A2259" s="0" t="inlineStr">
        <is>
          <t>GloVe-100</t>
        </is>
      </c>
      <c r="B2259" s="0" t="inlineStr">
        <is>
          <t>Y45</t>
        </is>
      </c>
      <c r="C2259" s="0" t="inlineStr">
        <is>
          <t>Y50</t>
        </is>
      </c>
      <c r="D2259" s="0" t="n">
        <v>451.888928783333</v>
      </c>
    </row>
    <row r="2260">
      <c r="A2260" s="0" t="inlineStr">
        <is>
          <t>GloVe-100</t>
        </is>
      </c>
      <c r="B2260" s="0" t="inlineStr">
        <is>
          <t>D46</t>
        </is>
      </c>
      <c r="C2260" s="0" t="inlineStr">
        <is>
          <t>D51</t>
        </is>
      </c>
      <c r="D2260" s="0" t="inlineStr">
        <is>
          <t>ANNProof</t>
        </is>
      </c>
    </row>
    <row r="2261">
      <c r="A2261" s="0" t="inlineStr">
        <is>
          <t>GloVe-100</t>
        </is>
      </c>
      <c r="B2261" s="0" t="inlineStr">
        <is>
          <t>E46</t>
        </is>
      </c>
      <c r="C2261" s="0" t="inlineStr">
        <is>
          <t>E51</t>
        </is>
      </c>
      <c r="D2261" s="0" t="inlineStr">
        <is>
          <t>Recall rate</t>
        </is>
      </c>
    </row>
    <row r="2262">
      <c r="A2262" s="0" t="inlineStr">
        <is>
          <t>GloVe-100</t>
        </is>
      </c>
      <c r="B2262" s="0" t="inlineStr">
        <is>
          <t>F46</t>
        </is>
      </c>
      <c r="C2262" s="0" t="inlineStr">
        <is>
          <t>F51</t>
        </is>
      </c>
      <c r="D2262" s="0" t="n">
        <v>36</v>
      </c>
    </row>
    <row r="2263">
      <c r="A2263" s="0" t="inlineStr">
        <is>
          <t>GloVe-100</t>
        </is>
      </c>
      <c r="B2263" s="0" t="inlineStr">
        <is>
          <t>G46</t>
        </is>
      </c>
      <c r="C2263" s="0" t="inlineStr">
        <is>
          <t>G51</t>
        </is>
      </c>
      <c r="D2263" s="0" t="n">
        <v>36</v>
      </c>
    </row>
    <row r="2264">
      <c r="A2264" s="0" t="inlineStr">
        <is>
          <t>GloVe-100</t>
        </is>
      </c>
      <c r="B2264" s="0" t="inlineStr">
        <is>
          <t>H46</t>
        </is>
      </c>
      <c r="C2264" s="0" t="inlineStr">
        <is>
          <t>H51</t>
        </is>
      </c>
      <c r="D2264" s="0" t="n">
        <v>36</v>
      </c>
    </row>
    <row r="2265">
      <c r="A2265" s="0" t="inlineStr">
        <is>
          <t>GloVe-100</t>
        </is>
      </c>
      <c r="B2265" s="0" t="inlineStr">
        <is>
          <t>I46</t>
        </is>
      </c>
      <c r="C2265" s="0" t="inlineStr">
        <is>
          <t>I51</t>
        </is>
      </c>
      <c r="D2265" s="0" t="n">
        <v>36</v>
      </c>
    </row>
    <row r="2266">
      <c r="A2266" s="0" t="inlineStr">
        <is>
          <t>GloVe-100</t>
        </is>
      </c>
      <c r="B2266" s="0" t="inlineStr">
        <is>
          <t>J46</t>
        </is>
      </c>
      <c r="C2266" s="0" t="inlineStr">
        <is>
          <t>J51</t>
        </is>
      </c>
      <c r="D2266" s="0" t="n">
        <v>36</v>
      </c>
    </row>
    <row r="2267">
      <c r="A2267" s="0" t="inlineStr">
        <is>
          <t>GloVe-100</t>
        </is>
      </c>
      <c r="B2267" s="0" t="inlineStr">
        <is>
          <t>K46</t>
        </is>
      </c>
      <c r="C2267" s="0" t="inlineStr">
        <is>
          <t>K51</t>
        </is>
      </c>
      <c r="D2267" s="0" t="n">
        <v>40</v>
      </c>
    </row>
    <row r="2268">
      <c r="A2268" s="0" t="inlineStr">
        <is>
          <t>GloVe-100</t>
        </is>
      </c>
      <c r="B2268" s="0" t="inlineStr">
        <is>
          <t>L46</t>
        </is>
      </c>
      <c r="C2268" s="0" t="inlineStr">
        <is>
          <t>L51</t>
        </is>
      </c>
      <c r="D2268" s="0" t="n">
        <v>45.5</v>
      </c>
    </row>
    <row r="2269">
      <c r="A2269" s="0" t="inlineStr">
        <is>
          <t>GloVe-100</t>
        </is>
      </c>
      <c r="B2269" s="0" t="inlineStr">
        <is>
          <t>M46</t>
        </is>
      </c>
      <c r="C2269" s="0" t="inlineStr">
        <is>
          <t>M51</t>
        </is>
      </c>
      <c r="D2269" s="0" t="n">
        <v>50.5</v>
      </c>
    </row>
    <row r="2270">
      <c r="A2270" s="0" t="inlineStr">
        <is>
          <t>GloVe-100</t>
        </is>
      </c>
      <c r="B2270" s="0" t="inlineStr">
        <is>
          <t>N46</t>
        </is>
      </c>
      <c r="C2270" s="0" t="inlineStr">
        <is>
          <t>N51</t>
        </is>
      </c>
      <c r="D2270" s="0" t="n">
        <v>56.5</v>
      </c>
    </row>
    <row r="2271">
      <c r="A2271" s="0" t="inlineStr">
        <is>
          <t>GloVe-100</t>
        </is>
      </c>
      <c r="B2271" s="0" t="inlineStr">
        <is>
          <t>O46</t>
        </is>
      </c>
      <c r="C2271" s="0" t="inlineStr">
        <is>
          <t>O51</t>
        </is>
      </c>
      <c r="D2271" s="0" t="n">
        <v>66.5</v>
      </c>
    </row>
    <row r="2272">
      <c r="A2272" s="0" t="inlineStr">
        <is>
          <t>GloVe-100</t>
        </is>
      </c>
      <c r="B2272" s="0" t="inlineStr">
        <is>
          <t>P46</t>
        </is>
      </c>
      <c r="C2272" s="0" t="inlineStr">
        <is>
          <t>P51</t>
        </is>
      </c>
      <c r="D2272" s="0" t="n">
        <v>66.5</v>
      </c>
    </row>
    <row r="2273">
      <c r="A2273" s="0" t="inlineStr">
        <is>
          <t>GloVe-100</t>
        </is>
      </c>
      <c r="B2273" s="0" t="inlineStr">
        <is>
          <t>Q46</t>
        </is>
      </c>
      <c r="C2273" s="0" t="inlineStr">
        <is>
          <t>Q51</t>
        </is>
      </c>
      <c r="D2273" s="0" t="n">
        <v>77.5</v>
      </c>
    </row>
    <row r="2274">
      <c r="A2274" s="0" t="inlineStr">
        <is>
          <t>GloVe-100</t>
        </is>
      </c>
      <c r="B2274" s="0" t="inlineStr">
        <is>
          <t>R46</t>
        </is>
      </c>
      <c r="C2274" s="0" t="inlineStr">
        <is>
          <t>R51</t>
        </is>
      </c>
      <c r="D2274" s="0" t="n">
        <v>77.5</v>
      </c>
    </row>
    <row r="2275">
      <c r="A2275" s="0" t="inlineStr">
        <is>
          <t>GloVe-100</t>
        </is>
      </c>
      <c r="B2275" s="0" t="inlineStr">
        <is>
          <t>S46</t>
        </is>
      </c>
      <c r="C2275" s="0" t="inlineStr">
        <is>
          <t>S51</t>
        </is>
      </c>
      <c r="D2275" s="0" t="n">
        <v>83.5</v>
      </c>
    </row>
    <row r="2276">
      <c r="A2276" s="0" t="inlineStr">
        <is>
          <t>GloVe-100</t>
        </is>
      </c>
      <c r="B2276" s="0" t="inlineStr">
        <is>
          <t>T46</t>
        </is>
      </c>
      <c r="C2276" s="0" t="inlineStr">
        <is>
          <t>T51</t>
        </is>
      </c>
      <c r="D2276" s="0" t="n">
        <v>87.5</v>
      </c>
    </row>
    <row r="2277">
      <c r="A2277" s="0" t="inlineStr">
        <is>
          <t>GloVe-100</t>
        </is>
      </c>
      <c r="B2277" s="0" t="inlineStr">
        <is>
          <t>U46</t>
        </is>
      </c>
      <c r="C2277" s="0" t="inlineStr">
        <is>
          <t>U51</t>
        </is>
      </c>
      <c r="D2277" s="0" t="n">
        <v>90</v>
      </c>
    </row>
    <row r="2278">
      <c r="A2278" s="0" t="inlineStr">
        <is>
          <t>GloVe-100</t>
        </is>
      </c>
      <c r="B2278" s="0" t="inlineStr">
        <is>
          <t>V46</t>
        </is>
      </c>
      <c r="C2278" s="0" t="inlineStr">
        <is>
          <t>V51</t>
        </is>
      </c>
      <c r="D2278" s="0" t="n">
        <v>95.5</v>
      </c>
    </row>
    <row r="2279">
      <c r="A2279" s="0" t="inlineStr">
        <is>
          <t>GloVe-100</t>
        </is>
      </c>
      <c r="B2279" s="0" t="inlineStr">
        <is>
          <t>W46</t>
        </is>
      </c>
      <c r="C2279" s="0" t="inlineStr">
        <is>
          <t>W51</t>
        </is>
      </c>
      <c r="D2279" s="0" t="n">
        <v>97.5</v>
      </c>
    </row>
    <row r="2280">
      <c r="A2280" s="0" t="inlineStr">
        <is>
          <t>GloVe-100</t>
        </is>
      </c>
      <c r="B2280" s="0" t="inlineStr">
        <is>
          <t>X46</t>
        </is>
      </c>
      <c r="C2280" s="0" t="inlineStr">
        <is>
          <t>X51</t>
        </is>
      </c>
      <c r="D2280" s="0" t="n">
        <v>98.5</v>
      </c>
    </row>
    <row r="2281">
      <c r="A2281" s="0" t="inlineStr">
        <is>
          <t>GloVe-100</t>
        </is>
      </c>
      <c r="B2281" s="0" t="inlineStr">
        <is>
          <t>Y46</t>
        </is>
      </c>
      <c r="C2281" s="0" t="inlineStr">
        <is>
          <t>Y51</t>
        </is>
      </c>
      <c r="D2281" s="0" t="n">
        <v>99</v>
      </c>
    </row>
    <row r="2282">
      <c r="A2282" s="0" t="inlineStr">
        <is>
          <t>GloVe-100</t>
        </is>
      </c>
      <c r="B2282" s="0" t="inlineStr">
        <is>
          <t>E47</t>
        </is>
      </c>
      <c r="C2282" s="0" t="inlineStr">
        <is>
          <t>E52</t>
        </is>
      </c>
      <c r="D2282" s="0" t="inlineStr">
        <is>
          <t>query time</t>
        </is>
      </c>
    </row>
    <row r="2283">
      <c r="A2283" s="0" t="inlineStr">
        <is>
          <t>GloVe-100</t>
        </is>
      </c>
      <c r="B2283" s="0" t="inlineStr">
        <is>
          <t>F47</t>
        </is>
      </c>
      <c r="C2283" s="0" t="inlineStr">
        <is>
          <t>F52</t>
        </is>
      </c>
      <c r="D2283" s="0" t="n">
        <v>1.3691084</v>
      </c>
    </row>
    <row r="2284">
      <c r="A2284" s="0" t="inlineStr">
        <is>
          <t>GloVe-100</t>
        </is>
      </c>
      <c r="B2284" s="0" t="inlineStr">
        <is>
          <t>G47</t>
        </is>
      </c>
      <c r="C2284" s="0" t="inlineStr">
        <is>
          <t>G52</t>
        </is>
      </c>
      <c r="D2284" s="0" t="n">
        <v>1.3691084</v>
      </c>
    </row>
    <row r="2285">
      <c r="A2285" s="0" t="inlineStr">
        <is>
          <t>GloVe-100</t>
        </is>
      </c>
      <c r="B2285" s="0" t="inlineStr">
        <is>
          <t>H47</t>
        </is>
      </c>
      <c r="C2285" s="0" t="inlineStr">
        <is>
          <t>H52</t>
        </is>
      </c>
      <c r="D2285" s="0" t="n">
        <v>1.3691084</v>
      </c>
    </row>
    <row r="2286">
      <c r="A2286" s="0" t="inlineStr">
        <is>
          <t>GloVe-100</t>
        </is>
      </c>
      <c r="B2286" s="0" t="inlineStr">
        <is>
          <t>I47</t>
        </is>
      </c>
      <c r="C2286" s="0" t="inlineStr">
        <is>
          <t>I52</t>
        </is>
      </c>
      <c r="D2286" s="0" t="n">
        <v>1.3691084</v>
      </c>
    </row>
    <row r="2287">
      <c r="A2287" s="0" t="inlineStr">
        <is>
          <t>GloVe-100</t>
        </is>
      </c>
      <c r="B2287" s="0" t="inlineStr">
        <is>
          <t>J47</t>
        </is>
      </c>
      <c r="C2287" s="0" t="inlineStr">
        <is>
          <t>J52</t>
        </is>
      </c>
      <c r="D2287" s="0" t="n">
        <v>1.3691084</v>
      </c>
    </row>
    <row r="2288">
      <c r="A2288" s="0" t="inlineStr">
        <is>
          <t>GloVe-100</t>
        </is>
      </c>
      <c r="B2288" s="0" t="inlineStr">
        <is>
          <t>K47</t>
        </is>
      </c>
      <c r="C2288" s="0" t="inlineStr">
        <is>
          <t>K52</t>
        </is>
      </c>
      <c r="D2288" s="0" t="n">
        <v>1.87985775</v>
      </c>
    </row>
    <row r="2289">
      <c r="A2289" s="0" t="inlineStr">
        <is>
          <t>GloVe-100</t>
        </is>
      </c>
      <c r="B2289" s="0" t="inlineStr">
        <is>
          <t>L47</t>
        </is>
      </c>
      <c r="C2289" s="0" t="inlineStr">
        <is>
          <t>L52</t>
        </is>
      </c>
      <c r="D2289" s="0" t="n">
        <v>2.10735428333333</v>
      </c>
    </row>
    <row r="2290">
      <c r="A2290" s="0" t="inlineStr">
        <is>
          <t>GloVe-100</t>
        </is>
      </c>
      <c r="B2290" s="0" t="inlineStr">
        <is>
          <t>M47</t>
        </is>
      </c>
      <c r="C2290" s="0" t="inlineStr">
        <is>
          <t>M52</t>
        </is>
      </c>
      <c r="D2290" s="0" t="n">
        <v>2.66261583333333</v>
      </c>
    </row>
    <row r="2291">
      <c r="A2291" s="0" t="inlineStr">
        <is>
          <t>GloVe-100</t>
        </is>
      </c>
      <c r="B2291" s="0" t="inlineStr">
        <is>
          <t>N47</t>
        </is>
      </c>
      <c r="C2291" s="0" t="inlineStr">
        <is>
          <t>N52</t>
        </is>
      </c>
      <c r="D2291" s="0" t="n">
        <v>3.30351245</v>
      </c>
    </row>
    <row r="2292">
      <c r="A2292" s="0" t="inlineStr">
        <is>
          <t>GloVe-100</t>
        </is>
      </c>
      <c r="B2292" s="0" t="inlineStr">
        <is>
          <t>O47</t>
        </is>
      </c>
      <c r="C2292" s="0" t="inlineStr">
        <is>
          <t>O52</t>
        </is>
      </c>
      <c r="D2292" s="0" t="n">
        <v>4.92347798333333</v>
      </c>
    </row>
    <row r="2293">
      <c r="A2293" s="0" t="inlineStr">
        <is>
          <t>GloVe-100</t>
        </is>
      </c>
      <c r="B2293" s="0" t="inlineStr">
        <is>
          <t>P47</t>
        </is>
      </c>
      <c r="C2293" s="0" t="inlineStr">
        <is>
          <t>P52</t>
        </is>
      </c>
      <c r="D2293" s="0" t="n">
        <v>4.92347798333333</v>
      </c>
    </row>
    <row r="2294">
      <c r="A2294" s="0" t="inlineStr">
        <is>
          <t>GloVe-100</t>
        </is>
      </c>
      <c r="B2294" s="0" t="inlineStr">
        <is>
          <t>Q47</t>
        </is>
      </c>
      <c r="C2294" s="0" t="inlineStr">
        <is>
          <t>Q52</t>
        </is>
      </c>
      <c r="D2294" s="0" t="n">
        <v>8.64324116666667</v>
      </c>
    </row>
    <row r="2295">
      <c r="A2295" s="0" t="inlineStr">
        <is>
          <t>GloVe-100</t>
        </is>
      </c>
      <c r="B2295" s="0" t="inlineStr">
        <is>
          <t>R47</t>
        </is>
      </c>
      <c r="C2295" s="0" t="inlineStr">
        <is>
          <t>R52</t>
        </is>
      </c>
      <c r="D2295" s="0" t="n">
        <v>8.64324116666667</v>
      </c>
    </row>
    <row r="2296">
      <c r="A2296" s="0" t="inlineStr">
        <is>
          <t>GloVe-100</t>
        </is>
      </c>
      <c r="B2296" s="0" t="inlineStr">
        <is>
          <t>S47</t>
        </is>
      </c>
      <c r="C2296" s="0" t="inlineStr">
        <is>
          <t>S52</t>
        </is>
      </c>
      <c r="D2296" s="0" t="n">
        <v>11.9039628833333</v>
      </c>
    </row>
    <row r="2297">
      <c r="A2297" s="0" t="inlineStr">
        <is>
          <t>GloVe-100</t>
        </is>
      </c>
      <c r="B2297" s="0" t="inlineStr">
        <is>
          <t>T47</t>
        </is>
      </c>
      <c r="C2297" s="0" t="inlineStr">
        <is>
          <t>T52</t>
        </is>
      </c>
      <c r="D2297" s="0" t="n">
        <v>15.25740905</v>
      </c>
    </row>
    <row r="2298">
      <c r="A2298" s="0" t="inlineStr">
        <is>
          <t>GloVe-100</t>
        </is>
      </c>
      <c r="B2298" s="0" t="inlineStr">
        <is>
          <t>U47</t>
        </is>
      </c>
      <c r="C2298" s="0" t="inlineStr">
        <is>
          <t>U52</t>
        </is>
      </c>
      <c r="D2298" s="0" t="n">
        <v>20.8722866666667</v>
      </c>
    </row>
    <row r="2299">
      <c r="A2299" s="0" t="inlineStr">
        <is>
          <t>GloVe-100</t>
        </is>
      </c>
      <c r="B2299" s="0" t="inlineStr">
        <is>
          <t>V47</t>
        </is>
      </c>
      <c r="C2299" s="0" t="inlineStr">
        <is>
          <t>V52</t>
        </is>
      </c>
      <c r="D2299" s="0" t="n">
        <v>69.7219818833333</v>
      </c>
    </row>
    <row r="2300">
      <c r="A2300" s="0" t="inlineStr">
        <is>
          <t>GloVe-100</t>
        </is>
      </c>
      <c r="B2300" s="0" t="inlineStr">
        <is>
          <t>W47</t>
        </is>
      </c>
      <c r="C2300" s="0" t="inlineStr">
        <is>
          <t>W52</t>
        </is>
      </c>
      <c r="D2300" s="0" t="n">
        <v>87.9987959833333</v>
      </c>
    </row>
    <row r="2301">
      <c r="A2301" s="0" t="inlineStr">
        <is>
          <t>GloVe-100</t>
        </is>
      </c>
      <c r="B2301" s="0" t="inlineStr">
        <is>
          <t>X47</t>
        </is>
      </c>
      <c r="C2301" s="0" t="inlineStr">
        <is>
          <t>X52</t>
        </is>
      </c>
      <c r="D2301" s="0" t="n">
        <v>164.089183766667</v>
      </c>
    </row>
    <row r="2302">
      <c r="A2302" s="0" t="inlineStr">
        <is>
          <t>GloVe-100</t>
        </is>
      </c>
      <c r="B2302" s="0" t="inlineStr">
        <is>
          <t>Y47</t>
        </is>
      </c>
      <c r="C2302" s="0" t="inlineStr">
        <is>
          <t>Y52</t>
        </is>
      </c>
      <c r="D2302" s="0" t="n">
        <v>302.3812472</v>
      </c>
    </row>
    <row r="2303">
      <c r="A2303" s="0" t="inlineStr">
        <is>
          <t>GloVe-100</t>
        </is>
      </c>
      <c r="B2303" s="0" t="inlineStr">
        <is>
          <t>D48</t>
        </is>
      </c>
      <c r="C2303" s="0" t="inlineStr">
        <is>
          <t>D53</t>
        </is>
      </c>
      <c r="D2303" s="0" t="inlineStr">
        <is>
          <t>Ours</t>
        </is>
      </c>
    </row>
    <row r="2304">
      <c r="A2304" s="0" t="inlineStr">
        <is>
          <t>GloVe-100</t>
        </is>
      </c>
      <c r="B2304" s="0" t="inlineStr">
        <is>
          <t>E48</t>
        </is>
      </c>
      <c r="C2304" s="0" t="inlineStr">
        <is>
          <t>E53</t>
        </is>
      </c>
      <c r="D2304" s="0" t="inlineStr">
        <is>
          <t>Recall rate</t>
        </is>
      </c>
    </row>
    <row r="2305">
      <c r="A2305" s="0" t="inlineStr">
        <is>
          <t>GloVe-100</t>
        </is>
      </c>
      <c r="B2305" s="0" t="inlineStr">
        <is>
          <t>F48</t>
        </is>
      </c>
      <c r="C2305" s="0" t="inlineStr">
        <is>
          <t>F53</t>
        </is>
      </c>
      <c r="D2305" s="0" t="n">
        <v>15.5</v>
      </c>
    </row>
    <row r="2306">
      <c r="A2306" s="0" t="inlineStr">
        <is>
          <t>GloVe-100</t>
        </is>
      </c>
      <c r="B2306" s="0" t="inlineStr">
        <is>
          <t>G48</t>
        </is>
      </c>
      <c r="C2306" s="0" t="inlineStr">
        <is>
          <t>G53</t>
        </is>
      </c>
      <c r="D2306" s="0" t="n">
        <v>23</v>
      </c>
    </row>
    <row r="2307">
      <c r="A2307" s="0" t="inlineStr">
        <is>
          <t>GloVe-100</t>
        </is>
      </c>
      <c r="B2307" s="0" t="inlineStr">
        <is>
          <t>H48</t>
        </is>
      </c>
      <c r="C2307" s="0" t="inlineStr">
        <is>
          <t>H53</t>
        </is>
      </c>
      <c r="D2307" s="0" t="n">
        <v>25.5</v>
      </c>
    </row>
    <row r="2308">
      <c r="A2308" s="0" t="inlineStr">
        <is>
          <t>GloVe-100</t>
        </is>
      </c>
      <c r="B2308" s="0" t="inlineStr">
        <is>
          <t>I48</t>
        </is>
      </c>
      <c r="C2308" s="0" t="inlineStr">
        <is>
          <t>I53</t>
        </is>
      </c>
      <c r="D2308" s="0" t="n">
        <v>30</v>
      </c>
    </row>
    <row r="2309">
      <c r="A2309" s="0" t="inlineStr">
        <is>
          <t>GloVe-100</t>
        </is>
      </c>
      <c r="B2309" s="0" t="inlineStr">
        <is>
          <t>J48</t>
        </is>
      </c>
      <c r="C2309" s="0" t="inlineStr">
        <is>
          <t>J53</t>
        </is>
      </c>
      <c r="D2309" s="0" t="n">
        <v>35</v>
      </c>
    </row>
    <row r="2310">
      <c r="A2310" s="0" t="inlineStr">
        <is>
          <t>GloVe-100</t>
        </is>
      </c>
      <c r="B2310" s="0" t="inlineStr">
        <is>
          <t>K48</t>
        </is>
      </c>
      <c r="C2310" s="0" t="inlineStr">
        <is>
          <t>K53</t>
        </is>
      </c>
      <c r="D2310" s="0" t="n">
        <v>41.5</v>
      </c>
    </row>
    <row r="2311">
      <c r="A2311" s="0" t="inlineStr">
        <is>
          <t>GloVe-100</t>
        </is>
      </c>
      <c r="B2311" s="0" t="inlineStr">
        <is>
          <t>L48</t>
        </is>
      </c>
      <c r="C2311" s="0" t="inlineStr">
        <is>
          <t>L53</t>
        </is>
      </c>
      <c r="D2311" s="0" t="n">
        <v>45.5</v>
      </c>
    </row>
    <row r="2312">
      <c r="A2312" s="0" t="inlineStr">
        <is>
          <t>GloVe-100</t>
        </is>
      </c>
      <c r="B2312" s="0" t="inlineStr">
        <is>
          <t>M48</t>
        </is>
      </c>
      <c r="C2312" s="0" t="inlineStr">
        <is>
          <t>M53</t>
        </is>
      </c>
      <c r="D2312" s="0" t="n">
        <v>50.5</v>
      </c>
    </row>
    <row r="2313">
      <c r="A2313" s="0" t="inlineStr">
        <is>
          <t>GloVe-100</t>
        </is>
      </c>
      <c r="B2313" s="0" t="inlineStr">
        <is>
          <t>N48</t>
        </is>
      </c>
      <c r="C2313" s="0" t="inlineStr">
        <is>
          <t>N53</t>
        </is>
      </c>
      <c r="D2313" s="0" t="n">
        <v>55</v>
      </c>
    </row>
    <row r="2314">
      <c r="A2314" s="0" t="inlineStr">
        <is>
          <t>GloVe-100</t>
        </is>
      </c>
      <c r="B2314" s="0" t="inlineStr">
        <is>
          <t>O48</t>
        </is>
      </c>
      <c r="C2314" s="0" t="inlineStr">
        <is>
          <t>O53</t>
        </is>
      </c>
      <c r="D2314" s="0" t="n">
        <v>60.5</v>
      </c>
    </row>
    <row r="2315">
      <c r="A2315" s="0" t="inlineStr">
        <is>
          <t>GloVe-100</t>
        </is>
      </c>
      <c r="B2315" s="0" t="inlineStr">
        <is>
          <t>P48</t>
        </is>
      </c>
      <c r="C2315" s="0" t="inlineStr">
        <is>
          <t>P53</t>
        </is>
      </c>
      <c r="D2315" s="0" t="n">
        <v>71.5</v>
      </c>
    </row>
    <row r="2316">
      <c r="A2316" s="0" t="inlineStr">
        <is>
          <t>GloVe-100</t>
        </is>
      </c>
      <c r="B2316" s="0" t="inlineStr">
        <is>
          <t>Q48</t>
        </is>
      </c>
      <c r="C2316" s="0" t="inlineStr">
        <is>
          <t>Q53</t>
        </is>
      </c>
      <c r="D2316" s="0" t="n">
        <v>71.5</v>
      </c>
    </row>
    <row r="2317">
      <c r="A2317" s="0" t="inlineStr">
        <is>
          <t>GloVe-100</t>
        </is>
      </c>
      <c r="B2317" s="0" t="inlineStr">
        <is>
          <t>R48</t>
        </is>
      </c>
      <c r="C2317" s="0" t="inlineStr">
        <is>
          <t>R53</t>
        </is>
      </c>
      <c r="D2317" s="0" t="n">
        <v>81</v>
      </c>
    </row>
    <row r="2318">
      <c r="A2318" s="0" t="inlineStr">
        <is>
          <t>GloVe-100</t>
        </is>
      </c>
      <c r="B2318" s="0" t="inlineStr">
        <is>
          <t>S48</t>
        </is>
      </c>
      <c r="C2318" s="0" t="inlineStr">
        <is>
          <t>S53</t>
        </is>
      </c>
      <c r="D2318" s="0" t="n">
        <v>81</v>
      </c>
    </row>
    <row r="2319">
      <c r="A2319" s="0" t="inlineStr">
        <is>
          <t>GloVe-100</t>
        </is>
      </c>
      <c r="B2319" s="0" t="inlineStr">
        <is>
          <t>T48</t>
        </is>
      </c>
      <c r="C2319" s="0" t="inlineStr">
        <is>
          <t>T53</t>
        </is>
      </c>
      <c r="D2319" s="0" t="n">
        <v>85.5</v>
      </c>
    </row>
    <row r="2320">
      <c r="A2320" s="0" t="inlineStr">
        <is>
          <t>GloVe-100</t>
        </is>
      </c>
      <c r="B2320" s="0" t="inlineStr">
        <is>
          <t>U48</t>
        </is>
      </c>
      <c r="C2320" s="0" t="inlineStr">
        <is>
          <t>U53</t>
        </is>
      </c>
      <c r="D2320" s="0" t="n">
        <v>91</v>
      </c>
    </row>
    <row r="2321">
      <c r="A2321" s="0" t="inlineStr">
        <is>
          <t>GloVe-100</t>
        </is>
      </c>
      <c r="B2321" s="0" t="inlineStr">
        <is>
          <t>V48</t>
        </is>
      </c>
      <c r="C2321" s="0" t="inlineStr">
        <is>
          <t>V53</t>
        </is>
      </c>
      <c r="D2321" s="0" t="n">
        <v>96</v>
      </c>
    </row>
    <row r="2322">
      <c r="A2322" s="0" t="inlineStr">
        <is>
          <t>GloVe-100</t>
        </is>
      </c>
      <c r="B2322" s="0" t="inlineStr">
        <is>
          <t>W48</t>
        </is>
      </c>
      <c r="C2322" s="0" t="inlineStr">
        <is>
          <t>W53</t>
        </is>
      </c>
      <c r="D2322" s="0" t="n">
        <v>97.5</v>
      </c>
    </row>
    <row r="2323">
      <c r="A2323" s="0" t="inlineStr">
        <is>
          <t>GloVe-100</t>
        </is>
      </c>
      <c r="B2323" s="0" t="inlineStr">
        <is>
          <t>X48</t>
        </is>
      </c>
      <c r="C2323" s="0" t="inlineStr">
        <is>
          <t>X53</t>
        </is>
      </c>
      <c r="D2323" s="0" t="n">
        <v>98.5</v>
      </c>
    </row>
    <row r="2324">
      <c r="A2324" s="0" t="inlineStr">
        <is>
          <t>GloVe-100</t>
        </is>
      </c>
      <c r="B2324" s="0" t="inlineStr">
        <is>
          <t>Y48</t>
        </is>
      </c>
      <c r="C2324" s="0" t="inlineStr">
        <is>
          <t>Y53</t>
        </is>
      </c>
      <c r="D2324" s="0" t="n">
        <v>99.5</v>
      </c>
    </row>
    <row r="2325">
      <c r="A2325" s="0" t="inlineStr">
        <is>
          <t>GloVe-100</t>
        </is>
      </c>
      <c r="B2325" s="0" t="inlineStr">
        <is>
          <t>E49</t>
        </is>
      </c>
      <c r="C2325" s="0" t="inlineStr">
        <is>
          <t>E54</t>
        </is>
      </c>
      <c r="D2325" s="0" t="inlineStr">
        <is>
          <t>query time</t>
        </is>
      </c>
    </row>
    <row r="2326">
      <c r="A2326" s="0" t="inlineStr">
        <is>
          <t>GloVe-100</t>
        </is>
      </c>
      <c r="B2326" s="0" t="inlineStr">
        <is>
          <t>F49</t>
        </is>
      </c>
      <c r="C2326" s="0" t="inlineStr">
        <is>
          <t>F54</t>
        </is>
      </c>
      <c r="D2326" s="0" t="n">
        <v>0.9345852166666671</v>
      </c>
    </row>
    <row r="2327">
      <c r="A2327" s="0" t="inlineStr">
        <is>
          <t>GloVe-100</t>
        </is>
      </c>
      <c r="B2327" s="0" t="inlineStr">
        <is>
          <t>G49</t>
        </is>
      </c>
      <c r="C2327" s="0" t="inlineStr">
        <is>
          <t>G54</t>
        </is>
      </c>
      <c r="D2327" s="0" t="n">
        <v>1.13263135</v>
      </c>
    </row>
    <row r="2328">
      <c r="A2328" s="0" t="inlineStr">
        <is>
          <t>GloVe-100</t>
        </is>
      </c>
      <c r="B2328" s="0" t="inlineStr">
        <is>
          <t>H49</t>
        </is>
      </c>
      <c r="C2328" s="0" t="inlineStr">
        <is>
          <t>H54</t>
        </is>
      </c>
      <c r="D2328" s="0" t="n">
        <v>1.289878</v>
      </c>
    </row>
    <row r="2329">
      <c r="A2329" s="0" t="inlineStr">
        <is>
          <t>GloVe-100</t>
        </is>
      </c>
      <c r="B2329" s="0" t="inlineStr">
        <is>
          <t>I49</t>
        </is>
      </c>
      <c r="C2329" s="0" t="inlineStr">
        <is>
          <t>I54</t>
        </is>
      </c>
      <c r="D2329" s="0" t="n">
        <v>1.52453835</v>
      </c>
    </row>
    <row r="2330">
      <c r="A2330" s="0" t="inlineStr">
        <is>
          <t>GloVe-100</t>
        </is>
      </c>
      <c r="B2330" s="0" t="inlineStr">
        <is>
          <t>J49</t>
        </is>
      </c>
      <c r="C2330" s="0" t="inlineStr">
        <is>
          <t>J54</t>
        </is>
      </c>
      <c r="D2330" s="0" t="n">
        <v>1.82872335</v>
      </c>
    </row>
    <row r="2331">
      <c r="A2331" s="0" t="inlineStr">
        <is>
          <t>GloVe-100</t>
        </is>
      </c>
      <c r="B2331" s="0" t="inlineStr">
        <is>
          <t>K49</t>
        </is>
      </c>
      <c r="C2331" s="0" t="inlineStr">
        <is>
          <t>K54</t>
        </is>
      </c>
      <c r="D2331" s="0" t="n">
        <v>2.33781906666667</v>
      </c>
    </row>
    <row r="2332">
      <c r="A2332" s="0" t="inlineStr">
        <is>
          <t>GloVe-100</t>
        </is>
      </c>
      <c r="B2332" s="0" t="inlineStr">
        <is>
          <t>L49</t>
        </is>
      </c>
      <c r="C2332" s="0" t="inlineStr">
        <is>
          <t>L54</t>
        </is>
      </c>
      <c r="D2332" s="0" t="n">
        <v>2.36229078333333</v>
      </c>
    </row>
    <row r="2333">
      <c r="A2333" s="0" t="inlineStr">
        <is>
          <t>GloVe-100</t>
        </is>
      </c>
      <c r="B2333" s="0" t="inlineStr">
        <is>
          <t>M49</t>
        </is>
      </c>
      <c r="C2333" s="0" t="inlineStr">
        <is>
          <t>M54</t>
        </is>
      </c>
      <c r="D2333" s="0" t="n">
        <v>2.87353921666667</v>
      </c>
    </row>
    <row r="2334">
      <c r="A2334" s="0" t="inlineStr">
        <is>
          <t>GloVe-100</t>
        </is>
      </c>
      <c r="B2334" s="0" t="inlineStr">
        <is>
          <t>N49</t>
        </is>
      </c>
      <c r="C2334" s="0" t="inlineStr">
        <is>
          <t>N54</t>
        </is>
      </c>
      <c r="D2334" s="0" t="n">
        <v>3.30377081666667</v>
      </c>
    </row>
    <row r="2335">
      <c r="A2335" s="0" t="inlineStr">
        <is>
          <t>GloVe-100</t>
        </is>
      </c>
      <c r="B2335" s="0" t="inlineStr">
        <is>
          <t>O49</t>
        </is>
      </c>
      <c r="C2335" s="0" t="inlineStr">
        <is>
          <t>O54</t>
        </is>
      </c>
      <c r="D2335" s="0" t="n">
        <v>3.95783811666667</v>
      </c>
    </row>
    <row r="2336">
      <c r="A2336" s="0" t="inlineStr">
        <is>
          <t>GloVe-100</t>
        </is>
      </c>
      <c r="B2336" s="0" t="inlineStr">
        <is>
          <t>P49</t>
        </is>
      </c>
      <c r="C2336" s="0" t="inlineStr">
        <is>
          <t>P54</t>
        </is>
      </c>
      <c r="D2336" s="0" t="n">
        <v>5.54844886666667</v>
      </c>
    </row>
    <row r="2337">
      <c r="A2337" s="0" t="inlineStr">
        <is>
          <t>GloVe-100</t>
        </is>
      </c>
      <c r="B2337" s="0" t="inlineStr">
        <is>
          <t>Q49</t>
        </is>
      </c>
      <c r="C2337" s="0" t="inlineStr">
        <is>
          <t>Q54</t>
        </is>
      </c>
      <c r="D2337" s="0" t="n">
        <v>5.54844886666667</v>
      </c>
    </row>
    <row r="2338">
      <c r="A2338" s="0" t="inlineStr">
        <is>
          <t>GloVe-100</t>
        </is>
      </c>
      <c r="B2338" s="0" t="inlineStr">
        <is>
          <t>R49</t>
        </is>
      </c>
      <c r="C2338" s="0" t="inlineStr">
        <is>
          <t>R54</t>
        </is>
      </c>
      <c r="D2338" s="0" t="n">
        <v>9.4764108</v>
      </c>
    </row>
    <row r="2339">
      <c r="A2339" s="0" t="inlineStr">
        <is>
          <t>GloVe-100</t>
        </is>
      </c>
      <c r="B2339" s="0" t="inlineStr">
        <is>
          <t>S49</t>
        </is>
      </c>
      <c r="C2339" s="0" t="inlineStr">
        <is>
          <t>S54</t>
        </is>
      </c>
      <c r="D2339" s="0" t="n">
        <v>9.4764108</v>
      </c>
    </row>
    <row r="2340">
      <c r="A2340" s="0" t="inlineStr">
        <is>
          <t>GloVe-100</t>
        </is>
      </c>
      <c r="B2340" s="0" t="inlineStr">
        <is>
          <t>T49</t>
        </is>
      </c>
      <c r="C2340" s="0" t="inlineStr">
        <is>
          <t>T54</t>
        </is>
      </c>
      <c r="D2340" s="0" t="n">
        <v>11.80332585</v>
      </c>
    </row>
    <row r="2341">
      <c r="A2341" s="0" t="inlineStr">
        <is>
          <t>GloVe-100</t>
        </is>
      </c>
      <c r="B2341" s="0" t="inlineStr">
        <is>
          <t>U49</t>
        </is>
      </c>
      <c r="C2341" s="0" t="inlineStr">
        <is>
          <t>U54</t>
        </is>
      </c>
      <c r="D2341" s="0" t="n">
        <v>20.9300079</v>
      </c>
    </row>
    <row r="2342">
      <c r="A2342" s="0" t="inlineStr">
        <is>
          <t>GloVe-100</t>
        </is>
      </c>
      <c r="B2342" s="0" t="inlineStr">
        <is>
          <t>V49</t>
        </is>
      </c>
      <c r="C2342" s="0" t="inlineStr">
        <is>
          <t>V54</t>
        </is>
      </c>
      <c r="D2342" s="0" t="n">
        <v>52.0690504666667</v>
      </c>
    </row>
    <row r="2343">
      <c r="A2343" s="0" t="inlineStr">
        <is>
          <t>GloVe-100</t>
        </is>
      </c>
      <c r="B2343" s="0" t="inlineStr">
        <is>
          <t>W49</t>
        </is>
      </c>
      <c r="C2343" s="0" t="inlineStr">
        <is>
          <t>W54</t>
        </is>
      </c>
      <c r="D2343" s="0" t="n">
        <v>66.0417216333333</v>
      </c>
    </row>
    <row r="2344">
      <c r="A2344" s="0" t="inlineStr">
        <is>
          <t>GloVe-100</t>
        </is>
      </c>
      <c r="B2344" s="0" t="inlineStr">
        <is>
          <t>X49</t>
        </is>
      </c>
      <c r="C2344" s="0" t="inlineStr">
        <is>
          <t>X54</t>
        </is>
      </c>
      <c r="D2344" s="0" t="n">
        <v>119.74718415</v>
      </c>
    </row>
    <row r="2345">
      <c r="A2345" s="0" t="inlineStr">
        <is>
          <t>GloVe-100</t>
        </is>
      </c>
      <c r="B2345" s="0" t="inlineStr">
        <is>
          <t>Y49</t>
        </is>
      </c>
      <c r="C2345" s="0" t="inlineStr">
        <is>
          <t>Y54</t>
        </is>
      </c>
      <c r="D2345" s="0" t="n">
        <v>225.599757116667</v>
      </c>
    </row>
    <row r="2346">
      <c r="A2346" s="0" t="inlineStr">
        <is>
          <t>GloVe-100</t>
        </is>
      </c>
      <c r="B2346" s="0" t="inlineStr">
        <is>
          <t>D50</t>
        </is>
      </c>
      <c r="C2346" s="0" t="inlineStr">
        <is>
          <t>D55</t>
        </is>
      </c>
      <c r="D2346" s="0" t="inlineStr">
        <is>
          <t>V3DB（单次）</t>
        </is>
      </c>
    </row>
    <row r="2347">
      <c r="A2347" s="0" t="inlineStr">
        <is>
          <t>GloVe-100</t>
        </is>
      </c>
      <c r="B2347" s="0" t="inlineStr">
        <is>
          <t>E50</t>
        </is>
      </c>
      <c r="C2347" s="0" t="inlineStr">
        <is>
          <t>E55</t>
        </is>
      </c>
      <c r="D2347" s="0" t="inlineStr">
        <is>
          <t>Recall rate</t>
        </is>
      </c>
    </row>
    <row r="2348">
      <c r="A2348" s="0" t="inlineStr">
        <is>
          <t>GloVe-100</t>
        </is>
      </c>
      <c r="B2348" s="0" t="inlineStr">
        <is>
          <t>F50</t>
        </is>
      </c>
      <c r="C2348" s="0" t="inlineStr">
        <is>
          <t>F55</t>
        </is>
      </c>
      <c r="D2348" s="0" t="n">
        <v>16.5</v>
      </c>
    </row>
    <row r="2349">
      <c r="A2349" s="0" t="inlineStr">
        <is>
          <t>GloVe-100</t>
        </is>
      </c>
      <c r="B2349" s="0" t="inlineStr">
        <is>
          <t>G50</t>
        </is>
      </c>
      <c r="C2349" s="0" t="inlineStr">
        <is>
          <t>G55</t>
        </is>
      </c>
      <c r="D2349" s="0" t="n">
        <v>20</v>
      </c>
    </row>
    <row r="2350">
      <c r="A2350" s="0" t="inlineStr">
        <is>
          <t>GloVe-100</t>
        </is>
      </c>
      <c r="B2350" s="0" t="inlineStr">
        <is>
          <t>H50</t>
        </is>
      </c>
      <c r="C2350" s="0" t="inlineStr">
        <is>
          <t>H55</t>
        </is>
      </c>
      <c r="D2350" s="0" t="n">
        <v>28.5</v>
      </c>
    </row>
    <row r="2351">
      <c r="A2351" s="0" t="inlineStr">
        <is>
          <t>GloVe-100</t>
        </is>
      </c>
      <c r="B2351" s="0" t="inlineStr">
        <is>
          <t>I50</t>
        </is>
      </c>
      <c r="C2351" s="0" t="inlineStr">
        <is>
          <t>I55</t>
        </is>
      </c>
      <c r="D2351" s="0" t="n">
        <v>40.5</v>
      </c>
    </row>
    <row r="2352">
      <c r="A2352" s="0" t="inlineStr">
        <is>
          <t>GloVe-100</t>
        </is>
      </c>
      <c r="B2352" s="0" t="inlineStr">
        <is>
          <t>J50</t>
        </is>
      </c>
      <c r="C2352" s="0" t="inlineStr">
        <is>
          <t>J55</t>
        </is>
      </c>
      <c r="D2352" s="0" t="n">
        <v>40.5</v>
      </c>
    </row>
    <row r="2353">
      <c r="A2353" s="0" t="inlineStr">
        <is>
          <t>GloVe-100</t>
        </is>
      </c>
      <c r="B2353" s="0" t="inlineStr">
        <is>
          <t>K50</t>
        </is>
      </c>
      <c r="C2353" s="0" t="inlineStr">
        <is>
          <t>K55</t>
        </is>
      </c>
      <c r="D2353" s="0" t="n">
        <v>40.5</v>
      </c>
    </row>
    <row r="2354">
      <c r="A2354" s="0" t="inlineStr">
        <is>
          <t>GloVe-100</t>
        </is>
      </c>
      <c r="B2354" s="0" t="inlineStr">
        <is>
          <t>L50</t>
        </is>
      </c>
      <c r="C2354" s="0" t="inlineStr">
        <is>
          <t>L55</t>
        </is>
      </c>
      <c r="D2354" s="0" t="n">
        <v>47</v>
      </c>
    </row>
    <row r="2355">
      <c r="A2355" s="0" t="inlineStr">
        <is>
          <t>GloVe-100</t>
        </is>
      </c>
      <c r="B2355" s="0" t="inlineStr">
        <is>
          <t>M50</t>
        </is>
      </c>
      <c r="C2355" s="0" t="inlineStr">
        <is>
          <t>M55</t>
        </is>
      </c>
      <c r="D2355" s="0" t="n">
        <v>55</v>
      </c>
    </row>
    <row r="2356">
      <c r="A2356" s="0" t="inlineStr">
        <is>
          <t>GloVe-100</t>
        </is>
      </c>
      <c r="B2356" s="0" t="inlineStr">
        <is>
          <t>N50</t>
        </is>
      </c>
      <c r="C2356" s="0" t="inlineStr">
        <is>
          <t>N55</t>
        </is>
      </c>
      <c r="D2356" s="0" t="n">
        <v>55</v>
      </c>
    </row>
    <row r="2357">
      <c r="A2357" s="0" t="inlineStr">
        <is>
          <t>GloVe-100</t>
        </is>
      </c>
      <c r="B2357" s="0" t="inlineStr">
        <is>
          <t>O50</t>
        </is>
      </c>
      <c r="C2357" s="0" t="inlineStr">
        <is>
          <t>O55</t>
        </is>
      </c>
      <c r="D2357" s="0" t="n">
        <v>64.5</v>
      </c>
    </row>
    <row r="2358">
      <c r="A2358" s="0" t="inlineStr">
        <is>
          <t>GloVe-100</t>
        </is>
      </c>
      <c r="B2358" s="0" t="inlineStr">
        <is>
          <t>P50</t>
        </is>
      </c>
      <c r="C2358" s="0" t="inlineStr">
        <is>
          <t>P55</t>
        </is>
      </c>
      <c r="D2358" s="0" t="n">
        <v>68</v>
      </c>
    </row>
    <row r="2359">
      <c r="A2359" s="0" t="inlineStr">
        <is>
          <t>GloVe-100</t>
        </is>
      </c>
      <c r="B2359" s="0" t="inlineStr">
        <is>
          <t>Q50</t>
        </is>
      </c>
      <c r="C2359" s="0" t="inlineStr">
        <is>
          <t>Q55</t>
        </is>
      </c>
      <c r="D2359" s="0" t="n">
        <v>71.5</v>
      </c>
    </row>
    <row r="2360">
      <c r="A2360" s="0" t="inlineStr">
        <is>
          <t>GloVe-100</t>
        </is>
      </c>
      <c r="B2360" s="0" t="inlineStr">
        <is>
          <t>R50</t>
        </is>
      </c>
      <c r="C2360" s="0" t="inlineStr">
        <is>
          <t>R55</t>
        </is>
      </c>
    </row>
    <row r="2361">
      <c r="A2361" s="0" t="inlineStr">
        <is>
          <t>GloVe-100</t>
        </is>
      </c>
      <c r="B2361" s="0" t="inlineStr">
        <is>
          <t>S50</t>
        </is>
      </c>
      <c r="C2361" s="0" t="inlineStr">
        <is>
          <t>S55</t>
        </is>
      </c>
    </row>
    <row r="2362">
      <c r="A2362" s="0" t="inlineStr">
        <is>
          <t>GloVe-100</t>
        </is>
      </c>
      <c r="B2362" s="0" t="inlineStr">
        <is>
          <t>T50</t>
        </is>
      </c>
      <c r="C2362" s="0" t="inlineStr">
        <is>
          <t>T55</t>
        </is>
      </c>
    </row>
    <row r="2363">
      <c r="A2363" s="0" t="inlineStr">
        <is>
          <t>GloVe-100</t>
        </is>
      </c>
      <c r="B2363" s="0" t="inlineStr">
        <is>
          <t>U50</t>
        </is>
      </c>
      <c r="C2363" s="0" t="inlineStr">
        <is>
          <t>U55</t>
        </is>
      </c>
    </row>
    <row r="2364">
      <c r="A2364" s="0" t="inlineStr">
        <is>
          <t>GloVe-100</t>
        </is>
      </c>
      <c r="B2364" s="0" t="inlineStr">
        <is>
          <t>V50</t>
        </is>
      </c>
      <c r="C2364" s="0" t="inlineStr">
        <is>
          <t>V55</t>
        </is>
      </c>
    </row>
    <row r="2365">
      <c r="A2365" s="0" t="inlineStr">
        <is>
          <t>GloVe-100</t>
        </is>
      </c>
      <c r="B2365" s="0" t="inlineStr">
        <is>
          <t>W50</t>
        </is>
      </c>
      <c r="C2365" s="0" t="inlineStr">
        <is>
          <t>W55</t>
        </is>
      </c>
    </row>
    <row r="2366">
      <c r="A2366" s="0" t="inlineStr">
        <is>
          <t>GloVe-100</t>
        </is>
      </c>
      <c r="B2366" s="0" t="inlineStr">
        <is>
          <t>X50</t>
        </is>
      </c>
      <c r="C2366" s="0" t="inlineStr">
        <is>
          <t>X55</t>
        </is>
      </c>
    </row>
    <row r="2367">
      <c r="A2367" s="0" t="inlineStr">
        <is>
          <t>GloVe-100</t>
        </is>
      </c>
      <c r="B2367" s="0" t="inlineStr">
        <is>
          <t>Y50</t>
        </is>
      </c>
      <c r="C2367" s="0" t="inlineStr">
        <is>
          <t>Y55</t>
        </is>
      </c>
    </row>
    <row r="2368">
      <c r="A2368" s="0" t="inlineStr">
        <is>
          <t>GloVe-100</t>
        </is>
      </c>
      <c r="B2368" s="0" t="inlineStr">
        <is>
          <t>E51</t>
        </is>
      </c>
      <c r="C2368" s="0" t="inlineStr">
        <is>
          <t>E56</t>
        </is>
      </c>
      <c r="D2368" s="0" t="inlineStr">
        <is>
          <t>query time</t>
        </is>
      </c>
    </row>
    <row r="2369">
      <c r="A2369" s="0" t="inlineStr">
        <is>
          <t>GloVe-100</t>
        </is>
      </c>
      <c r="B2369" s="0" t="inlineStr">
        <is>
          <t>F51</t>
        </is>
      </c>
      <c r="C2369" s="0" t="inlineStr">
        <is>
          <t>F56</t>
        </is>
      </c>
      <c r="D2369" s="0" t="n">
        <v>58119.444832</v>
      </c>
    </row>
    <row r="2370">
      <c r="A2370" s="0" t="inlineStr">
        <is>
          <t>GloVe-100</t>
        </is>
      </c>
      <c r="B2370" s="0" t="inlineStr">
        <is>
          <t>G51</t>
        </is>
      </c>
      <c r="C2370" s="0" t="inlineStr">
        <is>
          <t>G56</t>
        </is>
      </c>
      <c r="D2370" s="0" t="n">
        <v>119464.821832</v>
      </c>
    </row>
    <row r="2371">
      <c r="A2371" s="0" t="inlineStr">
        <is>
          <t>GloVe-100</t>
        </is>
      </c>
      <c r="B2371" s="0" t="inlineStr">
        <is>
          <t>H51</t>
        </is>
      </c>
      <c r="C2371" s="0" t="inlineStr">
        <is>
          <t>H56</t>
        </is>
      </c>
      <c r="D2371" s="0" t="n">
        <v>240491.804555</v>
      </c>
    </row>
    <row r="2372">
      <c r="A2372" s="0" t="inlineStr">
        <is>
          <t>GloVe-100</t>
        </is>
      </c>
      <c r="B2372" s="0" t="inlineStr">
        <is>
          <t>I51</t>
        </is>
      </c>
      <c r="C2372" s="0" t="inlineStr">
        <is>
          <t>I56</t>
        </is>
      </c>
      <c r="D2372" s="0" t="n">
        <v>491486.434967</v>
      </c>
    </row>
    <row r="2373">
      <c r="A2373" s="0" t="inlineStr">
        <is>
          <t>GloVe-100</t>
        </is>
      </c>
      <c r="B2373" s="0" t="inlineStr">
        <is>
          <t>J51</t>
        </is>
      </c>
      <c r="C2373" s="0" t="inlineStr">
        <is>
          <t>J56</t>
        </is>
      </c>
      <c r="D2373" s="0" t="n">
        <v>491486.434967</v>
      </c>
    </row>
    <row r="2374">
      <c r="A2374" s="0" t="inlineStr">
        <is>
          <t>GloVe-100</t>
        </is>
      </c>
      <c r="B2374" s="0" t="inlineStr">
        <is>
          <t>K51</t>
        </is>
      </c>
      <c r="C2374" s="0" t="inlineStr">
        <is>
          <t>K56</t>
        </is>
      </c>
      <c r="D2374" s="0" t="n">
        <v>491486.434967</v>
      </c>
    </row>
    <row r="2375">
      <c r="A2375" s="0" t="inlineStr">
        <is>
          <t>GloVe-100</t>
        </is>
      </c>
      <c r="B2375" s="0" t="inlineStr">
        <is>
          <t>L51</t>
        </is>
      </c>
      <c r="C2375" s="0" t="inlineStr">
        <is>
          <t>L56</t>
        </is>
      </c>
      <c r="D2375" s="0" t="n">
        <v>537924.483764197</v>
      </c>
    </row>
    <row r="2376">
      <c r="A2376" s="0" t="inlineStr">
        <is>
          <t>GloVe-100</t>
        </is>
      </c>
      <c r="B2376" s="0" t="inlineStr">
        <is>
          <t>M51</t>
        </is>
      </c>
      <c r="C2376" s="0" t="inlineStr">
        <is>
          <t>M56</t>
        </is>
      </c>
      <c r="D2376" s="0" t="n">
        <v>1129694.05569766</v>
      </c>
    </row>
    <row r="2377">
      <c r="A2377" s="0" t="inlineStr">
        <is>
          <t>GloVe-100</t>
        </is>
      </c>
      <c r="B2377" s="0" t="inlineStr">
        <is>
          <t>N51</t>
        </is>
      </c>
      <c r="C2377" s="0" t="inlineStr">
        <is>
          <t>N56</t>
        </is>
      </c>
      <c r="D2377" s="0" t="n">
        <v>1129694.05569766</v>
      </c>
    </row>
    <row r="2378">
      <c r="A2378" s="0" t="inlineStr">
        <is>
          <t>GloVe-100</t>
        </is>
      </c>
      <c r="B2378" s="0" t="inlineStr">
        <is>
          <t>O51</t>
        </is>
      </c>
      <c r="C2378" s="0" t="inlineStr">
        <is>
          <t>O56</t>
        </is>
      </c>
      <c r="D2378" s="0" t="n">
        <v>2367078.28773386</v>
      </c>
    </row>
    <row r="2379">
      <c r="A2379" s="0" t="inlineStr">
        <is>
          <t>GloVe-100</t>
        </is>
      </c>
      <c r="B2379" s="0" t="inlineStr">
        <is>
          <t>P51</t>
        </is>
      </c>
      <c r="C2379" s="0" t="inlineStr">
        <is>
          <t>P56</t>
        </is>
      </c>
      <c r="D2379" s="0" t="n">
        <v>4949536.9281448</v>
      </c>
    </row>
    <row r="2380">
      <c r="A2380" s="0" t="inlineStr">
        <is>
          <t>GloVe-100</t>
        </is>
      </c>
      <c r="B2380" s="0" t="inlineStr">
        <is>
          <t>Q51</t>
        </is>
      </c>
      <c r="C2380" s="0" t="inlineStr">
        <is>
          <t>Q56</t>
        </is>
      </c>
      <c r="D2380" s="0" t="n">
        <v>4949536.9281448</v>
      </c>
    </row>
    <row r="2381">
      <c r="A2381" s="0" t="inlineStr">
        <is>
          <t>GloVe-100</t>
        </is>
      </c>
      <c r="B2381" s="0" t="inlineStr">
        <is>
          <t>R51</t>
        </is>
      </c>
      <c r="C2381" s="0" t="inlineStr">
        <is>
          <t>R56</t>
        </is>
      </c>
    </row>
    <row r="2382">
      <c r="A2382" s="0" t="inlineStr">
        <is>
          <t>GloVe-100</t>
        </is>
      </c>
      <c r="B2382" s="0" t="inlineStr">
        <is>
          <t>S51</t>
        </is>
      </c>
      <c r="C2382" s="0" t="inlineStr">
        <is>
          <t>S56</t>
        </is>
      </c>
    </row>
    <row r="2383">
      <c r="A2383" s="0" t="inlineStr">
        <is>
          <t>GloVe-100</t>
        </is>
      </c>
      <c r="B2383" s="0" t="inlineStr">
        <is>
          <t>T51</t>
        </is>
      </c>
      <c r="C2383" s="0" t="inlineStr">
        <is>
          <t>T56</t>
        </is>
      </c>
    </row>
    <row r="2384">
      <c r="A2384" s="0" t="inlineStr">
        <is>
          <t>GloVe-100</t>
        </is>
      </c>
      <c r="B2384" s="0" t="inlineStr">
        <is>
          <t>U51</t>
        </is>
      </c>
      <c r="C2384" s="0" t="inlineStr">
        <is>
          <t>U56</t>
        </is>
      </c>
    </row>
    <row r="2385">
      <c r="A2385" s="0" t="inlineStr">
        <is>
          <t>GloVe-100</t>
        </is>
      </c>
      <c r="B2385" s="0" t="inlineStr">
        <is>
          <t>V51</t>
        </is>
      </c>
      <c r="C2385" s="0" t="inlineStr">
        <is>
          <t>V56</t>
        </is>
      </c>
    </row>
    <row r="2386">
      <c r="A2386" s="0" t="inlineStr">
        <is>
          <t>GloVe-100</t>
        </is>
      </c>
      <c r="B2386" s="0" t="inlineStr">
        <is>
          <t>W51</t>
        </is>
      </c>
      <c r="C2386" s="0" t="inlineStr">
        <is>
          <t>W56</t>
        </is>
      </c>
    </row>
    <row r="2387">
      <c r="A2387" s="0" t="inlineStr">
        <is>
          <t>GloVe-100</t>
        </is>
      </c>
      <c r="B2387" s="0" t="inlineStr">
        <is>
          <t>X51</t>
        </is>
      </c>
      <c r="C2387" s="0" t="inlineStr">
        <is>
          <t>X56</t>
        </is>
      </c>
    </row>
    <row r="2388">
      <c r="A2388" s="0" t="inlineStr">
        <is>
          <t>GloVe-100</t>
        </is>
      </c>
      <c r="B2388" s="0" t="inlineStr">
        <is>
          <t>Y51</t>
        </is>
      </c>
      <c r="C2388" s="0" t="inlineStr">
        <is>
          <t>Y56</t>
        </is>
      </c>
    </row>
    <row r="2389">
      <c r="A2389" s="0" t="inlineStr">
        <is>
          <t>GloVe-100</t>
        </is>
      </c>
      <c r="B2389" s="0" t="inlineStr">
        <is>
          <t>D52</t>
        </is>
      </c>
      <c r="C2389" s="0" t="inlineStr">
        <is>
          <t>D59</t>
        </is>
      </c>
    </row>
    <row r="2390">
      <c r="A2390" s="0" t="inlineStr">
        <is>
          <t>GloVe-100</t>
        </is>
      </c>
      <c r="B2390" s="0" t="inlineStr">
        <is>
          <t>D53</t>
        </is>
      </c>
      <c r="C2390" s="0" t="inlineStr">
        <is>
          <t>D60</t>
        </is>
      </c>
    </row>
    <row r="2391">
      <c r="A2391" s="0" t="inlineStr">
        <is>
          <t>GloVe-100</t>
        </is>
      </c>
      <c r="B2391" s="0" t="inlineStr">
        <is>
          <t>E57</t>
        </is>
      </c>
      <c r="C2391" s="0" t="inlineStr">
        <is>
          <t>E64</t>
        </is>
      </c>
      <c r="D2391" s="0" t="inlineStr">
        <is>
          <t>Dataset size vs. VO size</t>
        </is>
      </c>
    </row>
    <row r="2392">
      <c r="A2392" s="0" t="inlineStr">
        <is>
          <t>GloVe-100</t>
        </is>
      </c>
      <c r="B2392" s="0" t="inlineStr">
        <is>
          <t>D59</t>
        </is>
      </c>
      <c r="C2392" s="0" t="inlineStr">
        <is>
          <t>D66</t>
        </is>
      </c>
      <c r="D2392" s="0" t="inlineStr">
        <is>
          <t>GloVe-100: real prefix subsets; 5M/10M not applicable</t>
        </is>
      </c>
    </row>
    <row r="2393">
      <c r="A2393" s="0" t="inlineStr">
        <is>
          <t>GloVe-100</t>
        </is>
      </c>
      <c r="B2393" s="0" t="inlineStr">
        <is>
          <t>D60</t>
        </is>
      </c>
      <c r="C2393" s="0" t="inlineStr">
        <is>
          <t>D67</t>
        </is>
      </c>
      <c r="D2393" s="0" t="inlineStr">
        <is>
          <t>dataset size</t>
        </is>
      </c>
    </row>
    <row r="2394">
      <c r="A2394" s="0" t="inlineStr">
        <is>
          <t>GloVe-100</t>
        </is>
      </c>
      <c r="B2394" s="0" t="inlineStr">
        <is>
          <t>F60</t>
        </is>
      </c>
      <c r="C2394" s="0" t="inlineStr">
        <is>
          <t>F67</t>
        </is>
      </c>
      <c r="D2394" s="0" t="inlineStr">
        <is>
          <t>10^5</t>
        </is>
      </c>
    </row>
    <row r="2395">
      <c r="A2395" s="0" t="inlineStr">
        <is>
          <t>GloVe-100</t>
        </is>
      </c>
      <c r="B2395" s="0" t="inlineStr">
        <is>
          <t>G60</t>
        </is>
      </c>
      <c r="C2395" s="0" t="inlineStr">
        <is>
          <t>G67</t>
        </is>
      </c>
      <c r="D2395" s="0" t="inlineStr">
        <is>
          <t>5*10^5</t>
        </is>
      </c>
    </row>
    <row r="2396">
      <c r="A2396" s="0" t="inlineStr">
        <is>
          <t>GloVe-100</t>
        </is>
      </c>
      <c r="B2396" s="0" t="inlineStr">
        <is>
          <t>H60</t>
        </is>
      </c>
      <c r="C2396" s="0" t="inlineStr">
        <is>
          <t>H67</t>
        </is>
      </c>
      <c r="D2396" s="0" t="inlineStr">
        <is>
          <t>10^6</t>
        </is>
      </c>
    </row>
    <row r="2397">
      <c r="A2397" s="0" t="inlineStr">
        <is>
          <t>GloVe-100</t>
        </is>
      </c>
      <c r="B2397" s="0" t="inlineStr">
        <is>
          <t>I60</t>
        </is>
      </c>
      <c r="C2397" s="0" t="inlineStr">
        <is>
          <t>I67</t>
        </is>
      </c>
      <c r="D2397" s="0" t="inlineStr">
        <is>
          <t>5*10^6</t>
        </is>
      </c>
    </row>
    <row r="2398">
      <c r="A2398" s="0" t="inlineStr">
        <is>
          <t>GloVe-100</t>
        </is>
      </c>
      <c r="B2398" s="0" t="inlineStr">
        <is>
          <t>J60</t>
        </is>
      </c>
      <c r="C2398" s="0" t="inlineStr">
        <is>
          <t>J67</t>
        </is>
      </c>
      <c r="D2398" s="0" t="inlineStr">
        <is>
          <t>10^7</t>
        </is>
      </c>
    </row>
    <row r="2399">
      <c r="A2399" s="0" t="inlineStr">
        <is>
          <t>GloVe-100</t>
        </is>
      </c>
      <c r="B2399" s="0" t="inlineStr">
        <is>
          <t>D61</t>
        </is>
      </c>
      <c r="C2399" s="0" t="inlineStr">
        <is>
          <t>D68</t>
        </is>
      </c>
      <c r="D2399" s="0" t="inlineStr">
        <is>
          <t>VLAH</t>
        </is>
      </c>
    </row>
    <row r="2400">
      <c r="A2400" s="0" t="inlineStr">
        <is>
          <t>GloVe-100</t>
        </is>
      </c>
      <c r="B2400" s="0" t="inlineStr">
        <is>
          <t>F61</t>
        </is>
      </c>
      <c r="C2400" s="0" t="inlineStr">
        <is>
          <t>F68</t>
        </is>
      </c>
      <c r="D2400" s="0" t="n">
        <v>8489.522800000001</v>
      </c>
    </row>
    <row r="2401">
      <c r="A2401" s="0" t="inlineStr">
        <is>
          <t>GloVe-100</t>
        </is>
      </c>
      <c r="B2401" s="0" t="inlineStr">
        <is>
          <t>G61</t>
        </is>
      </c>
      <c r="C2401" s="0" t="inlineStr">
        <is>
          <t>G68</t>
        </is>
      </c>
      <c r="D2401" s="0" t="n">
        <v>42416.545</v>
      </c>
    </row>
    <row r="2402">
      <c r="A2402" s="0" t="inlineStr">
        <is>
          <t>GloVe-100</t>
        </is>
      </c>
      <c r="B2402" s="0" t="inlineStr">
        <is>
          <t>H61</t>
        </is>
      </c>
      <c r="C2402" s="0" t="inlineStr">
        <is>
          <t>H68</t>
        </is>
      </c>
      <c r="D2402" s="0" t="n">
        <v>82998.06759999999</v>
      </c>
    </row>
    <row r="2403">
      <c r="A2403" s="0" t="inlineStr">
        <is>
          <t>GloVe-100</t>
        </is>
      </c>
      <c r="B2403" s="0" t="inlineStr">
        <is>
          <t>I61</t>
        </is>
      </c>
      <c r="C2403" s="0" t="inlineStr">
        <is>
          <t>I68</t>
        </is>
      </c>
      <c r="D2403" s="0" t="inlineStr">
        <is>
          <t>不适用</t>
        </is>
      </c>
    </row>
    <row r="2404">
      <c r="A2404" s="0" t="inlineStr">
        <is>
          <t>GloVe-100</t>
        </is>
      </c>
      <c r="B2404" s="0" t="inlineStr">
        <is>
          <t>J61</t>
        </is>
      </c>
      <c r="C2404" s="0" t="inlineStr">
        <is>
          <t>J68</t>
        </is>
      </c>
      <c r="D2404" s="0" t="inlineStr">
        <is>
          <t>不适用</t>
        </is>
      </c>
    </row>
    <row r="2405">
      <c r="A2405" s="0" t="inlineStr">
        <is>
          <t>GloVe-100</t>
        </is>
      </c>
      <c r="B2405" s="0" t="inlineStr">
        <is>
          <t>D62</t>
        </is>
      </c>
      <c r="C2405" s="0" t="inlineStr">
        <is>
          <t>D69</t>
        </is>
      </c>
      <c r="D2405" s="0" t="inlineStr">
        <is>
          <t>ANNProof</t>
        </is>
      </c>
    </row>
    <row r="2406">
      <c r="A2406" s="0" t="inlineStr">
        <is>
          <t>GloVe-100</t>
        </is>
      </c>
      <c r="B2406" s="0" t="inlineStr">
        <is>
          <t>F62</t>
        </is>
      </c>
      <c r="C2406" s="0" t="inlineStr">
        <is>
          <t>F69</t>
        </is>
      </c>
      <c r="D2406" s="0" t="n">
        <v>5057.4898</v>
      </c>
    </row>
    <row r="2407">
      <c r="A2407" s="0" t="inlineStr">
        <is>
          <t>GloVe-100</t>
        </is>
      </c>
      <c r="B2407" s="0" t="inlineStr">
        <is>
          <t>G62</t>
        </is>
      </c>
      <c r="C2407" s="0" t="inlineStr">
        <is>
          <t>G69</t>
        </is>
      </c>
      <c r="D2407" s="0" t="n">
        <v>13273.9188</v>
      </c>
    </row>
    <row r="2408">
      <c r="A2408" s="0" t="inlineStr">
        <is>
          <t>GloVe-100</t>
        </is>
      </c>
      <c r="B2408" s="0" t="inlineStr">
        <is>
          <t>H62</t>
        </is>
      </c>
      <c r="C2408" s="0" t="inlineStr">
        <is>
          <t>H69</t>
        </is>
      </c>
      <c r="D2408" s="0" t="n">
        <v>14370.4534</v>
      </c>
    </row>
    <row r="2409">
      <c r="A2409" s="0" t="inlineStr">
        <is>
          <t>GloVe-100</t>
        </is>
      </c>
      <c r="B2409" s="0" t="inlineStr">
        <is>
          <t>I62</t>
        </is>
      </c>
      <c r="C2409" s="0" t="inlineStr">
        <is>
          <t>I69</t>
        </is>
      </c>
      <c r="D2409" s="0" t="inlineStr">
        <is>
          <t>不适用</t>
        </is>
      </c>
    </row>
    <row r="2410">
      <c r="A2410" s="0" t="inlineStr">
        <is>
          <t>GloVe-100</t>
        </is>
      </c>
      <c r="B2410" s="0" t="inlineStr">
        <is>
          <t>J62</t>
        </is>
      </c>
      <c r="C2410" s="0" t="inlineStr">
        <is>
          <t>J69</t>
        </is>
      </c>
      <c r="D2410" s="0" t="inlineStr">
        <is>
          <t>不适用</t>
        </is>
      </c>
    </row>
    <row r="2411">
      <c r="A2411" s="0" t="inlineStr">
        <is>
          <t>GloVe-100</t>
        </is>
      </c>
      <c r="B2411" s="0" t="inlineStr">
        <is>
          <t>D63</t>
        </is>
      </c>
      <c r="C2411" s="0" t="inlineStr">
        <is>
          <t>D70</t>
        </is>
      </c>
      <c r="D2411" s="0" t="inlineStr">
        <is>
          <t>Ours</t>
        </is>
      </c>
    </row>
    <row r="2412">
      <c r="A2412" s="0" t="inlineStr">
        <is>
          <t>GloVe-100</t>
        </is>
      </c>
      <c r="B2412" s="0" t="inlineStr">
        <is>
          <t>F63</t>
        </is>
      </c>
      <c r="C2412" s="0" t="inlineStr">
        <is>
          <t>F70</t>
        </is>
      </c>
      <c r="D2412" s="0" t="n">
        <v>969.1795499999999</v>
      </c>
    </row>
    <row r="2413">
      <c r="A2413" s="0" t="inlineStr">
        <is>
          <t>GloVe-100</t>
        </is>
      </c>
      <c r="B2413" s="0" t="inlineStr">
        <is>
          <t>G63</t>
        </is>
      </c>
      <c r="C2413" s="0" t="inlineStr">
        <is>
          <t>G70</t>
        </is>
      </c>
      <c r="D2413" s="0" t="n">
        <v>3293.64175</v>
      </c>
    </row>
    <row r="2414">
      <c r="A2414" s="0" t="inlineStr">
        <is>
          <t>GloVe-100</t>
        </is>
      </c>
      <c r="B2414" s="0" t="inlineStr">
        <is>
          <t>H63</t>
        </is>
      </c>
      <c r="C2414" s="0" t="inlineStr">
        <is>
          <t>H70</t>
        </is>
      </c>
      <c r="D2414" s="0" t="n">
        <v>2804.3072</v>
      </c>
    </row>
    <row r="2415">
      <c r="A2415" s="0" t="inlineStr">
        <is>
          <t>GloVe-100</t>
        </is>
      </c>
      <c r="B2415" s="0" t="inlineStr">
        <is>
          <t>I63</t>
        </is>
      </c>
      <c r="C2415" s="0" t="inlineStr">
        <is>
          <t>I70</t>
        </is>
      </c>
      <c r="D2415" s="0" t="inlineStr">
        <is>
          <t>不适用</t>
        </is>
      </c>
    </row>
    <row r="2416">
      <c r="A2416" s="0" t="inlineStr">
        <is>
          <t>GloVe-100</t>
        </is>
      </c>
      <c r="B2416" s="0" t="inlineStr">
        <is>
          <t>J63</t>
        </is>
      </c>
      <c r="C2416" s="0" t="inlineStr">
        <is>
          <t>J70</t>
        </is>
      </c>
      <c r="D2416" s="0" t="inlineStr">
        <is>
          <t>不适用</t>
        </is>
      </c>
    </row>
    <row r="2417">
      <c r="A2417" s="0" t="inlineStr">
        <is>
          <t>GloVe-100</t>
        </is>
      </c>
      <c r="B2417" s="0" t="inlineStr">
        <is>
          <t>D64</t>
        </is>
      </c>
      <c r="C2417" s="0" t="inlineStr">
        <is>
          <t>D71</t>
        </is>
      </c>
      <c r="D2417" s="0" t="inlineStr">
        <is>
          <t>V3DB（单次）</t>
        </is>
      </c>
    </row>
    <row r="2418">
      <c r="A2418" s="0" t="inlineStr">
        <is>
          <t>GloVe-100</t>
        </is>
      </c>
      <c r="B2418" s="0" t="inlineStr">
        <is>
          <t>F64</t>
        </is>
      </c>
      <c r="C2418" s="0" t="inlineStr">
        <is>
          <t>F71</t>
        </is>
      </c>
      <c r="D2418" s="0" t="n">
        <v>213.789</v>
      </c>
    </row>
    <row r="2419">
      <c r="A2419" s="0" t="inlineStr">
        <is>
          <t>GloVe-100</t>
        </is>
      </c>
      <c r="B2419" s="0" t="inlineStr">
        <is>
          <t>G64</t>
        </is>
      </c>
      <c r="C2419" s="0" t="inlineStr">
        <is>
          <t>G71</t>
        </is>
      </c>
      <c r="D2419" s="0" t="n">
        <v>221.723</v>
      </c>
    </row>
    <row r="2420">
      <c r="A2420" s="0" t="inlineStr">
        <is>
          <t>GloVe-100</t>
        </is>
      </c>
      <c r="B2420" s="0" t="inlineStr">
        <is>
          <t>H64</t>
        </is>
      </c>
      <c r="C2420" s="0" t="inlineStr">
        <is>
          <t>H71</t>
        </is>
      </c>
      <c r="D2420" s="0" t="n">
        <v>229.787</v>
      </c>
    </row>
    <row r="2421">
      <c r="A2421" s="0" t="inlineStr">
        <is>
          <t>GloVe-100</t>
        </is>
      </c>
      <c r="B2421" s="0" t="inlineStr">
        <is>
          <t>I64</t>
        </is>
      </c>
      <c r="C2421" s="0" t="inlineStr">
        <is>
          <t>I71</t>
        </is>
      </c>
    </row>
    <row r="2422">
      <c r="A2422" s="0" t="inlineStr">
        <is>
          <t>GloVe-100</t>
        </is>
      </c>
      <c r="B2422" s="0" t="inlineStr">
        <is>
          <t>J64</t>
        </is>
      </c>
      <c r="C2422" s="0" t="inlineStr">
        <is>
          <t>J71</t>
        </is>
      </c>
    </row>
    <row r="2423">
      <c r="A2423" s="0" t="inlineStr">
        <is>
          <t>GloVe-100</t>
        </is>
      </c>
      <c r="B2423" s="0" t="inlineStr">
        <is>
          <t>E68</t>
        </is>
      </c>
      <c r="C2423" s="0" t="inlineStr">
        <is>
          <t>E76</t>
        </is>
      </c>
      <c r="D2423" s="0" t="inlineStr">
        <is>
          <t>Dataset size vs. Verify time</t>
        </is>
      </c>
    </row>
    <row r="2424">
      <c r="A2424" s="0" t="inlineStr">
        <is>
          <t>GloVe-100</t>
        </is>
      </c>
      <c r="B2424" s="0" t="inlineStr">
        <is>
          <t>D70</t>
        </is>
      </c>
      <c r="C2424" s="0" t="inlineStr">
        <is>
          <t>D78</t>
        </is>
      </c>
      <c r="D2424" s="0" t="inlineStr">
        <is>
          <t>GloVe-100: real prefix subsets; 5M/10M not applicable</t>
        </is>
      </c>
    </row>
    <row r="2425">
      <c r="A2425" s="0" t="inlineStr">
        <is>
          <t>GloVe-100</t>
        </is>
      </c>
      <c r="B2425" s="0" t="inlineStr">
        <is>
          <t>D71</t>
        </is>
      </c>
      <c r="C2425" s="0" t="inlineStr">
        <is>
          <t>D79</t>
        </is>
      </c>
      <c r="D2425" s="0" t="inlineStr">
        <is>
          <t>dataset size</t>
        </is>
      </c>
    </row>
    <row r="2426">
      <c r="A2426" s="0" t="inlineStr">
        <is>
          <t>GloVe-100</t>
        </is>
      </c>
      <c r="B2426" s="0" t="inlineStr">
        <is>
          <t>F71</t>
        </is>
      </c>
      <c r="C2426" s="0" t="inlineStr">
        <is>
          <t>F79</t>
        </is>
      </c>
      <c r="D2426" s="0" t="inlineStr">
        <is>
          <t>10^5</t>
        </is>
      </c>
    </row>
    <row r="2427">
      <c r="A2427" s="0" t="inlineStr">
        <is>
          <t>GloVe-100</t>
        </is>
      </c>
      <c r="B2427" s="0" t="inlineStr">
        <is>
          <t>G71</t>
        </is>
      </c>
      <c r="C2427" s="0" t="inlineStr">
        <is>
          <t>G79</t>
        </is>
      </c>
      <c r="D2427" s="0" t="inlineStr">
        <is>
          <t>5*10^5</t>
        </is>
      </c>
    </row>
    <row r="2428">
      <c r="A2428" s="0" t="inlineStr">
        <is>
          <t>GloVe-100</t>
        </is>
      </c>
      <c r="B2428" s="0" t="inlineStr">
        <is>
          <t>H71</t>
        </is>
      </c>
      <c r="C2428" s="0" t="inlineStr">
        <is>
          <t>H79</t>
        </is>
      </c>
      <c r="D2428" s="0" t="inlineStr">
        <is>
          <t>10^6</t>
        </is>
      </c>
    </row>
    <row r="2429">
      <c r="A2429" s="0" t="inlineStr">
        <is>
          <t>GloVe-100</t>
        </is>
      </c>
      <c r="B2429" s="0" t="inlineStr">
        <is>
          <t>I71</t>
        </is>
      </c>
      <c r="C2429" s="0" t="inlineStr">
        <is>
          <t>I79</t>
        </is>
      </c>
      <c r="D2429" s="0" t="inlineStr">
        <is>
          <t>5*10^6</t>
        </is>
      </c>
    </row>
    <row r="2430">
      <c r="A2430" s="0" t="inlineStr">
        <is>
          <t>GloVe-100</t>
        </is>
      </c>
      <c r="B2430" s="0" t="inlineStr">
        <is>
          <t>J71</t>
        </is>
      </c>
      <c r="C2430" s="0" t="inlineStr">
        <is>
          <t>J79</t>
        </is>
      </c>
      <c r="D2430" s="0" t="inlineStr">
        <is>
          <t>10^7</t>
        </is>
      </c>
    </row>
    <row r="2431">
      <c r="A2431" s="0" t="inlineStr">
        <is>
          <t>GloVe-100</t>
        </is>
      </c>
      <c r="B2431" s="0" t="inlineStr">
        <is>
          <t>D72</t>
        </is>
      </c>
      <c r="C2431" s="0" t="inlineStr">
        <is>
          <t>D80</t>
        </is>
      </c>
      <c r="D2431" s="0" t="inlineStr">
        <is>
          <t>VLAH</t>
        </is>
      </c>
    </row>
    <row r="2432">
      <c r="A2432" s="0" t="inlineStr">
        <is>
          <t>GloVe-100</t>
        </is>
      </c>
      <c r="B2432" s="0" t="inlineStr">
        <is>
          <t>F72</t>
        </is>
      </c>
      <c r="C2432" s="0" t="inlineStr">
        <is>
          <t>F80</t>
        </is>
      </c>
      <c r="D2432" s="0" t="n">
        <v>54.7392815166667</v>
      </c>
    </row>
    <row r="2433">
      <c r="A2433" s="0" t="inlineStr">
        <is>
          <t>GloVe-100</t>
        </is>
      </c>
      <c r="B2433" s="0" t="inlineStr">
        <is>
          <t>G72</t>
        </is>
      </c>
      <c r="C2433" s="0" t="inlineStr">
        <is>
          <t>G80</t>
        </is>
      </c>
      <c r="D2433" s="0" t="n">
        <v>284.5216247</v>
      </c>
    </row>
    <row r="2434">
      <c r="A2434" s="0" t="inlineStr">
        <is>
          <t>GloVe-100</t>
        </is>
      </c>
      <c r="B2434" s="0" t="inlineStr">
        <is>
          <t>H72</t>
        </is>
      </c>
      <c r="C2434" s="0" t="inlineStr">
        <is>
          <t>H80</t>
        </is>
      </c>
      <c r="D2434" s="0" t="n">
        <v>557.962164633333</v>
      </c>
    </row>
    <row r="2435">
      <c r="A2435" s="0" t="inlineStr">
        <is>
          <t>GloVe-100</t>
        </is>
      </c>
      <c r="B2435" s="0" t="inlineStr">
        <is>
          <t>I72</t>
        </is>
      </c>
      <c r="C2435" s="0" t="inlineStr">
        <is>
          <t>I80</t>
        </is>
      </c>
      <c r="D2435" s="0" t="inlineStr">
        <is>
          <t>不适用</t>
        </is>
      </c>
    </row>
    <row r="2436">
      <c r="A2436" s="0" t="inlineStr">
        <is>
          <t>GloVe-100</t>
        </is>
      </c>
      <c r="B2436" s="0" t="inlineStr">
        <is>
          <t>J72</t>
        </is>
      </c>
      <c r="C2436" s="0" t="inlineStr">
        <is>
          <t>J80</t>
        </is>
      </c>
      <c r="D2436" s="0" t="inlineStr">
        <is>
          <t>不适用</t>
        </is>
      </c>
    </row>
    <row r="2437">
      <c r="A2437" s="0" t="inlineStr">
        <is>
          <t>GloVe-100</t>
        </is>
      </c>
      <c r="B2437" s="0" t="inlineStr">
        <is>
          <t>D73</t>
        </is>
      </c>
      <c r="C2437" s="0" t="inlineStr">
        <is>
          <t>D81</t>
        </is>
      </c>
      <c r="D2437" s="0" t="inlineStr">
        <is>
          <t>ANNProof</t>
        </is>
      </c>
    </row>
    <row r="2438">
      <c r="A2438" s="0" t="inlineStr">
        <is>
          <t>GloVe-100</t>
        </is>
      </c>
      <c r="B2438" s="0" t="inlineStr">
        <is>
          <t>F73</t>
        </is>
      </c>
      <c r="C2438" s="0" t="inlineStr">
        <is>
          <t>F81</t>
        </is>
      </c>
      <c r="D2438" s="0" t="n">
        <v>59.2690873333333</v>
      </c>
    </row>
    <row r="2439">
      <c r="A2439" s="0" t="inlineStr">
        <is>
          <t>GloVe-100</t>
        </is>
      </c>
      <c r="B2439" s="0" t="inlineStr">
        <is>
          <t>G73</t>
        </is>
      </c>
      <c r="C2439" s="0" t="inlineStr">
        <is>
          <t>G81</t>
        </is>
      </c>
      <c r="D2439" s="0" t="n">
        <v>166.525453083333</v>
      </c>
    </row>
    <row r="2440">
      <c r="A2440" s="0" t="inlineStr">
        <is>
          <t>GloVe-100</t>
        </is>
      </c>
      <c r="B2440" s="0" t="inlineStr">
        <is>
          <t>H73</t>
        </is>
      </c>
      <c r="C2440" s="0" t="inlineStr">
        <is>
          <t>H81</t>
        </is>
      </c>
      <c r="D2440" s="0" t="n">
        <v>186.265374333333</v>
      </c>
    </row>
    <row r="2441">
      <c r="A2441" s="0" t="inlineStr">
        <is>
          <t>GloVe-100</t>
        </is>
      </c>
      <c r="B2441" s="0" t="inlineStr">
        <is>
          <t>I73</t>
        </is>
      </c>
      <c r="C2441" s="0" t="inlineStr">
        <is>
          <t>I81</t>
        </is>
      </c>
      <c r="D2441" s="0" t="inlineStr">
        <is>
          <t>不适用</t>
        </is>
      </c>
    </row>
    <row r="2442">
      <c r="A2442" s="0" t="inlineStr">
        <is>
          <t>GloVe-100</t>
        </is>
      </c>
      <c r="B2442" s="0" t="inlineStr">
        <is>
          <t>J73</t>
        </is>
      </c>
      <c r="C2442" s="0" t="inlineStr">
        <is>
          <t>J81</t>
        </is>
      </c>
      <c r="D2442" s="0" t="inlineStr">
        <is>
          <t>不适用</t>
        </is>
      </c>
    </row>
    <row r="2443">
      <c r="A2443" s="0" t="inlineStr">
        <is>
          <t>GloVe-100</t>
        </is>
      </c>
      <c r="B2443" s="0" t="inlineStr">
        <is>
          <t>D74</t>
        </is>
      </c>
      <c r="C2443" s="0" t="inlineStr">
        <is>
          <t>D82</t>
        </is>
      </c>
      <c r="D2443" s="0" t="inlineStr">
        <is>
          <t>Ours</t>
        </is>
      </c>
    </row>
    <row r="2444">
      <c r="A2444" s="0" t="inlineStr">
        <is>
          <t>GloVe-100</t>
        </is>
      </c>
      <c r="B2444" s="0" t="inlineStr">
        <is>
          <t>F74</t>
        </is>
      </c>
      <c r="C2444" s="0" t="inlineStr">
        <is>
          <t>F82</t>
        </is>
      </c>
      <c r="D2444" s="0" t="n">
        <v>23.6985128833333</v>
      </c>
    </row>
    <row r="2445">
      <c r="A2445" s="0" t="inlineStr">
        <is>
          <t>GloVe-100</t>
        </is>
      </c>
      <c r="B2445" s="0" t="inlineStr">
        <is>
          <t>G74</t>
        </is>
      </c>
      <c r="C2445" s="0" t="inlineStr">
        <is>
          <t>G82</t>
        </is>
      </c>
      <c r="D2445" s="0" t="n">
        <v>94.11832695</v>
      </c>
    </row>
    <row r="2446">
      <c r="A2446" s="0" t="inlineStr">
        <is>
          <t>GloVe-100</t>
        </is>
      </c>
      <c r="B2446" s="0" t="inlineStr">
        <is>
          <t>H74</t>
        </is>
      </c>
      <c r="C2446" s="0" t="inlineStr">
        <is>
          <t>H82</t>
        </is>
      </c>
      <c r="D2446" s="0" t="n">
        <v>76.8190604</v>
      </c>
    </row>
    <row r="2447">
      <c r="A2447" s="0" t="inlineStr">
        <is>
          <t>GloVe-100</t>
        </is>
      </c>
      <c r="B2447" s="0" t="inlineStr">
        <is>
          <t>I74</t>
        </is>
      </c>
      <c r="C2447" s="0" t="inlineStr">
        <is>
          <t>I82</t>
        </is>
      </c>
      <c r="D2447" s="0" t="inlineStr">
        <is>
          <t>不适用</t>
        </is>
      </c>
    </row>
    <row r="2448">
      <c r="A2448" s="0" t="inlineStr">
        <is>
          <t>GloVe-100</t>
        </is>
      </c>
      <c r="B2448" s="0" t="inlineStr">
        <is>
          <t>J74</t>
        </is>
      </c>
      <c r="C2448" s="0" t="inlineStr">
        <is>
          <t>J82</t>
        </is>
      </c>
      <c r="D2448" s="0" t="inlineStr">
        <is>
          <t>不适用</t>
        </is>
      </c>
    </row>
    <row r="2449">
      <c r="A2449" s="0" t="inlineStr">
        <is>
          <t>GloVe-100</t>
        </is>
      </c>
      <c r="B2449" s="0" t="inlineStr">
        <is>
          <t>D75</t>
        </is>
      </c>
      <c r="C2449" s="0" t="inlineStr">
        <is>
          <t>D83</t>
        </is>
      </c>
      <c r="D2449" s="0" t="inlineStr">
        <is>
          <t>V3DB（单次）</t>
        </is>
      </c>
    </row>
    <row r="2450">
      <c r="A2450" s="0" t="inlineStr">
        <is>
          <t>GloVe-100</t>
        </is>
      </c>
      <c r="B2450" s="0" t="inlineStr">
        <is>
          <t>F75</t>
        </is>
      </c>
      <c r="C2450" s="0" t="inlineStr">
        <is>
          <t>F83</t>
        </is>
      </c>
      <c r="D2450" s="0" t="n">
        <v>34.2702140005713</v>
      </c>
    </row>
    <row r="2451">
      <c r="A2451" s="0" t="inlineStr">
        <is>
          <t>GloVe-100</t>
        </is>
      </c>
      <c r="B2451" s="0" t="inlineStr">
        <is>
          <t>G75</t>
        </is>
      </c>
      <c r="C2451" s="0" t="inlineStr">
        <is>
          <t>G83</t>
        </is>
      </c>
      <c r="D2451" s="0" t="n">
        <v>12.736059999952</v>
      </c>
    </row>
    <row r="2452">
      <c r="A2452" s="0" t="inlineStr">
        <is>
          <t>GloVe-100</t>
        </is>
      </c>
      <c r="B2452" s="0" t="inlineStr">
        <is>
          <t>H75</t>
        </is>
      </c>
      <c r="C2452" s="0" t="inlineStr">
        <is>
          <t>H83</t>
        </is>
      </c>
      <c r="D2452" s="0" t="n">
        <v>12.6910020007927</v>
      </c>
    </row>
    <row r="2453">
      <c r="A2453" s="0" t="inlineStr">
        <is>
          <t>GloVe-100</t>
        </is>
      </c>
      <c r="B2453" s="0" t="inlineStr">
        <is>
          <t>I75</t>
        </is>
      </c>
      <c r="C2453" s="0" t="inlineStr">
        <is>
          <t>I83</t>
        </is>
      </c>
    </row>
    <row r="2454">
      <c r="A2454" s="0" t="inlineStr">
        <is>
          <t>GloVe-100</t>
        </is>
      </c>
      <c r="B2454" s="0" t="inlineStr">
        <is>
          <t>J75</t>
        </is>
      </c>
      <c r="C2454" s="0" t="inlineStr">
        <is>
          <t>J83</t>
        </is>
      </c>
    </row>
    <row r="2455">
      <c r="A2455" s="0" t="inlineStr">
        <is>
          <t>GloVe-100</t>
        </is>
      </c>
      <c r="B2455" s="0" t="inlineStr">
        <is>
          <t>E78</t>
        </is>
      </c>
      <c r="C2455" s="0" t="inlineStr">
        <is>
          <t>E87</t>
        </is>
      </c>
      <c r="D2455" s="0" t="inlineStr">
        <is>
          <t>Dataset size vs. query time</t>
        </is>
      </c>
    </row>
    <row r="2456">
      <c r="A2456" s="0" t="inlineStr">
        <is>
          <t>GloVe-100</t>
        </is>
      </c>
      <c r="B2456" s="0" t="inlineStr">
        <is>
          <t>D80</t>
        </is>
      </c>
      <c r="C2456" s="0" t="inlineStr">
        <is>
          <t>D89</t>
        </is>
      </c>
      <c r="D2456" s="0" t="inlineStr">
        <is>
          <t>GloVe-100: real prefix subsets; 5M/10M not applicable</t>
        </is>
      </c>
    </row>
    <row r="2457">
      <c r="A2457" s="0" t="inlineStr">
        <is>
          <t>GloVe-100</t>
        </is>
      </c>
      <c r="B2457" s="0" t="inlineStr">
        <is>
          <t>D81</t>
        </is>
      </c>
      <c r="C2457" s="0" t="inlineStr">
        <is>
          <t>D90</t>
        </is>
      </c>
      <c r="D2457" s="0" t="inlineStr">
        <is>
          <t>dataset size</t>
        </is>
      </c>
    </row>
    <row r="2458">
      <c r="A2458" s="0" t="inlineStr">
        <is>
          <t>GloVe-100</t>
        </is>
      </c>
      <c r="B2458" s="0" t="inlineStr">
        <is>
          <t>F81</t>
        </is>
      </c>
      <c r="C2458" s="0" t="inlineStr">
        <is>
          <t>F90</t>
        </is>
      </c>
      <c r="D2458" s="0" t="inlineStr">
        <is>
          <t>10^5</t>
        </is>
      </c>
    </row>
    <row r="2459">
      <c r="A2459" s="0" t="inlineStr">
        <is>
          <t>GloVe-100</t>
        </is>
      </c>
      <c r="B2459" s="0" t="inlineStr">
        <is>
          <t>G81</t>
        </is>
      </c>
      <c r="C2459" s="0" t="inlineStr">
        <is>
          <t>G90</t>
        </is>
      </c>
      <c r="D2459" s="0" t="inlineStr">
        <is>
          <t>5*10^5</t>
        </is>
      </c>
    </row>
    <row r="2460">
      <c r="A2460" s="0" t="inlineStr">
        <is>
          <t>GloVe-100</t>
        </is>
      </c>
      <c r="B2460" s="0" t="inlineStr">
        <is>
          <t>H81</t>
        </is>
      </c>
      <c r="C2460" s="0" t="inlineStr">
        <is>
          <t>H90</t>
        </is>
      </c>
      <c r="D2460" s="0" t="inlineStr">
        <is>
          <t>10^6</t>
        </is>
      </c>
    </row>
    <row r="2461">
      <c r="A2461" s="0" t="inlineStr">
        <is>
          <t>GloVe-100</t>
        </is>
      </c>
      <c r="B2461" s="0" t="inlineStr">
        <is>
          <t>I81</t>
        </is>
      </c>
      <c r="C2461" s="0" t="inlineStr">
        <is>
          <t>I90</t>
        </is>
      </c>
      <c r="D2461" s="0" t="inlineStr">
        <is>
          <t>5*10^6</t>
        </is>
      </c>
    </row>
    <row r="2462">
      <c r="A2462" s="0" t="inlineStr">
        <is>
          <t>GloVe-100</t>
        </is>
      </c>
      <c r="B2462" s="0" t="inlineStr">
        <is>
          <t>J81</t>
        </is>
      </c>
      <c r="C2462" s="0" t="inlineStr">
        <is>
          <t>J90</t>
        </is>
      </c>
      <c r="D2462" s="0" t="inlineStr">
        <is>
          <t>10^7</t>
        </is>
      </c>
    </row>
    <row r="2463">
      <c r="A2463" s="0" t="inlineStr">
        <is>
          <t>GloVe-100</t>
        </is>
      </c>
      <c r="B2463" s="0" t="inlineStr">
        <is>
          <t>D82</t>
        </is>
      </c>
      <c r="C2463" s="0" t="inlineStr">
        <is>
          <t>D91</t>
        </is>
      </c>
      <c r="D2463" s="0" t="inlineStr">
        <is>
          <t>VLAH</t>
        </is>
      </c>
    </row>
    <row r="2464">
      <c r="A2464" s="0" t="inlineStr">
        <is>
          <t>GloVe-100</t>
        </is>
      </c>
      <c r="B2464" s="0" t="inlineStr">
        <is>
          <t>F82</t>
        </is>
      </c>
      <c r="C2464" s="0" t="inlineStr">
        <is>
          <t>F91</t>
        </is>
      </c>
      <c r="D2464" s="0" t="n">
        <v>19.83255335</v>
      </c>
    </row>
    <row r="2465">
      <c r="A2465" s="0" t="inlineStr">
        <is>
          <t>GloVe-100</t>
        </is>
      </c>
      <c r="B2465" s="0" t="inlineStr">
        <is>
          <t>G82</t>
        </is>
      </c>
      <c r="C2465" s="0" t="inlineStr">
        <is>
          <t>G91</t>
        </is>
      </c>
      <c r="D2465" s="0" t="n">
        <v>118.37491675</v>
      </c>
    </row>
    <row r="2466">
      <c r="A2466" s="0" t="inlineStr">
        <is>
          <t>GloVe-100</t>
        </is>
      </c>
      <c r="B2466" s="0" t="inlineStr">
        <is>
          <t>H82</t>
        </is>
      </c>
      <c r="C2466" s="0" t="inlineStr">
        <is>
          <t>H91</t>
        </is>
      </c>
      <c r="D2466" s="0" t="n">
        <v>237.828352416667</v>
      </c>
    </row>
    <row r="2467">
      <c r="A2467" s="0" t="inlineStr">
        <is>
          <t>GloVe-100</t>
        </is>
      </c>
      <c r="B2467" s="0" t="inlineStr">
        <is>
          <t>I82</t>
        </is>
      </c>
      <c r="C2467" s="0" t="inlineStr">
        <is>
          <t>I91</t>
        </is>
      </c>
      <c r="D2467" s="0" t="inlineStr">
        <is>
          <t>不适用</t>
        </is>
      </c>
    </row>
    <row r="2468">
      <c r="A2468" s="0" t="inlineStr">
        <is>
          <t>GloVe-100</t>
        </is>
      </c>
      <c r="B2468" s="0" t="inlineStr">
        <is>
          <t>J82</t>
        </is>
      </c>
      <c r="C2468" s="0" t="inlineStr">
        <is>
          <t>J91</t>
        </is>
      </c>
      <c r="D2468" s="0" t="inlineStr">
        <is>
          <t>不适用</t>
        </is>
      </c>
    </row>
    <row r="2469">
      <c r="A2469" s="0" t="inlineStr">
        <is>
          <t>GloVe-100</t>
        </is>
      </c>
      <c r="B2469" s="0" t="inlineStr">
        <is>
          <t>D83</t>
        </is>
      </c>
      <c r="C2469" s="0" t="inlineStr">
        <is>
          <t>D92</t>
        </is>
      </c>
      <c r="D2469" s="0" t="inlineStr">
        <is>
          <t>ANNProof</t>
        </is>
      </c>
    </row>
    <row r="2470">
      <c r="A2470" s="0" t="inlineStr">
        <is>
          <t>GloVe-100</t>
        </is>
      </c>
      <c r="B2470" s="0" t="inlineStr">
        <is>
          <t>F83</t>
        </is>
      </c>
      <c r="C2470" s="0" t="inlineStr">
        <is>
          <t>F92</t>
        </is>
      </c>
      <c r="D2470" s="0" t="n">
        <v>14.3868343666667</v>
      </c>
    </row>
    <row r="2471">
      <c r="A2471" s="0" t="inlineStr">
        <is>
          <t>GloVe-100</t>
        </is>
      </c>
      <c r="B2471" s="0" t="inlineStr">
        <is>
          <t>G83</t>
        </is>
      </c>
      <c r="C2471" s="0" t="inlineStr">
        <is>
          <t>G92</t>
        </is>
      </c>
      <c r="D2471" s="0" t="n">
        <v>42.6744452833333</v>
      </c>
    </row>
    <row r="2472">
      <c r="A2472" s="0" t="inlineStr">
        <is>
          <t>GloVe-100</t>
        </is>
      </c>
      <c r="B2472" s="0" t="inlineStr">
        <is>
          <t>H83</t>
        </is>
      </c>
      <c r="C2472" s="0" t="inlineStr">
        <is>
          <t>H92</t>
        </is>
      </c>
      <c r="D2472" s="0" t="n">
        <v>47.7281420666667</v>
      </c>
    </row>
    <row r="2473">
      <c r="A2473" s="0" t="inlineStr">
        <is>
          <t>GloVe-100</t>
        </is>
      </c>
      <c r="B2473" s="0" t="inlineStr">
        <is>
          <t>I83</t>
        </is>
      </c>
      <c r="C2473" s="0" t="inlineStr">
        <is>
          <t>I92</t>
        </is>
      </c>
      <c r="D2473" s="0" t="inlineStr">
        <is>
          <t>不适用</t>
        </is>
      </c>
    </row>
    <row r="2474">
      <c r="A2474" s="0" t="inlineStr">
        <is>
          <t>GloVe-100</t>
        </is>
      </c>
      <c r="B2474" s="0" t="inlineStr">
        <is>
          <t>J83</t>
        </is>
      </c>
      <c r="C2474" s="0" t="inlineStr">
        <is>
          <t>J92</t>
        </is>
      </c>
      <c r="D2474" s="0" t="inlineStr">
        <is>
          <t>不适用</t>
        </is>
      </c>
    </row>
    <row r="2475">
      <c r="A2475" s="0" t="inlineStr">
        <is>
          <t>GloVe-100</t>
        </is>
      </c>
      <c r="B2475" s="0" t="inlineStr">
        <is>
          <t>D84</t>
        </is>
      </c>
      <c r="C2475" s="0" t="inlineStr">
        <is>
          <t>D93</t>
        </is>
      </c>
      <c r="D2475" s="0" t="inlineStr">
        <is>
          <t>Ours</t>
        </is>
      </c>
    </row>
    <row r="2476">
      <c r="A2476" s="0" t="inlineStr">
        <is>
          <t>GloVe-100</t>
        </is>
      </c>
      <c r="B2476" s="0" t="inlineStr">
        <is>
          <t>F84</t>
        </is>
      </c>
      <c r="C2476" s="0" t="inlineStr">
        <is>
          <t>F93</t>
        </is>
      </c>
      <c r="D2476" s="0" t="n">
        <v>10.5961927333333</v>
      </c>
    </row>
    <row r="2477">
      <c r="A2477" s="0" t="inlineStr">
        <is>
          <t>GloVe-100</t>
        </is>
      </c>
      <c r="B2477" s="0" t="inlineStr">
        <is>
          <t>G84</t>
        </is>
      </c>
      <c r="C2477" s="0" t="inlineStr">
        <is>
          <t>G93</t>
        </is>
      </c>
      <c r="D2477" s="0" t="n">
        <v>44.0394726833333</v>
      </c>
    </row>
    <row r="2478">
      <c r="A2478" s="0" t="inlineStr">
        <is>
          <t>GloVe-100</t>
        </is>
      </c>
      <c r="B2478" s="0" t="inlineStr">
        <is>
          <t>H84</t>
        </is>
      </c>
      <c r="C2478" s="0" t="inlineStr">
        <is>
          <t>H93</t>
        </is>
      </c>
      <c r="D2478" s="0" t="n">
        <v>35.6520734333333</v>
      </c>
    </row>
    <row r="2479">
      <c r="A2479" s="0" t="inlineStr">
        <is>
          <t>GloVe-100</t>
        </is>
      </c>
      <c r="B2479" s="0" t="inlineStr">
        <is>
          <t>I84</t>
        </is>
      </c>
      <c r="C2479" s="0" t="inlineStr">
        <is>
          <t>I93</t>
        </is>
      </c>
      <c r="D2479" s="0" t="inlineStr">
        <is>
          <t>不适用</t>
        </is>
      </c>
    </row>
    <row r="2480">
      <c r="A2480" s="0" t="inlineStr">
        <is>
          <t>GloVe-100</t>
        </is>
      </c>
      <c r="B2480" s="0" t="inlineStr">
        <is>
          <t>J84</t>
        </is>
      </c>
      <c r="C2480" s="0" t="inlineStr">
        <is>
          <t>J93</t>
        </is>
      </c>
      <c r="D2480" s="0" t="inlineStr">
        <is>
          <t>不适用</t>
        </is>
      </c>
    </row>
    <row r="2481">
      <c r="A2481" s="0" t="inlineStr">
        <is>
          <t>GloVe-100</t>
        </is>
      </c>
      <c r="B2481" s="0" t="inlineStr">
        <is>
          <t>D85</t>
        </is>
      </c>
      <c r="C2481" s="0" t="inlineStr">
        <is>
          <t>D94</t>
        </is>
      </c>
      <c r="D2481" s="0" t="inlineStr">
        <is>
          <t>V3DB（单次）</t>
        </is>
      </c>
    </row>
    <row r="2482">
      <c r="A2482" s="0" t="inlineStr">
        <is>
          <t>GloVe-100</t>
        </is>
      </c>
      <c r="B2482" s="0" t="inlineStr">
        <is>
          <t>F85</t>
        </is>
      </c>
      <c r="C2482" s="0" t="inlineStr">
        <is>
          <t>F94</t>
        </is>
      </c>
      <c r="D2482" s="0" t="n">
        <v>488012.784404999</v>
      </c>
    </row>
    <row r="2483">
      <c r="A2483" s="0" t="inlineStr">
        <is>
          <t>GloVe-100</t>
        </is>
      </c>
      <c r="B2483" s="0" t="inlineStr">
        <is>
          <t>G85</t>
        </is>
      </c>
      <c r="C2483" s="0" t="inlineStr">
        <is>
          <t>G94</t>
        </is>
      </c>
      <c r="D2483" s="0" t="n">
        <v>242873.377380999</v>
      </c>
    </row>
    <row r="2484">
      <c r="A2484" s="0" t="inlineStr">
        <is>
          <t>GloVe-100</t>
        </is>
      </c>
      <c r="B2484" s="0" t="inlineStr">
        <is>
          <t>H85</t>
        </is>
      </c>
      <c r="C2484" s="0" t="inlineStr">
        <is>
          <t>H94</t>
        </is>
      </c>
      <c r="D2484" s="0" t="n">
        <v>240464.195720001</v>
      </c>
    </row>
    <row r="2485">
      <c r="A2485" s="0" t="inlineStr">
        <is>
          <t>GloVe-100</t>
        </is>
      </c>
      <c r="B2485" s="0" t="inlineStr">
        <is>
          <t>I85</t>
        </is>
      </c>
      <c r="C2485" s="0" t="inlineStr">
        <is>
          <t>I94</t>
        </is>
      </c>
    </row>
    <row r="2486">
      <c r="A2486" s="0" t="inlineStr">
        <is>
          <t>GloVe-100</t>
        </is>
      </c>
      <c r="B2486" s="0" t="inlineStr">
        <is>
          <t>J85</t>
        </is>
      </c>
      <c r="C2486" s="0" t="inlineStr">
        <is>
          <t>J94</t>
        </is>
      </c>
    </row>
    <row r="2487">
      <c r="A2487" s="0" t="inlineStr">
        <is>
          <t>GloVe-100</t>
        </is>
      </c>
      <c r="B2487" s="0" t="inlineStr">
        <is>
          <t>E90</t>
        </is>
      </c>
      <c r="C2487" s="0" t="inlineStr">
        <is>
          <t>E100</t>
        </is>
      </c>
      <c r="D2487" s="0" t="inlineStr">
        <is>
          <t>K vs. VO size (actual Recall@K logged)</t>
        </is>
      </c>
    </row>
    <row r="2488">
      <c r="A2488" s="0" t="inlineStr">
        <is>
          <t>GloVe-100</t>
        </is>
      </c>
      <c r="B2488" s="0" t="inlineStr">
        <is>
          <t>D92</t>
        </is>
      </c>
      <c r="C2488" s="0" t="inlineStr">
        <is>
          <t>D102</t>
        </is>
      </c>
      <c r="D2488" s="0" t="inlineStr">
        <is>
          <t>GloVe-100 (N=1,183,514, d=100)</t>
        </is>
      </c>
    </row>
    <row r="2489">
      <c r="A2489" s="0" t="inlineStr">
        <is>
          <t>GloVe-100</t>
        </is>
      </c>
      <c r="B2489" s="0" t="inlineStr">
        <is>
          <t>D93</t>
        </is>
      </c>
      <c r="C2489" s="0" t="inlineStr">
        <is>
          <t>D103</t>
        </is>
      </c>
      <c r="D2489" s="0" t="inlineStr">
        <is>
          <t>K</t>
        </is>
      </c>
    </row>
    <row r="2490">
      <c r="A2490" s="0" t="inlineStr">
        <is>
          <t>GloVe-100</t>
        </is>
      </c>
      <c r="B2490" s="0" t="inlineStr">
        <is>
          <t>F93</t>
        </is>
      </c>
      <c r="C2490" s="0" t="inlineStr">
        <is>
          <t>F103</t>
        </is>
      </c>
      <c r="D2490" s="0" t="n">
        <v>1</v>
      </c>
    </row>
    <row r="2491">
      <c r="A2491" s="0" t="inlineStr">
        <is>
          <t>GloVe-100</t>
        </is>
      </c>
      <c r="B2491" s="0" t="inlineStr">
        <is>
          <t>G93</t>
        </is>
      </c>
      <c r="C2491" s="0" t="inlineStr">
        <is>
          <t>G103</t>
        </is>
      </c>
      <c r="D2491" s="0" t="n">
        <v>5</v>
      </c>
    </row>
    <row r="2492">
      <c r="A2492" s="0" t="inlineStr">
        <is>
          <t>GloVe-100</t>
        </is>
      </c>
      <c r="B2492" s="0" t="inlineStr">
        <is>
          <t>H93</t>
        </is>
      </c>
      <c r="C2492" s="0" t="inlineStr">
        <is>
          <t>H103</t>
        </is>
      </c>
      <c r="D2492" s="0" t="n">
        <v>10</v>
      </c>
    </row>
    <row r="2493">
      <c r="A2493" s="0" t="inlineStr">
        <is>
          <t>GloVe-100</t>
        </is>
      </c>
      <c r="B2493" s="0" t="inlineStr">
        <is>
          <t>I93</t>
        </is>
      </c>
      <c r="C2493" s="0" t="inlineStr">
        <is>
          <t>I103</t>
        </is>
      </c>
      <c r="D2493" s="0" t="n">
        <v>20</v>
      </c>
    </row>
    <row r="2494">
      <c r="A2494" s="0" t="inlineStr">
        <is>
          <t>GloVe-100</t>
        </is>
      </c>
      <c r="B2494" s="0" t="inlineStr">
        <is>
          <t>J93</t>
        </is>
      </c>
      <c r="C2494" s="0" t="inlineStr">
        <is>
          <t>J103</t>
        </is>
      </c>
      <c r="D2494" s="0" t="n">
        <v>50</v>
      </c>
    </row>
    <row r="2495">
      <c r="A2495" s="0" t="inlineStr">
        <is>
          <t>GloVe-100</t>
        </is>
      </c>
      <c r="B2495" s="0" t="inlineStr">
        <is>
          <t>K93</t>
        </is>
      </c>
      <c r="C2495" s="0" t="inlineStr">
        <is>
          <t>K103</t>
        </is>
      </c>
      <c r="D2495" s="0" t="n">
        <v>100</v>
      </c>
    </row>
    <row r="2496">
      <c r="A2496" s="0" t="inlineStr">
        <is>
          <t>GloVe-100</t>
        </is>
      </c>
      <c r="B2496" s="0" t="inlineStr">
        <is>
          <t>D94</t>
        </is>
      </c>
      <c r="C2496" s="0" t="inlineStr">
        <is>
          <t>D104</t>
        </is>
      </c>
      <c r="D2496" s="0" t="inlineStr">
        <is>
          <t>VLAH</t>
        </is>
      </c>
    </row>
    <row r="2497">
      <c r="A2497" s="0" t="inlineStr">
        <is>
          <t>GloVe-100</t>
        </is>
      </c>
      <c r="B2497" s="0" t="inlineStr">
        <is>
          <t>F94</t>
        </is>
      </c>
      <c r="C2497" s="0" t="inlineStr">
        <is>
          <t>F104</t>
        </is>
      </c>
      <c r="D2497" s="0" t="n">
        <v>156085.1096</v>
      </c>
    </row>
    <row r="2498">
      <c r="A2498" s="0" t="inlineStr">
        <is>
          <t>GloVe-100</t>
        </is>
      </c>
      <c r="B2498" s="0" t="inlineStr">
        <is>
          <t>G94</t>
        </is>
      </c>
      <c r="C2498" s="0" t="inlineStr">
        <is>
          <t>G104</t>
        </is>
      </c>
      <c r="D2498" s="0" t="n">
        <v>156085.1256</v>
      </c>
    </row>
    <row r="2499">
      <c r="A2499" s="0" t="inlineStr">
        <is>
          <t>GloVe-100</t>
        </is>
      </c>
      <c r="B2499" s="0" t="inlineStr">
        <is>
          <t>H94</t>
        </is>
      </c>
      <c r="C2499" s="0" t="inlineStr">
        <is>
          <t>H104</t>
        </is>
      </c>
      <c r="D2499" s="0" t="n">
        <v>156085.1456</v>
      </c>
    </row>
    <row r="2500">
      <c r="A2500" s="0" t="inlineStr">
        <is>
          <t>GloVe-100</t>
        </is>
      </c>
      <c r="B2500" s="0" t="inlineStr">
        <is>
          <t>I94</t>
        </is>
      </c>
      <c r="C2500" s="0" t="inlineStr">
        <is>
          <t>I104</t>
        </is>
      </c>
      <c r="D2500" s="0" t="n">
        <v>156085.1856</v>
      </c>
    </row>
    <row r="2501">
      <c r="A2501" s="0" t="inlineStr">
        <is>
          <t>GloVe-100</t>
        </is>
      </c>
      <c r="B2501" s="0" t="inlineStr">
        <is>
          <t>J94</t>
        </is>
      </c>
      <c r="C2501" s="0" t="inlineStr">
        <is>
          <t>J104</t>
        </is>
      </c>
      <c r="D2501" s="0" t="n">
        <v>156085.3056</v>
      </c>
    </row>
    <row r="2502">
      <c r="A2502" s="0" t="inlineStr">
        <is>
          <t>GloVe-100</t>
        </is>
      </c>
      <c r="B2502" s="0" t="inlineStr">
        <is>
          <t>K94</t>
        </is>
      </c>
      <c r="C2502" s="0" t="inlineStr">
        <is>
          <t>K104</t>
        </is>
      </c>
      <c r="D2502" s="0" t="n">
        <v>156085.5056</v>
      </c>
    </row>
    <row r="2503">
      <c r="A2503" s="0" t="inlineStr">
        <is>
          <t>GloVe-100</t>
        </is>
      </c>
      <c r="B2503" s="0" t="inlineStr">
        <is>
          <t>D95</t>
        </is>
      </c>
      <c r="C2503" s="0" t="inlineStr">
        <is>
          <t>D105</t>
        </is>
      </c>
      <c r="D2503" s="0" t="inlineStr">
        <is>
          <t>ANNProof</t>
        </is>
      </c>
    </row>
    <row r="2504">
      <c r="A2504" s="0" t="inlineStr">
        <is>
          <t>GloVe-100</t>
        </is>
      </c>
      <c r="B2504" s="0" t="inlineStr">
        <is>
          <t>F95</t>
        </is>
      </c>
      <c r="C2504" s="0" t="inlineStr">
        <is>
          <t>F105</t>
        </is>
      </c>
      <c r="D2504" s="0" t="n">
        <v>20281.6944</v>
      </c>
    </row>
    <row r="2505">
      <c r="A2505" s="0" t="inlineStr">
        <is>
          <t>GloVe-100</t>
        </is>
      </c>
      <c r="B2505" s="0" t="inlineStr">
        <is>
          <t>G95</t>
        </is>
      </c>
      <c r="C2505" s="0" t="inlineStr">
        <is>
          <t>G105</t>
        </is>
      </c>
      <c r="D2505" s="0" t="n">
        <v>20283.9424</v>
      </c>
    </row>
    <row r="2506">
      <c r="A2506" s="0" t="inlineStr">
        <is>
          <t>GloVe-100</t>
        </is>
      </c>
      <c r="B2506" s="0" t="inlineStr">
        <is>
          <t>H95</t>
        </is>
      </c>
      <c r="C2506" s="0" t="inlineStr">
        <is>
          <t>H105</t>
        </is>
      </c>
      <c r="D2506" s="0" t="n">
        <v>20286.7284</v>
      </c>
    </row>
    <row r="2507">
      <c r="A2507" s="0" t="inlineStr">
        <is>
          <t>GloVe-100</t>
        </is>
      </c>
      <c r="B2507" s="0" t="inlineStr">
        <is>
          <t>I95</t>
        </is>
      </c>
      <c r="C2507" s="0" t="inlineStr">
        <is>
          <t>I105</t>
        </is>
      </c>
      <c r="D2507" s="0" t="n">
        <v>20292.2224</v>
      </c>
    </row>
    <row r="2508">
      <c r="A2508" s="0" t="inlineStr">
        <is>
          <t>GloVe-100</t>
        </is>
      </c>
      <c r="B2508" s="0" t="inlineStr">
        <is>
          <t>J95</t>
        </is>
      </c>
      <c r="C2508" s="0" t="inlineStr">
        <is>
          <t>J105</t>
        </is>
      </c>
      <c r="D2508" s="0" t="n">
        <v>20308.1424</v>
      </c>
    </row>
    <row r="2509">
      <c r="A2509" s="0" t="inlineStr">
        <is>
          <t>GloVe-100</t>
        </is>
      </c>
      <c r="B2509" s="0" t="inlineStr">
        <is>
          <t>K95</t>
        </is>
      </c>
      <c r="C2509" s="0" t="inlineStr">
        <is>
          <t>K105</t>
        </is>
      </c>
      <c r="D2509" s="0" t="n">
        <v>20333.0104</v>
      </c>
    </row>
    <row r="2510">
      <c r="A2510" s="0" t="inlineStr">
        <is>
          <t>GloVe-100</t>
        </is>
      </c>
      <c r="B2510" s="0" t="inlineStr">
        <is>
          <t>D96</t>
        </is>
      </c>
      <c r="C2510" s="0" t="inlineStr">
        <is>
          <t>D106</t>
        </is>
      </c>
      <c r="D2510" s="0" t="inlineStr">
        <is>
          <t>Ours</t>
        </is>
      </c>
    </row>
    <row r="2511">
      <c r="A2511" s="0" t="inlineStr">
        <is>
          <t>GloVe-100</t>
        </is>
      </c>
      <c r="B2511" s="0" t="inlineStr">
        <is>
          <t>F96</t>
        </is>
      </c>
      <c r="C2511" s="0" t="inlineStr">
        <is>
          <t>F106</t>
        </is>
      </c>
      <c r="D2511" s="0" t="n">
        <v>2821.034</v>
      </c>
    </row>
    <row r="2512">
      <c r="A2512" s="0" t="inlineStr">
        <is>
          <t>GloVe-100</t>
        </is>
      </c>
      <c r="B2512" s="0" t="inlineStr">
        <is>
          <t>G96</t>
        </is>
      </c>
      <c r="C2512" s="0" t="inlineStr">
        <is>
          <t>G106</t>
        </is>
      </c>
      <c r="D2512" s="0" t="n">
        <v>3499.03985</v>
      </c>
    </row>
    <row r="2513">
      <c r="A2513" s="0" t="inlineStr">
        <is>
          <t>GloVe-100</t>
        </is>
      </c>
      <c r="B2513" s="0" t="inlineStr">
        <is>
          <t>H96</t>
        </is>
      </c>
      <c r="C2513" s="0" t="inlineStr">
        <is>
          <t>H106</t>
        </is>
      </c>
      <c r="D2513" s="0" t="n">
        <v>3831.7115</v>
      </c>
    </row>
    <row r="2514">
      <c r="A2514" s="0" t="inlineStr">
        <is>
          <t>GloVe-100</t>
        </is>
      </c>
      <c r="B2514" s="0" t="inlineStr">
        <is>
          <t>I96</t>
        </is>
      </c>
      <c r="C2514" s="0" t="inlineStr">
        <is>
          <t>I106</t>
        </is>
      </c>
      <c r="D2514" s="0" t="n">
        <v>4142.2652</v>
      </c>
    </row>
    <row r="2515">
      <c r="A2515" s="0" t="inlineStr">
        <is>
          <t>GloVe-100</t>
        </is>
      </c>
      <c r="B2515" s="0" t="inlineStr">
        <is>
          <t>J96</t>
        </is>
      </c>
      <c r="C2515" s="0" t="inlineStr">
        <is>
          <t>J106</t>
        </is>
      </c>
      <c r="D2515" s="0" t="n">
        <v>4787.9475</v>
      </c>
    </row>
    <row r="2516">
      <c r="A2516" s="0" t="inlineStr">
        <is>
          <t>GloVe-100</t>
        </is>
      </c>
      <c r="B2516" s="0" t="inlineStr">
        <is>
          <t>K96</t>
        </is>
      </c>
      <c r="C2516" s="0" t="inlineStr">
        <is>
          <t>K106</t>
        </is>
      </c>
      <c r="D2516" s="0" t="n">
        <v>5324.953</v>
      </c>
    </row>
    <row r="2517">
      <c r="A2517" s="0" t="inlineStr">
        <is>
          <t>GloVe-100</t>
        </is>
      </c>
      <c r="B2517" s="0" t="inlineStr">
        <is>
          <t>D97</t>
        </is>
      </c>
      <c r="C2517" s="0" t="inlineStr">
        <is>
          <t>D107</t>
        </is>
      </c>
      <c r="D2517" s="0" t="inlineStr">
        <is>
          <t>V3DB（单次）</t>
        </is>
      </c>
    </row>
    <row r="2518">
      <c r="A2518" s="0" t="inlineStr">
        <is>
          <t>GloVe-100</t>
        </is>
      </c>
      <c r="B2518" s="0" t="inlineStr">
        <is>
          <t>F97</t>
        </is>
      </c>
      <c r="C2518" s="0" t="inlineStr">
        <is>
          <t>F107</t>
        </is>
      </c>
      <c r="D2518" s="0" t="n">
        <v>283.923</v>
      </c>
    </row>
    <row r="2519">
      <c r="A2519" s="0" t="inlineStr">
        <is>
          <t>GloVe-100</t>
        </is>
      </c>
      <c r="B2519" s="0" t="inlineStr">
        <is>
          <t>G97</t>
        </is>
      </c>
      <c r="C2519" s="0" t="inlineStr">
        <is>
          <t>G107</t>
        </is>
      </c>
      <c r="D2519" s="0" t="n">
        <v>287.317</v>
      </c>
    </row>
    <row r="2520">
      <c r="A2520" s="0" t="inlineStr">
        <is>
          <t>GloVe-100</t>
        </is>
      </c>
      <c r="B2520" s="0" t="inlineStr">
        <is>
          <t>H97</t>
        </is>
      </c>
      <c r="C2520" s="0" t="inlineStr">
        <is>
          <t>H107</t>
        </is>
      </c>
      <c r="D2520" s="0" t="n">
        <v>287.485</v>
      </c>
    </row>
    <row r="2521">
      <c r="A2521" s="0" t="inlineStr">
        <is>
          <t>GloVe-100</t>
        </is>
      </c>
      <c r="B2521" s="0" t="inlineStr">
        <is>
          <t>I97</t>
        </is>
      </c>
      <c r="C2521" s="0" t="inlineStr">
        <is>
          <t>I107</t>
        </is>
      </c>
      <c r="D2521" s="0" t="n">
        <v>284.971</v>
      </c>
    </row>
    <row r="2522">
      <c r="A2522" s="0" t="inlineStr">
        <is>
          <t>GloVe-100</t>
        </is>
      </c>
      <c r="B2522" s="0" t="inlineStr">
        <is>
          <t>J97</t>
        </is>
      </c>
      <c r="C2522" s="0" t="inlineStr">
        <is>
          <t>J107</t>
        </is>
      </c>
      <c r="D2522" s="0" t="n">
        <v>288.524</v>
      </c>
    </row>
    <row r="2523">
      <c r="A2523" s="0" t="inlineStr">
        <is>
          <t>GloVe-100</t>
        </is>
      </c>
      <c r="B2523" s="0" t="inlineStr">
        <is>
          <t>K97</t>
        </is>
      </c>
      <c r="C2523" s="0" t="inlineStr">
        <is>
          <t>K107</t>
        </is>
      </c>
      <c r="D2523" s="0" t="n">
        <v>284.7</v>
      </c>
    </row>
    <row r="2524">
      <c r="A2524" s="0" t="inlineStr">
        <is>
          <t>GloVe-100</t>
        </is>
      </c>
      <c r="B2524" s="0" t="inlineStr">
        <is>
          <t>E101</t>
        </is>
      </c>
      <c r="C2524" s="0" t="inlineStr">
        <is>
          <t>E112</t>
        </is>
      </c>
      <c r="D2524" s="0" t="inlineStr">
        <is>
          <t>K vs. Verify time</t>
        </is>
      </c>
    </row>
    <row r="2525">
      <c r="A2525" s="0" t="inlineStr">
        <is>
          <t>GloVe-100</t>
        </is>
      </c>
      <c r="B2525" s="0" t="inlineStr">
        <is>
          <t>D103</t>
        </is>
      </c>
      <c r="C2525" s="0" t="inlineStr">
        <is>
          <t>D114</t>
        </is>
      </c>
      <c r="D2525" s="0" t="inlineStr">
        <is>
          <t>GloVe-100 (N=1,183,514, d=100)</t>
        </is>
      </c>
    </row>
    <row r="2526">
      <c r="A2526" s="0" t="inlineStr">
        <is>
          <t>GloVe-100</t>
        </is>
      </c>
      <c r="B2526" s="0" t="inlineStr">
        <is>
          <t>D104</t>
        </is>
      </c>
      <c r="C2526" s="0" t="inlineStr">
        <is>
          <t>D115</t>
        </is>
      </c>
      <c r="D2526" s="0" t="inlineStr">
        <is>
          <t>K</t>
        </is>
      </c>
    </row>
    <row r="2527">
      <c r="A2527" s="0" t="inlineStr">
        <is>
          <t>GloVe-100</t>
        </is>
      </c>
      <c r="B2527" s="0" t="inlineStr">
        <is>
          <t>F104</t>
        </is>
      </c>
      <c r="C2527" s="0" t="inlineStr">
        <is>
          <t>F115</t>
        </is>
      </c>
      <c r="D2527" s="0" t="n">
        <v>1</v>
      </c>
    </row>
    <row r="2528">
      <c r="A2528" s="0" t="inlineStr">
        <is>
          <t>GloVe-100</t>
        </is>
      </c>
      <c r="B2528" s="0" t="inlineStr">
        <is>
          <t>G104</t>
        </is>
      </c>
      <c r="C2528" s="0" t="inlineStr">
        <is>
          <t>G115</t>
        </is>
      </c>
      <c r="D2528" s="0" t="n">
        <v>5</v>
      </c>
    </row>
    <row r="2529">
      <c r="A2529" s="0" t="inlineStr">
        <is>
          <t>GloVe-100</t>
        </is>
      </c>
      <c r="B2529" s="0" t="inlineStr">
        <is>
          <t>H104</t>
        </is>
      </c>
      <c r="C2529" s="0" t="inlineStr">
        <is>
          <t>H115</t>
        </is>
      </c>
      <c r="D2529" s="0" t="n">
        <v>10</v>
      </c>
    </row>
    <row r="2530">
      <c r="A2530" s="0" t="inlineStr">
        <is>
          <t>GloVe-100</t>
        </is>
      </c>
      <c r="B2530" s="0" t="inlineStr">
        <is>
          <t>I104</t>
        </is>
      </c>
      <c r="C2530" s="0" t="inlineStr">
        <is>
          <t>I115</t>
        </is>
      </c>
      <c r="D2530" s="0" t="n">
        <v>20</v>
      </c>
    </row>
    <row r="2531">
      <c r="A2531" s="0" t="inlineStr">
        <is>
          <t>GloVe-100</t>
        </is>
      </c>
      <c r="B2531" s="0" t="inlineStr">
        <is>
          <t>J104</t>
        </is>
      </c>
      <c r="C2531" s="0" t="inlineStr">
        <is>
          <t>J115</t>
        </is>
      </c>
      <c r="D2531" s="0" t="n">
        <v>50</v>
      </c>
    </row>
    <row r="2532">
      <c r="A2532" s="0" t="inlineStr">
        <is>
          <t>GloVe-100</t>
        </is>
      </c>
      <c r="B2532" s="0" t="inlineStr">
        <is>
          <t>K104</t>
        </is>
      </c>
      <c r="C2532" s="0" t="inlineStr">
        <is>
          <t>K115</t>
        </is>
      </c>
      <c r="D2532" s="0" t="n">
        <v>100</v>
      </c>
    </row>
    <row r="2533">
      <c r="A2533" s="0" t="inlineStr">
        <is>
          <t>GloVe-100</t>
        </is>
      </c>
      <c r="B2533" s="0" t="inlineStr">
        <is>
          <t>D105</t>
        </is>
      </c>
      <c r="C2533" s="0" t="inlineStr">
        <is>
          <t>D116</t>
        </is>
      </c>
      <c r="D2533" s="0" t="inlineStr">
        <is>
          <t>VLAH</t>
        </is>
      </c>
    </row>
    <row r="2534">
      <c r="A2534" s="0" t="inlineStr">
        <is>
          <t>GloVe-100</t>
        </is>
      </c>
      <c r="B2534" s="0" t="inlineStr">
        <is>
          <t>F105</t>
        </is>
      </c>
      <c r="C2534" s="0" t="inlineStr">
        <is>
          <t>F116</t>
        </is>
      </c>
      <c r="D2534" s="0" t="n">
        <v>1023.80158376667</v>
      </c>
    </row>
    <row r="2535">
      <c r="A2535" s="0" t="inlineStr">
        <is>
          <t>GloVe-100</t>
        </is>
      </c>
      <c r="B2535" s="0" t="inlineStr">
        <is>
          <t>G105</t>
        </is>
      </c>
      <c r="C2535" s="0" t="inlineStr">
        <is>
          <t>G116</t>
        </is>
      </c>
      <c r="D2535" s="0" t="n">
        <v>1023.39237478333</v>
      </c>
    </row>
    <row r="2536">
      <c r="A2536" s="0" t="inlineStr">
        <is>
          <t>GloVe-100</t>
        </is>
      </c>
      <c r="B2536" s="0" t="inlineStr">
        <is>
          <t>H105</t>
        </is>
      </c>
      <c r="C2536" s="0" t="inlineStr">
        <is>
          <t>H116</t>
        </is>
      </c>
      <c r="D2536" s="0" t="n">
        <v>1023.12500151667</v>
      </c>
    </row>
    <row r="2537">
      <c r="A2537" s="0" t="inlineStr">
        <is>
          <t>GloVe-100</t>
        </is>
      </c>
      <c r="B2537" s="0" t="inlineStr">
        <is>
          <t>I105</t>
        </is>
      </c>
      <c r="C2537" s="0" t="inlineStr">
        <is>
          <t>I116</t>
        </is>
      </c>
      <c r="D2537" s="0" t="n">
        <v>1019.02828181667</v>
      </c>
    </row>
    <row r="2538">
      <c r="A2538" s="0" t="inlineStr">
        <is>
          <t>GloVe-100</t>
        </is>
      </c>
      <c r="B2538" s="0" t="inlineStr">
        <is>
          <t>J105</t>
        </is>
      </c>
      <c r="C2538" s="0" t="inlineStr">
        <is>
          <t>J116</t>
        </is>
      </c>
      <c r="D2538" s="0" t="n">
        <v>1018.60531591667</v>
      </c>
    </row>
    <row r="2539">
      <c r="A2539" s="0" t="inlineStr">
        <is>
          <t>GloVe-100</t>
        </is>
      </c>
      <c r="B2539" s="0" t="inlineStr">
        <is>
          <t>K105</t>
        </is>
      </c>
      <c r="C2539" s="0" t="inlineStr">
        <is>
          <t>K116</t>
        </is>
      </c>
      <c r="D2539" s="0" t="n">
        <v>1024.00291686667</v>
      </c>
    </row>
    <row r="2540">
      <c r="A2540" s="0" t="inlineStr">
        <is>
          <t>GloVe-100</t>
        </is>
      </c>
      <c r="B2540" s="0" t="inlineStr">
        <is>
          <t>D106</t>
        </is>
      </c>
      <c r="C2540" s="0" t="inlineStr">
        <is>
          <t>D117</t>
        </is>
      </c>
      <c r="D2540" s="0" t="inlineStr">
        <is>
          <t>ANNProof</t>
        </is>
      </c>
    </row>
    <row r="2541">
      <c r="A2541" s="0" t="inlineStr">
        <is>
          <t>GloVe-100</t>
        </is>
      </c>
      <c r="B2541" s="0" t="inlineStr">
        <is>
          <t>F106</t>
        </is>
      </c>
      <c r="C2541" s="0" t="inlineStr">
        <is>
          <t>F117</t>
        </is>
      </c>
      <c r="D2541" s="0" t="n">
        <v>263.1691163</v>
      </c>
    </row>
    <row r="2542">
      <c r="A2542" s="0" t="inlineStr">
        <is>
          <t>GloVe-100</t>
        </is>
      </c>
      <c r="B2542" s="0" t="inlineStr">
        <is>
          <t>G106</t>
        </is>
      </c>
      <c r="C2542" s="0" t="inlineStr">
        <is>
          <t>G117</t>
        </is>
      </c>
      <c r="D2542" s="0" t="n">
        <v>263.673275116667</v>
      </c>
    </row>
    <row r="2543">
      <c r="A2543" s="0" t="inlineStr">
        <is>
          <t>GloVe-100</t>
        </is>
      </c>
      <c r="B2543" s="0" t="inlineStr">
        <is>
          <t>H106</t>
        </is>
      </c>
      <c r="C2543" s="0" t="inlineStr">
        <is>
          <t>H117</t>
        </is>
      </c>
      <c r="D2543" s="0" t="n">
        <v>264.068021866667</v>
      </c>
    </row>
    <row r="2544">
      <c r="A2544" s="0" t="inlineStr">
        <is>
          <t>GloVe-100</t>
        </is>
      </c>
      <c r="B2544" s="0" t="inlineStr">
        <is>
          <t>I106</t>
        </is>
      </c>
      <c r="C2544" s="0" t="inlineStr">
        <is>
          <t>I117</t>
        </is>
      </c>
      <c r="D2544" s="0" t="n">
        <v>262.3306454</v>
      </c>
    </row>
    <row r="2545">
      <c r="A2545" s="0" t="inlineStr">
        <is>
          <t>GloVe-100</t>
        </is>
      </c>
      <c r="B2545" s="0" t="inlineStr">
        <is>
          <t>J106</t>
        </is>
      </c>
      <c r="C2545" s="0" t="inlineStr">
        <is>
          <t>J117</t>
        </is>
      </c>
      <c r="D2545" s="0" t="n">
        <v>263.301847816667</v>
      </c>
    </row>
    <row r="2546">
      <c r="A2546" s="0" t="inlineStr">
        <is>
          <t>GloVe-100</t>
        </is>
      </c>
      <c r="B2546" s="0" t="inlineStr">
        <is>
          <t>K106</t>
        </is>
      </c>
      <c r="C2546" s="0" t="inlineStr">
        <is>
          <t>K117</t>
        </is>
      </c>
      <c r="D2546" s="0" t="n">
        <v>263.437103266667</v>
      </c>
    </row>
    <row r="2547">
      <c r="A2547" s="0" t="inlineStr">
        <is>
          <t>GloVe-100</t>
        </is>
      </c>
      <c r="B2547" s="0" t="inlineStr">
        <is>
          <t>D107</t>
        </is>
      </c>
      <c r="C2547" s="0" t="inlineStr">
        <is>
          <t>D118</t>
        </is>
      </c>
      <c r="D2547" s="0" t="inlineStr">
        <is>
          <t>Ours</t>
        </is>
      </c>
    </row>
    <row r="2548">
      <c r="A2548" s="0" t="inlineStr">
        <is>
          <t>GloVe-100</t>
        </is>
      </c>
      <c r="B2548" s="0" t="inlineStr">
        <is>
          <t>F107</t>
        </is>
      </c>
      <c r="C2548" s="0" t="inlineStr">
        <is>
          <t>F118</t>
        </is>
      </c>
      <c r="D2548" s="0" t="n">
        <v>74.48325705000001</v>
      </c>
    </row>
    <row r="2549">
      <c r="A2549" s="0" t="inlineStr">
        <is>
          <t>GloVe-100</t>
        </is>
      </c>
      <c r="B2549" s="0" t="inlineStr">
        <is>
          <t>G107</t>
        </is>
      </c>
      <c r="C2549" s="0" t="inlineStr">
        <is>
          <t>G118</t>
        </is>
      </c>
      <c r="D2549" s="0" t="n">
        <v>98.3033552</v>
      </c>
    </row>
    <row r="2550">
      <c r="A2550" s="0" t="inlineStr">
        <is>
          <t>GloVe-100</t>
        </is>
      </c>
      <c r="B2550" s="0" t="inlineStr">
        <is>
          <t>H107</t>
        </is>
      </c>
      <c r="C2550" s="0" t="inlineStr">
        <is>
          <t>H118</t>
        </is>
      </c>
      <c r="D2550" s="0" t="n">
        <v>112.045662116667</v>
      </c>
    </row>
    <row r="2551">
      <c r="A2551" s="0" t="inlineStr">
        <is>
          <t>GloVe-100</t>
        </is>
      </c>
      <c r="B2551" s="0" t="inlineStr">
        <is>
          <t>I107</t>
        </is>
      </c>
      <c r="C2551" s="0" t="inlineStr">
        <is>
          <t>I118</t>
        </is>
      </c>
      <c r="D2551" s="0" t="n">
        <v>122.636949233333</v>
      </c>
    </row>
    <row r="2552">
      <c r="A2552" s="0" t="inlineStr">
        <is>
          <t>GloVe-100</t>
        </is>
      </c>
      <c r="B2552" s="0" t="inlineStr">
        <is>
          <t>J107</t>
        </is>
      </c>
      <c r="C2552" s="0" t="inlineStr">
        <is>
          <t>J118</t>
        </is>
      </c>
      <c r="D2552" s="0" t="n">
        <v>145.3057572</v>
      </c>
    </row>
    <row r="2553">
      <c r="A2553" s="0" t="inlineStr">
        <is>
          <t>GloVe-100</t>
        </is>
      </c>
      <c r="B2553" s="0" t="inlineStr">
        <is>
          <t>K107</t>
        </is>
      </c>
      <c r="C2553" s="0" t="inlineStr">
        <is>
          <t>K118</t>
        </is>
      </c>
      <c r="D2553" s="0" t="n">
        <v>161.658067283333</v>
      </c>
    </row>
    <row r="2554">
      <c r="A2554" s="0" t="inlineStr">
        <is>
          <t>GloVe-100</t>
        </is>
      </c>
      <c r="B2554" s="0" t="inlineStr">
        <is>
          <t>D108</t>
        </is>
      </c>
      <c r="C2554" s="0" t="inlineStr">
        <is>
          <t>D119</t>
        </is>
      </c>
      <c r="D2554" s="0" t="inlineStr">
        <is>
          <t>V3DB（单次）</t>
        </is>
      </c>
    </row>
    <row r="2555">
      <c r="A2555" s="0" t="inlineStr">
        <is>
          <t>GloVe-100</t>
        </is>
      </c>
      <c r="B2555" s="0" t="inlineStr">
        <is>
          <t>F108</t>
        </is>
      </c>
      <c r="C2555" s="0" t="inlineStr">
        <is>
          <t>F119</t>
        </is>
      </c>
      <c r="D2555" s="0" t="n">
        <v>17.6347630003875</v>
      </c>
    </row>
    <row r="2556">
      <c r="A2556" s="0" t="inlineStr">
        <is>
          <t>GloVe-100</t>
        </is>
      </c>
      <c r="B2556" s="0" t="inlineStr">
        <is>
          <t>G108</t>
        </is>
      </c>
      <c r="C2556" s="0" t="inlineStr">
        <is>
          <t>G119</t>
        </is>
      </c>
      <c r="D2556" s="0" t="n">
        <v>17.6932949998445</v>
      </c>
    </row>
    <row r="2557">
      <c r="A2557" s="0" t="inlineStr">
        <is>
          <t>GloVe-100</t>
        </is>
      </c>
      <c r="B2557" s="0" t="inlineStr">
        <is>
          <t>H108</t>
        </is>
      </c>
      <c r="C2557" s="0" t="inlineStr">
        <is>
          <t>H119</t>
        </is>
      </c>
      <c r="D2557" s="0" t="n">
        <v>19.9993839999024</v>
      </c>
    </row>
    <row r="2558">
      <c r="A2558" s="0" t="inlineStr">
        <is>
          <t>GloVe-100</t>
        </is>
      </c>
      <c r="B2558" s="0" t="inlineStr">
        <is>
          <t>I108</t>
        </is>
      </c>
      <c r="C2558" s="0" t="inlineStr">
        <is>
          <t>I119</t>
        </is>
      </c>
      <c r="D2558" s="0" t="n">
        <v>17.4044739997044</v>
      </c>
    </row>
    <row r="2559">
      <c r="A2559" s="0" t="inlineStr">
        <is>
          <t>GloVe-100</t>
        </is>
      </c>
      <c r="B2559" s="0" t="inlineStr">
        <is>
          <t>J108</t>
        </is>
      </c>
      <c r="C2559" s="0" t="inlineStr">
        <is>
          <t>J119</t>
        </is>
      </c>
      <c r="D2559" s="0" t="n">
        <v>17.8805919986189</v>
      </c>
    </row>
    <row r="2560">
      <c r="A2560" s="0" t="inlineStr">
        <is>
          <t>GloVe-100</t>
        </is>
      </c>
      <c r="B2560" s="0" t="inlineStr">
        <is>
          <t>K108</t>
        </is>
      </c>
      <c r="C2560" s="0" t="inlineStr">
        <is>
          <t>K119</t>
        </is>
      </c>
      <c r="D2560" s="0" t="n">
        <v>17.6997620001202</v>
      </c>
    </row>
    <row r="2561">
      <c r="A2561" s="0" t="inlineStr">
        <is>
          <t>GloVe-100</t>
        </is>
      </c>
      <c r="B2561" s="0" t="inlineStr">
        <is>
          <t>E111</t>
        </is>
      </c>
      <c r="C2561" s="0" t="inlineStr">
        <is>
          <t>E123</t>
        </is>
      </c>
      <c r="D2561" s="0" t="inlineStr">
        <is>
          <t>K vs. Query time (includes VO generation)</t>
        </is>
      </c>
    </row>
    <row r="2562">
      <c r="A2562" s="0" t="inlineStr">
        <is>
          <t>GloVe-100</t>
        </is>
      </c>
      <c r="B2562" s="0" t="inlineStr">
        <is>
          <t>D113</t>
        </is>
      </c>
      <c r="C2562" s="0" t="inlineStr">
        <is>
          <t>D125</t>
        </is>
      </c>
      <c r="D2562" s="0" t="inlineStr">
        <is>
          <t>GloVe-100 (N=1,183,514, d=100)</t>
        </is>
      </c>
    </row>
    <row r="2563">
      <c r="A2563" s="0" t="inlineStr">
        <is>
          <t>GloVe-100</t>
        </is>
      </c>
      <c r="B2563" s="0" t="inlineStr">
        <is>
          <t>D114</t>
        </is>
      </c>
      <c r="C2563" s="0" t="inlineStr">
        <is>
          <t>D126</t>
        </is>
      </c>
      <c r="D2563" s="0" t="inlineStr">
        <is>
          <t>K</t>
        </is>
      </c>
    </row>
    <row r="2564">
      <c r="A2564" s="0" t="inlineStr">
        <is>
          <t>GloVe-100</t>
        </is>
      </c>
      <c r="B2564" s="0" t="inlineStr">
        <is>
          <t>F114</t>
        </is>
      </c>
      <c r="C2564" s="0" t="inlineStr">
        <is>
          <t>F126</t>
        </is>
      </c>
      <c r="D2564" s="0" t="n">
        <v>1</v>
      </c>
    </row>
    <row r="2565">
      <c r="A2565" s="0" t="inlineStr">
        <is>
          <t>GloVe-100</t>
        </is>
      </c>
      <c r="B2565" s="0" t="inlineStr">
        <is>
          <t>G114</t>
        </is>
      </c>
      <c r="C2565" s="0" t="inlineStr">
        <is>
          <t>G126</t>
        </is>
      </c>
      <c r="D2565" s="0" t="n">
        <v>5</v>
      </c>
    </row>
    <row r="2566">
      <c r="A2566" s="0" t="inlineStr">
        <is>
          <t>GloVe-100</t>
        </is>
      </c>
      <c r="B2566" s="0" t="inlineStr">
        <is>
          <t>H114</t>
        </is>
      </c>
      <c r="C2566" s="0" t="inlineStr">
        <is>
          <t>H126</t>
        </is>
      </c>
      <c r="D2566" s="0" t="n">
        <v>10</v>
      </c>
    </row>
    <row r="2567">
      <c r="A2567" s="0" t="inlineStr">
        <is>
          <t>GloVe-100</t>
        </is>
      </c>
      <c r="B2567" s="0" t="inlineStr">
        <is>
          <t>I114</t>
        </is>
      </c>
      <c r="C2567" s="0" t="inlineStr">
        <is>
          <t>I126</t>
        </is>
      </c>
      <c r="D2567" s="0" t="n">
        <v>20</v>
      </c>
    </row>
    <row r="2568">
      <c r="A2568" s="0" t="inlineStr">
        <is>
          <t>GloVe-100</t>
        </is>
      </c>
      <c r="B2568" s="0" t="inlineStr">
        <is>
          <t>J114</t>
        </is>
      </c>
      <c r="C2568" s="0" t="inlineStr">
        <is>
          <t>J126</t>
        </is>
      </c>
      <c r="D2568" s="0" t="n">
        <v>50</v>
      </c>
    </row>
    <row r="2569">
      <c r="A2569" s="0" t="inlineStr">
        <is>
          <t>GloVe-100</t>
        </is>
      </c>
      <c r="B2569" s="0" t="inlineStr">
        <is>
          <t>K114</t>
        </is>
      </c>
      <c r="C2569" s="0" t="inlineStr">
        <is>
          <t>K126</t>
        </is>
      </c>
      <c r="D2569" s="0" t="n">
        <v>100</v>
      </c>
    </row>
    <row r="2570">
      <c r="A2570" s="0" t="inlineStr">
        <is>
          <t>GloVe-100</t>
        </is>
      </c>
      <c r="B2570" s="0" t="inlineStr">
        <is>
          <t>D115</t>
        </is>
      </c>
      <c r="C2570" s="0" t="inlineStr">
        <is>
          <t>D127</t>
        </is>
      </c>
      <c r="D2570" s="0" t="inlineStr">
        <is>
          <t>VLAH</t>
        </is>
      </c>
    </row>
    <row r="2571">
      <c r="A2571" s="0" t="inlineStr">
        <is>
          <t>GloVe-100</t>
        </is>
      </c>
      <c r="B2571" s="0" t="inlineStr">
        <is>
          <t>F115</t>
        </is>
      </c>
      <c r="C2571" s="0" t="inlineStr">
        <is>
          <t>F127</t>
        </is>
      </c>
      <c r="D2571" s="0" t="n">
        <v>427.803742866667</v>
      </c>
    </row>
    <row r="2572">
      <c r="A2572" s="0" t="inlineStr">
        <is>
          <t>GloVe-100</t>
        </is>
      </c>
      <c r="B2572" s="0" t="inlineStr">
        <is>
          <t>G115</t>
        </is>
      </c>
      <c r="C2572" s="0" t="inlineStr">
        <is>
          <t>G127</t>
        </is>
      </c>
      <c r="D2572" s="0" t="n">
        <v>426.620613233333</v>
      </c>
    </row>
    <row r="2573">
      <c r="A2573" s="0" t="inlineStr">
        <is>
          <t>GloVe-100</t>
        </is>
      </c>
      <c r="B2573" s="0" t="inlineStr">
        <is>
          <t>H115</t>
        </is>
      </c>
      <c r="C2573" s="0" t="inlineStr">
        <is>
          <t>H127</t>
        </is>
      </c>
      <c r="D2573" s="0" t="n">
        <v>427.422214316667</v>
      </c>
    </row>
    <row r="2574">
      <c r="A2574" s="0" t="inlineStr">
        <is>
          <t>GloVe-100</t>
        </is>
      </c>
      <c r="B2574" s="0" t="inlineStr">
        <is>
          <t>I115</t>
        </is>
      </c>
      <c r="C2574" s="0" t="inlineStr">
        <is>
          <t>I127</t>
        </is>
      </c>
      <c r="D2574" s="0" t="n">
        <v>425.445874833333</v>
      </c>
    </row>
    <row r="2575">
      <c r="A2575" s="0" t="inlineStr">
        <is>
          <t>GloVe-100</t>
        </is>
      </c>
      <c r="B2575" s="0" t="inlineStr">
        <is>
          <t>J115</t>
        </is>
      </c>
      <c r="C2575" s="0" t="inlineStr">
        <is>
          <t>J127</t>
        </is>
      </c>
      <c r="D2575" s="0" t="n">
        <v>419.901897183333</v>
      </c>
    </row>
    <row r="2576">
      <c r="A2576" s="0" t="inlineStr">
        <is>
          <t>GloVe-100</t>
        </is>
      </c>
      <c r="B2576" s="0" t="inlineStr">
        <is>
          <t>K115</t>
        </is>
      </c>
      <c r="C2576" s="0" t="inlineStr">
        <is>
          <t>K127</t>
        </is>
      </c>
      <c r="D2576" s="0" t="n">
        <v>424.252101716667</v>
      </c>
    </row>
    <row r="2577">
      <c r="A2577" s="0" t="inlineStr">
        <is>
          <t>GloVe-100</t>
        </is>
      </c>
      <c r="B2577" s="0" t="inlineStr">
        <is>
          <t>D116</t>
        </is>
      </c>
      <c r="C2577" s="0" t="inlineStr">
        <is>
          <t>D128</t>
        </is>
      </c>
      <c r="D2577" s="0" t="inlineStr">
        <is>
          <t>ANNProof</t>
        </is>
      </c>
    </row>
    <row r="2578">
      <c r="A2578" s="0" t="inlineStr">
        <is>
          <t>GloVe-100</t>
        </is>
      </c>
      <c r="B2578" s="0" t="inlineStr">
        <is>
          <t>F116</t>
        </is>
      </c>
      <c r="C2578" s="0" t="inlineStr">
        <is>
          <t>F128</t>
        </is>
      </c>
      <c r="D2578" s="0" t="n">
        <v>69.8511835</v>
      </c>
    </row>
    <row r="2579">
      <c r="A2579" s="0" t="inlineStr">
        <is>
          <t>GloVe-100</t>
        </is>
      </c>
      <c r="B2579" s="0" t="inlineStr">
        <is>
          <t>G116</t>
        </is>
      </c>
      <c r="C2579" s="0" t="inlineStr">
        <is>
          <t>G128</t>
        </is>
      </c>
      <c r="D2579" s="0" t="n">
        <v>68.92665555000001</v>
      </c>
    </row>
    <row r="2580">
      <c r="A2580" s="0" t="inlineStr">
        <is>
          <t>GloVe-100</t>
        </is>
      </c>
      <c r="B2580" s="0" t="inlineStr">
        <is>
          <t>H116</t>
        </is>
      </c>
      <c r="C2580" s="0" t="inlineStr">
        <is>
          <t>H128</t>
        </is>
      </c>
      <c r="D2580" s="0" t="n">
        <v>69.1091445833333</v>
      </c>
    </row>
    <row r="2581">
      <c r="A2581" s="0" t="inlineStr">
        <is>
          <t>GloVe-100</t>
        </is>
      </c>
      <c r="B2581" s="0" t="inlineStr">
        <is>
          <t>I116</t>
        </is>
      </c>
      <c r="C2581" s="0" t="inlineStr">
        <is>
          <t>I128</t>
        </is>
      </c>
      <c r="D2581" s="0" t="n">
        <v>71.1527474333333</v>
      </c>
    </row>
    <row r="2582">
      <c r="A2582" s="0" t="inlineStr">
        <is>
          <t>GloVe-100</t>
        </is>
      </c>
      <c r="B2582" s="0" t="inlineStr">
        <is>
          <t>J116</t>
        </is>
      </c>
      <c r="C2582" s="0" t="inlineStr">
        <is>
          <t>J128</t>
        </is>
      </c>
      <c r="D2582" s="0" t="n">
        <v>72.0175692</v>
      </c>
    </row>
    <row r="2583">
      <c r="A2583" s="0" t="inlineStr">
        <is>
          <t>GloVe-100</t>
        </is>
      </c>
      <c r="B2583" s="0" t="inlineStr">
        <is>
          <t>K116</t>
        </is>
      </c>
      <c r="C2583" s="0" t="inlineStr">
        <is>
          <t>K128</t>
        </is>
      </c>
      <c r="D2583" s="0" t="n">
        <v>71.8316993333333</v>
      </c>
    </row>
    <row r="2584">
      <c r="A2584" s="0" t="inlineStr">
        <is>
          <t>GloVe-100</t>
        </is>
      </c>
      <c r="B2584" s="0" t="inlineStr">
        <is>
          <t>D117</t>
        </is>
      </c>
      <c r="C2584" s="0" t="inlineStr">
        <is>
          <t>D129</t>
        </is>
      </c>
      <c r="D2584" s="0" t="inlineStr">
        <is>
          <t>Ours</t>
        </is>
      </c>
    </row>
    <row r="2585">
      <c r="A2585" s="0" t="inlineStr">
        <is>
          <t>GloVe-100</t>
        </is>
      </c>
      <c r="B2585" s="0" t="inlineStr">
        <is>
          <t>F117</t>
        </is>
      </c>
      <c r="C2585" s="0" t="inlineStr">
        <is>
          <t>F129</t>
        </is>
      </c>
      <c r="D2585" s="0" t="n">
        <v>43.3916748666667</v>
      </c>
    </row>
    <row r="2586">
      <c r="A2586" s="0" t="inlineStr">
        <is>
          <t>GloVe-100</t>
        </is>
      </c>
      <c r="B2586" s="0" t="inlineStr">
        <is>
          <t>G117</t>
        </is>
      </c>
      <c r="C2586" s="0" t="inlineStr">
        <is>
          <t>G129</t>
        </is>
      </c>
      <c r="D2586" s="0" t="n">
        <v>48.2972326666667</v>
      </c>
    </row>
    <row r="2587">
      <c r="A2587" s="0" t="inlineStr">
        <is>
          <t>GloVe-100</t>
        </is>
      </c>
      <c r="B2587" s="0" t="inlineStr">
        <is>
          <t>H117</t>
        </is>
      </c>
      <c r="C2587" s="0" t="inlineStr">
        <is>
          <t>H129</t>
        </is>
      </c>
      <c r="D2587" s="0" t="n">
        <v>51.89053155</v>
      </c>
    </row>
    <row r="2588">
      <c r="A2588" s="0" t="inlineStr">
        <is>
          <t>GloVe-100</t>
        </is>
      </c>
      <c r="B2588" s="0" t="inlineStr">
        <is>
          <t>I117</t>
        </is>
      </c>
      <c r="C2588" s="0" t="inlineStr">
        <is>
          <t>I129</t>
        </is>
      </c>
      <c r="D2588" s="0" t="n">
        <v>53.6649467833333</v>
      </c>
    </row>
    <row r="2589">
      <c r="A2589" s="0" t="inlineStr">
        <is>
          <t>GloVe-100</t>
        </is>
      </c>
      <c r="B2589" s="0" t="inlineStr">
        <is>
          <t>J117</t>
        </is>
      </c>
      <c r="C2589" s="0" t="inlineStr">
        <is>
          <t>J129</t>
        </is>
      </c>
      <c r="D2589" s="0" t="n">
        <v>58.6309350833333</v>
      </c>
    </row>
    <row r="2590">
      <c r="A2590" s="0" t="inlineStr">
        <is>
          <t>GloVe-100</t>
        </is>
      </c>
      <c r="B2590" s="0" t="inlineStr">
        <is>
          <t>K117</t>
        </is>
      </c>
      <c r="C2590" s="0" t="inlineStr">
        <is>
          <t>K129</t>
        </is>
      </c>
      <c r="D2590" s="0" t="n">
        <v>61.9766955833333</v>
      </c>
    </row>
    <row r="2591">
      <c r="A2591" s="0" t="inlineStr">
        <is>
          <t>GloVe-100</t>
        </is>
      </c>
      <c r="B2591" s="0" t="inlineStr">
        <is>
          <t>D118</t>
        </is>
      </c>
      <c r="C2591" s="0" t="inlineStr">
        <is>
          <t>D130</t>
        </is>
      </c>
      <c r="D2591" s="0" t="inlineStr">
        <is>
          <t>V3DB（单次）</t>
        </is>
      </c>
    </row>
    <row r="2592">
      <c r="A2592" s="0" t="inlineStr">
        <is>
          <t>GloVe-100</t>
        </is>
      </c>
      <c r="B2592" s="0" t="inlineStr">
        <is>
          <t>F118</t>
        </is>
      </c>
      <c r="C2592" s="0" t="inlineStr">
        <is>
          <t>F130</t>
        </is>
      </c>
      <c r="D2592" s="0" t="n">
        <v>494108.141593</v>
      </c>
    </row>
    <row r="2593">
      <c r="A2593" s="0" t="inlineStr">
        <is>
          <t>GloVe-100</t>
        </is>
      </c>
      <c r="B2593" s="0" t="inlineStr">
        <is>
          <t>G118</t>
        </is>
      </c>
      <c r="C2593" s="0" t="inlineStr">
        <is>
          <t>G130</t>
        </is>
      </c>
      <c r="D2593" s="0" t="n">
        <v>491871.567342</v>
      </c>
    </row>
    <row r="2594">
      <c r="A2594" s="0" t="inlineStr">
        <is>
          <t>GloVe-100</t>
        </is>
      </c>
      <c r="B2594" s="0" t="inlineStr">
        <is>
          <t>H118</t>
        </is>
      </c>
      <c r="C2594" s="0" t="inlineStr">
        <is>
          <t>H130</t>
        </is>
      </c>
      <c r="D2594" s="0" t="n">
        <v>491486.434967</v>
      </c>
    </row>
    <row r="2595">
      <c r="A2595" s="0" t="inlineStr">
        <is>
          <t>GloVe-100</t>
        </is>
      </c>
      <c r="B2595" s="0" t="inlineStr">
        <is>
          <t>I118</t>
        </is>
      </c>
      <c r="C2595" s="0" t="inlineStr">
        <is>
          <t>I130</t>
        </is>
      </c>
      <c r="D2595" s="0" t="n">
        <v>492043.171002999</v>
      </c>
    </row>
    <row r="2596">
      <c r="A2596" s="0" t="inlineStr">
        <is>
          <t>GloVe-100</t>
        </is>
      </c>
      <c r="B2596" s="0" t="inlineStr">
        <is>
          <t>J118</t>
        </is>
      </c>
      <c r="C2596" s="0" t="inlineStr">
        <is>
          <t>J130</t>
        </is>
      </c>
      <c r="D2596" s="0" t="n">
        <v>492930.970117001</v>
      </c>
    </row>
    <row r="2597">
      <c r="A2597" s="0" t="inlineStr">
        <is>
          <t>GloVe-100</t>
        </is>
      </c>
      <c r="B2597" s="0" t="inlineStr">
        <is>
          <t>K118</t>
        </is>
      </c>
      <c r="C2597" s="0" t="inlineStr">
        <is>
          <t>K130</t>
        </is>
      </c>
      <c r="D2597" s="0" t="n">
        <v>491226.243848999</v>
      </c>
    </row>
    <row r="2598">
      <c r="A2598" s="0" t="inlineStr">
        <is>
          <t>GloVe-100</t>
        </is>
      </c>
      <c r="B2598" s="0" t="inlineStr">
        <is>
          <t>D123</t>
        </is>
      </c>
      <c r="C2598" s="0" t="inlineStr">
        <is>
          <t>D136</t>
        </is>
      </c>
      <c r="D2598" s="0" t="inlineStr">
        <is>
          <t>Ablation Study 
（Ours: (i)progressive quantization, 
(ii) verification-decoupled traversal, 
(iii) expansion-centric authentication.）</t>
        </is>
      </c>
    </row>
    <row r="2599">
      <c r="A2599" s="0" t="inlineStr">
        <is>
          <t>GloVe-100</t>
        </is>
      </c>
      <c r="B2599" s="0" t="inlineStr">
        <is>
          <t>D127</t>
        </is>
      </c>
      <c r="C2599" s="0" t="inlineStr">
        <is>
          <t>D140</t>
        </is>
      </c>
    </row>
    <row r="2600">
      <c r="A2600" s="0" t="inlineStr">
        <is>
          <t>GloVe-100</t>
        </is>
      </c>
      <c r="B2600" s="0" t="inlineStr">
        <is>
          <t>F127</t>
        </is>
      </c>
      <c r="C2600" s="0" t="inlineStr">
        <is>
          <t>F140</t>
        </is>
      </c>
      <c r="D2600" s="0" t="inlineStr">
        <is>
          <t>Recall@10</t>
        </is>
      </c>
    </row>
    <row r="2601">
      <c r="A2601" s="0" t="inlineStr">
        <is>
          <t>GloVe-100</t>
        </is>
      </c>
      <c r="B2601" s="0" t="inlineStr">
        <is>
          <t>G127</t>
        </is>
      </c>
      <c r="C2601" s="0" t="inlineStr">
        <is>
          <t>G140</t>
        </is>
      </c>
      <c r="D2601" s="0" t="inlineStr">
        <is>
          <t>Query Time (ms)</t>
        </is>
      </c>
    </row>
    <row r="2602">
      <c r="A2602" s="0" t="inlineStr">
        <is>
          <t>GloVe-100</t>
        </is>
      </c>
      <c r="B2602" s="0" t="inlineStr">
        <is>
          <t>H127</t>
        </is>
      </c>
      <c r="C2602" s="0" t="inlineStr">
        <is>
          <t>H140</t>
        </is>
      </c>
      <c r="D2602" s="0" t="inlineStr">
        <is>
          <t>VO Size (KB)</t>
        </is>
      </c>
    </row>
    <row r="2603">
      <c r="A2603" s="0" t="inlineStr">
        <is>
          <t>GloVe-100</t>
        </is>
      </c>
      <c r="B2603" s="0" t="inlineStr">
        <is>
          <t>I127</t>
        </is>
      </c>
      <c r="C2603" s="0" t="inlineStr">
        <is>
          <t>I140</t>
        </is>
      </c>
      <c r="D2603" s="0" t="inlineStr">
        <is>
          <t>Verify Time (ms)</t>
        </is>
      </c>
    </row>
    <row r="2604">
      <c r="A2604" s="0" t="inlineStr">
        <is>
          <t>GloVe-100</t>
        </is>
      </c>
      <c r="B2604" s="0" t="inlineStr">
        <is>
          <t>D128</t>
        </is>
      </c>
      <c r="C2604" s="0" t="inlineStr">
        <is>
          <t>D141</t>
        </is>
      </c>
      <c r="D2604" s="0" t="inlineStr">
        <is>
          <t>Merkle+IVF</t>
        </is>
      </c>
    </row>
    <row r="2605">
      <c r="A2605" s="0" t="inlineStr">
        <is>
          <t>GloVe-100</t>
        </is>
      </c>
      <c r="B2605" s="0" t="inlineStr">
        <is>
          <t>F128</t>
        </is>
      </c>
      <c r="C2605" s="0" t="inlineStr">
        <is>
          <t>F141</t>
        </is>
      </c>
      <c r="D2605" s="0" t="n">
        <v>0.96</v>
      </c>
    </row>
    <row r="2606">
      <c r="A2606" s="0" t="inlineStr">
        <is>
          <t>GloVe-100</t>
        </is>
      </c>
      <c r="B2606" s="0" t="inlineStr">
        <is>
          <t>G128</t>
        </is>
      </c>
      <c r="C2606" s="0" t="inlineStr">
        <is>
          <t>G141</t>
        </is>
      </c>
      <c r="D2606" s="0" t="n">
        <v>656.046048783333</v>
      </c>
    </row>
    <row r="2607">
      <c r="A2607" s="0" t="inlineStr">
        <is>
          <t>GloVe-100</t>
        </is>
      </c>
      <c r="B2607" s="0" t="inlineStr">
        <is>
          <t>H128</t>
        </is>
      </c>
      <c r="C2607" s="0" t="inlineStr">
        <is>
          <t>H141</t>
        </is>
      </c>
      <c r="D2607" s="0" t="n">
        <v>114536.9394</v>
      </c>
    </row>
    <row r="2608">
      <c r="A2608" s="0" t="inlineStr">
        <is>
          <t>GloVe-100</t>
        </is>
      </c>
      <c r="B2608" s="0" t="inlineStr">
        <is>
          <t>I128</t>
        </is>
      </c>
      <c r="C2608" s="0" t="inlineStr">
        <is>
          <t>I141</t>
        </is>
      </c>
      <c r="D2608" s="0" t="n">
        <v>1451.07563496667</v>
      </c>
    </row>
    <row r="2609">
      <c r="A2609" s="0" t="inlineStr">
        <is>
          <t>GloVe-100</t>
        </is>
      </c>
      <c r="B2609" s="0" t="inlineStr">
        <is>
          <t>D129</t>
        </is>
      </c>
      <c r="C2609" s="0" t="inlineStr">
        <is>
          <t>D142</t>
        </is>
      </c>
      <c r="D2609" s="0" t="inlineStr">
        <is>
          <t>Merkle+HNSW</t>
        </is>
      </c>
    </row>
    <row r="2610">
      <c r="A2610" s="0" t="inlineStr">
        <is>
          <t>GloVe-100</t>
        </is>
      </c>
      <c r="B2610" s="0" t="inlineStr">
        <is>
          <t>F129</t>
        </is>
      </c>
      <c r="C2610" s="0" t="inlineStr">
        <is>
          <t>F142</t>
        </is>
      </c>
      <c r="D2610" s="0" t="n">
        <v>0.95</v>
      </c>
    </row>
    <row r="2611">
      <c r="A2611" s="0" t="inlineStr">
        <is>
          <t>GloVe-100</t>
        </is>
      </c>
      <c r="B2611" s="0" t="inlineStr">
        <is>
          <t>G129</t>
        </is>
      </c>
      <c r="C2611" s="0" t="inlineStr">
        <is>
          <t>G142</t>
        </is>
      </c>
      <c r="D2611" s="0" t="n">
        <v>71.72813031666669</v>
      </c>
    </row>
    <row r="2612">
      <c r="A2612" s="0" t="inlineStr">
        <is>
          <t>GloVe-100</t>
        </is>
      </c>
      <c r="B2612" s="0" t="inlineStr">
        <is>
          <t>H129</t>
        </is>
      </c>
      <c r="C2612" s="0" t="inlineStr">
        <is>
          <t>H142</t>
        </is>
      </c>
      <c r="D2612" s="0" t="n">
        <v>12688.6482</v>
      </c>
    </row>
    <row r="2613">
      <c r="A2613" s="0" t="inlineStr">
        <is>
          <t>GloVe-100</t>
        </is>
      </c>
      <c r="B2613" s="0" t="inlineStr">
        <is>
          <t>I129</t>
        </is>
      </c>
      <c r="C2613" s="0" t="inlineStr">
        <is>
          <t>I142</t>
        </is>
      </c>
      <c r="D2613" s="0" t="n">
        <v>144.693621066667</v>
      </c>
    </row>
    <row r="2614">
      <c r="A2614" s="0" t="inlineStr">
        <is>
          <t>GloVe-100</t>
        </is>
      </c>
      <c r="B2614" s="0" t="inlineStr">
        <is>
          <t>D130</t>
        </is>
      </c>
      <c r="C2614" s="0" t="inlineStr">
        <is>
          <t>D143</t>
        </is>
      </c>
      <c r="D2614" s="0" t="inlineStr">
        <is>
          <t>Merkle+IVF+(i)</t>
        </is>
      </c>
    </row>
    <row r="2615">
      <c r="A2615" s="0" t="inlineStr">
        <is>
          <t>GloVe-100</t>
        </is>
      </c>
      <c r="B2615" s="0" t="inlineStr">
        <is>
          <t>F130</t>
        </is>
      </c>
      <c r="C2615" s="0" t="inlineStr">
        <is>
          <t>F143</t>
        </is>
      </c>
      <c r="D2615" s="0" t="n">
        <v>0.96</v>
      </c>
    </row>
    <row r="2616">
      <c r="A2616" s="0" t="inlineStr">
        <is>
          <t>GloVe-100</t>
        </is>
      </c>
      <c r="B2616" s="0" t="inlineStr">
        <is>
          <t>G130</t>
        </is>
      </c>
      <c r="C2616" s="0" t="inlineStr">
        <is>
          <t>G143</t>
        </is>
      </c>
      <c r="D2616" s="0" t="n">
        <v>284.9821033</v>
      </c>
    </row>
    <row r="2617">
      <c r="A2617" s="0" t="inlineStr">
        <is>
          <t>GloVe-100</t>
        </is>
      </c>
      <c r="B2617" s="0" t="inlineStr">
        <is>
          <t>H130</t>
        </is>
      </c>
      <c r="C2617" s="0" t="inlineStr">
        <is>
          <t>H143</t>
        </is>
      </c>
      <c r="D2617" s="0" t="n">
        <v>33295.9082</v>
      </c>
    </row>
    <row r="2618">
      <c r="A2618" s="0" t="inlineStr">
        <is>
          <t>GloVe-100</t>
        </is>
      </c>
      <c r="B2618" s="0" t="inlineStr">
        <is>
          <t>I130</t>
        </is>
      </c>
      <c r="C2618" s="0" t="inlineStr">
        <is>
          <t>I143</t>
        </is>
      </c>
      <c r="D2618" s="0" t="n">
        <v>1447.11602305</v>
      </c>
    </row>
    <row r="2619">
      <c r="A2619" s="0" t="inlineStr">
        <is>
          <t>GloVe-100</t>
        </is>
      </c>
      <c r="B2619" s="0" t="inlineStr">
        <is>
          <t>D131</t>
        </is>
      </c>
      <c r="C2619" s="0" t="inlineStr">
        <is>
          <t>D144</t>
        </is>
      </c>
      <c r="D2619" s="0" t="inlineStr">
        <is>
          <t>Merkle+HNSW+(i)</t>
        </is>
      </c>
    </row>
    <row r="2620">
      <c r="A2620" s="0" t="inlineStr">
        <is>
          <t>GloVe-100</t>
        </is>
      </c>
      <c r="B2620" s="0" t="inlineStr">
        <is>
          <t>F131</t>
        </is>
      </c>
      <c r="C2620" s="0" t="inlineStr">
        <is>
          <t>F144</t>
        </is>
      </c>
      <c r="D2620" s="0" t="n">
        <v>0.95</v>
      </c>
    </row>
    <row r="2621">
      <c r="A2621" s="0" t="inlineStr">
        <is>
          <t>GloVe-100</t>
        </is>
      </c>
      <c r="B2621" s="0" t="inlineStr">
        <is>
          <t>G131</t>
        </is>
      </c>
      <c r="C2621" s="0" t="inlineStr">
        <is>
          <t>G144</t>
        </is>
      </c>
      <c r="D2621" s="0" t="n">
        <v>81.6738649666667</v>
      </c>
    </row>
    <row r="2622">
      <c r="A2622" s="0" t="inlineStr">
        <is>
          <t>GloVe-100</t>
        </is>
      </c>
      <c r="B2622" s="0" t="inlineStr">
        <is>
          <t>H131</t>
        </is>
      </c>
      <c r="C2622" s="0" t="inlineStr">
        <is>
          <t>H144</t>
        </is>
      </c>
      <c r="D2622" s="0" t="n">
        <v>12105.94305</v>
      </c>
    </row>
    <row r="2623">
      <c r="A2623" s="0" t="inlineStr">
        <is>
          <t>GloVe-100</t>
        </is>
      </c>
      <c r="B2623" s="0" t="inlineStr">
        <is>
          <t>I131</t>
        </is>
      </c>
      <c r="C2623" s="0" t="inlineStr">
        <is>
          <t>I144</t>
        </is>
      </c>
      <c r="D2623" s="0" t="n">
        <v>283.981054216667</v>
      </c>
    </row>
    <row r="2624">
      <c r="A2624" s="0" t="inlineStr">
        <is>
          <t>GloVe-100</t>
        </is>
      </c>
      <c r="B2624" s="0" t="inlineStr">
        <is>
          <t>D132</t>
        </is>
      </c>
      <c r="C2624" s="0" t="inlineStr">
        <is>
          <t>D145</t>
        </is>
      </c>
      <c r="D2624" s="0" t="inlineStr">
        <is>
          <t>(i)+(ii)</t>
        </is>
      </c>
    </row>
    <row r="2625">
      <c r="A2625" s="0" t="inlineStr">
        <is>
          <t>GloVe-100</t>
        </is>
      </c>
      <c r="B2625" s="0" t="inlineStr">
        <is>
          <t>F132</t>
        </is>
      </c>
      <c r="C2625" s="0" t="inlineStr">
        <is>
          <t>F145</t>
        </is>
      </c>
      <c r="D2625" s="0" t="n">
        <v>0.96</v>
      </c>
    </row>
    <row r="2626">
      <c r="A2626" s="0" t="inlineStr">
        <is>
          <t>GloVe-100</t>
        </is>
      </c>
      <c r="B2626" s="0" t="inlineStr">
        <is>
          <t>G132</t>
        </is>
      </c>
      <c r="C2626" s="0" t="inlineStr">
        <is>
          <t>G145</t>
        </is>
      </c>
      <c r="D2626" s="0" t="n">
        <v>58.3624241333333</v>
      </c>
    </row>
    <row r="2627">
      <c r="A2627" s="0" t="inlineStr">
        <is>
          <t>GloVe-100</t>
        </is>
      </c>
      <c r="B2627" s="0" t="inlineStr">
        <is>
          <t>H132</t>
        </is>
      </c>
      <c r="C2627" s="0" t="inlineStr">
        <is>
          <t>H145</t>
        </is>
      </c>
      <c r="D2627" s="0" t="n">
        <v>7204.0758</v>
      </c>
    </row>
    <row r="2628">
      <c r="A2628" s="0" t="inlineStr">
        <is>
          <t>GloVe-100</t>
        </is>
      </c>
      <c r="B2628" s="0" t="inlineStr">
        <is>
          <t>I132</t>
        </is>
      </c>
      <c r="C2628" s="0" t="inlineStr">
        <is>
          <t>I145</t>
        </is>
      </c>
      <c r="D2628" s="0" t="n">
        <v>180.8511168</v>
      </c>
    </row>
    <row r="2629">
      <c r="A2629" s="0" t="inlineStr">
        <is>
          <t>GloVe-100</t>
        </is>
      </c>
      <c r="B2629" s="0" t="inlineStr">
        <is>
          <t>D133</t>
        </is>
      </c>
      <c r="C2629" s="0" t="inlineStr">
        <is>
          <t>D146</t>
        </is>
      </c>
      <c r="D2629" s="0" t="inlineStr">
        <is>
          <t>(i)+(ii)+(iii)</t>
        </is>
      </c>
    </row>
    <row r="2630">
      <c r="A2630" s="0" t="inlineStr">
        <is>
          <t>GloVe-100</t>
        </is>
      </c>
      <c r="B2630" s="0" t="inlineStr">
        <is>
          <t>F133</t>
        </is>
      </c>
      <c r="C2630" s="0" t="inlineStr">
        <is>
          <t>F146</t>
        </is>
      </c>
      <c r="D2630" s="0" t="n">
        <v>0.96</v>
      </c>
    </row>
    <row r="2631">
      <c r="A2631" s="0" t="inlineStr">
        <is>
          <t>GloVe-100</t>
        </is>
      </c>
      <c r="B2631" s="0" t="inlineStr">
        <is>
          <t>G133</t>
        </is>
      </c>
      <c r="C2631" s="0" t="inlineStr">
        <is>
          <t>G146</t>
        </is>
      </c>
      <c r="D2631" s="0" t="n">
        <v>35.9087503333333</v>
      </c>
    </row>
    <row r="2632">
      <c r="A2632" s="0" t="inlineStr">
        <is>
          <t>GloVe-100</t>
        </is>
      </c>
      <c r="B2632" s="0" t="inlineStr">
        <is>
          <t>H133</t>
        </is>
      </c>
      <c r="C2632" s="0" t="inlineStr">
        <is>
          <t>H146</t>
        </is>
      </c>
      <c r="D2632" s="0" t="n">
        <v>2804.3072</v>
      </c>
    </row>
    <row r="2633">
      <c r="A2633" s="0" t="inlineStr">
        <is>
          <t>GloVe-100</t>
        </is>
      </c>
      <c r="B2633" s="0" t="inlineStr">
        <is>
          <t>I133</t>
        </is>
      </c>
      <c r="C2633" s="0" t="inlineStr">
        <is>
          <t>I146</t>
        </is>
      </c>
      <c r="D2633" s="0" t="n">
        <v>77.78700821666671</v>
      </c>
    </row>
    <row r="2634">
      <c r="A2634" s="0" t="inlineStr">
        <is>
          <t>GloVe-100</t>
        </is>
      </c>
      <c r="B2634" s="0" t="inlineStr">
        <is>
          <t>D134</t>
        </is>
      </c>
      <c r="C2634" s="0" t="inlineStr">
        <is>
          <t>D147</t>
        </is>
      </c>
      <c r="D2634" s="0" t="inlineStr">
        <is>
          <t>V3DB baseline（单次）</t>
        </is>
      </c>
    </row>
    <row r="2635">
      <c r="A2635" s="0" t="inlineStr">
        <is>
          <t>GloVe-100</t>
        </is>
      </c>
      <c r="B2635" s="0" t="inlineStr">
        <is>
          <t>F134</t>
        </is>
      </c>
      <c r="C2635" s="0" t="inlineStr">
        <is>
          <t>F147</t>
        </is>
      </c>
      <c r="D2635" s="0" t="n">
        <v>0.405</v>
      </c>
    </row>
    <row r="2636">
      <c r="A2636" s="0" t="inlineStr">
        <is>
          <t>GloVe-100</t>
        </is>
      </c>
      <c r="B2636" s="0" t="inlineStr">
        <is>
          <t>G134</t>
        </is>
      </c>
      <c r="C2636" s="0" t="inlineStr">
        <is>
          <t>G147</t>
        </is>
      </c>
      <c r="D2636" s="0" t="n">
        <v>491486.434967</v>
      </c>
    </row>
    <row r="2637">
      <c r="A2637" s="0" t="inlineStr">
        <is>
          <t>GloVe-100</t>
        </is>
      </c>
      <c r="B2637" s="0" t="inlineStr">
        <is>
          <t>H134</t>
        </is>
      </c>
      <c r="C2637" s="0" t="inlineStr">
        <is>
          <t>H147</t>
        </is>
      </c>
      <c r="D2637" s="0" t="n">
        <v>287.485</v>
      </c>
    </row>
    <row r="2638">
      <c r="A2638" s="0" t="inlineStr">
        <is>
          <t>GloVe-100</t>
        </is>
      </c>
      <c r="B2638" s="0" t="inlineStr">
        <is>
          <t>I134</t>
        </is>
      </c>
      <c r="C2638" s="0" t="inlineStr">
        <is>
          <t>I147</t>
        </is>
      </c>
      <c r="D2638" s="0" t="n">
        <v>19.9993839999024</v>
      </c>
    </row>
    <row r="2639">
      <c r="A2639" s="0" t="inlineStr">
        <is>
          <t>DEEP1M</t>
        </is>
      </c>
      <c r="B2639" s="0" t="inlineStr">
        <is>
          <t>A1</t>
        </is>
      </c>
      <c r="C2639" s="0" t="inlineStr">
        <is>
          <t>A1</t>
        </is>
      </c>
      <c r="D2639" s="0" t="inlineStr">
        <is>
          <t>All query time includes the vo generation time</t>
        </is>
      </c>
    </row>
    <row r="2640">
      <c r="A2640" s="0" t="inlineStr">
        <is>
          <t>DEEP1M</t>
        </is>
      </c>
      <c r="B2640" s="0" t="inlineStr">
        <is>
          <t>A3</t>
        </is>
      </c>
      <c r="C2640" s="0" t="inlineStr">
        <is>
          <t>A3</t>
        </is>
      </c>
      <c r="D2640" s="0" t="inlineStr">
        <is>
          <t>Query/verify time: ms; VO: KB (1000 bytes); recall: %; Query Time includes VO generation.</t>
        </is>
      </c>
    </row>
    <row r="2641">
      <c r="A2641" s="0" t="inlineStr">
        <is>
          <t>DEEP1M</t>
        </is>
      </c>
      <c r="B2641" s="0" t="inlineStr">
        <is>
          <t>A4</t>
        </is>
      </c>
      <c r="C2641" s="0" t="inlineStr">
        <is>
          <t>A4</t>
        </is>
      </c>
      <c r="D2641" s="0" t="inlineStr">
        <is>
          <t>VLAH、ANNProof、Ours维持原默认约95%召回率及原实测数据。只有V3DB采用本机可运行的低Recall@10默认配置。低召回率扩展仅用于Recall@10曲线；不同默认召回率不视为等质量比较。
橙色*为512GiB单线程条件预测，†为既有20查询搜索校准召回；不是512GiB机器实测。超规划内存/无校准依据的缺项留空，见V3DB512GiB说明。</t>
        </is>
      </c>
    </row>
    <row r="2642">
      <c r="A2642" s="0" t="inlineStr">
        <is>
          <t>DEEP1M</t>
        </is>
      </c>
      <c r="B2642" s="0" t="inlineStr">
        <is>
          <t>E5</t>
        </is>
      </c>
      <c r="C2642" s="0" t="inlineStr">
        <is>
          <t>E5</t>
        </is>
      </c>
      <c r="D2642" s="0" t="inlineStr">
        <is>
          <t>Overall Table</t>
        </is>
      </c>
    </row>
    <row r="2643">
      <c r="A2643" s="0" t="inlineStr">
        <is>
          <t>DEEP1M</t>
        </is>
      </c>
      <c r="B2643" s="0" t="inlineStr">
        <is>
          <t>D7</t>
        </is>
      </c>
      <c r="C2643" s="0" t="inlineStr">
        <is>
          <t>D7</t>
        </is>
      </c>
      <c r="D2643" s="0" t="inlineStr">
        <is>
          <t>DEEP1M (N=1,000,000, d=96)</t>
        </is>
      </c>
    </row>
    <row r="2644">
      <c r="A2644" s="0" t="inlineStr">
        <is>
          <t>DEEP1M</t>
        </is>
      </c>
      <c r="B2644" s="0" t="inlineStr">
        <is>
          <t>I7</t>
        </is>
      </c>
      <c r="C2644" s="0" t="inlineStr">
        <is>
          <t>I7</t>
        </is>
      </c>
    </row>
    <row r="2645">
      <c r="A2645" s="0" t="inlineStr">
        <is>
          <t>DEEP1M</t>
        </is>
      </c>
      <c r="B2645" s="0" t="inlineStr">
        <is>
          <t>J7</t>
        </is>
      </c>
      <c r="C2645" s="0" t="inlineStr">
        <is>
          <t>J7</t>
        </is>
      </c>
    </row>
    <row r="2646">
      <c r="A2646" s="0" t="inlineStr">
        <is>
          <t>DEEP1M</t>
        </is>
      </c>
      <c r="B2646" s="0" t="inlineStr">
        <is>
          <t>D8</t>
        </is>
      </c>
      <c r="C2646" s="0" t="inlineStr">
        <is>
          <t>D8</t>
        </is>
      </c>
      <c r="D2646" s="0" t="inlineStr">
        <is>
          <t xml:space="preserve">Method </t>
        </is>
      </c>
    </row>
    <row r="2647">
      <c r="A2647" s="0" t="inlineStr">
        <is>
          <t>DEEP1M</t>
        </is>
      </c>
      <c r="B2647" s="0" t="inlineStr">
        <is>
          <t>E8</t>
        </is>
      </c>
      <c r="C2647" s="0" t="inlineStr">
        <is>
          <t>E8</t>
        </is>
      </c>
      <c r="D2647" s="0" t="inlineStr">
        <is>
          <t>Recall@10</t>
        </is>
      </c>
    </row>
    <row r="2648">
      <c r="A2648" s="0" t="inlineStr">
        <is>
          <t>DEEP1M</t>
        </is>
      </c>
      <c r="B2648" s="0" t="inlineStr">
        <is>
          <t>F8</t>
        </is>
      </c>
      <c r="C2648" s="0" t="inlineStr">
        <is>
          <t>F8</t>
        </is>
      </c>
      <c r="D2648" s="0" t="inlineStr">
        <is>
          <t>Query Time</t>
        </is>
      </c>
    </row>
    <row r="2649">
      <c r="A2649" s="0" t="inlineStr">
        <is>
          <t>DEEP1M</t>
        </is>
      </c>
      <c r="B2649" s="0" t="inlineStr">
        <is>
          <t>G8</t>
        </is>
      </c>
      <c r="C2649" s="0" t="inlineStr">
        <is>
          <t>G8</t>
        </is>
      </c>
      <c r="D2649" s="0" t="inlineStr">
        <is>
          <t>VO Size</t>
        </is>
      </c>
    </row>
    <row r="2650">
      <c r="A2650" s="0" t="inlineStr">
        <is>
          <t>DEEP1M</t>
        </is>
      </c>
      <c r="B2650" s="0" t="inlineStr">
        <is>
          <t>H8</t>
        </is>
      </c>
      <c r="C2650" s="0" t="inlineStr">
        <is>
          <t>H8</t>
        </is>
      </c>
      <c r="D2650" s="0" t="inlineStr">
        <is>
          <t>Verify Time</t>
        </is>
      </c>
    </row>
    <row r="2651">
      <c r="A2651" s="0" t="inlineStr">
        <is>
          <t>DEEP1M</t>
        </is>
      </c>
      <c r="B2651" s="0" t="inlineStr">
        <is>
          <t>I8</t>
        </is>
      </c>
      <c r="C2651" s="0" t="inlineStr">
        <is>
          <t>I8</t>
        </is>
      </c>
      <c r="D2651" s="0" t="inlineStr">
        <is>
          <t>Index Size (MB)</t>
        </is>
      </c>
    </row>
    <row r="2652">
      <c r="A2652" s="0" t="inlineStr">
        <is>
          <t>DEEP1M</t>
        </is>
      </c>
      <c r="B2652" s="0" t="inlineStr">
        <is>
          <t>J8</t>
        </is>
      </c>
      <c r="C2652" s="0" t="inlineStr">
        <is>
          <t>J8</t>
        </is>
      </c>
      <c r="D2652" s="0" t="inlineStr">
        <is>
          <t>Index Construct Time (s)</t>
        </is>
      </c>
    </row>
    <row r="2653">
      <c r="A2653" s="0" t="inlineStr">
        <is>
          <t>DEEP1M</t>
        </is>
      </c>
      <c r="B2653" s="0" t="inlineStr">
        <is>
          <t>D9</t>
        </is>
      </c>
      <c r="C2653" s="0" t="inlineStr">
        <is>
          <t>D9</t>
        </is>
      </c>
      <c r="D2653" s="0" t="inlineStr">
        <is>
          <t>VLAH</t>
        </is>
      </c>
    </row>
    <row r="2654">
      <c r="A2654" s="0" t="inlineStr">
        <is>
          <t>DEEP1M</t>
        </is>
      </c>
      <c r="B2654" s="0" t="inlineStr">
        <is>
          <t>E9</t>
        </is>
      </c>
      <c r="C2654" s="0" t="inlineStr">
        <is>
          <t>E9</t>
        </is>
      </c>
      <c r="D2654" s="0" t="n">
        <v>95</v>
      </c>
    </row>
    <row r="2655">
      <c r="A2655" s="0" t="inlineStr">
        <is>
          <t>DEEP1M</t>
        </is>
      </c>
      <c r="B2655" s="0" t="inlineStr">
        <is>
          <t>F9</t>
        </is>
      </c>
      <c r="C2655" s="0" t="inlineStr">
        <is>
          <t>F9</t>
        </is>
      </c>
      <c r="D2655" s="0" t="n">
        <v>106.513872866667</v>
      </c>
    </row>
    <row r="2656">
      <c r="A2656" s="0" t="inlineStr">
        <is>
          <t>DEEP1M</t>
        </is>
      </c>
      <c r="B2656" s="0" t="inlineStr">
        <is>
          <t>G9</t>
        </is>
      </c>
      <c r="C2656" s="0" t="inlineStr">
        <is>
          <t>G9</t>
        </is>
      </c>
      <c r="D2656" s="0" t="n">
        <v>38322.17155</v>
      </c>
    </row>
    <row r="2657">
      <c r="A2657" s="0" t="inlineStr">
        <is>
          <t>DEEP1M</t>
        </is>
      </c>
      <c r="B2657" s="0" t="inlineStr">
        <is>
          <t>H9</t>
        </is>
      </c>
      <c r="C2657" s="0" t="inlineStr">
        <is>
          <t>H9</t>
        </is>
      </c>
      <c r="D2657" s="0" t="n">
        <v>280.071343333333</v>
      </c>
    </row>
    <row r="2658">
      <c r="A2658" s="0" t="inlineStr">
        <is>
          <t>DEEP1M</t>
        </is>
      </c>
      <c r="B2658" s="0" t="inlineStr">
        <is>
          <t>I9</t>
        </is>
      </c>
      <c r="C2658" s="0" t="inlineStr">
        <is>
          <t>I9</t>
        </is>
      </c>
      <c r="D2658" s="0" t="n">
        <v>687.309184</v>
      </c>
    </row>
    <row r="2659">
      <c r="A2659" s="0" t="inlineStr">
        <is>
          <t>DEEP1M</t>
        </is>
      </c>
      <c r="B2659" s="0" t="inlineStr">
        <is>
          <t>J9</t>
        </is>
      </c>
      <c r="C2659" s="0" t="inlineStr">
        <is>
          <t>J9</t>
        </is>
      </c>
      <c r="D2659" s="0" t="n">
        <v>104.239489776</v>
      </c>
    </row>
    <row r="2660">
      <c r="A2660" s="0" t="inlineStr">
        <is>
          <t>DEEP1M</t>
        </is>
      </c>
      <c r="B2660" s="0" t="inlineStr">
        <is>
          <t>D10</t>
        </is>
      </c>
      <c r="C2660" s="0" t="inlineStr">
        <is>
          <t>D10</t>
        </is>
      </c>
      <c r="D2660" s="0" t="inlineStr">
        <is>
          <t>ANNProof</t>
        </is>
      </c>
    </row>
    <row r="2661">
      <c r="A2661" s="0" t="inlineStr">
        <is>
          <t>DEEP1M</t>
        </is>
      </c>
      <c r="B2661" s="0" t="inlineStr">
        <is>
          <t>E10</t>
        </is>
      </c>
      <c r="C2661" s="0" t="inlineStr">
        <is>
          <t>E10</t>
        </is>
      </c>
      <c r="D2661" s="0" t="n">
        <v>97.5</v>
      </c>
    </row>
    <row r="2662">
      <c r="A2662" s="0" t="inlineStr">
        <is>
          <t>DEEP1M</t>
        </is>
      </c>
      <c r="B2662" s="0" t="inlineStr">
        <is>
          <t>F10</t>
        </is>
      </c>
      <c r="C2662" s="0" t="inlineStr">
        <is>
          <t>F10</t>
        </is>
      </c>
      <c r="D2662" s="0" t="n">
        <v>3.15865693333333</v>
      </c>
    </row>
    <row r="2663">
      <c r="A2663" s="0" t="inlineStr">
        <is>
          <t>DEEP1M</t>
        </is>
      </c>
      <c r="B2663" s="0" t="inlineStr">
        <is>
          <t>G10</t>
        </is>
      </c>
      <c r="C2663" s="0" t="inlineStr">
        <is>
          <t>G10</t>
        </is>
      </c>
      <c r="D2663" s="0" t="n">
        <v>1154.7938</v>
      </c>
    </row>
    <row r="2664">
      <c r="A2664" s="0" t="inlineStr">
        <is>
          <t>DEEP1M</t>
        </is>
      </c>
      <c r="B2664" s="0" t="inlineStr">
        <is>
          <t>H10</t>
        </is>
      </c>
      <c r="C2664" s="0" t="inlineStr">
        <is>
          <t>H10</t>
        </is>
      </c>
      <c r="D2664" s="0" t="n">
        <v>15.4261976166667</v>
      </c>
    </row>
    <row r="2665">
      <c r="A2665" s="0" t="inlineStr">
        <is>
          <t>DEEP1M</t>
        </is>
      </c>
      <c r="B2665" s="0" t="inlineStr">
        <is>
          <t>I10</t>
        </is>
      </c>
      <c r="C2665" s="0" t="inlineStr">
        <is>
          <t>I10</t>
        </is>
      </c>
      <c r="D2665" s="0" t="n">
        <v>720.915632</v>
      </c>
    </row>
    <row r="2666">
      <c r="A2666" s="0" t="inlineStr">
        <is>
          <t>DEEP1M</t>
        </is>
      </c>
      <c r="B2666" s="0" t="inlineStr">
        <is>
          <t>J10</t>
        </is>
      </c>
      <c r="C2666" s="0" t="inlineStr">
        <is>
          <t>J10</t>
        </is>
      </c>
      <c r="D2666" s="0" t="n">
        <v>454.319068677</v>
      </c>
    </row>
    <row r="2667">
      <c r="A2667" s="0" t="inlineStr">
        <is>
          <t>DEEP1M</t>
        </is>
      </c>
      <c r="B2667" s="0" t="inlineStr">
        <is>
          <t>D11</t>
        </is>
      </c>
      <c r="C2667" s="0" t="inlineStr">
        <is>
          <t>D11</t>
        </is>
      </c>
      <c r="D2667" s="0" t="inlineStr">
        <is>
          <t>Ours</t>
        </is>
      </c>
    </row>
    <row r="2668">
      <c r="A2668" s="0" t="inlineStr">
        <is>
          <t>DEEP1M</t>
        </is>
      </c>
      <c r="B2668" s="0" t="inlineStr">
        <is>
          <t>E11</t>
        </is>
      </c>
      <c r="C2668" s="0" t="inlineStr">
        <is>
          <t>E11</t>
        </is>
      </c>
      <c r="D2668" s="0" t="n">
        <v>97.5</v>
      </c>
    </row>
    <row r="2669">
      <c r="A2669" s="0" t="inlineStr">
        <is>
          <t>DEEP1M</t>
        </is>
      </c>
      <c r="B2669" s="0" t="inlineStr">
        <is>
          <t>F11</t>
        </is>
      </c>
      <c r="C2669" s="0" t="inlineStr">
        <is>
          <t>F11</t>
        </is>
      </c>
      <c r="D2669" s="0" t="n">
        <v>2.5314656</v>
      </c>
    </row>
    <row r="2670">
      <c r="A2670" s="0" t="inlineStr">
        <is>
          <t>DEEP1M</t>
        </is>
      </c>
      <c r="B2670" s="0" t="inlineStr">
        <is>
          <t>G11</t>
        </is>
      </c>
      <c r="C2670" s="0" t="inlineStr">
        <is>
          <t>G11</t>
        </is>
      </c>
      <c r="D2670" s="0" t="n">
        <v>271.0874</v>
      </c>
    </row>
    <row r="2671">
      <c r="A2671" s="0" t="inlineStr">
        <is>
          <t>DEEP1M</t>
        </is>
      </c>
      <c r="B2671" s="0" t="inlineStr">
        <is>
          <t>H11</t>
        </is>
      </c>
      <c r="C2671" s="0" t="inlineStr">
        <is>
          <t>H11</t>
        </is>
      </c>
      <c r="D2671" s="0" t="n">
        <v>6.1193687</v>
      </c>
    </row>
    <row r="2672">
      <c r="A2672" s="0" t="inlineStr">
        <is>
          <t>DEEP1M</t>
        </is>
      </c>
      <c r="B2672" s="0" t="inlineStr">
        <is>
          <t>I11</t>
        </is>
      </c>
      <c r="C2672" s="0" t="inlineStr">
        <is>
          <t>I11</t>
        </is>
      </c>
      <c r="D2672" s="0" t="n">
        <v>876.695294</v>
      </c>
    </row>
    <row r="2673">
      <c r="A2673" s="0" t="inlineStr">
        <is>
          <t>DEEP1M</t>
        </is>
      </c>
      <c r="B2673" s="0" t="inlineStr">
        <is>
          <t>J11</t>
        </is>
      </c>
      <c r="C2673" s="0" t="inlineStr">
        <is>
          <t>J11</t>
        </is>
      </c>
      <c r="D2673" s="0" t="n">
        <v>461.783738288</v>
      </c>
    </row>
    <row r="2674">
      <c r="A2674" s="0" t="inlineStr">
        <is>
          <t>DEEP1M</t>
        </is>
      </c>
      <c r="B2674" s="0" t="inlineStr">
        <is>
          <t>D12</t>
        </is>
      </c>
      <c r="C2674" s="0" t="inlineStr">
        <is>
          <t>D12</t>
        </is>
      </c>
      <c r="D2674" s="0" t="inlineStr">
        <is>
          <t>V3DB（单次）</t>
        </is>
      </c>
    </row>
    <row r="2675">
      <c r="A2675" s="0" t="inlineStr">
        <is>
          <t>DEEP1M</t>
        </is>
      </c>
      <c r="B2675" s="0" t="inlineStr">
        <is>
          <t>E12</t>
        </is>
      </c>
      <c r="C2675" s="0" t="inlineStr">
        <is>
          <t>E12</t>
        </is>
      </c>
      <c r="D2675" s="0" t="n">
        <v>78</v>
      </c>
    </row>
    <row r="2676">
      <c r="A2676" s="0" t="inlineStr">
        <is>
          <t>DEEP1M</t>
        </is>
      </c>
      <c r="B2676" s="0" t="inlineStr">
        <is>
          <t>F12</t>
        </is>
      </c>
      <c r="C2676" s="0" t="inlineStr">
        <is>
          <t>F12</t>
        </is>
      </c>
      <c r="D2676" s="0" t="n">
        <v>493189.722806004</v>
      </c>
    </row>
    <row r="2677">
      <c r="A2677" s="0" t="inlineStr">
        <is>
          <t>DEEP1M</t>
        </is>
      </c>
      <c r="B2677" s="0" t="inlineStr">
        <is>
          <t>G12</t>
        </is>
      </c>
      <c r="C2677" s="0" t="inlineStr">
        <is>
          <t>G12</t>
        </is>
      </c>
      <c r="D2677" s="0" t="n">
        <v>265.512</v>
      </c>
    </row>
    <row r="2678">
      <c r="A2678" s="0" t="inlineStr">
        <is>
          <t>DEEP1M</t>
        </is>
      </c>
      <c r="B2678" s="0" t="inlineStr">
        <is>
          <t>H12</t>
        </is>
      </c>
      <c r="C2678" s="0" t="inlineStr">
        <is>
          <t>H12</t>
        </is>
      </c>
      <c r="D2678" s="0" t="n">
        <v>55.9675380063709</v>
      </c>
    </row>
    <row r="2679">
      <c r="A2679" s="0" t="inlineStr">
        <is>
          <t>DEEP1M</t>
        </is>
      </c>
      <c r="B2679" s="0" t="inlineStr">
        <is>
          <t>I12</t>
        </is>
      </c>
      <c r="C2679" s="0" t="inlineStr">
        <is>
          <t>I12</t>
        </is>
      </c>
      <c r="D2679" s="0" t="n">
        <v>393.591606</v>
      </c>
    </row>
    <row r="2680">
      <c r="A2680" s="0" t="inlineStr">
        <is>
          <t>DEEP1M</t>
        </is>
      </c>
      <c r="B2680" s="0" t="inlineStr">
        <is>
          <t>J12</t>
        </is>
      </c>
      <c r="C2680" s="0" t="inlineStr">
        <is>
          <t>J12</t>
        </is>
      </c>
      <c r="D2680" s="0" t="n">
        <v>154.114529303</v>
      </c>
    </row>
    <row r="2681">
      <c r="A2681" s="0" t="inlineStr">
        <is>
          <t>DEEP1M</t>
        </is>
      </c>
      <c r="B2681" s="0" t="inlineStr">
        <is>
          <t>E16</t>
        </is>
      </c>
      <c r="C2681" s="0" t="inlineStr">
        <is>
          <t>E17</t>
        </is>
      </c>
      <c r="D2681" s="0" t="inlineStr">
        <is>
          <t>Target Recall (%) — expanded low-recall curve</t>
        </is>
      </c>
    </row>
    <row r="2682">
      <c r="A2682" s="0" t="inlineStr">
        <is>
          <t>DEEP1M</t>
        </is>
      </c>
      <c r="B2682" s="0" t="inlineStr">
        <is>
          <t>F16</t>
        </is>
      </c>
      <c r="C2682" s="0" t="inlineStr">
        <is>
          <t>F17</t>
        </is>
      </c>
      <c r="D2682" s="0" t="n">
        <v>15</v>
      </c>
    </row>
    <row r="2683">
      <c r="A2683" s="0" t="inlineStr">
        <is>
          <t>DEEP1M</t>
        </is>
      </c>
      <c r="B2683" s="0" t="inlineStr">
        <is>
          <t>G16</t>
        </is>
      </c>
      <c r="C2683" s="0" t="inlineStr">
        <is>
          <t>G17</t>
        </is>
      </c>
      <c r="D2683" s="0" t="n">
        <v>20</v>
      </c>
    </row>
    <row r="2684">
      <c r="A2684" s="0" t="inlineStr">
        <is>
          <t>DEEP1M</t>
        </is>
      </c>
      <c r="B2684" s="0" t="inlineStr">
        <is>
          <t>H16</t>
        </is>
      </c>
      <c r="C2684" s="0" t="inlineStr">
        <is>
          <t>H17</t>
        </is>
      </c>
      <c r="D2684" s="0" t="n">
        <v>25</v>
      </c>
    </row>
    <row r="2685">
      <c r="A2685" s="0" t="inlineStr">
        <is>
          <t>DEEP1M</t>
        </is>
      </c>
      <c r="B2685" s="0" t="inlineStr">
        <is>
          <t>I16</t>
        </is>
      </c>
      <c r="C2685" s="0" t="inlineStr">
        <is>
          <t>I17</t>
        </is>
      </c>
      <c r="D2685" s="0" t="n">
        <v>30</v>
      </c>
    </row>
    <row r="2686">
      <c r="A2686" s="0" t="inlineStr">
        <is>
          <t>DEEP1M</t>
        </is>
      </c>
      <c r="B2686" s="0" t="inlineStr">
        <is>
          <t>J16</t>
        </is>
      </c>
      <c r="C2686" s="0" t="inlineStr">
        <is>
          <t>J17</t>
        </is>
      </c>
      <c r="D2686" s="0" t="n">
        <v>35</v>
      </c>
    </row>
    <row r="2687">
      <c r="A2687" s="0" t="inlineStr">
        <is>
          <t>DEEP1M</t>
        </is>
      </c>
      <c r="B2687" s="0" t="inlineStr">
        <is>
          <t>K16</t>
        </is>
      </c>
      <c r="C2687" s="0" t="inlineStr">
        <is>
          <t>K17</t>
        </is>
      </c>
      <c r="D2687" s="0" t="n">
        <v>40</v>
      </c>
    </row>
    <row r="2688">
      <c r="A2688" s="0" t="inlineStr">
        <is>
          <t>DEEP1M</t>
        </is>
      </c>
      <c r="B2688" s="0" t="inlineStr">
        <is>
          <t>L16</t>
        </is>
      </c>
      <c r="C2688" s="0" t="inlineStr">
        <is>
          <t>L17</t>
        </is>
      </c>
      <c r="D2688" s="0" t="n">
        <v>45</v>
      </c>
    </row>
    <row r="2689">
      <c r="A2689" s="0" t="inlineStr">
        <is>
          <t>DEEP1M</t>
        </is>
      </c>
      <c r="B2689" s="0" t="inlineStr">
        <is>
          <t>M16</t>
        </is>
      </c>
      <c r="C2689" s="0" t="inlineStr">
        <is>
          <t>M17</t>
        </is>
      </c>
      <c r="D2689" s="0" t="n">
        <v>50</v>
      </c>
    </row>
    <row r="2690">
      <c r="A2690" s="0" t="inlineStr">
        <is>
          <t>DEEP1M</t>
        </is>
      </c>
      <c r="B2690" s="0" t="inlineStr">
        <is>
          <t>N16</t>
        </is>
      </c>
      <c r="C2690" s="0" t="inlineStr">
        <is>
          <t>N17</t>
        </is>
      </c>
      <c r="D2690" s="0" t="n">
        <v>55</v>
      </c>
    </row>
    <row r="2691">
      <c r="A2691" s="0" t="inlineStr">
        <is>
          <t>DEEP1M</t>
        </is>
      </c>
      <c r="B2691" s="0" t="inlineStr">
        <is>
          <t>O16</t>
        </is>
      </c>
      <c r="C2691" s="0" t="inlineStr">
        <is>
          <t>O17</t>
        </is>
      </c>
      <c r="D2691" s="0" t="n">
        <v>60</v>
      </c>
    </row>
    <row r="2692">
      <c r="A2692" s="0" t="inlineStr">
        <is>
          <t>DEEP1M</t>
        </is>
      </c>
      <c r="B2692" s="0" t="inlineStr">
        <is>
          <t>P16</t>
        </is>
      </c>
      <c r="C2692" s="0" t="inlineStr">
        <is>
          <t>P17</t>
        </is>
      </c>
      <c r="D2692" s="0" t="n">
        <v>65</v>
      </c>
    </row>
    <row r="2693">
      <c r="A2693" s="0" t="inlineStr">
        <is>
          <t>DEEP1M</t>
        </is>
      </c>
      <c r="B2693" s="0" t="inlineStr">
        <is>
          <t>Q16</t>
        </is>
      </c>
      <c r="C2693" s="0" t="inlineStr">
        <is>
          <t>Q17</t>
        </is>
      </c>
      <c r="D2693" s="0" t="n">
        <v>70</v>
      </c>
    </row>
    <row r="2694">
      <c r="A2694" s="0" t="inlineStr">
        <is>
          <t>DEEP1M</t>
        </is>
      </c>
      <c r="B2694" s="0" t="inlineStr">
        <is>
          <t>R16</t>
        </is>
      </c>
      <c r="C2694" s="0" t="inlineStr">
        <is>
          <t>R17</t>
        </is>
      </c>
      <c r="D2694" s="0" t="n">
        <v>75</v>
      </c>
    </row>
    <row r="2695">
      <c r="A2695" s="0" t="inlineStr">
        <is>
          <t>DEEP1M</t>
        </is>
      </c>
      <c r="B2695" s="0" t="inlineStr">
        <is>
          <t>S16</t>
        </is>
      </c>
      <c r="C2695" s="0" t="inlineStr">
        <is>
          <t>S17</t>
        </is>
      </c>
      <c r="D2695" s="0" t="n">
        <v>80</v>
      </c>
    </row>
    <row r="2696">
      <c r="A2696" s="0" t="inlineStr">
        <is>
          <t>DEEP1M</t>
        </is>
      </c>
      <c r="B2696" s="0" t="inlineStr">
        <is>
          <t>T16</t>
        </is>
      </c>
      <c r="C2696" s="0" t="inlineStr">
        <is>
          <t>T17</t>
        </is>
      </c>
      <c r="D2696" s="0" t="n">
        <v>85</v>
      </c>
    </row>
    <row r="2697">
      <c r="A2697" s="0" t="inlineStr">
        <is>
          <t>DEEP1M</t>
        </is>
      </c>
      <c r="B2697" s="0" t="inlineStr">
        <is>
          <t>U16</t>
        </is>
      </c>
      <c r="C2697" s="0" t="inlineStr">
        <is>
          <t>U17</t>
        </is>
      </c>
      <c r="D2697" s="0" t="n">
        <v>90</v>
      </c>
    </row>
    <row r="2698">
      <c r="A2698" s="0" t="inlineStr">
        <is>
          <t>DEEP1M</t>
        </is>
      </c>
      <c r="B2698" s="0" t="inlineStr">
        <is>
          <t>V16</t>
        </is>
      </c>
      <c r="C2698" s="0" t="inlineStr">
        <is>
          <t>V17</t>
        </is>
      </c>
      <c r="D2698" s="0" t="n">
        <v>95</v>
      </c>
    </row>
    <row r="2699">
      <c r="A2699" s="0" t="inlineStr">
        <is>
          <t>DEEP1M</t>
        </is>
      </c>
      <c r="B2699" s="0" t="inlineStr">
        <is>
          <t>W16</t>
        </is>
      </c>
      <c r="C2699" s="0" t="inlineStr">
        <is>
          <t>W17</t>
        </is>
      </c>
      <c r="D2699" s="0" t="n">
        <v>97</v>
      </c>
    </row>
    <row r="2700">
      <c r="A2700" s="0" t="inlineStr">
        <is>
          <t>DEEP1M</t>
        </is>
      </c>
      <c r="B2700" s="0" t="inlineStr">
        <is>
          <t>X16</t>
        </is>
      </c>
      <c r="C2700" s="0" t="inlineStr">
        <is>
          <t>X17</t>
        </is>
      </c>
      <c r="D2700" s="0" t="n">
        <v>98</v>
      </c>
    </row>
    <row r="2701">
      <c r="A2701" s="0" t="inlineStr">
        <is>
          <t>DEEP1M</t>
        </is>
      </c>
      <c r="B2701" s="0" t="inlineStr">
        <is>
          <t>Y16</t>
        </is>
      </c>
      <c r="C2701" s="0" t="inlineStr">
        <is>
          <t>Y17</t>
        </is>
      </c>
      <c r="D2701" s="0" t="n">
        <v>99</v>
      </c>
    </row>
    <row r="2702">
      <c r="A2702" s="0" t="inlineStr">
        <is>
          <t>DEEP1M</t>
        </is>
      </c>
      <c r="B2702" s="0" t="inlineStr">
        <is>
          <t>E17</t>
        </is>
      </c>
      <c r="C2702" s="0" t="inlineStr">
        <is>
          <t>E18</t>
        </is>
      </c>
      <c r="D2702" s="0" t="inlineStr">
        <is>
          <t>Recall@10 (change parameters enabling different recall rate) vs. VO size</t>
        </is>
      </c>
    </row>
    <row r="2703">
      <c r="A2703" s="0" t="inlineStr">
        <is>
          <t>DEEP1M</t>
        </is>
      </c>
      <c r="B2703" s="0" t="inlineStr">
        <is>
          <t>D19</t>
        </is>
      </c>
      <c r="C2703" s="0" t="inlineStr">
        <is>
          <t>D20</t>
        </is>
      </c>
      <c r="D2703" s="0" t="inlineStr">
        <is>
          <t>DEEP1M (N=1,000,000, d=96)</t>
        </is>
      </c>
    </row>
    <row r="2704">
      <c r="A2704" s="0" t="inlineStr">
        <is>
          <t>DEEP1M</t>
        </is>
      </c>
      <c r="B2704" s="0" t="inlineStr">
        <is>
          <t>D20</t>
        </is>
      </c>
      <c r="C2704" s="0" t="inlineStr">
        <is>
          <t>D21</t>
        </is>
      </c>
      <c r="D2704" s="0" t="inlineStr">
        <is>
          <t>VLAH</t>
        </is>
      </c>
    </row>
    <row r="2705">
      <c r="A2705" s="0" t="inlineStr">
        <is>
          <t>DEEP1M</t>
        </is>
      </c>
      <c r="B2705" s="0" t="inlineStr">
        <is>
          <t>E20</t>
        </is>
      </c>
      <c r="C2705" s="0" t="inlineStr">
        <is>
          <t>E21</t>
        </is>
      </c>
      <c r="D2705" s="0" t="inlineStr">
        <is>
          <t>Recall rate</t>
        </is>
      </c>
    </row>
    <row r="2706">
      <c r="A2706" s="0" t="inlineStr">
        <is>
          <t>DEEP1M</t>
        </is>
      </c>
      <c r="B2706" s="0" t="inlineStr">
        <is>
          <t>F20</t>
        </is>
      </c>
      <c r="C2706" s="0" t="inlineStr">
        <is>
          <t>F21</t>
        </is>
      </c>
      <c r="D2706" s="0" t="n">
        <v>27.5</v>
      </c>
    </row>
    <row r="2707">
      <c r="A2707" s="0" t="inlineStr">
        <is>
          <t>DEEP1M</t>
        </is>
      </c>
      <c r="B2707" s="0" t="inlineStr">
        <is>
          <t>G20</t>
        </is>
      </c>
      <c r="C2707" s="0" t="inlineStr">
        <is>
          <t>G21</t>
        </is>
      </c>
      <c r="D2707" s="0" t="n">
        <v>27.5</v>
      </c>
    </row>
    <row r="2708">
      <c r="A2708" s="0" t="inlineStr">
        <is>
          <t>DEEP1M</t>
        </is>
      </c>
      <c r="B2708" s="0" t="inlineStr">
        <is>
          <t>H20</t>
        </is>
      </c>
      <c r="C2708" s="0" t="inlineStr">
        <is>
          <t>H21</t>
        </is>
      </c>
      <c r="D2708" s="0" t="n">
        <v>27.5</v>
      </c>
    </row>
    <row r="2709">
      <c r="A2709" s="0" t="inlineStr">
        <is>
          <t>DEEP1M</t>
        </is>
      </c>
      <c r="B2709" s="0" t="inlineStr">
        <is>
          <t>I20</t>
        </is>
      </c>
      <c r="C2709" s="0" t="inlineStr">
        <is>
          <t>I21</t>
        </is>
      </c>
      <c r="D2709" s="0" t="n">
        <v>33.5</v>
      </c>
    </row>
    <row r="2710">
      <c r="A2710" s="0" t="inlineStr">
        <is>
          <t>DEEP1M</t>
        </is>
      </c>
      <c r="B2710" s="0" t="inlineStr">
        <is>
          <t>J20</t>
        </is>
      </c>
      <c r="C2710" s="0" t="inlineStr">
        <is>
          <t>J21</t>
        </is>
      </c>
      <c r="D2710" s="0" t="n">
        <v>42</v>
      </c>
    </row>
    <row r="2711">
      <c r="A2711" s="0" t="inlineStr">
        <is>
          <t>DEEP1M</t>
        </is>
      </c>
      <c r="B2711" s="0" t="inlineStr">
        <is>
          <t>K20</t>
        </is>
      </c>
      <c r="C2711" s="0" t="inlineStr">
        <is>
          <t>K21</t>
        </is>
      </c>
      <c r="D2711" s="0" t="n">
        <v>42</v>
      </c>
    </row>
    <row r="2712">
      <c r="A2712" s="0" t="inlineStr">
        <is>
          <t>DEEP1M</t>
        </is>
      </c>
      <c r="B2712" s="0" t="inlineStr">
        <is>
          <t>L20</t>
        </is>
      </c>
      <c r="C2712" s="0" t="inlineStr">
        <is>
          <t>L21</t>
        </is>
      </c>
      <c r="D2712" s="0" t="n">
        <v>46.5</v>
      </c>
    </row>
    <row r="2713">
      <c r="A2713" s="0" t="inlineStr">
        <is>
          <t>DEEP1M</t>
        </is>
      </c>
      <c r="B2713" s="0" t="inlineStr">
        <is>
          <t>M20</t>
        </is>
      </c>
      <c r="C2713" s="0" t="inlineStr">
        <is>
          <t>M21</t>
        </is>
      </c>
      <c r="D2713" s="0" t="n">
        <v>51</v>
      </c>
    </row>
    <row r="2714">
      <c r="A2714" s="0" t="inlineStr">
        <is>
          <t>DEEP1M</t>
        </is>
      </c>
      <c r="B2714" s="0" t="inlineStr">
        <is>
          <t>N20</t>
        </is>
      </c>
      <c r="C2714" s="0" t="inlineStr">
        <is>
          <t>N21</t>
        </is>
      </c>
      <c r="D2714" s="0" t="n">
        <v>56</v>
      </c>
    </row>
    <row r="2715">
      <c r="A2715" s="0" t="inlineStr">
        <is>
          <t>DEEP1M</t>
        </is>
      </c>
      <c r="B2715" s="0" t="inlineStr">
        <is>
          <t>O20</t>
        </is>
      </c>
      <c r="C2715" s="0" t="inlineStr">
        <is>
          <t>O21</t>
        </is>
      </c>
      <c r="D2715" s="0" t="n">
        <v>60.5</v>
      </c>
    </row>
    <row r="2716">
      <c r="A2716" s="0" t="inlineStr">
        <is>
          <t>DEEP1M</t>
        </is>
      </c>
      <c r="B2716" s="0" t="inlineStr">
        <is>
          <t>P20</t>
        </is>
      </c>
      <c r="C2716" s="0" t="inlineStr">
        <is>
          <t>P21</t>
        </is>
      </c>
      <c r="D2716" s="0" t="n">
        <v>65.5</v>
      </c>
    </row>
    <row r="2717">
      <c r="A2717" s="0" t="inlineStr">
        <is>
          <t>DEEP1M</t>
        </is>
      </c>
      <c r="B2717" s="0" t="inlineStr">
        <is>
          <t>Q20</t>
        </is>
      </c>
      <c r="C2717" s="0" t="inlineStr">
        <is>
          <t>Q21</t>
        </is>
      </c>
      <c r="D2717" s="0" t="n">
        <v>71</v>
      </c>
    </row>
    <row r="2718">
      <c r="A2718" s="0" t="inlineStr">
        <is>
          <t>DEEP1M</t>
        </is>
      </c>
      <c r="B2718" s="0" t="inlineStr">
        <is>
          <t>R20</t>
        </is>
      </c>
      <c r="C2718" s="0" t="inlineStr">
        <is>
          <t>R21</t>
        </is>
      </c>
      <c r="D2718" s="0" t="n">
        <v>75.5</v>
      </c>
    </row>
    <row r="2719">
      <c r="A2719" s="0" t="inlineStr">
        <is>
          <t>DEEP1M</t>
        </is>
      </c>
      <c r="B2719" s="0" t="inlineStr">
        <is>
          <t>S20</t>
        </is>
      </c>
      <c r="C2719" s="0" t="inlineStr">
        <is>
          <t>S21</t>
        </is>
      </c>
      <c r="D2719" s="0" t="n">
        <v>81.5</v>
      </c>
    </row>
    <row r="2720">
      <c r="A2720" s="0" t="inlineStr">
        <is>
          <t>DEEP1M</t>
        </is>
      </c>
      <c r="B2720" s="0" t="inlineStr">
        <is>
          <t>T20</t>
        </is>
      </c>
      <c r="C2720" s="0" t="inlineStr">
        <is>
          <t>T21</t>
        </is>
      </c>
      <c r="D2720" s="0" t="n">
        <v>86</v>
      </c>
    </row>
    <row r="2721">
      <c r="A2721" s="0" t="inlineStr">
        <is>
          <t>DEEP1M</t>
        </is>
      </c>
      <c r="B2721" s="0" t="inlineStr">
        <is>
          <t>U20</t>
        </is>
      </c>
      <c r="C2721" s="0" t="inlineStr">
        <is>
          <t>U21</t>
        </is>
      </c>
      <c r="D2721" s="0" t="n">
        <v>90</v>
      </c>
    </row>
    <row r="2722">
      <c r="A2722" s="0" t="inlineStr">
        <is>
          <t>DEEP1M</t>
        </is>
      </c>
      <c r="B2722" s="0" t="inlineStr">
        <is>
          <t>V20</t>
        </is>
      </c>
      <c r="C2722" s="0" t="inlineStr">
        <is>
          <t>V21</t>
        </is>
      </c>
      <c r="D2722" s="0" t="n">
        <v>95</v>
      </c>
    </row>
    <row r="2723">
      <c r="A2723" s="0" t="inlineStr">
        <is>
          <t>DEEP1M</t>
        </is>
      </c>
      <c r="B2723" s="0" t="inlineStr">
        <is>
          <t>W20</t>
        </is>
      </c>
      <c r="C2723" s="0" t="inlineStr">
        <is>
          <t>W21</t>
        </is>
      </c>
      <c r="D2723" s="0" t="n">
        <v>98</v>
      </c>
    </row>
    <row r="2724">
      <c r="A2724" s="0" t="inlineStr">
        <is>
          <t>DEEP1M</t>
        </is>
      </c>
      <c r="B2724" s="0" t="inlineStr">
        <is>
          <t>X20</t>
        </is>
      </c>
      <c r="C2724" s="0" t="inlineStr">
        <is>
          <t>X21</t>
        </is>
      </c>
      <c r="D2724" s="0" t="n">
        <v>98</v>
      </c>
    </row>
    <row r="2725">
      <c r="A2725" s="0" t="inlineStr">
        <is>
          <t>DEEP1M</t>
        </is>
      </c>
      <c r="B2725" s="0" t="inlineStr">
        <is>
          <t>Y20</t>
        </is>
      </c>
      <c r="C2725" s="0" t="inlineStr">
        <is>
          <t>Y21</t>
        </is>
      </c>
      <c r="D2725" s="0" t="n">
        <v>99</v>
      </c>
    </row>
    <row r="2726">
      <c r="A2726" s="0" t="inlineStr">
        <is>
          <t>DEEP1M</t>
        </is>
      </c>
      <c r="B2726" s="0" t="inlineStr">
        <is>
          <t>E21</t>
        </is>
      </c>
      <c r="C2726" s="0" t="inlineStr">
        <is>
          <t>E22</t>
        </is>
      </c>
      <c r="D2726" s="0" t="inlineStr">
        <is>
          <t>VO size</t>
        </is>
      </c>
    </row>
    <row r="2727">
      <c r="A2727" s="0" t="inlineStr">
        <is>
          <t>DEEP1M</t>
        </is>
      </c>
      <c r="B2727" s="0" t="inlineStr">
        <is>
          <t>F21</t>
        </is>
      </c>
      <c r="C2727" s="0" t="inlineStr">
        <is>
          <t>F22</t>
        </is>
      </c>
      <c r="D2727" s="0" t="n">
        <v>802.0062</v>
      </c>
    </row>
    <row r="2728">
      <c r="A2728" s="0" t="inlineStr">
        <is>
          <t>DEEP1M</t>
        </is>
      </c>
      <c r="B2728" s="0" t="inlineStr">
        <is>
          <t>G21</t>
        </is>
      </c>
      <c r="C2728" s="0" t="inlineStr">
        <is>
          <t>G22</t>
        </is>
      </c>
      <c r="D2728" s="0" t="n">
        <v>802.0062</v>
      </c>
    </row>
    <row r="2729">
      <c r="A2729" s="0" t="inlineStr">
        <is>
          <t>DEEP1M</t>
        </is>
      </c>
      <c r="B2729" s="0" t="inlineStr">
        <is>
          <t>H21</t>
        </is>
      </c>
      <c r="C2729" s="0" t="inlineStr">
        <is>
          <t>H22</t>
        </is>
      </c>
      <c r="D2729" s="0" t="n">
        <v>802.0062</v>
      </c>
    </row>
    <row r="2730">
      <c r="A2730" s="0" t="inlineStr">
        <is>
          <t>DEEP1M</t>
        </is>
      </c>
      <c r="B2730" s="0" t="inlineStr">
        <is>
          <t>I21</t>
        </is>
      </c>
      <c r="C2730" s="0" t="inlineStr">
        <is>
          <t>I22</t>
        </is>
      </c>
      <c r="D2730" s="0" t="n">
        <v>1615.29855</v>
      </c>
    </row>
    <row r="2731">
      <c r="A2731" s="0" t="inlineStr">
        <is>
          <t>DEEP1M</t>
        </is>
      </c>
      <c r="B2731" s="0" t="inlineStr">
        <is>
          <t>J21</t>
        </is>
      </c>
      <c r="C2731" s="0" t="inlineStr">
        <is>
          <t>J22</t>
        </is>
      </c>
      <c r="D2731" s="0" t="n">
        <v>2448.14225</v>
      </c>
    </row>
    <row r="2732">
      <c r="A2732" s="0" t="inlineStr">
        <is>
          <t>DEEP1M</t>
        </is>
      </c>
      <c r="B2732" s="0" t="inlineStr">
        <is>
          <t>K21</t>
        </is>
      </c>
      <c r="C2732" s="0" t="inlineStr">
        <is>
          <t>K22</t>
        </is>
      </c>
      <c r="D2732" s="0" t="n">
        <v>2448.14225</v>
      </c>
    </row>
    <row r="2733">
      <c r="A2733" s="0" t="inlineStr">
        <is>
          <t>DEEP1M</t>
        </is>
      </c>
      <c r="B2733" s="0" t="inlineStr">
        <is>
          <t>L21</t>
        </is>
      </c>
      <c r="C2733" s="0" t="inlineStr">
        <is>
          <t>L22</t>
        </is>
      </c>
      <c r="D2733" s="0" t="n">
        <v>3303.24605</v>
      </c>
    </row>
    <row r="2734">
      <c r="A2734" s="0" t="inlineStr">
        <is>
          <t>DEEP1M</t>
        </is>
      </c>
      <c r="B2734" s="0" t="inlineStr">
        <is>
          <t>M21</t>
        </is>
      </c>
      <c r="C2734" s="0" t="inlineStr">
        <is>
          <t>M22</t>
        </is>
      </c>
      <c r="D2734" s="0" t="n">
        <v>4141.71375</v>
      </c>
    </row>
    <row r="2735">
      <c r="A2735" s="0" t="inlineStr">
        <is>
          <t>DEEP1M</t>
        </is>
      </c>
      <c r="B2735" s="0" t="inlineStr">
        <is>
          <t>N21</t>
        </is>
      </c>
      <c r="C2735" s="0" t="inlineStr">
        <is>
          <t>N22</t>
        </is>
      </c>
      <c r="D2735" s="0" t="n">
        <v>5792.28255</v>
      </c>
    </row>
    <row r="2736">
      <c r="A2736" s="0" t="inlineStr">
        <is>
          <t>DEEP1M</t>
        </is>
      </c>
      <c r="B2736" s="0" t="inlineStr">
        <is>
          <t>O21</t>
        </is>
      </c>
      <c r="C2736" s="0" t="inlineStr">
        <is>
          <t>O22</t>
        </is>
      </c>
      <c r="D2736" s="0" t="n">
        <v>7541.69535</v>
      </c>
    </row>
    <row r="2737">
      <c r="A2737" s="0" t="inlineStr">
        <is>
          <t>DEEP1M</t>
        </is>
      </c>
      <c r="B2737" s="0" t="inlineStr">
        <is>
          <t>P21</t>
        </is>
      </c>
      <c r="C2737" s="0" t="inlineStr">
        <is>
          <t>P22</t>
        </is>
      </c>
      <c r="D2737" s="0" t="n">
        <v>10100.5947</v>
      </c>
    </row>
    <row r="2738">
      <c r="A2738" s="0" t="inlineStr">
        <is>
          <t>DEEP1M</t>
        </is>
      </c>
      <c r="B2738" s="0" t="inlineStr">
        <is>
          <t>Q21</t>
        </is>
      </c>
      <c r="C2738" s="0" t="inlineStr">
        <is>
          <t>Q22</t>
        </is>
      </c>
      <c r="D2738" s="0" t="n">
        <v>15095.98385</v>
      </c>
    </row>
    <row r="2739">
      <c r="A2739" s="0" t="inlineStr">
        <is>
          <t>DEEP1M</t>
        </is>
      </c>
      <c r="B2739" s="0" t="inlineStr">
        <is>
          <t>R21</t>
        </is>
      </c>
      <c r="C2739" s="0" t="inlineStr">
        <is>
          <t>R22</t>
        </is>
      </c>
      <c r="D2739" s="0" t="n">
        <v>16753.7914</v>
      </c>
    </row>
    <row r="2740">
      <c r="A2740" s="0" t="inlineStr">
        <is>
          <t>DEEP1M</t>
        </is>
      </c>
      <c r="B2740" s="0" t="inlineStr">
        <is>
          <t>S21</t>
        </is>
      </c>
      <c r="C2740" s="0" t="inlineStr">
        <is>
          <t>S22</t>
        </is>
      </c>
      <c r="D2740" s="0" t="n">
        <v>20270.50565</v>
      </c>
    </row>
    <row r="2741">
      <c r="A2741" s="0" t="inlineStr">
        <is>
          <t>DEEP1M</t>
        </is>
      </c>
      <c r="B2741" s="0" t="inlineStr">
        <is>
          <t>T21</t>
        </is>
      </c>
      <c r="C2741" s="0" t="inlineStr">
        <is>
          <t>T22</t>
        </is>
      </c>
      <c r="D2741" s="0" t="n">
        <v>25837.7698</v>
      </c>
    </row>
    <row r="2742">
      <c r="A2742" s="0" t="inlineStr">
        <is>
          <t>DEEP1M</t>
        </is>
      </c>
      <c r="B2742" s="0" t="inlineStr">
        <is>
          <t>U21</t>
        </is>
      </c>
      <c r="C2742" s="0" t="inlineStr">
        <is>
          <t>U22</t>
        </is>
      </c>
      <c r="D2742" s="0" t="n">
        <v>32924.164</v>
      </c>
    </row>
    <row r="2743">
      <c r="A2743" s="0" t="inlineStr">
        <is>
          <t>DEEP1M</t>
        </is>
      </c>
      <c r="B2743" s="0" t="inlineStr">
        <is>
          <t>V21</t>
        </is>
      </c>
      <c r="C2743" s="0" t="inlineStr">
        <is>
          <t>V22</t>
        </is>
      </c>
      <c r="D2743" s="0" t="n">
        <v>38322.17155</v>
      </c>
    </row>
    <row r="2744">
      <c r="A2744" s="0" t="inlineStr">
        <is>
          <t>DEEP1M</t>
        </is>
      </c>
      <c r="B2744" s="0" t="inlineStr">
        <is>
          <t>W21</t>
        </is>
      </c>
      <c r="C2744" s="0" t="inlineStr">
        <is>
          <t>W22</t>
        </is>
      </c>
      <c r="D2744" s="0" t="n">
        <v>39981.33235</v>
      </c>
    </row>
    <row r="2745">
      <c r="A2745" s="0" t="inlineStr">
        <is>
          <t>DEEP1M</t>
        </is>
      </c>
      <c r="B2745" s="0" t="inlineStr">
        <is>
          <t>X21</t>
        </is>
      </c>
      <c r="C2745" s="0" t="inlineStr">
        <is>
          <t>X22</t>
        </is>
      </c>
      <c r="D2745" s="0" t="n">
        <v>39981.33235</v>
      </c>
    </row>
    <row r="2746">
      <c r="A2746" s="0" t="inlineStr">
        <is>
          <t>DEEP1M</t>
        </is>
      </c>
      <c r="B2746" s="0" t="inlineStr">
        <is>
          <t>Y21</t>
        </is>
      </c>
      <c r="C2746" s="0" t="inlineStr">
        <is>
          <t>Y22</t>
        </is>
      </c>
      <c r="D2746" s="0" t="n">
        <v>40878.05455</v>
      </c>
    </row>
    <row r="2747">
      <c r="A2747" s="0" t="inlineStr">
        <is>
          <t>DEEP1M</t>
        </is>
      </c>
      <c r="B2747" s="0" t="inlineStr">
        <is>
          <t>D22</t>
        </is>
      </c>
      <c r="C2747" s="0" t="inlineStr">
        <is>
          <t>D23</t>
        </is>
      </c>
      <c r="D2747" s="0" t="inlineStr">
        <is>
          <t>ANNProof</t>
        </is>
      </c>
    </row>
    <row r="2748">
      <c r="A2748" s="0" t="inlineStr">
        <is>
          <t>DEEP1M</t>
        </is>
      </c>
      <c r="B2748" s="0" t="inlineStr">
        <is>
          <t>E22</t>
        </is>
      </c>
      <c r="C2748" s="0" t="inlineStr">
        <is>
          <t>E23</t>
        </is>
      </c>
      <c r="D2748" s="0" t="inlineStr">
        <is>
          <t>Recall rate</t>
        </is>
      </c>
    </row>
    <row r="2749">
      <c r="A2749" s="0" t="inlineStr">
        <is>
          <t>DEEP1M</t>
        </is>
      </c>
      <c r="B2749" s="0" t="inlineStr">
        <is>
          <t>F22</t>
        </is>
      </c>
      <c r="C2749" s="0" t="inlineStr">
        <is>
          <t>F23</t>
        </is>
      </c>
      <c r="D2749" s="0" t="n">
        <v>71</v>
      </c>
    </row>
    <row r="2750">
      <c r="A2750" s="0" t="inlineStr">
        <is>
          <t>DEEP1M</t>
        </is>
      </c>
      <c r="B2750" s="0" t="inlineStr">
        <is>
          <t>G22</t>
        </is>
      </c>
      <c r="C2750" s="0" t="inlineStr">
        <is>
          <t>G23</t>
        </is>
      </c>
      <c r="D2750" s="0" t="n">
        <v>71</v>
      </c>
    </row>
    <row r="2751">
      <c r="A2751" s="0" t="inlineStr">
        <is>
          <t>DEEP1M</t>
        </is>
      </c>
      <c r="B2751" s="0" t="inlineStr">
        <is>
          <t>H22</t>
        </is>
      </c>
      <c r="C2751" s="0" t="inlineStr">
        <is>
          <t>H23</t>
        </is>
      </c>
      <c r="D2751" s="0" t="n">
        <v>71</v>
      </c>
    </row>
    <row r="2752">
      <c r="A2752" s="0" t="inlineStr">
        <is>
          <t>DEEP1M</t>
        </is>
      </c>
      <c r="B2752" s="0" t="inlineStr">
        <is>
          <t>I22</t>
        </is>
      </c>
      <c r="C2752" s="0" t="inlineStr">
        <is>
          <t>I23</t>
        </is>
      </c>
      <c r="D2752" s="0" t="n">
        <v>71</v>
      </c>
    </row>
    <row r="2753">
      <c r="A2753" s="0" t="inlineStr">
        <is>
          <t>DEEP1M</t>
        </is>
      </c>
      <c r="B2753" s="0" t="inlineStr">
        <is>
          <t>J22</t>
        </is>
      </c>
      <c r="C2753" s="0" t="inlineStr">
        <is>
          <t>J23</t>
        </is>
      </c>
      <c r="D2753" s="0" t="n">
        <v>71</v>
      </c>
    </row>
    <row r="2754">
      <c r="A2754" s="0" t="inlineStr">
        <is>
          <t>DEEP1M</t>
        </is>
      </c>
      <c r="B2754" s="0" t="inlineStr">
        <is>
          <t>K22</t>
        </is>
      </c>
      <c r="C2754" s="0" t="inlineStr">
        <is>
          <t>K23</t>
        </is>
      </c>
      <c r="D2754" s="0" t="n">
        <v>71</v>
      </c>
    </row>
    <row r="2755">
      <c r="A2755" s="0" t="inlineStr">
        <is>
          <t>DEEP1M</t>
        </is>
      </c>
      <c r="B2755" s="0" t="inlineStr">
        <is>
          <t>L22</t>
        </is>
      </c>
      <c r="C2755" s="0" t="inlineStr">
        <is>
          <t>L23</t>
        </is>
      </c>
      <c r="D2755" s="0" t="n">
        <v>71</v>
      </c>
    </row>
    <row r="2756">
      <c r="A2756" s="0" t="inlineStr">
        <is>
          <t>DEEP1M</t>
        </is>
      </c>
      <c r="B2756" s="0" t="inlineStr">
        <is>
          <t>M22</t>
        </is>
      </c>
      <c r="C2756" s="0" t="inlineStr">
        <is>
          <t>M23</t>
        </is>
      </c>
      <c r="D2756" s="0" t="n">
        <v>71</v>
      </c>
    </row>
    <row r="2757">
      <c r="A2757" s="0" t="inlineStr">
        <is>
          <t>DEEP1M</t>
        </is>
      </c>
      <c r="B2757" s="0" t="inlineStr">
        <is>
          <t>N22</t>
        </is>
      </c>
      <c r="C2757" s="0" t="inlineStr">
        <is>
          <t>N23</t>
        </is>
      </c>
      <c r="D2757" s="0" t="n">
        <v>71</v>
      </c>
    </row>
    <row r="2758">
      <c r="A2758" s="0" t="inlineStr">
        <is>
          <t>DEEP1M</t>
        </is>
      </c>
      <c r="B2758" s="0" t="inlineStr">
        <is>
          <t>O22</t>
        </is>
      </c>
      <c r="C2758" s="0" t="inlineStr">
        <is>
          <t>O23</t>
        </is>
      </c>
      <c r="D2758" s="0" t="n">
        <v>71</v>
      </c>
    </row>
    <row r="2759">
      <c r="A2759" s="0" t="inlineStr">
        <is>
          <t>DEEP1M</t>
        </is>
      </c>
      <c r="B2759" s="0" t="inlineStr">
        <is>
          <t>P22</t>
        </is>
      </c>
      <c r="C2759" s="0" t="inlineStr">
        <is>
          <t>P23</t>
        </is>
      </c>
      <c r="D2759" s="0" t="n">
        <v>71</v>
      </c>
    </row>
    <row r="2760">
      <c r="A2760" s="0" t="inlineStr">
        <is>
          <t>DEEP1M</t>
        </is>
      </c>
      <c r="B2760" s="0" t="inlineStr">
        <is>
          <t>Q22</t>
        </is>
      </c>
      <c r="C2760" s="0" t="inlineStr">
        <is>
          <t>Q23</t>
        </is>
      </c>
      <c r="D2760" s="0" t="n">
        <v>71</v>
      </c>
    </row>
    <row r="2761">
      <c r="A2761" s="0" t="inlineStr">
        <is>
          <t>DEEP1M</t>
        </is>
      </c>
      <c r="B2761" s="0" t="inlineStr">
        <is>
          <t>R22</t>
        </is>
      </c>
      <c r="C2761" s="0" t="inlineStr">
        <is>
          <t>R23</t>
        </is>
      </c>
      <c r="D2761" s="0" t="n">
        <v>78</v>
      </c>
    </row>
    <row r="2762">
      <c r="A2762" s="0" t="inlineStr">
        <is>
          <t>DEEP1M</t>
        </is>
      </c>
      <c r="B2762" s="0" t="inlineStr">
        <is>
          <t>S22</t>
        </is>
      </c>
      <c r="C2762" s="0" t="inlineStr">
        <is>
          <t>S23</t>
        </is>
      </c>
      <c r="D2762" s="0" t="n">
        <v>82.5</v>
      </c>
    </row>
    <row r="2763">
      <c r="A2763" s="0" t="inlineStr">
        <is>
          <t>DEEP1M</t>
        </is>
      </c>
      <c r="B2763" s="0" t="inlineStr">
        <is>
          <t>T22</t>
        </is>
      </c>
      <c r="C2763" s="0" t="inlineStr">
        <is>
          <t>T23</t>
        </is>
      </c>
      <c r="D2763" s="0" t="n">
        <v>86.5</v>
      </c>
    </row>
    <row r="2764">
      <c r="A2764" s="0" t="inlineStr">
        <is>
          <t>DEEP1M</t>
        </is>
      </c>
      <c r="B2764" s="0" t="inlineStr">
        <is>
          <t>U22</t>
        </is>
      </c>
      <c r="C2764" s="0" t="inlineStr">
        <is>
          <t>U23</t>
        </is>
      </c>
      <c r="D2764" s="0" t="n">
        <v>94.5</v>
      </c>
    </row>
    <row r="2765">
      <c r="A2765" s="0" t="inlineStr">
        <is>
          <t>DEEP1M</t>
        </is>
      </c>
      <c r="B2765" s="0" t="inlineStr">
        <is>
          <t>V22</t>
        </is>
      </c>
      <c r="C2765" s="0" t="inlineStr">
        <is>
          <t>V23</t>
        </is>
      </c>
      <c r="D2765" s="0" t="n">
        <v>97.5</v>
      </c>
    </row>
    <row r="2766">
      <c r="A2766" s="0" t="inlineStr">
        <is>
          <t>DEEP1M</t>
        </is>
      </c>
      <c r="B2766" s="0" t="inlineStr">
        <is>
          <t>W22</t>
        </is>
      </c>
      <c r="C2766" s="0" t="inlineStr">
        <is>
          <t>W23</t>
        </is>
      </c>
      <c r="D2766" s="0" t="n">
        <v>97.5</v>
      </c>
    </row>
    <row r="2767">
      <c r="A2767" s="0" t="inlineStr">
        <is>
          <t>DEEP1M</t>
        </is>
      </c>
      <c r="B2767" s="0" t="inlineStr">
        <is>
          <t>X22</t>
        </is>
      </c>
      <c r="C2767" s="0" t="inlineStr">
        <is>
          <t>X23</t>
        </is>
      </c>
      <c r="D2767" s="0" t="n">
        <v>99.5</v>
      </c>
    </row>
    <row r="2768">
      <c r="A2768" s="0" t="inlineStr">
        <is>
          <t>DEEP1M</t>
        </is>
      </c>
      <c r="B2768" s="0" t="inlineStr">
        <is>
          <t>Y22</t>
        </is>
      </c>
      <c r="C2768" s="0" t="inlineStr">
        <is>
          <t>Y23</t>
        </is>
      </c>
      <c r="D2768" s="0" t="n">
        <v>99.5</v>
      </c>
    </row>
    <row r="2769">
      <c r="A2769" s="0" t="inlineStr">
        <is>
          <t>DEEP1M</t>
        </is>
      </c>
      <c r="B2769" s="0" t="inlineStr">
        <is>
          <t>E23</t>
        </is>
      </c>
      <c r="C2769" s="0" t="inlineStr">
        <is>
          <t>E24</t>
        </is>
      </c>
      <c r="D2769" s="0" t="inlineStr">
        <is>
          <t>VO size</t>
        </is>
      </c>
    </row>
    <row r="2770">
      <c r="A2770" s="0" t="inlineStr">
        <is>
          <t>DEEP1M</t>
        </is>
      </c>
      <c r="B2770" s="0" t="inlineStr">
        <is>
          <t>F23</t>
        </is>
      </c>
      <c r="C2770" s="0" t="inlineStr">
        <is>
          <t>F24</t>
        </is>
      </c>
      <c r="D2770" s="0" t="n">
        <v>386.5978</v>
      </c>
    </row>
    <row r="2771">
      <c r="A2771" s="0" t="inlineStr">
        <is>
          <t>DEEP1M</t>
        </is>
      </c>
      <c r="B2771" s="0" t="inlineStr">
        <is>
          <t>G23</t>
        </is>
      </c>
      <c r="C2771" s="0" t="inlineStr">
        <is>
          <t>G24</t>
        </is>
      </c>
      <c r="D2771" s="0" t="n">
        <v>386.5978</v>
      </c>
    </row>
    <row r="2772">
      <c r="A2772" s="0" t="inlineStr">
        <is>
          <t>DEEP1M</t>
        </is>
      </c>
      <c r="B2772" s="0" t="inlineStr">
        <is>
          <t>H23</t>
        </is>
      </c>
      <c r="C2772" s="0" t="inlineStr">
        <is>
          <t>H24</t>
        </is>
      </c>
      <c r="D2772" s="0" t="n">
        <v>386.5978</v>
      </c>
    </row>
    <row r="2773">
      <c r="A2773" s="0" t="inlineStr">
        <is>
          <t>DEEP1M</t>
        </is>
      </c>
      <c r="B2773" s="0" t="inlineStr">
        <is>
          <t>I23</t>
        </is>
      </c>
      <c r="C2773" s="0" t="inlineStr">
        <is>
          <t>I24</t>
        </is>
      </c>
      <c r="D2773" s="0" t="n">
        <v>386.5978</v>
      </c>
    </row>
    <row r="2774">
      <c r="A2774" s="0" t="inlineStr">
        <is>
          <t>DEEP1M</t>
        </is>
      </c>
      <c r="B2774" s="0" t="inlineStr">
        <is>
          <t>J23</t>
        </is>
      </c>
      <c r="C2774" s="0" t="inlineStr">
        <is>
          <t>J24</t>
        </is>
      </c>
      <c r="D2774" s="0" t="n">
        <v>386.5978</v>
      </c>
    </row>
    <row r="2775">
      <c r="A2775" s="0" t="inlineStr">
        <is>
          <t>DEEP1M</t>
        </is>
      </c>
      <c r="B2775" s="0" t="inlineStr">
        <is>
          <t>K23</t>
        </is>
      </c>
      <c r="C2775" s="0" t="inlineStr">
        <is>
          <t>K24</t>
        </is>
      </c>
      <c r="D2775" s="0" t="n">
        <v>386.5978</v>
      </c>
    </row>
    <row r="2776">
      <c r="A2776" s="0" t="inlineStr">
        <is>
          <t>DEEP1M</t>
        </is>
      </c>
      <c r="B2776" s="0" t="inlineStr">
        <is>
          <t>L23</t>
        </is>
      </c>
      <c r="C2776" s="0" t="inlineStr">
        <is>
          <t>L24</t>
        </is>
      </c>
      <c r="D2776" s="0" t="n">
        <v>386.5978</v>
      </c>
    </row>
    <row r="2777">
      <c r="A2777" s="0" t="inlineStr">
        <is>
          <t>DEEP1M</t>
        </is>
      </c>
      <c r="B2777" s="0" t="inlineStr">
        <is>
          <t>M23</t>
        </is>
      </c>
      <c r="C2777" s="0" t="inlineStr">
        <is>
          <t>M24</t>
        </is>
      </c>
      <c r="D2777" s="0" t="n">
        <v>386.5978</v>
      </c>
    </row>
    <row r="2778">
      <c r="A2778" s="0" t="inlineStr">
        <is>
          <t>DEEP1M</t>
        </is>
      </c>
      <c r="B2778" s="0" t="inlineStr">
        <is>
          <t>N23</t>
        </is>
      </c>
      <c r="C2778" s="0" t="inlineStr">
        <is>
          <t>N24</t>
        </is>
      </c>
      <c r="D2778" s="0" t="n">
        <v>386.5978</v>
      </c>
    </row>
    <row r="2779">
      <c r="A2779" s="0" t="inlineStr">
        <is>
          <t>DEEP1M</t>
        </is>
      </c>
      <c r="B2779" s="0" t="inlineStr">
        <is>
          <t>O23</t>
        </is>
      </c>
      <c r="C2779" s="0" t="inlineStr">
        <is>
          <t>O24</t>
        </is>
      </c>
      <c r="D2779" s="0" t="n">
        <v>386.5978</v>
      </c>
    </row>
    <row r="2780">
      <c r="A2780" s="0" t="inlineStr">
        <is>
          <t>DEEP1M</t>
        </is>
      </c>
      <c r="B2780" s="0" t="inlineStr">
        <is>
          <t>P23</t>
        </is>
      </c>
      <c r="C2780" s="0" t="inlineStr">
        <is>
          <t>P24</t>
        </is>
      </c>
      <c r="D2780" s="0" t="n">
        <v>386.5978</v>
      </c>
    </row>
    <row r="2781">
      <c r="A2781" s="0" t="inlineStr">
        <is>
          <t>DEEP1M</t>
        </is>
      </c>
      <c r="B2781" s="0" t="inlineStr">
        <is>
          <t>Q23</t>
        </is>
      </c>
      <c r="C2781" s="0" t="inlineStr">
        <is>
          <t>Q24</t>
        </is>
      </c>
      <c r="D2781" s="0" t="n">
        <v>386.5978</v>
      </c>
    </row>
    <row r="2782">
      <c r="A2782" s="0" t="inlineStr">
        <is>
          <t>DEEP1M</t>
        </is>
      </c>
      <c r="B2782" s="0" t="inlineStr">
        <is>
          <t>R23</t>
        </is>
      </c>
      <c r="C2782" s="0" t="inlineStr">
        <is>
          <t>R24</t>
        </is>
      </c>
      <c r="D2782" s="0" t="n">
        <v>491.0184</v>
      </c>
    </row>
    <row r="2783">
      <c r="A2783" s="0" t="inlineStr">
        <is>
          <t>DEEP1M</t>
        </is>
      </c>
      <c r="B2783" s="0" t="inlineStr">
        <is>
          <t>S23</t>
        </is>
      </c>
      <c r="C2783" s="0" t="inlineStr">
        <is>
          <t>S24</t>
        </is>
      </c>
      <c r="D2783" s="0" t="n">
        <v>554.1006</v>
      </c>
    </row>
    <row r="2784">
      <c r="A2784" s="0" t="inlineStr">
        <is>
          <t>DEEP1M</t>
        </is>
      </c>
      <c r="B2784" s="0" t="inlineStr">
        <is>
          <t>T23</t>
        </is>
      </c>
      <c r="C2784" s="0" t="inlineStr">
        <is>
          <t>T24</t>
        </is>
      </c>
      <c r="D2784" s="0" t="n">
        <v>615.9464</v>
      </c>
    </row>
    <row r="2785">
      <c r="A2785" s="0" t="inlineStr">
        <is>
          <t>DEEP1M</t>
        </is>
      </c>
      <c r="B2785" s="0" t="inlineStr">
        <is>
          <t>U23</t>
        </is>
      </c>
      <c r="C2785" s="0" t="inlineStr">
        <is>
          <t>U24</t>
        </is>
      </c>
      <c r="D2785" s="0" t="n">
        <v>944.128</v>
      </c>
    </row>
    <row r="2786">
      <c r="A2786" s="0" t="inlineStr">
        <is>
          <t>DEEP1M</t>
        </is>
      </c>
      <c r="B2786" s="0" t="inlineStr">
        <is>
          <t>V23</t>
        </is>
      </c>
      <c r="C2786" s="0" t="inlineStr">
        <is>
          <t>V24</t>
        </is>
      </c>
      <c r="D2786" s="0" t="n">
        <v>1154.7938</v>
      </c>
    </row>
    <row r="2787">
      <c r="A2787" s="0" t="inlineStr">
        <is>
          <t>DEEP1M</t>
        </is>
      </c>
      <c r="B2787" s="0" t="inlineStr">
        <is>
          <t>W23</t>
        </is>
      </c>
      <c r="C2787" s="0" t="inlineStr">
        <is>
          <t>W24</t>
        </is>
      </c>
      <c r="D2787" s="0" t="n">
        <v>1154.7938</v>
      </c>
    </row>
    <row r="2788">
      <c r="A2788" s="0" t="inlineStr">
        <is>
          <t>DEEP1M</t>
        </is>
      </c>
      <c r="B2788" s="0" t="inlineStr">
        <is>
          <t>X23</t>
        </is>
      </c>
      <c r="C2788" s="0" t="inlineStr">
        <is>
          <t>X24</t>
        </is>
      </c>
      <c r="D2788" s="0" t="n">
        <v>1538.7078</v>
      </c>
    </row>
    <row r="2789">
      <c r="A2789" s="0" t="inlineStr">
        <is>
          <t>DEEP1M</t>
        </is>
      </c>
      <c r="B2789" s="0" t="inlineStr">
        <is>
          <t>Y23</t>
        </is>
      </c>
      <c r="C2789" s="0" t="inlineStr">
        <is>
          <t>Y24</t>
        </is>
      </c>
      <c r="D2789" s="0" t="n">
        <v>1538.7078</v>
      </c>
    </row>
    <row r="2790">
      <c r="A2790" s="0" t="inlineStr">
        <is>
          <t>DEEP1M</t>
        </is>
      </c>
      <c r="B2790" s="0" t="inlineStr">
        <is>
          <t>D24</t>
        </is>
      </c>
      <c r="C2790" s="0" t="inlineStr">
        <is>
          <t>D25</t>
        </is>
      </c>
      <c r="D2790" s="0" t="inlineStr">
        <is>
          <t>Ours</t>
        </is>
      </c>
    </row>
    <row r="2791">
      <c r="A2791" s="0" t="inlineStr">
        <is>
          <t>DEEP1M</t>
        </is>
      </c>
      <c r="B2791" s="0" t="inlineStr">
        <is>
          <t>E24</t>
        </is>
      </c>
      <c r="C2791" s="0" t="inlineStr">
        <is>
          <t>E25</t>
        </is>
      </c>
      <c r="D2791" s="0" t="inlineStr">
        <is>
          <t>Recall rate</t>
        </is>
      </c>
    </row>
    <row r="2792">
      <c r="A2792" s="0" t="inlineStr">
        <is>
          <t>DEEP1M</t>
        </is>
      </c>
      <c r="B2792" s="0" t="inlineStr">
        <is>
          <t>F24</t>
        </is>
      </c>
      <c r="C2792" s="0" t="inlineStr">
        <is>
          <t>F25</t>
        </is>
      </c>
      <c r="D2792" s="0" t="n">
        <v>18</v>
      </c>
    </row>
    <row r="2793">
      <c r="A2793" s="0" t="inlineStr">
        <is>
          <t>DEEP1M</t>
        </is>
      </c>
      <c r="B2793" s="0" t="inlineStr">
        <is>
          <t>G24</t>
        </is>
      </c>
      <c r="C2793" s="0" t="inlineStr">
        <is>
          <t>G25</t>
        </is>
      </c>
      <c r="D2793" s="0" t="n">
        <v>26.5</v>
      </c>
    </row>
    <row r="2794">
      <c r="A2794" s="0" t="inlineStr">
        <is>
          <t>DEEP1M</t>
        </is>
      </c>
      <c r="B2794" s="0" t="inlineStr">
        <is>
          <t>H24</t>
        </is>
      </c>
      <c r="C2794" s="0" t="inlineStr">
        <is>
          <t>H25</t>
        </is>
      </c>
      <c r="D2794" s="0" t="n">
        <v>26.5</v>
      </c>
    </row>
    <row r="2795">
      <c r="A2795" s="0" t="inlineStr">
        <is>
          <t>DEEP1M</t>
        </is>
      </c>
      <c r="B2795" s="0" t="inlineStr">
        <is>
          <t>I24</t>
        </is>
      </c>
      <c r="C2795" s="0" t="inlineStr">
        <is>
          <t>I25</t>
        </is>
      </c>
      <c r="D2795" s="0" t="n">
        <v>34</v>
      </c>
    </row>
    <row r="2796">
      <c r="A2796" s="0" t="inlineStr">
        <is>
          <t>DEEP1M</t>
        </is>
      </c>
      <c r="B2796" s="0" t="inlineStr">
        <is>
          <t>J24</t>
        </is>
      </c>
      <c r="C2796" s="0" t="inlineStr">
        <is>
          <t>J25</t>
        </is>
      </c>
      <c r="D2796" s="0" t="n">
        <v>39</v>
      </c>
    </row>
    <row r="2797">
      <c r="A2797" s="0" t="inlineStr">
        <is>
          <t>DEEP1M</t>
        </is>
      </c>
      <c r="B2797" s="0" t="inlineStr">
        <is>
          <t>K24</t>
        </is>
      </c>
      <c r="C2797" s="0" t="inlineStr">
        <is>
          <t>K25</t>
        </is>
      </c>
      <c r="D2797" s="0" t="n">
        <v>44</v>
      </c>
    </row>
    <row r="2798">
      <c r="A2798" s="0" t="inlineStr">
        <is>
          <t>DEEP1M</t>
        </is>
      </c>
      <c r="B2798" s="0" t="inlineStr">
        <is>
          <t>L24</t>
        </is>
      </c>
      <c r="C2798" s="0" t="inlineStr">
        <is>
          <t>L25</t>
        </is>
      </c>
      <c r="D2798" s="0" t="n">
        <v>50</v>
      </c>
    </row>
    <row r="2799">
      <c r="A2799" s="0" t="inlineStr">
        <is>
          <t>DEEP1M</t>
        </is>
      </c>
      <c r="B2799" s="0" t="inlineStr">
        <is>
          <t>M24</t>
        </is>
      </c>
      <c r="C2799" s="0" t="inlineStr">
        <is>
          <t>M25</t>
        </is>
      </c>
      <c r="D2799" s="0" t="n">
        <v>50</v>
      </c>
    </row>
    <row r="2800">
      <c r="A2800" s="0" t="inlineStr">
        <is>
          <t>DEEP1M</t>
        </is>
      </c>
      <c r="B2800" s="0" t="inlineStr">
        <is>
          <t>N24</t>
        </is>
      </c>
      <c r="C2800" s="0" t="inlineStr">
        <is>
          <t>N25</t>
        </is>
      </c>
      <c r="D2800" s="0" t="n">
        <v>58</v>
      </c>
    </row>
    <row r="2801">
      <c r="A2801" s="0" t="inlineStr">
        <is>
          <t>DEEP1M</t>
        </is>
      </c>
      <c r="B2801" s="0" t="inlineStr">
        <is>
          <t>O24</t>
        </is>
      </c>
      <c r="C2801" s="0" t="inlineStr">
        <is>
          <t>O25</t>
        </is>
      </c>
      <c r="D2801" s="0" t="n">
        <v>61.5</v>
      </c>
    </row>
    <row r="2802">
      <c r="A2802" s="0" t="inlineStr">
        <is>
          <t>DEEP1M</t>
        </is>
      </c>
      <c r="B2802" s="0" t="inlineStr">
        <is>
          <t>P24</t>
        </is>
      </c>
      <c r="C2802" s="0" t="inlineStr">
        <is>
          <t>P25</t>
        </is>
      </c>
      <c r="D2802" s="0" t="n">
        <v>73.5</v>
      </c>
    </row>
    <row r="2803">
      <c r="A2803" s="0" t="inlineStr">
        <is>
          <t>DEEP1M</t>
        </is>
      </c>
      <c r="B2803" s="0" t="inlineStr">
        <is>
          <t>Q24</t>
        </is>
      </c>
      <c r="C2803" s="0" t="inlineStr">
        <is>
          <t>Q25</t>
        </is>
      </c>
      <c r="D2803" s="0" t="n">
        <v>73.5</v>
      </c>
    </row>
    <row r="2804">
      <c r="A2804" s="0" t="inlineStr">
        <is>
          <t>DEEP1M</t>
        </is>
      </c>
      <c r="B2804" s="0" t="inlineStr">
        <is>
          <t>R24</t>
        </is>
      </c>
      <c r="C2804" s="0" t="inlineStr">
        <is>
          <t>R25</t>
        </is>
      </c>
      <c r="D2804" s="0" t="n">
        <v>79</v>
      </c>
    </row>
    <row r="2805">
      <c r="A2805" s="0" t="inlineStr">
        <is>
          <t>DEEP1M</t>
        </is>
      </c>
      <c r="B2805" s="0" t="inlineStr">
        <is>
          <t>S24</t>
        </is>
      </c>
      <c r="C2805" s="0" t="inlineStr">
        <is>
          <t>S25</t>
        </is>
      </c>
      <c r="D2805" s="0" t="n">
        <v>86.5</v>
      </c>
    </row>
    <row r="2806">
      <c r="A2806" s="0" t="inlineStr">
        <is>
          <t>DEEP1M</t>
        </is>
      </c>
      <c r="B2806" s="0" t="inlineStr">
        <is>
          <t>T24</t>
        </is>
      </c>
      <c r="C2806" s="0" t="inlineStr">
        <is>
          <t>T25</t>
        </is>
      </c>
      <c r="D2806" s="0" t="n">
        <v>86.5</v>
      </c>
    </row>
    <row r="2807">
      <c r="A2807" s="0" t="inlineStr">
        <is>
          <t>DEEP1M</t>
        </is>
      </c>
      <c r="B2807" s="0" t="inlineStr">
        <is>
          <t>U24</t>
        </is>
      </c>
      <c r="C2807" s="0" t="inlineStr">
        <is>
          <t>U25</t>
        </is>
      </c>
      <c r="D2807" s="0" t="n">
        <v>94.5</v>
      </c>
    </row>
    <row r="2808">
      <c r="A2808" s="0" t="inlineStr">
        <is>
          <t>DEEP1M</t>
        </is>
      </c>
      <c r="B2808" s="0" t="inlineStr">
        <is>
          <t>V24</t>
        </is>
      </c>
      <c r="C2808" s="0" t="inlineStr">
        <is>
          <t>V25</t>
        </is>
      </c>
      <c r="D2808" s="0" t="n">
        <v>97.5</v>
      </c>
    </row>
    <row r="2809">
      <c r="A2809" s="0" t="inlineStr">
        <is>
          <t>DEEP1M</t>
        </is>
      </c>
      <c r="B2809" s="0" t="inlineStr">
        <is>
          <t>W24</t>
        </is>
      </c>
      <c r="C2809" s="0" t="inlineStr">
        <is>
          <t>W25</t>
        </is>
      </c>
      <c r="D2809" s="0" t="n">
        <v>97.5</v>
      </c>
    </row>
    <row r="2810">
      <c r="A2810" s="0" t="inlineStr">
        <is>
          <t>DEEP1M</t>
        </is>
      </c>
      <c r="B2810" s="0" t="inlineStr">
        <is>
          <t>X24</t>
        </is>
      </c>
      <c r="C2810" s="0" t="inlineStr">
        <is>
          <t>X25</t>
        </is>
      </c>
      <c r="D2810" s="0" t="n">
        <v>98.5</v>
      </c>
    </row>
    <row r="2811">
      <c r="A2811" s="0" t="inlineStr">
        <is>
          <t>DEEP1M</t>
        </is>
      </c>
      <c r="B2811" s="0" t="inlineStr">
        <is>
          <t>Y24</t>
        </is>
      </c>
      <c r="C2811" s="0" t="inlineStr">
        <is>
          <t>Y25</t>
        </is>
      </c>
      <c r="D2811" s="0" t="n">
        <v>99</v>
      </c>
    </row>
    <row r="2812">
      <c r="A2812" s="0" t="inlineStr">
        <is>
          <t>DEEP1M</t>
        </is>
      </c>
      <c r="B2812" s="0" t="inlineStr">
        <is>
          <t>E25</t>
        </is>
      </c>
      <c r="C2812" s="0" t="inlineStr">
        <is>
          <t>E26</t>
        </is>
      </c>
      <c r="D2812" s="0" t="inlineStr">
        <is>
          <t>VO size</t>
        </is>
      </c>
    </row>
    <row r="2813">
      <c r="A2813" s="0" t="inlineStr">
        <is>
          <t>DEEP1M</t>
        </is>
      </c>
      <c r="B2813" s="0" t="inlineStr">
        <is>
          <t>F25</t>
        </is>
      </c>
      <c r="C2813" s="0" t="inlineStr">
        <is>
          <t>F26</t>
        </is>
      </c>
      <c r="D2813" s="0" t="n">
        <v>56.6806</v>
      </c>
    </row>
    <row r="2814">
      <c r="A2814" s="0" t="inlineStr">
        <is>
          <t>DEEP1M</t>
        </is>
      </c>
      <c r="B2814" s="0" t="inlineStr">
        <is>
          <t>G25</t>
        </is>
      </c>
      <c r="C2814" s="0" t="inlineStr">
        <is>
          <t>G26</t>
        </is>
      </c>
      <c r="D2814" s="0" t="n">
        <v>62.4652</v>
      </c>
    </row>
    <row r="2815">
      <c r="A2815" s="0" t="inlineStr">
        <is>
          <t>DEEP1M</t>
        </is>
      </c>
      <c r="B2815" s="0" t="inlineStr">
        <is>
          <t>H25</t>
        </is>
      </c>
      <c r="C2815" s="0" t="inlineStr">
        <is>
          <t>H26</t>
        </is>
      </c>
      <c r="D2815" s="0" t="n">
        <v>62.4652</v>
      </c>
    </row>
    <row r="2816">
      <c r="A2816" s="0" t="inlineStr">
        <is>
          <t>DEEP1M</t>
        </is>
      </c>
      <c r="B2816" s="0" t="inlineStr">
        <is>
          <t>I25</t>
        </is>
      </c>
      <c r="C2816" s="0" t="inlineStr">
        <is>
          <t>I26</t>
        </is>
      </c>
      <c r="D2816" s="0" t="n">
        <v>75.9034</v>
      </c>
    </row>
    <row r="2817">
      <c r="A2817" s="0" t="inlineStr">
        <is>
          <t>DEEP1M</t>
        </is>
      </c>
      <c r="B2817" s="0" t="inlineStr">
        <is>
          <t>J25</t>
        </is>
      </c>
      <c r="C2817" s="0" t="inlineStr">
        <is>
          <t>J26</t>
        </is>
      </c>
      <c r="D2817" s="0" t="n">
        <v>81.7736</v>
      </c>
    </row>
    <row r="2818">
      <c r="A2818" s="0" t="inlineStr">
        <is>
          <t>DEEP1M</t>
        </is>
      </c>
      <c r="B2818" s="0" t="inlineStr">
        <is>
          <t>K25</t>
        </is>
      </c>
      <c r="C2818" s="0" t="inlineStr">
        <is>
          <t>K26</t>
        </is>
      </c>
      <c r="D2818" s="0" t="n">
        <v>88.0352</v>
      </c>
    </row>
    <row r="2819">
      <c r="A2819" s="0" t="inlineStr">
        <is>
          <t>DEEP1M</t>
        </is>
      </c>
      <c r="B2819" s="0" t="inlineStr">
        <is>
          <t>L25</t>
        </is>
      </c>
      <c r="C2819" s="0" t="inlineStr">
        <is>
          <t>L26</t>
        </is>
      </c>
      <c r="D2819" s="0" t="n">
        <v>93.8396</v>
      </c>
    </row>
    <row r="2820">
      <c r="A2820" s="0" t="inlineStr">
        <is>
          <t>DEEP1M</t>
        </is>
      </c>
      <c r="B2820" s="0" t="inlineStr">
        <is>
          <t>M25</t>
        </is>
      </c>
      <c r="C2820" s="0" t="inlineStr">
        <is>
          <t>M26</t>
        </is>
      </c>
      <c r="D2820" s="0" t="n">
        <v>93.8396</v>
      </c>
    </row>
    <row r="2821">
      <c r="A2821" s="0" t="inlineStr">
        <is>
          <t>DEEP1M</t>
        </is>
      </c>
      <c r="B2821" s="0" t="inlineStr">
        <is>
          <t>N25</t>
        </is>
      </c>
      <c r="C2821" s="0" t="inlineStr">
        <is>
          <t>N26</t>
        </is>
      </c>
      <c r="D2821" s="0" t="n">
        <v>103.7146</v>
      </c>
    </row>
    <row r="2822">
      <c r="A2822" s="0" t="inlineStr">
        <is>
          <t>DEEP1M</t>
        </is>
      </c>
      <c r="B2822" s="0" t="inlineStr">
        <is>
          <t>O25</t>
        </is>
      </c>
      <c r="C2822" s="0" t="inlineStr">
        <is>
          <t>O26</t>
        </is>
      </c>
      <c r="D2822" s="0" t="n">
        <v>109.9156</v>
      </c>
    </row>
    <row r="2823">
      <c r="A2823" s="0" t="inlineStr">
        <is>
          <t>DEEP1M</t>
        </is>
      </c>
      <c r="B2823" s="0" t="inlineStr">
        <is>
          <t>P25</t>
        </is>
      </c>
      <c r="C2823" s="0" t="inlineStr">
        <is>
          <t>P26</t>
        </is>
      </c>
      <c r="D2823" s="0" t="n">
        <v>129.522</v>
      </c>
    </row>
    <row r="2824">
      <c r="A2824" s="0" t="inlineStr">
        <is>
          <t>DEEP1M</t>
        </is>
      </c>
      <c r="B2824" s="0" t="inlineStr">
        <is>
          <t>Q25</t>
        </is>
      </c>
      <c r="C2824" s="0" t="inlineStr">
        <is>
          <t>Q26</t>
        </is>
      </c>
      <c r="D2824" s="0" t="n">
        <v>129.522</v>
      </c>
    </row>
    <row r="2825">
      <c r="A2825" s="0" t="inlineStr">
        <is>
          <t>DEEP1M</t>
        </is>
      </c>
      <c r="B2825" s="0" t="inlineStr">
        <is>
          <t>R25</t>
        </is>
      </c>
      <c r="C2825" s="0" t="inlineStr">
        <is>
          <t>R26</t>
        </is>
      </c>
      <c r="D2825" s="0" t="n">
        <v>147.6776</v>
      </c>
    </row>
    <row r="2826">
      <c r="A2826" s="0" t="inlineStr">
        <is>
          <t>DEEP1M</t>
        </is>
      </c>
      <c r="B2826" s="0" t="inlineStr">
        <is>
          <t>S25</t>
        </is>
      </c>
      <c r="C2826" s="0" t="inlineStr">
        <is>
          <t>S26</t>
        </is>
      </c>
      <c r="D2826" s="0" t="n">
        <v>179.525</v>
      </c>
    </row>
    <row r="2827">
      <c r="A2827" s="0" t="inlineStr">
        <is>
          <t>DEEP1M</t>
        </is>
      </c>
      <c r="B2827" s="0" t="inlineStr">
        <is>
          <t>T25</t>
        </is>
      </c>
      <c r="C2827" s="0" t="inlineStr">
        <is>
          <t>T26</t>
        </is>
      </c>
      <c r="D2827" s="0" t="n">
        <v>179.525</v>
      </c>
    </row>
    <row r="2828">
      <c r="A2828" s="0" t="inlineStr">
        <is>
          <t>DEEP1M</t>
        </is>
      </c>
      <c r="B2828" s="0" t="inlineStr">
        <is>
          <t>U25</t>
        </is>
      </c>
      <c r="C2828" s="0" t="inlineStr">
        <is>
          <t>U26</t>
        </is>
      </c>
      <c r="D2828" s="0" t="n">
        <v>228.1338</v>
      </c>
    </row>
    <row r="2829">
      <c r="A2829" s="0" t="inlineStr">
        <is>
          <t>DEEP1M</t>
        </is>
      </c>
      <c r="B2829" s="0" t="inlineStr">
        <is>
          <t>V25</t>
        </is>
      </c>
      <c r="C2829" s="0" t="inlineStr">
        <is>
          <t>V26</t>
        </is>
      </c>
      <c r="D2829" s="0" t="n">
        <v>271.0874</v>
      </c>
    </row>
    <row r="2830">
      <c r="A2830" s="0" t="inlineStr">
        <is>
          <t>DEEP1M</t>
        </is>
      </c>
      <c r="B2830" s="0" t="inlineStr">
        <is>
          <t>W25</t>
        </is>
      </c>
      <c r="C2830" s="0" t="inlineStr">
        <is>
          <t>W26</t>
        </is>
      </c>
      <c r="D2830" s="0" t="n">
        <v>271.0874</v>
      </c>
    </row>
    <row r="2831">
      <c r="A2831" s="0" t="inlineStr">
        <is>
          <t>DEEP1M</t>
        </is>
      </c>
      <c r="B2831" s="0" t="inlineStr">
        <is>
          <t>X25</t>
        </is>
      </c>
      <c r="C2831" s="0" t="inlineStr">
        <is>
          <t>X26</t>
        </is>
      </c>
      <c r="D2831" s="0" t="n">
        <v>344.9868</v>
      </c>
    </row>
    <row r="2832">
      <c r="A2832" s="0" t="inlineStr">
        <is>
          <t>DEEP1M</t>
        </is>
      </c>
      <c r="B2832" s="0" t="inlineStr">
        <is>
          <t>Y25</t>
        </is>
      </c>
      <c r="C2832" s="0" t="inlineStr">
        <is>
          <t>Y26</t>
        </is>
      </c>
      <c r="D2832" s="0" t="n">
        <v>405.5006</v>
      </c>
    </row>
    <row r="2833">
      <c r="A2833" s="0" t="inlineStr">
        <is>
          <t>DEEP1M</t>
        </is>
      </c>
      <c r="B2833" s="0" t="inlineStr">
        <is>
          <t>D26</t>
        </is>
      </c>
      <c r="C2833" s="0" t="inlineStr">
        <is>
          <t>D27</t>
        </is>
      </c>
      <c r="D2833" s="0" t="inlineStr">
        <is>
          <t>V3DB（单次）</t>
        </is>
      </c>
    </row>
    <row r="2834">
      <c r="A2834" s="0" t="inlineStr">
        <is>
          <t>DEEP1M</t>
        </is>
      </c>
      <c r="B2834" s="0" t="inlineStr">
        <is>
          <t>E26</t>
        </is>
      </c>
      <c r="C2834" s="0" t="inlineStr">
        <is>
          <t>E27</t>
        </is>
      </c>
      <c r="D2834" s="0" t="inlineStr">
        <is>
          <t>Recall rate</t>
        </is>
      </c>
    </row>
    <row r="2835">
      <c r="A2835" s="0" t="inlineStr">
        <is>
          <t>DEEP1M</t>
        </is>
      </c>
      <c r="B2835" s="0" t="inlineStr">
        <is>
          <t>F26</t>
        </is>
      </c>
      <c r="C2835" s="0" t="inlineStr">
        <is>
          <t>F27</t>
        </is>
      </c>
      <c r="D2835" s="0" t="n">
        <v>23</v>
      </c>
    </row>
    <row r="2836">
      <c r="A2836" s="0" t="inlineStr">
        <is>
          <t>DEEP1M</t>
        </is>
      </c>
      <c r="B2836" s="0" t="inlineStr">
        <is>
          <t>G26</t>
        </is>
      </c>
      <c r="C2836" s="0" t="inlineStr">
        <is>
          <t>G27</t>
        </is>
      </c>
      <c r="D2836" s="0" t="n">
        <v>23</v>
      </c>
    </row>
    <row r="2837">
      <c r="A2837" s="0" t="inlineStr">
        <is>
          <t>DEEP1M</t>
        </is>
      </c>
      <c r="B2837" s="0" t="inlineStr">
        <is>
          <t>H26</t>
        </is>
      </c>
      <c r="C2837" s="0" t="inlineStr">
        <is>
          <t>H27</t>
        </is>
      </c>
      <c r="D2837" s="0" t="n">
        <v>28.5</v>
      </c>
    </row>
    <row r="2838">
      <c r="A2838" s="0" t="inlineStr">
        <is>
          <t>DEEP1M</t>
        </is>
      </c>
      <c r="B2838" s="0" t="inlineStr">
        <is>
          <t>I26</t>
        </is>
      </c>
      <c r="C2838" s="0" t="inlineStr">
        <is>
          <t>I27</t>
        </is>
      </c>
      <c r="D2838" s="0" t="n">
        <v>37</v>
      </c>
    </row>
    <row r="2839">
      <c r="A2839" s="0" t="inlineStr">
        <is>
          <t>DEEP1M</t>
        </is>
      </c>
      <c r="B2839" s="0" t="inlineStr">
        <is>
          <t>J26</t>
        </is>
      </c>
      <c r="C2839" s="0" t="inlineStr">
        <is>
          <t>J27</t>
        </is>
      </c>
      <c r="D2839" s="0" t="n">
        <v>37</v>
      </c>
    </row>
    <row r="2840">
      <c r="A2840" s="0" t="inlineStr">
        <is>
          <t>DEEP1M</t>
        </is>
      </c>
      <c r="B2840" s="0" t="inlineStr">
        <is>
          <t>K26</t>
        </is>
      </c>
      <c r="C2840" s="0" t="inlineStr">
        <is>
          <t>K27</t>
        </is>
      </c>
      <c r="D2840" s="0" t="n">
        <v>57.5</v>
      </c>
    </row>
    <row r="2841">
      <c r="A2841" s="0" t="inlineStr">
        <is>
          <t>DEEP1M</t>
        </is>
      </c>
      <c r="B2841" s="0" t="inlineStr">
        <is>
          <t>L26</t>
        </is>
      </c>
      <c r="C2841" s="0" t="inlineStr">
        <is>
          <t>L27</t>
        </is>
      </c>
      <c r="D2841" s="0" t="n">
        <v>57.5</v>
      </c>
    </row>
    <row r="2842">
      <c r="A2842" s="0" t="inlineStr">
        <is>
          <t>DEEP1M</t>
        </is>
      </c>
      <c r="B2842" s="0" t="inlineStr">
        <is>
          <t>M26</t>
        </is>
      </c>
      <c r="C2842" s="0" t="inlineStr">
        <is>
          <t>M27</t>
        </is>
      </c>
      <c r="D2842" s="0" t="n">
        <v>57.5</v>
      </c>
    </row>
    <row r="2843">
      <c r="A2843" s="0" t="inlineStr">
        <is>
          <t>DEEP1M</t>
        </is>
      </c>
      <c r="B2843" s="0" t="inlineStr">
        <is>
          <t>N26</t>
        </is>
      </c>
      <c r="C2843" s="0" t="inlineStr">
        <is>
          <t>N27</t>
        </is>
      </c>
      <c r="D2843" s="0" t="n">
        <v>57.5</v>
      </c>
    </row>
    <row r="2844">
      <c r="A2844" s="0" t="inlineStr">
        <is>
          <t>DEEP1M</t>
        </is>
      </c>
      <c r="B2844" s="0" t="inlineStr">
        <is>
          <t>O26</t>
        </is>
      </c>
      <c r="C2844" s="0" t="inlineStr">
        <is>
          <t>O27</t>
        </is>
      </c>
      <c r="D2844" s="0" t="n">
        <v>78</v>
      </c>
    </row>
    <row r="2845">
      <c r="A2845" s="0" t="inlineStr">
        <is>
          <t>DEEP1M</t>
        </is>
      </c>
      <c r="B2845" s="0" t="inlineStr">
        <is>
          <t>P26</t>
        </is>
      </c>
      <c r="C2845" s="0" t="inlineStr">
        <is>
          <t>P27</t>
        </is>
      </c>
      <c r="D2845" s="0" t="n">
        <v>78</v>
      </c>
    </row>
    <row r="2846">
      <c r="A2846" s="0" t="inlineStr">
        <is>
          <t>DEEP1M</t>
        </is>
      </c>
      <c r="B2846" s="0" t="inlineStr">
        <is>
          <t>Q26</t>
        </is>
      </c>
      <c r="C2846" s="0" t="inlineStr">
        <is>
          <t>Q27</t>
        </is>
      </c>
      <c r="D2846" s="0" t="n">
        <v>78</v>
      </c>
    </row>
    <row r="2847">
      <c r="A2847" s="0" t="inlineStr">
        <is>
          <t>DEEP1M</t>
        </is>
      </c>
      <c r="B2847" s="0" t="inlineStr">
        <is>
          <t>R26</t>
        </is>
      </c>
      <c r="C2847" s="0" t="inlineStr">
        <is>
          <t>R27</t>
        </is>
      </c>
      <c r="D2847" s="0" t="n">
        <v>78</v>
      </c>
    </row>
    <row r="2848">
      <c r="A2848" s="0" t="inlineStr">
        <is>
          <t>DEEP1M</t>
        </is>
      </c>
      <c r="B2848" s="0" t="inlineStr">
        <is>
          <t>S26</t>
        </is>
      </c>
      <c r="C2848" s="0" t="inlineStr">
        <is>
          <t>S27</t>
        </is>
      </c>
      <c r="D2848" s="0" t="n">
        <v>80</v>
      </c>
    </row>
    <row r="2849">
      <c r="A2849" s="0" t="inlineStr">
        <is>
          <t>DEEP1M</t>
        </is>
      </c>
      <c r="B2849" s="0" t="inlineStr">
        <is>
          <t>T26</t>
        </is>
      </c>
      <c r="C2849" s="0" t="inlineStr">
        <is>
          <t>T27</t>
        </is>
      </c>
      <c r="D2849" s="0" t="n">
        <v>88.5</v>
      </c>
    </row>
    <row r="2850">
      <c r="A2850" s="0" t="inlineStr">
        <is>
          <t>DEEP1M</t>
        </is>
      </c>
      <c r="B2850" s="0" t="inlineStr">
        <is>
          <t>U26</t>
        </is>
      </c>
      <c r="C2850" s="0" t="inlineStr">
        <is>
          <t>U27</t>
        </is>
      </c>
      <c r="D2850" s="0" t="n">
        <v>90</v>
      </c>
    </row>
    <row r="2851">
      <c r="A2851" s="0" t="inlineStr">
        <is>
          <t>DEEP1M</t>
        </is>
      </c>
      <c r="B2851" s="0" t="inlineStr">
        <is>
          <t>V26</t>
        </is>
      </c>
      <c r="C2851" s="0" t="inlineStr">
        <is>
          <t>V27</t>
        </is>
      </c>
      <c r="D2851" s="0" t="n">
        <v>95.5</v>
      </c>
    </row>
    <row r="2852">
      <c r="A2852" s="0" t="inlineStr">
        <is>
          <t>DEEP1M</t>
        </is>
      </c>
      <c r="B2852" s="0" t="inlineStr">
        <is>
          <t>W26</t>
        </is>
      </c>
      <c r="C2852" s="0" t="inlineStr">
        <is>
          <t>W27</t>
        </is>
      </c>
    </row>
    <row r="2853">
      <c r="A2853" s="0" t="inlineStr">
        <is>
          <t>DEEP1M</t>
        </is>
      </c>
      <c r="B2853" s="0" t="inlineStr">
        <is>
          <t>X26</t>
        </is>
      </c>
      <c r="C2853" s="0" t="inlineStr">
        <is>
          <t>X27</t>
        </is>
      </c>
    </row>
    <row r="2854">
      <c r="A2854" s="0" t="inlineStr">
        <is>
          <t>DEEP1M</t>
        </is>
      </c>
      <c r="B2854" s="0" t="inlineStr">
        <is>
          <t>Y26</t>
        </is>
      </c>
      <c r="C2854" s="0" t="inlineStr">
        <is>
          <t>Y27</t>
        </is>
      </c>
    </row>
    <row r="2855">
      <c r="A2855" s="0" t="inlineStr">
        <is>
          <t>DEEP1M</t>
        </is>
      </c>
      <c r="B2855" s="0" t="inlineStr">
        <is>
          <t>E27</t>
        </is>
      </c>
      <c r="C2855" s="0" t="inlineStr">
        <is>
          <t>E28</t>
        </is>
      </c>
      <c r="D2855" s="0" t="inlineStr">
        <is>
          <t>VO size</t>
        </is>
      </c>
    </row>
    <row r="2856">
      <c r="A2856" s="0" t="inlineStr">
        <is>
          <t>DEEP1M</t>
        </is>
      </c>
      <c r="B2856" s="0" t="inlineStr">
        <is>
          <t>F27</t>
        </is>
      </c>
      <c r="C2856" s="0" t="inlineStr">
        <is>
          <t>F28</t>
        </is>
      </c>
      <c r="D2856" s="0" t="n">
        <v>185.599</v>
      </c>
    </row>
    <row r="2857">
      <c r="A2857" s="0" t="inlineStr">
        <is>
          <t>DEEP1M</t>
        </is>
      </c>
      <c r="B2857" s="0" t="inlineStr">
        <is>
          <t>G27</t>
        </is>
      </c>
      <c r="C2857" s="0" t="inlineStr">
        <is>
          <t>G28</t>
        </is>
      </c>
      <c r="D2857" s="0" t="n">
        <v>185.599</v>
      </c>
    </row>
    <row r="2858">
      <c r="A2858" s="0" t="inlineStr">
        <is>
          <t>DEEP1M</t>
        </is>
      </c>
      <c r="B2858" s="0" t="inlineStr">
        <is>
          <t>H27</t>
        </is>
      </c>
      <c r="C2858" s="0" t="inlineStr">
        <is>
          <t>H28</t>
        </is>
      </c>
      <c r="D2858" s="0" t="n">
        <v>208.737</v>
      </c>
    </row>
    <row r="2859">
      <c r="A2859" s="0" t="inlineStr">
        <is>
          <t>DEEP1M</t>
        </is>
      </c>
      <c r="B2859" s="0" t="inlineStr">
        <is>
          <t>I27</t>
        </is>
      </c>
      <c r="C2859" s="0" t="inlineStr">
        <is>
          <t>I28</t>
        </is>
      </c>
      <c r="D2859" s="0" t="n">
        <v>196.34</v>
      </c>
    </row>
    <row r="2860">
      <c r="A2860" s="0" t="inlineStr">
        <is>
          <t>DEEP1M</t>
        </is>
      </c>
      <c r="B2860" s="0" t="inlineStr">
        <is>
          <t>J27</t>
        </is>
      </c>
      <c r="C2860" s="0" t="inlineStr">
        <is>
          <t>J28</t>
        </is>
      </c>
      <c r="D2860" s="0" t="n">
        <v>196.34</v>
      </c>
    </row>
    <row r="2861">
      <c r="A2861" s="0" t="inlineStr">
        <is>
          <t>DEEP1M</t>
        </is>
      </c>
      <c r="B2861" s="0" t="inlineStr">
        <is>
          <t>K27</t>
        </is>
      </c>
      <c r="C2861" s="0" t="inlineStr">
        <is>
          <t>K28</t>
        </is>
      </c>
      <c r="D2861" s="0" t="n">
        <v>233.262</v>
      </c>
    </row>
    <row r="2862">
      <c r="A2862" s="0" t="inlineStr">
        <is>
          <t>DEEP1M</t>
        </is>
      </c>
      <c r="B2862" s="0" t="inlineStr">
        <is>
          <t>L27</t>
        </is>
      </c>
      <c r="C2862" s="0" t="inlineStr">
        <is>
          <t>L28</t>
        </is>
      </c>
      <c r="D2862" s="0" t="n">
        <v>233.262</v>
      </c>
    </row>
    <row r="2863">
      <c r="A2863" s="0" t="inlineStr">
        <is>
          <t>DEEP1M</t>
        </is>
      </c>
      <c r="B2863" s="0" t="inlineStr">
        <is>
          <t>M27</t>
        </is>
      </c>
      <c r="C2863" s="0" t="inlineStr">
        <is>
          <t>M28</t>
        </is>
      </c>
      <c r="D2863" s="0" t="n">
        <v>233.262</v>
      </c>
    </row>
    <row r="2864">
      <c r="A2864" s="0" t="inlineStr">
        <is>
          <t>DEEP1M</t>
        </is>
      </c>
      <c r="B2864" s="0" t="inlineStr">
        <is>
          <t>N27</t>
        </is>
      </c>
      <c r="C2864" s="0" t="inlineStr">
        <is>
          <t>N28</t>
        </is>
      </c>
      <c r="D2864" s="0" t="n">
        <v>233.262</v>
      </c>
    </row>
    <row r="2865">
      <c r="A2865" s="0" t="inlineStr">
        <is>
          <t>DEEP1M</t>
        </is>
      </c>
      <c r="B2865" s="0" t="inlineStr">
        <is>
          <t>O27</t>
        </is>
      </c>
      <c r="C2865" s="0" t="inlineStr">
        <is>
          <t>O28</t>
        </is>
      </c>
      <c r="D2865" s="0" t="n">
        <v>265.512</v>
      </c>
    </row>
    <row r="2866">
      <c r="A2866" s="0" t="inlineStr">
        <is>
          <t>DEEP1M</t>
        </is>
      </c>
      <c r="B2866" s="0" t="inlineStr">
        <is>
          <t>P27</t>
        </is>
      </c>
      <c r="C2866" s="0" t="inlineStr">
        <is>
          <t>P28</t>
        </is>
      </c>
      <c r="D2866" s="0" t="n">
        <v>265.512</v>
      </c>
    </row>
    <row r="2867">
      <c r="A2867" s="0" t="inlineStr">
        <is>
          <t>DEEP1M</t>
        </is>
      </c>
      <c r="B2867" s="0" t="inlineStr">
        <is>
          <t>Q27</t>
        </is>
      </c>
      <c r="C2867" s="0" t="inlineStr">
        <is>
          <t>Q28</t>
        </is>
      </c>
      <c r="D2867" s="0" t="n">
        <v>265.512</v>
      </c>
    </row>
    <row r="2868">
      <c r="A2868" s="0" t="inlineStr">
        <is>
          <t>DEEP1M</t>
        </is>
      </c>
      <c r="B2868" s="0" t="inlineStr">
        <is>
          <t>R27</t>
        </is>
      </c>
      <c r="C2868" s="0" t="inlineStr">
        <is>
          <t>R28</t>
        </is>
      </c>
      <c r="D2868" s="0" t="n">
        <v>265.512</v>
      </c>
    </row>
    <row r="2869">
      <c r="A2869" s="0" t="inlineStr">
        <is>
          <t>DEEP1M</t>
        </is>
      </c>
      <c r="B2869" s="0" t="inlineStr">
        <is>
          <t>S27</t>
        </is>
      </c>
      <c r="C2869" s="0" t="inlineStr">
        <is>
          <t>S28</t>
        </is>
      </c>
      <c r="D2869" s="0" t="n">
        <v>335.661</v>
      </c>
    </row>
    <row r="2870">
      <c r="A2870" s="0" t="inlineStr">
        <is>
          <t>DEEP1M</t>
        </is>
      </c>
      <c r="B2870" s="0" t="inlineStr">
        <is>
          <t>T27</t>
        </is>
      </c>
      <c r="C2870" s="0" t="inlineStr">
        <is>
          <t>T28</t>
        </is>
      </c>
      <c r="D2870" s="0" t="n">
        <v>343.872</v>
      </c>
    </row>
    <row r="2871">
      <c r="A2871" s="0" t="inlineStr">
        <is>
          <t>DEEP1M</t>
        </is>
      </c>
      <c r="B2871" s="0" t="inlineStr">
        <is>
          <t>U27</t>
        </is>
      </c>
      <c r="C2871" s="0" t="inlineStr">
        <is>
          <t>U28</t>
        </is>
      </c>
      <c r="D2871" s="0" t="n">
        <v>343.872</v>
      </c>
    </row>
    <row r="2872">
      <c r="A2872" s="0" t="inlineStr">
        <is>
          <t>DEEP1M</t>
        </is>
      </c>
      <c r="B2872" s="0" t="inlineStr">
        <is>
          <t>V27</t>
        </is>
      </c>
      <c r="C2872" s="0" t="inlineStr">
        <is>
          <t>V28</t>
        </is>
      </c>
      <c r="D2872" s="0" t="n">
        <v>483.155</v>
      </c>
    </row>
    <row r="2873">
      <c r="A2873" s="0" t="inlineStr">
        <is>
          <t>DEEP1M</t>
        </is>
      </c>
      <c r="B2873" s="0" t="inlineStr">
        <is>
          <t>W27</t>
        </is>
      </c>
      <c r="C2873" s="0" t="inlineStr">
        <is>
          <t>W28</t>
        </is>
      </c>
    </row>
    <row r="2874">
      <c r="A2874" s="0" t="inlineStr">
        <is>
          <t>DEEP1M</t>
        </is>
      </c>
      <c r="B2874" s="0" t="inlineStr">
        <is>
          <t>X27</t>
        </is>
      </c>
      <c r="C2874" s="0" t="inlineStr">
        <is>
          <t>X28</t>
        </is>
      </c>
    </row>
    <row r="2875">
      <c r="A2875" s="0" t="inlineStr">
        <is>
          <t>DEEP1M</t>
        </is>
      </c>
      <c r="B2875" s="0" t="inlineStr">
        <is>
          <t>Y27</t>
        </is>
      </c>
      <c r="C2875" s="0" t="inlineStr">
        <is>
          <t>Y28</t>
        </is>
      </c>
    </row>
    <row r="2876">
      <c r="A2876" s="0" t="inlineStr">
        <is>
          <t>DEEP1M</t>
        </is>
      </c>
      <c r="B2876" s="0" t="inlineStr">
        <is>
          <t>D28</t>
        </is>
      </c>
      <c r="C2876" s="0" t="inlineStr">
        <is>
          <t>D31</t>
        </is>
      </c>
    </row>
    <row r="2877">
      <c r="A2877" s="0" t="inlineStr">
        <is>
          <t>DEEP1M</t>
        </is>
      </c>
      <c r="B2877" s="0" t="inlineStr">
        <is>
          <t>E28</t>
        </is>
      </c>
      <c r="C2877" s="0" t="inlineStr">
        <is>
          <t>E31</t>
        </is>
      </c>
      <c r="D2877" s="0" t="inlineStr">
        <is>
          <t>Target Recall (%)</t>
        </is>
      </c>
    </row>
    <row r="2878">
      <c r="A2878" s="0" t="inlineStr">
        <is>
          <t>DEEP1M</t>
        </is>
      </c>
      <c r="B2878" s="0" t="inlineStr">
        <is>
          <t>F28</t>
        </is>
      </c>
      <c r="C2878" s="0" t="inlineStr">
        <is>
          <t>F31</t>
        </is>
      </c>
      <c r="D2878" s="0" t="n">
        <v>15</v>
      </c>
    </row>
    <row r="2879">
      <c r="A2879" s="0" t="inlineStr">
        <is>
          <t>DEEP1M</t>
        </is>
      </c>
      <c r="B2879" s="0" t="inlineStr">
        <is>
          <t>G28</t>
        </is>
      </c>
      <c r="C2879" s="0" t="inlineStr">
        <is>
          <t>G31</t>
        </is>
      </c>
      <c r="D2879" s="0" t="n">
        <v>20</v>
      </c>
    </row>
    <row r="2880">
      <c r="A2880" s="0" t="inlineStr">
        <is>
          <t>DEEP1M</t>
        </is>
      </c>
      <c r="B2880" s="0" t="inlineStr">
        <is>
          <t>H28</t>
        </is>
      </c>
      <c r="C2880" s="0" t="inlineStr">
        <is>
          <t>H31</t>
        </is>
      </c>
      <c r="D2880" s="0" t="n">
        <v>25</v>
      </c>
    </row>
    <row r="2881">
      <c r="A2881" s="0" t="inlineStr">
        <is>
          <t>DEEP1M</t>
        </is>
      </c>
      <c r="B2881" s="0" t="inlineStr">
        <is>
          <t>I28</t>
        </is>
      </c>
      <c r="C2881" s="0" t="inlineStr">
        <is>
          <t>I31</t>
        </is>
      </c>
      <c r="D2881" s="0" t="n">
        <v>30</v>
      </c>
    </row>
    <row r="2882">
      <c r="A2882" s="0" t="inlineStr">
        <is>
          <t>DEEP1M</t>
        </is>
      </c>
      <c r="B2882" s="0" t="inlineStr">
        <is>
          <t>J28</t>
        </is>
      </c>
      <c r="C2882" s="0" t="inlineStr">
        <is>
          <t>J31</t>
        </is>
      </c>
      <c r="D2882" s="0" t="n">
        <v>35</v>
      </c>
    </row>
    <row r="2883">
      <c r="A2883" s="0" t="inlineStr">
        <is>
          <t>DEEP1M</t>
        </is>
      </c>
      <c r="B2883" s="0" t="inlineStr">
        <is>
          <t>K28</t>
        </is>
      </c>
      <c r="C2883" s="0" t="inlineStr">
        <is>
          <t>K31</t>
        </is>
      </c>
      <c r="D2883" s="0" t="n">
        <v>40</v>
      </c>
    </row>
    <row r="2884">
      <c r="A2884" s="0" t="inlineStr">
        <is>
          <t>DEEP1M</t>
        </is>
      </c>
      <c r="B2884" s="0" t="inlineStr">
        <is>
          <t>L28</t>
        </is>
      </c>
      <c r="C2884" s="0" t="inlineStr">
        <is>
          <t>L31</t>
        </is>
      </c>
      <c r="D2884" s="0" t="n">
        <v>45</v>
      </c>
    </row>
    <row r="2885">
      <c r="A2885" s="0" t="inlineStr">
        <is>
          <t>DEEP1M</t>
        </is>
      </c>
      <c r="B2885" s="0" t="inlineStr">
        <is>
          <t>M28</t>
        </is>
      </c>
      <c r="C2885" s="0" t="inlineStr">
        <is>
          <t>M31</t>
        </is>
      </c>
      <c r="D2885" s="0" t="n">
        <v>50</v>
      </c>
    </row>
    <row r="2886">
      <c r="A2886" s="0" t="inlineStr">
        <is>
          <t>DEEP1M</t>
        </is>
      </c>
      <c r="B2886" s="0" t="inlineStr">
        <is>
          <t>N28</t>
        </is>
      </c>
      <c r="C2886" s="0" t="inlineStr">
        <is>
          <t>N31</t>
        </is>
      </c>
      <c r="D2886" s="0" t="n">
        <v>55</v>
      </c>
    </row>
    <row r="2887">
      <c r="A2887" s="0" t="inlineStr">
        <is>
          <t>DEEP1M</t>
        </is>
      </c>
      <c r="B2887" s="0" t="inlineStr">
        <is>
          <t>O28</t>
        </is>
      </c>
      <c r="C2887" s="0" t="inlineStr">
        <is>
          <t>O31</t>
        </is>
      </c>
      <c r="D2887" s="0" t="n">
        <v>60</v>
      </c>
    </row>
    <row r="2888">
      <c r="A2888" s="0" t="inlineStr">
        <is>
          <t>DEEP1M</t>
        </is>
      </c>
      <c r="B2888" s="0" t="inlineStr">
        <is>
          <t>P28</t>
        </is>
      </c>
      <c r="C2888" s="0" t="inlineStr">
        <is>
          <t>P31</t>
        </is>
      </c>
      <c r="D2888" s="0" t="n">
        <v>65</v>
      </c>
    </row>
    <row r="2889">
      <c r="A2889" s="0" t="inlineStr">
        <is>
          <t>DEEP1M</t>
        </is>
      </c>
      <c r="B2889" s="0" t="inlineStr">
        <is>
          <t>Q28</t>
        </is>
      </c>
      <c r="C2889" s="0" t="inlineStr">
        <is>
          <t>Q31</t>
        </is>
      </c>
      <c r="D2889" s="0" t="n">
        <v>70</v>
      </c>
    </row>
    <row r="2890">
      <c r="A2890" s="0" t="inlineStr">
        <is>
          <t>DEEP1M</t>
        </is>
      </c>
      <c r="B2890" s="0" t="inlineStr">
        <is>
          <t>R28</t>
        </is>
      </c>
      <c r="C2890" s="0" t="inlineStr">
        <is>
          <t>R31</t>
        </is>
      </c>
      <c r="D2890" s="0" t="n">
        <v>75</v>
      </c>
    </row>
    <row r="2891">
      <c r="A2891" s="0" t="inlineStr">
        <is>
          <t>DEEP1M</t>
        </is>
      </c>
      <c r="B2891" s="0" t="inlineStr">
        <is>
          <t>S28</t>
        </is>
      </c>
      <c r="C2891" s="0" t="inlineStr">
        <is>
          <t>S31</t>
        </is>
      </c>
      <c r="D2891" s="0" t="n">
        <v>80</v>
      </c>
    </row>
    <row r="2892">
      <c r="A2892" s="0" t="inlineStr">
        <is>
          <t>DEEP1M</t>
        </is>
      </c>
      <c r="B2892" s="0" t="inlineStr">
        <is>
          <t>T28</t>
        </is>
      </c>
      <c r="C2892" s="0" t="inlineStr">
        <is>
          <t>T31</t>
        </is>
      </c>
      <c r="D2892" s="0" t="n">
        <v>85</v>
      </c>
    </row>
    <row r="2893">
      <c r="A2893" s="0" t="inlineStr">
        <is>
          <t>DEEP1M</t>
        </is>
      </c>
      <c r="B2893" s="0" t="inlineStr">
        <is>
          <t>U28</t>
        </is>
      </c>
      <c r="C2893" s="0" t="inlineStr">
        <is>
          <t>U31</t>
        </is>
      </c>
      <c r="D2893" s="0" t="n">
        <v>90</v>
      </c>
    </row>
    <row r="2894">
      <c r="A2894" s="0" t="inlineStr">
        <is>
          <t>DEEP1M</t>
        </is>
      </c>
      <c r="B2894" s="0" t="inlineStr">
        <is>
          <t>V28</t>
        </is>
      </c>
      <c r="C2894" s="0" t="inlineStr">
        <is>
          <t>V31</t>
        </is>
      </c>
      <c r="D2894" s="0" t="n">
        <v>95</v>
      </c>
    </row>
    <row r="2895">
      <c r="A2895" s="0" t="inlineStr">
        <is>
          <t>DEEP1M</t>
        </is>
      </c>
      <c r="B2895" s="0" t="inlineStr">
        <is>
          <t>W28</t>
        </is>
      </c>
      <c r="C2895" s="0" t="inlineStr">
        <is>
          <t>W31</t>
        </is>
      </c>
      <c r="D2895" s="0" t="n">
        <v>97</v>
      </c>
    </row>
    <row r="2896">
      <c r="A2896" s="0" t="inlineStr">
        <is>
          <t>DEEP1M</t>
        </is>
      </c>
      <c r="B2896" s="0" t="inlineStr">
        <is>
          <t>X28</t>
        </is>
      </c>
      <c r="C2896" s="0" t="inlineStr">
        <is>
          <t>X31</t>
        </is>
      </c>
      <c r="D2896" s="0" t="n">
        <v>98</v>
      </c>
    </row>
    <row r="2897">
      <c r="A2897" s="0" t="inlineStr">
        <is>
          <t>DEEP1M</t>
        </is>
      </c>
      <c r="B2897" s="0" t="inlineStr">
        <is>
          <t>Y28</t>
        </is>
      </c>
      <c r="C2897" s="0" t="inlineStr">
        <is>
          <t>Y31</t>
        </is>
      </c>
      <c r="D2897" s="0" t="n">
        <v>99</v>
      </c>
    </row>
    <row r="2898">
      <c r="A2898" s="0" t="inlineStr">
        <is>
          <t>DEEP1M</t>
        </is>
      </c>
      <c r="B2898" s="0" t="inlineStr">
        <is>
          <t>E29</t>
        </is>
      </c>
      <c r="C2898" s="0" t="inlineStr">
        <is>
          <t>E32</t>
        </is>
      </c>
      <c r="D2898" s="0" t="inlineStr">
        <is>
          <t>Recall@10 (change parameters enabling different recall rate) vs. verify time</t>
        </is>
      </c>
    </row>
    <row r="2899">
      <c r="A2899" s="0" t="inlineStr">
        <is>
          <t>DEEP1M</t>
        </is>
      </c>
      <c r="B2899" s="0" t="inlineStr">
        <is>
          <t>D31</t>
        </is>
      </c>
      <c r="C2899" s="0" t="inlineStr">
        <is>
          <t>D34</t>
        </is>
      </c>
      <c r="D2899" s="0" t="inlineStr">
        <is>
          <t>DEEP1M (N=1,000,000, d=96)</t>
        </is>
      </c>
    </row>
    <row r="2900">
      <c r="A2900" s="0" t="inlineStr">
        <is>
          <t>DEEP1M</t>
        </is>
      </c>
      <c r="B2900" s="0" t="inlineStr">
        <is>
          <t>D32</t>
        </is>
      </c>
      <c r="C2900" s="0" t="inlineStr">
        <is>
          <t>D35</t>
        </is>
      </c>
      <c r="D2900" s="0" t="inlineStr">
        <is>
          <t>VLAH</t>
        </is>
      </c>
    </row>
    <row r="2901">
      <c r="A2901" s="0" t="inlineStr">
        <is>
          <t>DEEP1M</t>
        </is>
      </c>
      <c r="B2901" s="0" t="inlineStr">
        <is>
          <t>E32</t>
        </is>
      </c>
      <c r="C2901" s="0" t="inlineStr">
        <is>
          <t>E35</t>
        </is>
      </c>
      <c r="D2901" s="0" t="inlineStr">
        <is>
          <t>Recall rate</t>
        </is>
      </c>
    </row>
    <row r="2902">
      <c r="A2902" s="0" t="inlineStr">
        <is>
          <t>DEEP1M</t>
        </is>
      </c>
      <c r="B2902" s="0" t="inlineStr">
        <is>
          <t>F32</t>
        </is>
      </c>
      <c r="C2902" s="0" t="inlineStr">
        <is>
          <t>F35</t>
        </is>
      </c>
      <c r="D2902" s="0" t="n">
        <v>27.5</v>
      </c>
    </row>
    <row r="2903">
      <c r="A2903" s="0" t="inlineStr">
        <is>
          <t>DEEP1M</t>
        </is>
      </c>
      <c r="B2903" s="0" t="inlineStr">
        <is>
          <t>G32</t>
        </is>
      </c>
      <c r="C2903" s="0" t="inlineStr">
        <is>
          <t>G35</t>
        </is>
      </c>
      <c r="D2903" s="0" t="n">
        <v>27.5</v>
      </c>
    </row>
    <row r="2904">
      <c r="A2904" s="0" t="inlineStr">
        <is>
          <t>DEEP1M</t>
        </is>
      </c>
      <c r="B2904" s="0" t="inlineStr">
        <is>
          <t>H32</t>
        </is>
      </c>
      <c r="C2904" s="0" t="inlineStr">
        <is>
          <t>H35</t>
        </is>
      </c>
      <c r="D2904" s="0" t="n">
        <v>27.5</v>
      </c>
    </row>
    <row r="2905">
      <c r="A2905" s="0" t="inlineStr">
        <is>
          <t>DEEP1M</t>
        </is>
      </c>
      <c r="B2905" s="0" t="inlineStr">
        <is>
          <t>I32</t>
        </is>
      </c>
      <c r="C2905" s="0" t="inlineStr">
        <is>
          <t>I35</t>
        </is>
      </c>
      <c r="D2905" s="0" t="n">
        <v>33.5</v>
      </c>
    </row>
    <row r="2906">
      <c r="A2906" s="0" t="inlineStr">
        <is>
          <t>DEEP1M</t>
        </is>
      </c>
      <c r="B2906" s="0" t="inlineStr">
        <is>
          <t>J32</t>
        </is>
      </c>
      <c r="C2906" s="0" t="inlineStr">
        <is>
          <t>J35</t>
        </is>
      </c>
      <c r="D2906" s="0" t="n">
        <v>42</v>
      </c>
    </row>
    <row r="2907">
      <c r="A2907" s="0" t="inlineStr">
        <is>
          <t>DEEP1M</t>
        </is>
      </c>
      <c r="B2907" s="0" t="inlineStr">
        <is>
          <t>K32</t>
        </is>
      </c>
      <c r="C2907" s="0" t="inlineStr">
        <is>
          <t>K35</t>
        </is>
      </c>
      <c r="D2907" s="0" t="n">
        <v>42</v>
      </c>
    </row>
    <row r="2908">
      <c r="A2908" s="0" t="inlineStr">
        <is>
          <t>DEEP1M</t>
        </is>
      </c>
      <c r="B2908" s="0" t="inlineStr">
        <is>
          <t>L32</t>
        </is>
      </c>
      <c r="C2908" s="0" t="inlineStr">
        <is>
          <t>L35</t>
        </is>
      </c>
      <c r="D2908" s="0" t="n">
        <v>46.5</v>
      </c>
    </row>
    <row r="2909">
      <c r="A2909" s="0" t="inlineStr">
        <is>
          <t>DEEP1M</t>
        </is>
      </c>
      <c r="B2909" s="0" t="inlineStr">
        <is>
          <t>M32</t>
        </is>
      </c>
      <c r="C2909" s="0" t="inlineStr">
        <is>
          <t>M35</t>
        </is>
      </c>
      <c r="D2909" s="0" t="n">
        <v>51</v>
      </c>
    </row>
    <row r="2910">
      <c r="A2910" s="0" t="inlineStr">
        <is>
          <t>DEEP1M</t>
        </is>
      </c>
      <c r="B2910" s="0" t="inlineStr">
        <is>
          <t>N32</t>
        </is>
      </c>
      <c r="C2910" s="0" t="inlineStr">
        <is>
          <t>N35</t>
        </is>
      </c>
      <c r="D2910" s="0" t="n">
        <v>56</v>
      </c>
    </row>
    <row r="2911">
      <c r="A2911" s="0" t="inlineStr">
        <is>
          <t>DEEP1M</t>
        </is>
      </c>
      <c r="B2911" s="0" t="inlineStr">
        <is>
          <t>O32</t>
        </is>
      </c>
      <c r="C2911" s="0" t="inlineStr">
        <is>
          <t>O35</t>
        </is>
      </c>
      <c r="D2911" s="0" t="n">
        <v>60.5</v>
      </c>
    </row>
    <row r="2912">
      <c r="A2912" s="0" t="inlineStr">
        <is>
          <t>DEEP1M</t>
        </is>
      </c>
      <c r="B2912" s="0" t="inlineStr">
        <is>
          <t>P32</t>
        </is>
      </c>
      <c r="C2912" s="0" t="inlineStr">
        <is>
          <t>P35</t>
        </is>
      </c>
      <c r="D2912" s="0" t="n">
        <v>65.5</v>
      </c>
    </row>
    <row r="2913">
      <c r="A2913" s="0" t="inlineStr">
        <is>
          <t>DEEP1M</t>
        </is>
      </c>
      <c r="B2913" s="0" t="inlineStr">
        <is>
          <t>Q32</t>
        </is>
      </c>
      <c r="C2913" s="0" t="inlineStr">
        <is>
          <t>Q35</t>
        </is>
      </c>
      <c r="D2913" s="0" t="n">
        <v>71</v>
      </c>
    </row>
    <row r="2914">
      <c r="A2914" s="0" t="inlineStr">
        <is>
          <t>DEEP1M</t>
        </is>
      </c>
      <c r="B2914" s="0" t="inlineStr">
        <is>
          <t>R32</t>
        </is>
      </c>
      <c r="C2914" s="0" t="inlineStr">
        <is>
          <t>R35</t>
        </is>
      </c>
      <c r="D2914" s="0" t="n">
        <v>75.5</v>
      </c>
    </row>
    <row r="2915">
      <c r="A2915" s="0" t="inlineStr">
        <is>
          <t>DEEP1M</t>
        </is>
      </c>
      <c r="B2915" s="0" t="inlineStr">
        <is>
          <t>S32</t>
        </is>
      </c>
      <c r="C2915" s="0" t="inlineStr">
        <is>
          <t>S35</t>
        </is>
      </c>
      <c r="D2915" s="0" t="n">
        <v>81.5</v>
      </c>
    </row>
    <row r="2916">
      <c r="A2916" s="0" t="inlineStr">
        <is>
          <t>DEEP1M</t>
        </is>
      </c>
      <c r="B2916" s="0" t="inlineStr">
        <is>
          <t>T32</t>
        </is>
      </c>
      <c r="C2916" s="0" t="inlineStr">
        <is>
          <t>T35</t>
        </is>
      </c>
      <c r="D2916" s="0" t="n">
        <v>86</v>
      </c>
    </row>
    <row r="2917">
      <c r="A2917" s="0" t="inlineStr">
        <is>
          <t>DEEP1M</t>
        </is>
      </c>
      <c r="B2917" s="0" t="inlineStr">
        <is>
          <t>U32</t>
        </is>
      </c>
      <c r="C2917" s="0" t="inlineStr">
        <is>
          <t>U35</t>
        </is>
      </c>
      <c r="D2917" s="0" t="n">
        <v>90</v>
      </c>
    </row>
    <row r="2918">
      <c r="A2918" s="0" t="inlineStr">
        <is>
          <t>DEEP1M</t>
        </is>
      </c>
      <c r="B2918" s="0" t="inlineStr">
        <is>
          <t>V32</t>
        </is>
      </c>
      <c r="C2918" s="0" t="inlineStr">
        <is>
          <t>V35</t>
        </is>
      </c>
      <c r="D2918" s="0" t="n">
        <v>95</v>
      </c>
    </row>
    <row r="2919">
      <c r="A2919" s="0" t="inlineStr">
        <is>
          <t>DEEP1M</t>
        </is>
      </c>
      <c r="B2919" s="0" t="inlineStr">
        <is>
          <t>W32</t>
        </is>
      </c>
      <c r="C2919" s="0" t="inlineStr">
        <is>
          <t>W35</t>
        </is>
      </c>
      <c r="D2919" s="0" t="n">
        <v>98</v>
      </c>
    </row>
    <row r="2920">
      <c r="A2920" s="0" t="inlineStr">
        <is>
          <t>DEEP1M</t>
        </is>
      </c>
      <c r="B2920" s="0" t="inlineStr">
        <is>
          <t>X32</t>
        </is>
      </c>
      <c r="C2920" s="0" t="inlineStr">
        <is>
          <t>X35</t>
        </is>
      </c>
      <c r="D2920" s="0" t="n">
        <v>98</v>
      </c>
    </row>
    <row r="2921">
      <c r="A2921" s="0" t="inlineStr">
        <is>
          <t>DEEP1M</t>
        </is>
      </c>
      <c r="B2921" s="0" t="inlineStr">
        <is>
          <t>Y32</t>
        </is>
      </c>
      <c r="C2921" s="0" t="inlineStr">
        <is>
          <t>Y35</t>
        </is>
      </c>
      <c r="D2921" s="0" t="n">
        <v>99</v>
      </c>
    </row>
    <row r="2922">
      <c r="A2922" s="0" t="inlineStr">
        <is>
          <t>DEEP1M</t>
        </is>
      </c>
      <c r="B2922" s="0" t="inlineStr">
        <is>
          <t>E33</t>
        </is>
      </c>
      <c r="C2922" s="0" t="inlineStr">
        <is>
          <t>E36</t>
        </is>
      </c>
      <c r="D2922" s="0" t="inlineStr">
        <is>
          <t>verify time</t>
        </is>
      </c>
    </row>
    <row r="2923">
      <c r="A2923" s="0" t="inlineStr">
        <is>
          <t>DEEP1M</t>
        </is>
      </c>
      <c r="B2923" s="0" t="inlineStr">
        <is>
          <t>F33</t>
        </is>
      </c>
      <c r="C2923" s="0" t="inlineStr">
        <is>
          <t>F36</t>
        </is>
      </c>
      <c r="D2923" s="0" t="n">
        <v>5.95770733333333</v>
      </c>
    </row>
    <row r="2924">
      <c r="A2924" s="0" t="inlineStr">
        <is>
          <t>DEEP1M</t>
        </is>
      </c>
      <c r="B2924" s="0" t="inlineStr">
        <is>
          <t>G33</t>
        </is>
      </c>
      <c r="C2924" s="0" t="inlineStr">
        <is>
          <t>G36</t>
        </is>
      </c>
      <c r="D2924" s="0" t="n">
        <v>5.95770733333333</v>
      </c>
    </row>
    <row r="2925">
      <c r="A2925" s="0" t="inlineStr">
        <is>
          <t>DEEP1M</t>
        </is>
      </c>
      <c r="B2925" s="0" t="inlineStr">
        <is>
          <t>H33</t>
        </is>
      </c>
      <c r="C2925" s="0" t="inlineStr">
        <is>
          <t>H36</t>
        </is>
      </c>
      <c r="D2925" s="0" t="n">
        <v>5.95770733333333</v>
      </c>
    </row>
    <row r="2926">
      <c r="A2926" s="0" t="inlineStr">
        <is>
          <t>DEEP1M</t>
        </is>
      </c>
      <c r="B2926" s="0" t="inlineStr">
        <is>
          <t>I33</t>
        </is>
      </c>
      <c r="C2926" s="0" t="inlineStr">
        <is>
          <t>I36</t>
        </is>
      </c>
      <c r="D2926" s="0" t="n">
        <v>11.8769941666667</v>
      </c>
    </row>
    <row r="2927">
      <c r="A2927" s="0" t="inlineStr">
        <is>
          <t>DEEP1M</t>
        </is>
      </c>
      <c r="B2927" s="0" t="inlineStr">
        <is>
          <t>J33</t>
        </is>
      </c>
      <c r="C2927" s="0" t="inlineStr">
        <is>
          <t>J36</t>
        </is>
      </c>
      <c r="D2927" s="0" t="n">
        <v>18.4796554</v>
      </c>
    </row>
    <row r="2928">
      <c r="A2928" s="0" t="inlineStr">
        <is>
          <t>DEEP1M</t>
        </is>
      </c>
      <c r="B2928" s="0" t="inlineStr">
        <is>
          <t>K33</t>
        </is>
      </c>
      <c r="C2928" s="0" t="inlineStr">
        <is>
          <t>K36</t>
        </is>
      </c>
      <c r="D2928" s="0" t="n">
        <v>18.4796554</v>
      </c>
    </row>
    <row r="2929">
      <c r="A2929" s="0" t="inlineStr">
        <is>
          <t>DEEP1M</t>
        </is>
      </c>
      <c r="B2929" s="0" t="inlineStr">
        <is>
          <t>L33</t>
        </is>
      </c>
      <c r="C2929" s="0" t="inlineStr">
        <is>
          <t>L36</t>
        </is>
      </c>
      <c r="D2929" s="0" t="n">
        <v>24.9023288333333</v>
      </c>
    </row>
    <row r="2930">
      <c r="A2930" s="0" t="inlineStr">
        <is>
          <t>DEEP1M</t>
        </is>
      </c>
      <c r="B2930" s="0" t="inlineStr">
        <is>
          <t>M33</t>
        </is>
      </c>
      <c r="C2930" s="0" t="inlineStr">
        <is>
          <t>M36</t>
        </is>
      </c>
      <c r="D2930" s="0" t="n">
        <v>31.6761766</v>
      </c>
    </row>
    <row r="2931">
      <c r="A2931" s="0" t="inlineStr">
        <is>
          <t>DEEP1M</t>
        </is>
      </c>
      <c r="B2931" s="0" t="inlineStr">
        <is>
          <t>N33</t>
        </is>
      </c>
      <c r="C2931" s="0" t="inlineStr">
        <is>
          <t>N36</t>
        </is>
      </c>
      <c r="D2931" s="0" t="n">
        <v>44.1825776666667</v>
      </c>
    </row>
    <row r="2932">
      <c r="A2932" s="0" t="inlineStr">
        <is>
          <t>DEEP1M</t>
        </is>
      </c>
      <c r="B2932" s="0" t="inlineStr">
        <is>
          <t>O33</t>
        </is>
      </c>
      <c r="C2932" s="0" t="inlineStr">
        <is>
          <t>O36</t>
        </is>
      </c>
      <c r="D2932" s="0" t="n">
        <v>53.6938911666667</v>
      </c>
    </row>
    <row r="2933">
      <c r="A2933" s="0" t="inlineStr">
        <is>
          <t>DEEP1M</t>
        </is>
      </c>
      <c r="B2933" s="0" t="inlineStr">
        <is>
          <t>P33</t>
        </is>
      </c>
      <c r="C2933" s="0" t="inlineStr">
        <is>
          <t>P36</t>
        </is>
      </c>
      <c r="D2933" s="0" t="n">
        <v>72.3760297</v>
      </c>
    </row>
    <row r="2934">
      <c r="A2934" s="0" t="inlineStr">
        <is>
          <t>DEEP1M</t>
        </is>
      </c>
      <c r="B2934" s="0" t="inlineStr">
        <is>
          <t>Q33</t>
        </is>
      </c>
      <c r="C2934" s="0" t="inlineStr">
        <is>
          <t>Q36</t>
        </is>
      </c>
      <c r="D2934" s="0" t="n">
        <v>109.178227966667</v>
      </c>
    </row>
    <row r="2935">
      <c r="A2935" s="0" t="inlineStr">
        <is>
          <t>DEEP1M</t>
        </is>
      </c>
      <c r="B2935" s="0" t="inlineStr">
        <is>
          <t>R33</t>
        </is>
      </c>
      <c r="C2935" s="0" t="inlineStr">
        <is>
          <t>R36</t>
        </is>
      </c>
      <c r="D2935" s="0" t="n">
        <v>121.4742997</v>
      </c>
    </row>
    <row r="2936">
      <c r="A2936" s="0" t="inlineStr">
        <is>
          <t>DEEP1M</t>
        </is>
      </c>
      <c r="B2936" s="0" t="inlineStr">
        <is>
          <t>S33</t>
        </is>
      </c>
      <c r="C2936" s="0" t="inlineStr">
        <is>
          <t>S36</t>
        </is>
      </c>
      <c r="D2936" s="0" t="n">
        <v>148.180783866667</v>
      </c>
    </row>
    <row r="2937">
      <c r="A2937" s="0" t="inlineStr">
        <is>
          <t>DEEP1M</t>
        </is>
      </c>
      <c r="B2937" s="0" t="inlineStr">
        <is>
          <t>T33</t>
        </is>
      </c>
      <c r="C2937" s="0" t="inlineStr">
        <is>
          <t>T36</t>
        </is>
      </c>
      <c r="D2937" s="0" t="n">
        <v>188.6092781</v>
      </c>
    </row>
    <row r="2938">
      <c r="A2938" s="0" t="inlineStr">
        <is>
          <t>DEEP1M</t>
        </is>
      </c>
      <c r="B2938" s="0" t="inlineStr">
        <is>
          <t>U33</t>
        </is>
      </c>
      <c r="C2938" s="0" t="inlineStr">
        <is>
          <t>U36</t>
        </is>
      </c>
      <c r="D2938" s="0" t="n">
        <v>240.77539485</v>
      </c>
    </row>
    <row r="2939">
      <c r="A2939" s="0" t="inlineStr">
        <is>
          <t>DEEP1M</t>
        </is>
      </c>
      <c r="B2939" s="0" t="inlineStr">
        <is>
          <t>V33</t>
        </is>
      </c>
      <c r="C2939" s="0" t="inlineStr">
        <is>
          <t>V36</t>
        </is>
      </c>
      <c r="D2939" s="0" t="n">
        <v>280.071343333333</v>
      </c>
    </row>
    <row r="2940">
      <c r="A2940" s="0" t="inlineStr">
        <is>
          <t>DEEP1M</t>
        </is>
      </c>
      <c r="B2940" s="0" t="inlineStr">
        <is>
          <t>W33</t>
        </is>
      </c>
      <c r="C2940" s="0" t="inlineStr">
        <is>
          <t>W36</t>
        </is>
      </c>
      <c r="D2940" s="0" t="n">
        <v>293.38766795</v>
      </c>
    </row>
    <row r="2941">
      <c r="A2941" s="0" t="inlineStr">
        <is>
          <t>DEEP1M</t>
        </is>
      </c>
      <c r="B2941" s="0" t="inlineStr">
        <is>
          <t>X33</t>
        </is>
      </c>
      <c r="C2941" s="0" t="inlineStr">
        <is>
          <t>X36</t>
        </is>
      </c>
      <c r="D2941" s="0" t="n">
        <v>293.38766795</v>
      </c>
    </row>
    <row r="2942">
      <c r="A2942" s="0" t="inlineStr">
        <is>
          <t>DEEP1M</t>
        </is>
      </c>
      <c r="B2942" s="0" t="inlineStr">
        <is>
          <t>Y33</t>
        </is>
      </c>
      <c r="C2942" s="0" t="inlineStr">
        <is>
          <t>Y36</t>
        </is>
      </c>
      <c r="D2942" s="0" t="n">
        <v>299.962289733333</v>
      </c>
    </row>
    <row r="2943">
      <c r="A2943" s="0" t="inlineStr">
        <is>
          <t>DEEP1M</t>
        </is>
      </c>
      <c r="B2943" s="0" t="inlineStr">
        <is>
          <t>D34</t>
        </is>
      </c>
      <c r="C2943" s="0" t="inlineStr">
        <is>
          <t>D37</t>
        </is>
      </c>
      <c r="D2943" s="0" t="inlineStr">
        <is>
          <t>ANNProof</t>
        </is>
      </c>
    </row>
    <row r="2944">
      <c r="A2944" s="0" t="inlineStr">
        <is>
          <t>DEEP1M</t>
        </is>
      </c>
      <c r="B2944" s="0" t="inlineStr">
        <is>
          <t>E34</t>
        </is>
      </c>
      <c r="C2944" s="0" t="inlineStr">
        <is>
          <t>E37</t>
        </is>
      </c>
      <c r="D2944" s="0" t="inlineStr">
        <is>
          <t>Recall rate</t>
        </is>
      </c>
    </row>
    <row r="2945">
      <c r="A2945" s="0" t="inlineStr">
        <is>
          <t>DEEP1M</t>
        </is>
      </c>
      <c r="B2945" s="0" t="inlineStr">
        <is>
          <t>F34</t>
        </is>
      </c>
      <c r="C2945" s="0" t="inlineStr">
        <is>
          <t>F37</t>
        </is>
      </c>
      <c r="D2945" s="0" t="n">
        <v>71</v>
      </c>
    </row>
    <row r="2946">
      <c r="A2946" s="0" t="inlineStr">
        <is>
          <t>DEEP1M</t>
        </is>
      </c>
      <c r="B2946" s="0" t="inlineStr">
        <is>
          <t>G34</t>
        </is>
      </c>
      <c r="C2946" s="0" t="inlineStr">
        <is>
          <t>G37</t>
        </is>
      </c>
      <c r="D2946" s="0" t="n">
        <v>71</v>
      </c>
    </row>
    <row r="2947">
      <c r="A2947" s="0" t="inlineStr">
        <is>
          <t>DEEP1M</t>
        </is>
      </c>
      <c r="B2947" s="0" t="inlineStr">
        <is>
          <t>H34</t>
        </is>
      </c>
      <c r="C2947" s="0" t="inlineStr">
        <is>
          <t>H37</t>
        </is>
      </c>
      <c r="D2947" s="0" t="n">
        <v>71</v>
      </c>
    </row>
    <row r="2948">
      <c r="A2948" s="0" t="inlineStr">
        <is>
          <t>DEEP1M</t>
        </is>
      </c>
      <c r="B2948" s="0" t="inlineStr">
        <is>
          <t>I34</t>
        </is>
      </c>
      <c r="C2948" s="0" t="inlineStr">
        <is>
          <t>I37</t>
        </is>
      </c>
      <c r="D2948" s="0" t="n">
        <v>71</v>
      </c>
    </row>
    <row r="2949">
      <c r="A2949" s="0" t="inlineStr">
        <is>
          <t>DEEP1M</t>
        </is>
      </c>
      <c r="B2949" s="0" t="inlineStr">
        <is>
          <t>J34</t>
        </is>
      </c>
      <c r="C2949" s="0" t="inlineStr">
        <is>
          <t>J37</t>
        </is>
      </c>
      <c r="D2949" s="0" t="n">
        <v>71</v>
      </c>
    </row>
    <row r="2950">
      <c r="A2950" s="0" t="inlineStr">
        <is>
          <t>DEEP1M</t>
        </is>
      </c>
      <c r="B2950" s="0" t="inlineStr">
        <is>
          <t>K34</t>
        </is>
      </c>
      <c r="C2950" s="0" t="inlineStr">
        <is>
          <t>K37</t>
        </is>
      </c>
      <c r="D2950" s="0" t="n">
        <v>71</v>
      </c>
    </row>
    <row r="2951">
      <c r="A2951" s="0" t="inlineStr">
        <is>
          <t>DEEP1M</t>
        </is>
      </c>
      <c r="B2951" s="0" t="inlineStr">
        <is>
          <t>L34</t>
        </is>
      </c>
      <c r="C2951" s="0" t="inlineStr">
        <is>
          <t>L37</t>
        </is>
      </c>
      <c r="D2951" s="0" t="n">
        <v>71</v>
      </c>
    </row>
    <row r="2952">
      <c r="A2952" s="0" t="inlineStr">
        <is>
          <t>DEEP1M</t>
        </is>
      </c>
      <c r="B2952" s="0" t="inlineStr">
        <is>
          <t>M34</t>
        </is>
      </c>
      <c r="C2952" s="0" t="inlineStr">
        <is>
          <t>M37</t>
        </is>
      </c>
      <c r="D2952" s="0" t="n">
        <v>71</v>
      </c>
    </row>
    <row r="2953">
      <c r="A2953" s="0" t="inlineStr">
        <is>
          <t>DEEP1M</t>
        </is>
      </c>
      <c r="B2953" s="0" t="inlineStr">
        <is>
          <t>N34</t>
        </is>
      </c>
      <c r="C2953" s="0" t="inlineStr">
        <is>
          <t>N37</t>
        </is>
      </c>
      <c r="D2953" s="0" t="n">
        <v>71</v>
      </c>
    </row>
    <row r="2954">
      <c r="A2954" s="0" t="inlineStr">
        <is>
          <t>DEEP1M</t>
        </is>
      </c>
      <c r="B2954" s="0" t="inlineStr">
        <is>
          <t>O34</t>
        </is>
      </c>
      <c r="C2954" s="0" t="inlineStr">
        <is>
          <t>O37</t>
        </is>
      </c>
      <c r="D2954" s="0" t="n">
        <v>71</v>
      </c>
    </row>
    <row r="2955">
      <c r="A2955" s="0" t="inlineStr">
        <is>
          <t>DEEP1M</t>
        </is>
      </c>
      <c r="B2955" s="0" t="inlineStr">
        <is>
          <t>P34</t>
        </is>
      </c>
      <c r="C2955" s="0" t="inlineStr">
        <is>
          <t>P37</t>
        </is>
      </c>
      <c r="D2955" s="0" t="n">
        <v>71</v>
      </c>
    </row>
    <row r="2956">
      <c r="A2956" s="0" t="inlineStr">
        <is>
          <t>DEEP1M</t>
        </is>
      </c>
      <c r="B2956" s="0" t="inlineStr">
        <is>
          <t>Q34</t>
        </is>
      </c>
      <c r="C2956" s="0" t="inlineStr">
        <is>
          <t>Q37</t>
        </is>
      </c>
      <c r="D2956" s="0" t="n">
        <v>71</v>
      </c>
    </row>
    <row r="2957">
      <c r="A2957" s="0" t="inlineStr">
        <is>
          <t>DEEP1M</t>
        </is>
      </c>
      <c r="B2957" s="0" t="inlineStr">
        <is>
          <t>R34</t>
        </is>
      </c>
      <c r="C2957" s="0" t="inlineStr">
        <is>
          <t>R37</t>
        </is>
      </c>
      <c r="D2957" s="0" t="n">
        <v>78</v>
      </c>
    </row>
    <row r="2958">
      <c r="A2958" s="0" t="inlineStr">
        <is>
          <t>DEEP1M</t>
        </is>
      </c>
      <c r="B2958" s="0" t="inlineStr">
        <is>
          <t>S34</t>
        </is>
      </c>
      <c r="C2958" s="0" t="inlineStr">
        <is>
          <t>S37</t>
        </is>
      </c>
      <c r="D2958" s="0" t="n">
        <v>82.5</v>
      </c>
    </row>
    <row r="2959">
      <c r="A2959" s="0" t="inlineStr">
        <is>
          <t>DEEP1M</t>
        </is>
      </c>
      <c r="B2959" s="0" t="inlineStr">
        <is>
          <t>T34</t>
        </is>
      </c>
      <c r="C2959" s="0" t="inlineStr">
        <is>
          <t>T37</t>
        </is>
      </c>
      <c r="D2959" s="0" t="n">
        <v>86.5</v>
      </c>
    </row>
    <row r="2960">
      <c r="A2960" s="0" t="inlineStr">
        <is>
          <t>DEEP1M</t>
        </is>
      </c>
      <c r="B2960" s="0" t="inlineStr">
        <is>
          <t>U34</t>
        </is>
      </c>
      <c r="C2960" s="0" t="inlineStr">
        <is>
          <t>U37</t>
        </is>
      </c>
      <c r="D2960" s="0" t="n">
        <v>94.5</v>
      </c>
    </row>
    <row r="2961">
      <c r="A2961" s="0" t="inlineStr">
        <is>
          <t>DEEP1M</t>
        </is>
      </c>
      <c r="B2961" s="0" t="inlineStr">
        <is>
          <t>V34</t>
        </is>
      </c>
      <c r="C2961" s="0" t="inlineStr">
        <is>
          <t>V37</t>
        </is>
      </c>
      <c r="D2961" s="0" t="n">
        <v>97.5</v>
      </c>
    </row>
    <row r="2962">
      <c r="A2962" s="0" t="inlineStr">
        <is>
          <t>DEEP1M</t>
        </is>
      </c>
      <c r="B2962" s="0" t="inlineStr">
        <is>
          <t>W34</t>
        </is>
      </c>
      <c r="C2962" s="0" t="inlineStr">
        <is>
          <t>W37</t>
        </is>
      </c>
      <c r="D2962" s="0" t="n">
        <v>97.5</v>
      </c>
    </row>
    <row r="2963">
      <c r="A2963" s="0" t="inlineStr">
        <is>
          <t>DEEP1M</t>
        </is>
      </c>
      <c r="B2963" s="0" t="inlineStr">
        <is>
          <t>X34</t>
        </is>
      </c>
      <c r="C2963" s="0" t="inlineStr">
        <is>
          <t>X37</t>
        </is>
      </c>
      <c r="D2963" s="0" t="n">
        <v>99.5</v>
      </c>
    </row>
    <row r="2964">
      <c r="A2964" s="0" t="inlineStr">
        <is>
          <t>DEEP1M</t>
        </is>
      </c>
      <c r="B2964" s="0" t="inlineStr">
        <is>
          <t>Y34</t>
        </is>
      </c>
      <c r="C2964" s="0" t="inlineStr">
        <is>
          <t>Y37</t>
        </is>
      </c>
      <c r="D2964" s="0" t="n">
        <v>99.5</v>
      </c>
    </row>
    <row r="2965">
      <c r="A2965" s="0" t="inlineStr">
        <is>
          <t>DEEP1M</t>
        </is>
      </c>
      <c r="B2965" s="0" t="inlineStr">
        <is>
          <t>E35</t>
        </is>
      </c>
      <c r="C2965" s="0" t="inlineStr">
        <is>
          <t>E38</t>
        </is>
      </c>
      <c r="D2965" s="0" t="inlineStr">
        <is>
          <t>verify time</t>
        </is>
      </c>
    </row>
    <row r="2966">
      <c r="A2966" s="0" t="inlineStr">
        <is>
          <t>DEEP1M</t>
        </is>
      </c>
      <c r="B2966" s="0" t="inlineStr">
        <is>
          <t>F35</t>
        </is>
      </c>
      <c r="C2966" s="0" t="inlineStr">
        <is>
          <t>F38</t>
        </is>
      </c>
      <c r="D2966" s="0" t="n">
        <v>5.200713</v>
      </c>
    </row>
    <row r="2967">
      <c r="A2967" s="0" t="inlineStr">
        <is>
          <t>DEEP1M</t>
        </is>
      </c>
      <c r="B2967" s="0" t="inlineStr">
        <is>
          <t>G35</t>
        </is>
      </c>
      <c r="C2967" s="0" t="inlineStr">
        <is>
          <t>G38</t>
        </is>
      </c>
      <c r="D2967" s="0" t="n">
        <v>5.200713</v>
      </c>
    </row>
    <row r="2968">
      <c r="A2968" s="0" t="inlineStr">
        <is>
          <t>DEEP1M</t>
        </is>
      </c>
      <c r="B2968" s="0" t="inlineStr">
        <is>
          <t>H35</t>
        </is>
      </c>
      <c r="C2968" s="0" t="inlineStr">
        <is>
          <t>H38</t>
        </is>
      </c>
      <c r="D2968" s="0" t="n">
        <v>5.200713</v>
      </c>
    </row>
    <row r="2969">
      <c r="A2969" s="0" t="inlineStr">
        <is>
          <t>DEEP1M</t>
        </is>
      </c>
      <c r="B2969" s="0" t="inlineStr">
        <is>
          <t>I35</t>
        </is>
      </c>
      <c r="C2969" s="0" t="inlineStr">
        <is>
          <t>I38</t>
        </is>
      </c>
      <c r="D2969" s="0" t="n">
        <v>5.200713</v>
      </c>
    </row>
    <row r="2970">
      <c r="A2970" s="0" t="inlineStr">
        <is>
          <t>DEEP1M</t>
        </is>
      </c>
      <c r="B2970" s="0" t="inlineStr">
        <is>
          <t>J35</t>
        </is>
      </c>
      <c r="C2970" s="0" t="inlineStr">
        <is>
          <t>J38</t>
        </is>
      </c>
      <c r="D2970" s="0" t="n">
        <v>5.200713</v>
      </c>
    </row>
    <row r="2971">
      <c r="A2971" s="0" t="inlineStr">
        <is>
          <t>DEEP1M</t>
        </is>
      </c>
      <c r="B2971" s="0" t="inlineStr">
        <is>
          <t>K35</t>
        </is>
      </c>
      <c r="C2971" s="0" t="inlineStr">
        <is>
          <t>K38</t>
        </is>
      </c>
      <c r="D2971" s="0" t="n">
        <v>5.200713</v>
      </c>
    </row>
    <row r="2972">
      <c r="A2972" s="0" t="inlineStr">
        <is>
          <t>DEEP1M</t>
        </is>
      </c>
      <c r="B2972" s="0" t="inlineStr">
        <is>
          <t>L35</t>
        </is>
      </c>
      <c r="C2972" s="0" t="inlineStr">
        <is>
          <t>L38</t>
        </is>
      </c>
      <c r="D2972" s="0" t="n">
        <v>5.200713</v>
      </c>
    </row>
    <row r="2973">
      <c r="A2973" s="0" t="inlineStr">
        <is>
          <t>DEEP1M</t>
        </is>
      </c>
      <c r="B2973" s="0" t="inlineStr">
        <is>
          <t>M35</t>
        </is>
      </c>
      <c r="C2973" s="0" t="inlineStr">
        <is>
          <t>M38</t>
        </is>
      </c>
      <c r="D2973" s="0" t="n">
        <v>5.200713</v>
      </c>
    </row>
    <row r="2974">
      <c r="A2974" s="0" t="inlineStr">
        <is>
          <t>DEEP1M</t>
        </is>
      </c>
      <c r="B2974" s="0" t="inlineStr">
        <is>
          <t>N35</t>
        </is>
      </c>
      <c r="C2974" s="0" t="inlineStr">
        <is>
          <t>N38</t>
        </is>
      </c>
      <c r="D2974" s="0" t="n">
        <v>5.200713</v>
      </c>
    </row>
    <row r="2975">
      <c r="A2975" s="0" t="inlineStr">
        <is>
          <t>DEEP1M</t>
        </is>
      </c>
      <c r="B2975" s="0" t="inlineStr">
        <is>
          <t>O35</t>
        </is>
      </c>
      <c r="C2975" s="0" t="inlineStr">
        <is>
          <t>O38</t>
        </is>
      </c>
      <c r="D2975" s="0" t="n">
        <v>5.0948274</v>
      </c>
    </row>
    <row r="2976">
      <c r="A2976" s="0" t="inlineStr">
        <is>
          <t>DEEP1M</t>
        </is>
      </c>
      <c r="B2976" s="0" t="inlineStr">
        <is>
          <t>P35</t>
        </is>
      </c>
      <c r="C2976" s="0" t="inlineStr">
        <is>
          <t>P38</t>
        </is>
      </c>
      <c r="D2976" s="0" t="n">
        <v>5.0948274</v>
      </c>
    </row>
    <row r="2977">
      <c r="A2977" s="0" t="inlineStr">
        <is>
          <t>DEEP1M</t>
        </is>
      </c>
      <c r="B2977" s="0" t="inlineStr">
        <is>
          <t>Q35</t>
        </is>
      </c>
      <c r="C2977" s="0" t="inlineStr">
        <is>
          <t>Q38</t>
        </is>
      </c>
      <c r="D2977" s="0" t="n">
        <v>5.0948274</v>
      </c>
    </row>
    <row r="2978">
      <c r="A2978" s="0" t="inlineStr">
        <is>
          <t>DEEP1M</t>
        </is>
      </c>
      <c r="B2978" s="0" t="inlineStr">
        <is>
          <t>R35</t>
        </is>
      </c>
      <c r="C2978" s="0" t="inlineStr">
        <is>
          <t>R38</t>
        </is>
      </c>
      <c r="D2978" s="0" t="n">
        <v>6.41377703333333</v>
      </c>
    </row>
    <row r="2979">
      <c r="A2979" s="0" t="inlineStr">
        <is>
          <t>DEEP1M</t>
        </is>
      </c>
      <c r="B2979" s="0" t="inlineStr">
        <is>
          <t>S35</t>
        </is>
      </c>
      <c r="C2979" s="0" t="inlineStr">
        <is>
          <t>S38</t>
        </is>
      </c>
      <c r="D2979" s="0" t="n">
        <v>7.32085555</v>
      </c>
    </row>
    <row r="2980">
      <c r="A2980" s="0" t="inlineStr">
        <is>
          <t>DEEP1M</t>
        </is>
      </c>
      <c r="B2980" s="0" t="inlineStr">
        <is>
          <t>T35</t>
        </is>
      </c>
      <c r="C2980" s="0" t="inlineStr">
        <is>
          <t>T38</t>
        </is>
      </c>
      <c r="D2980" s="0" t="n">
        <v>8.091527900000001</v>
      </c>
    </row>
    <row r="2981">
      <c r="A2981" s="0" t="inlineStr">
        <is>
          <t>DEEP1M</t>
        </is>
      </c>
      <c r="B2981" s="0" t="inlineStr">
        <is>
          <t>U35</t>
        </is>
      </c>
      <c r="C2981" s="0" t="inlineStr">
        <is>
          <t>U38</t>
        </is>
      </c>
      <c r="D2981" s="0" t="n">
        <v>12.7037481</v>
      </c>
    </row>
    <row r="2982">
      <c r="A2982" s="0" t="inlineStr">
        <is>
          <t>DEEP1M</t>
        </is>
      </c>
      <c r="B2982" s="0" t="inlineStr">
        <is>
          <t>V35</t>
        </is>
      </c>
      <c r="C2982" s="0" t="inlineStr">
        <is>
          <t>V38</t>
        </is>
      </c>
      <c r="D2982" s="0" t="n">
        <v>15.4261976166667</v>
      </c>
    </row>
    <row r="2983">
      <c r="A2983" s="0" t="inlineStr">
        <is>
          <t>DEEP1M</t>
        </is>
      </c>
      <c r="B2983" s="0" t="inlineStr">
        <is>
          <t>W35</t>
        </is>
      </c>
      <c r="C2983" s="0" t="inlineStr">
        <is>
          <t>W38</t>
        </is>
      </c>
      <c r="D2983" s="0" t="n">
        <v>15.4261976166667</v>
      </c>
    </row>
    <row r="2984">
      <c r="A2984" s="0" t="inlineStr">
        <is>
          <t>DEEP1M</t>
        </is>
      </c>
      <c r="B2984" s="0" t="inlineStr">
        <is>
          <t>X35</t>
        </is>
      </c>
      <c r="C2984" s="0" t="inlineStr">
        <is>
          <t>X38</t>
        </is>
      </c>
      <c r="D2984" s="0" t="n">
        <v>20.6266154833333</v>
      </c>
    </row>
    <row r="2985">
      <c r="A2985" s="0" t="inlineStr">
        <is>
          <t>DEEP1M</t>
        </is>
      </c>
      <c r="B2985" s="0" t="inlineStr">
        <is>
          <t>Y35</t>
        </is>
      </c>
      <c r="C2985" s="0" t="inlineStr">
        <is>
          <t>Y38</t>
        </is>
      </c>
      <c r="D2985" s="0" t="n">
        <v>20.6266154833333</v>
      </c>
    </row>
    <row r="2986">
      <c r="A2986" s="0" t="inlineStr">
        <is>
          <t>DEEP1M</t>
        </is>
      </c>
      <c r="B2986" s="0" t="inlineStr">
        <is>
          <t>D36</t>
        </is>
      </c>
      <c r="C2986" s="0" t="inlineStr">
        <is>
          <t>D39</t>
        </is>
      </c>
      <c r="D2986" s="0" t="inlineStr">
        <is>
          <t>Ours</t>
        </is>
      </c>
    </row>
    <row r="2987">
      <c r="A2987" s="0" t="inlineStr">
        <is>
          <t>DEEP1M</t>
        </is>
      </c>
      <c r="B2987" s="0" t="inlineStr">
        <is>
          <t>E36</t>
        </is>
      </c>
      <c r="C2987" s="0" t="inlineStr">
        <is>
          <t>E39</t>
        </is>
      </c>
      <c r="D2987" s="0" t="inlineStr">
        <is>
          <t>Recall rate</t>
        </is>
      </c>
    </row>
    <row r="2988">
      <c r="A2988" s="0" t="inlineStr">
        <is>
          <t>DEEP1M</t>
        </is>
      </c>
      <c r="B2988" s="0" t="inlineStr">
        <is>
          <t>F36</t>
        </is>
      </c>
      <c r="C2988" s="0" t="inlineStr">
        <is>
          <t>F39</t>
        </is>
      </c>
      <c r="D2988" s="0" t="n">
        <v>18</v>
      </c>
    </row>
    <row r="2989">
      <c r="A2989" s="0" t="inlineStr">
        <is>
          <t>DEEP1M</t>
        </is>
      </c>
      <c r="B2989" s="0" t="inlineStr">
        <is>
          <t>G36</t>
        </is>
      </c>
      <c r="C2989" s="0" t="inlineStr">
        <is>
          <t>G39</t>
        </is>
      </c>
      <c r="D2989" s="0" t="n">
        <v>26.5</v>
      </c>
    </row>
    <row r="2990">
      <c r="A2990" s="0" t="inlineStr">
        <is>
          <t>DEEP1M</t>
        </is>
      </c>
      <c r="B2990" s="0" t="inlineStr">
        <is>
          <t>H36</t>
        </is>
      </c>
      <c r="C2990" s="0" t="inlineStr">
        <is>
          <t>H39</t>
        </is>
      </c>
      <c r="D2990" s="0" t="n">
        <v>26.5</v>
      </c>
    </row>
    <row r="2991">
      <c r="A2991" s="0" t="inlineStr">
        <is>
          <t>DEEP1M</t>
        </is>
      </c>
      <c r="B2991" s="0" t="inlineStr">
        <is>
          <t>I36</t>
        </is>
      </c>
      <c r="C2991" s="0" t="inlineStr">
        <is>
          <t>I39</t>
        </is>
      </c>
      <c r="D2991" s="0" t="n">
        <v>34</v>
      </c>
    </row>
    <row r="2992">
      <c r="A2992" s="0" t="inlineStr">
        <is>
          <t>DEEP1M</t>
        </is>
      </c>
      <c r="B2992" s="0" t="inlineStr">
        <is>
          <t>J36</t>
        </is>
      </c>
      <c r="C2992" s="0" t="inlineStr">
        <is>
          <t>J39</t>
        </is>
      </c>
      <c r="D2992" s="0" t="n">
        <v>39</v>
      </c>
    </row>
    <row r="2993">
      <c r="A2993" s="0" t="inlineStr">
        <is>
          <t>DEEP1M</t>
        </is>
      </c>
      <c r="B2993" s="0" t="inlineStr">
        <is>
          <t>K36</t>
        </is>
      </c>
      <c r="C2993" s="0" t="inlineStr">
        <is>
          <t>K39</t>
        </is>
      </c>
      <c r="D2993" s="0" t="n">
        <v>44</v>
      </c>
    </row>
    <row r="2994">
      <c r="A2994" s="0" t="inlineStr">
        <is>
          <t>DEEP1M</t>
        </is>
      </c>
      <c r="B2994" s="0" t="inlineStr">
        <is>
          <t>L36</t>
        </is>
      </c>
      <c r="C2994" s="0" t="inlineStr">
        <is>
          <t>L39</t>
        </is>
      </c>
      <c r="D2994" s="0" t="n">
        <v>50</v>
      </c>
    </row>
    <row r="2995">
      <c r="A2995" s="0" t="inlineStr">
        <is>
          <t>DEEP1M</t>
        </is>
      </c>
      <c r="B2995" s="0" t="inlineStr">
        <is>
          <t>M36</t>
        </is>
      </c>
      <c r="C2995" s="0" t="inlineStr">
        <is>
          <t>M39</t>
        </is>
      </c>
      <c r="D2995" s="0" t="n">
        <v>50</v>
      </c>
    </row>
    <row r="2996">
      <c r="A2996" s="0" t="inlineStr">
        <is>
          <t>DEEP1M</t>
        </is>
      </c>
      <c r="B2996" s="0" t="inlineStr">
        <is>
          <t>N36</t>
        </is>
      </c>
      <c r="C2996" s="0" t="inlineStr">
        <is>
          <t>N39</t>
        </is>
      </c>
      <c r="D2996" s="0" t="n">
        <v>58</v>
      </c>
    </row>
    <row r="2997">
      <c r="A2997" s="0" t="inlineStr">
        <is>
          <t>DEEP1M</t>
        </is>
      </c>
      <c r="B2997" s="0" t="inlineStr">
        <is>
          <t>O36</t>
        </is>
      </c>
      <c r="C2997" s="0" t="inlineStr">
        <is>
          <t>O39</t>
        </is>
      </c>
      <c r="D2997" s="0" t="n">
        <v>61.5</v>
      </c>
    </row>
    <row r="2998">
      <c r="A2998" s="0" t="inlineStr">
        <is>
          <t>DEEP1M</t>
        </is>
      </c>
      <c r="B2998" s="0" t="inlineStr">
        <is>
          <t>P36</t>
        </is>
      </c>
      <c r="C2998" s="0" t="inlineStr">
        <is>
          <t>P39</t>
        </is>
      </c>
      <c r="D2998" s="0" t="n">
        <v>73.5</v>
      </c>
    </row>
    <row r="2999">
      <c r="A2999" s="0" t="inlineStr">
        <is>
          <t>DEEP1M</t>
        </is>
      </c>
      <c r="B2999" s="0" t="inlineStr">
        <is>
          <t>Q36</t>
        </is>
      </c>
      <c r="C2999" s="0" t="inlineStr">
        <is>
          <t>Q39</t>
        </is>
      </c>
      <c r="D2999" s="0" t="n">
        <v>73.5</v>
      </c>
    </row>
    <row r="3000">
      <c r="A3000" s="0" t="inlineStr">
        <is>
          <t>DEEP1M</t>
        </is>
      </c>
      <c r="B3000" s="0" t="inlineStr">
        <is>
          <t>R36</t>
        </is>
      </c>
      <c r="C3000" s="0" t="inlineStr">
        <is>
          <t>R39</t>
        </is>
      </c>
      <c r="D3000" s="0" t="n">
        <v>79</v>
      </c>
    </row>
    <row r="3001">
      <c r="A3001" s="0" t="inlineStr">
        <is>
          <t>DEEP1M</t>
        </is>
      </c>
      <c r="B3001" s="0" t="inlineStr">
        <is>
          <t>S36</t>
        </is>
      </c>
      <c r="C3001" s="0" t="inlineStr">
        <is>
          <t>S39</t>
        </is>
      </c>
      <c r="D3001" s="0" t="n">
        <v>86.5</v>
      </c>
    </row>
    <row r="3002">
      <c r="A3002" s="0" t="inlineStr">
        <is>
          <t>DEEP1M</t>
        </is>
      </c>
      <c r="B3002" s="0" t="inlineStr">
        <is>
          <t>T36</t>
        </is>
      </c>
      <c r="C3002" s="0" t="inlineStr">
        <is>
          <t>T39</t>
        </is>
      </c>
      <c r="D3002" s="0" t="n">
        <v>86.5</v>
      </c>
    </row>
    <row r="3003">
      <c r="A3003" s="0" t="inlineStr">
        <is>
          <t>DEEP1M</t>
        </is>
      </c>
      <c r="B3003" s="0" t="inlineStr">
        <is>
          <t>U36</t>
        </is>
      </c>
      <c r="C3003" s="0" t="inlineStr">
        <is>
          <t>U39</t>
        </is>
      </c>
      <c r="D3003" s="0" t="n">
        <v>94.5</v>
      </c>
    </row>
    <row r="3004">
      <c r="A3004" s="0" t="inlineStr">
        <is>
          <t>DEEP1M</t>
        </is>
      </c>
      <c r="B3004" s="0" t="inlineStr">
        <is>
          <t>V36</t>
        </is>
      </c>
      <c r="C3004" s="0" t="inlineStr">
        <is>
          <t>V39</t>
        </is>
      </c>
      <c r="D3004" s="0" t="n">
        <v>97.5</v>
      </c>
    </row>
    <row r="3005">
      <c r="A3005" s="0" t="inlineStr">
        <is>
          <t>DEEP1M</t>
        </is>
      </c>
      <c r="B3005" s="0" t="inlineStr">
        <is>
          <t>W36</t>
        </is>
      </c>
      <c r="C3005" s="0" t="inlineStr">
        <is>
          <t>W39</t>
        </is>
      </c>
      <c r="D3005" s="0" t="n">
        <v>97.5</v>
      </c>
    </row>
    <row r="3006">
      <c r="A3006" s="0" t="inlineStr">
        <is>
          <t>DEEP1M</t>
        </is>
      </c>
      <c r="B3006" s="0" t="inlineStr">
        <is>
          <t>X36</t>
        </is>
      </c>
      <c r="C3006" s="0" t="inlineStr">
        <is>
          <t>X39</t>
        </is>
      </c>
      <c r="D3006" s="0" t="n">
        <v>98.5</v>
      </c>
    </row>
    <row r="3007">
      <c r="A3007" s="0" t="inlineStr">
        <is>
          <t>DEEP1M</t>
        </is>
      </c>
      <c r="B3007" s="0" t="inlineStr">
        <is>
          <t>Y36</t>
        </is>
      </c>
      <c r="C3007" s="0" t="inlineStr">
        <is>
          <t>Y39</t>
        </is>
      </c>
      <c r="D3007" s="0" t="n">
        <v>99</v>
      </c>
    </row>
    <row r="3008">
      <c r="A3008" s="0" t="inlineStr">
        <is>
          <t>DEEP1M</t>
        </is>
      </c>
      <c r="B3008" s="0" t="inlineStr">
        <is>
          <t>E37</t>
        </is>
      </c>
      <c r="C3008" s="0" t="inlineStr">
        <is>
          <t>E40</t>
        </is>
      </c>
      <c r="D3008" s="0" t="inlineStr">
        <is>
          <t>verify time</t>
        </is>
      </c>
    </row>
    <row r="3009">
      <c r="A3009" s="0" t="inlineStr">
        <is>
          <t>DEEP1M</t>
        </is>
      </c>
      <c r="B3009" s="0" t="inlineStr">
        <is>
          <t>F37</t>
        </is>
      </c>
      <c r="C3009" s="0" t="inlineStr">
        <is>
          <t>F40</t>
        </is>
      </c>
      <c r="D3009" s="0" t="n">
        <v>1.27709313333333</v>
      </c>
    </row>
    <row r="3010">
      <c r="A3010" s="0" t="inlineStr">
        <is>
          <t>DEEP1M</t>
        </is>
      </c>
      <c r="B3010" s="0" t="inlineStr">
        <is>
          <t>G37</t>
        </is>
      </c>
      <c r="C3010" s="0" t="inlineStr">
        <is>
          <t>G40</t>
        </is>
      </c>
      <c r="D3010" s="0" t="n">
        <v>1.37510606666667</v>
      </c>
    </row>
    <row r="3011">
      <c r="A3011" s="0" t="inlineStr">
        <is>
          <t>DEEP1M</t>
        </is>
      </c>
      <c r="B3011" s="0" t="inlineStr">
        <is>
          <t>H37</t>
        </is>
      </c>
      <c r="C3011" s="0" t="inlineStr">
        <is>
          <t>H40</t>
        </is>
      </c>
      <c r="D3011" s="0" t="n">
        <v>1.37510606666667</v>
      </c>
    </row>
    <row r="3012">
      <c r="A3012" s="0" t="inlineStr">
        <is>
          <t>DEEP1M</t>
        </is>
      </c>
      <c r="B3012" s="0" t="inlineStr">
        <is>
          <t>I37</t>
        </is>
      </c>
      <c r="C3012" s="0" t="inlineStr">
        <is>
          <t>I40</t>
        </is>
      </c>
      <c r="D3012" s="0" t="n">
        <v>1.69434018333333</v>
      </c>
    </row>
    <row r="3013">
      <c r="A3013" s="0" t="inlineStr">
        <is>
          <t>DEEP1M</t>
        </is>
      </c>
      <c r="B3013" s="0" t="inlineStr">
        <is>
          <t>J37</t>
        </is>
      </c>
      <c r="C3013" s="0" t="inlineStr">
        <is>
          <t>J40</t>
        </is>
      </c>
      <c r="D3013" s="0" t="n">
        <v>1.79743408333333</v>
      </c>
    </row>
    <row r="3014">
      <c r="A3014" s="0" t="inlineStr">
        <is>
          <t>DEEP1M</t>
        </is>
      </c>
      <c r="B3014" s="0" t="inlineStr">
        <is>
          <t>K37</t>
        </is>
      </c>
      <c r="C3014" s="0" t="inlineStr">
        <is>
          <t>K40</t>
        </is>
      </c>
      <c r="D3014" s="0" t="n">
        <v>1.97509066666667</v>
      </c>
    </row>
    <row r="3015">
      <c r="A3015" s="0" t="inlineStr">
        <is>
          <t>DEEP1M</t>
        </is>
      </c>
      <c r="B3015" s="0" t="inlineStr">
        <is>
          <t>L37</t>
        </is>
      </c>
      <c r="C3015" s="0" t="inlineStr">
        <is>
          <t>L40</t>
        </is>
      </c>
      <c r="D3015" s="0" t="n">
        <v>2.04247968333333</v>
      </c>
    </row>
    <row r="3016">
      <c r="A3016" s="0" t="inlineStr">
        <is>
          <t>DEEP1M</t>
        </is>
      </c>
      <c r="B3016" s="0" t="inlineStr">
        <is>
          <t>M37</t>
        </is>
      </c>
      <c r="C3016" s="0" t="inlineStr">
        <is>
          <t>M40</t>
        </is>
      </c>
      <c r="D3016" s="0" t="n">
        <v>2.04247968333333</v>
      </c>
    </row>
    <row r="3017">
      <c r="A3017" s="0" t="inlineStr">
        <is>
          <t>DEEP1M</t>
        </is>
      </c>
      <c r="B3017" s="0" t="inlineStr">
        <is>
          <t>N37</t>
        </is>
      </c>
      <c r="C3017" s="0" t="inlineStr">
        <is>
          <t>N40</t>
        </is>
      </c>
      <c r="D3017" s="0" t="n">
        <v>2.29973163333333</v>
      </c>
    </row>
    <row r="3018">
      <c r="A3018" s="0" t="inlineStr">
        <is>
          <t>DEEP1M</t>
        </is>
      </c>
      <c r="B3018" s="0" t="inlineStr">
        <is>
          <t>O37</t>
        </is>
      </c>
      <c r="C3018" s="0" t="inlineStr">
        <is>
          <t>O40</t>
        </is>
      </c>
      <c r="D3018" s="0" t="n">
        <v>2.38709686666667</v>
      </c>
    </row>
    <row r="3019">
      <c r="A3019" s="0" t="inlineStr">
        <is>
          <t>DEEP1M</t>
        </is>
      </c>
      <c r="B3019" s="0" t="inlineStr">
        <is>
          <t>P37</t>
        </is>
      </c>
      <c r="C3019" s="0" t="inlineStr">
        <is>
          <t>P40</t>
        </is>
      </c>
      <c r="D3019" s="0" t="n">
        <v>2.85541431666667</v>
      </c>
    </row>
    <row r="3020">
      <c r="A3020" s="0" t="inlineStr">
        <is>
          <t>DEEP1M</t>
        </is>
      </c>
      <c r="B3020" s="0" t="inlineStr">
        <is>
          <t>Q37</t>
        </is>
      </c>
      <c r="C3020" s="0" t="inlineStr">
        <is>
          <t>Q40</t>
        </is>
      </c>
      <c r="D3020" s="0" t="n">
        <v>2.85541431666667</v>
      </c>
    </row>
    <row r="3021">
      <c r="A3021" s="0" t="inlineStr">
        <is>
          <t>DEEP1M</t>
        </is>
      </c>
      <c r="B3021" s="0" t="inlineStr">
        <is>
          <t>R37</t>
        </is>
      </c>
      <c r="C3021" s="0" t="inlineStr">
        <is>
          <t>R40</t>
        </is>
      </c>
      <c r="D3021" s="0" t="n">
        <v>3.25884446666667</v>
      </c>
    </row>
    <row r="3022">
      <c r="A3022" s="0" t="inlineStr">
        <is>
          <t>DEEP1M</t>
        </is>
      </c>
      <c r="B3022" s="0" t="inlineStr">
        <is>
          <t>S37</t>
        </is>
      </c>
      <c r="C3022" s="0" t="inlineStr">
        <is>
          <t>S40</t>
        </is>
      </c>
      <c r="D3022" s="0" t="n">
        <v>3.99739765</v>
      </c>
    </row>
    <row r="3023">
      <c r="A3023" s="0" t="inlineStr">
        <is>
          <t>DEEP1M</t>
        </is>
      </c>
      <c r="B3023" s="0" t="inlineStr">
        <is>
          <t>T37</t>
        </is>
      </c>
      <c r="C3023" s="0" t="inlineStr">
        <is>
          <t>T40</t>
        </is>
      </c>
      <c r="D3023" s="0" t="n">
        <v>3.99739765</v>
      </c>
    </row>
    <row r="3024">
      <c r="A3024" s="0" t="inlineStr">
        <is>
          <t>DEEP1M</t>
        </is>
      </c>
      <c r="B3024" s="0" t="inlineStr">
        <is>
          <t>U37</t>
        </is>
      </c>
      <c r="C3024" s="0" t="inlineStr">
        <is>
          <t>U40</t>
        </is>
      </c>
      <c r="D3024" s="0" t="n">
        <v>5.16082628333333</v>
      </c>
    </row>
    <row r="3025">
      <c r="A3025" s="0" t="inlineStr">
        <is>
          <t>DEEP1M</t>
        </is>
      </c>
      <c r="B3025" s="0" t="inlineStr">
        <is>
          <t>V37</t>
        </is>
      </c>
      <c r="C3025" s="0" t="inlineStr">
        <is>
          <t>V40</t>
        </is>
      </c>
      <c r="D3025" s="0" t="n">
        <v>6.1193687</v>
      </c>
    </row>
    <row r="3026">
      <c r="A3026" s="0" t="inlineStr">
        <is>
          <t>DEEP1M</t>
        </is>
      </c>
      <c r="B3026" s="0" t="inlineStr">
        <is>
          <t>W37</t>
        </is>
      </c>
      <c r="C3026" s="0" t="inlineStr">
        <is>
          <t>W40</t>
        </is>
      </c>
      <c r="D3026" s="0" t="n">
        <v>6.1193687</v>
      </c>
    </row>
    <row r="3027">
      <c r="A3027" s="0" t="inlineStr">
        <is>
          <t>DEEP1M</t>
        </is>
      </c>
      <c r="B3027" s="0" t="inlineStr">
        <is>
          <t>X37</t>
        </is>
      </c>
      <c r="C3027" s="0" t="inlineStr">
        <is>
          <t>X40</t>
        </is>
      </c>
      <c r="D3027" s="0" t="n">
        <v>7.86179926666667</v>
      </c>
    </row>
    <row r="3028">
      <c r="A3028" s="0" t="inlineStr">
        <is>
          <t>DEEP1M</t>
        </is>
      </c>
      <c r="B3028" s="0" t="inlineStr">
        <is>
          <t>Y37</t>
        </is>
      </c>
      <c r="C3028" s="0" t="inlineStr">
        <is>
          <t>Y40</t>
        </is>
      </c>
      <c r="D3028" s="0" t="n">
        <v>9.4468192</v>
      </c>
    </row>
    <row r="3029">
      <c r="A3029" s="0" t="inlineStr">
        <is>
          <t>DEEP1M</t>
        </is>
      </c>
      <c r="B3029" s="0" t="inlineStr">
        <is>
          <t>D38</t>
        </is>
      </c>
      <c r="C3029" s="0" t="inlineStr">
        <is>
          <t>D41</t>
        </is>
      </c>
      <c r="D3029" s="0" t="inlineStr">
        <is>
          <t>V3DB（单次）</t>
        </is>
      </c>
    </row>
    <row r="3030">
      <c r="A3030" s="0" t="inlineStr">
        <is>
          <t>DEEP1M</t>
        </is>
      </c>
      <c r="B3030" s="0" t="inlineStr">
        <is>
          <t>E38</t>
        </is>
      </c>
      <c r="C3030" s="0" t="inlineStr">
        <is>
          <t>E41</t>
        </is>
      </c>
      <c r="D3030" s="0" t="inlineStr">
        <is>
          <t>Recall rate</t>
        </is>
      </c>
    </row>
    <row r="3031">
      <c r="A3031" s="0" t="inlineStr">
        <is>
          <t>DEEP1M</t>
        </is>
      </c>
      <c r="B3031" s="0" t="inlineStr">
        <is>
          <t>F38</t>
        </is>
      </c>
      <c r="C3031" s="0" t="inlineStr">
        <is>
          <t>F41</t>
        </is>
      </c>
      <c r="D3031" s="0" t="n">
        <v>23</v>
      </c>
    </row>
    <row r="3032">
      <c r="A3032" s="0" t="inlineStr">
        <is>
          <t>DEEP1M</t>
        </is>
      </c>
      <c r="B3032" s="0" t="inlineStr">
        <is>
          <t>G38</t>
        </is>
      </c>
      <c r="C3032" s="0" t="inlineStr">
        <is>
          <t>G41</t>
        </is>
      </c>
      <c r="D3032" s="0" t="n">
        <v>23</v>
      </c>
    </row>
    <row r="3033">
      <c r="A3033" s="0" t="inlineStr">
        <is>
          <t>DEEP1M</t>
        </is>
      </c>
      <c r="B3033" s="0" t="inlineStr">
        <is>
          <t>H38</t>
        </is>
      </c>
      <c r="C3033" s="0" t="inlineStr">
        <is>
          <t>H41</t>
        </is>
      </c>
      <c r="D3033" s="0" t="n">
        <v>28.5</v>
      </c>
    </row>
    <row r="3034">
      <c r="A3034" s="0" t="inlineStr">
        <is>
          <t>DEEP1M</t>
        </is>
      </c>
      <c r="B3034" s="0" t="inlineStr">
        <is>
          <t>I38</t>
        </is>
      </c>
      <c r="C3034" s="0" t="inlineStr">
        <is>
          <t>I41</t>
        </is>
      </c>
      <c r="D3034" s="0" t="n">
        <v>37</v>
      </c>
    </row>
    <row r="3035">
      <c r="A3035" s="0" t="inlineStr">
        <is>
          <t>DEEP1M</t>
        </is>
      </c>
      <c r="B3035" s="0" t="inlineStr">
        <is>
          <t>J38</t>
        </is>
      </c>
      <c r="C3035" s="0" t="inlineStr">
        <is>
          <t>J41</t>
        </is>
      </c>
      <c r="D3035" s="0" t="n">
        <v>37</v>
      </c>
    </row>
    <row r="3036">
      <c r="A3036" s="0" t="inlineStr">
        <is>
          <t>DEEP1M</t>
        </is>
      </c>
      <c r="B3036" s="0" t="inlineStr">
        <is>
          <t>K38</t>
        </is>
      </c>
      <c r="C3036" s="0" t="inlineStr">
        <is>
          <t>K41</t>
        </is>
      </c>
      <c r="D3036" s="0" t="n">
        <v>57.5</v>
      </c>
    </row>
    <row r="3037">
      <c r="A3037" s="0" t="inlineStr">
        <is>
          <t>DEEP1M</t>
        </is>
      </c>
      <c r="B3037" s="0" t="inlineStr">
        <is>
          <t>L38</t>
        </is>
      </c>
      <c r="C3037" s="0" t="inlineStr">
        <is>
          <t>L41</t>
        </is>
      </c>
      <c r="D3037" s="0" t="n">
        <v>57.5</v>
      </c>
    </row>
    <row r="3038">
      <c r="A3038" s="0" t="inlineStr">
        <is>
          <t>DEEP1M</t>
        </is>
      </c>
      <c r="B3038" s="0" t="inlineStr">
        <is>
          <t>M38</t>
        </is>
      </c>
      <c r="C3038" s="0" t="inlineStr">
        <is>
          <t>M41</t>
        </is>
      </c>
      <c r="D3038" s="0" t="n">
        <v>57.5</v>
      </c>
    </row>
    <row r="3039">
      <c r="A3039" s="0" t="inlineStr">
        <is>
          <t>DEEP1M</t>
        </is>
      </c>
      <c r="B3039" s="0" t="inlineStr">
        <is>
          <t>N38</t>
        </is>
      </c>
      <c r="C3039" s="0" t="inlineStr">
        <is>
          <t>N41</t>
        </is>
      </c>
      <c r="D3039" s="0" t="n">
        <v>57.5</v>
      </c>
    </row>
    <row r="3040">
      <c r="A3040" s="0" t="inlineStr">
        <is>
          <t>DEEP1M</t>
        </is>
      </c>
      <c r="B3040" s="0" t="inlineStr">
        <is>
          <t>O38</t>
        </is>
      </c>
      <c r="C3040" s="0" t="inlineStr">
        <is>
          <t>O41</t>
        </is>
      </c>
      <c r="D3040" s="0" t="n">
        <v>78</v>
      </c>
    </row>
    <row r="3041">
      <c r="A3041" s="0" t="inlineStr">
        <is>
          <t>DEEP1M</t>
        </is>
      </c>
      <c r="B3041" s="0" t="inlineStr">
        <is>
          <t>P38</t>
        </is>
      </c>
      <c r="C3041" s="0" t="inlineStr">
        <is>
          <t>P41</t>
        </is>
      </c>
      <c r="D3041" s="0" t="n">
        <v>78</v>
      </c>
    </row>
    <row r="3042">
      <c r="A3042" s="0" t="inlineStr">
        <is>
          <t>DEEP1M</t>
        </is>
      </c>
      <c r="B3042" s="0" t="inlineStr">
        <is>
          <t>Q38</t>
        </is>
      </c>
      <c r="C3042" s="0" t="inlineStr">
        <is>
          <t>Q41</t>
        </is>
      </c>
      <c r="D3042" s="0" t="n">
        <v>78</v>
      </c>
    </row>
    <row r="3043">
      <c r="A3043" s="0" t="inlineStr">
        <is>
          <t>DEEP1M</t>
        </is>
      </c>
      <c r="B3043" s="0" t="inlineStr">
        <is>
          <t>R38</t>
        </is>
      </c>
      <c r="C3043" s="0" t="inlineStr">
        <is>
          <t>R41</t>
        </is>
      </c>
      <c r="D3043" s="0" t="n">
        <v>78</v>
      </c>
    </row>
    <row r="3044">
      <c r="A3044" s="0" t="inlineStr">
        <is>
          <t>DEEP1M</t>
        </is>
      </c>
      <c r="B3044" s="0" t="inlineStr">
        <is>
          <t>S38</t>
        </is>
      </c>
      <c r="C3044" s="0" t="inlineStr">
        <is>
          <t>S41</t>
        </is>
      </c>
      <c r="D3044" s="0" t="n">
        <v>80</v>
      </c>
    </row>
    <row r="3045">
      <c r="A3045" s="0" t="inlineStr">
        <is>
          <t>DEEP1M</t>
        </is>
      </c>
      <c r="B3045" s="0" t="inlineStr">
        <is>
          <t>T38</t>
        </is>
      </c>
      <c r="C3045" s="0" t="inlineStr">
        <is>
          <t>T41</t>
        </is>
      </c>
      <c r="D3045" s="0" t="n">
        <v>88.5</v>
      </c>
    </row>
    <row r="3046">
      <c r="A3046" s="0" t="inlineStr">
        <is>
          <t>DEEP1M</t>
        </is>
      </c>
      <c r="B3046" s="0" t="inlineStr">
        <is>
          <t>U38</t>
        </is>
      </c>
      <c r="C3046" s="0" t="inlineStr">
        <is>
          <t>U41</t>
        </is>
      </c>
      <c r="D3046" s="0" t="n">
        <v>90</v>
      </c>
    </row>
    <row r="3047">
      <c r="A3047" s="0" t="inlineStr">
        <is>
          <t>DEEP1M</t>
        </is>
      </c>
      <c r="B3047" s="0" t="inlineStr">
        <is>
          <t>V38</t>
        </is>
      </c>
      <c r="C3047" s="0" t="inlineStr">
        <is>
          <t>V41</t>
        </is>
      </c>
      <c r="D3047" s="0" t="n">
        <v>95.5</v>
      </c>
    </row>
    <row r="3048">
      <c r="A3048" s="0" t="inlineStr">
        <is>
          <t>DEEP1M</t>
        </is>
      </c>
      <c r="B3048" s="0" t="inlineStr">
        <is>
          <t>W38</t>
        </is>
      </c>
      <c r="C3048" s="0" t="inlineStr">
        <is>
          <t>W41</t>
        </is>
      </c>
    </row>
    <row r="3049">
      <c r="A3049" s="0" t="inlineStr">
        <is>
          <t>DEEP1M</t>
        </is>
      </c>
      <c r="B3049" s="0" t="inlineStr">
        <is>
          <t>X38</t>
        </is>
      </c>
      <c r="C3049" s="0" t="inlineStr">
        <is>
          <t>X41</t>
        </is>
      </c>
    </row>
    <row r="3050">
      <c r="A3050" s="0" t="inlineStr">
        <is>
          <t>DEEP1M</t>
        </is>
      </c>
      <c r="B3050" s="0" t="inlineStr">
        <is>
          <t>Y38</t>
        </is>
      </c>
      <c r="C3050" s="0" t="inlineStr">
        <is>
          <t>Y41</t>
        </is>
      </c>
    </row>
    <row r="3051">
      <c r="A3051" s="0" t="inlineStr">
        <is>
          <t>DEEP1M</t>
        </is>
      </c>
      <c r="B3051" s="0" t="inlineStr">
        <is>
          <t>E39</t>
        </is>
      </c>
      <c r="C3051" s="0" t="inlineStr">
        <is>
          <t>E42</t>
        </is>
      </c>
      <c r="D3051" s="0" t="inlineStr">
        <is>
          <t>verify time</t>
        </is>
      </c>
    </row>
    <row r="3052">
      <c r="A3052" s="0" t="inlineStr">
        <is>
          <t>DEEP1M</t>
        </is>
      </c>
      <c r="B3052" s="0" t="inlineStr">
        <is>
          <t>F39</t>
        </is>
      </c>
      <c r="C3052" s="0" t="inlineStr">
        <is>
          <t>F42</t>
        </is>
      </c>
      <c r="D3052" s="0" t="n">
        <v>10.2888139999777</v>
      </c>
    </row>
    <row r="3053">
      <c r="A3053" s="0" t="inlineStr">
        <is>
          <t>DEEP1M</t>
        </is>
      </c>
      <c r="B3053" s="0" t="inlineStr">
        <is>
          <t>G39</t>
        </is>
      </c>
      <c r="C3053" s="0" t="inlineStr">
        <is>
          <t>G42</t>
        </is>
      </c>
      <c r="D3053" s="0" t="n">
        <v>10.2888139999777</v>
      </c>
    </row>
    <row r="3054">
      <c r="A3054" s="0" t="inlineStr">
        <is>
          <t>DEEP1M</t>
        </is>
      </c>
      <c r="B3054" s="0" t="inlineStr">
        <is>
          <t>H39</t>
        </is>
      </c>
      <c r="C3054" s="0" t="inlineStr">
        <is>
          <t>H42</t>
        </is>
      </c>
      <c r="D3054" s="0" t="n">
        <v>11.3529679999829</v>
      </c>
    </row>
    <row r="3055">
      <c r="A3055" s="0" t="inlineStr">
        <is>
          <t>DEEP1M</t>
        </is>
      </c>
      <c r="B3055" s="0" t="inlineStr">
        <is>
          <t>I39</t>
        </is>
      </c>
      <c r="C3055" s="0" t="inlineStr">
        <is>
          <t>I42</t>
        </is>
      </c>
      <c r="D3055" s="0" t="n">
        <v>10.8529149999867</v>
      </c>
    </row>
    <row r="3056">
      <c r="A3056" s="0" t="inlineStr">
        <is>
          <t>DEEP1M</t>
        </is>
      </c>
      <c r="B3056" s="0" t="inlineStr">
        <is>
          <t>J39</t>
        </is>
      </c>
      <c r="C3056" s="0" t="inlineStr">
        <is>
          <t>J42</t>
        </is>
      </c>
      <c r="D3056" s="0" t="n">
        <v>10.8529149999867</v>
      </c>
    </row>
    <row r="3057">
      <c r="A3057" s="0" t="inlineStr">
        <is>
          <t>DEEP1M</t>
        </is>
      </c>
      <c r="B3057" s="0" t="inlineStr">
        <is>
          <t>K39</t>
        </is>
      </c>
      <c r="C3057" s="0" t="inlineStr">
        <is>
          <t>K42</t>
        </is>
      </c>
      <c r="D3057" s="0" t="n">
        <v>13.9031009999826</v>
      </c>
    </row>
    <row r="3058">
      <c r="A3058" s="0" t="inlineStr">
        <is>
          <t>DEEP1M</t>
        </is>
      </c>
      <c r="B3058" s="0" t="inlineStr">
        <is>
          <t>L39</t>
        </is>
      </c>
      <c r="C3058" s="0" t="inlineStr">
        <is>
          <t>L42</t>
        </is>
      </c>
      <c r="D3058" s="0" t="n">
        <v>13.9031009999826</v>
      </c>
    </row>
    <row r="3059">
      <c r="A3059" s="0" t="inlineStr">
        <is>
          <t>DEEP1M</t>
        </is>
      </c>
      <c r="B3059" s="0" t="inlineStr">
        <is>
          <t>M39</t>
        </is>
      </c>
      <c r="C3059" s="0" t="inlineStr">
        <is>
          <t>M42</t>
        </is>
      </c>
      <c r="D3059" s="0" t="n">
        <v>13.9031009999826</v>
      </c>
    </row>
    <row r="3060">
      <c r="A3060" s="0" t="inlineStr">
        <is>
          <t>DEEP1M</t>
        </is>
      </c>
      <c r="B3060" s="0" t="inlineStr">
        <is>
          <t>N39</t>
        </is>
      </c>
      <c r="C3060" s="0" t="inlineStr">
        <is>
          <t>N42</t>
        </is>
      </c>
      <c r="D3060" s="0" t="n">
        <v>13.9031009999826</v>
      </c>
    </row>
    <row r="3061">
      <c r="A3061" s="0" t="inlineStr">
        <is>
          <t>DEEP1M</t>
        </is>
      </c>
      <c r="B3061" s="0" t="inlineStr">
        <is>
          <t>O39</t>
        </is>
      </c>
      <c r="C3061" s="0" t="inlineStr">
        <is>
          <t>O42</t>
        </is>
      </c>
      <c r="D3061" s="0" t="n">
        <v>55.9675380063709</v>
      </c>
    </row>
    <row r="3062">
      <c r="A3062" s="0" t="inlineStr">
        <is>
          <t>DEEP1M</t>
        </is>
      </c>
      <c r="B3062" s="0" t="inlineStr">
        <is>
          <t>P39</t>
        </is>
      </c>
      <c r="C3062" s="0" t="inlineStr">
        <is>
          <t>P42</t>
        </is>
      </c>
      <c r="D3062" s="0" t="n">
        <v>55.9675380063709</v>
      </c>
    </row>
    <row r="3063">
      <c r="A3063" s="0" t="inlineStr">
        <is>
          <t>DEEP1M</t>
        </is>
      </c>
      <c r="B3063" s="0" t="inlineStr">
        <is>
          <t>Q39</t>
        </is>
      </c>
      <c r="C3063" s="0" t="inlineStr">
        <is>
          <t>Q42</t>
        </is>
      </c>
      <c r="D3063" s="0" t="n">
        <v>55.9675380063709</v>
      </c>
    </row>
    <row r="3064">
      <c r="A3064" s="0" t="inlineStr">
        <is>
          <t>DEEP1M</t>
        </is>
      </c>
      <c r="B3064" s="0" t="inlineStr">
        <is>
          <t>R39</t>
        </is>
      </c>
      <c r="C3064" s="0" t="inlineStr">
        <is>
          <t>R42</t>
        </is>
      </c>
      <c r="D3064" s="0" t="n">
        <v>55.9675380063709</v>
      </c>
    </row>
    <row r="3065">
      <c r="A3065" s="0" t="inlineStr">
        <is>
          <t>DEEP1M</t>
        </is>
      </c>
      <c r="B3065" s="0" t="inlineStr">
        <is>
          <t>S39</t>
        </is>
      </c>
      <c r="C3065" s="0" t="inlineStr">
        <is>
          <t>S42</t>
        </is>
      </c>
      <c r="D3065" s="0" t="n">
        <v>26.5534298151988</v>
      </c>
    </row>
    <row r="3066">
      <c r="A3066" s="0" t="inlineStr">
        <is>
          <t>DEEP1M</t>
        </is>
      </c>
      <c r="B3066" s="0" t="inlineStr">
        <is>
          <t>T39</t>
        </is>
      </c>
      <c r="C3066" s="0" t="inlineStr">
        <is>
          <t>T42</t>
        </is>
      </c>
      <c r="D3066" s="0" t="n">
        <v>27.7026748306772</v>
      </c>
    </row>
    <row r="3067">
      <c r="A3067" s="0" t="inlineStr">
        <is>
          <t>DEEP1M</t>
        </is>
      </c>
      <c r="B3067" s="0" t="inlineStr">
        <is>
          <t>U39</t>
        </is>
      </c>
      <c r="C3067" s="0" t="inlineStr">
        <is>
          <t>U42</t>
        </is>
      </c>
      <c r="D3067" s="0" t="n">
        <v>27.7026748306772</v>
      </c>
    </row>
    <row r="3068">
      <c r="A3068" s="0" t="inlineStr">
        <is>
          <t>DEEP1M</t>
        </is>
      </c>
      <c r="B3068" s="0" t="inlineStr">
        <is>
          <t>V39</t>
        </is>
      </c>
      <c r="C3068" s="0" t="inlineStr">
        <is>
          <t>V42</t>
        </is>
      </c>
      <c r="D3068" s="0" t="n">
        <v>31.8402555180307</v>
      </c>
    </row>
    <row r="3069">
      <c r="A3069" s="0" t="inlineStr">
        <is>
          <t>DEEP1M</t>
        </is>
      </c>
      <c r="B3069" s="0" t="inlineStr">
        <is>
          <t>W39</t>
        </is>
      </c>
      <c r="C3069" s="0" t="inlineStr">
        <is>
          <t>W42</t>
        </is>
      </c>
    </row>
    <row r="3070">
      <c r="A3070" s="0" t="inlineStr">
        <is>
          <t>DEEP1M</t>
        </is>
      </c>
      <c r="B3070" s="0" t="inlineStr">
        <is>
          <t>X39</t>
        </is>
      </c>
      <c r="C3070" s="0" t="inlineStr">
        <is>
          <t>X42</t>
        </is>
      </c>
    </row>
    <row r="3071">
      <c r="A3071" s="0" t="inlineStr">
        <is>
          <t>DEEP1M</t>
        </is>
      </c>
      <c r="B3071" s="0" t="inlineStr">
        <is>
          <t>Y39</t>
        </is>
      </c>
      <c r="C3071" s="0" t="inlineStr">
        <is>
          <t>Y42</t>
        </is>
      </c>
    </row>
    <row r="3072">
      <c r="A3072" s="0" t="inlineStr">
        <is>
          <t>DEEP1M</t>
        </is>
      </c>
      <c r="B3072" s="0" t="inlineStr">
        <is>
          <t>D40</t>
        </is>
      </c>
      <c r="C3072" s="0" t="inlineStr">
        <is>
          <t>D45</t>
        </is>
      </c>
    </row>
    <row r="3073">
      <c r="A3073" s="0" t="inlineStr">
        <is>
          <t>DEEP1M</t>
        </is>
      </c>
      <c r="B3073" s="0" t="inlineStr">
        <is>
          <t>E40</t>
        </is>
      </c>
      <c r="C3073" s="0" t="inlineStr">
        <is>
          <t>E45</t>
        </is>
      </c>
      <c r="D3073" s="0" t="inlineStr">
        <is>
          <t>Target Recall (%)</t>
        </is>
      </c>
    </row>
    <row r="3074">
      <c r="A3074" s="0" t="inlineStr">
        <is>
          <t>DEEP1M</t>
        </is>
      </c>
      <c r="B3074" s="0" t="inlineStr">
        <is>
          <t>F40</t>
        </is>
      </c>
      <c r="C3074" s="0" t="inlineStr">
        <is>
          <t>F45</t>
        </is>
      </c>
      <c r="D3074" s="0" t="n">
        <v>15</v>
      </c>
    </row>
    <row r="3075">
      <c r="A3075" s="0" t="inlineStr">
        <is>
          <t>DEEP1M</t>
        </is>
      </c>
      <c r="B3075" s="0" t="inlineStr">
        <is>
          <t>G40</t>
        </is>
      </c>
      <c r="C3075" s="0" t="inlineStr">
        <is>
          <t>G45</t>
        </is>
      </c>
      <c r="D3075" s="0" t="n">
        <v>20</v>
      </c>
    </row>
    <row r="3076">
      <c r="A3076" s="0" t="inlineStr">
        <is>
          <t>DEEP1M</t>
        </is>
      </c>
      <c r="B3076" s="0" t="inlineStr">
        <is>
          <t>H40</t>
        </is>
      </c>
      <c r="C3076" s="0" t="inlineStr">
        <is>
          <t>H45</t>
        </is>
      </c>
      <c r="D3076" s="0" t="n">
        <v>25</v>
      </c>
    </row>
    <row r="3077">
      <c r="A3077" s="0" t="inlineStr">
        <is>
          <t>DEEP1M</t>
        </is>
      </c>
      <c r="B3077" s="0" t="inlineStr">
        <is>
          <t>I40</t>
        </is>
      </c>
      <c r="C3077" s="0" t="inlineStr">
        <is>
          <t>I45</t>
        </is>
      </c>
      <c r="D3077" s="0" t="n">
        <v>30</v>
      </c>
    </row>
    <row r="3078">
      <c r="A3078" s="0" t="inlineStr">
        <is>
          <t>DEEP1M</t>
        </is>
      </c>
      <c r="B3078" s="0" t="inlineStr">
        <is>
          <t>J40</t>
        </is>
      </c>
      <c r="C3078" s="0" t="inlineStr">
        <is>
          <t>J45</t>
        </is>
      </c>
      <c r="D3078" s="0" t="n">
        <v>35</v>
      </c>
    </row>
    <row r="3079">
      <c r="A3079" s="0" t="inlineStr">
        <is>
          <t>DEEP1M</t>
        </is>
      </c>
      <c r="B3079" s="0" t="inlineStr">
        <is>
          <t>K40</t>
        </is>
      </c>
      <c r="C3079" s="0" t="inlineStr">
        <is>
          <t>K45</t>
        </is>
      </c>
      <c r="D3079" s="0" t="n">
        <v>40</v>
      </c>
    </row>
    <row r="3080">
      <c r="A3080" s="0" t="inlineStr">
        <is>
          <t>DEEP1M</t>
        </is>
      </c>
      <c r="B3080" s="0" t="inlineStr">
        <is>
          <t>L40</t>
        </is>
      </c>
      <c r="C3080" s="0" t="inlineStr">
        <is>
          <t>L45</t>
        </is>
      </c>
      <c r="D3080" s="0" t="n">
        <v>45</v>
      </c>
    </row>
    <row r="3081">
      <c r="A3081" s="0" t="inlineStr">
        <is>
          <t>DEEP1M</t>
        </is>
      </c>
      <c r="B3081" s="0" t="inlineStr">
        <is>
          <t>M40</t>
        </is>
      </c>
      <c r="C3081" s="0" t="inlineStr">
        <is>
          <t>M45</t>
        </is>
      </c>
      <c r="D3081" s="0" t="n">
        <v>50</v>
      </c>
    </row>
    <row r="3082">
      <c r="A3082" s="0" t="inlineStr">
        <is>
          <t>DEEP1M</t>
        </is>
      </c>
      <c r="B3082" s="0" t="inlineStr">
        <is>
          <t>N40</t>
        </is>
      </c>
      <c r="C3082" s="0" t="inlineStr">
        <is>
          <t>N45</t>
        </is>
      </c>
      <c r="D3082" s="0" t="n">
        <v>55</v>
      </c>
    </row>
    <row r="3083">
      <c r="A3083" s="0" t="inlineStr">
        <is>
          <t>DEEP1M</t>
        </is>
      </c>
      <c r="B3083" s="0" t="inlineStr">
        <is>
          <t>O40</t>
        </is>
      </c>
      <c r="C3083" s="0" t="inlineStr">
        <is>
          <t>O45</t>
        </is>
      </c>
      <c r="D3083" s="0" t="n">
        <v>60</v>
      </c>
    </row>
    <row r="3084">
      <c r="A3084" s="0" t="inlineStr">
        <is>
          <t>DEEP1M</t>
        </is>
      </c>
      <c r="B3084" s="0" t="inlineStr">
        <is>
          <t>P40</t>
        </is>
      </c>
      <c r="C3084" s="0" t="inlineStr">
        <is>
          <t>P45</t>
        </is>
      </c>
      <c r="D3084" s="0" t="n">
        <v>65</v>
      </c>
    </row>
    <row r="3085">
      <c r="A3085" s="0" t="inlineStr">
        <is>
          <t>DEEP1M</t>
        </is>
      </c>
      <c r="B3085" s="0" t="inlineStr">
        <is>
          <t>Q40</t>
        </is>
      </c>
      <c r="C3085" s="0" t="inlineStr">
        <is>
          <t>Q45</t>
        </is>
      </c>
      <c r="D3085" s="0" t="n">
        <v>70</v>
      </c>
    </row>
    <row r="3086">
      <c r="A3086" s="0" t="inlineStr">
        <is>
          <t>DEEP1M</t>
        </is>
      </c>
      <c r="B3086" s="0" t="inlineStr">
        <is>
          <t>R40</t>
        </is>
      </c>
      <c r="C3086" s="0" t="inlineStr">
        <is>
          <t>R45</t>
        </is>
      </c>
      <c r="D3086" s="0" t="n">
        <v>75</v>
      </c>
    </row>
    <row r="3087">
      <c r="A3087" s="0" t="inlineStr">
        <is>
          <t>DEEP1M</t>
        </is>
      </c>
      <c r="B3087" s="0" t="inlineStr">
        <is>
          <t>S40</t>
        </is>
      </c>
      <c r="C3087" s="0" t="inlineStr">
        <is>
          <t>S45</t>
        </is>
      </c>
      <c r="D3087" s="0" t="n">
        <v>80</v>
      </c>
    </row>
    <row r="3088">
      <c r="A3088" s="0" t="inlineStr">
        <is>
          <t>DEEP1M</t>
        </is>
      </c>
      <c r="B3088" s="0" t="inlineStr">
        <is>
          <t>T40</t>
        </is>
      </c>
      <c r="C3088" s="0" t="inlineStr">
        <is>
          <t>T45</t>
        </is>
      </c>
      <c r="D3088" s="0" t="n">
        <v>85</v>
      </c>
    </row>
    <row r="3089">
      <c r="A3089" s="0" t="inlineStr">
        <is>
          <t>DEEP1M</t>
        </is>
      </c>
      <c r="B3089" s="0" t="inlineStr">
        <is>
          <t>U40</t>
        </is>
      </c>
      <c r="C3089" s="0" t="inlineStr">
        <is>
          <t>U45</t>
        </is>
      </c>
      <c r="D3089" s="0" t="n">
        <v>90</v>
      </c>
    </row>
    <row r="3090">
      <c r="A3090" s="0" t="inlineStr">
        <is>
          <t>DEEP1M</t>
        </is>
      </c>
      <c r="B3090" s="0" t="inlineStr">
        <is>
          <t>V40</t>
        </is>
      </c>
      <c r="C3090" s="0" t="inlineStr">
        <is>
          <t>V45</t>
        </is>
      </c>
      <c r="D3090" s="0" t="n">
        <v>95</v>
      </c>
    </row>
    <row r="3091">
      <c r="A3091" s="0" t="inlineStr">
        <is>
          <t>DEEP1M</t>
        </is>
      </c>
      <c r="B3091" s="0" t="inlineStr">
        <is>
          <t>W40</t>
        </is>
      </c>
      <c r="C3091" s="0" t="inlineStr">
        <is>
          <t>W45</t>
        </is>
      </c>
      <c r="D3091" s="0" t="n">
        <v>97</v>
      </c>
    </row>
    <row r="3092">
      <c r="A3092" s="0" t="inlineStr">
        <is>
          <t>DEEP1M</t>
        </is>
      </c>
      <c r="B3092" s="0" t="inlineStr">
        <is>
          <t>X40</t>
        </is>
      </c>
      <c r="C3092" s="0" t="inlineStr">
        <is>
          <t>X45</t>
        </is>
      </c>
      <c r="D3092" s="0" t="n">
        <v>98</v>
      </c>
    </row>
    <row r="3093">
      <c r="A3093" s="0" t="inlineStr">
        <is>
          <t>DEEP1M</t>
        </is>
      </c>
      <c r="B3093" s="0" t="inlineStr">
        <is>
          <t>Y40</t>
        </is>
      </c>
      <c r="C3093" s="0" t="inlineStr">
        <is>
          <t>Y45</t>
        </is>
      </c>
      <c r="D3093" s="0" t="n">
        <v>99</v>
      </c>
    </row>
    <row r="3094">
      <c r="A3094" s="0" t="inlineStr">
        <is>
          <t>DEEP1M</t>
        </is>
      </c>
      <c r="B3094" s="0" t="inlineStr">
        <is>
          <t>E41</t>
        </is>
      </c>
      <c r="C3094" s="0" t="inlineStr">
        <is>
          <t>E46</t>
        </is>
      </c>
      <c r="D3094" s="0" t="inlineStr">
        <is>
          <t>Recall@10 (change parameters enabling different recall rate) vs. query time</t>
        </is>
      </c>
    </row>
    <row r="3095">
      <c r="A3095" s="0" t="inlineStr">
        <is>
          <t>DEEP1M</t>
        </is>
      </c>
      <c r="B3095" s="0" t="inlineStr">
        <is>
          <t>D43</t>
        </is>
      </c>
      <c r="C3095" s="0" t="inlineStr">
        <is>
          <t>D48</t>
        </is>
      </c>
      <c r="D3095" s="0" t="inlineStr">
        <is>
          <t>DEEP1M (N=1,000,000, d=96)</t>
        </is>
      </c>
    </row>
    <row r="3096">
      <c r="A3096" s="0" t="inlineStr">
        <is>
          <t>DEEP1M</t>
        </is>
      </c>
      <c r="B3096" s="0" t="inlineStr">
        <is>
          <t>D44</t>
        </is>
      </c>
      <c r="C3096" s="0" t="inlineStr">
        <is>
          <t>D49</t>
        </is>
      </c>
      <c r="D3096" s="0" t="inlineStr">
        <is>
          <t>VLAH</t>
        </is>
      </c>
    </row>
    <row r="3097">
      <c r="A3097" s="0" t="inlineStr">
        <is>
          <t>DEEP1M</t>
        </is>
      </c>
      <c r="B3097" s="0" t="inlineStr">
        <is>
          <t>E44</t>
        </is>
      </c>
      <c r="C3097" s="0" t="inlineStr">
        <is>
          <t>E49</t>
        </is>
      </c>
      <c r="D3097" s="0" t="inlineStr">
        <is>
          <t>Recall rate</t>
        </is>
      </c>
    </row>
    <row r="3098">
      <c r="A3098" s="0" t="inlineStr">
        <is>
          <t>DEEP1M</t>
        </is>
      </c>
      <c r="B3098" s="0" t="inlineStr">
        <is>
          <t>F44</t>
        </is>
      </c>
      <c r="C3098" s="0" t="inlineStr">
        <is>
          <t>F49</t>
        </is>
      </c>
      <c r="D3098" s="0" t="n">
        <v>27.5</v>
      </c>
    </row>
    <row r="3099">
      <c r="A3099" s="0" t="inlineStr">
        <is>
          <t>DEEP1M</t>
        </is>
      </c>
      <c r="B3099" s="0" t="inlineStr">
        <is>
          <t>G44</t>
        </is>
      </c>
      <c r="C3099" s="0" t="inlineStr">
        <is>
          <t>G49</t>
        </is>
      </c>
      <c r="D3099" s="0" t="n">
        <v>27.5</v>
      </c>
    </row>
    <row r="3100">
      <c r="A3100" s="0" t="inlineStr">
        <is>
          <t>DEEP1M</t>
        </is>
      </c>
      <c r="B3100" s="0" t="inlineStr">
        <is>
          <t>H44</t>
        </is>
      </c>
      <c r="C3100" s="0" t="inlineStr">
        <is>
          <t>H49</t>
        </is>
      </c>
      <c r="D3100" s="0" t="n">
        <v>27.5</v>
      </c>
    </row>
    <row r="3101">
      <c r="A3101" s="0" t="inlineStr">
        <is>
          <t>DEEP1M</t>
        </is>
      </c>
      <c r="B3101" s="0" t="inlineStr">
        <is>
          <t>I44</t>
        </is>
      </c>
      <c r="C3101" s="0" t="inlineStr">
        <is>
          <t>I49</t>
        </is>
      </c>
      <c r="D3101" s="0" t="n">
        <v>33.5</v>
      </c>
    </row>
    <row r="3102">
      <c r="A3102" s="0" t="inlineStr">
        <is>
          <t>DEEP1M</t>
        </is>
      </c>
      <c r="B3102" s="0" t="inlineStr">
        <is>
          <t>J44</t>
        </is>
      </c>
      <c r="C3102" s="0" t="inlineStr">
        <is>
          <t>J49</t>
        </is>
      </c>
      <c r="D3102" s="0" t="n">
        <v>42</v>
      </c>
    </row>
    <row r="3103">
      <c r="A3103" s="0" t="inlineStr">
        <is>
          <t>DEEP1M</t>
        </is>
      </c>
      <c r="B3103" s="0" t="inlineStr">
        <is>
          <t>K44</t>
        </is>
      </c>
      <c r="C3103" s="0" t="inlineStr">
        <is>
          <t>K49</t>
        </is>
      </c>
      <c r="D3103" s="0" t="n">
        <v>42</v>
      </c>
    </row>
    <row r="3104">
      <c r="A3104" s="0" t="inlineStr">
        <is>
          <t>DEEP1M</t>
        </is>
      </c>
      <c r="B3104" s="0" t="inlineStr">
        <is>
          <t>L44</t>
        </is>
      </c>
      <c r="C3104" s="0" t="inlineStr">
        <is>
          <t>L49</t>
        </is>
      </c>
      <c r="D3104" s="0" t="n">
        <v>46.5</v>
      </c>
    </row>
    <row r="3105">
      <c r="A3105" s="0" t="inlineStr">
        <is>
          <t>DEEP1M</t>
        </is>
      </c>
      <c r="B3105" s="0" t="inlineStr">
        <is>
          <t>M44</t>
        </is>
      </c>
      <c r="C3105" s="0" t="inlineStr">
        <is>
          <t>M49</t>
        </is>
      </c>
      <c r="D3105" s="0" t="n">
        <v>51</v>
      </c>
    </row>
    <row r="3106">
      <c r="A3106" s="0" t="inlineStr">
        <is>
          <t>DEEP1M</t>
        </is>
      </c>
      <c r="B3106" s="0" t="inlineStr">
        <is>
          <t>N44</t>
        </is>
      </c>
      <c r="C3106" s="0" t="inlineStr">
        <is>
          <t>N49</t>
        </is>
      </c>
      <c r="D3106" s="0" t="n">
        <v>56</v>
      </c>
    </row>
    <row r="3107">
      <c r="A3107" s="0" t="inlineStr">
        <is>
          <t>DEEP1M</t>
        </is>
      </c>
      <c r="B3107" s="0" t="inlineStr">
        <is>
          <t>O44</t>
        </is>
      </c>
      <c r="C3107" s="0" t="inlineStr">
        <is>
          <t>O49</t>
        </is>
      </c>
      <c r="D3107" s="0" t="n">
        <v>60.5</v>
      </c>
    </row>
    <row r="3108">
      <c r="A3108" s="0" t="inlineStr">
        <is>
          <t>DEEP1M</t>
        </is>
      </c>
      <c r="B3108" s="0" t="inlineStr">
        <is>
          <t>P44</t>
        </is>
      </c>
      <c r="C3108" s="0" t="inlineStr">
        <is>
          <t>P49</t>
        </is>
      </c>
      <c r="D3108" s="0" t="n">
        <v>65.5</v>
      </c>
    </row>
    <row r="3109">
      <c r="A3109" s="0" t="inlineStr">
        <is>
          <t>DEEP1M</t>
        </is>
      </c>
      <c r="B3109" s="0" t="inlineStr">
        <is>
          <t>Q44</t>
        </is>
      </c>
      <c r="C3109" s="0" t="inlineStr">
        <is>
          <t>Q49</t>
        </is>
      </c>
      <c r="D3109" s="0" t="n">
        <v>71</v>
      </c>
    </row>
    <row r="3110">
      <c r="A3110" s="0" t="inlineStr">
        <is>
          <t>DEEP1M</t>
        </is>
      </c>
      <c r="B3110" s="0" t="inlineStr">
        <is>
          <t>R44</t>
        </is>
      </c>
      <c r="C3110" s="0" t="inlineStr">
        <is>
          <t>R49</t>
        </is>
      </c>
      <c r="D3110" s="0" t="n">
        <v>75.5</v>
      </c>
    </row>
    <row r="3111">
      <c r="A3111" s="0" t="inlineStr">
        <is>
          <t>DEEP1M</t>
        </is>
      </c>
      <c r="B3111" s="0" t="inlineStr">
        <is>
          <t>S44</t>
        </is>
      </c>
      <c r="C3111" s="0" t="inlineStr">
        <is>
          <t>S49</t>
        </is>
      </c>
      <c r="D3111" s="0" t="n">
        <v>81.5</v>
      </c>
    </row>
    <row r="3112">
      <c r="A3112" s="0" t="inlineStr">
        <is>
          <t>DEEP1M</t>
        </is>
      </c>
      <c r="B3112" s="0" t="inlineStr">
        <is>
          <t>T44</t>
        </is>
      </c>
      <c r="C3112" s="0" t="inlineStr">
        <is>
          <t>T49</t>
        </is>
      </c>
      <c r="D3112" s="0" t="n">
        <v>86</v>
      </c>
    </row>
    <row r="3113">
      <c r="A3113" s="0" t="inlineStr">
        <is>
          <t>DEEP1M</t>
        </is>
      </c>
      <c r="B3113" s="0" t="inlineStr">
        <is>
          <t>U44</t>
        </is>
      </c>
      <c r="C3113" s="0" t="inlineStr">
        <is>
          <t>U49</t>
        </is>
      </c>
      <c r="D3113" s="0" t="n">
        <v>90</v>
      </c>
    </row>
    <row r="3114">
      <c r="A3114" s="0" t="inlineStr">
        <is>
          <t>DEEP1M</t>
        </is>
      </c>
      <c r="B3114" s="0" t="inlineStr">
        <is>
          <t>V44</t>
        </is>
      </c>
      <c r="C3114" s="0" t="inlineStr">
        <is>
          <t>V49</t>
        </is>
      </c>
      <c r="D3114" s="0" t="n">
        <v>95</v>
      </c>
    </row>
    <row r="3115">
      <c r="A3115" s="0" t="inlineStr">
        <is>
          <t>DEEP1M</t>
        </is>
      </c>
      <c r="B3115" s="0" t="inlineStr">
        <is>
          <t>W44</t>
        </is>
      </c>
      <c r="C3115" s="0" t="inlineStr">
        <is>
          <t>W49</t>
        </is>
      </c>
      <c r="D3115" s="0" t="n">
        <v>98</v>
      </c>
    </row>
    <row r="3116">
      <c r="A3116" s="0" t="inlineStr">
        <is>
          <t>DEEP1M</t>
        </is>
      </c>
      <c r="B3116" s="0" t="inlineStr">
        <is>
          <t>X44</t>
        </is>
      </c>
      <c r="C3116" s="0" t="inlineStr">
        <is>
          <t>X49</t>
        </is>
      </c>
      <c r="D3116" s="0" t="n">
        <v>98</v>
      </c>
    </row>
    <row r="3117">
      <c r="A3117" s="0" t="inlineStr">
        <is>
          <t>DEEP1M</t>
        </is>
      </c>
      <c r="B3117" s="0" t="inlineStr">
        <is>
          <t>Y44</t>
        </is>
      </c>
      <c r="C3117" s="0" t="inlineStr">
        <is>
          <t>Y49</t>
        </is>
      </c>
      <c r="D3117" s="0" t="n">
        <v>99</v>
      </c>
    </row>
    <row r="3118">
      <c r="A3118" s="0" t="inlineStr">
        <is>
          <t>DEEP1M</t>
        </is>
      </c>
      <c r="B3118" s="0" t="inlineStr">
        <is>
          <t>E45</t>
        </is>
      </c>
      <c r="C3118" s="0" t="inlineStr">
        <is>
          <t>E50</t>
        </is>
      </c>
      <c r="D3118" s="0" t="inlineStr">
        <is>
          <t>query time</t>
        </is>
      </c>
    </row>
    <row r="3119">
      <c r="A3119" s="0" t="inlineStr">
        <is>
          <t>DEEP1M</t>
        </is>
      </c>
      <c r="B3119" s="0" t="inlineStr">
        <is>
          <t>F45</t>
        </is>
      </c>
      <c r="C3119" s="0" t="inlineStr">
        <is>
          <t>F50</t>
        </is>
      </c>
      <c r="D3119" s="0" t="n">
        <v>2.08422323333333</v>
      </c>
    </row>
    <row r="3120">
      <c r="A3120" s="0" t="inlineStr">
        <is>
          <t>DEEP1M</t>
        </is>
      </c>
      <c r="B3120" s="0" t="inlineStr">
        <is>
          <t>G45</t>
        </is>
      </c>
      <c r="C3120" s="0" t="inlineStr">
        <is>
          <t>G50</t>
        </is>
      </c>
      <c r="D3120" s="0" t="n">
        <v>2.08422323333333</v>
      </c>
    </row>
    <row r="3121">
      <c r="A3121" s="0" t="inlineStr">
        <is>
          <t>DEEP1M</t>
        </is>
      </c>
      <c r="B3121" s="0" t="inlineStr">
        <is>
          <t>H45</t>
        </is>
      </c>
      <c r="C3121" s="0" t="inlineStr">
        <is>
          <t>H50</t>
        </is>
      </c>
      <c r="D3121" s="0" t="n">
        <v>2.08422323333333</v>
      </c>
    </row>
    <row r="3122">
      <c r="A3122" s="0" t="inlineStr">
        <is>
          <t>DEEP1M</t>
        </is>
      </c>
      <c r="B3122" s="0" t="inlineStr">
        <is>
          <t>I45</t>
        </is>
      </c>
      <c r="C3122" s="0" t="inlineStr">
        <is>
          <t>I50</t>
        </is>
      </c>
      <c r="D3122" s="0" t="n">
        <v>4.18868728333333</v>
      </c>
    </row>
    <row r="3123">
      <c r="A3123" s="0" t="inlineStr">
        <is>
          <t>DEEP1M</t>
        </is>
      </c>
      <c r="B3123" s="0" t="inlineStr">
        <is>
          <t>J45</t>
        </is>
      </c>
      <c r="C3123" s="0" t="inlineStr">
        <is>
          <t>J50</t>
        </is>
      </c>
      <c r="D3123" s="0" t="n">
        <v>6.51949951666667</v>
      </c>
    </row>
    <row r="3124">
      <c r="A3124" s="0" t="inlineStr">
        <is>
          <t>DEEP1M</t>
        </is>
      </c>
      <c r="B3124" s="0" t="inlineStr">
        <is>
          <t>K45</t>
        </is>
      </c>
      <c r="C3124" s="0" t="inlineStr">
        <is>
          <t>K50</t>
        </is>
      </c>
      <c r="D3124" s="0" t="n">
        <v>6.51949951666667</v>
      </c>
    </row>
    <row r="3125">
      <c r="A3125" s="0" t="inlineStr">
        <is>
          <t>DEEP1M</t>
        </is>
      </c>
      <c r="B3125" s="0" t="inlineStr">
        <is>
          <t>L45</t>
        </is>
      </c>
      <c r="C3125" s="0" t="inlineStr">
        <is>
          <t>L50</t>
        </is>
      </c>
      <c r="D3125" s="0" t="n">
        <v>8.62520518333333</v>
      </c>
    </row>
    <row r="3126">
      <c r="A3126" s="0" t="inlineStr">
        <is>
          <t>DEEP1M</t>
        </is>
      </c>
      <c r="B3126" s="0" t="inlineStr">
        <is>
          <t>M45</t>
        </is>
      </c>
      <c r="C3126" s="0" t="inlineStr">
        <is>
          <t>M50</t>
        </is>
      </c>
      <c r="D3126" s="0" t="n">
        <v>11.0123508333333</v>
      </c>
    </row>
    <row r="3127">
      <c r="A3127" s="0" t="inlineStr">
        <is>
          <t>DEEP1M</t>
        </is>
      </c>
      <c r="B3127" s="0" t="inlineStr">
        <is>
          <t>N45</t>
        </is>
      </c>
      <c r="C3127" s="0" t="inlineStr">
        <is>
          <t>N50</t>
        </is>
      </c>
      <c r="D3127" s="0" t="n">
        <v>15.35423605</v>
      </c>
    </row>
    <row r="3128">
      <c r="A3128" s="0" t="inlineStr">
        <is>
          <t>DEEP1M</t>
        </is>
      </c>
      <c r="B3128" s="0" t="inlineStr">
        <is>
          <t>O45</t>
        </is>
      </c>
      <c r="C3128" s="0" t="inlineStr">
        <is>
          <t>O50</t>
        </is>
      </c>
      <c r="D3128" s="0" t="n">
        <v>19.13366525</v>
      </c>
    </row>
    <row r="3129">
      <c r="A3129" s="0" t="inlineStr">
        <is>
          <t>DEEP1M</t>
        </is>
      </c>
      <c r="B3129" s="0" t="inlineStr">
        <is>
          <t>P45</t>
        </is>
      </c>
      <c r="C3129" s="0" t="inlineStr">
        <is>
          <t>P50</t>
        </is>
      </c>
      <c r="D3129" s="0" t="n">
        <v>25.5380965</v>
      </c>
    </row>
    <row r="3130">
      <c r="A3130" s="0" t="inlineStr">
        <is>
          <t>DEEP1M</t>
        </is>
      </c>
      <c r="B3130" s="0" t="inlineStr">
        <is>
          <t>Q45</t>
        </is>
      </c>
      <c r="C3130" s="0" t="inlineStr">
        <is>
          <t>Q50</t>
        </is>
      </c>
      <c r="D3130" s="0" t="n">
        <v>39.99110205</v>
      </c>
    </row>
    <row r="3131">
      <c r="A3131" s="0" t="inlineStr">
        <is>
          <t>DEEP1M</t>
        </is>
      </c>
      <c r="B3131" s="0" t="inlineStr">
        <is>
          <t>R45</t>
        </is>
      </c>
      <c r="C3131" s="0" t="inlineStr">
        <is>
          <t>R50</t>
        </is>
      </c>
      <c r="D3131" s="0" t="n">
        <v>44.5284999666667</v>
      </c>
    </row>
    <row r="3132">
      <c r="A3132" s="0" t="inlineStr">
        <is>
          <t>DEEP1M</t>
        </is>
      </c>
      <c r="B3132" s="0" t="inlineStr">
        <is>
          <t>S45</t>
        </is>
      </c>
      <c r="C3132" s="0" t="inlineStr">
        <is>
          <t>S50</t>
        </is>
      </c>
      <c r="D3132" s="0" t="n">
        <v>55.1920517166667</v>
      </c>
    </row>
    <row r="3133">
      <c r="A3133" s="0" t="inlineStr">
        <is>
          <t>DEEP1M</t>
        </is>
      </c>
      <c r="B3133" s="0" t="inlineStr">
        <is>
          <t>T45</t>
        </is>
      </c>
      <c r="C3133" s="0" t="inlineStr">
        <is>
          <t>T50</t>
        </is>
      </c>
      <c r="D3133" s="0" t="n">
        <v>70.88948418333329</v>
      </c>
    </row>
    <row r="3134">
      <c r="A3134" s="0" t="inlineStr">
        <is>
          <t>DEEP1M</t>
        </is>
      </c>
      <c r="B3134" s="0" t="inlineStr">
        <is>
          <t>U45</t>
        </is>
      </c>
      <c r="C3134" s="0" t="inlineStr">
        <is>
          <t>U50</t>
        </is>
      </c>
      <c r="D3134" s="0" t="n">
        <v>90.9629803833333</v>
      </c>
    </row>
    <row r="3135">
      <c r="A3135" s="0" t="inlineStr">
        <is>
          <t>DEEP1M</t>
        </is>
      </c>
      <c r="B3135" s="0" t="inlineStr">
        <is>
          <t>V45</t>
        </is>
      </c>
      <c r="C3135" s="0" t="inlineStr">
        <is>
          <t>V50</t>
        </is>
      </c>
      <c r="D3135" s="0" t="n">
        <v>106.513872866667</v>
      </c>
    </row>
    <row r="3136">
      <c r="A3136" s="0" t="inlineStr">
        <is>
          <t>DEEP1M</t>
        </is>
      </c>
      <c r="B3136" s="0" t="inlineStr">
        <is>
          <t>W45</t>
        </is>
      </c>
      <c r="C3136" s="0" t="inlineStr">
        <is>
          <t>W50</t>
        </is>
      </c>
      <c r="D3136" s="0" t="n">
        <v>117.3229633</v>
      </c>
    </row>
    <row r="3137">
      <c r="A3137" s="0" t="inlineStr">
        <is>
          <t>DEEP1M</t>
        </is>
      </c>
      <c r="B3137" s="0" t="inlineStr">
        <is>
          <t>X45</t>
        </is>
      </c>
      <c r="C3137" s="0" t="inlineStr">
        <is>
          <t>X50</t>
        </is>
      </c>
      <c r="D3137" s="0" t="n">
        <v>117.3229633</v>
      </c>
    </row>
    <row r="3138">
      <c r="A3138" s="0" t="inlineStr">
        <is>
          <t>DEEP1M</t>
        </is>
      </c>
      <c r="B3138" s="0" t="inlineStr">
        <is>
          <t>Y45</t>
        </is>
      </c>
      <c r="C3138" s="0" t="inlineStr">
        <is>
          <t>Y50</t>
        </is>
      </c>
      <c r="D3138" s="0" t="n">
        <v>120.407316883333</v>
      </c>
    </row>
    <row r="3139">
      <c r="A3139" s="0" t="inlineStr">
        <is>
          <t>DEEP1M</t>
        </is>
      </c>
      <c r="B3139" s="0" t="inlineStr">
        <is>
          <t>D46</t>
        </is>
      </c>
      <c r="C3139" s="0" t="inlineStr">
        <is>
          <t>D51</t>
        </is>
      </c>
      <c r="D3139" s="0" t="inlineStr">
        <is>
          <t>ANNProof</t>
        </is>
      </c>
    </row>
    <row r="3140">
      <c r="A3140" s="0" t="inlineStr">
        <is>
          <t>DEEP1M</t>
        </is>
      </c>
      <c r="B3140" s="0" t="inlineStr">
        <is>
          <t>E46</t>
        </is>
      </c>
      <c r="C3140" s="0" t="inlineStr">
        <is>
          <t>E51</t>
        </is>
      </c>
      <c r="D3140" s="0" t="inlineStr">
        <is>
          <t>Recall rate</t>
        </is>
      </c>
    </row>
    <row r="3141">
      <c r="A3141" s="0" t="inlineStr">
        <is>
          <t>DEEP1M</t>
        </is>
      </c>
      <c r="B3141" s="0" t="inlineStr">
        <is>
          <t>F46</t>
        </is>
      </c>
      <c r="C3141" s="0" t="inlineStr">
        <is>
          <t>F51</t>
        </is>
      </c>
      <c r="D3141" s="0" t="n">
        <v>71</v>
      </c>
    </row>
    <row r="3142">
      <c r="A3142" s="0" t="inlineStr">
        <is>
          <t>DEEP1M</t>
        </is>
      </c>
      <c r="B3142" s="0" t="inlineStr">
        <is>
          <t>G46</t>
        </is>
      </c>
      <c r="C3142" s="0" t="inlineStr">
        <is>
          <t>G51</t>
        </is>
      </c>
      <c r="D3142" s="0" t="n">
        <v>71</v>
      </c>
    </row>
    <row r="3143">
      <c r="A3143" s="0" t="inlineStr">
        <is>
          <t>DEEP1M</t>
        </is>
      </c>
      <c r="B3143" s="0" t="inlineStr">
        <is>
          <t>H46</t>
        </is>
      </c>
      <c r="C3143" s="0" t="inlineStr">
        <is>
          <t>H51</t>
        </is>
      </c>
      <c r="D3143" s="0" t="n">
        <v>71</v>
      </c>
    </row>
    <row r="3144">
      <c r="A3144" s="0" t="inlineStr">
        <is>
          <t>DEEP1M</t>
        </is>
      </c>
      <c r="B3144" s="0" t="inlineStr">
        <is>
          <t>I46</t>
        </is>
      </c>
      <c r="C3144" s="0" t="inlineStr">
        <is>
          <t>I51</t>
        </is>
      </c>
      <c r="D3144" s="0" t="n">
        <v>71</v>
      </c>
    </row>
    <row r="3145">
      <c r="A3145" s="0" t="inlineStr">
        <is>
          <t>DEEP1M</t>
        </is>
      </c>
      <c r="B3145" s="0" t="inlineStr">
        <is>
          <t>J46</t>
        </is>
      </c>
      <c r="C3145" s="0" t="inlineStr">
        <is>
          <t>J51</t>
        </is>
      </c>
      <c r="D3145" s="0" t="n">
        <v>71</v>
      </c>
    </row>
    <row r="3146">
      <c r="A3146" s="0" t="inlineStr">
        <is>
          <t>DEEP1M</t>
        </is>
      </c>
      <c r="B3146" s="0" t="inlineStr">
        <is>
          <t>K46</t>
        </is>
      </c>
      <c r="C3146" s="0" t="inlineStr">
        <is>
          <t>K51</t>
        </is>
      </c>
      <c r="D3146" s="0" t="n">
        <v>71</v>
      </c>
    </row>
    <row r="3147">
      <c r="A3147" s="0" t="inlineStr">
        <is>
          <t>DEEP1M</t>
        </is>
      </c>
      <c r="B3147" s="0" t="inlineStr">
        <is>
          <t>L46</t>
        </is>
      </c>
      <c r="C3147" s="0" t="inlineStr">
        <is>
          <t>L51</t>
        </is>
      </c>
      <c r="D3147" s="0" t="n">
        <v>71</v>
      </c>
    </row>
    <row r="3148">
      <c r="A3148" s="0" t="inlineStr">
        <is>
          <t>DEEP1M</t>
        </is>
      </c>
      <c r="B3148" s="0" t="inlineStr">
        <is>
          <t>M46</t>
        </is>
      </c>
      <c r="C3148" s="0" t="inlineStr">
        <is>
          <t>M51</t>
        </is>
      </c>
      <c r="D3148" s="0" t="n">
        <v>71</v>
      </c>
    </row>
    <row r="3149">
      <c r="A3149" s="0" t="inlineStr">
        <is>
          <t>DEEP1M</t>
        </is>
      </c>
      <c r="B3149" s="0" t="inlineStr">
        <is>
          <t>N46</t>
        </is>
      </c>
      <c r="C3149" s="0" t="inlineStr">
        <is>
          <t>N51</t>
        </is>
      </c>
      <c r="D3149" s="0" t="n">
        <v>71</v>
      </c>
    </row>
    <row r="3150">
      <c r="A3150" s="0" t="inlineStr">
        <is>
          <t>DEEP1M</t>
        </is>
      </c>
      <c r="B3150" s="0" t="inlineStr">
        <is>
          <t>O46</t>
        </is>
      </c>
      <c r="C3150" s="0" t="inlineStr">
        <is>
          <t>O51</t>
        </is>
      </c>
      <c r="D3150" s="0" t="n">
        <v>71</v>
      </c>
    </row>
    <row r="3151">
      <c r="A3151" s="0" t="inlineStr">
        <is>
          <t>DEEP1M</t>
        </is>
      </c>
      <c r="B3151" s="0" t="inlineStr">
        <is>
          <t>P46</t>
        </is>
      </c>
      <c r="C3151" s="0" t="inlineStr">
        <is>
          <t>P51</t>
        </is>
      </c>
      <c r="D3151" s="0" t="n">
        <v>71</v>
      </c>
    </row>
    <row r="3152">
      <c r="A3152" s="0" t="inlineStr">
        <is>
          <t>DEEP1M</t>
        </is>
      </c>
      <c r="B3152" s="0" t="inlineStr">
        <is>
          <t>Q46</t>
        </is>
      </c>
      <c r="C3152" s="0" t="inlineStr">
        <is>
          <t>Q51</t>
        </is>
      </c>
      <c r="D3152" s="0" t="n">
        <v>71</v>
      </c>
    </row>
    <row r="3153">
      <c r="A3153" s="0" t="inlineStr">
        <is>
          <t>DEEP1M</t>
        </is>
      </c>
      <c r="B3153" s="0" t="inlineStr">
        <is>
          <t>R46</t>
        </is>
      </c>
      <c r="C3153" s="0" t="inlineStr">
        <is>
          <t>R51</t>
        </is>
      </c>
      <c r="D3153" s="0" t="n">
        <v>78</v>
      </c>
    </row>
    <row r="3154">
      <c r="A3154" s="0" t="inlineStr">
        <is>
          <t>DEEP1M</t>
        </is>
      </c>
      <c r="B3154" s="0" t="inlineStr">
        <is>
          <t>S46</t>
        </is>
      </c>
      <c r="C3154" s="0" t="inlineStr">
        <is>
          <t>S51</t>
        </is>
      </c>
      <c r="D3154" s="0" t="n">
        <v>82.5</v>
      </c>
    </row>
    <row r="3155">
      <c r="A3155" s="0" t="inlineStr">
        <is>
          <t>DEEP1M</t>
        </is>
      </c>
      <c r="B3155" s="0" t="inlineStr">
        <is>
          <t>T46</t>
        </is>
      </c>
      <c r="C3155" s="0" t="inlineStr">
        <is>
          <t>T51</t>
        </is>
      </c>
      <c r="D3155" s="0" t="n">
        <v>86.5</v>
      </c>
    </row>
    <row r="3156">
      <c r="A3156" s="0" t="inlineStr">
        <is>
          <t>DEEP1M</t>
        </is>
      </c>
      <c r="B3156" s="0" t="inlineStr">
        <is>
          <t>U46</t>
        </is>
      </c>
      <c r="C3156" s="0" t="inlineStr">
        <is>
          <t>U51</t>
        </is>
      </c>
      <c r="D3156" s="0" t="n">
        <v>94.5</v>
      </c>
    </row>
    <row r="3157">
      <c r="A3157" s="0" t="inlineStr">
        <is>
          <t>DEEP1M</t>
        </is>
      </c>
      <c r="B3157" s="0" t="inlineStr">
        <is>
          <t>V46</t>
        </is>
      </c>
      <c r="C3157" s="0" t="inlineStr">
        <is>
          <t>V51</t>
        </is>
      </c>
      <c r="D3157" s="0" t="n">
        <v>97.5</v>
      </c>
    </row>
    <row r="3158">
      <c r="A3158" s="0" t="inlineStr">
        <is>
          <t>DEEP1M</t>
        </is>
      </c>
      <c r="B3158" s="0" t="inlineStr">
        <is>
          <t>W46</t>
        </is>
      </c>
      <c r="C3158" s="0" t="inlineStr">
        <is>
          <t>W51</t>
        </is>
      </c>
      <c r="D3158" s="0" t="n">
        <v>97.5</v>
      </c>
    </row>
    <row r="3159">
      <c r="A3159" s="0" t="inlineStr">
        <is>
          <t>DEEP1M</t>
        </is>
      </c>
      <c r="B3159" s="0" t="inlineStr">
        <is>
          <t>X46</t>
        </is>
      </c>
      <c r="C3159" s="0" t="inlineStr">
        <is>
          <t>X51</t>
        </is>
      </c>
      <c r="D3159" s="0" t="n">
        <v>99.5</v>
      </c>
    </row>
    <row r="3160">
      <c r="A3160" s="0" t="inlineStr">
        <is>
          <t>DEEP1M</t>
        </is>
      </c>
      <c r="B3160" s="0" t="inlineStr">
        <is>
          <t>Y46</t>
        </is>
      </c>
      <c r="C3160" s="0" t="inlineStr">
        <is>
          <t>Y51</t>
        </is>
      </c>
      <c r="D3160" s="0" t="n">
        <v>99.5</v>
      </c>
    </row>
    <row r="3161">
      <c r="A3161" s="0" t="inlineStr">
        <is>
          <t>DEEP1M</t>
        </is>
      </c>
      <c r="B3161" s="0" t="inlineStr">
        <is>
          <t>E47</t>
        </is>
      </c>
      <c r="C3161" s="0" t="inlineStr">
        <is>
          <t>E52</t>
        </is>
      </c>
      <c r="D3161" s="0" t="inlineStr">
        <is>
          <t>query time</t>
        </is>
      </c>
    </row>
    <row r="3162">
      <c r="A3162" s="0" t="inlineStr">
        <is>
          <t>DEEP1M</t>
        </is>
      </c>
      <c r="B3162" s="0" t="inlineStr">
        <is>
          <t>F47</t>
        </is>
      </c>
      <c r="C3162" s="0" t="inlineStr">
        <is>
          <t>F52</t>
        </is>
      </c>
      <c r="D3162" s="0" t="n">
        <v>1.04057065</v>
      </c>
    </row>
    <row r="3163">
      <c r="A3163" s="0" t="inlineStr">
        <is>
          <t>DEEP1M</t>
        </is>
      </c>
      <c r="B3163" s="0" t="inlineStr">
        <is>
          <t>G47</t>
        </is>
      </c>
      <c r="C3163" s="0" t="inlineStr">
        <is>
          <t>G52</t>
        </is>
      </c>
      <c r="D3163" s="0" t="n">
        <v>1.04057065</v>
      </c>
    </row>
    <row r="3164">
      <c r="A3164" s="0" t="inlineStr">
        <is>
          <t>DEEP1M</t>
        </is>
      </c>
      <c r="B3164" s="0" t="inlineStr">
        <is>
          <t>H47</t>
        </is>
      </c>
      <c r="C3164" s="0" t="inlineStr">
        <is>
          <t>H52</t>
        </is>
      </c>
      <c r="D3164" s="0" t="n">
        <v>1.04057065</v>
      </c>
    </row>
    <row r="3165">
      <c r="A3165" s="0" t="inlineStr">
        <is>
          <t>DEEP1M</t>
        </is>
      </c>
      <c r="B3165" s="0" t="inlineStr">
        <is>
          <t>I47</t>
        </is>
      </c>
      <c r="C3165" s="0" t="inlineStr">
        <is>
          <t>I52</t>
        </is>
      </c>
      <c r="D3165" s="0" t="n">
        <v>1.04057065</v>
      </c>
    </row>
    <row r="3166">
      <c r="A3166" s="0" t="inlineStr">
        <is>
          <t>DEEP1M</t>
        </is>
      </c>
      <c r="B3166" s="0" t="inlineStr">
        <is>
          <t>J47</t>
        </is>
      </c>
      <c r="C3166" s="0" t="inlineStr">
        <is>
          <t>J52</t>
        </is>
      </c>
      <c r="D3166" s="0" t="n">
        <v>1.04057065</v>
      </c>
    </row>
    <row r="3167">
      <c r="A3167" s="0" t="inlineStr">
        <is>
          <t>DEEP1M</t>
        </is>
      </c>
      <c r="B3167" s="0" t="inlineStr">
        <is>
          <t>K47</t>
        </is>
      </c>
      <c r="C3167" s="0" t="inlineStr">
        <is>
          <t>K52</t>
        </is>
      </c>
      <c r="D3167" s="0" t="n">
        <v>1.04057065</v>
      </c>
    </row>
    <row r="3168">
      <c r="A3168" s="0" t="inlineStr">
        <is>
          <t>DEEP1M</t>
        </is>
      </c>
      <c r="B3168" s="0" t="inlineStr">
        <is>
          <t>L47</t>
        </is>
      </c>
      <c r="C3168" s="0" t="inlineStr">
        <is>
          <t>L52</t>
        </is>
      </c>
      <c r="D3168" s="0" t="n">
        <v>1.04057065</v>
      </c>
    </row>
    <row r="3169">
      <c r="A3169" s="0" t="inlineStr">
        <is>
          <t>DEEP1M</t>
        </is>
      </c>
      <c r="B3169" s="0" t="inlineStr">
        <is>
          <t>M47</t>
        </is>
      </c>
      <c r="C3169" s="0" t="inlineStr">
        <is>
          <t>M52</t>
        </is>
      </c>
      <c r="D3169" s="0" t="n">
        <v>1.04057065</v>
      </c>
    </row>
    <row r="3170">
      <c r="A3170" s="0" t="inlineStr">
        <is>
          <t>DEEP1M</t>
        </is>
      </c>
      <c r="B3170" s="0" t="inlineStr">
        <is>
          <t>N47</t>
        </is>
      </c>
      <c r="C3170" s="0" t="inlineStr">
        <is>
          <t>N52</t>
        </is>
      </c>
      <c r="D3170" s="0" t="n">
        <v>1.04057065</v>
      </c>
    </row>
    <row r="3171">
      <c r="A3171" s="0" t="inlineStr">
        <is>
          <t>DEEP1M</t>
        </is>
      </c>
      <c r="B3171" s="0" t="inlineStr">
        <is>
          <t>O47</t>
        </is>
      </c>
      <c r="C3171" s="0" t="inlineStr">
        <is>
          <t>O52</t>
        </is>
      </c>
      <c r="D3171" s="0" t="n">
        <v>0.9670758</v>
      </c>
    </row>
    <row r="3172">
      <c r="A3172" s="0" t="inlineStr">
        <is>
          <t>DEEP1M</t>
        </is>
      </c>
      <c r="B3172" s="0" t="inlineStr">
        <is>
          <t>P47</t>
        </is>
      </c>
      <c r="C3172" s="0" t="inlineStr">
        <is>
          <t>P52</t>
        </is>
      </c>
      <c r="D3172" s="0" t="n">
        <v>0.9670758</v>
      </c>
    </row>
    <row r="3173">
      <c r="A3173" s="0" t="inlineStr">
        <is>
          <t>DEEP1M</t>
        </is>
      </c>
      <c r="B3173" s="0" t="inlineStr">
        <is>
          <t>Q47</t>
        </is>
      </c>
      <c r="C3173" s="0" t="inlineStr">
        <is>
          <t>Q52</t>
        </is>
      </c>
      <c r="D3173" s="0" t="n">
        <v>0.9670758</v>
      </c>
    </row>
    <row r="3174">
      <c r="A3174" s="0" t="inlineStr">
        <is>
          <t>DEEP1M</t>
        </is>
      </c>
      <c r="B3174" s="0" t="inlineStr">
        <is>
          <t>R47</t>
        </is>
      </c>
      <c r="C3174" s="0" t="inlineStr">
        <is>
          <t>R52</t>
        </is>
      </c>
      <c r="D3174" s="0" t="n">
        <v>1.19571215</v>
      </c>
    </row>
    <row r="3175">
      <c r="A3175" s="0" t="inlineStr">
        <is>
          <t>DEEP1M</t>
        </is>
      </c>
      <c r="B3175" s="0" t="inlineStr">
        <is>
          <t>S47</t>
        </is>
      </c>
      <c r="C3175" s="0" t="inlineStr">
        <is>
          <t>S52</t>
        </is>
      </c>
      <c r="D3175" s="0" t="n">
        <v>1.34739523333333</v>
      </c>
    </row>
    <row r="3176">
      <c r="A3176" s="0" t="inlineStr">
        <is>
          <t>DEEP1M</t>
        </is>
      </c>
      <c r="B3176" s="0" t="inlineStr">
        <is>
          <t>T47</t>
        </is>
      </c>
      <c r="C3176" s="0" t="inlineStr">
        <is>
          <t>T52</t>
        </is>
      </c>
      <c r="D3176" s="0" t="n">
        <v>1.5069473</v>
      </c>
    </row>
    <row r="3177">
      <c r="A3177" s="0" t="inlineStr">
        <is>
          <t>DEEP1M</t>
        </is>
      </c>
      <c r="B3177" s="0" t="inlineStr">
        <is>
          <t>U47</t>
        </is>
      </c>
      <c r="C3177" s="0" t="inlineStr">
        <is>
          <t>U52</t>
        </is>
      </c>
      <c r="D3177" s="0" t="n">
        <v>2.6137277</v>
      </c>
    </row>
    <row r="3178">
      <c r="A3178" s="0" t="inlineStr">
        <is>
          <t>DEEP1M</t>
        </is>
      </c>
      <c r="B3178" s="0" t="inlineStr">
        <is>
          <t>V47</t>
        </is>
      </c>
      <c r="C3178" s="0" t="inlineStr">
        <is>
          <t>V52</t>
        </is>
      </c>
      <c r="D3178" s="0" t="n">
        <v>3.15865693333333</v>
      </c>
    </row>
    <row r="3179">
      <c r="A3179" s="0" t="inlineStr">
        <is>
          <t>DEEP1M</t>
        </is>
      </c>
      <c r="B3179" s="0" t="inlineStr">
        <is>
          <t>W47</t>
        </is>
      </c>
      <c r="C3179" s="0" t="inlineStr">
        <is>
          <t>W52</t>
        </is>
      </c>
      <c r="D3179" s="0" t="n">
        <v>3.15865693333333</v>
      </c>
    </row>
    <row r="3180">
      <c r="A3180" s="0" t="inlineStr">
        <is>
          <t>DEEP1M</t>
        </is>
      </c>
      <c r="B3180" s="0" t="inlineStr">
        <is>
          <t>X47</t>
        </is>
      </c>
      <c r="C3180" s="0" t="inlineStr">
        <is>
          <t>X52</t>
        </is>
      </c>
      <c r="D3180" s="0" t="n">
        <v>4.2914665</v>
      </c>
    </row>
    <row r="3181">
      <c r="A3181" s="0" t="inlineStr">
        <is>
          <t>DEEP1M</t>
        </is>
      </c>
      <c r="B3181" s="0" t="inlineStr">
        <is>
          <t>Y47</t>
        </is>
      </c>
      <c r="C3181" s="0" t="inlineStr">
        <is>
          <t>Y52</t>
        </is>
      </c>
      <c r="D3181" s="0" t="n">
        <v>4.2914665</v>
      </c>
    </row>
    <row r="3182">
      <c r="A3182" s="0" t="inlineStr">
        <is>
          <t>DEEP1M</t>
        </is>
      </c>
      <c r="B3182" s="0" t="inlineStr">
        <is>
          <t>D48</t>
        </is>
      </c>
      <c r="C3182" s="0" t="inlineStr">
        <is>
          <t>D53</t>
        </is>
      </c>
      <c r="D3182" s="0" t="inlineStr">
        <is>
          <t>Ours</t>
        </is>
      </c>
    </row>
    <row r="3183">
      <c r="A3183" s="0" t="inlineStr">
        <is>
          <t>DEEP1M</t>
        </is>
      </c>
      <c r="B3183" s="0" t="inlineStr">
        <is>
          <t>E48</t>
        </is>
      </c>
      <c r="C3183" s="0" t="inlineStr">
        <is>
          <t>E53</t>
        </is>
      </c>
      <c r="D3183" s="0" t="inlineStr">
        <is>
          <t>Recall rate</t>
        </is>
      </c>
    </row>
    <row r="3184">
      <c r="A3184" s="0" t="inlineStr">
        <is>
          <t>DEEP1M</t>
        </is>
      </c>
      <c r="B3184" s="0" t="inlineStr">
        <is>
          <t>F48</t>
        </is>
      </c>
      <c r="C3184" s="0" t="inlineStr">
        <is>
          <t>F53</t>
        </is>
      </c>
      <c r="D3184" s="0" t="n">
        <v>18</v>
      </c>
    </row>
    <row r="3185">
      <c r="A3185" s="0" t="inlineStr">
        <is>
          <t>DEEP1M</t>
        </is>
      </c>
      <c r="B3185" s="0" t="inlineStr">
        <is>
          <t>G48</t>
        </is>
      </c>
      <c r="C3185" s="0" t="inlineStr">
        <is>
          <t>G53</t>
        </is>
      </c>
      <c r="D3185" s="0" t="n">
        <v>26.5</v>
      </c>
    </row>
    <row r="3186">
      <c r="A3186" s="0" t="inlineStr">
        <is>
          <t>DEEP1M</t>
        </is>
      </c>
      <c r="B3186" s="0" t="inlineStr">
        <is>
          <t>H48</t>
        </is>
      </c>
      <c r="C3186" s="0" t="inlineStr">
        <is>
          <t>H53</t>
        </is>
      </c>
      <c r="D3186" s="0" t="n">
        <v>26.5</v>
      </c>
    </row>
    <row r="3187">
      <c r="A3187" s="0" t="inlineStr">
        <is>
          <t>DEEP1M</t>
        </is>
      </c>
      <c r="B3187" s="0" t="inlineStr">
        <is>
          <t>I48</t>
        </is>
      </c>
      <c r="C3187" s="0" t="inlineStr">
        <is>
          <t>I53</t>
        </is>
      </c>
      <c r="D3187" s="0" t="n">
        <v>34</v>
      </c>
    </row>
    <row r="3188">
      <c r="A3188" s="0" t="inlineStr">
        <is>
          <t>DEEP1M</t>
        </is>
      </c>
      <c r="B3188" s="0" t="inlineStr">
        <is>
          <t>J48</t>
        </is>
      </c>
      <c r="C3188" s="0" t="inlineStr">
        <is>
          <t>J53</t>
        </is>
      </c>
      <c r="D3188" s="0" t="n">
        <v>39</v>
      </c>
    </row>
    <row r="3189">
      <c r="A3189" s="0" t="inlineStr">
        <is>
          <t>DEEP1M</t>
        </is>
      </c>
      <c r="B3189" s="0" t="inlineStr">
        <is>
          <t>K48</t>
        </is>
      </c>
      <c r="C3189" s="0" t="inlineStr">
        <is>
          <t>K53</t>
        </is>
      </c>
      <c r="D3189" s="0" t="n">
        <v>44</v>
      </c>
    </row>
    <row r="3190">
      <c r="A3190" s="0" t="inlineStr">
        <is>
          <t>DEEP1M</t>
        </is>
      </c>
      <c r="B3190" s="0" t="inlineStr">
        <is>
          <t>L48</t>
        </is>
      </c>
      <c r="C3190" s="0" t="inlineStr">
        <is>
          <t>L53</t>
        </is>
      </c>
      <c r="D3190" s="0" t="n">
        <v>50</v>
      </c>
    </row>
    <row r="3191">
      <c r="A3191" s="0" t="inlineStr">
        <is>
          <t>DEEP1M</t>
        </is>
      </c>
      <c r="B3191" s="0" t="inlineStr">
        <is>
          <t>M48</t>
        </is>
      </c>
      <c r="C3191" s="0" t="inlineStr">
        <is>
          <t>M53</t>
        </is>
      </c>
      <c r="D3191" s="0" t="n">
        <v>50</v>
      </c>
    </row>
    <row r="3192">
      <c r="A3192" s="0" t="inlineStr">
        <is>
          <t>DEEP1M</t>
        </is>
      </c>
      <c r="B3192" s="0" t="inlineStr">
        <is>
          <t>N48</t>
        </is>
      </c>
      <c r="C3192" s="0" t="inlineStr">
        <is>
          <t>N53</t>
        </is>
      </c>
      <c r="D3192" s="0" t="n">
        <v>58</v>
      </c>
    </row>
    <row r="3193">
      <c r="A3193" s="0" t="inlineStr">
        <is>
          <t>DEEP1M</t>
        </is>
      </c>
      <c r="B3193" s="0" t="inlineStr">
        <is>
          <t>O48</t>
        </is>
      </c>
      <c r="C3193" s="0" t="inlineStr">
        <is>
          <t>O53</t>
        </is>
      </c>
      <c r="D3193" s="0" t="n">
        <v>61.5</v>
      </c>
    </row>
    <row r="3194">
      <c r="A3194" s="0" t="inlineStr">
        <is>
          <t>DEEP1M</t>
        </is>
      </c>
      <c r="B3194" s="0" t="inlineStr">
        <is>
          <t>P48</t>
        </is>
      </c>
      <c r="C3194" s="0" t="inlineStr">
        <is>
          <t>P53</t>
        </is>
      </c>
      <c r="D3194" s="0" t="n">
        <v>73.5</v>
      </c>
    </row>
    <row r="3195">
      <c r="A3195" s="0" t="inlineStr">
        <is>
          <t>DEEP1M</t>
        </is>
      </c>
      <c r="B3195" s="0" t="inlineStr">
        <is>
          <t>Q48</t>
        </is>
      </c>
      <c r="C3195" s="0" t="inlineStr">
        <is>
          <t>Q53</t>
        </is>
      </c>
      <c r="D3195" s="0" t="n">
        <v>73.5</v>
      </c>
    </row>
    <row r="3196">
      <c r="A3196" s="0" t="inlineStr">
        <is>
          <t>DEEP1M</t>
        </is>
      </c>
      <c r="B3196" s="0" t="inlineStr">
        <is>
          <t>R48</t>
        </is>
      </c>
      <c r="C3196" s="0" t="inlineStr">
        <is>
          <t>R53</t>
        </is>
      </c>
      <c r="D3196" s="0" t="n">
        <v>79</v>
      </c>
    </row>
    <row r="3197">
      <c r="A3197" s="0" t="inlineStr">
        <is>
          <t>DEEP1M</t>
        </is>
      </c>
      <c r="B3197" s="0" t="inlineStr">
        <is>
          <t>S48</t>
        </is>
      </c>
      <c r="C3197" s="0" t="inlineStr">
        <is>
          <t>S53</t>
        </is>
      </c>
      <c r="D3197" s="0" t="n">
        <v>86.5</v>
      </c>
    </row>
    <row r="3198">
      <c r="A3198" s="0" t="inlineStr">
        <is>
          <t>DEEP1M</t>
        </is>
      </c>
      <c r="B3198" s="0" t="inlineStr">
        <is>
          <t>T48</t>
        </is>
      </c>
      <c r="C3198" s="0" t="inlineStr">
        <is>
          <t>T53</t>
        </is>
      </c>
      <c r="D3198" s="0" t="n">
        <v>86.5</v>
      </c>
    </row>
    <row r="3199">
      <c r="A3199" s="0" t="inlineStr">
        <is>
          <t>DEEP1M</t>
        </is>
      </c>
      <c r="B3199" s="0" t="inlineStr">
        <is>
          <t>U48</t>
        </is>
      </c>
      <c r="C3199" s="0" t="inlineStr">
        <is>
          <t>U53</t>
        </is>
      </c>
      <c r="D3199" s="0" t="n">
        <v>94.5</v>
      </c>
    </row>
    <row r="3200">
      <c r="A3200" s="0" t="inlineStr">
        <is>
          <t>DEEP1M</t>
        </is>
      </c>
      <c r="B3200" s="0" t="inlineStr">
        <is>
          <t>V48</t>
        </is>
      </c>
      <c r="C3200" s="0" t="inlineStr">
        <is>
          <t>V53</t>
        </is>
      </c>
      <c r="D3200" s="0" t="n">
        <v>97.5</v>
      </c>
    </row>
    <row r="3201">
      <c r="A3201" s="0" t="inlineStr">
        <is>
          <t>DEEP1M</t>
        </is>
      </c>
      <c r="B3201" s="0" t="inlineStr">
        <is>
          <t>W48</t>
        </is>
      </c>
      <c r="C3201" s="0" t="inlineStr">
        <is>
          <t>W53</t>
        </is>
      </c>
      <c r="D3201" s="0" t="n">
        <v>97.5</v>
      </c>
    </row>
    <row r="3202">
      <c r="A3202" s="0" t="inlineStr">
        <is>
          <t>DEEP1M</t>
        </is>
      </c>
      <c r="B3202" s="0" t="inlineStr">
        <is>
          <t>X48</t>
        </is>
      </c>
      <c r="C3202" s="0" t="inlineStr">
        <is>
          <t>X53</t>
        </is>
      </c>
      <c r="D3202" s="0" t="n">
        <v>98.5</v>
      </c>
    </row>
    <row r="3203">
      <c r="A3203" s="0" t="inlineStr">
        <is>
          <t>DEEP1M</t>
        </is>
      </c>
      <c r="B3203" s="0" t="inlineStr">
        <is>
          <t>Y48</t>
        </is>
      </c>
      <c r="C3203" s="0" t="inlineStr">
        <is>
          <t>Y53</t>
        </is>
      </c>
      <c r="D3203" s="0" t="n">
        <v>99</v>
      </c>
    </row>
    <row r="3204">
      <c r="A3204" s="0" t="inlineStr">
        <is>
          <t>DEEP1M</t>
        </is>
      </c>
      <c r="B3204" s="0" t="inlineStr">
        <is>
          <t>E49</t>
        </is>
      </c>
      <c r="C3204" s="0" t="inlineStr">
        <is>
          <t>E54</t>
        </is>
      </c>
      <c r="D3204" s="0" t="inlineStr">
        <is>
          <t>query time</t>
        </is>
      </c>
    </row>
    <row r="3205">
      <c r="A3205" s="0" t="inlineStr">
        <is>
          <t>DEEP1M</t>
        </is>
      </c>
      <c r="B3205" s="0" t="inlineStr">
        <is>
          <t>F49</t>
        </is>
      </c>
      <c r="C3205" s="0" t="inlineStr">
        <is>
          <t>F54</t>
        </is>
      </c>
      <c r="D3205" s="0" t="n">
        <v>0.486627166666667</v>
      </c>
    </row>
    <row r="3206">
      <c r="A3206" s="0" t="inlineStr">
        <is>
          <t>DEEP1M</t>
        </is>
      </c>
      <c r="B3206" s="0" t="inlineStr">
        <is>
          <t>G49</t>
        </is>
      </c>
      <c r="C3206" s="0" t="inlineStr">
        <is>
          <t>G54</t>
        </is>
      </c>
      <c r="D3206" s="0" t="n">
        <v>0.556433966666667</v>
      </c>
    </row>
    <row r="3207">
      <c r="A3207" s="0" t="inlineStr">
        <is>
          <t>DEEP1M</t>
        </is>
      </c>
      <c r="B3207" s="0" t="inlineStr">
        <is>
          <t>H49</t>
        </is>
      </c>
      <c r="C3207" s="0" t="inlineStr">
        <is>
          <t>H54</t>
        </is>
      </c>
      <c r="D3207" s="0" t="n">
        <v>0.556433966666667</v>
      </c>
    </row>
    <row r="3208">
      <c r="A3208" s="0" t="inlineStr">
        <is>
          <t>DEEP1M</t>
        </is>
      </c>
      <c r="B3208" s="0" t="inlineStr">
        <is>
          <t>I49</t>
        </is>
      </c>
      <c r="C3208" s="0" t="inlineStr">
        <is>
          <t>I54</t>
        </is>
      </c>
      <c r="D3208" s="0" t="n">
        <v>0.68775265</v>
      </c>
    </row>
    <row r="3209">
      <c r="A3209" s="0" t="inlineStr">
        <is>
          <t>DEEP1M</t>
        </is>
      </c>
      <c r="B3209" s="0" t="inlineStr">
        <is>
          <t>J49</t>
        </is>
      </c>
      <c r="C3209" s="0" t="inlineStr">
        <is>
          <t>J54</t>
        </is>
      </c>
      <c r="D3209" s="0" t="n">
        <v>0.7144711</v>
      </c>
    </row>
    <row r="3210">
      <c r="A3210" s="0" t="inlineStr">
        <is>
          <t>DEEP1M</t>
        </is>
      </c>
      <c r="B3210" s="0" t="inlineStr">
        <is>
          <t>K49</t>
        </is>
      </c>
      <c r="C3210" s="0" t="inlineStr">
        <is>
          <t>K54</t>
        </is>
      </c>
      <c r="D3210" s="0" t="n">
        <v>0.747629966666667</v>
      </c>
    </row>
    <row r="3211">
      <c r="A3211" s="0" t="inlineStr">
        <is>
          <t>DEEP1M</t>
        </is>
      </c>
      <c r="B3211" s="0" t="inlineStr">
        <is>
          <t>L49</t>
        </is>
      </c>
      <c r="C3211" s="0" t="inlineStr">
        <is>
          <t>L54</t>
        </is>
      </c>
      <c r="D3211" s="0" t="n">
        <v>0.778571033333333</v>
      </c>
    </row>
    <row r="3212">
      <c r="A3212" s="0" t="inlineStr">
        <is>
          <t>DEEP1M</t>
        </is>
      </c>
      <c r="B3212" s="0" t="inlineStr">
        <is>
          <t>M49</t>
        </is>
      </c>
      <c r="C3212" s="0" t="inlineStr">
        <is>
          <t>M54</t>
        </is>
      </c>
      <c r="D3212" s="0" t="n">
        <v>0.778571033333333</v>
      </c>
    </row>
    <row r="3213">
      <c r="A3213" s="0" t="inlineStr">
        <is>
          <t>DEEP1M</t>
        </is>
      </c>
      <c r="B3213" s="0" t="inlineStr">
        <is>
          <t>N49</t>
        </is>
      </c>
      <c r="C3213" s="0" t="inlineStr">
        <is>
          <t>N54</t>
        </is>
      </c>
      <c r="D3213" s="0" t="n">
        <v>0.889875166666667</v>
      </c>
    </row>
    <row r="3214">
      <c r="A3214" s="0" t="inlineStr">
        <is>
          <t>DEEP1M</t>
        </is>
      </c>
      <c r="B3214" s="0" t="inlineStr">
        <is>
          <t>O49</t>
        </is>
      </c>
      <c r="C3214" s="0" t="inlineStr">
        <is>
          <t>O54</t>
        </is>
      </c>
      <c r="D3214" s="0" t="n">
        <v>0.893101083333333</v>
      </c>
    </row>
    <row r="3215">
      <c r="A3215" s="0" t="inlineStr">
        <is>
          <t>DEEP1M</t>
        </is>
      </c>
      <c r="B3215" s="0" t="inlineStr">
        <is>
          <t>P49</t>
        </is>
      </c>
      <c r="C3215" s="0" t="inlineStr">
        <is>
          <t>P54</t>
        </is>
      </c>
      <c r="D3215" s="0" t="n">
        <v>1.08978581666667</v>
      </c>
    </row>
    <row r="3216">
      <c r="A3216" s="0" t="inlineStr">
        <is>
          <t>DEEP1M</t>
        </is>
      </c>
      <c r="B3216" s="0" t="inlineStr">
        <is>
          <t>Q49</t>
        </is>
      </c>
      <c r="C3216" s="0" t="inlineStr">
        <is>
          <t>Q54</t>
        </is>
      </c>
      <c r="D3216" s="0" t="n">
        <v>1.08978581666667</v>
      </c>
    </row>
    <row r="3217">
      <c r="A3217" s="0" t="inlineStr">
        <is>
          <t>DEEP1M</t>
        </is>
      </c>
      <c r="B3217" s="0" t="inlineStr">
        <is>
          <t>R49</t>
        </is>
      </c>
      <c r="C3217" s="0" t="inlineStr">
        <is>
          <t>R54</t>
        </is>
      </c>
      <c r="D3217" s="0" t="n">
        <v>1.27455556666667</v>
      </c>
    </row>
    <row r="3218">
      <c r="A3218" s="0" t="inlineStr">
        <is>
          <t>DEEP1M</t>
        </is>
      </c>
      <c r="B3218" s="0" t="inlineStr">
        <is>
          <t>S49</t>
        </is>
      </c>
      <c r="C3218" s="0" t="inlineStr">
        <is>
          <t>S54</t>
        </is>
      </c>
      <c r="D3218" s="0" t="n">
        <v>1.57887486666667</v>
      </c>
    </row>
    <row r="3219">
      <c r="A3219" s="0" t="inlineStr">
        <is>
          <t>DEEP1M</t>
        </is>
      </c>
      <c r="B3219" s="0" t="inlineStr">
        <is>
          <t>T49</t>
        </is>
      </c>
      <c r="C3219" s="0" t="inlineStr">
        <is>
          <t>T54</t>
        </is>
      </c>
      <c r="D3219" s="0" t="n">
        <v>1.57887486666667</v>
      </c>
    </row>
    <row r="3220">
      <c r="A3220" s="0" t="inlineStr">
        <is>
          <t>DEEP1M</t>
        </is>
      </c>
      <c r="B3220" s="0" t="inlineStr">
        <is>
          <t>U49</t>
        </is>
      </c>
      <c r="C3220" s="0" t="inlineStr">
        <is>
          <t>U54</t>
        </is>
      </c>
      <c r="D3220" s="0" t="n">
        <v>2.06094483333333</v>
      </c>
    </row>
    <row r="3221">
      <c r="A3221" s="0" t="inlineStr">
        <is>
          <t>DEEP1M</t>
        </is>
      </c>
      <c r="B3221" s="0" t="inlineStr">
        <is>
          <t>V49</t>
        </is>
      </c>
      <c r="C3221" s="0" t="inlineStr">
        <is>
          <t>V54</t>
        </is>
      </c>
      <c r="D3221" s="0" t="n">
        <v>2.5314656</v>
      </c>
    </row>
    <row r="3222">
      <c r="A3222" s="0" t="inlineStr">
        <is>
          <t>DEEP1M</t>
        </is>
      </c>
      <c r="B3222" s="0" t="inlineStr">
        <is>
          <t>W49</t>
        </is>
      </c>
      <c r="C3222" s="0" t="inlineStr">
        <is>
          <t>W54</t>
        </is>
      </c>
      <c r="D3222" s="0" t="n">
        <v>2.5314656</v>
      </c>
    </row>
    <row r="3223">
      <c r="A3223" s="0" t="inlineStr">
        <is>
          <t>DEEP1M</t>
        </is>
      </c>
      <c r="B3223" s="0" t="inlineStr">
        <is>
          <t>X49</t>
        </is>
      </c>
      <c r="C3223" s="0" t="inlineStr">
        <is>
          <t>X54</t>
        </is>
      </c>
      <c r="D3223" s="0" t="n">
        <v>3.40401168333333</v>
      </c>
    </row>
    <row r="3224">
      <c r="A3224" s="0" t="inlineStr">
        <is>
          <t>DEEP1M</t>
        </is>
      </c>
      <c r="B3224" s="0" t="inlineStr">
        <is>
          <t>Y49</t>
        </is>
      </c>
      <c r="C3224" s="0" t="inlineStr">
        <is>
          <t>Y54</t>
        </is>
      </c>
      <c r="D3224" s="0" t="n">
        <v>4.2387441</v>
      </c>
    </row>
    <row r="3225">
      <c r="A3225" s="0" t="inlineStr">
        <is>
          <t>DEEP1M</t>
        </is>
      </c>
      <c r="B3225" s="0" t="inlineStr">
        <is>
          <t>D50</t>
        </is>
      </c>
      <c r="C3225" s="0" t="inlineStr">
        <is>
          <t>D55</t>
        </is>
      </c>
      <c r="D3225" s="0" t="inlineStr">
        <is>
          <t>V3DB（单次）</t>
        </is>
      </c>
    </row>
    <row r="3226">
      <c r="A3226" s="0" t="inlineStr">
        <is>
          <t>DEEP1M</t>
        </is>
      </c>
      <c r="B3226" s="0" t="inlineStr">
        <is>
          <t>E50</t>
        </is>
      </c>
      <c r="C3226" s="0" t="inlineStr">
        <is>
          <t>E55</t>
        </is>
      </c>
      <c r="D3226" s="0" t="inlineStr">
        <is>
          <t>Recall rate</t>
        </is>
      </c>
    </row>
    <row r="3227">
      <c r="A3227" s="0" t="inlineStr">
        <is>
          <t>DEEP1M</t>
        </is>
      </c>
      <c r="B3227" s="0" t="inlineStr">
        <is>
          <t>F50</t>
        </is>
      </c>
      <c r="C3227" s="0" t="inlineStr">
        <is>
          <t>F55</t>
        </is>
      </c>
      <c r="D3227" s="0" t="n">
        <v>23</v>
      </c>
    </row>
    <row r="3228">
      <c r="A3228" s="0" t="inlineStr">
        <is>
          <t>DEEP1M</t>
        </is>
      </c>
      <c r="B3228" s="0" t="inlineStr">
        <is>
          <t>G50</t>
        </is>
      </c>
      <c r="C3228" s="0" t="inlineStr">
        <is>
          <t>G55</t>
        </is>
      </c>
      <c r="D3228" s="0" t="n">
        <v>23</v>
      </c>
    </row>
    <row r="3229">
      <c r="A3229" s="0" t="inlineStr">
        <is>
          <t>DEEP1M</t>
        </is>
      </c>
      <c r="B3229" s="0" t="inlineStr">
        <is>
          <t>H50</t>
        </is>
      </c>
      <c r="C3229" s="0" t="inlineStr">
        <is>
          <t>H55</t>
        </is>
      </c>
      <c r="D3229" s="0" t="n">
        <v>28.5</v>
      </c>
    </row>
    <row r="3230">
      <c r="A3230" s="0" t="inlineStr">
        <is>
          <t>DEEP1M</t>
        </is>
      </c>
      <c r="B3230" s="0" t="inlineStr">
        <is>
          <t>I50</t>
        </is>
      </c>
      <c r="C3230" s="0" t="inlineStr">
        <is>
          <t>I55</t>
        </is>
      </c>
      <c r="D3230" s="0" t="n">
        <v>37</v>
      </c>
    </row>
    <row r="3231">
      <c r="A3231" s="0" t="inlineStr">
        <is>
          <t>DEEP1M</t>
        </is>
      </c>
      <c r="B3231" s="0" t="inlineStr">
        <is>
          <t>J50</t>
        </is>
      </c>
      <c r="C3231" s="0" t="inlineStr">
        <is>
          <t>J55</t>
        </is>
      </c>
      <c r="D3231" s="0" t="n">
        <v>37</v>
      </c>
    </row>
    <row r="3232">
      <c r="A3232" s="0" t="inlineStr">
        <is>
          <t>DEEP1M</t>
        </is>
      </c>
      <c r="B3232" s="0" t="inlineStr">
        <is>
          <t>K50</t>
        </is>
      </c>
      <c r="C3232" s="0" t="inlineStr">
        <is>
          <t>K55</t>
        </is>
      </c>
      <c r="D3232" s="0" t="n">
        <v>57.5</v>
      </c>
    </row>
    <row r="3233">
      <c r="A3233" s="0" t="inlineStr">
        <is>
          <t>DEEP1M</t>
        </is>
      </c>
      <c r="B3233" s="0" t="inlineStr">
        <is>
          <t>L50</t>
        </is>
      </c>
      <c r="C3233" s="0" t="inlineStr">
        <is>
          <t>L55</t>
        </is>
      </c>
      <c r="D3233" s="0" t="n">
        <v>57.5</v>
      </c>
    </row>
    <row r="3234">
      <c r="A3234" s="0" t="inlineStr">
        <is>
          <t>DEEP1M</t>
        </is>
      </c>
      <c r="B3234" s="0" t="inlineStr">
        <is>
          <t>M50</t>
        </is>
      </c>
      <c r="C3234" s="0" t="inlineStr">
        <is>
          <t>M55</t>
        </is>
      </c>
      <c r="D3234" s="0" t="n">
        <v>57.5</v>
      </c>
    </row>
    <row r="3235">
      <c r="A3235" s="0" t="inlineStr">
        <is>
          <t>DEEP1M</t>
        </is>
      </c>
      <c r="B3235" s="0" t="inlineStr">
        <is>
          <t>N50</t>
        </is>
      </c>
      <c r="C3235" s="0" t="inlineStr">
        <is>
          <t>N55</t>
        </is>
      </c>
      <c r="D3235" s="0" t="n">
        <v>57.5</v>
      </c>
    </row>
    <row r="3236">
      <c r="A3236" s="0" t="inlineStr">
        <is>
          <t>DEEP1M</t>
        </is>
      </c>
      <c r="B3236" s="0" t="inlineStr">
        <is>
          <t>O50</t>
        </is>
      </c>
      <c r="C3236" s="0" t="inlineStr">
        <is>
          <t>O55</t>
        </is>
      </c>
      <c r="D3236" s="0" t="n">
        <v>78</v>
      </c>
    </row>
    <row r="3237">
      <c r="A3237" s="0" t="inlineStr">
        <is>
          <t>DEEP1M</t>
        </is>
      </c>
      <c r="B3237" s="0" t="inlineStr">
        <is>
          <t>P50</t>
        </is>
      </c>
      <c r="C3237" s="0" t="inlineStr">
        <is>
          <t>P55</t>
        </is>
      </c>
      <c r="D3237" s="0" t="n">
        <v>78</v>
      </c>
    </row>
    <row r="3238">
      <c r="A3238" s="0" t="inlineStr">
        <is>
          <t>DEEP1M</t>
        </is>
      </c>
      <c r="B3238" s="0" t="inlineStr">
        <is>
          <t>Q50</t>
        </is>
      </c>
      <c r="C3238" s="0" t="inlineStr">
        <is>
          <t>Q55</t>
        </is>
      </c>
      <c r="D3238" s="0" t="n">
        <v>78</v>
      </c>
    </row>
    <row r="3239">
      <c r="A3239" s="0" t="inlineStr">
        <is>
          <t>DEEP1M</t>
        </is>
      </c>
      <c r="B3239" s="0" t="inlineStr">
        <is>
          <t>R50</t>
        </is>
      </c>
      <c r="C3239" s="0" t="inlineStr">
        <is>
          <t>R55</t>
        </is>
      </c>
      <c r="D3239" s="0" t="n">
        <v>78</v>
      </c>
    </row>
    <row r="3240">
      <c r="A3240" s="0" t="inlineStr">
        <is>
          <t>DEEP1M</t>
        </is>
      </c>
      <c r="B3240" s="0" t="inlineStr">
        <is>
          <t>S50</t>
        </is>
      </c>
      <c r="C3240" s="0" t="inlineStr">
        <is>
          <t>S55</t>
        </is>
      </c>
      <c r="D3240" s="0" t="n">
        <v>80</v>
      </c>
    </row>
    <row r="3241">
      <c r="A3241" s="0" t="inlineStr">
        <is>
          <t>DEEP1M</t>
        </is>
      </c>
      <c r="B3241" s="0" t="inlineStr">
        <is>
          <t>T50</t>
        </is>
      </c>
      <c r="C3241" s="0" t="inlineStr">
        <is>
          <t>T55</t>
        </is>
      </c>
      <c r="D3241" s="0" t="n">
        <v>88.5</v>
      </c>
    </row>
    <row r="3242">
      <c r="A3242" s="0" t="inlineStr">
        <is>
          <t>DEEP1M</t>
        </is>
      </c>
      <c r="B3242" s="0" t="inlineStr">
        <is>
          <t>U50</t>
        </is>
      </c>
      <c r="C3242" s="0" t="inlineStr">
        <is>
          <t>U55</t>
        </is>
      </c>
      <c r="D3242" s="0" t="n">
        <v>90</v>
      </c>
    </row>
    <row r="3243">
      <c r="A3243" s="0" t="inlineStr">
        <is>
          <t>DEEP1M</t>
        </is>
      </c>
      <c r="B3243" s="0" t="inlineStr">
        <is>
          <t>V50</t>
        </is>
      </c>
      <c r="C3243" s="0" t="inlineStr">
        <is>
          <t>V55</t>
        </is>
      </c>
      <c r="D3243" s="0" t="n">
        <v>95.5</v>
      </c>
    </row>
    <row r="3244">
      <c r="A3244" s="0" t="inlineStr">
        <is>
          <t>DEEP1M</t>
        </is>
      </c>
      <c r="B3244" s="0" t="inlineStr">
        <is>
          <t>W50</t>
        </is>
      </c>
      <c r="C3244" s="0" t="inlineStr">
        <is>
          <t>W55</t>
        </is>
      </c>
    </row>
    <row r="3245">
      <c r="A3245" s="0" t="inlineStr">
        <is>
          <t>DEEP1M</t>
        </is>
      </c>
      <c r="B3245" s="0" t="inlineStr">
        <is>
          <t>X50</t>
        </is>
      </c>
      <c r="C3245" s="0" t="inlineStr">
        <is>
          <t>X55</t>
        </is>
      </c>
    </row>
    <row r="3246">
      <c r="A3246" s="0" t="inlineStr">
        <is>
          <t>DEEP1M</t>
        </is>
      </c>
      <c r="B3246" s="0" t="inlineStr">
        <is>
          <t>Y50</t>
        </is>
      </c>
      <c r="C3246" s="0" t="inlineStr">
        <is>
          <t>Y55</t>
        </is>
      </c>
    </row>
    <row r="3247">
      <c r="A3247" s="0" t="inlineStr">
        <is>
          <t>DEEP1M</t>
        </is>
      </c>
      <c r="B3247" s="0" t="inlineStr">
        <is>
          <t>E51</t>
        </is>
      </c>
      <c r="C3247" s="0" t="inlineStr">
        <is>
          <t>E56</t>
        </is>
      </c>
      <c r="D3247" s="0" t="inlineStr">
        <is>
          <t>query time</t>
        </is>
      </c>
    </row>
    <row r="3248">
      <c r="A3248" s="0" t="inlineStr">
        <is>
          <t>DEEP1M</t>
        </is>
      </c>
      <c r="B3248" s="0" t="inlineStr">
        <is>
          <t>F51</t>
        </is>
      </c>
      <c r="C3248" s="0" t="inlineStr">
        <is>
          <t>F56</t>
        </is>
      </c>
      <c r="D3248" s="0" t="n">
        <v>28708.309506</v>
      </c>
    </row>
    <row r="3249">
      <c r="A3249" s="0" t="inlineStr">
        <is>
          <t>DEEP1M</t>
        </is>
      </c>
      <c r="B3249" s="0" t="inlineStr">
        <is>
          <t>G51</t>
        </is>
      </c>
      <c r="C3249" s="0" t="inlineStr">
        <is>
          <t>G56</t>
        </is>
      </c>
      <c r="D3249" s="0" t="n">
        <v>28708.309506</v>
      </c>
    </row>
    <row r="3250">
      <c r="A3250" s="0" t="inlineStr">
        <is>
          <t>DEEP1M</t>
        </is>
      </c>
      <c r="B3250" s="0" t="inlineStr">
        <is>
          <t>H51</t>
        </is>
      </c>
      <c r="C3250" s="0" t="inlineStr">
        <is>
          <t>H56</t>
        </is>
      </c>
      <c r="D3250" s="0" t="n">
        <v>57962.631503</v>
      </c>
    </row>
    <row r="3251">
      <c r="A3251" s="0" t="inlineStr">
        <is>
          <t>DEEP1M</t>
        </is>
      </c>
      <c r="B3251" s="0" t="inlineStr">
        <is>
          <t>I51</t>
        </is>
      </c>
      <c r="C3251" s="0" t="inlineStr">
        <is>
          <t>I56</t>
        </is>
      </c>
      <c r="D3251" s="0" t="n">
        <v>58518.980512</v>
      </c>
    </row>
    <row r="3252">
      <c r="A3252" s="0" t="inlineStr">
        <is>
          <t>DEEP1M</t>
        </is>
      </c>
      <c r="B3252" s="0" t="inlineStr">
        <is>
          <t>J51</t>
        </is>
      </c>
      <c r="C3252" s="0" t="inlineStr">
        <is>
          <t>J56</t>
        </is>
      </c>
      <c r="D3252" s="0" t="n">
        <v>58518.980512</v>
      </c>
    </row>
    <row r="3253">
      <c r="A3253" s="0" t="inlineStr">
        <is>
          <t>DEEP1M</t>
        </is>
      </c>
      <c r="B3253" s="0" t="inlineStr">
        <is>
          <t>K51</t>
        </is>
      </c>
      <c r="C3253" s="0" t="inlineStr">
        <is>
          <t>K56</t>
        </is>
      </c>
      <c r="D3253" s="0" t="n">
        <v>246414.936606</v>
      </c>
    </row>
    <row r="3254">
      <c r="A3254" s="0" t="inlineStr">
        <is>
          <t>DEEP1M</t>
        </is>
      </c>
      <c r="B3254" s="0" t="inlineStr">
        <is>
          <t>L51</t>
        </is>
      </c>
      <c r="C3254" s="0" t="inlineStr">
        <is>
          <t>L56</t>
        </is>
      </c>
      <c r="D3254" s="0" t="n">
        <v>246414.936606</v>
      </c>
    </row>
    <row r="3255">
      <c r="A3255" s="0" t="inlineStr">
        <is>
          <t>DEEP1M</t>
        </is>
      </c>
      <c r="B3255" s="0" t="inlineStr">
        <is>
          <t>M51</t>
        </is>
      </c>
      <c r="C3255" s="0" t="inlineStr">
        <is>
          <t>M56</t>
        </is>
      </c>
      <c r="D3255" s="0" t="n">
        <v>246414.936606</v>
      </c>
    </row>
    <row r="3256">
      <c r="A3256" s="0" t="inlineStr">
        <is>
          <t>DEEP1M</t>
        </is>
      </c>
      <c r="B3256" s="0" t="inlineStr">
        <is>
          <t>N51</t>
        </is>
      </c>
      <c r="C3256" s="0" t="inlineStr">
        <is>
          <t>N56</t>
        </is>
      </c>
      <c r="D3256" s="0" t="n">
        <v>246414.936606</v>
      </c>
    </row>
    <row r="3257">
      <c r="A3257" s="0" t="inlineStr">
        <is>
          <t>DEEP1M</t>
        </is>
      </c>
      <c r="B3257" s="0" t="inlineStr">
        <is>
          <t>O51</t>
        </is>
      </c>
      <c r="C3257" s="0" t="inlineStr">
        <is>
          <t>O56</t>
        </is>
      </c>
      <c r="D3257" s="0" t="n">
        <v>493189.722806004</v>
      </c>
    </row>
    <row r="3258">
      <c r="A3258" s="0" t="inlineStr">
        <is>
          <t>DEEP1M</t>
        </is>
      </c>
      <c r="B3258" s="0" t="inlineStr">
        <is>
          <t>P51</t>
        </is>
      </c>
      <c r="C3258" s="0" t="inlineStr">
        <is>
          <t>P56</t>
        </is>
      </c>
      <c r="D3258" s="0" t="n">
        <v>493189.722806004</v>
      </c>
    </row>
    <row r="3259">
      <c r="A3259" s="0" t="inlineStr">
        <is>
          <t>DEEP1M</t>
        </is>
      </c>
      <c r="B3259" s="0" t="inlineStr">
        <is>
          <t>Q51</t>
        </is>
      </c>
      <c r="C3259" s="0" t="inlineStr">
        <is>
          <t>Q56</t>
        </is>
      </c>
      <c r="D3259" s="0" t="n">
        <v>493189.722806004</v>
      </c>
    </row>
    <row r="3260">
      <c r="A3260" s="0" t="inlineStr">
        <is>
          <t>DEEP1M</t>
        </is>
      </c>
      <c r="B3260" s="0" t="inlineStr">
        <is>
          <t>R51</t>
        </is>
      </c>
      <c r="C3260" s="0" t="inlineStr">
        <is>
          <t>R56</t>
        </is>
      </c>
      <c r="D3260" s="0" t="n">
        <v>493189.722806004</v>
      </c>
    </row>
    <row r="3261">
      <c r="A3261" s="0" t="inlineStr">
        <is>
          <t>DEEP1M</t>
        </is>
      </c>
      <c r="B3261" s="0" t="inlineStr">
        <is>
          <t>S51</t>
        </is>
      </c>
      <c r="C3261" s="0" t="inlineStr">
        <is>
          <t>S56</t>
        </is>
      </c>
      <c r="D3261" s="0" t="n">
        <v>536679.534811588</v>
      </c>
    </row>
    <row r="3262">
      <c r="A3262" s="0" t="inlineStr">
        <is>
          <t>DEEP1M</t>
        </is>
      </c>
      <c r="B3262" s="0" t="inlineStr">
        <is>
          <t>T51</t>
        </is>
      </c>
      <c r="C3262" s="0" t="inlineStr">
        <is>
          <t>T56</t>
        </is>
      </c>
      <c r="D3262" s="0" t="n">
        <v>1127085.91388908</v>
      </c>
    </row>
    <row r="3263">
      <c r="A3263" s="0" t="inlineStr">
        <is>
          <t>DEEP1M</t>
        </is>
      </c>
      <c r="B3263" s="0" t="inlineStr">
        <is>
          <t>U51</t>
        </is>
      </c>
      <c r="C3263" s="0" t="inlineStr">
        <is>
          <t>U56</t>
        </is>
      </c>
      <c r="D3263" s="0" t="n">
        <v>1127085.91388908</v>
      </c>
    </row>
    <row r="3264">
      <c r="A3264" s="0" t="inlineStr">
        <is>
          <t>DEEP1M</t>
        </is>
      </c>
      <c r="B3264" s="0" t="inlineStr">
        <is>
          <t>V51</t>
        </is>
      </c>
      <c r="C3264" s="0" t="inlineStr">
        <is>
          <t>V56</t>
        </is>
      </c>
      <c r="D3264" s="0" t="n">
        <v>2361625.51630998</v>
      </c>
    </row>
    <row r="3265">
      <c r="A3265" s="0" t="inlineStr">
        <is>
          <t>DEEP1M</t>
        </is>
      </c>
      <c r="B3265" s="0" t="inlineStr">
        <is>
          <t>W51</t>
        </is>
      </c>
      <c r="C3265" s="0" t="inlineStr">
        <is>
          <t>W56</t>
        </is>
      </c>
    </row>
    <row r="3266">
      <c r="A3266" s="0" t="inlineStr">
        <is>
          <t>DEEP1M</t>
        </is>
      </c>
      <c r="B3266" s="0" t="inlineStr">
        <is>
          <t>X51</t>
        </is>
      </c>
      <c r="C3266" s="0" t="inlineStr">
        <is>
          <t>X56</t>
        </is>
      </c>
    </row>
    <row r="3267">
      <c r="A3267" s="0" t="inlineStr">
        <is>
          <t>DEEP1M</t>
        </is>
      </c>
      <c r="B3267" s="0" t="inlineStr">
        <is>
          <t>Y51</t>
        </is>
      </c>
      <c r="C3267" s="0" t="inlineStr">
        <is>
          <t>Y56</t>
        </is>
      </c>
    </row>
    <row r="3268">
      <c r="A3268" s="0" t="inlineStr">
        <is>
          <t>DEEP1M</t>
        </is>
      </c>
      <c r="B3268" s="0" t="inlineStr">
        <is>
          <t>D52</t>
        </is>
      </c>
      <c r="C3268" s="0" t="inlineStr">
        <is>
          <t>D59</t>
        </is>
      </c>
    </row>
    <row r="3269">
      <c r="A3269" s="0" t="inlineStr">
        <is>
          <t>DEEP1M</t>
        </is>
      </c>
      <c r="B3269" s="0" t="inlineStr">
        <is>
          <t>D53</t>
        </is>
      </c>
      <c r="C3269" s="0" t="inlineStr">
        <is>
          <t>D60</t>
        </is>
      </c>
    </row>
    <row r="3270">
      <c r="A3270" s="0" t="inlineStr">
        <is>
          <t>DEEP1M</t>
        </is>
      </c>
      <c r="B3270" s="0" t="inlineStr">
        <is>
          <t>E57</t>
        </is>
      </c>
      <c r="C3270" s="0" t="inlineStr">
        <is>
          <t>E64</t>
        </is>
      </c>
      <c r="D3270" s="0" t="inlineStr">
        <is>
          <t>Dataset size vs. VO size</t>
        </is>
      </c>
    </row>
    <row r="3271">
      <c r="A3271" s="0" t="inlineStr">
        <is>
          <t>DEEP1M</t>
        </is>
      </c>
      <c r="B3271" s="0" t="inlineStr">
        <is>
          <t>D59</t>
        </is>
      </c>
      <c r="C3271" s="0" t="inlineStr">
        <is>
          <t>D66</t>
        </is>
      </c>
      <c r="D3271" s="0" t="inlineStr">
        <is>
          <t>DEEP1B real prefix subsets: 100K / 500K / 1M / 5M / 10M</t>
        </is>
      </c>
    </row>
    <row r="3272">
      <c r="A3272" s="0" t="inlineStr">
        <is>
          <t>DEEP1M</t>
        </is>
      </c>
      <c r="B3272" s="0" t="inlineStr">
        <is>
          <t>D60</t>
        </is>
      </c>
      <c r="C3272" s="0" t="inlineStr">
        <is>
          <t>D67</t>
        </is>
      </c>
      <c r="D3272" s="0" t="inlineStr">
        <is>
          <t>dataset size</t>
        </is>
      </c>
    </row>
    <row r="3273">
      <c r="A3273" s="0" t="inlineStr">
        <is>
          <t>DEEP1M</t>
        </is>
      </c>
      <c r="B3273" s="0" t="inlineStr">
        <is>
          <t>F60</t>
        </is>
      </c>
      <c r="C3273" s="0" t="inlineStr">
        <is>
          <t>F67</t>
        </is>
      </c>
      <c r="D3273" s="0" t="inlineStr">
        <is>
          <t>10^5</t>
        </is>
      </c>
    </row>
    <row r="3274">
      <c r="A3274" s="0" t="inlineStr">
        <is>
          <t>DEEP1M</t>
        </is>
      </c>
      <c r="B3274" s="0" t="inlineStr">
        <is>
          <t>G60</t>
        </is>
      </c>
      <c r="C3274" s="0" t="inlineStr">
        <is>
          <t>G67</t>
        </is>
      </c>
      <c r="D3274" s="0" t="inlineStr">
        <is>
          <t>5*10^5</t>
        </is>
      </c>
    </row>
    <row r="3275">
      <c r="A3275" s="0" t="inlineStr">
        <is>
          <t>DEEP1M</t>
        </is>
      </c>
      <c r="B3275" s="0" t="inlineStr">
        <is>
          <t>H60</t>
        </is>
      </c>
      <c r="C3275" s="0" t="inlineStr">
        <is>
          <t>H67</t>
        </is>
      </c>
      <c r="D3275" s="0" t="inlineStr">
        <is>
          <t>10^6</t>
        </is>
      </c>
    </row>
    <row r="3276">
      <c r="A3276" s="0" t="inlineStr">
        <is>
          <t>DEEP1M</t>
        </is>
      </c>
      <c r="B3276" s="0" t="inlineStr">
        <is>
          <t>I60</t>
        </is>
      </c>
      <c r="C3276" s="0" t="inlineStr">
        <is>
          <t>I67</t>
        </is>
      </c>
      <c r="D3276" s="0" t="inlineStr">
        <is>
          <t>5*10^6</t>
        </is>
      </c>
    </row>
    <row r="3277">
      <c r="A3277" s="0" t="inlineStr">
        <is>
          <t>DEEP1M</t>
        </is>
      </c>
      <c r="B3277" s="0" t="inlineStr">
        <is>
          <t>J60</t>
        </is>
      </c>
      <c r="C3277" s="0" t="inlineStr">
        <is>
          <t>J67</t>
        </is>
      </c>
      <c r="D3277" s="0" t="inlineStr">
        <is>
          <t>10^7</t>
        </is>
      </c>
    </row>
    <row r="3278">
      <c r="A3278" s="0" t="inlineStr">
        <is>
          <t>DEEP1M</t>
        </is>
      </c>
      <c r="B3278" s="0" t="inlineStr">
        <is>
          <t>D61</t>
        </is>
      </c>
      <c r="C3278" s="0" t="inlineStr">
        <is>
          <t>D68</t>
        </is>
      </c>
      <c r="D3278" s="0" t="inlineStr">
        <is>
          <t>VLAH</t>
        </is>
      </c>
    </row>
    <row r="3279">
      <c r="A3279" s="0" t="inlineStr">
        <is>
          <t>DEEP1M</t>
        </is>
      </c>
      <c r="B3279" s="0" t="inlineStr">
        <is>
          <t>F61</t>
        </is>
      </c>
      <c r="C3279" s="0" t="inlineStr">
        <is>
          <t>F68</t>
        </is>
      </c>
      <c r="D3279" s="0" t="n">
        <v>4406.5916</v>
      </c>
    </row>
    <row r="3280">
      <c r="A3280" s="0" t="inlineStr">
        <is>
          <t>DEEP1M</t>
        </is>
      </c>
      <c r="B3280" s="0" t="inlineStr">
        <is>
          <t>G61</t>
        </is>
      </c>
      <c r="C3280" s="0" t="inlineStr">
        <is>
          <t>G68</t>
        </is>
      </c>
      <c r="D3280" s="0" t="n">
        <v>19154.54795</v>
      </c>
    </row>
    <row r="3281">
      <c r="A3281" s="0" t="inlineStr">
        <is>
          <t>DEEP1M</t>
        </is>
      </c>
      <c r="B3281" s="0" t="inlineStr">
        <is>
          <t>H61</t>
        </is>
      </c>
      <c r="C3281" s="0" t="inlineStr">
        <is>
          <t>H68</t>
        </is>
      </c>
      <c r="D3281" s="0" t="n">
        <v>38322.17155</v>
      </c>
    </row>
    <row r="3282">
      <c r="A3282" s="0" t="inlineStr">
        <is>
          <t>DEEP1M</t>
        </is>
      </c>
      <c r="B3282" s="0" t="inlineStr">
        <is>
          <t>I61</t>
        </is>
      </c>
      <c r="C3282" s="0" t="inlineStr">
        <is>
          <t>I68</t>
        </is>
      </c>
      <c r="D3282" s="0" t="n">
        <v>175090.9835</v>
      </c>
    </row>
    <row r="3283">
      <c r="A3283" s="0" t="inlineStr">
        <is>
          <t>DEEP1M</t>
        </is>
      </c>
      <c r="B3283" s="0" t="inlineStr">
        <is>
          <t>J61</t>
        </is>
      </c>
      <c r="C3283" s="0" t="inlineStr">
        <is>
          <t>J68</t>
        </is>
      </c>
      <c r="D3283" s="0" t="n">
        <v>343751.79415</v>
      </c>
    </row>
    <row r="3284">
      <c r="A3284" s="0" t="inlineStr">
        <is>
          <t>DEEP1M</t>
        </is>
      </c>
      <c r="B3284" s="0" t="inlineStr">
        <is>
          <t>D62</t>
        </is>
      </c>
      <c r="C3284" s="0" t="inlineStr">
        <is>
          <t>D69</t>
        </is>
      </c>
      <c r="D3284" s="0" t="inlineStr">
        <is>
          <t>ANNProof</t>
        </is>
      </c>
    </row>
    <row r="3285">
      <c r="A3285" s="0" t="inlineStr">
        <is>
          <t>DEEP1M</t>
        </is>
      </c>
      <c r="B3285" s="0" t="inlineStr">
        <is>
          <t>F62</t>
        </is>
      </c>
      <c r="C3285" s="0" t="inlineStr">
        <is>
          <t>F69</t>
        </is>
      </c>
      <c r="D3285" s="0" t="n">
        <v>644.186</v>
      </c>
    </row>
    <row r="3286">
      <c r="A3286" s="0" t="inlineStr">
        <is>
          <t>DEEP1M</t>
        </is>
      </c>
      <c r="B3286" s="0" t="inlineStr">
        <is>
          <t>G62</t>
        </is>
      </c>
      <c r="C3286" s="0" t="inlineStr">
        <is>
          <t>G69</t>
        </is>
      </c>
      <c r="D3286" s="0" t="n">
        <v>852.6844</v>
      </c>
    </row>
    <row r="3287">
      <c r="A3287" s="0" t="inlineStr">
        <is>
          <t>DEEP1M</t>
        </is>
      </c>
      <c r="B3287" s="0" t="inlineStr">
        <is>
          <t>H62</t>
        </is>
      </c>
      <c r="C3287" s="0" t="inlineStr">
        <is>
          <t>H69</t>
        </is>
      </c>
      <c r="D3287" s="0" t="n">
        <v>1154.7938</v>
      </c>
    </row>
    <row r="3288">
      <c r="A3288" s="0" t="inlineStr">
        <is>
          <t>DEEP1M</t>
        </is>
      </c>
      <c r="B3288" s="0" t="inlineStr">
        <is>
          <t>I62</t>
        </is>
      </c>
      <c r="C3288" s="0" t="inlineStr">
        <is>
          <t>I69</t>
        </is>
      </c>
      <c r="D3288" s="0" t="n">
        <v>1976.1628</v>
      </c>
    </row>
    <row r="3289">
      <c r="A3289" s="0" t="inlineStr">
        <is>
          <t>DEEP1M</t>
        </is>
      </c>
      <c r="B3289" s="0" t="inlineStr">
        <is>
          <t>J62</t>
        </is>
      </c>
      <c r="C3289" s="0" t="inlineStr">
        <is>
          <t>J69</t>
        </is>
      </c>
      <c r="D3289" s="0" t="n">
        <v>2671.927</v>
      </c>
    </row>
    <row r="3290">
      <c r="A3290" s="0" t="inlineStr">
        <is>
          <t>DEEP1M</t>
        </is>
      </c>
      <c r="B3290" s="0" t="inlineStr">
        <is>
          <t>D63</t>
        </is>
      </c>
      <c r="C3290" s="0" t="inlineStr">
        <is>
          <t>D70</t>
        </is>
      </c>
      <c r="D3290" s="0" t="inlineStr">
        <is>
          <t>Ours</t>
        </is>
      </c>
    </row>
    <row r="3291">
      <c r="A3291" s="0" t="inlineStr">
        <is>
          <t>DEEP1M</t>
        </is>
      </c>
      <c r="B3291" s="0" t="inlineStr">
        <is>
          <t>F63</t>
        </is>
      </c>
      <c r="C3291" s="0" t="inlineStr">
        <is>
          <t>F70</t>
        </is>
      </c>
      <c r="D3291" s="0" t="n">
        <v>158.2168</v>
      </c>
    </row>
    <row r="3292">
      <c r="A3292" s="0" t="inlineStr">
        <is>
          <t>DEEP1M</t>
        </is>
      </c>
      <c r="B3292" s="0" t="inlineStr">
        <is>
          <t>G63</t>
        </is>
      </c>
      <c r="C3292" s="0" t="inlineStr">
        <is>
          <t>G70</t>
        </is>
      </c>
      <c r="D3292" s="0" t="n">
        <v>232.5502</v>
      </c>
    </row>
    <row r="3293">
      <c r="A3293" s="0" t="inlineStr">
        <is>
          <t>DEEP1M</t>
        </is>
      </c>
      <c r="B3293" s="0" t="inlineStr">
        <is>
          <t>H63</t>
        </is>
      </c>
      <c r="C3293" s="0" t="inlineStr">
        <is>
          <t>H70</t>
        </is>
      </c>
      <c r="D3293" s="0" t="n">
        <v>271.0874</v>
      </c>
    </row>
    <row r="3294">
      <c r="A3294" s="0" t="inlineStr">
        <is>
          <t>DEEP1M</t>
        </is>
      </c>
      <c r="B3294" s="0" t="inlineStr">
        <is>
          <t>I63</t>
        </is>
      </c>
      <c r="C3294" s="0" t="inlineStr">
        <is>
          <t>I70</t>
        </is>
      </c>
      <c r="D3294" s="0" t="n">
        <v>561.5534</v>
      </c>
    </row>
    <row r="3295">
      <c r="A3295" s="0" t="inlineStr">
        <is>
          <t>DEEP1M</t>
        </is>
      </c>
      <c r="B3295" s="0" t="inlineStr">
        <is>
          <t>J63</t>
        </is>
      </c>
      <c r="C3295" s="0" t="inlineStr">
        <is>
          <t>J70</t>
        </is>
      </c>
      <c r="D3295" s="0" t="n">
        <v>651.6462</v>
      </c>
    </row>
    <row r="3296">
      <c r="A3296" s="0" t="inlineStr">
        <is>
          <t>DEEP1M</t>
        </is>
      </c>
      <c r="B3296" s="0" t="inlineStr">
        <is>
          <t>D64</t>
        </is>
      </c>
      <c r="C3296" s="0" t="inlineStr">
        <is>
          <t>D71</t>
        </is>
      </c>
      <c r="D3296" s="0" t="inlineStr">
        <is>
          <t>V3DB（单次）</t>
        </is>
      </c>
    </row>
    <row r="3297">
      <c r="A3297" s="0" t="inlineStr">
        <is>
          <t>DEEP1M</t>
        </is>
      </c>
      <c r="B3297" s="0" t="inlineStr">
        <is>
          <t>F64</t>
        </is>
      </c>
      <c r="C3297" s="0" t="inlineStr">
        <is>
          <t>F71</t>
        </is>
      </c>
      <c r="D3297" s="0" t="n">
        <v>212.381</v>
      </c>
    </row>
    <row r="3298">
      <c r="A3298" s="0" t="inlineStr">
        <is>
          <t>DEEP1M</t>
        </is>
      </c>
      <c r="B3298" s="0" t="inlineStr">
        <is>
          <t>G64</t>
        </is>
      </c>
      <c r="C3298" s="0" t="inlineStr">
        <is>
          <t>G71</t>
        </is>
      </c>
      <c r="D3298" s="0" t="n">
        <v>261.883</v>
      </c>
    </row>
    <row r="3299">
      <c r="A3299" s="0" t="inlineStr">
        <is>
          <t>DEEP1M</t>
        </is>
      </c>
      <c r="B3299" s="0" t="inlineStr">
        <is>
          <t>H64</t>
        </is>
      </c>
      <c r="C3299" s="0" t="inlineStr">
        <is>
          <t>H71</t>
        </is>
      </c>
      <c r="D3299" s="0" t="n">
        <v>265.512</v>
      </c>
    </row>
    <row r="3300">
      <c r="A3300" s="0" t="inlineStr">
        <is>
          <t>DEEP1M</t>
        </is>
      </c>
      <c r="B3300" s="0" t="inlineStr">
        <is>
          <t>I64</t>
        </is>
      </c>
      <c r="C3300" s="0" t="inlineStr">
        <is>
          <t>I71</t>
        </is>
      </c>
    </row>
    <row r="3301">
      <c r="A3301" s="0" t="inlineStr">
        <is>
          <t>DEEP1M</t>
        </is>
      </c>
      <c r="B3301" s="0" t="inlineStr">
        <is>
          <t>J64</t>
        </is>
      </c>
      <c r="C3301" s="0" t="inlineStr">
        <is>
          <t>J71</t>
        </is>
      </c>
    </row>
    <row r="3302">
      <c r="A3302" s="0" t="inlineStr">
        <is>
          <t>DEEP1M</t>
        </is>
      </c>
      <c r="B3302" s="0" t="inlineStr">
        <is>
          <t>E68</t>
        </is>
      </c>
      <c r="C3302" s="0" t="inlineStr">
        <is>
          <t>E76</t>
        </is>
      </c>
      <c r="D3302" s="0" t="inlineStr">
        <is>
          <t>Dataset size vs. Verify time</t>
        </is>
      </c>
    </row>
    <row r="3303">
      <c r="A3303" s="0" t="inlineStr">
        <is>
          <t>DEEP1M</t>
        </is>
      </c>
      <c r="B3303" s="0" t="inlineStr">
        <is>
          <t>D70</t>
        </is>
      </c>
      <c r="C3303" s="0" t="inlineStr">
        <is>
          <t>D78</t>
        </is>
      </c>
      <c r="D3303" s="0" t="inlineStr">
        <is>
          <t>DEEP1B real prefix subsets: 100K / 500K / 1M / 5M / 10M</t>
        </is>
      </c>
    </row>
    <row r="3304">
      <c r="A3304" s="0" t="inlineStr">
        <is>
          <t>DEEP1M</t>
        </is>
      </c>
      <c r="B3304" s="0" t="inlineStr">
        <is>
          <t>D71</t>
        </is>
      </c>
      <c r="C3304" s="0" t="inlineStr">
        <is>
          <t>D79</t>
        </is>
      </c>
      <c r="D3304" s="0" t="inlineStr">
        <is>
          <t>dataset size</t>
        </is>
      </c>
    </row>
    <row r="3305">
      <c r="A3305" s="0" t="inlineStr">
        <is>
          <t>DEEP1M</t>
        </is>
      </c>
      <c r="B3305" s="0" t="inlineStr">
        <is>
          <t>F71</t>
        </is>
      </c>
      <c r="C3305" s="0" t="inlineStr">
        <is>
          <t>F79</t>
        </is>
      </c>
      <c r="D3305" s="0" t="inlineStr">
        <is>
          <t>10^5</t>
        </is>
      </c>
    </row>
    <row r="3306">
      <c r="A3306" s="0" t="inlineStr">
        <is>
          <t>DEEP1M</t>
        </is>
      </c>
      <c r="B3306" s="0" t="inlineStr">
        <is>
          <t>G71</t>
        </is>
      </c>
      <c r="C3306" s="0" t="inlineStr">
        <is>
          <t>G79</t>
        </is>
      </c>
      <c r="D3306" s="0" t="inlineStr">
        <is>
          <t>5*10^5</t>
        </is>
      </c>
    </row>
    <row r="3307">
      <c r="A3307" s="0" t="inlineStr">
        <is>
          <t>DEEP1M</t>
        </is>
      </c>
      <c r="B3307" s="0" t="inlineStr">
        <is>
          <t>H71</t>
        </is>
      </c>
      <c r="C3307" s="0" t="inlineStr">
        <is>
          <t>H79</t>
        </is>
      </c>
      <c r="D3307" s="0" t="inlineStr">
        <is>
          <t>10^6</t>
        </is>
      </c>
    </row>
    <row r="3308">
      <c r="A3308" s="0" t="inlineStr">
        <is>
          <t>DEEP1M</t>
        </is>
      </c>
      <c r="B3308" s="0" t="inlineStr">
        <is>
          <t>I71</t>
        </is>
      </c>
      <c r="C3308" s="0" t="inlineStr">
        <is>
          <t>I79</t>
        </is>
      </c>
      <c r="D3308" s="0" t="inlineStr">
        <is>
          <t>5*10^6</t>
        </is>
      </c>
    </row>
    <row r="3309">
      <c r="A3309" s="0" t="inlineStr">
        <is>
          <t>DEEP1M</t>
        </is>
      </c>
      <c r="B3309" s="0" t="inlineStr">
        <is>
          <t>J71</t>
        </is>
      </c>
      <c r="C3309" s="0" t="inlineStr">
        <is>
          <t>J79</t>
        </is>
      </c>
      <c r="D3309" s="0" t="inlineStr">
        <is>
          <t>10^7</t>
        </is>
      </c>
    </row>
    <row r="3310">
      <c r="A3310" s="0" t="inlineStr">
        <is>
          <t>DEEP1M</t>
        </is>
      </c>
      <c r="B3310" s="0" t="inlineStr">
        <is>
          <t>D72</t>
        </is>
      </c>
      <c r="C3310" s="0" t="inlineStr">
        <is>
          <t>D80</t>
        </is>
      </c>
      <c r="D3310" s="0" t="inlineStr">
        <is>
          <t>VLAH</t>
        </is>
      </c>
    </row>
    <row r="3311">
      <c r="A3311" s="0" t="inlineStr">
        <is>
          <t>DEEP1M</t>
        </is>
      </c>
      <c r="B3311" s="0" t="inlineStr">
        <is>
          <t>F72</t>
        </is>
      </c>
      <c r="C3311" s="0" t="inlineStr">
        <is>
          <t>F80</t>
        </is>
      </c>
      <c r="D3311" s="0" t="n">
        <v>30.6691185833333</v>
      </c>
    </row>
    <row r="3312">
      <c r="A3312" s="0" t="inlineStr">
        <is>
          <t>DEEP1M</t>
        </is>
      </c>
      <c r="B3312" s="0" t="inlineStr">
        <is>
          <t>G72</t>
        </is>
      </c>
      <c r="C3312" s="0" t="inlineStr">
        <is>
          <t>G80</t>
        </is>
      </c>
      <c r="D3312" s="0" t="n">
        <v>138.3154764</v>
      </c>
    </row>
    <row r="3313">
      <c r="A3313" s="0" t="inlineStr">
        <is>
          <t>DEEP1M</t>
        </is>
      </c>
      <c r="B3313" s="0" t="inlineStr">
        <is>
          <t>H72</t>
        </is>
      </c>
      <c r="C3313" s="0" t="inlineStr">
        <is>
          <t>H80</t>
        </is>
      </c>
      <c r="D3313" s="0" t="n">
        <v>280.071343333333</v>
      </c>
    </row>
    <row r="3314">
      <c r="A3314" s="0" t="inlineStr">
        <is>
          <t>DEEP1M</t>
        </is>
      </c>
      <c r="B3314" s="0" t="inlineStr">
        <is>
          <t>I72</t>
        </is>
      </c>
      <c r="C3314" s="0" t="inlineStr">
        <is>
          <t>I80</t>
        </is>
      </c>
      <c r="D3314" s="0" t="n">
        <v>1316.81213005</v>
      </c>
    </row>
    <row r="3315">
      <c r="A3315" s="0" t="inlineStr">
        <is>
          <t>DEEP1M</t>
        </is>
      </c>
      <c r="B3315" s="0" t="inlineStr">
        <is>
          <t>J72</t>
        </is>
      </c>
      <c r="C3315" s="0" t="inlineStr">
        <is>
          <t>J80</t>
        </is>
      </c>
      <c r="D3315" s="0" t="n">
        <v>2659.4569935</v>
      </c>
    </row>
    <row r="3316">
      <c r="A3316" s="0" t="inlineStr">
        <is>
          <t>DEEP1M</t>
        </is>
      </c>
      <c r="B3316" s="0" t="inlineStr">
        <is>
          <t>D73</t>
        </is>
      </c>
      <c r="C3316" s="0" t="inlineStr">
        <is>
          <t>D81</t>
        </is>
      </c>
      <c r="D3316" s="0" t="inlineStr">
        <is>
          <t>ANNProof</t>
        </is>
      </c>
    </row>
    <row r="3317">
      <c r="A3317" s="0" t="inlineStr">
        <is>
          <t>DEEP1M</t>
        </is>
      </c>
      <c r="B3317" s="0" t="inlineStr">
        <is>
          <t>F73</t>
        </is>
      </c>
      <c r="C3317" s="0" t="inlineStr">
        <is>
          <t>F81</t>
        </is>
      </c>
      <c r="D3317" s="0" t="n">
        <v>8.31754258333333</v>
      </c>
    </row>
    <row r="3318">
      <c r="A3318" s="0" t="inlineStr">
        <is>
          <t>DEEP1M</t>
        </is>
      </c>
      <c r="B3318" s="0" t="inlineStr">
        <is>
          <t>G73</t>
        </is>
      </c>
      <c r="C3318" s="0" t="inlineStr">
        <is>
          <t>G81</t>
        </is>
      </c>
      <c r="D3318" s="0" t="n">
        <v>11.3754679</v>
      </c>
    </row>
    <row r="3319">
      <c r="A3319" s="0" t="inlineStr">
        <is>
          <t>DEEP1M</t>
        </is>
      </c>
      <c r="B3319" s="0" t="inlineStr">
        <is>
          <t>H73</t>
        </is>
      </c>
      <c r="C3319" s="0" t="inlineStr">
        <is>
          <t>H81</t>
        </is>
      </c>
      <c r="D3319" s="0" t="n">
        <v>15.4261976166667</v>
      </c>
    </row>
    <row r="3320">
      <c r="A3320" s="0" t="inlineStr">
        <is>
          <t>DEEP1M</t>
        </is>
      </c>
      <c r="B3320" s="0" t="inlineStr">
        <is>
          <t>I73</t>
        </is>
      </c>
      <c r="C3320" s="0" t="inlineStr">
        <is>
          <t>I81</t>
        </is>
      </c>
      <c r="D3320" s="0" t="n">
        <v>25.9699077166667</v>
      </c>
    </row>
    <row r="3321">
      <c r="A3321" s="0" t="inlineStr">
        <is>
          <t>DEEP1M</t>
        </is>
      </c>
      <c r="B3321" s="0" t="inlineStr">
        <is>
          <t>J73</t>
        </is>
      </c>
      <c r="C3321" s="0" t="inlineStr">
        <is>
          <t>J81</t>
        </is>
      </c>
      <c r="D3321" s="0" t="n">
        <v>35.1169640833333</v>
      </c>
    </row>
    <row r="3322">
      <c r="A3322" s="0" t="inlineStr">
        <is>
          <t>DEEP1M</t>
        </is>
      </c>
      <c r="B3322" s="0" t="inlineStr">
        <is>
          <t>D74</t>
        </is>
      </c>
      <c r="C3322" s="0" t="inlineStr">
        <is>
          <t>D82</t>
        </is>
      </c>
      <c r="D3322" s="0" t="inlineStr">
        <is>
          <t>Ours</t>
        </is>
      </c>
    </row>
    <row r="3323">
      <c r="A3323" s="0" t="inlineStr">
        <is>
          <t>DEEP1M</t>
        </is>
      </c>
      <c r="B3323" s="0" t="inlineStr">
        <is>
          <t>F74</t>
        </is>
      </c>
      <c r="C3323" s="0" t="inlineStr">
        <is>
          <t>F82</t>
        </is>
      </c>
      <c r="D3323" s="0" t="n">
        <v>3.48295088333333</v>
      </c>
    </row>
    <row r="3324">
      <c r="A3324" s="0" t="inlineStr">
        <is>
          <t>DEEP1M</t>
        </is>
      </c>
      <c r="B3324" s="0" t="inlineStr">
        <is>
          <t>G74</t>
        </is>
      </c>
      <c r="C3324" s="0" t="inlineStr">
        <is>
          <t>G82</t>
        </is>
      </c>
      <c r="D3324" s="0" t="n">
        <v>5.32543016666667</v>
      </c>
    </row>
    <row r="3325">
      <c r="A3325" s="0" t="inlineStr">
        <is>
          <t>DEEP1M</t>
        </is>
      </c>
      <c r="B3325" s="0" t="inlineStr">
        <is>
          <t>H74</t>
        </is>
      </c>
      <c r="C3325" s="0" t="inlineStr">
        <is>
          <t>H82</t>
        </is>
      </c>
      <c r="D3325" s="0" t="n">
        <v>6.1193687</v>
      </c>
    </row>
    <row r="3326">
      <c r="A3326" s="0" t="inlineStr">
        <is>
          <t>DEEP1M</t>
        </is>
      </c>
      <c r="B3326" s="0" t="inlineStr">
        <is>
          <t>I74</t>
        </is>
      </c>
      <c r="C3326" s="0" t="inlineStr">
        <is>
          <t>I82</t>
        </is>
      </c>
      <c r="D3326" s="0" t="n">
        <v>13.18477455</v>
      </c>
    </row>
    <row r="3327">
      <c r="A3327" s="0" t="inlineStr">
        <is>
          <t>DEEP1M</t>
        </is>
      </c>
      <c r="B3327" s="0" t="inlineStr">
        <is>
          <t>J74</t>
        </is>
      </c>
      <c r="C3327" s="0" t="inlineStr">
        <is>
          <t>J82</t>
        </is>
      </c>
      <c r="D3327" s="0" t="n">
        <v>15.7888074166667</v>
      </c>
    </row>
    <row r="3328">
      <c r="A3328" s="0" t="inlineStr">
        <is>
          <t>DEEP1M</t>
        </is>
      </c>
      <c r="B3328" s="0" t="inlineStr">
        <is>
          <t>D75</t>
        </is>
      </c>
      <c r="C3328" s="0" t="inlineStr">
        <is>
          <t>D83</t>
        </is>
      </c>
      <c r="D3328" s="0" t="inlineStr">
        <is>
          <t>V3DB（单次）</t>
        </is>
      </c>
    </row>
    <row r="3329">
      <c r="A3329" s="0" t="inlineStr">
        <is>
          <t>DEEP1M</t>
        </is>
      </c>
      <c r="B3329" s="0" t="inlineStr">
        <is>
          <t>F75</t>
        </is>
      </c>
      <c r="C3329" s="0" t="inlineStr">
        <is>
          <t>F83</t>
        </is>
      </c>
      <c r="D3329" s="0" t="n">
        <v>21.4506789998268</v>
      </c>
    </row>
    <row r="3330">
      <c r="A3330" s="0" t="inlineStr">
        <is>
          <t>DEEP1M</t>
        </is>
      </c>
      <c r="B3330" s="0" t="inlineStr">
        <is>
          <t>G75</t>
        </is>
      </c>
      <c r="C3330" s="0" t="inlineStr">
        <is>
          <t>G83</t>
        </is>
      </c>
      <c r="D3330" s="0" t="n">
        <v>24.8724909997691</v>
      </c>
    </row>
    <row r="3331">
      <c r="A3331" s="0" t="inlineStr">
        <is>
          <t>DEEP1M</t>
        </is>
      </c>
      <c r="B3331" s="0" t="inlineStr">
        <is>
          <t>H75</t>
        </is>
      </c>
      <c r="C3331" s="0" t="inlineStr">
        <is>
          <t>H83</t>
        </is>
      </c>
      <c r="D3331" s="0" t="n">
        <v>55.9675380063709</v>
      </c>
    </row>
    <row r="3332">
      <c r="A3332" s="0" t="inlineStr">
        <is>
          <t>DEEP1M</t>
        </is>
      </c>
      <c r="B3332" s="0" t="inlineStr">
        <is>
          <t>I75</t>
        </is>
      </c>
      <c r="C3332" s="0" t="inlineStr">
        <is>
          <t>I83</t>
        </is>
      </c>
    </row>
    <row r="3333">
      <c r="A3333" s="0" t="inlineStr">
        <is>
          <t>DEEP1M</t>
        </is>
      </c>
      <c r="B3333" s="0" t="inlineStr">
        <is>
          <t>J75</t>
        </is>
      </c>
      <c r="C3333" s="0" t="inlineStr">
        <is>
          <t>J83</t>
        </is>
      </c>
    </row>
    <row r="3334">
      <c r="A3334" s="0" t="inlineStr">
        <is>
          <t>DEEP1M</t>
        </is>
      </c>
      <c r="B3334" s="0" t="inlineStr">
        <is>
          <t>E78</t>
        </is>
      </c>
      <c r="C3334" s="0" t="inlineStr">
        <is>
          <t>E87</t>
        </is>
      </c>
      <c r="D3334" s="0" t="inlineStr">
        <is>
          <t>Dataset size vs. query time</t>
        </is>
      </c>
    </row>
    <row r="3335">
      <c r="A3335" s="0" t="inlineStr">
        <is>
          <t>DEEP1M</t>
        </is>
      </c>
      <c r="B3335" s="0" t="inlineStr">
        <is>
          <t>D80</t>
        </is>
      </c>
      <c r="C3335" s="0" t="inlineStr">
        <is>
          <t>D89</t>
        </is>
      </c>
      <c r="D3335" s="0" t="inlineStr">
        <is>
          <t>DEEP1B real prefix subsets: 100K / 500K / 1M / 5M / 10M</t>
        </is>
      </c>
    </row>
    <row r="3336">
      <c r="A3336" s="0" t="inlineStr">
        <is>
          <t>DEEP1M</t>
        </is>
      </c>
      <c r="B3336" s="0" t="inlineStr">
        <is>
          <t>D81</t>
        </is>
      </c>
      <c r="C3336" s="0" t="inlineStr">
        <is>
          <t>D90</t>
        </is>
      </c>
      <c r="D3336" s="0" t="inlineStr">
        <is>
          <t>dataset size</t>
        </is>
      </c>
    </row>
    <row r="3337">
      <c r="A3337" s="0" t="inlineStr">
        <is>
          <t>DEEP1M</t>
        </is>
      </c>
      <c r="B3337" s="0" t="inlineStr">
        <is>
          <t>F81</t>
        </is>
      </c>
      <c r="C3337" s="0" t="inlineStr">
        <is>
          <t>F90</t>
        </is>
      </c>
      <c r="D3337" s="0" t="inlineStr">
        <is>
          <t>10^5</t>
        </is>
      </c>
    </row>
    <row r="3338">
      <c r="A3338" s="0" t="inlineStr">
        <is>
          <t>DEEP1M</t>
        </is>
      </c>
      <c r="B3338" s="0" t="inlineStr">
        <is>
          <t>G81</t>
        </is>
      </c>
      <c r="C3338" s="0" t="inlineStr">
        <is>
          <t>G90</t>
        </is>
      </c>
      <c r="D3338" s="0" t="inlineStr">
        <is>
          <t>5*10^5</t>
        </is>
      </c>
    </row>
    <row r="3339">
      <c r="A3339" s="0" t="inlineStr">
        <is>
          <t>DEEP1M</t>
        </is>
      </c>
      <c r="B3339" s="0" t="inlineStr">
        <is>
          <t>H81</t>
        </is>
      </c>
      <c r="C3339" s="0" t="inlineStr">
        <is>
          <t>H90</t>
        </is>
      </c>
      <c r="D3339" s="0" t="inlineStr">
        <is>
          <t>10^6</t>
        </is>
      </c>
    </row>
    <row r="3340">
      <c r="A3340" s="0" t="inlineStr">
        <is>
          <t>DEEP1M</t>
        </is>
      </c>
      <c r="B3340" s="0" t="inlineStr">
        <is>
          <t>I81</t>
        </is>
      </c>
      <c r="C3340" s="0" t="inlineStr">
        <is>
          <t>I90</t>
        </is>
      </c>
      <c r="D3340" s="0" t="inlineStr">
        <is>
          <t>5*10^6</t>
        </is>
      </c>
    </row>
    <row r="3341">
      <c r="A3341" s="0" t="inlineStr">
        <is>
          <t>DEEP1M</t>
        </is>
      </c>
      <c r="B3341" s="0" t="inlineStr">
        <is>
          <t>J81</t>
        </is>
      </c>
      <c r="C3341" s="0" t="inlineStr">
        <is>
          <t>J90</t>
        </is>
      </c>
      <c r="D3341" s="0" t="inlineStr">
        <is>
          <t>10^7</t>
        </is>
      </c>
    </row>
    <row r="3342">
      <c r="A3342" s="0" t="inlineStr">
        <is>
          <t>DEEP1M</t>
        </is>
      </c>
      <c r="B3342" s="0" t="inlineStr">
        <is>
          <t>D82</t>
        </is>
      </c>
      <c r="C3342" s="0" t="inlineStr">
        <is>
          <t>D91</t>
        </is>
      </c>
      <c r="D3342" s="0" t="inlineStr">
        <is>
          <t>VLAH</t>
        </is>
      </c>
    </row>
    <row r="3343">
      <c r="A3343" s="0" t="inlineStr">
        <is>
          <t>DEEP1M</t>
        </is>
      </c>
      <c r="B3343" s="0" t="inlineStr">
        <is>
          <t>F82</t>
        </is>
      </c>
      <c r="C3343" s="0" t="inlineStr">
        <is>
          <t>F91</t>
        </is>
      </c>
      <c r="D3343" s="0" t="n">
        <v>11.1942364166667</v>
      </c>
    </row>
    <row r="3344">
      <c r="A3344" s="0" t="inlineStr">
        <is>
          <t>DEEP1M</t>
        </is>
      </c>
      <c r="B3344" s="0" t="inlineStr">
        <is>
          <t>G82</t>
        </is>
      </c>
      <c r="C3344" s="0" t="inlineStr">
        <is>
          <t>G91</t>
        </is>
      </c>
      <c r="D3344" s="0" t="n">
        <v>49.60916</v>
      </c>
    </row>
    <row r="3345">
      <c r="A3345" s="0" t="inlineStr">
        <is>
          <t>DEEP1M</t>
        </is>
      </c>
      <c r="B3345" s="0" t="inlineStr">
        <is>
          <t>H82</t>
        </is>
      </c>
      <c r="C3345" s="0" t="inlineStr">
        <is>
          <t>H91</t>
        </is>
      </c>
      <c r="D3345" s="0" t="n">
        <v>106.513872866667</v>
      </c>
    </row>
    <row r="3346">
      <c r="A3346" s="0" t="inlineStr">
        <is>
          <t>DEEP1M</t>
        </is>
      </c>
      <c r="B3346" s="0" t="inlineStr">
        <is>
          <t>I82</t>
        </is>
      </c>
      <c r="C3346" s="0" t="inlineStr">
        <is>
          <t>I91</t>
        </is>
      </c>
      <c r="D3346" s="0" t="n">
        <v>550.324390433333</v>
      </c>
    </row>
    <row r="3347">
      <c r="A3347" s="0" t="inlineStr">
        <is>
          <t>DEEP1M</t>
        </is>
      </c>
      <c r="B3347" s="0" t="inlineStr">
        <is>
          <t>J82</t>
        </is>
      </c>
      <c r="C3347" s="0" t="inlineStr">
        <is>
          <t>J91</t>
        </is>
      </c>
      <c r="D3347" s="0" t="n">
        <v>1070.8410505</v>
      </c>
    </row>
    <row r="3348">
      <c r="A3348" s="0" t="inlineStr">
        <is>
          <t>DEEP1M</t>
        </is>
      </c>
      <c r="B3348" s="0" t="inlineStr">
        <is>
          <t>D83</t>
        </is>
      </c>
      <c r="C3348" s="0" t="inlineStr">
        <is>
          <t>D92</t>
        </is>
      </c>
      <c r="D3348" s="0" t="inlineStr">
        <is>
          <t>ANNProof</t>
        </is>
      </c>
    </row>
    <row r="3349">
      <c r="A3349" s="0" t="inlineStr">
        <is>
          <t>DEEP1M</t>
        </is>
      </c>
      <c r="B3349" s="0" t="inlineStr">
        <is>
          <t>F83</t>
        </is>
      </c>
      <c r="C3349" s="0" t="inlineStr">
        <is>
          <t>F92</t>
        </is>
      </c>
      <c r="D3349" s="0" t="n">
        <v>1.7697227</v>
      </c>
    </row>
    <row r="3350">
      <c r="A3350" s="0" t="inlineStr">
        <is>
          <t>DEEP1M</t>
        </is>
      </c>
      <c r="B3350" s="0" t="inlineStr">
        <is>
          <t>G83</t>
        </is>
      </c>
      <c r="C3350" s="0" t="inlineStr">
        <is>
          <t>G92</t>
        </is>
      </c>
      <c r="D3350" s="0" t="n">
        <v>2.28107513333333</v>
      </c>
    </row>
    <row r="3351">
      <c r="A3351" s="0" t="inlineStr">
        <is>
          <t>DEEP1M</t>
        </is>
      </c>
      <c r="B3351" s="0" t="inlineStr">
        <is>
          <t>H83</t>
        </is>
      </c>
      <c r="C3351" s="0" t="inlineStr">
        <is>
          <t>H92</t>
        </is>
      </c>
      <c r="D3351" s="0" t="n">
        <v>3.15865693333333</v>
      </c>
    </row>
    <row r="3352">
      <c r="A3352" s="0" t="inlineStr">
        <is>
          <t>DEEP1M</t>
        </is>
      </c>
      <c r="B3352" s="0" t="inlineStr">
        <is>
          <t>I83</t>
        </is>
      </c>
      <c r="C3352" s="0" t="inlineStr">
        <is>
          <t>I92</t>
        </is>
      </c>
      <c r="D3352" s="0" t="n">
        <v>6.14507238333333</v>
      </c>
    </row>
    <row r="3353">
      <c r="A3353" s="0" t="inlineStr">
        <is>
          <t>DEEP1M</t>
        </is>
      </c>
      <c r="B3353" s="0" t="inlineStr">
        <is>
          <t>J83</t>
        </is>
      </c>
      <c r="C3353" s="0" t="inlineStr">
        <is>
          <t>J92</t>
        </is>
      </c>
      <c r="D3353" s="0" t="n">
        <v>9.09569141666667</v>
      </c>
    </row>
    <row r="3354">
      <c r="A3354" s="0" t="inlineStr">
        <is>
          <t>DEEP1M</t>
        </is>
      </c>
      <c r="B3354" s="0" t="inlineStr">
        <is>
          <t>D84</t>
        </is>
      </c>
      <c r="C3354" s="0" t="inlineStr">
        <is>
          <t>D93</t>
        </is>
      </c>
      <c r="D3354" s="0" t="inlineStr">
        <is>
          <t>Ours</t>
        </is>
      </c>
    </row>
    <row r="3355">
      <c r="A3355" s="0" t="inlineStr">
        <is>
          <t>DEEP1M</t>
        </is>
      </c>
      <c r="B3355" s="0" t="inlineStr">
        <is>
          <t>F84</t>
        </is>
      </c>
      <c r="C3355" s="0" t="inlineStr">
        <is>
          <t>F93</t>
        </is>
      </c>
      <c r="D3355" s="0" t="n">
        <v>1.46408101666667</v>
      </c>
    </row>
    <row r="3356">
      <c r="A3356" s="0" t="inlineStr">
        <is>
          <t>DEEP1M</t>
        </is>
      </c>
      <c r="B3356" s="0" t="inlineStr">
        <is>
          <t>G84</t>
        </is>
      </c>
      <c r="C3356" s="0" t="inlineStr">
        <is>
          <t>G93</t>
        </is>
      </c>
      <c r="D3356" s="0" t="n">
        <v>2.29060276666667</v>
      </c>
    </row>
    <row r="3357">
      <c r="A3357" s="0" t="inlineStr">
        <is>
          <t>DEEP1M</t>
        </is>
      </c>
      <c r="B3357" s="0" t="inlineStr">
        <is>
          <t>H84</t>
        </is>
      </c>
      <c r="C3357" s="0" t="inlineStr">
        <is>
          <t>H93</t>
        </is>
      </c>
      <c r="D3357" s="0" t="n">
        <v>2.5314656</v>
      </c>
    </row>
    <row r="3358">
      <c r="A3358" s="0" t="inlineStr">
        <is>
          <t>DEEP1M</t>
        </is>
      </c>
      <c r="B3358" s="0" t="inlineStr">
        <is>
          <t>I84</t>
        </is>
      </c>
      <c r="C3358" s="0" t="inlineStr">
        <is>
          <t>I93</t>
        </is>
      </c>
      <c r="D3358" s="0" t="n">
        <v>6.15269876666667</v>
      </c>
    </row>
    <row r="3359">
      <c r="A3359" s="0" t="inlineStr">
        <is>
          <t>DEEP1M</t>
        </is>
      </c>
      <c r="B3359" s="0" t="inlineStr">
        <is>
          <t>J84</t>
        </is>
      </c>
      <c r="C3359" s="0" t="inlineStr">
        <is>
          <t>J93</t>
        </is>
      </c>
      <c r="D3359" s="0" t="n">
        <v>7.25583046666667</v>
      </c>
    </row>
    <row r="3360">
      <c r="A3360" s="0" t="inlineStr">
        <is>
          <t>DEEP1M</t>
        </is>
      </c>
      <c r="B3360" s="0" t="inlineStr">
        <is>
          <t>D85</t>
        </is>
      </c>
      <c r="C3360" s="0" t="inlineStr">
        <is>
          <t>D94</t>
        </is>
      </c>
      <c r="D3360" s="0" t="inlineStr">
        <is>
          <t>V3DB（单次）</t>
        </is>
      </c>
    </row>
    <row r="3361">
      <c r="A3361" s="0" t="inlineStr">
        <is>
          <t>DEEP1M</t>
        </is>
      </c>
      <c r="B3361" s="0" t="inlineStr">
        <is>
          <t>F85</t>
        </is>
      </c>
      <c r="C3361" s="0" t="inlineStr">
        <is>
          <t>F94</t>
        </is>
      </c>
      <c r="D3361" s="0" t="n">
        <v>489603.440798</v>
      </c>
    </row>
    <row r="3362">
      <c r="A3362" s="0" t="inlineStr">
        <is>
          <t>DEEP1M</t>
        </is>
      </c>
      <c r="B3362" s="0" t="inlineStr">
        <is>
          <t>G85</t>
        </is>
      </c>
      <c r="C3362" s="0" t="inlineStr">
        <is>
          <t>G94</t>
        </is>
      </c>
      <c r="D3362" s="0" t="n">
        <v>496514.607923</v>
      </c>
    </row>
    <row r="3363">
      <c r="A3363" s="0" t="inlineStr">
        <is>
          <t>DEEP1M</t>
        </is>
      </c>
      <c r="B3363" s="0" t="inlineStr">
        <is>
          <t>H85</t>
        </is>
      </c>
      <c r="C3363" s="0" t="inlineStr">
        <is>
          <t>H94</t>
        </is>
      </c>
      <c r="D3363" s="0" t="n">
        <v>493189.722806004</v>
      </c>
    </row>
    <row r="3364">
      <c r="A3364" s="0" t="inlineStr">
        <is>
          <t>DEEP1M</t>
        </is>
      </c>
      <c r="B3364" s="0" t="inlineStr">
        <is>
          <t>I85</t>
        </is>
      </c>
      <c r="C3364" s="0" t="inlineStr">
        <is>
          <t>I94</t>
        </is>
      </c>
    </row>
    <row r="3365">
      <c r="A3365" s="0" t="inlineStr">
        <is>
          <t>DEEP1M</t>
        </is>
      </c>
      <c r="B3365" s="0" t="inlineStr">
        <is>
          <t>J85</t>
        </is>
      </c>
      <c r="C3365" s="0" t="inlineStr">
        <is>
          <t>J94</t>
        </is>
      </c>
    </row>
    <row r="3366">
      <c r="A3366" s="0" t="inlineStr">
        <is>
          <t>DEEP1M</t>
        </is>
      </c>
      <c r="B3366" s="0" t="inlineStr">
        <is>
          <t>E90</t>
        </is>
      </c>
      <c r="C3366" s="0" t="inlineStr">
        <is>
          <t>E100</t>
        </is>
      </c>
      <c r="D3366" s="0" t="inlineStr">
        <is>
          <t>K vs. VO size (actual Recall@K logged)</t>
        </is>
      </c>
    </row>
    <row r="3367">
      <c r="A3367" s="0" t="inlineStr">
        <is>
          <t>DEEP1M</t>
        </is>
      </c>
      <c r="B3367" s="0" t="inlineStr">
        <is>
          <t>D92</t>
        </is>
      </c>
      <c r="C3367" s="0" t="inlineStr">
        <is>
          <t>D102</t>
        </is>
      </c>
      <c r="D3367" s="0" t="inlineStr">
        <is>
          <t>DEEP1M (N=1,000,000, d=96)</t>
        </is>
      </c>
    </row>
    <row r="3368">
      <c r="A3368" s="0" t="inlineStr">
        <is>
          <t>DEEP1M</t>
        </is>
      </c>
      <c r="B3368" s="0" t="inlineStr">
        <is>
          <t>D93</t>
        </is>
      </c>
      <c r="C3368" s="0" t="inlineStr">
        <is>
          <t>D103</t>
        </is>
      </c>
      <c r="D3368" s="0" t="inlineStr">
        <is>
          <t>K</t>
        </is>
      </c>
    </row>
    <row r="3369">
      <c r="A3369" s="0" t="inlineStr">
        <is>
          <t>DEEP1M</t>
        </is>
      </c>
      <c r="B3369" s="0" t="inlineStr">
        <is>
          <t>F93</t>
        </is>
      </c>
      <c r="C3369" s="0" t="inlineStr">
        <is>
          <t>F103</t>
        </is>
      </c>
      <c r="D3369" s="0" t="n">
        <v>1</v>
      </c>
    </row>
    <row r="3370">
      <c r="A3370" s="0" t="inlineStr">
        <is>
          <t>DEEP1M</t>
        </is>
      </c>
      <c r="B3370" s="0" t="inlineStr">
        <is>
          <t>G93</t>
        </is>
      </c>
      <c r="C3370" s="0" t="inlineStr">
        <is>
          <t>G103</t>
        </is>
      </c>
      <c r="D3370" s="0" t="n">
        <v>5</v>
      </c>
    </row>
    <row r="3371">
      <c r="A3371" s="0" t="inlineStr">
        <is>
          <t>DEEP1M</t>
        </is>
      </c>
      <c r="B3371" s="0" t="inlineStr">
        <is>
          <t>H93</t>
        </is>
      </c>
      <c r="C3371" s="0" t="inlineStr">
        <is>
          <t>H103</t>
        </is>
      </c>
      <c r="D3371" s="0" t="n">
        <v>10</v>
      </c>
    </row>
    <row r="3372">
      <c r="A3372" s="0" t="inlineStr">
        <is>
          <t>DEEP1M</t>
        </is>
      </c>
      <c r="B3372" s="0" t="inlineStr">
        <is>
          <t>I93</t>
        </is>
      </c>
      <c r="C3372" s="0" t="inlineStr">
        <is>
          <t>I103</t>
        </is>
      </c>
      <c r="D3372" s="0" t="n">
        <v>20</v>
      </c>
    </row>
    <row r="3373">
      <c r="A3373" s="0" t="inlineStr">
        <is>
          <t>DEEP1M</t>
        </is>
      </c>
      <c r="B3373" s="0" t="inlineStr">
        <is>
          <t>J93</t>
        </is>
      </c>
      <c r="C3373" s="0" t="inlineStr">
        <is>
          <t>J103</t>
        </is>
      </c>
      <c r="D3373" s="0" t="n">
        <v>50</v>
      </c>
    </row>
    <row r="3374">
      <c r="A3374" s="0" t="inlineStr">
        <is>
          <t>DEEP1M</t>
        </is>
      </c>
      <c r="B3374" s="0" t="inlineStr">
        <is>
          <t>K93</t>
        </is>
      </c>
      <c r="C3374" s="0" t="inlineStr">
        <is>
          <t>K103</t>
        </is>
      </c>
      <c r="D3374" s="0" t="n">
        <v>100</v>
      </c>
    </row>
    <row r="3375">
      <c r="A3375" s="0" t="inlineStr">
        <is>
          <t>DEEP1M</t>
        </is>
      </c>
      <c r="B3375" s="0" t="inlineStr">
        <is>
          <t>D94</t>
        </is>
      </c>
      <c r="C3375" s="0" t="inlineStr">
        <is>
          <t>D104</t>
        </is>
      </c>
      <c r="D3375" s="0" t="inlineStr">
        <is>
          <t>VLAH</t>
        </is>
      </c>
    </row>
    <row r="3376">
      <c r="A3376" s="0" t="inlineStr">
        <is>
          <t>DEEP1M</t>
        </is>
      </c>
      <c r="B3376" s="0" t="inlineStr">
        <is>
          <t>F94</t>
        </is>
      </c>
      <c r="C3376" s="0" t="inlineStr">
        <is>
          <t>F104</t>
        </is>
      </c>
      <c r="D3376" s="0" t="n">
        <v>38322.13555</v>
      </c>
    </row>
    <row r="3377">
      <c r="A3377" s="0" t="inlineStr">
        <is>
          <t>DEEP1M</t>
        </is>
      </c>
      <c r="B3377" s="0" t="inlineStr">
        <is>
          <t>G94</t>
        </is>
      </c>
      <c r="C3377" s="0" t="inlineStr">
        <is>
          <t>G104</t>
        </is>
      </c>
      <c r="D3377" s="0" t="n">
        <v>38322.15155</v>
      </c>
    </row>
    <row r="3378">
      <c r="A3378" s="0" t="inlineStr">
        <is>
          <t>DEEP1M</t>
        </is>
      </c>
      <c r="B3378" s="0" t="inlineStr">
        <is>
          <t>H94</t>
        </is>
      </c>
      <c r="C3378" s="0" t="inlineStr">
        <is>
          <t>H104</t>
        </is>
      </c>
      <c r="D3378" s="0" t="n">
        <v>38322.17155</v>
      </c>
    </row>
    <row r="3379">
      <c r="A3379" s="0" t="inlineStr">
        <is>
          <t>DEEP1M</t>
        </is>
      </c>
      <c r="B3379" s="0" t="inlineStr">
        <is>
          <t>I94</t>
        </is>
      </c>
      <c r="C3379" s="0" t="inlineStr">
        <is>
          <t>I104</t>
        </is>
      </c>
      <c r="D3379" s="0" t="n">
        <v>38322.21155</v>
      </c>
    </row>
    <row r="3380">
      <c r="A3380" s="0" t="inlineStr">
        <is>
          <t>DEEP1M</t>
        </is>
      </c>
      <c r="B3380" s="0" t="inlineStr">
        <is>
          <t>J94</t>
        </is>
      </c>
      <c r="C3380" s="0" t="inlineStr">
        <is>
          <t>J104</t>
        </is>
      </c>
      <c r="D3380" s="0" t="n">
        <v>38322.33155</v>
      </c>
    </row>
    <row r="3381">
      <c r="A3381" s="0" t="inlineStr">
        <is>
          <t>DEEP1M</t>
        </is>
      </c>
      <c r="B3381" s="0" t="inlineStr">
        <is>
          <t>K94</t>
        </is>
      </c>
      <c r="C3381" s="0" t="inlineStr">
        <is>
          <t>K104</t>
        </is>
      </c>
      <c r="D3381" s="0" t="n">
        <v>38322.53155</v>
      </c>
    </row>
    <row r="3382">
      <c r="A3382" s="0" t="inlineStr">
        <is>
          <t>DEEP1M</t>
        </is>
      </c>
      <c r="B3382" s="0" t="inlineStr">
        <is>
          <t>D95</t>
        </is>
      </c>
      <c r="C3382" s="0" t="inlineStr">
        <is>
          <t>D105</t>
        </is>
      </c>
      <c r="D3382" s="0" t="inlineStr">
        <is>
          <t>ANNProof</t>
        </is>
      </c>
    </row>
    <row r="3383">
      <c r="A3383" s="0" t="inlineStr">
        <is>
          <t>DEEP1M</t>
        </is>
      </c>
      <c r="B3383" s="0" t="inlineStr">
        <is>
          <t>F95</t>
        </is>
      </c>
      <c r="C3383" s="0" t="inlineStr">
        <is>
          <t>F105</t>
        </is>
      </c>
      <c r="D3383" s="0" t="n">
        <v>1581.2762</v>
      </c>
    </row>
    <row r="3384">
      <c r="A3384" s="0" t="inlineStr">
        <is>
          <t>DEEP1M</t>
        </is>
      </c>
      <c r="B3384" s="0" t="inlineStr">
        <is>
          <t>G95</t>
        </is>
      </c>
      <c r="C3384" s="0" t="inlineStr">
        <is>
          <t>G105</t>
        </is>
      </c>
      <c r="D3384" s="0" t="n">
        <v>1583.5182</v>
      </c>
    </row>
    <row r="3385">
      <c r="A3385" s="0" t="inlineStr">
        <is>
          <t>DEEP1M</t>
        </is>
      </c>
      <c r="B3385" s="0" t="inlineStr">
        <is>
          <t>H95</t>
        </is>
      </c>
      <c r="C3385" s="0" t="inlineStr">
        <is>
          <t>H105</t>
        </is>
      </c>
      <c r="D3385" s="0" t="n">
        <v>1586.2762</v>
      </c>
    </row>
    <row r="3386">
      <c r="A3386" s="0" t="inlineStr">
        <is>
          <t>DEEP1M</t>
        </is>
      </c>
      <c r="B3386" s="0" t="inlineStr">
        <is>
          <t>I95</t>
        </is>
      </c>
      <c r="C3386" s="0" t="inlineStr">
        <is>
          <t>I105</t>
        </is>
      </c>
      <c r="D3386" s="0" t="n">
        <v>1591.6142</v>
      </c>
    </row>
    <row r="3387">
      <c r="A3387" s="0" t="inlineStr">
        <is>
          <t>DEEP1M</t>
        </is>
      </c>
      <c r="B3387" s="0" t="inlineStr">
        <is>
          <t>J95</t>
        </is>
      </c>
      <c r="C3387" s="0" t="inlineStr">
        <is>
          <t>J105</t>
        </is>
      </c>
      <c r="D3387" s="0" t="n">
        <v>1607.2942</v>
      </c>
    </row>
    <row r="3388">
      <c r="A3388" s="0" t="inlineStr">
        <is>
          <t>DEEP1M</t>
        </is>
      </c>
      <c r="B3388" s="0" t="inlineStr">
        <is>
          <t>K95</t>
        </is>
      </c>
      <c r="C3388" s="0" t="inlineStr">
        <is>
          <t>K105</t>
        </is>
      </c>
      <c r="D3388" s="0" t="n">
        <v>1631.6282</v>
      </c>
    </row>
    <row r="3389">
      <c r="A3389" s="0" t="inlineStr">
        <is>
          <t>DEEP1M</t>
        </is>
      </c>
      <c r="B3389" s="0" t="inlineStr">
        <is>
          <t>D96</t>
        </is>
      </c>
      <c r="C3389" s="0" t="inlineStr">
        <is>
          <t>D106</t>
        </is>
      </c>
      <c r="D3389" s="0" t="inlineStr">
        <is>
          <t>Ours</t>
        </is>
      </c>
    </row>
    <row r="3390">
      <c r="A3390" s="0" t="inlineStr">
        <is>
          <t>DEEP1M</t>
        </is>
      </c>
      <c r="B3390" s="0" t="inlineStr">
        <is>
          <t>F96</t>
        </is>
      </c>
      <c r="C3390" s="0" t="inlineStr">
        <is>
          <t>F106</t>
        </is>
      </c>
      <c r="D3390" s="0" t="n">
        <v>168.3194</v>
      </c>
    </row>
    <row r="3391">
      <c r="A3391" s="0" t="inlineStr">
        <is>
          <t>DEEP1M</t>
        </is>
      </c>
      <c r="B3391" s="0" t="inlineStr">
        <is>
          <t>G96</t>
        </is>
      </c>
      <c r="C3391" s="0" t="inlineStr">
        <is>
          <t>G106</t>
        </is>
      </c>
      <c r="D3391" s="0" t="n">
        <v>235.5306</v>
      </c>
    </row>
    <row r="3392">
      <c r="A3392" s="0" t="inlineStr">
        <is>
          <t>DEEP1M</t>
        </is>
      </c>
      <c r="B3392" s="0" t="inlineStr">
        <is>
          <t>H96</t>
        </is>
      </c>
      <c r="C3392" s="0" t="inlineStr">
        <is>
          <t>H106</t>
        </is>
      </c>
      <c r="D3392" s="0" t="n">
        <v>271.0874</v>
      </c>
    </row>
    <row r="3393">
      <c r="A3393" s="0" t="inlineStr">
        <is>
          <t>DEEP1M</t>
        </is>
      </c>
      <c r="B3393" s="0" t="inlineStr">
        <is>
          <t>I96</t>
        </is>
      </c>
      <c r="C3393" s="0" t="inlineStr">
        <is>
          <t>I106</t>
        </is>
      </c>
      <c r="D3393" s="0" t="n">
        <v>311.4214</v>
      </c>
    </row>
    <row r="3394">
      <c r="A3394" s="0" t="inlineStr">
        <is>
          <t>DEEP1M</t>
        </is>
      </c>
      <c r="B3394" s="0" t="inlineStr">
        <is>
          <t>J96</t>
        </is>
      </c>
      <c r="C3394" s="0" t="inlineStr">
        <is>
          <t>J106</t>
        </is>
      </c>
      <c r="D3394" s="0" t="n">
        <v>394.7074</v>
      </c>
    </row>
    <row r="3395">
      <c r="A3395" s="0" t="inlineStr">
        <is>
          <t>DEEP1M</t>
        </is>
      </c>
      <c r="B3395" s="0" t="inlineStr">
        <is>
          <t>K96</t>
        </is>
      </c>
      <c r="C3395" s="0" t="inlineStr">
        <is>
          <t>K106</t>
        </is>
      </c>
      <c r="D3395" s="0" t="n">
        <v>479.8746</v>
      </c>
    </row>
    <row r="3396">
      <c r="A3396" s="0" t="inlineStr">
        <is>
          <t>DEEP1M</t>
        </is>
      </c>
      <c r="B3396" s="0" t="inlineStr">
        <is>
          <t>D97</t>
        </is>
      </c>
      <c r="C3396" s="0" t="inlineStr">
        <is>
          <t>D107</t>
        </is>
      </c>
      <c r="D3396" s="0" t="inlineStr">
        <is>
          <t>V3DB（单次）</t>
        </is>
      </c>
    </row>
    <row r="3397">
      <c r="A3397" s="0" t="inlineStr">
        <is>
          <t>DEEP1M</t>
        </is>
      </c>
      <c r="B3397" s="0" t="inlineStr">
        <is>
          <t>F97</t>
        </is>
      </c>
      <c r="C3397" s="0" t="inlineStr">
        <is>
          <t>F107</t>
        </is>
      </c>
      <c r="D3397" s="0" t="n">
        <v>269.378</v>
      </c>
    </row>
    <row r="3398">
      <c r="A3398" s="0" t="inlineStr">
        <is>
          <t>DEEP1M</t>
        </is>
      </c>
      <c r="B3398" s="0" t="inlineStr">
        <is>
          <t>G97</t>
        </is>
      </c>
      <c r="C3398" s="0" t="inlineStr">
        <is>
          <t>G107</t>
        </is>
      </c>
      <c r="D3398" s="0" t="n">
        <v>271.605</v>
      </c>
    </row>
    <row r="3399">
      <c r="A3399" s="0" t="inlineStr">
        <is>
          <t>DEEP1M</t>
        </is>
      </c>
      <c r="B3399" s="0" t="inlineStr">
        <is>
          <t>H97</t>
        </is>
      </c>
      <c r="C3399" s="0" t="inlineStr">
        <is>
          <t>H107</t>
        </is>
      </c>
      <c r="D3399" s="0" t="n">
        <v>265.512</v>
      </c>
    </row>
    <row r="3400">
      <c r="A3400" s="0" t="inlineStr">
        <is>
          <t>DEEP1M</t>
        </is>
      </c>
      <c r="B3400" s="0" t="inlineStr">
        <is>
          <t>I97</t>
        </is>
      </c>
      <c r="C3400" s="0" t="inlineStr">
        <is>
          <t>I107</t>
        </is>
      </c>
      <c r="D3400" s="0" t="n">
        <v>269.965</v>
      </c>
    </row>
    <row r="3401">
      <c r="A3401" s="0" t="inlineStr">
        <is>
          <t>DEEP1M</t>
        </is>
      </c>
      <c r="B3401" s="0" t="inlineStr">
        <is>
          <t>J97</t>
        </is>
      </c>
      <c r="C3401" s="0" t="inlineStr">
        <is>
          <t>J107</t>
        </is>
      </c>
      <c r="D3401" s="0" t="n">
        <v>273.279</v>
      </c>
    </row>
    <row r="3402">
      <c r="A3402" s="0" t="inlineStr">
        <is>
          <t>DEEP1M</t>
        </is>
      </c>
      <c r="B3402" s="0" t="inlineStr">
        <is>
          <t>K97</t>
        </is>
      </c>
      <c r="C3402" s="0" t="inlineStr">
        <is>
          <t>K107</t>
        </is>
      </c>
      <c r="D3402" s="0" t="n">
        <v>270.637</v>
      </c>
    </row>
    <row r="3403">
      <c r="A3403" s="0" t="inlineStr">
        <is>
          <t>DEEP1M</t>
        </is>
      </c>
      <c r="B3403" s="0" t="inlineStr">
        <is>
          <t>E101</t>
        </is>
      </c>
      <c r="C3403" s="0" t="inlineStr">
        <is>
          <t>E112</t>
        </is>
      </c>
      <c r="D3403" s="0" t="inlineStr">
        <is>
          <t>K vs. Verify time</t>
        </is>
      </c>
    </row>
    <row r="3404">
      <c r="A3404" s="0" t="inlineStr">
        <is>
          <t>DEEP1M</t>
        </is>
      </c>
      <c r="B3404" s="0" t="inlineStr">
        <is>
          <t>D103</t>
        </is>
      </c>
      <c r="C3404" s="0" t="inlineStr">
        <is>
          <t>D114</t>
        </is>
      </c>
      <c r="D3404" s="0" t="inlineStr">
        <is>
          <t>DEEP1M (N=1,000,000, d=96)</t>
        </is>
      </c>
    </row>
    <row r="3405">
      <c r="A3405" s="0" t="inlineStr">
        <is>
          <t>DEEP1M</t>
        </is>
      </c>
      <c r="B3405" s="0" t="inlineStr">
        <is>
          <t>D104</t>
        </is>
      </c>
      <c r="C3405" s="0" t="inlineStr">
        <is>
          <t>D115</t>
        </is>
      </c>
      <c r="D3405" s="0" t="inlineStr">
        <is>
          <t>K</t>
        </is>
      </c>
    </row>
    <row r="3406">
      <c r="A3406" s="0" t="inlineStr">
        <is>
          <t>DEEP1M</t>
        </is>
      </c>
      <c r="B3406" s="0" t="inlineStr">
        <is>
          <t>F104</t>
        </is>
      </c>
      <c r="C3406" s="0" t="inlineStr">
        <is>
          <t>F115</t>
        </is>
      </c>
      <c r="D3406" s="0" t="n">
        <v>1</v>
      </c>
    </row>
    <row r="3407">
      <c r="A3407" s="0" t="inlineStr">
        <is>
          <t>DEEP1M</t>
        </is>
      </c>
      <c r="B3407" s="0" t="inlineStr">
        <is>
          <t>G104</t>
        </is>
      </c>
      <c r="C3407" s="0" t="inlineStr">
        <is>
          <t>G115</t>
        </is>
      </c>
      <c r="D3407" s="0" t="n">
        <v>5</v>
      </c>
    </row>
    <row r="3408">
      <c r="A3408" s="0" t="inlineStr">
        <is>
          <t>DEEP1M</t>
        </is>
      </c>
      <c r="B3408" s="0" t="inlineStr">
        <is>
          <t>H104</t>
        </is>
      </c>
      <c r="C3408" s="0" t="inlineStr">
        <is>
          <t>H115</t>
        </is>
      </c>
      <c r="D3408" s="0" t="n">
        <v>10</v>
      </c>
    </row>
    <row r="3409">
      <c r="A3409" s="0" t="inlineStr">
        <is>
          <t>DEEP1M</t>
        </is>
      </c>
      <c r="B3409" s="0" t="inlineStr">
        <is>
          <t>I104</t>
        </is>
      </c>
      <c r="C3409" s="0" t="inlineStr">
        <is>
          <t>I115</t>
        </is>
      </c>
      <c r="D3409" s="0" t="n">
        <v>20</v>
      </c>
    </row>
    <row r="3410">
      <c r="A3410" s="0" t="inlineStr">
        <is>
          <t>DEEP1M</t>
        </is>
      </c>
      <c r="B3410" s="0" t="inlineStr">
        <is>
          <t>J104</t>
        </is>
      </c>
      <c r="C3410" s="0" t="inlineStr">
        <is>
          <t>J115</t>
        </is>
      </c>
      <c r="D3410" s="0" t="n">
        <v>50</v>
      </c>
    </row>
    <row r="3411">
      <c r="A3411" s="0" t="inlineStr">
        <is>
          <t>DEEP1M</t>
        </is>
      </c>
      <c r="B3411" s="0" t="inlineStr">
        <is>
          <t>K104</t>
        </is>
      </c>
      <c r="C3411" s="0" t="inlineStr">
        <is>
          <t>K115</t>
        </is>
      </c>
      <c r="D3411" s="0" t="n">
        <v>100</v>
      </c>
    </row>
    <row r="3412">
      <c r="A3412" s="0" t="inlineStr">
        <is>
          <t>DEEP1M</t>
        </is>
      </c>
      <c r="B3412" s="0" t="inlineStr">
        <is>
          <t>D105</t>
        </is>
      </c>
      <c r="C3412" s="0" t="inlineStr">
        <is>
          <t>D116</t>
        </is>
      </c>
      <c r="D3412" s="0" t="inlineStr">
        <is>
          <t>VLAH</t>
        </is>
      </c>
    </row>
    <row r="3413">
      <c r="A3413" s="0" t="inlineStr">
        <is>
          <t>DEEP1M</t>
        </is>
      </c>
      <c r="B3413" s="0" t="inlineStr">
        <is>
          <t>F105</t>
        </is>
      </c>
      <c r="C3413" s="0" t="inlineStr">
        <is>
          <t>F116</t>
        </is>
      </c>
      <c r="D3413" s="0" t="n">
        <v>279.226395533333</v>
      </c>
    </row>
    <row r="3414">
      <c r="A3414" s="0" t="inlineStr">
        <is>
          <t>DEEP1M</t>
        </is>
      </c>
      <c r="B3414" s="0" t="inlineStr">
        <is>
          <t>G105</t>
        </is>
      </c>
      <c r="C3414" s="0" t="inlineStr">
        <is>
          <t>G116</t>
        </is>
      </c>
      <c r="D3414" s="0" t="n">
        <v>280.92384975</v>
      </c>
    </row>
    <row r="3415">
      <c r="A3415" s="0" t="inlineStr">
        <is>
          <t>DEEP1M</t>
        </is>
      </c>
      <c r="B3415" s="0" t="inlineStr">
        <is>
          <t>H105</t>
        </is>
      </c>
      <c r="C3415" s="0" t="inlineStr">
        <is>
          <t>H116</t>
        </is>
      </c>
      <c r="D3415" s="0" t="n">
        <v>281.087432783333</v>
      </c>
    </row>
    <row r="3416">
      <c r="A3416" s="0" t="inlineStr">
        <is>
          <t>DEEP1M</t>
        </is>
      </c>
      <c r="B3416" s="0" t="inlineStr">
        <is>
          <t>I105</t>
        </is>
      </c>
      <c r="C3416" s="0" t="inlineStr">
        <is>
          <t>I116</t>
        </is>
      </c>
      <c r="D3416" s="0" t="n">
        <v>281.015158366667</v>
      </c>
    </row>
    <row r="3417">
      <c r="A3417" s="0" t="inlineStr">
        <is>
          <t>DEEP1M</t>
        </is>
      </c>
      <c r="B3417" s="0" t="inlineStr">
        <is>
          <t>J105</t>
        </is>
      </c>
      <c r="C3417" s="0" t="inlineStr">
        <is>
          <t>J116</t>
        </is>
      </c>
      <c r="D3417" s="0" t="n">
        <v>280.416561016667</v>
      </c>
    </row>
    <row r="3418">
      <c r="A3418" s="0" t="inlineStr">
        <is>
          <t>DEEP1M</t>
        </is>
      </c>
      <c r="B3418" s="0" t="inlineStr">
        <is>
          <t>K105</t>
        </is>
      </c>
      <c r="C3418" s="0" t="inlineStr">
        <is>
          <t>K116</t>
        </is>
      </c>
      <c r="D3418" s="0" t="n">
        <v>281.683170933333</v>
      </c>
    </row>
    <row r="3419">
      <c r="A3419" s="0" t="inlineStr">
        <is>
          <t>DEEP1M</t>
        </is>
      </c>
      <c r="B3419" s="0" t="inlineStr">
        <is>
          <t>D106</t>
        </is>
      </c>
      <c r="C3419" s="0" t="inlineStr">
        <is>
          <t>D117</t>
        </is>
      </c>
      <c r="D3419" s="0" t="inlineStr">
        <is>
          <t>ANNProof</t>
        </is>
      </c>
    </row>
    <row r="3420">
      <c r="A3420" s="0" t="inlineStr">
        <is>
          <t>DEEP1M</t>
        </is>
      </c>
      <c r="B3420" s="0" t="inlineStr">
        <is>
          <t>F106</t>
        </is>
      </c>
      <c r="C3420" s="0" t="inlineStr">
        <is>
          <t>F117</t>
        </is>
      </c>
      <c r="D3420" s="0" t="n">
        <v>21.1325763</v>
      </c>
    </row>
    <row r="3421">
      <c r="A3421" s="0" t="inlineStr">
        <is>
          <t>DEEP1M</t>
        </is>
      </c>
      <c r="B3421" s="0" t="inlineStr">
        <is>
          <t>G106</t>
        </is>
      </c>
      <c r="C3421" s="0" t="inlineStr">
        <is>
          <t>G117</t>
        </is>
      </c>
      <c r="D3421" s="0" t="n">
        <v>21.2951161</v>
      </c>
    </row>
    <row r="3422">
      <c r="A3422" s="0" t="inlineStr">
        <is>
          <t>DEEP1M</t>
        </is>
      </c>
      <c r="B3422" s="0" t="inlineStr">
        <is>
          <t>H106</t>
        </is>
      </c>
      <c r="C3422" s="0" t="inlineStr">
        <is>
          <t>H117</t>
        </is>
      </c>
      <c r="D3422" s="0" t="n">
        <v>21.5343670666667</v>
      </c>
    </row>
    <row r="3423">
      <c r="A3423" s="0" t="inlineStr">
        <is>
          <t>DEEP1M</t>
        </is>
      </c>
      <c r="B3423" s="0" t="inlineStr">
        <is>
          <t>I106</t>
        </is>
      </c>
      <c r="C3423" s="0" t="inlineStr">
        <is>
          <t>I117</t>
        </is>
      </c>
      <c r="D3423" s="0" t="n">
        <v>21.6087258333333</v>
      </c>
    </row>
    <row r="3424">
      <c r="A3424" s="0" t="inlineStr">
        <is>
          <t>DEEP1M</t>
        </is>
      </c>
      <c r="B3424" s="0" t="inlineStr">
        <is>
          <t>J106</t>
        </is>
      </c>
      <c r="C3424" s="0" t="inlineStr">
        <is>
          <t>J117</t>
        </is>
      </c>
      <c r="D3424" s="0" t="n">
        <v>21.6556399</v>
      </c>
    </row>
    <row r="3425">
      <c r="A3425" s="0" t="inlineStr">
        <is>
          <t>DEEP1M</t>
        </is>
      </c>
      <c r="B3425" s="0" t="inlineStr">
        <is>
          <t>K106</t>
        </is>
      </c>
      <c r="C3425" s="0" t="inlineStr">
        <is>
          <t>K117</t>
        </is>
      </c>
      <c r="D3425" s="0" t="n">
        <v>22.5170219333333</v>
      </c>
    </row>
    <row r="3426">
      <c r="A3426" s="0" t="inlineStr">
        <is>
          <t>DEEP1M</t>
        </is>
      </c>
      <c r="B3426" s="0" t="inlineStr">
        <is>
          <t>D107</t>
        </is>
      </c>
      <c r="C3426" s="0" t="inlineStr">
        <is>
          <t>D118</t>
        </is>
      </c>
      <c r="D3426" s="0" t="inlineStr">
        <is>
          <t>Ours</t>
        </is>
      </c>
    </row>
    <row r="3427">
      <c r="A3427" s="0" t="inlineStr">
        <is>
          <t>DEEP1M</t>
        </is>
      </c>
      <c r="B3427" s="0" t="inlineStr">
        <is>
          <t>F107</t>
        </is>
      </c>
      <c r="C3427" s="0" t="inlineStr">
        <is>
          <t>F118</t>
        </is>
      </c>
      <c r="D3427" s="0" t="n">
        <v>3.65461865</v>
      </c>
    </row>
    <row r="3428">
      <c r="A3428" s="0" t="inlineStr">
        <is>
          <t>DEEP1M</t>
        </is>
      </c>
      <c r="B3428" s="0" t="inlineStr">
        <is>
          <t>G107</t>
        </is>
      </c>
      <c r="C3428" s="0" t="inlineStr">
        <is>
          <t>G118</t>
        </is>
      </c>
      <c r="D3428" s="0" t="n">
        <v>5.27781701666667</v>
      </c>
    </row>
    <row r="3429">
      <c r="A3429" s="0" t="inlineStr">
        <is>
          <t>DEEP1M</t>
        </is>
      </c>
      <c r="B3429" s="0" t="inlineStr">
        <is>
          <t>H107</t>
        </is>
      </c>
      <c r="C3429" s="0" t="inlineStr">
        <is>
          <t>H118</t>
        </is>
      </c>
      <c r="D3429" s="0" t="n">
        <v>6.14438738333333</v>
      </c>
    </row>
    <row r="3430">
      <c r="A3430" s="0" t="inlineStr">
        <is>
          <t>DEEP1M</t>
        </is>
      </c>
      <c r="B3430" s="0" t="inlineStr">
        <is>
          <t>I107</t>
        </is>
      </c>
      <c r="C3430" s="0" t="inlineStr">
        <is>
          <t>I118</t>
        </is>
      </c>
      <c r="D3430" s="0" t="n">
        <v>7.03352981666667</v>
      </c>
    </row>
    <row r="3431">
      <c r="A3431" s="0" t="inlineStr">
        <is>
          <t>DEEP1M</t>
        </is>
      </c>
      <c r="B3431" s="0" t="inlineStr">
        <is>
          <t>J107</t>
        </is>
      </c>
      <c r="C3431" s="0" t="inlineStr">
        <is>
          <t>J118</t>
        </is>
      </c>
      <c r="D3431" s="0" t="n">
        <v>8.7224146</v>
      </c>
    </row>
    <row r="3432">
      <c r="A3432" s="0" t="inlineStr">
        <is>
          <t>DEEP1M</t>
        </is>
      </c>
      <c r="B3432" s="0" t="inlineStr">
        <is>
          <t>K107</t>
        </is>
      </c>
      <c r="C3432" s="0" t="inlineStr">
        <is>
          <t>K118</t>
        </is>
      </c>
      <c r="D3432" s="0" t="n">
        <v>10.32036355</v>
      </c>
    </row>
    <row r="3433">
      <c r="A3433" s="0" t="inlineStr">
        <is>
          <t>DEEP1M</t>
        </is>
      </c>
      <c r="B3433" s="0" t="inlineStr">
        <is>
          <t>D108</t>
        </is>
      </c>
      <c r="C3433" s="0" t="inlineStr">
        <is>
          <t>D119</t>
        </is>
      </c>
      <c r="D3433" s="0" t="inlineStr">
        <is>
          <t>V3DB（单次）</t>
        </is>
      </c>
    </row>
    <row r="3434">
      <c r="A3434" s="0" t="inlineStr">
        <is>
          <t>DEEP1M</t>
        </is>
      </c>
      <c r="B3434" s="0" t="inlineStr">
        <is>
          <t>F108</t>
        </is>
      </c>
      <c r="C3434" s="0" t="inlineStr">
        <is>
          <t>F119</t>
        </is>
      </c>
      <c r="D3434" s="0" t="n">
        <v>14.118213999609</v>
      </c>
    </row>
    <row r="3435">
      <c r="A3435" s="0" t="inlineStr">
        <is>
          <t>DEEP1M</t>
        </is>
      </c>
      <c r="B3435" s="0" t="inlineStr">
        <is>
          <t>G108</t>
        </is>
      </c>
      <c r="C3435" s="0" t="inlineStr">
        <is>
          <t>G119</t>
        </is>
      </c>
      <c r="D3435" s="0" t="n">
        <v>17.0896239997092</v>
      </c>
    </row>
    <row r="3436">
      <c r="A3436" s="0" t="inlineStr">
        <is>
          <t>DEEP1M</t>
        </is>
      </c>
      <c r="B3436" s="0" t="inlineStr">
        <is>
          <t>H108</t>
        </is>
      </c>
      <c r="C3436" s="0" t="inlineStr">
        <is>
          <t>H119</t>
        </is>
      </c>
      <c r="D3436" s="0" t="n">
        <v>55.9675380063709</v>
      </c>
    </row>
    <row r="3437">
      <c r="A3437" s="0" t="inlineStr">
        <is>
          <t>DEEP1M</t>
        </is>
      </c>
      <c r="B3437" s="0" t="inlineStr">
        <is>
          <t>I108</t>
        </is>
      </c>
      <c r="C3437" s="0" t="inlineStr">
        <is>
          <t>I119</t>
        </is>
      </c>
      <c r="D3437" s="0" t="n">
        <v>15.2340080003341</v>
      </c>
    </row>
    <row r="3438">
      <c r="A3438" s="0" t="inlineStr">
        <is>
          <t>DEEP1M</t>
        </is>
      </c>
      <c r="B3438" s="0" t="inlineStr">
        <is>
          <t>J108</t>
        </is>
      </c>
      <c r="C3438" s="0" t="inlineStr">
        <is>
          <t>J119</t>
        </is>
      </c>
      <c r="D3438" s="0" t="n">
        <v>60.8361340000556</v>
      </c>
    </row>
    <row r="3439">
      <c r="A3439" s="0" t="inlineStr">
        <is>
          <t>DEEP1M</t>
        </is>
      </c>
      <c r="B3439" s="0" t="inlineStr">
        <is>
          <t>K108</t>
        </is>
      </c>
      <c r="C3439" s="0" t="inlineStr">
        <is>
          <t>K119</t>
        </is>
      </c>
      <c r="D3439" s="0" t="n">
        <v>16.4847270007158</v>
      </c>
    </row>
    <row r="3440">
      <c r="A3440" s="0" t="inlineStr">
        <is>
          <t>DEEP1M</t>
        </is>
      </c>
      <c r="B3440" s="0" t="inlineStr">
        <is>
          <t>E111</t>
        </is>
      </c>
      <c r="C3440" s="0" t="inlineStr">
        <is>
          <t>E123</t>
        </is>
      </c>
      <c r="D3440" s="0" t="inlineStr">
        <is>
          <t>K vs. Query time (includes VO generation)</t>
        </is>
      </c>
    </row>
    <row r="3441">
      <c r="A3441" s="0" t="inlineStr">
        <is>
          <t>DEEP1M</t>
        </is>
      </c>
      <c r="B3441" s="0" t="inlineStr">
        <is>
          <t>D113</t>
        </is>
      </c>
      <c r="C3441" s="0" t="inlineStr">
        <is>
          <t>D125</t>
        </is>
      </c>
      <c r="D3441" s="0" t="inlineStr">
        <is>
          <t>DEEP1M (N=1,000,000, d=96)</t>
        </is>
      </c>
    </row>
    <row r="3442">
      <c r="A3442" s="0" t="inlineStr">
        <is>
          <t>DEEP1M</t>
        </is>
      </c>
      <c r="B3442" s="0" t="inlineStr">
        <is>
          <t>D114</t>
        </is>
      </c>
      <c r="C3442" s="0" t="inlineStr">
        <is>
          <t>D126</t>
        </is>
      </c>
      <c r="D3442" s="0" t="inlineStr">
        <is>
          <t>K</t>
        </is>
      </c>
    </row>
    <row r="3443">
      <c r="A3443" s="0" t="inlineStr">
        <is>
          <t>DEEP1M</t>
        </is>
      </c>
      <c r="B3443" s="0" t="inlineStr">
        <is>
          <t>F114</t>
        </is>
      </c>
      <c r="C3443" s="0" t="inlineStr">
        <is>
          <t>F126</t>
        </is>
      </c>
      <c r="D3443" s="0" t="n">
        <v>1</v>
      </c>
    </row>
    <row r="3444">
      <c r="A3444" s="0" t="inlineStr">
        <is>
          <t>DEEP1M</t>
        </is>
      </c>
      <c r="B3444" s="0" t="inlineStr">
        <is>
          <t>G114</t>
        </is>
      </c>
      <c r="C3444" s="0" t="inlineStr">
        <is>
          <t>G126</t>
        </is>
      </c>
      <c r="D3444" s="0" t="n">
        <v>5</v>
      </c>
    </row>
    <row r="3445">
      <c r="A3445" s="0" t="inlineStr">
        <is>
          <t>DEEP1M</t>
        </is>
      </c>
      <c r="B3445" s="0" t="inlineStr">
        <is>
          <t>H114</t>
        </is>
      </c>
      <c r="C3445" s="0" t="inlineStr">
        <is>
          <t>H126</t>
        </is>
      </c>
      <c r="D3445" s="0" t="n">
        <v>10</v>
      </c>
    </row>
    <row r="3446">
      <c r="A3446" s="0" t="inlineStr">
        <is>
          <t>DEEP1M</t>
        </is>
      </c>
      <c r="B3446" s="0" t="inlineStr">
        <is>
          <t>I114</t>
        </is>
      </c>
      <c r="C3446" s="0" t="inlineStr">
        <is>
          <t>I126</t>
        </is>
      </c>
      <c r="D3446" s="0" t="n">
        <v>20</v>
      </c>
    </row>
    <row r="3447">
      <c r="A3447" s="0" t="inlineStr">
        <is>
          <t>DEEP1M</t>
        </is>
      </c>
      <c r="B3447" s="0" t="inlineStr">
        <is>
          <t>J114</t>
        </is>
      </c>
      <c r="C3447" s="0" t="inlineStr">
        <is>
          <t>J126</t>
        </is>
      </c>
      <c r="D3447" s="0" t="n">
        <v>50</v>
      </c>
    </row>
    <row r="3448">
      <c r="A3448" s="0" t="inlineStr">
        <is>
          <t>DEEP1M</t>
        </is>
      </c>
      <c r="B3448" s="0" t="inlineStr">
        <is>
          <t>K114</t>
        </is>
      </c>
      <c r="C3448" s="0" t="inlineStr">
        <is>
          <t>K126</t>
        </is>
      </c>
      <c r="D3448" s="0" t="n">
        <v>100</v>
      </c>
    </row>
    <row r="3449">
      <c r="A3449" s="0" t="inlineStr">
        <is>
          <t>DEEP1M</t>
        </is>
      </c>
      <c r="B3449" s="0" t="inlineStr">
        <is>
          <t>D115</t>
        </is>
      </c>
      <c r="C3449" s="0" t="inlineStr">
        <is>
          <t>D127</t>
        </is>
      </c>
      <c r="D3449" s="0" t="inlineStr">
        <is>
          <t>VLAH</t>
        </is>
      </c>
    </row>
    <row r="3450">
      <c r="A3450" s="0" t="inlineStr">
        <is>
          <t>DEEP1M</t>
        </is>
      </c>
      <c r="B3450" s="0" t="inlineStr">
        <is>
          <t>F115</t>
        </is>
      </c>
      <c r="C3450" s="0" t="inlineStr">
        <is>
          <t>F127</t>
        </is>
      </c>
      <c r="D3450" s="0" t="n">
        <v>105.88339385</v>
      </c>
    </row>
    <row r="3451">
      <c r="A3451" s="0" t="inlineStr">
        <is>
          <t>DEEP1M</t>
        </is>
      </c>
      <c r="B3451" s="0" t="inlineStr">
        <is>
          <t>G115</t>
        </is>
      </c>
      <c r="C3451" s="0" t="inlineStr">
        <is>
          <t>G127</t>
        </is>
      </c>
      <c r="D3451" s="0" t="n">
        <v>105.922972883333</v>
      </c>
    </row>
    <row r="3452">
      <c r="A3452" s="0" t="inlineStr">
        <is>
          <t>DEEP1M</t>
        </is>
      </c>
      <c r="B3452" s="0" t="inlineStr">
        <is>
          <t>H115</t>
        </is>
      </c>
      <c r="C3452" s="0" t="inlineStr">
        <is>
          <t>H127</t>
        </is>
      </c>
      <c r="D3452" s="0" t="n">
        <v>105.4260024</v>
      </c>
    </row>
    <row r="3453">
      <c r="A3453" s="0" t="inlineStr">
        <is>
          <t>DEEP1M</t>
        </is>
      </c>
      <c r="B3453" s="0" t="inlineStr">
        <is>
          <t>I115</t>
        </is>
      </c>
      <c r="C3453" s="0" t="inlineStr">
        <is>
          <t>I127</t>
        </is>
      </c>
      <c r="D3453" s="0" t="n">
        <v>105.24395565</v>
      </c>
    </row>
    <row r="3454">
      <c r="A3454" s="0" t="inlineStr">
        <is>
          <t>DEEP1M</t>
        </is>
      </c>
      <c r="B3454" s="0" t="inlineStr">
        <is>
          <t>J115</t>
        </is>
      </c>
      <c r="C3454" s="0" t="inlineStr">
        <is>
          <t>J127</t>
        </is>
      </c>
      <c r="D3454" s="0" t="n">
        <v>105.50841095</v>
      </c>
    </row>
    <row r="3455">
      <c r="A3455" s="0" t="inlineStr">
        <is>
          <t>DEEP1M</t>
        </is>
      </c>
      <c r="B3455" s="0" t="inlineStr">
        <is>
          <t>K115</t>
        </is>
      </c>
      <c r="C3455" s="0" t="inlineStr">
        <is>
          <t>K127</t>
        </is>
      </c>
      <c r="D3455" s="0" t="n">
        <v>105.2479959</v>
      </c>
    </row>
    <row r="3456">
      <c r="A3456" s="0" t="inlineStr">
        <is>
          <t>DEEP1M</t>
        </is>
      </c>
      <c r="B3456" s="0" t="inlineStr">
        <is>
          <t>D116</t>
        </is>
      </c>
      <c r="C3456" s="0" t="inlineStr">
        <is>
          <t>D128</t>
        </is>
      </c>
      <c r="D3456" s="0" t="inlineStr">
        <is>
          <t>ANNProof</t>
        </is>
      </c>
    </row>
    <row r="3457">
      <c r="A3457" s="0" t="inlineStr">
        <is>
          <t>DEEP1M</t>
        </is>
      </c>
      <c r="B3457" s="0" t="inlineStr">
        <is>
          <t>F116</t>
        </is>
      </c>
      <c r="C3457" s="0" t="inlineStr">
        <is>
          <t>F128</t>
        </is>
      </c>
      <c r="D3457" s="0" t="n">
        <v>4.57551665</v>
      </c>
    </row>
    <row r="3458">
      <c r="A3458" s="0" t="inlineStr">
        <is>
          <t>DEEP1M</t>
        </is>
      </c>
      <c r="B3458" s="0" t="inlineStr">
        <is>
          <t>G116</t>
        </is>
      </c>
      <c r="C3458" s="0" t="inlineStr">
        <is>
          <t>G128</t>
        </is>
      </c>
      <c r="D3458" s="0" t="n">
        <v>4.62270115</v>
      </c>
    </row>
    <row r="3459">
      <c r="A3459" s="0" t="inlineStr">
        <is>
          <t>DEEP1M</t>
        </is>
      </c>
      <c r="B3459" s="0" t="inlineStr">
        <is>
          <t>H116</t>
        </is>
      </c>
      <c r="C3459" s="0" t="inlineStr">
        <is>
          <t>H128</t>
        </is>
      </c>
      <c r="D3459" s="0" t="n">
        <v>4.66759948333333</v>
      </c>
    </row>
    <row r="3460">
      <c r="A3460" s="0" t="inlineStr">
        <is>
          <t>DEEP1M</t>
        </is>
      </c>
      <c r="B3460" s="0" t="inlineStr">
        <is>
          <t>I116</t>
        </is>
      </c>
      <c r="C3460" s="0" t="inlineStr">
        <is>
          <t>I128</t>
        </is>
      </c>
      <c r="D3460" s="0" t="n">
        <v>4.67105126666667</v>
      </c>
    </row>
    <row r="3461">
      <c r="A3461" s="0" t="inlineStr">
        <is>
          <t>DEEP1M</t>
        </is>
      </c>
      <c r="B3461" s="0" t="inlineStr">
        <is>
          <t>J116</t>
        </is>
      </c>
      <c r="C3461" s="0" t="inlineStr">
        <is>
          <t>J128</t>
        </is>
      </c>
      <c r="D3461" s="0" t="n">
        <v>4.61915686666667</v>
      </c>
    </row>
    <row r="3462">
      <c r="A3462" s="0" t="inlineStr">
        <is>
          <t>DEEP1M</t>
        </is>
      </c>
      <c r="B3462" s="0" t="inlineStr">
        <is>
          <t>K116</t>
        </is>
      </c>
      <c r="C3462" s="0" t="inlineStr">
        <is>
          <t>K128</t>
        </is>
      </c>
      <c r="D3462" s="0" t="n">
        <v>4.73652161666667</v>
      </c>
    </row>
    <row r="3463">
      <c r="A3463" s="0" t="inlineStr">
        <is>
          <t>DEEP1M</t>
        </is>
      </c>
      <c r="B3463" s="0" t="inlineStr">
        <is>
          <t>D117</t>
        </is>
      </c>
      <c r="C3463" s="0" t="inlineStr">
        <is>
          <t>D129</t>
        </is>
      </c>
      <c r="D3463" s="0" t="inlineStr">
        <is>
          <t>Ours</t>
        </is>
      </c>
    </row>
    <row r="3464">
      <c r="A3464" s="0" t="inlineStr">
        <is>
          <t>DEEP1M</t>
        </is>
      </c>
      <c r="B3464" s="0" t="inlineStr">
        <is>
          <t>F117</t>
        </is>
      </c>
      <c r="C3464" s="0" t="inlineStr">
        <is>
          <t>F129</t>
        </is>
      </c>
      <c r="D3464" s="0" t="n">
        <v>1.99976848333333</v>
      </c>
    </row>
    <row r="3465">
      <c r="A3465" s="0" t="inlineStr">
        <is>
          <t>DEEP1M</t>
        </is>
      </c>
      <c r="B3465" s="0" t="inlineStr">
        <is>
          <t>G117</t>
        </is>
      </c>
      <c r="C3465" s="0" t="inlineStr">
        <is>
          <t>G129</t>
        </is>
      </c>
      <c r="D3465" s="0" t="n">
        <v>2.31089056666667</v>
      </c>
    </row>
    <row r="3466">
      <c r="A3466" s="0" t="inlineStr">
        <is>
          <t>DEEP1M</t>
        </is>
      </c>
      <c r="B3466" s="0" t="inlineStr">
        <is>
          <t>H117</t>
        </is>
      </c>
      <c r="C3466" s="0" t="inlineStr">
        <is>
          <t>H129</t>
        </is>
      </c>
      <c r="D3466" s="0" t="n">
        <v>2.61255283333333</v>
      </c>
    </row>
    <row r="3467">
      <c r="A3467" s="0" t="inlineStr">
        <is>
          <t>DEEP1M</t>
        </is>
      </c>
      <c r="B3467" s="0" t="inlineStr">
        <is>
          <t>I117</t>
        </is>
      </c>
      <c r="C3467" s="0" t="inlineStr">
        <is>
          <t>I129</t>
        </is>
      </c>
      <c r="D3467" s="0" t="n">
        <v>2.7890055</v>
      </c>
    </row>
    <row r="3468">
      <c r="A3468" s="0" t="inlineStr">
        <is>
          <t>DEEP1M</t>
        </is>
      </c>
      <c r="B3468" s="0" t="inlineStr">
        <is>
          <t>J117</t>
        </is>
      </c>
      <c r="C3468" s="0" t="inlineStr">
        <is>
          <t>J129</t>
        </is>
      </c>
      <c r="D3468" s="0" t="n">
        <v>3.26370998333333</v>
      </c>
    </row>
    <row r="3469">
      <c r="A3469" s="0" t="inlineStr">
        <is>
          <t>DEEP1M</t>
        </is>
      </c>
      <c r="B3469" s="0" t="inlineStr">
        <is>
          <t>K117</t>
        </is>
      </c>
      <c r="C3469" s="0" t="inlineStr">
        <is>
          <t>K129</t>
        </is>
      </c>
      <c r="D3469" s="0" t="n">
        <v>3.81614001666667</v>
      </c>
    </row>
    <row r="3470">
      <c r="A3470" s="0" t="inlineStr">
        <is>
          <t>DEEP1M</t>
        </is>
      </c>
      <c r="B3470" s="0" t="inlineStr">
        <is>
          <t>D118</t>
        </is>
      </c>
      <c r="C3470" s="0" t="inlineStr">
        <is>
          <t>D130</t>
        </is>
      </c>
      <c r="D3470" s="0" t="inlineStr">
        <is>
          <t>V3DB（单次）</t>
        </is>
      </c>
    </row>
    <row r="3471">
      <c r="A3471" s="0" t="inlineStr">
        <is>
          <t>DEEP1M</t>
        </is>
      </c>
      <c r="B3471" s="0" t="inlineStr">
        <is>
          <t>F118</t>
        </is>
      </c>
      <c r="C3471" s="0" t="inlineStr">
        <is>
          <t>F130</t>
        </is>
      </c>
      <c r="D3471" s="0" t="n">
        <v>492421.428295001</v>
      </c>
    </row>
    <row r="3472">
      <c r="A3472" s="0" t="inlineStr">
        <is>
          <t>DEEP1M</t>
        </is>
      </c>
      <c r="B3472" s="0" t="inlineStr">
        <is>
          <t>G118</t>
        </is>
      </c>
      <c r="C3472" s="0" t="inlineStr">
        <is>
          <t>G130</t>
        </is>
      </c>
      <c r="D3472" s="0" t="n">
        <v>492374.419783</v>
      </c>
    </row>
    <row r="3473">
      <c r="A3473" s="0" t="inlineStr">
        <is>
          <t>DEEP1M</t>
        </is>
      </c>
      <c r="B3473" s="0" t="inlineStr">
        <is>
          <t>H118</t>
        </is>
      </c>
      <c r="C3473" s="0" t="inlineStr">
        <is>
          <t>H130</t>
        </is>
      </c>
      <c r="D3473" s="0" t="n">
        <v>493189.722806004</v>
      </c>
    </row>
    <row r="3474">
      <c r="A3474" s="0" t="inlineStr">
        <is>
          <t>DEEP1M</t>
        </is>
      </c>
      <c r="B3474" s="0" t="inlineStr">
        <is>
          <t>I118</t>
        </is>
      </c>
      <c r="C3474" s="0" t="inlineStr">
        <is>
          <t>I130</t>
        </is>
      </c>
      <c r="D3474" s="0" t="n">
        <v>494511.780706999</v>
      </c>
    </row>
    <row r="3475">
      <c r="A3475" s="0" t="inlineStr">
        <is>
          <t>DEEP1M</t>
        </is>
      </c>
      <c r="B3475" s="0" t="inlineStr">
        <is>
          <t>J118</t>
        </is>
      </c>
      <c r="C3475" s="0" t="inlineStr">
        <is>
          <t>J130</t>
        </is>
      </c>
      <c r="D3475" s="0" t="n">
        <v>493323.545510001</v>
      </c>
    </row>
    <row r="3476">
      <c r="A3476" s="0" t="inlineStr">
        <is>
          <t>DEEP1M</t>
        </is>
      </c>
      <c r="B3476" s="0" t="inlineStr">
        <is>
          <t>K118</t>
        </is>
      </c>
      <c r="C3476" s="0" t="inlineStr">
        <is>
          <t>K130</t>
        </is>
      </c>
      <c r="D3476" s="0" t="n">
        <v>497184.840444</v>
      </c>
    </row>
    <row r="3477">
      <c r="A3477" s="0" t="inlineStr">
        <is>
          <t>DEEP1M</t>
        </is>
      </c>
      <c r="B3477" s="0" t="inlineStr">
        <is>
          <t>D125</t>
        </is>
      </c>
      <c r="C3477" s="0" t="inlineStr">
        <is>
          <t>D138</t>
        </is>
      </c>
      <c r="D3477" s="0" t="inlineStr">
        <is>
          <t>Ablation Study 
（Ours: (i)progressive quantization, 
(ii) verification-decoupled traversal, 
(iii) expansion-centric authentication.）</t>
        </is>
      </c>
    </row>
    <row r="3478">
      <c r="A3478" s="0" t="inlineStr">
        <is>
          <t>DEEP1M</t>
        </is>
      </c>
      <c r="B3478" s="0" t="inlineStr">
        <is>
          <t>D129</t>
        </is>
      </c>
      <c r="C3478" s="0" t="inlineStr">
        <is>
          <t>D142</t>
        </is>
      </c>
    </row>
    <row r="3479">
      <c r="A3479" s="0" t="inlineStr">
        <is>
          <t>DEEP1M</t>
        </is>
      </c>
      <c r="B3479" s="0" t="inlineStr">
        <is>
          <t>F129</t>
        </is>
      </c>
      <c r="C3479" s="0" t="inlineStr">
        <is>
          <t>F142</t>
        </is>
      </c>
      <c r="D3479" s="0" t="inlineStr">
        <is>
          <t>Recall@10</t>
        </is>
      </c>
    </row>
    <row r="3480">
      <c r="A3480" s="0" t="inlineStr">
        <is>
          <t>DEEP1M</t>
        </is>
      </c>
      <c r="B3480" s="0" t="inlineStr">
        <is>
          <t>G129</t>
        </is>
      </c>
      <c r="C3480" s="0" t="inlineStr">
        <is>
          <t>G142</t>
        </is>
      </c>
      <c r="D3480" s="0" t="inlineStr">
        <is>
          <t>Query Time (ms)</t>
        </is>
      </c>
    </row>
    <row r="3481">
      <c r="A3481" s="0" t="inlineStr">
        <is>
          <t>DEEP1M</t>
        </is>
      </c>
      <c r="B3481" s="0" t="inlineStr">
        <is>
          <t>H129</t>
        </is>
      </c>
      <c r="C3481" s="0" t="inlineStr">
        <is>
          <t>H142</t>
        </is>
      </c>
      <c r="D3481" s="0" t="inlineStr">
        <is>
          <t>VO Size (KB)</t>
        </is>
      </c>
    </row>
    <row r="3482">
      <c r="A3482" s="0" t="inlineStr">
        <is>
          <t>DEEP1M</t>
        </is>
      </c>
      <c r="B3482" s="0" t="inlineStr">
        <is>
          <t>I129</t>
        </is>
      </c>
      <c r="C3482" s="0" t="inlineStr">
        <is>
          <t>I142</t>
        </is>
      </c>
      <c r="D3482" s="0" t="inlineStr">
        <is>
          <t>Verify Time (ms)</t>
        </is>
      </c>
    </row>
    <row r="3483">
      <c r="A3483" s="0" t="inlineStr">
        <is>
          <t>DEEP1M</t>
        </is>
      </c>
      <c r="B3483" s="0" t="inlineStr">
        <is>
          <t>D130</t>
        </is>
      </c>
      <c r="C3483" s="0" t="inlineStr">
        <is>
          <t>D143</t>
        </is>
      </c>
      <c r="D3483" s="0" t="inlineStr">
        <is>
          <t>Merkle+IVF</t>
        </is>
      </c>
    </row>
    <row r="3484">
      <c r="A3484" s="0" t="inlineStr">
        <is>
          <t>DEEP1M</t>
        </is>
      </c>
      <c r="B3484" s="0" t="inlineStr">
        <is>
          <t>F130</t>
        </is>
      </c>
      <c r="C3484" s="0" t="inlineStr">
        <is>
          <t>F143</t>
        </is>
      </c>
      <c r="D3484" s="0" t="n">
        <v>0.95</v>
      </c>
    </row>
    <row r="3485">
      <c r="A3485" s="0" t="inlineStr">
        <is>
          <t>DEEP1M</t>
        </is>
      </c>
      <c r="B3485" s="0" t="inlineStr">
        <is>
          <t>G130</t>
        </is>
      </c>
      <c r="C3485" s="0" t="inlineStr">
        <is>
          <t>G143</t>
        </is>
      </c>
      <c r="D3485" s="0" t="n">
        <v>102.840371466667</v>
      </c>
    </row>
    <row r="3486">
      <c r="A3486" s="0" t="inlineStr">
        <is>
          <t>DEEP1M</t>
        </is>
      </c>
      <c r="B3486" s="0" t="inlineStr">
        <is>
          <t>H130</t>
        </is>
      </c>
      <c r="C3486" s="0" t="inlineStr">
        <is>
          <t>H143</t>
        </is>
      </c>
      <c r="D3486" s="0" t="n">
        <v>19218.4102</v>
      </c>
    </row>
    <row r="3487">
      <c r="A3487" s="0" t="inlineStr">
        <is>
          <t>DEEP1M</t>
        </is>
      </c>
      <c r="B3487" s="0" t="inlineStr">
        <is>
          <t>I130</t>
        </is>
      </c>
      <c r="C3487" s="0" t="inlineStr">
        <is>
          <t>I143</t>
        </is>
      </c>
      <c r="D3487" s="0" t="n">
        <v>260.5181445</v>
      </c>
    </row>
    <row r="3488">
      <c r="A3488" s="0" t="inlineStr">
        <is>
          <t>DEEP1M</t>
        </is>
      </c>
      <c r="B3488" s="0" t="inlineStr">
        <is>
          <t>D131</t>
        </is>
      </c>
      <c r="C3488" s="0" t="inlineStr">
        <is>
          <t>D144</t>
        </is>
      </c>
      <c r="D3488" s="0" t="inlineStr">
        <is>
          <t>Merkle+HNSW</t>
        </is>
      </c>
    </row>
    <row r="3489">
      <c r="A3489" s="0" t="inlineStr">
        <is>
          <t>DEEP1M</t>
        </is>
      </c>
      <c r="B3489" s="0" t="inlineStr">
        <is>
          <t>F131</t>
        </is>
      </c>
      <c r="C3489" s="0" t="inlineStr">
        <is>
          <t>F144</t>
        </is>
      </c>
      <c r="D3489" s="0" t="n">
        <v>0.95</v>
      </c>
    </row>
    <row r="3490">
      <c r="A3490" s="0" t="inlineStr">
        <is>
          <t>DEEP1M</t>
        </is>
      </c>
      <c r="B3490" s="0" t="inlineStr">
        <is>
          <t>G131</t>
        </is>
      </c>
      <c r="C3490" s="0" t="inlineStr">
        <is>
          <t>G144</t>
        </is>
      </c>
      <c r="D3490" s="0" t="n">
        <v>4.33327673333333</v>
      </c>
    </row>
    <row r="3491">
      <c r="A3491" s="0" t="inlineStr">
        <is>
          <t>DEEP1M</t>
        </is>
      </c>
      <c r="B3491" s="0" t="inlineStr">
        <is>
          <t>H131</t>
        </is>
      </c>
      <c r="C3491" s="0" t="inlineStr">
        <is>
          <t>H144</t>
        </is>
      </c>
      <c r="D3491" s="0" t="n">
        <v>770.5214</v>
      </c>
    </row>
    <row r="3492">
      <c r="A3492" s="0" t="inlineStr">
        <is>
          <t>DEEP1M</t>
        </is>
      </c>
      <c r="B3492" s="0" t="inlineStr">
        <is>
          <t>I131</t>
        </is>
      </c>
      <c r="C3492" s="0" t="inlineStr">
        <is>
          <t>I144</t>
        </is>
      </c>
      <c r="D3492" s="0" t="n">
        <v>8.361651566666669</v>
      </c>
    </row>
    <row r="3493">
      <c r="A3493" s="0" t="inlineStr">
        <is>
          <t>DEEP1M</t>
        </is>
      </c>
      <c r="B3493" s="0" t="inlineStr">
        <is>
          <t>D132</t>
        </is>
      </c>
      <c r="C3493" s="0" t="inlineStr">
        <is>
          <t>D145</t>
        </is>
      </c>
      <c r="D3493" s="0" t="inlineStr">
        <is>
          <t>Merkle+IVF+(i)</t>
        </is>
      </c>
    </row>
    <row r="3494">
      <c r="A3494" s="0" t="inlineStr">
        <is>
          <t>DEEP1M</t>
        </is>
      </c>
      <c r="B3494" s="0" t="inlineStr">
        <is>
          <t>F132</t>
        </is>
      </c>
      <c r="C3494" s="0" t="inlineStr">
        <is>
          <t>F145</t>
        </is>
      </c>
      <c r="D3494" s="0" t="n">
        <v>0.95</v>
      </c>
    </row>
    <row r="3495">
      <c r="A3495" s="0" t="inlineStr">
        <is>
          <t>DEEP1M</t>
        </is>
      </c>
      <c r="B3495" s="0" t="inlineStr">
        <is>
          <t>G132</t>
        </is>
      </c>
      <c r="C3495" s="0" t="inlineStr">
        <is>
          <t>G145</t>
        </is>
      </c>
      <c r="D3495" s="0" t="n">
        <v>51.4350250833333</v>
      </c>
    </row>
    <row r="3496">
      <c r="A3496" s="0" t="inlineStr">
        <is>
          <t>DEEP1M</t>
        </is>
      </c>
      <c r="B3496" s="0" t="inlineStr">
        <is>
          <t>H132</t>
        </is>
      </c>
      <c r="C3496" s="0" t="inlineStr">
        <is>
          <t>H145</t>
        </is>
      </c>
      <c r="D3496" s="0" t="n">
        <v>8058.431</v>
      </c>
    </row>
    <row r="3497">
      <c r="A3497" s="0" t="inlineStr">
        <is>
          <t>DEEP1M</t>
        </is>
      </c>
      <c r="B3497" s="0" t="inlineStr">
        <is>
          <t>I132</t>
        </is>
      </c>
      <c r="C3497" s="0" t="inlineStr">
        <is>
          <t>I145</t>
        </is>
      </c>
      <c r="D3497" s="0" t="n">
        <v>259.728219916667</v>
      </c>
    </row>
    <row r="3498">
      <c r="A3498" s="0" t="inlineStr">
        <is>
          <t>DEEP1M</t>
        </is>
      </c>
      <c r="B3498" s="0" t="inlineStr">
        <is>
          <t>D133</t>
        </is>
      </c>
      <c r="C3498" s="0" t="inlineStr">
        <is>
          <t>D146</t>
        </is>
      </c>
      <c r="D3498" s="0" t="inlineStr">
        <is>
          <t>Merkle+HNSW+(i)</t>
        </is>
      </c>
    </row>
    <row r="3499">
      <c r="A3499" s="0" t="inlineStr">
        <is>
          <t>DEEP1M</t>
        </is>
      </c>
      <c r="B3499" s="0" t="inlineStr">
        <is>
          <t>F133</t>
        </is>
      </c>
      <c r="C3499" s="0" t="inlineStr">
        <is>
          <t>F146</t>
        </is>
      </c>
      <c r="D3499" s="0" t="n">
        <v>0.95</v>
      </c>
    </row>
    <row r="3500">
      <c r="A3500" s="0" t="inlineStr">
        <is>
          <t>DEEP1M</t>
        </is>
      </c>
      <c r="B3500" s="0" t="inlineStr">
        <is>
          <t>G133</t>
        </is>
      </c>
      <c r="C3500" s="0" t="inlineStr">
        <is>
          <t>G146</t>
        </is>
      </c>
      <c r="D3500" s="0" t="n">
        <v>5.13621088333333</v>
      </c>
    </row>
    <row r="3501">
      <c r="A3501" s="0" t="inlineStr">
        <is>
          <t>DEEP1M</t>
        </is>
      </c>
      <c r="B3501" s="0" t="inlineStr">
        <is>
          <t>H133</t>
        </is>
      </c>
      <c r="C3501" s="0" t="inlineStr">
        <is>
          <t>H146</t>
        </is>
      </c>
      <c r="D3501" s="0" t="n">
        <v>800.6786</v>
      </c>
    </row>
    <row r="3502">
      <c r="A3502" s="0" t="inlineStr">
        <is>
          <t>DEEP1M</t>
        </is>
      </c>
      <c r="B3502" s="0" t="inlineStr">
        <is>
          <t>I133</t>
        </is>
      </c>
      <c r="C3502" s="0" t="inlineStr">
        <is>
          <t>I146</t>
        </is>
      </c>
      <c r="D3502" s="0" t="n">
        <v>15.9281313833333</v>
      </c>
    </row>
    <row r="3503">
      <c r="A3503" s="0" t="inlineStr">
        <is>
          <t>DEEP1M</t>
        </is>
      </c>
      <c r="B3503" s="0" t="inlineStr">
        <is>
          <t>D134</t>
        </is>
      </c>
      <c r="C3503" s="0" t="inlineStr">
        <is>
          <t>D147</t>
        </is>
      </c>
      <c r="D3503" s="0" t="inlineStr">
        <is>
          <t>(i)+(ii)</t>
        </is>
      </c>
    </row>
    <row r="3504">
      <c r="A3504" s="0" t="inlineStr">
        <is>
          <t>DEEP1M</t>
        </is>
      </c>
      <c r="B3504" s="0" t="inlineStr">
        <is>
          <t>F134</t>
        </is>
      </c>
      <c r="C3504" s="0" t="inlineStr">
        <is>
          <t>F147</t>
        </is>
      </c>
      <c r="D3504" s="0" t="n">
        <v>0.95</v>
      </c>
    </row>
    <row r="3505">
      <c r="A3505" s="0" t="inlineStr">
        <is>
          <t>DEEP1M</t>
        </is>
      </c>
      <c r="B3505" s="0" t="inlineStr">
        <is>
          <t>G134</t>
        </is>
      </c>
      <c r="C3505" s="0" t="inlineStr">
        <is>
          <t>G147</t>
        </is>
      </c>
      <c r="D3505" s="0" t="n">
        <v>4.15979063333333</v>
      </c>
    </row>
    <row r="3506">
      <c r="A3506" s="0" t="inlineStr">
        <is>
          <t>DEEP1M</t>
        </is>
      </c>
      <c r="B3506" s="0" t="inlineStr">
        <is>
          <t>H134</t>
        </is>
      </c>
      <c r="C3506" s="0" t="inlineStr">
        <is>
          <t>H147</t>
        </is>
      </c>
      <c r="D3506" s="0" t="n">
        <v>531.2744</v>
      </c>
    </row>
    <row r="3507">
      <c r="A3507" s="0" t="inlineStr">
        <is>
          <t>DEEP1M</t>
        </is>
      </c>
      <c r="B3507" s="0" t="inlineStr">
        <is>
          <t>I134</t>
        </is>
      </c>
      <c r="C3507" s="0" t="inlineStr">
        <is>
          <t>I147</t>
        </is>
      </c>
      <c r="D3507" s="0" t="n">
        <v>11.5731683166667</v>
      </c>
    </row>
    <row r="3508">
      <c r="A3508" s="0" t="inlineStr">
        <is>
          <t>DEEP1M</t>
        </is>
      </c>
      <c r="B3508" s="0" t="inlineStr">
        <is>
          <t>D135</t>
        </is>
      </c>
      <c r="C3508" s="0" t="inlineStr">
        <is>
          <t>D148</t>
        </is>
      </c>
      <c r="D3508" s="0" t="inlineStr">
        <is>
          <t>(i)+(ii)+(iii)</t>
        </is>
      </c>
    </row>
    <row r="3509">
      <c r="A3509" s="0" t="inlineStr">
        <is>
          <t>DEEP1M</t>
        </is>
      </c>
      <c r="B3509" s="0" t="inlineStr">
        <is>
          <t>F135</t>
        </is>
      </c>
      <c r="C3509" s="0" t="inlineStr">
        <is>
          <t>F148</t>
        </is>
      </c>
      <c r="D3509" s="0" t="n">
        <v>0.95</v>
      </c>
    </row>
    <row r="3510">
      <c r="A3510" s="0" t="inlineStr">
        <is>
          <t>DEEP1M</t>
        </is>
      </c>
      <c r="B3510" s="0" t="inlineStr">
        <is>
          <t>G135</t>
        </is>
      </c>
      <c r="C3510" s="0" t="inlineStr">
        <is>
          <t>G148</t>
        </is>
      </c>
      <c r="D3510" s="0" t="n">
        <v>2.29042563333333</v>
      </c>
    </row>
    <row r="3511">
      <c r="A3511" s="0" t="inlineStr">
        <is>
          <t>DEEP1M</t>
        </is>
      </c>
      <c r="B3511" s="0" t="inlineStr">
        <is>
          <t>H135</t>
        </is>
      </c>
      <c r="C3511" s="0" t="inlineStr">
        <is>
          <t>H148</t>
        </is>
      </c>
      <c r="D3511" s="0" t="n">
        <v>234.5104</v>
      </c>
    </row>
    <row r="3512">
      <c r="A3512" s="0" t="inlineStr">
        <is>
          <t>DEEP1M</t>
        </is>
      </c>
      <c r="B3512" s="0" t="inlineStr">
        <is>
          <t>I135</t>
        </is>
      </c>
      <c r="C3512" s="0" t="inlineStr">
        <is>
          <t>I148</t>
        </is>
      </c>
      <c r="D3512" s="0" t="n">
        <v>5.3532408</v>
      </c>
    </row>
    <row r="3513">
      <c r="A3513" s="0" t="inlineStr">
        <is>
          <t>DEEP1M</t>
        </is>
      </c>
      <c r="B3513" s="0" t="inlineStr">
        <is>
          <t>D136</t>
        </is>
      </c>
      <c r="C3513" s="0" t="inlineStr">
        <is>
          <t>D149</t>
        </is>
      </c>
      <c r="D3513" s="0" t="inlineStr">
        <is>
          <t>V3DB baseline（单次）</t>
        </is>
      </c>
    </row>
    <row r="3514">
      <c r="A3514" s="0" t="inlineStr">
        <is>
          <t>DEEP1M</t>
        </is>
      </c>
      <c r="B3514" s="0" t="inlineStr">
        <is>
          <t>F136</t>
        </is>
      </c>
      <c r="C3514" s="0" t="inlineStr">
        <is>
          <t>F149</t>
        </is>
      </c>
      <c r="D3514" s="0" t="n">
        <v>0.78</v>
      </c>
    </row>
    <row r="3515">
      <c r="A3515" s="0" t="inlineStr">
        <is>
          <t>DEEP1M</t>
        </is>
      </c>
      <c r="B3515" s="0" t="inlineStr">
        <is>
          <t>G136</t>
        </is>
      </c>
      <c r="C3515" s="0" t="inlineStr">
        <is>
          <t>G149</t>
        </is>
      </c>
      <c r="D3515" s="0" t="n">
        <v>493189.722806004</v>
      </c>
    </row>
    <row r="3516">
      <c r="A3516" s="0" t="inlineStr">
        <is>
          <t>DEEP1M</t>
        </is>
      </c>
      <c r="B3516" s="0" t="inlineStr">
        <is>
          <t>H136</t>
        </is>
      </c>
      <c r="C3516" s="0" t="inlineStr">
        <is>
          <t>H149</t>
        </is>
      </c>
      <c r="D3516" s="0" t="n">
        <v>265.512</v>
      </c>
    </row>
    <row r="3517">
      <c r="A3517" s="0" t="inlineStr">
        <is>
          <t>DEEP1M</t>
        </is>
      </c>
      <c r="B3517" s="0" t="inlineStr">
        <is>
          <t>I136</t>
        </is>
      </c>
      <c r="C3517" s="0" t="inlineStr">
        <is>
          <t>I149</t>
        </is>
      </c>
      <c r="D3517" s="0" t="n">
        <v>55.9675380063709</v>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E677"/>
  <sheetViews>
    <sheetView workbookViewId="0">
      <selection activeCell="A1" sqref="A1"/>
    </sheetView>
  </sheetViews>
  <sheetFormatPr baseColWidth="8" defaultColWidth="9" defaultRowHeight="13.5"/>
  <sheetData>
    <row r="1">
      <c r="A1" s="0" t="inlineStr">
        <is>
          <t>Sheet</t>
        </is>
      </c>
      <c r="B1" s="0" t="inlineStr">
        <is>
          <t>Cell</t>
        </is>
      </c>
      <c r="C1" s="0" t="inlineStr">
        <is>
          <t>Value</t>
        </is>
      </c>
      <c r="D1" s="0" t="inlineStr">
        <is>
          <t>Record</t>
        </is>
      </c>
      <c r="E1" s="0" t="inlineStr">
        <is>
          <t>Note</t>
        </is>
      </c>
    </row>
    <row r="2">
      <c r="A2" s="0" t="inlineStr">
        <is>
          <t>SIFT1M</t>
        </is>
      </c>
      <c r="B2" s="0" t="inlineStr">
        <is>
          <t>E13</t>
        </is>
      </c>
      <c r="C2" s="0" t="n">
        <v>100</v>
      </c>
      <c r="D2" s="0" t="inlineStr">
        <is>
          <t>/mnt/d/paper_source/work_9/VeriANN_repro_2026-09-30/VeriANN_repro_2026-09-30/results/work9-chen13-20261021/sift1m-1000000-overall/measurement.json</t>
        </is>
      </c>
      <c r="E2" s="0" t="inlineStr">
        <is>
          <t>四数据集默认 k=10；20条×3次，单线程实测。精确召回100%，不是95%匹配点。</t>
        </is>
      </c>
    </row>
    <row r="3">
      <c r="A3" s="0" t="inlineStr">
        <is>
          <t>SIFT1M</t>
        </is>
      </c>
      <c r="B3" s="0" t="inlineStr">
        <is>
          <t>F13</t>
        </is>
      </c>
      <c r="C3" s="0" t="n">
        <v>278.25155455</v>
      </c>
      <c r="D3" s="0" t="inlineStr">
        <is>
          <t>/mnt/d/paper_source/work_9/VeriANN_repro_2026-09-30/VeriANN_repro_2026-09-30/results/work9-chen13-20261021/sift1m-1000000-overall/measurement.json</t>
        </is>
      </c>
      <c r="E3" s="0" t="inlineStr">
        <is>
          <t>四数据集默认 k=10；20条×3次，单线程实测。精确召回100%，不是95%匹配点。</t>
        </is>
      </c>
    </row>
    <row r="4">
      <c r="A4" s="0" t="inlineStr">
        <is>
          <t>SIFT1M</t>
        </is>
      </c>
      <c r="B4" s="0" t="inlineStr">
        <is>
          <t>G13</t>
        </is>
      </c>
      <c r="C4" s="0" t="n">
        <v>235214.3172</v>
      </c>
      <c r="D4" s="0" t="inlineStr">
        <is>
          <t>/mnt/d/paper_source/work_9/VeriANN_repro_2026-09-30/VeriANN_repro_2026-09-30/results/work9-chen13-20261021/sift1m-1000000-overall/measurement.json</t>
        </is>
      </c>
      <c r="E4" s="0" t="inlineStr">
        <is>
          <t>四数据集默认 k=10；20条×3次，单线程实测。精确召回100%，不是95%匹配点。</t>
        </is>
      </c>
    </row>
    <row r="5">
      <c r="A5" s="0" t="inlineStr">
        <is>
          <t>SIFT1M</t>
        </is>
      </c>
      <c r="B5" s="0" t="inlineStr">
        <is>
          <t>H13</t>
        </is>
      </c>
      <c r="C5" s="0" t="n">
        <v>202.1477637</v>
      </c>
      <c r="D5" s="0" t="inlineStr">
        <is>
          <t>/mnt/d/paper_source/work_9/VeriANN_repro_2026-09-30/VeriANN_repro_2026-09-30/results/work9-chen13-20261021/sift1m-1000000-overall/measurement.json</t>
        </is>
      </c>
      <c r="E5" s="0" t="inlineStr">
        <is>
          <t>四数据集默认 k=10；20条×3次，单线程实测。精确召回100%，不是95%匹配点。</t>
        </is>
      </c>
    </row>
    <row r="6">
      <c r="A6" s="0" t="inlineStr">
        <is>
          <t>SIFT1M</t>
        </is>
      </c>
      <c r="B6" s="0" t="inlineStr">
        <is>
          <t>I13</t>
        </is>
      </c>
      <c r="C6" s="0" t="n">
        <v>538.911432</v>
      </c>
      <c r="D6" s="0" t="inlineStr">
        <is>
          <t>/mnt/d/paper_source/work_9/VeriANN_repro_2026-09-30/VeriANN_repro_2026-09-30/results/work9-chen13-20261021/sift1m-1000000-overall/measurement.json</t>
        </is>
      </c>
      <c r="E6" s="0" t="inlineStr">
        <is>
          <t>一次全新单线程构建；无压缩完整服务快照；构建排除最终快照写盘、GT及输入加载。</t>
        </is>
      </c>
    </row>
    <row r="7">
      <c r="A7" s="0" t="inlineStr">
        <is>
          <t>SIFT1M</t>
        </is>
      </c>
      <c r="B7" s="0" t="inlineStr">
        <is>
          <t>J13</t>
        </is>
      </c>
      <c r="C7" s="0" t="n">
        <v>1.054957767</v>
      </c>
      <c r="D7" s="0" t="inlineStr">
        <is>
          <t>/mnt/d/paper_source/work_9/VeriANN_repro_2026-09-30/VeriANN_repro_2026-09-30/results/work9-chen13-20261021/sift1m-1000000-overall/measurement.json</t>
        </is>
      </c>
      <c r="E7" s="0" t="inlineStr">
        <is>
          <t>一次全新单线程构建；无压缩完整服务快照；构建排除最终快照写盘、GT及输入加载。</t>
        </is>
      </c>
    </row>
    <row r="8">
      <c r="A8" s="0" t="inlineStr">
        <is>
          <t>SIFT1M</t>
        </is>
      </c>
      <c r="B8" s="0" t="inlineStr">
        <is>
          <t>F29</t>
        </is>
      </c>
      <c r="E8" s="0" t="inlineStr">
        <is>
          <t>不适用：精确算法无可调低召回档位。仅Z列为100%实测参考点，不能作为等召回95%比较。</t>
        </is>
      </c>
    </row>
    <row r="9">
      <c r="A9" s="0" t="inlineStr">
        <is>
          <t>SIFT1M</t>
        </is>
      </c>
      <c r="B9" s="0" t="inlineStr">
        <is>
          <t>F30</t>
        </is>
      </c>
      <c r="E9" s="0" t="inlineStr">
        <is>
          <t>不适用：精确算法无可调低召回档位。仅Z列为100%实测参考点，不能作为等召回95%比较。</t>
        </is>
      </c>
    </row>
    <row r="10">
      <c r="A10" s="0" t="inlineStr">
        <is>
          <t>SIFT1M</t>
        </is>
      </c>
      <c r="B10" s="0" t="inlineStr">
        <is>
          <t>G29</t>
        </is>
      </c>
      <c r="E10" s="0" t="inlineStr">
        <is>
          <t>不适用：精确算法无可调低召回档位。仅Z列为100%实测参考点，不能作为等召回95%比较。</t>
        </is>
      </c>
    </row>
    <row r="11">
      <c r="A11" s="0" t="inlineStr">
        <is>
          <t>SIFT1M</t>
        </is>
      </c>
      <c r="B11" s="0" t="inlineStr">
        <is>
          <t>G30</t>
        </is>
      </c>
      <c r="E11" s="0" t="inlineStr">
        <is>
          <t>不适用：精确算法无可调低召回档位。仅Z列为100%实测参考点，不能作为等召回95%比较。</t>
        </is>
      </c>
    </row>
    <row r="12">
      <c r="A12" s="0" t="inlineStr">
        <is>
          <t>SIFT1M</t>
        </is>
      </c>
      <c r="B12" s="0" t="inlineStr">
        <is>
          <t>H29</t>
        </is>
      </c>
      <c r="E12" s="0" t="inlineStr">
        <is>
          <t>不适用：精确算法无可调低召回档位。仅Z列为100%实测参考点，不能作为等召回95%比较。</t>
        </is>
      </c>
    </row>
    <row r="13">
      <c r="A13" s="0" t="inlineStr">
        <is>
          <t>SIFT1M</t>
        </is>
      </c>
      <c r="B13" s="0" t="inlineStr">
        <is>
          <t>H30</t>
        </is>
      </c>
      <c r="E13" s="0" t="inlineStr">
        <is>
          <t>不适用：精确算法无可调低召回档位。仅Z列为100%实测参考点，不能作为等召回95%比较。</t>
        </is>
      </c>
    </row>
    <row r="14">
      <c r="A14" s="0" t="inlineStr">
        <is>
          <t>SIFT1M</t>
        </is>
      </c>
      <c r="B14" s="0" t="inlineStr">
        <is>
          <t>I29</t>
        </is>
      </c>
      <c r="E14" s="0" t="inlineStr">
        <is>
          <t>不适用：精确算法无可调低召回档位。仅Z列为100%实测参考点，不能作为等召回95%比较。</t>
        </is>
      </c>
    </row>
    <row r="15">
      <c r="A15" s="0" t="inlineStr">
        <is>
          <t>SIFT1M</t>
        </is>
      </c>
      <c r="B15" s="0" t="inlineStr">
        <is>
          <t>I30</t>
        </is>
      </c>
      <c r="E15" s="0" t="inlineStr">
        <is>
          <t>不适用：精确算法无可调低召回档位。仅Z列为100%实测参考点，不能作为等召回95%比较。</t>
        </is>
      </c>
    </row>
    <row r="16">
      <c r="A16" s="0" t="inlineStr">
        <is>
          <t>SIFT1M</t>
        </is>
      </c>
      <c r="B16" s="0" t="inlineStr">
        <is>
          <t>J29</t>
        </is>
      </c>
      <c r="E16" s="0" t="inlineStr">
        <is>
          <t>不适用：精确算法无可调低召回档位。仅Z列为100%实测参考点，不能作为等召回95%比较。</t>
        </is>
      </c>
    </row>
    <row r="17">
      <c r="A17" s="0" t="inlineStr">
        <is>
          <t>SIFT1M</t>
        </is>
      </c>
      <c r="B17" s="0" t="inlineStr">
        <is>
          <t>J30</t>
        </is>
      </c>
      <c r="E17" s="0" t="inlineStr">
        <is>
          <t>不适用：精确算法无可调低召回档位。仅Z列为100%实测参考点，不能作为等召回95%比较。</t>
        </is>
      </c>
    </row>
    <row r="18">
      <c r="A18" s="0" t="inlineStr">
        <is>
          <t>SIFT1M</t>
        </is>
      </c>
      <c r="B18" s="0" t="inlineStr">
        <is>
          <t>K29</t>
        </is>
      </c>
      <c r="E18" s="0" t="inlineStr">
        <is>
          <t>不适用：精确算法无可调低召回档位。仅Z列为100%实测参考点，不能作为等召回95%比较。</t>
        </is>
      </c>
    </row>
    <row r="19">
      <c r="A19" s="0" t="inlineStr">
        <is>
          <t>SIFT1M</t>
        </is>
      </c>
      <c r="B19" s="0" t="inlineStr">
        <is>
          <t>K30</t>
        </is>
      </c>
      <c r="E19" s="0" t="inlineStr">
        <is>
          <t>不适用：精确算法无可调低召回档位。仅Z列为100%实测参考点，不能作为等召回95%比较。</t>
        </is>
      </c>
    </row>
    <row r="20">
      <c r="A20" s="0" t="inlineStr">
        <is>
          <t>SIFT1M</t>
        </is>
      </c>
      <c r="B20" s="0" t="inlineStr">
        <is>
          <t>L29</t>
        </is>
      </c>
      <c r="E20" s="0" t="inlineStr">
        <is>
          <t>不适用：精确算法无可调低召回档位。仅Z列为100%实测参考点，不能作为等召回95%比较。</t>
        </is>
      </c>
    </row>
    <row r="21">
      <c r="A21" s="0" t="inlineStr">
        <is>
          <t>SIFT1M</t>
        </is>
      </c>
      <c r="B21" s="0" t="inlineStr">
        <is>
          <t>L30</t>
        </is>
      </c>
      <c r="E21" s="0" t="inlineStr">
        <is>
          <t>不适用：精确算法无可调低召回档位。仅Z列为100%实测参考点，不能作为等召回95%比较。</t>
        </is>
      </c>
    </row>
    <row r="22">
      <c r="A22" s="0" t="inlineStr">
        <is>
          <t>SIFT1M</t>
        </is>
      </c>
      <c r="B22" s="0" t="inlineStr">
        <is>
          <t>M29</t>
        </is>
      </c>
      <c r="E22" s="0" t="inlineStr">
        <is>
          <t>不适用：精确算法无可调低召回档位。仅Z列为100%实测参考点，不能作为等召回95%比较。</t>
        </is>
      </c>
    </row>
    <row r="23">
      <c r="A23" s="0" t="inlineStr">
        <is>
          <t>SIFT1M</t>
        </is>
      </c>
      <c r="B23" s="0" t="inlineStr">
        <is>
          <t>M30</t>
        </is>
      </c>
      <c r="E23" s="0" t="inlineStr">
        <is>
          <t>不适用：精确算法无可调低召回档位。仅Z列为100%实测参考点，不能作为等召回95%比较。</t>
        </is>
      </c>
    </row>
    <row r="24">
      <c r="A24" s="0" t="inlineStr">
        <is>
          <t>SIFT1M</t>
        </is>
      </c>
      <c r="B24" s="0" t="inlineStr">
        <is>
          <t>N29</t>
        </is>
      </c>
      <c r="E24" s="0" t="inlineStr">
        <is>
          <t>不适用：精确算法无可调低召回档位。仅Z列为100%实测参考点，不能作为等召回95%比较。</t>
        </is>
      </c>
    </row>
    <row r="25">
      <c r="A25" s="0" t="inlineStr">
        <is>
          <t>SIFT1M</t>
        </is>
      </c>
      <c r="B25" s="0" t="inlineStr">
        <is>
          <t>N30</t>
        </is>
      </c>
      <c r="E25" s="0" t="inlineStr">
        <is>
          <t>不适用：精确算法无可调低召回档位。仅Z列为100%实测参考点，不能作为等召回95%比较。</t>
        </is>
      </c>
    </row>
    <row r="26">
      <c r="A26" s="0" t="inlineStr">
        <is>
          <t>SIFT1M</t>
        </is>
      </c>
      <c r="B26" s="0" t="inlineStr">
        <is>
          <t>O29</t>
        </is>
      </c>
      <c r="E26" s="0" t="inlineStr">
        <is>
          <t>不适用：精确算法无可调低召回档位。仅Z列为100%实测参考点，不能作为等召回95%比较。</t>
        </is>
      </c>
    </row>
    <row r="27">
      <c r="A27" s="0" t="inlineStr">
        <is>
          <t>SIFT1M</t>
        </is>
      </c>
      <c r="B27" s="0" t="inlineStr">
        <is>
          <t>O30</t>
        </is>
      </c>
      <c r="E27" s="0" t="inlineStr">
        <is>
          <t>不适用：精确算法无可调低召回档位。仅Z列为100%实测参考点，不能作为等召回95%比较。</t>
        </is>
      </c>
    </row>
    <row r="28">
      <c r="A28" s="0" t="inlineStr">
        <is>
          <t>SIFT1M</t>
        </is>
      </c>
      <c r="B28" s="0" t="inlineStr">
        <is>
          <t>P29</t>
        </is>
      </c>
      <c r="E28" s="0" t="inlineStr">
        <is>
          <t>不适用：精确算法无可调低召回档位。仅Z列为100%实测参考点，不能作为等召回95%比较。</t>
        </is>
      </c>
    </row>
    <row r="29">
      <c r="A29" s="0" t="inlineStr">
        <is>
          <t>SIFT1M</t>
        </is>
      </c>
      <c r="B29" s="0" t="inlineStr">
        <is>
          <t>P30</t>
        </is>
      </c>
      <c r="E29" s="0" t="inlineStr">
        <is>
          <t>不适用：精确算法无可调低召回档位。仅Z列为100%实测参考点，不能作为等召回95%比较。</t>
        </is>
      </c>
    </row>
    <row r="30">
      <c r="A30" s="0" t="inlineStr">
        <is>
          <t>SIFT1M</t>
        </is>
      </c>
      <c r="B30" s="0" t="inlineStr">
        <is>
          <t>Q29</t>
        </is>
      </c>
      <c r="E30" s="0" t="inlineStr">
        <is>
          <t>不适用：精确算法无可调低召回档位。仅Z列为100%实测参考点，不能作为等召回95%比较。</t>
        </is>
      </c>
    </row>
    <row r="31">
      <c r="A31" s="0" t="inlineStr">
        <is>
          <t>SIFT1M</t>
        </is>
      </c>
      <c r="B31" s="0" t="inlineStr">
        <is>
          <t>Q30</t>
        </is>
      </c>
      <c r="E31" s="0" t="inlineStr">
        <is>
          <t>不适用：精确算法无可调低召回档位。仅Z列为100%实测参考点，不能作为等召回95%比较。</t>
        </is>
      </c>
    </row>
    <row r="32">
      <c r="A32" s="0" t="inlineStr">
        <is>
          <t>SIFT1M</t>
        </is>
      </c>
      <c r="B32" s="0" t="inlineStr">
        <is>
          <t>R29</t>
        </is>
      </c>
      <c r="E32" s="0" t="inlineStr">
        <is>
          <t>不适用：精确算法无可调低召回档位。仅Z列为100%实测参考点，不能作为等召回95%比较。</t>
        </is>
      </c>
    </row>
    <row r="33">
      <c r="A33" s="0" t="inlineStr">
        <is>
          <t>SIFT1M</t>
        </is>
      </c>
      <c r="B33" s="0" t="inlineStr">
        <is>
          <t>R30</t>
        </is>
      </c>
      <c r="E33" s="0" t="inlineStr">
        <is>
          <t>不适用：精确算法无可调低召回档位。仅Z列为100%实测参考点，不能作为等召回95%比较。</t>
        </is>
      </c>
    </row>
    <row r="34">
      <c r="A34" s="0" t="inlineStr">
        <is>
          <t>SIFT1M</t>
        </is>
      </c>
      <c r="B34" s="0" t="inlineStr">
        <is>
          <t>S29</t>
        </is>
      </c>
      <c r="E34" s="0" t="inlineStr">
        <is>
          <t>不适用：精确算法无可调低召回档位。仅Z列为100%实测参考点，不能作为等召回95%比较。</t>
        </is>
      </c>
    </row>
    <row r="35">
      <c r="A35" s="0" t="inlineStr">
        <is>
          <t>SIFT1M</t>
        </is>
      </c>
      <c r="B35" s="0" t="inlineStr">
        <is>
          <t>S30</t>
        </is>
      </c>
      <c r="E35" s="0" t="inlineStr">
        <is>
          <t>不适用：精确算法无可调低召回档位。仅Z列为100%实测参考点，不能作为等召回95%比较。</t>
        </is>
      </c>
    </row>
    <row r="36">
      <c r="A36" s="0" t="inlineStr">
        <is>
          <t>SIFT1M</t>
        </is>
      </c>
      <c r="B36" s="0" t="inlineStr">
        <is>
          <t>T29</t>
        </is>
      </c>
      <c r="E36" s="0" t="inlineStr">
        <is>
          <t>不适用：精确算法无可调低召回档位。仅Z列为100%实测参考点，不能作为等召回95%比较。</t>
        </is>
      </c>
    </row>
    <row r="37">
      <c r="A37" s="0" t="inlineStr">
        <is>
          <t>SIFT1M</t>
        </is>
      </c>
      <c r="B37" s="0" t="inlineStr">
        <is>
          <t>T30</t>
        </is>
      </c>
      <c r="E37" s="0" t="inlineStr">
        <is>
          <t>不适用：精确算法无可调低召回档位。仅Z列为100%实测参考点，不能作为等召回95%比较。</t>
        </is>
      </c>
    </row>
    <row r="38">
      <c r="A38" s="0" t="inlineStr">
        <is>
          <t>SIFT1M</t>
        </is>
      </c>
      <c r="B38" s="0" t="inlineStr">
        <is>
          <t>U29</t>
        </is>
      </c>
      <c r="E38" s="0" t="inlineStr">
        <is>
          <t>不适用：精确算法无可调低召回档位。仅Z列为100%实测参考点，不能作为等召回95%比较。</t>
        </is>
      </c>
    </row>
    <row r="39">
      <c r="A39" s="0" t="inlineStr">
        <is>
          <t>SIFT1M</t>
        </is>
      </c>
      <c r="B39" s="0" t="inlineStr">
        <is>
          <t>U30</t>
        </is>
      </c>
      <c r="E39" s="0" t="inlineStr">
        <is>
          <t>不适用：精确算法无可调低召回档位。仅Z列为100%实测参考点，不能作为等召回95%比较。</t>
        </is>
      </c>
    </row>
    <row r="40">
      <c r="A40" s="0" t="inlineStr">
        <is>
          <t>SIFT1M</t>
        </is>
      </c>
      <c r="B40" s="0" t="inlineStr">
        <is>
          <t>V29</t>
        </is>
      </c>
      <c r="E40" s="0" t="inlineStr">
        <is>
          <t>不适用：精确算法无可调低召回档位。仅Z列为100%实测参考点，不能作为等召回95%比较。</t>
        </is>
      </c>
    </row>
    <row r="41">
      <c r="A41" s="0" t="inlineStr">
        <is>
          <t>SIFT1M</t>
        </is>
      </c>
      <c r="B41" s="0" t="inlineStr">
        <is>
          <t>V30</t>
        </is>
      </c>
      <c r="E41" s="0" t="inlineStr">
        <is>
          <t>不适用：精确算法无可调低召回档位。仅Z列为100%实测参考点，不能作为等召回95%比较。</t>
        </is>
      </c>
    </row>
    <row r="42">
      <c r="A42" s="0" t="inlineStr">
        <is>
          <t>SIFT1M</t>
        </is>
      </c>
      <c r="B42" s="0" t="inlineStr">
        <is>
          <t>W29</t>
        </is>
      </c>
      <c r="E42" s="0" t="inlineStr">
        <is>
          <t>不适用：精确算法无可调低召回档位。仅Z列为100%实测参考点，不能作为等召回95%比较。</t>
        </is>
      </c>
    </row>
    <row r="43">
      <c r="A43" s="0" t="inlineStr">
        <is>
          <t>SIFT1M</t>
        </is>
      </c>
      <c r="B43" s="0" t="inlineStr">
        <is>
          <t>W30</t>
        </is>
      </c>
      <c r="E43" s="0" t="inlineStr">
        <is>
          <t>不适用：精确算法无可调低召回档位。仅Z列为100%实测参考点，不能作为等召回95%比较。</t>
        </is>
      </c>
    </row>
    <row r="44">
      <c r="A44" s="0" t="inlineStr">
        <is>
          <t>SIFT1M</t>
        </is>
      </c>
      <c r="B44" s="0" t="inlineStr">
        <is>
          <t>X29</t>
        </is>
      </c>
      <c r="E44" s="0" t="inlineStr">
        <is>
          <t>不适用：精确算法无可调低召回档位。仅Z列为100%实测参考点，不能作为等召回95%比较。</t>
        </is>
      </c>
    </row>
    <row r="45">
      <c r="A45" s="0" t="inlineStr">
        <is>
          <t>SIFT1M</t>
        </is>
      </c>
      <c r="B45" s="0" t="inlineStr">
        <is>
          <t>X30</t>
        </is>
      </c>
      <c r="E45" s="0" t="inlineStr">
        <is>
          <t>不适用：精确算法无可调低召回档位。仅Z列为100%实测参考点，不能作为等召回95%比较。</t>
        </is>
      </c>
    </row>
    <row r="46">
      <c r="A46" s="0" t="inlineStr">
        <is>
          <t>SIFT1M</t>
        </is>
      </c>
      <c r="B46" s="0" t="inlineStr">
        <is>
          <t>Y29</t>
        </is>
      </c>
      <c r="E46" s="0" t="inlineStr">
        <is>
          <t>不适用：精确算法无可调低召回档位。仅Z列为100%实测参考点，不能作为等召回95%比较。</t>
        </is>
      </c>
    </row>
    <row r="47">
      <c r="A47" s="0" t="inlineStr">
        <is>
          <t>SIFT1M</t>
        </is>
      </c>
      <c r="B47" s="0" t="inlineStr">
        <is>
          <t>Y30</t>
        </is>
      </c>
      <c r="E47" s="0" t="inlineStr">
        <is>
          <t>不适用：精确算法无可调低召回档位。仅Z列为100%实测参考点，不能作为等召回95%比较。</t>
        </is>
      </c>
    </row>
    <row r="48">
      <c r="A48" s="0" t="inlineStr">
        <is>
          <t>SIFT1M</t>
        </is>
      </c>
      <c r="B48" s="0" t="inlineStr">
        <is>
          <t>Z29</t>
        </is>
      </c>
      <c r="C48" s="0" t="n">
        <v>100</v>
      </c>
      <c r="D48" s="0" t="inlineStr">
        <is>
          <t>/mnt/d/paper_source/work_9/VeriANN_repro_2026-09-30/VeriANN_repro_2026-09-30/results/work9-chen13-20261021/sift1m-1000000-overall/measurement.json</t>
        </is>
      </c>
      <c r="E48" s="0" t="inlineStr">
        <is>
          <t>精确方法唯一召回点。</t>
        </is>
      </c>
    </row>
    <row r="49">
      <c r="A49" s="0" t="inlineStr">
        <is>
          <t>SIFT1M</t>
        </is>
      </c>
      <c r="B49" s="0" t="inlineStr">
        <is>
          <t>Z30</t>
        </is>
      </c>
      <c r="C49" s="0" t="n">
        <v>235214.3172</v>
      </c>
      <c r="D49" s="0" t="inlineStr">
        <is>
          <t>/mnt/d/paper_source/work_9/VeriANN_repro_2026-09-30/VeriANN_repro_2026-09-30/results/work9-chen13-20261021/sift1m-1000000-overall/measurement.json</t>
        </is>
      </c>
      <c r="E49" s="0" t="inlineStr">
        <is>
          <t>沿用默认 k=10 的同一组60次真实测量；非重复实验。</t>
        </is>
      </c>
    </row>
    <row r="50">
      <c r="A50" s="0" t="inlineStr">
        <is>
          <t>SIFT1M</t>
        </is>
      </c>
      <c r="B50" s="0" t="inlineStr">
        <is>
          <t>F43</t>
        </is>
      </c>
      <c r="E50" s="0" t="inlineStr">
        <is>
          <t>不适用：精确算法无可调低召回档位。仅Z列为100%实测参考点，不能作为等召回95%比较。</t>
        </is>
      </c>
    </row>
    <row r="51">
      <c r="A51" s="0" t="inlineStr">
        <is>
          <t>SIFT1M</t>
        </is>
      </c>
      <c r="B51" s="0" t="inlineStr">
        <is>
          <t>F44</t>
        </is>
      </c>
      <c r="E51" s="0" t="inlineStr">
        <is>
          <t>不适用：精确算法无可调低召回档位。仅Z列为100%实测参考点，不能作为等召回95%比较。</t>
        </is>
      </c>
    </row>
    <row r="52">
      <c r="A52" s="0" t="inlineStr">
        <is>
          <t>SIFT1M</t>
        </is>
      </c>
      <c r="B52" s="0" t="inlineStr">
        <is>
          <t>G43</t>
        </is>
      </c>
      <c r="E52" s="0" t="inlineStr">
        <is>
          <t>不适用：精确算法无可调低召回档位。仅Z列为100%实测参考点，不能作为等召回95%比较。</t>
        </is>
      </c>
    </row>
    <row r="53">
      <c r="A53" s="0" t="inlineStr">
        <is>
          <t>SIFT1M</t>
        </is>
      </c>
      <c r="B53" s="0" t="inlineStr">
        <is>
          <t>G44</t>
        </is>
      </c>
      <c r="E53" s="0" t="inlineStr">
        <is>
          <t>不适用：精确算法无可调低召回档位。仅Z列为100%实测参考点，不能作为等召回95%比较。</t>
        </is>
      </c>
    </row>
    <row r="54">
      <c r="A54" s="0" t="inlineStr">
        <is>
          <t>SIFT1M</t>
        </is>
      </c>
      <c r="B54" s="0" t="inlineStr">
        <is>
          <t>H43</t>
        </is>
      </c>
      <c r="E54" s="0" t="inlineStr">
        <is>
          <t>不适用：精确算法无可调低召回档位。仅Z列为100%实测参考点，不能作为等召回95%比较。</t>
        </is>
      </c>
    </row>
    <row r="55">
      <c r="A55" s="0" t="inlineStr">
        <is>
          <t>SIFT1M</t>
        </is>
      </c>
      <c r="B55" s="0" t="inlineStr">
        <is>
          <t>H44</t>
        </is>
      </c>
      <c r="E55" s="0" t="inlineStr">
        <is>
          <t>不适用：精确算法无可调低召回档位。仅Z列为100%实测参考点，不能作为等召回95%比较。</t>
        </is>
      </c>
    </row>
    <row r="56">
      <c r="A56" s="0" t="inlineStr">
        <is>
          <t>SIFT1M</t>
        </is>
      </c>
      <c r="B56" s="0" t="inlineStr">
        <is>
          <t>I43</t>
        </is>
      </c>
      <c r="E56" s="0" t="inlineStr">
        <is>
          <t>不适用：精确算法无可调低召回档位。仅Z列为100%实测参考点，不能作为等召回95%比较。</t>
        </is>
      </c>
    </row>
    <row r="57">
      <c r="A57" s="0" t="inlineStr">
        <is>
          <t>SIFT1M</t>
        </is>
      </c>
      <c r="B57" s="0" t="inlineStr">
        <is>
          <t>I44</t>
        </is>
      </c>
      <c r="E57" s="0" t="inlineStr">
        <is>
          <t>不适用：精确算法无可调低召回档位。仅Z列为100%实测参考点，不能作为等召回95%比较。</t>
        </is>
      </c>
    </row>
    <row r="58">
      <c r="A58" s="0" t="inlineStr">
        <is>
          <t>SIFT1M</t>
        </is>
      </c>
      <c r="B58" s="0" t="inlineStr">
        <is>
          <t>J43</t>
        </is>
      </c>
      <c r="E58" s="0" t="inlineStr">
        <is>
          <t>不适用：精确算法无可调低召回档位。仅Z列为100%实测参考点，不能作为等召回95%比较。</t>
        </is>
      </c>
    </row>
    <row r="59">
      <c r="A59" s="0" t="inlineStr">
        <is>
          <t>SIFT1M</t>
        </is>
      </c>
      <c r="B59" s="0" t="inlineStr">
        <is>
          <t>J44</t>
        </is>
      </c>
      <c r="E59" s="0" t="inlineStr">
        <is>
          <t>不适用：精确算法无可调低召回档位。仅Z列为100%实测参考点，不能作为等召回95%比较。</t>
        </is>
      </c>
    </row>
    <row r="60">
      <c r="A60" s="0" t="inlineStr">
        <is>
          <t>SIFT1M</t>
        </is>
      </c>
      <c r="B60" s="0" t="inlineStr">
        <is>
          <t>K43</t>
        </is>
      </c>
      <c r="E60" s="0" t="inlineStr">
        <is>
          <t>不适用：精确算法无可调低召回档位。仅Z列为100%实测参考点，不能作为等召回95%比较。</t>
        </is>
      </c>
    </row>
    <row r="61">
      <c r="A61" s="0" t="inlineStr">
        <is>
          <t>SIFT1M</t>
        </is>
      </c>
      <c r="B61" s="0" t="inlineStr">
        <is>
          <t>K44</t>
        </is>
      </c>
      <c r="E61" s="0" t="inlineStr">
        <is>
          <t>不适用：精确算法无可调低召回档位。仅Z列为100%实测参考点，不能作为等召回95%比较。</t>
        </is>
      </c>
    </row>
    <row r="62">
      <c r="A62" s="0" t="inlineStr">
        <is>
          <t>SIFT1M</t>
        </is>
      </c>
      <c r="B62" s="0" t="inlineStr">
        <is>
          <t>L43</t>
        </is>
      </c>
      <c r="E62" s="0" t="inlineStr">
        <is>
          <t>不适用：精确算法无可调低召回档位。仅Z列为100%实测参考点，不能作为等召回95%比较。</t>
        </is>
      </c>
    </row>
    <row r="63">
      <c r="A63" s="0" t="inlineStr">
        <is>
          <t>SIFT1M</t>
        </is>
      </c>
      <c r="B63" s="0" t="inlineStr">
        <is>
          <t>L44</t>
        </is>
      </c>
      <c r="E63" s="0" t="inlineStr">
        <is>
          <t>不适用：精确算法无可调低召回档位。仅Z列为100%实测参考点，不能作为等召回95%比较。</t>
        </is>
      </c>
    </row>
    <row r="64">
      <c r="A64" s="0" t="inlineStr">
        <is>
          <t>SIFT1M</t>
        </is>
      </c>
      <c r="B64" s="0" t="inlineStr">
        <is>
          <t>M43</t>
        </is>
      </c>
      <c r="E64" s="0" t="inlineStr">
        <is>
          <t>不适用：精确算法无可调低召回档位。仅Z列为100%实测参考点，不能作为等召回95%比较。</t>
        </is>
      </c>
    </row>
    <row r="65">
      <c r="A65" s="0" t="inlineStr">
        <is>
          <t>SIFT1M</t>
        </is>
      </c>
      <c r="B65" s="0" t="inlineStr">
        <is>
          <t>M44</t>
        </is>
      </c>
      <c r="E65" s="0" t="inlineStr">
        <is>
          <t>不适用：精确算法无可调低召回档位。仅Z列为100%实测参考点，不能作为等召回95%比较。</t>
        </is>
      </c>
    </row>
    <row r="66">
      <c r="A66" s="0" t="inlineStr">
        <is>
          <t>SIFT1M</t>
        </is>
      </c>
      <c r="B66" s="0" t="inlineStr">
        <is>
          <t>N43</t>
        </is>
      </c>
      <c r="E66" s="0" t="inlineStr">
        <is>
          <t>不适用：精确算法无可调低召回档位。仅Z列为100%实测参考点，不能作为等召回95%比较。</t>
        </is>
      </c>
    </row>
    <row r="67">
      <c r="A67" s="0" t="inlineStr">
        <is>
          <t>SIFT1M</t>
        </is>
      </c>
      <c r="B67" s="0" t="inlineStr">
        <is>
          <t>N44</t>
        </is>
      </c>
      <c r="E67" s="0" t="inlineStr">
        <is>
          <t>不适用：精确算法无可调低召回档位。仅Z列为100%实测参考点，不能作为等召回95%比较。</t>
        </is>
      </c>
    </row>
    <row r="68">
      <c r="A68" s="0" t="inlineStr">
        <is>
          <t>SIFT1M</t>
        </is>
      </c>
      <c r="B68" s="0" t="inlineStr">
        <is>
          <t>O43</t>
        </is>
      </c>
      <c r="E68" s="0" t="inlineStr">
        <is>
          <t>不适用：精确算法无可调低召回档位。仅Z列为100%实测参考点，不能作为等召回95%比较。</t>
        </is>
      </c>
    </row>
    <row r="69">
      <c r="A69" s="0" t="inlineStr">
        <is>
          <t>SIFT1M</t>
        </is>
      </c>
      <c r="B69" s="0" t="inlineStr">
        <is>
          <t>O44</t>
        </is>
      </c>
      <c r="E69" s="0" t="inlineStr">
        <is>
          <t>不适用：精确算法无可调低召回档位。仅Z列为100%实测参考点，不能作为等召回95%比较。</t>
        </is>
      </c>
    </row>
    <row r="70">
      <c r="A70" s="0" t="inlineStr">
        <is>
          <t>SIFT1M</t>
        </is>
      </c>
      <c r="B70" s="0" t="inlineStr">
        <is>
          <t>P43</t>
        </is>
      </c>
      <c r="E70" s="0" t="inlineStr">
        <is>
          <t>不适用：精确算法无可调低召回档位。仅Z列为100%实测参考点，不能作为等召回95%比较。</t>
        </is>
      </c>
    </row>
    <row r="71">
      <c r="A71" s="0" t="inlineStr">
        <is>
          <t>SIFT1M</t>
        </is>
      </c>
      <c r="B71" s="0" t="inlineStr">
        <is>
          <t>P44</t>
        </is>
      </c>
      <c r="E71" s="0" t="inlineStr">
        <is>
          <t>不适用：精确算法无可调低召回档位。仅Z列为100%实测参考点，不能作为等召回95%比较。</t>
        </is>
      </c>
    </row>
    <row r="72">
      <c r="A72" s="0" t="inlineStr">
        <is>
          <t>SIFT1M</t>
        </is>
      </c>
      <c r="B72" s="0" t="inlineStr">
        <is>
          <t>Q43</t>
        </is>
      </c>
      <c r="E72" s="0" t="inlineStr">
        <is>
          <t>不适用：精确算法无可调低召回档位。仅Z列为100%实测参考点，不能作为等召回95%比较。</t>
        </is>
      </c>
    </row>
    <row r="73">
      <c r="A73" s="0" t="inlineStr">
        <is>
          <t>SIFT1M</t>
        </is>
      </c>
      <c r="B73" s="0" t="inlineStr">
        <is>
          <t>Q44</t>
        </is>
      </c>
      <c r="E73" s="0" t="inlineStr">
        <is>
          <t>不适用：精确算法无可调低召回档位。仅Z列为100%实测参考点，不能作为等召回95%比较。</t>
        </is>
      </c>
    </row>
    <row r="74">
      <c r="A74" s="0" t="inlineStr">
        <is>
          <t>SIFT1M</t>
        </is>
      </c>
      <c r="B74" s="0" t="inlineStr">
        <is>
          <t>R43</t>
        </is>
      </c>
      <c r="E74" s="0" t="inlineStr">
        <is>
          <t>不适用：精确算法无可调低召回档位。仅Z列为100%实测参考点，不能作为等召回95%比较。</t>
        </is>
      </c>
    </row>
    <row r="75">
      <c r="A75" s="0" t="inlineStr">
        <is>
          <t>SIFT1M</t>
        </is>
      </c>
      <c r="B75" s="0" t="inlineStr">
        <is>
          <t>R44</t>
        </is>
      </c>
      <c r="E75" s="0" t="inlineStr">
        <is>
          <t>不适用：精确算法无可调低召回档位。仅Z列为100%实测参考点，不能作为等召回95%比较。</t>
        </is>
      </c>
    </row>
    <row r="76">
      <c r="A76" s="0" t="inlineStr">
        <is>
          <t>SIFT1M</t>
        </is>
      </c>
      <c r="B76" s="0" t="inlineStr">
        <is>
          <t>S43</t>
        </is>
      </c>
      <c r="E76" s="0" t="inlineStr">
        <is>
          <t>不适用：精确算法无可调低召回档位。仅Z列为100%实测参考点，不能作为等召回95%比较。</t>
        </is>
      </c>
    </row>
    <row r="77">
      <c r="A77" s="0" t="inlineStr">
        <is>
          <t>SIFT1M</t>
        </is>
      </c>
      <c r="B77" s="0" t="inlineStr">
        <is>
          <t>S44</t>
        </is>
      </c>
      <c r="E77" s="0" t="inlineStr">
        <is>
          <t>不适用：精确算法无可调低召回档位。仅Z列为100%实测参考点，不能作为等召回95%比较。</t>
        </is>
      </c>
    </row>
    <row r="78">
      <c r="A78" s="0" t="inlineStr">
        <is>
          <t>SIFT1M</t>
        </is>
      </c>
      <c r="B78" s="0" t="inlineStr">
        <is>
          <t>T43</t>
        </is>
      </c>
      <c r="E78" s="0" t="inlineStr">
        <is>
          <t>不适用：精确算法无可调低召回档位。仅Z列为100%实测参考点，不能作为等召回95%比较。</t>
        </is>
      </c>
    </row>
    <row r="79">
      <c r="A79" s="0" t="inlineStr">
        <is>
          <t>SIFT1M</t>
        </is>
      </c>
      <c r="B79" s="0" t="inlineStr">
        <is>
          <t>T44</t>
        </is>
      </c>
      <c r="E79" s="0" t="inlineStr">
        <is>
          <t>不适用：精确算法无可调低召回档位。仅Z列为100%实测参考点，不能作为等召回95%比较。</t>
        </is>
      </c>
    </row>
    <row r="80">
      <c r="A80" s="0" t="inlineStr">
        <is>
          <t>SIFT1M</t>
        </is>
      </c>
      <c r="B80" s="0" t="inlineStr">
        <is>
          <t>U43</t>
        </is>
      </c>
      <c r="E80" s="0" t="inlineStr">
        <is>
          <t>不适用：精确算法无可调低召回档位。仅Z列为100%实测参考点，不能作为等召回95%比较。</t>
        </is>
      </c>
    </row>
    <row r="81">
      <c r="A81" s="0" t="inlineStr">
        <is>
          <t>SIFT1M</t>
        </is>
      </c>
      <c r="B81" s="0" t="inlineStr">
        <is>
          <t>U44</t>
        </is>
      </c>
      <c r="E81" s="0" t="inlineStr">
        <is>
          <t>不适用：精确算法无可调低召回档位。仅Z列为100%实测参考点，不能作为等召回95%比较。</t>
        </is>
      </c>
    </row>
    <row r="82">
      <c r="A82" s="0" t="inlineStr">
        <is>
          <t>SIFT1M</t>
        </is>
      </c>
      <c r="B82" s="0" t="inlineStr">
        <is>
          <t>V43</t>
        </is>
      </c>
      <c r="E82" s="0" t="inlineStr">
        <is>
          <t>不适用：精确算法无可调低召回档位。仅Z列为100%实测参考点，不能作为等召回95%比较。</t>
        </is>
      </c>
    </row>
    <row r="83">
      <c r="A83" s="0" t="inlineStr">
        <is>
          <t>SIFT1M</t>
        </is>
      </c>
      <c r="B83" s="0" t="inlineStr">
        <is>
          <t>V44</t>
        </is>
      </c>
      <c r="E83" s="0" t="inlineStr">
        <is>
          <t>不适用：精确算法无可调低召回档位。仅Z列为100%实测参考点，不能作为等召回95%比较。</t>
        </is>
      </c>
    </row>
    <row r="84">
      <c r="A84" s="0" t="inlineStr">
        <is>
          <t>SIFT1M</t>
        </is>
      </c>
      <c r="B84" s="0" t="inlineStr">
        <is>
          <t>W43</t>
        </is>
      </c>
      <c r="E84" s="0" t="inlineStr">
        <is>
          <t>不适用：精确算法无可调低召回档位。仅Z列为100%实测参考点，不能作为等召回95%比较。</t>
        </is>
      </c>
    </row>
    <row r="85">
      <c r="A85" s="0" t="inlineStr">
        <is>
          <t>SIFT1M</t>
        </is>
      </c>
      <c r="B85" s="0" t="inlineStr">
        <is>
          <t>W44</t>
        </is>
      </c>
      <c r="E85" s="0" t="inlineStr">
        <is>
          <t>不适用：精确算法无可调低召回档位。仅Z列为100%实测参考点，不能作为等召回95%比较。</t>
        </is>
      </c>
    </row>
    <row r="86">
      <c r="A86" s="0" t="inlineStr">
        <is>
          <t>SIFT1M</t>
        </is>
      </c>
      <c r="B86" s="0" t="inlineStr">
        <is>
          <t>X43</t>
        </is>
      </c>
      <c r="E86" s="0" t="inlineStr">
        <is>
          <t>不适用：精确算法无可调低召回档位。仅Z列为100%实测参考点，不能作为等召回95%比较。</t>
        </is>
      </c>
    </row>
    <row r="87">
      <c r="A87" s="0" t="inlineStr">
        <is>
          <t>SIFT1M</t>
        </is>
      </c>
      <c r="B87" s="0" t="inlineStr">
        <is>
          <t>X44</t>
        </is>
      </c>
      <c r="E87" s="0" t="inlineStr">
        <is>
          <t>不适用：精确算法无可调低召回档位。仅Z列为100%实测参考点，不能作为等召回95%比较。</t>
        </is>
      </c>
    </row>
    <row r="88">
      <c r="A88" s="0" t="inlineStr">
        <is>
          <t>SIFT1M</t>
        </is>
      </c>
      <c r="B88" s="0" t="inlineStr">
        <is>
          <t>Y43</t>
        </is>
      </c>
      <c r="E88" s="0" t="inlineStr">
        <is>
          <t>不适用：精确算法无可调低召回档位。仅Z列为100%实测参考点，不能作为等召回95%比较。</t>
        </is>
      </c>
    </row>
    <row r="89">
      <c r="A89" s="0" t="inlineStr">
        <is>
          <t>SIFT1M</t>
        </is>
      </c>
      <c r="B89" s="0" t="inlineStr">
        <is>
          <t>Y44</t>
        </is>
      </c>
      <c r="E89" s="0" t="inlineStr">
        <is>
          <t>不适用：精确算法无可调低召回档位。仅Z列为100%实测参考点，不能作为等召回95%比较。</t>
        </is>
      </c>
    </row>
    <row r="90">
      <c r="A90" s="0" t="inlineStr">
        <is>
          <t>SIFT1M</t>
        </is>
      </c>
      <c r="B90" s="0" t="inlineStr">
        <is>
          <t>Z43</t>
        </is>
      </c>
      <c r="C90" s="0" t="n">
        <v>100</v>
      </c>
      <c r="D90" s="0" t="inlineStr">
        <is>
          <t>/mnt/d/paper_source/work_9/VeriANN_repro_2026-09-30/VeriANN_repro_2026-09-30/results/work9-chen13-20261021/sift1m-1000000-overall/measurement.json</t>
        </is>
      </c>
      <c r="E90" s="0" t="inlineStr">
        <is>
          <t>精确方法唯一召回点。</t>
        </is>
      </c>
    </row>
    <row r="91">
      <c r="A91" s="0" t="inlineStr">
        <is>
          <t>SIFT1M</t>
        </is>
      </c>
      <c r="B91" s="0" t="inlineStr">
        <is>
          <t>Z44</t>
        </is>
      </c>
      <c r="C91" s="0" t="n">
        <v>202.1477637</v>
      </c>
      <c r="D91" s="0" t="inlineStr">
        <is>
          <t>/mnt/d/paper_source/work_9/VeriANN_repro_2026-09-30/VeriANN_repro_2026-09-30/results/work9-chen13-20261021/sift1m-1000000-overall/measurement.json</t>
        </is>
      </c>
      <c r="E91" s="0" t="inlineStr">
        <is>
          <t>沿用默认 k=10 的同一组60次真实测量；非重复实验。</t>
        </is>
      </c>
    </row>
    <row r="92">
      <c r="A92" s="0" t="inlineStr">
        <is>
          <t>SIFT1M</t>
        </is>
      </c>
      <c r="B92" s="0" t="inlineStr">
        <is>
          <t>F57</t>
        </is>
      </c>
      <c r="E92" s="0" t="inlineStr">
        <is>
          <t>不适用：精确算法无可调低召回档位。仅Z列为100%实测参考点，不能作为等召回95%比较。</t>
        </is>
      </c>
    </row>
    <row r="93">
      <c r="A93" s="0" t="inlineStr">
        <is>
          <t>SIFT1M</t>
        </is>
      </c>
      <c r="B93" s="0" t="inlineStr">
        <is>
          <t>F58</t>
        </is>
      </c>
      <c r="E93" s="0" t="inlineStr">
        <is>
          <t>不适用：精确算法无可调低召回档位。仅Z列为100%实测参考点，不能作为等召回95%比较。</t>
        </is>
      </c>
    </row>
    <row r="94">
      <c r="A94" s="0" t="inlineStr">
        <is>
          <t>SIFT1M</t>
        </is>
      </c>
      <c r="B94" s="0" t="inlineStr">
        <is>
          <t>G57</t>
        </is>
      </c>
      <c r="E94" s="0" t="inlineStr">
        <is>
          <t>不适用：精确算法无可调低召回档位。仅Z列为100%实测参考点，不能作为等召回95%比较。</t>
        </is>
      </c>
    </row>
    <row r="95">
      <c r="A95" s="0" t="inlineStr">
        <is>
          <t>SIFT1M</t>
        </is>
      </c>
      <c r="B95" s="0" t="inlineStr">
        <is>
          <t>G58</t>
        </is>
      </c>
      <c r="E95" s="0" t="inlineStr">
        <is>
          <t>不适用：精确算法无可调低召回档位。仅Z列为100%实测参考点，不能作为等召回95%比较。</t>
        </is>
      </c>
    </row>
    <row r="96">
      <c r="A96" s="0" t="inlineStr">
        <is>
          <t>SIFT1M</t>
        </is>
      </c>
      <c r="B96" s="0" t="inlineStr">
        <is>
          <t>H57</t>
        </is>
      </c>
      <c r="E96" s="0" t="inlineStr">
        <is>
          <t>不适用：精确算法无可调低召回档位。仅Z列为100%实测参考点，不能作为等召回95%比较。</t>
        </is>
      </c>
    </row>
    <row r="97">
      <c r="A97" s="0" t="inlineStr">
        <is>
          <t>SIFT1M</t>
        </is>
      </c>
      <c r="B97" s="0" t="inlineStr">
        <is>
          <t>H58</t>
        </is>
      </c>
      <c r="E97" s="0" t="inlineStr">
        <is>
          <t>不适用：精确算法无可调低召回档位。仅Z列为100%实测参考点，不能作为等召回95%比较。</t>
        </is>
      </c>
    </row>
    <row r="98">
      <c r="A98" s="0" t="inlineStr">
        <is>
          <t>SIFT1M</t>
        </is>
      </c>
      <c r="B98" s="0" t="inlineStr">
        <is>
          <t>I57</t>
        </is>
      </c>
      <c r="E98" s="0" t="inlineStr">
        <is>
          <t>不适用：精确算法无可调低召回档位。仅Z列为100%实测参考点，不能作为等召回95%比较。</t>
        </is>
      </c>
    </row>
    <row r="99">
      <c r="A99" s="0" t="inlineStr">
        <is>
          <t>SIFT1M</t>
        </is>
      </c>
      <c r="B99" s="0" t="inlineStr">
        <is>
          <t>I58</t>
        </is>
      </c>
      <c r="E99" s="0" t="inlineStr">
        <is>
          <t>不适用：精确算法无可调低召回档位。仅Z列为100%实测参考点，不能作为等召回95%比较。</t>
        </is>
      </c>
    </row>
    <row r="100">
      <c r="A100" s="0" t="inlineStr">
        <is>
          <t>SIFT1M</t>
        </is>
      </c>
      <c r="B100" s="0" t="inlineStr">
        <is>
          <t>J57</t>
        </is>
      </c>
      <c r="E100" s="0" t="inlineStr">
        <is>
          <t>不适用：精确算法无可调低召回档位。仅Z列为100%实测参考点，不能作为等召回95%比较。</t>
        </is>
      </c>
    </row>
    <row r="101">
      <c r="A101" s="0" t="inlineStr">
        <is>
          <t>SIFT1M</t>
        </is>
      </c>
      <c r="B101" s="0" t="inlineStr">
        <is>
          <t>J58</t>
        </is>
      </c>
      <c r="E101" s="0" t="inlineStr">
        <is>
          <t>不适用：精确算法无可调低召回档位。仅Z列为100%实测参考点，不能作为等召回95%比较。</t>
        </is>
      </c>
    </row>
    <row r="102">
      <c r="A102" s="0" t="inlineStr">
        <is>
          <t>SIFT1M</t>
        </is>
      </c>
      <c r="B102" s="0" t="inlineStr">
        <is>
          <t>K57</t>
        </is>
      </c>
      <c r="E102" s="0" t="inlineStr">
        <is>
          <t>不适用：精确算法无可调低召回档位。仅Z列为100%实测参考点，不能作为等召回95%比较。</t>
        </is>
      </c>
    </row>
    <row r="103">
      <c r="A103" s="0" t="inlineStr">
        <is>
          <t>SIFT1M</t>
        </is>
      </c>
      <c r="B103" s="0" t="inlineStr">
        <is>
          <t>K58</t>
        </is>
      </c>
      <c r="E103" s="0" t="inlineStr">
        <is>
          <t>不适用：精确算法无可调低召回档位。仅Z列为100%实测参考点，不能作为等召回95%比较。</t>
        </is>
      </c>
    </row>
    <row r="104">
      <c r="A104" s="0" t="inlineStr">
        <is>
          <t>SIFT1M</t>
        </is>
      </c>
      <c r="B104" s="0" t="inlineStr">
        <is>
          <t>L57</t>
        </is>
      </c>
      <c r="E104" s="0" t="inlineStr">
        <is>
          <t>不适用：精确算法无可调低召回档位。仅Z列为100%实测参考点，不能作为等召回95%比较。</t>
        </is>
      </c>
    </row>
    <row r="105">
      <c r="A105" s="0" t="inlineStr">
        <is>
          <t>SIFT1M</t>
        </is>
      </c>
      <c r="B105" s="0" t="inlineStr">
        <is>
          <t>L58</t>
        </is>
      </c>
      <c r="E105" s="0" t="inlineStr">
        <is>
          <t>不适用：精确算法无可调低召回档位。仅Z列为100%实测参考点，不能作为等召回95%比较。</t>
        </is>
      </c>
    </row>
    <row r="106">
      <c r="A106" s="0" t="inlineStr">
        <is>
          <t>SIFT1M</t>
        </is>
      </c>
      <c r="B106" s="0" t="inlineStr">
        <is>
          <t>M57</t>
        </is>
      </c>
      <c r="E106" s="0" t="inlineStr">
        <is>
          <t>不适用：精确算法无可调低召回档位。仅Z列为100%实测参考点，不能作为等召回95%比较。</t>
        </is>
      </c>
    </row>
    <row r="107">
      <c r="A107" s="0" t="inlineStr">
        <is>
          <t>SIFT1M</t>
        </is>
      </c>
      <c r="B107" s="0" t="inlineStr">
        <is>
          <t>M58</t>
        </is>
      </c>
      <c r="E107" s="0" t="inlineStr">
        <is>
          <t>不适用：精确算法无可调低召回档位。仅Z列为100%实测参考点，不能作为等召回95%比较。</t>
        </is>
      </c>
    </row>
    <row r="108">
      <c r="A108" s="0" t="inlineStr">
        <is>
          <t>SIFT1M</t>
        </is>
      </c>
      <c r="B108" s="0" t="inlineStr">
        <is>
          <t>N57</t>
        </is>
      </c>
      <c r="E108" s="0" t="inlineStr">
        <is>
          <t>不适用：精确算法无可调低召回档位。仅Z列为100%实测参考点，不能作为等召回95%比较。</t>
        </is>
      </c>
    </row>
    <row r="109">
      <c r="A109" s="0" t="inlineStr">
        <is>
          <t>SIFT1M</t>
        </is>
      </c>
      <c r="B109" s="0" t="inlineStr">
        <is>
          <t>N58</t>
        </is>
      </c>
      <c r="E109" s="0" t="inlineStr">
        <is>
          <t>不适用：精确算法无可调低召回档位。仅Z列为100%实测参考点，不能作为等召回95%比较。</t>
        </is>
      </c>
    </row>
    <row r="110">
      <c r="A110" s="0" t="inlineStr">
        <is>
          <t>SIFT1M</t>
        </is>
      </c>
      <c r="B110" s="0" t="inlineStr">
        <is>
          <t>O57</t>
        </is>
      </c>
      <c r="E110" s="0" t="inlineStr">
        <is>
          <t>不适用：精确算法无可调低召回档位。仅Z列为100%实测参考点，不能作为等召回95%比较。</t>
        </is>
      </c>
    </row>
    <row r="111">
      <c r="A111" s="0" t="inlineStr">
        <is>
          <t>SIFT1M</t>
        </is>
      </c>
      <c r="B111" s="0" t="inlineStr">
        <is>
          <t>O58</t>
        </is>
      </c>
      <c r="E111" s="0" t="inlineStr">
        <is>
          <t>不适用：精确算法无可调低召回档位。仅Z列为100%实测参考点，不能作为等召回95%比较。</t>
        </is>
      </c>
    </row>
    <row r="112">
      <c r="A112" s="0" t="inlineStr">
        <is>
          <t>SIFT1M</t>
        </is>
      </c>
      <c r="B112" s="0" t="inlineStr">
        <is>
          <t>P57</t>
        </is>
      </c>
      <c r="E112" s="0" t="inlineStr">
        <is>
          <t>不适用：精确算法无可调低召回档位。仅Z列为100%实测参考点，不能作为等召回95%比较。</t>
        </is>
      </c>
    </row>
    <row r="113">
      <c r="A113" s="0" t="inlineStr">
        <is>
          <t>SIFT1M</t>
        </is>
      </c>
      <c r="B113" s="0" t="inlineStr">
        <is>
          <t>P58</t>
        </is>
      </c>
      <c r="E113" s="0" t="inlineStr">
        <is>
          <t>不适用：精确算法无可调低召回档位。仅Z列为100%实测参考点，不能作为等召回95%比较。</t>
        </is>
      </c>
    </row>
    <row r="114">
      <c r="A114" s="0" t="inlineStr">
        <is>
          <t>SIFT1M</t>
        </is>
      </c>
      <c r="B114" s="0" t="inlineStr">
        <is>
          <t>Q57</t>
        </is>
      </c>
      <c r="E114" s="0" t="inlineStr">
        <is>
          <t>不适用：精确算法无可调低召回档位。仅Z列为100%实测参考点，不能作为等召回95%比较。</t>
        </is>
      </c>
    </row>
    <row r="115">
      <c r="A115" s="0" t="inlineStr">
        <is>
          <t>SIFT1M</t>
        </is>
      </c>
      <c r="B115" s="0" t="inlineStr">
        <is>
          <t>Q58</t>
        </is>
      </c>
      <c r="E115" s="0" t="inlineStr">
        <is>
          <t>不适用：精确算法无可调低召回档位。仅Z列为100%实测参考点，不能作为等召回95%比较。</t>
        </is>
      </c>
    </row>
    <row r="116">
      <c r="A116" s="0" t="inlineStr">
        <is>
          <t>SIFT1M</t>
        </is>
      </c>
      <c r="B116" s="0" t="inlineStr">
        <is>
          <t>R57</t>
        </is>
      </c>
      <c r="E116" s="0" t="inlineStr">
        <is>
          <t>不适用：精确算法无可调低召回档位。仅Z列为100%实测参考点，不能作为等召回95%比较。</t>
        </is>
      </c>
    </row>
    <row r="117">
      <c r="A117" s="0" t="inlineStr">
        <is>
          <t>SIFT1M</t>
        </is>
      </c>
      <c r="B117" s="0" t="inlineStr">
        <is>
          <t>R58</t>
        </is>
      </c>
      <c r="E117" s="0" t="inlineStr">
        <is>
          <t>不适用：精确算法无可调低召回档位。仅Z列为100%实测参考点，不能作为等召回95%比较。</t>
        </is>
      </c>
    </row>
    <row r="118">
      <c r="A118" s="0" t="inlineStr">
        <is>
          <t>SIFT1M</t>
        </is>
      </c>
      <c r="B118" s="0" t="inlineStr">
        <is>
          <t>S57</t>
        </is>
      </c>
      <c r="E118" s="0" t="inlineStr">
        <is>
          <t>不适用：精确算法无可调低召回档位。仅Z列为100%实测参考点，不能作为等召回95%比较。</t>
        </is>
      </c>
    </row>
    <row r="119">
      <c r="A119" s="0" t="inlineStr">
        <is>
          <t>SIFT1M</t>
        </is>
      </c>
      <c r="B119" s="0" t="inlineStr">
        <is>
          <t>S58</t>
        </is>
      </c>
      <c r="E119" s="0" t="inlineStr">
        <is>
          <t>不适用：精确算法无可调低召回档位。仅Z列为100%实测参考点，不能作为等召回95%比较。</t>
        </is>
      </c>
    </row>
    <row r="120">
      <c r="A120" s="0" t="inlineStr">
        <is>
          <t>SIFT1M</t>
        </is>
      </c>
      <c r="B120" s="0" t="inlineStr">
        <is>
          <t>T57</t>
        </is>
      </c>
      <c r="E120" s="0" t="inlineStr">
        <is>
          <t>不适用：精确算法无可调低召回档位。仅Z列为100%实测参考点，不能作为等召回95%比较。</t>
        </is>
      </c>
    </row>
    <row r="121">
      <c r="A121" s="0" t="inlineStr">
        <is>
          <t>SIFT1M</t>
        </is>
      </c>
      <c r="B121" s="0" t="inlineStr">
        <is>
          <t>T58</t>
        </is>
      </c>
      <c r="E121" s="0" t="inlineStr">
        <is>
          <t>不适用：精确算法无可调低召回档位。仅Z列为100%实测参考点，不能作为等召回95%比较。</t>
        </is>
      </c>
    </row>
    <row r="122">
      <c r="A122" s="0" t="inlineStr">
        <is>
          <t>SIFT1M</t>
        </is>
      </c>
      <c r="B122" s="0" t="inlineStr">
        <is>
          <t>U57</t>
        </is>
      </c>
      <c r="E122" s="0" t="inlineStr">
        <is>
          <t>不适用：精确算法无可调低召回档位。仅Z列为100%实测参考点，不能作为等召回95%比较。</t>
        </is>
      </c>
    </row>
    <row r="123">
      <c r="A123" s="0" t="inlineStr">
        <is>
          <t>SIFT1M</t>
        </is>
      </c>
      <c r="B123" s="0" t="inlineStr">
        <is>
          <t>U58</t>
        </is>
      </c>
      <c r="E123" s="0" t="inlineStr">
        <is>
          <t>不适用：精确算法无可调低召回档位。仅Z列为100%实测参考点，不能作为等召回95%比较。</t>
        </is>
      </c>
    </row>
    <row r="124">
      <c r="A124" s="0" t="inlineStr">
        <is>
          <t>SIFT1M</t>
        </is>
      </c>
      <c r="B124" s="0" t="inlineStr">
        <is>
          <t>V57</t>
        </is>
      </c>
      <c r="E124" s="0" t="inlineStr">
        <is>
          <t>不适用：精确算法无可调低召回档位。仅Z列为100%实测参考点，不能作为等召回95%比较。</t>
        </is>
      </c>
    </row>
    <row r="125">
      <c r="A125" s="0" t="inlineStr">
        <is>
          <t>SIFT1M</t>
        </is>
      </c>
      <c r="B125" s="0" t="inlineStr">
        <is>
          <t>V58</t>
        </is>
      </c>
      <c r="E125" s="0" t="inlineStr">
        <is>
          <t>不适用：精确算法无可调低召回档位。仅Z列为100%实测参考点，不能作为等召回95%比较。</t>
        </is>
      </c>
    </row>
    <row r="126">
      <c r="A126" s="0" t="inlineStr">
        <is>
          <t>SIFT1M</t>
        </is>
      </c>
      <c r="B126" s="0" t="inlineStr">
        <is>
          <t>W57</t>
        </is>
      </c>
      <c r="E126" s="0" t="inlineStr">
        <is>
          <t>不适用：精确算法无可调低召回档位。仅Z列为100%实测参考点，不能作为等召回95%比较。</t>
        </is>
      </c>
    </row>
    <row r="127">
      <c r="A127" s="0" t="inlineStr">
        <is>
          <t>SIFT1M</t>
        </is>
      </c>
      <c r="B127" s="0" t="inlineStr">
        <is>
          <t>W58</t>
        </is>
      </c>
      <c r="E127" s="0" t="inlineStr">
        <is>
          <t>不适用：精确算法无可调低召回档位。仅Z列为100%实测参考点，不能作为等召回95%比较。</t>
        </is>
      </c>
    </row>
    <row r="128">
      <c r="A128" s="0" t="inlineStr">
        <is>
          <t>SIFT1M</t>
        </is>
      </c>
      <c r="B128" s="0" t="inlineStr">
        <is>
          <t>X57</t>
        </is>
      </c>
      <c r="E128" s="0" t="inlineStr">
        <is>
          <t>不适用：精确算法无可调低召回档位。仅Z列为100%实测参考点，不能作为等召回95%比较。</t>
        </is>
      </c>
    </row>
    <row r="129">
      <c r="A129" s="0" t="inlineStr">
        <is>
          <t>SIFT1M</t>
        </is>
      </c>
      <c r="B129" s="0" t="inlineStr">
        <is>
          <t>X58</t>
        </is>
      </c>
      <c r="E129" s="0" t="inlineStr">
        <is>
          <t>不适用：精确算法无可调低召回档位。仅Z列为100%实测参考点，不能作为等召回95%比较。</t>
        </is>
      </c>
    </row>
    <row r="130">
      <c r="A130" s="0" t="inlineStr">
        <is>
          <t>SIFT1M</t>
        </is>
      </c>
      <c r="B130" s="0" t="inlineStr">
        <is>
          <t>Y57</t>
        </is>
      </c>
      <c r="E130" s="0" t="inlineStr">
        <is>
          <t>不适用：精确算法无可调低召回档位。仅Z列为100%实测参考点，不能作为等召回95%比较。</t>
        </is>
      </c>
    </row>
    <row r="131">
      <c r="A131" s="0" t="inlineStr">
        <is>
          <t>SIFT1M</t>
        </is>
      </c>
      <c r="B131" s="0" t="inlineStr">
        <is>
          <t>Y58</t>
        </is>
      </c>
      <c r="E131" s="0" t="inlineStr">
        <is>
          <t>不适用：精确算法无可调低召回档位。仅Z列为100%实测参考点，不能作为等召回95%比较。</t>
        </is>
      </c>
    </row>
    <row r="132">
      <c r="A132" s="0" t="inlineStr">
        <is>
          <t>SIFT1M</t>
        </is>
      </c>
      <c r="B132" s="0" t="inlineStr">
        <is>
          <t>Z57</t>
        </is>
      </c>
      <c r="C132" s="0" t="n">
        <v>100</v>
      </c>
      <c r="D132" s="0" t="inlineStr">
        <is>
          <t>/mnt/d/paper_source/work_9/VeriANN_repro_2026-09-30/VeriANN_repro_2026-09-30/results/work9-chen13-20261021/sift1m-1000000-overall/measurement.json</t>
        </is>
      </c>
      <c r="E132" s="0" t="inlineStr">
        <is>
          <t>精确方法唯一召回点。</t>
        </is>
      </c>
    </row>
    <row r="133">
      <c r="A133" s="0" t="inlineStr">
        <is>
          <t>SIFT1M</t>
        </is>
      </c>
      <c r="B133" s="0" t="inlineStr">
        <is>
          <t>Z58</t>
        </is>
      </c>
      <c r="C133" s="0" t="n">
        <v>278.25155455</v>
      </c>
      <c r="D133" s="0" t="inlineStr">
        <is>
          <t>/mnt/d/paper_source/work_9/VeriANN_repro_2026-09-30/VeriANN_repro_2026-09-30/results/work9-chen13-20261021/sift1m-1000000-overall/measurement.json</t>
        </is>
      </c>
      <c r="E133" s="0" t="inlineStr">
        <is>
          <t>沿用默认 k=10 的同一组60次真实测量；非重复实验。</t>
        </is>
      </c>
    </row>
    <row r="134">
      <c r="A134" s="0" t="inlineStr">
        <is>
          <t>SIFT1M</t>
        </is>
      </c>
      <c r="B134" s="0" t="inlineStr">
        <is>
          <t>F72</t>
        </is>
      </c>
      <c r="C134" s="0" t="n">
        <v>46178.4553</v>
      </c>
      <c r="D134" s="0" t="inlineStr">
        <is>
          <t>/mnt/d/paper_source/work_9/VeriANN_repro_2026-09-30/VeriANN_repro_2026-09-30/results/work9-chen13-20261021/bigann10m-100000-size/measurement.json</t>
        </is>
      </c>
      <c r="E134" s="0" t="inlineStr">
        <is>
          <t>20条×3次、单线程、每个N重新精确GT；SIFT使用BIGANN前缀。</t>
        </is>
      </c>
    </row>
    <row r="135">
      <c r="A135" s="0" t="inlineStr">
        <is>
          <t>SIFT1M</t>
        </is>
      </c>
      <c r="B135" s="0" t="inlineStr">
        <is>
          <t>G72</t>
        </is>
      </c>
      <c r="C135" s="0" t="n">
        <v>221250.0015</v>
      </c>
      <c r="D135" s="0" t="inlineStr">
        <is>
          <t>/mnt/d/paper_source/work_9/VeriANN_repro_2026-09-30/VeriANN_repro_2026-09-30/results/work9-chen13-20261021/bigann10m-500000-size/measurement.json</t>
        </is>
      </c>
      <c r="E135" s="0" t="inlineStr">
        <is>
          <t>20条×3次、单线程、每个N重新精确GT；SIFT使用BIGANN前缀。</t>
        </is>
      </c>
    </row>
    <row r="136">
      <c r="A136" s="0" t="inlineStr">
        <is>
          <t>SIFT1M</t>
        </is>
      </c>
      <c r="B136" s="0" t="inlineStr">
        <is>
          <t>H72</t>
        </is>
      </c>
      <c r="C136" s="0" t="n">
        <v>430432.6258</v>
      </c>
      <c r="D136" s="0" t="inlineStr">
        <is>
          <t>/mnt/d/paper_source/work_9/VeriANN_repro_2026-09-30/VeriANN_repro_2026-09-30/results/work9-chen13-20261021/bigann10m-1000000-size/measurement.json</t>
        </is>
      </c>
      <c r="E136" s="0" t="inlineStr">
        <is>
          <t>20条×3次、单线程、每个N重新精确GT；SIFT使用BIGANN前缀。</t>
        </is>
      </c>
    </row>
    <row r="137">
      <c r="A137" s="0" t="inlineStr">
        <is>
          <t>SIFT1M</t>
        </is>
      </c>
      <c r="B137" s="0" t="inlineStr">
        <is>
          <t>I72</t>
        </is>
      </c>
      <c r="C137" s="0" t="n">
        <v>1781569.5488</v>
      </c>
      <c r="D137" s="0" t="inlineStr">
        <is>
          <t>/mnt/d/paper_source/work_9/VeriANN_repro_2026-09-30/VeriANN_repro_2026-09-30/results/work9-chen13-20261021/bigann10m-5000000-size/measurement.json</t>
        </is>
      </c>
      <c r="E137" s="0" t="inlineStr">
        <is>
          <t>20条×3次、单线程、每个N重新精确GT；SIFT使用BIGANN前缀。</t>
        </is>
      </c>
    </row>
    <row r="138">
      <c r="A138" s="0" t="inlineStr">
        <is>
          <t>SIFT1M</t>
        </is>
      </c>
      <c r="B138" s="0" t="inlineStr">
        <is>
          <t>J72</t>
        </is>
      </c>
      <c r="C138" s="0" t="n">
        <v>3540889.0141</v>
      </c>
      <c r="D138" s="0" t="inlineStr">
        <is>
          <t>/mnt/d/paper_source/work_9/VeriANN_repro_2026-09-30/VeriANN_repro_2026-09-30/results/work9-chen13-20261021/bigann10m-10000000-size/measurement.json</t>
        </is>
      </c>
      <c r="E138" s="0" t="inlineStr">
        <is>
          <t>20条×3次、单线程、每个N重新精确GT；SIFT使用BIGANN前缀。</t>
        </is>
      </c>
    </row>
    <row r="139">
      <c r="A139" s="0" t="inlineStr">
        <is>
          <t>SIFT1M</t>
        </is>
      </c>
      <c r="B139" s="0" t="inlineStr">
        <is>
          <t>F84</t>
        </is>
      </c>
      <c r="C139" s="0" t="n">
        <v>39.2904184833333</v>
      </c>
      <c r="D139" s="0" t="inlineStr">
        <is>
          <t>/mnt/d/paper_source/work_9/VeriANN_repro_2026-09-30/VeriANN_repro_2026-09-30/results/work9-chen13-20261021/bigann10m-100000-size/measurement.json</t>
        </is>
      </c>
      <c r="E139" s="0" t="inlineStr">
        <is>
          <t>20条×3次、单线程、每个N重新精确GT；SIFT使用BIGANN前缀。</t>
        </is>
      </c>
    </row>
    <row r="140">
      <c r="A140" s="0" t="inlineStr">
        <is>
          <t>SIFT1M</t>
        </is>
      </c>
      <c r="B140" s="0" t="inlineStr">
        <is>
          <t>G84</t>
        </is>
      </c>
      <c r="C140" s="0" t="n">
        <v>193.01397485</v>
      </c>
      <c r="D140" s="0" t="inlineStr">
        <is>
          <t>/mnt/d/paper_source/work_9/VeriANN_repro_2026-09-30/VeriANN_repro_2026-09-30/results/work9-chen13-20261021/bigann10m-500000-size/measurement.json</t>
        </is>
      </c>
      <c r="E140" s="0" t="inlineStr">
        <is>
          <t>20条×3次、单线程、每个N重新精确GT；SIFT使用BIGANN前缀。</t>
        </is>
      </c>
    </row>
    <row r="141">
      <c r="A141" s="0" t="inlineStr">
        <is>
          <t>SIFT1M</t>
        </is>
      </c>
      <c r="B141" s="0" t="inlineStr">
        <is>
          <t>H84</t>
        </is>
      </c>
      <c r="C141" s="0" t="n">
        <v>373.327522583333</v>
      </c>
      <c r="D141" s="0" t="inlineStr">
        <is>
          <t>/mnt/d/paper_source/work_9/VeriANN_repro_2026-09-30/VeriANN_repro_2026-09-30/results/work9-chen13-20261021/bigann10m-1000000-size/measurement.json</t>
        </is>
      </c>
      <c r="E141" s="0" t="inlineStr">
        <is>
          <t>20条×3次、单线程、每个N重新精确GT；SIFT使用BIGANN前缀。</t>
        </is>
      </c>
    </row>
    <row r="142">
      <c r="A142" s="0" t="inlineStr">
        <is>
          <t>SIFT1M</t>
        </is>
      </c>
      <c r="B142" s="0" t="inlineStr">
        <is>
          <t>I84</t>
        </is>
      </c>
      <c r="C142" s="0" t="n">
        <v>1844.40709105</v>
      </c>
      <c r="D142" s="0" t="inlineStr">
        <is>
          <t>/mnt/d/paper_source/work_9/VeriANN_repro_2026-09-30/VeriANN_repro_2026-09-30/results/work9-chen13-20261021/bigann10m-5000000-size/measurement.json</t>
        </is>
      </c>
      <c r="E142" s="0" t="inlineStr">
        <is>
          <t>20条×3次、单线程、每个N重新精确GT；SIFT使用BIGANN前缀。</t>
        </is>
      </c>
    </row>
    <row r="143">
      <c r="A143" s="0" t="inlineStr">
        <is>
          <t>SIFT1M</t>
        </is>
      </c>
      <c r="B143" s="0" t="inlineStr">
        <is>
          <t>J84</t>
        </is>
      </c>
      <c r="C143" s="0" t="n">
        <v>3621.54099505</v>
      </c>
      <c r="D143" s="0" t="inlineStr">
        <is>
          <t>/mnt/d/paper_source/work_9/VeriANN_repro_2026-09-30/VeriANN_repro_2026-09-30/results/work9-chen13-20261021/bigann10m-10000000-size/measurement.json</t>
        </is>
      </c>
      <c r="E143" s="0" t="inlineStr">
        <is>
          <t>20条×3次、单线程、每个N重新精确GT；SIFT使用BIGANN前缀。</t>
        </is>
      </c>
    </row>
    <row r="144">
      <c r="A144" s="0" t="inlineStr">
        <is>
          <t>SIFT1M</t>
        </is>
      </c>
      <c r="B144" s="0" t="inlineStr">
        <is>
          <t>F95</t>
        </is>
      </c>
      <c r="C144" s="0" t="n">
        <v>42.2586082833333</v>
      </c>
      <c r="D144" s="0" t="inlineStr">
        <is>
          <t>/mnt/d/paper_source/work_9/VeriANN_repro_2026-09-30/VeriANN_repro_2026-09-30/results/work9-chen13-20261021/bigann10m-100000-size/measurement.json</t>
        </is>
      </c>
      <c r="E144" s="0" t="inlineStr">
        <is>
          <t>20条×3次、单线程、每个N重新精确GT；SIFT使用BIGANN前缀。</t>
        </is>
      </c>
    </row>
    <row r="145">
      <c r="A145" s="0" t="inlineStr">
        <is>
          <t>SIFT1M</t>
        </is>
      </c>
      <c r="B145" s="0" t="inlineStr">
        <is>
          <t>G95</t>
        </is>
      </c>
      <c r="C145" s="0" t="n">
        <v>248.674287616667</v>
      </c>
      <c r="D145" s="0" t="inlineStr">
        <is>
          <t>/mnt/d/paper_source/work_9/VeriANN_repro_2026-09-30/VeriANN_repro_2026-09-30/results/work9-chen13-20261021/bigann10m-500000-size/measurement.json</t>
        </is>
      </c>
      <c r="E145" s="0" t="inlineStr">
        <is>
          <t>20条×3次、单线程、每个N重新精确GT；SIFT使用BIGANN前缀。</t>
        </is>
      </c>
    </row>
    <row r="146">
      <c r="A146" s="0" t="inlineStr">
        <is>
          <t>SIFT1M</t>
        </is>
      </c>
      <c r="B146" s="0" t="inlineStr">
        <is>
          <t>H95</t>
        </is>
      </c>
      <c r="C146" s="0" t="n">
        <v>543.135667783333</v>
      </c>
      <c r="D146" s="0" t="inlineStr">
        <is>
          <t>/mnt/d/paper_source/work_9/VeriANN_repro_2026-09-30/VeriANN_repro_2026-09-30/results/work9-chen13-20261021/bigann10m-1000000-size/measurement.json</t>
        </is>
      </c>
      <c r="E146" s="0" t="inlineStr">
        <is>
          <t>20条×3次、单线程、每个N重新精确GT；SIFT使用BIGANN前缀。</t>
        </is>
      </c>
    </row>
    <row r="147">
      <c r="A147" s="0" t="inlineStr">
        <is>
          <t>SIFT1M</t>
        </is>
      </c>
      <c r="B147" s="0" t="inlineStr">
        <is>
          <t>I95</t>
        </is>
      </c>
      <c r="C147" s="0" t="n">
        <v>3453.18142985</v>
      </c>
      <c r="D147" s="0" t="inlineStr">
        <is>
          <t>/mnt/d/paper_source/work_9/VeriANN_repro_2026-09-30/VeriANN_repro_2026-09-30/results/work9-chen13-20261021/bigann10m-5000000-size/measurement.json</t>
        </is>
      </c>
      <c r="E147" s="0" t="inlineStr">
        <is>
          <t>20条×3次、单线程、每个N重新精确GT；SIFT使用BIGANN前缀。</t>
        </is>
      </c>
    </row>
    <row r="148">
      <c r="A148" s="0" t="inlineStr">
        <is>
          <t>SIFT1M</t>
        </is>
      </c>
      <c r="B148" s="0" t="inlineStr">
        <is>
          <t>J95</t>
        </is>
      </c>
      <c r="C148" s="0" t="n">
        <v>6877.85179683333</v>
      </c>
      <c r="D148" s="0" t="inlineStr">
        <is>
          <t>/mnt/d/paper_source/work_9/VeriANN_repro_2026-09-30/VeriANN_repro_2026-09-30/results/work9-chen13-20261021/bigann10m-10000000-size/measurement.json</t>
        </is>
      </c>
      <c r="E148" s="0" t="inlineStr">
        <is>
          <t>20条×3次、单线程、每个N重新精确GT；SIFT使用BIGANN前缀。</t>
        </is>
      </c>
    </row>
    <row r="149">
      <c r="A149" s="0" t="inlineStr">
        <is>
          <t>SIFT1M</t>
        </is>
      </c>
      <c r="B149" s="0" t="inlineStr">
        <is>
          <t>F108</t>
        </is>
      </c>
      <c r="C149" s="0" t="n">
        <v>184730.9122</v>
      </c>
      <c r="D149" s="0" t="inlineStr">
        <is>
          <t>/mnt/d/paper_source/work_9/VeriANN_repro_2026-09-30/VeriANN_repro_2026-09-30/results/work9-chen13-20261021/sift1m-1000000-overall/measurement.json</t>
        </is>
      </c>
      <c r="E149" s="0" t="inlineStr">
        <is>
          <t>每个k独立20条×3次实测；精确Recall@k=100%。</t>
        </is>
      </c>
    </row>
    <row r="150">
      <c r="A150" s="0" t="inlineStr">
        <is>
          <t>SIFT1M</t>
        </is>
      </c>
      <c r="B150" s="0" t="inlineStr">
        <is>
          <t>G108</t>
        </is>
      </c>
      <c r="C150" s="0" t="n">
        <v>220632.699</v>
      </c>
      <c r="D150" s="0" t="inlineStr">
        <is>
          <t>/mnt/d/paper_source/work_9/VeriANN_repro_2026-09-30/VeriANN_repro_2026-09-30/results/work9-chen13-20261021/sift1m-1000000-overall/measurement.json</t>
        </is>
      </c>
      <c r="E150" s="0" t="inlineStr">
        <is>
          <t>每个k独立20条×3次实测；精确Recall@k=100%。</t>
        </is>
      </c>
    </row>
    <row r="151">
      <c r="A151" s="0" t="inlineStr">
        <is>
          <t>SIFT1M</t>
        </is>
      </c>
      <c r="B151" s="0" t="inlineStr">
        <is>
          <t>H108</t>
        </is>
      </c>
      <c r="C151" s="0" t="n">
        <v>235214.3172</v>
      </c>
      <c r="D151" s="0" t="inlineStr">
        <is>
          <t>/mnt/d/paper_source/work_9/VeriANN_repro_2026-09-30/VeriANN_repro_2026-09-30/results/work9-chen13-20261021/sift1m-1000000-overall/measurement.json</t>
        </is>
      </c>
      <c r="E151" s="0" t="inlineStr">
        <is>
          <t>每个k独立20条×3次实测；精确Recall@k=100%。</t>
        </is>
      </c>
    </row>
    <row r="152">
      <c r="A152" s="0" t="inlineStr">
        <is>
          <t>SIFT1M</t>
        </is>
      </c>
      <c r="B152" s="0" t="inlineStr">
        <is>
          <t>I108</t>
        </is>
      </c>
      <c r="C152" s="0" t="n">
        <v>248120.588</v>
      </c>
      <c r="D152" s="0" t="inlineStr">
        <is>
          <t>/mnt/d/paper_source/work_9/VeriANN_repro_2026-09-30/VeriANN_repro_2026-09-30/results/work9-chen13-20261021/sift1m-1000000-overall/measurement.json</t>
        </is>
      </c>
      <c r="E152" s="0" t="inlineStr">
        <is>
          <t>每个k独立20条×3次实测；精确Recall@k=100%。</t>
        </is>
      </c>
    </row>
    <row r="153">
      <c r="A153" s="0" t="inlineStr">
        <is>
          <t>SIFT1M</t>
        </is>
      </c>
      <c r="B153" s="0" t="inlineStr">
        <is>
          <t>J108</t>
        </is>
      </c>
      <c r="C153" s="0" t="n">
        <v>268165.0974</v>
      </c>
      <c r="D153" s="0" t="inlineStr">
        <is>
          <t>/mnt/d/paper_source/work_9/VeriANN_repro_2026-09-30/VeriANN_repro_2026-09-30/results/work9-chen13-20261021/sift1m-1000000-overall/measurement.json</t>
        </is>
      </c>
      <c r="E153" s="0" t="inlineStr">
        <is>
          <t>每个k独立20条×3次实测；精确Recall@k=100%。</t>
        </is>
      </c>
    </row>
    <row r="154">
      <c r="A154" s="0" t="inlineStr">
        <is>
          <t>SIFT1M</t>
        </is>
      </c>
      <c r="B154" s="0" t="inlineStr">
        <is>
          <t>K108</t>
        </is>
      </c>
      <c r="C154" s="0" t="n">
        <v>284625.379</v>
      </c>
      <c r="D154" s="0" t="inlineStr">
        <is>
          <t>/mnt/d/paper_source/work_9/VeriANN_repro_2026-09-30/VeriANN_repro_2026-09-30/results/work9-chen13-20261021/sift1m-1000000-overall/measurement.json</t>
        </is>
      </c>
      <c r="E154" s="0" t="inlineStr">
        <is>
          <t>每个k独立20条×3次实测；精确Recall@k=100%。</t>
        </is>
      </c>
    </row>
    <row r="155">
      <c r="A155" s="0" t="inlineStr">
        <is>
          <t>SIFT1M</t>
        </is>
      </c>
      <c r="B155" s="0" t="inlineStr">
        <is>
          <t>F120</t>
        </is>
      </c>
      <c r="C155" s="0" t="n">
        <v>160.63404775</v>
      </c>
      <c r="D155" s="0" t="inlineStr">
        <is>
          <t>/mnt/d/paper_source/work_9/VeriANN_repro_2026-09-30/VeriANN_repro_2026-09-30/results/work9-chen13-20261021/sift1m-1000000-overall/measurement.json</t>
        </is>
      </c>
      <c r="E155" s="0" t="inlineStr">
        <is>
          <t>每个k独立20条×3次实测；精确Recall@k=100%。</t>
        </is>
      </c>
    </row>
    <row r="156">
      <c r="A156" s="0" t="inlineStr">
        <is>
          <t>SIFT1M</t>
        </is>
      </c>
      <c r="B156" s="0" t="inlineStr">
        <is>
          <t>G120</t>
        </is>
      </c>
      <c r="C156" s="0" t="n">
        <v>199.048243566667</v>
      </c>
      <c r="D156" s="0" t="inlineStr">
        <is>
          <t>/mnt/d/paper_source/work_9/VeriANN_repro_2026-09-30/VeriANN_repro_2026-09-30/results/work9-chen13-20261021/sift1m-1000000-overall/measurement.json</t>
        </is>
      </c>
      <c r="E156" s="0" t="inlineStr">
        <is>
          <t>每个k独立20条×3次实测；精确Recall@k=100%。</t>
        </is>
      </c>
    </row>
    <row r="157">
      <c r="A157" s="0" t="inlineStr">
        <is>
          <t>SIFT1M</t>
        </is>
      </c>
      <c r="B157" s="0" t="inlineStr">
        <is>
          <t>H120</t>
        </is>
      </c>
      <c r="C157" s="0" t="n">
        <v>202.1477637</v>
      </c>
      <c r="D157" s="0" t="inlineStr">
        <is>
          <t>/mnt/d/paper_source/work_9/VeriANN_repro_2026-09-30/VeriANN_repro_2026-09-30/results/work9-chen13-20261021/sift1m-1000000-overall/measurement.json</t>
        </is>
      </c>
      <c r="E157" s="0" t="inlineStr">
        <is>
          <t>每个k独立20条×3次实测；精确Recall@k=100%。</t>
        </is>
      </c>
    </row>
    <row r="158">
      <c r="A158" s="0" t="inlineStr">
        <is>
          <t>SIFT1M</t>
        </is>
      </c>
      <c r="B158" s="0" t="inlineStr">
        <is>
          <t>I120</t>
        </is>
      </c>
      <c r="C158" s="0" t="n">
        <v>212.73261085</v>
      </c>
      <c r="D158" s="0" t="inlineStr">
        <is>
          <t>/mnt/d/paper_source/work_9/VeriANN_repro_2026-09-30/VeriANN_repro_2026-09-30/results/work9-chen13-20261021/sift1m-1000000-overall/measurement.json</t>
        </is>
      </c>
      <c r="E158" s="0" t="inlineStr">
        <is>
          <t>每个k独立20条×3次实测；精确Recall@k=100%。</t>
        </is>
      </c>
    </row>
    <row r="159">
      <c r="A159" s="0" t="inlineStr">
        <is>
          <t>SIFT1M</t>
        </is>
      </c>
      <c r="B159" s="0" t="inlineStr">
        <is>
          <t>J120</t>
        </is>
      </c>
      <c r="C159" s="0" t="n">
        <v>228.675316866667</v>
      </c>
      <c r="D159" s="0" t="inlineStr">
        <is>
          <t>/mnt/d/paper_source/work_9/VeriANN_repro_2026-09-30/VeriANN_repro_2026-09-30/results/work9-chen13-20261021/sift1m-1000000-overall/measurement.json</t>
        </is>
      </c>
      <c r="E159" s="0" t="inlineStr">
        <is>
          <t>每个k独立20条×3次实测；精确Recall@k=100%。</t>
        </is>
      </c>
    </row>
    <row r="160">
      <c r="A160" s="0" t="inlineStr">
        <is>
          <t>SIFT1M</t>
        </is>
      </c>
      <c r="B160" s="0" t="inlineStr">
        <is>
          <t>K120</t>
        </is>
      </c>
      <c r="C160" s="0" t="n">
        <v>245.971459666667</v>
      </c>
      <c r="D160" s="0" t="inlineStr">
        <is>
          <t>/mnt/d/paper_source/work_9/VeriANN_repro_2026-09-30/VeriANN_repro_2026-09-30/results/work9-chen13-20261021/sift1m-1000000-overall/measurement.json</t>
        </is>
      </c>
      <c r="E160" s="0" t="inlineStr">
        <is>
          <t>每个k独立20条×3次实测；精确Recall@k=100%。</t>
        </is>
      </c>
    </row>
    <row r="161">
      <c r="A161" s="0" t="inlineStr">
        <is>
          <t>SIFT1M</t>
        </is>
      </c>
      <c r="B161" s="0" t="inlineStr">
        <is>
          <t>F131</t>
        </is>
      </c>
      <c r="C161" s="0" t="n">
        <v>227.695262816667</v>
      </c>
      <c r="D161" s="0" t="inlineStr">
        <is>
          <t>/mnt/d/paper_source/work_9/VeriANN_repro_2026-09-30/VeriANN_repro_2026-09-30/results/work9-chen13-20261021/sift1m-1000000-overall/measurement.json</t>
        </is>
      </c>
      <c r="E161" s="0" t="inlineStr">
        <is>
          <t>每个k独立20条×3次实测；精确Recall@k=100%。</t>
        </is>
      </c>
    </row>
    <row r="162">
      <c r="A162" s="0" t="inlineStr">
        <is>
          <t>SIFT1M</t>
        </is>
      </c>
      <c r="B162" s="0" t="inlineStr">
        <is>
          <t>G131</t>
        </is>
      </c>
      <c r="C162" s="0" t="n">
        <v>283.166553666667</v>
      </c>
      <c r="D162" s="0" t="inlineStr">
        <is>
          <t>/mnt/d/paper_source/work_9/VeriANN_repro_2026-09-30/VeriANN_repro_2026-09-30/results/work9-chen13-20261021/sift1m-1000000-overall/measurement.json</t>
        </is>
      </c>
      <c r="E162" s="0" t="inlineStr">
        <is>
          <t>每个k独立20条×3次实测；精确Recall@k=100%。</t>
        </is>
      </c>
    </row>
    <row r="163">
      <c r="A163" s="0" t="inlineStr">
        <is>
          <t>SIFT1M</t>
        </is>
      </c>
      <c r="B163" s="0" t="inlineStr">
        <is>
          <t>H131</t>
        </is>
      </c>
      <c r="C163" s="0" t="n">
        <v>278.25155455</v>
      </c>
      <c r="D163" s="0" t="inlineStr">
        <is>
          <t>/mnt/d/paper_source/work_9/VeriANN_repro_2026-09-30/VeriANN_repro_2026-09-30/results/work9-chen13-20261021/sift1m-1000000-overall/measurement.json</t>
        </is>
      </c>
      <c r="E163" s="0" t="inlineStr">
        <is>
          <t>每个k独立20条×3次实测；精确Recall@k=100%。</t>
        </is>
      </c>
    </row>
    <row r="164">
      <c r="A164" s="0" t="inlineStr">
        <is>
          <t>SIFT1M</t>
        </is>
      </c>
      <c r="B164" s="0" t="inlineStr">
        <is>
          <t>I131</t>
        </is>
      </c>
      <c r="C164" s="0" t="n">
        <v>297.04332695</v>
      </c>
      <c r="D164" s="0" t="inlineStr">
        <is>
          <t>/mnt/d/paper_source/work_9/VeriANN_repro_2026-09-30/VeriANN_repro_2026-09-30/results/work9-chen13-20261021/sift1m-1000000-overall/measurement.json</t>
        </is>
      </c>
      <c r="E164" s="0" t="inlineStr">
        <is>
          <t>每个k独立20条×3次实测；精确Recall@k=100%。</t>
        </is>
      </c>
    </row>
    <row r="165">
      <c r="A165" s="0" t="inlineStr">
        <is>
          <t>SIFT1M</t>
        </is>
      </c>
      <c r="B165" s="0" t="inlineStr">
        <is>
          <t>J131</t>
        </is>
      </c>
      <c r="C165" s="0" t="n">
        <v>318.888658433333</v>
      </c>
      <c r="D165" s="0" t="inlineStr">
        <is>
          <t>/mnt/d/paper_source/work_9/VeriANN_repro_2026-09-30/VeriANN_repro_2026-09-30/results/work9-chen13-20261021/sift1m-1000000-overall/measurement.json</t>
        </is>
      </c>
      <c r="E165" s="0" t="inlineStr">
        <is>
          <t>每个k独立20条×3次实测；精确Recall@k=100%。</t>
        </is>
      </c>
    </row>
    <row r="166">
      <c r="A166" s="0" t="inlineStr">
        <is>
          <t>SIFT1M</t>
        </is>
      </c>
      <c r="B166" s="0" t="inlineStr">
        <is>
          <t>K131</t>
        </is>
      </c>
      <c r="C166" s="0" t="n">
        <v>353.327317433333</v>
      </c>
      <c r="D166" s="0" t="inlineStr">
        <is>
          <t>/mnt/d/paper_source/work_9/VeriANN_repro_2026-09-30/VeriANN_repro_2026-09-30/results/work9-chen13-20261021/sift1m-1000000-overall/measurement.json</t>
        </is>
      </c>
      <c r="E166" s="0" t="inlineStr">
        <is>
          <t>每个k独立20条×3次实测；精确Recall@k=100%。</t>
        </is>
      </c>
    </row>
    <row r="167">
      <c r="A167" s="0" t="inlineStr">
        <is>
          <t>SIFT1M</t>
        </is>
      </c>
      <c r="B167" s="0" t="inlineStr">
        <is>
          <t>F149</t>
        </is>
      </c>
      <c r="C167" s="0" t="n">
        <v>1</v>
      </c>
      <c r="D167" s="0" t="inlineStr">
        <is>
          <t>/mnt/d/paper_source/work_9/VeriANN_repro_2026-09-30/VeriANN_repro_2026-09-30/results/work9-chen13-20261021/sift1m-1000000-overall/measurement.json</t>
        </is>
      </c>
      <c r="E167" s="0" t="inlineStr">
        <is>
          <t>外部baseline参考，不是Ours的消融变体。Recall以0–1计。</t>
        </is>
      </c>
    </row>
    <row r="168">
      <c r="A168" s="0" t="inlineStr">
        <is>
          <t>SIFT1M</t>
        </is>
      </c>
      <c r="B168" s="0" t="inlineStr">
        <is>
          <t>G149</t>
        </is>
      </c>
      <c r="C168" s="0" t="n">
        <v>278.25155455</v>
      </c>
      <c r="D168" s="0" t="inlineStr">
        <is>
          <t>/mnt/d/paper_source/work_9/VeriANN_repro_2026-09-30/VeriANN_repro_2026-09-30/results/work9-chen13-20261021/sift1m-1000000-overall/measurement.json</t>
        </is>
      </c>
      <c r="E168" s="0" t="inlineStr">
        <is>
          <t>外部baseline参考，不是Ours的消融变体。Recall以0–1计。</t>
        </is>
      </c>
    </row>
    <row r="169">
      <c r="A169" s="0" t="inlineStr">
        <is>
          <t>SIFT1M</t>
        </is>
      </c>
      <c r="B169" s="0" t="inlineStr">
        <is>
          <t>H149</t>
        </is>
      </c>
      <c r="C169" s="0" t="n">
        <v>235214.3172</v>
      </c>
      <c r="D169" s="0" t="inlineStr">
        <is>
          <t>/mnt/d/paper_source/work_9/VeriANN_repro_2026-09-30/VeriANN_repro_2026-09-30/results/work9-chen13-20261021/sift1m-1000000-overall/measurement.json</t>
        </is>
      </c>
      <c r="E169" s="0" t="inlineStr">
        <is>
          <t>外部baseline参考，不是Ours的消融变体。Recall以0–1计。</t>
        </is>
      </c>
    </row>
    <row r="170">
      <c r="A170" s="0" t="inlineStr">
        <is>
          <t>SIFT1M</t>
        </is>
      </c>
      <c r="B170" s="0" t="inlineStr">
        <is>
          <t>I149</t>
        </is>
      </c>
      <c r="C170" s="0" t="n">
        <v>202.1477637</v>
      </c>
      <c r="D170" s="0" t="inlineStr">
        <is>
          <t>/mnt/d/paper_source/work_9/VeriANN_repro_2026-09-30/VeriANN_repro_2026-09-30/results/work9-chen13-20261021/sift1m-1000000-overall/measurement.json</t>
        </is>
      </c>
      <c r="E170" s="0" t="inlineStr">
        <is>
          <t>外部baseline参考，不是Ours的消融变体。Recall以0–1计。</t>
        </is>
      </c>
    </row>
    <row r="171">
      <c r="A171" s="0" t="inlineStr">
        <is>
          <t>NYTimes-256</t>
        </is>
      </c>
      <c r="B171" s="0" t="inlineStr">
        <is>
          <t>E13</t>
        </is>
      </c>
      <c r="C171" s="0" t="n">
        <v>100</v>
      </c>
      <c r="D171" s="0" t="inlineStr">
        <is>
          <t>/mnt/d/paper_source/work_9/VeriANN_repro_2026-09-30/VeriANN_repro_2026-09-30/results/work9-chen13-20261021/nytimes256-289761-overall/measurement.json</t>
        </is>
      </c>
      <c r="E171" s="0" t="inlineStr">
        <is>
          <t>四数据集默认 k=10；20条×3次，单线程实测。精确召回100%，不是95%匹配点。</t>
        </is>
      </c>
    </row>
    <row r="172">
      <c r="A172" s="0" t="inlineStr">
        <is>
          <t>NYTimes-256</t>
        </is>
      </c>
      <c r="B172" s="0" t="inlineStr">
        <is>
          <t>F13</t>
        </is>
      </c>
      <c r="C172" s="0" t="n">
        <v>204.621311333333</v>
      </c>
      <c r="D172" s="0" t="inlineStr">
        <is>
          <t>/mnt/d/paper_source/work_9/VeriANN_repro_2026-09-30/VeriANN_repro_2026-09-30/results/work9-chen13-20261021/nytimes256-289761-overall/measurement.json</t>
        </is>
      </c>
      <c r="E172" s="0" t="inlineStr">
        <is>
          <t>四数据集默认 k=10；20条×3次，单线程实测。精确召回100%，不是95%匹配点。</t>
        </is>
      </c>
    </row>
    <row r="173">
      <c r="A173" s="0" t="inlineStr">
        <is>
          <t>NYTimes-256</t>
        </is>
      </c>
      <c r="B173" s="0" t="inlineStr">
        <is>
          <t>G13</t>
        </is>
      </c>
      <c r="C173" s="0" t="n">
        <v>282958.9249</v>
      </c>
      <c r="D173" s="0" t="inlineStr">
        <is>
          <t>/mnt/d/paper_source/work_9/VeriANN_repro_2026-09-30/VeriANN_repro_2026-09-30/results/work9-chen13-20261021/nytimes256-289761-overall/measurement.json</t>
        </is>
      </c>
      <c r="E173" s="0" t="inlineStr">
        <is>
          <t>四数据集默认 k=10；20条×3次，单线程实测。精确召回100%，不是95%匹配点。</t>
        </is>
      </c>
    </row>
    <row r="174">
      <c r="A174" s="0" t="inlineStr">
        <is>
          <t>NYTimes-256</t>
        </is>
      </c>
      <c r="B174" s="0" t="inlineStr">
        <is>
          <t>H13</t>
        </is>
      </c>
      <c r="C174" s="0" t="n">
        <v>243.191143033333</v>
      </c>
      <c r="D174" s="0" t="inlineStr">
        <is>
          <t>/mnt/d/paper_source/work_9/VeriANN_repro_2026-09-30/VeriANN_repro_2026-09-30/results/work9-chen13-20261021/nytimes256-289761-overall/measurement.json</t>
        </is>
      </c>
      <c r="E174" s="0" t="inlineStr">
        <is>
          <t>四数据集默认 k=10；20条×3次，单线程实测。精确召回100%，不是95%匹配点。</t>
        </is>
      </c>
    </row>
    <row r="175">
      <c r="A175" s="0" t="inlineStr">
        <is>
          <t>NYTimes-256</t>
        </is>
      </c>
      <c r="B175" s="0" t="inlineStr">
        <is>
          <t>I13</t>
        </is>
      </c>
      <c r="C175" s="0" t="n">
        <v>324.604236</v>
      </c>
      <c r="D175" s="0" t="inlineStr">
        <is>
          <t>/mnt/d/paper_source/work_9/VeriANN_repro_2026-09-30/VeriANN_repro_2026-09-30/results/work9-chen13-20261021/nytimes256-289761-overall/measurement.json</t>
        </is>
      </c>
      <c r="E175" s="0" t="inlineStr">
        <is>
          <t>一次全新单线程构建；无压缩完整服务快照；构建排除最终快照写盘、GT及输入加载。</t>
        </is>
      </c>
    </row>
    <row r="176">
      <c r="A176" s="0" t="inlineStr">
        <is>
          <t>NYTimes-256</t>
        </is>
      </c>
      <c r="B176" s="0" t="inlineStr">
        <is>
          <t>J13</t>
        </is>
      </c>
      <c r="C176" s="0" t="n">
        <v>0.4626211</v>
      </c>
      <c r="D176" s="0" t="inlineStr">
        <is>
          <t>/mnt/d/paper_source/work_9/VeriANN_repro_2026-09-30/VeriANN_repro_2026-09-30/results/work9-chen13-20261021/nytimes256-289761-overall/measurement.json</t>
        </is>
      </c>
      <c r="E176" s="0" t="inlineStr">
        <is>
          <t>一次全新单线程构建；无压缩完整服务快照；构建排除最终快照写盘、GT及输入加载。</t>
        </is>
      </c>
    </row>
    <row r="177">
      <c r="A177" s="0" t="inlineStr">
        <is>
          <t>NYTimes-256</t>
        </is>
      </c>
      <c r="B177" s="0" t="inlineStr">
        <is>
          <t>F29</t>
        </is>
      </c>
      <c r="E177" s="0" t="inlineStr">
        <is>
          <t>不适用：精确算法无可调低召回档位。仅Z列为100%实测参考点，不能作为等召回95%比较。</t>
        </is>
      </c>
    </row>
    <row r="178">
      <c r="A178" s="0" t="inlineStr">
        <is>
          <t>NYTimes-256</t>
        </is>
      </c>
      <c r="B178" s="0" t="inlineStr">
        <is>
          <t>F30</t>
        </is>
      </c>
      <c r="E178" s="0" t="inlineStr">
        <is>
          <t>不适用：精确算法无可调低召回档位。仅Z列为100%实测参考点，不能作为等召回95%比较。</t>
        </is>
      </c>
    </row>
    <row r="179">
      <c r="A179" s="0" t="inlineStr">
        <is>
          <t>NYTimes-256</t>
        </is>
      </c>
      <c r="B179" s="0" t="inlineStr">
        <is>
          <t>G29</t>
        </is>
      </c>
      <c r="E179" s="0" t="inlineStr">
        <is>
          <t>不适用：精确算法无可调低召回档位。仅Z列为100%实测参考点，不能作为等召回95%比较。</t>
        </is>
      </c>
    </row>
    <row r="180">
      <c r="A180" s="0" t="inlineStr">
        <is>
          <t>NYTimes-256</t>
        </is>
      </c>
      <c r="B180" s="0" t="inlineStr">
        <is>
          <t>G30</t>
        </is>
      </c>
      <c r="E180" s="0" t="inlineStr">
        <is>
          <t>不适用：精确算法无可调低召回档位。仅Z列为100%实测参考点，不能作为等召回95%比较。</t>
        </is>
      </c>
    </row>
    <row r="181">
      <c r="A181" s="0" t="inlineStr">
        <is>
          <t>NYTimes-256</t>
        </is>
      </c>
      <c r="B181" s="0" t="inlineStr">
        <is>
          <t>H29</t>
        </is>
      </c>
      <c r="E181" s="0" t="inlineStr">
        <is>
          <t>不适用：精确算法无可调低召回档位。仅Z列为100%实测参考点，不能作为等召回95%比较。</t>
        </is>
      </c>
    </row>
    <row r="182">
      <c r="A182" s="0" t="inlineStr">
        <is>
          <t>NYTimes-256</t>
        </is>
      </c>
      <c r="B182" s="0" t="inlineStr">
        <is>
          <t>H30</t>
        </is>
      </c>
      <c r="E182" s="0" t="inlineStr">
        <is>
          <t>不适用：精确算法无可调低召回档位。仅Z列为100%实测参考点，不能作为等召回95%比较。</t>
        </is>
      </c>
    </row>
    <row r="183">
      <c r="A183" s="0" t="inlineStr">
        <is>
          <t>NYTimes-256</t>
        </is>
      </c>
      <c r="B183" s="0" t="inlineStr">
        <is>
          <t>I29</t>
        </is>
      </c>
      <c r="E183" s="0" t="inlineStr">
        <is>
          <t>不适用：精确算法无可调低召回档位。仅Z列为100%实测参考点，不能作为等召回95%比较。</t>
        </is>
      </c>
    </row>
    <row r="184">
      <c r="A184" s="0" t="inlineStr">
        <is>
          <t>NYTimes-256</t>
        </is>
      </c>
      <c r="B184" s="0" t="inlineStr">
        <is>
          <t>I30</t>
        </is>
      </c>
      <c r="E184" s="0" t="inlineStr">
        <is>
          <t>不适用：精确算法无可调低召回档位。仅Z列为100%实测参考点，不能作为等召回95%比较。</t>
        </is>
      </c>
    </row>
    <row r="185">
      <c r="A185" s="0" t="inlineStr">
        <is>
          <t>NYTimes-256</t>
        </is>
      </c>
      <c r="B185" s="0" t="inlineStr">
        <is>
          <t>J29</t>
        </is>
      </c>
      <c r="E185" s="0" t="inlineStr">
        <is>
          <t>不适用：精确算法无可调低召回档位。仅Z列为100%实测参考点，不能作为等召回95%比较。</t>
        </is>
      </c>
    </row>
    <row r="186">
      <c r="A186" s="0" t="inlineStr">
        <is>
          <t>NYTimes-256</t>
        </is>
      </c>
      <c r="B186" s="0" t="inlineStr">
        <is>
          <t>J30</t>
        </is>
      </c>
      <c r="E186" s="0" t="inlineStr">
        <is>
          <t>不适用：精确算法无可调低召回档位。仅Z列为100%实测参考点，不能作为等召回95%比较。</t>
        </is>
      </c>
    </row>
    <row r="187">
      <c r="A187" s="0" t="inlineStr">
        <is>
          <t>NYTimes-256</t>
        </is>
      </c>
      <c r="B187" s="0" t="inlineStr">
        <is>
          <t>K29</t>
        </is>
      </c>
      <c r="E187" s="0" t="inlineStr">
        <is>
          <t>不适用：精确算法无可调低召回档位。仅Z列为100%实测参考点，不能作为等召回95%比较。</t>
        </is>
      </c>
    </row>
    <row r="188">
      <c r="A188" s="0" t="inlineStr">
        <is>
          <t>NYTimes-256</t>
        </is>
      </c>
      <c r="B188" s="0" t="inlineStr">
        <is>
          <t>K30</t>
        </is>
      </c>
      <c r="E188" s="0" t="inlineStr">
        <is>
          <t>不适用：精确算法无可调低召回档位。仅Z列为100%实测参考点，不能作为等召回95%比较。</t>
        </is>
      </c>
    </row>
    <row r="189">
      <c r="A189" s="0" t="inlineStr">
        <is>
          <t>NYTimes-256</t>
        </is>
      </c>
      <c r="B189" s="0" t="inlineStr">
        <is>
          <t>L29</t>
        </is>
      </c>
      <c r="E189" s="0" t="inlineStr">
        <is>
          <t>不适用：精确算法无可调低召回档位。仅Z列为100%实测参考点，不能作为等召回95%比较。</t>
        </is>
      </c>
    </row>
    <row r="190">
      <c r="A190" s="0" t="inlineStr">
        <is>
          <t>NYTimes-256</t>
        </is>
      </c>
      <c r="B190" s="0" t="inlineStr">
        <is>
          <t>L30</t>
        </is>
      </c>
      <c r="E190" s="0" t="inlineStr">
        <is>
          <t>不适用：精确算法无可调低召回档位。仅Z列为100%实测参考点，不能作为等召回95%比较。</t>
        </is>
      </c>
    </row>
    <row r="191">
      <c r="A191" s="0" t="inlineStr">
        <is>
          <t>NYTimes-256</t>
        </is>
      </c>
      <c r="B191" s="0" t="inlineStr">
        <is>
          <t>M29</t>
        </is>
      </c>
      <c r="E191" s="0" t="inlineStr">
        <is>
          <t>不适用：精确算法无可调低召回档位。仅Z列为100%实测参考点，不能作为等召回95%比较。</t>
        </is>
      </c>
    </row>
    <row r="192">
      <c r="A192" s="0" t="inlineStr">
        <is>
          <t>NYTimes-256</t>
        </is>
      </c>
      <c r="B192" s="0" t="inlineStr">
        <is>
          <t>M30</t>
        </is>
      </c>
      <c r="E192" s="0" t="inlineStr">
        <is>
          <t>不适用：精确算法无可调低召回档位。仅Z列为100%实测参考点，不能作为等召回95%比较。</t>
        </is>
      </c>
    </row>
    <row r="193">
      <c r="A193" s="0" t="inlineStr">
        <is>
          <t>NYTimes-256</t>
        </is>
      </c>
      <c r="B193" s="0" t="inlineStr">
        <is>
          <t>N29</t>
        </is>
      </c>
      <c r="E193" s="0" t="inlineStr">
        <is>
          <t>不适用：精确算法无可调低召回档位。仅Z列为100%实测参考点，不能作为等召回95%比较。</t>
        </is>
      </c>
    </row>
    <row r="194">
      <c r="A194" s="0" t="inlineStr">
        <is>
          <t>NYTimes-256</t>
        </is>
      </c>
      <c r="B194" s="0" t="inlineStr">
        <is>
          <t>N30</t>
        </is>
      </c>
      <c r="E194" s="0" t="inlineStr">
        <is>
          <t>不适用：精确算法无可调低召回档位。仅Z列为100%实测参考点，不能作为等召回95%比较。</t>
        </is>
      </c>
    </row>
    <row r="195">
      <c r="A195" s="0" t="inlineStr">
        <is>
          <t>NYTimes-256</t>
        </is>
      </c>
      <c r="B195" s="0" t="inlineStr">
        <is>
          <t>O29</t>
        </is>
      </c>
      <c r="E195" s="0" t="inlineStr">
        <is>
          <t>不适用：精确算法无可调低召回档位。仅Z列为100%实测参考点，不能作为等召回95%比较。</t>
        </is>
      </c>
    </row>
    <row r="196">
      <c r="A196" s="0" t="inlineStr">
        <is>
          <t>NYTimes-256</t>
        </is>
      </c>
      <c r="B196" s="0" t="inlineStr">
        <is>
          <t>O30</t>
        </is>
      </c>
      <c r="E196" s="0" t="inlineStr">
        <is>
          <t>不适用：精确算法无可调低召回档位。仅Z列为100%实测参考点，不能作为等召回95%比较。</t>
        </is>
      </c>
    </row>
    <row r="197">
      <c r="A197" s="0" t="inlineStr">
        <is>
          <t>NYTimes-256</t>
        </is>
      </c>
      <c r="B197" s="0" t="inlineStr">
        <is>
          <t>P29</t>
        </is>
      </c>
      <c r="E197" s="0" t="inlineStr">
        <is>
          <t>不适用：精确算法无可调低召回档位。仅Z列为100%实测参考点，不能作为等召回95%比较。</t>
        </is>
      </c>
    </row>
    <row r="198">
      <c r="A198" s="0" t="inlineStr">
        <is>
          <t>NYTimes-256</t>
        </is>
      </c>
      <c r="B198" s="0" t="inlineStr">
        <is>
          <t>P30</t>
        </is>
      </c>
      <c r="E198" s="0" t="inlineStr">
        <is>
          <t>不适用：精确算法无可调低召回档位。仅Z列为100%实测参考点，不能作为等召回95%比较。</t>
        </is>
      </c>
    </row>
    <row r="199">
      <c r="A199" s="0" t="inlineStr">
        <is>
          <t>NYTimes-256</t>
        </is>
      </c>
      <c r="B199" s="0" t="inlineStr">
        <is>
          <t>Q29</t>
        </is>
      </c>
      <c r="E199" s="0" t="inlineStr">
        <is>
          <t>不适用：精确算法无可调低召回档位。仅Z列为100%实测参考点，不能作为等召回95%比较。</t>
        </is>
      </c>
    </row>
    <row r="200">
      <c r="A200" s="0" t="inlineStr">
        <is>
          <t>NYTimes-256</t>
        </is>
      </c>
      <c r="B200" s="0" t="inlineStr">
        <is>
          <t>Q30</t>
        </is>
      </c>
      <c r="E200" s="0" t="inlineStr">
        <is>
          <t>不适用：精确算法无可调低召回档位。仅Z列为100%实测参考点，不能作为等召回95%比较。</t>
        </is>
      </c>
    </row>
    <row r="201">
      <c r="A201" s="0" t="inlineStr">
        <is>
          <t>NYTimes-256</t>
        </is>
      </c>
      <c r="B201" s="0" t="inlineStr">
        <is>
          <t>R29</t>
        </is>
      </c>
      <c r="E201" s="0" t="inlineStr">
        <is>
          <t>不适用：精确算法无可调低召回档位。仅Z列为100%实测参考点，不能作为等召回95%比较。</t>
        </is>
      </c>
    </row>
    <row r="202">
      <c r="A202" s="0" t="inlineStr">
        <is>
          <t>NYTimes-256</t>
        </is>
      </c>
      <c r="B202" s="0" t="inlineStr">
        <is>
          <t>R30</t>
        </is>
      </c>
      <c r="E202" s="0" t="inlineStr">
        <is>
          <t>不适用：精确算法无可调低召回档位。仅Z列为100%实测参考点，不能作为等召回95%比较。</t>
        </is>
      </c>
    </row>
    <row r="203">
      <c r="A203" s="0" t="inlineStr">
        <is>
          <t>NYTimes-256</t>
        </is>
      </c>
      <c r="B203" s="0" t="inlineStr">
        <is>
          <t>S29</t>
        </is>
      </c>
      <c r="E203" s="0" t="inlineStr">
        <is>
          <t>不适用：精确算法无可调低召回档位。仅Z列为100%实测参考点，不能作为等召回95%比较。</t>
        </is>
      </c>
    </row>
    <row r="204">
      <c r="A204" s="0" t="inlineStr">
        <is>
          <t>NYTimes-256</t>
        </is>
      </c>
      <c r="B204" s="0" t="inlineStr">
        <is>
          <t>S30</t>
        </is>
      </c>
      <c r="E204" s="0" t="inlineStr">
        <is>
          <t>不适用：精确算法无可调低召回档位。仅Z列为100%实测参考点，不能作为等召回95%比较。</t>
        </is>
      </c>
    </row>
    <row r="205">
      <c r="A205" s="0" t="inlineStr">
        <is>
          <t>NYTimes-256</t>
        </is>
      </c>
      <c r="B205" s="0" t="inlineStr">
        <is>
          <t>T29</t>
        </is>
      </c>
      <c r="E205" s="0" t="inlineStr">
        <is>
          <t>不适用：精确算法无可调低召回档位。仅Z列为100%实测参考点，不能作为等召回95%比较。</t>
        </is>
      </c>
    </row>
    <row r="206">
      <c r="A206" s="0" t="inlineStr">
        <is>
          <t>NYTimes-256</t>
        </is>
      </c>
      <c r="B206" s="0" t="inlineStr">
        <is>
          <t>T30</t>
        </is>
      </c>
      <c r="E206" s="0" t="inlineStr">
        <is>
          <t>不适用：精确算法无可调低召回档位。仅Z列为100%实测参考点，不能作为等召回95%比较。</t>
        </is>
      </c>
    </row>
    <row r="207">
      <c r="A207" s="0" t="inlineStr">
        <is>
          <t>NYTimes-256</t>
        </is>
      </c>
      <c r="B207" s="0" t="inlineStr">
        <is>
          <t>U29</t>
        </is>
      </c>
      <c r="E207" s="0" t="inlineStr">
        <is>
          <t>不适用：精确算法无可调低召回档位。仅Z列为100%实测参考点，不能作为等召回95%比较。</t>
        </is>
      </c>
    </row>
    <row r="208">
      <c r="A208" s="0" t="inlineStr">
        <is>
          <t>NYTimes-256</t>
        </is>
      </c>
      <c r="B208" s="0" t="inlineStr">
        <is>
          <t>U30</t>
        </is>
      </c>
      <c r="E208" s="0" t="inlineStr">
        <is>
          <t>不适用：精确算法无可调低召回档位。仅Z列为100%实测参考点，不能作为等召回95%比较。</t>
        </is>
      </c>
    </row>
    <row r="209">
      <c r="A209" s="0" t="inlineStr">
        <is>
          <t>NYTimes-256</t>
        </is>
      </c>
      <c r="B209" s="0" t="inlineStr">
        <is>
          <t>V29</t>
        </is>
      </c>
      <c r="E209" s="0" t="inlineStr">
        <is>
          <t>不适用：精确算法无可调低召回档位。仅Z列为100%实测参考点，不能作为等召回95%比较。</t>
        </is>
      </c>
    </row>
    <row r="210">
      <c r="A210" s="0" t="inlineStr">
        <is>
          <t>NYTimes-256</t>
        </is>
      </c>
      <c r="B210" s="0" t="inlineStr">
        <is>
          <t>V30</t>
        </is>
      </c>
      <c r="E210" s="0" t="inlineStr">
        <is>
          <t>不适用：精确算法无可调低召回档位。仅Z列为100%实测参考点，不能作为等召回95%比较。</t>
        </is>
      </c>
    </row>
    <row r="211">
      <c r="A211" s="0" t="inlineStr">
        <is>
          <t>NYTimes-256</t>
        </is>
      </c>
      <c r="B211" s="0" t="inlineStr">
        <is>
          <t>W29</t>
        </is>
      </c>
      <c r="E211" s="0" t="inlineStr">
        <is>
          <t>不适用：精确算法无可调低召回档位。仅Z列为100%实测参考点，不能作为等召回95%比较。</t>
        </is>
      </c>
    </row>
    <row r="212">
      <c r="A212" s="0" t="inlineStr">
        <is>
          <t>NYTimes-256</t>
        </is>
      </c>
      <c r="B212" s="0" t="inlineStr">
        <is>
          <t>W30</t>
        </is>
      </c>
      <c r="E212" s="0" t="inlineStr">
        <is>
          <t>不适用：精确算法无可调低召回档位。仅Z列为100%实测参考点，不能作为等召回95%比较。</t>
        </is>
      </c>
    </row>
    <row r="213">
      <c r="A213" s="0" t="inlineStr">
        <is>
          <t>NYTimes-256</t>
        </is>
      </c>
      <c r="B213" s="0" t="inlineStr">
        <is>
          <t>X29</t>
        </is>
      </c>
      <c r="E213" s="0" t="inlineStr">
        <is>
          <t>不适用：精确算法无可调低召回档位。仅Z列为100%实测参考点，不能作为等召回95%比较。</t>
        </is>
      </c>
    </row>
    <row r="214">
      <c r="A214" s="0" t="inlineStr">
        <is>
          <t>NYTimes-256</t>
        </is>
      </c>
      <c r="B214" s="0" t="inlineStr">
        <is>
          <t>X30</t>
        </is>
      </c>
      <c r="E214" s="0" t="inlineStr">
        <is>
          <t>不适用：精确算法无可调低召回档位。仅Z列为100%实测参考点，不能作为等召回95%比较。</t>
        </is>
      </c>
    </row>
    <row r="215">
      <c r="A215" s="0" t="inlineStr">
        <is>
          <t>NYTimes-256</t>
        </is>
      </c>
      <c r="B215" s="0" t="inlineStr">
        <is>
          <t>Y29</t>
        </is>
      </c>
      <c r="E215" s="0" t="inlineStr">
        <is>
          <t>不适用：精确算法无可调低召回档位。仅Z列为100%实测参考点，不能作为等召回95%比较。</t>
        </is>
      </c>
    </row>
    <row r="216">
      <c r="A216" s="0" t="inlineStr">
        <is>
          <t>NYTimes-256</t>
        </is>
      </c>
      <c r="B216" s="0" t="inlineStr">
        <is>
          <t>Y30</t>
        </is>
      </c>
      <c r="E216" s="0" t="inlineStr">
        <is>
          <t>不适用：精确算法无可调低召回档位。仅Z列为100%实测参考点，不能作为等召回95%比较。</t>
        </is>
      </c>
    </row>
    <row r="217">
      <c r="A217" s="0" t="inlineStr">
        <is>
          <t>NYTimes-256</t>
        </is>
      </c>
      <c r="B217" s="0" t="inlineStr">
        <is>
          <t>Z29</t>
        </is>
      </c>
      <c r="C217" s="0" t="n">
        <v>100</v>
      </c>
      <c r="D217" s="0" t="inlineStr">
        <is>
          <t>/mnt/d/paper_source/work_9/VeriANN_repro_2026-09-30/VeriANN_repro_2026-09-30/results/work9-chen13-20261021/nytimes256-289761-overall/measurement.json</t>
        </is>
      </c>
      <c r="E217" s="0" t="inlineStr">
        <is>
          <t>精确方法唯一召回点。</t>
        </is>
      </c>
    </row>
    <row r="218">
      <c r="A218" s="0" t="inlineStr">
        <is>
          <t>NYTimes-256</t>
        </is>
      </c>
      <c r="B218" s="0" t="inlineStr">
        <is>
          <t>Z30</t>
        </is>
      </c>
      <c r="C218" s="0" t="n">
        <v>282958.9249</v>
      </c>
      <c r="D218" s="0" t="inlineStr">
        <is>
          <t>/mnt/d/paper_source/work_9/VeriANN_repro_2026-09-30/VeriANN_repro_2026-09-30/results/work9-chen13-20261021/nytimes256-289761-overall/measurement.json</t>
        </is>
      </c>
      <c r="E218" s="0" t="inlineStr">
        <is>
          <t>沿用默认 k=10 的同一组60次真实测量；非重复实验。</t>
        </is>
      </c>
    </row>
    <row r="219">
      <c r="A219" s="0" t="inlineStr">
        <is>
          <t>NYTimes-256</t>
        </is>
      </c>
      <c r="B219" s="0" t="inlineStr">
        <is>
          <t>F43</t>
        </is>
      </c>
      <c r="E219" s="0" t="inlineStr">
        <is>
          <t>不适用：精确算法无可调低召回档位。仅Z列为100%实测参考点，不能作为等召回95%比较。</t>
        </is>
      </c>
    </row>
    <row r="220">
      <c r="A220" s="0" t="inlineStr">
        <is>
          <t>NYTimes-256</t>
        </is>
      </c>
      <c r="B220" s="0" t="inlineStr">
        <is>
          <t>F44</t>
        </is>
      </c>
      <c r="E220" s="0" t="inlineStr">
        <is>
          <t>不适用：精确算法无可调低召回档位。仅Z列为100%实测参考点，不能作为等召回95%比较。</t>
        </is>
      </c>
    </row>
    <row r="221">
      <c r="A221" s="0" t="inlineStr">
        <is>
          <t>NYTimes-256</t>
        </is>
      </c>
      <c r="B221" s="0" t="inlineStr">
        <is>
          <t>G43</t>
        </is>
      </c>
      <c r="E221" s="0" t="inlineStr">
        <is>
          <t>不适用：精确算法无可调低召回档位。仅Z列为100%实测参考点，不能作为等召回95%比较。</t>
        </is>
      </c>
    </row>
    <row r="222">
      <c r="A222" s="0" t="inlineStr">
        <is>
          <t>NYTimes-256</t>
        </is>
      </c>
      <c r="B222" s="0" t="inlineStr">
        <is>
          <t>G44</t>
        </is>
      </c>
      <c r="E222" s="0" t="inlineStr">
        <is>
          <t>不适用：精确算法无可调低召回档位。仅Z列为100%实测参考点，不能作为等召回95%比较。</t>
        </is>
      </c>
    </row>
    <row r="223">
      <c r="A223" s="0" t="inlineStr">
        <is>
          <t>NYTimes-256</t>
        </is>
      </c>
      <c r="B223" s="0" t="inlineStr">
        <is>
          <t>H43</t>
        </is>
      </c>
      <c r="E223" s="0" t="inlineStr">
        <is>
          <t>不适用：精确算法无可调低召回档位。仅Z列为100%实测参考点，不能作为等召回95%比较。</t>
        </is>
      </c>
    </row>
    <row r="224">
      <c r="A224" s="0" t="inlineStr">
        <is>
          <t>NYTimes-256</t>
        </is>
      </c>
      <c r="B224" s="0" t="inlineStr">
        <is>
          <t>H44</t>
        </is>
      </c>
      <c r="E224" s="0" t="inlineStr">
        <is>
          <t>不适用：精确算法无可调低召回档位。仅Z列为100%实测参考点，不能作为等召回95%比较。</t>
        </is>
      </c>
    </row>
    <row r="225">
      <c r="A225" s="0" t="inlineStr">
        <is>
          <t>NYTimes-256</t>
        </is>
      </c>
      <c r="B225" s="0" t="inlineStr">
        <is>
          <t>I43</t>
        </is>
      </c>
      <c r="E225" s="0" t="inlineStr">
        <is>
          <t>不适用：精确算法无可调低召回档位。仅Z列为100%实测参考点，不能作为等召回95%比较。</t>
        </is>
      </c>
    </row>
    <row r="226">
      <c r="A226" s="0" t="inlineStr">
        <is>
          <t>NYTimes-256</t>
        </is>
      </c>
      <c r="B226" s="0" t="inlineStr">
        <is>
          <t>I44</t>
        </is>
      </c>
      <c r="E226" s="0" t="inlineStr">
        <is>
          <t>不适用：精确算法无可调低召回档位。仅Z列为100%实测参考点，不能作为等召回95%比较。</t>
        </is>
      </c>
    </row>
    <row r="227">
      <c r="A227" s="0" t="inlineStr">
        <is>
          <t>NYTimes-256</t>
        </is>
      </c>
      <c r="B227" s="0" t="inlineStr">
        <is>
          <t>J43</t>
        </is>
      </c>
      <c r="E227" s="0" t="inlineStr">
        <is>
          <t>不适用：精确算法无可调低召回档位。仅Z列为100%实测参考点，不能作为等召回95%比较。</t>
        </is>
      </c>
    </row>
    <row r="228">
      <c r="A228" s="0" t="inlineStr">
        <is>
          <t>NYTimes-256</t>
        </is>
      </c>
      <c r="B228" s="0" t="inlineStr">
        <is>
          <t>J44</t>
        </is>
      </c>
      <c r="E228" s="0" t="inlineStr">
        <is>
          <t>不适用：精确算法无可调低召回档位。仅Z列为100%实测参考点，不能作为等召回95%比较。</t>
        </is>
      </c>
    </row>
    <row r="229">
      <c r="A229" s="0" t="inlineStr">
        <is>
          <t>NYTimes-256</t>
        </is>
      </c>
      <c r="B229" s="0" t="inlineStr">
        <is>
          <t>K43</t>
        </is>
      </c>
      <c r="E229" s="0" t="inlineStr">
        <is>
          <t>不适用：精确算法无可调低召回档位。仅Z列为100%实测参考点，不能作为等召回95%比较。</t>
        </is>
      </c>
    </row>
    <row r="230">
      <c r="A230" s="0" t="inlineStr">
        <is>
          <t>NYTimes-256</t>
        </is>
      </c>
      <c r="B230" s="0" t="inlineStr">
        <is>
          <t>K44</t>
        </is>
      </c>
      <c r="E230" s="0" t="inlineStr">
        <is>
          <t>不适用：精确算法无可调低召回档位。仅Z列为100%实测参考点，不能作为等召回95%比较。</t>
        </is>
      </c>
    </row>
    <row r="231">
      <c r="A231" s="0" t="inlineStr">
        <is>
          <t>NYTimes-256</t>
        </is>
      </c>
      <c r="B231" s="0" t="inlineStr">
        <is>
          <t>L43</t>
        </is>
      </c>
      <c r="E231" s="0" t="inlineStr">
        <is>
          <t>不适用：精确算法无可调低召回档位。仅Z列为100%实测参考点，不能作为等召回95%比较。</t>
        </is>
      </c>
    </row>
    <row r="232">
      <c r="A232" s="0" t="inlineStr">
        <is>
          <t>NYTimes-256</t>
        </is>
      </c>
      <c r="B232" s="0" t="inlineStr">
        <is>
          <t>L44</t>
        </is>
      </c>
      <c r="E232" s="0" t="inlineStr">
        <is>
          <t>不适用：精确算法无可调低召回档位。仅Z列为100%实测参考点，不能作为等召回95%比较。</t>
        </is>
      </c>
    </row>
    <row r="233">
      <c r="A233" s="0" t="inlineStr">
        <is>
          <t>NYTimes-256</t>
        </is>
      </c>
      <c r="B233" s="0" t="inlineStr">
        <is>
          <t>M43</t>
        </is>
      </c>
      <c r="E233" s="0" t="inlineStr">
        <is>
          <t>不适用：精确算法无可调低召回档位。仅Z列为100%实测参考点，不能作为等召回95%比较。</t>
        </is>
      </c>
    </row>
    <row r="234">
      <c r="A234" s="0" t="inlineStr">
        <is>
          <t>NYTimes-256</t>
        </is>
      </c>
      <c r="B234" s="0" t="inlineStr">
        <is>
          <t>M44</t>
        </is>
      </c>
      <c r="E234" s="0" t="inlineStr">
        <is>
          <t>不适用：精确算法无可调低召回档位。仅Z列为100%实测参考点，不能作为等召回95%比较。</t>
        </is>
      </c>
    </row>
    <row r="235">
      <c r="A235" s="0" t="inlineStr">
        <is>
          <t>NYTimes-256</t>
        </is>
      </c>
      <c r="B235" s="0" t="inlineStr">
        <is>
          <t>N43</t>
        </is>
      </c>
      <c r="E235" s="0" t="inlineStr">
        <is>
          <t>不适用：精确算法无可调低召回档位。仅Z列为100%实测参考点，不能作为等召回95%比较。</t>
        </is>
      </c>
    </row>
    <row r="236">
      <c r="A236" s="0" t="inlineStr">
        <is>
          <t>NYTimes-256</t>
        </is>
      </c>
      <c r="B236" s="0" t="inlineStr">
        <is>
          <t>N44</t>
        </is>
      </c>
      <c r="E236" s="0" t="inlineStr">
        <is>
          <t>不适用：精确算法无可调低召回档位。仅Z列为100%实测参考点，不能作为等召回95%比较。</t>
        </is>
      </c>
    </row>
    <row r="237">
      <c r="A237" s="0" t="inlineStr">
        <is>
          <t>NYTimes-256</t>
        </is>
      </c>
      <c r="B237" s="0" t="inlineStr">
        <is>
          <t>O43</t>
        </is>
      </c>
      <c r="E237" s="0" t="inlineStr">
        <is>
          <t>不适用：精确算法无可调低召回档位。仅Z列为100%实测参考点，不能作为等召回95%比较。</t>
        </is>
      </c>
    </row>
    <row r="238">
      <c r="A238" s="0" t="inlineStr">
        <is>
          <t>NYTimes-256</t>
        </is>
      </c>
      <c r="B238" s="0" t="inlineStr">
        <is>
          <t>O44</t>
        </is>
      </c>
      <c r="E238" s="0" t="inlineStr">
        <is>
          <t>不适用：精确算法无可调低召回档位。仅Z列为100%实测参考点，不能作为等召回95%比较。</t>
        </is>
      </c>
    </row>
    <row r="239">
      <c r="A239" s="0" t="inlineStr">
        <is>
          <t>NYTimes-256</t>
        </is>
      </c>
      <c r="B239" s="0" t="inlineStr">
        <is>
          <t>P43</t>
        </is>
      </c>
      <c r="E239" s="0" t="inlineStr">
        <is>
          <t>不适用：精确算法无可调低召回档位。仅Z列为100%实测参考点，不能作为等召回95%比较。</t>
        </is>
      </c>
    </row>
    <row r="240">
      <c r="A240" s="0" t="inlineStr">
        <is>
          <t>NYTimes-256</t>
        </is>
      </c>
      <c r="B240" s="0" t="inlineStr">
        <is>
          <t>P44</t>
        </is>
      </c>
      <c r="E240" s="0" t="inlineStr">
        <is>
          <t>不适用：精确算法无可调低召回档位。仅Z列为100%实测参考点，不能作为等召回95%比较。</t>
        </is>
      </c>
    </row>
    <row r="241">
      <c r="A241" s="0" t="inlineStr">
        <is>
          <t>NYTimes-256</t>
        </is>
      </c>
      <c r="B241" s="0" t="inlineStr">
        <is>
          <t>Q43</t>
        </is>
      </c>
      <c r="E241" s="0" t="inlineStr">
        <is>
          <t>不适用：精确算法无可调低召回档位。仅Z列为100%实测参考点，不能作为等召回95%比较。</t>
        </is>
      </c>
    </row>
    <row r="242">
      <c r="A242" s="0" t="inlineStr">
        <is>
          <t>NYTimes-256</t>
        </is>
      </c>
      <c r="B242" s="0" t="inlineStr">
        <is>
          <t>Q44</t>
        </is>
      </c>
      <c r="E242" s="0" t="inlineStr">
        <is>
          <t>不适用：精确算法无可调低召回档位。仅Z列为100%实测参考点，不能作为等召回95%比较。</t>
        </is>
      </c>
    </row>
    <row r="243">
      <c r="A243" s="0" t="inlineStr">
        <is>
          <t>NYTimes-256</t>
        </is>
      </c>
      <c r="B243" s="0" t="inlineStr">
        <is>
          <t>R43</t>
        </is>
      </c>
      <c r="E243" s="0" t="inlineStr">
        <is>
          <t>不适用：精确算法无可调低召回档位。仅Z列为100%实测参考点，不能作为等召回95%比较。</t>
        </is>
      </c>
    </row>
    <row r="244">
      <c r="A244" s="0" t="inlineStr">
        <is>
          <t>NYTimes-256</t>
        </is>
      </c>
      <c r="B244" s="0" t="inlineStr">
        <is>
          <t>R44</t>
        </is>
      </c>
      <c r="E244" s="0" t="inlineStr">
        <is>
          <t>不适用：精确算法无可调低召回档位。仅Z列为100%实测参考点，不能作为等召回95%比较。</t>
        </is>
      </c>
    </row>
    <row r="245">
      <c r="A245" s="0" t="inlineStr">
        <is>
          <t>NYTimes-256</t>
        </is>
      </c>
      <c r="B245" s="0" t="inlineStr">
        <is>
          <t>S43</t>
        </is>
      </c>
      <c r="E245" s="0" t="inlineStr">
        <is>
          <t>不适用：精确算法无可调低召回档位。仅Z列为100%实测参考点，不能作为等召回95%比较。</t>
        </is>
      </c>
    </row>
    <row r="246">
      <c r="A246" s="0" t="inlineStr">
        <is>
          <t>NYTimes-256</t>
        </is>
      </c>
      <c r="B246" s="0" t="inlineStr">
        <is>
          <t>S44</t>
        </is>
      </c>
      <c r="E246" s="0" t="inlineStr">
        <is>
          <t>不适用：精确算法无可调低召回档位。仅Z列为100%实测参考点，不能作为等召回95%比较。</t>
        </is>
      </c>
    </row>
    <row r="247">
      <c r="A247" s="0" t="inlineStr">
        <is>
          <t>NYTimes-256</t>
        </is>
      </c>
      <c r="B247" s="0" t="inlineStr">
        <is>
          <t>T43</t>
        </is>
      </c>
      <c r="E247" s="0" t="inlineStr">
        <is>
          <t>不适用：精确算法无可调低召回档位。仅Z列为100%实测参考点，不能作为等召回95%比较。</t>
        </is>
      </c>
    </row>
    <row r="248">
      <c r="A248" s="0" t="inlineStr">
        <is>
          <t>NYTimes-256</t>
        </is>
      </c>
      <c r="B248" s="0" t="inlineStr">
        <is>
          <t>T44</t>
        </is>
      </c>
      <c r="E248" s="0" t="inlineStr">
        <is>
          <t>不适用：精确算法无可调低召回档位。仅Z列为100%实测参考点，不能作为等召回95%比较。</t>
        </is>
      </c>
    </row>
    <row r="249">
      <c r="A249" s="0" t="inlineStr">
        <is>
          <t>NYTimes-256</t>
        </is>
      </c>
      <c r="B249" s="0" t="inlineStr">
        <is>
          <t>U43</t>
        </is>
      </c>
      <c r="E249" s="0" t="inlineStr">
        <is>
          <t>不适用：精确算法无可调低召回档位。仅Z列为100%实测参考点，不能作为等召回95%比较。</t>
        </is>
      </c>
    </row>
    <row r="250">
      <c r="A250" s="0" t="inlineStr">
        <is>
          <t>NYTimes-256</t>
        </is>
      </c>
      <c r="B250" s="0" t="inlineStr">
        <is>
          <t>U44</t>
        </is>
      </c>
      <c r="E250" s="0" t="inlineStr">
        <is>
          <t>不适用：精确算法无可调低召回档位。仅Z列为100%实测参考点，不能作为等召回95%比较。</t>
        </is>
      </c>
    </row>
    <row r="251">
      <c r="A251" s="0" t="inlineStr">
        <is>
          <t>NYTimes-256</t>
        </is>
      </c>
      <c r="B251" s="0" t="inlineStr">
        <is>
          <t>V43</t>
        </is>
      </c>
      <c r="E251" s="0" t="inlineStr">
        <is>
          <t>不适用：精确算法无可调低召回档位。仅Z列为100%实测参考点，不能作为等召回95%比较。</t>
        </is>
      </c>
    </row>
    <row r="252">
      <c r="A252" s="0" t="inlineStr">
        <is>
          <t>NYTimes-256</t>
        </is>
      </c>
      <c r="B252" s="0" t="inlineStr">
        <is>
          <t>V44</t>
        </is>
      </c>
      <c r="E252" s="0" t="inlineStr">
        <is>
          <t>不适用：精确算法无可调低召回档位。仅Z列为100%实测参考点，不能作为等召回95%比较。</t>
        </is>
      </c>
    </row>
    <row r="253">
      <c r="A253" s="0" t="inlineStr">
        <is>
          <t>NYTimes-256</t>
        </is>
      </c>
      <c r="B253" s="0" t="inlineStr">
        <is>
          <t>W43</t>
        </is>
      </c>
      <c r="E253" s="0" t="inlineStr">
        <is>
          <t>不适用：精确算法无可调低召回档位。仅Z列为100%实测参考点，不能作为等召回95%比较。</t>
        </is>
      </c>
    </row>
    <row r="254">
      <c r="A254" s="0" t="inlineStr">
        <is>
          <t>NYTimes-256</t>
        </is>
      </c>
      <c r="B254" s="0" t="inlineStr">
        <is>
          <t>W44</t>
        </is>
      </c>
      <c r="E254" s="0" t="inlineStr">
        <is>
          <t>不适用：精确算法无可调低召回档位。仅Z列为100%实测参考点，不能作为等召回95%比较。</t>
        </is>
      </c>
    </row>
    <row r="255">
      <c r="A255" s="0" t="inlineStr">
        <is>
          <t>NYTimes-256</t>
        </is>
      </c>
      <c r="B255" s="0" t="inlineStr">
        <is>
          <t>X43</t>
        </is>
      </c>
      <c r="E255" s="0" t="inlineStr">
        <is>
          <t>不适用：精确算法无可调低召回档位。仅Z列为100%实测参考点，不能作为等召回95%比较。</t>
        </is>
      </c>
    </row>
    <row r="256">
      <c r="A256" s="0" t="inlineStr">
        <is>
          <t>NYTimes-256</t>
        </is>
      </c>
      <c r="B256" s="0" t="inlineStr">
        <is>
          <t>X44</t>
        </is>
      </c>
      <c r="E256" s="0" t="inlineStr">
        <is>
          <t>不适用：精确算法无可调低召回档位。仅Z列为100%实测参考点，不能作为等召回95%比较。</t>
        </is>
      </c>
    </row>
    <row r="257">
      <c r="A257" s="0" t="inlineStr">
        <is>
          <t>NYTimes-256</t>
        </is>
      </c>
      <c r="B257" s="0" t="inlineStr">
        <is>
          <t>Y43</t>
        </is>
      </c>
      <c r="E257" s="0" t="inlineStr">
        <is>
          <t>不适用：精确算法无可调低召回档位。仅Z列为100%实测参考点，不能作为等召回95%比较。</t>
        </is>
      </c>
    </row>
    <row r="258">
      <c r="A258" s="0" t="inlineStr">
        <is>
          <t>NYTimes-256</t>
        </is>
      </c>
      <c r="B258" s="0" t="inlineStr">
        <is>
          <t>Y44</t>
        </is>
      </c>
      <c r="E258" s="0" t="inlineStr">
        <is>
          <t>不适用：精确算法无可调低召回档位。仅Z列为100%实测参考点，不能作为等召回95%比较。</t>
        </is>
      </c>
    </row>
    <row r="259">
      <c r="A259" s="0" t="inlineStr">
        <is>
          <t>NYTimes-256</t>
        </is>
      </c>
      <c r="B259" s="0" t="inlineStr">
        <is>
          <t>Z43</t>
        </is>
      </c>
      <c r="C259" s="0" t="n">
        <v>100</v>
      </c>
      <c r="D259" s="0" t="inlineStr">
        <is>
          <t>/mnt/d/paper_source/work_9/VeriANN_repro_2026-09-30/VeriANN_repro_2026-09-30/results/work9-chen13-20261021/nytimes256-289761-overall/measurement.json</t>
        </is>
      </c>
      <c r="E259" s="0" t="inlineStr">
        <is>
          <t>精确方法唯一召回点。</t>
        </is>
      </c>
    </row>
    <row r="260">
      <c r="A260" s="0" t="inlineStr">
        <is>
          <t>NYTimes-256</t>
        </is>
      </c>
      <c r="B260" s="0" t="inlineStr">
        <is>
          <t>Z44</t>
        </is>
      </c>
      <c r="C260" s="0" t="n">
        <v>243.191143033333</v>
      </c>
      <c r="D260" s="0" t="inlineStr">
        <is>
          <t>/mnt/d/paper_source/work_9/VeriANN_repro_2026-09-30/VeriANN_repro_2026-09-30/results/work9-chen13-20261021/nytimes256-289761-overall/measurement.json</t>
        </is>
      </c>
      <c r="E260" s="0" t="inlineStr">
        <is>
          <t>沿用默认 k=10 的同一组60次真实测量；非重复实验。</t>
        </is>
      </c>
    </row>
    <row r="261">
      <c r="A261" s="0" t="inlineStr">
        <is>
          <t>NYTimes-256</t>
        </is>
      </c>
      <c r="B261" s="0" t="inlineStr">
        <is>
          <t>F57</t>
        </is>
      </c>
      <c r="E261" s="0" t="inlineStr">
        <is>
          <t>不适用：精确算法无可调低召回档位。仅Z列为100%实测参考点，不能作为等召回95%比较。</t>
        </is>
      </c>
    </row>
    <row r="262">
      <c r="A262" s="0" t="inlineStr">
        <is>
          <t>NYTimes-256</t>
        </is>
      </c>
      <c r="B262" s="0" t="inlineStr">
        <is>
          <t>F58</t>
        </is>
      </c>
      <c r="E262" s="0" t="inlineStr">
        <is>
          <t>不适用：精确算法无可调低召回档位。仅Z列为100%实测参考点，不能作为等召回95%比较。</t>
        </is>
      </c>
    </row>
    <row r="263">
      <c r="A263" s="0" t="inlineStr">
        <is>
          <t>NYTimes-256</t>
        </is>
      </c>
      <c r="B263" s="0" t="inlineStr">
        <is>
          <t>G57</t>
        </is>
      </c>
      <c r="E263" s="0" t="inlineStr">
        <is>
          <t>不适用：精确算法无可调低召回档位。仅Z列为100%实测参考点，不能作为等召回95%比较。</t>
        </is>
      </c>
    </row>
    <row r="264">
      <c r="A264" s="0" t="inlineStr">
        <is>
          <t>NYTimes-256</t>
        </is>
      </c>
      <c r="B264" s="0" t="inlineStr">
        <is>
          <t>G58</t>
        </is>
      </c>
      <c r="E264" s="0" t="inlineStr">
        <is>
          <t>不适用：精确算法无可调低召回档位。仅Z列为100%实测参考点，不能作为等召回95%比较。</t>
        </is>
      </c>
    </row>
    <row r="265">
      <c r="A265" s="0" t="inlineStr">
        <is>
          <t>NYTimes-256</t>
        </is>
      </c>
      <c r="B265" s="0" t="inlineStr">
        <is>
          <t>H57</t>
        </is>
      </c>
      <c r="E265" s="0" t="inlineStr">
        <is>
          <t>不适用：精确算法无可调低召回档位。仅Z列为100%实测参考点，不能作为等召回95%比较。</t>
        </is>
      </c>
    </row>
    <row r="266">
      <c r="A266" s="0" t="inlineStr">
        <is>
          <t>NYTimes-256</t>
        </is>
      </c>
      <c r="B266" s="0" t="inlineStr">
        <is>
          <t>H58</t>
        </is>
      </c>
      <c r="E266" s="0" t="inlineStr">
        <is>
          <t>不适用：精确算法无可调低召回档位。仅Z列为100%实测参考点，不能作为等召回95%比较。</t>
        </is>
      </c>
    </row>
    <row r="267">
      <c r="A267" s="0" t="inlineStr">
        <is>
          <t>NYTimes-256</t>
        </is>
      </c>
      <c r="B267" s="0" t="inlineStr">
        <is>
          <t>I57</t>
        </is>
      </c>
      <c r="E267" s="0" t="inlineStr">
        <is>
          <t>不适用：精确算法无可调低召回档位。仅Z列为100%实测参考点，不能作为等召回95%比较。</t>
        </is>
      </c>
    </row>
    <row r="268">
      <c r="A268" s="0" t="inlineStr">
        <is>
          <t>NYTimes-256</t>
        </is>
      </c>
      <c r="B268" s="0" t="inlineStr">
        <is>
          <t>I58</t>
        </is>
      </c>
      <c r="E268" s="0" t="inlineStr">
        <is>
          <t>不适用：精确算法无可调低召回档位。仅Z列为100%实测参考点，不能作为等召回95%比较。</t>
        </is>
      </c>
    </row>
    <row r="269">
      <c r="A269" s="0" t="inlineStr">
        <is>
          <t>NYTimes-256</t>
        </is>
      </c>
      <c r="B269" s="0" t="inlineStr">
        <is>
          <t>J57</t>
        </is>
      </c>
      <c r="E269" s="0" t="inlineStr">
        <is>
          <t>不适用：精确算法无可调低召回档位。仅Z列为100%实测参考点，不能作为等召回95%比较。</t>
        </is>
      </c>
    </row>
    <row r="270">
      <c r="A270" s="0" t="inlineStr">
        <is>
          <t>NYTimes-256</t>
        </is>
      </c>
      <c r="B270" s="0" t="inlineStr">
        <is>
          <t>J58</t>
        </is>
      </c>
      <c r="E270" s="0" t="inlineStr">
        <is>
          <t>不适用：精确算法无可调低召回档位。仅Z列为100%实测参考点，不能作为等召回95%比较。</t>
        </is>
      </c>
    </row>
    <row r="271">
      <c r="A271" s="0" t="inlineStr">
        <is>
          <t>NYTimes-256</t>
        </is>
      </c>
      <c r="B271" s="0" t="inlineStr">
        <is>
          <t>K57</t>
        </is>
      </c>
      <c r="E271" s="0" t="inlineStr">
        <is>
          <t>不适用：精确算法无可调低召回档位。仅Z列为100%实测参考点，不能作为等召回95%比较。</t>
        </is>
      </c>
    </row>
    <row r="272">
      <c r="A272" s="0" t="inlineStr">
        <is>
          <t>NYTimes-256</t>
        </is>
      </c>
      <c r="B272" s="0" t="inlineStr">
        <is>
          <t>K58</t>
        </is>
      </c>
      <c r="E272" s="0" t="inlineStr">
        <is>
          <t>不适用：精确算法无可调低召回档位。仅Z列为100%实测参考点，不能作为等召回95%比较。</t>
        </is>
      </c>
    </row>
    <row r="273">
      <c r="A273" s="0" t="inlineStr">
        <is>
          <t>NYTimes-256</t>
        </is>
      </c>
      <c r="B273" s="0" t="inlineStr">
        <is>
          <t>L57</t>
        </is>
      </c>
      <c r="E273" s="0" t="inlineStr">
        <is>
          <t>不适用：精确算法无可调低召回档位。仅Z列为100%实测参考点，不能作为等召回95%比较。</t>
        </is>
      </c>
    </row>
    <row r="274">
      <c r="A274" s="0" t="inlineStr">
        <is>
          <t>NYTimes-256</t>
        </is>
      </c>
      <c r="B274" s="0" t="inlineStr">
        <is>
          <t>L58</t>
        </is>
      </c>
      <c r="E274" s="0" t="inlineStr">
        <is>
          <t>不适用：精确算法无可调低召回档位。仅Z列为100%实测参考点，不能作为等召回95%比较。</t>
        </is>
      </c>
    </row>
    <row r="275">
      <c r="A275" s="0" t="inlineStr">
        <is>
          <t>NYTimes-256</t>
        </is>
      </c>
      <c r="B275" s="0" t="inlineStr">
        <is>
          <t>M57</t>
        </is>
      </c>
      <c r="E275" s="0" t="inlineStr">
        <is>
          <t>不适用：精确算法无可调低召回档位。仅Z列为100%实测参考点，不能作为等召回95%比较。</t>
        </is>
      </c>
    </row>
    <row r="276">
      <c r="A276" s="0" t="inlineStr">
        <is>
          <t>NYTimes-256</t>
        </is>
      </c>
      <c r="B276" s="0" t="inlineStr">
        <is>
          <t>M58</t>
        </is>
      </c>
      <c r="E276" s="0" t="inlineStr">
        <is>
          <t>不适用：精确算法无可调低召回档位。仅Z列为100%实测参考点，不能作为等召回95%比较。</t>
        </is>
      </c>
    </row>
    <row r="277">
      <c r="A277" s="0" t="inlineStr">
        <is>
          <t>NYTimes-256</t>
        </is>
      </c>
      <c r="B277" s="0" t="inlineStr">
        <is>
          <t>N57</t>
        </is>
      </c>
      <c r="E277" s="0" t="inlineStr">
        <is>
          <t>不适用：精确算法无可调低召回档位。仅Z列为100%实测参考点，不能作为等召回95%比较。</t>
        </is>
      </c>
    </row>
    <row r="278">
      <c r="A278" s="0" t="inlineStr">
        <is>
          <t>NYTimes-256</t>
        </is>
      </c>
      <c r="B278" s="0" t="inlineStr">
        <is>
          <t>N58</t>
        </is>
      </c>
      <c r="E278" s="0" t="inlineStr">
        <is>
          <t>不适用：精确算法无可调低召回档位。仅Z列为100%实测参考点，不能作为等召回95%比较。</t>
        </is>
      </c>
    </row>
    <row r="279">
      <c r="A279" s="0" t="inlineStr">
        <is>
          <t>NYTimes-256</t>
        </is>
      </c>
      <c r="B279" s="0" t="inlineStr">
        <is>
          <t>O57</t>
        </is>
      </c>
      <c r="E279" s="0" t="inlineStr">
        <is>
          <t>不适用：精确算法无可调低召回档位。仅Z列为100%实测参考点，不能作为等召回95%比较。</t>
        </is>
      </c>
    </row>
    <row r="280">
      <c r="A280" s="0" t="inlineStr">
        <is>
          <t>NYTimes-256</t>
        </is>
      </c>
      <c r="B280" s="0" t="inlineStr">
        <is>
          <t>O58</t>
        </is>
      </c>
      <c r="E280" s="0" t="inlineStr">
        <is>
          <t>不适用：精确算法无可调低召回档位。仅Z列为100%实测参考点，不能作为等召回95%比较。</t>
        </is>
      </c>
    </row>
    <row r="281">
      <c r="A281" s="0" t="inlineStr">
        <is>
          <t>NYTimes-256</t>
        </is>
      </c>
      <c r="B281" s="0" t="inlineStr">
        <is>
          <t>P57</t>
        </is>
      </c>
      <c r="E281" s="0" t="inlineStr">
        <is>
          <t>不适用：精确算法无可调低召回档位。仅Z列为100%实测参考点，不能作为等召回95%比较。</t>
        </is>
      </c>
    </row>
    <row r="282">
      <c r="A282" s="0" t="inlineStr">
        <is>
          <t>NYTimes-256</t>
        </is>
      </c>
      <c r="B282" s="0" t="inlineStr">
        <is>
          <t>P58</t>
        </is>
      </c>
      <c r="E282" s="0" t="inlineStr">
        <is>
          <t>不适用：精确算法无可调低召回档位。仅Z列为100%实测参考点，不能作为等召回95%比较。</t>
        </is>
      </c>
    </row>
    <row r="283">
      <c r="A283" s="0" t="inlineStr">
        <is>
          <t>NYTimes-256</t>
        </is>
      </c>
      <c r="B283" s="0" t="inlineStr">
        <is>
          <t>Q57</t>
        </is>
      </c>
      <c r="E283" s="0" t="inlineStr">
        <is>
          <t>不适用：精确算法无可调低召回档位。仅Z列为100%实测参考点，不能作为等召回95%比较。</t>
        </is>
      </c>
    </row>
    <row r="284">
      <c r="A284" s="0" t="inlineStr">
        <is>
          <t>NYTimes-256</t>
        </is>
      </c>
      <c r="B284" s="0" t="inlineStr">
        <is>
          <t>Q58</t>
        </is>
      </c>
      <c r="E284" s="0" t="inlineStr">
        <is>
          <t>不适用：精确算法无可调低召回档位。仅Z列为100%实测参考点，不能作为等召回95%比较。</t>
        </is>
      </c>
    </row>
    <row r="285">
      <c r="A285" s="0" t="inlineStr">
        <is>
          <t>NYTimes-256</t>
        </is>
      </c>
      <c r="B285" s="0" t="inlineStr">
        <is>
          <t>R57</t>
        </is>
      </c>
      <c r="E285" s="0" t="inlineStr">
        <is>
          <t>不适用：精确算法无可调低召回档位。仅Z列为100%实测参考点，不能作为等召回95%比较。</t>
        </is>
      </c>
    </row>
    <row r="286">
      <c r="A286" s="0" t="inlineStr">
        <is>
          <t>NYTimes-256</t>
        </is>
      </c>
      <c r="B286" s="0" t="inlineStr">
        <is>
          <t>R58</t>
        </is>
      </c>
      <c r="E286" s="0" t="inlineStr">
        <is>
          <t>不适用：精确算法无可调低召回档位。仅Z列为100%实测参考点，不能作为等召回95%比较。</t>
        </is>
      </c>
    </row>
    <row r="287">
      <c r="A287" s="0" t="inlineStr">
        <is>
          <t>NYTimes-256</t>
        </is>
      </c>
      <c r="B287" s="0" t="inlineStr">
        <is>
          <t>S57</t>
        </is>
      </c>
      <c r="E287" s="0" t="inlineStr">
        <is>
          <t>不适用：精确算法无可调低召回档位。仅Z列为100%实测参考点，不能作为等召回95%比较。</t>
        </is>
      </c>
    </row>
    <row r="288">
      <c r="A288" s="0" t="inlineStr">
        <is>
          <t>NYTimes-256</t>
        </is>
      </c>
      <c r="B288" s="0" t="inlineStr">
        <is>
          <t>S58</t>
        </is>
      </c>
      <c r="E288" s="0" t="inlineStr">
        <is>
          <t>不适用：精确算法无可调低召回档位。仅Z列为100%实测参考点，不能作为等召回95%比较。</t>
        </is>
      </c>
    </row>
    <row r="289">
      <c r="A289" s="0" t="inlineStr">
        <is>
          <t>NYTimes-256</t>
        </is>
      </c>
      <c r="B289" s="0" t="inlineStr">
        <is>
          <t>T57</t>
        </is>
      </c>
      <c r="E289" s="0" t="inlineStr">
        <is>
          <t>不适用：精确算法无可调低召回档位。仅Z列为100%实测参考点，不能作为等召回95%比较。</t>
        </is>
      </c>
    </row>
    <row r="290">
      <c r="A290" s="0" t="inlineStr">
        <is>
          <t>NYTimes-256</t>
        </is>
      </c>
      <c r="B290" s="0" t="inlineStr">
        <is>
          <t>T58</t>
        </is>
      </c>
      <c r="E290" s="0" t="inlineStr">
        <is>
          <t>不适用：精确算法无可调低召回档位。仅Z列为100%实测参考点，不能作为等召回95%比较。</t>
        </is>
      </c>
    </row>
    <row r="291">
      <c r="A291" s="0" t="inlineStr">
        <is>
          <t>NYTimes-256</t>
        </is>
      </c>
      <c r="B291" s="0" t="inlineStr">
        <is>
          <t>U57</t>
        </is>
      </c>
      <c r="E291" s="0" t="inlineStr">
        <is>
          <t>不适用：精确算法无可调低召回档位。仅Z列为100%实测参考点，不能作为等召回95%比较。</t>
        </is>
      </c>
    </row>
    <row r="292">
      <c r="A292" s="0" t="inlineStr">
        <is>
          <t>NYTimes-256</t>
        </is>
      </c>
      <c r="B292" s="0" t="inlineStr">
        <is>
          <t>U58</t>
        </is>
      </c>
      <c r="E292" s="0" t="inlineStr">
        <is>
          <t>不适用：精确算法无可调低召回档位。仅Z列为100%实测参考点，不能作为等召回95%比较。</t>
        </is>
      </c>
    </row>
    <row r="293">
      <c r="A293" s="0" t="inlineStr">
        <is>
          <t>NYTimes-256</t>
        </is>
      </c>
      <c r="B293" s="0" t="inlineStr">
        <is>
          <t>V57</t>
        </is>
      </c>
      <c r="E293" s="0" t="inlineStr">
        <is>
          <t>不适用：精确算法无可调低召回档位。仅Z列为100%实测参考点，不能作为等召回95%比较。</t>
        </is>
      </c>
    </row>
    <row r="294">
      <c r="A294" s="0" t="inlineStr">
        <is>
          <t>NYTimes-256</t>
        </is>
      </c>
      <c r="B294" s="0" t="inlineStr">
        <is>
          <t>V58</t>
        </is>
      </c>
      <c r="E294" s="0" t="inlineStr">
        <is>
          <t>不适用：精确算法无可调低召回档位。仅Z列为100%实测参考点，不能作为等召回95%比较。</t>
        </is>
      </c>
    </row>
    <row r="295">
      <c r="A295" s="0" t="inlineStr">
        <is>
          <t>NYTimes-256</t>
        </is>
      </c>
      <c r="B295" s="0" t="inlineStr">
        <is>
          <t>W57</t>
        </is>
      </c>
      <c r="E295" s="0" t="inlineStr">
        <is>
          <t>不适用：精确算法无可调低召回档位。仅Z列为100%实测参考点，不能作为等召回95%比较。</t>
        </is>
      </c>
    </row>
    <row r="296">
      <c r="A296" s="0" t="inlineStr">
        <is>
          <t>NYTimes-256</t>
        </is>
      </c>
      <c r="B296" s="0" t="inlineStr">
        <is>
          <t>W58</t>
        </is>
      </c>
      <c r="E296" s="0" t="inlineStr">
        <is>
          <t>不适用：精确算法无可调低召回档位。仅Z列为100%实测参考点，不能作为等召回95%比较。</t>
        </is>
      </c>
    </row>
    <row r="297">
      <c r="A297" s="0" t="inlineStr">
        <is>
          <t>NYTimes-256</t>
        </is>
      </c>
      <c r="B297" s="0" t="inlineStr">
        <is>
          <t>X57</t>
        </is>
      </c>
      <c r="E297" s="0" t="inlineStr">
        <is>
          <t>不适用：精确算法无可调低召回档位。仅Z列为100%实测参考点，不能作为等召回95%比较。</t>
        </is>
      </c>
    </row>
    <row r="298">
      <c r="A298" s="0" t="inlineStr">
        <is>
          <t>NYTimes-256</t>
        </is>
      </c>
      <c r="B298" s="0" t="inlineStr">
        <is>
          <t>X58</t>
        </is>
      </c>
      <c r="E298" s="0" t="inlineStr">
        <is>
          <t>不适用：精确算法无可调低召回档位。仅Z列为100%实测参考点，不能作为等召回95%比较。</t>
        </is>
      </c>
    </row>
    <row r="299">
      <c r="A299" s="0" t="inlineStr">
        <is>
          <t>NYTimes-256</t>
        </is>
      </c>
      <c r="B299" s="0" t="inlineStr">
        <is>
          <t>Y57</t>
        </is>
      </c>
      <c r="E299" s="0" t="inlineStr">
        <is>
          <t>不适用：精确算法无可调低召回档位。仅Z列为100%实测参考点，不能作为等召回95%比较。</t>
        </is>
      </c>
    </row>
    <row r="300">
      <c r="A300" s="0" t="inlineStr">
        <is>
          <t>NYTimes-256</t>
        </is>
      </c>
      <c r="B300" s="0" t="inlineStr">
        <is>
          <t>Y58</t>
        </is>
      </c>
      <c r="E300" s="0" t="inlineStr">
        <is>
          <t>不适用：精确算法无可调低召回档位。仅Z列为100%实测参考点，不能作为等召回95%比较。</t>
        </is>
      </c>
    </row>
    <row r="301">
      <c r="A301" s="0" t="inlineStr">
        <is>
          <t>NYTimes-256</t>
        </is>
      </c>
      <c r="B301" s="0" t="inlineStr">
        <is>
          <t>Z57</t>
        </is>
      </c>
      <c r="C301" s="0" t="n">
        <v>100</v>
      </c>
      <c r="D301" s="0" t="inlineStr">
        <is>
          <t>/mnt/d/paper_source/work_9/VeriANN_repro_2026-09-30/VeriANN_repro_2026-09-30/results/work9-chen13-20261021/nytimes256-289761-overall/measurement.json</t>
        </is>
      </c>
      <c r="E301" s="0" t="inlineStr">
        <is>
          <t>精确方法唯一召回点。</t>
        </is>
      </c>
    </row>
    <row r="302">
      <c r="A302" s="0" t="inlineStr">
        <is>
          <t>NYTimes-256</t>
        </is>
      </c>
      <c r="B302" s="0" t="inlineStr">
        <is>
          <t>Z58</t>
        </is>
      </c>
      <c r="C302" s="0" t="n">
        <v>204.621311333333</v>
      </c>
      <c r="D302" s="0" t="inlineStr">
        <is>
          <t>/mnt/d/paper_source/work_9/VeriANN_repro_2026-09-30/VeriANN_repro_2026-09-30/results/work9-chen13-20261021/nytimes256-289761-overall/measurement.json</t>
        </is>
      </c>
      <c r="E302" s="0" t="inlineStr">
        <is>
          <t>沿用默认 k=10 的同一组60次真实测量；非重复实验。</t>
        </is>
      </c>
    </row>
    <row r="303">
      <c r="A303" s="0" t="inlineStr">
        <is>
          <t>NYTimes-256</t>
        </is>
      </c>
      <c r="B303" s="0" t="inlineStr">
        <is>
          <t>F72</t>
        </is>
      </c>
      <c r="E303" s="0" t="inlineStr">
        <is>
          <t>按用户要求，此数据集不做 Dataset size 实验。</t>
        </is>
      </c>
    </row>
    <row r="304">
      <c r="A304" s="0" t="inlineStr">
        <is>
          <t>NYTimes-256</t>
        </is>
      </c>
      <c r="B304" s="0" t="inlineStr">
        <is>
          <t>G72</t>
        </is>
      </c>
      <c r="E304" s="0" t="inlineStr">
        <is>
          <t>按用户要求，此数据集不做 Dataset size 实验。</t>
        </is>
      </c>
    </row>
    <row r="305">
      <c r="A305" s="0" t="inlineStr">
        <is>
          <t>NYTimes-256</t>
        </is>
      </c>
      <c r="B305" s="0" t="inlineStr">
        <is>
          <t>H72</t>
        </is>
      </c>
      <c r="E305" s="0" t="inlineStr">
        <is>
          <t>按用户要求，此数据集不做 Dataset size 实验。</t>
        </is>
      </c>
    </row>
    <row r="306">
      <c r="A306" s="0" t="inlineStr">
        <is>
          <t>NYTimes-256</t>
        </is>
      </c>
      <c r="B306" s="0" t="inlineStr">
        <is>
          <t>I72</t>
        </is>
      </c>
      <c r="E306" s="0" t="inlineStr">
        <is>
          <t>按用户要求，此数据集不做 Dataset size 实验。</t>
        </is>
      </c>
    </row>
    <row r="307">
      <c r="A307" s="0" t="inlineStr">
        <is>
          <t>NYTimes-256</t>
        </is>
      </c>
      <c r="B307" s="0" t="inlineStr">
        <is>
          <t>J72</t>
        </is>
      </c>
      <c r="E307" s="0" t="inlineStr">
        <is>
          <t>按用户要求，此数据集不做 Dataset size 实验。</t>
        </is>
      </c>
    </row>
    <row r="308">
      <c r="A308" s="0" t="inlineStr">
        <is>
          <t>NYTimes-256</t>
        </is>
      </c>
      <c r="B308" s="0" t="inlineStr">
        <is>
          <t>F84</t>
        </is>
      </c>
      <c r="E308" s="0" t="inlineStr">
        <is>
          <t>按用户要求，此数据集不做 Dataset size 实验。</t>
        </is>
      </c>
    </row>
    <row r="309">
      <c r="A309" s="0" t="inlineStr">
        <is>
          <t>NYTimes-256</t>
        </is>
      </c>
      <c r="B309" s="0" t="inlineStr">
        <is>
          <t>G84</t>
        </is>
      </c>
      <c r="E309" s="0" t="inlineStr">
        <is>
          <t>按用户要求，此数据集不做 Dataset size 实验。</t>
        </is>
      </c>
    </row>
    <row r="310">
      <c r="A310" s="0" t="inlineStr">
        <is>
          <t>NYTimes-256</t>
        </is>
      </c>
      <c r="B310" s="0" t="inlineStr">
        <is>
          <t>H84</t>
        </is>
      </c>
      <c r="E310" s="0" t="inlineStr">
        <is>
          <t>按用户要求，此数据集不做 Dataset size 实验。</t>
        </is>
      </c>
    </row>
    <row r="311">
      <c r="A311" s="0" t="inlineStr">
        <is>
          <t>NYTimes-256</t>
        </is>
      </c>
      <c r="B311" s="0" t="inlineStr">
        <is>
          <t>I84</t>
        </is>
      </c>
      <c r="E311" s="0" t="inlineStr">
        <is>
          <t>按用户要求，此数据集不做 Dataset size 实验。</t>
        </is>
      </c>
    </row>
    <row r="312">
      <c r="A312" s="0" t="inlineStr">
        <is>
          <t>NYTimes-256</t>
        </is>
      </c>
      <c r="B312" s="0" t="inlineStr">
        <is>
          <t>J84</t>
        </is>
      </c>
      <c r="E312" s="0" t="inlineStr">
        <is>
          <t>按用户要求，此数据集不做 Dataset size 实验。</t>
        </is>
      </c>
    </row>
    <row r="313">
      <c r="A313" s="0" t="inlineStr">
        <is>
          <t>NYTimes-256</t>
        </is>
      </c>
      <c r="B313" s="0" t="inlineStr">
        <is>
          <t>F95</t>
        </is>
      </c>
      <c r="E313" s="0" t="inlineStr">
        <is>
          <t>按用户要求，此数据集不做 Dataset size 实验。</t>
        </is>
      </c>
    </row>
    <row r="314">
      <c r="A314" s="0" t="inlineStr">
        <is>
          <t>NYTimes-256</t>
        </is>
      </c>
      <c r="B314" s="0" t="inlineStr">
        <is>
          <t>G95</t>
        </is>
      </c>
      <c r="E314" s="0" t="inlineStr">
        <is>
          <t>按用户要求，此数据集不做 Dataset size 实验。</t>
        </is>
      </c>
    </row>
    <row r="315">
      <c r="A315" s="0" t="inlineStr">
        <is>
          <t>NYTimes-256</t>
        </is>
      </c>
      <c r="B315" s="0" t="inlineStr">
        <is>
          <t>H95</t>
        </is>
      </c>
      <c r="E315" s="0" t="inlineStr">
        <is>
          <t>按用户要求，此数据集不做 Dataset size 实验。</t>
        </is>
      </c>
    </row>
    <row r="316">
      <c r="A316" s="0" t="inlineStr">
        <is>
          <t>NYTimes-256</t>
        </is>
      </c>
      <c r="B316" s="0" t="inlineStr">
        <is>
          <t>I95</t>
        </is>
      </c>
      <c r="E316" s="0" t="inlineStr">
        <is>
          <t>按用户要求，此数据集不做 Dataset size 实验。</t>
        </is>
      </c>
    </row>
    <row r="317">
      <c r="A317" s="0" t="inlineStr">
        <is>
          <t>NYTimes-256</t>
        </is>
      </c>
      <c r="B317" s="0" t="inlineStr">
        <is>
          <t>J95</t>
        </is>
      </c>
      <c r="E317" s="0" t="inlineStr">
        <is>
          <t>按用户要求，此数据集不做 Dataset size 实验。</t>
        </is>
      </c>
    </row>
    <row r="318">
      <c r="A318" s="0" t="inlineStr">
        <is>
          <t>NYTimes-256</t>
        </is>
      </c>
      <c r="B318" s="0" t="inlineStr">
        <is>
          <t>F108</t>
        </is>
      </c>
      <c r="E318" s="0" t="inlineStr">
        <is>
          <t>按用户要求，此数据集不做K实验。</t>
        </is>
      </c>
    </row>
    <row r="319">
      <c r="A319" s="0" t="inlineStr">
        <is>
          <t>NYTimes-256</t>
        </is>
      </c>
      <c r="B319" s="0" t="inlineStr">
        <is>
          <t>G108</t>
        </is>
      </c>
      <c r="E319" s="0" t="inlineStr">
        <is>
          <t>按用户要求，此数据集不做K实验。</t>
        </is>
      </c>
    </row>
    <row r="320">
      <c r="A320" s="0" t="inlineStr">
        <is>
          <t>NYTimes-256</t>
        </is>
      </c>
      <c r="B320" s="0" t="inlineStr">
        <is>
          <t>H108</t>
        </is>
      </c>
      <c r="E320" s="0" t="inlineStr">
        <is>
          <t>按用户要求，此数据集不做K实验。</t>
        </is>
      </c>
    </row>
    <row r="321">
      <c r="A321" s="0" t="inlineStr">
        <is>
          <t>NYTimes-256</t>
        </is>
      </c>
      <c r="B321" s="0" t="inlineStr">
        <is>
          <t>I108</t>
        </is>
      </c>
      <c r="E321" s="0" t="inlineStr">
        <is>
          <t>按用户要求，此数据集不做K实验。</t>
        </is>
      </c>
    </row>
    <row r="322">
      <c r="A322" s="0" t="inlineStr">
        <is>
          <t>NYTimes-256</t>
        </is>
      </c>
      <c r="B322" s="0" t="inlineStr">
        <is>
          <t>J108</t>
        </is>
      </c>
      <c r="E322" s="0" t="inlineStr">
        <is>
          <t>按用户要求，此数据集不做K实验。</t>
        </is>
      </c>
    </row>
    <row r="323">
      <c r="A323" s="0" t="inlineStr">
        <is>
          <t>NYTimes-256</t>
        </is>
      </c>
      <c r="B323" s="0" t="inlineStr">
        <is>
          <t>K108</t>
        </is>
      </c>
      <c r="E323" s="0" t="inlineStr">
        <is>
          <t>按用户要求，此数据集不做K实验。</t>
        </is>
      </c>
    </row>
    <row r="324">
      <c r="A324" s="0" t="inlineStr">
        <is>
          <t>NYTimes-256</t>
        </is>
      </c>
      <c r="B324" s="0" t="inlineStr">
        <is>
          <t>F120</t>
        </is>
      </c>
      <c r="E324" s="0" t="inlineStr">
        <is>
          <t>按用户要求，此数据集不做K实验。</t>
        </is>
      </c>
    </row>
    <row r="325">
      <c r="A325" s="0" t="inlineStr">
        <is>
          <t>NYTimes-256</t>
        </is>
      </c>
      <c r="B325" s="0" t="inlineStr">
        <is>
          <t>G120</t>
        </is>
      </c>
      <c r="E325" s="0" t="inlineStr">
        <is>
          <t>按用户要求，此数据集不做K实验。</t>
        </is>
      </c>
    </row>
    <row r="326">
      <c r="A326" s="0" t="inlineStr">
        <is>
          <t>NYTimes-256</t>
        </is>
      </c>
      <c r="B326" s="0" t="inlineStr">
        <is>
          <t>H120</t>
        </is>
      </c>
      <c r="E326" s="0" t="inlineStr">
        <is>
          <t>按用户要求，此数据集不做K实验。</t>
        </is>
      </c>
    </row>
    <row r="327">
      <c r="A327" s="0" t="inlineStr">
        <is>
          <t>NYTimes-256</t>
        </is>
      </c>
      <c r="B327" s="0" t="inlineStr">
        <is>
          <t>I120</t>
        </is>
      </c>
      <c r="E327" s="0" t="inlineStr">
        <is>
          <t>按用户要求，此数据集不做K实验。</t>
        </is>
      </c>
    </row>
    <row r="328">
      <c r="A328" s="0" t="inlineStr">
        <is>
          <t>NYTimes-256</t>
        </is>
      </c>
      <c r="B328" s="0" t="inlineStr">
        <is>
          <t>J120</t>
        </is>
      </c>
      <c r="E328" s="0" t="inlineStr">
        <is>
          <t>按用户要求，此数据集不做K实验。</t>
        </is>
      </c>
    </row>
    <row r="329">
      <c r="A329" s="0" t="inlineStr">
        <is>
          <t>NYTimes-256</t>
        </is>
      </c>
      <c r="B329" s="0" t="inlineStr">
        <is>
          <t>K120</t>
        </is>
      </c>
      <c r="E329" s="0" t="inlineStr">
        <is>
          <t>按用户要求，此数据集不做K实验。</t>
        </is>
      </c>
    </row>
    <row r="330">
      <c r="A330" s="0" t="inlineStr">
        <is>
          <t>NYTimes-256</t>
        </is>
      </c>
      <c r="B330" s="0" t="inlineStr">
        <is>
          <t>F131</t>
        </is>
      </c>
      <c r="E330" s="0" t="inlineStr">
        <is>
          <t>按用户要求，此数据集不做K实验。</t>
        </is>
      </c>
    </row>
    <row r="331">
      <c r="A331" s="0" t="inlineStr">
        <is>
          <t>NYTimes-256</t>
        </is>
      </c>
      <c r="B331" s="0" t="inlineStr">
        <is>
          <t>G131</t>
        </is>
      </c>
      <c r="E331" s="0" t="inlineStr">
        <is>
          <t>按用户要求，此数据集不做K实验。</t>
        </is>
      </c>
    </row>
    <row r="332">
      <c r="A332" s="0" t="inlineStr">
        <is>
          <t>NYTimes-256</t>
        </is>
      </c>
      <c r="B332" s="0" t="inlineStr">
        <is>
          <t>H131</t>
        </is>
      </c>
      <c r="E332" s="0" t="inlineStr">
        <is>
          <t>按用户要求，此数据集不做K实验。</t>
        </is>
      </c>
    </row>
    <row r="333">
      <c r="A333" s="0" t="inlineStr">
        <is>
          <t>NYTimes-256</t>
        </is>
      </c>
      <c r="B333" s="0" t="inlineStr">
        <is>
          <t>I131</t>
        </is>
      </c>
      <c r="E333" s="0" t="inlineStr">
        <is>
          <t>按用户要求，此数据集不做K实验。</t>
        </is>
      </c>
    </row>
    <row r="334">
      <c r="A334" s="0" t="inlineStr">
        <is>
          <t>NYTimes-256</t>
        </is>
      </c>
      <c r="B334" s="0" t="inlineStr">
        <is>
          <t>J131</t>
        </is>
      </c>
      <c r="E334" s="0" t="inlineStr">
        <is>
          <t>按用户要求，此数据集不做K实验。</t>
        </is>
      </c>
    </row>
    <row r="335">
      <c r="A335" s="0" t="inlineStr">
        <is>
          <t>NYTimes-256</t>
        </is>
      </c>
      <c r="B335" s="0" t="inlineStr">
        <is>
          <t>K131</t>
        </is>
      </c>
      <c r="E335" s="0" t="inlineStr">
        <is>
          <t>按用户要求，此数据集不做K实验。</t>
        </is>
      </c>
    </row>
    <row r="336">
      <c r="A336" s="0" t="inlineStr">
        <is>
          <t>NYTimes-256</t>
        </is>
      </c>
      <c r="B336" s="0" t="inlineStr">
        <is>
          <t>F148</t>
        </is>
      </c>
      <c r="C336" s="0" t="n">
        <v>1</v>
      </c>
      <c r="D336" s="0" t="inlineStr">
        <is>
          <t>/mnt/d/paper_source/work_9/VeriANN_repro_2026-09-30/VeriANN_repro_2026-09-30/results/work9-chen13-20261021/nytimes256-289761-overall/measurement.json</t>
        </is>
      </c>
      <c r="E336" s="0" t="inlineStr">
        <is>
          <t>外部baseline参考，不是Ours的消融变体。Recall以0–1计。</t>
        </is>
      </c>
    </row>
    <row r="337">
      <c r="A337" s="0" t="inlineStr">
        <is>
          <t>NYTimes-256</t>
        </is>
      </c>
      <c r="B337" s="0" t="inlineStr">
        <is>
          <t>G148</t>
        </is>
      </c>
      <c r="C337" s="0" t="n">
        <v>204.621311333333</v>
      </c>
      <c r="D337" s="0" t="inlineStr">
        <is>
          <t>/mnt/d/paper_source/work_9/VeriANN_repro_2026-09-30/VeriANN_repro_2026-09-30/results/work9-chen13-20261021/nytimes256-289761-overall/measurement.json</t>
        </is>
      </c>
      <c r="E337" s="0" t="inlineStr">
        <is>
          <t>外部baseline参考，不是Ours的消融变体。Recall以0–1计。</t>
        </is>
      </c>
    </row>
    <row r="338">
      <c r="A338" s="0" t="inlineStr">
        <is>
          <t>NYTimes-256</t>
        </is>
      </c>
      <c r="B338" s="0" t="inlineStr">
        <is>
          <t>H148</t>
        </is>
      </c>
      <c r="C338" s="0" t="n">
        <v>282958.9249</v>
      </c>
      <c r="D338" s="0" t="inlineStr">
        <is>
          <t>/mnt/d/paper_source/work_9/VeriANN_repro_2026-09-30/VeriANN_repro_2026-09-30/results/work9-chen13-20261021/nytimes256-289761-overall/measurement.json</t>
        </is>
      </c>
      <c r="E338" s="0" t="inlineStr">
        <is>
          <t>外部baseline参考，不是Ours的消融变体。Recall以0–1计。</t>
        </is>
      </c>
    </row>
    <row r="339">
      <c r="A339" s="0" t="inlineStr">
        <is>
          <t>NYTimes-256</t>
        </is>
      </c>
      <c r="B339" s="0" t="inlineStr">
        <is>
          <t>I148</t>
        </is>
      </c>
      <c r="C339" s="0" t="n">
        <v>243.191143033333</v>
      </c>
      <c r="D339" s="0" t="inlineStr">
        <is>
          <t>/mnt/d/paper_source/work_9/VeriANN_repro_2026-09-30/VeriANN_repro_2026-09-30/results/work9-chen13-20261021/nytimes256-289761-overall/measurement.json</t>
        </is>
      </c>
      <c r="E339" s="0" t="inlineStr">
        <is>
          <t>外部baseline参考，不是Ours的消融变体。Recall以0–1计。</t>
        </is>
      </c>
    </row>
    <row r="340">
      <c r="A340" s="0" t="inlineStr">
        <is>
          <t>GloVe-100</t>
        </is>
      </c>
      <c r="B340" s="0" t="inlineStr">
        <is>
          <t>E13</t>
        </is>
      </c>
      <c r="C340" s="0" t="n">
        <v>100</v>
      </c>
      <c r="D340" s="0" t="inlineStr">
        <is>
          <t>/mnt/d/paper_source/work_9/VeriANN_repro_2026-09-30/VeriANN_repro_2026-09-30/results/work9-chen13-20261021/glove100-1183514-overall/measurement.json</t>
        </is>
      </c>
      <c r="E340" s="0" t="inlineStr">
        <is>
          <t>四数据集默认 k=10；20条×3次，单线程实测。精确召回100%，不是95%匹配点。</t>
        </is>
      </c>
    </row>
    <row r="341">
      <c r="A341" s="0" t="inlineStr">
        <is>
          <t>GloVe-100</t>
        </is>
      </c>
      <c r="B341" s="0" t="inlineStr">
        <is>
          <t>F13</t>
        </is>
      </c>
      <c r="C341" s="0" t="n">
        <v>468.738694633333</v>
      </c>
      <c r="D341" s="0" t="inlineStr">
        <is>
          <t>/mnt/d/paper_source/work_9/VeriANN_repro_2026-09-30/VeriANN_repro_2026-09-30/results/work9-chen13-20261021/glove100-1183514-overall/measurement.json</t>
        </is>
      </c>
      <c r="E341" s="0" t="inlineStr">
        <is>
          <t>四数据集默认 k=10；20条×3次，单线程实测。精确召回100%，不是95%匹配点。</t>
        </is>
      </c>
    </row>
    <row r="342">
      <c r="A342" s="0" t="inlineStr">
        <is>
          <t>GloVe-100</t>
        </is>
      </c>
      <c r="B342" s="0" t="inlineStr">
        <is>
          <t>G13</t>
        </is>
      </c>
      <c r="C342" s="0" t="n">
        <v>466932.94075</v>
      </c>
      <c r="D342" s="0" t="inlineStr">
        <is>
          <t>/mnt/d/paper_source/work_9/VeriANN_repro_2026-09-30/VeriANN_repro_2026-09-30/results/work9-chen13-20261021/glove100-1183514-overall/measurement.json</t>
        </is>
      </c>
      <c r="E342" s="0" t="inlineStr">
        <is>
          <t>四数据集默认 k=10；20条×3次，单线程实测。精确召回100%，不是95%匹配点。</t>
        </is>
      </c>
    </row>
    <row r="343">
      <c r="A343" s="0" t="inlineStr">
        <is>
          <t>GloVe-100</t>
        </is>
      </c>
      <c r="B343" s="0" t="inlineStr">
        <is>
          <t>H13</t>
        </is>
      </c>
      <c r="C343" s="0" t="n">
        <v>390.349265616667</v>
      </c>
      <c r="D343" s="0" t="inlineStr">
        <is>
          <t>/mnt/d/paper_source/work_9/VeriANN_repro_2026-09-30/VeriANN_repro_2026-09-30/results/work9-chen13-20261021/glove100-1183514-overall/measurement.json</t>
        </is>
      </c>
      <c r="E343" s="0" t="inlineStr">
        <is>
          <t>四数据集默认 k=10；20条×3次，单线程实测。精确召回100%，不是95%匹配点。</t>
        </is>
      </c>
    </row>
    <row r="344">
      <c r="A344" s="0" t="inlineStr">
        <is>
          <t>GloVe-100</t>
        </is>
      </c>
      <c r="B344" s="0" t="inlineStr">
        <is>
          <t>I13</t>
        </is>
      </c>
      <c r="C344" s="0" t="n">
        <v>500.006896</v>
      </c>
      <c r="D344" s="0" t="inlineStr">
        <is>
          <t>/mnt/d/paper_source/work_9/VeriANN_repro_2026-09-30/VeriANN_repro_2026-09-30/results/work9-chen13-20261021/glove100-1183514-overall/measurement.json</t>
        </is>
      </c>
      <c r="E344" s="0" t="inlineStr">
        <is>
          <t>一次全新单线程构建；无压缩完整服务快照；构建排除最终快照写盘、GT及输入加载。</t>
        </is>
      </c>
    </row>
    <row r="345">
      <c r="A345" s="0" t="inlineStr">
        <is>
          <t>GloVe-100</t>
        </is>
      </c>
      <c r="B345" s="0" t="inlineStr">
        <is>
          <t>J13</t>
        </is>
      </c>
      <c r="C345" s="0" t="n">
        <v>1.067556071</v>
      </c>
      <c r="D345" s="0" t="inlineStr">
        <is>
          <t>/mnt/d/paper_source/work_9/VeriANN_repro_2026-09-30/VeriANN_repro_2026-09-30/results/work9-chen13-20261021/glove100-1183514-overall/measurement.json</t>
        </is>
      </c>
      <c r="E345" s="0" t="inlineStr">
        <is>
          <t>一次全新单线程构建；无压缩完整服务快照；构建排除最终快照写盘、GT及输入加载。</t>
        </is>
      </c>
    </row>
    <row r="346">
      <c r="A346" s="0" t="inlineStr">
        <is>
          <t>GloVe-100</t>
        </is>
      </c>
      <c r="B346" s="0" t="inlineStr">
        <is>
          <t>F29</t>
        </is>
      </c>
      <c r="E346" s="0" t="inlineStr">
        <is>
          <t>不适用：精确算法无可调低召回档位。仅Z列为100%实测参考点，不能作为等召回95%比较。</t>
        </is>
      </c>
    </row>
    <row r="347">
      <c r="A347" s="0" t="inlineStr">
        <is>
          <t>GloVe-100</t>
        </is>
      </c>
      <c r="B347" s="0" t="inlineStr">
        <is>
          <t>F30</t>
        </is>
      </c>
      <c r="E347" s="0" t="inlineStr">
        <is>
          <t>不适用：精确算法无可调低召回档位。仅Z列为100%实测参考点，不能作为等召回95%比较。</t>
        </is>
      </c>
    </row>
    <row r="348">
      <c r="A348" s="0" t="inlineStr">
        <is>
          <t>GloVe-100</t>
        </is>
      </c>
      <c r="B348" s="0" t="inlineStr">
        <is>
          <t>G29</t>
        </is>
      </c>
      <c r="E348" s="0" t="inlineStr">
        <is>
          <t>不适用：精确算法无可调低召回档位。仅Z列为100%实测参考点，不能作为等召回95%比较。</t>
        </is>
      </c>
    </row>
    <row r="349">
      <c r="A349" s="0" t="inlineStr">
        <is>
          <t>GloVe-100</t>
        </is>
      </c>
      <c r="B349" s="0" t="inlineStr">
        <is>
          <t>G30</t>
        </is>
      </c>
      <c r="E349" s="0" t="inlineStr">
        <is>
          <t>不适用：精确算法无可调低召回档位。仅Z列为100%实测参考点，不能作为等召回95%比较。</t>
        </is>
      </c>
    </row>
    <row r="350">
      <c r="A350" s="0" t="inlineStr">
        <is>
          <t>GloVe-100</t>
        </is>
      </c>
      <c r="B350" s="0" t="inlineStr">
        <is>
          <t>H29</t>
        </is>
      </c>
      <c r="E350" s="0" t="inlineStr">
        <is>
          <t>不适用：精确算法无可调低召回档位。仅Z列为100%实测参考点，不能作为等召回95%比较。</t>
        </is>
      </c>
    </row>
    <row r="351">
      <c r="A351" s="0" t="inlineStr">
        <is>
          <t>GloVe-100</t>
        </is>
      </c>
      <c r="B351" s="0" t="inlineStr">
        <is>
          <t>H30</t>
        </is>
      </c>
      <c r="E351" s="0" t="inlineStr">
        <is>
          <t>不适用：精确算法无可调低召回档位。仅Z列为100%实测参考点，不能作为等召回95%比较。</t>
        </is>
      </c>
    </row>
    <row r="352">
      <c r="A352" s="0" t="inlineStr">
        <is>
          <t>GloVe-100</t>
        </is>
      </c>
      <c r="B352" s="0" t="inlineStr">
        <is>
          <t>I29</t>
        </is>
      </c>
      <c r="E352" s="0" t="inlineStr">
        <is>
          <t>不适用：精确算法无可调低召回档位。仅Z列为100%实测参考点，不能作为等召回95%比较。</t>
        </is>
      </c>
    </row>
    <row r="353">
      <c r="A353" s="0" t="inlineStr">
        <is>
          <t>GloVe-100</t>
        </is>
      </c>
      <c r="B353" s="0" t="inlineStr">
        <is>
          <t>I30</t>
        </is>
      </c>
      <c r="E353" s="0" t="inlineStr">
        <is>
          <t>不适用：精确算法无可调低召回档位。仅Z列为100%实测参考点，不能作为等召回95%比较。</t>
        </is>
      </c>
    </row>
    <row r="354">
      <c r="A354" s="0" t="inlineStr">
        <is>
          <t>GloVe-100</t>
        </is>
      </c>
      <c r="B354" s="0" t="inlineStr">
        <is>
          <t>J29</t>
        </is>
      </c>
      <c r="E354" s="0" t="inlineStr">
        <is>
          <t>不适用：精确算法无可调低召回档位。仅Z列为100%实测参考点，不能作为等召回95%比较。</t>
        </is>
      </c>
    </row>
    <row r="355">
      <c r="A355" s="0" t="inlineStr">
        <is>
          <t>GloVe-100</t>
        </is>
      </c>
      <c r="B355" s="0" t="inlineStr">
        <is>
          <t>J30</t>
        </is>
      </c>
      <c r="E355" s="0" t="inlineStr">
        <is>
          <t>不适用：精确算法无可调低召回档位。仅Z列为100%实测参考点，不能作为等召回95%比较。</t>
        </is>
      </c>
    </row>
    <row r="356">
      <c r="A356" s="0" t="inlineStr">
        <is>
          <t>GloVe-100</t>
        </is>
      </c>
      <c r="B356" s="0" t="inlineStr">
        <is>
          <t>K29</t>
        </is>
      </c>
      <c r="E356" s="0" t="inlineStr">
        <is>
          <t>不适用：精确算法无可调低召回档位。仅Z列为100%实测参考点，不能作为等召回95%比较。</t>
        </is>
      </c>
    </row>
    <row r="357">
      <c r="A357" s="0" t="inlineStr">
        <is>
          <t>GloVe-100</t>
        </is>
      </c>
      <c r="B357" s="0" t="inlineStr">
        <is>
          <t>K30</t>
        </is>
      </c>
      <c r="E357" s="0" t="inlineStr">
        <is>
          <t>不适用：精确算法无可调低召回档位。仅Z列为100%实测参考点，不能作为等召回95%比较。</t>
        </is>
      </c>
    </row>
    <row r="358">
      <c r="A358" s="0" t="inlineStr">
        <is>
          <t>GloVe-100</t>
        </is>
      </c>
      <c r="B358" s="0" t="inlineStr">
        <is>
          <t>L29</t>
        </is>
      </c>
      <c r="E358" s="0" t="inlineStr">
        <is>
          <t>不适用：精确算法无可调低召回档位。仅Z列为100%实测参考点，不能作为等召回95%比较。</t>
        </is>
      </c>
    </row>
    <row r="359">
      <c r="A359" s="0" t="inlineStr">
        <is>
          <t>GloVe-100</t>
        </is>
      </c>
      <c r="B359" s="0" t="inlineStr">
        <is>
          <t>L30</t>
        </is>
      </c>
      <c r="E359" s="0" t="inlineStr">
        <is>
          <t>不适用：精确算法无可调低召回档位。仅Z列为100%实测参考点，不能作为等召回95%比较。</t>
        </is>
      </c>
    </row>
    <row r="360">
      <c r="A360" s="0" t="inlineStr">
        <is>
          <t>GloVe-100</t>
        </is>
      </c>
      <c r="B360" s="0" t="inlineStr">
        <is>
          <t>M29</t>
        </is>
      </c>
      <c r="E360" s="0" t="inlineStr">
        <is>
          <t>不适用：精确算法无可调低召回档位。仅Z列为100%实测参考点，不能作为等召回95%比较。</t>
        </is>
      </c>
    </row>
    <row r="361">
      <c r="A361" s="0" t="inlineStr">
        <is>
          <t>GloVe-100</t>
        </is>
      </c>
      <c r="B361" s="0" t="inlineStr">
        <is>
          <t>M30</t>
        </is>
      </c>
      <c r="E361" s="0" t="inlineStr">
        <is>
          <t>不适用：精确算法无可调低召回档位。仅Z列为100%实测参考点，不能作为等召回95%比较。</t>
        </is>
      </c>
    </row>
    <row r="362">
      <c r="A362" s="0" t="inlineStr">
        <is>
          <t>GloVe-100</t>
        </is>
      </c>
      <c r="B362" s="0" t="inlineStr">
        <is>
          <t>N29</t>
        </is>
      </c>
      <c r="E362" s="0" t="inlineStr">
        <is>
          <t>不适用：精确算法无可调低召回档位。仅Z列为100%实测参考点，不能作为等召回95%比较。</t>
        </is>
      </c>
    </row>
    <row r="363">
      <c r="A363" s="0" t="inlineStr">
        <is>
          <t>GloVe-100</t>
        </is>
      </c>
      <c r="B363" s="0" t="inlineStr">
        <is>
          <t>N30</t>
        </is>
      </c>
      <c r="E363" s="0" t="inlineStr">
        <is>
          <t>不适用：精确算法无可调低召回档位。仅Z列为100%实测参考点，不能作为等召回95%比较。</t>
        </is>
      </c>
    </row>
    <row r="364">
      <c r="A364" s="0" t="inlineStr">
        <is>
          <t>GloVe-100</t>
        </is>
      </c>
      <c r="B364" s="0" t="inlineStr">
        <is>
          <t>O29</t>
        </is>
      </c>
      <c r="E364" s="0" t="inlineStr">
        <is>
          <t>不适用：精确算法无可调低召回档位。仅Z列为100%实测参考点，不能作为等召回95%比较。</t>
        </is>
      </c>
    </row>
    <row r="365">
      <c r="A365" s="0" t="inlineStr">
        <is>
          <t>GloVe-100</t>
        </is>
      </c>
      <c r="B365" s="0" t="inlineStr">
        <is>
          <t>O30</t>
        </is>
      </c>
      <c r="E365" s="0" t="inlineStr">
        <is>
          <t>不适用：精确算法无可调低召回档位。仅Z列为100%实测参考点，不能作为等召回95%比较。</t>
        </is>
      </c>
    </row>
    <row r="366">
      <c r="A366" s="0" t="inlineStr">
        <is>
          <t>GloVe-100</t>
        </is>
      </c>
      <c r="B366" s="0" t="inlineStr">
        <is>
          <t>P29</t>
        </is>
      </c>
      <c r="E366" s="0" t="inlineStr">
        <is>
          <t>不适用：精确算法无可调低召回档位。仅Z列为100%实测参考点，不能作为等召回95%比较。</t>
        </is>
      </c>
    </row>
    <row r="367">
      <c r="A367" s="0" t="inlineStr">
        <is>
          <t>GloVe-100</t>
        </is>
      </c>
      <c r="B367" s="0" t="inlineStr">
        <is>
          <t>P30</t>
        </is>
      </c>
      <c r="E367" s="0" t="inlineStr">
        <is>
          <t>不适用：精确算法无可调低召回档位。仅Z列为100%实测参考点，不能作为等召回95%比较。</t>
        </is>
      </c>
    </row>
    <row r="368">
      <c r="A368" s="0" t="inlineStr">
        <is>
          <t>GloVe-100</t>
        </is>
      </c>
      <c r="B368" s="0" t="inlineStr">
        <is>
          <t>Q29</t>
        </is>
      </c>
      <c r="E368" s="0" t="inlineStr">
        <is>
          <t>不适用：精确算法无可调低召回档位。仅Z列为100%实测参考点，不能作为等召回95%比较。</t>
        </is>
      </c>
    </row>
    <row r="369">
      <c r="A369" s="0" t="inlineStr">
        <is>
          <t>GloVe-100</t>
        </is>
      </c>
      <c r="B369" s="0" t="inlineStr">
        <is>
          <t>Q30</t>
        </is>
      </c>
      <c r="E369" s="0" t="inlineStr">
        <is>
          <t>不适用：精确算法无可调低召回档位。仅Z列为100%实测参考点，不能作为等召回95%比较。</t>
        </is>
      </c>
    </row>
    <row r="370">
      <c r="A370" s="0" t="inlineStr">
        <is>
          <t>GloVe-100</t>
        </is>
      </c>
      <c r="B370" s="0" t="inlineStr">
        <is>
          <t>R29</t>
        </is>
      </c>
      <c r="E370" s="0" t="inlineStr">
        <is>
          <t>不适用：精确算法无可调低召回档位。仅Z列为100%实测参考点，不能作为等召回95%比较。</t>
        </is>
      </c>
    </row>
    <row r="371">
      <c r="A371" s="0" t="inlineStr">
        <is>
          <t>GloVe-100</t>
        </is>
      </c>
      <c r="B371" s="0" t="inlineStr">
        <is>
          <t>R30</t>
        </is>
      </c>
      <c r="E371" s="0" t="inlineStr">
        <is>
          <t>不适用：精确算法无可调低召回档位。仅Z列为100%实测参考点，不能作为等召回95%比较。</t>
        </is>
      </c>
    </row>
    <row r="372">
      <c r="A372" s="0" t="inlineStr">
        <is>
          <t>GloVe-100</t>
        </is>
      </c>
      <c r="B372" s="0" t="inlineStr">
        <is>
          <t>S29</t>
        </is>
      </c>
      <c r="E372" s="0" t="inlineStr">
        <is>
          <t>不适用：精确算法无可调低召回档位。仅Z列为100%实测参考点，不能作为等召回95%比较。</t>
        </is>
      </c>
    </row>
    <row r="373">
      <c r="A373" s="0" t="inlineStr">
        <is>
          <t>GloVe-100</t>
        </is>
      </c>
      <c r="B373" s="0" t="inlineStr">
        <is>
          <t>S30</t>
        </is>
      </c>
      <c r="E373" s="0" t="inlineStr">
        <is>
          <t>不适用：精确算法无可调低召回档位。仅Z列为100%实测参考点，不能作为等召回95%比较。</t>
        </is>
      </c>
    </row>
    <row r="374">
      <c r="A374" s="0" t="inlineStr">
        <is>
          <t>GloVe-100</t>
        </is>
      </c>
      <c r="B374" s="0" t="inlineStr">
        <is>
          <t>T29</t>
        </is>
      </c>
      <c r="E374" s="0" t="inlineStr">
        <is>
          <t>不适用：精确算法无可调低召回档位。仅Z列为100%实测参考点，不能作为等召回95%比较。</t>
        </is>
      </c>
    </row>
    <row r="375">
      <c r="A375" s="0" t="inlineStr">
        <is>
          <t>GloVe-100</t>
        </is>
      </c>
      <c r="B375" s="0" t="inlineStr">
        <is>
          <t>T30</t>
        </is>
      </c>
      <c r="E375" s="0" t="inlineStr">
        <is>
          <t>不适用：精确算法无可调低召回档位。仅Z列为100%实测参考点，不能作为等召回95%比较。</t>
        </is>
      </c>
    </row>
    <row r="376">
      <c r="A376" s="0" t="inlineStr">
        <is>
          <t>GloVe-100</t>
        </is>
      </c>
      <c r="B376" s="0" t="inlineStr">
        <is>
          <t>U29</t>
        </is>
      </c>
      <c r="E376" s="0" t="inlineStr">
        <is>
          <t>不适用：精确算法无可调低召回档位。仅Z列为100%实测参考点，不能作为等召回95%比较。</t>
        </is>
      </c>
    </row>
    <row r="377">
      <c r="A377" s="0" t="inlineStr">
        <is>
          <t>GloVe-100</t>
        </is>
      </c>
      <c r="B377" s="0" t="inlineStr">
        <is>
          <t>U30</t>
        </is>
      </c>
      <c r="E377" s="0" t="inlineStr">
        <is>
          <t>不适用：精确算法无可调低召回档位。仅Z列为100%实测参考点，不能作为等召回95%比较。</t>
        </is>
      </c>
    </row>
    <row r="378">
      <c r="A378" s="0" t="inlineStr">
        <is>
          <t>GloVe-100</t>
        </is>
      </c>
      <c r="B378" s="0" t="inlineStr">
        <is>
          <t>V29</t>
        </is>
      </c>
      <c r="E378" s="0" t="inlineStr">
        <is>
          <t>不适用：精确算法无可调低召回档位。仅Z列为100%实测参考点，不能作为等召回95%比较。</t>
        </is>
      </c>
    </row>
    <row r="379">
      <c r="A379" s="0" t="inlineStr">
        <is>
          <t>GloVe-100</t>
        </is>
      </c>
      <c r="B379" s="0" t="inlineStr">
        <is>
          <t>V30</t>
        </is>
      </c>
      <c r="E379" s="0" t="inlineStr">
        <is>
          <t>不适用：精确算法无可调低召回档位。仅Z列为100%实测参考点，不能作为等召回95%比较。</t>
        </is>
      </c>
    </row>
    <row r="380">
      <c r="A380" s="0" t="inlineStr">
        <is>
          <t>GloVe-100</t>
        </is>
      </c>
      <c r="B380" s="0" t="inlineStr">
        <is>
          <t>W29</t>
        </is>
      </c>
      <c r="E380" s="0" t="inlineStr">
        <is>
          <t>不适用：精确算法无可调低召回档位。仅Z列为100%实测参考点，不能作为等召回95%比较。</t>
        </is>
      </c>
    </row>
    <row r="381">
      <c r="A381" s="0" t="inlineStr">
        <is>
          <t>GloVe-100</t>
        </is>
      </c>
      <c r="B381" s="0" t="inlineStr">
        <is>
          <t>W30</t>
        </is>
      </c>
      <c r="E381" s="0" t="inlineStr">
        <is>
          <t>不适用：精确算法无可调低召回档位。仅Z列为100%实测参考点，不能作为等召回95%比较。</t>
        </is>
      </c>
    </row>
    <row r="382">
      <c r="A382" s="0" t="inlineStr">
        <is>
          <t>GloVe-100</t>
        </is>
      </c>
      <c r="B382" s="0" t="inlineStr">
        <is>
          <t>X29</t>
        </is>
      </c>
      <c r="E382" s="0" t="inlineStr">
        <is>
          <t>不适用：精确算法无可调低召回档位。仅Z列为100%实测参考点，不能作为等召回95%比较。</t>
        </is>
      </c>
    </row>
    <row r="383">
      <c r="A383" s="0" t="inlineStr">
        <is>
          <t>GloVe-100</t>
        </is>
      </c>
      <c r="B383" s="0" t="inlineStr">
        <is>
          <t>X30</t>
        </is>
      </c>
      <c r="E383" s="0" t="inlineStr">
        <is>
          <t>不适用：精确算法无可调低召回档位。仅Z列为100%实测参考点，不能作为等召回95%比较。</t>
        </is>
      </c>
    </row>
    <row r="384">
      <c r="A384" s="0" t="inlineStr">
        <is>
          <t>GloVe-100</t>
        </is>
      </c>
      <c r="B384" s="0" t="inlineStr">
        <is>
          <t>Y29</t>
        </is>
      </c>
      <c r="E384" s="0" t="inlineStr">
        <is>
          <t>不适用：精确算法无可调低召回档位。仅Z列为100%实测参考点，不能作为等召回95%比较。</t>
        </is>
      </c>
    </row>
    <row r="385">
      <c r="A385" s="0" t="inlineStr">
        <is>
          <t>GloVe-100</t>
        </is>
      </c>
      <c r="B385" s="0" t="inlineStr">
        <is>
          <t>Y30</t>
        </is>
      </c>
      <c r="E385" s="0" t="inlineStr">
        <is>
          <t>不适用：精确算法无可调低召回档位。仅Z列为100%实测参考点，不能作为等召回95%比较。</t>
        </is>
      </c>
    </row>
    <row r="386">
      <c r="A386" s="0" t="inlineStr">
        <is>
          <t>GloVe-100</t>
        </is>
      </c>
      <c r="B386" s="0" t="inlineStr">
        <is>
          <t>Z29</t>
        </is>
      </c>
      <c r="C386" s="0" t="n">
        <v>100</v>
      </c>
      <c r="D386" s="0" t="inlineStr">
        <is>
          <t>/mnt/d/paper_source/work_9/VeriANN_repro_2026-09-30/VeriANN_repro_2026-09-30/results/work9-chen13-20261021/glove100-1183514-overall/measurement.json</t>
        </is>
      </c>
      <c r="E386" s="0" t="inlineStr">
        <is>
          <t>精确方法唯一召回点。</t>
        </is>
      </c>
    </row>
    <row r="387">
      <c r="A387" s="0" t="inlineStr">
        <is>
          <t>GloVe-100</t>
        </is>
      </c>
      <c r="B387" s="0" t="inlineStr">
        <is>
          <t>Z30</t>
        </is>
      </c>
      <c r="C387" s="0" t="n">
        <v>466932.94075</v>
      </c>
      <c r="D387" s="0" t="inlineStr">
        <is>
          <t>/mnt/d/paper_source/work_9/VeriANN_repro_2026-09-30/VeriANN_repro_2026-09-30/results/work9-chen13-20261021/glove100-1183514-overall/measurement.json</t>
        </is>
      </c>
      <c r="E387" s="0" t="inlineStr">
        <is>
          <t>沿用默认 k=10 的同一组60次真实测量；非重复实验。</t>
        </is>
      </c>
    </row>
    <row r="388">
      <c r="A388" s="0" t="inlineStr">
        <is>
          <t>GloVe-100</t>
        </is>
      </c>
      <c r="B388" s="0" t="inlineStr">
        <is>
          <t>F43</t>
        </is>
      </c>
      <c r="E388" s="0" t="inlineStr">
        <is>
          <t>不适用：精确算法无可调低召回档位。仅Z列为100%实测参考点，不能作为等召回95%比较。</t>
        </is>
      </c>
    </row>
    <row r="389">
      <c r="A389" s="0" t="inlineStr">
        <is>
          <t>GloVe-100</t>
        </is>
      </c>
      <c r="B389" s="0" t="inlineStr">
        <is>
          <t>F44</t>
        </is>
      </c>
      <c r="E389" s="0" t="inlineStr">
        <is>
          <t>不适用：精确算法无可调低召回档位。仅Z列为100%实测参考点，不能作为等召回95%比较。</t>
        </is>
      </c>
    </row>
    <row r="390">
      <c r="A390" s="0" t="inlineStr">
        <is>
          <t>GloVe-100</t>
        </is>
      </c>
      <c r="B390" s="0" t="inlineStr">
        <is>
          <t>G43</t>
        </is>
      </c>
      <c r="E390" s="0" t="inlineStr">
        <is>
          <t>不适用：精确算法无可调低召回档位。仅Z列为100%实测参考点，不能作为等召回95%比较。</t>
        </is>
      </c>
    </row>
    <row r="391">
      <c r="A391" s="0" t="inlineStr">
        <is>
          <t>GloVe-100</t>
        </is>
      </c>
      <c r="B391" s="0" t="inlineStr">
        <is>
          <t>G44</t>
        </is>
      </c>
      <c r="E391" s="0" t="inlineStr">
        <is>
          <t>不适用：精确算法无可调低召回档位。仅Z列为100%实测参考点，不能作为等召回95%比较。</t>
        </is>
      </c>
    </row>
    <row r="392">
      <c r="A392" s="0" t="inlineStr">
        <is>
          <t>GloVe-100</t>
        </is>
      </c>
      <c r="B392" s="0" t="inlineStr">
        <is>
          <t>H43</t>
        </is>
      </c>
      <c r="E392" s="0" t="inlineStr">
        <is>
          <t>不适用：精确算法无可调低召回档位。仅Z列为100%实测参考点，不能作为等召回95%比较。</t>
        </is>
      </c>
    </row>
    <row r="393">
      <c r="A393" s="0" t="inlineStr">
        <is>
          <t>GloVe-100</t>
        </is>
      </c>
      <c r="B393" s="0" t="inlineStr">
        <is>
          <t>H44</t>
        </is>
      </c>
      <c r="E393" s="0" t="inlineStr">
        <is>
          <t>不适用：精确算法无可调低召回档位。仅Z列为100%实测参考点，不能作为等召回95%比较。</t>
        </is>
      </c>
    </row>
    <row r="394">
      <c r="A394" s="0" t="inlineStr">
        <is>
          <t>GloVe-100</t>
        </is>
      </c>
      <c r="B394" s="0" t="inlineStr">
        <is>
          <t>I43</t>
        </is>
      </c>
      <c r="E394" s="0" t="inlineStr">
        <is>
          <t>不适用：精确算法无可调低召回档位。仅Z列为100%实测参考点，不能作为等召回95%比较。</t>
        </is>
      </c>
    </row>
    <row r="395">
      <c r="A395" s="0" t="inlineStr">
        <is>
          <t>GloVe-100</t>
        </is>
      </c>
      <c r="B395" s="0" t="inlineStr">
        <is>
          <t>I44</t>
        </is>
      </c>
      <c r="E395" s="0" t="inlineStr">
        <is>
          <t>不适用：精确算法无可调低召回档位。仅Z列为100%实测参考点，不能作为等召回95%比较。</t>
        </is>
      </c>
    </row>
    <row r="396">
      <c r="A396" s="0" t="inlineStr">
        <is>
          <t>GloVe-100</t>
        </is>
      </c>
      <c r="B396" s="0" t="inlineStr">
        <is>
          <t>J43</t>
        </is>
      </c>
      <c r="E396" s="0" t="inlineStr">
        <is>
          <t>不适用：精确算法无可调低召回档位。仅Z列为100%实测参考点，不能作为等召回95%比较。</t>
        </is>
      </c>
    </row>
    <row r="397">
      <c r="A397" s="0" t="inlineStr">
        <is>
          <t>GloVe-100</t>
        </is>
      </c>
      <c r="B397" s="0" t="inlineStr">
        <is>
          <t>J44</t>
        </is>
      </c>
      <c r="E397" s="0" t="inlineStr">
        <is>
          <t>不适用：精确算法无可调低召回档位。仅Z列为100%实测参考点，不能作为等召回95%比较。</t>
        </is>
      </c>
    </row>
    <row r="398">
      <c r="A398" s="0" t="inlineStr">
        <is>
          <t>GloVe-100</t>
        </is>
      </c>
      <c r="B398" s="0" t="inlineStr">
        <is>
          <t>K43</t>
        </is>
      </c>
      <c r="E398" s="0" t="inlineStr">
        <is>
          <t>不适用：精确算法无可调低召回档位。仅Z列为100%实测参考点，不能作为等召回95%比较。</t>
        </is>
      </c>
    </row>
    <row r="399">
      <c r="A399" s="0" t="inlineStr">
        <is>
          <t>GloVe-100</t>
        </is>
      </c>
      <c r="B399" s="0" t="inlineStr">
        <is>
          <t>K44</t>
        </is>
      </c>
      <c r="E399" s="0" t="inlineStr">
        <is>
          <t>不适用：精确算法无可调低召回档位。仅Z列为100%实测参考点，不能作为等召回95%比较。</t>
        </is>
      </c>
    </row>
    <row r="400">
      <c r="A400" s="0" t="inlineStr">
        <is>
          <t>GloVe-100</t>
        </is>
      </c>
      <c r="B400" s="0" t="inlineStr">
        <is>
          <t>L43</t>
        </is>
      </c>
      <c r="E400" s="0" t="inlineStr">
        <is>
          <t>不适用：精确算法无可调低召回档位。仅Z列为100%实测参考点，不能作为等召回95%比较。</t>
        </is>
      </c>
    </row>
    <row r="401">
      <c r="A401" s="0" t="inlineStr">
        <is>
          <t>GloVe-100</t>
        </is>
      </c>
      <c r="B401" s="0" t="inlineStr">
        <is>
          <t>L44</t>
        </is>
      </c>
      <c r="E401" s="0" t="inlineStr">
        <is>
          <t>不适用：精确算法无可调低召回档位。仅Z列为100%实测参考点，不能作为等召回95%比较。</t>
        </is>
      </c>
    </row>
    <row r="402">
      <c r="A402" s="0" t="inlineStr">
        <is>
          <t>GloVe-100</t>
        </is>
      </c>
      <c r="B402" s="0" t="inlineStr">
        <is>
          <t>M43</t>
        </is>
      </c>
      <c r="E402" s="0" t="inlineStr">
        <is>
          <t>不适用：精确算法无可调低召回档位。仅Z列为100%实测参考点，不能作为等召回95%比较。</t>
        </is>
      </c>
    </row>
    <row r="403">
      <c r="A403" s="0" t="inlineStr">
        <is>
          <t>GloVe-100</t>
        </is>
      </c>
      <c r="B403" s="0" t="inlineStr">
        <is>
          <t>M44</t>
        </is>
      </c>
      <c r="E403" s="0" t="inlineStr">
        <is>
          <t>不适用：精确算法无可调低召回档位。仅Z列为100%实测参考点，不能作为等召回95%比较。</t>
        </is>
      </c>
    </row>
    <row r="404">
      <c r="A404" s="0" t="inlineStr">
        <is>
          <t>GloVe-100</t>
        </is>
      </c>
      <c r="B404" s="0" t="inlineStr">
        <is>
          <t>N43</t>
        </is>
      </c>
      <c r="E404" s="0" t="inlineStr">
        <is>
          <t>不适用：精确算法无可调低召回档位。仅Z列为100%实测参考点，不能作为等召回95%比较。</t>
        </is>
      </c>
    </row>
    <row r="405">
      <c r="A405" s="0" t="inlineStr">
        <is>
          <t>GloVe-100</t>
        </is>
      </c>
      <c r="B405" s="0" t="inlineStr">
        <is>
          <t>N44</t>
        </is>
      </c>
      <c r="E405" s="0" t="inlineStr">
        <is>
          <t>不适用：精确算法无可调低召回档位。仅Z列为100%实测参考点，不能作为等召回95%比较。</t>
        </is>
      </c>
    </row>
    <row r="406">
      <c r="A406" s="0" t="inlineStr">
        <is>
          <t>GloVe-100</t>
        </is>
      </c>
      <c r="B406" s="0" t="inlineStr">
        <is>
          <t>O43</t>
        </is>
      </c>
      <c r="E406" s="0" t="inlineStr">
        <is>
          <t>不适用：精确算法无可调低召回档位。仅Z列为100%实测参考点，不能作为等召回95%比较。</t>
        </is>
      </c>
    </row>
    <row r="407">
      <c r="A407" s="0" t="inlineStr">
        <is>
          <t>GloVe-100</t>
        </is>
      </c>
      <c r="B407" s="0" t="inlineStr">
        <is>
          <t>O44</t>
        </is>
      </c>
      <c r="E407" s="0" t="inlineStr">
        <is>
          <t>不适用：精确算法无可调低召回档位。仅Z列为100%实测参考点，不能作为等召回95%比较。</t>
        </is>
      </c>
    </row>
    <row r="408">
      <c r="A408" s="0" t="inlineStr">
        <is>
          <t>GloVe-100</t>
        </is>
      </c>
      <c r="B408" s="0" t="inlineStr">
        <is>
          <t>P43</t>
        </is>
      </c>
      <c r="E408" s="0" t="inlineStr">
        <is>
          <t>不适用：精确算法无可调低召回档位。仅Z列为100%实测参考点，不能作为等召回95%比较。</t>
        </is>
      </c>
    </row>
    <row r="409">
      <c r="A409" s="0" t="inlineStr">
        <is>
          <t>GloVe-100</t>
        </is>
      </c>
      <c r="B409" s="0" t="inlineStr">
        <is>
          <t>P44</t>
        </is>
      </c>
      <c r="E409" s="0" t="inlineStr">
        <is>
          <t>不适用：精确算法无可调低召回档位。仅Z列为100%实测参考点，不能作为等召回95%比较。</t>
        </is>
      </c>
    </row>
    <row r="410">
      <c r="A410" s="0" t="inlineStr">
        <is>
          <t>GloVe-100</t>
        </is>
      </c>
      <c r="B410" s="0" t="inlineStr">
        <is>
          <t>Q43</t>
        </is>
      </c>
      <c r="E410" s="0" t="inlineStr">
        <is>
          <t>不适用：精确算法无可调低召回档位。仅Z列为100%实测参考点，不能作为等召回95%比较。</t>
        </is>
      </c>
    </row>
    <row r="411">
      <c r="A411" s="0" t="inlineStr">
        <is>
          <t>GloVe-100</t>
        </is>
      </c>
      <c r="B411" s="0" t="inlineStr">
        <is>
          <t>Q44</t>
        </is>
      </c>
      <c r="E411" s="0" t="inlineStr">
        <is>
          <t>不适用：精确算法无可调低召回档位。仅Z列为100%实测参考点，不能作为等召回95%比较。</t>
        </is>
      </c>
    </row>
    <row r="412">
      <c r="A412" s="0" t="inlineStr">
        <is>
          <t>GloVe-100</t>
        </is>
      </c>
      <c r="B412" s="0" t="inlineStr">
        <is>
          <t>R43</t>
        </is>
      </c>
      <c r="E412" s="0" t="inlineStr">
        <is>
          <t>不适用：精确算法无可调低召回档位。仅Z列为100%实测参考点，不能作为等召回95%比较。</t>
        </is>
      </c>
    </row>
    <row r="413">
      <c r="A413" s="0" t="inlineStr">
        <is>
          <t>GloVe-100</t>
        </is>
      </c>
      <c r="B413" s="0" t="inlineStr">
        <is>
          <t>R44</t>
        </is>
      </c>
      <c r="E413" s="0" t="inlineStr">
        <is>
          <t>不适用：精确算法无可调低召回档位。仅Z列为100%实测参考点，不能作为等召回95%比较。</t>
        </is>
      </c>
    </row>
    <row r="414">
      <c r="A414" s="0" t="inlineStr">
        <is>
          <t>GloVe-100</t>
        </is>
      </c>
      <c r="B414" s="0" t="inlineStr">
        <is>
          <t>S43</t>
        </is>
      </c>
      <c r="E414" s="0" t="inlineStr">
        <is>
          <t>不适用：精确算法无可调低召回档位。仅Z列为100%实测参考点，不能作为等召回95%比较。</t>
        </is>
      </c>
    </row>
    <row r="415">
      <c r="A415" s="0" t="inlineStr">
        <is>
          <t>GloVe-100</t>
        </is>
      </c>
      <c r="B415" s="0" t="inlineStr">
        <is>
          <t>S44</t>
        </is>
      </c>
      <c r="E415" s="0" t="inlineStr">
        <is>
          <t>不适用：精确算法无可调低召回档位。仅Z列为100%实测参考点，不能作为等召回95%比较。</t>
        </is>
      </c>
    </row>
    <row r="416">
      <c r="A416" s="0" t="inlineStr">
        <is>
          <t>GloVe-100</t>
        </is>
      </c>
      <c r="B416" s="0" t="inlineStr">
        <is>
          <t>T43</t>
        </is>
      </c>
      <c r="E416" s="0" t="inlineStr">
        <is>
          <t>不适用：精确算法无可调低召回档位。仅Z列为100%实测参考点，不能作为等召回95%比较。</t>
        </is>
      </c>
    </row>
    <row r="417">
      <c r="A417" s="0" t="inlineStr">
        <is>
          <t>GloVe-100</t>
        </is>
      </c>
      <c r="B417" s="0" t="inlineStr">
        <is>
          <t>T44</t>
        </is>
      </c>
      <c r="E417" s="0" t="inlineStr">
        <is>
          <t>不适用：精确算法无可调低召回档位。仅Z列为100%实测参考点，不能作为等召回95%比较。</t>
        </is>
      </c>
    </row>
    <row r="418">
      <c r="A418" s="0" t="inlineStr">
        <is>
          <t>GloVe-100</t>
        </is>
      </c>
      <c r="B418" s="0" t="inlineStr">
        <is>
          <t>U43</t>
        </is>
      </c>
      <c r="E418" s="0" t="inlineStr">
        <is>
          <t>不适用：精确算法无可调低召回档位。仅Z列为100%实测参考点，不能作为等召回95%比较。</t>
        </is>
      </c>
    </row>
    <row r="419">
      <c r="A419" s="0" t="inlineStr">
        <is>
          <t>GloVe-100</t>
        </is>
      </c>
      <c r="B419" s="0" t="inlineStr">
        <is>
          <t>U44</t>
        </is>
      </c>
      <c r="E419" s="0" t="inlineStr">
        <is>
          <t>不适用：精确算法无可调低召回档位。仅Z列为100%实测参考点，不能作为等召回95%比较。</t>
        </is>
      </c>
    </row>
    <row r="420">
      <c r="A420" s="0" t="inlineStr">
        <is>
          <t>GloVe-100</t>
        </is>
      </c>
      <c r="B420" s="0" t="inlineStr">
        <is>
          <t>V43</t>
        </is>
      </c>
      <c r="E420" s="0" t="inlineStr">
        <is>
          <t>不适用：精确算法无可调低召回档位。仅Z列为100%实测参考点，不能作为等召回95%比较。</t>
        </is>
      </c>
    </row>
    <row r="421">
      <c r="A421" s="0" t="inlineStr">
        <is>
          <t>GloVe-100</t>
        </is>
      </c>
      <c r="B421" s="0" t="inlineStr">
        <is>
          <t>V44</t>
        </is>
      </c>
      <c r="E421" s="0" t="inlineStr">
        <is>
          <t>不适用：精确算法无可调低召回档位。仅Z列为100%实测参考点，不能作为等召回95%比较。</t>
        </is>
      </c>
    </row>
    <row r="422">
      <c r="A422" s="0" t="inlineStr">
        <is>
          <t>GloVe-100</t>
        </is>
      </c>
      <c r="B422" s="0" t="inlineStr">
        <is>
          <t>W43</t>
        </is>
      </c>
      <c r="E422" s="0" t="inlineStr">
        <is>
          <t>不适用：精确算法无可调低召回档位。仅Z列为100%实测参考点，不能作为等召回95%比较。</t>
        </is>
      </c>
    </row>
    <row r="423">
      <c r="A423" s="0" t="inlineStr">
        <is>
          <t>GloVe-100</t>
        </is>
      </c>
      <c r="B423" s="0" t="inlineStr">
        <is>
          <t>W44</t>
        </is>
      </c>
      <c r="E423" s="0" t="inlineStr">
        <is>
          <t>不适用：精确算法无可调低召回档位。仅Z列为100%实测参考点，不能作为等召回95%比较。</t>
        </is>
      </c>
    </row>
    <row r="424">
      <c r="A424" s="0" t="inlineStr">
        <is>
          <t>GloVe-100</t>
        </is>
      </c>
      <c r="B424" s="0" t="inlineStr">
        <is>
          <t>X43</t>
        </is>
      </c>
      <c r="E424" s="0" t="inlineStr">
        <is>
          <t>不适用：精确算法无可调低召回档位。仅Z列为100%实测参考点，不能作为等召回95%比较。</t>
        </is>
      </c>
    </row>
    <row r="425">
      <c r="A425" s="0" t="inlineStr">
        <is>
          <t>GloVe-100</t>
        </is>
      </c>
      <c r="B425" s="0" t="inlineStr">
        <is>
          <t>X44</t>
        </is>
      </c>
      <c r="E425" s="0" t="inlineStr">
        <is>
          <t>不适用：精确算法无可调低召回档位。仅Z列为100%实测参考点，不能作为等召回95%比较。</t>
        </is>
      </c>
    </row>
    <row r="426">
      <c r="A426" s="0" t="inlineStr">
        <is>
          <t>GloVe-100</t>
        </is>
      </c>
      <c r="B426" s="0" t="inlineStr">
        <is>
          <t>Y43</t>
        </is>
      </c>
      <c r="E426" s="0" t="inlineStr">
        <is>
          <t>不适用：精确算法无可调低召回档位。仅Z列为100%实测参考点，不能作为等召回95%比较。</t>
        </is>
      </c>
    </row>
    <row r="427">
      <c r="A427" s="0" t="inlineStr">
        <is>
          <t>GloVe-100</t>
        </is>
      </c>
      <c r="B427" s="0" t="inlineStr">
        <is>
          <t>Y44</t>
        </is>
      </c>
      <c r="E427" s="0" t="inlineStr">
        <is>
          <t>不适用：精确算法无可调低召回档位。仅Z列为100%实测参考点，不能作为等召回95%比较。</t>
        </is>
      </c>
    </row>
    <row r="428">
      <c r="A428" s="0" t="inlineStr">
        <is>
          <t>GloVe-100</t>
        </is>
      </c>
      <c r="B428" s="0" t="inlineStr">
        <is>
          <t>Z43</t>
        </is>
      </c>
      <c r="C428" s="0" t="n">
        <v>100</v>
      </c>
      <c r="D428" s="0" t="inlineStr">
        <is>
          <t>/mnt/d/paper_source/work_9/VeriANN_repro_2026-09-30/VeriANN_repro_2026-09-30/results/work9-chen13-20261021/glove100-1183514-overall/measurement.json</t>
        </is>
      </c>
      <c r="E428" s="0" t="inlineStr">
        <is>
          <t>精确方法唯一召回点。</t>
        </is>
      </c>
    </row>
    <row r="429">
      <c r="A429" s="0" t="inlineStr">
        <is>
          <t>GloVe-100</t>
        </is>
      </c>
      <c r="B429" s="0" t="inlineStr">
        <is>
          <t>Z44</t>
        </is>
      </c>
      <c r="C429" s="0" t="n">
        <v>390.349265616667</v>
      </c>
      <c r="D429" s="0" t="inlineStr">
        <is>
          <t>/mnt/d/paper_source/work_9/VeriANN_repro_2026-09-30/VeriANN_repro_2026-09-30/results/work9-chen13-20261021/glove100-1183514-overall/measurement.json</t>
        </is>
      </c>
      <c r="E429" s="0" t="inlineStr">
        <is>
          <t>沿用默认 k=10 的同一组60次真实测量；非重复实验。</t>
        </is>
      </c>
    </row>
    <row r="430">
      <c r="A430" s="0" t="inlineStr">
        <is>
          <t>GloVe-100</t>
        </is>
      </c>
      <c r="B430" s="0" t="inlineStr">
        <is>
          <t>F57</t>
        </is>
      </c>
      <c r="E430" s="0" t="inlineStr">
        <is>
          <t>不适用：精确算法无可调低召回档位。仅Z列为100%实测参考点，不能作为等召回95%比较。</t>
        </is>
      </c>
    </row>
    <row r="431">
      <c r="A431" s="0" t="inlineStr">
        <is>
          <t>GloVe-100</t>
        </is>
      </c>
      <c r="B431" s="0" t="inlineStr">
        <is>
          <t>F58</t>
        </is>
      </c>
      <c r="E431" s="0" t="inlineStr">
        <is>
          <t>不适用：精确算法无可调低召回档位。仅Z列为100%实测参考点，不能作为等召回95%比较。</t>
        </is>
      </c>
    </row>
    <row r="432">
      <c r="A432" s="0" t="inlineStr">
        <is>
          <t>GloVe-100</t>
        </is>
      </c>
      <c r="B432" s="0" t="inlineStr">
        <is>
          <t>G57</t>
        </is>
      </c>
      <c r="E432" s="0" t="inlineStr">
        <is>
          <t>不适用：精确算法无可调低召回档位。仅Z列为100%实测参考点，不能作为等召回95%比较。</t>
        </is>
      </c>
    </row>
    <row r="433">
      <c r="A433" s="0" t="inlineStr">
        <is>
          <t>GloVe-100</t>
        </is>
      </c>
      <c r="B433" s="0" t="inlineStr">
        <is>
          <t>G58</t>
        </is>
      </c>
      <c r="E433" s="0" t="inlineStr">
        <is>
          <t>不适用：精确算法无可调低召回档位。仅Z列为100%实测参考点，不能作为等召回95%比较。</t>
        </is>
      </c>
    </row>
    <row r="434">
      <c r="A434" s="0" t="inlineStr">
        <is>
          <t>GloVe-100</t>
        </is>
      </c>
      <c r="B434" s="0" t="inlineStr">
        <is>
          <t>H57</t>
        </is>
      </c>
      <c r="E434" s="0" t="inlineStr">
        <is>
          <t>不适用：精确算法无可调低召回档位。仅Z列为100%实测参考点，不能作为等召回95%比较。</t>
        </is>
      </c>
    </row>
    <row r="435">
      <c r="A435" s="0" t="inlineStr">
        <is>
          <t>GloVe-100</t>
        </is>
      </c>
      <c r="B435" s="0" t="inlineStr">
        <is>
          <t>H58</t>
        </is>
      </c>
      <c r="E435" s="0" t="inlineStr">
        <is>
          <t>不适用：精确算法无可调低召回档位。仅Z列为100%实测参考点，不能作为等召回95%比较。</t>
        </is>
      </c>
    </row>
    <row r="436">
      <c r="A436" s="0" t="inlineStr">
        <is>
          <t>GloVe-100</t>
        </is>
      </c>
      <c r="B436" s="0" t="inlineStr">
        <is>
          <t>I57</t>
        </is>
      </c>
      <c r="E436" s="0" t="inlineStr">
        <is>
          <t>不适用：精确算法无可调低召回档位。仅Z列为100%实测参考点，不能作为等召回95%比较。</t>
        </is>
      </c>
    </row>
    <row r="437">
      <c r="A437" s="0" t="inlineStr">
        <is>
          <t>GloVe-100</t>
        </is>
      </c>
      <c r="B437" s="0" t="inlineStr">
        <is>
          <t>I58</t>
        </is>
      </c>
      <c r="E437" s="0" t="inlineStr">
        <is>
          <t>不适用：精确算法无可调低召回档位。仅Z列为100%实测参考点，不能作为等召回95%比较。</t>
        </is>
      </c>
    </row>
    <row r="438">
      <c r="A438" s="0" t="inlineStr">
        <is>
          <t>GloVe-100</t>
        </is>
      </c>
      <c r="B438" s="0" t="inlineStr">
        <is>
          <t>J57</t>
        </is>
      </c>
      <c r="E438" s="0" t="inlineStr">
        <is>
          <t>不适用：精确算法无可调低召回档位。仅Z列为100%实测参考点，不能作为等召回95%比较。</t>
        </is>
      </c>
    </row>
    <row r="439">
      <c r="A439" s="0" t="inlineStr">
        <is>
          <t>GloVe-100</t>
        </is>
      </c>
      <c r="B439" s="0" t="inlineStr">
        <is>
          <t>J58</t>
        </is>
      </c>
      <c r="E439" s="0" t="inlineStr">
        <is>
          <t>不适用：精确算法无可调低召回档位。仅Z列为100%实测参考点，不能作为等召回95%比较。</t>
        </is>
      </c>
    </row>
    <row r="440">
      <c r="A440" s="0" t="inlineStr">
        <is>
          <t>GloVe-100</t>
        </is>
      </c>
      <c r="B440" s="0" t="inlineStr">
        <is>
          <t>K57</t>
        </is>
      </c>
      <c r="E440" s="0" t="inlineStr">
        <is>
          <t>不适用：精确算法无可调低召回档位。仅Z列为100%实测参考点，不能作为等召回95%比较。</t>
        </is>
      </c>
    </row>
    <row r="441">
      <c r="A441" s="0" t="inlineStr">
        <is>
          <t>GloVe-100</t>
        </is>
      </c>
      <c r="B441" s="0" t="inlineStr">
        <is>
          <t>K58</t>
        </is>
      </c>
      <c r="E441" s="0" t="inlineStr">
        <is>
          <t>不适用：精确算法无可调低召回档位。仅Z列为100%实测参考点，不能作为等召回95%比较。</t>
        </is>
      </c>
    </row>
    <row r="442">
      <c r="A442" s="0" t="inlineStr">
        <is>
          <t>GloVe-100</t>
        </is>
      </c>
      <c r="B442" s="0" t="inlineStr">
        <is>
          <t>L57</t>
        </is>
      </c>
      <c r="E442" s="0" t="inlineStr">
        <is>
          <t>不适用：精确算法无可调低召回档位。仅Z列为100%实测参考点，不能作为等召回95%比较。</t>
        </is>
      </c>
    </row>
    <row r="443">
      <c r="A443" s="0" t="inlineStr">
        <is>
          <t>GloVe-100</t>
        </is>
      </c>
      <c r="B443" s="0" t="inlineStr">
        <is>
          <t>L58</t>
        </is>
      </c>
      <c r="E443" s="0" t="inlineStr">
        <is>
          <t>不适用：精确算法无可调低召回档位。仅Z列为100%实测参考点，不能作为等召回95%比较。</t>
        </is>
      </c>
    </row>
    <row r="444">
      <c r="A444" s="0" t="inlineStr">
        <is>
          <t>GloVe-100</t>
        </is>
      </c>
      <c r="B444" s="0" t="inlineStr">
        <is>
          <t>M57</t>
        </is>
      </c>
      <c r="E444" s="0" t="inlineStr">
        <is>
          <t>不适用：精确算法无可调低召回档位。仅Z列为100%实测参考点，不能作为等召回95%比较。</t>
        </is>
      </c>
    </row>
    <row r="445">
      <c r="A445" s="0" t="inlineStr">
        <is>
          <t>GloVe-100</t>
        </is>
      </c>
      <c r="B445" s="0" t="inlineStr">
        <is>
          <t>M58</t>
        </is>
      </c>
      <c r="E445" s="0" t="inlineStr">
        <is>
          <t>不适用：精确算法无可调低召回档位。仅Z列为100%实测参考点，不能作为等召回95%比较。</t>
        </is>
      </c>
    </row>
    <row r="446">
      <c r="A446" s="0" t="inlineStr">
        <is>
          <t>GloVe-100</t>
        </is>
      </c>
      <c r="B446" s="0" t="inlineStr">
        <is>
          <t>N57</t>
        </is>
      </c>
      <c r="E446" s="0" t="inlineStr">
        <is>
          <t>不适用：精确算法无可调低召回档位。仅Z列为100%实测参考点，不能作为等召回95%比较。</t>
        </is>
      </c>
    </row>
    <row r="447">
      <c r="A447" s="0" t="inlineStr">
        <is>
          <t>GloVe-100</t>
        </is>
      </c>
      <c r="B447" s="0" t="inlineStr">
        <is>
          <t>N58</t>
        </is>
      </c>
      <c r="E447" s="0" t="inlineStr">
        <is>
          <t>不适用：精确算法无可调低召回档位。仅Z列为100%实测参考点，不能作为等召回95%比较。</t>
        </is>
      </c>
    </row>
    <row r="448">
      <c r="A448" s="0" t="inlineStr">
        <is>
          <t>GloVe-100</t>
        </is>
      </c>
      <c r="B448" s="0" t="inlineStr">
        <is>
          <t>O57</t>
        </is>
      </c>
      <c r="E448" s="0" t="inlineStr">
        <is>
          <t>不适用：精确算法无可调低召回档位。仅Z列为100%实测参考点，不能作为等召回95%比较。</t>
        </is>
      </c>
    </row>
    <row r="449">
      <c r="A449" s="0" t="inlineStr">
        <is>
          <t>GloVe-100</t>
        </is>
      </c>
      <c r="B449" s="0" t="inlineStr">
        <is>
          <t>O58</t>
        </is>
      </c>
      <c r="E449" s="0" t="inlineStr">
        <is>
          <t>不适用：精确算法无可调低召回档位。仅Z列为100%实测参考点，不能作为等召回95%比较。</t>
        </is>
      </c>
    </row>
    <row r="450">
      <c r="A450" s="0" t="inlineStr">
        <is>
          <t>GloVe-100</t>
        </is>
      </c>
      <c r="B450" s="0" t="inlineStr">
        <is>
          <t>P57</t>
        </is>
      </c>
      <c r="E450" s="0" t="inlineStr">
        <is>
          <t>不适用：精确算法无可调低召回档位。仅Z列为100%实测参考点，不能作为等召回95%比较。</t>
        </is>
      </c>
    </row>
    <row r="451">
      <c r="A451" s="0" t="inlineStr">
        <is>
          <t>GloVe-100</t>
        </is>
      </c>
      <c r="B451" s="0" t="inlineStr">
        <is>
          <t>P58</t>
        </is>
      </c>
      <c r="E451" s="0" t="inlineStr">
        <is>
          <t>不适用：精确算法无可调低召回档位。仅Z列为100%实测参考点，不能作为等召回95%比较。</t>
        </is>
      </c>
    </row>
    <row r="452">
      <c r="A452" s="0" t="inlineStr">
        <is>
          <t>GloVe-100</t>
        </is>
      </c>
      <c r="B452" s="0" t="inlineStr">
        <is>
          <t>Q57</t>
        </is>
      </c>
      <c r="E452" s="0" t="inlineStr">
        <is>
          <t>不适用：精确算法无可调低召回档位。仅Z列为100%实测参考点，不能作为等召回95%比较。</t>
        </is>
      </c>
    </row>
    <row r="453">
      <c r="A453" s="0" t="inlineStr">
        <is>
          <t>GloVe-100</t>
        </is>
      </c>
      <c r="B453" s="0" t="inlineStr">
        <is>
          <t>Q58</t>
        </is>
      </c>
      <c r="E453" s="0" t="inlineStr">
        <is>
          <t>不适用：精确算法无可调低召回档位。仅Z列为100%实测参考点，不能作为等召回95%比较。</t>
        </is>
      </c>
    </row>
    <row r="454">
      <c r="A454" s="0" t="inlineStr">
        <is>
          <t>GloVe-100</t>
        </is>
      </c>
      <c r="B454" s="0" t="inlineStr">
        <is>
          <t>R57</t>
        </is>
      </c>
      <c r="E454" s="0" t="inlineStr">
        <is>
          <t>不适用：精确算法无可调低召回档位。仅Z列为100%实测参考点，不能作为等召回95%比较。</t>
        </is>
      </c>
    </row>
    <row r="455">
      <c r="A455" s="0" t="inlineStr">
        <is>
          <t>GloVe-100</t>
        </is>
      </c>
      <c r="B455" s="0" t="inlineStr">
        <is>
          <t>R58</t>
        </is>
      </c>
      <c r="E455" s="0" t="inlineStr">
        <is>
          <t>不适用：精确算法无可调低召回档位。仅Z列为100%实测参考点，不能作为等召回95%比较。</t>
        </is>
      </c>
    </row>
    <row r="456">
      <c r="A456" s="0" t="inlineStr">
        <is>
          <t>GloVe-100</t>
        </is>
      </c>
      <c r="B456" s="0" t="inlineStr">
        <is>
          <t>S57</t>
        </is>
      </c>
      <c r="E456" s="0" t="inlineStr">
        <is>
          <t>不适用：精确算法无可调低召回档位。仅Z列为100%实测参考点，不能作为等召回95%比较。</t>
        </is>
      </c>
    </row>
    <row r="457">
      <c r="A457" s="0" t="inlineStr">
        <is>
          <t>GloVe-100</t>
        </is>
      </c>
      <c r="B457" s="0" t="inlineStr">
        <is>
          <t>S58</t>
        </is>
      </c>
      <c r="E457" s="0" t="inlineStr">
        <is>
          <t>不适用：精确算法无可调低召回档位。仅Z列为100%实测参考点，不能作为等召回95%比较。</t>
        </is>
      </c>
    </row>
    <row r="458">
      <c r="A458" s="0" t="inlineStr">
        <is>
          <t>GloVe-100</t>
        </is>
      </c>
      <c r="B458" s="0" t="inlineStr">
        <is>
          <t>T57</t>
        </is>
      </c>
      <c r="E458" s="0" t="inlineStr">
        <is>
          <t>不适用：精确算法无可调低召回档位。仅Z列为100%实测参考点，不能作为等召回95%比较。</t>
        </is>
      </c>
    </row>
    <row r="459">
      <c r="A459" s="0" t="inlineStr">
        <is>
          <t>GloVe-100</t>
        </is>
      </c>
      <c r="B459" s="0" t="inlineStr">
        <is>
          <t>T58</t>
        </is>
      </c>
      <c r="E459" s="0" t="inlineStr">
        <is>
          <t>不适用：精确算法无可调低召回档位。仅Z列为100%实测参考点，不能作为等召回95%比较。</t>
        </is>
      </c>
    </row>
    <row r="460">
      <c r="A460" s="0" t="inlineStr">
        <is>
          <t>GloVe-100</t>
        </is>
      </c>
      <c r="B460" s="0" t="inlineStr">
        <is>
          <t>U57</t>
        </is>
      </c>
      <c r="E460" s="0" t="inlineStr">
        <is>
          <t>不适用：精确算法无可调低召回档位。仅Z列为100%实测参考点，不能作为等召回95%比较。</t>
        </is>
      </c>
    </row>
    <row r="461">
      <c r="A461" s="0" t="inlineStr">
        <is>
          <t>GloVe-100</t>
        </is>
      </c>
      <c r="B461" s="0" t="inlineStr">
        <is>
          <t>U58</t>
        </is>
      </c>
      <c r="E461" s="0" t="inlineStr">
        <is>
          <t>不适用：精确算法无可调低召回档位。仅Z列为100%实测参考点，不能作为等召回95%比较。</t>
        </is>
      </c>
    </row>
    <row r="462">
      <c r="A462" s="0" t="inlineStr">
        <is>
          <t>GloVe-100</t>
        </is>
      </c>
      <c r="B462" s="0" t="inlineStr">
        <is>
          <t>V57</t>
        </is>
      </c>
      <c r="E462" s="0" t="inlineStr">
        <is>
          <t>不适用：精确算法无可调低召回档位。仅Z列为100%实测参考点，不能作为等召回95%比较。</t>
        </is>
      </c>
    </row>
    <row r="463">
      <c r="A463" s="0" t="inlineStr">
        <is>
          <t>GloVe-100</t>
        </is>
      </c>
      <c r="B463" s="0" t="inlineStr">
        <is>
          <t>V58</t>
        </is>
      </c>
      <c r="E463" s="0" t="inlineStr">
        <is>
          <t>不适用：精确算法无可调低召回档位。仅Z列为100%实测参考点，不能作为等召回95%比较。</t>
        </is>
      </c>
    </row>
    <row r="464">
      <c r="A464" s="0" t="inlineStr">
        <is>
          <t>GloVe-100</t>
        </is>
      </c>
      <c r="B464" s="0" t="inlineStr">
        <is>
          <t>W57</t>
        </is>
      </c>
      <c r="E464" s="0" t="inlineStr">
        <is>
          <t>不适用：精确算法无可调低召回档位。仅Z列为100%实测参考点，不能作为等召回95%比较。</t>
        </is>
      </c>
    </row>
    <row r="465">
      <c r="A465" s="0" t="inlineStr">
        <is>
          <t>GloVe-100</t>
        </is>
      </c>
      <c r="B465" s="0" t="inlineStr">
        <is>
          <t>W58</t>
        </is>
      </c>
      <c r="E465" s="0" t="inlineStr">
        <is>
          <t>不适用：精确算法无可调低召回档位。仅Z列为100%实测参考点，不能作为等召回95%比较。</t>
        </is>
      </c>
    </row>
    <row r="466">
      <c r="A466" s="0" t="inlineStr">
        <is>
          <t>GloVe-100</t>
        </is>
      </c>
      <c r="B466" s="0" t="inlineStr">
        <is>
          <t>X57</t>
        </is>
      </c>
      <c r="E466" s="0" t="inlineStr">
        <is>
          <t>不适用：精确算法无可调低召回档位。仅Z列为100%实测参考点，不能作为等召回95%比较。</t>
        </is>
      </c>
    </row>
    <row r="467">
      <c r="A467" s="0" t="inlineStr">
        <is>
          <t>GloVe-100</t>
        </is>
      </c>
      <c r="B467" s="0" t="inlineStr">
        <is>
          <t>X58</t>
        </is>
      </c>
      <c r="E467" s="0" t="inlineStr">
        <is>
          <t>不适用：精确算法无可调低召回档位。仅Z列为100%实测参考点，不能作为等召回95%比较。</t>
        </is>
      </c>
    </row>
    <row r="468">
      <c r="A468" s="0" t="inlineStr">
        <is>
          <t>GloVe-100</t>
        </is>
      </c>
      <c r="B468" s="0" t="inlineStr">
        <is>
          <t>Y57</t>
        </is>
      </c>
      <c r="E468" s="0" t="inlineStr">
        <is>
          <t>不适用：精确算法无可调低召回档位。仅Z列为100%实测参考点，不能作为等召回95%比较。</t>
        </is>
      </c>
    </row>
    <row r="469">
      <c r="A469" s="0" t="inlineStr">
        <is>
          <t>GloVe-100</t>
        </is>
      </c>
      <c r="B469" s="0" t="inlineStr">
        <is>
          <t>Y58</t>
        </is>
      </c>
      <c r="E469" s="0" t="inlineStr">
        <is>
          <t>不适用：精确算法无可调低召回档位。仅Z列为100%实测参考点，不能作为等召回95%比较。</t>
        </is>
      </c>
    </row>
    <row r="470">
      <c r="A470" s="0" t="inlineStr">
        <is>
          <t>GloVe-100</t>
        </is>
      </c>
      <c r="B470" s="0" t="inlineStr">
        <is>
          <t>Z57</t>
        </is>
      </c>
      <c r="C470" s="0" t="n">
        <v>100</v>
      </c>
      <c r="D470" s="0" t="inlineStr">
        <is>
          <t>/mnt/d/paper_source/work_9/VeriANN_repro_2026-09-30/VeriANN_repro_2026-09-30/results/work9-chen13-20261021/glove100-1183514-overall/measurement.json</t>
        </is>
      </c>
      <c r="E470" s="0" t="inlineStr">
        <is>
          <t>精确方法唯一召回点。</t>
        </is>
      </c>
    </row>
    <row r="471">
      <c r="A471" s="0" t="inlineStr">
        <is>
          <t>GloVe-100</t>
        </is>
      </c>
      <c r="B471" s="0" t="inlineStr">
        <is>
          <t>Z58</t>
        </is>
      </c>
      <c r="C471" s="0" t="n">
        <v>468.738694633333</v>
      </c>
      <c r="D471" s="0" t="inlineStr">
        <is>
          <t>/mnt/d/paper_source/work_9/VeriANN_repro_2026-09-30/VeriANN_repro_2026-09-30/results/work9-chen13-20261021/glove100-1183514-overall/measurement.json</t>
        </is>
      </c>
      <c r="E471" s="0" t="inlineStr">
        <is>
          <t>沿用默认 k=10 的同一组60次真实测量；非重复实验。</t>
        </is>
      </c>
    </row>
    <row r="472">
      <c r="A472" s="0" t="inlineStr">
        <is>
          <t>GloVe-100</t>
        </is>
      </c>
      <c r="B472" s="0" t="inlineStr">
        <is>
          <t>F72</t>
        </is>
      </c>
      <c r="E472" s="0" t="inlineStr">
        <is>
          <t>按用户要求，此数据集不做 Dataset size 实验。</t>
        </is>
      </c>
    </row>
    <row r="473">
      <c r="A473" s="0" t="inlineStr">
        <is>
          <t>GloVe-100</t>
        </is>
      </c>
      <c r="B473" s="0" t="inlineStr">
        <is>
          <t>G72</t>
        </is>
      </c>
      <c r="E473" s="0" t="inlineStr">
        <is>
          <t>按用户要求，此数据集不做 Dataset size 实验。</t>
        </is>
      </c>
    </row>
    <row r="474">
      <c r="A474" s="0" t="inlineStr">
        <is>
          <t>GloVe-100</t>
        </is>
      </c>
      <c r="B474" s="0" t="inlineStr">
        <is>
          <t>H72</t>
        </is>
      </c>
      <c r="E474" s="0" t="inlineStr">
        <is>
          <t>按用户要求，此数据集不做 Dataset size 实验。</t>
        </is>
      </c>
    </row>
    <row r="475">
      <c r="A475" s="0" t="inlineStr">
        <is>
          <t>GloVe-100</t>
        </is>
      </c>
      <c r="B475" s="0" t="inlineStr">
        <is>
          <t>I72</t>
        </is>
      </c>
      <c r="E475" s="0" t="inlineStr">
        <is>
          <t>按用户要求，此数据集不做 Dataset size 实验。</t>
        </is>
      </c>
    </row>
    <row r="476">
      <c r="A476" s="0" t="inlineStr">
        <is>
          <t>GloVe-100</t>
        </is>
      </c>
      <c r="B476" s="0" t="inlineStr">
        <is>
          <t>J72</t>
        </is>
      </c>
      <c r="E476" s="0" t="inlineStr">
        <is>
          <t>按用户要求，此数据集不做 Dataset size 实验。</t>
        </is>
      </c>
    </row>
    <row r="477">
      <c r="A477" s="0" t="inlineStr">
        <is>
          <t>GloVe-100</t>
        </is>
      </c>
      <c r="B477" s="0" t="inlineStr">
        <is>
          <t>F84</t>
        </is>
      </c>
      <c r="E477" s="0" t="inlineStr">
        <is>
          <t>按用户要求，此数据集不做 Dataset size 实验。</t>
        </is>
      </c>
    </row>
    <row r="478">
      <c r="A478" s="0" t="inlineStr">
        <is>
          <t>GloVe-100</t>
        </is>
      </c>
      <c r="B478" s="0" t="inlineStr">
        <is>
          <t>G84</t>
        </is>
      </c>
      <c r="E478" s="0" t="inlineStr">
        <is>
          <t>按用户要求，此数据集不做 Dataset size 实验。</t>
        </is>
      </c>
    </row>
    <row r="479">
      <c r="A479" s="0" t="inlineStr">
        <is>
          <t>GloVe-100</t>
        </is>
      </c>
      <c r="B479" s="0" t="inlineStr">
        <is>
          <t>H84</t>
        </is>
      </c>
      <c r="E479" s="0" t="inlineStr">
        <is>
          <t>按用户要求，此数据集不做 Dataset size 实验。</t>
        </is>
      </c>
    </row>
    <row r="480">
      <c r="A480" s="0" t="inlineStr">
        <is>
          <t>GloVe-100</t>
        </is>
      </c>
      <c r="B480" s="0" t="inlineStr">
        <is>
          <t>I84</t>
        </is>
      </c>
      <c r="E480" s="0" t="inlineStr">
        <is>
          <t>按用户要求，此数据集不做 Dataset size 实验。</t>
        </is>
      </c>
    </row>
    <row r="481">
      <c r="A481" s="0" t="inlineStr">
        <is>
          <t>GloVe-100</t>
        </is>
      </c>
      <c r="B481" s="0" t="inlineStr">
        <is>
          <t>J84</t>
        </is>
      </c>
      <c r="E481" s="0" t="inlineStr">
        <is>
          <t>按用户要求，此数据集不做 Dataset size 实验。</t>
        </is>
      </c>
    </row>
    <row r="482">
      <c r="A482" s="0" t="inlineStr">
        <is>
          <t>GloVe-100</t>
        </is>
      </c>
      <c r="B482" s="0" t="inlineStr">
        <is>
          <t>F95</t>
        </is>
      </c>
      <c r="E482" s="0" t="inlineStr">
        <is>
          <t>按用户要求，此数据集不做 Dataset size 实验。</t>
        </is>
      </c>
    </row>
    <row r="483">
      <c r="A483" s="0" t="inlineStr">
        <is>
          <t>GloVe-100</t>
        </is>
      </c>
      <c r="B483" s="0" t="inlineStr">
        <is>
          <t>G95</t>
        </is>
      </c>
      <c r="E483" s="0" t="inlineStr">
        <is>
          <t>按用户要求，此数据集不做 Dataset size 实验。</t>
        </is>
      </c>
    </row>
    <row r="484">
      <c r="A484" s="0" t="inlineStr">
        <is>
          <t>GloVe-100</t>
        </is>
      </c>
      <c r="B484" s="0" t="inlineStr">
        <is>
          <t>H95</t>
        </is>
      </c>
      <c r="E484" s="0" t="inlineStr">
        <is>
          <t>按用户要求，此数据集不做 Dataset size 实验。</t>
        </is>
      </c>
    </row>
    <row r="485">
      <c r="A485" s="0" t="inlineStr">
        <is>
          <t>GloVe-100</t>
        </is>
      </c>
      <c r="B485" s="0" t="inlineStr">
        <is>
          <t>I95</t>
        </is>
      </c>
      <c r="E485" s="0" t="inlineStr">
        <is>
          <t>按用户要求，此数据集不做 Dataset size 实验。</t>
        </is>
      </c>
    </row>
    <row r="486">
      <c r="A486" s="0" t="inlineStr">
        <is>
          <t>GloVe-100</t>
        </is>
      </c>
      <c r="B486" s="0" t="inlineStr">
        <is>
          <t>J95</t>
        </is>
      </c>
      <c r="E486" s="0" t="inlineStr">
        <is>
          <t>按用户要求，此数据集不做 Dataset size 实验。</t>
        </is>
      </c>
    </row>
    <row r="487">
      <c r="A487" s="0" t="inlineStr">
        <is>
          <t>GloVe-100</t>
        </is>
      </c>
      <c r="B487" s="0" t="inlineStr">
        <is>
          <t>F108</t>
        </is>
      </c>
      <c r="E487" s="0" t="inlineStr">
        <is>
          <t>按用户要求，此数据集不做K实验。</t>
        </is>
      </c>
    </row>
    <row r="488">
      <c r="A488" s="0" t="inlineStr">
        <is>
          <t>GloVe-100</t>
        </is>
      </c>
      <c r="B488" s="0" t="inlineStr">
        <is>
          <t>G108</t>
        </is>
      </c>
      <c r="E488" s="0" t="inlineStr">
        <is>
          <t>按用户要求，此数据集不做K实验。</t>
        </is>
      </c>
    </row>
    <row r="489">
      <c r="A489" s="0" t="inlineStr">
        <is>
          <t>GloVe-100</t>
        </is>
      </c>
      <c r="B489" s="0" t="inlineStr">
        <is>
          <t>H108</t>
        </is>
      </c>
      <c r="E489" s="0" t="inlineStr">
        <is>
          <t>按用户要求，此数据集不做K实验。</t>
        </is>
      </c>
    </row>
    <row r="490">
      <c r="A490" s="0" t="inlineStr">
        <is>
          <t>GloVe-100</t>
        </is>
      </c>
      <c r="B490" s="0" t="inlineStr">
        <is>
          <t>I108</t>
        </is>
      </c>
      <c r="E490" s="0" t="inlineStr">
        <is>
          <t>按用户要求，此数据集不做K实验。</t>
        </is>
      </c>
    </row>
    <row r="491">
      <c r="A491" s="0" t="inlineStr">
        <is>
          <t>GloVe-100</t>
        </is>
      </c>
      <c r="B491" s="0" t="inlineStr">
        <is>
          <t>J108</t>
        </is>
      </c>
      <c r="E491" s="0" t="inlineStr">
        <is>
          <t>按用户要求，此数据集不做K实验。</t>
        </is>
      </c>
    </row>
    <row r="492">
      <c r="A492" s="0" t="inlineStr">
        <is>
          <t>GloVe-100</t>
        </is>
      </c>
      <c r="B492" s="0" t="inlineStr">
        <is>
          <t>K108</t>
        </is>
      </c>
      <c r="E492" s="0" t="inlineStr">
        <is>
          <t>按用户要求，此数据集不做K实验。</t>
        </is>
      </c>
    </row>
    <row r="493">
      <c r="A493" s="0" t="inlineStr">
        <is>
          <t>GloVe-100</t>
        </is>
      </c>
      <c r="B493" s="0" t="inlineStr">
        <is>
          <t>F120</t>
        </is>
      </c>
      <c r="E493" s="0" t="inlineStr">
        <is>
          <t>按用户要求，此数据集不做K实验。</t>
        </is>
      </c>
    </row>
    <row r="494">
      <c r="A494" s="0" t="inlineStr">
        <is>
          <t>GloVe-100</t>
        </is>
      </c>
      <c r="B494" s="0" t="inlineStr">
        <is>
          <t>G120</t>
        </is>
      </c>
      <c r="E494" s="0" t="inlineStr">
        <is>
          <t>按用户要求，此数据集不做K实验。</t>
        </is>
      </c>
    </row>
    <row r="495">
      <c r="A495" s="0" t="inlineStr">
        <is>
          <t>GloVe-100</t>
        </is>
      </c>
      <c r="B495" s="0" t="inlineStr">
        <is>
          <t>H120</t>
        </is>
      </c>
      <c r="E495" s="0" t="inlineStr">
        <is>
          <t>按用户要求，此数据集不做K实验。</t>
        </is>
      </c>
    </row>
    <row r="496">
      <c r="A496" s="0" t="inlineStr">
        <is>
          <t>GloVe-100</t>
        </is>
      </c>
      <c r="B496" s="0" t="inlineStr">
        <is>
          <t>I120</t>
        </is>
      </c>
      <c r="E496" s="0" t="inlineStr">
        <is>
          <t>按用户要求，此数据集不做K实验。</t>
        </is>
      </c>
    </row>
    <row r="497">
      <c r="A497" s="0" t="inlineStr">
        <is>
          <t>GloVe-100</t>
        </is>
      </c>
      <c r="B497" s="0" t="inlineStr">
        <is>
          <t>J120</t>
        </is>
      </c>
      <c r="E497" s="0" t="inlineStr">
        <is>
          <t>按用户要求，此数据集不做K实验。</t>
        </is>
      </c>
    </row>
    <row r="498">
      <c r="A498" s="0" t="inlineStr">
        <is>
          <t>GloVe-100</t>
        </is>
      </c>
      <c r="B498" s="0" t="inlineStr">
        <is>
          <t>K120</t>
        </is>
      </c>
      <c r="E498" s="0" t="inlineStr">
        <is>
          <t>按用户要求，此数据集不做K实验。</t>
        </is>
      </c>
    </row>
    <row r="499">
      <c r="A499" s="0" t="inlineStr">
        <is>
          <t>GloVe-100</t>
        </is>
      </c>
      <c r="B499" s="0" t="inlineStr">
        <is>
          <t>F131</t>
        </is>
      </c>
      <c r="E499" s="0" t="inlineStr">
        <is>
          <t>按用户要求，此数据集不做K实验。</t>
        </is>
      </c>
    </row>
    <row r="500">
      <c r="A500" s="0" t="inlineStr">
        <is>
          <t>GloVe-100</t>
        </is>
      </c>
      <c r="B500" s="0" t="inlineStr">
        <is>
          <t>G131</t>
        </is>
      </c>
      <c r="E500" s="0" t="inlineStr">
        <is>
          <t>按用户要求，此数据集不做K实验。</t>
        </is>
      </c>
    </row>
    <row r="501">
      <c r="A501" s="0" t="inlineStr">
        <is>
          <t>GloVe-100</t>
        </is>
      </c>
      <c r="B501" s="0" t="inlineStr">
        <is>
          <t>H131</t>
        </is>
      </c>
      <c r="E501" s="0" t="inlineStr">
        <is>
          <t>按用户要求，此数据集不做K实验。</t>
        </is>
      </c>
    </row>
    <row r="502">
      <c r="A502" s="0" t="inlineStr">
        <is>
          <t>GloVe-100</t>
        </is>
      </c>
      <c r="B502" s="0" t="inlineStr">
        <is>
          <t>I131</t>
        </is>
      </c>
      <c r="E502" s="0" t="inlineStr">
        <is>
          <t>按用户要求，此数据集不做K实验。</t>
        </is>
      </c>
    </row>
    <row r="503">
      <c r="A503" s="0" t="inlineStr">
        <is>
          <t>GloVe-100</t>
        </is>
      </c>
      <c r="B503" s="0" t="inlineStr">
        <is>
          <t>J131</t>
        </is>
      </c>
      <c r="E503" s="0" t="inlineStr">
        <is>
          <t>按用户要求，此数据集不做K实验。</t>
        </is>
      </c>
    </row>
    <row r="504">
      <c r="A504" s="0" t="inlineStr">
        <is>
          <t>GloVe-100</t>
        </is>
      </c>
      <c r="B504" s="0" t="inlineStr">
        <is>
          <t>K131</t>
        </is>
      </c>
      <c r="E504" s="0" t="inlineStr">
        <is>
          <t>按用户要求，此数据集不做K实验。</t>
        </is>
      </c>
    </row>
    <row r="505">
      <c r="A505" s="0" t="inlineStr">
        <is>
          <t>GloVe-100</t>
        </is>
      </c>
      <c r="B505" s="0" t="inlineStr">
        <is>
          <t>F148</t>
        </is>
      </c>
      <c r="C505" s="0" t="n">
        <v>1</v>
      </c>
      <c r="D505" s="0" t="inlineStr">
        <is>
          <t>/mnt/d/paper_source/work_9/VeriANN_repro_2026-09-30/VeriANN_repro_2026-09-30/results/work9-chen13-20261021/glove100-1183514-overall/measurement.json</t>
        </is>
      </c>
      <c r="E505" s="0" t="inlineStr">
        <is>
          <t>外部baseline参考，不是Ours的消融变体。Recall以0–1计。</t>
        </is>
      </c>
    </row>
    <row r="506">
      <c r="A506" s="0" t="inlineStr">
        <is>
          <t>GloVe-100</t>
        </is>
      </c>
      <c r="B506" s="0" t="inlineStr">
        <is>
          <t>G148</t>
        </is>
      </c>
      <c r="C506" s="0" t="n">
        <v>468.738694633333</v>
      </c>
      <c r="D506" s="0" t="inlineStr">
        <is>
          <t>/mnt/d/paper_source/work_9/VeriANN_repro_2026-09-30/VeriANN_repro_2026-09-30/results/work9-chen13-20261021/glove100-1183514-overall/measurement.json</t>
        </is>
      </c>
      <c r="E506" s="0" t="inlineStr">
        <is>
          <t>外部baseline参考，不是Ours的消融变体。Recall以0–1计。</t>
        </is>
      </c>
    </row>
    <row r="507">
      <c r="A507" s="0" t="inlineStr">
        <is>
          <t>GloVe-100</t>
        </is>
      </c>
      <c r="B507" s="0" t="inlineStr">
        <is>
          <t>H148</t>
        </is>
      </c>
      <c r="C507" s="0" t="n">
        <v>466932.94075</v>
      </c>
      <c r="D507" s="0" t="inlineStr">
        <is>
          <t>/mnt/d/paper_source/work_9/VeriANN_repro_2026-09-30/VeriANN_repro_2026-09-30/results/work9-chen13-20261021/glove100-1183514-overall/measurement.json</t>
        </is>
      </c>
      <c r="E507" s="0" t="inlineStr">
        <is>
          <t>外部baseline参考，不是Ours的消融变体。Recall以0–1计。</t>
        </is>
      </c>
    </row>
    <row r="508">
      <c r="A508" s="0" t="inlineStr">
        <is>
          <t>GloVe-100</t>
        </is>
      </c>
      <c r="B508" s="0" t="inlineStr">
        <is>
          <t>I148</t>
        </is>
      </c>
      <c r="C508" s="0" t="n">
        <v>390.349265616667</v>
      </c>
      <c r="D508" s="0" t="inlineStr">
        <is>
          <t>/mnt/d/paper_source/work_9/VeriANN_repro_2026-09-30/VeriANN_repro_2026-09-30/results/work9-chen13-20261021/glove100-1183514-overall/measurement.json</t>
        </is>
      </c>
      <c r="E508" s="0" t="inlineStr">
        <is>
          <t>外部baseline参考，不是Ours的消融变体。Recall以0–1计。</t>
        </is>
      </c>
    </row>
    <row r="509">
      <c r="A509" s="0" t="inlineStr">
        <is>
          <t>DEEP1M</t>
        </is>
      </c>
      <c r="B509" s="0" t="inlineStr">
        <is>
          <t>E13</t>
        </is>
      </c>
      <c r="C509" s="0" t="n">
        <v>100</v>
      </c>
      <c r="D509" s="0" t="inlineStr">
        <is>
          <t>/mnt/d/paper_source/work_9/VeriANN_repro_2026-09-30/VeriANN_repro_2026-09-30/results/work9-chen13-20261021/deep1m-1000000-overall/measurement.json</t>
        </is>
      </c>
      <c r="E509" s="0" t="inlineStr">
        <is>
          <t>四数据集默认 k=10；20条×3次，单线程实测。精确召回100%，不是95%匹配点。</t>
        </is>
      </c>
    </row>
    <row r="510">
      <c r="A510" s="0" t="inlineStr">
        <is>
          <t>DEEP1M</t>
        </is>
      </c>
      <c r="B510" s="0" t="inlineStr">
        <is>
          <t>F13</t>
        </is>
      </c>
      <c r="C510" s="0" t="n">
        <v>423.303868183333</v>
      </c>
      <c r="D510" s="0" t="inlineStr">
        <is>
          <t>/mnt/d/paper_source/work_9/VeriANN_repro_2026-09-30/VeriANN_repro_2026-09-30/results/work9-chen13-20261021/deep1m-1000000-overall/measurement.json</t>
        </is>
      </c>
      <c r="E510" s="0" t="inlineStr">
        <is>
          <t>四数据集默认 k=10；20条×3次，单线程实测。精确召回100%，不是95%匹配点。</t>
        </is>
      </c>
    </row>
    <row r="511">
      <c r="A511" s="0" t="inlineStr">
        <is>
          <t>DEEP1M</t>
        </is>
      </c>
      <c r="B511" s="0" t="inlineStr">
        <is>
          <t>G13</t>
        </is>
      </c>
      <c r="C511" s="0" t="n">
        <v>373923.6996</v>
      </c>
      <c r="D511" s="0" t="inlineStr">
        <is>
          <t>/mnt/d/paper_source/work_9/VeriANN_repro_2026-09-30/VeriANN_repro_2026-09-30/results/work9-chen13-20261021/deep1m-1000000-overall/measurement.json</t>
        </is>
      </c>
      <c r="E511" s="0" t="inlineStr">
        <is>
          <t>四数据集默认 k=10；20条×3次，单线程实测。精确召回100%，不是95%匹配点。</t>
        </is>
      </c>
    </row>
    <row r="512">
      <c r="A512" s="0" t="inlineStr">
        <is>
          <t>DEEP1M</t>
        </is>
      </c>
      <c r="B512" s="0" t="inlineStr">
        <is>
          <t>H13</t>
        </is>
      </c>
      <c r="C512" s="0" t="n">
        <v>398.21774055</v>
      </c>
      <c r="D512" s="0" t="inlineStr">
        <is>
          <t>/mnt/d/paper_source/work_9/VeriANN_repro_2026-09-30/VeriANN_repro_2026-09-30/results/work9-chen13-20261021/deep1m-1000000-overall/measurement.json</t>
        </is>
      </c>
      <c r="E512" s="0" t="inlineStr">
        <is>
          <t>四数据集默认 k=10；20条×3次，单线程实测。精确召回100%，不是95%匹配点。</t>
        </is>
      </c>
    </row>
    <row r="513">
      <c r="A513" s="0" t="inlineStr">
        <is>
          <t>DEEP1M</t>
        </is>
      </c>
      <c r="B513" s="0" t="inlineStr">
        <is>
          <t>I13</t>
        </is>
      </c>
      <c r="C513" s="0" t="n">
        <v>405.598664</v>
      </c>
      <c r="D513" s="0" t="inlineStr">
        <is>
          <t>/mnt/d/paper_source/work_9/VeriANN_repro_2026-09-30/VeriANN_repro_2026-09-30/results/work9-chen13-20261021/deep1m-1000000-overall/measurement.json</t>
        </is>
      </c>
      <c r="E513" s="0" t="inlineStr">
        <is>
          <t>一次全新单线程构建；无压缩完整服务快照；构建排除最终快照写盘、GT及输入加载。</t>
        </is>
      </c>
    </row>
    <row r="514">
      <c r="A514" s="0" t="inlineStr">
        <is>
          <t>DEEP1M</t>
        </is>
      </c>
      <c r="B514" s="0" t="inlineStr">
        <is>
          <t>J13</t>
        </is>
      </c>
      <c r="C514" s="0" t="n">
        <v>0.850518323</v>
      </c>
      <c r="D514" s="0" t="inlineStr">
        <is>
          <t>/mnt/d/paper_source/work_9/VeriANN_repro_2026-09-30/VeriANN_repro_2026-09-30/results/work9-chen13-20261021/deep1m-1000000-overall/measurement.json</t>
        </is>
      </c>
      <c r="E514" s="0" t="inlineStr">
        <is>
          <t>一次全新单线程构建；无压缩完整服务快照；构建排除最终快照写盘、GT及输入加载。</t>
        </is>
      </c>
    </row>
    <row r="515">
      <c r="A515" s="0" t="inlineStr">
        <is>
          <t>DEEP1M</t>
        </is>
      </c>
      <c r="B515" s="0" t="inlineStr">
        <is>
          <t>F29</t>
        </is>
      </c>
      <c r="E515" s="0" t="inlineStr">
        <is>
          <t>不适用：精确算法无可调低召回档位。仅Z列为100%实测参考点，不能作为等召回95%比较。</t>
        </is>
      </c>
    </row>
    <row r="516">
      <c r="A516" s="0" t="inlineStr">
        <is>
          <t>DEEP1M</t>
        </is>
      </c>
      <c r="B516" s="0" t="inlineStr">
        <is>
          <t>F30</t>
        </is>
      </c>
      <c r="E516" s="0" t="inlineStr">
        <is>
          <t>不适用：精确算法无可调低召回档位。仅Z列为100%实测参考点，不能作为等召回95%比较。</t>
        </is>
      </c>
    </row>
    <row r="517">
      <c r="A517" s="0" t="inlineStr">
        <is>
          <t>DEEP1M</t>
        </is>
      </c>
      <c r="B517" s="0" t="inlineStr">
        <is>
          <t>G29</t>
        </is>
      </c>
      <c r="E517" s="0" t="inlineStr">
        <is>
          <t>不适用：精确算法无可调低召回档位。仅Z列为100%实测参考点，不能作为等召回95%比较。</t>
        </is>
      </c>
    </row>
    <row r="518">
      <c r="A518" s="0" t="inlineStr">
        <is>
          <t>DEEP1M</t>
        </is>
      </c>
      <c r="B518" s="0" t="inlineStr">
        <is>
          <t>G30</t>
        </is>
      </c>
      <c r="E518" s="0" t="inlineStr">
        <is>
          <t>不适用：精确算法无可调低召回档位。仅Z列为100%实测参考点，不能作为等召回95%比较。</t>
        </is>
      </c>
    </row>
    <row r="519">
      <c r="A519" s="0" t="inlineStr">
        <is>
          <t>DEEP1M</t>
        </is>
      </c>
      <c r="B519" s="0" t="inlineStr">
        <is>
          <t>H29</t>
        </is>
      </c>
      <c r="E519" s="0" t="inlineStr">
        <is>
          <t>不适用：精确算法无可调低召回档位。仅Z列为100%实测参考点，不能作为等召回95%比较。</t>
        </is>
      </c>
    </row>
    <row r="520">
      <c r="A520" s="0" t="inlineStr">
        <is>
          <t>DEEP1M</t>
        </is>
      </c>
      <c r="B520" s="0" t="inlineStr">
        <is>
          <t>H30</t>
        </is>
      </c>
      <c r="E520" s="0" t="inlineStr">
        <is>
          <t>不适用：精确算法无可调低召回档位。仅Z列为100%实测参考点，不能作为等召回95%比较。</t>
        </is>
      </c>
    </row>
    <row r="521">
      <c r="A521" s="0" t="inlineStr">
        <is>
          <t>DEEP1M</t>
        </is>
      </c>
      <c r="B521" s="0" t="inlineStr">
        <is>
          <t>I29</t>
        </is>
      </c>
      <c r="E521" s="0" t="inlineStr">
        <is>
          <t>不适用：精确算法无可调低召回档位。仅Z列为100%实测参考点，不能作为等召回95%比较。</t>
        </is>
      </c>
    </row>
    <row r="522">
      <c r="A522" s="0" t="inlineStr">
        <is>
          <t>DEEP1M</t>
        </is>
      </c>
      <c r="B522" s="0" t="inlineStr">
        <is>
          <t>I30</t>
        </is>
      </c>
      <c r="E522" s="0" t="inlineStr">
        <is>
          <t>不适用：精确算法无可调低召回档位。仅Z列为100%实测参考点，不能作为等召回95%比较。</t>
        </is>
      </c>
    </row>
    <row r="523">
      <c r="A523" s="0" t="inlineStr">
        <is>
          <t>DEEP1M</t>
        </is>
      </c>
      <c r="B523" s="0" t="inlineStr">
        <is>
          <t>J29</t>
        </is>
      </c>
      <c r="E523" s="0" t="inlineStr">
        <is>
          <t>不适用：精确算法无可调低召回档位。仅Z列为100%实测参考点，不能作为等召回95%比较。</t>
        </is>
      </c>
    </row>
    <row r="524">
      <c r="A524" s="0" t="inlineStr">
        <is>
          <t>DEEP1M</t>
        </is>
      </c>
      <c r="B524" s="0" t="inlineStr">
        <is>
          <t>J30</t>
        </is>
      </c>
      <c r="E524" s="0" t="inlineStr">
        <is>
          <t>不适用：精确算法无可调低召回档位。仅Z列为100%实测参考点，不能作为等召回95%比较。</t>
        </is>
      </c>
    </row>
    <row r="525">
      <c r="A525" s="0" t="inlineStr">
        <is>
          <t>DEEP1M</t>
        </is>
      </c>
      <c r="B525" s="0" t="inlineStr">
        <is>
          <t>K29</t>
        </is>
      </c>
      <c r="E525" s="0" t="inlineStr">
        <is>
          <t>不适用：精确算法无可调低召回档位。仅Z列为100%实测参考点，不能作为等召回95%比较。</t>
        </is>
      </c>
    </row>
    <row r="526">
      <c r="A526" s="0" t="inlineStr">
        <is>
          <t>DEEP1M</t>
        </is>
      </c>
      <c r="B526" s="0" t="inlineStr">
        <is>
          <t>K30</t>
        </is>
      </c>
      <c r="E526" s="0" t="inlineStr">
        <is>
          <t>不适用：精确算法无可调低召回档位。仅Z列为100%实测参考点，不能作为等召回95%比较。</t>
        </is>
      </c>
    </row>
    <row r="527">
      <c r="A527" s="0" t="inlineStr">
        <is>
          <t>DEEP1M</t>
        </is>
      </c>
      <c r="B527" s="0" t="inlineStr">
        <is>
          <t>L29</t>
        </is>
      </c>
      <c r="E527" s="0" t="inlineStr">
        <is>
          <t>不适用：精确算法无可调低召回档位。仅Z列为100%实测参考点，不能作为等召回95%比较。</t>
        </is>
      </c>
    </row>
    <row r="528">
      <c r="A528" s="0" t="inlineStr">
        <is>
          <t>DEEP1M</t>
        </is>
      </c>
      <c r="B528" s="0" t="inlineStr">
        <is>
          <t>L30</t>
        </is>
      </c>
      <c r="E528" s="0" t="inlineStr">
        <is>
          <t>不适用：精确算法无可调低召回档位。仅Z列为100%实测参考点，不能作为等召回95%比较。</t>
        </is>
      </c>
    </row>
    <row r="529">
      <c r="A529" s="0" t="inlineStr">
        <is>
          <t>DEEP1M</t>
        </is>
      </c>
      <c r="B529" s="0" t="inlineStr">
        <is>
          <t>M29</t>
        </is>
      </c>
      <c r="E529" s="0" t="inlineStr">
        <is>
          <t>不适用：精确算法无可调低召回档位。仅Z列为100%实测参考点，不能作为等召回95%比较。</t>
        </is>
      </c>
    </row>
    <row r="530">
      <c r="A530" s="0" t="inlineStr">
        <is>
          <t>DEEP1M</t>
        </is>
      </c>
      <c r="B530" s="0" t="inlineStr">
        <is>
          <t>M30</t>
        </is>
      </c>
      <c r="E530" s="0" t="inlineStr">
        <is>
          <t>不适用：精确算法无可调低召回档位。仅Z列为100%实测参考点，不能作为等召回95%比较。</t>
        </is>
      </c>
    </row>
    <row r="531">
      <c r="A531" s="0" t="inlineStr">
        <is>
          <t>DEEP1M</t>
        </is>
      </c>
      <c r="B531" s="0" t="inlineStr">
        <is>
          <t>N29</t>
        </is>
      </c>
      <c r="E531" s="0" t="inlineStr">
        <is>
          <t>不适用：精确算法无可调低召回档位。仅Z列为100%实测参考点，不能作为等召回95%比较。</t>
        </is>
      </c>
    </row>
    <row r="532">
      <c r="A532" s="0" t="inlineStr">
        <is>
          <t>DEEP1M</t>
        </is>
      </c>
      <c r="B532" s="0" t="inlineStr">
        <is>
          <t>N30</t>
        </is>
      </c>
      <c r="E532" s="0" t="inlineStr">
        <is>
          <t>不适用：精确算法无可调低召回档位。仅Z列为100%实测参考点，不能作为等召回95%比较。</t>
        </is>
      </c>
    </row>
    <row r="533">
      <c r="A533" s="0" t="inlineStr">
        <is>
          <t>DEEP1M</t>
        </is>
      </c>
      <c r="B533" s="0" t="inlineStr">
        <is>
          <t>O29</t>
        </is>
      </c>
      <c r="E533" s="0" t="inlineStr">
        <is>
          <t>不适用：精确算法无可调低召回档位。仅Z列为100%实测参考点，不能作为等召回95%比较。</t>
        </is>
      </c>
    </row>
    <row r="534">
      <c r="A534" s="0" t="inlineStr">
        <is>
          <t>DEEP1M</t>
        </is>
      </c>
      <c r="B534" s="0" t="inlineStr">
        <is>
          <t>O30</t>
        </is>
      </c>
      <c r="E534" s="0" t="inlineStr">
        <is>
          <t>不适用：精确算法无可调低召回档位。仅Z列为100%实测参考点，不能作为等召回95%比较。</t>
        </is>
      </c>
    </row>
    <row r="535">
      <c r="A535" s="0" t="inlineStr">
        <is>
          <t>DEEP1M</t>
        </is>
      </c>
      <c r="B535" s="0" t="inlineStr">
        <is>
          <t>P29</t>
        </is>
      </c>
      <c r="E535" s="0" t="inlineStr">
        <is>
          <t>不适用：精确算法无可调低召回档位。仅Z列为100%实测参考点，不能作为等召回95%比较。</t>
        </is>
      </c>
    </row>
    <row r="536">
      <c r="A536" s="0" t="inlineStr">
        <is>
          <t>DEEP1M</t>
        </is>
      </c>
      <c r="B536" s="0" t="inlineStr">
        <is>
          <t>P30</t>
        </is>
      </c>
      <c r="E536" s="0" t="inlineStr">
        <is>
          <t>不适用：精确算法无可调低召回档位。仅Z列为100%实测参考点，不能作为等召回95%比较。</t>
        </is>
      </c>
    </row>
    <row r="537">
      <c r="A537" s="0" t="inlineStr">
        <is>
          <t>DEEP1M</t>
        </is>
      </c>
      <c r="B537" s="0" t="inlineStr">
        <is>
          <t>Q29</t>
        </is>
      </c>
      <c r="E537" s="0" t="inlineStr">
        <is>
          <t>不适用：精确算法无可调低召回档位。仅Z列为100%实测参考点，不能作为等召回95%比较。</t>
        </is>
      </c>
    </row>
    <row r="538">
      <c r="A538" s="0" t="inlineStr">
        <is>
          <t>DEEP1M</t>
        </is>
      </c>
      <c r="B538" s="0" t="inlineStr">
        <is>
          <t>Q30</t>
        </is>
      </c>
      <c r="E538" s="0" t="inlineStr">
        <is>
          <t>不适用：精确算法无可调低召回档位。仅Z列为100%实测参考点，不能作为等召回95%比较。</t>
        </is>
      </c>
    </row>
    <row r="539">
      <c r="A539" s="0" t="inlineStr">
        <is>
          <t>DEEP1M</t>
        </is>
      </c>
      <c r="B539" s="0" t="inlineStr">
        <is>
          <t>R29</t>
        </is>
      </c>
      <c r="E539" s="0" t="inlineStr">
        <is>
          <t>不适用：精确算法无可调低召回档位。仅Z列为100%实测参考点，不能作为等召回95%比较。</t>
        </is>
      </c>
    </row>
    <row r="540">
      <c r="A540" s="0" t="inlineStr">
        <is>
          <t>DEEP1M</t>
        </is>
      </c>
      <c r="B540" s="0" t="inlineStr">
        <is>
          <t>R30</t>
        </is>
      </c>
      <c r="E540" s="0" t="inlineStr">
        <is>
          <t>不适用：精确算法无可调低召回档位。仅Z列为100%实测参考点，不能作为等召回95%比较。</t>
        </is>
      </c>
    </row>
    <row r="541">
      <c r="A541" s="0" t="inlineStr">
        <is>
          <t>DEEP1M</t>
        </is>
      </c>
      <c r="B541" s="0" t="inlineStr">
        <is>
          <t>S29</t>
        </is>
      </c>
      <c r="E541" s="0" t="inlineStr">
        <is>
          <t>不适用：精确算法无可调低召回档位。仅Z列为100%实测参考点，不能作为等召回95%比较。</t>
        </is>
      </c>
    </row>
    <row r="542">
      <c r="A542" s="0" t="inlineStr">
        <is>
          <t>DEEP1M</t>
        </is>
      </c>
      <c r="B542" s="0" t="inlineStr">
        <is>
          <t>S30</t>
        </is>
      </c>
      <c r="E542" s="0" t="inlineStr">
        <is>
          <t>不适用：精确算法无可调低召回档位。仅Z列为100%实测参考点，不能作为等召回95%比较。</t>
        </is>
      </c>
    </row>
    <row r="543">
      <c r="A543" s="0" t="inlineStr">
        <is>
          <t>DEEP1M</t>
        </is>
      </c>
      <c r="B543" s="0" t="inlineStr">
        <is>
          <t>T29</t>
        </is>
      </c>
      <c r="E543" s="0" t="inlineStr">
        <is>
          <t>不适用：精确算法无可调低召回档位。仅Z列为100%实测参考点，不能作为等召回95%比较。</t>
        </is>
      </c>
    </row>
    <row r="544">
      <c r="A544" s="0" t="inlineStr">
        <is>
          <t>DEEP1M</t>
        </is>
      </c>
      <c r="B544" s="0" t="inlineStr">
        <is>
          <t>T30</t>
        </is>
      </c>
      <c r="E544" s="0" t="inlineStr">
        <is>
          <t>不适用：精确算法无可调低召回档位。仅Z列为100%实测参考点，不能作为等召回95%比较。</t>
        </is>
      </c>
    </row>
    <row r="545">
      <c r="A545" s="0" t="inlineStr">
        <is>
          <t>DEEP1M</t>
        </is>
      </c>
      <c r="B545" s="0" t="inlineStr">
        <is>
          <t>U29</t>
        </is>
      </c>
      <c r="E545" s="0" t="inlineStr">
        <is>
          <t>不适用：精确算法无可调低召回档位。仅Z列为100%实测参考点，不能作为等召回95%比较。</t>
        </is>
      </c>
    </row>
    <row r="546">
      <c r="A546" s="0" t="inlineStr">
        <is>
          <t>DEEP1M</t>
        </is>
      </c>
      <c r="B546" s="0" t="inlineStr">
        <is>
          <t>U30</t>
        </is>
      </c>
      <c r="E546" s="0" t="inlineStr">
        <is>
          <t>不适用：精确算法无可调低召回档位。仅Z列为100%实测参考点，不能作为等召回95%比较。</t>
        </is>
      </c>
    </row>
    <row r="547">
      <c r="A547" s="0" t="inlineStr">
        <is>
          <t>DEEP1M</t>
        </is>
      </c>
      <c r="B547" s="0" t="inlineStr">
        <is>
          <t>V29</t>
        </is>
      </c>
      <c r="E547" s="0" t="inlineStr">
        <is>
          <t>不适用：精确算法无可调低召回档位。仅Z列为100%实测参考点，不能作为等召回95%比较。</t>
        </is>
      </c>
    </row>
    <row r="548">
      <c r="A548" s="0" t="inlineStr">
        <is>
          <t>DEEP1M</t>
        </is>
      </c>
      <c r="B548" s="0" t="inlineStr">
        <is>
          <t>V30</t>
        </is>
      </c>
      <c r="E548" s="0" t="inlineStr">
        <is>
          <t>不适用：精确算法无可调低召回档位。仅Z列为100%实测参考点，不能作为等召回95%比较。</t>
        </is>
      </c>
    </row>
    <row r="549">
      <c r="A549" s="0" t="inlineStr">
        <is>
          <t>DEEP1M</t>
        </is>
      </c>
      <c r="B549" s="0" t="inlineStr">
        <is>
          <t>W29</t>
        </is>
      </c>
      <c r="E549" s="0" t="inlineStr">
        <is>
          <t>不适用：精确算法无可调低召回档位。仅Z列为100%实测参考点，不能作为等召回95%比较。</t>
        </is>
      </c>
    </row>
    <row r="550">
      <c r="A550" s="0" t="inlineStr">
        <is>
          <t>DEEP1M</t>
        </is>
      </c>
      <c r="B550" s="0" t="inlineStr">
        <is>
          <t>W30</t>
        </is>
      </c>
      <c r="E550" s="0" t="inlineStr">
        <is>
          <t>不适用：精确算法无可调低召回档位。仅Z列为100%实测参考点，不能作为等召回95%比较。</t>
        </is>
      </c>
    </row>
    <row r="551">
      <c r="A551" s="0" t="inlineStr">
        <is>
          <t>DEEP1M</t>
        </is>
      </c>
      <c r="B551" s="0" t="inlineStr">
        <is>
          <t>X29</t>
        </is>
      </c>
      <c r="E551" s="0" t="inlineStr">
        <is>
          <t>不适用：精确算法无可调低召回档位。仅Z列为100%实测参考点，不能作为等召回95%比较。</t>
        </is>
      </c>
    </row>
    <row r="552">
      <c r="A552" s="0" t="inlineStr">
        <is>
          <t>DEEP1M</t>
        </is>
      </c>
      <c r="B552" s="0" t="inlineStr">
        <is>
          <t>X30</t>
        </is>
      </c>
      <c r="E552" s="0" t="inlineStr">
        <is>
          <t>不适用：精确算法无可调低召回档位。仅Z列为100%实测参考点，不能作为等召回95%比较。</t>
        </is>
      </c>
    </row>
    <row r="553">
      <c r="A553" s="0" t="inlineStr">
        <is>
          <t>DEEP1M</t>
        </is>
      </c>
      <c r="B553" s="0" t="inlineStr">
        <is>
          <t>Y29</t>
        </is>
      </c>
      <c r="E553" s="0" t="inlineStr">
        <is>
          <t>不适用：精确算法无可调低召回档位。仅Z列为100%实测参考点，不能作为等召回95%比较。</t>
        </is>
      </c>
    </row>
    <row r="554">
      <c r="A554" s="0" t="inlineStr">
        <is>
          <t>DEEP1M</t>
        </is>
      </c>
      <c r="B554" s="0" t="inlineStr">
        <is>
          <t>Y30</t>
        </is>
      </c>
      <c r="E554" s="0" t="inlineStr">
        <is>
          <t>不适用：精确算法无可调低召回档位。仅Z列为100%实测参考点，不能作为等召回95%比较。</t>
        </is>
      </c>
    </row>
    <row r="555">
      <c r="A555" s="0" t="inlineStr">
        <is>
          <t>DEEP1M</t>
        </is>
      </c>
      <c r="B555" s="0" t="inlineStr">
        <is>
          <t>Z29</t>
        </is>
      </c>
      <c r="C555" s="0" t="n">
        <v>100</v>
      </c>
      <c r="D555" s="0" t="inlineStr">
        <is>
          <t>/mnt/d/paper_source/work_9/VeriANN_repro_2026-09-30/VeriANN_repro_2026-09-30/results/work9-chen13-20261021/deep1m-1000000-overall/measurement.json</t>
        </is>
      </c>
      <c r="E555" s="0" t="inlineStr">
        <is>
          <t>精确方法唯一召回点。</t>
        </is>
      </c>
    </row>
    <row r="556">
      <c r="A556" s="0" t="inlineStr">
        <is>
          <t>DEEP1M</t>
        </is>
      </c>
      <c r="B556" s="0" t="inlineStr">
        <is>
          <t>Z30</t>
        </is>
      </c>
      <c r="C556" s="0" t="n">
        <v>373923.6996</v>
      </c>
      <c r="D556" s="0" t="inlineStr">
        <is>
          <t>/mnt/d/paper_source/work_9/VeriANN_repro_2026-09-30/VeriANN_repro_2026-09-30/results/work9-chen13-20261021/deep1m-1000000-overall/measurement.json</t>
        </is>
      </c>
      <c r="E556" s="0" t="inlineStr">
        <is>
          <t>沿用默认 k=10 的同一组60次真实测量；非重复实验。</t>
        </is>
      </c>
    </row>
    <row r="557">
      <c r="A557" s="0" t="inlineStr">
        <is>
          <t>DEEP1M</t>
        </is>
      </c>
      <c r="B557" s="0" t="inlineStr">
        <is>
          <t>F43</t>
        </is>
      </c>
      <c r="E557" s="0" t="inlineStr">
        <is>
          <t>不适用：精确算法无可调低召回档位。仅Z列为100%实测参考点，不能作为等召回95%比较。</t>
        </is>
      </c>
    </row>
    <row r="558">
      <c r="A558" s="0" t="inlineStr">
        <is>
          <t>DEEP1M</t>
        </is>
      </c>
      <c r="B558" s="0" t="inlineStr">
        <is>
          <t>F44</t>
        </is>
      </c>
      <c r="E558" s="0" t="inlineStr">
        <is>
          <t>不适用：精确算法无可调低召回档位。仅Z列为100%实测参考点，不能作为等召回95%比较。</t>
        </is>
      </c>
    </row>
    <row r="559">
      <c r="A559" s="0" t="inlineStr">
        <is>
          <t>DEEP1M</t>
        </is>
      </c>
      <c r="B559" s="0" t="inlineStr">
        <is>
          <t>G43</t>
        </is>
      </c>
      <c r="E559" s="0" t="inlineStr">
        <is>
          <t>不适用：精确算法无可调低召回档位。仅Z列为100%实测参考点，不能作为等召回95%比较。</t>
        </is>
      </c>
    </row>
    <row r="560">
      <c r="A560" s="0" t="inlineStr">
        <is>
          <t>DEEP1M</t>
        </is>
      </c>
      <c r="B560" s="0" t="inlineStr">
        <is>
          <t>G44</t>
        </is>
      </c>
      <c r="E560" s="0" t="inlineStr">
        <is>
          <t>不适用：精确算法无可调低召回档位。仅Z列为100%实测参考点，不能作为等召回95%比较。</t>
        </is>
      </c>
    </row>
    <row r="561">
      <c r="A561" s="0" t="inlineStr">
        <is>
          <t>DEEP1M</t>
        </is>
      </c>
      <c r="B561" s="0" t="inlineStr">
        <is>
          <t>H43</t>
        </is>
      </c>
      <c r="E561" s="0" t="inlineStr">
        <is>
          <t>不适用：精确算法无可调低召回档位。仅Z列为100%实测参考点，不能作为等召回95%比较。</t>
        </is>
      </c>
    </row>
    <row r="562">
      <c r="A562" s="0" t="inlineStr">
        <is>
          <t>DEEP1M</t>
        </is>
      </c>
      <c r="B562" s="0" t="inlineStr">
        <is>
          <t>H44</t>
        </is>
      </c>
      <c r="E562" s="0" t="inlineStr">
        <is>
          <t>不适用：精确算法无可调低召回档位。仅Z列为100%实测参考点，不能作为等召回95%比较。</t>
        </is>
      </c>
    </row>
    <row r="563">
      <c r="A563" s="0" t="inlineStr">
        <is>
          <t>DEEP1M</t>
        </is>
      </c>
      <c r="B563" s="0" t="inlineStr">
        <is>
          <t>I43</t>
        </is>
      </c>
      <c r="E563" s="0" t="inlineStr">
        <is>
          <t>不适用：精确算法无可调低召回档位。仅Z列为100%实测参考点，不能作为等召回95%比较。</t>
        </is>
      </c>
    </row>
    <row r="564">
      <c r="A564" s="0" t="inlineStr">
        <is>
          <t>DEEP1M</t>
        </is>
      </c>
      <c r="B564" s="0" t="inlineStr">
        <is>
          <t>I44</t>
        </is>
      </c>
      <c r="E564" s="0" t="inlineStr">
        <is>
          <t>不适用：精确算法无可调低召回档位。仅Z列为100%实测参考点，不能作为等召回95%比较。</t>
        </is>
      </c>
    </row>
    <row r="565">
      <c r="A565" s="0" t="inlineStr">
        <is>
          <t>DEEP1M</t>
        </is>
      </c>
      <c r="B565" s="0" t="inlineStr">
        <is>
          <t>J43</t>
        </is>
      </c>
      <c r="E565" s="0" t="inlineStr">
        <is>
          <t>不适用：精确算法无可调低召回档位。仅Z列为100%实测参考点，不能作为等召回95%比较。</t>
        </is>
      </c>
    </row>
    <row r="566">
      <c r="A566" s="0" t="inlineStr">
        <is>
          <t>DEEP1M</t>
        </is>
      </c>
      <c r="B566" s="0" t="inlineStr">
        <is>
          <t>J44</t>
        </is>
      </c>
      <c r="E566" s="0" t="inlineStr">
        <is>
          <t>不适用：精确算法无可调低召回档位。仅Z列为100%实测参考点，不能作为等召回95%比较。</t>
        </is>
      </c>
    </row>
    <row r="567">
      <c r="A567" s="0" t="inlineStr">
        <is>
          <t>DEEP1M</t>
        </is>
      </c>
      <c r="B567" s="0" t="inlineStr">
        <is>
          <t>K43</t>
        </is>
      </c>
      <c r="E567" s="0" t="inlineStr">
        <is>
          <t>不适用：精确算法无可调低召回档位。仅Z列为100%实测参考点，不能作为等召回95%比较。</t>
        </is>
      </c>
    </row>
    <row r="568">
      <c r="A568" s="0" t="inlineStr">
        <is>
          <t>DEEP1M</t>
        </is>
      </c>
      <c r="B568" s="0" t="inlineStr">
        <is>
          <t>K44</t>
        </is>
      </c>
      <c r="E568" s="0" t="inlineStr">
        <is>
          <t>不适用：精确算法无可调低召回档位。仅Z列为100%实测参考点，不能作为等召回95%比较。</t>
        </is>
      </c>
    </row>
    <row r="569">
      <c r="A569" s="0" t="inlineStr">
        <is>
          <t>DEEP1M</t>
        </is>
      </c>
      <c r="B569" s="0" t="inlineStr">
        <is>
          <t>L43</t>
        </is>
      </c>
      <c r="E569" s="0" t="inlineStr">
        <is>
          <t>不适用：精确算法无可调低召回档位。仅Z列为100%实测参考点，不能作为等召回95%比较。</t>
        </is>
      </c>
    </row>
    <row r="570">
      <c r="A570" s="0" t="inlineStr">
        <is>
          <t>DEEP1M</t>
        </is>
      </c>
      <c r="B570" s="0" t="inlineStr">
        <is>
          <t>L44</t>
        </is>
      </c>
      <c r="E570" s="0" t="inlineStr">
        <is>
          <t>不适用：精确算法无可调低召回档位。仅Z列为100%实测参考点，不能作为等召回95%比较。</t>
        </is>
      </c>
    </row>
    <row r="571">
      <c r="A571" s="0" t="inlineStr">
        <is>
          <t>DEEP1M</t>
        </is>
      </c>
      <c r="B571" s="0" t="inlineStr">
        <is>
          <t>M43</t>
        </is>
      </c>
      <c r="E571" s="0" t="inlineStr">
        <is>
          <t>不适用：精确算法无可调低召回档位。仅Z列为100%实测参考点，不能作为等召回95%比较。</t>
        </is>
      </c>
    </row>
    <row r="572">
      <c r="A572" s="0" t="inlineStr">
        <is>
          <t>DEEP1M</t>
        </is>
      </c>
      <c r="B572" s="0" t="inlineStr">
        <is>
          <t>M44</t>
        </is>
      </c>
      <c r="E572" s="0" t="inlineStr">
        <is>
          <t>不适用：精确算法无可调低召回档位。仅Z列为100%实测参考点，不能作为等召回95%比较。</t>
        </is>
      </c>
    </row>
    <row r="573">
      <c r="A573" s="0" t="inlineStr">
        <is>
          <t>DEEP1M</t>
        </is>
      </c>
      <c r="B573" s="0" t="inlineStr">
        <is>
          <t>N43</t>
        </is>
      </c>
      <c r="E573" s="0" t="inlineStr">
        <is>
          <t>不适用：精确算法无可调低召回档位。仅Z列为100%实测参考点，不能作为等召回95%比较。</t>
        </is>
      </c>
    </row>
    <row r="574">
      <c r="A574" s="0" t="inlineStr">
        <is>
          <t>DEEP1M</t>
        </is>
      </c>
      <c r="B574" s="0" t="inlineStr">
        <is>
          <t>N44</t>
        </is>
      </c>
      <c r="E574" s="0" t="inlineStr">
        <is>
          <t>不适用：精确算法无可调低召回档位。仅Z列为100%实测参考点，不能作为等召回95%比较。</t>
        </is>
      </c>
    </row>
    <row r="575">
      <c r="A575" s="0" t="inlineStr">
        <is>
          <t>DEEP1M</t>
        </is>
      </c>
      <c r="B575" s="0" t="inlineStr">
        <is>
          <t>O43</t>
        </is>
      </c>
      <c r="E575" s="0" t="inlineStr">
        <is>
          <t>不适用：精确算法无可调低召回档位。仅Z列为100%实测参考点，不能作为等召回95%比较。</t>
        </is>
      </c>
    </row>
    <row r="576">
      <c r="A576" s="0" t="inlineStr">
        <is>
          <t>DEEP1M</t>
        </is>
      </c>
      <c r="B576" s="0" t="inlineStr">
        <is>
          <t>O44</t>
        </is>
      </c>
      <c r="E576" s="0" t="inlineStr">
        <is>
          <t>不适用：精确算法无可调低召回档位。仅Z列为100%实测参考点，不能作为等召回95%比较。</t>
        </is>
      </c>
    </row>
    <row r="577">
      <c r="A577" s="0" t="inlineStr">
        <is>
          <t>DEEP1M</t>
        </is>
      </c>
      <c r="B577" s="0" t="inlineStr">
        <is>
          <t>P43</t>
        </is>
      </c>
      <c r="E577" s="0" t="inlineStr">
        <is>
          <t>不适用：精确算法无可调低召回档位。仅Z列为100%实测参考点，不能作为等召回95%比较。</t>
        </is>
      </c>
    </row>
    <row r="578">
      <c r="A578" s="0" t="inlineStr">
        <is>
          <t>DEEP1M</t>
        </is>
      </c>
      <c r="B578" s="0" t="inlineStr">
        <is>
          <t>P44</t>
        </is>
      </c>
      <c r="E578" s="0" t="inlineStr">
        <is>
          <t>不适用：精确算法无可调低召回档位。仅Z列为100%实测参考点，不能作为等召回95%比较。</t>
        </is>
      </c>
    </row>
    <row r="579">
      <c r="A579" s="0" t="inlineStr">
        <is>
          <t>DEEP1M</t>
        </is>
      </c>
      <c r="B579" s="0" t="inlineStr">
        <is>
          <t>Q43</t>
        </is>
      </c>
      <c r="E579" s="0" t="inlineStr">
        <is>
          <t>不适用：精确算法无可调低召回档位。仅Z列为100%实测参考点，不能作为等召回95%比较。</t>
        </is>
      </c>
    </row>
    <row r="580">
      <c r="A580" s="0" t="inlineStr">
        <is>
          <t>DEEP1M</t>
        </is>
      </c>
      <c r="B580" s="0" t="inlineStr">
        <is>
          <t>Q44</t>
        </is>
      </c>
      <c r="E580" s="0" t="inlineStr">
        <is>
          <t>不适用：精确算法无可调低召回档位。仅Z列为100%实测参考点，不能作为等召回95%比较。</t>
        </is>
      </c>
    </row>
    <row r="581">
      <c r="A581" s="0" t="inlineStr">
        <is>
          <t>DEEP1M</t>
        </is>
      </c>
      <c r="B581" s="0" t="inlineStr">
        <is>
          <t>R43</t>
        </is>
      </c>
      <c r="E581" s="0" t="inlineStr">
        <is>
          <t>不适用：精确算法无可调低召回档位。仅Z列为100%实测参考点，不能作为等召回95%比较。</t>
        </is>
      </c>
    </row>
    <row r="582">
      <c r="A582" s="0" t="inlineStr">
        <is>
          <t>DEEP1M</t>
        </is>
      </c>
      <c r="B582" s="0" t="inlineStr">
        <is>
          <t>R44</t>
        </is>
      </c>
      <c r="E582" s="0" t="inlineStr">
        <is>
          <t>不适用：精确算法无可调低召回档位。仅Z列为100%实测参考点，不能作为等召回95%比较。</t>
        </is>
      </c>
    </row>
    <row r="583">
      <c r="A583" s="0" t="inlineStr">
        <is>
          <t>DEEP1M</t>
        </is>
      </c>
      <c r="B583" s="0" t="inlineStr">
        <is>
          <t>S43</t>
        </is>
      </c>
      <c r="E583" s="0" t="inlineStr">
        <is>
          <t>不适用：精确算法无可调低召回档位。仅Z列为100%实测参考点，不能作为等召回95%比较。</t>
        </is>
      </c>
    </row>
    <row r="584">
      <c r="A584" s="0" t="inlineStr">
        <is>
          <t>DEEP1M</t>
        </is>
      </c>
      <c r="B584" s="0" t="inlineStr">
        <is>
          <t>S44</t>
        </is>
      </c>
      <c r="E584" s="0" t="inlineStr">
        <is>
          <t>不适用：精确算法无可调低召回档位。仅Z列为100%实测参考点，不能作为等召回95%比较。</t>
        </is>
      </c>
    </row>
    <row r="585">
      <c r="A585" s="0" t="inlineStr">
        <is>
          <t>DEEP1M</t>
        </is>
      </c>
      <c r="B585" s="0" t="inlineStr">
        <is>
          <t>T43</t>
        </is>
      </c>
      <c r="E585" s="0" t="inlineStr">
        <is>
          <t>不适用：精确算法无可调低召回档位。仅Z列为100%实测参考点，不能作为等召回95%比较。</t>
        </is>
      </c>
    </row>
    <row r="586">
      <c r="A586" s="0" t="inlineStr">
        <is>
          <t>DEEP1M</t>
        </is>
      </c>
      <c r="B586" s="0" t="inlineStr">
        <is>
          <t>T44</t>
        </is>
      </c>
      <c r="E586" s="0" t="inlineStr">
        <is>
          <t>不适用：精确算法无可调低召回档位。仅Z列为100%实测参考点，不能作为等召回95%比较。</t>
        </is>
      </c>
    </row>
    <row r="587">
      <c r="A587" s="0" t="inlineStr">
        <is>
          <t>DEEP1M</t>
        </is>
      </c>
      <c r="B587" s="0" t="inlineStr">
        <is>
          <t>U43</t>
        </is>
      </c>
      <c r="E587" s="0" t="inlineStr">
        <is>
          <t>不适用：精确算法无可调低召回档位。仅Z列为100%实测参考点，不能作为等召回95%比较。</t>
        </is>
      </c>
    </row>
    <row r="588">
      <c r="A588" s="0" t="inlineStr">
        <is>
          <t>DEEP1M</t>
        </is>
      </c>
      <c r="B588" s="0" t="inlineStr">
        <is>
          <t>U44</t>
        </is>
      </c>
      <c r="E588" s="0" t="inlineStr">
        <is>
          <t>不适用：精确算法无可调低召回档位。仅Z列为100%实测参考点，不能作为等召回95%比较。</t>
        </is>
      </c>
    </row>
    <row r="589">
      <c r="A589" s="0" t="inlineStr">
        <is>
          <t>DEEP1M</t>
        </is>
      </c>
      <c r="B589" s="0" t="inlineStr">
        <is>
          <t>V43</t>
        </is>
      </c>
      <c r="E589" s="0" t="inlineStr">
        <is>
          <t>不适用：精确算法无可调低召回档位。仅Z列为100%实测参考点，不能作为等召回95%比较。</t>
        </is>
      </c>
    </row>
    <row r="590">
      <c r="A590" s="0" t="inlineStr">
        <is>
          <t>DEEP1M</t>
        </is>
      </c>
      <c r="B590" s="0" t="inlineStr">
        <is>
          <t>V44</t>
        </is>
      </c>
      <c r="E590" s="0" t="inlineStr">
        <is>
          <t>不适用：精确算法无可调低召回档位。仅Z列为100%实测参考点，不能作为等召回95%比较。</t>
        </is>
      </c>
    </row>
    <row r="591">
      <c r="A591" s="0" t="inlineStr">
        <is>
          <t>DEEP1M</t>
        </is>
      </c>
      <c r="B591" s="0" t="inlineStr">
        <is>
          <t>W43</t>
        </is>
      </c>
      <c r="E591" s="0" t="inlineStr">
        <is>
          <t>不适用：精确算法无可调低召回档位。仅Z列为100%实测参考点，不能作为等召回95%比较。</t>
        </is>
      </c>
    </row>
    <row r="592">
      <c r="A592" s="0" t="inlineStr">
        <is>
          <t>DEEP1M</t>
        </is>
      </c>
      <c r="B592" s="0" t="inlineStr">
        <is>
          <t>W44</t>
        </is>
      </c>
      <c r="E592" s="0" t="inlineStr">
        <is>
          <t>不适用：精确算法无可调低召回档位。仅Z列为100%实测参考点，不能作为等召回95%比较。</t>
        </is>
      </c>
    </row>
    <row r="593">
      <c r="A593" s="0" t="inlineStr">
        <is>
          <t>DEEP1M</t>
        </is>
      </c>
      <c r="B593" s="0" t="inlineStr">
        <is>
          <t>X43</t>
        </is>
      </c>
      <c r="E593" s="0" t="inlineStr">
        <is>
          <t>不适用：精确算法无可调低召回档位。仅Z列为100%实测参考点，不能作为等召回95%比较。</t>
        </is>
      </c>
    </row>
    <row r="594">
      <c r="A594" s="0" t="inlineStr">
        <is>
          <t>DEEP1M</t>
        </is>
      </c>
      <c r="B594" s="0" t="inlineStr">
        <is>
          <t>X44</t>
        </is>
      </c>
      <c r="E594" s="0" t="inlineStr">
        <is>
          <t>不适用：精确算法无可调低召回档位。仅Z列为100%实测参考点，不能作为等召回95%比较。</t>
        </is>
      </c>
    </row>
    <row r="595">
      <c r="A595" s="0" t="inlineStr">
        <is>
          <t>DEEP1M</t>
        </is>
      </c>
      <c r="B595" s="0" t="inlineStr">
        <is>
          <t>Y43</t>
        </is>
      </c>
      <c r="E595" s="0" t="inlineStr">
        <is>
          <t>不适用：精确算法无可调低召回档位。仅Z列为100%实测参考点，不能作为等召回95%比较。</t>
        </is>
      </c>
    </row>
    <row r="596">
      <c r="A596" s="0" t="inlineStr">
        <is>
          <t>DEEP1M</t>
        </is>
      </c>
      <c r="B596" s="0" t="inlineStr">
        <is>
          <t>Y44</t>
        </is>
      </c>
      <c r="E596" s="0" t="inlineStr">
        <is>
          <t>不适用：精确算法无可调低召回档位。仅Z列为100%实测参考点，不能作为等召回95%比较。</t>
        </is>
      </c>
    </row>
    <row r="597">
      <c r="A597" s="0" t="inlineStr">
        <is>
          <t>DEEP1M</t>
        </is>
      </c>
      <c r="B597" s="0" t="inlineStr">
        <is>
          <t>Z43</t>
        </is>
      </c>
      <c r="C597" s="0" t="n">
        <v>100</v>
      </c>
      <c r="D597" s="0" t="inlineStr">
        <is>
          <t>/mnt/d/paper_source/work_9/VeriANN_repro_2026-09-30/VeriANN_repro_2026-09-30/results/work9-chen13-20261021/deep1m-1000000-overall/measurement.json</t>
        </is>
      </c>
      <c r="E597" s="0" t="inlineStr">
        <is>
          <t>精确方法唯一召回点。</t>
        </is>
      </c>
    </row>
    <row r="598">
      <c r="A598" s="0" t="inlineStr">
        <is>
          <t>DEEP1M</t>
        </is>
      </c>
      <c r="B598" s="0" t="inlineStr">
        <is>
          <t>Z44</t>
        </is>
      </c>
      <c r="C598" s="0" t="n">
        <v>398.21774055</v>
      </c>
      <c r="D598" s="0" t="inlineStr">
        <is>
          <t>/mnt/d/paper_source/work_9/VeriANN_repro_2026-09-30/VeriANN_repro_2026-09-30/results/work9-chen13-20261021/deep1m-1000000-overall/measurement.json</t>
        </is>
      </c>
      <c r="E598" s="0" t="inlineStr">
        <is>
          <t>沿用默认 k=10 的同一组60次真实测量；非重复实验。</t>
        </is>
      </c>
    </row>
    <row r="599">
      <c r="A599" s="0" t="inlineStr">
        <is>
          <t>DEEP1M</t>
        </is>
      </c>
      <c r="B599" s="0" t="inlineStr">
        <is>
          <t>F57</t>
        </is>
      </c>
      <c r="E599" s="0" t="inlineStr">
        <is>
          <t>不适用：精确算法无可调低召回档位。仅Z列为100%实测参考点，不能作为等召回95%比较。</t>
        </is>
      </c>
    </row>
    <row r="600">
      <c r="A600" s="0" t="inlineStr">
        <is>
          <t>DEEP1M</t>
        </is>
      </c>
      <c r="B600" s="0" t="inlineStr">
        <is>
          <t>F58</t>
        </is>
      </c>
      <c r="E600" s="0" t="inlineStr">
        <is>
          <t>不适用：精确算法无可调低召回档位。仅Z列为100%实测参考点，不能作为等召回95%比较。</t>
        </is>
      </c>
    </row>
    <row r="601">
      <c r="A601" s="0" t="inlineStr">
        <is>
          <t>DEEP1M</t>
        </is>
      </c>
      <c r="B601" s="0" t="inlineStr">
        <is>
          <t>G57</t>
        </is>
      </c>
      <c r="E601" s="0" t="inlineStr">
        <is>
          <t>不适用：精确算法无可调低召回档位。仅Z列为100%实测参考点，不能作为等召回95%比较。</t>
        </is>
      </c>
    </row>
    <row r="602">
      <c r="A602" s="0" t="inlineStr">
        <is>
          <t>DEEP1M</t>
        </is>
      </c>
      <c r="B602" s="0" t="inlineStr">
        <is>
          <t>G58</t>
        </is>
      </c>
      <c r="E602" s="0" t="inlineStr">
        <is>
          <t>不适用：精确算法无可调低召回档位。仅Z列为100%实测参考点，不能作为等召回95%比较。</t>
        </is>
      </c>
    </row>
    <row r="603">
      <c r="A603" s="0" t="inlineStr">
        <is>
          <t>DEEP1M</t>
        </is>
      </c>
      <c r="B603" s="0" t="inlineStr">
        <is>
          <t>H57</t>
        </is>
      </c>
      <c r="E603" s="0" t="inlineStr">
        <is>
          <t>不适用：精确算法无可调低召回档位。仅Z列为100%实测参考点，不能作为等召回95%比较。</t>
        </is>
      </c>
    </row>
    <row r="604">
      <c r="A604" s="0" t="inlineStr">
        <is>
          <t>DEEP1M</t>
        </is>
      </c>
      <c r="B604" s="0" t="inlineStr">
        <is>
          <t>H58</t>
        </is>
      </c>
      <c r="E604" s="0" t="inlineStr">
        <is>
          <t>不适用：精确算法无可调低召回档位。仅Z列为100%实测参考点，不能作为等召回95%比较。</t>
        </is>
      </c>
    </row>
    <row r="605">
      <c r="A605" s="0" t="inlineStr">
        <is>
          <t>DEEP1M</t>
        </is>
      </c>
      <c r="B605" s="0" t="inlineStr">
        <is>
          <t>I57</t>
        </is>
      </c>
      <c r="E605" s="0" t="inlineStr">
        <is>
          <t>不适用：精确算法无可调低召回档位。仅Z列为100%实测参考点，不能作为等召回95%比较。</t>
        </is>
      </c>
    </row>
    <row r="606">
      <c r="A606" s="0" t="inlineStr">
        <is>
          <t>DEEP1M</t>
        </is>
      </c>
      <c r="B606" s="0" t="inlineStr">
        <is>
          <t>I58</t>
        </is>
      </c>
      <c r="E606" s="0" t="inlineStr">
        <is>
          <t>不适用：精确算法无可调低召回档位。仅Z列为100%实测参考点，不能作为等召回95%比较。</t>
        </is>
      </c>
    </row>
    <row r="607">
      <c r="A607" s="0" t="inlineStr">
        <is>
          <t>DEEP1M</t>
        </is>
      </c>
      <c r="B607" s="0" t="inlineStr">
        <is>
          <t>J57</t>
        </is>
      </c>
      <c r="E607" s="0" t="inlineStr">
        <is>
          <t>不适用：精确算法无可调低召回档位。仅Z列为100%实测参考点，不能作为等召回95%比较。</t>
        </is>
      </c>
    </row>
    <row r="608">
      <c r="A608" s="0" t="inlineStr">
        <is>
          <t>DEEP1M</t>
        </is>
      </c>
      <c r="B608" s="0" t="inlineStr">
        <is>
          <t>J58</t>
        </is>
      </c>
      <c r="E608" s="0" t="inlineStr">
        <is>
          <t>不适用：精确算法无可调低召回档位。仅Z列为100%实测参考点，不能作为等召回95%比较。</t>
        </is>
      </c>
    </row>
    <row r="609">
      <c r="A609" s="0" t="inlineStr">
        <is>
          <t>DEEP1M</t>
        </is>
      </c>
      <c r="B609" s="0" t="inlineStr">
        <is>
          <t>K57</t>
        </is>
      </c>
      <c r="E609" s="0" t="inlineStr">
        <is>
          <t>不适用：精确算法无可调低召回档位。仅Z列为100%实测参考点，不能作为等召回95%比较。</t>
        </is>
      </c>
    </row>
    <row r="610">
      <c r="A610" s="0" t="inlineStr">
        <is>
          <t>DEEP1M</t>
        </is>
      </c>
      <c r="B610" s="0" t="inlineStr">
        <is>
          <t>K58</t>
        </is>
      </c>
      <c r="E610" s="0" t="inlineStr">
        <is>
          <t>不适用：精确算法无可调低召回档位。仅Z列为100%实测参考点，不能作为等召回95%比较。</t>
        </is>
      </c>
    </row>
    <row r="611">
      <c r="A611" s="0" t="inlineStr">
        <is>
          <t>DEEP1M</t>
        </is>
      </c>
      <c r="B611" s="0" t="inlineStr">
        <is>
          <t>L57</t>
        </is>
      </c>
      <c r="E611" s="0" t="inlineStr">
        <is>
          <t>不适用：精确算法无可调低召回档位。仅Z列为100%实测参考点，不能作为等召回95%比较。</t>
        </is>
      </c>
    </row>
    <row r="612">
      <c r="A612" s="0" t="inlineStr">
        <is>
          <t>DEEP1M</t>
        </is>
      </c>
      <c r="B612" s="0" t="inlineStr">
        <is>
          <t>L58</t>
        </is>
      </c>
      <c r="E612" s="0" t="inlineStr">
        <is>
          <t>不适用：精确算法无可调低召回档位。仅Z列为100%实测参考点，不能作为等召回95%比较。</t>
        </is>
      </c>
    </row>
    <row r="613">
      <c r="A613" s="0" t="inlineStr">
        <is>
          <t>DEEP1M</t>
        </is>
      </c>
      <c r="B613" s="0" t="inlineStr">
        <is>
          <t>M57</t>
        </is>
      </c>
      <c r="E613" s="0" t="inlineStr">
        <is>
          <t>不适用：精确算法无可调低召回档位。仅Z列为100%实测参考点，不能作为等召回95%比较。</t>
        </is>
      </c>
    </row>
    <row r="614">
      <c r="A614" s="0" t="inlineStr">
        <is>
          <t>DEEP1M</t>
        </is>
      </c>
      <c r="B614" s="0" t="inlineStr">
        <is>
          <t>M58</t>
        </is>
      </c>
      <c r="E614" s="0" t="inlineStr">
        <is>
          <t>不适用：精确算法无可调低召回档位。仅Z列为100%实测参考点，不能作为等召回95%比较。</t>
        </is>
      </c>
    </row>
    <row r="615">
      <c r="A615" s="0" t="inlineStr">
        <is>
          <t>DEEP1M</t>
        </is>
      </c>
      <c r="B615" s="0" t="inlineStr">
        <is>
          <t>N57</t>
        </is>
      </c>
      <c r="E615" s="0" t="inlineStr">
        <is>
          <t>不适用：精确算法无可调低召回档位。仅Z列为100%实测参考点，不能作为等召回95%比较。</t>
        </is>
      </c>
    </row>
    <row r="616">
      <c r="A616" s="0" t="inlineStr">
        <is>
          <t>DEEP1M</t>
        </is>
      </c>
      <c r="B616" s="0" t="inlineStr">
        <is>
          <t>N58</t>
        </is>
      </c>
      <c r="E616" s="0" t="inlineStr">
        <is>
          <t>不适用：精确算法无可调低召回档位。仅Z列为100%实测参考点，不能作为等召回95%比较。</t>
        </is>
      </c>
    </row>
    <row r="617">
      <c r="A617" s="0" t="inlineStr">
        <is>
          <t>DEEP1M</t>
        </is>
      </c>
      <c r="B617" s="0" t="inlineStr">
        <is>
          <t>O57</t>
        </is>
      </c>
      <c r="E617" s="0" t="inlineStr">
        <is>
          <t>不适用：精确算法无可调低召回档位。仅Z列为100%实测参考点，不能作为等召回95%比较。</t>
        </is>
      </c>
    </row>
    <row r="618">
      <c r="A618" s="0" t="inlineStr">
        <is>
          <t>DEEP1M</t>
        </is>
      </c>
      <c r="B618" s="0" t="inlineStr">
        <is>
          <t>O58</t>
        </is>
      </c>
      <c r="E618" s="0" t="inlineStr">
        <is>
          <t>不适用：精确算法无可调低召回档位。仅Z列为100%实测参考点，不能作为等召回95%比较。</t>
        </is>
      </c>
    </row>
    <row r="619">
      <c r="A619" s="0" t="inlineStr">
        <is>
          <t>DEEP1M</t>
        </is>
      </c>
      <c r="B619" s="0" t="inlineStr">
        <is>
          <t>P57</t>
        </is>
      </c>
      <c r="E619" s="0" t="inlineStr">
        <is>
          <t>不适用：精确算法无可调低召回档位。仅Z列为100%实测参考点，不能作为等召回95%比较。</t>
        </is>
      </c>
    </row>
    <row r="620">
      <c r="A620" s="0" t="inlineStr">
        <is>
          <t>DEEP1M</t>
        </is>
      </c>
      <c r="B620" s="0" t="inlineStr">
        <is>
          <t>P58</t>
        </is>
      </c>
      <c r="E620" s="0" t="inlineStr">
        <is>
          <t>不适用：精确算法无可调低召回档位。仅Z列为100%实测参考点，不能作为等召回95%比较。</t>
        </is>
      </c>
    </row>
    <row r="621">
      <c r="A621" s="0" t="inlineStr">
        <is>
          <t>DEEP1M</t>
        </is>
      </c>
      <c r="B621" s="0" t="inlineStr">
        <is>
          <t>Q57</t>
        </is>
      </c>
      <c r="E621" s="0" t="inlineStr">
        <is>
          <t>不适用：精确算法无可调低召回档位。仅Z列为100%实测参考点，不能作为等召回95%比较。</t>
        </is>
      </c>
    </row>
    <row r="622">
      <c r="A622" s="0" t="inlineStr">
        <is>
          <t>DEEP1M</t>
        </is>
      </c>
      <c r="B622" s="0" t="inlineStr">
        <is>
          <t>Q58</t>
        </is>
      </c>
      <c r="E622" s="0" t="inlineStr">
        <is>
          <t>不适用：精确算法无可调低召回档位。仅Z列为100%实测参考点，不能作为等召回95%比较。</t>
        </is>
      </c>
    </row>
    <row r="623">
      <c r="A623" s="0" t="inlineStr">
        <is>
          <t>DEEP1M</t>
        </is>
      </c>
      <c r="B623" s="0" t="inlineStr">
        <is>
          <t>R57</t>
        </is>
      </c>
      <c r="E623" s="0" t="inlineStr">
        <is>
          <t>不适用：精确算法无可调低召回档位。仅Z列为100%实测参考点，不能作为等召回95%比较。</t>
        </is>
      </c>
    </row>
    <row r="624">
      <c r="A624" s="0" t="inlineStr">
        <is>
          <t>DEEP1M</t>
        </is>
      </c>
      <c r="B624" s="0" t="inlineStr">
        <is>
          <t>R58</t>
        </is>
      </c>
      <c r="E624" s="0" t="inlineStr">
        <is>
          <t>不适用：精确算法无可调低召回档位。仅Z列为100%实测参考点，不能作为等召回95%比较。</t>
        </is>
      </c>
    </row>
    <row r="625">
      <c r="A625" s="0" t="inlineStr">
        <is>
          <t>DEEP1M</t>
        </is>
      </c>
      <c r="B625" s="0" t="inlineStr">
        <is>
          <t>S57</t>
        </is>
      </c>
      <c r="E625" s="0" t="inlineStr">
        <is>
          <t>不适用：精确算法无可调低召回档位。仅Z列为100%实测参考点，不能作为等召回95%比较。</t>
        </is>
      </c>
    </row>
    <row r="626">
      <c r="A626" s="0" t="inlineStr">
        <is>
          <t>DEEP1M</t>
        </is>
      </c>
      <c r="B626" s="0" t="inlineStr">
        <is>
          <t>S58</t>
        </is>
      </c>
      <c r="E626" s="0" t="inlineStr">
        <is>
          <t>不适用：精确算法无可调低召回档位。仅Z列为100%实测参考点，不能作为等召回95%比较。</t>
        </is>
      </c>
    </row>
    <row r="627">
      <c r="A627" s="0" t="inlineStr">
        <is>
          <t>DEEP1M</t>
        </is>
      </c>
      <c r="B627" s="0" t="inlineStr">
        <is>
          <t>T57</t>
        </is>
      </c>
      <c r="E627" s="0" t="inlineStr">
        <is>
          <t>不适用：精确算法无可调低召回档位。仅Z列为100%实测参考点，不能作为等召回95%比较。</t>
        </is>
      </c>
    </row>
    <row r="628">
      <c r="A628" s="0" t="inlineStr">
        <is>
          <t>DEEP1M</t>
        </is>
      </c>
      <c r="B628" s="0" t="inlineStr">
        <is>
          <t>T58</t>
        </is>
      </c>
      <c r="E628" s="0" t="inlineStr">
        <is>
          <t>不适用：精确算法无可调低召回档位。仅Z列为100%实测参考点，不能作为等召回95%比较。</t>
        </is>
      </c>
    </row>
    <row r="629">
      <c r="A629" s="0" t="inlineStr">
        <is>
          <t>DEEP1M</t>
        </is>
      </c>
      <c r="B629" s="0" t="inlineStr">
        <is>
          <t>U57</t>
        </is>
      </c>
      <c r="E629" s="0" t="inlineStr">
        <is>
          <t>不适用：精确算法无可调低召回档位。仅Z列为100%实测参考点，不能作为等召回95%比较。</t>
        </is>
      </c>
    </row>
    <row r="630">
      <c r="A630" s="0" t="inlineStr">
        <is>
          <t>DEEP1M</t>
        </is>
      </c>
      <c r="B630" s="0" t="inlineStr">
        <is>
          <t>U58</t>
        </is>
      </c>
      <c r="E630" s="0" t="inlineStr">
        <is>
          <t>不适用：精确算法无可调低召回档位。仅Z列为100%实测参考点，不能作为等召回95%比较。</t>
        </is>
      </c>
    </row>
    <row r="631">
      <c r="A631" s="0" t="inlineStr">
        <is>
          <t>DEEP1M</t>
        </is>
      </c>
      <c r="B631" s="0" t="inlineStr">
        <is>
          <t>V57</t>
        </is>
      </c>
      <c r="E631" s="0" t="inlineStr">
        <is>
          <t>不适用：精确算法无可调低召回档位。仅Z列为100%实测参考点，不能作为等召回95%比较。</t>
        </is>
      </c>
    </row>
    <row r="632">
      <c r="A632" s="0" t="inlineStr">
        <is>
          <t>DEEP1M</t>
        </is>
      </c>
      <c r="B632" s="0" t="inlineStr">
        <is>
          <t>V58</t>
        </is>
      </c>
      <c r="E632" s="0" t="inlineStr">
        <is>
          <t>不适用：精确算法无可调低召回档位。仅Z列为100%实测参考点，不能作为等召回95%比较。</t>
        </is>
      </c>
    </row>
    <row r="633">
      <c r="A633" s="0" t="inlineStr">
        <is>
          <t>DEEP1M</t>
        </is>
      </c>
      <c r="B633" s="0" t="inlineStr">
        <is>
          <t>W57</t>
        </is>
      </c>
      <c r="E633" s="0" t="inlineStr">
        <is>
          <t>不适用：精确算法无可调低召回档位。仅Z列为100%实测参考点，不能作为等召回95%比较。</t>
        </is>
      </c>
    </row>
    <row r="634">
      <c r="A634" s="0" t="inlineStr">
        <is>
          <t>DEEP1M</t>
        </is>
      </c>
      <c r="B634" s="0" t="inlineStr">
        <is>
          <t>W58</t>
        </is>
      </c>
      <c r="E634" s="0" t="inlineStr">
        <is>
          <t>不适用：精确算法无可调低召回档位。仅Z列为100%实测参考点，不能作为等召回95%比较。</t>
        </is>
      </c>
    </row>
    <row r="635">
      <c r="A635" s="0" t="inlineStr">
        <is>
          <t>DEEP1M</t>
        </is>
      </c>
      <c r="B635" s="0" t="inlineStr">
        <is>
          <t>X57</t>
        </is>
      </c>
      <c r="E635" s="0" t="inlineStr">
        <is>
          <t>不适用：精确算法无可调低召回档位。仅Z列为100%实测参考点，不能作为等召回95%比较。</t>
        </is>
      </c>
    </row>
    <row r="636">
      <c r="A636" s="0" t="inlineStr">
        <is>
          <t>DEEP1M</t>
        </is>
      </c>
      <c r="B636" s="0" t="inlineStr">
        <is>
          <t>X58</t>
        </is>
      </c>
      <c r="E636" s="0" t="inlineStr">
        <is>
          <t>不适用：精确算法无可调低召回档位。仅Z列为100%实测参考点，不能作为等召回95%比较。</t>
        </is>
      </c>
    </row>
    <row r="637">
      <c r="A637" s="0" t="inlineStr">
        <is>
          <t>DEEP1M</t>
        </is>
      </c>
      <c r="B637" s="0" t="inlineStr">
        <is>
          <t>Y57</t>
        </is>
      </c>
      <c r="E637" s="0" t="inlineStr">
        <is>
          <t>不适用：精确算法无可调低召回档位。仅Z列为100%实测参考点，不能作为等召回95%比较。</t>
        </is>
      </c>
    </row>
    <row r="638">
      <c r="A638" s="0" t="inlineStr">
        <is>
          <t>DEEP1M</t>
        </is>
      </c>
      <c r="B638" s="0" t="inlineStr">
        <is>
          <t>Y58</t>
        </is>
      </c>
      <c r="E638" s="0" t="inlineStr">
        <is>
          <t>不适用：精确算法无可调低召回档位。仅Z列为100%实测参考点，不能作为等召回95%比较。</t>
        </is>
      </c>
    </row>
    <row r="639">
      <c r="A639" s="0" t="inlineStr">
        <is>
          <t>DEEP1M</t>
        </is>
      </c>
      <c r="B639" s="0" t="inlineStr">
        <is>
          <t>Z57</t>
        </is>
      </c>
      <c r="C639" s="0" t="n">
        <v>100</v>
      </c>
      <c r="D639" s="0" t="inlineStr">
        <is>
          <t>/mnt/d/paper_source/work_9/VeriANN_repro_2026-09-30/VeriANN_repro_2026-09-30/results/work9-chen13-20261021/deep1m-1000000-overall/measurement.json</t>
        </is>
      </c>
      <c r="E639" s="0" t="inlineStr">
        <is>
          <t>精确方法唯一召回点。</t>
        </is>
      </c>
    </row>
    <row r="640">
      <c r="A640" s="0" t="inlineStr">
        <is>
          <t>DEEP1M</t>
        </is>
      </c>
      <c r="B640" s="0" t="inlineStr">
        <is>
          <t>Z58</t>
        </is>
      </c>
      <c r="C640" s="0" t="n">
        <v>423.303868183333</v>
      </c>
      <c r="D640" s="0" t="inlineStr">
        <is>
          <t>/mnt/d/paper_source/work_9/VeriANN_repro_2026-09-30/VeriANN_repro_2026-09-30/results/work9-chen13-20261021/deep1m-1000000-overall/measurement.json</t>
        </is>
      </c>
      <c r="E640" s="0" t="inlineStr">
        <is>
          <t>沿用默认 k=10 的同一组60次真实测量；非重复实验。</t>
        </is>
      </c>
    </row>
    <row r="641">
      <c r="A641" s="0" t="inlineStr">
        <is>
          <t>DEEP1M</t>
        </is>
      </c>
      <c r="B641" s="0" t="inlineStr">
        <is>
          <t>F72</t>
        </is>
      </c>
      <c r="C641" s="0" t="n">
        <v>38597.20825</v>
      </c>
      <c r="D641" s="0" t="inlineStr">
        <is>
          <t>/mnt/d/paper_source/work_9/VeriANN_repro_2026-09-30/VeriANN_repro_2026-09-30/results/work9-chen13-20261021/deep1m-100000-size/measurement.json</t>
        </is>
      </c>
      <c r="E641" s="0" t="inlineStr">
        <is>
          <t>20条×3次、单线程、每个N重新精确GT；SIFT使用BIGANN前缀。</t>
        </is>
      </c>
    </row>
    <row r="642">
      <c r="A642" s="0" t="inlineStr">
        <is>
          <t>DEEP1M</t>
        </is>
      </c>
      <c r="B642" s="0" t="inlineStr">
        <is>
          <t>G72</t>
        </is>
      </c>
      <c r="C642" s="0" t="n">
        <v>189887.388</v>
      </c>
      <c r="D642" s="0" t="inlineStr">
        <is>
          <t>/mnt/d/paper_source/work_9/VeriANN_repro_2026-09-30/VeriANN_repro_2026-09-30/results/work9-chen13-20261021/deep1m-500000-size/measurement.json</t>
        </is>
      </c>
      <c r="E642" s="0" t="inlineStr">
        <is>
          <t>20条×3次、单线程、每个N重新精确GT；SIFT使用BIGANN前缀。</t>
        </is>
      </c>
    </row>
    <row r="643">
      <c r="A643" s="0" t="inlineStr">
        <is>
          <t>DEEP1M</t>
        </is>
      </c>
      <c r="B643" s="0" t="inlineStr">
        <is>
          <t>H72</t>
        </is>
      </c>
      <c r="C643" s="0" t="n">
        <v>373923.6996</v>
      </c>
      <c r="D643" s="0" t="inlineStr">
        <is>
          <t>/mnt/d/paper_source/work_9/VeriANN_repro_2026-09-30/VeriANN_repro_2026-09-30/results/work9-chen13-20261021/deep1m-1000000-overall/measurement.json</t>
        </is>
      </c>
      <c r="E643" s="0" t="inlineStr">
        <is>
          <t>20条×3次、单线程、每个N重新精确GT；SIFT使用BIGANN前缀。</t>
        </is>
      </c>
    </row>
    <row r="644">
      <c r="A644" s="0" t="inlineStr">
        <is>
          <t>DEEP1M</t>
        </is>
      </c>
      <c r="B644" s="0" t="inlineStr">
        <is>
          <t>I72</t>
        </is>
      </c>
      <c r="C644" s="0" t="n">
        <v>1713383.2791</v>
      </c>
      <c r="D644" s="0" t="inlineStr">
        <is>
          <t>/mnt/d/paper_source/work_9/VeriANN_repro_2026-09-30/VeriANN_repro_2026-09-30/results/work9-chen13-20261021/deep10m-5000000-size/measurement.json</t>
        </is>
      </c>
      <c r="E644" s="0" t="inlineStr">
        <is>
          <t>20条×3次、单线程、每个N重新精确GT；SIFT使用BIGANN前缀。</t>
        </is>
      </c>
    </row>
    <row r="645">
      <c r="A645" s="0" t="inlineStr">
        <is>
          <t>DEEP1M</t>
        </is>
      </c>
      <c r="B645" s="0" t="inlineStr">
        <is>
          <t>J72</t>
        </is>
      </c>
      <c r="C645" s="0" t="n">
        <v>3422248.8626</v>
      </c>
      <c r="D645" s="0" t="inlineStr">
        <is>
          <t>/mnt/d/paper_source/work_9/VeriANN_repro_2026-09-30/VeriANN_repro_2026-09-30/results/work9-chen13-20261021/deep10m-10000000-size/measurement.json</t>
        </is>
      </c>
      <c r="E645" s="0" t="inlineStr">
        <is>
          <t>20条×3次、单线程、每个N重新精确GT；SIFT使用BIGANN前缀。</t>
        </is>
      </c>
    </row>
    <row r="646">
      <c r="A646" s="0" t="inlineStr">
        <is>
          <t>DEEP1M</t>
        </is>
      </c>
      <c r="B646" s="0" t="inlineStr">
        <is>
          <t>F84</t>
        </is>
      </c>
      <c r="C646" s="0" t="n">
        <v>32.1024564333333</v>
      </c>
      <c r="D646" s="0" t="inlineStr">
        <is>
          <t>/mnt/d/paper_source/work_9/VeriANN_repro_2026-09-30/VeriANN_repro_2026-09-30/results/work9-chen13-20261021/deep1m-100000-size/measurement.json</t>
        </is>
      </c>
      <c r="E646" s="0" t="inlineStr">
        <is>
          <t>20条×3次、单线程、每个N重新精确GT；SIFT使用BIGANN前缀。</t>
        </is>
      </c>
    </row>
    <row r="647">
      <c r="A647" s="0" t="inlineStr">
        <is>
          <t>DEEP1M</t>
        </is>
      </c>
      <c r="B647" s="0" t="inlineStr">
        <is>
          <t>G84</t>
        </is>
      </c>
      <c r="C647" s="0" t="n">
        <v>158.030989166667</v>
      </c>
      <c r="D647" s="0" t="inlineStr">
        <is>
          <t>/mnt/d/paper_source/work_9/VeriANN_repro_2026-09-30/VeriANN_repro_2026-09-30/results/work9-chen13-20261021/deep1m-500000-size/measurement.json</t>
        </is>
      </c>
      <c r="E647" s="0" t="inlineStr">
        <is>
          <t>20条×3次、单线程、每个N重新精确GT；SIFT使用BIGANN前缀。</t>
        </is>
      </c>
    </row>
    <row r="648">
      <c r="A648" s="0" t="inlineStr">
        <is>
          <t>DEEP1M</t>
        </is>
      </c>
      <c r="B648" s="0" t="inlineStr">
        <is>
          <t>H84</t>
        </is>
      </c>
      <c r="C648" s="0" t="n">
        <v>398.21774055</v>
      </c>
      <c r="D648" s="0" t="inlineStr">
        <is>
          <t>/mnt/d/paper_source/work_9/VeriANN_repro_2026-09-30/VeriANN_repro_2026-09-30/results/work9-chen13-20261021/deep1m-1000000-overall/measurement.json</t>
        </is>
      </c>
      <c r="E648" s="0" t="inlineStr">
        <is>
          <t>20条×3次、单线程、每个N重新精确GT；SIFT使用BIGANN前缀。</t>
        </is>
      </c>
    </row>
    <row r="649">
      <c r="A649" s="0" t="inlineStr">
        <is>
          <t>DEEP1M</t>
        </is>
      </c>
      <c r="B649" s="0" t="inlineStr">
        <is>
          <t>I84</t>
        </is>
      </c>
      <c r="C649" s="0" t="n">
        <v>1824.90793928333</v>
      </c>
      <c r="D649" s="0" t="inlineStr">
        <is>
          <t>/mnt/d/paper_source/work_9/VeriANN_repro_2026-09-30/VeriANN_repro_2026-09-30/results/work9-chen13-20261021/deep10m-5000000-size/measurement.json</t>
        </is>
      </c>
      <c r="E649" s="0" t="inlineStr">
        <is>
          <t>20条×3次、单线程、每个N重新精确GT；SIFT使用BIGANN前缀。</t>
        </is>
      </c>
    </row>
    <row r="650">
      <c r="A650" s="0" t="inlineStr">
        <is>
          <t>DEEP1M</t>
        </is>
      </c>
      <c r="B650" s="0" t="inlineStr">
        <is>
          <t>J84</t>
        </is>
      </c>
      <c r="C650" s="0" t="n">
        <v>3766.15816781667</v>
      </c>
      <c r="D650" s="0" t="inlineStr">
        <is>
          <t>/mnt/d/paper_source/work_9/VeriANN_repro_2026-09-30/VeriANN_repro_2026-09-30/results/work9-chen13-20261021/deep10m-10000000-size/measurement.json</t>
        </is>
      </c>
      <c r="E650" s="0" t="inlineStr">
        <is>
          <t>20条×3次、单线程、每个N重新精确GT；SIFT使用BIGANN前缀。</t>
        </is>
      </c>
    </row>
    <row r="651">
      <c r="A651" s="0" t="inlineStr">
        <is>
          <t>DEEP1M</t>
        </is>
      </c>
      <c r="B651" s="0" t="inlineStr">
        <is>
          <t>F95</t>
        </is>
      </c>
      <c r="C651" s="0" t="n">
        <v>34.1787667166667</v>
      </c>
      <c r="D651" s="0" t="inlineStr">
        <is>
          <t>/mnt/d/paper_source/work_9/VeriANN_repro_2026-09-30/VeriANN_repro_2026-09-30/results/work9-chen13-20261021/deep1m-100000-size/measurement.json</t>
        </is>
      </c>
      <c r="E651" s="0" t="inlineStr">
        <is>
          <t>20条×3次、单线程、每个N重新精确GT；SIFT使用BIGANN前缀。</t>
        </is>
      </c>
    </row>
    <row r="652">
      <c r="A652" s="0" t="inlineStr">
        <is>
          <t>DEEP1M</t>
        </is>
      </c>
      <c r="B652" s="0" t="inlineStr">
        <is>
          <t>G95</t>
        </is>
      </c>
      <c r="C652" s="0" t="n">
        <v>188.8071176</v>
      </c>
      <c r="D652" s="0" t="inlineStr">
        <is>
          <t>/mnt/d/paper_source/work_9/VeriANN_repro_2026-09-30/VeriANN_repro_2026-09-30/results/work9-chen13-20261021/deep1m-500000-size/measurement.json</t>
        </is>
      </c>
      <c r="E652" s="0" t="inlineStr">
        <is>
          <t>20条×3次、单线程、每个N重新精确GT；SIFT使用BIGANN前缀。</t>
        </is>
      </c>
    </row>
    <row r="653">
      <c r="A653" s="0" t="inlineStr">
        <is>
          <t>DEEP1M</t>
        </is>
      </c>
      <c r="B653" s="0" t="inlineStr">
        <is>
          <t>H95</t>
        </is>
      </c>
      <c r="C653" s="0" t="n">
        <v>423.303868183333</v>
      </c>
      <c r="D653" s="0" t="inlineStr">
        <is>
          <t>/mnt/d/paper_source/work_9/VeriANN_repro_2026-09-30/VeriANN_repro_2026-09-30/results/work9-chen13-20261021/deep1m-1000000-overall/measurement.json</t>
        </is>
      </c>
      <c r="E653" s="0" t="inlineStr">
        <is>
          <t>20条×3次、单线程、每个N重新精确GT；SIFT使用BIGANN前缀。</t>
        </is>
      </c>
    </row>
    <row r="654">
      <c r="A654" s="0" t="inlineStr">
        <is>
          <t>DEEP1M</t>
        </is>
      </c>
      <c r="B654" s="0" t="inlineStr">
        <is>
          <t>I95</t>
        </is>
      </c>
      <c r="C654" s="0" t="n">
        <v>3333.6834242</v>
      </c>
      <c r="D654" s="0" t="inlineStr">
        <is>
          <t>/mnt/d/paper_source/work_9/VeriANN_repro_2026-09-30/VeriANN_repro_2026-09-30/results/work9-chen13-20261021/deep10m-5000000-size/measurement.json</t>
        </is>
      </c>
      <c r="E654" s="0" t="inlineStr">
        <is>
          <t>20条×3次、单线程、每个N重新精确GT；SIFT使用BIGANN前缀。</t>
        </is>
      </c>
    </row>
    <row r="655">
      <c r="A655" s="0" t="inlineStr">
        <is>
          <t>DEEP1M</t>
        </is>
      </c>
      <c r="B655" s="0" t="inlineStr">
        <is>
          <t>J95</t>
        </is>
      </c>
      <c r="C655" s="0" t="n">
        <v>7666.33279241667</v>
      </c>
      <c r="D655" s="0" t="inlineStr">
        <is>
          <t>/mnt/d/paper_source/work_9/VeriANN_repro_2026-09-30/VeriANN_repro_2026-09-30/results/work9-chen13-20261021/deep10m-10000000-size/measurement.json</t>
        </is>
      </c>
      <c r="E655" s="0" t="inlineStr">
        <is>
          <t>20条×3次、单线程、每个N重新精确GT；SIFT使用BIGANN前缀。</t>
        </is>
      </c>
    </row>
    <row r="656">
      <c r="A656" s="0" t="inlineStr">
        <is>
          <t>DEEP1M</t>
        </is>
      </c>
      <c r="B656" s="0" t="inlineStr">
        <is>
          <t>F108</t>
        </is>
      </c>
      <c r="C656" s="0" t="n">
        <v>360288.1178</v>
      </c>
      <c r="D656" s="0" t="inlineStr">
        <is>
          <t>/mnt/d/paper_source/work_9/VeriANN_repro_2026-09-30/VeriANN_repro_2026-09-30/results/work9-chen13-20261021/deep1m-1000000-overall/measurement.json</t>
        </is>
      </c>
      <c r="E656" s="0" t="inlineStr">
        <is>
          <t>每个k独立20条×3次实测；精确Recall@k=100%。</t>
        </is>
      </c>
    </row>
    <row r="657">
      <c r="A657" s="0" t="inlineStr">
        <is>
          <t>DEEP1M</t>
        </is>
      </c>
      <c r="B657" s="0" t="inlineStr">
        <is>
          <t>G108</t>
        </is>
      </c>
      <c r="C657" s="0" t="n">
        <v>371371.2318</v>
      </c>
      <c r="D657" s="0" t="inlineStr">
        <is>
          <t>/mnt/d/paper_source/work_9/VeriANN_repro_2026-09-30/VeriANN_repro_2026-09-30/results/work9-chen13-20261021/deep1m-1000000-overall/measurement.json</t>
        </is>
      </c>
      <c r="E657" s="0" t="inlineStr">
        <is>
          <t>每个k独立20条×3次实测；精确Recall@k=100%。</t>
        </is>
      </c>
    </row>
    <row r="658">
      <c r="A658" s="0" t="inlineStr">
        <is>
          <t>DEEP1M</t>
        </is>
      </c>
      <c r="B658" s="0" t="inlineStr">
        <is>
          <t>H108</t>
        </is>
      </c>
      <c r="C658" s="0" t="n">
        <v>373923.6996</v>
      </c>
      <c r="D658" s="0" t="inlineStr">
        <is>
          <t>/mnt/d/paper_source/work_9/VeriANN_repro_2026-09-30/VeriANN_repro_2026-09-30/results/work9-chen13-20261021/deep1m-1000000-overall/measurement.json</t>
        </is>
      </c>
      <c r="E658" s="0" t="inlineStr">
        <is>
          <t>每个k独立20条×3次实测；精确Recall@k=100%。</t>
        </is>
      </c>
    </row>
    <row r="659">
      <c r="A659" s="0" t="inlineStr">
        <is>
          <t>DEEP1M</t>
        </is>
      </c>
      <c r="B659" s="0" t="inlineStr">
        <is>
          <t>I108</t>
        </is>
      </c>
      <c r="C659" s="0" t="n">
        <v>375980.7638</v>
      </c>
      <c r="D659" s="0" t="inlineStr">
        <is>
          <t>/mnt/d/paper_source/work_9/VeriANN_repro_2026-09-30/VeriANN_repro_2026-09-30/results/work9-chen13-20261021/deep1m-1000000-overall/measurement.json</t>
        </is>
      </c>
      <c r="E659" s="0" t="inlineStr">
        <is>
          <t>每个k独立20条×3次实测；精确Recall@k=100%。</t>
        </is>
      </c>
    </row>
    <row r="660">
      <c r="A660" s="0" t="inlineStr">
        <is>
          <t>DEEP1M</t>
        </is>
      </c>
      <c r="B660" s="0" t="inlineStr">
        <is>
          <t>J108</t>
        </is>
      </c>
      <c r="C660" s="0" t="n">
        <v>378363.169</v>
      </c>
      <c r="D660" s="0" t="inlineStr">
        <is>
          <t>/mnt/d/paper_source/work_9/VeriANN_repro_2026-09-30/VeriANN_repro_2026-09-30/results/work9-chen13-20261021/deep1m-1000000-overall/measurement.json</t>
        </is>
      </c>
      <c r="E660" s="0" t="inlineStr">
        <is>
          <t>每个k独立20条×3次实测；精确Recall@k=100%。</t>
        </is>
      </c>
    </row>
    <row r="661">
      <c r="A661" s="0" t="inlineStr">
        <is>
          <t>DEEP1M</t>
        </is>
      </c>
      <c r="B661" s="0" t="inlineStr">
        <is>
          <t>K108</t>
        </is>
      </c>
      <c r="C661" s="0" t="n">
        <v>379997.2324</v>
      </c>
      <c r="D661" s="0" t="inlineStr">
        <is>
          <t>/mnt/d/paper_source/work_9/VeriANN_repro_2026-09-30/VeriANN_repro_2026-09-30/results/work9-chen13-20261021/deep1m-1000000-overall/measurement.json</t>
        </is>
      </c>
      <c r="E661" s="0" t="inlineStr">
        <is>
          <t>每个k独立20条×3次实测；精确Recall@k=100%。</t>
        </is>
      </c>
    </row>
    <row r="662">
      <c r="A662" s="0" t="inlineStr">
        <is>
          <t>DEEP1M</t>
        </is>
      </c>
      <c r="B662" s="0" t="inlineStr">
        <is>
          <t>F120</t>
        </is>
      </c>
      <c r="C662" s="0" t="n">
        <v>408.864738566667</v>
      </c>
      <c r="D662" s="0" t="inlineStr">
        <is>
          <t>/mnt/d/paper_source/work_9/VeriANN_repro_2026-09-30/VeriANN_repro_2026-09-30/results/work9-chen13-20261021/deep1m-1000000-overall/measurement.json</t>
        </is>
      </c>
      <c r="E662" s="0" t="inlineStr">
        <is>
          <t>每个k独立20条×3次实测；精确Recall@k=100%。</t>
        </is>
      </c>
    </row>
    <row r="663">
      <c r="A663" s="0" t="inlineStr">
        <is>
          <t>DEEP1M</t>
        </is>
      </c>
      <c r="B663" s="0" t="inlineStr">
        <is>
          <t>G120</t>
        </is>
      </c>
      <c r="C663" s="0" t="n">
        <v>393.244281533333</v>
      </c>
      <c r="D663" s="0" t="inlineStr">
        <is>
          <t>/mnt/d/paper_source/work_9/VeriANN_repro_2026-09-30/VeriANN_repro_2026-09-30/results/work9-chen13-20261021/deep1m-1000000-overall/measurement.json</t>
        </is>
      </c>
      <c r="E663" s="0" t="inlineStr">
        <is>
          <t>每个k独立20条×3次实测；精确Recall@k=100%。</t>
        </is>
      </c>
    </row>
    <row r="664">
      <c r="A664" s="0" t="inlineStr">
        <is>
          <t>DEEP1M</t>
        </is>
      </c>
      <c r="B664" s="0" t="inlineStr">
        <is>
          <t>H120</t>
        </is>
      </c>
      <c r="C664" s="0" t="n">
        <v>398.21774055</v>
      </c>
      <c r="D664" s="0" t="inlineStr">
        <is>
          <t>/mnt/d/paper_source/work_9/VeriANN_repro_2026-09-30/VeriANN_repro_2026-09-30/results/work9-chen13-20261021/deep1m-1000000-overall/measurement.json</t>
        </is>
      </c>
      <c r="E664" s="0" t="inlineStr">
        <is>
          <t>每个k独立20条×3次实测；精确Recall@k=100%。</t>
        </is>
      </c>
    </row>
    <row r="665">
      <c r="A665" s="0" t="inlineStr">
        <is>
          <t>DEEP1M</t>
        </is>
      </c>
      <c r="B665" s="0" t="inlineStr">
        <is>
          <t>I120</t>
        </is>
      </c>
      <c r="C665" s="0" t="n">
        <v>416.0471105</v>
      </c>
      <c r="D665" s="0" t="inlineStr">
        <is>
          <t>/mnt/d/paper_source/work_9/VeriANN_repro_2026-09-30/VeriANN_repro_2026-09-30/results/work9-chen13-20261021/deep1m-1000000-overall/measurement.json</t>
        </is>
      </c>
      <c r="E665" s="0" t="inlineStr">
        <is>
          <t>每个k独立20条×3次实测；精确Recall@k=100%。</t>
        </is>
      </c>
    </row>
    <row r="666">
      <c r="A666" s="0" t="inlineStr">
        <is>
          <t>DEEP1M</t>
        </is>
      </c>
      <c r="B666" s="0" t="inlineStr">
        <is>
          <t>J120</t>
        </is>
      </c>
      <c r="C666" s="0" t="n">
        <v>412.4364474</v>
      </c>
      <c r="D666" s="0" t="inlineStr">
        <is>
          <t>/mnt/d/paper_source/work_9/VeriANN_repro_2026-09-30/VeriANN_repro_2026-09-30/results/work9-chen13-20261021/deep1m-1000000-overall/measurement.json</t>
        </is>
      </c>
      <c r="E666" s="0" t="inlineStr">
        <is>
          <t>每个k独立20条×3次实测；精确Recall@k=100%。</t>
        </is>
      </c>
    </row>
    <row r="667">
      <c r="A667" s="0" t="inlineStr">
        <is>
          <t>DEEP1M</t>
        </is>
      </c>
      <c r="B667" s="0" t="inlineStr">
        <is>
          <t>K120</t>
        </is>
      </c>
      <c r="C667" s="0" t="n">
        <v>418.408925816667</v>
      </c>
      <c r="D667" s="0" t="inlineStr">
        <is>
          <t>/mnt/d/paper_source/work_9/VeriANN_repro_2026-09-30/VeriANN_repro_2026-09-30/results/work9-chen13-20261021/deep1m-1000000-overall/measurement.json</t>
        </is>
      </c>
      <c r="E667" s="0" t="inlineStr">
        <is>
          <t>每个k独立20条×3次实测；精确Recall@k=100%。</t>
        </is>
      </c>
    </row>
    <row r="668">
      <c r="A668" s="0" t="inlineStr">
        <is>
          <t>DEEP1M</t>
        </is>
      </c>
      <c r="B668" s="0" t="inlineStr">
        <is>
          <t>F131</t>
        </is>
      </c>
      <c r="C668" s="0" t="n">
        <v>488.3672002</v>
      </c>
      <c r="D668" s="0" t="inlineStr">
        <is>
          <t>/mnt/d/paper_source/work_9/VeriANN_repro_2026-09-30/VeriANN_repro_2026-09-30/results/work9-chen13-20261021/deep1m-1000000-overall/measurement.json</t>
        </is>
      </c>
      <c r="E668" s="0" t="inlineStr">
        <is>
          <t>每个k独立20条×3次实测；精确Recall@k=100%。</t>
        </is>
      </c>
    </row>
    <row r="669">
      <c r="A669" s="0" t="inlineStr">
        <is>
          <t>DEEP1M</t>
        </is>
      </c>
      <c r="B669" s="0" t="inlineStr">
        <is>
          <t>G131</t>
        </is>
      </c>
      <c r="C669" s="0" t="n">
        <v>432.975034566667</v>
      </c>
      <c r="D669" s="0" t="inlineStr">
        <is>
          <t>/mnt/d/paper_source/work_9/VeriANN_repro_2026-09-30/VeriANN_repro_2026-09-30/results/work9-chen13-20261021/deep1m-1000000-overall/measurement.json</t>
        </is>
      </c>
      <c r="E669" s="0" t="inlineStr">
        <is>
          <t>每个k独立20条×3次实测；精确Recall@k=100%。</t>
        </is>
      </c>
    </row>
    <row r="670">
      <c r="A670" s="0" t="inlineStr">
        <is>
          <t>DEEP1M</t>
        </is>
      </c>
      <c r="B670" s="0" t="inlineStr">
        <is>
          <t>H131</t>
        </is>
      </c>
      <c r="C670" s="0" t="n">
        <v>423.303868183333</v>
      </c>
      <c r="D670" s="0" t="inlineStr">
        <is>
          <t>/mnt/d/paper_source/work_9/VeriANN_repro_2026-09-30/VeriANN_repro_2026-09-30/results/work9-chen13-20261021/deep1m-1000000-overall/measurement.json</t>
        </is>
      </c>
      <c r="E670" s="0" t="inlineStr">
        <is>
          <t>每个k独立20条×3次实测；精确Recall@k=100%。</t>
        </is>
      </c>
    </row>
    <row r="671">
      <c r="A671" s="0" t="inlineStr">
        <is>
          <t>DEEP1M</t>
        </is>
      </c>
      <c r="B671" s="0" t="inlineStr">
        <is>
          <t>I131</t>
        </is>
      </c>
      <c r="C671" s="0" t="n">
        <v>452.8132656</v>
      </c>
      <c r="D671" s="0" t="inlineStr">
        <is>
          <t>/mnt/d/paper_source/work_9/VeriANN_repro_2026-09-30/VeriANN_repro_2026-09-30/results/work9-chen13-20261021/deep1m-1000000-overall/measurement.json</t>
        </is>
      </c>
      <c r="E671" s="0" t="inlineStr">
        <is>
          <t>每个k独立20条×3次实测；精确Recall@k=100%。</t>
        </is>
      </c>
    </row>
    <row r="672">
      <c r="A672" s="0" t="inlineStr">
        <is>
          <t>DEEP1M</t>
        </is>
      </c>
      <c r="B672" s="0" t="inlineStr">
        <is>
          <t>J131</t>
        </is>
      </c>
      <c r="C672" s="0" t="n">
        <v>432.269984416667</v>
      </c>
      <c r="D672" s="0" t="inlineStr">
        <is>
          <t>/mnt/d/paper_source/work_9/VeriANN_repro_2026-09-30/VeriANN_repro_2026-09-30/results/work9-chen13-20261021/deep1m-1000000-overall/measurement.json</t>
        </is>
      </c>
      <c r="E672" s="0" t="inlineStr">
        <is>
          <t>每个k独立20条×3次实测；精确Recall@k=100%。</t>
        </is>
      </c>
    </row>
    <row r="673">
      <c r="A673" s="0" t="inlineStr">
        <is>
          <t>DEEP1M</t>
        </is>
      </c>
      <c r="B673" s="0" t="inlineStr">
        <is>
          <t>K131</t>
        </is>
      </c>
      <c r="C673" s="0" t="n">
        <v>426.545693716667</v>
      </c>
      <c r="D673" s="0" t="inlineStr">
        <is>
          <t>/mnt/d/paper_source/work_9/VeriANN_repro_2026-09-30/VeriANN_repro_2026-09-30/results/work9-chen13-20261021/deep1m-1000000-overall/measurement.json</t>
        </is>
      </c>
      <c r="E673" s="0" t="inlineStr">
        <is>
          <t>每个k独立20条×3次实测；精确Recall@k=100%。</t>
        </is>
      </c>
    </row>
    <row r="674">
      <c r="A674" s="0" t="inlineStr">
        <is>
          <t>DEEP1M</t>
        </is>
      </c>
      <c r="B674" s="0" t="inlineStr">
        <is>
          <t>F150</t>
        </is>
      </c>
      <c r="C674" s="0" t="n">
        <v>1</v>
      </c>
      <c r="D674" s="0" t="inlineStr">
        <is>
          <t>/mnt/d/paper_source/work_9/VeriANN_repro_2026-09-30/VeriANN_repro_2026-09-30/results/work9-chen13-20261021/deep1m-1000000-overall/measurement.json</t>
        </is>
      </c>
      <c r="E674" s="0" t="inlineStr">
        <is>
          <t>外部baseline参考，不是Ours的消融变体。Recall以0–1计。</t>
        </is>
      </c>
    </row>
    <row r="675">
      <c r="A675" s="0" t="inlineStr">
        <is>
          <t>DEEP1M</t>
        </is>
      </c>
      <c r="B675" s="0" t="inlineStr">
        <is>
          <t>G150</t>
        </is>
      </c>
      <c r="C675" s="0" t="n">
        <v>423.303868183333</v>
      </c>
      <c r="D675" s="0" t="inlineStr">
        <is>
          <t>/mnt/d/paper_source/work_9/VeriANN_repro_2026-09-30/VeriANN_repro_2026-09-30/results/work9-chen13-20261021/deep1m-1000000-overall/measurement.json</t>
        </is>
      </c>
      <c r="E675" s="0" t="inlineStr">
        <is>
          <t>外部baseline参考，不是Ours的消融变体。Recall以0–1计。</t>
        </is>
      </c>
    </row>
    <row r="676">
      <c r="A676" s="0" t="inlineStr">
        <is>
          <t>DEEP1M</t>
        </is>
      </c>
      <c r="B676" s="0" t="inlineStr">
        <is>
          <t>H150</t>
        </is>
      </c>
      <c r="C676" s="0" t="n">
        <v>373923.6996</v>
      </c>
      <c r="D676" s="0" t="inlineStr">
        <is>
          <t>/mnt/d/paper_source/work_9/VeriANN_repro_2026-09-30/VeriANN_repro_2026-09-30/results/work9-chen13-20261021/deep1m-1000000-overall/measurement.json</t>
        </is>
      </c>
      <c r="E676" s="0" t="inlineStr">
        <is>
          <t>外部baseline参考，不是Ours的消融变体。Recall以0–1计。</t>
        </is>
      </c>
    </row>
    <row r="677">
      <c r="A677" s="0" t="inlineStr">
        <is>
          <t>DEEP1M</t>
        </is>
      </c>
      <c r="B677" s="0" t="inlineStr">
        <is>
          <t>I150</t>
        </is>
      </c>
      <c r="C677" s="0" t="n">
        <v>398.21774055</v>
      </c>
      <c r="D677" s="0" t="inlineStr">
        <is>
          <t>/mnt/d/paper_source/work_9/VeriANN_repro_2026-09-30/VeriANN_repro_2026-09-30/results/work9-chen13-20261021/deep1m-1000000-overall/measurement.json</t>
        </is>
      </c>
      <c r="E677" s="0" t="inlineStr">
        <is>
          <t>外部baseline参考，不是Ours的消融变体。Recall以0–1计。</t>
        </is>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ColWidth="9" defaultRowHeight="13.5" outlineLevelRow="4"/>
  <sheetData>
    <row r="1">
      <c r="A1" s="0" t="inlineStr">
        <is>
          <t>Dataset</t>
        </is>
      </c>
      <c r="B1" s="0" t="inlineStr">
        <is>
          <t>Recall %</t>
        </is>
      </c>
      <c r="C1" s="0" t="inlineStr">
        <is>
          <t>VO KB</t>
        </is>
      </c>
      <c r="D1" s="0" t="inlineStr">
        <is>
          <t>Verify ms</t>
        </is>
      </c>
      <c r="E1" s="0" t="inlineStr">
        <is>
          <t>Query ms</t>
        </is>
      </c>
      <c r="F1" s="0" t="inlineStr">
        <is>
          <t>Note</t>
        </is>
      </c>
    </row>
    <row r="2">
      <c r="A2" s="0" t="inlineStr">
        <is>
          <t>SIFT1M</t>
        </is>
      </c>
      <c r="B2" s="0" t="n">
        <v>100</v>
      </c>
      <c r="C2" s="0" t="n">
        <v>235214.3172</v>
      </c>
      <c r="D2" s="0" t="n">
        <v>202.1477637</v>
      </c>
      <c r="E2" s="0" t="n">
        <v>278.25155455</v>
      </c>
      <c r="F2" s="0" t="inlineStr">
        <is>
          <t>精确唯一点，不能冒充较低召回参数曲线</t>
        </is>
      </c>
    </row>
    <row r="3">
      <c r="A3" s="0" t="inlineStr">
        <is>
          <t>NYTimes-256</t>
        </is>
      </c>
      <c r="B3" s="0" t="n">
        <v>100</v>
      </c>
      <c r="C3" s="0" t="n">
        <v>282958.9249</v>
      </c>
      <c r="D3" s="0" t="n">
        <v>243.191143033333</v>
      </c>
      <c r="E3" s="0" t="n">
        <v>204.621311333333</v>
      </c>
      <c r="F3" s="0" t="inlineStr">
        <is>
          <t>精确唯一点，不能冒充较低召回参数曲线</t>
        </is>
      </c>
    </row>
    <row r="4">
      <c r="A4" s="0" t="inlineStr">
        <is>
          <t>GloVe-100</t>
        </is>
      </c>
      <c r="B4" s="0" t="n">
        <v>100</v>
      </c>
      <c r="C4" s="0" t="n">
        <v>466932.94075</v>
      </c>
      <c r="D4" s="0" t="n">
        <v>390.349265616667</v>
      </c>
      <c r="E4" s="0" t="n">
        <v>468.738694633333</v>
      </c>
      <c r="F4" s="0" t="inlineStr">
        <is>
          <t>精确唯一点，不能冒充较低召回参数曲线</t>
        </is>
      </c>
    </row>
    <row r="5">
      <c r="A5" s="0" t="inlineStr">
        <is>
          <t>DEEP1M</t>
        </is>
      </c>
      <c r="B5" s="0" t="n">
        <v>100</v>
      </c>
      <c r="C5" s="0" t="n">
        <v>373923.6996</v>
      </c>
      <c r="D5" s="0" t="n">
        <v>398.21774055</v>
      </c>
      <c r="E5" s="0" t="n">
        <v>423.303868183333</v>
      </c>
      <c r="F5" s="0" t="inlineStr">
        <is>
          <t>精确唯一点，不能冒充较低召回参数曲线</t>
        </is>
      </c>
    </row>
  </sheetData>
  <pageMargins left="0.75" right="0.75" top="1" bottom="1" header="0.5" footer="0.5"/>
  <drawing xmlns:r="http://schemas.openxmlformats.org/officeDocument/2006/relationships" r:id="rId1"/>
</worksheet>
</file>

<file path=xl/worksheets/sheet66.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ColWidth="9" defaultRowHeight="13.5"/>
  <cols>
    <col width="25" customWidth="1" style="1" min="1" max="1"/>
    <col width="145" customWidth="1" style="1" min="2" max="2"/>
  </cols>
  <sheetData>
    <row r="1">
      <c r="A1" s="0" t="inlineStr">
        <is>
          <t>项目</t>
        </is>
      </c>
      <c r="B1" s="0" t="inlineStr">
        <is>
          <t>说明</t>
        </is>
      </c>
    </row>
    <row r="2">
      <c r="A2" s="0" t="inlineStr">
        <is>
          <t>性质</t>
        </is>
      </c>
      <c r="B2" s="0" t="inlineStr">
        <is>
          <t>黄色ANNProof*指标是按用户指定系数计算的调整/情景值，不代表真实测得性能变差；不得当作原始实验测量。</t>
        </is>
      </c>
    </row>
    <row r="3">
      <c r="A3" s="0" t="inlineStr">
        <is>
          <t>系数</t>
        </is>
      </c>
      <c r="B3" s="0" t="inlineStr">
        <is>
          <t>Query Time ×1.2；VO Size ×2；Verify Time ×1.5。每个数值从本次备份或本次新原始测量仅乘一次。</t>
        </is>
      </c>
    </row>
    <row r="4">
      <c r="A4" s="0" t="inlineStr">
        <is>
          <t>实测</t>
        </is>
      </c>
      <c r="B4" s="0" t="inlineStr">
        <is>
          <t>40/45/50/55/60/65/70/75/80%目标，四数据集，k10，IDs100..119共20条×3次，单线程；实际召回率原样记录。</t>
        </is>
      </c>
    </row>
    <row r="5">
      <c r="A5" s="0" t="inlineStr">
        <is>
          <t>旧低召回缺失原因</t>
        </is>
      </c>
      <c r="B5" s="0" t="inlineStr">
        <is>
          <t>原图固定，ANNProof efSearch&gt;=k=10；原最低召回SIFT67.5%、NYTimes84%、DEEP71%、GloVe36%，低目标复用了较高召回点。</t>
        </is>
      </c>
    </row>
    <row r="6">
      <c r="A6" s="0" t="inlineStr">
        <is>
          <t>参数变化</t>
        </is>
      </c>
      <c r="B6" s="0" t="inlineStr">
        <is>
          <t>低召回曲线可改变M、efConstruction和efSearch，并非所有点共用默认索引；逐点参数与原始测量保留。默认约95%配置和索引指标不变。</t>
        </is>
      </c>
    </row>
    <row r="7">
      <c r="A7" s="0" t="inlineStr">
        <is>
          <t>选参规则</t>
        </is>
      </c>
      <c r="B7" s="0" t="inlineStr">
        <is>
          <t>在目标至目标+2.5个百分点范围内优先默认图，否则优先较大M、较小efSearch；同M同ef时优先较大efConstruction。候选含M4/efConstruction20。校准和评估使用同一20条查询，不宣称独立留出评估。</t>
        </is>
      </c>
    </row>
    <row r="8">
      <c r="A8" s="0" t="inlineStr">
        <is>
          <t>保护范围</t>
        </is>
      </c>
      <c r="B8" s="0" t="inlineStr">
        <is>
          <t>只改主表ANNProof三类性能数值、40–80%曲线的实际召回，以及标注。其他方法、索引、已有原始记录/来源附表均保留。</t>
        </is>
      </c>
    </row>
    <row r="9">
      <c r="A9" s="0" t="inlineStr">
        <is>
          <t>原始备份</t>
        </is>
      </c>
      <c r="B9" s="0" t="inlineStr">
        <is>
          <t>/mnt/d/paper_source/work_9/VeriANN_repro_2026-09-30/VeriANN_repro_2026-09-30/experiments/work9-annproof-low-adjusted-20261021/work9_before_annproof_adjustment.xlsx</t>
        </is>
      </c>
    </row>
    <row r="10">
      <c r="A10" s="0" t="inlineStr">
        <is>
          <t>原始实验日志</t>
        </is>
      </c>
      <c r="B10" s="0" t="inlineStr">
        <is>
          <t>/mnt/d/paper_source/work_9/VeriANN_repro_2026-09-30/VeriANN_repro_2026-09-30/results/work9-annproof-low-adjusted-20261021</t>
        </is>
      </c>
    </row>
    <row r="11">
      <c r="A11" s="0" t="inlineStr">
        <is>
          <t>单元格变更</t>
        </is>
      </c>
      <c r="B11" s="0" t="inlineStr">
        <is>
          <t>ANNProof单元格变更含前后值及原因；同一低召回格包含先替换原始测量、再乘系数两个步骤。</t>
        </is>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L37"/>
  <sheetViews>
    <sheetView workbookViewId="0">
      <pane ySplit="1" topLeftCell="A2" activePane="bottomLeft" state="frozen"/>
      <selection activeCell="A1" sqref="A1"/>
      <selection pane="bottomLeft" activeCell="A1" sqref="A1"/>
    </sheetView>
  </sheetViews>
  <sheetFormatPr baseColWidth="8" defaultColWidth="9" defaultRowHeight="13.5"/>
  <cols>
    <col width="22" customWidth="1" style="1" min="1" max="1"/>
    <col width="22" customWidth="1" style="1" min="7" max="11"/>
    <col width="85" customWidth="1" style="1" min="12" max="12"/>
  </cols>
  <sheetData>
    <row r="1">
      <c r="A1" s="0" t="inlineStr">
        <is>
          <t>Dataset</t>
        </is>
      </c>
      <c r="B1" s="0" t="inlineStr">
        <is>
          <t>Target Recall</t>
        </is>
      </c>
      <c r="C1" s="0" t="inlineStr">
        <is>
          <t>Actual Recall</t>
        </is>
      </c>
      <c r="D1" s="0" t="inlineStr">
        <is>
          <t>M</t>
        </is>
      </c>
      <c r="E1" s="0" t="inlineStr">
        <is>
          <t>efConstruction</t>
        </is>
      </c>
      <c r="F1" s="0" t="inlineStr">
        <is>
          <t>efSearch</t>
        </is>
      </c>
      <c r="G1" s="0" t="inlineStr">
        <is>
          <t>Queries/repeats</t>
        </is>
      </c>
      <c r="H1" s="0" t="inlineStr">
        <is>
          <t>Query ms</t>
        </is>
      </c>
      <c r="I1" s="0" t="inlineStr">
        <is>
          <t>VO KB</t>
        </is>
      </c>
      <c r="J1" s="0" t="inlineStr">
        <is>
          <t>Verify ms</t>
        </is>
      </c>
      <c r="K1" s="0" t="inlineStr">
        <is>
          <t>Nature</t>
        </is>
      </c>
      <c r="L1" s="0" t="inlineStr">
        <is>
          <t>Source</t>
        </is>
      </c>
    </row>
    <row r="2">
      <c r="A2" s="0" t="inlineStr">
        <is>
          <t>SIFT1M</t>
        </is>
      </c>
      <c r="B2" s="127" t="n">
        <v>0.4</v>
      </c>
      <c r="C2" s="127" t="n">
        <v>0.4</v>
      </c>
      <c r="D2" s="0" t="n">
        <v>2</v>
      </c>
      <c r="E2" s="0" t="n">
        <v>20</v>
      </c>
      <c r="F2" s="0" t="n">
        <v>192</v>
      </c>
      <c r="G2" s="0" t="inlineStr">
        <is>
          <t>20×3 / 1 thread</t>
        </is>
      </c>
      <c r="H2" s="0" t="n">
        <v>1.39776288333333</v>
      </c>
      <c r="I2" s="0" t="n">
        <v>459.1644</v>
      </c>
      <c r="J2" s="0" t="n">
        <v>6.1179485</v>
      </c>
      <c r="K2" s="0" t="inlineStr">
        <is>
          <t>原始实测</t>
        </is>
      </c>
      <c r="L2" s="0" t="inlineStr">
        <is>
          <t>/mnt/d/paper_source/work_9/VeriANN_repro_2026-09-30/VeriANN_repro_2026-09-30/results/work9-annproof-low-adjusted-20261021/measurements/sift1m-M2-efc20</t>
        </is>
      </c>
    </row>
    <row r="3">
      <c r="A3" s="0" t="inlineStr">
        <is>
          <t>SIFT1M</t>
        </is>
      </c>
      <c r="B3" s="127" t="n">
        <v>0.45</v>
      </c>
      <c r="C3" s="127" t="n">
        <v>0.465</v>
      </c>
      <c r="D3" s="0" t="n">
        <v>4</v>
      </c>
      <c r="E3" s="0" t="n">
        <v>40</v>
      </c>
      <c r="F3" s="0" t="n">
        <v>11</v>
      </c>
      <c r="G3" s="0" t="inlineStr">
        <is>
          <t>20×3 / 1 thread</t>
        </is>
      </c>
      <c r="H3" s="0" t="n">
        <v>0.35538375</v>
      </c>
      <c r="I3" s="0" t="n">
        <v>142.036</v>
      </c>
      <c r="J3" s="0" t="n">
        <v>1.81234635</v>
      </c>
      <c r="K3" s="0" t="inlineStr">
        <is>
          <t>原始实测</t>
        </is>
      </c>
      <c r="L3" s="0" t="inlineStr">
        <is>
          <t>/mnt/d/paper_source/work_9/VeriANN_repro_2026-09-30/VeriANN_repro_2026-09-30/results/work9-annproof-low-adjusted-20261021/measurements/sift1m-M4-efc40-extra-95bce61a</t>
        </is>
      </c>
    </row>
    <row r="4">
      <c r="A4" s="0" t="inlineStr">
        <is>
          <t>SIFT1M</t>
        </is>
      </c>
      <c r="B4" s="127" t="n">
        <v>0.5</v>
      </c>
      <c r="C4" s="127" t="n">
        <v>0.5</v>
      </c>
      <c r="D4" s="0" t="n">
        <v>4</v>
      </c>
      <c r="E4" s="0" t="n">
        <v>40</v>
      </c>
      <c r="F4" s="0" t="n">
        <v>15</v>
      </c>
      <c r="G4" s="0" t="inlineStr">
        <is>
          <t>20×3 / 1 thread</t>
        </is>
      </c>
      <c r="H4" s="0" t="n">
        <v>0.421742466666667</v>
      </c>
      <c r="I4" s="0" t="n">
        <v>159.9764</v>
      </c>
      <c r="J4" s="0" t="n">
        <v>2.09304531666667</v>
      </c>
      <c r="K4" s="0" t="inlineStr">
        <is>
          <t>原始实测</t>
        </is>
      </c>
      <c r="L4" s="0" t="inlineStr">
        <is>
          <t>/mnt/d/paper_source/work_9/VeriANN_repro_2026-09-30/VeriANN_repro_2026-09-30/results/work9-annproof-low-adjusted-20261021/measurements/sift1m-M4-efc40</t>
        </is>
      </c>
    </row>
    <row r="5">
      <c r="A5" s="0" t="inlineStr">
        <is>
          <t>SIFT1M</t>
        </is>
      </c>
      <c r="B5" s="127" t="n">
        <v>0.55</v>
      </c>
      <c r="C5" s="127" t="n">
        <v>0.5600000000000001</v>
      </c>
      <c r="D5" s="0" t="n">
        <v>4</v>
      </c>
      <c r="E5" s="0" t="n">
        <v>40</v>
      </c>
      <c r="F5" s="0" t="n">
        <v>18</v>
      </c>
      <c r="G5" s="0" t="inlineStr">
        <is>
          <t>20×3 / 1 thread</t>
        </is>
      </c>
      <c r="H5" s="0" t="n">
        <v>0.501874983333333</v>
      </c>
      <c r="I5" s="0" t="n">
        <v>181.2134</v>
      </c>
      <c r="J5" s="0" t="n">
        <v>2.40953593333333</v>
      </c>
      <c r="K5" s="0" t="inlineStr">
        <is>
          <t>原始实测</t>
        </is>
      </c>
      <c r="L5" s="0" t="inlineStr">
        <is>
          <t>/mnt/d/paper_source/work_9/VeriANN_repro_2026-09-30/VeriANN_repro_2026-09-30/results/work9-annproof-low-adjusted-20261021/measurements/sift1m-M4-efc40</t>
        </is>
      </c>
    </row>
    <row r="6">
      <c r="A6" s="0" t="inlineStr">
        <is>
          <t>SIFT1M</t>
        </is>
      </c>
      <c r="B6" s="127" t="n">
        <v>0.6</v>
      </c>
      <c r="C6" s="127" t="n">
        <v>0.62</v>
      </c>
      <c r="D6" s="0" t="n">
        <v>4</v>
      </c>
      <c r="E6" s="0" t="n">
        <v>40</v>
      </c>
      <c r="F6" s="0" t="n">
        <v>23</v>
      </c>
      <c r="G6" s="0" t="inlineStr">
        <is>
          <t>20×3 / 1 thread</t>
        </is>
      </c>
      <c r="H6" s="0" t="n">
        <v>0.554807016666667</v>
      </c>
      <c r="I6" s="0" t="n">
        <v>209.081</v>
      </c>
      <c r="J6" s="0" t="n">
        <v>2.72576833333333</v>
      </c>
      <c r="K6" s="0" t="inlineStr">
        <is>
          <t>原始实测</t>
        </is>
      </c>
      <c r="L6" s="0" t="inlineStr">
        <is>
          <t>/mnt/d/paper_source/work_9/VeriANN_repro_2026-09-30/VeriANN_repro_2026-09-30/results/work9-annproof-low-adjusted-20261021/measurements/sift1m-M4-efc40</t>
        </is>
      </c>
    </row>
    <row r="7">
      <c r="A7" s="0" t="inlineStr">
        <is>
          <t>SIFT1M</t>
        </is>
      </c>
      <c r="B7" s="127" t="n">
        <v>0.65</v>
      </c>
      <c r="C7" s="127" t="n">
        <v>0.675</v>
      </c>
      <c r="D7" s="0" t="n">
        <v>8</v>
      </c>
      <c r="E7" s="0" t="n">
        <v>100</v>
      </c>
      <c r="F7" s="0" t="n">
        <v>10</v>
      </c>
      <c r="G7" s="0" t="inlineStr">
        <is>
          <t>20×3 / 1 thread</t>
        </is>
      </c>
      <c r="H7" s="0" t="n">
        <v>0.577148766666667</v>
      </c>
      <c r="I7" s="0" t="n">
        <v>237.845</v>
      </c>
      <c r="J7" s="0" t="n">
        <v>2.99737796666667</v>
      </c>
      <c r="K7" s="0" t="inlineStr">
        <is>
          <t>原始实测</t>
        </is>
      </c>
      <c r="L7" s="0" t="inlineStr">
        <is>
          <t>/mnt/d/paper_source/work_9/VeriANN_repro_2026-09-30/VeriANN_repro_2026-09-30/results/work9-annproof-low-adjusted-20261021/measurements/sift1m-M8-efc100</t>
        </is>
      </c>
    </row>
    <row r="8">
      <c r="A8" s="0" t="inlineStr">
        <is>
          <t>SIFT1M</t>
        </is>
      </c>
      <c r="B8" s="127" t="n">
        <v>0.7</v>
      </c>
      <c r="C8" s="127" t="n">
        <v>0.72</v>
      </c>
      <c r="D8" s="0" t="n">
        <v>8</v>
      </c>
      <c r="E8" s="0" t="n">
        <v>100</v>
      </c>
      <c r="F8" s="0" t="n">
        <v>14</v>
      </c>
      <c r="G8" s="0" t="inlineStr">
        <is>
          <t>20×3 / 1 thread</t>
        </is>
      </c>
      <c r="H8" s="0" t="n">
        <v>0.641909133333333</v>
      </c>
      <c r="I8" s="0" t="n">
        <v>276.837</v>
      </c>
      <c r="J8" s="0" t="n">
        <v>3.46965375</v>
      </c>
      <c r="K8" s="0" t="inlineStr">
        <is>
          <t>原始实测</t>
        </is>
      </c>
      <c r="L8" s="0" t="inlineStr">
        <is>
          <t>/mnt/d/paper_source/work_9/VeriANN_repro_2026-09-30/VeriANN_repro_2026-09-30/results/work9-annproof-low-adjusted-20261021/measurements/sift1m-M8-efc100</t>
        </is>
      </c>
    </row>
    <row r="9">
      <c r="A9" s="0" t="inlineStr">
        <is>
          <t>SIFT1M</t>
        </is>
      </c>
      <c r="B9" s="127" t="n">
        <v>0.75</v>
      </c>
      <c r="C9" s="127" t="n">
        <v>0.755</v>
      </c>
      <c r="D9" s="0" t="n">
        <v>8</v>
      </c>
      <c r="E9" s="0" t="n">
        <v>100</v>
      </c>
      <c r="F9" s="0" t="n">
        <v>15</v>
      </c>
      <c r="G9" s="0" t="inlineStr">
        <is>
          <t>20×3 / 1 thread</t>
        </is>
      </c>
      <c r="H9" s="0" t="n">
        <v>0.693490083333333</v>
      </c>
      <c r="I9" s="0" t="n">
        <v>293.125</v>
      </c>
      <c r="J9" s="0" t="n">
        <v>3.66333861666667</v>
      </c>
      <c r="K9" s="0" t="inlineStr">
        <is>
          <t>原始实测</t>
        </is>
      </c>
      <c r="L9" s="0" t="inlineStr">
        <is>
          <t>/mnt/d/paper_source/work_9/VeriANN_repro_2026-09-30/VeriANN_repro_2026-09-30/results/work9-annproof-low-adjusted-20261021/measurements/sift1m-M8-efc100</t>
        </is>
      </c>
    </row>
    <row r="10">
      <c r="A10" s="0" t="inlineStr">
        <is>
          <t>SIFT1M</t>
        </is>
      </c>
      <c r="B10" s="127" t="n">
        <v>0.8</v>
      </c>
      <c r="C10" s="127" t="n">
        <v>0.8</v>
      </c>
      <c r="D10" s="0" t="n">
        <v>8</v>
      </c>
      <c r="E10" s="0" t="n">
        <v>100</v>
      </c>
      <c r="F10" s="0" t="n">
        <v>18</v>
      </c>
      <c r="G10" s="0" t="inlineStr">
        <is>
          <t>20×3 / 1 thread</t>
        </is>
      </c>
      <c r="H10" s="0" t="n">
        <v>0.797901683333333</v>
      </c>
      <c r="I10" s="0" t="n">
        <v>322.3252</v>
      </c>
      <c r="J10" s="0" t="n">
        <v>4.0346087</v>
      </c>
      <c r="K10" s="0" t="inlineStr">
        <is>
          <t>原始实测</t>
        </is>
      </c>
      <c r="L10" s="0" t="inlineStr">
        <is>
          <t>/mnt/d/paper_source/work_9/VeriANN_repro_2026-09-30/VeriANN_repro_2026-09-30/results/work9-annproof-low-adjusted-20261021/measurements/sift1m-M8-efc100</t>
        </is>
      </c>
    </row>
    <row r="11">
      <c r="A11" s="0" t="inlineStr">
        <is>
          <t>NYTimes-256</t>
        </is>
      </c>
      <c r="B11" s="127" t="n">
        <v>0.4</v>
      </c>
      <c r="C11" s="127" t="n">
        <v>0.4</v>
      </c>
      <c r="D11" s="0" t="n">
        <v>4</v>
      </c>
      <c r="E11" s="0" t="n">
        <v>40</v>
      </c>
      <c r="F11" s="0" t="n">
        <v>26</v>
      </c>
      <c r="G11" s="0" t="inlineStr">
        <is>
          <t>20×3 / 1 thread</t>
        </is>
      </c>
      <c r="H11" s="0" t="n">
        <v>0.726615083333333</v>
      </c>
      <c r="I11" s="0" t="n">
        <v>353.3106</v>
      </c>
      <c r="J11" s="0" t="n">
        <v>3.67617873333333</v>
      </c>
      <c r="K11" s="0" t="inlineStr">
        <is>
          <t>原始实测</t>
        </is>
      </c>
      <c r="L11" s="0" t="inlineStr">
        <is>
          <t>/mnt/d/paper_source/work_9/VeriANN_repro_2026-09-30/VeriANN_repro_2026-09-30/results/work9-annproof-low-adjusted-20261021/measurements/nytimes256-M4-efc40</t>
        </is>
      </c>
    </row>
    <row r="12">
      <c r="A12" s="0" t="inlineStr">
        <is>
          <t>NYTimes-256</t>
        </is>
      </c>
      <c r="B12" s="127" t="n">
        <v>0.45</v>
      </c>
      <c r="C12" s="127" t="n">
        <v>0.45</v>
      </c>
      <c r="D12" s="0" t="n">
        <v>4</v>
      </c>
      <c r="E12" s="0" t="n">
        <v>40</v>
      </c>
      <c r="F12" s="0" t="n">
        <v>51</v>
      </c>
      <c r="G12" s="0" t="inlineStr">
        <is>
          <t>20×3 / 1 thread</t>
        </is>
      </c>
      <c r="H12" s="0" t="n">
        <v>1.14365988333333</v>
      </c>
      <c r="I12" s="0" t="n">
        <v>538.3504</v>
      </c>
      <c r="J12" s="0" t="n">
        <v>5.52536971666667</v>
      </c>
      <c r="K12" s="0" t="inlineStr">
        <is>
          <t>原始实测</t>
        </is>
      </c>
      <c r="L12" s="0" t="inlineStr">
        <is>
          <t>/mnt/d/paper_source/work_9/VeriANN_repro_2026-09-30/VeriANN_repro_2026-09-30/results/work9-annproof-low-adjusted-20261021/measurements/nytimes256-M4-efc40</t>
        </is>
      </c>
    </row>
    <row r="13">
      <c r="A13" s="0" t="inlineStr">
        <is>
          <t>NYTimes-256</t>
        </is>
      </c>
      <c r="B13" s="127" t="n">
        <v>0.5</v>
      </c>
      <c r="C13" s="127" t="n">
        <v>0.52</v>
      </c>
      <c r="D13" s="0" t="n">
        <v>4</v>
      </c>
      <c r="E13" s="0" t="n">
        <v>40</v>
      </c>
      <c r="F13" s="0" t="n">
        <v>80</v>
      </c>
      <c r="G13" s="0" t="inlineStr">
        <is>
          <t>20×3 / 1 thread</t>
        </is>
      </c>
      <c r="H13" s="0" t="n">
        <v>1.79044246666667</v>
      </c>
      <c r="I13" s="0" t="n">
        <v>772.0814</v>
      </c>
      <c r="J13" s="0" t="n">
        <v>7.95705408333333</v>
      </c>
      <c r="K13" s="0" t="inlineStr">
        <is>
          <t>原始实测</t>
        </is>
      </c>
      <c r="L13" s="0" t="inlineStr">
        <is>
          <t>/mnt/d/paper_source/work_9/VeriANN_repro_2026-09-30/VeriANN_repro_2026-09-30/results/work9-annproof-low-adjusted-20261021/measurements/nytimes256-M4-efc40</t>
        </is>
      </c>
    </row>
    <row r="14">
      <c r="A14" s="0" t="inlineStr">
        <is>
          <t>NYTimes-256</t>
        </is>
      </c>
      <c r="B14" s="127" t="n">
        <v>0.55</v>
      </c>
      <c r="C14" s="127" t="n">
        <v>0.555</v>
      </c>
      <c r="D14" s="0" t="n">
        <v>4</v>
      </c>
      <c r="E14" s="0" t="n">
        <v>40</v>
      </c>
      <c r="F14" s="0" t="n">
        <v>114</v>
      </c>
      <c r="G14" s="0" t="inlineStr">
        <is>
          <t>20×3 / 1 thread</t>
        </is>
      </c>
      <c r="H14" s="0" t="n">
        <v>2.4197689</v>
      </c>
      <c r="I14" s="0" t="n">
        <v>1007.3148</v>
      </c>
      <c r="J14" s="0" t="n">
        <v>10.4048992</v>
      </c>
      <c r="K14" s="0" t="inlineStr">
        <is>
          <t>原始实测</t>
        </is>
      </c>
      <c r="L14" s="0" t="inlineStr">
        <is>
          <t>/mnt/d/paper_source/work_9/VeriANN_repro_2026-09-30/VeriANN_repro_2026-09-30/results/work9-annproof-low-adjusted-20261021/measurements/nytimes256-M4-efc40</t>
        </is>
      </c>
    </row>
    <row r="15">
      <c r="A15" s="0" t="inlineStr">
        <is>
          <t>NYTimes-256</t>
        </is>
      </c>
      <c r="B15" s="127" t="n">
        <v>0.6</v>
      </c>
      <c r="C15" s="127" t="n">
        <v>0.6</v>
      </c>
      <c r="D15" s="0" t="n">
        <v>8</v>
      </c>
      <c r="E15" s="0" t="n">
        <v>80</v>
      </c>
      <c r="F15" s="0" t="n">
        <v>11</v>
      </c>
      <c r="G15" s="0" t="inlineStr">
        <is>
          <t>20×3 / 1 thread</t>
        </is>
      </c>
      <c r="H15" s="0" t="n">
        <v>0.6698036000000001</v>
      </c>
      <c r="I15" s="0" t="n">
        <v>347.1704</v>
      </c>
      <c r="J15" s="0" t="n">
        <v>3.51944358333333</v>
      </c>
      <c r="K15" s="0" t="inlineStr">
        <is>
          <t>原始实测</t>
        </is>
      </c>
      <c r="L15" s="0" t="inlineStr">
        <is>
          <t>/mnt/d/paper_source/work_9/VeriANN_repro_2026-09-30/VeriANN_repro_2026-09-30/results/work9-annproof-low-adjusted-20261021/measurements/nytimes256-M8-efc80</t>
        </is>
      </c>
    </row>
    <row r="16">
      <c r="A16" s="0" t="inlineStr">
        <is>
          <t>NYTimes-256</t>
        </is>
      </c>
      <c r="B16" s="127" t="n">
        <v>0.65</v>
      </c>
      <c r="C16" s="127" t="n">
        <v>0.655</v>
      </c>
      <c r="D16" s="0" t="n">
        <v>8</v>
      </c>
      <c r="E16" s="0" t="n">
        <v>80</v>
      </c>
      <c r="F16" s="0" t="n">
        <v>18</v>
      </c>
      <c r="G16" s="0" t="inlineStr">
        <is>
          <t>20×3 / 1 thread</t>
        </is>
      </c>
      <c r="H16" s="0" t="n">
        <v>0.9920537</v>
      </c>
      <c r="I16" s="0" t="n">
        <v>466.0532</v>
      </c>
      <c r="J16" s="0" t="n">
        <v>4.73621978333333</v>
      </c>
      <c r="K16" s="0" t="inlineStr">
        <is>
          <t>原始实测</t>
        </is>
      </c>
      <c r="L16" s="0" t="inlineStr">
        <is>
          <t>/mnt/d/paper_source/work_9/VeriANN_repro_2026-09-30/VeriANN_repro_2026-09-30/results/work9-annproof-low-adjusted-20261021/measurements/nytimes256-M8-efc80</t>
        </is>
      </c>
    </row>
    <row r="17">
      <c r="A17" s="0" t="inlineStr">
        <is>
          <t>NYTimes-256</t>
        </is>
      </c>
      <c r="B17" s="127" t="n">
        <v>0.7</v>
      </c>
      <c r="C17" s="127" t="n">
        <v>0.72</v>
      </c>
      <c r="D17" s="0" t="n">
        <v>8</v>
      </c>
      <c r="E17" s="0" t="n">
        <v>80</v>
      </c>
      <c r="F17" s="0" t="n">
        <v>29</v>
      </c>
      <c r="G17" s="0" t="inlineStr">
        <is>
          <t>20×3 / 1 thread</t>
        </is>
      </c>
      <c r="H17" s="0" t="n">
        <v>1.2522345</v>
      </c>
      <c r="I17" s="0" t="n">
        <v>612.8524</v>
      </c>
      <c r="J17" s="0" t="n">
        <v>6.11324791666667</v>
      </c>
      <c r="K17" s="0" t="inlineStr">
        <is>
          <t>原始实测</t>
        </is>
      </c>
      <c r="L17" s="0" t="inlineStr">
        <is>
          <t>/mnt/d/paper_source/work_9/VeriANN_repro_2026-09-30/VeriANN_repro_2026-09-30/results/work9-annproof-low-adjusted-20261021/measurements/nytimes256-M8-efc80</t>
        </is>
      </c>
    </row>
    <row r="18">
      <c r="A18" s="0" t="inlineStr">
        <is>
          <t>NYTimes-256</t>
        </is>
      </c>
      <c r="B18" s="127" t="n">
        <v>0.75</v>
      </c>
      <c r="C18" s="127" t="n">
        <v>0.775</v>
      </c>
      <c r="D18" s="0" t="n">
        <v>8</v>
      </c>
      <c r="E18" s="0" t="n">
        <v>80</v>
      </c>
      <c r="F18" s="0" t="n">
        <v>31</v>
      </c>
      <c r="G18" s="0" t="inlineStr">
        <is>
          <t>20×3 / 1 thread</t>
        </is>
      </c>
      <c r="H18" s="0" t="n">
        <v>1.41984203333333</v>
      </c>
      <c r="I18" s="0" t="n">
        <v>663.5596</v>
      </c>
      <c r="J18" s="0" t="n">
        <v>6.83315121666667</v>
      </c>
      <c r="K18" s="0" t="inlineStr">
        <is>
          <t>原始实测</t>
        </is>
      </c>
      <c r="L18" s="0" t="inlineStr">
        <is>
          <t>/mnt/d/paper_source/work_9/VeriANN_repro_2026-09-30/VeriANN_repro_2026-09-30/results/work9-annproof-low-adjusted-20261021/measurements/nytimes256-M8-efc80</t>
        </is>
      </c>
    </row>
    <row r="19">
      <c r="A19" s="0" t="inlineStr">
        <is>
          <t>NYTimes-256</t>
        </is>
      </c>
      <c r="B19" s="127" t="n">
        <v>0.8</v>
      </c>
      <c r="C19" s="127" t="n">
        <v>0.82</v>
      </c>
      <c r="D19" s="0" t="n">
        <v>8</v>
      </c>
      <c r="E19" s="0" t="n">
        <v>80</v>
      </c>
      <c r="F19" s="0" t="n">
        <v>42</v>
      </c>
      <c r="G19" s="0" t="inlineStr">
        <is>
          <t>20×3 / 1 thread</t>
        </is>
      </c>
      <c r="H19" s="0" t="n">
        <v>1.83261606666667</v>
      </c>
      <c r="I19" s="0" t="n">
        <v>878.027</v>
      </c>
      <c r="J19" s="0" t="n">
        <v>8.65264121666667</v>
      </c>
      <c r="K19" s="0" t="inlineStr">
        <is>
          <t>原始实测</t>
        </is>
      </c>
      <c r="L19" s="0" t="inlineStr">
        <is>
          <t>/mnt/d/paper_source/work_9/VeriANN_repro_2026-09-30/VeriANN_repro_2026-09-30/results/work9-annproof-low-adjusted-20261021/measurements/nytimes256-M8-efc80</t>
        </is>
      </c>
    </row>
    <row r="20">
      <c r="A20" s="0" t="inlineStr">
        <is>
          <t>GloVe-100</t>
        </is>
      </c>
      <c r="B20" s="127" t="n">
        <v>0.4</v>
      </c>
      <c r="C20" s="127" t="n">
        <v>0.4</v>
      </c>
      <c r="D20" s="0" t="n">
        <v>16</v>
      </c>
      <c r="E20" s="0" t="n">
        <v>200</v>
      </c>
      <c r="F20" s="0" t="n">
        <v>14</v>
      </c>
      <c r="G20" s="0" t="inlineStr">
        <is>
          <t>20×3 / 1 thread</t>
        </is>
      </c>
      <c r="H20" s="0" t="n">
        <v>1.84560973333333</v>
      </c>
      <c r="I20" s="0" t="n">
        <v>693.6684</v>
      </c>
      <c r="J20" s="0" t="n">
        <v>9.01886395</v>
      </c>
      <c r="K20" s="0" t="inlineStr">
        <is>
          <t>原始实测</t>
        </is>
      </c>
      <c r="L20" s="0" t="inlineStr">
        <is>
          <t>/mnt/d/paper_source/work_9/VeriANN_repro_2026-09-30/VeriANN_repro_2026-09-30/results/work9-annproof-low-adjusted-20261021/measurements/glove100-M16-efc200</t>
        </is>
      </c>
    </row>
    <row r="21">
      <c r="A21" s="0" t="inlineStr">
        <is>
          <t>GloVe-100</t>
        </is>
      </c>
      <c r="B21" s="127" t="n">
        <v>0.45</v>
      </c>
      <c r="C21" s="127" t="n">
        <v>0.455</v>
      </c>
      <c r="D21" s="0" t="n">
        <v>16</v>
      </c>
      <c r="E21" s="0" t="n">
        <v>200</v>
      </c>
      <c r="F21" s="0" t="n">
        <v>19</v>
      </c>
      <c r="G21" s="0" t="inlineStr">
        <is>
          <t>20×3 / 1 thread</t>
        </is>
      </c>
      <c r="H21" s="0" t="n">
        <v>2.14632921666667</v>
      </c>
      <c r="I21" s="0" t="n">
        <v>830.1814000000001</v>
      </c>
      <c r="J21" s="0" t="n">
        <v>10.7532255166667</v>
      </c>
      <c r="K21" s="0" t="inlineStr">
        <is>
          <t>原始实测</t>
        </is>
      </c>
      <c r="L21" s="0" t="inlineStr">
        <is>
          <t>/mnt/d/paper_source/work_9/VeriANN_repro_2026-09-30/VeriANN_repro_2026-09-30/results/work9-annproof-low-adjusted-20261021/measurements/glove100-M16-efc200</t>
        </is>
      </c>
    </row>
    <row r="22">
      <c r="A22" s="0" t="inlineStr">
        <is>
          <t>GloVe-100</t>
        </is>
      </c>
      <c r="B22" s="127" t="n">
        <v>0.5</v>
      </c>
      <c r="C22" s="127" t="n">
        <v>0.505</v>
      </c>
      <c r="D22" s="0" t="n">
        <v>16</v>
      </c>
      <c r="E22" s="0" t="n">
        <v>200</v>
      </c>
      <c r="F22" s="0" t="n">
        <v>29</v>
      </c>
      <c r="G22" s="0" t="inlineStr">
        <is>
          <t>20×3 / 1 thread</t>
        </is>
      </c>
      <c r="H22" s="0" t="n">
        <v>2.9589326</v>
      </c>
      <c r="I22" s="0" t="n">
        <v>1026.1096</v>
      </c>
      <c r="J22" s="0" t="n">
        <v>13.854632</v>
      </c>
      <c r="K22" s="0" t="inlineStr">
        <is>
          <t>原始实测</t>
        </is>
      </c>
      <c r="L22" s="0" t="inlineStr">
        <is>
          <t>/mnt/d/paper_source/work_9/VeriANN_repro_2026-09-30/VeriANN_repro_2026-09-30/results/work9-annproof-low-adjusted-20261021/measurements/glove100-M16-efc200</t>
        </is>
      </c>
    </row>
    <row r="23">
      <c r="A23" s="0" t="inlineStr">
        <is>
          <t>GloVe-100</t>
        </is>
      </c>
      <c r="B23" s="127" t="n">
        <v>0.55</v>
      </c>
      <c r="C23" s="127" t="n">
        <v>0.5649999999999999</v>
      </c>
      <c r="D23" s="0" t="n">
        <v>16</v>
      </c>
      <c r="E23" s="0" t="n">
        <v>200</v>
      </c>
      <c r="F23" s="0" t="n">
        <v>38</v>
      </c>
      <c r="G23" s="0" t="inlineStr">
        <is>
          <t>20×3 / 1 thread</t>
        </is>
      </c>
      <c r="H23" s="0" t="n">
        <v>3.54634156666667</v>
      </c>
      <c r="I23" s="0" t="n">
        <v>1245.8634</v>
      </c>
      <c r="J23" s="0" t="n">
        <v>16.5056574833333</v>
      </c>
      <c r="K23" s="0" t="inlineStr">
        <is>
          <t>原始实测</t>
        </is>
      </c>
      <c r="L23" s="0" t="inlineStr">
        <is>
          <t>/mnt/d/paper_source/work_9/VeriANN_repro_2026-09-30/VeriANN_repro_2026-09-30/results/work9-annproof-low-adjusted-20261021/measurements/glove100-M16-efc200</t>
        </is>
      </c>
    </row>
    <row r="24">
      <c r="A24" s="0" t="inlineStr">
        <is>
          <t>GloVe-100</t>
        </is>
      </c>
      <c r="B24" s="127" t="n">
        <v>0.6</v>
      </c>
      <c r="C24" s="127" t="n">
        <v>0.6</v>
      </c>
      <c r="D24" s="0" t="n">
        <v>16</v>
      </c>
      <c r="E24" s="0" t="n">
        <v>200</v>
      </c>
      <c r="F24" s="0" t="n">
        <v>49</v>
      </c>
      <c r="G24" s="0" t="inlineStr">
        <is>
          <t>20×3 / 1 thread</t>
        </is>
      </c>
      <c r="H24" s="0" t="n">
        <v>4.00268391666667</v>
      </c>
      <c r="I24" s="0" t="n">
        <v>1440.1246</v>
      </c>
      <c r="J24" s="0" t="n">
        <v>18.9798409</v>
      </c>
      <c r="K24" s="0" t="inlineStr">
        <is>
          <t>原始实测</t>
        </is>
      </c>
      <c r="L24" s="0" t="inlineStr">
        <is>
          <t>/mnt/d/paper_source/work_9/VeriANN_repro_2026-09-30/VeriANN_repro_2026-09-30/results/work9-annproof-low-adjusted-20261021/measurements/glove100-M16-efc200</t>
        </is>
      </c>
    </row>
    <row r="25">
      <c r="A25" s="0" t="inlineStr">
        <is>
          <t>GloVe-100</t>
        </is>
      </c>
      <c r="B25" s="127" t="n">
        <v>0.65</v>
      </c>
      <c r="C25" s="127" t="n">
        <v>0.665</v>
      </c>
      <c r="D25" s="0" t="n">
        <v>16</v>
      </c>
      <c r="E25" s="0" t="n">
        <v>200</v>
      </c>
      <c r="F25" s="0" t="n">
        <v>64</v>
      </c>
      <c r="G25" s="0" t="inlineStr">
        <is>
          <t>20×3 / 1 thread</t>
        </is>
      </c>
      <c r="H25" s="0" t="n">
        <v>5.10015753333333</v>
      </c>
      <c r="I25" s="0" t="n">
        <v>1768.2552</v>
      </c>
      <c r="J25" s="0" t="n">
        <v>23.3867253333333</v>
      </c>
      <c r="K25" s="0" t="inlineStr">
        <is>
          <t>原始实测</t>
        </is>
      </c>
      <c r="L25" s="0" t="inlineStr">
        <is>
          <t>/mnt/d/paper_source/work_9/VeriANN_repro_2026-09-30/VeriANN_repro_2026-09-30/results/work9-annproof-low-adjusted-20261021/measurements/glove100-M16-efc200</t>
        </is>
      </c>
    </row>
    <row r="26">
      <c r="A26" s="0" t="inlineStr">
        <is>
          <t>GloVe-100</t>
        </is>
      </c>
      <c r="B26" s="127" t="n">
        <v>0.7</v>
      </c>
      <c r="C26" s="127" t="n">
        <v>0.7</v>
      </c>
      <c r="D26" s="0" t="n">
        <v>16</v>
      </c>
      <c r="E26" s="0" t="n">
        <v>200</v>
      </c>
      <c r="F26" s="0" t="n">
        <v>109</v>
      </c>
      <c r="G26" s="0" t="inlineStr">
        <is>
          <t>20×3 / 1 thread</t>
        </is>
      </c>
      <c r="H26" s="0" t="n">
        <v>7.6252956</v>
      </c>
      <c r="I26" s="0" t="n">
        <v>2517.2104</v>
      </c>
      <c r="J26" s="0" t="n">
        <v>33.7018852833333</v>
      </c>
      <c r="K26" s="0" t="inlineStr">
        <is>
          <t>原始实测</t>
        </is>
      </c>
      <c r="L26" s="0" t="inlineStr">
        <is>
          <t>/mnt/d/paper_source/work_9/VeriANN_repro_2026-09-30/VeriANN_repro_2026-09-30/results/work9-annproof-low-adjusted-20261021/measurements/glove100-M16-efc200</t>
        </is>
      </c>
    </row>
    <row r="27">
      <c r="A27" s="0" t="inlineStr">
        <is>
          <t>GloVe-100</t>
        </is>
      </c>
      <c r="B27" s="127" t="n">
        <v>0.75</v>
      </c>
      <c r="C27" s="127" t="n">
        <v>0.76</v>
      </c>
      <c r="D27" s="0" t="n">
        <v>16</v>
      </c>
      <c r="E27" s="0" t="n">
        <v>200</v>
      </c>
      <c r="F27" s="0" t="n">
        <v>111</v>
      </c>
      <c r="G27" s="0" t="inlineStr">
        <is>
          <t>20×3 / 1 thread</t>
        </is>
      </c>
      <c r="H27" s="0" t="n">
        <v>7.82504236666667</v>
      </c>
      <c r="I27" s="0" t="n">
        <v>2621.0818</v>
      </c>
      <c r="J27" s="0" t="n">
        <v>35.0163555666667</v>
      </c>
      <c r="K27" s="0" t="inlineStr">
        <is>
          <t>原始实测</t>
        </is>
      </c>
      <c r="L27" s="0" t="inlineStr">
        <is>
          <t>/mnt/d/paper_source/work_9/VeriANN_repro_2026-09-30/VeriANN_repro_2026-09-30/results/work9-annproof-low-adjusted-20261021/measurements/glove100-M16-efc200</t>
        </is>
      </c>
    </row>
    <row r="28">
      <c r="A28" s="0" t="inlineStr">
        <is>
          <t>GloVe-100</t>
        </is>
      </c>
      <c r="B28" s="127" t="n">
        <v>0.8</v>
      </c>
      <c r="C28" s="127" t="n">
        <v>0.805</v>
      </c>
      <c r="D28" s="0" t="n">
        <v>16</v>
      </c>
      <c r="E28" s="0" t="n">
        <v>200</v>
      </c>
      <c r="F28" s="0" t="n">
        <v>147</v>
      </c>
      <c r="G28" s="0" t="inlineStr">
        <is>
          <t>20×3 / 1 thread</t>
        </is>
      </c>
      <c r="H28" s="0" t="n">
        <v>9.67023103333333</v>
      </c>
      <c r="I28" s="0" t="n">
        <v>3202.7554</v>
      </c>
      <c r="J28" s="0" t="n">
        <v>42.9324051333333</v>
      </c>
      <c r="K28" s="0" t="inlineStr">
        <is>
          <t>原始实测</t>
        </is>
      </c>
      <c r="L28" s="0" t="inlineStr">
        <is>
          <t>/mnt/d/paper_source/work_9/VeriANN_repro_2026-09-30/VeriANN_repro_2026-09-30/results/work9-annproof-low-adjusted-20261021/measurements/glove100-M16-efc200</t>
        </is>
      </c>
    </row>
    <row r="29">
      <c r="A29" s="0" t="inlineStr">
        <is>
          <t>DEEP1M</t>
        </is>
      </c>
      <c r="B29" s="127" t="n">
        <v>0.4</v>
      </c>
      <c r="C29" s="127" t="n">
        <v>0.405</v>
      </c>
      <c r="D29" s="0" t="n">
        <v>4</v>
      </c>
      <c r="E29" s="0" t="n">
        <v>40</v>
      </c>
      <c r="F29" s="0" t="n">
        <v>15</v>
      </c>
      <c r="G29" s="0" t="inlineStr">
        <is>
          <t>20×3 / 1 thread</t>
        </is>
      </c>
      <c r="H29" s="0" t="n">
        <v>0.496026583333333</v>
      </c>
      <c r="I29" s="0" t="n">
        <v>173.3444</v>
      </c>
      <c r="J29" s="0" t="n">
        <v>2.41002113333333</v>
      </c>
      <c r="K29" s="0" t="inlineStr">
        <is>
          <t>原始实测</t>
        </is>
      </c>
      <c r="L29" s="0" t="inlineStr">
        <is>
          <t>/mnt/d/paper_source/work_9/VeriANN_repro_2026-09-30/VeriANN_repro_2026-09-30/results/work9-annproof-low-adjusted-20261021/measurements/deep1m-M4-efc40</t>
        </is>
      </c>
    </row>
    <row r="30">
      <c r="A30" s="0" t="inlineStr">
        <is>
          <t>DEEP1M</t>
        </is>
      </c>
      <c r="B30" s="127" t="n">
        <v>0.45</v>
      </c>
      <c r="C30" s="127" t="n">
        <v>0.455</v>
      </c>
      <c r="D30" s="0" t="n">
        <v>4</v>
      </c>
      <c r="E30" s="0" t="n">
        <v>40</v>
      </c>
      <c r="F30" s="0" t="n">
        <v>22</v>
      </c>
      <c r="G30" s="0" t="inlineStr">
        <is>
          <t>20×3 / 1 thread</t>
        </is>
      </c>
      <c r="H30" s="0" t="n">
        <v>0.5671214</v>
      </c>
      <c r="I30" s="0" t="n">
        <v>207.914</v>
      </c>
      <c r="J30" s="0" t="n">
        <v>2.94130486666667</v>
      </c>
      <c r="K30" s="0" t="inlineStr">
        <is>
          <t>原始实测</t>
        </is>
      </c>
      <c r="L30" s="0" t="inlineStr">
        <is>
          <t>/mnt/d/paper_source/work_9/VeriANN_repro_2026-09-30/VeriANN_repro_2026-09-30/results/work9-annproof-low-adjusted-20261021/measurements/deep1m-M4-efc40</t>
        </is>
      </c>
    </row>
    <row r="31">
      <c r="A31" s="0" t="inlineStr">
        <is>
          <t>DEEP1M</t>
        </is>
      </c>
      <c r="B31" s="127" t="n">
        <v>0.5</v>
      </c>
      <c r="C31" s="127" t="n">
        <v>0.51</v>
      </c>
      <c r="D31" s="0" t="n">
        <v>4</v>
      </c>
      <c r="E31" s="0" t="n">
        <v>40</v>
      </c>
      <c r="F31" s="0" t="n">
        <v>27</v>
      </c>
      <c r="G31" s="0" t="inlineStr">
        <is>
          <t>20×3 / 1 thread</t>
        </is>
      </c>
      <c r="H31" s="0" t="n">
        <v>0.659553266666667</v>
      </c>
      <c r="I31" s="0" t="n">
        <v>234.017</v>
      </c>
      <c r="J31" s="0" t="n">
        <v>3.47280943333333</v>
      </c>
      <c r="K31" s="0" t="inlineStr">
        <is>
          <t>原始实测</t>
        </is>
      </c>
      <c r="L31" s="0" t="inlineStr">
        <is>
          <t>/mnt/d/paper_source/work_9/VeriANN_repro_2026-09-30/VeriANN_repro_2026-09-30/results/work9-annproof-low-adjusted-20261021/measurements/deep1m-M4-efc40</t>
        </is>
      </c>
    </row>
    <row r="32">
      <c r="A32" s="0" t="inlineStr">
        <is>
          <t>DEEP1M</t>
        </is>
      </c>
      <c r="B32" s="127" t="n">
        <v>0.55</v>
      </c>
      <c r="C32" s="127" t="n">
        <v>0.55</v>
      </c>
      <c r="D32" s="0" t="n">
        <v>8</v>
      </c>
      <c r="E32" s="0" t="n">
        <v>80</v>
      </c>
      <c r="F32" s="0" t="n">
        <v>12</v>
      </c>
      <c r="G32" s="0" t="inlineStr">
        <is>
          <t>20×3 / 1 thread</t>
        </is>
      </c>
      <c r="H32" s="0" t="n">
        <v>0.740117666666667</v>
      </c>
      <c r="I32" s="0" t="n">
        <v>264.5596</v>
      </c>
      <c r="J32" s="0" t="n">
        <v>3.6383341</v>
      </c>
      <c r="K32" s="0" t="inlineStr">
        <is>
          <t>原始实测</t>
        </is>
      </c>
      <c r="L32" s="0" t="inlineStr">
        <is>
          <t>/mnt/d/paper_source/work_9/VeriANN_repro_2026-09-30/VeriANN_repro_2026-09-30/results/work9-annproof-low-adjusted-20261021/measurements/deep1m-M8-efc80</t>
        </is>
      </c>
    </row>
    <row r="33">
      <c r="A33" s="0" t="inlineStr">
        <is>
          <t>DEEP1M</t>
        </is>
      </c>
      <c r="B33" s="127" t="n">
        <v>0.6</v>
      </c>
      <c r="C33" s="127" t="n">
        <v>0.62</v>
      </c>
      <c r="D33" s="0" t="n">
        <v>8</v>
      </c>
      <c r="E33" s="0" t="n">
        <v>80</v>
      </c>
      <c r="F33" s="0" t="n">
        <v>13</v>
      </c>
      <c r="G33" s="0" t="inlineStr">
        <is>
          <t>20×3 / 1 thread</t>
        </is>
      </c>
      <c r="H33" s="0" t="n">
        <v>0.76820845</v>
      </c>
      <c r="I33" s="0" t="n">
        <v>289.138</v>
      </c>
      <c r="J33" s="0" t="n">
        <v>3.97759086666667</v>
      </c>
      <c r="K33" s="0" t="inlineStr">
        <is>
          <t>原始实测</t>
        </is>
      </c>
      <c r="L33" s="0" t="inlineStr">
        <is>
          <t>/mnt/d/paper_source/work_9/VeriANN_repro_2026-09-30/VeriANN_repro_2026-09-30/results/work9-annproof-low-adjusted-20261021/measurements/deep1m-M8-efc80</t>
        </is>
      </c>
    </row>
    <row r="34">
      <c r="A34" s="0" t="inlineStr">
        <is>
          <t>DEEP1M</t>
        </is>
      </c>
      <c r="B34" s="127" t="n">
        <v>0.65</v>
      </c>
      <c r="C34" s="127" t="n">
        <v>0.65</v>
      </c>
      <c r="D34" s="0" t="n">
        <v>8</v>
      </c>
      <c r="E34" s="0" t="n">
        <v>80</v>
      </c>
      <c r="F34" s="0" t="n">
        <v>14</v>
      </c>
      <c r="G34" s="0" t="inlineStr">
        <is>
          <t>20×3 / 1 thread</t>
        </is>
      </c>
      <c r="H34" s="0" t="n">
        <v>0.811328233333333</v>
      </c>
      <c r="I34" s="0" t="n">
        <v>298.3958</v>
      </c>
      <c r="J34" s="0" t="n">
        <v>4.07650826666667</v>
      </c>
      <c r="K34" s="0" t="inlineStr">
        <is>
          <t>原始实测</t>
        </is>
      </c>
      <c r="L34" s="0" t="inlineStr">
        <is>
          <t>/mnt/d/paper_source/work_9/VeriANN_repro_2026-09-30/VeriANN_repro_2026-09-30/results/work9-annproof-low-adjusted-20261021/measurements/deep1m-M8-efc80</t>
        </is>
      </c>
    </row>
    <row r="35">
      <c r="A35" s="0" t="inlineStr">
        <is>
          <t>DEEP1M</t>
        </is>
      </c>
      <c r="B35" s="127" t="n">
        <v>0.7</v>
      </c>
      <c r="C35" s="127" t="n">
        <v>0.71</v>
      </c>
      <c r="D35" s="0" t="n">
        <v>16</v>
      </c>
      <c r="E35" s="0" t="n">
        <v>200</v>
      </c>
      <c r="F35" s="0" t="n">
        <v>10</v>
      </c>
      <c r="G35" s="0" t="inlineStr">
        <is>
          <t>20×3 / 1 thread</t>
        </is>
      </c>
      <c r="H35" s="0" t="n">
        <v>0.9685961333333331</v>
      </c>
      <c r="I35" s="0" t="n">
        <v>386.5978</v>
      </c>
      <c r="J35" s="0" t="n">
        <v>5.04363263333333</v>
      </c>
      <c r="K35" s="0" t="inlineStr">
        <is>
          <t>原始实测</t>
        </is>
      </c>
      <c r="L35" s="0" t="inlineStr">
        <is>
          <t>/mnt/d/paper_source/work_9/VeriANN_repro_2026-09-30/VeriANN_repro_2026-09-30/results/work9-annproof-low-adjusted-20261021/measurements/deep1m-M16-efc200</t>
        </is>
      </c>
    </row>
    <row r="36">
      <c r="A36" s="0" t="inlineStr">
        <is>
          <t>DEEP1M</t>
        </is>
      </c>
      <c r="B36" s="127" t="n">
        <v>0.75</v>
      </c>
      <c r="C36" s="127" t="n">
        <v>0.76</v>
      </c>
      <c r="D36" s="0" t="n">
        <v>16</v>
      </c>
      <c r="E36" s="0" t="n">
        <v>200</v>
      </c>
      <c r="F36" s="0" t="n">
        <v>13</v>
      </c>
      <c r="G36" s="0" t="inlineStr">
        <is>
          <t>20×3 / 1 thread</t>
        </is>
      </c>
      <c r="H36" s="0" t="n">
        <v>1.07810228333333</v>
      </c>
      <c r="I36" s="0" t="n">
        <v>439.3718</v>
      </c>
      <c r="J36" s="0" t="n">
        <v>5.69119435</v>
      </c>
      <c r="K36" s="0" t="inlineStr">
        <is>
          <t>原始实测</t>
        </is>
      </c>
      <c r="L36" s="0" t="inlineStr">
        <is>
          <t>/mnt/d/paper_source/work_9/VeriANN_repro_2026-09-30/VeriANN_repro_2026-09-30/results/work9-annproof-low-adjusted-20261021/measurements/deep1m-M16-efc200</t>
        </is>
      </c>
    </row>
    <row r="37">
      <c r="A37" s="0" t="inlineStr">
        <is>
          <t>DEEP1M</t>
        </is>
      </c>
      <c r="B37" s="127" t="n">
        <v>0.8</v>
      </c>
      <c r="C37" s="127" t="n">
        <v>0.8</v>
      </c>
      <c r="D37" s="0" t="n">
        <v>16</v>
      </c>
      <c r="E37" s="0" t="n">
        <v>200</v>
      </c>
      <c r="F37" s="0" t="n">
        <v>17</v>
      </c>
      <c r="G37" s="0" t="inlineStr">
        <is>
          <t>20×3 / 1 thread</t>
        </is>
      </c>
      <c r="H37" s="0" t="n">
        <v>1.24864183333333</v>
      </c>
      <c r="I37" s="0" t="n">
        <v>508.8854</v>
      </c>
      <c r="J37" s="0" t="n">
        <v>6.65710838333333</v>
      </c>
      <c r="K37" s="0" t="inlineStr">
        <is>
          <t>原始实测</t>
        </is>
      </c>
      <c r="L37" s="0" t="inlineStr">
        <is>
          <t>/mnt/d/paper_source/work_9/VeriANN_repro_2026-09-30/VeriANN_repro_2026-09-30/results/work9-annproof-low-adjusted-20261021/measurements/deep1m-M16-efc200</t>
        </is>
      </c>
    </row>
  </sheetData>
  <autoFilter ref="A1:L37"/>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L37"/>
  <sheetViews>
    <sheetView workbookViewId="0">
      <pane ySplit="1" topLeftCell="A2" activePane="bottomLeft" state="frozen"/>
      <selection activeCell="A1" sqref="A1"/>
      <selection pane="bottomLeft" activeCell="A1" sqref="A1"/>
    </sheetView>
  </sheetViews>
  <sheetFormatPr baseColWidth="8" defaultColWidth="9" defaultRowHeight="13.5"/>
  <cols>
    <col width="22" customWidth="1" style="1" min="1" max="1"/>
    <col width="22" customWidth="1" style="1" min="7" max="11"/>
    <col width="85" customWidth="1" style="1" min="12" max="12"/>
  </cols>
  <sheetData>
    <row r="1">
      <c r="A1" s="0" t="inlineStr">
        <is>
          <t>Dataset</t>
        </is>
      </c>
      <c r="B1" s="0" t="inlineStr">
        <is>
          <t>Target Recall</t>
        </is>
      </c>
      <c r="C1" s="0" t="inlineStr">
        <is>
          <t>Actual Recall</t>
        </is>
      </c>
      <c r="D1" s="0" t="inlineStr">
        <is>
          <t>M</t>
        </is>
      </c>
      <c r="E1" s="0" t="inlineStr">
        <is>
          <t>efConstruction</t>
        </is>
      </c>
      <c r="F1" s="0" t="inlineStr">
        <is>
          <t>efSearch</t>
        </is>
      </c>
      <c r="G1" s="0" t="inlineStr">
        <is>
          <t>Queries/repeats</t>
        </is>
      </c>
      <c r="H1" s="0" t="inlineStr">
        <is>
          <t>Query ms</t>
        </is>
      </c>
      <c r="I1" s="0" t="inlineStr">
        <is>
          <t>VO KB</t>
        </is>
      </c>
      <c r="J1" s="0" t="inlineStr">
        <is>
          <t>Verify ms</t>
        </is>
      </c>
      <c r="K1" s="0" t="inlineStr">
        <is>
          <t>Nature</t>
        </is>
      </c>
      <c r="L1" s="0" t="inlineStr">
        <is>
          <t>Source</t>
        </is>
      </c>
    </row>
    <row r="2">
      <c r="A2" s="0" t="inlineStr">
        <is>
          <t>SIFT1M</t>
        </is>
      </c>
      <c r="B2" s="127" t="n">
        <v>0.4</v>
      </c>
      <c r="C2" s="127" t="n">
        <v>0.4</v>
      </c>
      <c r="D2" s="0" t="n">
        <v>2</v>
      </c>
      <c r="E2" s="0" t="n">
        <v>20</v>
      </c>
      <c r="F2" s="0" t="n">
        <v>192</v>
      </c>
      <c r="G2" s="0" t="inlineStr">
        <is>
          <t>20×3 / 1 thread</t>
        </is>
      </c>
      <c r="H2" s="0" t="n">
        <v>1.67731546</v>
      </c>
      <c r="I2" s="0" t="n">
        <v>918.3288</v>
      </c>
      <c r="J2" s="0" t="n">
        <v>9.176922749999999</v>
      </c>
      <c r="K2" s="0" t="inlineStr">
        <is>
          <t>系数调整值，非原始实测</t>
        </is>
      </c>
      <c r="L2" s="0" t="inlineStr">
        <is>
          <t>/mnt/d/paper_source/work_9/VeriANN_repro_2026-09-30/VeriANN_repro_2026-09-30/results/work9-annproof-low-adjusted-20261021/measurements/sift1m-M2-efc20</t>
        </is>
      </c>
    </row>
    <row r="3">
      <c r="A3" s="0" t="inlineStr">
        <is>
          <t>SIFT1M</t>
        </is>
      </c>
      <c r="B3" s="127" t="n">
        <v>0.45</v>
      </c>
      <c r="C3" s="127" t="n">
        <v>0.465</v>
      </c>
      <c r="D3" s="0" t="n">
        <v>4</v>
      </c>
      <c r="E3" s="0" t="n">
        <v>40</v>
      </c>
      <c r="F3" s="0" t="n">
        <v>11</v>
      </c>
      <c r="G3" s="0" t="inlineStr">
        <is>
          <t>20×3 / 1 thread</t>
        </is>
      </c>
      <c r="H3" s="0" t="n">
        <v>0.4264605</v>
      </c>
      <c r="I3" s="0" t="n">
        <v>284.072</v>
      </c>
      <c r="J3" s="0" t="n">
        <v>2.718519525</v>
      </c>
      <c r="K3" s="0" t="inlineStr">
        <is>
          <t>系数调整值，非原始实测</t>
        </is>
      </c>
      <c r="L3" s="0" t="inlineStr">
        <is>
          <t>/mnt/d/paper_source/work_9/VeriANN_repro_2026-09-30/VeriANN_repro_2026-09-30/results/work9-annproof-low-adjusted-20261021/measurements/sift1m-M4-efc40-extra-95bce61a</t>
        </is>
      </c>
    </row>
    <row r="4">
      <c r="A4" s="0" t="inlineStr">
        <is>
          <t>SIFT1M</t>
        </is>
      </c>
      <c r="B4" s="127" t="n">
        <v>0.5</v>
      </c>
      <c r="C4" s="127" t="n">
        <v>0.5</v>
      </c>
      <c r="D4" s="0" t="n">
        <v>4</v>
      </c>
      <c r="E4" s="0" t="n">
        <v>40</v>
      </c>
      <c r="F4" s="0" t="n">
        <v>15</v>
      </c>
      <c r="G4" s="0" t="inlineStr">
        <is>
          <t>20×3 / 1 thread</t>
        </is>
      </c>
      <c r="H4" s="0" t="n">
        <v>0.50609096</v>
      </c>
      <c r="I4" s="0" t="n">
        <v>319.9528</v>
      </c>
      <c r="J4" s="0" t="n">
        <v>3.139567975</v>
      </c>
      <c r="K4" s="0" t="inlineStr">
        <is>
          <t>系数调整值，非原始实测</t>
        </is>
      </c>
      <c r="L4" s="0" t="inlineStr">
        <is>
          <t>/mnt/d/paper_source/work_9/VeriANN_repro_2026-09-30/VeriANN_repro_2026-09-30/results/work9-annproof-low-adjusted-20261021/measurements/sift1m-M4-efc40</t>
        </is>
      </c>
    </row>
    <row r="5">
      <c r="A5" s="0" t="inlineStr">
        <is>
          <t>SIFT1M</t>
        </is>
      </c>
      <c r="B5" s="127" t="n">
        <v>0.55</v>
      </c>
      <c r="C5" s="127" t="n">
        <v>0.5600000000000001</v>
      </c>
      <c r="D5" s="0" t="n">
        <v>4</v>
      </c>
      <c r="E5" s="0" t="n">
        <v>40</v>
      </c>
      <c r="F5" s="0" t="n">
        <v>18</v>
      </c>
      <c r="G5" s="0" t="inlineStr">
        <is>
          <t>20×3 / 1 thread</t>
        </is>
      </c>
      <c r="H5" s="0" t="n">
        <v>0.60224998</v>
      </c>
      <c r="I5" s="0" t="n">
        <v>362.4268</v>
      </c>
      <c r="J5" s="0" t="n">
        <v>3.6143039</v>
      </c>
      <c r="K5" s="0" t="inlineStr">
        <is>
          <t>系数调整值，非原始实测</t>
        </is>
      </c>
      <c r="L5" s="0" t="inlineStr">
        <is>
          <t>/mnt/d/paper_source/work_9/VeriANN_repro_2026-09-30/VeriANN_repro_2026-09-30/results/work9-annproof-low-adjusted-20261021/measurements/sift1m-M4-efc40</t>
        </is>
      </c>
    </row>
    <row r="6">
      <c r="A6" s="0" t="inlineStr">
        <is>
          <t>SIFT1M</t>
        </is>
      </c>
      <c r="B6" s="127" t="n">
        <v>0.6</v>
      </c>
      <c r="C6" s="127" t="n">
        <v>0.62</v>
      </c>
      <c r="D6" s="0" t="n">
        <v>4</v>
      </c>
      <c r="E6" s="0" t="n">
        <v>40</v>
      </c>
      <c r="F6" s="0" t="n">
        <v>23</v>
      </c>
      <c r="G6" s="0" t="inlineStr">
        <is>
          <t>20×3 / 1 thread</t>
        </is>
      </c>
      <c r="H6" s="0" t="n">
        <v>0.66576842</v>
      </c>
      <c r="I6" s="0" t="n">
        <v>418.162</v>
      </c>
      <c r="J6" s="0" t="n">
        <v>4.0886525</v>
      </c>
      <c r="K6" s="0" t="inlineStr">
        <is>
          <t>系数调整值，非原始实测</t>
        </is>
      </c>
      <c r="L6" s="0" t="inlineStr">
        <is>
          <t>/mnt/d/paper_source/work_9/VeriANN_repro_2026-09-30/VeriANN_repro_2026-09-30/results/work9-annproof-low-adjusted-20261021/measurements/sift1m-M4-efc40</t>
        </is>
      </c>
    </row>
    <row r="7">
      <c r="A7" s="0" t="inlineStr">
        <is>
          <t>SIFT1M</t>
        </is>
      </c>
      <c r="B7" s="127" t="n">
        <v>0.65</v>
      </c>
      <c r="C7" s="127" t="n">
        <v>0.675</v>
      </c>
      <c r="D7" s="0" t="n">
        <v>8</v>
      </c>
      <c r="E7" s="0" t="n">
        <v>100</v>
      </c>
      <c r="F7" s="0" t="n">
        <v>10</v>
      </c>
      <c r="G7" s="0" t="inlineStr">
        <is>
          <t>20×3 / 1 thread</t>
        </is>
      </c>
      <c r="H7" s="0" t="n">
        <v>0.69257852</v>
      </c>
      <c r="I7" s="0" t="n">
        <v>475.69</v>
      </c>
      <c r="J7" s="0" t="n">
        <v>4.49606695</v>
      </c>
      <c r="K7" s="0" t="inlineStr">
        <is>
          <t>系数调整值，非原始实测</t>
        </is>
      </c>
      <c r="L7" s="0" t="inlineStr">
        <is>
          <t>/mnt/d/paper_source/work_9/VeriANN_repro_2026-09-30/VeriANN_repro_2026-09-30/results/work9-annproof-low-adjusted-20261021/measurements/sift1m-M8-efc100</t>
        </is>
      </c>
    </row>
    <row r="8">
      <c r="A8" s="0" t="inlineStr">
        <is>
          <t>SIFT1M</t>
        </is>
      </c>
      <c r="B8" s="127" t="n">
        <v>0.7</v>
      </c>
      <c r="C8" s="127" t="n">
        <v>0.72</v>
      </c>
      <c r="D8" s="0" t="n">
        <v>8</v>
      </c>
      <c r="E8" s="0" t="n">
        <v>100</v>
      </c>
      <c r="F8" s="0" t="n">
        <v>14</v>
      </c>
      <c r="G8" s="0" t="inlineStr">
        <is>
          <t>20×3 / 1 thread</t>
        </is>
      </c>
      <c r="H8" s="0" t="n">
        <v>0.77029096</v>
      </c>
      <c r="I8" s="0" t="n">
        <v>553.674</v>
      </c>
      <c r="J8" s="0" t="n">
        <v>5.204480625</v>
      </c>
      <c r="K8" s="0" t="inlineStr">
        <is>
          <t>系数调整值，非原始实测</t>
        </is>
      </c>
      <c r="L8" s="0" t="inlineStr">
        <is>
          <t>/mnt/d/paper_source/work_9/VeriANN_repro_2026-09-30/VeriANN_repro_2026-09-30/results/work9-annproof-low-adjusted-20261021/measurements/sift1m-M8-efc100</t>
        </is>
      </c>
    </row>
    <row r="9">
      <c r="A9" s="0" t="inlineStr">
        <is>
          <t>SIFT1M</t>
        </is>
      </c>
      <c r="B9" s="127" t="n">
        <v>0.75</v>
      </c>
      <c r="C9" s="127" t="n">
        <v>0.755</v>
      </c>
      <c r="D9" s="0" t="n">
        <v>8</v>
      </c>
      <c r="E9" s="0" t="n">
        <v>100</v>
      </c>
      <c r="F9" s="0" t="n">
        <v>15</v>
      </c>
      <c r="G9" s="0" t="inlineStr">
        <is>
          <t>20×3 / 1 thread</t>
        </is>
      </c>
      <c r="H9" s="0" t="n">
        <v>0.8321881</v>
      </c>
      <c r="I9" s="0" t="n">
        <v>586.25</v>
      </c>
      <c r="J9" s="0" t="n">
        <v>5.495007925</v>
      </c>
      <c r="K9" s="0" t="inlineStr">
        <is>
          <t>系数调整值，非原始实测</t>
        </is>
      </c>
      <c r="L9" s="0" t="inlineStr">
        <is>
          <t>/mnt/d/paper_source/work_9/VeriANN_repro_2026-09-30/VeriANN_repro_2026-09-30/results/work9-annproof-low-adjusted-20261021/measurements/sift1m-M8-efc100</t>
        </is>
      </c>
    </row>
    <row r="10">
      <c r="A10" s="0" t="inlineStr">
        <is>
          <t>SIFT1M</t>
        </is>
      </c>
      <c r="B10" s="127" t="n">
        <v>0.8</v>
      </c>
      <c r="C10" s="127" t="n">
        <v>0.8</v>
      </c>
      <c r="D10" s="0" t="n">
        <v>8</v>
      </c>
      <c r="E10" s="0" t="n">
        <v>100</v>
      </c>
      <c r="F10" s="0" t="n">
        <v>18</v>
      </c>
      <c r="G10" s="0" t="inlineStr">
        <is>
          <t>20×3 / 1 thread</t>
        </is>
      </c>
      <c r="H10" s="0" t="n">
        <v>0.95748202</v>
      </c>
      <c r="I10" s="0" t="n">
        <v>644.6504</v>
      </c>
      <c r="J10" s="0" t="n">
        <v>6.05191305</v>
      </c>
      <c r="K10" s="0" t="inlineStr">
        <is>
          <t>系数调整值，非原始实测</t>
        </is>
      </c>
      <c r="L10" s="0" t="inlineStr">
        <is>
          <t>/mnt/d/paper_source/work_9/VeriANN_repro_2026-09-30/VeriANN_repro_2026-09-30/results/work9-annproof-low-adjusted-20261021/measurements/sift1m-M8-efc100</t>
        </is>
      </c>
    </row>
    <row r="11">
      <c r="A11" s="0" t="inlineStr">
        <is>
          <t>NYTimes-256</t>
        </is>
      </c>
      <c r="B11" s="127" t="n">
        <v>0.4</v>
      </c>
      <c r="C11" s="127" t="n">
        <v>0.4</v>
      </c>
      <c r="D11" s="0" t="n">
        <v>4</v>
      </c>
      <c r="E11" s="0" t="n">
        <v>40</v>
      </c>
      <c r="F11" s="0" t="n">
        <v>26</v>
      </c>
      <c r="G11" s="0" t="inlineStr">
        <is>
          <t>20×3 / 1 thread</t>
        </is>
      </c>
      <c r="H11" s="0" t="n">
        <v>0.8719381</v>
      </c>
      <c r="I11" s="0" t="n">
        <v>706.6212</v>
      </c>
      <c r="J11" s="0" t="n">
        <v>5.5142681</v>
      </c>
      <c r="K11" s="0" t="inlineStr">
        <is>
          <t>系数调整值，非原始实测</t>
        </is>
      </c>
      <c r="L11" s="0" t="inlineStr">
        <is>
          <t>/mnt/d/paper_source/work_9/VeriANN_repro_2026-09-30/VeriANN_repro_2026-09-30/results/work9-annproof-low-adjusted-20261021/measurements/nytimes256-M4-efc40</t>
        </is>
      </c>
    </row>
    <row r="12">
      <c r="A12" s="0" t="inlineStr">
        <is>
          <t>NYTimes-256</t>
        </is>
      </c>
      <c r="B12" s="127" t="n">
        <v>0.45</v>
      </c>
      <c r="C12" s="127" t="n">
        <v>0.45</v>
      </c>
      <c r="D12" s="0" t="n">
        <v>4</v>
      </c>
      <c r="E12" s="0" t="n">
        <v>40</v>
      </c>
      <c r="F12" s="0" t="n">
        <v>51</v>
      </c>
      <c r="G12" s="0" t="inlineStr">
        <is>
          <t>20×3 / 1 thread</t>
        </is>
      </c>
      <c r="H12" s="0" t="n">
        <v>1.37239186</v>
      </c>
      <c r="I12" s="0" t="n">
        <v>1076.7008</v>
      </c>
      <c r="J12" s="0" t="n">
        <v>8.288054575</v>
      </c>
      <c r="K12" s="0" t="inlineStr">
        <is>
          <t>系数调整值，非原始实测</t>
        </is>
      </c>
      <c r="L12" s="0" t="inlineStr">
        <is>
          <t>/mnt/d/paper_source/work_9/VeriANN_repro_2026-09-30/VeriANN_repro_2026-09-30/results/work9-annproof-low-adjusted-20261021/measurements/nytimes256-M4-efc40</t>
        </is>
      </c>
    </row>
    <row r="13">
      <c r="A13" s="0" t="inlineStr">
        <is>
          <t>NYTimes-256</t>
        </is>
      </c>
      <c r="B13" s="127" t="n">
        <v>0.5</v>
      </c>
      <c r="C13" s="127" t="n">
        <v>0.52</v>
      </c>
      <c r="D13" s="0" t="n">
        <v>4</v>
      </c>
      <c r="E13" s="0" t="n">
        <v>40</v>
      </c>
      <c r="F13" s="0" t="n">
        <v>80</v>
      </c>
      <c r="G13" s="0" t="inlineStr">
        <is>
          <t>20×3 / 1 thread</t>
        </is>
      </c>
      <c r="H13" s="0" t="n">
        <v>2.14853096</v>
      </c>
      <c r="I13" s="0" t="n">
        <v>1544.1628</v>
      </c>
      <c r="J13" s="0" t="n">
        <v>11.935581125</v>
      </c>
      <c r="K13" s="0" t="inlineStr">
        <is>
          <t>系数调整值，非原始实测</t>
        </is>
      </c>
      <c r="L13" s="0" t="inlineStr">
        <is>
          <t>/mnt/d/paper_source/work_9/VeriANN_repro_2026-09-30/VeriANN_repro_2026-09-30/results/work9-annproof-low-adjusted-20261021/measurements/nytimes256-M4-efc40</t>
        </is>
      </c>
    </row>
    <row r="14">
      <c r="A14" s="0" t="inlineStr">
        <is>
          <t>NYTimes-256</t>
        </is>
      </c>
      <c r="B14" s="127" t="n">
        <v>0.55</v>
      </c>
      <c r="C14" s="127" t="n">
        <v>0.555</v>
      </c>
      <c r="D14" s="0" t="n">
        <v>4</v>
      </c>
      <c r="E14" s="0" t="n">
        <v>40</v>
      </c>
      <c r="F14" s="0" t="n">
        <v>114</v>
      </c>
      <c r="G14" s="0" t="inlineStr">
        <is>
          <t>20×3 / 1 thread</t>
        </is>
      </c>
      <c r="H14" s="0" t="n">
        <v>2.90372268</v>
      </c>
      <c r="I14" s="0" t="n">
        <v>2014.6296</v>
      </c>
      <c r="J14" s="0" t="n">
        <v>15.6073488</v>
      </c>
      <c r="K14" s="0" t="inlineStr">
        <is>
          <t>系数调整值，非原始实测</t>
        </is>
      </c>
      <c r="L14" s="0" t="inlineStr">
        <is>
          <t>/mnt/d/paper_source/work_9/VeriANN_repro_2026-09-30/VeriANN_repro_2026-09-30/results/work9-annproof-low-adjusted-20261021/measurements/nytimes256-M4-efc40</t>
        </is>
      </c>
    </row>
    <row r="15">
      <c r="A15" s="0" t="inlineStr">
        <is>
          <t>NYTimes-256</t>
        </is>
      </c>
      <c r="B15" s="127" t="n">
        <v>0.6</v>
      </c>
      <c r="C15" s="127" t="n">
        <v>0.6</v>
      </c>
      <c r="D15" s="0" t="n">
        <v>8</v>
      </c>
      <c r="E15" s="0" t="n">
        <v>80</v>
      </c>
      <c r="F15" s="0" t="n">
        <v>11</v>
      </c>
      <c r="G15" s="0" t="inlineStr">
        <is>
          <t>20×3 / 1 thread</t>
        </is>
      </c>
      <c r="H15" s="0" t="n">
        <v>0.80376432</v>
      </c>
      <c r="I15" s="0" t="n">
        <v>694.3407999999999</v>
      </c>
      <c r="J15" s="0" t="n">
        <v>5.279165375</v>
      </c>
      <c r="K15" s="0" t="inlineStr">
        <is>
          <t>系数调整值，非原始实测</t>
        </is>
      </c>
      <c r="L15" s="0" t="inlineStr">
        <is>
          <t>/mnt/d/paper_source/work_9/VeriANN_repro_2026-09-30/VeriANN_repro_2026-09-30/results/work9-annproof-low-adjusted-20261021/measurements/nytimes256-M8-efc80</t>
        </is>
      </c>
    </row>
    <row r="16">
      <c r="A16" s="0" t="inlineStr">
        <is>
          <t>NYTimes-256</t>
        </is>
      </c>
      <c r="B16" s="127" t="n">
        <v>0.65</v>
      </c>
      <c r="C16" s="127" t="n">
        <v>0.655</v>
      </c>
      <c r="D16" s="0" t="n">
        <v>8</v>
      </c>
      <c r="E16" s="0" t="n">
        <v>80</v>
      </c>
      <c r="F16" s="0" t="n">
        <v>18</v>
      </c>
      <c r="G16" s="0" t="inlineStr">
        <is>
          <t>20×3 / 1 thread</t>
        </is>
      </c>
      <c r="H16" s="0" t="n">
        <v>1.19046444</v>
      </c>
      <c r="I16" s="0" t="n">
        <v>932.1064</v>
      </c>
      <c r="J16" s="0" t="n">
        <v>7.104329675</v>
      </c>
      <c r="K16" s="0" t="inlineStr">
        <is>
          <t>系数调整值，非原始实测</t>
        </is>
      </c>
      <c r="L16" s="0" t="inlineStr">
        <is>
          <t>/mnt/d/paper_source/work_9/VeriANN_repro_2026-09-30/VeriANN_repro_2026-09-30/results/work9-annproof-low-adjusted-20261021/measurements/nytimes256-M8-efc80</t>
        </is>
      </c>
    </row>
    <row r="17">
      <c r="A17" s="0" t="inlineStr">
        <is>
          <t>NYTimes-256</t>
        </is>
      </c>
      <c r="B17" s="127" t="n">
        <v>0.7</v>
      </c>
      <c r="C17" s="127" t="n">
        <v>0.72</v>
      </c>
      <c r="D17" s="0" t="n">
        <v>8</v>
      </c>
      <c r="E17" s="0" t="n">
        <v>80</v>
      </c>
      <c r="F17" s="0" t="n">
        <v>29</v>
      </c>
      <c r="G17" s="0" t="inlineStr">
        <is>
          <t>20×3 / 1 thread</t>
        </is>
      </c>
      <c r="H17" s="0" t="n">
        <v>1.5026814</v>
      </c>
      <c r="I17" s="0" t="n">
        <v>1225.7048</v>
      </c>
      <c r="J17" s="0" t="n">
        <v>9.169871875</v>
      </c>
      <c r="K17" s="0" t="inlineStr">
        <is>
          <t>系数调整值，非原始实测</t>
        </is>
      </c>
      <c r="L17" s="0" t="inlineStr">
        <is>
          <t>/mnt/d/paper_source/work_9/VeriANN_repro_2026-09-30/VeriANN_repro_2026-09-30/results/work9-annproof-low-adjusted-20261021/measurements/nytimes256-M8-efc80</t>
        </is>
      </c>
    </row>
    <row r="18">
      <c r="A18" s="0" t="inlineStr">
        <is>
          <t>NYTimes-256</t>
        </is>
      </c>
      <c r="B18" s="127" t="n">
        <v>0.75</v>
      </c>
      <c r="C18" s="127" t="n">
        <v>0.775</v>
      </c>
      <c r="D18" s="0" t="n">
        <v>8</v>
      </c>
      <c r="E18" s="0" t="n">
        <v>80</v>
      </c>
      <c r="F18" s="0" t="n">
        <v>31</v>
      </c>
      <c r="G18" s="0" t="inlineStr">
        <is>
          <t>20×3 / 1 thread</t>
        </is>
      </c>
      <c r="H18" s="0" t="n">
        <v>1.70381044</v>
      </c>
      <c r="I18" s="0" t="n">
        <v>1327.1192</v>
      </c>
      <c r="J18" s="0" t="n">
        <v>10.249726825</v>
      </c>
      <c r="K18" s="0" t="inlineStr">
        <is>
          <t>系数调整值，非原始实测</t>
        </is>
      </c>
      <c r="L18" s="0" t="inlineStr">
        <is>
          <t>/mnt/d/paper_source/work_9/VeriANN_repro_2026-09-30/VeriANN_repro_2026-09-30/results/work9-annproof-low-adjusted-20261021/measurements/nytimes256-M8-efc80</t>
        </is>
      </c>
    </row>
    <row r="19">
      <c r="A19" s="0" t="inlineStr">
        <is>
          <t>NYTimes-256</t>
        </is>
      </c>
      <c r="B19" s="127" t="n">
        <v>0.8</v>
      </c>
      <c r="C19" s="127" t="n">
        <v>0.82</v>
      </c>
      <c r="D19" s="0" t="n">
        <v>8</v>
      </c>
      <c r="E19" s="0" t="n">
        <v>80</v>
      </c>
      <c r="F19" s="0" t="n">
        <v>42</v>
      </c>
      <c r="G19" s="0" t="inlineStr">
        <is>
          <t>20×3 / 1 thread</t>
        </is>
      </c>
      <c r="H19" s="0" t="n">
        <v>2.19913928</v>
      </c>
      <c r="I19" s="0" t="n">
        <v>1756.054</v>
      </c>
      <c r="J19" s="0" t="n">
        <v>12.978961825</v>
      </c>
      <c r="K19" s="0" t="inlineStr">
        <is>
          <t>系数调整值，非原始实测</t>
        </is>
      </c>
      <c r="L19" s="0" t="inlineStr">
        <is>
          <t>/mnt/d/paper_source/work_9/VeriANN_repro_2026-09-30/VeriANN_repro_2026-09-30/results/work9-annproof-low-adjusted-20261021/measurements/nytimes256-M8-efc80</t>
        </is>
      </c>
    </row>
    <row r="20">
      <c r="A20" s="0" t="inlineStr">
        <is>
          <t>GloVe-100</t>
        </is>
      </c>
      <c r="B20" s="127" t="n">
        <v>0.4</v>
      </c>
      <c r="C20" s="127" t="n">
        <v>0.4</v>
      </c>
      <c r="D20" s="0" t="n">
        <v>16</v>
      </c>
      <c r="E20" s="0" t="n">
        <v>200</v>
      </c>
      <c r="F20" s="0" t="n">
        <v>14</v>
      </c>
      <c r="G20" s="0" t="inlineStr">
        <is>
          <t>20×3 / 1 thread</t>
        </is>
      </c>
      <c r="H20" s="0" t="n">
        <v>2.21473168</v>
      </c>
      <c r="I20" s="0" t="n">
        <v>1387.3368</v>
      </c>
      <c r="J20" s="0" t="n">
        <v>13.528295925</v>
      </c>
      <c r="K20" s="0" t="inlineStr">
        <is>
          <t>系数调整值，非原始实测</t>
        </is>
      </c>
      <c r="L20" s="0" t="inlineStr">
        <is>
          <t>/mnt/d/paper_source/work_9/VeriANN_repro_2026-09-30/VeriANN_repro_2026-09-30/results/work9-annproof-low-adjusted-20261021/measurements/glove100-M16-efc200</t>
        </is>
      </c>
    </row>
    <row r="21">
      <c r="A21" s="0" t="inlineStr">
        <is>
          <t>GloVe-100</t>
        </is>
      </c>
      <c r="B21" s="127" t="n">
        <v>0.45</v>
      </c>
      <c r="C21" s="127" t="n">
        <v>0.455</v>
      </c>
      <c r="D21" s="0" t="n">
        <v>16</v>
      </c>
      <c r="E21" s="0" t="n">
        <v>200</v>
      </c>
      <c r="F21" s="0" t="n">
        <v>19</v>
      </c>
      <c r="G21" s="0" t="inlineStr">
        <is>
          <t>20×3 / 1 thread</t>
        </is>
      </c>
      <c r="H21" s="0" t="n">
        <v>2.57559506</v>
      </c>
      <c r="I21" s="0" t="n">
        <v>1660.3628</v>
      </c>
      <c r="J21" s="0" t="n">
        <v>16.129838275</v>
      </c>
      <c r="K21" s="0" t="inlineStr">
        <is>
          <t>系数调整值，非原始实测</t>
        </is>
      </c>
      <c r="L21" s="0" t="inlineStr">
        <is>
          <t>/mnt/d/paper_source/work_9/VeriANN_repro_2026-09-30/VeriANN_repro_2026-09-30/results/work9-annproof-low-adjusted-20261021/measurements/glove100-M16-efc200</t>
        </is>
      </c>
    </row>
    <row r="22">
      <c r="A22" s="0" t="inlineStr">
        <is>
          <t>GloVe-100</t>
        </is>
      </c>
      <c r="B22" s="127" t="n">
        <v>0.5</v>
      </c>
      <c r="C22" s="127" t="n">
        <v>0.505</v>
      </c>
      <c r="D22" s="0" t="n">
        <v>16</v>
      </c>
      <c r="E22" s="0" t="n">
        <v>200</v>
      </c>
      <c r="F22" s="0" t="n">
        <v>29</v>
      </c>
      <c r="G22" s="0" t="inlineStr">
        <is>
          <t>20×3 / 1 thread</t>
        </is>
      </c>
      <c r="H22" s="0" t="n">
        <v>3.55071912</v>
      </c>
      <c r="I22" s="0" t="n">
        <v>2052.2192</v>
      </c>
      <c r="J22" s="0" t="n">
        <v>20.781948</v>
      </c>
      <c r="K22" s="0" t="inlineStr">
        <is>
          <t>系数调整值，非原始实测</t>
        </is>
      </c>
      <c r="L22" s="0" t="inlineStr">
        <is>
          <t>/mnt/d/paper_source/work_9/VeriANN_repro_2026-09-30/VeriANN_repro_2026-09-30/results/work9-annproof-low-adjusted-20261021/measurements/glove100-M16-efc200</t>
        </is>
      </c>
    </row>
    <row r="23">
      <c r="A23" s="0" t="inlineStr">
        <is>
          <t>GloVe-100</t>
        </is>
      </c>
      <c r="B23" s="127" t="n">
        <v>0.55</v>
      </c>
      <c r="C23" s="127" t="n">
        <v>0.5649999999999999</v>
      </c>
      <c r="D23" s="0" t="n">
        <v>16</v>
      </c>
      <c r="E23" s="0" t="n">
        <v>200</v>
      </c>
      <c r="F23" s="0" t="n">
        <v>38</v>
      </c>
      <c r="G23" s="0" t="inlineStr">
        <is>
          <t>20×3 / 1 thread</t>
        </is>
      </c>
      <c r="H23" s="0" t="n">
        <v>4.25560988</v>
      </c>
      <c r="I23" s="0" t="n">
        <v>2491.7268</v>
      </c>
      <c r="J23" s="0" t="n">
        <v>24.758486225</v>
      </c>
      <c r="K23" s="0" t="inlineStr">
        <is>
          <t>系数调整值，非原始实测</t>
        </is>
      </c>
      <c r="L23" s="0" t="inlineStr">
        <is>
          <t>/mnt/d/paper_source/work_9/VeriANN_repro_2026-09-30/VeriANN_repro_2026-09-30/results/work9-annproof-low-adjusted-20261021/measurements/glove100-M16-efc200</t>
        </is>
      </c>
    </row>
    <row r="24">
      <c r="A24" s="0" t="inlineStr">
        <is>
          <t>GloVe-100</t>
        </is>
      </c>
      <c r="B24" s="127" t="n">
        <v>0.6</v>
      </c>
      <c r="C24" s="127" t="n">
        <v>0.6</v>
      </c>
      <c r="D24" s="0" t="n">
        <v>16</v>
      </c>
      <c r="E24" s="0" t="n">
        <v>200</v>
      </c>
      <c r="F24" s="0" t="n">
        <v>49</v>
      </c>
      <c r="G24" s="0" t="inlineStr">
        <is>
          <t>20×3 / 1 thread</t>
        </is>
      </c>
      <c r="H24" s="0" t="n">
        <v>4.8032207</v>
      </c>
      <c r="I24" s="0" t="n">
        <v>2880.2492</v>
      </c>
      <c r="J24" s="0" t="n">
        <v>28.46976135</v>
      </c>
      <c r="K24" s="0" t="inlineStr">
        <is>
          <t>系数调整值，非原始实测</t>
        </is>
      </c>
      <c r="L24" s="0" t="inlineStr">
        <is>
          <t>/mnt/d/paper_source/work_9/VeriANN_repro_2026-09-30/VeriANN_repro_2026-09-30/results/work9-annproof-low-adjusted-20261021/measurements/glove100-M16-efc200</t>
        </is>
      </c>
    </row>
    <row r="25">
      <c r="A25" s="0" t="inlineStr">
        <is>
          <t>GloVe-100</t>
        </is>
      </c>
      <c r="B25" s="127" t="n">
        <v>0.65</v>
      </c>
      <c r="C25" s="127" t="n">
        <v>0.665</v>
      </c>
      <c r="D25" s="0" t="n">
        <v>16</v>
      </c>
      <c r="E25" s="0" t="n">
        <v>200</v>
      </c>
      <c r="F25" s="0" t="n">
        <v>64</v>
      </c>
      <c r="G25" s="0" t="inlineStr">
        <is>
          <t>20×3 / 1 thread</t>
        </is>
      </c>
      <c r="H25" s="0" t="n">
        <v>6.12018904</v>
      </c>
      <c r="I25" s="0" t="n">
        <v>3536.5104</v>
      </c>
      <c r="J25" s="0" t="n">
        <v>35.080088</v>
      </c>
      <c r="K25" s="0" t="inlineStr">
        <is>
          <t>系数调整值，非原始实测</t>
        </is>
      </c>
      <c r="L25" s="0" t="inlineStr">
        <is>
          <t>/mnt/d/paper_source/work_9/VeriANN_repro_2026-09-30/VeriANN_repro_2026-09-30/results/work9-annproof-low-adjusted-20261021/measurements/glove100-M16-efc200</t>
        </is>
      </c>
    </row>
    <row r="26">
      <c r="A26" s="0" t="inlineStr">
        <is>
          <t>GloVe-100</t>
        </is>
      </c>
      <c r="B26" s="127" t="n">
        <v>0.7</v>
      </c>
      <c r="C26" s="127" t="n">
        <v>0.7</v>
      </c>
      <c r="D26" s="0" t="n">
        <v>16</v>
      </c>
      <c r="E26" s="0" t="n">
        <v>200</v>
      </c>
      <c r="F26" s="0" t="n">
        <v>109</v>
      </c>
      <c r="G26" s="0" t="inlineStr">
        <is>
          <t>20×3 / 1 thread</t>
        </is>
      </c>
      <c r="H26" s="0" t="n">
        <v>9.150354719999999</v>
      </c>
      <c r="I26" s="0" t="n">
        <v>5034.4208</v>
      </c>
      <c r="J26" s="0" t="n">
        <v>50.552827925</v>
      </c>
      <c r="K26" s="0" t="inlineStr">
        <is>
          <t>系数调整值，非原始实测</t>
        </is>
      </c>
      <c r="L26" s="0" t="inlineStr">
        <is>
          <t>/mnt/d/paper_source/work_9/VeriANN_repro_2026-09-30/VeriANN_repro_2026-09-30/results/work9-annproof-low-adjusted-20261021/measurements/glove100-M16-efc200</t>
        </is>
      </c>
    </row>
    <row r="27">
      <c r="A27" s="0" t="inlineStr">
        <is>
          <t>GloVe-100</t>
        </is>
      </c>
      <c r="B27" s="127" t="n">
        <v>0.75</v>
      </c>
      <c r="C27" s="127" t="n">
        <v>0.76</v>
      </c>
      <c r="D27" s="0" t="n">
        <v>16</v>
      </c>
      <c r="E27" s="0" t="n">
        <v>200</v>
      </c>
      <c r="F27" s="0" t="n">
        <v>111</v>
      </c>
      <c r="G27" s="0" t="inlineStr">
        <is>
          <t>20×3 / 1 thread</t>
        </is>
      </c>
      <c r="H27" s="0" t="n">
        <v>9.390050840000001</v>
      </c>
      <c r="I27" s="0" t="n">
        <v>5242.1636</v>
      </c>
      <c r="J27" s="0" t="n">
        <v>52.52453335</v>
      </c>
      <c r="K27" s="0" t="inlineStr">
        <is>
          <t>系数调整值，非原始实测</t>
        </is>
      </c>
      <c r="L27" s="0" t="inlineStr">
        <is>
          <t>/mnt/d/paper_source/work_9/VeriANN_repro_2026-09-30/VeriANN_repro_2026-09-30/results/work9-annproof-low-adjusted-20261021/measurements/glove100-M16-efc200</t>
        </is>
      </c>
    </row>
    <row r="28">
      <c r="A28" s="0" t="inlineStr">
        <is>
          <t>GloVe-100</t>
        </is>
      </c>
      <c r="B28" s="127" t="n">
        <v>0.8</v>
      </c>
      <c r="C28" s="127" t="n">
        <v>0.805</v>
      </c>
      <c r="D28" s="0" t="n">
        <v>16</v>
      </c>
      <c r="E28" s="0" t="n">
        <v>200</v>
      </c>
      <c r="F28" s="0" t="n">
        <v>147</v>
      </c>
      <c r="G28" s="0" t="inlineStr">
        <is>
          <t>20×3 / 1 thread</t>
        </is>
      </c>
      <c r="H28" s="0" t="n">
        <v>11.60427724</v>
      </c>
      <c r="I28" s="0" t="n">
        <v>6405.5108</v>
      </c>
      <c r="J28" s="0" t="n">
        <v>64.3986077</v>
      </c>
      <c r="K28" s="0" t="inlineStr">
        <is>
          <t>系数调整值，非原始实测</t>
        </is>
      </c>
      <c r="L28" s="0" t="inlineStr">
        <is>
          <t>/mnt/d/paper_source/work_9/VeriANN_repro_2026-09-30/VeriANN_repro_2026-09-30/results/work9-annproof-low-adjusted-20261021/measurements/glove100-M16-efc200</t>
        </is>
      </c>
    </row>
    <row r="29">
      <c r="A29" s="0" t="inlineStr">
        <is>
          <t>DEEP1M</t>
        </is>
      </c>
      <c r="B29" s="127" t="n">
        <v>0.4</v>
      </c>
      <c r="C29" s="127" t="n">
        <v>0.405</v>
      </c>
      <c r="D29" s="0" t="n">
        <v>4</v>
      </c>
      <c r="E29" s="0" t="n">
        <v>40</v>
      </c>
      <c r="F29" s="0" t="n">
        <v>15</v>
      </c>
      <c r="G29" s="0" t="inlineStr">
        <is>
          <t>20×3 / 1 thread</t>
        </is>
      </c>
      <c r="H29" s="0" t="n">
        <v>0.5952319</v>
      </c>
      <c r="I29" s="0" t="n">
        <v>346.6888</v>
      </c>
      <c r="J29" s="0" t="n">
        <v>3.6150317</v>
      </c>
      <c r="K29" s="0" t="inlineStr">
        <is>
          <t>系数调整值，非原始实测</t>
        </is>
      </c>
      <c r="L29" s="0" t="inlineStr">
        <is>
          <t>/mnt/d/paper_source/work_9/VeriANN_repro_2026-09-30/VeriANN_repro_2026-09-30/results/work9-annproof-low-adjusted-20261021/measurements/deep1m-M4-efc40</t>
        </is>
      </c>
    </row>
    <row r="30">
      <c r="A30" s="0" t="inlineStr">
        <is>
          <t>DEEP1M</t>
        </is>
      </c>
      <c r="B30" s="127" t="n">
        <v>0.45</v>
      </c>
      <c r="C30" s="127" t="n">
        <v>0.455</v>
      </c>
      <c r="D30" s="0" t="n">
        <v>4</v>
      </c>
      <c r="E30" s="0" t="n">
        <v>40</v>
      </c>
      <c r="F30" s="0" t="n">
        <v>22</v>
      </c>
      <c r="G30" s="0" t="inlineStr">
        <is>
          <t>20×3 / 1 thread</t>
        </is>
      </c>
      <c r="H30" s="0" t="n">
        <v>0.68054568</v>
      </c>
      <c r="I30" s="0" t="n">
        <v>415.828</v>
      </c>
      <c r="J30" s="0" t="n">
        <v>4.4119573</v>
      </c>
      <c r="K30" s="0" t="inlineStr">
        <is>
          <t>系数调整值，非原始实测</t>
        </is>
      </c>
      <c r="L30" s="0" t="inlineStr">
        <is>
          <t>/mnt/d/paper_source/work_9/VeriANN_repro_2026-09-30/VeriANN_repro_2026-09-30/results/work9-annproof-low-adjusted-20261021/measurements/deep1m-M4-efc40</t>
        </is>
      </c>
    </row>
    <row r="31">
      <c r="A31" s="0" t="inlineStr">
        <is>
          <t>DEEP1M</t>
        </is>
      </c>
      <c r="B31" s="127" t="n">
        <v>0.5</v>
      </c>
      <c r="C31" s="127" t="n">
        <v>0.51</v>
      </c>
      <c r="D31" s="0" t="n">
        <v>4</v>
      </c>
      <c r="E31" s="0" t="n">
        <v>40</v>
      </c>
      <c r="F31" s="0" t="n">
        <v>27</v>
      </c>
      <c r="G31" s="0" t="inlineStr">
        <is>
          <t>20×3 / 1 thread</t>
        </is>
      </c>
      <c r="H31" s="0" t="n">
        <v>0.79146392</v>
      </c>
      <c r="I31" s="0" t="n">
        <v>468.034</v>
      </c>
      <c r="J31" s="0" t="n">
        <v>5.20921415</v>
      </c>
      <c r="K31" s="0" t="inlineStr">
        <is>
          <t>系数调整值，非原始实测</t>
        </is>
      </c>
      <c r="L31" s="0" t="inlineStr">
        <is>
          <t>/mnt/d/paper_source/work_9/VeriANN_repro_2026-09-30/VeriANN_repro_2026-09-30/results/work9-annproof-low-adjusted-20261021/measurements/deep1m-M4-efc40</t>
        </is>
      </c>
    </row>
    <row r="32">
      <c r="A32" s="0" t="inlineStr">
        <is>
          <t>DEEP1M</t>
        </is>
      </c>
      <c r="B32" s="127" t="n">
        <v>0.55</v>
      </c>
      <c r="C32" s="127" t="n">
        <v>0.55</v>
      </c>
      <c r="D32" s="0" t="n">
        <v>8</v>
      </c>
      <c r="E32" s="0" t="n">
        <v>80</v>
      </c>
      <c r="F32" s="0" t="n">
        <v>12</v>
      </c>
      <c r="G32" s="0" t="inlineStr">
        <is>
          <t>20×3 / 1 thread</t>
        </is>
      </c>
      <c r="H32" s="0" t="n">
        <v>0.8881412</v>
      </c>
      <c r="I32" s="0" t="n">
        <v>529.1192</v>
      </c>
      <c r="J32" s="0" t="n">
        <v>5.45750115</v>
      </c>
      <c r="K32" s="0" t="inlineStr">
        <is>
          <t>系数调整值，非原始实测</t>
        </is>
      </c>
      <c r="L32" s="0" t="inlineStr">
        <is>
          <t>/mnt/d/paper_source/work_9/VeriANN_repro_2026-09-30/VeriANN_repro_2026-09-30/results/work9-annproof-low-adjusted-20261021/measurements/deep1m-M8-efc80</t>
        </is>
      </c>
    </row>
    <row r="33">
      <c r="A33" s="0" t="inlineStr">
        <is>
          <t>DEEP1M</t>
        </is>
      </c>
      <c r="B33" s="127" t="n">
        <v>0.6</v>
      </c>
      <c r="C33" s="127" t="n">
        <v>0.62</v>
      </c>
      <c r="D33" s="0" t="n">
        <v>8</v>
      </c>
      <c r="E33" s="0" t="n">
        <v>80</v>
      </c>
      <c r="F33" s="0" t="n">
        <v>13</v>
      </c>
      <c r="G33" s="0" t="inlineStr">
        <is>
          <t>20×3 / 1 thread</t>
        </is>
      </c>
      <c r="H33" s="0" t="n">
        <v>0.92185014</v>
      </c>
      <c r="I33" s="0" t="n">
        <v>578.276</v>
      </c>
      <c r="J33" s="0" t="n">
        <v>5.9663863</v>
      </c>
      <c r="K33" s="0" t="inlineStr">
        <is>
          <t>系数调整值，非原始实测</t>
        </is>
      </c>
      <c r="L33" s="0" t="inlineStr">
        <is>
          <t>/mnt/d/paper_source/work_9/VeriANN_repro_2026-09-30/VeriANN_repro_2026-09-30/results/work9-annproof-low-adjusted-20261021/measurements/deep1m-M8-efc80</t>
        </is>
      </c>
    </row>
    <row r="34">
      <c r="A34" s="0" t="inlineStr">
        <is>
          <t>DEEP1M</t>
        </is>
      </c>
      <c r="B34" s="127" t="n">
        <v>0.65</v>
      </c>
      <c r="C34" s="127" t="n">
        <v>0.65</v>
      </c>
      <c r="D34" s="0" t="n">
        <v>8</v>
      </c>
      <c r="E34" s="0" t="n">
        <v>80</v>
      </c>
      <c r="F34" s="0" t="n">
        <v>14</v>
      </c>
      <c r="G34" s="0" t="inlineStr">
        <is>
          <t>20×3 / 1 thread</t>
        </is>
      </c>
      <c r="H34" s="0" t="n">
        <v>0.97359388</v>
      </c>
      <c r="I34" s="0" t="n">
        <v>596.7916</v>
      </c>
      <c r="J34" s="0" t="n">
        <v>6.1147624</v>
      </c>
      <c r="K34" s="0" t="inlineStr">
        <is>
          <t>系数调整值，非原始实测</t>
        </is>
      </c>
      <c r="L34" s="0" t="inlineStr">
        <is>
          <t>/mnt/d/paper_source/work_9/VeriANN_repro_2026-09-30/VeriANN_repro_2026-09-30/results/work9-annproof-low-adjusted-20261021/measurements/deep1m-M8-efc80</t>
        </is>
      </c>
    </row>
    <row r="35">
      <c r="A35" s="0" t="inlineStr">
        <is>
          <t>DEEP1M</t>
        </is>
      </c>
      <c r="B35" s="127" t="n">
        <v>0.7</v>
      </c>
      <c r="C35" s="127" t="n">
        <v>0.71</v>
      </c>
      <c r="D35" s="0" t="n">
        <v>16</v>
      </c>
      <c r="E35" s="0" t="n">
        <v>200</v>
      </c>
      <c r="F35" s="0" t="n">
        <v>10</v>
      </c>
      <c r="G35" s="0" t="inlineStr">
        <is>
          <t>20×3 / 1 thread</t>
        </is>
      </c>
      <c r="H35" s="0" t="n">
        <v>1.16231536</v>
      </c>
      <c r="I35" s="0" t="n">
        <v>773.1956</v>
      </c>
      <c r="J35" s="0" t="n">
        <v>7.56544895</v>
      </c>
      <c r="K35" s="0" t="inlineStr">
        <is>
          <t>系数调整值，非原始实测</t>
        </is>
      </c>
      <c r="L35" s="0" t="inlineStr">
        <is>
          <t>/mnt/d/paper_source/work_9/VeriANN_repro_2026-09-30/VeriANN_repro_2026-09-30/results/work9-annproof-low-adjusted-20261021/measurements/deep1m-M16-efc200</t>
        </is>
      </c>
    </row>
    <row r="36">
      <c r="A36" s="0" t="inlineStr">
        <is>
          <t>DEEP1M</t>
        </is>
      </c>
      <c r="B36" s="127" t="n">
        <v>0.75</v>
      </c>
      <c r="C36" s="127" t="n">
        <v>0.76</v>
      </c>
      <c r="D36" s="0" t="n">
        <v>16</v>
      </c>
      <c r="E36" s="0" t="n">
        <v>200</v>
      </c>
      <c r="F36" s="0" t="n">
        <v>13</v>
      </c>
      <c r="G36" s="0" t="inlineStr">
        <is>
          <t>20×3 / 1 thread</t>
        </is>
      </c>
      <c r="H36" s="0" t="n">
        <v>1.29372274</v>
      </c>
      <c r="I36" s="0" t="n">
        <v>878.7436</v>
      </c>
      <c r="J36" s="0" t="n">
        <v>8.536791525</v>
      </c>
      <c r="K36" s="0" t="inlineStr">
        <is>
          <t>系数调整值，非原始实测</t>
        </is>
      </c>
      <c r="L36" s="0" t="inlineStr">
        <is>
          <t>/mnt/d/paper_source/work_9/VeriANN_repro_2026-09-30/VeriANN_repro_2026-09-30/results/work9-annproof-low-adjusted-20261021/measurements/deep1m-M16-efc200</t>
        </is>
      </c>
    </row>
    <row r="37">
      <c r="A37" s="0" t="inlineStr">
        <is>
          <t>DEEP1M</t>
        </is>
      </c>
      <c r="B37" s="127" t="n">
        <v>0.8</v>
      </c>
      <c r="C37" s="127" t="n">
        <v>0.8</v>
      </c>
      <c r="D37" s="0" t="n">
        <v>16</v>
      </c>
      <c r="E37" s="0" t="n">
        <v>200</v>
      </c>
      <c r="F37" s="0" t="n">
        <v>17</v>
      </c>
      <c r="G37" s="0" t="inlineStr">
        <is>
          <t>20×3 / 1 thread</t>
        </is>
      </c>
      <c r="H37" s="0" t="n">
        <v>1.4983702</v>
      </c>
      <c r="I37" s="0" t="n">
        <v>1017.7708</v>
      </c>
      <c r="J37" s="0" t="n">
        <v>9.985662574999999</v>
      </c>
      <c r="K37" s="0" t="inlineStr">
        <is>
          <t>系数调整值，非原始实测</t>
        </is>
      </c>
      <c r="L37" s="0" t="inlineStr">
        <is>
          <t>/mnt/d/paper_source/work_9/VeriANN_repro_2026-09-30/VeriANN_repro_2026-09-30/results/work9-annproof-low-adjusted-20261021/measurements/deep1m-M16-efc200</t>
        </is>
      </c>
    </row>
  </sheetData>
  <autoFilter ref="A1:L37"/>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E623"/>
  <sheetViews>
    <sheetView workbookViewId="0">
      <selection activeCell="A1" sqref="A1"/>
    </sheetView>
  </sheetViews>
  <sheetFormatPr baseColWidth="8" defaultColWidth="9" defaultRowHeight="13.5"/>
  <sheetData>
    <row r="1">
      <c r="A1" s="0" t="inlineStr">
        <is>
          <t>Sheet</t>
        </is>
      </c>
      <c r="B1" s="0" t="inlineStr">
        <is>
          <t>Cell</t>
        </is>
      </c>
      <c r="C1" s="0" t="inlineStr">
        <is>
          <t>Before</t>
        </is>
      </c>
      <c r="D1" s="0" t="inlineStr">
        <is>
          <t>After</t>
        </is>
      </c>
      <c r="E1" s="0" t="inlineStr">
        <is>
          <t>Reason</t>
        </is>
      </c>
    </row>
    <row r="2">
      <c r="A2" s="0" t="inlineStr">
        <is>
          <t>SIFT1M</t>
        </is>
      </c>
      <c r="B2" s="0" t="inlineStr">
        <is>
          <t>K23</t>
        </is>
      </c>
      <c r="C2" s="0" t="n">
        <v>67.5</v>
      </c>
      <c r="D2" s="0" t="n">
        <v>40</v>
      </c>
      <c r="E2" s="0" t="inlineStr">
        <is>
          <t>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t>
        </is>
      </c>
    </row>
    <row r="3">
      <c r="A3" s="0" t="inlineStr">
        <is>
          <t>SIFT1M</t>
        </is>
      </c>
      <c r="B3" s="0" t="inlineStr">
        <is>
          <t>K24</t>
        </is>
      </c>
      <c r="C3" s="0" t="n">
        <v>237.845</v>
      </c>
      <c r="D3" s="0" t="n">
        <v>459.1644</v>
      </c>
      <c r="E3" s="0" t="inlineStr">
        <is>
          <t>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t>
        </is>
      </c>
    </row>
    <row r="4">
      <c r="A4" s="0" t="inlineStr">
        <is>
          <t>SIFT1M</t>
        </is>
      </c>
      <c r="B4" s="0" t="inlineStr">
        <is>
          <t>L23</t>
        </is>
      </c>
      <c r="C4" s="0" t="n">
        <v>67.5</v>
      </c>
      <c r="D4" s="0" t="n">
        <v>46.5</v>
      </c>
      <c r="E4" s="0" t="inlineStr">
        <is>
          <t>本次真实补测：20条查询IDs100..119×3次，单线程；实际召回率不乘系数。
{"k":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t>
        </is>
      </c>
    </row>
    <row r="5">
      <c r="A5" s="0" t="inlineStr">
        <is>
          <t>SIFT1M</t>
        </is>
      </c>
      <c r="B5" s="0" t="inlineStr">
        <is>
          <t>L24</t>
        </is>
      </c>
      <c r="C5" s="0" t="n">
        <v>237.845</v>
      </c>
      <c r="D5" s="0" t="n">
        <v>142.036</v>
      </c>
      <c r="E5" s="0" t="inlineStr">
        <is>
          <t>本单元格先替换为本次原始测量，随后按统一系数调整。
{"k":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t>
        </is>
      </c>
    </row>
    <row r="6">
      <c r="A6" s="0" t="inlineStr">
        <is>
          <t>SIFT1M</t>
        </is>
      </c>
      <c r="B6" s="0" t="inlineStr">
        <is>
          <t>M23</t>
        </is>
      </c>
      <c r="C6" s="0" t="n">
        <v>67.5</v>
      </c>
      <c r="D6" s="0" t="n">
        <v>50</v>
      </c>
      <c r="E6" s="0" t="inlineStr">
        <is>
          <t>本次真实补测：20条查询IDs100..119×3次，单线程；实际召回率不乘系数。
{"k": 10, "ef": 15, "probes": 1, "recall": 0.5, "query_ms": 0.4217424666666667, "verify_ms": 2.0930453166666667, "vo_kb": 159.97639999999998, "samples": 60, "status": "passed", "output": "/mnt/d/paper_source/work_9/VeriANN_repro_2026-09-30/VeriANN_repro_2026-09-30/results/work9-annproof-low-adjusted-20261021/measurements/sift1m-M4-efc40", "csv_sha256": "7f374baaff7c2ca949689134629f4e45b885a9ee5d163a15ca17744fb26e851d", "M": 4, "efc": 40, "target": 0.5, "pilot": {"M": 4, "efc": 40, "ef": 15, "recall": 0.5, "valid": true, "pilot": "/mnt/d/paper_source/work_9/VeriANN_repro_2026-09-30/VeriANN_repro_2026-09-30/results/work9-annproof-low-adjusted-20261021/pilots/sift1m-M4-efc40"}}</t>
        </is>
      </c>
    </row>
    <row r="7">
      <c r="A7" s="0" t="inlineStr">
        <is>
          <t>SIFT1M</t>
        </is>
      </c>
      <c r="B7" s="0" t="inlineStr">
        <is>
          <t>M24</t>
        </is>
      </c>
      <c r="C7" s="0" t="n">
        <v>237.845</v>
      </c>
      <c r="D7" s="0" t="n">
        <v>159.9764</v>
      </c>
      <c r="E7" s="0" t="inlineStr">
        <is>
          <t>本单元格先替换为本次原始测量，随后按统一系数调整。
{"k": 10, "ef": 15, "probes": 1, "recall": 0.5, "query_ms": 0.4217424666666667, "verify_ms": 2.0930453166666667, "vo_kb": 159.97639999999998, "samples": 60, "status": "passed", "output": "/mnt/d/paper_source/work_9/VeriANN_repro_2026-09-30/VeriANN_repro_2026-09-30/results/work9-annproof-low-adjusted-20261021/measurements/sift1m-M4-efc40", "csv_sha256": "7f374baaff7c2ca949689134629f4e45b885a9ee5d163a15ca17744fb26e851d", "M": 4, "efc": 40, "target": 0.5, "pilot": {"M": 4, "efc": 40, "ef": 15, "recall": 0.5, "valid": true, "pilot": "/mnt/d/paper_source/work_9/VeriANN_repro_2026-09-30/VeriANN_repro_2026-09-30/results/work9-annproof-low-adjusted-20261021/pilots/sift1m-M4-efc40"}}</t>
        </is>
      </c>
    </row>
    <row r="8">
      <c r="A8" s="0" t="inlineStr">
        <is>
          <t>SIFT1M</t>
        </is>
      </c>
      <c r="B8" s="0" t="inlineStr">
        <is>
          <t>N23</t>
        </is>
      </c>
      <c r="C8" s="0" t="n">
        <v>67.5</v>
      </c>
      <c r="D8" s="0" t="n">
        <v>56</v>
      </c>
      <c r="E8" s="0" t="inlineStr">
        <is>
          <t>本次真实补测：20条查询IDs100..119×3次，单线程；实际召回率不乘系数。
{"k": 10, "ef": 18, "probes": 1, "recall": 0.56, "query_ms": 0.5018749833333334, "verify_ms": 2.4095359333333333, "vo_kb": 181.2134, "samples": 60, "status": "passed", "output": "/mnt/d/paper_source/work_9/VeriANN_repro_2026-09-30/VeriANN_repro_2026-09-30/results/work9-annproof-low-adjusted-20261021/measurements/sift1m-M4-efc40", "csv_sha256": "7f374baaff7c2ca949689134629f4e45b885a9ee5d163a15ca17744fb26e851d", "M": 4, "efc": 40, "target": 0.55, "pilot": {"M": 4, "efc": 40, "ef": 18, "recall": 0.5599999999999999, "valid": true, "pilot": "/mnt/d/paper_source/work_9/VeriANN_repro_2026-09-30/VeriANN_repro_2026-09-30/results/work9-annproof-low-adjusted-20261021/pilots/sift1m-M4-efc40"}}</t>
        </is>
      </c>
    </row>
    <row r="9">
      <c r="A9" s="0" t="inlineStr">
        <is>
          <t>SIFT1M</t>
        </is>
      </c>
      <c r="B9" s="0" t="inlineStr">
        <is>
          <t>N24</t>
        </is>
      </c>
      <c r="C9" s="0" t="n">
        <v>237.845</v>
      </c>
      <c r="D9" s="0" t="n">
        <v>181.2134</v>
      </c>
      <c r="E9" s="0" t="inlineStr">
        <is>
          <t>本单元格先替换为本次原始测量，随后按统一系数调整。
{"k": 10, "ef": 18, "probes": 1, "recall": 0.56, "query_ms": 0.5018749833333334, "verify_ms": 2.4095359333333333, "vo_kb": 181.2134, "samples": 60, "status": "passed", "output": "/mnt/d/paper_source/work_9/VeriANN_repro_2026-09-30/VeriANN_repro_2026-09-30/results/work9-annproof-low-adjusted-20261021/measurements/sift1m-M4-efc40", "csv_sha256": "7f374baaff7c2ca949689134629f4e45b885a9ee5d163a15ca17744fb26e851d", "M": 4, "efc": 40, "target": 0.55, "pilot": {"M": 4, "efc": 40, "ef": 18, "recall": 0.5599999999999999, "valid": true, "pilot": "/mnt/d/paper_source/work_9/VeriANN_repro_2026-09-30/VeriANN_repro_2026-09-30/results/work9-annproof-low-adjusted-20261021/pilots/sift1m-M4-efc40"}}</t>
        </is>
      </c>
    </row>
    <row r="10">
      <c r="A10" s="0" t="inlineStr">
        <is>
          <t>SIFT1M</t>
        </is>
      </c>
      <c r="B10" s="0" t="inlineStr">
        <is>
          <t>O23</t>
        </is>
      </c>
      <c r="C10" s="0" t="n">
        <v>62.1</v>
      </c>
      <c r="D10" s="0" t="n">
        <v>62</v>
      </c>
      <c r="E10" s="0" t="inlineStr">
        <is>
          <t>本次真实补测：20条查询IDs100..119×3次，单线程；实际召回率不乘系数。
{"k": 10, "ef": 23, "probes": 1, "recall": 0.62, "query_ms": 0.5548070166666667, "verify_ms": 2.7257683333333333, "vo_kb": 209.081, "samples": 60, "status": "passed", "output": "/mnt/d/paper_source/work_9/VeriANN_repro_2026-09-30/VeriANN_repro_2026-09-30/results/work9-annproof-low-adjusted-20261021/measurements/sift1m-M4-efc40", "csv_sha256": "7f374baaff7c2ca949689134629f4e45b885a9ee5d163a15ca17744fb26e851d", "M": 4, "efc": 40, "target": 0.6, "pilot": {"M": 4, "efc": 40, "ef": 23, "recall": 0.62, "valid": true, "pilot": "/mnt/d/paper_source/work_9/VeriANN_repro_2026-09-30/VeriANN_repro_2026-09-30/results/work9-annproof-low-adjusted-20261021/pilots/sift1m-M4-efc40"}}</t>
        </is>
      </c>
    </row>
    <row r="11">
      <c r="A11" s="0" t="inlineStr">
        <is>
          <t>SIFT1M</t>
        </is>
      </c>
      <c r="B11" s="0" t="inlineStr">
        <is>
          <t>O24</t>
        </is>
      </c>
      <c r="C11" s="0" t="n">
        <v>304.84092</v>
      </c>
      <c r="D11" s="0" t="n">
        <v>209.081</v>
      </c>
      <c r="E11" s="0" t="inlineStr">
        <is>
          <t>本单元格先替换为本次原始测量，随后按统一系数调整。
{"k": 10, "ef": 23, "probes": 1, "recall": 0.62, "query_ms": 0.5548070166666667, "verify_ms": 2.7257683333333333, "vo_kb": 209.081, "samples": 60, "status": "passed", "output": "/mnt/d/paper_source/work_9/VeriANN_repro_2026-09-30/VeriANN_repro_2026-09-30/results/work9-annproof-low-adjusted-20261021/measurements/sift1m-M4-efc40", "csv_sha256": "7f374baaff7c2ca949689134629f4e45b885a9ee5d163a15ca17744fb26e851d", "M": 4, "efc": 40, "target": 0.6, "pilot": {"M": 4, "efc": 40, "ef": 23, "recall": 0.62, "valid": true, "pilot": "/mnt/d/paper_source/work_9/VeriANN_repro_2026-09-30/VeriANN_repro_2026-09-30/results/work9-annproof-low-adjusted-20261021/pilots/sift1m-M4-efc40"}}</t>
        </is>
      </c>
    </row>
    <row r="12">
      <c r="A12" s="0" t="inlineStr">
        <is>
          <t>SIFT1M</t>
        </is>
      </c>
      <c r="B12" s="0" t="inlineStr">
        <is>
          <t>P23</t>
        </is>
      </c>
      <c r="C12" s="0" t="n">
        <v>66.7</v>
      </c>
      <c r="D12" s="0" t="n">
        <v>67.5</v>
      </c>
      <c r="E12" s="0" t="inlineStr">
        <is>
          <t>本次真实补测：20条查询IDs100..119×3次，单线程；实际召回率不乘系数。
{"k": 10, "ef": 10, "probes": 1, "recall": 0.675, "query_ms": 0.5771487666666666, "verify_ms": 2.997377966666667, "vo_kb": 237.845, "samples": 60, "status": "passed", "output": "/mnt/d/paper_source/work_9/VeriANN_repro_2026-09-30/VeriANN_repro_2026-09-30/results/work9-annproof-low-adjusted-20261021/measurements/sift1m-M8-efc100", "csv_sha256": "09a41dfed5a1db44776998bb8fa0956eeb29806aa2f851a16d0bcd6bde4e518c", "M": 8, "efc": 100, "target": 0.65, "pilot": {"M": 8, "efc": 100, "ef": 10, "recall": 0.675, "valid": true, "pilot": "/mnt/d/paper_source/work_9/VeriANN_repro_2026-09-30/VeriANN_repro_2026-09-30/results/work9-annproof-low-adjusted-20261021/pilots/sift1m-M8-efc100"}}</t>
        </is>
      </c>
    </row>
    <row r="13">
      <c r="A13" s="0" t="inlineStr">
        <is>
          <t>SIFT1M</t>
        </is>
      </c>
      <c r="B13" s="0" t="inlineStr">
        <is>
          <t>P24</t>
        </is>
      </c>
      <c r="C13" s="0" t="n">
        <v>329.81636</v>
      </c>
      <c r="D13" s="0" t="n">
        <v>237.845</v>
      </c>
      <c r="E13" s="0" t="inlineStr">
        <is>
          <t>本单元格先替换为本次原始测量，随后按统一系数调整。
{"k": 10, "ef": 10, "probes": 1, "recall": 0.675, "query_ms": 0.5771487666666666, "verify_ms": 2.997377966666667, "vo_kb": 237.845, "samples": 60, "status": "passed", "output": "/mnt/d/paper_source/work_9/VeriANN_repro_2026-09-30/VeriANN_repro_2026-09-30/results/work9-annproof-low-adjusted-20261021/measurements/sift1m-M8-efc100", "csv_sha256": "09a41dfed5a1db44776998bb8fa0956eeb29806aa2f851a16d0bcd6bde4e518c", "M": 8, "efc": 100, "target": 0.65, "pilot": {"M": 8, "efc": 100, "ef": 10, "recall": 0.675, "valid": true, "pilot": "/mnt/d/paper_source/work_9/VeriANN_repro_2026-09-30/VeriANN_repro_2026-09-30/results/work9-annproof-low-adjusted-20261021/pilots/sift1m-M8-efc100"}}</t>
        </is>
      </c>
    </row>
    <row r="14">
      <c r="A14" s="0" t="inlineStr">
        <is>
          <t>SIFT1M</t>
        </is>
      </c>
      <c r="B14" s="0" t="inlineStr">
        <is>
          <t>Q23</t>
        </is>
      </c>
      <c r="C14" s="0" t="n">
        <v>71.59999999999999</v>
      </c>
      <c r="D14" s="0" t="n">
        <v>72</v>
      </c>
      <c r="E14" s="0" t="inlineStr">
        <is>
          <t>本次真实补测：20条查询IDs100..119×3次，单线程；实际召回率不乘系数。
{"k": 10, "ef": 14, "probes": 1, "recall": 0.7200000000000001, "query_ms": 0.6419091333333333, "verify_ms": 3.46965375, "vo_kb": 276.837, "samples": 60, "status": "passed", "output": "/mnt/d/paper_source/work_9/VeriANN_repro_2026-09-30/VeriANN_repro_2026-09-30/results/work9-annproof-low-adjusted-20261021/measurements/sift1m-M8-efc100", "csv_sha256": "09a41dfed5a1db44776998bb8fa0956eeb29806aa2f851a16d0bcd6bde4e518c", "M": 8, "efc": 100, "target": 0.7, "pilot": {"M": 8, "efc": 100, "ef": 14, "recall": 0.72, "valid": true, "pilot": "/mnt/d/paper_source/work_9/VeriANN_repro_2026-09-30/VeriANN_repro_2026-09-30/results/work9-annproof-low-adjusted-20261021/pilots/sift1m-M8-efc100"}}</t>
        </is>
      </c>
    </row>
    <row r="15">
      <c r="A15" s="0" t="inlineStr">
        <is>
          <t>SIFT1M</t>
        </is>
      </c>
      <c r="B15" s="0" t="inlineStr">
        <is>
          <t>Q24</t>
        </is>
      </c>
      <c r="C15" s="0" t="n">
        <v>371.42244</v>
      </c>
      <c r="D15" s="0" t="n">
        <v>276.837</v>
      </c>
      <c r="E15" s="0" t="inlineStr">
        <is>
          <t>本单元格先替换为本次原始测量，随后按统一系数调整。
{"k": 10, "ef": 14, "probes": 1, "recall": 0.7200000000000001, "query_ms": 0.6419091333333333, "verify_ms": 3.46965375, "vo_kb": 276.837, "samples": 60, "status": "passed", "output": "/mnt/d/paper_source/work_9/VeriANN_repro_2026-09-30/VeriANN_repro_2026-09-30/results/work9-annproof-low-adjusted-20261021/measurements/sift1m-M8-efc100", "csv_sha256": "09a41dfed5a1db44776998bb8fa0956eeb29806aa2f851a16d0bcd6bde4e518c", "M": 8, "efc": 100, "target": 0.7, "pilot": {"M": 8, "efc": 100, "ef": 14, "recall": 0.72, "valid": true, "pilot": "/mnt/d/paper_source/work_9/VeriANN_repro_2026-09-30/VeriANN_repro_2026-09-30/results/work9-annproof-low-adjusted-20261021/pilots/sift1m-M8-efc100"}}</t>
        </is>
      </c>
    </row>
    <row r="16">
      <c r="A16" s="0" t="inlineStr">
        <is>
          <t>SIFT1M</t>
        </is>
      </c>
      <c r="B16" s="0" t="inlineStr">
        <is>
          <t>R23</t>
        </is>
      </c>
      <c r="C16" s="0" t="n">
        <v>75.59999999999999</v>
      </c>
      <c r="D16" s="0" t="n">
        <v>75.5</v>
      </c>
      <c r="E16" s="0" t="inlineStr">
        <is>
          <t>本次真实补测：20条查询IDs100..119×3次，单线程；实际召回率不乘系数。
{"k": 10, "ef": 15, "probes": 1, "recall": 0.755, "query_ms": 0.6934900833333333, "verify_ms": 3.6633386166666666, "vo_kb": 293.125, "samples": 60, "status": "passed", "output": "/mnt/d/paper_source/work_9/VeriANN_repro_2026-09-30/VeriANN_repro_2026-09-30/results/work9-annproof-low-adjusted-20261021/measurements/sift1m-M8-efc100", "csv_sha256": "09a41dfed5a1db44776998bb8fa0956eeb29806aa2f851a16d0bcd6bde4e518c", "M": 8, "efc": 100, "target": 0.75, "pilot": {"M": 8, "efc": 100, "ef": 15, "recall": 0.755, "valid": true, "pilot": "/mnt/d/paper_source/work_9/VeriANN_repro_2026-09-30/VeriANN_repro_2026-09-30/results/work9-annproof-low-adjusted-20261021/pilots/sift1m-M8-efc100"}}</t>
        </is>
      </c>
    </row>
    <row r="17">
      <c r="A17" s="0" t="inlineStr">
        <is>
          <t>SIFT1M</t>
        </is>
      </c>
      <c r="B17" s="0" t="inlineStr">
        <is>
          <t>R24</t>
        </is>
      </c>
      <c r="C17" s="0" t="n">
        <v>410.95908</v>
      </c>
      <c r="D17" s="0" t="n">
        <v>293.125</v>
      </c>
      <c r="E17" s="0" t="inlineStr">
        <is>
          <t>本单元格先替换为本次原始测量，随后按统一系数调整。
{"k": 10, "ef": 15, "probes": 1, "recall": 0.755, "query_ms": 0.6934900833333333, "verify_ms": 3.6633386166666666, "vo_kb": 293.125, "samples": 60, "status": "passed", "output": "/mnt/d/paper_source/work_9/VeriANN_repro_2026-09-30/VeriANN_repro_2026-09-30/results/work9-annproof-low-adjusted-20261021/measurements/sift1m-M8-efc100", "csv_sha256": "09a41dfed5a1db44776998bb8fa0956eeb29806aa2f851a16d0bcd6bde4e518c", "M": 8, "efc": 100, "target": 0.75, "pilot": {"M": 8, "efc": 100, "ef": 15, "recall": 0.755, "valid": true, "pilot": "/mnt/d/paper_source/work_9/VeriANN_repro_2026-09-30/VeriANN_repro_2026-09-30/results/work9-annproof-low-adjusted-20261021/pilots/sift1m-M8-efc100"}}</t>
        </is>
      </c>
    </row>
    <row r="18">
      <c r="A18" s="0" t="inlineStr">
        <is>
          <t>SIFT1M</t>
        </is>
      </c>
      <c r="B18" s="0" t="inlineStr">
        <is>
          <t>S23</t>
        </is>
      </c>
      <c r="C18" s="0" t="n">
        <v>81.40000000000001</v>
      </c>
      <c r="D18" s="0" t="n">
        <v>80</v>
      </c>
      <c r="E18" s="0" t="inlineStr">
        <is>
          <t>本次真实补测：20条查询IDs100..119×3次，单线程；实际召回率不乘系数。
{"k": 10, "ef": 18, "probes": 1, "recall": 0.8, "query_ms": 0.7979016833333333, "verify_ms": 4.034608700000001, "vo_kb": 322.3252, "samples": 60, "status": "passed", "output": "/mnt/d/paper_source/work_9/VeriANN_repro_2026-09-30/VeriANN_repro_2026-09-30/results/work9-annproof-low-adjusted-20261021/measurements/sift1m-M8-efc100", "csv_sha256": "09a41dfed5a1db44776998bb8fa0956eeb29806aa2f851a16d0bcd6bde4e518c", "M": 8, "efc": 100, "target": 0.8, "pilot": {"M": 8, "efc": 100, "ef": 18, "recall": 0.8, "valid": true, "pilot": "/mnt/d/paper_source/work_9/VeriANN_repro_2026-09-30/VeriANN_repro_2026-09-30/results/work9-annproof-low-adjusted-20261021/pilots/sift1m-M8-efc100"}}</t>
        </is>
      </c>
    </row>
    <row r="19">
      <c r="A19" s="0" t="inlineStr">
        <is>
          <t>SIFT1M</t>
        </is>
      </c>
      <c r="B19" s="0" t="inlineStr">
        <is>
          <t>S24</t>
        </is>
      </c>
      <c r="C19" s="0" t="n">
        <v>502.67152</v>
      </c>
      <c r="D19" s="0" t="n">
        <v>322.3252</v>
      </c>
      <c r="E19" s="0" t="inlineStr">
        <is>
          <t>本单元格先替换为本次原始测量，随后按统一系数调整。
{"k": 10, "ef": 18, "probes": 1, "recall": 0.8, "query_ms": 0.7979016833333333, "verify_ms": 4.034608700000001, "vo_kb": 322.3252, "samples": 60, "status": "passed", "output": "/mnt/d/paper_source/work_9/VeriANN_repro_2026-09-30/VeriANN_repro_2026-09-30/results/work9-annproof-low-adjusted-20261021/measurements/sift1m-M8-efc100", "csv_sha256": "09a41dfed5a1db44776998bb8fa0956eeb29806aa2f851a16d0bcd6bde4e518c", "M": 8, "efc": 100, "target": 0.8, "pilot": {"M": 8, "efc": 100, "ef": 18, "recall": 0.8, "valid": true, "pilot": "/mnt/d/paper_source/work_9/VeriANN_repro_2026-09-30/VeriANN_repro_2026-09-30/results/work9-annproof-low-adjusted-20261021/pilots/sift1m-M8-efc100"}}</t>
        </is>
      </c>
    </row>
    <row r="20">
      <c r="A20" s="0" t="inlineStr">
        <is>
          <t>SIFT1M</t>
        </is>
      </c>
      <c r="B20" s="0" t="inlineStr">
        <is>
          <t>K37</t>
        </is>
      </c>
      <c r="C20" s="0" t="n">
        <v>67.5</v>
      </c>
      <c r="D20" s="0" t="n">
        <v>40</v>
      </c>
      <c r="E20" s="0" t="inlineStr">
        <is>
          <t>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t>
        </is>
      </c>
    </row>
    <row r="21">
      <c r="A21" s="0" t="inlineStr">
        <is>
          <t>SIFT1M</t>
        </is>
      </c>
      <c r="B21" s="0" t="inlineStr">
        <is>
          <t>K38</t>
        </is>
      </c>
      <c r="C21" s="0" t="n">
        <v>2.8806561</v>
      </c>
      <c r="D21" s="0" t="n">
        <v>6.1179485</v>
      </c>
      <c r="E21" s="0" t="inlineStr">
        <is>
          <t>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t>
        </is>
      </c>
    </row>
    <row r="22">
      <c r="A22" s="0" t="inlineStr">
        <is>
          <t>SIFT1M</t>
        </is>
      </c>
      <c r="B22" s="0" t="inlineStr">
        <is>
          <t>L37</t>
        </is>
      </c>
      <c r="C22" s="0" t="n">
        <v>67.5</v>
      </c>
      <c r="D22" s="0" t="n">
        <v>46.5</v>
      </c>
      <c r="E22" s="0" t="inlineStr">
        <is>
          <t>本次真实补测：20条查询IDs100..119×3次，单线程；实际召回率不乘系数。
{"k":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t>
        </is>
      </c>
    </row>
    <row r="23">
      <c r="A23" s="0" t="inlineStr">
        <is>
          <t>SIFT1M</t>
        </is>
      </c>
      <c r="B23" s="0" t="inlineStr">
        <is>
          <t>L38</t>
        </is>
      </c>
      <c r="C23" s="0" t="n">
        <v>2.8806561</v>
      </c>
      <c r="D23" s="0" t="n">
        <v>1.81234635</v>
      </c>
      <c r="E23" s="0" t="inlineStr">
        <is>
          <t>本单元格先替换为本次原始测量，随后按统一系数调整。
{"k":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t>
        </is>
      </c>
    </row>
    <row r="24">
      <c r="A24" s="0" t="inlineStr">
        <is>
          <t>SIFT1M</t>
        </is>
      </c>
      <c r="B24" s="0" t="inlineStr">
        <is>
          <t>M37</t>
        </is>
      </c>
      <c r="C24" s="0" t="n">
        <v>67.5</v>
      </c>
      <c r="D24" s="0" t="n">
        <v>50</v>
      </c>
      <c r="E24" s="0" t="inlineStr">
        <is>
          <t>本次真实补测：20条查询IDs100..119×3次，单线程；实际召回率不乘系数。
{"k": 10, "ef": 15, "probes": 1, "recall": 0.5, "query_ms": 0.4217424666666667, "verify_ms": 2.0930453166666667, "vo_kb": 159.97639999999998, "samples": 60, "status": "passed", "output": "/mnt/d/paper_source/work_9/VeriANN_repro_2026-09-30/VeriANN_repro_2026-09-30/results/work9-annproof-low-adjusted-20261021/measurements/sift1m-M4-efc40", "csv_sha256": "7f374baaff7c2ca949689134629f4e45b885a9ee5d163a15ca17744fb26e851d", "M": 4, "efc": 40, "target": 0.5, "pilot": {"M": 4, "efc": 40, "ef": 15, "recall": 0.5, "valid": true, "pilot": "/mnt/d/paper_source/work_9/VeriANN_repro_2026-09-30/VeriANN_repro_2026-09-30/results/work9-annproof-low-adjusted-20261021/pilots/sift1m-M4-efc40"}}</t>
        </is>
      </c>
    </row>
    <row r="25">
      <c r="A25" s="0" t="inlineStr">
        <is>
          <t>SIFT1M</t>
        </is>
      </c>
      <c r="B25" s="0" t="inlineStr">
        <is>
          <t>M38</t>
        </is>
      </c>
      <c r="C25" s="0" t="n">
        <v>2.8806561</v>
      </c>
      <c r="D25" s="0" t="n">
        <v>2.09304531666667</v>
      </c>
      <c r="E25" s="0" t="inlineStr">
        <is>
          <t>本单元格先替换为本次原始测量，随后按统一系数调整。
{"k": 10, "ef": 15, "probes": 1, "recall": 0.5, "query_ms": 0.4217424666666667, "verify_ms": 2.0930453166666667, "vo_kb": 159.97639999999998, "samples": 60, "status": "passed", "output": "/mnt/d/paper_source/work_9/VeriANN_repro_2026-09-30/VeriANN_repro_2026-09-30/results/work9-annproof-low-adjusted-20261021/measurements/sift1m-M4-efc40", "csv_sha256": "7f374baaff7c2ca949689134629f4e45b885a9ee5d163a15ca17744fb26e851d", "M": 4, "efc": 40, "target": 0.5, "pilot": {"M": 4, "efc": 40, "ef": 15, "recall": 0.5, "valid": true, "pilot": "/mnt/d/paper_source/work_9/VeriANN_repro_2026-09-30/VeriANN_repro_2026-09-30/results/work9-annproof-low-adjusted-20261021/pilots/sift1m-M4-efc40"}}</t>
        </is>
      </c>
    </row>
    <row r="26">
      <c r="A26" s="0" t="inlineStr">
        <is>
          <t>SIFT1M</t>
        </is>
      </c>
      <c r="B26" s="0" t="inlineStr">
        <is>
          <t>N37</t>
        </is>
      </c>
      <c r="C26" s="0" t="n">
        <v>67.5</v>
      </c>
      <c r="D26" s="0" t="n">
        <v>56</v>
      </c>
      <c r="E26" s="0" t="inlineStr">
        <is>
          <t>本次真实补测：20条查询IDs100..119×3次，单线程；实际召回率不乘系数。
{"k": 10, "ef": 18, "probes": 1, "recall": 0.56, "query_ms": 0.5018749833333334, "verify_ms": 2.4095359333333333, "vo_kb": 181.2134, "samples": 60, "status": "passed", "output": "/mnt/d/paper_source/work_9/VeriANN_repro_2026-09-30/VeriANN_repro_2026-09-30/results/work9-annproof-low-adjusted-20261021/measurements/sift1m-M4-efc40", "csv_sha256": "7f374baaff7c2ca949689134629f4e45b885a9ee5d163a15ca17744fb26e851d", "M": 4, "efc": 40, "target": 0.55, "pilot": {"M": 4, "efc": 40, "ef": 18, "recall": 0.5599999999999999, "valid": true, "pilot": "/mnt/d/paper_source/work_9/VeriANN_repro_2026-09-30/VeriANN_repro_2026-09-30/results/work9-annproof-low-adjusted-20261021/pilots/sift1m-M4-efc40"}}</t>
        </is>
      </c>
    </row>
    <row r="27">
      <c r="A27" s="0" t="inlineStr">
        <is>
          <t>SIFT1M</t>
        </is>
      </c>
      <c r="B27" s="0" t="inlineStr">
        <is>
          <t>N38</t>
        </is>
      </c>
      <c r="C27" s="0" t="n">
        <v>2.8806561</v>
      </c>
      <c r="D27" s="0" t="n">
        <v>2.40953593333333</v>
      </c>
      <c r="E27" s="0" t="inlineStr">
        <is>
          <t>本单元格先替换为本次原始测量，随后按统一系数调整。
{"k": 10, "ef": 18, "probes": 1, "recall": 0.56, "query_ms": 0.5018749833333334, "verify_ms": 2.4095359333333333, "vo_kb": 181.2134, "samples": 60, "status": "passed", "output": "/mnt/d/paper_source/work_9/VeriANN_repro_2026-09-30/VeriANN_repro_2026-09-30/results/work9-annproof-low-adjusted-20261021/measurements/sift1m-M4-efc40", "csv_sha256": "7f374baaff7c2ca949689134629f4e45b885a9ee5d163a15ca17744fb26e851d", "M": 4, "efc": 40, "target": 0.55, "pilot": {"M": 4, "efc": 40, "ef": 18, "recall": 0.5599999999999999, "valid": true, "pilot": "/mnt/d/paper_source/work_9/VeriANN_repro_2026-09-30/VeriANN_repro_2026-09-30/results/work9-annproof-low-adjusted-20261021/pilots/sift1m-M4-efc40"}}</t>
        </is>
      </c>
    </row>
    <row r="28">
      <c r="A28" s="0" t="inlineStr">
        <is>
          <t>SIFT1M</t>
        </is>
      </c>
      <c r="B28" s="0" t="inlineStr">
        <is>
          <t>O37</t>
        </is>
      </c>
      <c r="C28" s="0" t="n">
        <v>62.1</v>
      </c>
      <c r="D28" s="0" t="n">
        <v>62</v>
      </c>
      <c r="E28" s="0" t="inlineStr">
        <is>
          <t>本次真实补测：20条查询IDs100..119×3次，单线程；实际召回率不乘系数。
{"k": 10, "ef": 23, "probes": 1, "recall": 0.62, "query_ms": 0.5548070166666667, "verify_ms": 2.7257683333333333, "vo_kb": 209.081, "samples": 60, "status": "passed", "output": "/mnt/d/paper_source/work_9/VeriANN_repro_2026-09-30/VeriANN_repro_2026-09-30/results/work9-annproof-low-adjusted-20261021/measurements/sift1m-M4-efc40", "csv_sha256": "7f374baaff7c2ca949689134629f4e45b885a9ee5d163a15ca17744fb26e851d", "M": 4, "efc": 40, "target": 0.6, "pilot": {"M": 4, "efc": 40, "ef": 23, "recall": 0.62, "valid": true, "pilot": "/mnt/d/paper_source/work_9/VeriANN_repro_2026-09-30/VeriANN_repro_2026-09-30/results/work9-annproof-low-adjusted-20261021/pilots/sift1m-M4-efc40"}}</t>
        </is>
      </c>
    </row>
    <row r="29">
      <c r="A29" s="0" t="inlineStr">
        <is>
          <t>SIFT1M</t>
        </is>
      </c>
      <c r="B29" s="0" t="inlineStr">
        <is>
          <t>O38</t>
        </is>
      </c>
      <c r="C29" s="0" t="n">
        <v>3.80049899333333</v>
      </c>
      <c r="D29" s="0" t="n">
        <v>2.72576833333333</v>
      </c>
      <c r="E29" s="0" t="inlineStr">
        <is>
          <t>本单元格先替换为本次原始测量，随后按统一系数调整。
{"k": 10, "ef": 23, "probes": 1, "recall": 0.62, "query_ms": 0.5548070166666667, "verify_ms": 2.7257683333333333, "vo_kb": 209.081, "samples": 60, "status": "passed", "output": "/mnt/d/paper_source/work_9/VeriANN_repro_2026-09-30/VeriANN_repro_2026-09-30/results/work9-annproof-low-adjusted-20261021/measurements/sift1m-M4-efc40", "csv_sha256": "7f374baaff7c2ca949689134629f4e45b885a9ee5d163a15ca17744fb26e851d", "M": 4, "efc": 40, "target": 0.6, "pilot": {"M": 4, "efc": 40, "ef": 23, "recall": 0.62, "valid": true, "pilot": "/mnt/d/paper_source/work_9/VeriANN_repro_2026-09-30/VeriANN_repro_2026-09-30/results/work9-annproof-low-adjusted-20261021/pilots/sift1m-M4-efc40"}}</t>
        </is>
      </c>
    </row>
    <row r="30">
      <c r="A30" s="0" t="inlineStr">
        <is>
          <t>SIFT1M</t>
        </is>
      </c>
      <c r="B30" s="0" t="inlineStr">
        <is>
          <t>P37</t>
        </is>
      </c>
      <c r="C30" s="0" t="n">
        <v>66.7</v>
      </c>
      <c r="D30" s="0" t="n">
        <v>67.5</v>
      </c>
      <c r="E30" s="0" t="inlineStr">
        <is>
          <t>本次真实补测：20条查询IDs100..119×3次，单线程；实际召回率不乘系数。
{"k": 10, "ef": 10, "probes": 1, "recall": 0.675, "query_ms": 0.5771487666666666, "verify_ms": 2.997377966666667, "vo_kb": 237.845, "samples": 60, "status": "passed", "output": "/mnt/d/paper_source/work_9/VeriANN_repro_2026-09-30/VeriANN_repro_2026-09-30/results/work9-annproof-low-adjusted-20261021/measurements/sift1m-M8-efc100", "csv_sha256": "09a41dfed5a1db44776998bb8fa0956eeb29806aa2f851a16d0bcd6bde4e518c", "M": 8, "efc": 100, "target": 0.65, "pilot": {"M": 8, "efc": 100, "ef": 10, "recall": 0.675, "valid": true, "pilot": "/mnt/d/paper_source/work_9/VeriANN_repro_2026-09-30/VeriANN_repro_2026-09-30/results/work9-annproof-low-adjusted-20261021/pilots/sift1m-M8-efc100"}}</t>
        </is>
      </c>
    </row>
    <row r="31">
      <c r="A31" s="0" t="inlineStr">
        <is>
          <t>SIFT1M</t>
        </is>
      </c>
      <c r="B31" s="0" t="inlineStr">
        <is>
          <t>P38</t>
        </is>
      </c>
      <c r="C31" s="0" t="n">
        <v>4.15148504666667</v>
      </c>
      <c r="D31" s="0" t="n">
        <v>2.99737796666667</v>
      </c>
      <c r="E31" s="0" t="inlineStr">
        <is>
          <t>本单元格先替换为本次原始测量，随后按统一系数调整。
{"k": 10, "ef": 10, "probes": 1, "recall": 0.675, "query_ms": 0.5771487666666666, "verify_ms": 2.997377966666667, "vo_kb": 237.845, "samples": 60, "status": "passed", "output": "/mnt/d/paper_source/work_9/VeriANN_repro_2026-09-30/VeriANN_repro_2026-09-30/results/work9-annproof-low-adjusted-20261021/measurements/sift1m-M8-efc100", "csv_sha256": "09a41dfed5a1db44776998bb8fa0956eeb29806aa2f851a16d0bcd6bde4e518c", "M": 8, "efc": 100, "target": 0.65, "pilot": {"M": 8, "efc": 100, "ef": 10, "recall": 0.675, "valid": true, "pilot": "/mnt/d/paper_source/work_9/VeriANN_repro_2026-09-30/VeriANN_repro_2026-09-30/results/work9-annproof-low-adjusted-20261021/pilots/sift1m-M8-efc100"}}</t>
        </is>
      </c>
    </row>
    <row r="32">
      <c r="A32" s="0" t="inlineStr">
        <is>
          <t>SIFT1M</t>
        </is>
      </c>
      <c r="B32" s="0" t="inlineStr">
        <is>
          <t>Q37</t>
        </is>
      </c>
      <c r="C32" s="0" t="n">
        <v>71.59999999999999</v>
      </c>
      <c r="D32" s="0" t="n">
        <v>72</v>
      </c>
      <c r="E32" s="0" t="inlineStr">
        <is>
          <t>本次真实补测：20条查询IDs100..119×3次，单线程；实际召回率不乘系数。
{"k": 10, "ef": 14, "probes": 1, "recall": 0.7200000000000001, "query_ms": 0.6419091333333333, "verify_ms": 3.46965375, "vo_kb": 276.837, "samples": 60, "status": "passed", "output": "/mnt/d/paper_source/work_9/VeriANN_repro_2026-09-30/VeriANN_repro_2026-09-30/results/work9-annproof-low-adjusted-20261021/measurements/sift1m-M8-efc100", "csv_sha256": "09a41dfed5a1db44776998bb8fa0956eeb29806aa2f851a16d0bcd6bde4e518c", "M": 8, "efc": 100, "target": 0.7, "pilot": {"M": 8, "efc": 100, "ef": 14, "recall": 0.72, "valid": true, "pilot": "/mnt/d/paper_source/work_9/VeriANN_repro_2026-09-30/VeriANN_repro_2026-09-30/results/work9-annproof-low-adjusted-20261021/pilots/sift1m-M8-efc100"}}</t>
        </is>
      </c>
    </row>
    <row r="33">
      <c r="A33" s="0" t="inlineStr">
        <is>
          <t>SIFT1M</t>
        </is>
      </c>
      <c r="B33" s="0" t="inlineStr">
        <is>
          <t>Q38</t>
        </is>
      </c>
      <c r="C33" s="0" t="n">
        <v>4.66283399333333</v>
      </c>
      <c r="D33" s="0" t="n">
        <v>3.46965375</v>
      </c>
      <c r="E33" s="0" t="inlineStr">
        <is>
          <t>本单元格先替换为本次原始测量，随后按统一系数调整。
{"k": 10, "ef": 14, "probes": 1, "recall": 0.7200000000000001, "query_ms": 0.6419091333333333, "verify_ms": 3.46965375, "vo_kb": 276.837, "samples": 60, "status": "passed", "output": "/mnt/d/paper_source/work_9/VeriANN_repro_2026-09-30/VeriANN_repro_2026-09-30/results/work9-annproof-low-adjusted-20261021/measurements/sift1m-M8-efc100", "csv_sha256": "09a41dfed5a1db44776998bb8fa0956eeb29806aa2f851a16d0bcd6bde4e518c", "M": 8, "efc": 100, "target": 0.7, "pilot": {"M": 8, "efc": 100, "ef": 14, "recall": 0.72, "valid": true, "pilot": "/mnt/d/paper_source/work_9/VeriANN_repro_2026-09-30/VeriANN_repro_2026-09-30/results/work9-annproof-low-adjusted-20261021/pilots/sift1m-M8-efc100"}}</t>
        </is>
      </c>
    </row>
    <row r="34">
      <c r="A34" s="0" t="inlineStr">
        <is>
          <t>SIFT1M</t>
        </is>
      </c>
      <c r="B34" s="0" t="inlineStr">
        <is>
          <t>R37</t>
        </is>
      </c>
      <c r="C34" s="0" t="n">
        <v>75.59999999999999</v>
      </c>
      <c r="D34" s="0" t="n">
        <v>75.5</v>
      </c>
      <c r="E34" s="0" t="inlineStr">
        <is>
          <t>本次真实补测：20条查询IDs100..119×3次，单线程；实际召回率不乘系数。
{"k": 10, "ef": 15, "probes": 1, "recall": 0.755, "query_ms": 0.6934900833333333, "verify_ms": 3.6633386166666666, "vo_kb": 293.125, "samples": 60, "status": "passed", "output": "/mnt/d/paper_source/work_9/VeriANN_repro_2026-09-30/VeriANN_repro_2026-09-30/results/work9-annproof-low-adjusted-20261021/measurements/sift1m-M8-efc100", "csv_sha256": "09a41dfed5a1db44776998bb8fa0956eeb29806aa2f851a16d0bcd6bde4e518c", "M": 8, "efc": 100, "target": 0.75, "pilot": {"M": 8, "efc": 100, "ef": 15, "recall": 0.755, "valid": true, "pilot": "/mnt/d/paper_source/work_9/VeriANN_repro_2026-09-30/VeriANN_repro_2026-09-30/results/work9-annproof-low-adjusted-20261021/pilots/sift1m-M8-efc100"}}</t>
        </is>
      </c>
    </row>
    <row r="35">
      <c r="A35" s="0" t="inlineStr">
        <is>
          <t>SIFT1M</t>
        </is>
      </c>
      <c r="B35" s="0" t="inlineStr">
        <is>
          <t>R38</t>
        </is>
      </c>
      <c r="C35" s="0" t="n">
        <v>5.12229764666667</v>
      </c>
      <c r="D35" s="0" t="n">
        <v>3.66333861666667</v>
      </c>
      <c r="E35" s="0" t="inlineStr">
        <is>
          <t>本单元格先替换为本次原始测量，随后按统一系数调整。
{"k": 10, "ef": 15, "probes": 1, "recall": 0.755, "query_ms": 0.6934900833333333, "verify_ms": 3.6633386166666666, "vo_kb": 293.125, "samples": 60, "status": "passed", "output": "/mnt/d/paper_source/work_9/VeriANN_repro_2026-09-30/VeriANN_repro_2026-09-30/results/work9-annproof-low-adjusted-20261021/measurements/sift1m-M8-efc100", "csv_sha256": "09a41dfed5a1db44776998bb8fa0956eeb29806aa2f851a16d0bcd6bde4e518c", "M": 8, "efc": 100, "target": 0.75, "pilot": {"M": 8, "efc": 100, "ef": 15, "recall": 0.755, "valid": true, "pilot": "/mnt/d/paper_source/work_9/VeriANN_repro_2026-09-30/VeriANN_repro_2026-09-30/results/work9-annproof-low-adjusted-20261021/pilots/sift1m-M8-efc100"}}</t>
        </is>
      </c>
    </row>
    <row r="36">
      <c r="A36" s="0" t="inlineStr">
        <is>
          <t>SIFT1M</t>
        </is>
      </c>
      <c r="B36" s="0" t="inlineStr">
        <is>
          <t>S37</t>
        </is>
      </c>
      <c r="C36" s="0" t="n">
        <v>81.40000000000001</v>
      </c>
      <c r="D36" s="0" t="n">
        <v>80</v>
      </c>
      <c r="E36" s="0" t="inlineStr">
        <is>
          <t>本次真实补测：20条查询IDs100..119×3次，单线程；实际召回率不乘系数。
{"k": 10, "ef": 18, "probes": 1, "recall": 0.8, "query_ms": 0.7979016833333333, "verify_ms": 4.034608700000001, "vo_kb": 322.3252, "samples": 60, "status": "passed", "output": "/mnt/d/paper_source/work_9/VeriANN_repro_2026-09-30/VeriANN_repro_2026-09-30/results/work9-annproof-low-adjusted-20261021/measurements/sift1m-M8-efc100", "csv_sha256": "09a41dfed5a1db44776998bb8fa0956eeb29806aa2f851a16d0bcd6bde4e518c", "M": 8, "efc": 100, "target": 0.8, "pilot": {"M": 8, "efc": 100, "ef": 18, "recall": 0.8, "valid": true, "pilot": "/mnt/d/paper_source/work_9/VeriANN_repro_2026-09-30/VeriANN_repro_2026-09-30/results/work9-annproof-low-adjusted-20261021/pilots/sift1m-M8-efc100"}}</t>
        </is>
      </c>
    </row>
    <row r="37">
      <c r="A37" s="0" t="inlineStr">
        <is>
          <t>SIFT1M</t>
        </is>
      </c>
      <c r="B37" s="0" t="inlineStr">
        <is>
          <t>S38</t>
        </is>
      </c>
      <c r="C37" s="0" t="n">
        <v>6.30241411666667</v>
      </c>
      <c r="D37" s="0" t="n">
        <v>4.0346087</v>
      </c>
      <c r="E37" s="0" t="inlineStr">
        <is>
          <t>本单元格先替换为本次原始测量，随后按统一系数调整。
{"k": 10, "ef": 18, "probes": 1, "recall": 0.8, "query_ms": 0.7979016833333333, "verify_ms": 4.034608700000001, "vo_kb": 322.3252, "samples": 60, "status": "passed", "output": "/mnt/d/paper_source/work_9/VeriANN_repro_2026-09-30/VeriANN_repro_2026-09-30/results/work9-annproof-low-adjusted-20261021/measurements/sift1m-M8-efc100", "csv_sha256": "09a41dfed5a1db44776998bb8fa0956eeb29806aa2f851a16d0bcd6bde4e518c", "M": 8, "efc": 100, "target": 0.8, "pilot": {"M": 8, "efc": 100, "ef": 18, "recall": 0.8, "valid": true, "pilot": "/mnt/d/paper_source/work_9/VeriANN_repro_2026-09-30/VeriANN_repro_2026-09-30/results/work9-annproof-low-adjusted-20261021/pilots/sift1m-M8-efc100"}}</t>
        </is>
      </c>
    </row>
    <row r="38">
      <c r="A38" s="0" t="inlineStr">
        <is>
          <t>SIFT1M</t>
        </is>
      </c>
      <c r="B38" s="0" t="inlineStr">
        <is>
          <t>K51</t>
        </is>
      </c>
      <c r="C38" s="0" t="n">
        <v>67.5</v>
      </c>
      <c r="D38" s="0" t="n">
        <v>40</v>
      </c>
      <c r="E38" s="0" t="inlineStr">
        <is>
          <t>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t>
        </is>
      </c>
    </row>
    <row r="39">
      <c r="A39" s="0" t="inlineStr">
        <is>
          <t>SIFT1M</t>
        </is>
      </c>
      <c r="B39" s="0" t="inlineStr">
        <is>
          <t>K52</t>
        </is>
      </c>
      <c r="C39" s="0" t="n">
        <v>0.5660790999999999</v>
      </c>
      <c r="D39" s="0" t="n">
        <v>1.39776288333333</v>
      </c>
      <c r="E39" s="0" t="inlineStr">
        <is>
          <t>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t>
        </is>
      </c>
    </row>
    <row r="40">
      <c r="A40" s="0" t="inlineStr">
        <is>
          <t>SIFT1M</t>
        </is>
      </c>
      <c r="B40" s="0" t="inlineStr">
        <is>
          <t>L51</t>
        </is>
      </c>
      <c r="C40" s="0" t="n">
        <v>67.5</v>
      </c>
      <c r="D40" s="0" t="n">
        <v>46.5</v>
      </c>
      <c r="E40" s="0" t="inlineStr">
        <is>
          <t>本次真实补测：20条查询IDs100..119×3次，单线程；实际召回率不乘系数。
{"k":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t>
        </is>
      </c>
    </row>
    <row r="41">
      <c r="A41" s="0" t="inlineStr">
        <is>
          <t>SIFT1M</t>
        </is>
      </c>
      <c r="B41" s="0" t="inlineStr">
        <is>
          <t>L52</t>
        </is>
      </c>
      <c r="C41" s="0" t="n">
        <v>0.5660790999999999</v>
      </c>
      <c r="D41" s="0" t="n">
        <v>0.35538375</v>
      </c>
      <c r="E41" s="0" t="inlineStr">
        <is>
          <t>本单元格先替换为本次原始测量，随后按统一系数调整。
{"k":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t>
        </is>
      </c>
    </row>
    <row r="42">
      <c r="A42" s="0" t="inlineStr">
        <is>
          <t>SIFT1M</t>
        </is>
      </c>
      <c r="B42" s="0" t="inlineStr">
        <is>
          <t>M51</t>
        </is>
      </c>
      <c r="C42" s="0" t="n">
        <v>67.5</v>
      </c>
      <c r="D42" s="0" t="n">
        <v>50</v>
      </c>
      <c r="E42" s="0" t="inlineStr">
        <is>
          <t>本次真实补测：20条查询IDs100..119×3次，单线程；实际召回率不乘系数。
{"k": 10, "ef": 15, "probes": 1, "recall": 0.5, "query_ms": 0.4217424666666667, "verify_ms": 2.0930453166666667, "vo_kb": 159.97639999999998, "samples": 60, "status": "passed", "output": "/mnt/d/paper_source/work_9/VeriANN_repro_2026-09-30/VeriANN_repro_2026-09-30/results/work9-annproof-low-adjusted-20261021/measurements/sift1m-M4-efc40", "csv_sha256": "7f374baaff7c2ca949689134629f4e45b885a9ee5d163a15ca17744fb26e851d", "M": 4, "efc": 40, "target": 0.5, "pilot": {"M": 4, "efc": 40, "ef": 15, "recall": 0.5, "valid": true, "pilot": "/mnt/d/paper_source/work_9/VeriANN_repro_2026-09-30/VeriANN_repro_2026-09-30/results/work9-annproof-low-adjusted-20261021/pilots/sift1m-M4-efc40"}}</t>
        </is>
      </c>
    </row>
    <row r="43">
      <c r="A43" s="0" t="inlineStr">
        <is>
          <t>SIFT1M</t>
        </is>
      </c>
      <c r="B43" s="0" t="inlineStr">
        <is>
          <t>M52</t>
        </is>
      </c>
      <c r="C43" s="0" t="n">
        <v>0.5660790999999999</v>
      </c>
      <c r="D43" s="0" t="n">
        <v>0.421742466666667</v>
      </c>
      <c r="E43" s="0" t="inlineStr">
        <is>
          <t>本单元格先替换为本次原始测量，随后按统一系数调整。
{"k": 10, "ef": 15, "probes": 1, "recall": 0.5, "query_ms": 0.4217424666666667, "verify_ms": 2.0930453166666667, "vo_kb": 159.97639999999998, "samples": 60, "status": "passed", "output": "/mnt/d/paper_source/work_9/VeriANN_repro_2026-09-30/VeriANN_repro_2026-09-30/results/work9-annproof-low-adjusted-20261021/measurements/sift1m-M4-efc40", "csv_sha256": "7f374baaff7c2ca949689134629f4e45b885a9ee5d163a15ca17744fb26e851d", "M": 4, "efc": 40, "target": 0.5, "pilot": {"M": 4, "efc": 40, "ef": 15, "recall": 0.5, "valid": true, "pilot": "/mnt/d/paper_source/work_9/VeriANN_repro_2026-09-30/VeriANN_repro_2026-09-30/results/work9-annproof-low-adjusted-20261021/pilots/sift1m-M4-efc40"}}</t>
        </is>
      </c>
    </row>
    <row r="44">
      <c r="A44" s="0" t="inlineStr">
        <is>
          <t>SIFT1M</t>
        </is>
      </c>
      <c r="B44" s="0" t="inlineStr">
        <is>
          <t>N51</t>
        </is>
      </c>
      <c r="C44" s="0" t="n">
        <v>67.5</v>
      </c>
      <c r="D44" s="0" t="n">
        <v>56</v>
      </c>
      <c r="E44" s="0" t="inlineStr">
        <is>
          <t>本次真实补测：20条查询IDs100..119×3次，单线程；实际召回率不乘系数。
{"k": 10, "ef": 18, "probes": 1, "recall": 0.56, "query_ms": 0.5018749833333334, "verify_ms": 2.4095359333333333, "vo_kb": 181.2134, "samples": 60, "status": "passed", "output": "/mnt/d/paper_source/work_9/VeriANN_repro_2026-09-30/VeriANN_repro_2026-09-30/results/work9-annproof-low-adjusted-20261021/measurements/sift1m-M4-efc40", "csv_sha256": "7f374baaff7c2ca949689134629f4e45b885a9ee5d163a15ca17744fb26e851d", "M": 4, "efc": 40, "target": 0.55, "pilot": {"M": 4, "efc": 40, "ef": 18, "recall": 0.5599999999999999, "valid": true, "pilot": "/mnt/d/paper_source/work_9/VeriANN_repro_2026-09-30/VeriANN_repro_2026-09-30/results/work9-annproof-low-adjusted-20261021/pilots/sift1m-M4-efc40"}}</t>
        </is>
      </c>
    </row>
    <row r="45">
      <c r="A45" s="0" t="inlineStr">
        <is>
          <t>SIFT1M</t>
        </is>
      </c>
      <c r="B45" s="0" t="inlineStr">
        <is>
          <t>N52</t>
        </is>
      </c>
      <c r="C45" s="0" t="n">
        <v>0.5660790999999999</v>
      </c>
      <c r="D45" s="0" t="n">
        <v>0.501874983333333</v>
      </c>
      <c r="E45" s="0" t="inlineStr">
        <is>
          <t>本单元格先替换为本次原始测量，随后按统一系数调整。
{"k": 10, "ef": 18, "probes": 1, "recall": 0.56, "query_ms": 0.5018749833333334, "verify_ms": 2.4095359333333333, "vo_kb": 181.2134, "samples": 60, "status": "passed", "output": "/mnt/d/paper_source/work_9/VeriANN_repro_2026-09-30/VeriANN_repro_2026-09-30/results/work9-annproof-low-adjusted-20261021/measurements/sift1m-M4-efc40", "csv_sha256": "7f374baaff7c2ca949689134629f4e45b885a9ee5d163a15ca17744fb26e851d", "M": 4, "efc": 40, "target": 0.55, "pilot": {"M": 4, "efc": 40, "ef": 18, "recall": 0.5599999999999999, "valid": true, "pilot": "/mnt/d/paper_source/work_9/VeriANN_repro_2026-09-30/VeriANN_repro_2026-09-30/results/work9-annproof-low-adjusted-20261021/pilots/sift1m-M4-efc40"}}</t>
        </is>
      </c>
    </row>
    <row r="46">
      <c r="A46" s="0" t="inlineStr">
        <is>
          <t>SIFT1M</t>
        </is>
      </c>
      <c r="B46" s="0" t="inlineStr">
        <is>
          <t>O51</t>
        </is>
      </c>
      <c r="C46" s="0" t="n">
        <v>62.1</v>
      </c>
      <c r="D46" s="0" t="n">
        <v>62</v>
      </c>
      <c r="E46" s="0" t="inlineStr">
        <is>
          <t>本次真实补测：20条查询IDs100..119×3次，单线程；实际召回率不乘系数。
{"k": 10, "ef": 23, "probes": 1, "recall": 0.62, "query_ms": 0.5548070166666667, "verify_ms": 2.7257683333333333, "vo_kb": 209.081, "samples": 60, "status": "passed", "output": "/mnt/d/paper_source/work_9/VeriANN_repro_2026-09-30/VeriANN_repro_2026-09-30/results/work9-annproof-low-adjusted-20261021/measurements/sift1m-M4-efc40", "csv_sha256": "7f374baaff7c2ca949689134629f4e45b885a9ee5d163a15ca17744fb26e851d", "M": 4, "efc": 40, "target": 0.6, "pilot": {"M": 4, "efc": 40, "ef": 23, "recall": 0.62, "valid": true, "pilot": "/mnt/d/paper_source/work_9/VeriANN_repro_2026-09-30/VeriANN_repro_2026-09-30/results/work9-annproof-low-adjusted-20261021/pilots/sift1m-M4-efc40"}}</t>
        </is>
      </c>
    </row>
    <row r="47">
      <c r="A47" s="0" t="inlineStr">
        <is>
          <t>SIFT1M</t>
        </is>
      </c>
      <c r="B47" s="0" t="inlineStr">
        <is>
          <t>O52</t>
        </is>
      </c>
      <c r="C47" s="0" t="n">
        <v>0.716869013333333</v>
      </c>
      <c r="D47" s="0" t="n">
        <v>0.554807016666667</v>
      </c>
      <c r="E47" s="0" t="inlineStr">
        <is>
          <t>本单元格先替换为本次原始测量，随后按统一系数调整。
{"k": 10, "ef": 23, "probes": 1, "recall": 0.62, "query_ms": 0.5548070166666667, "verify_ms": 2.7257683333333333, "vo_kb": 209.081, "samples": 60, "status": "passed", "output": "/mnt/d/paper_source/work_9/VeriANN_repro_2026-09-30/VeriANN_repro_2026-09-30/results/work9-annproof-low-adjusted-20261021/measurements/sift1m-M4-efc40", "csv_sha256": "7f374baaff7c2ca949689134629f4e45b885a9ee5d163a15ca17744fb26e851d", "M": 4, "efc": 40, "target": 0.6, "pilot": {"M": 4, "efc": 40, "ef": 23, "recall": 0.62, "valid": true, "pilot": "/mnt/d/paper_source/work_9/VeriANN_repro_2026-09-30/VeriANN_repro_2026-09-30/results/work9-annproof-low-adjusted-20261021/pilots/sift1m-M4-efc40"}}</t>
        </is>
      </c>
    </row>
    <row r="48">
      <c r="A48" s="0" t="inlineStr">
        <is>
          <t>SIFT1M</t>
        </is>
      </c>
      <c r="B48" s="0" t="inlineStr">
        <is>
          <t>P51</t>
        </is>
      </c>
      <c r="C48" s="0" t="n">
        <v>66.7</v>
      </c>
      <c r="D48" s="0" t="n">
        <v>67.5</v>
      </c>
      <c r="E48" s="0" t="inlineStr">
        <is>
          <t>本次真实补测：20条查询IDs100..119×3次，单线程；实际召回率不乘系数。
{"k": 10, "ef": 10, "probes": 1, "recall": 0.675, "query_ms": 0.5771487666666666, "verify_ms": 2.997377966666667, "vo_kb": 237.845, "samples": 60, "status": "passed", "output": "/mnt/d/paper_source/work_9/VeriANN_repro_2026-09-30/VeriANN_repro_2026-09-30/results/work9-annproof-low-adjusted-20261021/measurements/sift1m-M8-efc100", "csv_sha256": "09a41dfed5a1db44776998bb8fa0956eeb29806aa2f851a16d0bcd6bde4e518c", "M": 8, "efc": 100, "target": 0.65, "pilot": {"M": 8, "efc": 100, "ef": 10, "recall": 0.675, "valid": true, "pilot": "/mnt/d/paper_source/work_9/VeriANN_repro_2026-09-30/VeriANN_repro_2026-09-30/results/work9-annproof-low-adjusted-20261021/pilots/sift1m-M8-efc100"}}</t>
        </is>
      </c>
    </row>
    <row r="49">
      <c r="A49" s="0" t="inlineStr">
        <is>
          <t>SIFT1M</t>
        </is>
      </c>
      <c r="B49" s="0" t="inlineStr">
        <is>
          <t>P52</t>
        </is>
      </c>
      <c r="C49" s="0" t="n">
        <v>0.752639593333333</v>
      </c>
      <c r="D49" s="0" t="n">
        <v>0.577148766666667</v>
      </c>
      <c r="E49" s="0" t="inlineStr">
        <is>
          <t>本单元格先替换为本次原始测量，随后按统一系数调整。
{"k": 10, "ef": 10, "probes": 1, "recall": 0.675, "query_ms": 0.5771487666666666, "verify_ms": 2.997377966666667, "vo_kb": 237.845, "samples": 60, "status": "passed", "output": "/mnt/d/paper_source/work_9/VeriANN_repro_2026-09-30/VeriANN_repro_2026-09-30/results/work9-annproof-low-adjusted-20261021/measurements/sift1m-M8-efc100", "csv_sha256": "09a41dfed5a1db44776998bb8fa0956eeb29806aa2f851a16d0bcd6bde4e518c", "M": 8, "efc": 100, "target": 0.65, "pilot": {"M": 8, "efc": 100, "ef": 10, "recall": 0.675, "valid": true, "pilot": "/mnt/d/paper_source/work_9/VeriANN_repro_2026-09-30/VeriANN_repro_2026-09-30/results/work9-annproof-low-adjusted-20261021/pilots/sift1m-M8-efc100"}}</t>
        </is>
      </c>
    </row>
    <row r="50">
      <c r="A50" s="0" t="inlineStr">
        <is>
          <t>SIFT1M</t>
        </is>
      </c>
      <c r="B50" s="0" t="inlineStr">
        <is>
          <t>Q51</t>
        </is>
      </c>
      <c r="C50" s="0" t="n">
        <v>71.59999999999999</v>
      </c>
      <c r="D50" s="0" t="n">
        <v>72</v>
      </c>
      <c r="E50" s="0" t="inlineStr">
        <is>
          <t>本次真实补测：20条查询IDs100..119×3次，单线程；实际召回率不乘系数。
{"k": 10, "ef": 14, "probes": 1, "recall": 0.7200000000000001, "query_ms": 0.6419091333333333, "verify_ms": 3.46965375, "vo_kb": 276.837, "samples": 60, "status": "passed", "output": "/mnt/d/paper_source/work_9/VeriANN_repro_2026-09-30/VeriANN_repro_2026-09-30/results/work9-annproof-low-adjusted-20261021/measurements/sift1m-M8-efc100", "csv_sha256": "09a41dfed5a1db44776998bb8fa0956eeb29806aa2f851a16d0bcd6bde4e518c", "M": 8, "efc": 100, "target": 0.7, "pilot": {"M": 8, "efc": 100, "ef": 14, "recall": 0.72, "valid": true, "pilot": "/mnt/d/paper_source/work_9/VeriANN_repro_2026-09-30/VeriANN_repro_2026-09-30/results/work9-annproof-low-adjusted-20261021/pilots/sift1m-M8-efc100"}}</t>
        </is>
      </c>
    </row>
    <row r="51">
      <c r="A51" s="0" t="inlineStr">
        <is>
          <t>SIFT1M</t>
        </is>
      </c>
      <c r="B51" s="0" t="inlineStr">
        <is>
          <t>Q52</t>
        </is>
      </c>
      <c r="C51" s="0" t="n">
        <v>0.8841314</v>
      </c>
      <c r="D51" s="0" t="n">
        <v>0.641909133333333</v>
      </c>
      <c r="E51" s="0" t="inlineStr">
        <is>
          <t>本单元格先替换为本次原始测量，随后按统一系数调整。
{"k": 10, "ef": 14, "probes": 1, "recall": 0.7200000000000001, "query_ms": 0.6419091333333333, "verify_ms": 3.46965375, "vo_kb": 276.837, "samples": 60, "status": "passed", "output": "/mnt/d/paper_source/work_9/VeriANN_repro_2026-09-30/VeriANN_repro_2026-09-30/results/work9-annproof-low-adjusted-20261021/measurements/sift1m-M8-efc100", "csv_sha256": "09a41dfed5a1db44776998bb8fa0956eeb29806aa2f851a16d0bcd6bde4e518c", "M": 8, "efc": 100, "target": 0.7, "pilot": {"M": 8, "efc": 100, "ef": 14, "recall": 0.72, "valid": true, "pilot": "/mnt/d/paper_source/work_9/VeriANN_repro_2026-09-30/VeriANN_repro_2026-09-30/results/work9-annproof-low-adjusted-20261021/pilots/sift1m-M8-efc100"}}</t>
        </is>
      </c>
    </row>
    <row r="52">
      <c r="A52" s="0" t="inlineStr">
        <is>
          <t>SIFT1M</t>
        </is>
      </c>
      <c r="B52" s="0" t="inlineStr">
        <is>
          <t>R51</t>
        </is>
      </c>
      <c r="C52" s="0" t="n">
        <v>75.59999999999999</v>
      </c>
      <c r="D52" s="0" t="n">
        <v>75.5</v>
      </c>
      <c r="E52" s="0" t="inlineStr">
        <is>
          <t>本次真实补测：20条查询IDs100..119×3次，单线程；实际召回率不乘系数。
{"k": 10, "ef": 15, "probes": 1, "recall": 0.755, "query_ms": 0.6934900833333333, "verify_ms": 3.6633386166666666, "vo_kb": 293.125, "samples": 60, "status": "passed", "output": "/mnt/d/paper_source/work_9/VeriANN_repro_2026-09-30/VeriANN_repro_2026-09-30/results/work9-annproof-low-adjusted-20261021/measurements/sift1m-M8-efc100", "csv_sha256": "09a41dfed5a1db44776998bb8fa0956eeb29806aa2f851a16d0bcd6bde4e518c", "M": 8, "efc": 100, "target": 0.75, "pilot": {"M": 8, "efc": 100, "ef": 15, "recall": 0.755, "valid": true, "pilot": "/mnt/d/paper_source/work_9/VeriANN_repro_2026-09-30/VeriANN_repro_2026-09-30/results/work9-annproof-low-adjusted-20261021/pilots/sift1m-M8-efc100"}}</t>
        </is>
      </c>
    </row>
    <row r="53">
      <c r="A53" s="0" t="inlineStr">
        <is>
          <t>SIFT1M</t>
        </is>
      </c>
      <c r="B53" s="0" t="inlineStr">
        <is>
          <t>R52</t>
        </is>
      </c>
      <c r="C53" s="0" t="n">
        <v>0.94956975</v>
      </c>
      <c r="D53" s="0" t="n">
        <v>0.693490083333333</v>
      </c>
      <c r="E53" s="0" t="inlineStr">
        <is>
          <t>本单元格先替换为本次原始测量，随后按统一系数调整。
{"k": 10, "ef": 15, "probes": 1, "recall": 0.755, "query_ms": 0.6934900833333333, "verify_ms": 3.6633386166666666, "vo_kb": 293.125, "samples": 60, "status": "passed", "output": "/mnt/d/paper_source/work_9/VeriANN_repro_2026-09-30/VeriANN_repro_2026-09-30/results/work9-annproof-low-adjusted-20261021/measurements/sift1m-M8-efc100", "csv_sha256": "09a41dfed5a1db44776998bb8fa0956eeb29806aa2f851a16d0bcd6bde4e518c", "M": 8, "efc": 100, "target": 0.75, "pilot": {"M": 8, "efc": 100, "ef": 15, "recall": 0.755, "valid": true, "pilot": "/mnt/d/paper_source/work_9/VeriANN_repro_2026-09-30/VeriANN_repro_2026-09-30/results/work9-annproof-low-adjusted-20261021/pilots/sift1m-M8-efc100"}}</t>
        </is>
      </c>
    </row>
    <row r="54">
      <c r="A54" s="0" t="inlineStr">
        <is>
          <t>SIFT1M</t>
        </is>
      </c>
      <c r="B54" s="0" t="inlineStr">
        <is>
          <t>S51</t>
        </is>
      </c>
      <c r="C54" s="0" t="n">
        <v>81.40000000000001</v>
      </c>
      <c r="D54" s="0" t="n">
        <v>80</v>
      </c>
      <c r="E54" s="0" t="inlineStr">
        <is>
          <t>本次真实补测：20条查询IDs100..119×3次，单线程；实际召回率不乘系数。
{"k": 10, "ef": 18, "probes": 1, "recall": 0.8, "query_ms": 0.7979016833333333, "verify_ms": 4.034608700000001, "vo_kb": 322.3252, "samples": 60, "status": "passed", "output": "/mnt/d/paper_source/work_9/VeriANN_repro_2026-09-30/VeriANN_repro_2026-09-30/results/work9-annproof-low-adjusted-20261021/measurements/sift1m-M8-efc100", "csv_sha256": "09a41dfed5a1db44776998bb8fa0956eeb29806aa2f851a16d0bcd6bde4e518c", "M": 8, "efc": 100, "target": 0.8, "pilot": {"M": 8, "efc": 100, "ef": 18, "recall": 0.8, "valid": true, "pilot": "/mnt/d/paper_source/work_9/VeriANN_repro_2026-09-30/VeriANN_repro_2026-09-30/results/work9-annproof-low-adjusted-20261021/pilots/sift1m-M8-efc100"}}</t>
        </is>
      </c>
    </row>
    <row r="55">
      <c r="A55" s="0" t="inlineStr">
        <is>
          <t>SIFT1M</t>
        </is>
      </c>
      <c r="B55" s="0" t="inlineStr">
        <is>
          <t>S52</t>
        </is>
      </c>
      <c r="C55" s="0" t="n">
        <v>1.19981304666667</v>
      </c>
      <c r="D55" s="0" t="n">
        <v>0.797901683333333</v>
      </c>
      <c r="E55" s="0" t="inlineStr">
        <is>
          <t>本单元格先替换为本次原始测量，随后按统一系数调整。
{"k": 10, "ef": 18, "probes": 1, "recall": 0.8, "query_ms": 0.7979016833333333, "verify_ms": 4.034608700000001, "vo_kb": 322.3252, "samples": 60, "status": "passed", "output": "/mnt/d/paper_source/work_9/VeriANN_repro_2026-09-30/VeriANN_repro_2026-09-30/results/work9-annproof-low-adjusted-20261021/measurements/sift1m-M8-efc100", "csv_sha256": "09a41dfed5a1db44776998bb8fa0956eeb29806aa2f851a16d0bcd6bde4e518c", "M": 8, "efc": 100, "target": 0.8, "pilot": {"M": 8, "efc": 100, "ef": 18, "recall": 0.8, "valid": true, "pilot": "/mnt/d/paper_source/work_9/VeriANN_repro_2026-09-30/VeriANN_repro_2026-09-30/results/work9-annproof-low-adjusted-20261021/pilots/sift1m-M8-efc100"}}</t>
        </is>
      </c>
    </row>
    <row r="56">
      <c r="A56" s="0" t="inlineStr">
        <is>
          <t>SIFT1M</t>
        </is>
      </c>
      <c r="B56" s="0" t="inlineStr">
        <is>
          <t>F10</t>
        </is>
      </c>
      <c r="C56" s="0" t="n">
        <v>2.79075900666667</v>
      </c>
      <c r="D56" s="0" t="n">
        <v>3.348910808</v>
      </c>
      <c r="E56" s="0" t="inlineStr">
        <is>
          <t>用户指定系数调整值；不是原始实测数值。指标=query_ms；原始值=2.7907590066666699；系数=1.2；调整值=3.3489108080000038。召回率不调整。原始CSV/附表保留。</t>
        </is>
      </c>
    </row>
    <row r="57">
      <c r="A57" s="0" t="inlineStr">
        <is>
          <t>SIFT1M</t>
        </is>
      </c>
      <c r="B57" s="0" t="inlineStr">
        <is>
          <t>G10</t>
        </is>
      </c>
      <c r="C57" s="0" t="n">
        <v>1071.01752</v>
      </c>
      <c r="D57" s="0" t="n">
        <v>2142.03504</v>
      </c>
      <c r="E57" s="0" t="inlineStr">
        <is>
          <t>用户指定系数调整值；不是原始实测数值。指标=vo_kb；原始值=1071.0175200000001；系数=2.0；调整值=2142.0350400000002。召回率不调整。原始CSV/附表保留。</t>
        </is>
      </c>
    </row>
    <row r="58">
      <c r="A58" s="0" t="inlineStr">
        <is>
          <t>SIFT1M</t>
        </is>
      </c>
      <c r="B58" s="0" t="inlineStr">
        <is>
          <t>H10</t>
        </is>
      </c>
      <c r="C58" s="0" t="n">
        <v>13.5371411</v>
      </c>
      <c r="D58" s="0" t="n">
        <v>20.30571165</v>
      </c>
      <c r="E58" s="0" t="inlineStr">
        <is>
          <t>用户指定系数调整值；不是原始实测数值。指标=verify_ms；原始值=13.537141099999999；系数=1.5；调整值=20.305711649999999。召回率不调整。原始CSV/附表保留。</t>
        </is>
      </c>
    </row>
    <row r="59">
      <c r="A59" s="0" t="inlineStr">
        <is>
          <t>SIFT1M</t>
        </is>
      </c>
      <c r="B59" s="0" t="inlineStr">
        <is>
          <t>F24</t>
        </is>
      </c>
      <c r="C59" s="0" t="n">
        <v>237.845</v>
      </c>
      <c r="D59" s="0" t="n">
        <v>475.69</v>
      </c>
      <c r="E59" s="0" t="inlineStr">
        <is>
          <t>用户指定系数调整值；不是原始实测数值。指标=vo_kb；原始值=237.845；系数=2.0；调整值=475.69。召回率不调整。原始CSV/附表保留。</t>
        </is>
      </c>
    </row>
    <row r="60">
      <c r="A60" s="0" t="inlineStr">
        <is>
          <t>SIFT1M</t>
        </is>
      </c>
      <c r="B60" s="0" t="inlineStr">
        <is>
          <t>G24</t>
        </is>
      </c>
      <c r="C60" s="0" t="n">
        <v>237.845</v>
      </c>
      <c r="D60" s="0" t="n">
        <v>475.69</v>
      </c>
      <c r="E60" s="0" t="inlineStr">
        <is>
          <t>用户指定系数调整值；不是原始实测数值。指标=vo_kb；原始值=237.845；系数=2.0；调整值=475.69。召回率不调整。原始CSV/附表保留。</t>
        </is>
      </c>
    </row>
    <row r="61">
      <c r="A61" s="0" t="inlineStr">
        <is>
          <t>SIFT1M</t>
        </is>
      </c>
      <c r="B61" s="0" t="inlineStr">
        <is>
          <t>H24</t>
        </is>
      </c>
      <c r="C61" s="0" t="n">
        <v>237.845</v>
      </c>
      <c r="D61" s="0" t="n">
        <v>475.69</v>
      </c>
      <c r="E61" s="0" t="inlineStr">
        <is>
          <t>用户指定系数调整值；不是原始实测数值。指标=vo_kb；原始值=237.845；系数=2.0；调整值=475.69。召回率不调整。原始CSV/附表保留。</t>
        </is>
      </c>
    </row>
    <row r="62">
      <c r="A62" s="0" t="inlineStr">
        <is>
          <t>SIFT1M</t>
        </is>
      </c>
      <c r="B62" s="0" t="inlineStr">
        <is>
          <t>I24</t>
        </is>
      </c>
      <c r="C62" s="0" t="n">
        <v>237.845</v>
      </c>
      <c r="D62" s="0" t="n">
        <v>475.69</v>
      </c>
      <c r="E62" s="0" t="inlineStr">
        <is>
          <t>用户指定系数调整值；不是原始实测数值。指标=vo_kb；原始值=237.845；系数=2.0；调整值=475.69。召回率不调整。原始CSV/附表保留。</t>
        </is>
      </c>
    </row>
    <row r="63">
      <c r="A63" s="0" t="inlineStr">
        <is>
          <t>SIFT1M</t>
        </is>
      </c>
      <c r="B63" s="0" t="inlineStr">
        <is>
          <t>J24</t>
        </is>
      </c>
      <c r="C63" s="0" t="n">
        <v>237.845</v>
      </c>
      <c r="D63" s="0" t="n">
        <v>475.69</v>
      </c>
      <c r="E63" s="0" t="inlineStr">
        <is>
          <t>用户指定系数调整值；不是原始实测数值。指标=vo_kb；原始值=237.845；系数=2.0；调整值=475.69。召回率不调整。原始CSV/附表保留。</t>
        </is>
      </c>
    </row>
    <row r="64">
      <c r="A64" s="0" t="inlineStr">
        <is>
          <t>SIFT1M</t>
        </is>
      </c>
      <c r="B64" s="0" t="inlineStr">
        <is>
          <t>K24</t>
        </is>
      </c>
      <c r="C64" s="0" t="n">
        <v>459.1644</v>
      </c>
      <c r="D64" s="0" t="n">
        <v>918.3288</v>
      </c>
      <c r="E64" s="0" t="inlineStr">
        <is>
          <t>用户指定系数调整值；不是原始实测数值。指标=vo_kb；原始值=459.1644；系数=2.0；调整值=918.3288。召回率不调整。原始CSV/附表保留。</t>
        </is>
      </c>
    </row>
    <row r="65">
      <c r="A65" s="0" t="inlineStr">
        <is>
          <t>SIFT1M</t>
        </is>
      </c>
      <c r="B65" s="0" t="inlineStr">
        <is>
          <t>L24</t>
        </is>
      </c>
      <c r="C65" s="0" t="n">
        <v>142.036</v>
      </c>
      <c r="D65" s="0" t="n">
        <v>284.072</v>
      </c>
      <c r="E65" s="0" t="inlineStr">
        <is>
          <t>用户指定系数调整值；不是原始实测数值。指标=vo_kb；原始值=142.036；系数=2.0；调整值=284.072。召回率不调整。原始CSV/附表保留。</t>
        </is>
      </c>
    </row>
    <row r="66">
      <c r="A66" s="0" t="inlineStr">
        <is>
          <t>SIFT1M</t>
        </is>
      </c>
      <c r="B66" s="0" t="inlineStr">
        <is>
          <t>M24</t>
        </is>
      </c>
      <c r="C66" s="0" t="n">
        <v>159.9764</v>
      </c>
      <c r="D66" s="0" t="n">
        <v>319.9528</v>
      </c>
      <c r="E66" s="0" t="inlineStr">
        <is>
          <t>用户指定系数调整值；不是原始实测数值。指标=vo_kb；原始值=159.97639999999998；系数=2.0；调整值=319.95279999999997。召回率不调整。原始CSV/附表保留。</t>
        </is>
      </c>
    </row>
    <row r="67">
      <c r="A67" s="0" t="inlineStr">
        <is>
          <t>SIFT1M</t>
        </is>
      </c>
      <c r="B67" s="0" t="inlineStr">
        <is>
          <t>N24</t>
        </is>
      </c>
      <c r="C67" s="0" t="n">
        <v>181.2134</v>
      </c>
      <c r="D67" s="0" t="n">
        <v>362.4268</v>
      </c>
      <c r="E67" s="0" t="inlineStr">
        <is>
          <t>用户指定系数调整值；不是原始实测数值。指标=vo_kb；原始值=181.21340000000001；系数=2.0；调整值=362.42680000000001。召回率不调整。原始CSV/附表保留。</t>
        </is>
      </c>
    </row>
    <row r="68">
      <c r="A68" s="0" t="inlineStr">
        <is>
          <t>SIFT1M</t>
        </is>
      </c>
      <c r="B68" s="0" t="inlineStr">
        <is>
          <t>O24</t>
        </is>
      </c>
      <c r="C68" s="0" t="n">
        <v>209.081</v>
      </c>
      <c r="D68" s="0" t="n">
        <v>418.162</v>
      </c>
      <c r="E68" s="0" t="inlineStr">
        <is>
          <t>用户指定系数调整值；不是原始实测数值。指标=vo_kb；原始值=209.08099999999999；系数=2.0；调整值=418.16199999999998。召回率不调整。原始CSV/附表保留。</t>
        </is>
      </c>
    </row>
    <row r="69">
      <c r="A69" s="0" t="inlineStr">
        <is>
          <t>SIFT1M</t>
        </is>
      </c>
      <c r="B69" s="0" t="inlineStr">
        <is>
          <t>P24</t>
        </is>
      </c>
      <c r="C69" s="0" t="n">
        <v>237.845</v>
      </c>
      <c r="D69" s="0" t="n">
        <v>475.69</v>
      </c>
      <c r="E69" s="0" t="inlineStr">
        <is>
          <t>用户指定系数调整值；不是原始实测数值。指标=vo_kb；原始值=237.845；系数=2.0；调整值=475.69。召回率不调整。原始CSV/附表保留。</t>
        </is>
      </c>
    </row>
    <row r="70">
      <c r="A70" s="0" t="inlineStr">
        <is>
          <t>SIFT1M</t>
        </is>
      </c>
      <c r="B70" s="0" t="inlineStr">
        <is>
          <t>Q24</t>
        </is>
      </c>
      <c r="C70" s="0" t="n">
        <v>276.837</v>
      </c>
      <c r="D70" s="0" t="n">
        <v>553.674</v>
      </c>
      <c r="E70" s="0" t="inlineStr">
        <is>
          <t>用户指定系数调整值；不是原始实测数值。指标=vo_kb；原始值=276.83699999999999；系数=2.0；调整值=553.67399999999998。召回率不调整。原始CSV/附表保留。</t>
        </is>
      </c>
    </row>
    <row r="71">
      <c r="A71" s="0" t="inlineStr">
        <is>
          <t>SIFT1M</t>
        </is>
      </c>
      <c r="B71" s="0" t="inlineStr">
        <is>
          <t>R24</t>
        </is>
      </c>
      <c r="C71" s="0" t="n">
        <v>293.125</v>
      </c>
      <c r="D71" s="0" t="n">
        <v>586.25</v>
      </c>
      <c r="E71" s="0" t="inlineStr">
        <is>
          <t>用户指定系数调整值；不是原始实测数值。指标=vo_kb；原始值=293.125；系数=2.0；调整值=586.25。召回率不调整。原始CSV/附表保留。</t>
        </is>
      </c>
    </row>
    <row r="72">
      <c r="A72" s="0" t="inlineStr">
        <is>
          <t>SIFT1M</t>
        </is>
      </c>
      <c r="B72" s="0" t="inlineStr">
        <is>
          <t>S24</t>
        </is>
      </c>
      <c r="C72" s="0" t="n">
        <v>322.3252</v>
      </c>
      <c r="D72" s="0" t="n">
        <v>644.6504</v>
      </c>
      <c r="E72" s="0" t="inlineStr">
        <is>
          <t>用户指定系数调整值；不是原始实测数值。指标=vo_kb；原始值=322.3252；系数=2.0；调整值=644.65039999999999。召回率不调整。原始CSV/附表保留。</t>
        </is>
      </c>
    </row>
    <row r="73">
      <c r="A73" s="0" t="inlineStr">
        <is>
          <t>SIFT1M</t>
        </is>
      </c>
      <c r="B73" s="0" t="inlineStr">
        <is>
          <t>T24</t>
        </is>
      </c>
      <c r="C73" s="0" t="n">
        <v>629.9272</v>
      </c>
      <c r="D73" s="0" t="n">
        <v>1259.8544</v>
      </c>
      <c r="E73" s="0" t="inlineStr">
        <is>
          <t>用户指定系数调整值；不是原始实测数值。指标=vo_kb；原始值=629.92719999999997；系数=2.0；调整值=1259.8543999999999。召回率不调整。原始CSV/附表保留。</t>
        </is>
      </c>
    </row>
    <row r="74">
      <c r="A74" s="0" t="inlineStr">
        <is>
          <t>SIFT1M</t>
        </is>
      </c>
      <c r="B74" s="0" t="inlineStr">
        <is>
          <t>U24</t>
        </is>
      </c>
      <c r="C74" s="0" t="n">
        <v>775.95196</v>
      </c>
      <c r="D74" s="0" t="n">
        <v>1551.90392</v>
      </c>
      <c r="E74" s="0" t="inlineStr">
        <is>
          <t>用户指定系数调整值；不是原始实测数值。指标=vo_kb；原始值=775.95195999999999；系数=2.0；调整值=1551.90392。召回率不调整。原始CSV/附表保留。</t>
        </is>
      </c>
    </row>
    <row r="75">
      <c r="A75" s="0" t="inlineStr">
        <is>
          <t>SIFT1M</t>
        </is>
      </c>
      <c r="B75" s="0" t="inlineStr">
        <is>
          <t>V24</t>
        </is>
      </c>
      <c r="C75" s="0" t="n">
        <v>1071.01752</v>
      </c>
      <c r="D75" s="0" t="n">
        <v>2142.03504</v>
      </c>
      <c r="E75" s="0" t="inlineStr">
        <is>
          <t>用户指定系数调整值；不是原始实测数值。指标=vo_kb；原始值=1071.0175200000001；系数=2.0；调整值=2142.0350400000002。召回率不调整。原始CSV/附表保留。</t>
        </is>
      </c>
    </row>
    <row r="76">
      <c r="A76" s="0" t="inlineStr">
        <is>
          <t>SIFT1M</t>
        </is>
      </c>
      <c r="B76" s="0" t="inlineStr">
        <is>
          <t>W24</t>
        </is>
      </c>
      <c r="C76" s="0" t="n">
        <v>1533.3312</v>
      </c>
      <c r="D76" s="0" t="n">
        <v>3066.6624</v>
      </c>
      <c r="E76" s="0" t="inlineStr">
        <is>
          <t>用户指定系数调整值；不是原始实测数值。指标=vo_kb；原始值=1533.3312000000001；系数=2.0；调整值=3066.6624000000002。召回率不调整。原始CSV/附表保留。</t>
        </is>
      </c>
    </row>
    <row r="77">
      <c r="A77" s="0" t="inlineStr">
        <is>
          <t>SIFT1M</t>
        </is>
      </c>
      <c r="B77" s="0" t="inlineStr">
        <is>
          <t>X24</t>
        </is>
      </c>
      <c r="C77" s="0" t="n">
        <v>2202.81128</v>
      </c>
      <c r="D77" s="0" t="n">
        <v>4405.62256</v>
      </c>
      <c r="E77" s="0" t="inlineStr">
        <is>
          <t>用户指定系数调整值；不是原始实测数值。指标=vo_kb；原始值=2202.8112799999999；系数=2.0；调整值=4405.6225599999998。召回率不调整。原始CSV/附表保留。</t>
        </is>
      </c>
    </row>
    <row r="78">
      <c r="A78" s="0" t="inlineStr">
        <is>
          <t>SIFT1M</t>
        </is>
      </c>
      <c r="B78" s="0" t="inlineStr">
        <is>
          <t>Y24</t>
        </is>
      </c>
      <c r="C78" s="0" t="n">
        <v>3757.36496</v>
      </c>
      <c r="D78" s="0" t="n">
        <v>7514.72992</v>
      </c>
      <c r="E78" s="0" t="inlineStr">
        <is>
          <t>用户指定系数调整值；不是原始实测数值。指标=vo_kb；原始值=3757.3649599999999；系数=2.0；调整值=7514.7299199999998。召回率不调整。原始CSV/附表保留。</t>
        </is>
      </c>
    </row>
    <row r="79">
      <c r="A79" s="0" t="inlineStr">
        <is>
          <t>SIFT1M</t>
        </is>
      </c>
      <c r="B79" s="0" t="inlineStr">
        <is>
          <t>F38</t>
        </is>
      </c>
      <c r="C79" s="0" t="n">
        <v>2.8806561</v>
      </c>
      <c r="D79" s="0" t="n">
        <v>4.32098415</v>
      </c>
      <c r="E79" s="0" t="inlineStr">
        <is>
          <t>用户指定系数调整值；不是原始实测数值。指标=verify_ms；原始值=2.8806560999999999；系数=1.5；调整值=4.3209841500000001。召回率不调整。原始CSV/附表保留。</t>
        </is>
      </c>
    </row>
    <row r="80">
      <c r="A80" s="0" t="inlineStr">
        <is>
          <t>SIFT1M</t>
        </is>
      </c>
      <c r="B80" s="0" t="inlineStr">
        <is>
          <t>G38</t>
        </is>
      </c>
      <c r="C80" s="0" t="n">
        <v>2.8806561</v>
      </c>
      <c r="D80" s="0" t="n">
        <v>4.32098415</v>
      </c>
      <c r="E80" s="0" t="inlineStr">
        <is>
          <t>用户指定系数调整值；不是原始实测数值。指标=verify_ms；原始值=2.8806560999999999；系数=1.5；调整值=4.3209841500000001。召回率不调整。原始CSV/附表保留。</t>
        </is>
      </c>
    </row>
    <row r="81">
      <c r="A81" s="0" t="inlineStr">
        <is>
          <t>SIFT1M</t>
        </is>
      </c>
      <c r="B81" s="0" t="inlineStr">
        <is>
          <t>H38</t>
        </is>
      </c>
      <c r="C81" s="0" t="n">
        <v>2.8806561</v>
      </c>
      <c r="D81" s="0" t="n">
        <v>4.32098415</v>
      </c>
      <c r="E81" s="0" t="inlineStr">
        <is>
          <t>用户指定系数调整值；不是原始实测数值。指标=verify_ms；原始值=2.8806560999999999；系数=1.5；调整值=4.3209841500000001。召回率不调整。原始CSV/附表保留。</t>
        </is>
      </c>
    </row>
    <row r="82">
      <c r="A82" s="0" t="inlineStr">
        <is>
          <t>SIFT1M</t>
        </is>
      </c>
      <c r="B82" s="0" t="inlineStr">
        <is>
          <t>I38</t>
        </is>
      </c>
      <c r="C82" s="0" t="n">
        <v>2.8806561</v>
      </c>
      <c r="D82" s="0" t="n">
        <v>4.32098415</v>
      </c>
      <c r="E82" s="0" t="inlineStr">
        <is>
          <t>用户指定系数调整值；不是原始实测数值。指标=verify_ms；原始值=2.8806560999999999；系数=1.5；调整值=4.3209841500000001。召回率不调整。原始CSV/附表保留。</t>
        </is>
      </c>
    </row>
    <row r="83">
      <c r="A83" s="0" t="inlineStr">
        <is>
          <t>SIFT1M</t>
        </is>
      </c>
      <c r="B83" s="0" t="inlineStr">
        <is>
          <t>J38</t>
        </is>
      </c>
      <c r="C83" s="0" t="n">
        <v>2.8806561</v>
      </c>
      <c r="D83" s="0" t="n">
        <v>4.32098415</v>
      </c>
      <c r="E83" s="0" t="inlineStr">
        <is>
          <t>用户指定系数调整值；不是原始实测数值。指标=verify_ms；原始值=2.8806560999999999；系数=1.5；调整值=4.3209841500000001。召回率不调整。原始CSV/附表保留。</t>
        </is>
      </c>
    </row>
    <row r="84">
      <c r="A84" s="0" t="inlineStr">
        <is>
          <t>SIFT1M</t>
        </is>
      </c>
      <c r="B84" s="0" t="inlineStr">
        <is>
          <t>K38</t>
        </is>
      </c>
      <c r="C84" s="0" t="n">
        <v>6.1179485</v>
      </c>
      <c r="D84" s="0" t="n">
        <v>9.176922749999999</v>
      </c>
      <c r="E84" s="0" t="inlineStr">
        <is>
          <t>用户指定系数调整值；不是原始实测数值。指标=verify_ms；原始值=6.1179484999999998；系数=1.5；调整值=9.1769227499999992。召回率不调整。原始CSV/附表保留。</t>
        </is>
      </c>
    </row>
    <row r="85">
      <c r="A85" s="0" t="inlineStr">
        <is>
          <t>SIFT1M</t>
        </is>
      </c>
      <c r="B85" s="0" t="inlineStr">
        <is>
          <t>L38</t>
        </is>
      </c>
      <c r="C85" s="0" t="n">
        <v>1.81234635</v>
      </c>
      <c r="D85" s="0" t="n">
        <v>2.718519525</v>
      </c>
      <c r="E85" s="0" t="inlineStr">
        <is>
          <t>用户指定系数调整值；不是原始实测数值。指标=verify_ms；原始值=1.8123463499999999；系数=1.5；调整值=2.7185195249999996。召回率不调整。原始CSV/附表保留。</t>
        </is>
      </c>
    </row>
    <row r="86">
      <c r="A86" s="0" t="inlineStr">
        <is>
          <t>SIFT1M</t>
        </is>
      </c>
      <c r="B86" s="0" t="inlineStr">
        <is>
          <t>M38</t>
        </is>
      </c>
      <c r="C86" s="0" t="n">
        <v>2.09304531666667</v>
      </c>
      <c r="D86" s="0" t="n">
        <v>3.139567975</v>
      </c>
      <c r="E86" s="0" t="inlineStr">
        <is>
          <t>用户指定系数调整值；不是原始实测数值。指标=verify_ms；原始值=2.0930453166666667；系数=1.5；调整值=3.1395679750000003。召回率不调整。原始CSV/附表保留。</t>
        </is>
      </c>
    </row>
    <row r="87">
      <c r="A87" s="0" t="inlineStr">
        <is>
          <t>SIFT1M</t>
        </is>
      </c>
      <c r="B87" s="0" t="inlineStr">
        <is>
          <t>N38</t>
        </is>
      </c>
      <c r="C87" s="0" t="n">
        <v>2.40953593333333</v>
      </c>
      <c r="D87" s="0" t="n">
        <v>3.6143039</v>
      </c>
      <c r="E87" s="0" t="inlineStr">
        <is>
          <t>用户指定系数调整值；不是原始实测数值。指标=verify_ms；原始值=2.4095359333333333；系数=1.5；调整值=3.6143038999999999。召回率不调整。原始CSV/附表保留。</t>
        </is>
      </c>
    </row>
    <row r="88">
      <c r="A88" s="0" t="inlineStr">
        <is>
          <t>SIFT1M</t>
        </is>
      </c>
      <c r="B88" s="0" t="inlineStr">
        <is>
          <t>O38</t>
        </is>
      </c>
      <c r="C88" s="0" t="n">
        <v>2.72576833333333</v>
      </c>
      <c r="D88" s="0" t="n">
        <v>4.0886525</v>
      </c>
      <c r="E88" s="0" t="inlineStr">
        <is>
          <t>用户指定系数调整值；不是原始实测数值。指标=verify_ms；原始值=2.7257683333333333；系数=1.5；调整值=4.0886525000000002。召回率不调整。原始CSV/附表保留。</t>
        </is>
      </c>
    </row>
    <row r="89">
      <c r="A89" s="0" t="inlineStr">
        <is>
          <t>SIFT1M</t>
        </is>
      </c>
      <c r="B89" s="0" t="inlineStr">
        <is>
          <t>P38</t>
        </is>
      </c>
      <c r="C89" s="0" t="n">
        <v>2.99737796666667</v>
      </c>
      <c r="D89" s="0" t="n">
        <v>4.49606695</v>
      </c>
      <c r="E89" s="0" t="inlineStr">
        <is>
          <t>用户指定系数调整值；不是原始实测数值。指标=verify_ms；原始值=2.9973779666666669；系数=1.5；调整值=4.4960669500000003。召回率不调整。原始CSV/附表保留。</t>
        </is>
      </c>
    </row>
    <row r="90">
      <c r="A90" s="0" t="inlineStr">
        <is>
          <t>SIFT1M</t>
        </is>
      </c>
      <c r="B90" s="0" t="inlineStr">
        <is>
          <t>Q38</t>
        </is>
      </c>
      <c r="C90" s="0" t="n">
        <v>3.46965375</v>
      </c>
      <c r="D90" s="0" t="n">
        <v>5.204480625</v>
      </c>
      <c r="E90" s="0" t="inlineStr">
        <is>
          <t>用户指定系数调整值；不是原始实测数值。指标=verify_ms；原始值=3.46965375；系数=1.5；调整值=5.2044806250000004。召回率不调整。原始CSV/附表保留。</t>
        </is>
      </c>
    </row>
    <row r="91">
      <c r="A91" s="0" t="inlineStr">
        <is>
          <t>SIFT1M</t>
        </is>
      </c>
      <c r="B91" s="0" t="inlineStr">
        <is>
          <t>R38</t>
        </is>
      </c>
      <c r="C91" s="0" t="n">
        <v>3.66333861666667</v>
      </c>
      <c r="D91" s="0" t="n">
        <v>5.495007925</v>
      </c>
      <c r="E91" s="0" t="inlineStr">
        <is>
          <t>用户指定系数调整值；不是原始实测数值。指标=verify_ms；原始值=3.6633386166666666；系数=1.5；调整值=5.4950079249999995。召回率不调整。原始CSV/附表保留。</t>
        </is>
      </c>
    </row>
    <row r="92">
      <c r="A92" s="0" t="inlineStr">
        <is>
          <t>SIFT1M</t>
        </is>
      </c>
      <c r="B92" s="0" t="inlineStr">
        <is>
          <t>S38</t>
        </is>
      </c>
      <c r="C92" s="0" t="n">
        <v>4.0346087</v>
      </c>
      <c r="D92" s="0" t="n">
        <v>6.05191305</v>
      </c>
      <c r="E92" s="0" t="inlineStr">
        <is>
          <t>用户指定系数调整值；不是原始实测数值。指标=verify_ms；原始值=4.0346087000000006；系数=1.5；调整值=6.0519130500000013。召回率不调整。原始CSV/附表保留。</t>
        </is>
      </c>
    </row>
    <row r="93">
      <c r="A93" s="0" t="inlineStr">
        <is>
          <t>SIFT1M</t>
        </is>
      </c>
      <c r="B93" s="0" t="inlineStr">
        <is>
          <t>T38</t>
        </is>
      </c>
      <c r="C93" s="0" t="n">
        <v>7.90480122</v>
      </c>
      <c r="D93" s="0" t="n">
        <v>11.85720183</v>
      </c>
      <c r="E93" s="0" t="inlineStr">
        <is>
          <t>用户指定系数调整值；不是原始实测数值。指标=verify_ms；原始值=7.9048012200000004；系数=1.5；调整值=11.857201830000001。召回率不调整。原始CSV/附表保留。</t>
        </is>
      </c>
    </row>
    <row r="94">
      <c r="A94" s="0" t="inlineStr">
        <is>
          <t>SIFT1M</t>
        </is>
      </c>
      <c r="B94" s="0" t="inlineStr">
        <is>
          <t>U38</t>
        </is>
      </c>
      <c r="C94" s="0" t="n">
        <v>9.777948606666669</v>
      </c>
      <c r="D94" s="0" t="n">
        <v>14.66692291</v>
      </c>
      <c r="E94" s="0" t="inlineStr">
        <is>
          <t>用户指定系数调整值；不是原始实测数值。指标=verify_ms；原始值=9.7779486066666692；系数=1.5；调整值=14.666922910000004。召回率不调整。原始CSV/附表保留。</t>
        </is>
      </c>
    </row>
    <row r="95">
      <c r="A95" s="0" t="inlineStr">
        <is>
          <t>SIFT1M</t>
        </is>
      </c>
      <c r="B95" s="0" t="inlineStr">
        <is>
          <t>V38</t>
        </is>
      </c>
      <c r="C95" s="0" t="n">
        <v>13.50564445</v>
      </c>
      <c r="D95" s="0" t="n">
        <v>20.258466675</v>
      </c>
      <c r="E95" s="0" t="inlineStr">
        <is>
          <t>用户指定系数调整值；不是原始实测数值。指标=verify_ms；原始值=13.50564445；系数=1.5；调整值=20.258466675000001。召回率不调整。原始CSV/附表保留。</t>
        </is>
      </c>
    </row>
    <row r="96">
      <c r="A96" s="0" t="inlineStr">
        <is>
          <t>SIFT1M</t>
        </is>
      </c>
      <c r="B96" s="0" t="inlineStr">
        <is>
          <t>W38</t>
        </is>
      </c>
      <c r="C96" s="0" t="n">
        <v>19.3207201966667</v>
      </c>
      <c r="D96" s="0" t="n">
        <v>28.9810802950001</v>
      </c>
      <c r="E96" s="0" t="inlineStr">
        <is>
          <t>用户指定系数调整值；不是原始实测数值。指标=verify_ms；原始值=19.320720196666699；系数=1.5；调整值=28.981080295000048。召回率不调整。原始CSV/附表保留。</t>
        </is>
      </c>
    </row>
    <row r="97">
      <c r="A97" s="0" t="inlineStr">
        <is>
          <t>SIFT1M</t>
        </is>
      </c>
      <c r="B97" s="0" t="inlineStr">
        <is>
          <t>X38</t>
        </is>
      </c>
      <c r="C97" s="0" t="n">
        <v>27.84074771</v>
      </c>
      <c r="D97" s="0" t="n">
        <v>41.761121565</v>
      </c>
      <c r="E97" s="0" t="inlineStr">
        <is>
          <t>用户指定系数调整值；不是原始实测数值。指标=verify_ms；原始值=27.840747709999999；系数=1.5；调整值=41.761121564999996。召回率不调整。原始CSV/附表保留。</t>
        </is>
      </c>
    </row>
    <row r="98">
      <c r="A98" s="0" t="inlineStr">
        <is>
          <t>SIFT1M</t>
        </is>
      </c>
      <c r="B98" s="0" t="inlineStr">
        <is>
          <t>Y38</t>
        </is>
      </c>
      <c r="C98" s="0" t="n">
        <v>47.2809814133333</v>
      </c>
      <c r="D98" s="0" t="n">
        <v>70.9214721199999</v>
      </c>
      <c r="E98" s="0" t="inlineStr">
        <is>
          <t>用户指定系数调整值；不是原始实测数值。指标=verify_ms；原始值=47.280981413333301；系数=1.5；调整值=70.921472119999947。召回率不调整。原始CSV/附表保留。</t>
        </is>
      </c>
    </row>
    <row r="99">
      <c r="A99" s="0" t="inlineStr">
        <is>
          <t>SIFT1M</t>
        </is>
      </c>
      <c r="B99" s="0" t="inlineStr">
        <is>
          <t>F52</t>
        </is>
      </c>
      <c r="C99" s="0" t="n">
        <v>0.5660790999999999</v>
      </c>
      <c r="D99" s="0" t="n">
        <v>0.67929492</v>
      </c>
      <c r="E99" s="0" t="inlineStr">
        <is>
          <t>用户指定系数调整值；不是原始实测数值。指标=query_ms；原始值=0.56607909999999995；系数=1.2；调整值=0.67929491999999991。召回率不调整。原始CSV/附表保留。</t>
        </is>
      </c>
    </row>
    <row r="100">
      <c r="A100" s="0" t="inlineStr">
        <is>
          <t>SIFT1M</t>
        </is>
      </c>
      <c r="B100" s="0" t="inlineStr">
        <is>
          <t>G52</t>
        </is>
      </c>
      <c r="C100" s="0" t="n">
        <v>0.5660790999999999</v>
      </c>
      <c r="D100" s="0" t="n">
        <v>0.67929492</v>
      </c>
      <c r="E100" s="0" t="inlineStr">
        <is>
          <t>用户指定系数调整值；不是原始实测数值。指标=query_ms；原始值=0.56607909999999995；系数=1.2；调整值=0.67929491999999991。召回率不调整。原始CSV/附表保留。</t>
        </is>
      </c>
    </row>
    <row r="101">
      <c r="A101" s="0" t="inlineStr">
        <is>
          <t>SIFT1M</t>
        </is>
      </c>
      <c r="B101" s="0" t="inlineStr">
        <is>
          <t>H52</t>
        </is>
      </c>
      <c r="C101" s="0" t="n">
        <v>0.5660790999999999</v>
      </c>
      <c r="D101" s="0" t="n">
        <v>0.67929492</v>
      </c>
      <c r="E101" s="0" t="inlineStr">
        <is>
          <t>用户指定系数调整值；不是原始实测数值。指标=query_ms；原始值=0.56607909999999995；系数=1.2；调整值=0.67929491999999991。召回率不调整。原始CSV/附表保留。</t>
        </is>
      </c>
    </row>
    <row r="102">
      <c r="A102" s="0" t="inlineStr">
        <is>
          <t>SIFT1M</t>
        </is>
      </c>
      <c r="B102" s="0" t="inlineStr">
        <is>
          <t>I52</t>
        </is>
      </c>
      <c r="C102" s="0" t="n">
        <v>0.5660790999999999</v>
      </c>
      <c r="D102" s="0" t="n">
        <v>0.67929492</v>
      </c>
      <c r="E102" s="0" t="inlineStr">
        <is>
          <t>用户指定系数调整值；不是原始实测数值。指标=query_ms；原始值=0.56607909999999995；系数=1.2；调整值=0.67929491999999991。召回率不调整。原始CSV/附表保留。</t>
        </is>
      </c>
    </row>
    <row r="103">
      <c r="A103" s="0" t="inlineStr">
        <is>
          <t>SIFT1M</t>
        </is>
      </c>
      <c r="B103" s="0" t="inlineStr">
        <is>
          <t>J52</t>
        </is>
      </c>
      <c r="C103" s="0" t="n">
        <v>0.5660790999999999</v>
      </c>
      <c r="D103" s="0" t="n">
        <v>0.67929492</v>
      </c>
      <c r="E103" s="0" t="inlineStr">
        <is>
          <t>用户指定系数调整值；不是原始实测数值。指标=query_ms；原始值=0.56607909999999995；系数=1.2；调整值=0.67929491999999991。召回率不调整。原始CSV/附表保留。</t>
        </is>
      </c>
    </row>
    <row r="104">
      <c r="A104" s="0" t="inlineStr">
        <is>
          <t>SIFT1M</t>
        </is>
      </c>
      <c r="B104" s="0" t="inlineStr">
        <is>
          <t>K52</t>
        </is>
      </c>
      <c r="C104" s="0" t="n">
        <v>1.39776288333333</v>
      </c>
      <c r="D104" s="0" t="n">
        <v>1.67731546</v>
      </c>
      <c r="E104" s="0" t="inlineStr">
        <is>
          <t>用户指定系数调整值；不是原始实测数值。指标=query_ms；原始值=1.3977628833333333；系数=1.2；调整值=1.67731546。召回率不调整。原始CSV/附表保留。</t>
        </is>
      </c>
    </row>
    <row r="105">
      <c r="A105" s="0" t="inlineStr">
        <is>
          <t>SIFT1M</t>
        </is>
      </c>
      <c r="B105" s="0" t="inlineStr">
        <is>
          <t>L52</t>
        </is>
      </c>
      <c r="C105" s="0" t="n">
        <v>0.35538375</v>
      </c>
      <c r="D105" s="0" t="n">
        <v>0.4264605</v>
      </c>
      <c r="E105" s="0" t="inlineStr">
        <is>
          <t>用户指定系数调整值；不是原始实测数值。指标=query_ms；原始值=0.35538375；系数=1.2；调整值=0.42646049999999996。召回率不调整。原始CSV/附表保留。</t>
        </is>
      </c>
    </row>
    <row r="106">
      <c r="A106" s="0" t="inlineStr">
        <is>
          <t>SIFT1M</t>
        </is>
      </c>
      <c r="B106" s="0" t="inlineStr">
        <is>
          <t>M52</t>
        </is>
      </c>
      <c r="C106" s="0" t="n">
        <v>0.421742466666667</v>
      </c>
      <c r="D106" s="0" t="n">
        <v>0.50609096</v>
      </c>
      <c r="E106" s="0" t="inlineStr">
        <is>
          <t>用户指定系数调整值；不是原始实测数值。指标=query_ms；原始值=0.4217424666666667；系数=1.2；调整值=0.50609095999999998。召回率不调整。原始CSV/附表保留。</t>
        </is>
      </c>
    </row>
    <row r="107">
      <c r="A107" s="0" t="inlineStr">
        <is>
          <t>SIFT1M</t>
        </is>
      </c>
      <c r="B107" s="0" t="inlineStr">
        <is>
          <t>N52</t>
        </is>
      </c>
      <c r="C107" s="0" t="n">
        <v>0.501874983333333</v>
      </c>
      <c r="D107" s="0" t="n">
        <v>0.60224998</v>
      </c>
      <c r="E107" s="0" t="inlineStr">
        <is>
          <t>用户指定系数调整值；不是原始实测数值。指标=query_ms；原始值=0.50187498333333336；系数=1.2；调整值=0.60224997999999996。召回率不调整。原始CSV/附表保留。</t>
        </is>
      </c>
    </row>
    <row r="108">
      <c r="A108" s="0" t="inlineStr">
        <is>
          <t>SIFT1M</t>
        </is>
      </c>
      <c r="B108" s="0" t="inlineStr">
        <is>
          <t>O52</t>
        </is>
      </c>
      <c r="C108" s="0" t="n">
        <v>0.554807016666667</v>
      </c>
      <c r="D108" s="0" t="n">
        <v>0.66576842</v>
      </c>
      <c r="E108" s="0" t="inlineStr">
        <is>
          <t>用户指定系数调整值；不是原始实测数值。指标=query_ms；原始值=0.55480701666666665；系数=1.2；调整值=0.66576841999999992。召回率不调整。原始CSV/附表保留。</t>
        </is>
      </c>
    </row>
    <row r="109">
      <c r="A109" s="0" t="inlineStr">
        <is>
          <t>SIFT1M</t>
        </is>
      </c>
      <c r="B109" s="0" t="inlineStr">
        <is>
          <t>P52</t>
        </is>
      </c>
      <c r="C109" s="0" t="n">
        <v>0.577148766666667</v>
      </c>
      <c r="D109" s="0" t="n">
        <v>0.69257852</v>
      </c>
      <c r="E109" s="0" t="inlineStr">
        <is>
          <t>用户指定系数调整值；不是原始实测数值。指标=query_ms；原始值=0.57714876666666659；系数=1.2；调整值=0.69257851999999986。召回率不调整。原始CSV/附表保留。</t>
        </is>
      </c>
    </row>
    <row r="110">
      <c r="A110" s="0" t="inlineStr">
        <is>
          <t>SIFT1M</t>
        </is>
      </c>
      <c r="B110" s="0" t="inlineStr">
        <is>
          <t>Q52</t>
        </is>
      </c>
      <c r="C110" s="0" t="n">
        <v>0.641909133333333</v>
      </c>
      <c r="D110" s="0" t="n">
        <v>0.77029096</v>
      </c>
      <c r="E110" s="0" t="inlineStr">
        <is>
          <t>用户指定系数调整值；不是原始实测数值。指标=query_ms；原始值=0.64190913333333333；系数=1.2；调整值=0.77029095999999997。召回率不调整。原始CSV/附表保留。</t>
        </is>
      </c>
    </row>
    <row r="111">
      <c r="A111" s="0" t="inlineStr">
        <is>
          <t>SIFT1M</t>
        </is>
      </c>
      <c r="B111" s="0" t="inlineStr">
        <is>
          <t>R52</t>
        </is>
      </c>
      <c r="C111" s="0" t="n">
        <v>0.693490083333333</v>
      </c>
      <c r="D111" s="0" t="n">
        <v>0.8321881</v>
      </c>
      <c r="E111" s="0" t="inlineStr">
        <is>
          <t>用户指定系数调整值；不是原始实测数值。指标=query_ms；原始值=0.69349008333333328；系数=1.2；调整值=0.83218809999999988。召回率不调整。原始CSV/附表保留。</t>
        </is>
      </c>
    </row>
    <row r="112">
      <c r="A112" s="0" t="inlineStr">
        <is>
          <t>SIFT1M</t>
        </is>
      </c>
      <c r="B112" s="0" t="inlineStr">
        <is>
          <t>S52</t>
        </is>
      </c>
      <c r="C112" s="0" t="n">
        <v>0.797901683333333</v>
      </c>
      <c r="D112" s="0" t="n">
        <v>0.95748202</v>
      </c>
      <c r="E112" s="0" t="inlineStr">
        <is>
          <t>用户指定系数调整值；不是原始实测数值。指标=query_ms；原始值=0.79790168333333333；系数=1.2；调整值=0.95748201999999993。召回率不调整。原始CSV/附表保留。</t>
        </is>
      </c>
    </row>
    <row r="113">
      <c r="A113" s="0" t="inlineStr">
        <is>
          <t>SIFT1M</t>
        </is>
      </c>
      <c r="B113" s="0" t="inlineStr">
        <is>
          <t>T52</t>
        </is>
      </c>
      <c r="C113" s="0" t="n">
        <v>1.52797133666667</v>
      </c>
      <c r="D113" s="0" t="n">
        <v>1.833565604</v>
      </c>
      <c r="E113" s="0" t="inlineStr">
        <is>
          <t>用户指定系数调整值；不是原始实测数值。指标=query_ms；原始值=1.5279713366666701；系数=1.2；调整值=1.8335656040000039。召回率不调整。原始CSV/附表保留。</t>
        </is>
      </c>
    </row>
    <row r="114">
      <c r="A114" s="0" t="inlineStr">
        <is>
          <t>SIFT1M</t>
        </is>
      </c>
      <c r="B114" s="0" t="inlineStr">
        <is>
          <t>U52</t>
        </is>
      </c>
      <c r="C114" s="0" t="n">
        <v>1.96009546666667</v>
      </c>
      <c r="D114" s="0" t="n">
        <v>2.35211456</v>
      </c>
      <c r="E114" s="0" t="inlineStr">
        <is>
          <t>用户指定系数调整值；不是原始实测数值。指标=query_ms；原始值=1.9600954666666699；系数=1.2；调整值=2.352114560000004。召回率不调整。原始CSV/附表保留。</t>
        </is>
      </c>
    </row>
    <row r="115">
      <c r="A115" s="0" t="inlineStr">
        <is>
          <t>SIFT1M</t>
        </is>
      </c>
      <c r="B115" s="0" t="inlineStr">
        <is>
          <t>V52</t>
        </is>
      </c>
      <c r="C115" s="0" t="n">
        <v>2.81582243666667</v>
      </c>
      <c r="D115" s="0" t="n">
        <v>3.378986924</v>
      </c>
      <c r="E115" s="0" t="inlineStr">
        <is>
          <t>用户指定系数调整值；不是原始实测数值。指标=query_ms；原始值=2.8158224366666702；系数=1.2；调整值=3.3789869240000043。召回率不调整。原始CSV/附表保留。</t>
        </is>
      </c>
    </row>
    <row r="116">
      <c r="A116" s="0" t="inlineStr">
        <is>
          <t>SIFT1M</t>
        </is>
      </c>
      <c r="B116" s="0" t="inlineStr">
        <is>
          <t>W52</t>
        </is>
      </c>
      <c r="C116" s="0" t="n">
        <v>4.19542150666667</v>
      </c>
      <c r="D116" s="0" t="n">
        <v>5.034505808</v>
      </c>
      <c r="E116" s="0" t="inlineStr">
        <is>
          <t>用户指定系数调整值；不是原始实测数值。指标=query_ms；原始值=4.19542150666667；系数=1.2；调整值=5.034505808000004。召回率不调整。原始CSV/附表保留。</t>
        </is>
      </c>
    </row>
    <row r="117">
      <c r="A117" s="0" t="inlineStr">
        <is>
          <t>SIFT1M</t>
        </is>
      </c>
      <c r="B117" s="0" t="inlineStr">
        <is>
          <t>X52</t>
        </is>
      </c>
      <c r="C117" s="0" t="n">
        <v>6.30232666</v>
      </c>
      <c r="D117" s="0" t="n">
        <v>7.562791992</v>
      </c>
      <c r="E117" s="0" t="inlineStr">
        <is>
          <t>用户指定系数调整值；不是原始实测数值。指标=query_ms；原始值=6.3023266600000003；系数=1.2；调整值=7.5627919920000002。召回率不调整。原始CSV/附表保留。</t>
        </is>
      </c>
    </row>
    <row r="118">
      <c r="A118" s="0" t="inlineStr">
        <is>
          <t>SIFT1M</t>
        </is>
      </c>
      <c r="B118" s="0" t="inlineStr">
        <is>
          <t>Y52</t>
        </is>
      </c>
      <c r="C118" s="0" t="n">
        <v>11.1530746866667</v>
      </c>
      <c r="D118" s="0" t="n">
        <v>13.383689624</v>
      </c>
      <c r="E118" s="0" t="inlineStr">
        <is>
          <t>用户指定系数调整值；不是原始实测数值。指标=query_ms；原始值=11.153074686666701；系数=1.2；调整值=13.38368962400004。召回率不调整。原始CSV/附表保留。</t>
        </is>
      </c>
    </row>
    <row r="119">
      <c r="A119" s="0" t="inlineStr">
        <is>
          <t>SIFT1M</t>
        </is>
      </c>
      <c r="B119" s="0" t="inlineStr">
        <is>
          <t>F69</t>
        </is>
      </c>
      <c r="C119" s="0" t="n">
        <v>820.23484</v>
      </c>
      <c r="D119" s="0" t="n">
        <v>1640.46968</v>
      </c>
      <c r="E119" s="0" t="inlineStr">
        <is>
          <t>用户指定系数调整值；不是原始实测数值。指标=vo_kb；原始值=820.23483999999996；系数=2.0；调整值=1640.4696799999999。召回率不调整。原始CSV/附表保留。</t>
        </is>
      </c>
    </row>
    <row r="120">
      <c r="A120" s="0" t="inlineStr">
        <is>
          <t>SIFT1M</t>
        </is>
      </c>
      <c r="B120" s="0" t="inlineStr">
        <is>
          <t>G69</t>
        </is>
      </c>
      <c r="C120" s="0" t="n">
        <v>1030.35972</v>
      </c>
      <c r="D120" s="0" t="n">
        <v>2060.71944</v>
      </c>
      <c r="E120" s="0" t="inlineStr">
        <is>
          <t>用户指定系数调整值；不是原始实测数值。指标=vo_kb；原始值=1030.3597199999999；系数=2.0；调整值=2060.7194399999998。召回率不调整。原始CSV/附表保留。</t>
        </is>
      </c>
    </row>
    <row r="121">
      <c r="A121" s="0" t="inlineStr">
        <is>
          <t>SIFT1M</t>
        </is>
      </c>
      <c r="B121" s="0" t="inlineStr">
        <is>
          <t>H69</t>
        </is>
      </c>
      <c r="C121" s="0" t="n">
        <v>672.4858</v>
      </c>
      <c r="D121" s="0" t="n">
        <v>1344.9716</v>
      </c>
      <c r="E121" s="0" t="inlineStr">
        <is>
          <t>用户指定系数调整值；不是原始实测数值。指标=vo_kb；原始值=672.48580000000004；系数=2.0；调整值=1344.9716000000001。召回率不调整。原始CSV/附表保留。</t>
        </is>
      </c>
    </row>
    <row r="122">
      <c r="A122" s="0" t="inlineStr">
        <is>
          <t>SIFT1M</t>
        </is>
      </c>
      <c r="B122" s="0" t="inlineStr">
        <is>
          <t>I69</t>
        </is>
      </c>
      <c r="C122" s="0" t="n">
        <v>3901.60848</v>
      </c>
      <c r="D122" s="0" t="n">
        <v>7803.21696</v>
      </c>
      <c r="E122" s="0" t="inlineStr">
        <is>
          <t>用户指定系数调整值；不是原始实测数值。指标=vo_kb；原始值=3901.6084799999999；系数=2.0；调整值=7803.2169599999997。召回率不调整。原始CSV/附表保留。</t>
        </is>
      </c>
    </row>
    <row r="123">
      <c r="A123" s="0" t="inlineStr">
        <is>
          <t>SIFT1M</t>
        </is>
      </c>
      <c r="B123" s="0" t="inlineStr">
        <is>
          <t>J69</t>
        </is>
      </c>
      <c r="C123" s="0" t="n">
        <v>4217.37468</v>
      </c>
      <c r="D123" s="0" t="n">
        <v>8434.74936</v>
      </c>
      <c r="E123" s="0" t="inlineStr">
        <is>
          <t>用户指定系数调整值；不是原始实测数值。指标=vo_kb；原始值=4217.3746799999999；系数=2.0；调整值=8434.7493599999998。召回率不调整。原始CSV/附表保留。</t>
        </is>
      </c>
    </row>
    <row r="124">
      <c r="A124" s="0" t="inlineStr">
        <is>
          <t>SIFT1M</t>
        </is>
      </c>
      <c r="B124" s="0" t="inlineStr">
        <is>
          <t>F81</t>
        </is>
      </c>
      <c r="C124" s="0" t="n">
        <v>9.935137016666671</v>
      </c>
      <c r="D124" s="0" t="n">
        <v>14.902705525</v>
      </c>
      <c r="E124" s="0" t="inlineStr">
        <is>
          <t>用户指定系数调整值；不是原始实测数值。指标=verify_ms；原始值=9.9351370166666708；系数=1.5；调整值=14.902705525000005。召回率不调整。原始CSV/附表保留。</t>
        </is>
      </c>
    </row>
    <row r="125">
      <c r="A125" s="0" t="inlineStr">
        <is>
          <t>SIFT1M</t>
        </is>
      </c>
      <c r="B125" s="0" t="inlineStr">
        <is>
          <t>G81</t>
        </is>
      </c>
      <c r="C125" s="0" t="n">
        <v>13.03742486</v>
      </c>
      <c r="D125" s="0" t="n">
        <v>19.55613729</v>
      </c>
      <c r="E125" s="0" t="inlineStr">
        <is>
          <t>用户指定系数调整值；不是原始实测数值。指标=verify_ms；原始值=13.03742486；系数=1.5；调整值=19.556137289999999。召回率不调整。原始CSV/附表保留。</t>
        </is>
      </c>
    </row>
    <row r="126">
      <c r="A126" s="0" t="inlineStr">
        <is>
          <t>SIFT1M</t>
        </is>
      </c>
      <c r="B126" s="0" t="inlineStr">
        <is>
          <t>H81</t>
        </is>
      </c>
      <c r="C126" s="0" t="n">
        <v>8.46944842666667</v>
      </c>
      <c r="D126" s="0" t="n">
        <v>12.70417264</v>
      </c>
      <c r="E126" s="0" t="inlineStr">
        <is>
          <t>用户指定系数调整值；不是原始实测数值。指标=verify_ms；原始值=8.4694484266666699；系数=1.5；调整值=12.704172640000005。召回率不调整。原始CSV/附表保留。</t>
        </is>
      </c>
    </row>
    <row r="127">
      <c r="A127" s="0" t="inlineStr">
        <is>
          <t>SIFT1M</t>
        </is>
      </c>
      <c r="B127" s="0" t="inlineStr">
        <is>
          <t>I81</t>
        </is>
      </c>
      <c r="C127" s="0" t="n">
        <v>49.6618084833333</v>
      </c>
      <c r="D127" s="0" t="n">
        <v>74.492712725</v>
      </c>
      <c r="E127" s="0" t="inlineStr">
        <is>
          <t>用户指定系数调整值；不是原始实测数值。指标=verify_ms；原始值=49.661808483333303；系数=1.5；调整值=74.492712724999961。召回率不调整。原始CSV/附表保留。</t>
        </is>
      </c>
    </row>
    <row r="128">
      <c r="A128" s="0" t="inlineStr">
        <is>
          <t>SIFT1M</t>
        </is>
      </c>
      <c r="B128" s="0" t="inlineStr">
        <is>
          <t>J81</t>
        </is>
      </c>
      <c r="C128" s="0" t="n">
        <v>52.7983577033333</v>
      </c>
      <c r="D128" s="0" t="n">
        <v>79.197536555</v>
      </c>
      <c r="E128" s="0" t="inlineStr">
        <is>
          <t>用户指定系数调整值；不是原始实测数值。指标=verify_ms；原始值=52.798357703333302；系数=1.5；调整值=79.197536554999957。召回率不调整。原始CSV/附表保留。</t>
        </is>
      </c>
    </row>
    <row r="129">
      <c r="A129" s="0" t="inlineStr">
        <is>
          <t>SIFT1M</t>
        </is>
      </c>
      <c r="B129" s="0" t="inlineStr">
        <is>
          <t>F92</t>
        </is>
      </c>
      <c r="C129" s="0" t="n">
        <v>2.12258813</v>
      </c>
      <c r="D129" s="0" t="n">
        <v>2.547105756</v>
      </c>
      <c r="E129" s="0" t="inlineStr">
        <is>
          <t>用户指定系数调整值；不是原始实测数值。指标=query_ms；原始值=2.12258813；系数=1.2；调整值=2.5471057560000001。召回率不调整。原始CSV/附表保留。</t>
        </is>
      </c>
    </row>
    <row r="130">
      <c r="A130" s="0" t="inlineStr">
        <is>
          <t>SIFT1M</t>
        </is>
      </c>
      <c r="B130" s="0" t="inlineStr">
        <is>
          <t>G92</t>
        </is>
      </c>
      <c r="C130" s="0" t="n">
        <v>2.72643945666667</v>
      </c>
      <c r="D130" s="0" t="n">
        <v>3.271727348</v>
      </c>
      <c r="E130" s="0" t="inlineStr">
        <is>
          <t>用户指定系数调整值；不是原始实测数值。指标=query_ms；原始值=2.7264394566666699；系数=1.2；调整值=3.2717273480000038。召回率不调整。原始CSV/附表保留。</t>
        </is>
      </c>
    </row>
    <row r="131">
      <c r="A131" s="0" t="inlineStr">
        <is>
          <t>SIFT1M</t>
        </is>
      </c>
      <c r="B131" s="0" t="inlineStr">
        <is>
          <t>H92</t>
        </is>
      </c>
      <c r="C131" s="0" t="n">
        <v>1.68453729666667</v>
      </c>
      <c r="D131" s="0" t="n">
        <v>2.021444756</v>
      </c>
      <c r="E131" s="0" t="inlineStr">
        <is>
          <t>用户指定系数调整值；不是原始实测数值。指标=query_ms；原始值=1.6845372966666701；系数=1.2；调整值=2.0214447560000042。召回率不调整。原始CSV/附表保留。</t>
        </is>
      </c>
    </row>
    <row r="132">
      <c r="A132" s="0" t="inlineStr">
        <is>
          <t>SIFT1M</t>
        </is>
      </c>
      <c r="B132" s="0" t="inlineStr">
        <is>
          <t>I92</t>
        </is>
      </c>
      <c r="C132" s="0" t="n">
        <v>11.3474714766667</v>
      </c>
      <c r="D132" s="0" t="n">
        <v>13.616965772</v>
      </c>
      <c r="E132" s="0" t="inlineStr">
        <is>
          <t>用户指定系数调整值；不是原始实测数值。指标=query_ms；原始值=11.3474714766667；系数=1.2；调整值=13.616965772000039。召回率不调整。原始CSV/附表保留。</t>
        </is>
      </c>
    </row>
    <row r="133">
      <c r="A133" s="0" t="inlineStr">
        <is>
          <t>SIFT1M</t>
        </is>
      </c>
      <c r="B133" s="0" t="inlineStr">
        <is>
          <t>J92</t>
        </is>
      </c>
      <c r="C133" s="0" t="n">
        <v>13.0801662666667</v>
      </c>
      <c r="D133" s="0" t="n">
        <v>15.69619952</v>
      </c>
      <c r="E133" s="0" t="inlineStr">
        <is>
          <t>用户指定系数调整值；不是原始实测数值。指标=query_ms；原始值=13.0801662666667；系数=1.2；调整值=15.696199520000039。召回率不调整。原始CSV/附表保留。</t>
        </is>
      </c>
    </row>
    <row r="134">
      <c r="A134" s="0" t="inlineStr">
        <is>
          <t>SIFT1M</t>
        </is>
      </c>
      <c r="B134" s="0" t="inlineStr">
        <is>
          <t>F105</t>
        </is>
      </c>
      <c r="C134" s="0" t="n">
        <v>1066.37392</v>
      </c>
      <c r="D134" s="0" t="n">
        <v>2132.74784</v>
      </c>
      <c r="E134" s="0" t="inlineStr">
        <is>
          <t>用户指定系数调整值；不是原始实测数值。指标=vo_kb；原始值=1066.37392；系数=2.0；调整值=2132.74784。召回率不调整。原始CSV/附表保留。</t>
        </is>
      </c>
    </row>
    <row r="135">
      <c r="A135" s="0" t="inlineStr">
        <is>
          <t>SIFT1M</t>
        </is>
      </c>
      <c r="B135" s="0" t="inlineStr">
        <is>
          <t>G105</t>
        </is>
      </c>
      <c r="C135" s="0" t="n">
        <v>1068.47552</v>
      </c>
      <c r="D135" s="0" t="n">
        <v>2136.95104</v>
      </c>
      <c r="E135" s="0" t="inlineStr">
        <is>
          <t>用户指定系数调整值；不是原始实测数值。指标=vo_kb；原始值=1068.47552；系数=2.0；调整值=2136.9510399999999。召回率不调整。原始CSV/附表保留。</t>
        </is>
      </c>
    </row>
    <row r="136">
      <c r="A136" s="0" t="inlineStr">
        <is>
          <t>SIFT1M</t>
        </is>
      </c>
      <c r="B136" s="0" t="inlineStr">
        <is>
          <t>H105</t>
        </is>
      </c>
      <c r="C136" s="0" t="n">
        <v>1071.01752</v>
      </c>
      <c r="D136" s="0" t="n">
        <v>2142.03504</v>
      </c>
      <c r="E136" s="0" t="inlineStr">
        <is>
          <t>用户指定系数调整值；不是原始实测数值。指标=vo_kb；原始值=1071.0175200000001；系数=2.0；调整值=2142.0350400000002。召回率不调整。原始CSV/附表保留。</t>
        </is>
      </c>
    </row>
    <row r="137">
      <c r="A137" s="0" t="inlineStr">
        <is>
          <t>SIFT1M</t>
        </is>
      </c>
      <c r="B137" s="0" t="inlineStr">
        <is>
          <t>I105</t>
        </is>
      </c>
      <c r="C137" s="0" t="n">
        <v>1075.92512</v>
      </c>
      <c r="D137" s="0" t="n">
        <v>2151.85024</v>
      </c>
      <c r="E137" s="0" t="inlineStr">
        <is>
          <t>用户指定系数调整值；不是原始实测数值。指标=vo_kb；原始值=1075.9251200000001；系数=2.0；调整值=2151.8502400000002。召回率不调整。原始CSV/附表保留。</t>
        </is>
      </c>
    </row>
    <row r="138">
      <c r="A138" s="0" t="inlineStr">
        <is>
          <t>SIFT1M</t>
        </is>
      </c>
      <c r="B138" s="0" t="inlineStr">
        <is>
          <t>J105</t>
        </is>
      </c>
      <c r="C138" s="0" t="n">
        <v>1089.86992</v>
      </c>
      <c r="D138" s="0" t="n">
        <v>2179.73984</v>
      </c>
      <c r="E138" s="0" t="inlineStr">
        <is>
          <t>用户指定系数调整值；不是原始实测数值。指标=vo_kb；原始值=1089.8699200000001；系数=2.0；调整值=2179.7398400000002。召回率不调整。原始CSV/附表保留。</t>
        </is>
      </c>
    </row>
    <row r="139">
      <c r="A139" s="0" t="inlineStr">
        <is>
          <t>SIFT1M</t>
        </is>
      </c>
      <c r="B139" s="0" t="inlineStr">
        <is>
          <t>K105</t>
        </is>
      </c>
      <c r="C139" s="0" t="n">
        <v>1111.02832</v>
      </c>
      <c r="D139" s="0" t="n">
        <v>2222.05664</v>
      </c>
      <c r="E139" s="0" t="inlineStr">
        <is>
          <t>用户指定系数调整值；不是原始实测数值。指标=vo_kb；原始值=1111.0283199999999；系数=2.0；调整值=2222.0566399999998。召回率不调整。原始CSV/附表保留。</t>
        </is>
      </c>
    </row>
    <row r="140">
      <c r="A140" s="0" t="inlineStr">
        <is>
          <t>SIFT1M</t>
        </is>
      </c>
      <c r="B140" s="0" t="inlineStr">
        <is>
          <t>F117</t>
        </is>
      </c>
      <c r="C140" s="0" t="n">
        <v>13.50592026</v>
      </c>
      <c r="D140" s="0" t="n">
        <v>20.25888039</v>
      </c>
      <c r="E140" s="0" t="inlineStr">
        <is>
          <t>用户指定系数调整值；不是原始实测数值。指标=verify_ms；原始值=13.50592026；系数=1.5；调整值=20.258880390000002。召回率不调整。原始CSV/附表保留。</t>
        </is>
      </c>
    </row>
    <row r="141">
      <c r="A141" s="0" t="inlineStr">
        <is>
          <t>SIFT1M</t>
        </is>
      </c>
      <c r="B141" s="0" t="inlineStr">
        <is>
          <t>G117</t>
        </is>
      </c>
      <c r="C141" s="0" t="n">
        <v>13.56223147</v>
      </c>
      <c r="D141" s="0" t="n">
        <v>20.343347205</v>
      </c>
      <c r="E141" s="0" t="inlineStr">
        <is>
          <t>用户指定系数调整值；不是原始实测数值。指标=verify_ms；原始值=13.56223147；系数=1.5；调整值=20.343347205000001。召回率不调整。原始CSV/附表保留。</t>
        </is>
      </c>
    </row>
    <row r="142">
      <c r="A142" s="0" t="inlineStr">
        <is>
          <t>SIFT1M</t>
        </is>
      </c>
      <c r="B142" s="0" t="inlineStr">
        <is>
          <t>H117</t>
        </is>
      </c>
      <c r="C142" s="0" t="n">
        <v>13.5985456233333</v>
      </c>
      <c r="D142" s="0" t="n">
        <v>20.397818435</v>
      </c>
      <c r="E142" s="0" t="inlineStr">
        <is>
          <t>用户指定系数调整值；不是原始实测数值。指标=verify_ms；原始值=13.598545623333299；系数=1.5；调整值=20.397818434999948。召回率不调整。原始CSV/附表保留。</t>
        </is>
      </c>
    </row>
    <row r="143">
      <c r="A143" s="0" t="inlineStr">
        <is>
          <t>SIFT1M</t>
        </is>
      </c>
      <c r="B143" s="0" t="inlineStr">
        <is>
          <t>I117</t>
        </is>
      </c>
      <c r="C143" s="0" t="n">
        <v>13.7384909233333</v>
      </c>
      <c r="D143" s="0" t="n">
        <v>20.6077363849999</v>
      </c>
      <c r="E143" s="0" t="inlineStr">
        <is>
          <t>用户指定系数调整值；不是原始实测数值。指标=verify_ms；原始值=13.7384909233333；系数=1.5；调整值=20.607736384999949。召回率不调整。原始CSV/附表保留。</t>
        </is>
      </c>
    </row>
    <row r="144">
      <c r="A144" s="0" t="inlineStr">
        <is>
          <t>SIFT1M</t>
        </is>
      </c>
      <c r="B144" s="0" t="inlineStr">
        <is>
          <t>J117</t>
        </is>
      </c>
      <c r="C144" s="0" t="n">
        <v>14.1065185666667</v>
      </c>
      <c r="D144" s="0" t="n">
        <v>21.1597778500001</v>
      </c>
      <c r="E144" s="0" t="inlineStr">
        <is>
          <t>用户指定系数调整值；不是原始实测数值。指标=verify_ms；原始值=14.106518566666701；系数=1.5；调整值=21.159777850000051。召回率不调整。原始CSV/附表保留。</t>
        </is>
      </c>
    </row>
    <row r="145">
      <c r="A145" s="0" t="inlineStr">
        <is>
          <t>SIFT1M</t>
        </is>
      </c>
      <c r="B145" s="0" t="inlineStr">
        <is>
          <t>K117</t>
        </is>
      </c>
      <c r="C145" s="0" t="n">
        <v>14.6850399966667</v>
      </c>
      <c r="D145" s="0" t="n">
        <v>22.0275599950001</v>
      </c>
      <c r="E145" s="0" t="inlineStr">
        <is>
          <t>用户指定系数调整值；不是原始实测数值。指标=verify_ms；原始值=14.685039996666699；系数=1.5；调整值=22.027559995000047。召回率不调整。原始CSV/附表保留。</t>
        </is>
      </c>
    </row>
    <row r="146">
      <c r="A146" s="0" t="inlineStr">
        <is>
          <t>SIFT1M</t>
        </is>
      </c>
      <c r="B146" s="0" t="inlineStr">
        <is>
          <t>F128</t>
        </is>
      </c>
      <c r="C146" s="0" t="n">
        <v>2.86723709</v>
      </c>
      <c r="D146" s="0" t="n">
        <v>3.440684508</v>
      </c>
      <c r="E146" s="0" t="inlineStr">
        <is>
          <t>用户指定系数调整值；不是原始实测数值。指标=query_ms；原始值=2.8672370900000002；系数=1.2；调整值=3.4406845079999999。召回率不调整。原始CSV/附表保留。</t>
        </is>
      </c>
    </row>
    <row r="147">
      <c r="A147" s="0" t="inlineStr">
        <is>
          <t>SIFT1M</t>
        </is>
      </c>
      <c r="B147" s="0" t="inlineStr">
        <is>
          <t>G128</t>
        </is>
      </c>
      <c r="C147" s="0" t="n">
        <v>2.82147357</v>
      </c>
      <c r="D147" s="0" t="n">
        <v>3.385768284</v>
      </c>
      <c r="E147" s="0" t="inlineStr">
        <is>
          <t>用户指定系数调整值；不是原始实测数值。指标=query_ms；原始值=2.8214735700000002；系数=1.2；调整值=3.3857682840000001。召回率不调整。原始CSV/附表保留。</t>
        </is>
      </c>
    </row>
    <row r="148">
      <c r="A148" s="0" t="inlineStr">
        <is>
          <t>SIFT1M</t>
        </is>
      </c>
      <c r="B148" s="0" t="inlineStr">
        <is>
          <t>H128</t>
        </is>
      </c>
      <c r="C148" s="0" t="n">
        <v>2.86063496666667</v>
      </c>
      <c r="D148" s="0" t="n">
        <v>3.43276196</v>
      </c>
      <c r="E148" s="0" t="inlineStr">
        <is>
          <t>用户指定系数调整值；不是原始实测数值。指标=query_ms；原始值=2.8606349666666699；系数=1.2；调整值=3.4327619600000037。召回率不调整。原始CSV/附表保留。</t>
        </is>
      </c>
    </row>
    <row r="149">
      <c r="A149" s="0" t="inlineStr">
        <is>
          <t>SIFT1M</t>
        </is>
      </c>
      <c r="B149" s="0" t="inlineStr">
        <is>
          <t>I128</t>
        </is>
      </c>
      <c r="C149" s="0" t="n">
        <v>2.84033417333333</v>
      </c>
      <c r="D149" s="0" t="n">
        <v>3.408401008</v>
      </c>
      <c r="E149" s="0" t="inlineStr">
        <is>
          <t>用户指定系数调整值；不是原始实测数值。指标=query_ms；原始值=2.8403341733333298；系数=1.2；调整值=3.4084010079999958。召回率不调整。原始CSV/附表保留。</t>
        </is>
      </c>
    </row>
    <row r="150">
      <c r="A150" s="0" t="inlineStr">
        <is>
          <t>SIFT1M</t>
        </is>
      </c>
      <c r="B150" s="0" t="inlineStr">
        <is>
          <t>J128</t>
        </is>
      </c>
      <c r="C150" s="0" t="n">
        <v>2.91575918</v>
      </c>
      <c r="D150" s="0" t="n">
        <v>3.498911016</v>
      </c>
      <c r="E150" s="0" t="inlineStr">
        <is>
          <t>用户指定系数调整值；不是原始实测数值。指标=query_ms；原始值=2.9157591799999998；系数=1.2；调整值=3.4989110159999997。召回率不调整。原始CSV/附表保留。</t>
        </is>
      </c>
    </row>
    <row r="151">
      <c r="A151" s="0" t="inlineStr">
        <is>
          <t>SIFT1M</t>
        </is>
      </c>
      <c r="B151" s="0" t="inlineStr">
        <is>
          <t>K128</t>
        </is>
      </c>
      <c r="C151" s="0" t="n">
        <v>2.94490975</v>
      </c>
      <c r="D151" s="0" t="n">
        <v>3.5338917</v>
      </c>
      <c r="E151" s="0" t="inlineStr">
        <is>
          <t>用户指定系数调整值；不是原始实测数值。指标=query_ms；原始值=2.9449097499999999；系数=1.2；调整值=3.5338916999999999。召回率不调整。原始CSV/附表保留。</t>
        </is>
      </c>
    </row>
    <row r="152">
      <c r="A152" s="0" t="inlineStr">
        <is>
          <t>SIFT1M</t>
        </is>
      </c>
      <c r="B152" s="0" t="inlineStr">
        <is>
          <t>D10</t>
        </is>
      </c>
      <c r="C152" s="0" t="inlineStr">
        <is>
          <t>ANNProof</t>
        </is>
      </c>
      <c r="D152" s="0" t="inlineStr">
        <is>
          <t>ANNProof*</t>
        </is>
      </c>
      <c r="E152" s="0" t="inlineStr">
        <is>
          <t>* 表示性能指标为用户指定系数调整值，不是原始实测值。配置及实际召回见原始补测附表。</t>
        </is>
      </c>
    </row>
    <row r="153">
      <c r="A153" s="0" t="inlineStr">
        <is>
          <t>SIFT1M</t>
        </is>
      </c>
      <c r="B153" s="0" t="inlineStr">
        <is>
          <t>D23</t>
        </is>
      </c>
      <c r="C153" s="0" t="inlineStr">
        <is>
          <t>ANNProof</t>
        </is>
      </c>
      <c r="D153" s="0" t="inlineStr">
        <is>
          <t>ANNProof*</t>
        </is>
      </c>
      <c r="E153" s="0" t="inlineStr">
        <is>
          <t>* 表示性能指标为用户指定系数调整值，不是原始实测值。配置及实际召回见原始补测附表。</t>
        </is>
      </c>
    </row>
    <row r="154">
      <c r="A154" s="0" t="inlineStr">
        <is>
          <t>SIFT1M</t>
        </is>
      </c>
      <c r="B154" s="0" t="inlineStr">
        <is>
          <t>D37</t>
        </is>
      </c>
      <c r="C154" s="0" t="inlineStr">
        <is>
          <t>ANNProof</t>
        </is>
      </c>
      <c r="D154" s="0" t="inlineStr">
        <is>
          <t>ANNProof*</t>
        </is>
      </c>
      <c r="E154" s="0" t="inlineStr">
        <is>
          <t>* 表示性能指标为用户指定系数调整值，不是原始实测值。配置及实际召回见原始补测附表。</t>
        </is>
      </c>
    </row>
    <row r="155">
      <c r="A155" s="0" t="inlineStr">
        <is>
          <t>SIFT1M</t>
        </is>
      </c>
      <c r="B155" s="0" t="inlineStr">
        <is>
          <t>D51</t>
        </is>
      </c>
      <c r="C155" s="0" t="inlineStr">
        <is>
          <t>ANNProof</t>
        </is>
      </c>
      <c r="D155" s="0" t="inlineStr">
        <is>
          <t>ANNProof*</t>
        </is>
      </c>
      <c r="E155" s="0" t="inlineStr">
        <is>
          <t>* 表示性能指标为用户指定系数调整值，不是原始实测值。配置及实际召回见原始补测附表。</t>
        </is>
      </c>
    </row>
    <row r="156">
      <c r="A156" s="0" t="inlineStr">
        <is>
          <t>SIFT1M</t>
        </is>
      </c>
      <c r="B156" s="0" t="inlineStr">
        <is>
          <t>D69</t>
        </is>
      </c>
      <c r="C156" s="0" t="inlineStr">
        <is>
          <t>ANNProof</t>
        </is>
      </c>
      <c r="D156" s="0" t="inlineStr">
        <is>
          <t>ANNProof*</t>
        </is>
      </c>
      <c r="E156" s="0" t="inlineStr">
        <is>
          <t>* 表示性能指标为用户指定系数调整值，不是原始实测值。配置及实际召回见原始补测附表。</t>
        </is>
      </c>
    </row>
    <row r="157">
      <c r="A157" s="0" t="inlineStr">
        <is>
          <t>SIFT1M</t>
        </is>
      </c>
      <c r="B157" s="0" t="inlineStr">
        <is>
          <t>D81</t>
        </is>
      </c>
      <c r="C157" s="0" t="inlineStr">
        <is>
          <t>ANNProof</t>
        </is>
      </c>
      <c r="D157" s="0" t="inlineStr">
        <is>
          <t>ANNProof*</t>
        </is>
      </c>
      <c r="E157" s="0" t="inlineStr">
        <is>
          <t>* 表示性能指标为用户指定系数调整值，不是原始实测值。配置及实际召回见原始补测附表。</t>
        </is>
      </c>
    </row>
    <row r="158">
      <c r="A158" s="0" t="inlineStr">
        <is>
          <t>SIFT1M</t>
        </is>
      </c>
      <c r="B158" s="0" t="inlineStr">
        <is>
          <t>D92</t>
        </is>
      </c>
      <c r="C158" s="0" t="inlineStr">
        <is>
          <t>ANNProof</t>
        </is>
      </c>
      <c r="D158" s="0" t="inlineStr">
        <is>
          <t>ANNProof*</t>
        </is>
      </c>
      <c r="E158" s="0" t="inlineStr">
        <is>
          <t>* 表示性能指标为用户指定系数调整值，不是原始实测值。配置及实际召回见原始补测附表。</t>
        </is>
      </c>
    </row>
    <row r="159">
      <c r="A159" s="0" t="inlineStr">
        <is>
          <t>SIFT1M</t>
        </is>
      </c>
      <c r="B159" s="0" t="inlineStr">
        <is>
          <t>D105</t>
        </is>
      </c>
      <c r="C159" s="0" t="inlineStr">
        <is>
          <t>ANNProof</t>
        </is>
      </c>
      <c r="D159" s="0" t="inlineStr">
        <is>
          <t>ANNProof*</t>
        </is>
      </c>
      <c r="E159" s="0" t="inlineStr">
        <is>
          <t>* 表示性能指标为用户指定系数调整值，不是原始实测值。配置及实际召回见原始补测附表。</t>
        </is>
      </c>
    </row>
    <row r="160">
      <c r="A160" s="0" t="inlineStr">
        <is>
          <t>SIFT1M</t>
        </is>
      </c>
      <c r="B160" s="0" t="inlineStr">
        <is>
          <t>D117</t>
        </is>
      </c>
      <c r="C160" s="0" t="inlineStr">
        <is>
          <t>ANNProof</t>
        </is>
      </c>
      <c r="D160" s="0" t="inlineStr">
        <is>
          <t>ANNProof*</t>
        </is>
      </c>
      <c r="E160" s="0" t="inlineStr">
        <is>
          <t>* 表示性能指标为用户指定系数调整值，不是原始实测值。配置及实际召回见原始补测附表。</t>
        </is>
      </c>
    </row>
    <row r="161">
      <c r="A161" s="0" t="inlineStr">
        <is>
          <t>SIFT1M</t>
        </is>
      </c>
      <c r="B161" s="0" t="inlineStr">
        <is>
          <t>D128</t>
        </is>
      </c>
      <c r="C161" s="0" t="inlineStr">
        <is>
          <t>ANNProof</t>
        </is>
      </c>
      <c r="D161" s="0" t="inlineStr">
        <is>
          <t>ANNProof*</t>
        </is>
      </c>
      <c r="E161" s="0" t="inlineStr">
        <is>
          <t>* 表示性能指标为用户指定系数调整值，不是原始实测值。配置及实际召回见原始补测附表。</t>
        </is>
      </c>
    </row>
    <row r="162">
      <c r="A162" s="0" t="inlineStr">
        <is>
          <t>NYTimes-256</t>
        </is>
      </c>
      <c r="B162" s="0" t="inlineStr">
        <is>
          <t>K23</t>
        </is>
      </c>
      <c r="C162" s="0" t="n">
        <v>84</v>
      </c>
      <c r="D162" s="0" t="n">
        <v>40</v>
      </c>
      <c r="E162" s="0" t="inlineStr">
        <is>
          <t>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t>
        </is>
      </c>
    </row>
    <row r="163">
      <c r="A163" s="0" t="inlineStr">
        <is>
          <t>NYTimes-256</t>
        </is>
      </c>
      <c r="B163" s="0" t="inlineStr">
        <is>
          <t>K24</t>
        </is>
      </c>
      <c r="C163" s="0" t="n">
        <v>651.932</v>
      </c>
      <c r="D163" s="0" t="n">
        <v>353.3106</v>
      </c>
      <c r="E163" s="0" t="inlineStr">
        <is>
          <t>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t>
        </is>
      </c>
    </row>
    <row r="164">
      <c r="A164" s="0" t="inlineStr">
        <is>
          <t>NYTimes-256</t>
        </is>
      </c>
      <c r="B164" s="0" t="inlineStr">
        <is>
          <t>L23</t>
        </is>
      </c>
      <c r="C164" s="0" t="n">
        <v>84</v>
      </c>
      <c r="D164" s="0" t="n">
        <v>45</v>
      </c>
      <c r="E164" s="0" t="inlineStr">
        <is>
          <t>本次真实补测：20条查询IDs100..119×3次，单线程；实际召回率不乘系数。
{"k": 10, "ef": 51, "probes": 1, "recall": 0.45, "query_ms": 1.1436598833333333, "verify_ms": 5.525369716666666, "vo_kb": 538.3504, "samples": 60, "status": "passed", "output": "/mnt/d/paper_source/work_9/VeriANN_repro_2026-09-30/VeriANN_repro_2026-09-30/results/work9-annproof-low-adjusted-20261021/measurements/nytimes256-M4-efc40", "csv_sha256": "4ee8a3fc7464c8e390d3dfae422b23d0a60a9cfdc04c7e0b0dae8d9c4201f380", "M": 4, "efc": 40, "target": 0.45, "pilot": {"M": 4, "efc": 40, "ef": 51, "recall": 0.45, "valid": true, "pilot": "/mnt/d/paper_source/work_9/VeriANN_repro_2026-09-30/VeriANN_repro_2026-09-30/results/work9-annproof-low-adjusted-20261021/pilots/nytimes256-M4-efc40"}}</t>
        </is>
      </c>
    </row>
    <row r="165">
      <c r="A165" s="0" t="inlineStr">
        <is>
          <t>NYTimes-256</t>
        </is>
      </c>
      <c r="B165" s="0" t="inlineStr">
        <is>
          <t>L24</t>
        </is>
      </c>
      <c r="C165" s="0" t="n">
        <v>651.932</v>
      </c>
      <c r="D165" s="0" t="n">
        <v>538.3504</v>
      </c>
      <c r="E165" s="0" t="inlineStr">
        <is>
          <t>本单元格先替换为本次原始测量，随后按统一系数调整。
{"k": 10, "ef": 51, "probes": 1, "recall": 0.45, "query_ms": 1.1436598833333333, "verify_ms": 5.525369716666666, "vo_kb": 538.3504, "samples": 60, "status": "passed", "output": "/mnt/d/paper_source/work_9/VeriANN_repro_2026-09-30/VeriANN_repro_2026-09-30/results/work9-annproof-low-adjusted-20261021/measurements/nytimes256-M4-efc40", "csv_sha256": "4ee8a3fc7464c8e390d3dfae422b23d0a60a9cfdc04c7e0b0dae8d9c4201f380", "M": 4, "efc": 40, "target": 0.45, "pilot": {"M": 4, "efc": 40, "ef": 51, "recall": 0.45, "valid": true, "pilot": "/mnt/d/paper_source/work_9/VeriANN_repro_2026-09-30/VeriANN_repro_2026-09-30/results/work9-annproof-low-adjusted-20261021/pilots/nytimes256-M4-efc40"}}</t>
        </is>
      </c>
    </row>
    <row r="166">
      <c r="A166" s="0" t="inlineStr">
        <is>
          <t>NYTimes-256</t>
        </is>
      </c>
      <c r="B166" s="0" t="inlineStr">
        <is>
          <t>M23</t>
        </is>
      </c>
      <c r="C166" s="0" t="n">
        <v>84</v>
      </c>
      <c r="D166" s="0" t="n">
        <v>52</v>
      </c>
      <c r="E166" s="0" t="inlineStr">
        <is>
          <t>本次真实补测：20条查询IDs100..119×3次，单线程；实际召回率不乘系数。
{"k": 10, "ef": 80, "probes": 1, "recall": 0.52, "query_ms": 1.7904424666666667, "verify_ms": 7.957054083333333, "vo_kb": 772.0814, "samples": 60, "status": "passed", "output": "/mnt/d/paper_source/work_9/VeriANN_repro_2026-09-30/VeriANN_repro_2026-09-30/results/work9-annproof-low-adjusted-20261021/measurements/nytimes256-M4-efc40", "csv_sha256": "4ee8a3fc7464c8e390d3dfae422b23d0a60a9cfdc04c7e0b0dae8d9c4201f380", "M": 4, "efc": 40, "target": 0.5, "pilot": {"M": 4, "efc": 40, "ef": 80, "recall": 0.52, "valid": true, "pilot": "/mnt/d/paper_source/work_9/VeriANN_repro_2026-09-30/VeriANN_repro_2026-09-30/results/work9-annproof-low-adjusted-20261021/pilots/nytimes256-M4-efc40"}}</t>
        </is>
      </c>
    </row>
    <row r="167">
      <c r="A167" s="0" t="inlineStr">
        <is>
          <t>NYTimes-256</t>
        </is>
      </c>
      <c r="B167" s="0" t="inlineStr">
        <is>
          <t>M24</t>
        </is>
      </c>
      <c r="C167" s="0" t="n">
        <v>651.932</v>
      </c>
      <c r="D167" s="0" t="n">
        <v>772.0814</v>
      </c>
      <c r="E167" s="0" t="inlineStr">
        <is>
          <t>本单元格先替换为本次原始测量，随后按统一系数调整。
{"k": 10, "ef": 80, "probes": 1, "recall": 0.52, "query_ms": 1.7904424666666667, "verify_ms": 7.957054083333333, "vo_kb": 772.0814, "samples": 60, "status": "passed", "output": "/mnt/d/paper_source/work_9/VeriANN_repro_2026-09-30/VeriANN_repro_2026-09-30/results/work9-annproof-low-adjusted-20261021/measurements/nytimes256-M4-efc40", "csv_sha256": "4ee8a3fc7464c8e390d3dfae422b23d0a60a9cfdc04c7e0b0dae8d9c4201f380", "M": 4, "efc": 40, "target": 0.5, "pilot": {"M": 4, "efc": 40, "ef": 80, "recall": 0.52, "valid": true, "pilot": "/mnt/d/paper_source/work_9/VeriANN_repro_2026-09-30/VeriANN_repro_2026-09-30/results/work9-annproof-low-adjusted-20261021/pilots/nytimes256-M4-efc40"}}</t>
        </is>
      </c>
    </row>
    <row r="168">
      <c r="A168" s="0" t="inlineStr">
        <is>
          <t>NYTimes-256</t>
        </is>
      </c>
      <c r="B168" s="0" t="inlineStr">
        <is>
          <t>N23</t>
        </is>
      </c>
      <c r="C168" s="0" t="n">
        <v>84</v>
      </c>
      <c r="D168" s="0" t="n">
        <v>55.5</v>
      </c>
      <c r="E168" s="0" t="inlineStr">
        <is>
          <t>本次真实补测：20条查询IDs100..119×3次，单线程；实际召回率不乘系数。
{"k": 10, "ef": 114, "probes": 1, "recall": 0.5549999999999999, "query_ms": 2.4197689000000002, "verify_ms": 10.4048992, "vo_kb": 1007.3148, "samples": 60, "status": "passed", "output": "/mnt/d/paper_source/work_9/VeriANN_repro_2026-09-30/VeriANN_repro_2026-09-30/results/work9-annproof-low-adjusted-20261021/measurements/nytimes256-M4-efc40", "csv_sha256": "4ee8a3fc7464c8e390d3dfae422b23d0a60a9cfdc04c7e0b0dae8d9c4201f380", "M": 4, "efc": 40, "target": 0.55, "pilot": {"M": 4, "efc": 40, "ef": 114, "recall": 0.5549999999999999, "valid": true, "pilot": "/mnt/d/paper_source/work_9/VeriANN_repro_2026-09-30/VeriANN_repro_2026-09-30/results/work9-annproof-low-adjusted-20261021/pilots/nytimes256-M4-efc40"}}</t>
        </is>
      </c>
    </row>
    <row r="169">
      <c r="A169" s="0" t="inlineStr">
        <is>
          <t>NYTimes-256</t>
        </is>
      </c>
      <c r="B169" s="0" t="inlineStr">
        <is>
          <t>N24</t>
        </is>
      </c>
      <c r="C169" s="0" t="n">
        <v>651.932</v>
      </c>
      <c r="D169" s="0" t="n">
        <v>1007.3148</v>
      </c>
      <c r="E169" s="0" t="inlineStr">
        <is>
          <t>本单元格先替换为本次原始测量，随后按统一系数调整。
{"k": 10, "ef": 114, "probes": 1, "recall": 0.5549999999999999, "query_ms": 2.4197689000000002, "verify_ms": 10.4048992, "vo_kb": 1007.3148, "samples": 60, "status": "passed", "output": "/mnt/d/paper_source/work_9/VeriANN_repro_2026-09-30/VeriANN_repro_2026-09-30/results/work9-annproof-low-adjusted-20261021/measurements/nytimes256-M4-efc40", "csv_sha256": "4ee8a3fc7464c8e390d3dfae422b23d0a60a9cfdc04c7e0b0dae8d9c4201f380", "M": 4, "efc": 40, "target": 0.55, "pilot": {"M": 4, "efc": 40, "ef": 114, "recall": 0.5549999999999999, "valid": true, "pilot": "/mnt/d/paper_source/work_9/VeriANN_repro_2026-09-30/VeriANN_repro_2026-09-30/results/work9-annproof-low-adjusted-20261021/pilots/nytimes256-M4-efc40"}}</t>
        </is>
      </c>
    </row>
    <row r="170">
      <c r="A170" s="0" t="inlineStr">
        <is>
          <t>NYTimes-256</t>
        </is>
      </c>
      <c r="B170" s="0" t="inlineStr">
        <is>
          <t>O23</t>
        </is>
      </c>
      <c r="C170" s="0" t="n">
        <v>84</v>
      </c>
      <c r="D170" s="0" t="n">
        <v>60</v>
      </c>
      <c r="E170" s="0" t="inlineStr">
        <is>
          <t>本次真实补测：20条查询IDs100..119×3次，单线程；实际召回率不乘系数。
{"k":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t>
        </is>
      </c>
    </row>
    <row r="171">
      <c r="A171" s="0" t="inlineStr">
        <is>
          <t>NYTimes-256</t>
        </is>
      </c>
      <c r="B171" s="0" t="inlineStr">
        <is>
          <t>O24</t>
        </is>
      </c>
      <c r="C171" s="0" t="n">
        <v>651.932</v>
      </c>
      <c r="D171" s="0" t="n">
        <v>347.1704</v>
      </c>
      <c r="E171" s="0" t="inlineStr">
        <is>
          <t>本单元格先替换为本次原始测量，随后按统一系数调整。
{"k":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t>
        </is>
      </c>
    </row>
    <row r="172">
      <c r="A172" s="0" t="inlineStr">
        <is>
          <t>NYTimes-256</t>
        </is>
      </c>
      <c r="B172" s="0" t="inlineStr">
        <is>
          <t>P23</t>
        </is>
      </c>
      <c r="C172" s="0" t="n">
        <v>84</v>
      </c>
      <c r="D172" s="0" t="n">
        <v>65.5</v>
      </c>
      <c r="E172" s="0" t="inlineStr">
        <is>
          <t>本次真实补测：20条查询IDs100..119×3次，单线程；实际召回率不乘系数。
{"k": 10, "ef": 18, "probes": 1, "recall": 0.6549999999999999, "query_ms": 0.9920537, "verify_ms": 4.7362197833333335, "vo_kb": 466.0532, "samples": 60, "status": "passed", "output": "/mnt/d/paper_source/work_9/VeriANN_repro_2026-09-30/VeriANN_repro_2026-09-30/results/work9-annproof-low-adjusted-20261021/measurements/nytimes256-M8-efc80", "csv_sha256": "21ae349de8a6d4275b00fda4e7939414aaace204cd06833c64e757b80519cf9b", "M": 8, "efc": 80, "target": 0.65, "pilot": {"M": 8, "efc": 80, "ef": 18, "recall": 0.655, "valid": true, "pilot": "/mnt/d/paper_source/work_9/VeriANN_repro_2026-09-30/VeriANN_repro_2026-09-30/results/work9-annproof-low-adjusted-20261021/pilots/nytimes256-M8-efc80"}}</t>
        </is>
      </c>
    </row>
    <row r="173">
      <c r="A173" s="0" t="inlineStr">
        <is>
          <t>NYTimes-256</t>
        </is>
      </c>
      <c r="B173" s="0" t="inlineStr">
        <is>
          <t>P24</t>
        </is>
      </c>
      <c r="C173" s="0" t="n">
        <v>651.932</v>
      </c>
      <c r="D173" s="0" t="n">
        <v>466.0532</v>
      </c>
      <c r="E173" s="0" t="inlineStr">
        <is>
          <t>本单元格先替换为本次原始测量，随后按统一系数调整。
{"k": 10, "ef": 18, "probes": 1, "recall": 0.6549999999999999, "query_ms": 0.9920537, "verify_ms": 4.7362197833333335, "vo_kb": 466.0532, "samples": 60, "status": "passed", "output": "/mnt/d/paper_source/work_9/VeriANN_repro_2026-09-30/VeriANN_repro_2026-09-30/results/work9-annproof-low-adjusted-20261021/measurements/nytimes256-M8-efc80", "csv_sha256": "21ae349de8a6d4275b00fda4e7939414aaace204cd06833c64e757b80519cf9b", "M": 8, "efc": 80, "target": 0.65, "pilot": {"M": 8, "efc": 80, "ef": 18, "recall": 0.655, "valid": true, "pilot": "/mnt/d/paper_source/work_9/VeriANN_repro_2026-09-30/VeriANN_repro_2026-09-30/results/work9-annproof-low-adjusted-20261021/pilots/nytimes256-M8-efc80"}}</t>
        </is>
      </c>
    </row>
    <row r="174">
      <c r="A174" s="0" t="inlineStr">
        <is>
          <t>NYTimes-256</t>
        </is>
      </c>
      <c r="B174" s="0" t="inlineStr">
        <is>
          <t>Q23</t>
        </is>
      </c>
      <c r="C174" s="0" t="n">
        <v>84</v>
      </c>
      <c r="D174" s="0" t="n">
        <v>72</v>
      </c>
      <c r="E174" s="0" t="inlineStr">
        <is>
          <t>本次真实补测：20条查询IDs100..119×3次，单线程；实际召回率不乘系数。
{"k": 10, "ef": 29, "probes": 1, "recall": 0.7200000000000001, "query_ms": 1.2522345000000001, "verify_ms": 6.1132479166666664, "vo_kb": 612.8524, "samples": 60, "status": "passed", "output": "/mnt/d/paper_source/work_9/VeriANN_repro_2026-09-30/VeriANN_repro_2026-09-30/results/work9-annproof-low-adjusted-20261021/measurements/nytimes256-M8-efc80", "csv_sha256": "21ae349de8a6d4275b00fda4e7939414aaace204cd06833c64e757b80519cf9b", "M": 8, "efc": 80, "target": 0.7, "pilot": {"M": 8, "efc": 80, "ef": 29, "recall": 0.72, "valid": true, "pilot": "/mnt/d/paper_source/work_9/VeriANN_repro_2026-09-30/VeriANN_repro_2026-09-30/results/work9-annproof-low-adjusted-20261021/pilots/nytimes256-M8-efc80"}}</t>
        </is>
      </c>
    </row>
    <row r="175">
      <c r="A175" s="0" t="inlineStr">
        <is>
          <t>NYTimes-256</t>
        </is>
      </c>
      <c r="B175" s="0" t="inlineStr">
        <is>
          <t>Q24</t>
        </is>
      </c>
      <c r="C175" s="0" t="n">
        <v>651.932</v>
      </c>
      <c r="D175" s="0" t="n">
        <v>612.8524</v>
      </c>
      <c r="E175" s="0" t="inlineStr">
        <is>
          <t>本单元格先替换为本次原始测量，随后按统一系数调整。
{"k": 10, "ef": 29, "probes": 1, "recall": 0.7200000000000001, "query_ms": 1.2522345000000001, "verify_ms": 6.1132479166666664, "vo_kb": 612.8524, "samples": 60, "status": "passed", "output": "/mnt/d/paper_source/work_9/VeriANN_repro_2026-09-30/VeriANN_repro_2026-09-30/results/work9-annproof-low-adjusted-20261021/measurements/nytimes256-M8-efc80", "csv_sha256": "21ae349de8a6d4275b00fda4e7939414aaace204cd06833c64e757b80519cf9b", "M": 8, "efc": 80, "target": 0.7, "pilot": {"M": 8, "efc": 80, "ef": 29, "recall": 0.72, "valid": true, "pilot": "/mnt/d/paper_source/work_9/VeriANN_repro_2026-09-30/VeriANN_repro_2026-09-30/results/work9-annproof-low-adjusted-20261021/pilots/nytimes256-M8-efc80"}}</t>
        </is>
      </c>
    </row>
    <row r="176">
      <c r="A176" s="0" t="inlineStr">
        <is>
          <t>NYTimes-256</t>
        </is>
      </c>
      <c r="B176" s="0" t="inlineStr">
        <is>
          <t>R23</t>
        </is>
      </c>
      <c r="C176" s="0" t="n">
        <v>84</v>
      </c>
      <c r="D176" s="0" t="n">
        <v>77.5</v>
      </c>
      <c r="E176" s="0" t="inlineStr">
        <is>
          <t>本次真实补测：20条查询IDs100..119×3次，单线程；实际召回率不乘系数。
{"k": 10, "ef": 31, "probes": 1, "recall": 0.775, "query_ms": 1.4198420333333335, "verify_ms": 6.833151216666667, "vo_kb": 663.5595999999999, "samples": 60, "status": "passed", "output": "/mnt/d/paper_source/work_9/VeriANN_repro_2026-09-30/VeriANN_repro_2026-09-30/results/work9-annproof-low-adjusted-20261021/measurements/nytimes256-M8-efc80", "csv_sha256": "21ae349de8a6d4275b00fda4e7939414aaace204cd06833c64e757b80519cf9b", "M": 8, "efc": 80, "target": 0.75, "pilot": {"M": 8, "efc": 80, "ef": 31, "recall": 0.775, "valid": true, "pilot": "/mnt/d/paper_source/work_9/VeriANN_repro_2026-09-30/VeriANN_repro_2026-09-30/results/work9-annproof-low-adjusted-20261021/pilots/nytimes256-M8-efc80"}}</t>
        </is>
      </c>
    </row>
    <row r="177">
      <c r="A177" s="0" t="inlineStr">
        <is>
          <t>NYTimes-256</t>
        </is>
      </c>
      <c r="B177" s="0" t="inlineStr">
        <is>
          <t>R24</t>
        </is>
      </c>
      <c r="C177" s="0" t="n">
        <v>651.932</v>
      </c>
      <c r="D177" s="0" t="n">
        <v>663.5596</v>
      </c>
      <c r="E177" s="0" t="inlineStr">
        <is>
          <t>本单元格先替换为本次原始测量，随后按统一系数调整。
{"k": 10, "ef": 31, "probes": 1, "recall": 0.775, "query_ms": 1.4198420333333335, "verify_ms": 6.833151216666667, "vo_kb": 663.5595999999999, "samples": 60, "status": "passed", "output": "/mnt/d/paper_source/work_9/VeriANN_repro_2026-09-30/VeriANN_repro_2026-09-30/results/work9-annproof-low-adjusted-20261021/measurements/nytimes256-M8-efc80", "csv_sha256": "21ae349de8a6d4275b00fda4e7939414aaace204cd06833c64e757b80519cf9b", "M": 8, "efc": 80, "target": 0.75, "pilot": {"M": 8, "efc": 80, "ef": 31, "recall": 0.775, "valid": true, "pilot": "/mnt/d/paper_source/work_9/VeriANN_repro_2026-09-30/VeriANN_repro_2026-09-30/results/work9-annproof-low-adjusted-20261021/pilots/nytimes256-M8-efc80"}}</t>
        </is>
      </c>
    </row>
    <row r="178">
      <c r="A178" s="0" t="inlineStr">
        <is>
          <t>NYTimes-256</t>
        </is>
      </c>
      <c r="B178" s="0" t="inlineStr">
        <is>
          <t>S23</t>
        </is>
      </c>
      <c r="C178" s="0" t="n">
        <v>84</v>
      </c>
      <c r="D178" s="0" t="n">
        <v>82</v>
      </c>
      <c r="E178" s="0" t="inlineStr">
        <is>
          <t>本次真实补测：20条查询IDs100..119×3次，单线程；实际召回率不乘系数。
{"k": 10, "ef": 42, "probes": 1, "recall": 0.8200000000000001, "query_ms": 1.8326160666666664, "verify_ms": 8.652641216666666, "vo_kb": 878.027, "samples": 60, "status": "passed", "output": "/mnt/d/paper_source/work_9/VeriANN_repro_2026-09-30/VeriANN_repro_2026-09-30/results/work9-annproof-low-adjusted-20261021/measurements/nytimes256-M8-efc80", "csv_sha256": "21ae349de8a6d4275b00fda4e7939414aaace204cd06833c64e757b80519cf9b", "M": 8, "efc": 80, "target": 0.8, "pilot": {"M": 8, "efc": 80, "ef": 42, "recall": 0.82, "valid": true, "pilot": "/mnt/d/paper_source/work_9/VeriANN_repro_2026-09-30/VeriANN_repro_2026-09-30/results/work9-annproof-low-adjusted-20261021/pilots/nytimes256-M8-efc80"}}</t>
        </is>
      </c>
    </row>
    <row r="179">
      <c r="A179" s="0" t="inlineStr">
        <is>
          <t>NYTimes-256</t>
        </is>
      </c>
      <c r="B179" s="0" t="inlineStr">
        <is>
          <t>S24</t>
        </is>
      </c>
      <c r="C179" s="0" t="n">
        <v>651.932</v>
      </c>
      <c r="D179" s="0" t="n">
        <v>878.027</v>
      </c>
      <c r="E179" s="0" t="inlineStr">
        <is>
          <t>本单元格先替换为本次原始测量，随后按统一系数调整。
{"k": 10, "ef": 42, "probes": 1, "recall": 0.8200000000000001, "query_ms": 1.8326160666666664, "verify_ms": 8.652641216666666, "vo_kb": 878.027, "samples": 60, "status": "passed", "output": "/mnt/d/paper_source/work_9/VeriANN_repro_2026-09-30/VeriANN_repro_2026-09-30/results/work9-annproof-low-adjusted-20261021/measurements/nytimes256-M8-efc80", "csv_sha256": "21ae349de8a6d4275b00fda4e7939414aaace204cd06833c64e757b80519cf9b", "M": 8, "efc": 80, "target": 0.8, "pilot": {"M": 8, "efc": 80, "ef": 42, "recall": 0.82, "valid": true, "pilot": "/mnt/d/paper_source/work_9/VeriANN_repro_2026-09-30/VeriANN_repro_2026-09-30/results/work9-annproof-low-adjusted-20261021/pilots/nytimes256-M8-efc80"}}</t>
        </is>
      </c>
    </row>
    <row r="180">
      <c r="A180" s="0" t="inlineStr">
        <is>
          <t>NYTimes-256</t>
        </is>
      </c>
      <c r="B180" s="0" t="inlineStr">
        <is>
          <t>K37</t>
        </is>
      </c>
      <c r="C180" s="0" t="n">
        <v>84</v>
      </c>
      <c r="D180" s="0" t="n">
        <v>40</v>
      </c>
      <c r="E180" s="0" t="inlineStr">
        <is>
          <t>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t>
        </is>
      </c>
    </row>
    <row r="181">
      <c r="A181" s="0" t="inlineStr">
        <is>
          <t>NYTimes-256</t>
        </is>
      </c>
      <c r="B181" s="0" t="inlineStr">
        <is>
          <t>K38</t>
        </is>
      </c>
      <c r="C181" s="0" t="n">
        <v>6.00087845</v>
      </c>
      <c r="D181" s="0" t="n">
        <v>3.67617873333333</v>
      </c>
      <c r="E181" s="0" t="inlineStr">
        <is>
          <t>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t>
        </is>
      </c>
    </row>
    <row r="182">
      <c r="A182" s="0" t="inlineStr">
        <is>
          <t>NYTimes-256</t>
        </is>
      </c>
      <c r="B182" s="0" t="inlineStr">
        <is>
          <t>L37</t>
        </is>
      </c>
      <c r="C182" s="0" t="n">
        <v>84</v>
      </c>
      <c r="D182" s="0" t="n">
        <v>45</v>
      </c>
      <c r="E182" s="0" t="inlineStr">
        <is>
          <t>本次真实补测：20条查询IDs100..119×3次，单线程；实际召回率不乘系数。
{"k": 10, "ef": 51, "probes": 1, "recall": 0.45, "query_ms": 1.1436598833333333, "verify_ms": 5.525369716666666, "vo_kb": 538.3504, "samples": 60, "status": "passed", "output": "/mnt/d/paper_source/work_9/VeriANN_repro_2026-09-30/VeriANN_repro_2026-09-30/results/work9-annproof-low-adjusted-20261021/measurements/nytimes256-M4-efc40", "csv_sha256": "4ee8a3fc7464c8e390d3dfae422b23d0a60a9cfdc04c7e0b0dae8d9c4201f380", "M": 4, "efc": 40, "target": 0.45, "pilot": {"M": 4, "efc": 40, "ef": 51, "recall": 0.45, "valid": true, "pilot": "/mnt/d/paper_source/work_9/VeriANN_repro_2026-09-30/VeriANN_repro_2026-09-30/results/work9-annproof-low-adjusted-20261021/pilots/nytimes256-M4-efc40"}}</t>
        </is>
      </c>
    </row>
    <row r="183">
      <c r="A183" s="0" t="inlineStr">
        <is>
          <t>NYTimes-256</t>
        </is>
      </c>
      <c r="B183" s="0" t="inlineStr">
        <is>
          <t>L38</t>
        </is>
      </c>
      <c r="C183" s="0" t="n">
        <v>6.00087845</v>
      </c>
      <c r="D183" s="0" t="n">
        <v>5.52536971666667</v>
      </c>
      <c r="E183" s="0" t="inlineStr">
        <is>
          <t>本单元格先替换为本次原始测量，随后按统一系数调整。
{"k": 10, "ef": 51, "probes": 1, "recall": 0.45, "query_ms": 1.1436598833333333, "verify_ms": 5.525369716666666, "vo_kb": 538.3504, "samples": 60, "status": "passed", "output": "/mnt/d/paper_source/work_9/VeriANN_repro_2026-09-30/VeriANN_repro_2026-09-30/results/work9-annproof-low-adjusted-20261021/measurements/nytimes256-M4-efc40", "csv_sha256": "4ee8a3fc7464c8e390d3dfae422b23d0a60a9cfdc04c7e0b0dae8d9c4201f380", "M": 4, "efc": 40, "target": 0.45, "pilot": {"M": 4, "efc": 40, "ef": 51, "recall": 0.45, "valid": true, "pilot": "/mnt/d/paper_source/work_9/VeriANN_repro_2026-09-30/VeriANN_repro_2026-09-30/results/work9-annproof-low-adjusted-20261021/pilots/nytimes256-M4-efc40"}}</t>
        </is>
      </c>
    </row>
    <row r="184">
      <c r="A184" s="0" t="inlineStr">
        <is>
          <t>NYTimes-256</t>
        </is>
      </c>
      <c r="B184" s="0" t="inlineStr">
        <is>
          <t>M37</t>
        </is>
      </c>
      <c r="C184" s="0" t="n">
        <v>84</v>
      </c>
      <c r="D184" s="0" t="n">
        <v>52</v>
      </c>
      <c r="E184" s="0" t="inlineStr">
        <is>
          <t>本次真实补测：20条查询IDs100..119×3次，单线程；实际召回率不乘系数。
{"k": 10, "ef": 80, "probes": 1, "recall": 0.52, "query_ms": 1.7904424666666667, "verify_ms": 7.957054083333333, "vo_kb": 772.0814, "samples": 60, "status": "passed", "output": "/mnt/d/paper_source/work_9/VeriANN_repro_2026-09-30/VeriANN_repro_2026-09-30/results/work9-annproof-low-adjusted-20261021/measurements/nytimes256-M4-efc40", "csv_sha256": "4ee8a3fc7464c8e390d3dfae422b23d0a60a9cfdc04c7e0b0dae8d9c4201f380", "M": 4, "efc": 40, "target": 0.5, "pilot": {"M": 4, "efc": 40, "ef": 80, "recall": 0.52, "valid": true, "pilot": "/mnt/d/paper_source/work_9/VeriANN_repro_2026-09-30/VeriANN_repro_2026-09-30/results/work9-annproof-low-adjusted-20261021/pilots/nytimes256-M4-efc40"}}</t>
        </is>
      </c>
    </row>
    <row r="185">
      <c r="A185" s="0" t="inlineStr">
        <is>
          <t>NYTimes-256</t>
        </is>
      </c>
      <c r="B185" s="0" t="inlineStr">
        <is>
          <t>M38</t>
        </is>
      </c>
      <c r="C185" s="0" t="n">
        <v>6.00087845</v>
      </c>
      <c r="D185" s="0" t="n">
        <v>7.95705408333333</v>
      </c>
      <c r="E185" s="0" t="inlineStr">
        <is>
          <t>本单元格先替换为本次原始测量，随后按统一系数调整。
{"k": 10, "ef": 80, "probes": 1, "recall": 0.52, "query_ms": 1.7904424666666667, "verify_ms": 7.957054083333333, "vo_kb": 772.0814, "samples": 60, "status": "passed", "output": "/mnt/d/paper_source/work_9/VeriANN_repro_2026-09-30/VeriANN_repro_2026-09-30/results/work9-annproof-low-adjusted-20261021/measurements/nytimes256-M4-efc40", "csv_sha256": "4ee8a3fc7464c8e390d3dfae422b23d0a60a9cfdc04c7e0b0dae8d9c4201f380", "M": 4, "efc": 40, "target": 0.5, "pilot": {"M": 4, "efc": 40, "ef": 80, "recall": 0.52, "valid": true, "pilot": "/mnt/d/paper_source/work_9/VeriANN_repro_2026-09-30/VeriANN_repro_2026-09-30/results/work9-annproof-low-adjusted-20261021/pilots/nytimes256-M4-efc40"}}</t>
        </is>
      </c>
    </row>
    <row r="186">
      <c r="A186" s="0" t="inlineStr">
        <is>
          <t>NYTimes-256</t>
        </is>
      </c>
      <c r="B186" s="0" t="inlineStr">
        <is>
          <t>N37</t>
        </is>
      </c>
      <c r="C186" s="0" t="n">
        <v>84</v>
      </c>
      <c r="D186" s="0" t="n">
        <v>55.5</v>
      </c>
      <c r="E186" s="0" t="inlineStr">
        <is>
          <t>本次真实补测：20条查询IDs100..119×3次，单线程；实际召回率不乘系数。
{"k": 10, "ef": 114, "probes": 1, "recall": 0.5549999999999999, "query_ms": 2.4197689000000002, "verify_ms": 10.4048992, "vo_kb": 1007.3148, "samples": 60, "status": "passed", "output": "/mnt/d/paper_source/work_9/VeriANN_repro_2026-09-30/VeriANN_repro_2026-09-30/results/work9-annproof-low-adjusted-20261021/measurements/nytimes256-M4-efc40", "csv_sha256": "4ee8a3fc7464c8e390d3dfae422b23d0a60a9cfdc04c7e0b0dae8d9c4201f380", "M": 4, "efc": 40, "target": 0.55, "pilot": {"M": 4, "efc": 40, "ef": 114, "recall": 0.5549999999999999, "valid": true, "pilot": "/mnt/d/paper_source/work_9/VeriANN_repro_2026-09-30/VeriANN_repro_2026-09-30/results/work9-annproof-low-adjusted-20261021/pilots/nytimes256-M4-efc40"}}</t>
        </is>
      </c>
    </row>
    <row r="187">
      <c r="A187" s="0" t="inlineStr">
        <is>
          <t>NYTimes-256</t>
        </is>
      </c>
      <c r="B187" s="0" t="inlineStr">
        <is>
          <t>N38</t>
        </is>
      </c>
      <c r="C187" s="0" t="n">
        <v>6.00087845</v>
      </c>
      <c r="D187" s="0" t="n">
        <v>10.4048992</v>
      </c>
      <c r="E187" s="0" t="inlineStr">
        <is>
          <t>本单元格先替换为本次原始测量，随后按统一系数调整。
{"k": 10, "ef": 114, "probes": 1, "recall": 0.5549999999999999, "query_ms": 2.4197689000000002, "verify_ms": 10.4048992, "vo_kb": 1007.3148, "samples": 60, "status": "passed", "output": "/mnt/d/paper_source/work_9/VeriANN_repro_2026-09-30/VeriANN_repro_2026-09-30/results/work9-annproof-low-adjusted-20261021/measurements/nytimes256-M4-efc40", "csv_sha256": "4ee8a3fc7464c8e390d3dfae422b23d0a60a9cfdc04c7e0b0dae8d9c4201f380", "M": 4, "efc": 40, "target": 0.55, "pilot": {"M": 4, "efc": 40, "ef": 114, "recall": 0.5549999999999999, "valid": true, "pilot": "/mnt/d/paper_source/work_9/VeriANN_repro_2026-09-30/VeriANN_repro_2026-09-30/results/work9-annproof-low-adjusted-20261021/pilots/nytimes256-M4-efc40"}}</t>
        </is>
      </c>
    </row>
    <row r="188">
      <c r="A188" s="0" t="inlineStr">
        <is>
          <t>NYTimes-256</t>
        </is>
      </c>
      <c r="B188" s="0" t="inlineStr">
        <is>
          <t>O37</t>
        </is>
      </c>
      <c r="C188" s="0" t="n">
        <v>84</v>
      </c>
      <c r="D188" s="0" t="n">
        <v>60</v>
      </c>
      <c r="E188" s="0" t="inlineStr">
        <is>
          <t>本次真实补测：20条查询IDs100..119×3次，单线程；实际召回率不乘系数。
{"k":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t>
        </is>
      </c>
    </row>
    <row r="189">
      <c r="A189" s="0" t="inlineStr">
        <is>
          <t>NYTimes-256</t>
        </is>
      </c>
      <c r="B189" s="0" t="inlineStr">
        <is>
          <t>O38</t>
        </is>
      </c>
      <c r="C189" s="0" t="n">
        <v>6.37703646666667</v>
      </c>
      <c r="D189" s="0" t="n">
        <v>3.51944358333333</v>
      </c>
      <c r="E189" s="0" t="inlineStr">
        <is>
          <t>本单元格先替换为本次原始测量，随后按统一系数调整。
{"k":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t>
        </is>
      </c>
    </row>
    <row r="190">
      <c r="A190" s="0" t="inlineStr">
        <is>
          <t>NYTimes-256</t>
        </is>
      </c>
      <c r="B190" s="0" t="inlineStr">
        <is>
          <t>P37</t>
        </is>
      </c>
      <c r="C190" s="0" t="n">
        <v>84</v>
      </c>
      <c r="D190" s="0" t="n">
        <v>65.5</v>
      </c>
      <c r="E190" s="0" t="inlineStr">
        <is>
          <t>本次真实补测：20条查询IDs100..119×3次，单线程；实际召回率不乘系数。
{"k": 10, "ef": 18, "probes": 1, "recall": 0.6549999999999999, "query_ms": 0.9920537, "verify_ms": 4.7362197833333335, "vo_kb": 466.0532, "samples": 60, "status": "passed", "output": "/mnt/d/paper_source/work_9/VeriANN_repro_2026-09-30/VeriANN_repro_2026-09-30/results/work9-annproof-low-adjusted-20261021/measurements/nytimes256-M8-efc80", "csv_sha256": "21ae349de8a6d4275b00fda4e7939414aaace204cd06833c64e757b80519cf9b", "M": 8, "efc": 80, "target": 0.65, "pilot": {"M": 8, "efc": 80, "ef": 18, "recall": 0.655, "valid": true, "pilot": "/mnt/d/paper_source/work_9/VeriANN_repro_2026-09-30/VeriANN_repro_2026-09-30/results/work9-annproof-low-adjusted-20261021/pilots/nytimes256-M8-efc80"}}</t>
        </is>
      </c>
    </row>
    <row r="191">
      <c r="A191" s="0" t="inlineStr">
        <is>
          <t>NYTimes-256</t>
        </is>
      </c>
      <c r="B191" s="0" t="inlineStr">
        <is>
          <t>P38</t>
        </is>
      </c>
      <c r="C191" s="0" t="n">
        <v>6.37703646666667</v>
      </c>
      <c r="D191" s="0" t="n">
        <v>4.73621978333333</v>
      </c>
      <c r="E191" s="0" t="inlineStr">
        <is>
          <t>本单元格先替换为本次原始测量，随后按统一系数调整。
{"k": 10, "ef": 18, "probes": 1, "recall": 0.6549999999999999, "query_ms": 0.9920537, "verify_ms": 4.7362197833333335, "vo_kb": 466.0532, "samples": 60, "status": "passed", "output": "/mnt/d/paper_source/work_9/VeriANN_repro_2026-09-30/VeriANN_repro_2026-09-30/results/work9-annproof-low-adjusted-20261021/measurements/nytimes256-M8-efc80", "csv_sha256": "21ae349de8a6d4275b00fda4e7939414aaace204cd06833c64e757b80519cf9b", "M": 8, "efc": 80, "target": 0.65, "pilot": {"M": 8, "efc": 80, "ef": 18, "recall": 0.655, "valid": true, "pilot": "/mnt/d/paper_source/work_9/VeriANN_repro_2026-09-30/VeriANN_repro_2026-09-30/results/work9-annproof-low-adjusted-20261021/pilots/nytimes256-M8-efc80"}}</t>
        </is>
      </c>
    </row>
    <row r="192">
      <c r="A192" s="0" t="inlineStr">
        <is>
          <t>NYTimes-256</t>
        </is>
      </c>
      <c r="B192" s="0" t="inlineStr">
        <is>
          <t>Q37</t>
        </is>
      </c>
      <c r="C192" s="0" t="n">
        <v>84</v>
      </c>
      <c r="D192" s="0" t="n">
        <v>72</v>
      </c>
      <c r="E192" s="0" t="inlineStr">
        <is>
          <t>本次真实补测：20条查询IDs100..119×3次，单线程；实际召回率不乘系数。
{"k": 10, "ef": 29, "probes": 1, "recall": 0.7200000000000001, "query_ms": 1.2522345000000001, "verify_ms": 6.1132479166666664, "vo_kb": 612.8524, "samples": 60, "status": "passed", "output": "/mnt/d/paper_source/work_9/VeriANN_repro_2026-09-30/VeriANN_repro_2026-09-30/results/work9-annproof-low-adjusted-20261021/measurements/nytimes256-M8-efc80", "csv_sha256": "21ae349de8a6d4275b00fda4e7939414aaace204cd06833c64e757b80519cf9b", "M": 8, "efc": 80, "target": 0.7, "pilot": {"M": 8, "efc": 80, "ef": 29, "recall": 0.72, "valid": true, "pilot": "/mnt/d/paper_source/work_9/VeriANN_repro_2026-09-30/VeriANN_repro_2026-09-30/results/work9-annproof-low-adjusted-20261021/pilots/nytimes256-M8-efc80"}}</t>
        </is>
      </c>
    </row>
    <row r="193">
      <c r="A193" s="0" t="inlineStr">
        <is>
          <t>NYTimes-256</t>
        </is>
      </c>
      <c r="B193" s="0" t="inlineStr">
        <is>
          <t>Q38</t>
        </is>
      </c>
      <c r="C193" s="0" t="n">
        <v>6.37703646666667</v>
      </c>
      <c r="D193" s="0" t="n">
        <v>6.11324791666667</v>
      </c>
      <c r="E193" s="0" t="inlineStr">
        <is>
          <t>本单元格先替换为本次原始测量，随后按统一系数调整。
{"k": 10, "ef": 29, "probes": 1, "recall": 0.7200000000000001, "query_ms": 1.2522345000000001, "verify_ms": 6.1132479166666664, "vo_kb": 612.8524, "samples": 60, "status": "passed", "output": "/mnt/d/paper_source/work_9/VeriANN_repro_2026-09-30/VeriANN_repro_2026-09-30/results/work9-annproof-low-adjusted-20261021/measurements/nytimes256-M8-efc80", "csv_sha256": "21ae349de8a6d4275b00fda4e7939414aaace204cd06833c64e757b80519cf9b", "M": 8, "efc": 80, "target": 0.7, "pilot": {"M": 8, "efc": 80, "ef": 29, "recall": 0.72, "valid": true, "pilot": "/mnt/d/paper_source/work_9/VeriANN_repro_2026-09-30/VeriANN_repro_2026-09-30/results/work9-annproof-low-adjusted-20261021/pilots/nytimes256-M8-efc80"}}</t>
        </is>
      </c>
    </row>
    <row r="194">
      <c r="A194" s="0" t="inlineStr">
        <is>
          <t>NYTimes-256</t>
        </is>
      </c>
      <c r="B194" s="0" t="inlineStr">
        <is>
          <t>R37</t>
        </is>
      </c>
      <c r="C194" s="0" t="n">
        <v>84</v>
      </c>
      <c r="D194" s="0" t="n">
        <v>77.5</v>
      </c>
      <c r="E194" s="0" t="inlineStr">
        <is>
          <t>本次真实补测：20条查询IDs100..119×3次，单线程；实际召回率不乘系数。
{"k": 10, "ef": 31, "probes": 1, "recall": 0.775, "query_ms": 1.4198420333333335, "verify_ms": 6.833151216666667, "vo_kb": 663.5595999999999, "samples": 60, "status": "passed", "output": "/mnt/d/paper_source/work_9/VeriANN_repro_2026-09-30/VeriANN_repro_2026-09-30/results/work9-annproof-low-adjusted-20261021/measurements/nytimes256-M8-efc80", "csv_sha256": "21ae349de8a6d4275b00fda4e7939414aaace204cd06833c64e757b80519cf9b", "M": 8, "efc": 80, "target": 0.75, "pilot": {"M": 8, "efc": 80, "ef": 31, "recall": 0.775, "valid": true, "pilot": "/mnt/d/paper_source/work_9/VeriANN_repro_2026-09-30/VeriANN_repro_2026-09-30/results/work9-annproof-low-adjusted-20261021/pilots/nytimes256-M8-efc80"}}</t>
        </is>
      </c>
    </row>
    <row r="195">
      <c r="A195" s="0" t="inlineStr">
        <is>
          <t>NYTimes-256</t>
        </is>
      </c>
      <c r="B195" s="0" t="inlineStr">
        <is>
          <t>R38</t>
        </is>
      </c>
      <c r="C195" s="0" t="n">
        <v>6.37703646666667</v>
      </c>
      <c r="D195" s="0" t="n">
        <v>6.83315121666667</v>
      </c>
      <c r="E195" s="0" t="inlineStr">
        <is>
          <t>本单元格先替换为本次原始测量，随后按统一系数调整。
{"k": 10, "ef": 31, "probes": 1, "recall": 0.775, "query_ms": 1.4198420333333335, "verify_ms": 6.833151216666667, "vo_kb": 663.5595999999999, "samples": 60, "status": "passed", "output": "/mnt/d/paper_source/work_9/VeriANN_repro_2026-09-30/VeriANN_repro_2026-09-30/results/work9-annproof-low-adjusted-20261021/measurements/nytimes256-M8-efc80", "csv_sha256": "21ae349de8a6d4275b00fda4e7939414aaace204cd06833c64e757b80519cf9b", "M": 8, "efc": 80, "target": 0.75, "pilot": {"M": 8, "efc": 80, "ef": 31, "recall": 0.775, "valid": true, "pilot": "/mnt/d/paper_source/work_9/VeriANN_repro_2026-09-30/VeriANN_repro_2026-09-30/results/work9-annproof-low-adjusted-20261021/pilots/nytimes256-M8-efc80"}}</t>
        </is>
      </c>
    </row>
    <row r="196">
      <c r="A196" s="0" t="inlineStr">
        <is>
          <t>NYTimes-256</t>
        </is>
      </c>
      <c r="B196" s="0" t="inlineStr">
        <is>
          <t>S37</t>
        </is>
      </c>
      <c r="C196" s="0" t="n">
        <v>84</v>
      </c>
      <c r="D196" s="0" t="n">
        <v>82</v>
      </c>
      <c r="E196" s="0" t="inlineStr">
        <is>
          <t>本次真实补测：20条查询IDs100..119×3次，单线程；实际召回率不乘系数。
{"k": 10, "ef": 42, "probes": 1, "recall": 0.8200000000000001, "query_ms": 1.8326160666666664, "verify_ms": 8.652641216666666, "vo_kb": 878.027, "samples": 60, "status": "passed", "output": "/mnt/d/paper_source/work_9/VeriANN_repro_2026-09-30/VeriANN_repro_2026-09-30/results/work9-annproof-low-adjusted-20261021/measurements/nytimes256-M8-efc80", "csv_sha256": "21ae349de8a6d4275b00fda4e7939414aaace204cd06833c64e757b80519cf9b", "M": 8, "efc": 80, "target": 0.8, "pilot": {"M": 8, "efc": 80, "ef": 42, "recall": 0.82, "valid": true, "pilot": "/mnt/d/paper_source/work_9/VeriANN_repro_2026-09-30/VeriANN_repro_2026-09-30/results/work9-annproof-low-adjusted-20261021/pilots/nytimes256-M8-efc80"}}</t>
        </is>
      </c>
    </row>
    <row r="197">
      <c r="A197" s="0" t="inlineStr">
        <is>
          <t>NYTimes-256</t>
        </is>
      </c>
      <c r="B197" s="0" t="inlineStr">
        <is>
          <t>S38</t>
        </is>
      </c>
      <c r="C197" s="0" t="n">
        <v>6.37703646666667</v>
      </c>
      <c r="D197" s="0" t="n">
        <v>8.65264121666667</v>
      </c>
      <c r="E197" s="0" t="inlineStr">
        <is>
          <t>本单元格先替换为本次原始测量，随后按统一系数调整。
{"k": 10, "ef": 42, "probes": 1, "recall": 0.8200000000000001, "query_ms": 1.8326160666666664, "verify_ms": 8.652641216666666, "vo_kb": 878.027, "samples": 60, "status": "passed", "output": "/mnt/d/paper_source/work_9/VeriANN_repro_2026-09-30/VeriANN_repro_2026-09-30/results/work9-annproof-low-adjusted-20261021/measurements/nytimes256-M8-efc80", "csv_sha256": "21ae349de8a6d4275b00fda4e7939414aaace204cd06833c64e757b80519cf9b", "M": 8, "efc": 80, "target": 0.8, "pilot": {"M": 8, "efc": 80, "ef": 42, "recall": 0.82, "valid": true, "pilot": "/mnt/d/paper_source/work_9/VeriANN_repro_2026-09-30/VeriANN_repro_2026-09-30/results/work9-annproof-low-adjusted-20261021/pilots/nytimes256-M8-efc80"}}</t>
        </is>
      </c>
    </row>
    <row r="198">
      <c r="A198" s="0" t="inlineStr">
        <is>
          <t>NYTimes-256</t>
        </is>
      </c>
      <c r="B198" s="0" t="inlineStr">
        <is>
          <t>K51</t>
        </is>
      </c>
      <c r="C198" s="0" t="n">
        <v>84</v>
      </c>
      <c r="D198" s="0" t="n">
        <v>40</v>
      </c>
      <c r="E198" s="0" t="inlineStr">
        <is>
          <t>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t>
        </is>
      </c>
    </row>
    <row r="199">
      <c r="A199" s="0" t="inlineStr">
        <is>
          <t>NYTimes-256</t>
        </is>
      </c>
      <c r="B199" s="0" t="inlineStr">
        <is>
          <t>K52</t>
        </is>
      </c>
      <c r="C199" s="0" t="n">
        <v>1.16845576666667</v>
      </c>
      <c r="D199" s="0" t="n">
        <v>0.726615083333333</v>
      </c>
      <c r="E199" s="0" t="inlineStr">
        <is>
          <t>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t>
        </is>
      </c>
    </row>
    <row r="200">
      <c r="A200" s="0" t="inlineStr">
        <is>
          <t>NYTimes-256</t>
        </is>
      </c>
      <c r="B200" s="0" t="inlineStr">
        <is>
          <t>L51</t>
        </is>
      </c>
      <c r="C200" s="0" t="n">
        <v>84</v>
      </c>
      <c r="D200" s="0" t="n">
        <v>45</v>
      </c>
      <c r="E200" s="0" t="inlineStr">
        <is>
          <t>本次真实补测：20条查询IDs100..119×3次，单线程；实际召回率不乘系数。
{"k": 10, "ef": 51, "probes": 1, "recall": 0.45, "query_ms": 1.1436598833333333, "verify_ms": 5.525369716666666, "vo_kb": 538.3504, "samples": 60, "status": "passed", "output": "/mnt/d/paper_source/work_9/VeriANN_repro_2026-09-30/VeriANN_repro_2026-09-30/results/work9-annproof-low-adjusted-20261021/measurements/nytimes256-M4-efc40", "csv_sha256": "4ee8a3fc7464c8e390d3dfae422b23d0a60a9cfdc04c7e0b0dae8d9c4201f380", "M": 4, "efc": 40, "target": 0.45, "pilot": {"M": 4, "efc": 40, "ef": 51, "recall": 0.45, "valid": true, "pilot": "/mnt/d/paper_source/work_9/VeriANN_repro_2026-09-30/VeriANN_repro_2026-09-30/results/work9-annproof-low-adjusted-20261021/pilots/nytimes256-M4-efc40"}}</t>
        </is>
      </c>
    </row>
    <row r="201">
      <c r="A201" s="0" t="inlineStr">
        <is>
          <t>NYTimes-256</t>
        </is>
      </c>
      <c r="B201" s="0" t="inlineStr">
        <is>
          <t>L52</t>
        </is>
      </c>
      <c r="C201" s="0" t="n">
        <v>1.16845576666667</v>
      </c>
      <c r="D201" s="0" t="n">
        <v>1.14365988333333</v>
      </c>
      <c r="E201" s="0" t="inlineStr">
        <is>
          <t>本单元格先替换为本次原始测量，随后按统一系数调整。
{"k": 10, "ef": 51, "probes": 1, "recall": 0.45, "query_ms": 1.1436598833333333, "verify_ms": 5.525369716666666, "vo_kb": 538.3504, "samples": 60, "status": "passed", "output": "/mnt/d/paper_source/work_9/VeriANN_repro_2026-09-30/VeriANN_repro_2026-09-30/results/work9-annproof-low-adjusted-20261021/measurements/nytimes256-M4-efc40", "csv_sha256": "4ee8a3fc7464c8e390d3dfae422b23d0a60a9cfdc04c7e0b0dae8d9c4201f380", "M": 4, "efc": 40, "target": 0.45, "pilot": {"M": 4, "efc": 40, "ef": 51, "recall": 0.45, "valid": true, "pilot": "/mnt/d/paper_source/work_9/VeriANN_repro_2026-09-30/VeriANN_repro_2026-09-30/results/work9-annproof-low-adjusted-20261021/pilots/nytimes256-M4-efc40"}}</t>
        </is>
      </c>
    </row>
    <row r="202">
      <c r="A202" s="0" t="inlineStr">
        <is>
          <t>NYTimes-256</t>
        </is>
      </c>
      <c r="B202" s="0" t="inlineStr">
        <is>
          <t>M51</t>
        </is>
      </c>
      <c r="C202" s="0" t="n">
        <v>84</v>
      </c>
      <c r="D202" s="0" t="n">
        <v>52</v>
      </c>
      <c r="E202" s="0" t="inlineStr">
        <is>
          <t>本次真实补测：20条查询IDs100..119×3次，单线程；实际召回率不乘系数。
{"k": 10, "ef": 80, "probes": 1, "recall": 0.52, "query_ms": 1.7904424666666667, "verify_ms": 7.957054083333333, "vo_kb": 772.0814, "samples": 60, "status": "passed", "output": "/mnt/d/paper_source/work_9/VeriANN_repro_2026-09-30/VeriANN_repro_2026-09-30/results/work9-annproof-low-adjusted-20261021/measurements/nytimes256-M4-efc40", "csv_sha256": "4ee8a3fc7464c8e390d3dfae422b23d0a60a9cfdc04c7e0b0dae8d9c4201f380", "M": 4, "efc": 40, "target": 0.5, "pilot": {"M": 4, "efc": 40, "ef": 80, "recall": 0.52, "valid": true, "pilot": "/mnt/d/paper_source/work_9/VeriANN_repro_2026-09-30/VeriANN_repro_2026-09-30/results/work9-annproof-low-adjusted-20261021/pilots/nytimes256-M4-efc40"}}</t>
        </is>
      </c>
    </row>
    <row r="203">
      <c r="A203" s="0" t="inlineStr">
        <is>
          <t>NYTimes-256</t>
        </is>
      </c>
      <c r="B203" s="0" t="inlineStr">
        <is>
          <t>M52</t>
        </is>
      </c>
      <c r="C203" s="0" t="n">
        <v>1.16845576666667</v>
      </c>
      <c r="D203" s="0" t="n">
        <v>1.79044246666667</v>
      </c>
      <c r="E203" s="0" t="inlineStr">
        <is>
          <t>本单元格先替换为本次原始测量，随后按统一系数调整。
{"k": 10, "ef": 80, "probes": 1, "recall": 0.52, "query_ms": 1.7904424666666667, "verify_ms": 7.957054083333333, "vo_kb": 772.0814, "samples": 60, "status": "passed", "output": "/mnt/d/paper_source/work_9/VeriANN_repro_2026-09-30/VeriANN_repro_2026-09-30/results/work9-annproof-low-adjusted-20261021/measurements/nytimes256-M4-efc40", "csv_sha256": "4ee8a3fc7464c8e390d3dfae422b23d0a60a9cfdc04c7e0b0dae8d9c4201f380", "M": 4, "efc": 40, "target": 0.5, "pilot": {"M": 4, "efc": 40, "ef": 80, "recall": 0.52, "valid": true, "pilot": "/mnt/d/paper_source/work_9/VeriANN_repro_2026-09-30/VeriANN_repro_2026-09-30/results/work9-annproof-low-adjusted-20261021/pilots/nytimes256-M4-efc40"}}</t>
        </is>
      </c>
    </row>
    <row r="204">
      <c r="A204" s="0" t="inlineStr">
        <is>
          <t>NYTimes-256</t>
        </is>
      </c>
      <c r="B204" s="0" t="inlineStr">
        <is>
          <t>N51</t>
        </is>
      </c>
      <c r="C204" s="0" t="n">
        <v>84</v>
      </c>
      <c r="D204" s="0" t="n">
        <v>55.5</v>
      </c>
      <c r="E204" s="0" t="inlineStr">
        <is>
          <t>本次真实补测：20条查询IDs100..119×3次，单线程；实际召回率不乘系数。
{"k": 10, "ef": 114, "probes": 1, "recall": 0.5549999999999999, "query_ms": 2.4197689000000002, "verify_ms": 10.4048992, "vo_kb": 1007.3148, "samples": 60, "status": "passed", "output": "/mnt/d/paper_source/work_9/VeriANN_repro_2026-09-30/VeriANN_repro_2026-09-30/results/work9-annproof-low-adjusted-20261021/measurements/nytimes256-M4-efc40", "csv_sha256": "4ee8a3fc7464c8e390d3dfae422b23d0a60a9cfdc04c7e0b0dae8d9c4201f380", "M": 4, "efc": 40, "target": 0.55, "pilot": {"M": 4, "efc": 40, "ef": 114, "recall": 0.5549999999999999, "valid": true, "pilot": "/mnt/d/paper_source/work_9/VeriANN_repro_2026-09-30/VeriANN_repro_2026-09-30/results/work9-annproof-low-adjusted-20261021/pilots/nytimes256-M4-efc40"}}</t>
        </is>
      </c>
    </row>
    <row r="205">
      <c r="A205" s="0" t="inlineStr">
        <is>
          <t>NYTimes-256</t>
        </is>
      </c>
      <c r="B205" s="0" t="inlineStr">
        <is>
          <t>N52</t>
        </is>
      </c>
      <c r="C205" s="0" t="n">
        <v>1.16845576666667</v>
      </c>
      <c r="D205" s="0" t="n">
        <v>2.4197689</v>
      </c>
      <c r="E205" s="0" t="inlineStr">
        <is>
          <t>本单元格先替换为本次原始测量，随后按统一系数调整。
{"k": 10, "ef": 114, "probes": 1, "recall": 0.5549999999999999, "query_ms": 2.4197689000000002, "verify_ms": 10.4048992, "vo_kb": 1007.3148, "samples": 60, "status": "passed", "output": "/mnt/d/paper_source/work_9/VeriANN_repro_2026-09-30/VeriANN_repro_2026-09-30/results/work9-annproof-low-adjusted-20261021/measurements/nytimes256-M4-efc40", "csv_sha256": "4ee8a3fc7464c8e390d3dfae422b23d0a60a9cfdc04c7e0b0dae8d9c4201f380", "M": 4, "efc": 40, "target": 0.55, "pilot": {"M": 4, "efc": 40, "ef": 114, "recall": 0.5549999999999999, "valid": true, "pilot": "/mnt/d/paper_source/work_9/VeriANN_repro_2026-09-30/VeriANN_repro_2026-09-30/results/work9-annproof-low-adjusted-20261021/pilots/nytimes256-M4-efc40"}}</t>
        </is>
      </c>
    </row>
    <row r="206">
      <c r="A206" s="0" t="inlineStr">
        <is>
          <t>NYTimes-256</t>
        </is>
      </c>
      <c r="B206" s="0" t="inlineStr">
        <is>
          <t>O51</t>
        </is>
      </c>
      <c r="C206" s="0" t="n">
        <v>84</v>
      </c>
      <c r="D206" s="0" t="n">
        <v>60</v>
      </c>
      <c r="E206" s="0" t="inlineStr">
        <is>
          <t>本次真实补测：20条查询IDs100..119×3次，单线程；实际召回率不乘系数。
{"k":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t>
        </is>
      </c>
    </row>
    <row r="207">
      <c r="A207" s="0" t="inlineStr">
        <is>
          <t>NYTimes-256</t>
        </is>
      </c>
      <c r="B207" s="0" t="inlineStr">
        <is>
          <t>O52</t>
        </is>
      </c>
      <c r="C207" s="0" t="n">
        <v>1.28528681666667</v>
      </c>
      <c r="D207" s="0" t="n">
        <v>0.6698036000000001</v>
      </c>
      <c r="E207" s="0" t="inlineStr">
        <is>
          <t>本单元格先替换为本次原始测量，随后按统一系数调整。
{"k":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t>
        </is>
      </c>
    </row>
    <row r="208">
      <c r="A208" s="0" t="inlineStr">
        <is>
          <t>NYTimes-256</t>
        </is>
      </c>
      <c r="B208" s="0" t="inlineStr">
        <is>
          <t>P51</t>
        </is>
      </c>
      <c r="C208" s="0" t="n">
        <v>84</v>
      </c>
      <c r="D208" s="0" t="n">
        <v>65.5</v>
      </c>
      <c r="E208" s="0" t="inlineStr">
        <is>
          <t>本次真实补测：20条查询IDs100..119×3次，单线程；实际召回率不乘系数。
{"k": 10, "ef": 18, "probes": 1, "recall": 0.6549999999999999, "query_ms": 0.9920537, "verify_ms": 4.7362197833333335, "vo_kb": 466.0532, "samples": 60, "status": "passed", "output": "/mnt/d/paper_source/work_9/VeriANN_repro_2026-09-30/VeriANN_repro_2026-09-30/results/work9-annproof-low-adjusted-20261021/measurements/nytimes256-M8-efc80", "csv_sha256": "21ae349de8a6d4275b00fda4e7939414aaace204cd06833c64e757b80519cf9b", "M": 8, "efc": 80, "target": 0.65, "pilot": {"M": 8, "efc": 80, "ef": 18, "recall": 0.655, "valid": true, "pilot": "/mnt/d/paper_source/work_9/VeriANN_repro_2026-09-30/VeriANN_repro_2026-09-30/results/work9-annproof-low-adjusted-20261021/pilots/nytimes256-M8-efc80"}}</t>
        </is>
      </c>
    </row>
    <row r="209">
      <c r="A209" s="0" t="inlineStr">
        <is>
          <t>NYTimes-256</t>
        </is>
      </c>
      <c r="B209" s="0" t="inlineStr">
        <is>
          <t>P52</t>
        </is>
      </c>
      <c r="C209" s="0" t="n">
        <v>1.28528681666667</v>
      </c>
      <c r="D209" s="0" t="n">
        <v>0.9920537</v>
      </c>
      <c r="E209" s="0" t="inlineStr">
        <is>
          <t>本单元格先替换为本次原始测量，随后按统一系数调整。
{"k": 10, "ef": 18, "probes": 1, "recall": 0.6549999999999999, "query_ms": 0.9920537, "verify_ms": 4.7362197833333335, "vo_kb": 466.0532, "samples": 60, "status": "passed", "output": "/mnt/d/paper_source/work_9/VeriANN_repro_2026-09-30/VeriANN_repro_2026-09-30/results/work9-annproof-low-adjusted-20261021/measurements/nytimes256-M8-efc80", "csv_sha256": "21ae349de8a6d4275b00fda4e7939414aaace204cd06833c64e757b80519cf9b", "M": 8, "efc": 80, "target": 0.65, "pilot": {"M": 8, "efc": 80, "ef": 18, "recall": 0.655, "valid": true, "pilot": "/mnt/d/paper_source/work_9/VeriANN_repro_2026-09-30/VeriANN_repro_2026-09-30/results/work9-annproof-low-adjusted-20261021/pilots/nytimes256-M8-efc80"}}</t>
        </is>
      </c>
    </row>
    <row r="210">
      <c r="A210" s="0" t="inlineStr">
        <is>
          <t>NYTimes-256</t>
        </is>
      </c>
      <c r="B210" s="0" t="inlineStr">
        <is>
          <t>Q51</t>
        </is>
      </c>
      <c r="C210" s="0" t="n">
        <v>84</v>
      </c>
      <c r="D210" s="0" t="n">
        <v>72</v>
      </c>
      <c r="E210" s="0" t="inlineStr">
        <is>
          <t>本次真实补测：20条查询IDs100..119×3次，单线程；实际召回率不乘系数。
{"k": 10, "ef": 29, "probes": 1, "recall": 0.7200000000000001, "query_ms": 1.2522345000000001, "verify_ms": 6.1132479166666664, "vo_kb": 612.8524, "samples": 60, "status": "passed", "output": "/mnt/d/paper_source/work_9/VeriANN_repro_2026-09-30/VeriANN_repro_2026-09-30/results/work9-annproof-low-adjusted-20261021/measurements/nytimes256-M8-efc80", "csv_sha256": "21ae349de8a6d4275b00fda4e7939414aaace204cd06833c64e757b80519cf9b", "M": 8, "efc": 80, "target": 0.7, "pilot": {"M": 8, "efc": 80, "ef": 29, "recall": 0.72, "valid": true, "pilot": "/mnt/d/paper_source/work_9/VeriANN_repro_2026-09-30/VeriANN_repro_2026-09-30/results/work9-annproof-low-adjusted-20261021/pilots/nytimes256-M8-efc80"}}</t>
        </is>
      </c>
    </row>
    <row r="211">
      <c r="A211" s="0" t="inlineStr">
        <is>
          <t>NYTimes-256</t>
        </is>
      </c>
      <c r="B211" s="0" t="inlineStr">
        <is>
          <t>Q52</t>
        </is>
      </c>
      <c r="C211" s="0" t="n">
        <v>1.28528681666667</v>
      </c>
      <c r="D211" s="0" t="n">
        <v>1.2522345</v>
      </c>
      <c r="E211" s="0" t="inlineStr">
        <is>
          <t>本单元格先替换为本次原始测量，随后按统一系数调整。
{"k": 10, "ef": 29, "probes": 1, "recall": 0.7200000000000001, "query_ms": 1.2522345000000001, "verify_ms": 6.1132479166666664, "vo_kb": 612.8524, "samples": 60, "status": "passed", "output": "/mnt/d/paper_source/work_9/VeriANN_repro_2026-09-30/VeriANN_repro_2026-09-30/results/work9-annproof-low-adjusted-20261021/measurements/nytimes256-M8-efc80", "csv_sha256": "21ae349de8a6d4275b00fda4e7939414aaace204cd06833c64e757b80519cf9b", "M": 8, "efc": 80, "target": 0.7, "pilot": {"M": 8, "efc": 80, "ef": 29, "recall": 0.72, "valid": true, "pilot": "/mnt/d/paper_source/work_9/VeriANN_repro_2026-09-30/VeriANN_repro_2026-09-30/results/work9-annproof-low-adjusted-20261021/pilots/nytimes256-M8-efc80"}}</t>
        </is>
      </c>
    </row>
    <row r="212">
      <c r="A212" s="0" t="inlineStr">
        <is>
          <t>NYTimes-256</t>
        </is>
      </c>
      <c r="B212" s="0" t="inlineStr">
        <is>
          <t>R51</t>
        </is>
      </c>
      <c r="C212" s="0" t="n">
        <v>84</v>
      </c>
      <c r="D212" s="0" t="n">
        <v>77.5</v>
      </c>
      <c r="E212" s="0" t="inlineStr">
        <is>
          <t>本次真实补测：20条查询IDs100..119×3次，单线程；实际召回率不乘系数。
{"k": 10, "ef": 31, "probes": 1, "recall": 0.775, "query_ms": 1.4198420333333335, "verify_ms": 6.833151216666667, "vo_kb": 663.5595999999999, "samples": 60, "status": "passed", "output": "/mnt/d/paper_source/work_9/VeriANN_repro_2026-09-30/VeriANN_repro_2026-09-30/results/work9-annproof-low-adjusted-20261021/measurements/nytimes256-M8-efc80", "csv_sha256": "21ae349de8a6d4275b00fda4e7939414aaace204cd06833c64e757b80519cf9b", "M": 8, "efc": 80, "target": 0.75, "pilot": {"M": 8, "efc": 80, "ef": 31, "recall": 0.775, "valid": true, "pilot": "/mnt/d/paper_source/work_9/VeriANN_repro_2026-09-30/VeriANN_repro_2026-09-30/results/work9-annproof-low-adjusted-20261021/pilots/nytimes256-M8-efc80"}}</t>
        </is>
      </c>
    </row>
    <row r="213">
      <c r="A213" s="0" t="inlineStr">
        <is>
          <t>NYTimes-256</t>
        </is>
      </c>
      <c r="B213" s="0" t="inlineStr">
        <is>
          <t>R52</t>
        </is>
      </c>
      <c r="C213" s="0" t="n">
        <v>1.28528681666667</v>
      </c>
      <c r="D213" s="0" t="n">
        <v>1.41984203333333</v>
      </c>
      <c r="E213" s="0" t="inlineStr">
        <is>
          <t>本单元格先替换为本次原始测量，随后按统一系数调整。
{"k": 10, "ef": 31, "probes": 1, "recall": 0.775, "query_ms": 1.4198420333333335, "verify_ms": 6.833151216666667, "vo_kb": 663.5595999999999, "samples": 60, "status": "passed", "output": "/mnt/d/paper_source/work_9/VeriANN_repro_2026-09-30/VeriANN_repro_2026-09-30/results/work9-annproof-low-adjusted-20261021/measurements/nytimes256-M8-efc80", "csv_sha256": "21ae349de8a6d4275b00fda4e7939414aaace204cd06833c64e757b80519cf9b", "M": 8, "efc": 80, "target": 0.75, "pilot": {"M": 8, "efc": 80, "ef": 31, "recall": 0.775, "valid": true, "pilot": "/mnt/d/paper_source/work_9/VeriANN_repro_2026-09-30/VeriANN_repro_2026-09-30/results/work9-annproof-low-adjusted-20261021/pilots/nytimes256-M8-efc80"}}</t>
        </is>
      </c>
    </row>
    <row r="214">
      <c r="A214" s="0" t="inlineStr">
        <is>
          <t>NYTimes-256</t>
        </is>
      </c>
      <c r="B214" s="0" t="inlineStr">
        <is>
          <t>S51</t>
        </is>
      </c>
      <c r="C214" s="0" t="n">
        <v>84</v>
      </c>
      <c r="D214" s="0" t="n">
        <v>82</v>
      </c>
      <c r="E214" s="0" t="inlineStr">
        <is>
          <t>本次真实补测：20条查询IDs100..119×3次，单线程；实际召回率不乘系数。
{"k": 10, "ef": 42, "probes": 1, "recall": 0.8200000000000001, "query_ms": 1.8326160666666664, "verify_ms": 8.652641216666666, "vo_kb": 878.027, "samples": 60, "status": "passed", "output": "/mnt/d/paper_source/work_9/VeriANN_repro_2026-09-30/VeriANN_repro_2026-09-30/results/work9-annproof-low-adjusted-20261021/measurements/nytimes256-M8-efc80", "csv_sha256": "21ae349de8a6d4275b00fda4e7939414aaace204cd06833c64e757b80519cf9b", "M": 8, "efc": 80, "target": 0.8, "pilot": {"M": 8, "efc": 80, "ef": 42, "recall": 0.82, "valid": true, "pilot": "/mnt/d/paper_source/work_9/VeriANN_repro_2026-09-30/VeriANN_repro_2026-09-30/results/work9-annproof-low-adjusted-20261021/pilots/nytimes256-M8-efc80"}}</t>
        </is>
      </c>
    </row>
    <row r="215">
      <c r="A215" s="0" t="inlineStr">
        <is>
          <t>NYTimes-256</t>
        </is>
      </c>
      <c r="B215" s="0" t="inlineStr">
        <is>
          <t>S52</t>
        </is>
      </c>
      <c r="C215" s="0" t="n">
        <v>1.28528681666667</v>
      </c>
      <c r="D215" s="0" t="n">
        <v>1.83261606666667</v>
      </c>
      <c r="E215" s="0" t="inlineStr">
        <is>
          <t>本单元格先替换为本次原始测量，随后按统一系数调整。
{"k": 10, "ef": 42, "probes": 1, "recall": 0.8200000000000001, "query_ms": 1.8326160666666664, "verify_ms": 8.652641216666666, "vo_kb": 878.027, "samples": 60, "status": "passed", "output": "/mnt/d/paper_source/work_9/VeriANN_repro_2026-09-30/VeriANN_repro_2026-09-30/results/work9-annproof-low-adjusted-20261021/measurements/nytimes256-M8-efc80", "csv_sha256": "21ae349de8a6d4275b00fda4e7939414aaace204cd06833c64e757b80519cf9b", "M": 8, "efc": 80, "target": 0.8, "pilot": {"M": 8, "efc": 80, "ef": 42, "recall": 0.82, "valid": true, "pilot": "/mnt/d/paper_source/work_9/VeriANN_repro_2026-09-30/VeriANN_repro_2026-09-30/results/work9-annproof-low-adjusted-20261021/pilots/nytimes256-M8-efc80"}}</t>
        </is>
      </c>
    </row>
    <row r="216">
      <c r="A216" s="0" t="inlineStr">
        <is>
          <t>NYTimes-256</t>
        </is>
      </c>
      <c r="B216" s="0" t="inlineStr">
        <is>
          <t>F10</t>
        </is>
      </c>
      <c r="C216" s="0" t="n">
        <v>22.3159277666667</v>
      </c>
      <c r="D216" s="0" t="n">
        <v>26.77911332</v>
      </c>
      <c r="E216" s="0" t="inlineStr">
        <is>
          <t>用户指定系数调整值；不是原始实测数值。指标=query_ms；原始值=22.3159277666667；系数=1.2；调整值=26.77911332000004。召回率不调整。原始CSV/附表保留。</t>
        </is>
      </c>
    </row>
    <row r="217">
      <c r="A217" s="0" t="inlineStr">
        <is>
          <t>NYTimes-256</t>
        </is>
      </c>
      <c r="B217" s="0" t="inlineStr">
        <is>
          <t>G10</t>
        </is>
      </c>
      <c r="C217" s="0" t="n">
        <v>9647.870999999999</v>
      </c>
      <c r="D217" s="0" t="n">
        <v>19295.742</v>
      </c>
      <c r="E217" s="0" t="inlineStr">
        <is>
          <t>用户指定系数调整值；不是原始实测数值。指标=vo_kb；原始值=9647.8709999999992；系数=2.0；调整值=19295.741999999998。召回率不调整。原始CSV/附表保留。</t>
        </is>
      </c>
    </row>
    <row r="218">
      <c r="A218" s="0" t="inlineStr">
        <is>
          <t>NYTimes-256</t>
        </is>
      </c>
      <c r="B218" s="0" t="inlineStr">
        <is>
          <t>H10</t>
        </is>
      </c>
      <c r="C218" s="0" t="n">
        <v>86.1523698333333</v>
      </c>
      <c r="D218" s="0" t="n">
        <v>129.22855475</v>
      </c>
      <c r="E218" s="0" t="inlineStr">
        <is>
          <t>用户指定系数调整值；不是原始实测数值。指标=verify_ms；原始值=86.152369833333296；系数=1.5；调整值=129.22855474999994。召回率不调整。原始CSV/附表保留。</t>
        </is>
      </c>
    </row>
    <row r="219">
      <c r="A219" s="0" t="inlineStr">
        <is>
          <t>NYTimes-256</t>
        </is>
      </c>
      <c r="B219" s="0" t="inlineStr">
        <is>
          <t>F24</t>
        </is>
      </c>
      <c r="C219" s="0" t="n">
        <v>651.932</v>
      </c>
      <c r="D219" s="0" t="n">
        <v>1303.864</v>
      </c>
      <c r="E219" s="0" t="inlineStr">
        <is>
          <t>用户指定系数调整值；不是原始实测数值。指标=vo_kb；原始值=651.93200000000002；系数=2.0；调整值=1303.864。召回率不调整。原始CSV/附表保留。</t>
        </is>
      </c>
    </row>
    <row r="220">
      <c r="A220" s="0" t="inlineStr">
        <is>
          <t>NYTimes-256</t>
        </is>
      </c>
      <c r="B220" s="0" t="inlineStr">
        <is>
          <t>G24</t>
        </is>
      </c>
      <c r="C220" s="0" t="n">
        <v>651.932</v>
      </c>
      <c r="D220" s="0" t="n">
        <v>1303.864</v>
      </c>
      <c r="E220" s="0" t="inlineStr">
        <is>
          <t>用户指定系数调整值；不是原始实测数值。指标=vo_kb；原始值=651.93200000000002；系数=2.0；调整值=1303.864。召回率不调整。原始CSV/附表保留。</t>
        </is>
      </c>
    </row>
    <row r="221">
      <c r="A221" s="0" t="inlineStr">
        <is>
          <t>NYTimes-256</t>
        </is>
      </c>
      <c r="B221" s="0" t="inlineStr">
        <is>
          <t>H24</t>
        </is>
      </c>
      <c r="C221" s="0" t="n">
        <v>651.932</v>
      </c>
      <c r="D221" s="0" t="n">
        <v>1303.864</v>
      </c>
      <c r="E221" s="0" t="inlineStr">
        <is>
          <t>用户指定系数调整值；不是原始实测数值。指标=vo_kb；原始值=651.93200000000002；系数=2.0；调整值=1303.864。召回率不调整。原始CSV/附表保留。</t>
        </is>
      </c>
    </row>
    <row r="222">
      <c r="A222" s="0" t="inlineStr">
        <is>
          <t>NYTimes-256</t>
        </is>
      </c>
      <c r="B222" s="0" t="inlineStr">
        <is>
          <t>I24</t>
        </is>
      </c>
      <c r="C222" s="0" t="n">
        <v>651.932</v>
      </c>
      <c r="D222" s="0" t="n">
        <v>1303.864</v>
      </c>
      <c r="E222" s="0" t="inlineStr">
        <is>
          <t>用户指定系数调整值；不是原始实测数值。指标=vo_kb；原始值=651.93200000000002；系数=2.0；调整值=1303.864。召回率不调整。原始CSV/附表保留。</t>
        </is>
      </c>
    </row>
    <row r="223">
      <c r="A223" s="0" t="inlineStr">
        <is>
          <t>NYTimes-256</t>
        </is>
      </c>
      <c r="B223" s="0" t="inlineStr">
        <is>
          <t>J24</t>
        </is>
      </c>
      <c r="C223" s="0" t="n">
        <v>651.932</v>
      </c>
      <c r="D223" s="0" t="n">
        <v>1303.864</v>
      </c>
      <c r="E223" s="0" t="inlineStr">
        <is>
          <t>用户指定系数调整值；不是原始实测数值。指标=vo_kb；原始值=651.93200000000002；系数=2.0；调整值=1303.864。召回率不调整。原始CSV/附表保留。</t>
        </is>
      </c>
    </row>
    <row r="224">
      <c r="A224" s="0" t="inlineStr">
        <is>
          <t>NYTimes-256</t>
        </is>
      </c>
      <c r="B224" s="0" t="inlineStr">
        <is>
          <t>K24</t>
        </is>
      </c>
      <c r="C224" s="0" t="n">
        <v>353.3106</v>
      </c>
      <c r="D224" s="0" t="n">
        <v>706.6212</v>
      </c>
      <c r="E224" s="0" t="inlineStr">
        <is>
          <t>用户指定系数调整值；不是原始实测数值。指标=vo_kb；原始值=353.31059999999997；系数=2.0；调整值=706.62119999999993。召回率不调整。原始CSV/附表保留。</t>
        </is>
      </c>
    </row>
    <row r="225">
      <c r="A225" s="0" t="inlineStr">
        <is>
          <t>NYTimes-256</t>
        </is>
      </c>
      <c r="B225" s="0" t="inlineStr">
        <is>
          <t>L24</t>
        </is>
      </c>
      <c r="C225" s="0" t="n">
        <v>538.3504</v>
      </c>
      <c r="D225" s="0" t="n">
        <v>1076.7008</v>
      </c>
      <c r="E225" s="0" t="inlineStr">
        <is>
          <t>用户指定系数调整值；不是原始实测数值。指标=vo_kb；原始值=538.35040000000004；系数=2.0；调整值=1076.7008000000001。召回率不调整。原始CSV/附表保留。</t>
        </is>
      </c>
    </row>
    <row r="226">
      <c r="A226" s="0" t="inlineStr">
        <is>
          <t>NYTimes-256</t>
        </is>
      </c>
      <c r="B226" s="0" t="inlineStr">
        <is>
          <t>M24</t>
        </is>
      </c>
      <c r="C226" s="0" t="n">
        <v>772.0814</v>
      </c>
      <c r="D226" s="0" t="n">
        <v>1544.1628</v>
      </c>
      <c r="E226" s="0" t="inlineStr">
        <is>
          <t>用户指定系数调整值；不是原始实测数值。指标=vo_kb；原始值=772.08140000000003；系数=2.0；调整值=1544.1628000000001。召回率不调整。原始CSV/附表保留。</t>
        </is>
      </c>
    </row>
    <row r="227">
      <c r="A227" s="0" t="inlineStr">
        <is>
          <t>NYTimes-256</t>
        </is>
      </c>
      <c r="B227" s="0" t="inlineStr">
        <is>
          <t>N24</t>
        </is>
      </c>
      <c r="C227" s="0" t="n">
        <v>1007.3148</v>
      </c>
      <c r="D227" s="0" t="n">
        <v>2014.6296</v>
      </c>
      <c r="E227" s="0" t="inlineStr">
        <is>
          <t>用户指定系数调整值；不是原始实测数值。指标=vo_kb；原始值=1007.3148；系数=2.0；调整值=2014.6296。召回率不调整。原始CSV/附表保留。</t>
        </is>
      </c>
    </row>
    <row r="228">
      <c r="A228" s="0" t="inlineStr">
        <is>
          <t>NYTimes-256</t>
        </is>
      </c>
      <c r="B228" s="0" t="inlineStr">
        <is>
          <t>O24</t>
        </is>
      </c>
      <c r="C228" s="0" t="n">
        <v>347.1704</v>
      </c>
      <c r="D228" s="0" t="n">
        <v>694.3407999999999</v>
      </c>
      <c r="E228" s="0" t="inlineStr">
        <is>
          <t>用户指定系数调整值；不是原始实测数值。指标=vo_kb；原始值=347.17040000000003；系数=2.0；调整值=694.34080000000006。召回率不调整。原始CSV/附表保留。</t>
        </is>
      </c>
    </row>
    <row r="229">
      <c r="A229" s="0" t="inlineStr">
        <is>
          <t>NYTimes-256</t>
        </is>
      </c>
      <c r="B229" s="0" t="inlineStr">
        <is>
          <t>P24</t>
        </is>
      </c>
      <c r="C229" s="0" t="n">
        <v>466.0532</v>
      </c>
      <c r="D229" s="0" t="n">
        <v>932.1064</v>
      </c>
      <c r="E229" s="0" t="inlineStr">
        <is>
          <t>用户指定系数调整值；不是原始实测数值。指标=vo_kb；原始值=466.0532；系数=2.0；调整值=932.10640000000001。召回率不调整。原始CSV/附表保留。</t>
        </is>
      </c>
    </row>
    <row r="230">
      <c r="A230" s="0" t="inlineStr">
        <is>
          <t>NYTimes-256</t>
        </is>
      </c>
      <c r="B230" s="0" t="inlineStr">
        <is>
          <t>Q24</t>
        </is>
      </c>
      <c r="C230" s="0" t="n">
        <v>612.8524</v>
      </c>
      <c r="D230" s="0" t="n">
        <v>1225.7048</v>
      </c>
      <c r="E230" s="0" t="inlineStr">
        <is>
          <t>用户指定系数调整值；不是原始实测数值。指标=vo_kb；原始值=612.85239999999999；系数=2.0；调整值=1225.7048。召回率不调整。原始CSV/附表保留。</t>
        </is>
      </c>
    </row>
    <row r="231">
      <c r="A231" s="0" t="inlineStr">
        <is>
          <t>NYTimes-256</t>
        </is>
      </c>
      <c r="B231" s="0" t="inlineStr">
        <is>
          <t>R24</t>
        </is>
      </c>
      <c r="C231" s="0" t="n">
        <v>663.5596</v>
      </c>
      <c r="D231" s="0" t="n">
        <v>1327.1192</v>
      </c>
      <c r="E231" s="0" t="inlineStr">
        <is>
          <t>用户指定系数调整值；不是原始实测数值。指标=vo_kb；原始值=663.55959999999993；系数=2.0；调整值=1327.1191999999999。召回率不调整。原始CSV/附表保留。</t>
        </is>
      </c>
    </row>
    <row r="232">
      <c r="A232" s="0" t="inlineStr">
        <is>
          <t>NYTimes-256</t>
        </is>
      </c>
      <c r="B232" s="0" t="inlineStr">
        <is>
          <t>S24</t>
        </is>
      </c>
      <c r="C232" s="0" t="n">
        <v>878.027</v>
      </c>
      <c r="D232" s="0" t="n">
        <v>1756.054</v>
      </c>
      <c r="E232" s="0" t="inlineStr">
        <is>
          <t>用户指定系数调整值；不是原始实测数值。指标=vo_kb；原始值=878.02700000000004；系数=2.0；调整值=1756.0540000000001。召回率不调整。原始CSV/附表保留。</t>
        </is>
      </c>
    </row>
    <row r="233">
      <c r="A233" s="0" t="inlineStr">
        <is>
          <t>NYTimes-256</t>
        </is>
      </c>
      <c r="B233" s="0" t="inlineStr">
        <is>
          <t>T24</t>
        </is>
      </c>
      <c r="C233" s="0" t="n">
        <v>1264.985</v>
      </c>
      <c r="D233" s="0" t="n">
        <v>2529.97</v>
      </c>
      <c r="E233" s="0" t="inlineStr">
        <is>
          <t>用户指定系数调整值；不是原始实测数值。指标=vo_kb；原始值=1264.9849999999999；系数=2.0；调整值=2529.9699999999998。召回率不调整。原始CSV/附表保留。</t>
        </is>
      </c>
    </row>
    <row r="234">
      <c r="A234" s="0" t="inlineStr">
        <is>
          <t>NYTimes-256</t>
        </is>
      </c>
      <c r="B234" s="0" t="inlineStr">
        <is>
          <t>U24</t>
        </is>
      </c>
      <c r="C234" s="0" t="n">
        <v>2169.0354</v>
      </c>
      <c r="D234" s="0" t="n">
        <v>4338.0708</v>
      </c>
      <c r="E234" s="0" t="inlineStr">
        <is>
          <t>用户指定系数调整值；不是原始实测数值。指标=vo_kb；原始值=2169.0354000000002；系数=2.0；调整值=4338.0708000000004。召回率不调整。原始CSV/附表保留。</t>
        </is>
      </c>
    </row>
    <row r="235">
      <c r="A235" s="0" t="inlineStr">
        <is>
          <t>NYTimes-256</t>
        </is>
      </c>
      <c r="B235" s="0" t="inlineStr">
        <is>
          <t>V24</t>
        </is>
      </c>
      <c r="C235" s="0" t="n">
        <v>9647.870999999999</v>
      </c>
      <c r="D235" s="0" t="n">
        <v>19295.742</v>
      </c>
      <c r="E235" s="0" t="inlineStr">
        <is>
          <t>用户指定系数调整值；不是原始实测数值。指标=vo_kb；原始值=9647.8709999999992；系数=2.0；调整值=19295.741999999998。召回率不调整。原始CSV/附表保留。</t>
        </is>
      </c>
    </row>
    <row r="236">
      <c r="A236" s="0" t="inlineStr">
        <is>
          <t>NYTimes-256</t>
        </is>
      </c>
      <c r="B236" s="0" t="inlineStr">
        <is>
          <t>W24</t>
        </is>
      </c>
      <c r="C236" s="0" t="n">
        <v>18191.3746</v>
      </c>
      <c r="D236" s="0" t="n">
        <v>36382.7492</v>
      </c>
      <c r="E236" s="0" t="inlineStr">
        <is>
          <t>用户指定系数调整值；不是原始实测数值。指标=vo_kb；原始值=18191.374599999999；系数=2.0；调整值=36382.749199999998。召回率不调整。原始CSV/附表保留。</t>
        </is>
      </c>
    </row>
    <row r="237">
      <c r="A237" s="0" t="inlineStr">
        <is>
          <t>NYTimes-256</t>
        </is>
      </c>
      <c r="B237" s="0" t="inlineStr">
        <is>
          <t>X24</t>
        </is>
      </c>
      <c r="C237" s="0" t="n">
        <v>23543.0654</v>
      </c>
      <c r="D237" s="0" t="n">
        <v>47086.1308</v>
      </c>
      <c r="E237" s="0" t="inlineStr">
        <is>
          <t>用户指定系数调整值；不是原始实测数值。指标=vo_kb；原始值=23543.065399999999；系数=2.0；调整值=47086.130799999999。召回率不调整。原始CSV/附表保留。</t>
        </is>
      </c>
    </row>
    <row r="238">
      <c r="A238" s="0" t="inlineStr">
        <is>
          <t>NYTimes-256</t>
        </is>
      </c>
      <c r="B238" s="0" t="inlineStr">
        <is>
          <t>Y24</t>
        </is>
      </c>
      <c r="C238" s="0" t="n">
        <v>34273.459</v>
      </c>
      <c r="D238" s="0" t="n">
        <v>68546.91800000001</v>
      </c>
      <c r="E238" s="0" t="inlineStr">
        <is>
          <t>用户指定系数调整值；不是原始实测数值。指标=vo_kb；原始值=34273.459000000003；系数=2.0；调整值=68546.918000000005。召回率不调整。原始CSV/附表保留。</t>
        </is>
      </c>
    </row>
    <row r="239">
      <c r="A239" s="0" t="inlineStr">
        <is>
          <t>NYTimes-256</t>
        </is>
      </c>
      <c r="B239" s="0" t="inlineStr">
        <is>
          <t>F38</t>
        </is>
      </c>
      <c r="C239" s="0" t="n">
        <v>6.00087845</v>
      </c>
      <c r="D239" s="0" t="n">
        <v>9.001317674999999</v>
      </c>
      <c r="E239" s="0" t="inlineStr">
        <is>
          <t>用户指定系数调整值；不是原始实测数值。指标=verify_ms；原始值=6.0008784500000001；系数=1.5；调整值=9.0013176749999992。召回率不调整。原始CSV/附表保留。</t>
        </is>
      </c>
    </row>
    <row r="240">
      <c r="A240" s="0" t="inlineStr">
        <is>
          <t>NYTimes-256</t>
        </is>
      </c>
      <c r="B240" s="0" t="inlineStr">
        <is>
          <t>G38</t>
        </is>
      </c>
      <c r="C240" s="0" t="n">
        <v>6.00087845</v>
      </c>
      <c r="D240" s="0" t="n">
        <v>9.001317674999999</v>
      </c>
      <c r="E240" s="0" t="inlineStr">
        <is>
          <t>用户指定系数调整值；不是原始实测数值。指标=verify_ms；原始值=6.0008784500000001；系数=1.5；调整值=9.0013176749999992。召回率不调整。原始CSV/附表保留。</t>
        </is>
      </c>
    </row>
    <row r="241">
      <c r="A241" s="0" t="inlineStr">
        <is>
          <t>NYTimes-256</t>
        </is>
      </c>
      <c r="B241" s="0" t="inlineStr">
        <is>
          <t>H38</t>
        </is>
      </c>
      <c r="C241" s="0" t="n">
        <v>6.00087845</v>
      </c>
      <c r="D241" s="0" t="n">
        <v>9.001317674999999</v>
      </c>
      <c r="E241" s="0" t="inlineStr">
        <is>
          <t>用户指定系数调整值；不是原始实测数值。指标=verify_ms；原始值=6.0008784500000001；系数=1.5；调整值=9.0013176749999992。召回率不调整。原始CSV/附表保留。</t>
        </is>
      </c>
    </row>
    <row r="242">
      <c r="A242" s="0" t="inlineStr">
        <is>
          <t>NYTimes-256</t>
        </is>
      </c>
      <c r="B242" s="0" t="inlineStr">
        <is>
          <t>I38</t>
        </is>
      </c>
      <c r="C242" s="0" t="n">
        <v>6.00087845</v>
      </c>
      <c r="D242" s="0" t="n">
        <v>9.001317674999999</v>
      </c>
      <c r="E242" s="0" t="inlineStr">
        <is>
          <t>用户指定系数调整值；不是原始实测数值。指标=verify_ms；原始值=6.0008784500000001；系数=1.5；调整值=9.0013176749999992。召回率不调整。原始CSV/附表保留。</t>
        </is>
      </c>
    </row>
    <row r="243">
      <c r="A243" s="0" t="inlineStr">
        <is>
          <t>NYTimes-256</t>
        </is>
      </c>
      <c r="B243" s="0" t="inlineStr">
        <is>
          <t>J38</t>
        </is>
      </c>
      <c r="C243" s="0" t="n">
        <v>6.00087845</v>
      </c>
      <c r="D243" s="0" t="n">
        <v>9.001317674999999</v>
      </c>
      <c r="E243" s="0" t="inlineStr">
        <is>
          <t>用户指定系数调整值；不是原始实测数值。指标=verify_ms；原始值=6.0008784500000001；系数=1.5；调整值=9.0013176749999992。召回率不调整。原始CSV/附表保留。</t>
        </is>
      </c>
    </row>
    <row r="244">
      <c r="A244" s="0" t="inlineStr">
        <is>
          <t>NYTimes-256</t>
        </is>
      </c>
      <c r="B244" s="0" t="inlineStr">
        <is>
          <t>K38</t>
        </is>
      </c>
      <c r="C244" s="0" t="n">
        <v>3.67617873333333</v>
      </c>
      <c r="D244" s="0" t="n">
        <v>5.5142681</v>
      </c>
      <c r="E244" s="0" t="inlineStr">
        <is>
          <t>用户指定系数调整值；不是原始实测数值。指标=verify_ms；原始值=3.6761787333333333；系数=1.5；调整值=5.5142680999999998。召回率不调整。原始CSV/附表保留。</t>
        </is>
      </c>
    </row>
    <row r="245">
      <c r="A245" s="0" t="inlineStr">
        <is>
          <t>NYTimes-256</t>
        </is>
      </c>
      <c r="B245" s="0" t="inlineStr">
        <is>
          <t>L38</t>
        </is>
      </c>
      <c r="C245" s="0" t="n">
        <v>5.52536971666667</v>
      </c>
      <c r="D245" s="0" t="n">
        <v>8.288054575</v>
      </c>
      <c r="E245" s="0" t="inlineStr">
        <is>
          <t>用户指定系数调整值；不是原始实测数值。指标=verify_ms；原始值=5.525369716666666；系数=1.5；调整值=8.2880545749999985。召回率不调整。原始CSV/附表保留。</t>
        </is>
      </c>
    </row>
    <row r="246">
      <c r="A246" s="0" t="inlineStr">
        <is>
          <t>NYTimes-256</t>
        </is>
      </c>
      <c r="B246" s="0" t="inlineStr">
        <is>
          <t>M38</t>
        </is>
      </c>
      <c r="C246" s="0" t="n">
        <v>7.95705408333333</v>
      </c>
      <c r="D246" s="0" t="n">
        <v>11.935581125</v>
      </c>
      <c r="E246" s="0" t="inlineStr">
        <is>
          <t>用户指定系数调整值；不是原始实测数值。指标=verify_ms；原始值=7.9570540833333334；系数=1.5；调整值=11.935581125000001。召回率不调整。原始CSV/附表保留。</t>
        </is>
      </c>
    </row>
    <row r="247">
      <c r="A247" s="0" t="inlineStr">
        <is>
          <t>NYTimes-256</t>
        </is>
      </c>
      <c r="B247" s="0" t="inlineStr">
        <is>
          <t>N38</t>
        </is>
      </c>
      <c r="C247" s="0" t="n">
        <v>10.4048992</v>
      </c>
      <c r="D247" s="0" t="n">
        <v>15.6073488</v>
      </c>
      <c r="E247" s="0" t="inlineStr">
        <is>
          <t>用户指定系数调整值；不是原始实测数值。指标=verify_ms；原始值=10.404899199999999；系数=1.5；调整值=15.607348799999999。召回率不调整。原始CSV/附表保留。</t>
        </is>
      </c>
    </row>
    <row r="248">
      <c r="A248" s="0" t="inlineStr">
        <is>
          <t>NYTimes-256</t>
        </is>
      </c>
      <c r="B248" s="0" t="inlineStr">
        <is>
          <t>O38</t>
        </is>
      </c>
      <c r="C248" s="0" t="n">
        <v>3.51944358333333</v>
      </c>
      <c r="D248" s="0" t="n">
        <v>5.279165375</v>
      </c>
      <c r="E248" s="0" t="inlineStr">
        <is>
          <t>用户指定系数调整值；不是原始实测数值。指标=verify_ms；原始值=3.5194435833333335；系数=1.5；调整值=5.2791653749999998。召回率不调整。原始CSV/附表保留。</t>
        </is>
      </c>
    </row>
    <row r="249">
      <c r="A249" s="0" t="inlineStr">
        <is>
          <t>NYTimes-256</t>
        </is>
      </c>
      <c r="B249" s="0" t="inlineStr">
        <is>
          <t>P38</t>
        </is>
      </c>
      <c r="C249" s="0" t="n">
        <v>4.73621978333333</v>
      </c>
      <c r="D249" s="0" t="n">
        <v>7.104329675</v>
      </c>
      <c r="E249" s="0" t="inlineStr">
        <is>
          <t>用户指定系数调整值；不是原始实测数值。指标=verify_ms；原始值=4.7362197833333335；系数=1.5；调整值=7.1043296750000007。召回率不调整。原始CSV/附表保留。</t>
        </is>
      </c>
    </row>
    <row r="250">
      <c r="A250" s="0" t="inlineStr">
        <is>
          <t>NYTimes-256</t>
        </is>
      </c>
      <c r="B250" s="0" t="inlineStr">
        <is>
          <t>Q38</t>
        </is>
      </c>
      <c r="C250" s="0" t="n">
        <v>6.11324791666667</v>
      </c>
      <c r="D250" s="0" t="n">
        <v>9.169871875</v>
      </c>
      <c r="E250" s="0" t="inlineStr">
        <is>
          <t>用户指定系数调整值；不是原始实测数值。指标=verify_ms；原始值=6.1132479166666664；系数=1.5；调整值=9.1698718750000001。召回率不调整。原始CSV/附表保留。</t>
        </is>
      </c>
    </row>
    <row r="251">
      <c r="A251" s="0" t="inlineStr">
        <is>
          <t>NYTimes-256</t>
        </is>
      </c>
      <c r="B251" s="0" t="inlineStr">
        <is>
          <t>R38</t>
        </is>
      </c>
      <c r="C251" s="0" t="n">
        <v>6.83315121666667</v>
      </c>
      <c r="D251" s="0" t="n">
        <v>10.249726825</v>
      </c>
      <c r="E251" s="0" t="inlineStr">
        <is>
          <t>用户指定系数调整值；不是原始实测数值。指标=verify_ms；原始值=6.8331512166666668；系数=1.5；调整值=10.249726825。召回率不调整。原始CSV/附表保留。</t>
        </is>
      </c>
    </row>
    <row r="252">
      <c r="A252" s="0" t="inlineStr">
        <is>
          <t>NYTimes-256</t>
        </is>
      </c>
      <c r="B252" s="0" t="inlineStr">
        <is>
          <t>S38</t>
        </is>
      </c>
      <c r="C252" s="0" t="n">
        <v>8.65264121666667</v>
      </c>
      <c r="D252" s="0" t="n">
        <v>12.978961825</v>
      </c>
      <c r="E252" s="0" t="inlineStr">
        <is>
          <t>用户指定系数调整值；不是原始实测数值。指标=verify_ms；原始值=8.652641216666666；系数=1.5；调整值=12.978961824999999。召回率不调整。原始CSV/附表保留。</t>
        </is>
      </c>
    </row>
    <row r="253">
      <c r="A253" s="0" t="inlineStr">
        <is>
          <t>NYTimes-256</t>
        </is>
      </c>
      <c r="B253" s="0" t="inlineStr">
        <is>
          <t>T38</t>
        </is>
      </c>
      <c r="C253" s="0" t="n">
        <v>12.07894735</v>
      </c>
      <c r="D253" s="0" t="n">
        <v>18.118421025</v>
      </c>
      <c r="E253" s="0" t="inlineStr">
        <is>
          <t>用户指定系数调整值；不是原始实测数值。指标=verify_ms；原始值=12.07894735；系数=1.5；调整值=18.118421025。召回率不调整。原始CSV/附表保留。</t>
        </is>
      </c>
    </row>
    <row r="254">
      <c r="A254" s="0" t="inlineStr">
        <is>
          <t>NYTimes-256</t>
        </is>
      </c>
      <c r="B254" s="0" t="inlineStr">
        <is>
          <t>U38</t>
        </is>
      </c>
      <c r="C254" s="0" t="n">
        <v>20.1642276166667</v>
      </c>
      <c r="D254" s="0" t="n">
        <v>30.2463414250001</v>
      </c>
      <c r="E254" s="0" t="inlineStr">
        <is>
          <t>用户指定系数调整值；不是原始实测数值。指标=verify_ms；原始值=20.1642276166667；系数=1.5；调整值=30.24634142500005。召回率不调整。原始CSV/附表保留。</t>
        </is>
      </c>
    </row>
    <row r="255">
      <c r="A255" s="0" t="inlineStr">
        <is>
          <t>NYTimes-256</t>
        </is>
      </c>
      <c r="B255" s="0" t="inlineStr">
        <is>
          <t>V38</t>
        </is>
      </c>
      <c r="C255" s="0" t="n">
        <v>86.1523698333333</v>
      </c>
      <c r="D255" s="0" t="n">
        <v>129.22855475</v>
      </c>
      <c r="E255" s="0" t="inlineStr">
        <is>
          <t>用户指定系数调整值；不是原始实测数值。指标=verify_ms；原始值=86.152369833333296；系数=1.5；调整值=129.22855474999994。召回率不调整。原始CSV/附表保留。</t>
        </is>
      </c>
    </row>
    <row r="256">
      <c r="A256" s="0" t="inlineStr">
        <is>
          <t>NYTimes-256</t>
        </is>
      </c>
      <c r="B256" s="0" t="inlineStr">
        <is>
          <t>W38</t>
        </is>
      </c>
      <c r="C256" s="0" t="n">
        <v>158.61361355</v>
      </c>
      <c r="D256" s="0" t="n">
        <v>237.920420325</v>
      </c>
      <c r="E256" s="0" t="inlineStr">
        <is>
          <t>用户指定系数调整值；不是原始实测数值。指标=verify_ms；原始值=158.61361355；系数=1.5；调整值=237.92042032500001。召回率不调整。原始CSV/附表保留。</t>
        </is>
      </c>
    </row>
    <row r="257">
      <c r="A257" s="0" t="inlineStr">
        <is>
          <t>NYTimes-256</t>
        </is>
      </c>
      <c r="B257" s="0" t="inlineStr">
        <is>
          <t>X38</t>
        </is>
      </c>
      <c r="C257" s="0" t="n">
        <v>204.722528233333</v>
      </c>
      <c r="D257" s="0" t="n">
        <v>307.083792349999</v>
      </c>
      <c r="E257" s="0" t="inlineStr">
        <is>
          <t>用户指定系数调整值；不是原始实测数值。指标=verify_ms；原始值=204.72252823333301；系数=1.5；调整值=307.0837923499995。召回率不调整。原始CSV/附表保留。</t>
        </is>
      </c>
    </row>
    <row r="258">
      <c r="A258" s="0" t="inlineStr">
        <is>
          <t>NYTimes-256</t>
        </is>
      </c>
      <c r="B258" s="0" t="inlineStr">
        <is>
          <t>Y38</t>
        </is>
      </c>
      <c r="C258" s="0" t="n">
        <v>295.476212833333</v>
      </c>
      <c r="D258" s="0" t="n">
        <v>443.21431925</v>
      </c>
      <c r="E258" s="0" t="inlineStr">
        <is>
          <t>用户指定系数调整值；不是原始实测数值。指标=verify_ms；原始值=295.47621283333302；系数=1.5；调整值=443.21431924999956。召回率不调整。原始CSV/附表保留。</t>
        </is>
      </c>
    </row>
    <row r="259">
      <c r="A259" s="0" t="inlineStr">
        <is>
          <t>NYTimes-256</t>
        </is>
      </c>
      <c r="B259" s="0" t="inlineStr">
        <is>
          <t>F52</t>
        </is>
      </c>
      <c r="C259" s="0" t="n">
        <v>1.16845576666667</v>
      </c>
      <c r="D259" s="0" t="n">
        <v>1.40214692</v>
      </c>
      <c r="E259" s="0" t="inlineStr">
        <is>
          <t>用户指定系数调整值；不是原始实测数值。指标=query_ms；原始值=1.1684557666666699；系数=1.2；调整值=1.4021469200000038。召回率不调整。原始CSV/附表保留。</t>
        </is>
      </c>
    </row>
    <row r="260">
      <c r="A260" s="0" t="inlineStr">
        <is>
          <t>NYTimes-256</t>
        </is>
      </c>
      <c r="B260" s="0" t="inlineStr">
        <is>
          <t>G52</t>
        </is>
      </c>
      <c r="C260" s="0" t="n">
        <v>1.16845576666667</v>
      </c>
      <c r="D260" s="0" t="n">
        <v>1.40214692</v>
      </c>
      <c r="E260" s="0" t="inlineStr">
        <is>
          <t>用户指定系数调整值；不是原始实测数值。指标=query_ms；原始值=1.1684557666666699；系数=1.2；调整值=1.4021469200000038。召回率不调整。原始CSV/附表保留。</t>
        </is>
      </c>
    </row>
    <row r="261">
      <c r="A261" s="0" t="inlineStr">
        <is>
          <t>NYTimes-256</t>
        </is>
      </c>
      <c r="B261" s="0" t="inlineStr">
        <is>
          <t>H52</t>
        </is>
      </c>
      <c r="C261" s="0" t="n">
        <v>1.16845576666667</v>
      </c>
      <c r="D261" s="0" t="n">
        <v>1.40214692</v>
      </c>
      <c r="E261" s="0" t="inlineStr">
        <is>
          <t>用户指定系数调整值；不是原始实测数值。指标=query_ms；原始值=1.1684557666666699；系数=1.2；调整值=1.4021469200000038。召回率不调整。原始CSV/附表保留。</t>
        </is>
      </c>
    </row>
    <row r="262">
      <c r="A262" s="0" t="inlineStr">
        <is>
          <t>NYTimes-256</t>
        </is>
      </c>
      <c r="B262" s="0" t="inlineStr">
        <is>
          <t>I52</t>
        </is>
      </c>
      <c r="C262" s="0" t="n">
        <v>1.16845576666667</v>
      </c>
      <c r="D262" s="0" t="n">
        <v>1.40214692</v>
      </c>
      <c r="E262" s="0" t="inlineStr">
        <is>
          <t>用户指定系数调整值；不是原始实测数值。指标=query_ms；原始值=1.1684557666666699；系数=1.2；调整值=1.4021469200000038。召回率不调整。原始CSV/附表保留。</t>
        </is>
      </c>
    </row>
    <row r="263">
      <c r="A263" s="0" t="inlineStr">
        <is>
          <t>NYTimes-256</t>
        </is>
      </c>
      <c r="B263" s="0" t="inlineStr">
        <is>
          <t>J52</t>
        </is>
      </c>
      <c r="C263" s="0" t="n">
        <v>1.16845576666667</v>
      </c>
      <c r="D263" s="0" t="n">
        <v>1.40214692</v>
      </c>
      <c r="E263" s="0" t="inlineStr">
        <is>
          <t>用户指定系数调整值；不是原始实测数值。指标=query_ms；原始值=1.1684557666666699；系数=1.2；调整值=1.4021469200000038。召回率不调整。原始CSV/附表保留。</t>
        </is>
      </c>
    </row>
    <row r="264">
      <c r="A264" s="0" t="inlineStr">
        <is>
          <t>NYTimes-256</t>
        </is>
      </c>
      <c r="B264" s="0" t="inlineStr">
        <is>
          <t>K52</t>
        </is>
      </c>
      <c r="C264" s="0" t="n">
        <v>0.726615083333333</v>
      </c>
      <c r="D264" s="0" t="n">
        <v>0.8719381</v>
      </c>
      <c r="E264" s="0" t="inlineStr">
        <is>
          <t>用户指定系数调整值；不是原始实测数值。指标=query_ms；原始值=0.72661508333333324；系数=1.2；调整值=0.87193809999999983。召回率不调整。原始CSV/附表保留。</t>
        </is>
      </c>
    </row>
    <row r="265">
      <c r="A265" s="0" t="inlineStr">
        <is>
          <t>NYTimes-256</t>
        </is>
      </c>
      <c r="B265" s="0" t="inlineStr">
        <is>
          <t>L52</t>
        </is>
      </c>
      <c r="C265" s="0" t="n">
        <v>1.14365988333333</v>
      </c>
      <c r="D265" s="0" t="n">
        <v>1.37239186</v>
      </c>
      <c r="E265" s="0" t="inlineStr">
        <is>
          <t>用户指定系数调整值；不是原始实测数值。指标=query_ms；原始值=1.1436598833333333；系数=1.2；调整值=1.37239186。召回率不调整。原始CSV/附表保留。</t>
        </is>
      </c>
    </row>
    <row r="266">
      <c r="A266" s="0" t="inlineStr">
        <is>
          <t>NYTimes-256</t>
        </is>
      </c>
      <c r="B266" s="0" t="inlineStr">
        <is>
          <t>M52</t>
        </is>
      </c>
      <c r="C266" s="0" t="n">
        <v>1.79044246666667</v>
      </c>
      <c r="D266" s="0" t="n">
        <v>2.14853096</v>
      </c>
      <c r="E266" s="0" t="inlineStr">
        <is>
          <t>用户指定系数调整值；不是原始实测数值。指标=query_ms；原始值=1.7904424666666667；系数=1.2；调整值=2.14853096。召回率不调整。原始CSV/附表保留。</t>
        </is>
      </c>
    </row>
    <row r="267">
      <c r="A267" s="0" t="inlineStr">
        <is>
          <t>NYTimes-256</t>
        </is>
      </c>
      <c r="B267" s="0" t="inlineStr">
        <is>
          <t>N52</t>
        </is>
      </c>
      <c r="C267" s="0" t="n">
        <v>2.4197689</v>
      </c>
      <c r="D267" s="0" t="n">
        <v>2.90372268</v>
      </c>
      <c r="E267" s="0" t="inlineStr">
        <is>
          <t>用户指定系数调整值；不是原始实测数值。指标=query_ms；原始值=2.4197689000000002；系数=1.2；调整值=2.90372268。召回率不调整。原始CSV/附表保留。</t>
        </is>
      </c>
    </row>
    <row r="268">
      <c r="A268" s="0" t="inlineStr">
        <is>
          <t>NYTimes-256</t>
        </is>
      </c>
      <c r="B268" s="0" t="inlineStr">
        <is>
          <t>O52</t>
        </is>
      </c>
      <c r="C268" s="0" t="n">
        <v>0.6698036000000001</v>
      </c>
      <c r="D268" s="0" t="n">
        <v>0.80376432</v>
      </c>
      <c r="E268" s="0" t="inlineStr">
        <is>
          <t>用户指定系数调整值；不是原始实测数值。指标=query_ms；原始值=0.66980360000000005；系数=1.2；调整值=0.80376432000000009。召回率不调整。原始CSV/附表保留。</t>
        </is>
      </c>
    </row>
    <row r="269">
      <c r="A269" s="0" t="inlineStr">
        <is>
          <t>NYTimes-256</t>
        </is>
      </c>
      <c r="B269" s="0" t="inlineStr">
        <is>
          <t>P52</t>
        </is>
      </c>
      <c r="C269" s="0" t="n">
        <v>0.9920537</v>
      </c>
      <c r="D269" s="0" t="n">
        <v>1.19046444</v>
      </c>
      <c r="E269" s="0" t="inlineStr">
        <is>
          <t>用户指定系数调整值；不是原始实测数值。指标=query_ms；原始值=0.99205370000000004；系数=1.2；调整值=1.19046444。召回率不调整。原始CSV/附表保留。</t>
        </is>
      </c>
    </row>
    <row r="270">
      <c r="A270" s="0" t="inlineStr">
        <is>
          <t>NYTimes-256</t>
        </is>
      </c>
      <c r="B270" s="0" t="inlineStr">
        <is>
          <t>Q52</t>
        </is>
      </c>
      <c r="C270" s="0" t="n">
        <v>1.2522345</v>
      </c>
      <c r="D270" s="0" t="n">
        <v>1.5026814</v>
      </c>
      <c r="E270" s="0" t="inlineStr">
        <is>
          <t>用户指定系数调整值；不是原始实测数值。指标=query_ms；原始值=1.2522345000000001；系数=1.2；调整值=1.5026814000000002。召回率不调整。原始CSV/附表保留。</t>
        </is>
      </c>
    </row>
    <row r="271">
      <c r="A271" s="0" t="inlineStr">
        <is>
          <t>NYTimes-256</t>
        </is>
      </c>
      <c r="B271" s="0" t="inlineStr">
        <is>
          <t>R52</t>
        </is>
      </c>
      <c r="C271" s="0" t="n">
        <v>1.41984203333333</v>
      </c>
      <c r="D271" s="0" t="n">
        <v>1.70381044</v>
      </c>
      <c r="E271" s="0" t="inlineStr">
        <is>
          <t>用户指定系数调整值；不是原始实测数值。指标=query_ms；原始值=1.4198420333333335；系数=1.2；调整值=1.70381044。召回率不调整。原始CSV/附表保留。</t>
        </is>
      </c>
    </row>
    <row r="272">
      <c r="A272" s="0" t="inlineStr">
        <is>
          <t>NYTimes-256</t>
        </is>
      </c>
      <c r="B272" s="0" t="inlineStr">
        <is>
          <t>S52</t>
        </is>
      </c>
      <c r="C272" s="0" t="n">
        <v>1.83261606666667</v>
      </c>
      <c r="D272" s="0" t="n">
        <v>2.19913928</v>
      </c>
      <c r="E272" s="0" t="inlineStr">
        <is>
          <t>用户指定系数调整值；不是原始实测数值。指标=query_ms；原始值=1.8326160666666664；系数=1.2；调整值=2.1991392799999998。召回率不调整。原始CSV/附表保留。</t>
        </is>
      </c>
    </row>
    <row r="273">
      <c r="A273" s="0" t="inlineStr">
        <is>
          <t>NYTimes-256</t>
        </is>
      </c>
      <c r="B273" s="0" t="inlineStr">
        <is>
          <t>T52</t>
        </is>
      </c>
      <c r="C273" s="0" t="n">
        <v>2.58172271666667</v>
      </c>
      <c r="D273" s="0" t="n">
        <v>3.09806726</v>
      </c>
      <c r="E273" s="0" t="inlineStr">
        <is>
          <t>用户指定系数调整值；不是原始实测数值。指标=query_ms；原始值=2.5817227166666701；系数=1.2；调整值=3.0980672600000041。召回率不调整。原始CSV/附表保留。</t>
        </is>
      </c>
    </row>
    <row r="274">
      <c r="A274" s="0" t="inlineStr">
        <is>
          <t>NYTimes-256</t>
        </is>
      </c>
      <c r="B274" s="0" t="inlineStr">
        <is>
          <t>U52</t>
        </is>
      </c>
      <c r="C274" s="0" t="n">
        <v>4.64559393333333</v>
      </c>
      <c r="D274" s="0" t="n">
        <v>5.57471272</v>
      </c>
      <c r="E274" s="0" t="inlineStr">
        <is>
          <t>用户指定系数调整值；不是原始实测数值。指标=query_ms；原始值=4.6455939333333296；系数=1.2；调整值=5.5747127199999955。召回率不调整。原始CSV/附表保留。</t>
        </is>
      </c>
    </row>
    <row r="275">
      <c r="A275" s="0" t="inlineStr">
        <is>
          <t>NYTimes-256</t>
        </is>
      </c>
      <c r="B275" s="0" t="inlineStr">
        <is>
          <t>V52</t>
        </is>
      </c>
      <c r="C275" s="0" t="n">
        <v>22.3159277666667</v>
      </c>
      <c r="D275" s="0" t="n">
        <v>26.77911332</v>
      </c>
      <c r="E275" s="0" t="inlineStr">
        <is>
          <t>用户指定系数调整值；不是原始实测数值。指标=query_ms；原始值=22.3159277666667；系数=1.2；调整值=26.77911332000004。召回率不调整。原始CSV/附表保留。</t>
        </is>
      </c>
    </row>
    <row r="276">
      <c r="A276" s="0" t="inlineStr">
        <is>
          <t>NYTimes-256</t>
        </is>
      </c>
      <c r="B276" s="0" t="inlineStr">
        <is>
          <t>W52</t>
        </is>
      </c>
      <c r="C276" s="0" t="n">
        <v>44.3849581833333</v>
      </c>
      <c r="D276" s="0" t="n">
        <v>53.26194982</v>
      </c>
      <c r="E276" s="0" t="inlineStr">
        <is>
          <t>用户指定系数调整值；不是原始实测数值。指标=query_ms；原始值=44.384958183333303；系数=1.2；调整值=53.261949819999963。召回率不调整。原始CSV/附表保留。</t>
        </is>
      </c>
    </row>
    <row r="277">
      <c r="A277" s="0" t="inlineStr">
        <is>
          <t>NYTimes-256</t>
        </is>
      </c>
      <c r="B277" s="0" t="inlineStr">
        <is>
          <t>X52</t>
        </is>
      </c>
      <c r="C277" s="0" t="n">
        <v>56.8982416833333</v>
      </c>
      <c r="D277" s="0" t="n">
        <v>68.27789002</v>
      </c>
      <c r="E277" s="0" t="inlineStr">
        <is>
          <t>用户指定系数调整值；不是原始实测数值。指标=query_ms；原始值=56.898241683333303；系数=1.2；调整值=68.277890019999958。召回率不调整。原始CSV/附表保留。</t>
        </is>
      </c>
    </row>
    <row r="278">
      <c r="A278" s="0" t="inlineStr">
        <is>
          <t>NYTimes-256</t>
        </is>
      </c>
      <c r="B278" s="0" t="inlineStr">
        <is>
          <t>Y52</t>
        </is>
      </c>
      <c r="C278" s="0" t="n">
        <v>87.84406300000001</v>
      </c>
      <c r="D278" s="0" t="n">
        <v>105.4128756</v>
      </c>
      <c r="E278" s="0" t="inlineStr">
        <is>
          <t>用户指定系数调整值；不是原始实测数值。指标=query_ms；原始值=87.844063000000006；系数=1.2；调整值=105.41287560000001。召回率不调整。原始CSV/附表保留。</t>
        </is>
      </c>
    </row>
    <row r="279">
      <c r="A279" s="0" t="inlineStr">
        <is>
          <t>NYTimes-256</t>
        </is>
      </c>
      <c r="B279" s="0" t="inlineStr">
        <is>
          <t>F69</t>
        </is>
      </c>
      <c r="C279" s="0" t="n">
        <v>13711.3812</v>
      </c>
      <c r="D279" s="0" t="n">
        <v>27422.7624</v>
      </c>
      <c r="E279" s="0" t="inlineStr">
        <is>
          <t>用户指定系数调整值；不是原始实测数值。指标=vo_kb；原始值=13711.3812；系数=2.0；调整值=27422.7624。召回率不调整。原始CSV/附表保留。</t>
        </is>
      </c>
    </row>
    <row r="280">
      <c r="A280" s="0" t="inlineStr">
        <is>
          <t>NYTimes-256</t>
        </is>
      </c>
      <c r="B280" s="0" t="inlineStr">
        <is>
          <t>F81</t>
        </is>
      </c>
      <c r="C280" s="0" t="n">
        <v>114.572638983333</v>
      </c>
      <c r="D280" s="0" t="n">
        <v>171.858958474999</v>
      </c>
      <c r="E280" s="0" t="inlineStr">
        <is>
          <t>用户指定系数调整值；不是原始实测数值。指标=verify_ms；原始值=114.57263898333299；系数=1.5；调整值=171.8589584749995。召回率不调整。原始CSV/附表保留。</t>
        </is>
      </c>
    </row>
    <row r="281">
      <c r="A281" s="0" t="inlineStr">
        <is>
          <t>NYTimes-256</t>
        </is>
      </c>
      <c r="B281" s="0" t="inlineStr">
        <is>
          <t>F92</t>
        </is>
      </c>
      <c r="C281" s="0" t="n">
        <v>27.97978905</v>
      </c>
      <c r="D281" s="0" t="n">
        <v>33.57574686</v>
      </c>
      <c r="E281" s="0" t="inlineStr">
        <is>
          <t>用户指定系数调整值；不是原始实测数值。指标=query_ms；原始值=27.979789050000001；系数=1.2；调整值=33.575746860000002。召回率不调整。原始CSV/附表保留。</t>
        </is>
      </c>
    </row>
    <row r="282">
      <c r="A282" s="0" t="inlineStr">
        <is>
          <t>NYTimes-256</t>
        </is>
      </c>
      <c r="B282" s="0" t="inlineStr">
        <is>
          <t>F105</t>
        </is>
      </c>
      <c r="C282" s="0" t="n">
        <v>9643.027</v>
      </c>
      <c r="D282" s="0" t="n">
        <v>19286.054</v>
      </c>
      <c r="E282" s="0" t="inlineStr">
        <is>
          <t>用户指定系数调整值；不是原始实测数值。指标=vo_kb；原始值=9643.027；系数=2.0；调整值=19286.054。召回率不调整。原始CSV/附表保留。</t>
        </is>
      </c>
    </row>
    <row r="283">
      <c r="A283" s="0" t="inlineStr">
        <is>
          <t>NYTimes-256</t>
        </is>
      </c>
      <c r="B283" s="0" t="inlineStr">
        <is>
          <t>G105</t>
        </is>
      </c>
      <c r="C283" s="0" t="n">
        <v>9645.218999999999</v>
      </c>
      <c r="D283" s="0" t="n">
        <v>19290.438</v>
      </c>
      <c r="E283" s="0" t="inlineStr">
        <is>
          <t>用户指定系数调整值；不是原始实测数值。指标=vo_kb；原始值=9645.2189999999991；系数=2.0；调整值=19290.437999999998。召回率不调整。原始CSV/附表保留。</t>
        </is>
      </c>
    </row>
    <row r="284">
      <c r="A284" s="0" t="inlineStr">
        <is>
          <t>NYTimes-256</t>
        </is>
      </c>
      <c r="B284" s="0" t="inlineStr">
        <is>
          <t>H105</t>
        </is>
      </c>
      <c r="C284" s="0" t="n">
        <v>9647.870999999999</v>
      </c>
      <c r="D284" s="0" t="n">
        <v>19295.742</v>
      </c>
      <c r="E284" s="0" t="inlineStr">
        <is>
          <t>用户指定系数调整值；不是原始实测数值。指标=vo_kb；原始值=9647.8709999999992；系数=2.0；调整值=19295.741999999998。召回率不调整。原始CSV/附表保留。</t>
        </is>
      </c>
    </row>
    <row r="285">
      <c r="A285" s="0" t="inlineStr">
        <is>
          <t>NYTimes-256</t>
        </is>
      </c>
      <c r="B285" s="0" t="inlineStr">
        <is>
          <t>I105</t>
        </is>
      </c>
      <c r="C285" s="0" t="n">
        <v>9652.963</v>
      </c>
      <c r="D285" s="0" t="n">
        <v>19305.926</v>
      </c>
      <c r="E285" s="0" t="inlineStr">
        <is>
          <t>用户指定系数调整值；不是原始实测数值。指标=vo_kb；原始值=9652.9629999999997；系数=2.0；调整值=19305.925999999999。召回率不调整。原始CSV/附表保留。</t>
        </is>
      </c>
    </row>
    <row r="286">
      <c r="A286" s="0" t="inlineStr">
        <is>
          <t>NYTimes-256</t>
        </is>
      </c>
      <c r="B286" s="0" t="inlineStr">
        <is>
          <t>J105</t>
        </is>
      </c>
      <c r="C286" s="0" t="n">
        <v>9666.671</v>
      </c>
      <c r="D286" s="0" t="n">
        <v>19333.342</v>
      </c>
      <c r="E286" s="0" t="inlineStr">
        <is>
          <t>用户指定系数调整值；不是原始实测数值。指标=vo_kb；原始值=9666.6710000000003；系数=2.0；调整值=19333.342000000001。召回率不调整。原始CSV/附表保留。</t>
        </is>
      </c>
    </row>
    <row r="287">
      <c r="A287" s="0" t="inlineStr">
        <is>
          <t>NYTimes-256</t>
        </is>
      </c>
      <c r="B287" s="0" t="inlineStr">
        <is>
          <t>K105</t>
        </is>
      </c>
      <c r="C287" s="0" t="n">
        <v>9686.540999999999</v>
      </c>
      <c r="D287" s="0" t="n">
        <v>19373.082</v>
      </c>
      <c r="E287" s="0" t="inlineStr">
        <is>
          <t>用户指定系数调整值；不是原始实测数值。指标=vo_kb；原始值=9686.5409999999993；系数=2.0；调整值=19373.081999999999。召回率不调整。原始CSV/附表保留。</t>
        </is>
      </c>
    </row>
    <row r="288">
      <c r="A288" s="0" t="inlineStr">
        <is>
          <t>NYTimes-256</t>
        </is>
      </c>
      <c r="B288" s="0" t="inlineStr">
        <is>
          <t>F117</t>
        </is>
      </c>
      <c r="C288" s="0" t="n">
        <v>86.42896823333329</v>
      </c>
      <c r="D288" s="0" t="n">
        <v>129.64345235</v>
      </c>
      <c r="E288" s="0" t="inlineStr">
        <is>
          <t>用户指定系数调整值；不是原始实测数值。指标=verify_ms；原始值=86.428968233333293；系数=1.5；调整值=129.64345234999993。召回率不调整。原始CSV/附表保留。</t>
        </is>
      </c>
    </row>
    <row r="289">
      <c r="A289" s="0" t="inlineStr">
        <is>
          <t>NYTimes-256</t>
        </is>
      </c>
      <c r="B289" s="0" t="inlineStr">
        <is>
          <t>G117</t>
        </is>
      </c>
      <c r="C289" s="0" t="n">
        <v>85.90255790000001</v>
      </c>
      <c r="D289" s="0" t="n">
        <v>128.85383685</v>
      </c>
      <c r="E289" s="0" t="inlineStr">
        <is>
          <t>用户指定系数调整值；不是原始实测数值。指标=verify_ms；原始值=85.902557900000005；系数=1.5；调整值=128.85383684999999。召回率不调整。原始CSV/附表保留。</t>
        </is>
      </c>
    </row>
    <row r="290">
      <c r="A290" s="0" t="inlineStr">
        <is>
          <t>NYTimes-256</t>
        </is>
      </c>
      <c r="B290" s="0" t="inlineStr">
        <is>
          <t>H117</t>
        </is>
      </c>
      <c r="C290" s="0" t="n">
        <v>86.1797332</v>
      </c>
      <c r="D290" s="0" t="n">
        <v>129.2695998</v>
      </c>
      <c r="E290" s="0" t="inlineStr">
        <is>
          <t>用户指定系数调整值；不是原始实测数值。指标=verify_ms；原始值=86.179733200000001；系数=1.5；调整值=129.26959980000001。召回率不调整。原始CSV/附表保留。</t>
        </is>
      </c>
    </row>
    <row r="291">
      <c r="A291" s="0" t="inlineStr">
        <is>
          <t>NYTimes-256</t>
        </is>
      </c>
      <c r="B291" s="0" t="inlineStr">
        <is>
          <t>I117</t>
        </is>
      </c>
      <c r="C291" s="0" t="n">
        <v>86.4042274666667</v>
      </c>
      <c r="D291" s="0" t="n">
        <v>129.6063412</v>
      </c>
      <c r="E291" s="0" t="inlineStr">
        <is>
          <t>用户指定系数调整值；不是原始实测数值。指标=verify_ms；原始值=86.404227466666697；系数=1.5；调整值=129.60634120000003。召回率不调整。原始CSV/附表保留。</t>
        </is>
      </c>
    </row>
    <row r="292">
      <c r="A292" s="0" t="inlineStr">
        <is>
          <t>NYTimes-256</t>
        </is>
      </c>
      <c r="B292" s="0" t="inlineStr">
        <is>
          <t>J117</t>
        </is>
      </c>
      <c r="C292" s="0" t="n">
        <v>86.7584221666667</v>
      </c>
      <c r="D292" s="0" t="n">
        <v>130.13763325</v>
      </c>
      <c r="E292" s="0" t="inlineStr">
        <is>
          <t>用户指定系数调整值；不是原始实测数值。指标=verify_ms；原始值=86.758422166666705；系数=1.5；调整值=130.13763325000005。召回率不调整。原始CSV/附表保留。</t>
        </is>
      </c>
    </row>
    <row r="293">
      <c r="A293" s="0" t="inlineStr">
        <is>
          <t>NYTimes-256</t>
        </is>
      </c>
      <c r="B293" s="0" t="inlineStr">
        <is>
          <t>K117</t>
        </is>
      </c>
      <c r="C293" s="0" t="n">
        <v>87.5149089666667</v>
      </c>
      <c r="D293" s="0" t="n">
        <v>131.27236345</v>
      </c>
      <c r="E293" s="0" t="inlineStr">
        <is>
          <t>用户指定系数调整值；不是原始实测数值。指标=verify_ms；原始值=87.514908966666695；系数=1.5；调整值=131.27236345000006。召回率不调整。原始CSV/附表保留。</t>
        </is>
      </c>
    </row>
    <row r="294">
      <c r="A294" s="0" t="inlineStr">
        <is>
          <t>NYTimes-256</t>
        </is>
      </c>
      <c r="B294" s="0" t="inlineStr">
        <is>
          <t>F128</t>
        </is>
      </c>
      <c r="C294" s="0" t="n">
        <v>21.75351015</v>
      </c>
      <c r="D294" s="0" t="n">
        <v>26.10421218</v>
      </c>
      <c r="E294" s="0" t="inlineStr">
        <is>
          <t>用户指定系数调整值；不是原始实测数值。指标=query_ms；原始值=21.75351015；系数=1.2；调整值=26.104212180000001。召回率不调整。原始CSV/附表保留。</t>
        </is>
      </c>
    </row>
    <row r="295">
      <c r="A295" s="0" t="inlineStr">
        <is>
          <t>NYTimes-256</t>
        </is>
      </c>
      <c r="B295" s="0" t="inlineStr">
        <is>
          <t>G128</t>
        </is>
      </c>
      <c r="C295" s="0" t="n">
        <v>21.3636953333333</v>
      </c>
      <c r="D295" s="0" t="n">
        <v>25.6364344</v>
      </c>
      <c r="E295" s="0" t="inlineStr">
        <is>
          <t>用户指定系数调整值；不是原始实测数值。指标=query_ms；原始值=21.3636953333333；系数=1.2；调整值=25.63643439999996。召回率不调整。原始CSV/附表保留。</t>
        </is>
      </c>
    </row>
    <row r="296">
      <c r="A296" s="0" t="inlineStr">
        <is>
          <t>NYTimes-256</t>
        </is>
      </c>
      <c r="B296" s="0" t="inlineStr">
        <is>
          <t>H128</t>
        </is>
      </c>
      <c r="C296" s="0" t="n">
        <v>21.5098418666667</v>
      </c>
      <c r="D296" s="0" t="n">
        <v>25.81181024</v>
      </c>
      <c r="E296" s="0" t="inlineStr">
        <is>
          <t>用户指定系数调整值；不是原始实测数值。指标=query_ms；原始值=21.509841866666701；系数=1.2；调整值=25.811810240000039。召回率不调整。原始CSV/附表保留。</t>
        </is>
      </c>
    </row>
    <row r="297">
      <c r="A297" s="0" t="inlineStr">
        <is>
          <t>NYTimes-256</t>
        </is>
      </c>
      <c r="B297" s="0" t="inlineStr">
        <is>
          <t>I128</t>
        </is>
      </c>
      <c r="C297" s="0" t="n">
        <v>21.3020279666667</v>
      </c>
      <c r="D297" s="0" t="n">
        <v>25.56243356</v>
      </c>
      <c r="E297" s="0" t="inlineStr">
        <is>
          <t>用户指定系数调整值；不是原始实测数值。指标=query_ms；原始值=21.302027966666699；系数=1.2；调整值=25.562433560000038。召回率不调整。原始CSV/附表保留。</t>
        </is>
      </c>
    </row>
    <row r="298">
      <c r="A298" s="0" t="inlineStr">
        <is>
          <t>NYTimes-256</t>
        </is>
      </c>
      <c r="B298" s="0" t="inlineStr">
        <is>
          <t>J128</t>
        </is>
      </c>
      <c r="C298" s="0" t="n">
        <v>21.4257339333333</v>
      </c>
      <c r="D298" s="0" t="n">
        <v>25.71088072</v>
      </c>
      <c r="E298" s="0" t="inlineStr">
        <is>
          <t>用户指定系数调整值；不是原始实测数值。指标=query_ms；原始值=21.425733933333301；系数=1.2；调整值=25.71088071999996。召回率不调整。原始CSV/附表保留。</t>
        </is>
      </c>
    </row>
    <row r="299">
      <c r="A299" s="0" t="inlineStr">
        <is>
          <t>NYTimes-256</t>
        </is>
      </c>
      <c r="B299" s="0" t="inlineStr">
        <is>
          <t>K128</t>
        </is>
      </c>
      <c r="C299" s="0" t="n">
        <v>21.5724279</v>
      </c>
      <c r="D299" s="0" t="n">
        <v>25.88691348</v>
      </c>
      <c r="E299" s="0" t="inlineStr">
        <is>
          <t>用户指定系数调整值；不是原始实测数值。指标=query_ms；原始值=21.572427900000001；系数=1.2；调整值=25.88691348。召回率不调整。原始CSV/附表保留。</t>
        </is>
      </c>
    </row>
    <row r="300">
      <c r="A300" s="0" t="inlineStr">
        <is>
          <t>NYTimes-256</t>
        </is>
      </c>
      <c r="B300" s="0" t="inlineStr">
        <is>
          <t>D10</t>
        </is>
      </c>
      <c r="C300" s="0" t="inlineStr">
        <is>
          <t>ANNProof</t>
        </is>
      </c>
      <c r="D300" s="0" t="inlineStr">
        <is>
          <t>ANNProof*</t>
        </is>
      </c>
      <c r="E300" s="0" t="inlineStr">
        <is>
          <t>* 表示性能指标为用户指定系数调整值，不是原始实测值。配置及实际召回见原始补测附表。</t>
        </is>
      </c>
    </row>
    <row r="301">
      <c r="A301" s="0" t="inlineStr">
        <is>
          <t>NYTimes-256</t>
        </is>
      </c>
      <c r="B301" s="0" t="inlineStr">
        <is>
          <t>D23</t>
        </is>
      </c>
      <c r="C301" s="0" t="inlineStr">
        <is>
          <t>ANNProof</t>
        </is>
      </c>
      <c r="D301" s="0" t="inlineStr">
        <is>
          <t>ANNProof*</t>
        </is>
      </c>
      <c r="E301" s="0" t="inlineStr">
        <is>
          <t>* 表示性能指标为用户指定系数调整值，不是原始实测值。配置及实际召回见原始补测附表。</t>
        </is>
      </c>
    </row>
    <row r="302">
      <c r="A302" s="0" t="inlineStr">
        <is>
          <t>NYTimes-256</t>
        </is>
      </c>
      <c r="B302" s="0" t="inlineStr">
        <is>
          <t>D37</t>
        </is>
      </c>
      <c r="C302" s="0" t="inlineStr">
        <is>
          <t>ANNProof</t>
        </is>
      </c>
      <c r="D302" s="0" t="inlineStr">
        <is>
          <t>ANNProof*</t>
        </is>
      </c>
      <c r="E302" s="0" t="inlineStr">
        <is>
          <t>* 表示性能指标为用户指定系数调整值，不是原始实测值。配置及实际召回见原始补测附表。</t>
        </is>
      </c>
    </row>
    <row r="303">
      <c r="A303" s="0" t="inlineStr">
        <is>
          <t>NYTimes-256</t>
        </is>
      </c>
      <c r="B303" s="0" t="inlineStr">
        <is>
          <t>D51</t>
        </is>
      </c>
      <c r="C303" s="0" t="inlineStr">
        <is>
          <t>ANNProof</t>
        </is>
      </c>
      <c r="D303" s="0" t="inlineStr">
        <is>
          <t>ANNProof*</t>
        </is>
      </c>
      <c r="E303" s="0" t="inlineStr">
        <is>
          <t>* 表示性能指标为用户指定系数调整值，不是原始实测值。配置及实际召回见原始补测附表。</t>
        </is>
      </c>
    </row>
    <row r="304">
      <c r="A304" s="0" t="inlineStr">
        <is>
          <t>NYTimes-256</t>
        </is>
      </c>
      <c r="B304" s="0" t="inlineStr">
        <is>
          <t>D69</t>
        </is>
      </c>
      <c r="C304" s="0" t="inlineStr">
        <is>
          <t>ANNProof</t>
        </is>
      </c>
      <c r="D304" s="0" t="inlineStr">
        <is>
          <t>ANNProof*</t>
        </is>
      </c>
      <c r="E304" s="0" t="inlineStr">
        <is>
          <t>* 表示性能指标为用户指定系数调整值，不是原始实测值。配置及实际召回见原始补测附表。</t>
        </is>
      </c>
    </row>
    <row r="305">
      <c r="A305" s="0" t="inlineStr">
        <is>
          <t>NYTimes-256</t>
        </is>
      </c>
      <c r="B305" s="0" t="inlineStr">
        <is>
          <t>D81</t>
        </is>
      </c>
      <c r="C305" s="0" t="inlineStr">
        <is>
          <t>ANNProof</t>
        </is>
      </c>
      <c r="D305" s="0" t="inlineStr">
        <is>
          <t>ANNProof*</t>
        </is>
      </c>
      <c r="E305" s="0" t="inlineStr">
        <is>
          <t>* 表示性能指标为用户指定系数调整值，不是原始实测值。配置及实际召回见原始补测附表。</t>
        </is>
      </c>
    </row>
    <row r="306">
      <c r="A306" s="0" t="inlineStr">
        <is>
          <t>NYTimes-256</t>
        </is>
      </c>
      <c r="B306" s="0" t="inlineStr">
        <is>
          <t>D92</t>
        </is>
      </c>
      <c r="C306" s="0" t="inlineStr">
        <is>
          <t>ANNProof</t>
        </is>
      </c>
      <c r="D306" s="0" t="inlineStr">
        <is>
          <t>ANNProof*</t>
        </is>
      </c>
      <c r="E306" s="0" t="inlineStr">
        <is>
          <t>* 表示性能指标为用户指定系数调整值，不是原始实测值。配置及实际召回见原始补测附表。</t>
        </is>
      </c>
    </row>
    <row r="307">
      <c r="A307" s="0" t="inlineStr">
        <is>
          <t>NYTimes-256</t>
        </is>
      </c>
      <c r="B307" s="0" t="inlineStr">
        <is>
          <t>D105</t>
        </is>
      </c>
      <c r="C307" s="0" t="inlineStr">
        <is>
          <t>ANNProof</t>
        </is>
      </c>
      <c r="D307" s="0" t="inlineStr">
        <is>
          <t>ANNProof*</t>
        </is>
      </c>
      <c r="E307" s="0" t="inlineStr">
        <is>
          <t>* 表示性能指标为用户指定系数调整值，不是原始实测值。配置及实际召回见原始补测附表。</t>
        </is>
      </c>
    </row>
    <row r="308">
      <c r="A308" s="0" t="inlineStr">
        <is>
          <t>NYTimes-256</t>
        </is>
      </c>
      <c r="B308" s="0" t="inlineStr">
        <is>
          <t>D117</t>
        </is>
      </c>
      <c r="C308" s="0" t="inlineStr">
        <is>
          <t>ANNProof</t>
        </is>
      </c>
      <c r="D308" s="0" t="inlineStr">
        <is>
          <t>ANNProof*</t>
        </is>
      </c>
      <c r="E308" s="0" t="inlineStr">
        <is>
          <t>* 表示性能指标为用户指定系数调整值，不是原始实测值。配置及实际召回见原始补测附表。</t>
        </is>
      </c>
    </row>
    <row r="309">
      <c r="A309" s="0" t="inlineStr">
        <is>
          <t>NYTimes-256</t>
        </is>
      </c>
      <c r="B309" s="0" t="inlineStr">
        <is>
          <t>D128</t>
        </is>
      </c>
      <c r="C309" s="0" t="inlineStr">
        <is>
          <t>ANNProof</t>
        </is>
      </c>
      <c r="D309" s="0" t="inlineStr">
        <is>
          <t>ANNProof*</t>
        </is>
      </c>
      <c r="E309" s="0" t="inlineStr">
        <is>
          <t>* 表示性能指标为用户指定系数调整值，不是原始实测值。配置及实际召回见原始补测附表。</t>
        </is>
      </c>
    </row>
    <row r="310">
      <c r="A310" s="0" t="inlineStr">
        <is>
          <t>GloVe-100</t>
        </is>
      </c>
      <c r="B310" s="0" t="inlineStr">
        <is>
          <t>K23</t>
        </is>
      </c>
      <c r="C310" s="0" t="n">
        <v>40</v>
      </c>
      <c r="D310" s="0" t="n">
        <v>40</v>
      </c>
      <c r="E310" s="0" t="inlineStr">
        <is>
          <t>本次真实补测：20条查询IDs100..119×3次，单线程；实际召回率不乘系数。
{"k": 10, "ef": 14, "probes": 1, "recall": 0.4, "query_ms": 1.8456097333333334, "verify_ms": 9.01886395, "vo_kb": 693.6684, "samples": 60, "status": "passed", "output": "/mnt/d/paper_source/work_9/VeriANN_repro_2026-09-30/VeriANN_repro_2026-09-30/results/work9-annproof-low-adjusted-20261021/measurements/glove100-M16-efc200", "csv_sha256": "0cab08c521bfec0c11d139ba60ae053e763ec24f73d160066ca2f6547738db32", "M": 16, "efc": 200, "target": 0.4, "pilot": {"M": 16, "efc": 200, "ef": 14, "recall": 0.4, "valid": true, "pilot": "/mnt/d/paper_source/work_9/VeriANN_repro_2026-09-30/VeriANN_repro_2026-09-30/results/work9-annproof-low-adjusted-20261021/pilots/glove100-M16-efc200"}}</t>
        </is>
      </c>
    </row>
    <row r="311">
      <c r="A311" s="0" t="inlineStr">
        <is>
          <t>GloVe-100</t>
        </is>
      </c>
      <c r="B311" s="0" t="inlineStr">
        <is>
          <t>K24</t>
        </is>
      </c>
      <c r="C311" s="0" t="n">
        <v>693.6684</v>
      </c>
      <c r="D311" s="0" t="n">
        <v>693.6684</v>
      </c>
      <c r="E311" s="0" t="inlineStr">
        <is>
          <t>本单元格先替换为本次原始测量，随后按统一系数调整。
{"k": 10, "ef": 14, "probes": 1, "recall": 0.4, "query_ms": 1.8456097333333334, "verify_ms": 9.01886395, "vo_kb": 693.6684, "samples": 60, "status": "passed", "output": "/mnt/d/paper_source/work_9/VeriANN_repro_2026-09-30/VeriANN_repro_2026-09-30/results/work9-annproof-low-adjusted-20261021/measurements/glove100-M16-efc200", "csv_sha256": "0cab08c521bfec0c11d139ba60ae053e763ec24f73d160066ca2f6547738db32", "M": 16, "efc": 200, "target": 0.4, "pilot": {"M": 16, "efc": 200, "ef": 14, "recall": 0.4, "valid": true, "pilot": "/mnt/d/paper_source/work_9/VeriANN_repro_2026-09-30/VeriANN_repro_2026-09-30/results/work9-annproof-low-adjusted-20261021/pilots/glove100-M16-efc200"}}</t>
        </is>
      </c>
    </row>
    <row r="312">
      <c r="A312" s="0" t="inlineStr">
        <is>
          <t>GloVe-100</t>
        </is>
      </c>
      <c r="B312" s="0" t="inlineStr">
        <is>
          <t>L23</t>
        </is>
      </c>
      <c r="C312" s="0" t="n">
        <v>45.5</v>
      </c>
      <c r="D312" s="0" t="n">
        <v>45.5</v>
      </c>
      <c r="E312" s="0" t="inlineStr">
        <is>
          <t>本次真实补测：20条查询IDs100..119×3次，单线程；实际召回率不乘系数。
{"k": 10, "ef": 19, "probes": 1, "recall": 0.455, "query_ms": 2.1463292166666665, "verify_ms": 10.753225516666667, "vo_kb": 830.1814, "samples": 60, "status": "passed", "output": "/mnt/d/paper_source/work_9/VeriANN_repro_2026-09-30/VeriANN_repro_2026-09-30/results/work9-annproof-low-adjusted-20261021/measurements/glove100-M16-efc200", "csv_sha256": "0cab08c521bfec0c11d139ba60ae053e763ec24f73d160066ca2f6547738db32", "M": 16, "efc": 200, "target": 0.45, "pilot": {"M": 16, "efc": 200, "ef": 19, "recall": 0.45499999999999996, "valid": true, "pilot": "/mnt/d/paper_source/work_9/VeriANN_repro_2026-09-30/VeriANN_repro_2026-09-30/results/work9-annproof-low-adjusted-20261021/pilots/glove100-M16-efc200"}}</t>
        </is>
      </c>
    </row>
    <row r="313">
      <c r="A313" s="0" t="inlineStr">
        <is>
          <t>GloVe-100</t>
        </is>
      </c>
      <c r="B313" s="0" t="inlineStr">
        <is>
          <t>L24</t>
        </is>
      </c>
      <c r="C313" s="0" t="n">
        <v>830.1814000000001</v>
      </c>
      <c r="D313" s="0" t="n">
        <v>830.1814000000001</v>
      </c>
      <c r="E313" s="0" t="inlineStr">
        <is>
          <t>本单元格先替换为本次原始测量，随后按统一系数调整。
{"k": 10, "ef": 19, "probes": 1, "recall": 0.455, "query_ms": 2.1463292166666665, "verify_ms": 10.753225516666667, "vo_kb": 830.1814, "samples": 60, "status": "passed", "output": "/mnt/d/paper_source/work_9/VeriANN_repro_2026-09-30/VeriANN_repro_2026-09-30/results/work9-annproof-low-adjusted-20261021/measurements/glove100-M16-efc200", "csv_sha256": "0cab08c521bfec0c11d139ba60ae053e763ec24f73d160066ca2f6547738db32", "M": 16, "efc": 200, "target": 0.45, "pilot": {"M": 16, "efc": 200, "ef": 19, "recall": 0.45499999999999996, "valid": true, "pilot": "/mnt/d/paper_source/work_9/VeriANN_repro_2026-09-30/VeriANN_repro_2026-09-30/results/work9-annproof-low-adjusted-20261021/pilots/glove100-M16-efc200"}}</t>
        </is>
      </c>
    </row>
    <row r="314">
      <c r="A314" s="0" t="inlineStr">
        <is>
          <t>GloVe-100</t>
        </is>
      </c>
      <c r="B314" s="0" t="inlineStr">
        <is>
          <t>M23</t>
        </is>
      </c>
      <c r="C314" s="0" t="n">
        <v>50.5</v>
      </c>
      <c r="D314" s="0" t="n">
        <v>50.5</v>
      </c>
      <c r="E314" s="0" t="inlineStr">
        <is>
          <t>本次真实补测：20条查询IDs100..119×3次，单线程；实际召回率不乘系数。
{"k": 10, "ef": 29, "probes": 1, "recall": 0.505, "query_ms": 2.9589326, "verify_ms": 13.854632, "vo_kb": 1026.1096, "samples": 60, "status": "passed", "output": "/mnt/d/paper_source/work_9/VeriANN_repro_2026-09-30/VeriANN_repro_2026-09-30/results/work9-annproof-low-adjusted-20261021/measurements/glove100-M16-efc200", "csv_sha256": "0cab08c521bfec0c11d139ba60ae053e763ec24f73d160066ca2f6547738db32", "M": 16, "efc": 200, "target": 0.5, "pilot": {"M": 16, "efc": 200, "ef": 29, "recall": 0.505, "valid": true, "pilot": "/mnt/d/paper_source/work_9/VeriANN_repro_2026-09-30/VeriANN_repro_2026-09-30/results/work9-annproof-low-adjusted-20261021/pilots/glove100-M16-efc200"}}</t>
        </is>
      </c>
    </row>
    <row r="315">
      <c r="A315" s="0" t="inlineStr">
        <is>
          <t>GloVe-100</t>
        </is>
      </c>
      <c r="B315" s="0" t="inlineStr">
        <is>
          <t>M24</t>
        </is>
      </c>
      <c r="C315" s="0" t="n">
        <v>1026.1096</v>
      </c>
      <c r="D315" s="0" t="n">
        <v>1026.1096</v>
      </c>
      <c r="E315" s="0" t="inlineStr">
        <is>
          <t>本单元格先替换为本次原始测量，随后按统一系数调整。
{"k": 10, "ef": 29, "probes": 1, "recall": 0.505, "query_ms": 2.9589326, "verify_ms": 13.854632, "vo_kb": 1026.1096, "samples": 60, "status": "passed", "output": "/mnt/d/paper_source/work_9/VeriANN_repro_2026-09-30/VeriANN_repro_2026-09-30/results/work9-annproof-low-adjusted-20261021/measurements/glove100-M16-efc200", "csv_sha256": "0cab08c521bfec0c11d139ba60ae053e763ec24f73d160066ca2f6547738db32", "M": 16, "efc": 200, "target": 0.5, "pilot": {"M": 16, "efc": 200, "ef": 29, "recall": 0.505, "valid": true, "pilot": "/mnt/d/paper_source/work_9/VeriANN_repro_2026-09-30/VeriANN_repro_2026-09-30/results/work9-annproof-low-adjusted-20261021/pilots/glove100-M16-efc200"}}</t>
        </is>
      </c>
    </row>
    <row r="316">
      <c r="A316" s="0" t="inlineStr">
        <is>
          <t>GloVe-100</t>
        </is>
      </c>
      <c r="B316" s="0" t="inlineStr">
        <is>
          <t>N23</t>
        </is>
      </c>
      <c r="C316" s="0" t="n">
        <v>56.5</v>
      </c>
      <c r="D316" s="0" t="n">
        <v>56.5</v>
      </c>
      <c r="E316" s="0" t="inlineStr">
        <is>
          <t>本次真实补测：20条查询IDs100..119×3次，单线程；实际召回率不乘系数。
{"k": 10, "ef": 38, "probes": 1, "recall": 0.565, "query_ms": 3.5463415666666664, "verify_ms": 16.505657483333334, "vo_kb": 1245.8634, "samples": 60, "status": "passed", "output": "/mnt/d/paper_source/work_9/VeriANN_repro_2026-09-30/VeriANN_repro_2026-09-30/results/work9-annproof-low-adjusted-20261021/measurements/glove100-M16-efc200", "csv_sha256": "0cab08c521bfec0c11d139ba60ae053e763ec24f73d160066ca2f6547738db32", "M": 16, "efc": 200, "target": 0.55, "pilot": {"M": 16, "efc": 200, "ef": 38, "recall": 0.5650000000000001, "valid": true, "pilot": "/mnt/d/paper_source/work_9/VeriANN_repro_2026-09-30/VeriANN_repro_2026-09-30/results/work9-annproof-low-adjusted-20261021/pilots/glove100-M16-efc200"}}</t>
        </is>
      </c>
    </row>
    <row r="317">
      <c r="A317" s="0" t="inlineStr">
        <is>
          <t>GloVe-100</t>
        </is>
      </c>
      <c r="B317" s="0" t="inlineStr">
        <is>
          <t>N24</t>
        </is>
      </c>
      <c r="C317" s="0" t="n">
        <v>1245.8634</v>
      </c>
      <c r="D317" s="0" t="n">
        <v>1245.8634</v>
      </c>
      <c r="E317" s="0" t="inlineStr">
        <is>
          <t>本单元格先替换为本次原始测量，随后按统一系数调整。
{"k": 10, "ef": 38, "probes": 1, "recall": 0.565, "query_ms": 3.5463415666666664, "verify_ms": 16.505657483333334, "vo_kb": 1245.8634, "samples": 60, "status": "passed", "output": "/mnt/d/paper_source/work_9/VeriANN_repro_2026-09-30/VeriANN_repro_2026-09-30/results/work9-annproof-low-adjusted-20261021/measurements/glove100-M16-efc200", "csv_sha256": "0cab08c521bfec0c11d139ba60ae053e763ec24f73d160066ca2f6547738db32", "M": 16, "efc": 200, "target": 0.55, "pilot": {"M": 16, "efc": 200, "ef": 38, "recall": 0.5650000000000001, "valid": true, "pilot": "/mnt/d/paper_source/work_9/VeriANN_repro_2026-09-30/VeriANN_repro_2026-09-30/results/work9-annproof-low-adjusted-20261021/pilots/glove100-M16-efc200"}}</t>
        </is>
      </c>
    </row>
    <row r="318">
      <c r="A318" s="0" t="inlineStr">
        <is>
          <t>GloVe-100</t>
        </is>
      </c>
      <c r="B318" s="0" t="inlineStr">
        <is>
          <t>O23</t>
        </is>
      </c>
      <c r="C318" s="0" t="n">
        <v>66.5</v>
      </c>
      <c r="D318" s="0" t="n">
        <v>60</v>
      </c>
      <c r="E318" s="0" t="inlineStr">
        <is>
          <t>本次真实补测：20条查询IDs100..119×3次，单线程；实际召回率不乘系数。
{"k": 10, "ef": 49, "probes": 1, "recall": 0.6, "query_ms": 4.002683916666667, "verify_ms": 18.9798409, "vo_kb": 1440.1246, "samples": 60, "status": "passed", "output": "/mnt/d/paper_source/work_9/VeriANN_repro_2026-09-30/VeriANN_repro_2026-09-30/results/work9-annproof-low-adjusted-20261021/measurements/glove100-M16-efc200", "csv_sha256": "0cab08c521bfec0c11d139ba60ae053e763ec24f73d160066ca2f6547738db32", "M": 16, "efc": 200, "target": 0.6, "pilot": {"M": 16, "efc": 200, "ef": 49, "recall": 0.6, "valid": true, "pilot": "/mnt/d/paper_source/work_9/VeriANN_repro_2026-09-30/VeriANN_repro_2026-09-30/results/work9-annproof-low-adjusted-20261021/pilots/glove100-M16-efc200"}}</t>
        </is>
      </c>
    </row>
    <row r="319">
      <c r="A319" s="0" t="inlineStr">
        <is>
          <t>GloVe-100</t>
        </is>
      </c>
      <c r="B319" s="0" t="inlineStr">
        <is>
          <t>O24</t>
        </is>
      </c>
      <c r="C319" s="0" t="n">
        <v>1768.2552</v>
      </c>
      <c r="D319" s="0" t="n">
        <v>1440.1246</v>
      </c>
      <c r="E319" s="0" t="inlineStr">
        <is>
          <t>本单元格先替换为本次原始测量，随后按统一系数调整。
{"k": 10, "ef": 49, "probes": 1, "recall": 0.6, "query_ms": 4.002683916666667, "verify_ms": 18.9798409, "vo_kb": 1440.1246, "samples": 60, "status": "passed", "output": "/mnt/d/paper_source/work_9/VeriANN_repro_2026-09-30/VeriANN_repro_2026-09-30/results/work9-annproof-low-adjusted-20261021/measurements/glove100-M16-efc200", "csv_sha256": "0cab08c521bfec0c11d139ba60ae053e763ec24f73d160066ca2f6547738db32", "M": 16, "efc": 200, "target": 0.6, "pilot": {"M": 16, "efc": 200, "ef": 49, "recall": 0.6, "valid": true, "pilot": "/mnt/d/paper_source/work_9/VeriANN_repro_2026-09-30/VeriANN_repro_2026-09-30/results/work9-annproof-low-adjusted-20261021/pilots/glove100-M16-efc200"}}</t>
        </is>
      </c>
    </row>
    <row r="320">
      <c r="A320" s="0" t="inlineStr">
        <is>
          <t>GloVe-100</t>
        </is>
      </c>
      <c r="B320" s="0" t="inlineStr">
        <is>
          <t>P23</t>
        </is>
      </c>
      <c r="C320" s="0" t="n">
        <v>66.5</v>
      </c>
      <c r="D320" s="0" t="n">
        <v>66.5</v>
      </c>
      <c r="E320" s="0" t="inlineStr">
        <is>
          <t>本次真实补测：20条查询IDs100..119×3次，单线程；实际召回率不乘系数。
{"k": 10, "ef": 64, "probes": 1, "recall": 0.6649999999999999, "query_ms": 5.100157533333333, "verify_ms": 23.386725333333334, "vo_kb": 1768.2552, "samples": 60, "status": "passed", "output": "/mnt/d/paper_source/work_9/VeriANN_repro_2026-09-30/VeriANN_repro_2026-09-30/results/work9-annproof-low-adjusted-20261021/measurements/glove100-M16-efc200", "csv_sha256": "0cab08c521bfec0c11d139ba60ae053e763ec24f73d160066ca2f6547738db32", "M": 16, "efc": 200, "target": 0.65, "pilot": {"M": 16, "efc": 200, "ef": 64, "recall": 0.665, "valid": true, "pilot": "/mnt/d/paper_source/work_9/VeriANN_repro_2026-09-30/VeriANN_repro_2026-09-30/results/work9-annproof-low-adjusted-20261021/pilots/glove100-M16-efc200"}}</t>
        </is>
      </c>
    </row>
    <row r="321">
      <c r="A321" s="0" t="inlineStr">
        <is>
          <t>GloVe-100</t>
        </is>
      </c>
      <c r="B321" s="0" t="inlineStr">
        <is>
          <t>P24</t>
        </is>
      </c>
      <c r="C321" s="0" t="n">
        <v>1768.2552</v>
      </c>
      <c r="D321" s="0" t="n">
        <v>1768.2552</v>
      </c>
      <c r="E321" s="0" t="inlineStr">
        <is>
          <t>本单元格先替换为本次原始测量，随后按统一系数调整。
{"k": 10, "ef": 64, "probes": 1, "recall": 0.6649999999999999, "query_ms": 5.100157533333333, "verify_ms": 23.386725333333334, "vo_kb": 1768.2552, "samples": 60, "status": "passed", "output": "/mnt/d/paper_source/work_9/VeriANN_repro_2026-09-30/VeriANN_repro_2026-09-30/results/work9-annproof-low-adjusted-20261021/measurements/glove100-M16-efc200", "csv_sha256": "0cab08c521bfec0c11d139ba60ae053e763ec24f73d160066ca2f6547738db32", "M": 16, "efc": 200, "target": 0.65, "pilot": {"M": 16, "efc": 200, "ef": 64, "recall": 0.665, "valid": true, "pilot": "/mnt/d/paper_source/work_9/VeriANN_repro_2026-09-30/VeriANN_repro_2026-09-30/results/work9-annproof-low-adjusted-20261021/pilots/glove100-M16-efc200"}}</t>
        </is>
      </c>
    </row>
    <row r="322">
      <c r="A322" s="0" t="inlineStr">
        <is>
          <t>GloVe-100</t>
        </is>
      </c>
      <c r="B322" s="0" t="inlineStr">
        <is>
          <t>Q23</t>
        </is>
      </c>
      <c r="C322" s="0" t="n">
        <v>77.5</v>
      </c>
      <c r="D322" s="0" t="n">
        <v>70</v>
      </c>
      <c r="E322" s="0" t="inlineStr">
        <is>
          <t>本次真实补测：20条查询IDs100..119×3次，单线程；实际召回率不乘系数。
{"k": 10, "ef": 109, "probes": 1, "recall": 0.7, "query_ms": 7.6252956, "verify_ms": 33.70188528333333, "vo_kb": 2517.2104, "samples": 60, "status": "passed", "output": "/mnt/d/paper_source/work_9/VeriANN_repro_2026-09-30/VeriANN_repro_2026-09-30/results/work9-annproof-low-adjusted-20261021/measurements/glove100-M16-efc200", "csv_sha256": "0cab08c521bfec0c11d139ba60ae053e763ec24f73d160066ca2f6547738db32", "M": 16, "efc": 200, "target": 0.7, "pilot": {"M": 16, "efc": 200, "ef": 109, "recall": 0.7, "valid": true, "pilot": "/mnt/d/paper_source/work_9/VeriANN_repro_2026-09-30/VeriANN_repro_2026-09-30/results/work9-annproof-low-adjusted-20261021/pilots/glove100-M16-efc200"}}</t>
        </is>
      </c>
    </row>
    <row r="323">
      <c r="A323" s="0" t="inlineStr">
        <is>
          <t>GloVe-100</t>
        </is>
      </c>
      <c r="B323" s="0" t="inlineStr">
        <is>
          <t>Q24</t>
        </is>
      </c>
      <c r="C323" s="0" t="n">
        <v>2889.171</v>
      </c>
      <c r="D323" s="0" t="n">
        <v>2517.2104</v>
      </c>
      <c r="E323" s="0" t="inlineStr">
        <is>
          <t>本单元格先替换为本次原始测量，随后按统一系数调整。
{"k": 10, "ef": 109, "probes": 1, "recall": 0.7, "query_ms": 7.6252956, "verify_ms": 33.70188528333333, "vo_kb": 2517.2104, "samples": 60, "status": "passed", "output": "/mnt/d/paper_source/work_9/VeriANN_repro_2026-09-30/VeriANN_repro_2026-09-30/results/work9-annproof-low-adjusted-20261021/measurements/glove100-M16-efc200", "csv_sha256": "0cab08c521bfec0c11d139ba60ae053e763ec24f73d160066ca2f6547738db32", "M": 16, "efc": 200, "target": 0.7, "pilot": {"M": 16, "efc": 200, "ef": 109, "recall": 0.7, "valid": true, "pilot": "/mnt/d/paper_source/work_9/VeriANN_repro_2026-09-30/VeriANN_repro_2026-09-30/results/work9-annproof-low-adjusted-20261021/pilots/glove100-M16-efc200"}}</t>
        </is>
      </c>
    </row>
    <row r="324">
      <c r="A324" s="0" t="inlineStr">
        <is>
          <t>GloVe-100</t>
        </is>
      </c>
      <c r="B324" s="0" t="inlineStr">
        <is>
          <t>R23</t>
        </is>
      </c>
      <c r="C324" s="0" t="n">
        <v>77.5</v>
      </c>
      <c r="D324" s="0" t="n">
        <v>76</v>
      </c>
      <c r="E324" s="0" t="inlineStr">
        <is>
          <t>本次真实补测：20条查询IDs100..119×3次，单线程；实际召回率不乘系数。
{"k": 10, "ef": 111, "probes": 1, "recall": 0.76, "query_ms": 7.825042366666667, "verify_ms": 35.01635556666667, "vo_kb": 2621.0818, "samples": 60, "status": "passed", "output": "/mnt/d/paper_source/work_9/VeriANN_repro_2026-09-30/VeriANN_repro_2026-09-30/results/work9-annproof-low-adjusted-20261021/measurements/glove100-M16-efc200", "csv_sha256": "0cab08c521bfec0c11d139ba60ae053e763ec24f73d160066ca2f6547738db32", "M": 16, "efc": 200, "target": 0.75, "pilot": {"M": 16, "efc": 200, "ef": 111, "recall": 0.76, "valid": true, "pilot": "/mnt/d/paper_source/work_9/VeriANN_repro_2026-09-30/VeriANN_repro_2026-09-30/results/work9-annproof-low-adjusted-20261021/pilots/glove100-M16-efc200"}}</t>
        </is>
      </c>
    </row>
    <row r="325">
      <c r="A325" s="0" t="inlineStr">
        <is>
          <t>GloVe-100</t>
        </is>
      </c>
      <c r="B325" s="0" t="inlineStr">
        <is>
          <t>R24</t>
        </is>
      </c>
      <c r="C325" s="0" t="n">
        <v>2889.171</v>
      </c>
      <c r="D325" s="0" t="n">
        <v>2621.0818</v>
      </c>
      <c r="E325" s="0" t="inlineStr">
        <is>
          <t>本单元格先替换为本次原始测量，随后按统一系数调整。
{"k": 10, "ef": 111, "probes": 1, "recall": 0.76, "query_ms": 7.825042366666667, "verify_ms": 35.01635556666667, "vo_kb": 2621.0818, "samples": 60, "status": "passed", "output": "/mnt/d/paper_source/work_9/VeriANN_repro_2026-09-30/VeriANN_repro_2026-09-30/results/work9-annproof-low-adjusted-20261021/measurements/glove100-M16-efc200", "csv_sha256": "0cab08c521bfec0c11d139ba60ae053e763ec24f73d160066ca2f6547738db32", "M": 16, "efc": 200, "target": 0.75, "pilot": {"M": 16, "efc": 200, "ef": 111, "recall": 0.76, "valid": true, "pilot": "/mnt/d/paper_source/work_9/VeriANN_repro_2026-09-30/VeriANN_repro_2026-09-30/results/work9-annproof-low-adjusted-20261021/pilots/glove100-M16-efc200"}}</t>
        </is>
      </c>
    </row>
    <row r="326">
      <c r="A326" s="0" t="inlineStr">
        <is>
          <t>GloVe-100</t>
        </is>
      </c>
      <c r="B326" s="0" t="inlineStr">
        <is>
          <t>S23</t>
        </is>
      </c>
      <c r="C326" s="0" t="n">
        <v>83.5</v>
      </c>
      <c r="D326" s="0" t="n">
        <v>80.5</v>
      </c>
      <c r="E326" s="0" t="inlineStr">
        <is>
          <t>本次真实补测：20条查询IDs100..119×3次，单线程；实际召回率不乘系数。
{"k": 10, "ef": 147, "probes": 1, "recall": 0.8049999999999999, "query_ms": 9.670231033333334, "verify_ms": 42.93240513333333, "vo_kb": 3202.7554, "samples": 60, "status": "passed", "output": "/mnt/d/paper_source/work_9/VeriANN_repro_2026-09-30/VeriANN_repro_2026-09-30/results/work9-annproof-low-adjusted-20261021/measurements/glove100-M16-efc200", "csv_sha256": "0cab08c521bfec0c11d139ba60ae053e763ec24f73d160066ca2f6547738db32", "M": 16, "efc": 200, "target": 0.8, "pilot": {"M": 16, "efc": 200, "ef": 147, "recall": 0.805, "valid": true, "pilot": "/mnt/d/paper_source/work_9/VeriANN_repro_2026-09-30/VeriANN_repro_2026-09-30/results/work9-annproof-low-adjusted-20261021/pilots/glove100-M16-efc200"}}</t>
        </is>
      </c>
    </row>
    <row r="327">
      <c r="A327" s="0" t="inlineStr">
        <is>
          <t>GloVe-100</t>
        </is>
      </c>
      <c r="B327" s="0" t="inlineStr">
        <is>
          <t>S24</t>
        </is>
      </c>
      <c r="C327" s="0" t="n">
        <v>3909.6394</v>
      </c>
      <c r="D327" s="0" t="n">
        <v>3202.7554</v>
      </c>
      <c r="E327" s="0" t="inlineStr">
        <is>
          <t>本单元格先替换为本次原始测量，随后按统一系数调整。
{"k": 10, "ef": 147, "probes": 1, "recall": 0.8049999999999999, "query_ms": 9.670231033333334, "verify_ms": 42.93240513333333, "vo_kb": 3202.7554, "samples": 60, "status": "passed", "output": "/mnt/d/paper_source/work_9/VeriANN_repro_2026-09-30/VeriANN_repro_2026-09-30/results/work9-annproof-low-adjusted-20261021/measurements/glove100-M16-efc200", "csv_sha256": "0cab08c521bfec0c11d139ba60ae053e763ec24f73d160066ca2f6547738db32", "M": 16, "efc": 200, "target": 0.8, "pilot": {"M": 16, "efc": 200, "ef": 147, "recall": 0.805, "valid": true, "pilot": "/mnt/d/paper_source/work_9/VeriANN_repro_2026-09-30/VeriANN_repro_2026-09-30/results/work9-annproof-low-adjusted-20261021/pilots/glove100-M16-efc200"}}</t>
        </is>
      </c>
    </row>
    <row r="328">
      <c r="A328" s="0" t="inlineStr">
        <is>
          <t>GloVe-100</t>
        </is>
      </c>
      <c r="B328" s="0" t="inlineStr">
        <is>
          <t>K37</t>
        </is>
      </c>
      <c r="C328" s="0" t="n">
        <v>40</v>
      </c>
      <c r="D328" s="0" t="n">
        <v>40</v>
      </c>
      <c r="E328" s="0" t="inlineStr">
        <is>
          <t>本次真实补测：20条查询IDs100..119×3次，单线程；实际召回率不乘系数。
{"k": 10, "ef": 14, "probes": 1, "recall": 0.4, "query_ms": 1.8456097333333334, "verify_ms": 9.01886395, "vo_kb": 693.6684, "samples": 60, "status": "passed", "output": "/mnt/d/paper_source/work_9/VeriANN_repro_2026-09-30/VeriANN_repro_2026-09-30/results/work9-annproof-low-adjusted-20261021/measurements/glove100-M16-efc200", "csv_sha256": "0cab08c521bfec0c11d139ba60ae053e763ec24f73d160066ca2f6547738db32", "M": 16, "efc": 200, "target": 0.4, "pilot": {"M": 16, "efc": 200, "ef": 14, "recall": 0.4, "valid": true, "pilot": "/mnt/d/paper_source/work_9/VeriANN_repro_2026-09-30/VeriANN_repro_2026-09-30/results/work9-annproof-low-adjusted-20261021/pilots/glove100-M16-efc200"}}</t>
        </is>
      </c>
    </row>
    <row r="329">
      <c r="A329" s="0" t="inlineStr">
        <is>
          <t>GloVe-100</t>
        </is>
      </c>
      <c r="B329" s="0" t="inlineStr">
        <is>
          <t>K38</t>
        </is>
      </c>
      <c r="C329" s="0" t="n">
        <v>9.1337694</v>
      </c>
      <c r="D329" s="0" t="n">
        <v>9.01886395</v>
      </c>
      <c r="E329" s="0" t="inlineStr">
        <is>
          <t>本单元格先替换为本次原始测量，随后按统一系数调整。
{"k": 10, "ef": 14, "probes": 1, "recall": 0.4, "query_ms": 1.8456097333333334, "verify_ms": 9.01886395, "vo_kb": 693.6684, "samples": 60, "status": "passed", "output": "/mnt/d/paper_source/work_9/VeriANN_repro_2026-09-30/VeriANN_repro_2026-09-30/results/work9-annproof-low-adjusted-20261021/measurements/glove100-M16-efc200", "csv_sha256": "0cab08c521bfec0c11d139ba60ae053e763ec24f73d160066ca2f6547738db32", "M": 16, "efc": 200, "target": 0.4, "pilot": {"M": 16, "efc": 200, "ef": 14, "recall": 0.4, "valid": true, "pilot": "/mnt/d/paper_source/work_9/VeriANN_repro_2026-09-30/VeriANN_repro_2026-09-30/results/work9-annproof-low-adjusted-20261021/pilots/glove100-M16-efc200"}}</t>
        </is>
      </c>
    </row>
    <row r="330">
      <c r="A330" s="0" t="inlineStr">
        <is>
          <t>GloVe-100</t>
        </is>
      </c>
      <c r="B330" s="0" t="inlineStr">
        <is>
          <t>L37</t>
        </is>
      </c>
      <c r="C330" s="0" t="n">
        <v>45.5</v>
      </c>
      <c r="D330" s="0" t="n">
        <v>45.5</v>
      </c>
      <c r="E330" s="0" t="inlineStr">
        <is>
          <t>本次真实补测：20条查询IDs100..119×3次，单线程；实际召回率不乘系数。
{"k": 10, "ef": 19, "probes": 1, "recall": 0.455, "query_ms": 2.1463292166666665, "verify_ms": 10.753225516666667, "vo_kb": 830.1814, "samples": 60, "status": "passed", "output": "/mnt/d/paper_source/work_9/VeriANN_repro_2026-09-30/VeriANN_repro_2026-09-30/results/work9-annproof-low-adjusted-20261021/measurements/glove100-M16-efc200", "csv_sha256": "0cab08c521bfec0c11d139ba60ae053e763ec24f73d160066ca2f6547738db32", "M": 16, "efc": 200, "target": 0.45, "pilot": {"M": 16, "efc": 200, "ef": 19, "recall": 0.45499999999999996, "valid": true, "pilot": "/mnt/d/paper_source/work_9/VeriANN_repro_2026-09-30/VeriANN_repro_2026-09-30/results/work9-annproof-low-adjusted-20261021/pilots/glove100-M16-efc200"}}</t>
        </is>
      </c>
    </row>
    <row r="331">
      <c r="A331" s="0" t="inlineStr">
        <is>
          <t>GloVe-100</t>
        </is>
      </c>
      <c r="B331" s="0" t="inlineStr">
        <is>
          <t>L38</t>
        </is>
      </c>
      <c r="C331" s="0" t="n">
        <v>10.8781289333333</v>
      </c>
      <c r="D331" s="0" t="n">
        <v>10.7532255166667</v>
      </c>
      <c r="E331" s="0" t="inlineStr">
        <is>
          <t>本单元格先替换为本次原始测量，随后按统一系数调整。
{"k": 10, "ef": 19, "probes": 1, "recall": 0.455, "query_ms": 2.1463292166666665, "verify_ms": 10.753225516666667, "vo_kb": 830.1814, "samples": 60, "status": "passed", "output": "/mnt/d/paper_source/work_9/VeriANN_repro_2026-09-30/VeriANN_repro_2026-09-30/results/work9-annproof-low-adjusted-20261021/measurements/glove100-M16-efc200", "csv_sha256": "0cab08c521bfec0c11d139ba60ae053e763ec24f73d160066ca2f6547738db32", "M": 16, "efc": 200, "target": 0.45, "pilot": {"M": 16, "efc": 200, "ef": 19, "recall": 0.45499999999999996, "valid": true, "pilot": "/mnt/d/paper_source/work_9/VeriANN_repro_2026-09-30/VeriANN_repro_2026-09-30/results/work9-annproof-low-adjusted-20261021/pilots/glove100-M16-efc200"}}</t>
        </is>
      </c>
    </row>
    <row r="332">
      <c r="A332" s="0" t="inlineStr">
        <is>
          <t>GloVe-100</t>
        </is>
      </c>
      <c r="B332" s="0" t="inlineStr">
        <is>
          <t>M37</t>
        </is>
      </c>
      <c r="C332" s="0" t="n">
        <v>50.5</v>
      </c>
      <c r="D332" s="0" t="n">
        <v>50.5</v>
      </c>
      <c r="E332" s="0" t="inlineStr">
        <is>
          <t>本次真实补测：20条查询IDs100..119×3次，单线程；实际召回率不乘系数。
{"k": 10, "ef": 29, "probes": 1, "recall": 0.505, "query_ms": 2.9589326, "verify_ms": 13.854632, "vo_kb": 1026.1096, "samples": 60, "status": "passed", "output": "/mnt/d/paper_source/work_9/VeriANN_repro_2026-09-30/VeriANN_repro_2026-09-30/results/work9-annproof-low-adjusted-20261021/measurements/glove100-M16-efc200", "csv_sha256": "0cab08c521bfec0c11d139ba60ae053e763ec24f73d160066ca2f6547738db32", "M": 16, "efc": 200, "target": 0.5, "pilot": {"M": 16, "efc": 200, "ef": 29, "recall": 0.505, "valid": true, "pilot": "/mnt/d/paper_source/work_9/VeriANN_repro_2026-09-30/VeriANN_repro_2026-09-30/results/work9-annproof-low-adjusted-20261021/pilots/glove100-M16-efc200"}}</t>
        </is>
      </c>
    </row>
    <row r="333">
      <c r="A333" s="0" t="inlineStr">
        <is>
          <t>GloVe-100</t>
        </is>
      </c>
      <c r="B333" s="0" t="inlineStr">
        <is>
          <t>M38</t>
        </is>
      </c>
      <c r="C333" s="0" t="n">
        <v>13.3027162</v>
      </c>
      <c r="D333" s="0" t="n">
        <v>13.854632</v>
      </c>
      <c r="E333" s="0" t="inlineStr">
        <is>
          <t>本单元格先替换为本次原始测量，随后按统一系数调整。
{"k": 10, "ef": 29, "probes": 1, "recall": 0.505, "query_ms": 2.9589326, "verify_ms": 13.854632, "vo_kb": 1026.1096, "samples": 60, "status": "passed", "output": "/mnt/d/paper_source/work_9/VeriANN_repro_2026-09-30/VeriANN_repro_2026-09-30/results/work9-annproof-low-adjusted-20261021/measurements/glove100-M16-efc200", "csv_sha256": "0cab08c521bfec0c11d139ba60ae053e763ec24f73d160066ca2f6547738db32", "M": 16, "efc": 200, "target": 0.5, "pilot": {"M": 16, "efc": 200, "ef": 29, "recall": 0.505, "valid": true, "pilot": "/mnt/d/paper_source/work_9/VeriANN_repro_2026-09-30/VeriANN_repro_2026-09-30/results/work9-annproof-low-adjusted-20261021/pilots/glove100-M16-efc200"}}</t>
        </is>
      </c>
    </row>
    <row r="334">
      <c r="A334" s="0" t="inlineStr">
        <is>
          <t>GloVe-100</t>
        </is>
      </c>
      <c r="B334" s="0" t="inlineStr">
        <is>
          <t>N37</t>
        </is>
      </c>
      <c r="C334" s="0" t="n">
        <v>56.5</v>
      </c>
      <c r="D334" s="0" t="n">
        <v>56.5</v>
      </c>
      <c r="E334" s="0" t="inlineStr">
        <is>
          <t>本次真实补测：20条查询IDs100..119×3次，单线程；实际召回率不乘系数。
{"k": 10, "ef": 38, "probes": 1, "recall": 0.565, "query_ms": 3.5463415666666664, "verify_ms": 16.505657483333334, "vo_kb": 1245.8634, "samples": 60, "status": "passed", "output": "/mnt/d/paper_source/work_9/VeriANN_repro_2026-09-30/VeriANN_repro_2026-09-30/results/work9-annproof-low-adjusted-20261021/measurements/glove100-M16-efc200", "csv_sha256": "0cab08c521bfec0c11d139ba60ae053e763ec24f73d160066ca2f6547738db32", "M": 16, "efc": 200, "target": 0.55, "pilot": {"M": 16, "efc": 200, "ef": 38, "recall": 0.5650000000000001, "valid": true, "pilot": "/mnt/d/paper_source/work_9/VeriANN_repro_2026-09-30/VeriANN_repro_2026-09-30/results/work9-annproof-low-adjusted-20261021/pilots/glove100-M16-efc200"}}</t>
        </is>
      </c>
    </row>
    <row r="335">
      <c r="A335" s="0" t="inlineStr">
        <is>
          <t>GloVe-100</t>
        </is>
      </c>
      <c r="B335" s="0" t="inlineStr">
        <is>
          <t>N38</t>
        </is>
      </c>
      <c r="C335" s="0" t="n">
        <v>16.0786200333333</v>
      </c>
      <c r="D335" s="0" t="n">
        <v>16.5056574833333</v>
      </c>
      <c r="E335" s="0" t="inlineStr">
        <is>
          <t>本单元格先替换为本次原始测量，随后按统一系数调整。
{"k": 10, "ef": 38, "probes": 1, "recall": 0.565, "query_ms": 3.5463415666666664, "verify_ms": 16.505657483333334, "vo_kb": 1245.8634, "samples": 60, "status": "passed", "output": "/mnt/d/paper_source/work_9/VeriANN_repro_2026-09-30/VeriANN_repro_2026-09-30/results/work9-annproof-low-adjusted-20261021/measurements/glove100-M16-efc200", "csv_sha256": "0cab08c521bfec0c11d139ba60ae053e763ec24f73d160066ca2f6547738db32", "M": 16, "efc": 200, "target": 0.55, "pilot": {"M": 16, "efc": 200, "ef": 38, "recall": 0.5650000000000001, "valid": true, "pilot": "/mnt/d/paper_source/work_9/VeriANN_repro_2026-09-30/VeriANN_repro_2026-09-30/results/work9-annproof-low-adjusted-20261021/pilots/glove100-M16-efc200"}}</t>
        </is>
      </c>
    </row>
    <row r="336">
      <c r="A336" s="0" t="inlineStr">
        <is>
          <t>GloVe-100</t>
        </is>
      </c>
      <c r="B336" s="0" t="inlineStr">
        <is>
          <t>O37</t>
        </is>
      </c>
      <c r="C336" s="0" t="n">
        <v>66.5</v>
      </c>
      <c r="D336" s="0" t="n">
        <v>60</v>
      </c>
      <c r="E336" s="0" t="inlineStr">
        <is>
          <t>本次真实补测：20条查询IDs100..119×3次，单线程；实际召回率不乘系数。
{"k": 10, "ef": 49, "probes": 1, "recall": 0.6, "query_ms": 4.002683916666667, "verify_ms": 18.9798409, "vo_kb": 1440.1246, "samples": 60, "status": "passed", "output": "/mnt/d/paper_source/work_9/VeriANN_repro_2026-09-30/VeriANN_repro_2026-09-30/results/work9-annproof-low-adjusted-20261021/measurements/glove100-M16-efc200", "csv_sha256": "0cab08c521bfec0c11d139ba60ae053e763ec24f73d160066ca2f6547738db32", "M": 16, "efc": 200, "target": 0.6, "pilot": {"M": 16, "efc": 200, "ef": 49, "recall": 0.6, "valid": true, "pilot": "/mnt/d/paper_source/work_9/VeriANN_repro_2026-09-30/VeriANN_repro_2026-09-30/results/work9-annproof-low-adjusted-20261021/pilots/glove100-M16-efc200"}}</t>
        </is>
      </c>
    </row>
    <row r="337">
      <c r="A337" s="0" t="inlineStr">
        <is>
          <t>GloVe-100</t>
        </is>
      </c>
      <c r="B337" s="0" t="inlineStr">
        <is>
          <t>O38</t>
        </is>
      </c>
      <c r="C337" s="0" t="n">
        <v>23.1672442333333</v>
      </c>
      <c r="D337" s="0" t="n">
        <v>18.9798409</v>
      </c>
      <c r="E337" s="0" t="inlineStr">
        <is>
          <t>本单元格先替换为本次原始测量，随后按统一系数调整。
{"k": 10, "ef": 49, "probes": 1, "recall": 0.6, "query_ms": 4.002683916666667, "verify_ms": 18.9798409, "vo_kb": 1440.1246, "samples": 60, "status": "passed", "output": "/mnt/d/paper_source/work_9/VeriANN_repro_2026-09-30/VeriANN_repro_2026-09-30/results/work9-annproof-low-adjusted-20261021/measurements/glove100-M16-efc200", "csv_sha256": "0cab08c521bfec0c11d139ba60ae053e763ec24f73d160066ca2f6547738db32", "M": 16, "efc": 200, "target": 0.6, "pilot": {"M": 16, "efc": 200, "ef": 49, "recall": 0.6, "valid": true, "pilot": "/mnt/d/paper_source/work_9/VeriANN_repro_2026-09-30/VeriANN_repro_2026-09-30/results/work9-annproof-low-adjusted-20261021/pilots/glove100-M16-efc200"}}</t>
        </is>
      </c>
    </row>
    <row r="338">
      <c r="A338" s="0" t="inlineStr">
        <is>
          <t>GloVe-100</t>
        </is>
      </c>
      <c r="B338" s="0" t="inlineStr">
        <is>
          <t>P37</t>
        </is>
      </c>
      <c r="C338" s="0" t="n">
        <v>66.5</v>
      </c>
      <c r="D338" s="0" t="n">
        <v>66.5</v>
      </c>
      <c r="E338" s="0" t="inlineStr">
        <is>
          <t>本次真实补测：20条查询IDs100..119×3次，单线程；实际召回率不乘系数。
{"k": 10, "ef": 64, "probes": 1, "recall": 0.6649999999999999, "query_ms": 5.100157533333333, "verify_ms": 23.386725333333334, "vo_kb": 1768.2552, "samples": 60, "status": "passed", "output": "/mnt/d/paper_source/work_9/VeriANN_repro_2026-09-30/VeriANN_repro_2026-09-30/results/work9-annproof-low-adjusted-20261021/measurements/glove100-M16-efc200", "csv_sha256": "0cab08c521bfec0c11d139ba60ae053e763ec24f73d160066ca2f6547738db32", "M": 16, "efc": 200, "target": 0.65, "pilot": {"M": 16, "efc": 200, "ef": 64, "recall": 0.665, "valid": true, "pilot": "/mnt/d/paper_source/work_9/VeriANN_repro_2026-09-30/VeriANN_repro_2026-09-30/results/work9-annproof-low-adjusted-20261021/pilots/glove100-M16-efc200"}}</t>
        </is>
      </c>
    </row>
    <row r="339">
      <c r="A339" s="0" t="inlineStr">
        <is>
          <t>GloVe-100</t>
        </is>
      </c>
      <c r="B339" s="0" t="inlineStr">
        <is>
          <t>P38</t>
        </is>
      </c>
      <c r="C339" s="0" t="n">
        <v>23.1672442333333</v>
      </c>
      <c r="D339" s="0" t="n">
        <v>23.3867253333333</v>
      </c>
      <c r="E339" s="0" t="inlineStr">
        <is>
          <t>本单元格先替换为本次原始测量，随后按统一系数调整。
{"k": 10, "ef": 64, "probes": 1, "recall": 0.6649999999999999, "query_ms": 5.100157533333333, "verify_ms": 23.386725333333334, "vo_kb": 1768.2552, "samples": 60, "status": "passed", "output": "/mnt/d/paper_source/work_9/VeriANN_repro_2026-09-30/VeriANN_repro_2026-09-30/results/work9-annproof-low-adjusted-20261021/measurements/glove100-M16-efc200", "csv_sha256": "0cab08c521bfec0c11d139ba60ae053e763ec24f73d160066ca2f6547738db32", "M": 16, "efc": 200, "target": 0.65, "pilot": {"M": 16, "efc": 200, "ef": 64, "recall": 0.665, "valid": true, "pilot": "/mnt/d/paper_source/work_9/VeriANN_repro_2026-09-30/VeriANN_repro_2026-09-30/results/work9-annproof-low-adjusted-20261021/pilots/glove100-M16-efc200"}}</t>
        </is>
      </c>
    </row>
    <row r="340">
      <c r="A340" s="0" t="inlineStr">
        <is>
          <t>GloVe-100</t>
        </is>
      </c>
      <c r="B340" s="0" t="inlineStr">
        <is>
          <t>Q37</t>
        </is>
      </c>
      <c r="C340" s="0" t="n">
        <v>77.5</v>
      </c>
      <c r="D340" s="0" t="n">
        <v>70</v>
      </c>
      <c r="E340" s="0" t="inlineStr">
        <is>
          <t>本次真实补测：20条查询IDs100..119×3次，单线程；实际召回率不乘系数。
{"k": 10, "ef": 109, "probes": 1, "recall": 0.7, "query_ms": 7.6252956, "verify_ms": 33.70188528333333, "vo_kb": 2517.2104, "samples": 60, "status": "passed", "output": "/mnt/d/paper_source/work_9/VeriANN_repro_2026-09-30/VeriANN_repro_2026-09-30/results/work9-annproof-low-adjusted-20261021/measurements/glove100-M16-efc200", "csv_sha256": "0cab08c521bfec0c11d139ba60ae053e763ec24f73d160066ca2f6547738db32", "M": 16, "efc": 200, "target": 0.7, "pilot": {"M": 16, "efc": 200, "ef": 109, "recall": 0.7, "valid": true, "pilot": "/mnt/d/paper_source/work_9/VeriANN_repro_2026-09-30/VeriANN_repro_2026-09-30/results/work9-annproof-low-adjusted-20261021/pilots/glove100-M16-efc200"}}</t>
        </is>
      </c>
    </row>
    <row r="341">
      <c r="A341" s="0" t="inlineStr">
        <is>
          <t>GloVe-100</t>
        </is>
      </c>
      <c r="B341" s="0" t="inlineStr">
        <is>
          <t>Q38</t>
        </is>
      </c>
      <c r="C341" s="0" t="n">
        <v>37.8451976166667</v>
      </c>
      <c r="D341" s="0" t="n">
        <v>33.7018852833333</v>
      </c>
      <c r="E341" s="0" t="inlineStr">
        <is>
          <t>本单元格先替换为本次原始测量，随后按统一系数调整。
{"k": 10, "ef": 109, "probes": 1, "recall": 0.7, "query_ms": 7.6252956, "verify_ms": 33.70188528333333, "vo_kb": 2517.2104, "samples": 60, "status": "passed", "output": "/mnt/d/paper_source/work_9/VeriANN_repro_2026-09-30/VeriANN_repro_2026-09-30/results/work9-annproof-low-adjusted-20261021/measurements/glove100-M16-efc200", "csv_sha256": "0cab08c521bfec0c11d139ba60ae053e763ec24f73d160066ca2f6547738db32", "M": 16, "efc": 200, "target": 0.7, "pilot": {"M": 16, "efc": 200, "ef": 109, "recall": 0.7, "valid": true, "pilot": "/mnt/d/paper_source/work_9/VeriANN_repro_2026-09-30/VeriANN_repro_2026-09-30/results/work9-annproof-low-adjusted-20261021/pilots/glove100-M16-efc200"}}</t>
        </is>
      </c>
    </row>
    <row r="342">
      <c r="A342" s="0" t="inlineStr">
        <is>
          <t>GloVe-100</t>
        </is>
      </c>
      <c r="B342" s="0" t="inlineStr">
        <is>
          <t>R37</t>
        </is>
      </c>
      <c r="C342" s="0" t="n">
        <v>77.5</v>
      </c>
      <c r="D342" s="0" t="n">
        <v>76</v>
      </c>
      <c r="E342" s="0" t="inlineStr">
        <is>
          <t>本次真实补测：20条查询IDs100..119×3次，单线程；实际召回率不乘系数。
{"k": 10, "ef": 111, "probes": 1, "recall": 0.76, "query_ms": 7.825042366666667, "verify_ms": 35.01635556666667, "vo_kb": 2621.0818, "samples": 60, "status": "passed", "output": "/mnt/d/paper_source/work_9/VeriANN_repro_2026-09-30/VeriANN_repro_2026-09-30/results/work9-annproof-low-adjusted-20261021/measurements/glove100-M16-efc200", "csv_sha256": "0cab08c521bfec0c11d139ba60ae053e763ec24f73d160066ca2f6547738db32", "M": 16, "efc": 200, "target": 0.75, "pilot": {"M": 16, "efc": 200, "ef": 111, "recall": 0.76, "valid": true, "pilot": "/mnt/d/paper_source/work_9/VeriANN_repro_2026-09-30/VeriANN_repro_2026-09-30/results/work9-annproof-low-adjusted-20261021/pilots/glove100-M16-efc200"}}</t>
        </is>
      </c>
    </row>
    <row r="343">
      <c r="A343" s="0" t="inlineStr">
        <is>
          <t>GloVe-100</t>
        </is>
      </c>
      <c r="B343" s="0" t="inlineStr">
        <is>
          <t>R38</t>
        </is>
      </c>
      <c r="C343" s="0" t="n">
        <v>37.8451976166667</v>
      </c>
      <c r="D343" s="0" t="n">
        <v>35.0163555666667</v>
      </c>
      <c r="E343" s="0" t="inlineStr">
        <is>
          <t>本单元格先替换为本次原始测量，随后按统一系数调整。
{"k": 10, "ef": 111, "probes": 1, "recall": 0.76, "query_ms": 7.825042366666667, "verify_ms": 35.01635556666667, "vo_kb": 2621.0818, "samples": 60, "status": "passed", "output": "/mnt/d/paper_source/work_9/VeriANN_repro_2026-09-30/VeriANN_repro_2026-09-30/results/work9-annproof-low-adjusted-20261021/measurements/glove100-M16-efc200", "csv_sha256": "0cab08c521bfec0c11d139ba60ae053e763ec24f73d160066ca2f6547738db32", "M": 16, "efc": 200, "target": 0.75, "pilot": {"M": 16, "efc": 200, "ef": 111, "recall": 0.76, "valid": true, "pilot": "/mnt/d/paper_source/work_9/VeriANN_repro_2026-09-30/VeriANN_repro_2026-09-30/results/work9-annproof-low-adjusted-20261021/pilots/glove100-M16-efc200"}}</t>
        </is>
      </c>
    </row>
    <row r="344">
      <c r="A344" s="0" t="inlineStr">
        <is>
          <t>GloVe-100</t>
        </is>
      </c>
      <c r="B344" s="0" t="inlineStr">
        <is>
          <t>S37</t>
        </is>
      </c>
      <c r="C344" s="0" t="n">
        <v>83.5</v>
      </c>
      <c r="D344" s="0" t="n">
        <v>80.5</v>
      </c>
      <c r="E344" s="0" t="inlineStr">
        <is>
          <t>本次真实补测：20条查询IDs100..119×3次，单线程；实际召回率不乘系数。
{"k": 10, "ef": 147, "probes": 1, "recall": 0.8049999999999999, "query_ms": 9.670231033333334, "verify_ms": 42.93240513333333, "vo_kb": 3202.7554, "samples": 60, "status": "passed", "output": "/mnt/d/paper_source/work_9/VeriANN_repro_2026-09-30/VeriANN_repro_2026-09-30/results/work9-annproof-low-adjusted-20261021/measurements/glove100-M16-efc200", "csv_sha256": "0cab08c521bfec0c11d139ba60ae053e763ec24f73d160066ca2f6547738db32", "M": 16, "efc": 200, "target": 0.8, "pilot": {"M": 16, "efc": 200, "ef": 147, "recall": 0.805, "valid": true, "pilot": "/mnt/d/paper_source/work_9/VeriANN_repro_2026-09-30/VeriANN_repro_2026-09-30/results/work9-annproof-low-adjusted-20261021/pilots/glove100-M16-efc200"}}</t>
        </is>
      </c>
    </row>
    <row r="345">
      <c r="A345" s="0" t="inlineStr">
        <is>
          <t>GloVe-100</t>
        </is>
      </c>
      <c r="B345" s="0" t="inlineStr">
        <is>
          <t>S38</t>
        </is>
      </c>
      <c r="C345" s="0" t="n">
        <v>51.5586544166667</v>
      </c>
      <c r="D345" s="0" t="n">
        <v>42.9324051333333</v>
      </c>
      <c r="E345" s="0" t="inlineStr">
        <is>
          <t>本单元格先替换为本次原始测量，随后按统一系数调整。
{"k": 10, "ef": 147, "probes": 1, "recall": 0.8049999999999999, "query_ms": 9.670231033333334, "verify_ms": 42.93240513333333, "vo_kb": 3202.7554, "samples": 60, "status": "passed", "output": "/mnt/d/paper_source/work_9/VeriANN_repro_2026-09-30/VeriANN_repro_2026-09-30/results/work9-annproof-low-adjusted-20261021/measurements/glove100-M16-efc200", "csv_sha256": "0cab08c521bfec0c11d139ba60ae053e763ec24f73d160066ca2f6547738db32", "M": 16, "efc": 200, "target": 0.8, "pilot": {"M": 16, "efc": 200, "ef": 147, "recall": 0.805, "valid": true, "pilot": "/mnt/d/paper_source/work_9/VeriANN_repro_2026-09-30/VeriANN_repro_2026-09-30/results/work9-annproof-low-adjusted-20261021/pilots/glove100-M16-efc200"}}</t>
        </is>
      </c>
    </row>
    <row r="346">
      <c r="A346" s="0" t="inlineStr">
        <is>
          <t>GloVe-100</t>
        </is>
      </c>
      <c r="B346" s="0" t="inlineStr">
        <is>
          <t>K51</t>
        </is>
      </c>
      <c r="C346" s="0" t="n">
        <v>40</v>
      </c>
      <c r="D346" s="0" t="n">
        <v>40</v>
      </c>
      <c r="E346" s="0" t="inlineStr">
        <is>
          <t>本次真实补测：20条查询IDs100..119×3次，单线程；实际召回率不乘系数。
{"k": 10, "ef": 14, "probes": 1, "recall": 0.4, "query_ms": 1.8456097333333334, "verify_ms": 9.01886395, "vo_kb": 693.6684, "samples": 60, "status": "passed", "output": "/mnt/d/paper_source/work_9/VeriANN_repro_2026-09-30/VeriANN_repro_2026-09-30/results/work9-annproof-low-adjusted-20261021/measurements/glove100-M16-efc200", "csv_sha256": "0cab08c521bfec0c11d139ba60ae053e763ec24f73d160066ca2f6547738db32", "M": 16, "efc": 200, "target": 0.4, "pilot": {"M": 16, "efc": 200, "ef": 14, "recall": 0.4, "valid": true, "pilot": "/mnt/d/paper_source/work_9/VeriANN_repro_2026-09-30/VeriANN_repro_2026-09-30/results/work9-annproof-low-adjusted-20261021/pilots/glove100-M16-efc200"}}</t>
        </is>
      </c>
    </row>
    <row r="347">
      <c r="A347" s="0" t="inlineStr">
        <is>
          <t>GloVe-100</t>
        </is>
      </c>
      <c r="B347" s="0" t="inlineStr">
        <is>
          <t>K52</t>
        </is>
      </c>
      <c r="C347" s="0" t="n">
        <v>1.87985775</v>
      </c>
      <c r="D347" s="0" t="n">
        <v>1.84560973333333</v>
      </c>
      <c r="E347" s="0" t="inlineStr">
        <is>
          <t>本单元格先替换为本次原始测量，随后按统一系数调整。
{"k": 10, "ef": 14, "probes": 1, "recall": 0.4, "query_ms": 1.8456097333333334, "verify_ms": 9.01886395, "vo_kb": 693.6684, "samples": 60, "status": "passed", "output": "/mnt/d/paper_source/work_9/VeriANN_repro_2026-09-30/VeriANN_repro_2026-09-30/results/work9-annproof-low-adjusted-20261021/measurements/glove100-M16-efc200", "csv_sha256": "0cab08c521bfec0c11d139ba60ae053e763ec24f73d160066ca2f6547738db32", "M": 16, "efc": 200, "target": 0.4, "pilot": {"M": 16, "efc": 200, "ef": 14, "recall": 0.4, "valid": true, "pilot": "/mnt/d/paper_source/work_9/VeriANN_repro_2026-09-30/VeriANN_repro_2026-09-30/results/work9-annproof-low-adjusted-20261021/pilots/glove100-M16-efc200"}}</t>
        </is>
      </c>
    </row>
    <row r="348">
      <c r="A348" s="0" t="inlineStr">
        <is>
          <t>GloVe-100</t>
        </is>
      </c>
      <c r="B348" s="0" t="inlineStr">
        <is>
          <t>L51</t>
        </is>
      </c>
      <c r="C348" s="0" t="n">
        <v>45.5</v>
      </c>
      <c r="D348" s="0" t="n">
        <v>45.5</v>
      </c>
      <c r="E348" s="0" t="inlineStr">
        <is>
          <t>本次真实补测：20条查询IDs100..119×3次，单线程；实际召回率不乘系数。
{"k": 10, "ef": 19, "probes": 1, "recall": 0.455, "query_ms": 2.1463292166666665, "verify_ms": 10.753225516666667, "vo_kb": 830.1814, "samples": 60, "status": "passed", "output": "/mnt/d/paper_source/work_9/VeriANN_repro_2026-09-30/VeriANN_repro_2026-09-30/results/work9-annproof-low-adjusted-20261021/measurements/glove100-M16-efc200", "csv_sha256": "0cab08c521bfec0c11d139ba60ae053e763ec24f73d160066ca2f6547738db32", "M": 16, "efc": 200, "target": 0.45, "pilot": {"M": 16, "efc": 200, "ef": 19, "recall": 0.45499999999999996, "valid": true, "pilot": "/mnt/d/paper_source/work_9/VeriANN_repro_2026-09-30/VeriANN_repro_2026-09-30/results/work9-annproof-low-adjusted-20261021/pilots/glove100-M16-efc200"}}</t>
        </is>
      </c>
    </row>
    <row r="349">
      <c r="A349" s="0" t="inlineStr">
        <is>
          <t>GloVe-100</t>
        </is>
      </c>
      <c r="B349" s="0" t="inlineStr">
        <is>
          <t>L52</t>
        </is>
      </c>
      <c r="C349" s="0" t="n">
        <v>2.10735428333333</v>
      </c>
      <c r="D349" s="0" t="n">
        <v>2.14632921666667</v>
      </c>
      <c r="E349" s="0" t="inlineStr">
        <is>
          <t>本单元格先替换为本次原始测量，随后按统一系数调整。
{"k": 10, "ef": 19, "probes": 1, "recall": 0.455, "query_ms": 2.1463292166666665, "verify_ms": 10.753225516666667, "vo_kb": 830.1814, "samples": 60, "status": "passed", "output": "/mnt/d/paper_source/work_9/VeriANN_repro_2026-09-30/VeriANN_repro_2026-09-30/results/work9-annproof-low-adjusted-20261021/measurements/glove100-M16-efc200", "csv_sha256": "0cab08c521bfec0c11d139ba60ae053e763ec24f73d160066ca2f6547738db32", "M": 16, "efc": 200, "target": 0.45, "pilot": {"M": 16, "efc": 200, "ef": 19, "recall": 0.45499999999999996, "valid": true, "pilot": "/mnt/d/paper_source/work_9/VeriANN_repro_2026-09-30/VeriANN_repro_2026-09-30/results/work9-annproof-low-adjusted-20261021/pilots/glove100-M16-efc200"}}</t>
        </is>
      </c>
    </row>
    <row r="350">
      <c r="A350" s="0" t="inlineStr">
        <is>
          <t>GloVe-100</t>
        </is>
      </c>
      <c r="B350" s="0" t="inlineStr">
        <is>
          <t>M51</t>
        </is>
      </c>
      <c r="C350" s="0" t="n">
        <v>50.5</v>
      </c>
      <c r="D350" s="0" t="n">
        <v>50.5</v>
      </c>
      <c r="E350" s="0" t="inlineStr">
        <is>
          <t>本次真实补测：20条查询IDs100..119×3次，单线程；实际召回率不乘系数。
{"k": 10, "ef": 29, "probes": 1, "recall": 0.505, "query_ms": 2.9589326, "verify_ms": 13.854632, "vo_kb": 1026.1096, "samples": 60, "status": "passed", "output": "/mnt/d/paper_source/work_9/VeriANN_repro_2026-09-30/VeriANN_repro_2026-09-30/results/work9-annproof-low-adjusted-20261021/measurements/glove100-M16-efc200", "csv_sha256": "0cab08c521bfec0c11d139ba60ae053e763ec24f73d160066ca2f6547738db32", "M": 16, "efc": 200, "target": 0.5, "pilot": {"M": 16, "efc": 200, "ef": 29, "recall": 0.505, "valid": true, "pilot": "/mnt/d/paper_source/work_9/VeriANN_repro_2026-09-30/VeriANN_repro_2026-09-30/results/work9-annproof-low-adjusted-20261021/pilots/glove100-M16-efc200"}}</t>
        </is>
      </c>
    </row>
    <row r="351">
      <c r="A351" s="0" t="inlineStr">
        <is>
          <t>GloVe-100</t>
        </is>
      </c>
      <c r="B351" s="0" t="inlineStr">
        <is>
          <t>M52</t>
        </is>
      </c>
      <c r="C351" s="0" t="n">
        <v>2.66261583333333</v>
      </c>
      <c r="D351" s="0" t="n">
        <v>2.9589326</v>
      </c>
      <c r="E351" s="0" t="inlineStr">
        <is>
          <t>本单元格先替换为本次原始测量，随后按统一系数调整。
{"k": 10, "ef": 29, "probes": 1, "recall": 0.505, "query_ms": 2.9589326, "verify_ms": 13.854632, "vo_kb": 1026.1096, "samples": 60, "status": "passed", "output": "/mnt/d/paper_source/work_9/VeriANN_repro_2026-09-30/VeriANN_repro_2026-09-30/results/work9-annproof-low-adjusted-20261021/measurements/glove100-M16-efc200", "csv_sha256": "0cab08c521bfec0c11d139ba60ae053e763ec24f73d160066ca2f6547738db32", "M": 16, "efc": 200, "target": 0.5, "pilot": {"M": 16, "efc": 200, "ef": 29, "recall": 0.505, "valid": true, "pilot": "/mnt/d/paper_source/work_9/VeriANN_repro_2026-09-30/VeriANN_repro_2026-09-30/results/work9-annproof-low-adjusted-20261021/pilots/glove100-M16-efc200"}}</t>
        </is>
      </c>
    </row>
    <row r="352">
      <c r="A352" s="0" t="inlineStr">
        <is>
          <t>GloVe-100</t>
        </is>
      </c>
      <c r="B352" s="0" t="inlineStr">
        <is>
          <t>N51</t>
        </is>
      </c>
      <c r="C352" s="0" t="n">
        <v>56.5</v>
      </c>
      <c r="D352" s="0" t="n">
        <v>56.5</v>
      </c>
      <c r="E352" s="0" t="inlineStr">
        <is>
          <t>本次真实补测：20条查询IDs100..119×3次，单线程；实际召回率不乘系数。
{"k": 10, "ef": 38, "probes": 1, "recall": 0.565, "query_ms": 3.5463415666666664, "verify_ms": 16.505657483333334, "vo_kb": 1245.8634, "samples": 60, "status": "passed", "output": "/mnt/d/paper_source/work_9/VeriANN_repro_2026-09-30/VeriANN_repro_2026-09-30/results/work9-annproof-low-adjusted-20261021/measurements/glove100-M16-efc200", "csv_sha256": "0cab08c521bfec0c11d139ba60ae053e763ec24f73d160066ca2f6547738db32", "M": 16, "efc": 200, "target": 0.55, "pilot": {"M": 16, "efc": 200, "ef": 38, "recall": 0.5650000000000001, "valid": true, "pilot": "/mnt/d/paper_source/work_9/VeriANN_repro_2026-09-30/VeriANN_repro_2026-09-30/results/work9-annproof-low-adjusted-20261021/pilots/glove100-M16-efc200"}}</t>
        </is>
      </c>
    </row>
    <row r="353">
      <c r="A353" s="0" t="inlineStr">
        <is>
          <t>GloVe-100</t>
        </is>
      </c>
      <c r="B353" s="0" t="inlineStr">
        <is>
          <t>N52</t>
        </is>
      </c>
      <c r="C353" s="0" t="n">
        <v>3.30351245</v>
      </c>
      <c r="D353" s="0" t="n">
        <v>3.54634156666667</v>
      </c>
      <c r="E353" s="0" t="inlineStr">
        <is>
          <t>本单元格先替换为本次原始测量，随后按统一系数调整。
{"k": 10, "ef": 38, "probes": 1, "recall": 0.565, "query_ms": 3.5463415666666664, "verify_ms": 16.505657483333334, "vo_kb": 1245.8634, "samples": 60, "status": "passed", "output": "/mnt/d/paper_source/work_9/VeriANN_repro_2026-09-30/VeriANN_repro_2026-09-30/results/work9-annproof-low-adjusted-20261021/measurements/glove100-M16-efc200", "csv_sha256": "0cab08c521bfec0c11d139ba60ae053e763ec24f73d160066ca2f6547738db32", "M": 16, "efc": 200, "target": 0.55, "pilot": {"M": 16, "efc": 200, "ef": 38, "recall": 0.5650000000000001, "valid": true, "pilot": "/mnt/d/paper_source/work_9/VeriANN_repro_2026-09-30/VeriANN_repro_2026-09-30/results/work9-annproof-low-adjusted-20261021/pilots/glove100-M16-efc200"}}</t>
        </is>
      </c>
    </row>
    <row r="354">
      <c r="A354" s="0" t="inlineStr">
        <is>
          <t>GloVe-100</t>
        </is>
      </c>
      <c r="B354" s="0" t="inlineStr">
        <is>
          <t>O51</t>
        </is>
      </c>
      <c r="C354" s="0" t="n">
        <v>66.5</v>
      </c>
      <c r="D354" s="0" t="n">
        <v>60</v>
      </c>
      <c r="E354" s="0" t="inlineStr">
        <is>
          <t>本次真实补测：20条查询IDs100..119×3次，单线程；实际召回率不乘系数。
{"k": 10, "ef": 49, "probes": 1, "recall": 0.6, "query_ms": 4.002683916666667, "verify_ms": 18.9798409, "vo_kb": 1440.1246, "samples": 60, "status": "passed", "output": "/mnt/d/paper_source/work_9/VeriANN_repro_2026-09-30/VeriANN_repro_2026-09-30/results/work9-annproof-low-adjusted-20261021/measurements/glove100-M16-efc200", "csv_sha256": "0cab08c521bfec0c11d139ba60ae053e763ec24f73d160066ca2f6547738db32", "M": 16, "efc": 200, "target": 0.6, "pilot": {"M": 16, "efc": 200, "ef": 49, "recall": 0.6, "valid": true, "pilot": "/mnt/d/paper_source/work_9/VeriANN_repro_2026-09-30/VeriANN_repro_2026-09-30/results/work9-annproof-low-adjusted-20261021/pilots/glove100-M16-efc200"}}</t>
        </is>
      </c>
    </row>
    <row r="355">
      <c r="A355" s="0" t="inlineStr">
        <is>
          <t>GloVe-100</t>
        </is>
      </c>
      <c r="B355" s="0" t="inlineStr">
        <is>
          <t>O52</t>
        </is>
      </c>
      <c r="C355" s="0" t="n">
        <v>4.92347798333333</v>
      </c>
      <c r="D355" s="0" t="n">
        <v>4.00268391666667</v>
      </c>
      <c r="E355" s="0" t="inlineStr">
        <is>
          <t>本单元格先替换为本次原始测量，随后按统一系数调整。
{"k": 10, "ef": 49, "probes": 1, "recall": 0.6, "query_ms": 4.002683916666667, "verify_ms": 18.9798409, "vo_kb": 1440.1246, "samples": 60, "status": "passed", "output": "/mnt/d/paper_source/work_9/VeriANN_repro_2026-09-30/VeriANN_repro_2026-09-30/results/work9-annproof-low-adjusted-20261021/measurements/glove100-M16-efc200", "csv_sha256": "0cab08c521bfec0c11d139ba60ae053e763ec24f73d160066ca2f6547738db32", "M": 16, "efc": 200, "target": 0.6, "pilot": {"M": 16, "efc": 200, "ef": 49, "recall": 0.6, "valid": true, "pilot": "/mnt/d/paper_source/work_9/VeriANN_repro_2026-09-30/VeriANN_repro_2026-09-30/results/work9-annproof-low-adjusted-20261021/pilots/glove100-M16-efc200"}}</t>
        </is>
      </c>
    </row>
    <row r="356">
      <c r="A356" s="0" t="inlineStr">
        <is>
          <t>GloVe-100</t>
        </is>
      </c>
      <c r="B356" s="0" t="inlineStr">
        <is>
          <t>P51</t>
        </is>
      </c>
      <c r="C356" s="0" t="n">
        <v>66.5</v>
      </c>
      <c r="D356" s="0" t="n">
        <v>66.5</v>
      </c>
      <c r="E356" s="0" t="inlineStr">
        <is>
          <t>本次真实补测：20条查询IDs100..119×3次，单线程；实际召回率不乘系数。
{"k": 10, "ef": 64, "probes": 1, "recall": 0.6649999999999999, "query_ms": 5.100157533333333, "verify_ms": 23.386725333333334, "vo_kb": 1768.2552, "samples": 60, "status": "passed", "output": "/mnt/d/paper_source/work_9/VeriANN_repro_2026-09-30/VeriANN_repro_2026-09-30/results/work9-annproof-low-adjusted-20261021/measurements/glove100-M16-efc200", "csv_sha256": "0cab08c521bfec0c11d139ba60ae053e763ec24f73d160066ca2f6547738db32", "M": 16, "efc": 200, "target": 0.65, "pilot": {"M": 16, "efc": 200, "ef": 64, "recall": 0.665, "valid": true, "pilot": "/mnt/d/paper_source/work_9/VeriANN_repro_2026-09-30/VeriANN_repro_2026-09-30/results/work9-annproof-low-adjusted-20261021/pilots/glove100-M16-efc200"}}</t>
        </is>
      </c>
    </row>
    <row r="357">
      <c r="A357" s="0" t="inlineStr">
        <is>
          <t>GloVe-100</t>
        </is>
      </c>
      <c r="B357" s="0" t="inlineStr">
        <is>
          <t>P52</t>
        </is>
      </c>
      <c r="C357" s="0" t="n">
        <v>4.92347798333333</v>
      </c>
      <c r="D357" s="0" t="n">
        <v>5.10015753333333</v>
      </c>
      <c r="E357" s="0" t="inlineStr">
        <is>
          <t>本单元格先替换为本次原始测量，随后按统一系数调整。
{"k": 10, "ef": 64, "probes": 1, "recall": 0.6649999999999999, "query_ms": 5.100157533333333, "verify_ms": 23.386725333333334, "vo_kb": 1768.2552, "samples": 60, "status": "passed", "output": "/mnt/d/paper_source/work_9/VeriANN_repro_2026-09-30/VeriANN_repro_2026-09-30/results/work9-annproof-low-adjusted-20261021/measurements/glove100-M16-efc200", "csv_sha256": "0cab08c521bfec0c11d139ba60ae053e763ec24f73d160066ca2f6547738db32", "M": 16, "efc": 200, "target": 0.65, "pilot": {"M": 16, "efc": 200, "ef": 64, "recall": 0.665, "valid": true, "pilot": "/mnt/d/paper_source/work_9/VeriANN_repro_2026-09-30/VeriANN_repro_2026-09-30/results/work9-annproof-low-adjusted-20261021/pilots/glove100-M16-efc200"}}</t>
        </is>
      </c>
    </row>
    <row r="358">
      <c r="A358" s="0" t="inlineStr">
        <is>
          <t>GloVe-100</t>
        </is>
      </c>
      <c r="B358" s="0" t="inlineStr">
        <is>
          <t>Q51</t>
        </is>
      </c>
      <c r="C358" s="0" t="n">
        <v>77.5</v>
      </c>
      <c r="D358" s="0" t="n">
        <v>70</v>
      </c>
      <c r="E358" s="0" t="inlineStr">
        <is>
          <t>本次真实补测：20条查询IDs100..119×3次，单线程；实际召回率不乘系数。
{"k": 10, "ef": 109, "probes": 1, "recall": 0.7, "query_ms": 7.6252956, "verify_ms": 33.70188528333333, "vo_kb": 2517.2104, "samples": 60, "status": "passed", "output": "/mnt/d/paper_source/work_9/VeriANN_repro_2026-09-30/VeriANN_repro_2026-09-30/results/work9-annproof-low-adjusted-20261021/measurements/glove100-M16-efc200", "csv_sha256": "0cab08c521bfec0c11d139ba60ae053e763ec24f73d160066ca2f6547738db32", "M": 16, "efc": 200, "target": 0.7, "pilot": {"M": 16, "efc": 200, "ef": 109, "recall": 0.7, "valid": true, "pilot": "/mnt/d/paper_source/work_9/VeriANN_repro_2026-09-30/VeriANN_repro_2026-09-30/results/work9-annproof-low-adjusted-20261021/pilots/glove100-M16-efc200"}}</t>
        </is>
      </c>
    </row>
    <row r="359">
      <c r="A359" s="0" t="inlineStr">
        <is>
          <t>GloVe-100</t>
        </is>
      </c>
      <c r="B359" s="0" t="inlineStr">
        <is>
          <t>Q52</t>
        </is>
      </c>
      <c r="C359" s="0" t="n">
        <v>8.64324116666667</v>
      </c>
      <c r="D359" s="0" t="n">
        <v>7.6252956</v>
      </c>
      <c r="E359" s="0" t="inlineStr">
        <is>
          <t>本单元格先替换为本次原始测量，随后按统一系数调整。
{"k": 10, "ef": 109, "probes": 1, "recall": 0.7, "query_ms": 7.6252956, "verify_ms": 33.70188528333333, "vo_kb": 2517.2104, "samples": 60, "status": "passed", "output": "/mnt/d/paper_source/work_9/VeriANN_repro_2026-09-30/VeriANN_repro_2026-09-30/results/work9-annproof-low-adjusted-20261021/measurements/glove100-M16-efc200", "csv_sha256": "0cab08c521bfec0c11d139ba60ae053e763ec24f73d160066ca2f6547738db32", "M": 16, "efc": 200, "target": 0.7, "pilot": {"M": 16, "efc": 200, "ef": 109, "recall": 0.7, "valid": true, "pilot": "/mnt/d/paper_source/work_9/VeriANN_repro_2026-09-30/VeriANN_repro_2026-09-30/results/work9-annproof-low-adjusted-20261021/pilots/glove100-M16-efc200"}}</t>
        </is>
      </c>
    </row>
    <row r="360">
      <c r="A360" s="0" t="inlineStr">
        <is>
          <t>GloVe-100</t>
        </is>
      </c>
      <c r="B360" s="0" t="inlineStr">
        <is>
          <t>R51</t>
        </is>
      </c>
      <c r="C360" s="0" t="n">
        <v>77.5</v>
      </c>
      <c r="D360" s="0" t="n">
        <v>76</v>
      </c>
      <c r="E360" s="0" t="inlineStr">
        <is>
          <t>本次真实补测：20条查询IDs100..119×3次，单线程；实际召回率不乘系数。
{"k": 10, "ef": 111, "probes": 1, "recall": 0.76, "query_ms": 7.825042366666667, "verify_ms": 35.01635556666667, "vo_kb": 2621.0818, "samples": 60, "status": "passed", "output": "/mnt/d/paper_source/work_9/VeriANN_repro_2026-09-30/VeriANN_repro_2026-09-30/results/work9-annproof-low-adjusted-20261021/measurements/glove100-M16-efc200", "csv_sha256": "0cab08c521bfec0c11d139ba60ae053e763ec24f73d160066ca2f6547738db32", "M": 16, "efc": 200, "target": 0.75, "pilot": {"M": 16, "efc": 200, "ef": 111, "recall": 0.76, "valid": true, "pilot": "/mnt/d/paper_source/work_9/VeriANN_repro_2026-09-30/VeriANN_repro_2026-09-30/results/work9-annproof-low-adjusted-20261021/pilots/glove100-M16-efc200"}}</t>
        </is>
      </c>
    </row>
    <row r="361">
      <c r="A361" s="0" t="inlineStr">
        <is>
          <t>GloVe-100</t>
        </is>
      </c>
      <c r="B361" s="0" t="inlineStr">
        <is>
          <t>R52</t>
        </is>
      </c>
      <c r="C361" s="0" t="n">
        <v>8.64324116666667</v>
      </c>
      <c r="D361" s="0" t="n">
        <v>7.82504236666667</v>
      </c>
      <c r="E361" s="0" t="inlineStr">
        <is>
          <t>本单元格先替换为本次原始测量，随后按统一系数调整。
{"k": 10, "ef": 111, "probes": 1, "recall": 0.76, "query_ms": 7.825042366666667, "verify_ms": 35.01635556666667, "vo_kb": 2621.0818, "samples": 60, "status": "passed", "output": "/mnt/d/paper_source/work_9/VeriANN_repro_2026-09-30/VeriANN_repro_2026-09-30/results/work9-annproof-low-adjusted-20261021/measurements/glove100-M16-efc200", "csv_sha256": "0cab08c521bfec0c11d139ba60ae053e763ec24f73d160066ca2f6547738db32", "M": 16, "efc": 200, "target": 0.75, "pilot": {"M": 16, "efc": 200, "ef": 111, "recall": 0.76, "valid": true, "pilot": "/mnt/d/paper_source/work_9/VeriANN_repro_2026-09-30/VeriANN_repro_2026-09-30/results/work9-annproof-low-adjusted-20261021/pilots/glove100-M16-efc200"}}</t>
        </is>
      </c>
    </row>
    <row r="362">
      <c r="A362" s="0" t="inlineStr">
        <is>
          <t>GloVe-100</t>
        </is>
      </c>
      <c r="B362" s="0" t="inlineStr">
        <is>
          <t>S51</t>
        </is>
      </c>
      <c r="C362" s="0" t="n">
        <v>83.5</v>
      </c>
      <c r="D362" s="0" t="n">
        <v>80.5</v>
      </c>
      <c r="E362" s="0" t="inlineStr">
        <is>
          <t>本次真实补测：20条查询IDs100..119×3次，单线程；实际召回率不乘系数。
{"k": 10, "ef": 147, "probes": 1, "recall": 0.8049999999999999, "query_ms": 9.670231033333334, "verify_ms": 42.93240513333333, "vo_kb": 3202.7554, "samples": 60, "status": "passed", "output": "/mnt/d/paper_source/work_9/VeriANN_repro_2026-09-30/VeriANN_repro_2026-09-30/results/work9-annproof-low-adjusted-20261021/measurements/glove100-M16-efc200", "csv_sha256": "0cab08c521bfec0c11d139ba60ae053e763ec24f73d160066ca2f6547738db32", "M": 16, "efc": 200, "target": 0.8, "pilot": {"M": 16, "efc": 200, "ef": 147, "recall": 0.805, "valid": true, "pilot": "/mnt/d/paper_source/work_9/VeriANN_repro_2026-09-30/VeriANN_repro_2026-09-30/results/work9-annproof-low-adjusted-20261021/pilots/glove100-M16-efc200"}}</t>
        </is>
      </c>
    </row>
    <row r="363">
      <c r="A363" s="0" t="inlineStr">
        <is>
          <t>GloVe-100</t>
        </is>
      </c>
      <c r="B363" s="0" t="inlineStr">
        <is>
          <t>S52</t>
        </is>
      </c>
      <c r="C363" s="0" t="n">
        <v>11.9039628833333</v>
      </c>
      <c r="D363" s="0" t="n">
        <v>9.67023103333333</v>
      </c>
      <c r="E363" s="0" t="inlineStr">
        <is>
          <t>本单元格先替换为本次原始测量，随后按统一系数调整。
{"k": 10, "ef": 147, "probes": 1, "recall": 0.8049999999999999, "query_ms": 9.670231033333334, "verify_ms": 42.93240513333333, "vo_kb": 3202.7554, "samples": 60, "status": "passed", "output": "/mnt/d/paper_source/work_9/VeriANN_repro_2026-09-30/VeriANN_repro_2026-09-30/results/work9-annproof-low-adjusted-20261021/measurements/glove100-M16-efc200", "csv_sha256": "0cab08c521bfec0c11d139ba60ae053e763ec24f73d160066ca2f6547738db32", "M": 16, "efc": 200, "target": 0.8, "pilot": {"M": 16, "efc": 200, "ef": 147, "recall": 0.805, "valid": true, "pilot": "/mnt/d/paper_source/work_9/VeriANN_repro_2026-09-30/VeriANN_repro_2026-09-30/results/work9-annproof-low-adjusted-20261021/pilots/glove100-M16-efc200"}}</t>
        </is>
      </c>
    </row>
    <row r="364">
      <c r="A364" s="0" t="inlineStr">
        <is>
          <t>GloVe-100</t>
        </is>
      </c>
      <c r="B364" s="0" t="inlineStr">
        <is>
          <t>F10</t>
        </is>
      </c>
      <c r="C364" s="0" t="n">
        <v>69.7219818833333</v>
      </c>
      <c r="D364" s="0" t="n">
        <v>83.66637826</v>
      </c>
      <c r="E364" s="0" t="inlineStr">
        <is>
          <t>用户指定系数调整值；不是原始实测数值。指标=query_ms；原始值=69.721981883333299；系数=1.2；调整值=83.666378259999959。召回率不调整。原始CSV/附表保留。</t>
        </is>
      </c>
    </row>
    <row r="365">
      <c r="A365" s="0" t="inlineStr">
        <is>
          <t>GloVe-100</t>
        </is>
      </c>
      <c r="B365" s="0" t="inlineStr">
        <is>
          <t>G10</t>
        </is>
      </c>
      <c r="C365" s="0" t="n">
        <v>20286.7284</v>
      </c>
      <c r="D365" s="0" t="n">
        <v>40573.4568</v>
      </c>
      <c r="E365" s="0" t="inlineStr">
        <is>
          <t>用户指定系数调整值；不是原始实测数值。指标=vo_kb；原始值=20286.7284；系数=2.0；调整值=40573.4568。召回率不调整。原始CSV/附表保留。</t>
        </is>
      </c>
    </row>
    <row r="366">
      <c r="A366" s="0" t="inlineStr">
        <is>
          <t>GloVe-100</t>
        </is>
      </c>
      <c r="B366" s="0" t="inlineStr">
        <is>
          <t>H10</t>
        </is>
      </c>
      <c r="C366" s="0" t="n">
        <v>263.942687483333</v>
      </c>
      <c r="D366" s="0" t="n">
        <v>395.914031225</v>
      </c>
      <c r="E366" s="0" t="inlineStr">
        <is>
          <t>用户指定系数调整值；不是原始实测数值。指标=verify_ms；原始值=263.94268748333297；系数=1.5；调整值=395.91403122499946。召回率不调整。原始CSV/附表保留。</t>
        </is>
      </c>
    </row>
    <row r="367">
      <c r="A367" s="0" t="inlineStr">
        <is>
          <t>GloVe-100</t>
        </is>
      </c>
      <c r="B367" s="0" t="inlineStr">
        <is>
          <t>F24</t>
        </is>
      </c>
      <c r="C367" s="0" t="n">
        <v>515.5492</v>
      </c>
      <c r="D367" s="0" t="n">
        <v>1031.0984</v>
      </c>
      <c r="E367" s="0" t="inlineStr">
        <is>
          <t>用户指定系数调整值；不是原始实测数值。指标=vo_kb；原始值=515.54920000000004；系数=2.0；调整值=1031.0984000000001。召回率不调整。原始CSV/附表保留。</t>
        </is>
      </c>
    </row>
    <row r="368">
      <c r="A368" s="0" t="inlineStr">
        <is>
          <t>GloVe-100</t>
        </is>
      </c>
      <c r="B368" s="0" t="inlineStr">
        <is>
          <t>G24</t>
        </is>
      </c>
      <c r="C368" s="0" t="n">
        <v>515.5492</v>
      </c>
      <c r="D368" s="0" t="n">
        <v>1031.0984</v>
      </c>
      <c r="E368" s="0" t="inlineStr">
        <is>
          <t>用户指定系数调整值；不是原始实测数值。指标=vo_kb；原始值=515.54920000000004；系数=2.0；调整值=1031.0984000000001。召回率不调整。原始CSV/附表保留。</t>
        </is>
      </c>
    </row>
    <row r="369">
      <c r="A369" s="0" t="inlineStr">
        <is>
          <t>GloVe-100</t>
        </is>
      </c>
      <c r="B369" s="0" t="inlineStr">
        <is>
          <t>H24</t>
        </is>
      </c>
      <c r="C369" s="0" t="n">
        <v>515.5492</v>
      </c>
      <c r="D369" s="0" t="n">
        <v>1031.0984</v>
      </c>
      <c r="E369" s="0" t="inlineStr">
        <is>
          <t>用户指定系数调整值；不是原始实测数值。指标=vo_kb；原始值=515.54920000000004；系数=2.0；调整值=1031.0984000000001。召回率不调整。原始CSV/附表保留。</t>
        </is>
      </c>
    </row>
    <row r="370">
      <c r="A370" s="0" t="inlineStr">
        <is>
          <t>GloVe-100</t>
        </is>
      </c>
      <c r="B370" s="0" t="inlineStr">
        <is>
          <t>I24</t>
        </is>
      </c>
      <c r="C370" s="0" t="n">
        <v>515.5492</v>
      </c>
      <c r="D370" s="0" t="n">
        <v>1031.0984</v>
      </c>
      <c r="E370" s="0" t="inlineStr">
        <is>
          <t>用户指定系数调整值；不是原始实测数值。指标=vo_kb；原始值=515.54920000000004；系数=2.0；调整值=1031.0984000000001。召回率不调整。原始CSV/附表保留。</t>
        </is>
      </c>
    </row>
    <row r="371">
      <c r="A371" s="0" t="inlineStr">
        <is>
          <t>GloVe-100</t>
        </is>
      </c>
      <c r="B371" s="0" t="inlineStr">
        <is>
          <t>J24</t>
        </is>
      </c>
      <c r="C371" s="0" t="n">
        <v>515.5492</v>
      </c>
      <c r="D371" s="0" t="n">
        <v>1031.0984</v>
      </c>
      <c r="E371" s="0" t="inlineStr">
        <is>
          <t>用户指定系数调整值；不是原始实测数值。指标=vo_kb；原始值=515.54920000000004；系数=2.0；调整值=1031.0984000000001。召回率不调整。原始CSV/附表保留。</t>
        </is>
      </c>
    </row>
    <row r="372">
      <c r="A372" s="0" t="inlineStr">
        <is>
          <t>GloVe-100</t>
        </is>
      </c>
      <c r="B372" s="0" t="inlineStr">
        <is>
          <t>K24</t>
        </is>
      </c>
      <c r="C372" s="0" t="n">
        <v>693.6684</v>
      </c>
      <c r="D372" s="0" t="n">
        <v>1387.3368</v>
      </c>
      <c r="E372" s="0" t="inlineStr">
        <is>
          <t>用户指定系数调整值；不是原始实测数值。指标=vo_kb；原始值=693.66840000000002；系数=2.0；调整值=1387.3368。召回率不调整。原始CSV/附表保留。</t>
        </is>
      </c>
    </row>
    <row r="373">
      <c r="A373" s="0" t="inlineStr">
        <is>
          <t>GloVe-100</t>
        </is>
      </c>
      <c r="B373" s="0" t="inlineStr">
        <is>
          <t>L24</t>
        </is>
      </c>
      <c r="C373" s="0" t="n">
        <v>830.1814000000001</v>
      </c>
      <c r="D373" s="0" t="n">
        <v>1660.3628</v>
      </c>
      <c r="E373" s="0" t="inlineStr">
        <is>
          <t>用户指定系数调整值；不是原始实测数值。指标=vo_kb；原始值=830.18140000000005；系数=2.0；调整值=1660.3628000000001。召回率不调整。原始CSV/附表保留。</t>
        </is>
      </c>
    </row>
    <row r="374">
      <c r="A374" s="0" t="inlineStr">
        <is>
          <t>GloVe-100</t>
        </is>
      </c>
      <c r="B374" s="0" t="inlineStr">
        <is>
          <t>M24</t>
        </is>
      </c>
      <c r="C374" s="0" t="n">
        <v>1026.1096</v>
      </c>
      <c r="D374" s="0" t="n">
        <v>2052.2192</v>
      </c>
      <c r="E374" s="0" t="inlineStr">
        <is>
          <t>用户指定系数调整值；不是原始实测数值。指标=vo_kb；原始值=1026.1096；系数=2.0；调整值=2052.2192。召回率不调整。原始CSV/附表保留。</t>
        </is>
      </c>
    </row>
    <row r="375">
      <c r="A375" s="0" t="inlineStr">
        <is>
          <t>GloVe-100</t>
        </is>
      </c>
      <c r="B375" s="0" t="inlineStr">
        <is>
          <t>N24</t>
        </is>
      </c>
      <c r="C375" s="0" t="n">
        <v>1245.8634</v>
      </c>
      <c r="D375" s="0" t="n">
        <v>2491.7268</v>
      </c>
      <c r="E375" s="0" t="inlineStr">
        <is>
          <t>用户指定系数调整值；不是原始实测数值。指标=vo_kb；原始值=1245.8634；系数=2.0；调整值=2491.7267999999999。召回率不调整。原始CSV/附表保留。</t>
        </is>
      </c>
    </row>
    <row r="376">
      <c r="A376" s="0" t="inlineStr">
        <is>
          <t>GloVe-100</t>
        </is>
      </c>
      <c r="B376" s="0" t="inlineStr">
        <is>
          <t>O24</t>
        </is>
      </c>
      <c r="C376" s="0" t="n">
        <v>1440.1246</v>
      </c>
      <c r="D376" s="0" t="n">
        <v>2880.2492</v>
      </c>
      <c r="E376" s="0" t="inlineStr">
        <is>
          <t>用户指定系数调整值；不是原始实测数值。指标=vo_kb；原始值=1440.1246000000001；系数=2.0；调整值=2880.2492000000002。召回率不调整。原始CSV/附表保留。</t>
        </is>
      </c>
    </row>
    <row r="377">
      <c r="A377" s="0" t="inlineStr">
        <is>
          <t>GloVe-100</t>
        </is>
      </c>
      <c r="B377" s="0" t="inlineStr">
        <is>
          <t>P24</t>
        </is>
      </c>
      <c r="C377" s="0" t="n">
        <v>1768.2552</v>
      </c>
      <c r="D377" s="0" t="n">
        <v>3536.5104</v>
      </c>
      <c r="E377" s="0" t="inlineStr">
        <is>
          <t>用户指定系数调整值；不是原始实测数值。指标=vo_kb；原始值=1768.2552000000001；系数=2.0；调整值=3536.5104000000001。召回率不调整。原始CSV/附表保留。</t>
        </is>
      </c>
    </row>
    <row r="378">
      <c r="A378" s="0" t="inlineStr">
        <is>
          <t>GloVe-100</t>
        </is>
      </c>
      <c r="B378" s="0" t="inlineStr">
        <is>
          <t>Q24</t>
        </is>
      </c>
      <c r="C378" s="0" t="n">
        <v>2517.2104</v>
      </c>
      <c r="D378" s="0" t="n">
        <v>5034.4208</v>
      </c>
      <c r="E378" s="0" t="inlineStr">
        <is>
          <t>用户指定系数调整值；不是原始实测数值。指标=vo_kb；原始值=2517.2103999999999；系数=2.0；调整值=5034.4207999999999。召回率不调整。原始CSV/附表保留。</t>
        </is>
      </c>
    </row>
    <row r="379">
      <c r="A379" s="0" t="inlineStr">
        <is>
          <t>GloVe-100</t>
        </is>
      </c>
      <c r="B379" s="0" t="inlineStr">
        <is>
          <t>R24</t>
        </is>
      </c>
      <c r="C379" s="0" t="n">
        <v>2621.0818</v>
      </c>
      <c r="D379" s="0" t="n">
        <v>5242.1636</v>
      </c>
      <c r="E379" s="0" t="inlineStr">
        <is>
          <t>用户指定系数调整值；不是原始实测数值。指标=vo_kb；原始值=2621.0817999999999；系数=2.0；调整值=5242.1635999999999。召回率不调整。原始CSV/附表保留。</t>
        </is>
      </c>
    </row>
    <row r="380">
      <c r="A380" s="0" t="inlineStr">
        <is>
          <t>GloVe-100</t>
        </is>
      </c>
      <c r="B380" s="0" t="inlineStr">
        <is>
          <t>S24</t>
        </is>
      </c>
      <c r="C380" s="0" t="n">
        <v>3202.7554</v>
      </c>
      <c r="D380" s="0" t="n">
        <v>6405.5108</v>
      </c>
      <c r="E380" s="0" t="inlineStr">
        <is>
          <t>用户指定系数调整值；不是原始实测数值。指标=vo_kb；原始值=3202.7554；系数=2.0；调整值=6405.5108。召回率不调整。原始CSV/附表保留。</t>
        </is>
      </c>
    </row>
    <row r="381">
      <c r="A381" s="0" t="inlineStr">
        <is>
          <t>GloVe-100</t>
        </is>
      </c>
      <c r="B381" s="0" t="inlineStr">
        <is>
          <t>T24</t>
        </is>
      </c>
      <c r="C381" s="0" t="n">
        <v>4944.9728</v>
      </c>
      <c r="D381" s="0" t="n">
        <v>9889.945599999999</v>
      </c>
      <c r="E381" s="0" t="inlineStr">
        <is>
          <t>用户指定系数调整值；不是原始实测数值。指标=vo_kb；原始值=4944.9727999999996；系数=2.0；调整值=9889.9455999999991。召回率不调整。原始CSV/附表保留。</t>
        </is>
      </c>
    </row>
    <row r="382">
      <c r="A382" s="0" t="inlineStr">
        <is>
          <t>GloVe-100</t>
        </is>
      </c>
      <c r="B382" s="0" t="inlineStr">
        <is>
          <t>U24</t>
        </is>
      </c>
      <c r="C382" s="0" t="n">
        <v>6713.085</v>
      </c>
      <c r="D382" s="0" t="n">
        <v>13426.17</v>
      </c>
      <c r="E382" s="0" t="inlineStr">
        <is>
          <t>用户指定系数调整值；不是原始实测数值。指标=vo_kb；原始值=6713.085；系数=2.0；调整值=13426.17。召回率不调整。原始CSV/附表保留。</t>
        </is>
      </c>
    </row>
    <row r="383">
      <c r="A383" s="0" t="inlineStr">
        <is>
          <t>GloVe-100</t>
        </is>
      </c>
      <c r="B383" s="0" t="inlineStr">
        <is>
          <t>V24</t>
        </is>
      </c>
      <c r="C383" s="0" t="n">
        <v>20286.7284</v>
      </c>
      <c r="D383" s="0" t="n">
        <v>40573.4568</v>
      </c>
      <c r="E383" s="0" t="inlineStr">
        <is>
          <t>用户指定系数调整值；不是原始实测数值。指标=vo_kb；原始值=20286.7284；系数=2.0；调整值=40573.4568。召回率不调整。原始CSV/附表保留。</t>
        </is>
      </c>
    </row>
    <row r="384">
      <c r="A384" s="0" t="inlineStr">
        <is>
          <t>GloVe-100</t>
        </is>
      </c>
      <c r="B384" s="0" t="inlineStr">
        <is>
          <t>W24</t>
        </is>
      </c>
      <c r="C384" s="0" t="n">
        <v>25439.6608</v>
      </c>
      <c r="D384" s="0" t="n">
        <v>50879.3216</v>
      </c>
      <c r="E384" s="0" t="inlineStr">
        <is>
          <t>用户指定系数调整值；不是原始实测数值。指标=vo_kb；原始值=25439.660800000001；系数=2.0；调整值=50879.321600000003。召回率不调整。原始CSV/附表保留。</t>
        </is>
      </c>
    </row>
    <row r="385">
      <c r="A385" s="0" t="inlineStr">
        <is>
          <t>GloVe-100</t>
        </is>
      </c>
      <c r="B385" s="0" t="inlineStr">
        <is>
          <t>X24</t>
        </is>
      </c>
      <c r="C385" s="0" t="n">
        <v>43668.8608</v>
      </c>
      <c r="D385" s="0" t="n">
        <v>87337.7216</v>
      </c>
      <c r="E385" s="0" t="inlineStr">
        <is>
          <t>用户指定系数调整值；不是原始实测数值。指标=vo_kb；原始值=43668.860800000002；系数=2.0；调整值=87337.721600000004。召回率不调整。原始CSV/附表保留。</t>
        </is>
      </c>
    </row>
    <row r="386">
      <c r="A386" s="0" t="inlineStr">
        <is>
          <t>GloVe-100</t>
        </is>
      </c>
      <c r="B386" s="0" t="inlineStr">
        <is>
          <t>Y24</t>
        </is>
      </c>
      <c r="C386" s="0" t="n">
        <v>73904.36840000001</v>
      </c>
      <c r="D386" s="0" t="n">
        <v>147808.7368</v>
      </c>
      <c r="E386" s="0" t="inlineStr">
        <is>
          <t>用户指定系数调整值；不是原始实测数值。指标=vo_kb；原始值=73904.368400000007；系数=2.0；调整值=147808.73680000001。召回率不调整。原始CSV/附表保留。</t>
        </is>
      </c>
    </row>
    <row r="387">
      <c r="A387" s="0" t="inlineStr">
        <is>
          <t>GloVe-100</t>
        </is>
      </c>
      <c r="B387" s="0" t="inlineStr">
        <is>
          <t>F38</t>
        </is>
      </c>
      <c r="C387" s="0" t="n">
        <v>6.70903365</v>
      </c>
      <c r="D387" s="0" t="n">
        <v>10.063550475</v>
      </c>
      <c r="E387" s="0" t="inlineStr">
        <is>
          <t>用户指定系数调整值；不是原始实测数值。指标=verify_ms；原始值=6.7090336500000003；系数=1.5；调整值=10.063550475。召回率不调整。原始CSV/附表保留。</t>
        </is>
      </c>
    </row>
    <row r="388">
      <c r="A388" s="0" t="inlineStr">
        <is>
          <t>GloVe-100</t>
        </is>
      </c>
      <c r="B388" s="0" t="inlineStr">
        <is>
          <t>G38</t>
        </is>
      </c>
      <c r="C388" s="0" t="n">
        <v>6.70903365</v>
      </c>
      <c r="D388" s="0" t="n">
        <v>10.063550475</v>
      </c>
      <c r="E388" s="0" t="inlineStr">
        <is>
          <t>用户指定系数调整值；不是原始实测数值。指标=verify_ms；原始值=6.7090336500000003；系数=1.5；调整值=10.063550475。召回率不调整。原始CSV/附表保留。</t>
        </is>
      </c>
    </row>
    <row r="389">
      <c r="A389" s="0" t="inlineStr">
        <is>
          <t>GloVe-100</t>
        </is>
      </c>
      <c r="B389" s="0" t="inlineStr">
        <is>
          <t>H38</t>
        </is>
      </c>
      <c r="C389" s="0" t="n">
        <v>6.70903365</v>
      </c>
      <c r="D389" s="0" t="n">
        <v>10.063550475</v>
      </c>
      <c r="E389" s="0" t="inlineStr">
        <is>
          <t>用户指定系数调整值；不是原始实测数值。指标=verify_ms；原始值=6.7090336500000003；系数=1.5；调整值=10.063550475。召回率不调整。原始CSV/附表保留。</t>
        </is>
      </c>
    </row>
    <row r="390">
      <c r="A390" s="0" t="inlineStr">
        <is>
          <t>GloVe-100</t>
        </is>
      </c>
      <c r="B390" s="0" t="inlineStr">
        <is>
          <t>I38</t>
        </is>
      </c>
      <c r="C390" s="0" t="n">
        <v>6.70903365</v>
      </c>
      <c r="D390" s="0" t="n">
        <v>10.063550475</v>
      </c>
      <c r="E390" s="0" t="inlineStr">
        <is>
          <t>用户指定系数调整值；不是原始实测数值。指标=verify_ms；原始值=6.7090336500000003；系数=1.5；调整值=10.063550475。召回率不调整。原始CSV/附表保留。</t>
        </is>
      </c>
    </row>
    <row r="391">
      <c r="A391" s="0" t="inlineStr">
        <is>
          <t>GloVe-100</t>
        </is>
      </c>
      <c r="B391" s="0" t="inlineStr">
        <is>
          <t>J38</t>
        </is>
      </c>
      <c r="C391" s="0" t="n">
        <v>6.70903365</v>
      </c>
      <c r="D391" s="0" t="n">
        <v>10.063550475</v>
      </c>
      <c r="E391" s="0" t="inlineStr">
        <is>
          <t>用户指定系数调整值；不是原始实测数值。指标=verify_ms；原始值=6.7090336500000003；系数=1.5；调整值=10.063550475。召回率不调整。原始CSV/附表保留。</t>
        </is>
      </c>
    </row>
    <row r="392">
      <c r="A392" s="0" t="inlineStr">
        <is>
          <t>GloVe-100</t>
        </is>
      </c>
      <c r="B392" s="0" t="inlineStr">
        <is>
          <t>K38</t>
        </is>
      </c>
      <c r="C392" s="0" t="n">
        <v>9.01886395</v>
      </c>
      <c r="D392" s="0" t="n">
        <v>13.528295925</v>
      </c>
      <c r="E392" s="0" t="inlineStr">
        <is>
          <t>用户指定系数调整值；不是原始实测数值。指标=verify_ms；原始值=9.0188639500000001；系数=1.5；调整值=13.528295925。召回率不调整。原始CSV/附表保留。</t>
        </is>
      </c>
    </row>
    <row r="393">
      <c r="A393" s="0" t="inlineStr">
        <is>
          <t>GloVe-100</t>
        </is>
      </c>
      <c r="B393" s="0" t="inlineStr">
        <is>
          <t>L38</t>
        </is>
      </c>
      <c r="C393" s="0" t="n">
        <v>10.7532255166667</v>
      </c>
      <c r="D393" s="0" t="n">
        <v>16.129838275</v>
      </c>
      <c r="E393" s="0" t="inlineStr">
        <is>
          <t>用户指定系数调整值；不是原始实测数值。指标=verify_ms；原始值=10.753225516666667；系数=1.5；调整值=16.129838275000001。召回率不调整。原始CSV/附表保留。</t>
        </is>
      </c>
    </row>
    <row r="394">
      <c r="A394" s="0" t="inlineStr">
        <is>
          <t>GloVe-100</t>
        </is>
      </c>
      <c r="B394" s="0" t="inlineStr">
        <is>
          <t>M38</t>
        </is>
      </c>
      <c r="C394" s="0" t="n">
        <v>13.854632</v>
      </c>
      <c r="D394" s="0" t="n">
        <v>20.781948</v>
      </c>
      <c r="E394" s="0" t="inlineStr">
        <is>
          <t>用户指定系数调整值；不是原始实测数值。指标=verify_ms；原始值=13.854632000000001；系数=1.5；调整值=20.781948。召回率不调整。原始CSV/附表保留。</t>
        </is>
      </c>
    </row>
    <row r="395">
      <c r="A395" s="0" t="inlineStr">
        <is>
          <t>GloVe-100</t>
        </is>
      </c>
      <c r="B395" s="0" t="inlineStr">
        <is>
          <t>N38</t>
        </is>
      </c>
      <c r="C395" s="0" t="n">
        <v>16.5056574833333</v>
      </c>
      <c r="D395" s="0" t="n">
        <v>24.758486225</v>
      </c>
      <c r="E395" s="0" t="inlineStr">
        <is>
          <t>用户指定系数调整值；不是原始实测数值。指标=verify_ms；原始值=16.505657483333334；系数=1.5；调整值=24.758486224999999。召回率不调整。原始CSV/附表保留。</t>
        </is>
      </c>
    </row>
    <row r="396">
      <c r="A396" s="0" t="inlineStr">
        <is>
          <t>GloVe-100</t>
        </is>
      </c>
      <c r="B396" s="0" t="inlineStr">
        <is>
          <t>O38</t>
        </is>
      </c>
      <c r="C396" s="0" t="n">
        <v>18.9798409</v>
      </c>
      <c r="D396" s="0" t="n">
        <v>28.46976135</v>
      </c>
      <c r="E396" s="0" t="inlineStr">
        <is>
          <t>用户指定系数调整值；不是原始实测数值。指标=verify_ms；原始值=18.979840899999999；系数=1.5；调整值=28.469761349999999。召回率不调整。原始CSV/附表保留。</t>
        </is>
      </c>
    </row>
    <row r="397">
      <c r="A397" s="0" t="inlineStr">
        <is>
          <t>GloVe-100</t>
        </is>
      </c>
      <c r="B397" s="0" t="inlineStr">
        <is>
          <t>P38</t>
        </is>
      </c>
      <c r="C397" s="0" t="n">
        <v>23.3867253333333</v>
      </c>
      <c r="D397" s="0" t="n">
        <v>35.080088</v>
      </c>
      <c r="E397" s="0" t="inlineStr">
        <is>
          <t>用户指定系数调整值；不是原始实测数值。指标=verify_ms；原始值=23.386725333333334；系数=1.5；调整值=35.080088000000003。召回率不调整。原始CSV/附表保留。</t>
        </is>
      </c>
    </row>
    <row r="398">
      <c r="A398" s="0" t="inlineStr">
        <is>
          <t>GloVe-100</t>
        </is>
      </c>
      <c r="B398" s="0" t="inlineStr">
        <is>
          <t>Q38</t>
        </is>
      </c>
      <c r="C398" s="0" t="n">
        <v>33.7018852833333</v>
      </c>
      <c r="D398" s="0" t="n">
        <v>50.552827925</v>
      </c>
      <c r="E398" s="0" t="inlineStr">
        <is>
          <t>用户指定系数调整值；不是原始实测数值。指标=verify_ms；原始值=33.701885283333333；系数=1.5；调整值=50.552827925000003。召回率不调整。原始CSV/附表保留。</t>
        </is>
      </c>
    </row>
    <row r="399">
      <c r="A399" s="0" t="inlineStr">
        <is>
          <t>GloVe-100</t>
        </is>
      </c>
      <c r="B399" s="0" t="inlineStr">
        <is>
          <t>R38</t>
        </is>
      </c>
      <c r="C399" s="0" t="n">
        <v>35.0163555666667</v>
      </c>
      <c r="D399" s="0" t="n">
        <v>52.52453335</v>
      </c>
      <c r="E399" s="0" t="inlineStr">
        <is>
          <t>用户指定系数调整值；不是原始实测数值。指标=verify_ms；原始值=35.016355566666668；系数=1.5；调整值=52.524533349999999。召回率不调整。原始CSV/附表保留。</t>
        </is>
      </c>
    </row>
    <row r="400">
      <c r="A400" s="0" t="inlineStr">
        <is>
          <t>GloVe-100</t>
        </is>
      </c>
      <c r="B400" s="0" t="inlineStr">
        <is>
          <t>S38</t>
        </is>
      </c>
      <c r="C400" s="0" t="n">
        <v>42.9324051333333</v>
      </c>
      <c r="D400" s="0" t="n">
        <v>64.3986077</v>
      </c>
      <c r="E400" s="0" t="inlineStr">
        <is>
          <t>用户指定系数调整值；不是原始实测数值。指标=verify_ms；原始值=42.932405133333333；系数=1.5；调整值=64.398607699999999。召回率不调整。原始CSV/附表保留。</t>
        </is>
      </c>
    </row>
    <row r="401">
      <c r="A401" s="0" t="inlineStr">
        <is>
          <t>GloVe-100</t>
        </is>
      </c>
      <c r="B401" s="0" t="inlineStr">
        <is>
          <t>T38</t>
        </is>
      </c>
      <c r="C401" s="0" t="n">
        <v>65.0245705333333</v>
      </c>
      <c r="D401" s="0" t="n">
        <v>97.5368558</v>
      </c>
      <c r="E401" s="0" t="inlineStr">
        <is>
          <t>用户指定系数调整值；不是原始实测数值。指标=verify_ms；原始值=65.024570533333304；系数=1.5；调整值=97.536855799999955。召回率不调整。原始CSV/附表保留。</t>
        </is>
      </c>
    </row>
    <row r="402">
      <c r="A402" s="0" t="inlineStr">
        <is>
          <t>GloVe-100</t>
        </is>
      </c>
      <c r="B402" s="0" t="inlineStr">
        <is>
          <t>U38</t>
        </is>
      </c>
      <c r="C402" s="0" t="n">
        <v>88.47731368333331</v>
      </c>
      <c r="D402" s="0" t="n">
        <v>132.715970525</v>
      </c>
      <c r="E402" s="0" t="inlineStr">
        <is>
          <t>用户指定系数调整值；不是原始实测数值。指标=verify_ms；原始值=88.477313683333307；系数=1.5；调整值=132.71597052499996。召回率不调整。原始CSV/附表保留。</t>
        </is>
      </c>
    </row>
    <row r="403">
      <c r="A403" s="0" t="inlineStr">
        <is>
          <t>GloVe-100</t>
        </is>
      </c>
      <c r="B403" s="0" t="inlineStr">
        <is>
          <t>V38</t>
        </is>
      </c>
      <c r="C403" s="0" t="n">
        <v>263.942687483333</v>
      </c>
      <c r="D403" s="0" t="n">
        <v>395.914031225</v>
      </c>
      <c r="E403" s="0" t="inlineStr">
        <is>
          <t>用户指定系数调整值；不是原始实测数值。指标=verify_ms；原始值=263.94268748333297；系数=1.5；调整值=395.91403122499946。召回率不调整。原始CSV/附表保留。</t>
        </is>
      </c>
    </row>
    <row r="404">
      <c r="A404" s="0" t="inlineStr">
        <is>
          <t>GloVe-100</t>
        </is>
      </c>
      <c r="B404" s="0" t="inlineStr">
        <is>
          <t>W38</t>
        </is>
      </c>
      <c r="C404" s="0" t="n">
        <v>330.828721833333</v>
      </c>
      <c r="D404" s="0" t="n">
        <v>496.243082749999</v>
      </c>
      <c r="E404" s="0" t="inlineStr">
        <is>
          <t>用户指定系数调整值；不是原始实测数值。指标=verify_ms；原始值=330.82872183333302；系数=1.5；调整值=496.24308274999953。召回率不调整。原始CSV/附表保留。</t>
        </is>
      </c>
    </row>
    <row r="405">
      <c r="A405" s="0" t="inlineStr">
        <is>
          <t>GloVe-100</t>
        </is>
      </c>
      <c r="B405" s="0" t="inlineStr">
        <is>
          <t>X38</t>
        </is>
      </c>
      <c r="C405" s="0" t="n">
        <v>572.20322455</v>
      </c>
      <c r="D405" s="0" t="n">
        <v>858.3048368250001</v>
      </c>
      <c r="E405" s="0" t="inlineStr">
        <is>
          <t>用户指定系数调整值；不是原始实测数值。指标=verify_ms；原始值=572.20322454999996；系数=1.5；调整值=858.30483682499994。召回率不调整。原始CSV/附表保留。</t>
        </is>
      </c>
    </row>
    <row r="406">
      <c r="A406" s="0" t="inlineStr">
        <is>
          <t>GloVe-100</t>
        </is>
      </c>
      <c r="B406" s="0" t="inlineStr">
        <is>
          <t>Y38</t>
        </is>
      </c>
      <c r="C406" s="0" t="n">
        <v>986.772749533333</v>
      </c>
      <c r="D406" s="0" t="n">
        <v>1480.1591243</v>
      </c>
      <c r="E406" s="0" t="inlineStr">
        <is>
          <t>用户指定系数调整值；不是原始实测数值。指标=verify_ms；原始值=986.77274953333301；系数=1.5；调整值=1480.1591242999996。召回率不调整。原始CSV/附表保留。</t>
        </is>
      </c>
    </row>
    <row r="407">
      <c r="A407" s="0" t="inlineStr">
        <is>
          <t>GloVe-100</t>
        </is>
      </c>
      <c r="B407" s="0" t="inlineStr">
        <is>
          <t>F52</t>
        </is>
      </c>
      <c r="C407" s="0" t="n">
        <v>1.3691084</v>
      </c>
      <c r="D407" s="0" t="n">
        <v>1.64293008</v>
      </c>
      <c r="E407" s="0" t="inlineStr">
        <is>
          <t>用户指定系数调整值；不是原始实测数值。指标=query_ms；原始值=1.3691084；系数=1.2；调整值=1.64293008。召回率不调整。原始CSV/附表保留。</t>
        </is>
      </c>
    </row>
    <row r="408">
      <c r="A408" s="0" t="inlineStr">
        <is>
          <t>GloVe-100</t>
        </is>
      </c>
      <c r="B408" s="0" t="inlineStr">
        <is>
          <t>G52</t>
        </is>
      </c>
      <c r="C408" s="0" t="n">
        <v>1.3691084</v>
      </c>
      <c r="D408" s="0" t="n">
        <v>1.64293008</v>
      </c>
      <c r="E408" s="0" t="inlineStr">
        <is>
          <t>用户指定系数调整值；不是原始实测数值。指标=query_ms；原始值=1.3691084；系数=1.2；调整值=1.64293008。召回率不调整。原始CSV/附表保留。</t>
        </is>
      </c>
    </row>
    <row r="409">
      <c r="A409" s="0" t="inlineStr">
        <is>
          <t>GloVe-100</t>
        </is>
      </c>
      <c r="B409" s="0" t="inlineStr">
        <is>
          <t>H52</t>
        </is>
      </c>
      <c r="C409" s="0" t="n">
        <v>1.3691084</v>
      </c>
      <c r="D409" s="0" t="n">
        <v>1.64293008</v>
      </c>
      <c r="E409" s="0" t="inlineStr">
        <is>
          <t>用户指定系数调整值；不是原始实测数值。指标=query_ms；原始值=1.3691084；系数=1.2；调整值=1.64293008。召回率不调整。原始CSV/附表保留。</t>
        </is>
      </c>
    </row>
    <row r="410">
      <c r="A410" s="0" t="inlineStr">
        <is>
          <t>GloVe-100</t>
        </is>
      </c>
      <c r="B410" s="0" t="inlineStr">
        <is>
          <t>I52</t>
        </is>
      </c>
      <c r="C410" s="0" t="n">
        <v>1.3691084</v>
      </c>
      <c r="D410" s="0" t="n">
        <v>1.64293008</v>
      </c>
      <c r="E410" s="0" t="inlineStr">
        <is>
          <t>用户指定系数调整值；不是原始实测数值。指标=query_ms；原始值=1.3691084；系数=1.2；调整值=1.64293008。召回率不调整。原始CSV/附表保留。</t>
        </is>
      </c>
    </row>
    <row r="411">
      <c r="A411" s="0" t="inlineStr">
        <is>
          <t>GloVe-100</t>
        </is>
      </c>
      <c r="B411" s="0" t="inlineStr">
        <is>
          <t>J52</t>
        </is>
      </c>
      <c r="C411" s="0" t="n">
        <v>1.3691084</v>
      </c>
      <c r="D411" s="0" t="n">
        <v>1.64293008</v>
      </c>
      <c r="E411" s="0" t="inlineStr">
        <is>
          <t>用户指定系数调整值；不是原始实测数值。指标=query_ms；原始值=1.3691084；系数=1.2；调整值=1.64293008。召回率不调整。原始CSV/附表保留。</t>
        </is>
      </c>
    </row>
    <row r="412">
      <c r="A412" s="0" t="inlineStr">
        <is>
          <t>GloVe-100</t>
        </is>
      </c>
      <c r="B412" s="0" t="inlineStr">
        <is>
          <t>K52</t>
        </is>
      </c>
      <c r="C412" s="0" t="n">
        <v>1.84560973333333</v>
      </c>
      <c r="D412" s="0" t="n">
        <v>2.21473168</v>
      </c>
      <c r="E412" s="0" t="inlineStr">
        <is>
          <t>用户指定系数调整值；不是原始实测数值。指标=query_ms；原始值=1.8456097333333334；系数=1.2；调整值=2.2147316799999999。召回率不调整。原始CSV/附表保留。</t>
        </is>
      </c>
    </row>
    <row r="413">
      <c r="A413" s="0" t="inlineStr">
        <is>
          <t>GloVe-100</t>
        </is>
      </c>
      <c r="B413" s="0" t="inlineStr">
        <is>
          <t>L52</t>
        </is>
      </c>
      <c r="C413" s="0" t="n">
        <v>2.14632921666667</v>
      </c>
      <c r="D413" s="0" t="n">
        <v>2.57559506</v>
      </c>
      <c r="E413" s="0" t="inlineStr">
        <is>
          <t>用户指定系数调整值；不是原始实测数值。指标=query_ms；原始值=2.1463292166666665；系数=1.2；调整值=2.5755950599999999。召回率不调整。原始CSV/附表保留。</t>
        </is>
      </c>
    </row>
    <row r="414">
      <c r="A414" s="0" t="inlineStr">
        <is>
          <t>GloVe-100</t>
        </is>
      </c>
      <c r="B414" s="0" t="inlineStr">
        <is>
          <t>M52</t>
        </is>
      </c>
      <c r="C414" s="0" t="n">
        <v>2.9589326</v>
      </c>
      <c r="D414" s="0" t="n">
        <v>3.55071912</v>
      </c>
      <c r="E414" s="0" t="inlineStr">
        <is>
          <t>用户指定系数调整值；不是原始实测数值。指标=query_ms；原始值=2.9589325999999998；系数=1.2；调整值=3.5507191199999997。召回率不调整。原始CSV/附表保留。</t>
        </is>
      </c>
    </row>
    <row r="415">
      <c r="A415" s="0" t="inlineStr">
        <is>
          <t>GloVe-100</t>
        </is>
      </c>
      <c r="B415" s="0" t="inlineStr">
        <is>
          <t>N52</t>
        </is>
      </c>
      <c r="C415" s="0" t="n">
        <v>3.54634156666667</v>
      </c>
      <c r="D415" s="0" t="n">
        <v>4.25560988</v>
      </c>
      <c r="E415" s="0" t="inlineStr">
        <is>
          <t>用户指定系数调整值；不是原始实测数值。指标=query_ms；原始值=3.5463415666666664；系数=1.2；调整值=4.2556098799999997。召回率不调整。原始CSV/附表保留。</t>
        </is>
      </c>
    </row>
    <row r="416">
      <c r="A416" s="0" t="inlineStr">
        <is>
          <t>GloVe-100</t>
        </is>
      </c>
      <c r="B416" s="0" t="inlineStr">
        <is>
          <t>O52</t>
        </is>
      </c>
      <c r="C416" s="0" t="n">
        <v>4.00268391666667</v>
      </c>
      <c r="D416" s="0" t="n">
        <v>4.8032207</v>
      </c>
      <c r="E416" s="0" t="inlineStr">
        <is>
          <t>用户指定系数调整值；不是原始实测数值。指标=query_ms；原始值=4.0026839166666672；系数=1.2；调整值=4.8032207000000007。召回率不调整。原始CSV/附表保留。</t>
        </is>
      </c>
    </row>
    <row r="417">
      <c r="A417" s="0" t="inlineStr">
        <is>
          <t>GloVe-100</t>
        </is>
      </c>
      <c r="B417" s="0" t="inlineStr">
        <is>
          <t>P52</t>
        </is>
      </c>
      <c r="C417" s="0" t="n">
        <v>5.10015753333333</v>
      </c>
      <c r="D417" s="0" t="n">
        <v>6.12018904</v>
      </c>
      <c r="E417" s="0" t="inlineStr">
        <is>
          <t>用户指定系数调整值；不是原始实测数值。指标=query_ms；原始值=5.1001575333333333；系数=1.2；调整值=6.1201890399999996。召回率不调整。原始CSV/附表保留。</t>
        </is>
      </c>
    </row>
    <row r="418">
      <c r="A418" s="0" t="inlineStr">
        <is>
          <t>GloVe-100</t>
        </is>
      </c>
      <c r="B418" s="0" t="inlineStr">
        <is>
          <t>Q52</t>
        </is>
      </c>
      <c r="C418" s="0" t="n">
        <v>7.6252956</v>
      </c>
      <c r="D418" s="0" t="n">
        <v>9.150354719999999</v>
      </c>
      <c r="E418" s="0" t="inlineStr">
        <is>
          <t>用户指定系数调整值；不是原始实测数值。指标=query_ms；原始值=7.6252956000000003；系数=1.2；调整值=9.1503547199999993。召回率不调整。原始CSV/附表保留。</t>
        </is>
      </c>
    </row>
    <row r="419">
      <c r="A419" s="0" t="inlineStr">
        <is>
          <t>GloVe-100</t>
        </is>
      </c>
      <c r="B419" s="0" t="inlineStr">
        <is>
          <t>R52</t>
        </is>
      </c>
      <c r="C419" s="0" t="n">
        <v>7.82504236666667</v>
      </c>
      <c r="D419" s="0" t="n">
        <v>9.390050840000001</v>
      </c>
      <c r="E419" s="0" t="inlineStr">
        <is>
          <t>用户指定系数调整值；不是原始实测数值。指标=query_ms；原始值=7.8250423666666666；系数=1.2；调整值=9.3900508399999989。召回率不调整。原始CSV/附表保留。</t>
        </is>
      </c>
    </row>
    <row r="420">
      <c r="A420" s="0" t="inlineStr">
        <is>
          <t>GloVe-100</t>
        </is>
      </c>
      <c r="B420" s="0" t="inlineStr">
        <is>
          <t>S52</t>
        </is>
      </c>
      <c r="C420" s="0" t="n">
        <v>9.67023103333333</v>
      </c>
      <c r="D420" s="0" t="n">
        <v>11.60427724</v>
      </c>
      <c r="E420" s="0" t="inlineStr">
        <is>
          <t>用户指定系数调整值；不是原始实测数值。指标=query_ms；原始值=9.6702310333333337；系数=1.2；调整值=11.60427724。召回率不调整。原始CSV/附表保留。</t>
        </is>
      </c>
    </row>
    <row r="421">
      <c r="A421" s="0" t="inlineStr">
        <is>
          <t>GloVe-100</t>
        </is>
      </c>
      <c r="B421" s="0" t="inlineStr">
        <is>
          <t>T52</t>
        </is>
      </c>
      <c r="C421" s="0" t="n">
        <v>15.25740905</v>
      </c>
      <c r="D421" s="0" t="n">
        <v>18.30889086</v>
      </c>
      <c r="E421" s="0" t="inlineStr">
        <is>
          <t>用户指定系数调整值；不是原始实测数值。指标=query_ms；原始值=15.25740905；系数=1.2；调整值=18.308890859999998。召回率不调整。原始CSV/附表保留。</t>
        </is>
      </c>
    </row>
    <row r="422">
      <c r="A422" s="0" t="inlineStr">
        <is>
          <t>GloVe-100</t>
        </is>
      </c>
      <c r="B422" s="0" t="inlineStr">
        <is>
          <t>U52</t>
        </is>
      </c>
      <c r="C422" s="0" t="n">
        <v>20.8722866666667</v>
      </c>
      <c r="D422" s="0" t="n">
        <v>25.046744</v>
      </c>
      <c r="E422" s="0" t="inlineStr">
        <is>
          <t>用户指定系数调整值；不是原始实测数值。指标=query_ms；原始值=20.8722866666667；系数=1.2；调整值=25.046744000000039。召回率不调整。原始CSV/附表保留。</t>
        </is>
      </c>
    </row>
    <row r="423">
      <c r="A423" s="0" t="inlineStr">
        <is>
          <t>GloVe-100</t>
        </is>
      </c>
      <c r="B423" s="0" t="inlineStr">
        <is>
          <t>V52</t>
        </is>
      </c>
      <c r="C423" s="0" t="n">
        <v>69.7219818833333</v>
      </c>
      <c r="D423" s="0" t="n">
        <v>83.66637826</v>
      </c>
      <c r="E423" s="0" t="inlineStr">
        <is>
          <t>用户指定系数调整值；不是原始实测数值。指标=query_ms；原始值=69.721981883333299；系数=1.2；调整值=83.666378259999959。召回率不调整。原始CSV/附表保留。</t>
        </is>
      </c>
    </row>
    <row r="424">
      <c r="A424" s="0" t="inlineStr">
        <is>
          <t>GloVe-100</t>
        </is>
      </c>
      <c r="B424" s="0" t="inlineStr">
        <is>
          <t>W52</t>
        </is>
      </c>
      <c r="C424" s="0" t="n">
        <v>87.9987959833333</v>
      </c>
      <c r="D424" s="0" t="n">
        <v>105.59855518</v>
      </c>
      <c r="E424" s="0" t="inlineStr">
        <is>
          <t>用户指定系数调整值；不是原始实测数值。指标=query_ms；原始值=87.998795983333295；系数=1.2；调整值=105.59855517999995。召回率不调整。原始CSV/附表保留。</t>
        </is>
      </c>
    </row>
    <row r="425">
      <c r="A425" s="0" t="inlineStr">
        <is>
          <t>GloVe-100</t>
        </is>
      </c>
      <c r="B425" s="0" t="inlineStr">
        <is>
          <t>X52</t>
        </is>
      </c>
      <c r="C425" s="0" t="n">
        <v>164.089183766667</v>
      </c>
      <c r="D425" s="0" t="n">
        <v>196.90702052</v>
      </c>
      <c r="E425" s="0" t="inlineStr">
        <is>
          <t>用户指定系数调整值；不是原始实测数值。指标=query_ms；原始值=164.08918376666699；系数=1.2；调整值=196.90702052000037。召回率不调整。原始CSV/附表保留。</t>
        </is>
      </c>
    </row>
    <row r="426">
      <c r="A426" s="0" t="inlineStr">
        <is>
          <t>GloVe-100</t>
        </is>
      </c>
      <c r="B426" s="0" t="inlineStr">
        <is>
          <t>Y52</t>
        </is>
      </c>
      <c r="C426" s="0" t="n">
        <v>302.3812472</v>
      </c>
      <c r="D426" s="0" t="n">
        <v>362.85749664</v>
      </c>
      <c r="E426" s="0" t="inlineStr">
        <is>
          <t>用户指定系数调整值；不是原始实测数值。指标=query_ms；原始值=302.38124720000002；系数=1.2；调整值=362.85749664000002。召回率不调整。原始CSV/附表保留。</t>
        </is>
      </c>
    </row>
    <row r="427">
      <c r="A427" s="0" t="inlineStr">
        <is>
          <t>GloVe-100</t>
        </is>
      </c>
      <c r="B427" s="0" t="inlineStr">
        <is>
          <t>F69</t>
        </is>
      </c>
      <c r="C427" s="0" t="n">
        <v>5057.4898</v>
      </c>
      <c r="D427" s="0" t="n">
        <v>10114.9796</v>
      </c>
      <c r="E427" s="0" t="inlineStr">
        <is>
          <t>用户指定系数调整值；不是原始实测数值。指标=vo_kb；原始值=5057.4898000000003；系数=2.0；调整值=10114.979600000001。召回率不调整。原始CSV/附表保留。</t>
        </is>
      </c>
    </row>
    <row r="428">
      <c r="A428" s="0" t="inlineStr">
        <is>
          <t>GloVe-100</t>
        </is>
      </c>
      <c r="B428" s="0" t="inlineStr">
        <is>
          <t>G69</t>
        </is>
      </c>
      <c r="C428" s="0" t="n">
        <v>13273.9188</v>
      </c>
      <c r="D428" s="0" t="n">
        <v>26547.8376</v>
      </c>
      <c r="E428" s="0" t="inlineStr">
        <is>
          <t>用户指定系数调整值；不是原始实测数值。指标=vo_kb；原始值=13273.918799999999；系数=2.0；调整值=26547.837599999999。召回率不调整。原始CSV/附表保留。</t>
        </is>
      </c>
    </row>
    <row r="429">
      <c r="A429" s="0" t="inlineStr">
        <is>
          <t>GloVe-100</t>
        </is>
      </c>
      <c r="B429" s="0" t="inlineStr">
        <is>
          <t>H69</t>
        </is>
      </c>
      <c r="C429" s="0" t="n">
        <v>14370.4534</v>
      </c>
      <c r="D429" s="0" t="n">
        <v>28740.9068</v>
      </c>
      <c r="E429" s="0" t="inlineStr">
        <is>
          <t>用户指定系数调整值；不是原始实测数值。指标=vo_kb；原始值=14370.4534；系数=2.0；调整值=28740.906800000001。召回率不调整。原始CSV/附表保留。</t>
        </is>
      </c>
    </row>
    <row r="430">
      <c r="A430" s="0" t="inlineStr">
        <is>
          <t>GloVe-100</t>
        </is>
      </c>
      <c r="B430" s="0" t="inlineStr">
        <is>
          <t>F81</t>
        </is>
      </c>
      <c r="C430" s="0" t="n">
        <v>59.2690873333333</v>
      </c>
      <c r="D430" s="0" t="n">
        <v>88.903631</v>
      </c>
      <c r="E430" s="0" t="inlineStr">
        <is>
          <t>用户指定系数调整值；不是原始实测数值。指标=verify_ms；原始值=59.269087333333303；系数=1.5；调整值=88.903630999999962。召回率不调整。原始CSV/附表保留。</t>
        </is>
      </c>
    </row>
    <row r="431">
      <c r="A431" s="0" t="inlineStr">
        <is>
          <t>GloVe-100</t>
        </is>
      </c>
      <c r="B431" s="0" t="inlineStr">
        <is>
          <t>G81</t>
        </is>
      </c>
      <c r="C431" s="0" t="n">
        <v>166.525453083333</v>
      </c>
      <c r="D431" s="0" t="n">
        <v>249.788179624999</v>
      </c>
      <c r="E431" s="0" t="inlineStr">
        <is>
          <t>用户指定系数调整值；不是原始实测数值。指标=verify_ms；原始值=166.52545308333299；系数=1.5；调整值=249.78817962499949。召回率不调整。原始CSV/附表保留。</t>
        </is>
      </c>
    </row>
    <row r="432">
      <c r="A432" s="0" t="inlineStr">
        <is>
          <t>GloVe-100</t>
        </is>
      </c>
      <c r="B432" s="0" t="inlineStr">
        <is>
          <t>H81</t>
        </is>
      </c>
      <c r="C432" s="0" t="n">
        <v>186.265374333333</v>
      </c>
      <c r="D432" s="0" t="n">
        <v>279.3980615</v>
      </c>
      <c r="E432" s="0" t="inlineStr">
        <is>
          <t>用户指定系数调整值；不是原始实测数值。指标=verify_ms；原始值=186.265374333333；系数=1.5；调整值=279.39806149999947。召回率不调整。原始CSV/附表保留。</t>
        </is>
      </c>
    </row>
    <row r="433">
      <c r="A433" s="0" t="inlineStr">
        <is>
          <t>GloVe-100</t>
        </is>
      </c>
      <c r="B433" s="0" t="inlineStr">
        <is>
          <t>F92</t>
        </is>
      </c>
      <c r="C433" s="0" t="n">
        <v>14.3868343666667</v>
      </c>
      <c r="D433" s="0" t="n">
        <v>17.26420124</v>
      </c>
      <c r="E433" s="0" t="inlineStr">
        <is>
          <t>用户指定系数调整值；不是原始实测数值。指标=query_ms；原始值=14.386834366666699；系数=1.2；调整值=17.264201240000038。召回率不调整。原始CSV/附表保留。</t>
        </is>
      </c>
    </row>
    <row r="434">
      <c r="A434" s="0" t="inlineStr">
        <is>
          <t>GloVe-100</t>
        </is>
      </c>
      <c r="B434" s="0" t="inlineStr">
        <is>
          <t>G92</t>
        </is>
      </c>
      <c r="C434" s="0" t="n">
        <v>42.6744452833333</v>
      </c>
      <c r="D434" s="0" t="n">
        <v>51.20933434</v>
      </c>
      <c r="E434" s="0" t="inlineStr">
        <is>
          <t>用户指定系数调整值；不是原始实测数值。指标=query_ms；原始值=42.674445283333299；系数=1.2；调整值=51.209334339999955。召回率不调整。原始CSV/附表保留。</t>
        </is>
      </c>
    </row>
    <row r="435">
      <c r="A435" s="0" t="inlineStr">
        <is>
          <t>GloVe-100</t>
        </is>
      </c>
      <c r="B435" s="0" t="inlineStr">
        <is>
          <t>H92</t>
        </is>
      </c>
      <c r="C435" s="0" t="n">
        <v>47.7281420666667</v>
      </c>
      <c r="D435" s="0" t="n">
        <v>57.27377048</v>
      </c>
      <c r="E435" s="0" t="inlineStr">
        <is>
          <t>用户指定系数调整值；不是原始实测数值。指标=query_ms；原始值=47.728142066666699；系数=1.2；调整值=57.273770480000039。召回率不调整。原始CSV/附表保留。</t>
        </is>
      </c>
    </row>
    <row r="436">
      <c r="A436" s="0" t="inlineStr">
        <is>
          <t>GloVe-100</t>
        </is>
      </c>
      <c r="B436" s="0" t="inlineStr">
        <is>
          <t>F105</t>
        </is>
      </c>
      <c r="C436" s="0" t="n">
        <v>20281.6944</v>
      </c>
      <c r="D436" s="0" t="n">
        <v>40563.3888</v>
      </c>
      <c r="E436" s="0" t="inlineStr">
        <is>
          <t>用户指定系数调整值；不是原始实测数值。指标=vo_kb；原始值=20281.6944；系数=2.0；调整值=40563.388800000001。召回率不调整。原始CSV/附表保留。</t>
        </is>
      </c>
    </row>
    <row r="437">
      <c r="A437" s="0" t="inlineStr">
        <is>
          <t>GloVe-100</t>
        </is>
      </c>
      <c r="B437" s="0" t="inlineStr">
        <is>
          <t>G105</t>
        </is>
      </c>
      <c r="C437" s="0" t="n">
        <v>20283.9424</v>
      </c>
      <c r="D437" s="0" t="n">
        <v>40567.8848</v>
      </c>
      <c r="E437" s="0" t="inlineStr">
        <is>
          <t>用户指定系数调整值；不是原始实测数值。指标=vo_kb；原始值=20283.9424；系数=2.0；调整值=40567.8848。召回率不调整。原始CSV/附表保留。</t>
        </is>
      </c>
    </row>
    <row r="438">
      <c r="A438" s="0" t="inlineStr">
        <is>
          <t>GloVe-100</t>
        </is>
      </c>
      <c r="B438" s="0" t="inlineStr">
        <is>
          <t>H105</t>
        </is>
      </c>
      <c r="C438" s="0" t="n">
        <v>20286.7284</v>
      </c>
      <c r="D438" s="0" t="n">
        <v>40573.4568</v>
      </c>
      <c r="E438" s="0" t="inlineStr">
        <is>
          <t>用户指定系数调整值；不是原始实测数值。指标=vo_kb；原始值=20286.7284；系数=2.0；调整值=40573.4568。召回率不调整。原始CSV/附表保留。</t>
        </is>
      </c>
    </row>
    <row r="439">
      <c r="A439" s="0" t="inlineStr">
        <is>
          <t>GloVe-100</t>
        </is>
      </c>
      <c r="B439" s="0" t="inlineStr">
        <is>
          <t>I105</t>
        </is>
      </c>
      <c r="C439" s="0" t="n">
        <v>20292.2224</v>
      </c>
      <c r="D439" s="0" t="n">
        <v>40584.4448</v>
      </c>
      <c r="E439" s="0" t="inlineStr">
        <is>
          <t>用户指定系数调整值；不是原始实测数值。指标=vo_kb；原始值=20292.222399999999；系数=2.0；调整值=40584.444799999997。召回率不调整。原始CSV/附表保留。</t>
        </is>
      </c>
    </row>
    <row r="440">
      <c r="A440" s="0" t="inlineStr">
        <is>
          <t>GloVe-100</t>
        </is>
      </c>
      <c r="B440" s="0" t="inlineStr">
        <is>
          <t>J105</t>
        </is>
      </c>
      <c r="C440" s="0" t="n">
        <v>20308.1424</v>
      </c>
      <c r="D440" s="0" t="n">
        <v>40616.2848</v>
      </c>
      <c r="E440" s="0" t="inlineStr">
        <is>
          <t>用户指定系数调整值；不是原始实测数值。指标=vo_kb；原始值=20308.142400000001；系数=2.0；调整值=40616.284800000001。召回率不调整。原始CSV/附表保留。</t>
        </is>
      </c>
    </row>
    <row r="441">
      <c r="A441" s="0" t="inlineStr">
        <is>
          <t>GloVe-100</t>
        </is>
      </c>
      <c r="B441" s="0" t="inlineStr">
        <is>
          <t>K105</t>
        </is>
      </c>
      <c r="C441" s="0" t="n">
        <v>20333.0104</v>
      </c>
      <c r="D441" s="0" t="n">
        <v>40666.0208</v>
      </c>
      <c r="E441" s="0" t="inlineStr">
        <is>
          <t>用户指定系数调整值；不是原始实测数值。指标=vo_kb；原始值=20333.010399999999；系数=2.0；调整值=40666.020799999998。召回率不调整。原始CSV/附表保留。</t>
        </is>
      </c>
    </row>
    <row r="442">
      <c r="A442" s="0" t="inlineStr">
        <is>
          <t>GloVe-100</t>
        </is>
      </c>
      <c r="B442" s="0" t="inlineStr">
        <is>
          <t>F117</t>
        </is>
      </c>
      <c r="C442" s="0" t="n">
        <v>263.1691163</v>
      </c>
      <c r="D442" s="0" t="n">
        <v>394.75367445</v>
      </c>
      <c r="E442" s="0" t="inlineStr">
        <is>
          <t>用户指定系数调整值；不是原始实测数值。指标=verify_ms；原始值=263.16911629999998；系数=1.5；调整值=394.75367444999995。召回率不调整。原始CSV/附表保留。</t>
        </is>
      </c>
    </row>
    <row r="443">
      <c r="A443" s="0" t="inlineStr">
        <is>
          <t>GloVe-100</t>
        </is>
      </c>
      <c r="B443" s="0" t="inlineStr">
        <is>
          <t>G117</t>
        </is>
      </c>
      <c r="C443" s="0" t="n">
        <v>263.673275116667</v>
      </c>
      <c r="D443" s="0" t="n">
        <v>395.509912675001</v>
      </c>
      <c r="E443" s="0" t="inlineStr">
        <is>
          <t>用户指定系数调整值；不是原始实测数值。指标=verify_ms；原始值=263.67327511666701；系数=1.5；调整值=395.50991267500052。召回率不调整。原始CSV/附表保留。</t>
        </is>
      </c>
    </row>
    <row r="444">
      <c r="A444" s="0" t="inlineStr">
        <is>
          <t>GloVe-100</t>
        </is>
      </c>
      <c r="B444" s="0" t="inlineStr">
        <is>
          <t>H117</t>
        </is>
      </c>
      <c r="C444" s="0" t="n">
        <v>264.068021866667</v>
      </c>
      <c r="D444" s="0" t="n">
        <v>396.1020328</v>
      </c>
      <c r="E444" s="0" t="inlineStr">
        <is>
          <t>用户指定系数调整值；不是原始实测数值。指标=verify_ms；原始值=264.06802186666698；系数=1.5；调整值=396.10203280000047。召回率不调整。原始CSV/附表保留。</t>
        </is>
      </c>
    </row>
    <row r="445">
      <c r="A445" s="0" t="inlineStr">
        <is>
          <t>GloVe-100</t>
        </is>
      </c>
      <c r="B445" s="0" t="inlineStr">
        <is>
          <t>I117</t>
        </is>
      </c>
      <c r="C445" s="0" t="n">
        <v>262.3306454</v>
      </c>
      <c r="D445" s="0" t="n">
        <v>393.4959681</v>
      </c>
      <c r="E445" s="0" t="inlineStr">
        <is>
          <t>用户指定系数调整值；不是原始实测数值。指标=verify_ms；原始值=262.33064539999998；系数=1.5；调整值=393.49596809999997。召回率不调整。原始CSV/附表保留。</t>
        </is>
      </c>
    </row>
    <row r="446">
      <c r="A446" s="0" t="inlineStr">
        <is>
          <t>GloVe-100</t>
        </is>
      </c>
      <c r="B446" s="0" t="inlineStr">
        <is>
          <t>J117</t>
        </is>
      </c>
      <c r="C446" s="0" t="n">
        <v>263.301847816667</v>
      </c>
      <c r="D446" s="0" t="n">
        <v>394.952771725001</v>
      </c>
      <c r="E446" s="0" t="inlineStr">
        <is>
          <t>用户指定系数调整值；不是原始实测数值。指标=verify_ms；原始值=263.30184781666702；系数=1.5；调整值=394.9527717250005。召回率不调整。原始CSV/附表保留。</t>
        </is>
      </c>
    </row>
    <row r="447">
      <c r="A447" s="0" t="inlineStr">
        <is>
          <t>GloVe-100</t>
        </is>
      </c>
      <c r="B447" s="0" t="inlineStr">
        <is>
          <t>K117</t>
        </is>
      </c>
      <c r="C447" s="0" t="n">
        <v>263.437103266667</v>
      </c>
      <c r="D447" s="0" t="n">
        <v>395.155654900001</v>
      </c>
      <c r="E447" s="0" t="inlineStr">
        <is>
          <t>用户指定系数调整值；不是原始实测数值。指标=verify_ms；原始值=263.43710326666701；系数=1.5；调整值=395.15565490000051。召回率不调整。原始CSV/附表保留。</t>
        </is>
      </c>
    </row>
    <row r="448">
      <c r="A448" s="0" t="inlineStr">
        <is>
          <t>GloVe-100</t>
        </is>
      </c>
      <c r="B448" s="0" t="inlineStr">
        <is>
          <t>F128</t>
        </is>
      </c>
      <c r="C448" s="0" t="n">
        <v>69.8511835</v>
      </c>
      <c r="D448" s="0" t="n">
        <v>83.82142020000001</v>
      </c>
      <c r="E448" s="0" t="inlineStr">
        <is>
          <t>用户指定系数调整值；不是原始实测数值。指标=query_ms；原始值=69.851183500000005；系数=1.2；调整值=83.821420200000006。召回率不调整。原始CSV/附表保留。</t>
        </is>
      </c>
    </row>
    <row r="449">
      <c r="A449" s="0" t="inlineStr">
        <is>
          <t>GloVe-100</t>
        </is>
      </c>
      <c r="B449" s="0" t="inlineStr">
        <is>
          <t>G128</t>
        </is>
      </c>
      <c r="C449" s="0" t="n">
        <v>68.92665555000001</v>
      </c>
      <c r="D449" s="0" t="n">
        <v>82.71198665999999</v>
      </c>
      <c r="E449" s="0" t="inlineStr">
        <is>
          <t>用户指定系数调整值；不是原始实测数值。指标=query_ms；原始值=68.926655550000007；系数=1.2；调整值=82.711986660000008。召回率不调整。原始CSV/附表保留。</t>
        </is>
      </c>
    </row>
    <row r="450">
      <c r="A450" s="0" t="inlineStr">
        <is>
          <t>GloVe-100</t>
        </is>
      </c>
      <c r="B450" s="0" t="inlineStr">
        <is>
          <t>H128</t>
        </is>
      </c>
      <c r="C450" s="0" t="n">
        <v>69.1091445833333</v>
      </c>
      <c r="D450" s="0" t="n">
        <v>82.93097349999999</v>
      </c>
      <c r="E450" s="0" t="inlineStr">
        <is>
          <t>用户指定系数调整值；不是原始实测数值。指标=query_ms；原始值=69.109144583333304；系数=1.2；调整值=82.930973499999965。召回率不调整。原始CSV/附表保留。</t>
        </is>
      </c>
    </row>
    <row r="451">
      <c r="A451" s="0" t="inlineStr">
        <is>
          <t>GloVe-100</t>
        </is>
      </c>
      <c r="B451" s="0" t="inlineStr">
        <is>
          <t>I128</t>
        </is>
      </c>
      <c r="C451" s="0" t="n">
        <v>71.1527474333333</v>
      </c>
      <c r="D451" s="0" t="n">
        <v>85.38329692000001</v>
      </c>
      <c r="E451" s="0" t="inlineStr">
        <is>
          <t>用户指定系数调整值；不是原始实测数值。指标=query_ms；原始值=71.152747433333303；系数=1.2；调整值=85.383296919999964。召回率不调整。原始CSV/附表保留。</t>
        </is>
      </c>
    </row>
    <row r="452">
      <c r="A452" s="0" t="inlineStr">
        <is>
          <t>GloVe-100</t>
        </is>
      </c>
      <c r="B452" s="0" t="inlineStr">
        <is>
          <t>J128</t>
        </is>
      </c>
      <c r="C452" s="0" t="n">
        <v>72.0175692</v>
      </c>
      <c r="D452" s="0" t="n">
        <v>86.42108304</v>
      </c>
      <c r="E452" s="0" t="inlineStr">
        <is>
          <t>用户指定系数调整值；不是原始实测数值。指标=query_ms；原始值=72.017569199999997；系数=1.2；调整值=86.421083039999999。召回率不调整。原始CSV/附表保留。</t>
        </is>
      </c>
    </row>
    <row r="453">
      <c r="A453" s="0" t="inlineStr">
        <is>
          <t>GloVe-100</t>
        </is>
      </c>
      <c r="B453" s="0" t="inlineStr">
        <is>
          <t>K128</t>
        </is>
      </c>
      <c r="C453" s="0" t="n">
        <v>71.8316993333333</v>
      </c>
      <c r="D453" s="0" t="n">
        <v>86.1980392</v>
      </c>
      <c r="E453" s="0" t="inlineStr">
        <is>
          <t>用户指定系数调整值；不是原始实测数值。指标=query_ms；原始值=71.831699333333304；系数=1.2；调整值=86.198039199999968。召回率不调整。原始CSV/附表保留。</t>
        </is>
      </c>
    </row>
    <row r="454">
      <c r="A454" s="0" t="inlineStr">
        <is>
          <t>GloVe-100</t>
        </is>
      </c>
      <c r="B454" s="0" t="inlineStr">
        <is>
          <t>D10</t>
        </is>
      </c>
      <c r="C454" s="0" t="inlineStr">
        <is>
          <t>ANNProof</t>
        </is>
      </c>
      <c r="D454" s="0" t="inlineStr">
        <is>
          <t>ANNProof*</t>
        </is>
      </c>
      <c r="E454" s="0" t="inlineStr">
        <is>
          <t>* 表示性能指标为用户指定系数调整值，不是原始实测值。配置及实际召回见原始补测附表。</t>
        </is>
      </c>
    </row>
    <row r="455">
      <c r="A455" s="0" t="inlineStr">
        <is>
          <t>GloVe-100</t>
        </is>
      </c>
      <c r="B455" s="0" t="inlineStr">
        <is>
          <t>D23</t>
        </is>
      </c>
      <c r="C455" s="0" t="inlineStr">
        <is>
          <t>ANNProof</t>
        </is>
      </c>
      <c r="D455" s="0" t="inlineStr">
        <is>
          <t>ANNProof*</t>
        </is>
      </c>
      <c r="E455" s="0" t="inlineStr">
        <is>
          <t>* 表示性能指标为用户指定系数调整值，不是原始实测值。配置及实际召回见原始补测附表。</t>
        </is>
      </c>
    </row>
    <row r="456">
      <c r="A456" s="0" t="inlineStr">
        <is>
          <t>GloVe-100</t>
        </is>
      </c>
      <c r="B456" s="0" t="inlineStr">
        <is>
          <t>D37</t>
        </is>
      </c>
      <c r="C456" s="0" t="inlineStr">
        <is>
          <t>ANNProof</t>
        </is>
      </c>
      <c r="D456" s="0" t="inlineStr">
        <is>
          <t>ANNProof*</t>
        </is>
      </c>
      <c r="E456" s="0" t="inlineStr">
        <is>
          <t>* 表示性能指标为用户指定系数调整值，不是原始实测值。配置及实际召回见原始补测附表。</t>
        </is>
      </c>
    </row>
    <row r="457">
      <c r="A457" s="0" t="inlineStr">
        <is>
          <t>GloVe-100</t>
        </is>
      </c>
      <c r="B457" s="0" t="inlineStr">
        <is>
          <t>D51</t>
        </is>
      </c>
      <c r="C457" s="0" t="inlineStr">
        <is>
          <t>ANNProof</t>
        </is>
      </c>
      <c r="D457" s="0" t="inlineStr">
        <is>
          <t>ANNProof*</t>
        </is>
      </c>
      <c r="E457" s="0" t="inlineStr">
        <is>
          <t>* 表示性能指标为用户指定系数调整值，不是原始实测值。配置及实际召回见原始补测附表。</t>
        </is>
      </c>
    </row>
    <row r="458">
      <c r="A458" s="0" t="inlineStr">
        <is>
          <t>GloVe-100</t>
        </is>
      </c>
      <c r="B458" s="0" t="inlineStr">
        <is>
          <t>D69</t>
        </is>
      </c>
      <c r="C458" s="0" t="inlineStr">
        <is>
          <t>ANNProof</t>
        </is>
      </c>
      <c r="D458" s="0" t="inlineStr">
        <is>
          <t>ANNProof*</t>
        </is>
      </c>
      <c r="E458" s="0" t="inlineStr">
        <is>
          <t>* 表示性能指标为用户指定系数调整值，不是原始实测值。配置及实际召回见原始补测附表。</t>
        </is>
      </c>
    </row>
    <row r="459">
      <c r="A459" s="0" t="inlineStr">
        <is>
          <t>GloVe-100</t>
        </is>
      </c>
      <c r="B459" s="0" t="inlineStr">
        <is>
          <t>D81</t>
        </is>
      </c>
      <c r="C459" s="0" t="inlineStr">
        <is>
          <t>ANNProof</t>
        </is>
      </c>
      <c r="D459" s="0" t="inlineStr">
        <is>
          <t>ANNProof*</t>
        </is>
      </c>
      <c r="E459" s="0" t="inlineStr">
        <is>
          <t>* 表示性能指标为用户指定系数调整值，不是原始实测值。配置及实际召回见原始补测附表。</t>
        </is>
      </c>
    </row>
    <row r="460">
      <c r="A460" s="0" t="inlineStr">
        <is>
          <t>GloVe-100</t>
        </is>
      </c>
      <c r="B460" s="0" t="inlineStr">
        <is>
          <t>D92</t>
        </is>
      </c>
      <c r="C460" s="0" t="inlineStr">
        <is>
          <t>ANNProof</t>
        </is>
      </c>
      <c r="D460" s="0" t="inlineStr">
        <is>
          <t>ANNProof*</t>
        </is>
      </c>
      <c r="E460" s="0" t="inlineStr">
        <is>
          <t>* 表示性能指标为用户指定系数调整值，不是原始实测值。配置及实际召回见原始补测附表。</t>
        </is>
      </c>
    </row>
    <row r="461">
      <c r="A461" s="0" t="inlineStr">
        <is>
          <t>GloVe-100</t>
        </is>
      </c>
      <c r="B461" s="0" t="inlineStr">
        <is>
          <t>D105</t>
        </is>
      </c>
      <c r="C461" s="0" t="inlineStr">
        <is>
          <t>ANNProof</t>
        </is>
      </c>
      <c r="D461" s="0" t="inlineStr">
        <is>
          <t>ANNProof*</t>
        </is>
      </c>
      <c r="E461" s="0" t="inlineStr">
        <is>
          <t>* 表示性能指标为用户指定系数调整值，不是原始实测值。配置及实际召回见原始补测附表。</t>
        </is>
      </c>
    </row>
    <row r="462">
      <c r="A462" s="0" t="inlineStr">
        <is>
          <t>GloVe-100</t>
        </is>
      </c>
      <c r="B462" s="0" t="inlineStr">
        <is>
          <t>D117</t>
        </is>
      </c>
      <c r="C462" s="0" t="inlineStr">
        <is>
          <t>ANNProof</t>
        </is>
      </c>
      <c r="D462" s="0" t="inlineStr">
        <is>
          <t>ANNProof*</t>
        </is>
      </c>
      <c r="E462" s="0" t="inlineStr">
        <is>
          <t>* 表示性能指标为用户指定系数调整值，不是原始实测值。配置及实际召回见原始补测附表。</t>
        </is>
      </c>
    </row>
    <row r="463">
      <c r="A463" s="0" t="inlineStr">
        <is>
          <t>GloVe-100</t>
        </is>
      </c>
      <c r="B463" s="0" t="inlineStr">
        <is>
          <t>D128</t>
        </is>
      </c>
      <c r="C463" s="0" t="inlineStr">
        <is>
          <t>ANNProof</t>
        </is>
      </c>
      <c r="D463" s="0" t="inlineStr">
        <is>
          <t>ANNProof*</t>
        </is>
      </c>
      <c r="E463" s="0" t="inlineStr">
        <is>
          <t>* 表示性能指标为用户指定系数调整值，不是原始实测值。配置及实际召回见原始补测附表。</t>
        </is>
      </c>
    </row>
    <row r="464">
      <c r="A464" s="0" t="inlineStr">
        <is>
          <t>DEEP1M</t>
        </is>
      </c>
      <c r="B464" s="0" t="inlineStr">
        <is>
          <t>K23</t>
        </is>
      </c>
      <c r="C464" s="0" t="n">
        <v>71</v>
      </c>
      <c r="D464" s="0" t="n">
        <v>40.5</v>
      </c>
      <c r="E464" s="0" t="inlineStr">
        <is>
          <t>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t>
        </is>
      </c>
    </row>
    <row r="465">
      <c r="A465" s="0" t="inlineStr">
        <is>
          <t>DEEP1M</t>
        </is>
      </c>
      <c r="B465" s="0" t="inlineStr">
        <is>
          <t>K24</t>
        </is>
      </c>
      <c r="C465" s="0" t="n">
        <v>386.5978</v>
      </c>
      <c r="D465" s="0" t="n">
        <v>173.3444</v>
      </c>
      <c r="E465" s="0" t="inlineStr">
        <is>
          <t>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t>
        </is>
      </c>
    </row>
    <row r="466">
      <c r="A466" s="0" t="inlineStr">
        <is>
          <t>DEEP1M</t>
        </is>
      </c>
      <c r="B466" s="0" t="inlineStr">
        <is>
          <t>L23</t>
        </is>
      </c>
      <c r="C466" s="0" t="n">
        <v>71</v>
      </c>
      <c r="D466" s="0" t="n">
        <v>45.5</v>
      </c>
      <c r="E466" s="0" t="inlineStr">
        <is>
          <t>本次真实补测：20条查询IDs100..119×3次，单线程；实际召回率不乘系数。
{"k": 10, "ef": 22, "probes": 1, "recall": 0.455, "query_ms": 0.5671214, "verify_ms": 2.941304866666667, "vo_kb": 207.914, "samples": 60, "status": "passed", "output": "/mnt/d/paper_source/work_9/VeriANN_repro_2026-09-30/VeriANN_repro_2026-09-30/results/work9-annproof-low-adjusted-20261021/measurements/deep1m-M4-efc40", "csv_sha256": "64322b64fff23e34bbf630f89e49b835a376dee2e15e854a1e793ad68eaa982e", "M": 4, "efc": 40, "target": 0.45, "pilot": {"M": 4, "efc": 40, "ef": 22, "recall": 0.45499999999999996, "valid": true, "pilot": "/mnt/d/paper_source/work_9/VeriANN_repro_2026-09-30/VeriANN_repro_2026-09-30/results/work9-annproof-low-adjusted-20261021/pilots/deep1m-M4-efc40"}}</t>
        </is>
      </c>
    </row>
    <row r="467">
      <c r="A467" s="0" t="inlineStr">
        <is>
          <t>DEEP1M</t>
        </is>
      </c>
      <c r="B467" s="0" t="inlineStr">
        <is>
          <t>L24</t>
        </is>
      </c>
      <c r="C467" s="0" t="n">
        <v>386.5978</v>
      </c>
      <c r="D467" s="0" t="n">
        <v>207.914</v>
      </c>
      <c r="E467" s="0" t="inlineStr">
        <is>
          <t>本单元格先替换为本次原始测量，随后按统一系数调整。
{"k": 10, "ef": 22, "probes": 1, "recall": 0.455, "query_ms": 0.5671214, "verify_ms": 2.941304866666667, "vo_kb": 207.914, "samples": 60, "status": "passed", "output": "/mnt/d/paper_source/work_9/VeriANN_repro_2026-09-30/VeriANN_repro_2026-09-30/results/work9-annproof-low-adjusted-20261021/measurements/deep1m-M4-efc40", "csv_sha256": "64322b64fff23e34bbf630f89e49b835a376dee2e15e854a1e793ad68eaa982e", "M": 4, "efc": 40, "target": 0.45, "pilot": {"M": 4, "efc": 40, "ef": 22, "recall": 0.45499999999999996, "valid": true, "pilot": "/mnt/d/paper_source/work_9/VeriANN_repro_2026-09-30/VeriANN_repro_2026-09-30/results/work9-annproof-low-adjusted-20261021/pilots/deep1m-M4-efc40"}}</t>
        </is>
      </c>
    </row>
    <row r="468">
      <c r="A468" s="0" t="inlineStr">
        <is>
          <t>DEEP1M</t>
        </is>
      </c>
      <c r="B468" s="0" t="inlineStr">
        <is>
          <t>M23</t>
        </is>
      </c>
      <c r="C468" s="0" t="n">
        <v>71</v>
      </c>
      <c r="D468" s="0" t="n">
        <v>51</v>
      </c>
      <c r="E468" s="0" t="inlineStr">
        <is>
          <t>本次真实补测：20条查询IDs100..119×3次，单线程；实际召回率不乘系数。
{"k": 10, "ef": 27, "probes": 1, "recall": 0.51, "query_ms": 0.6595532666666667, "verify_ms": 3.472809433333333, "vo_kb": 234.017, "samples": 60, "status": "passed", "output": "/mnt/d/paper_source/work_9/VeriANN_repro_2026-09-30/VeriANN_repro_2026-09-30/results/work9-annproof-low-adjusted-20261021/measurements/deep1m-M4-efc40", "csv_sha256": "64322b64fff23e34bbf630f89e49b835a376dee2e15e854a1e793ad68eaa982e", "M": 4, "efc": 40, "target": 0.5, "pilot": {"M": 4, "efc": 40, "ef": 27, "recall": 0.51, "valid": true, "pilot": "/mnt/d/paper_source/work_9/VeriANN_repro_2026-09-30/VeriANN_repro_2026-09-30/results/work9-annproof-low-adjusted-20261021/pilots/deep1m-M4-efc40"}}</t>
        </is>
      </c>
    </row>
    <row r="469">
      <c r="A469" s="0" t="inlineStr">
        <is>
          <t>DEEP1M</t>
        </is>
      </c>
      <c r="B469" s="0" t="inlineStr">
        <is>
          <t>M24</t>
        </is>
      </c>
      <c r="C469" s="0" t="n">
        <v>386.5978</v>
      </c>
      <c r="D469" s="0" t="n">
        <v>234.017</v>
      </c>
      <c r="E469" s="0" t="inlineStr">
        <is>
          <t>本单元格先替换为本次原始测量，随后按统一系数调整。
{"k": 10, "ef": 27, "probes": 1, "recall": 0.51, "query_ms": 0.6595532666666667, "verify_ms": 3.472809433333333, "vo_kb": 234.017, "samples": 60, "status": "passed", "output": "/mnt/d/paper_source/work_9/VeriANN_repro_2026-09-30/VeriANN_repro_2026-09-30/results/work9-annproof-low-adjusted-20261021/measurements/deep1m-M4-efc40", "csv_sha256": "64322b64fff23e34bbf630f89e49b835a376dee2e15e854a1e793ad68eaa982e", "M": 4, "efc": 40, "target": 0.5, "pilot": {"M": 4, "efc": 40, "ef": 27, "recall": 0.51, "valid": true, "pilot": "/mnt/d/paper_source/work_9/VeriANN_repro_2026-09-30/VeriANN_repro_2026-09-30/results/work9-annproof-low-adjusted-20261021/pilots/deep1m-M4-efc40"}}</t>
        </is>
      </c>
    </row>
    <row r="470">
      <c r="A470" s="0" t="inlineStr">
        <is>
          <t>DEEP1M</t>
        </is>
      </c>
      <c r="B470" s="0" t="inlineStr">
        <is>
          <t>N23</t>
        </is>
      </c>
      <c r="C470" s="0" t="n">
        <v>71</v>
      </c>
      <c r="D470" s="0" t="n">
        <v>55</v>
      </c>
      <c r="E470" s="0" t="inlineStr">
        <is>
          <t>本次真实补测：20条查询IDs100..119×3次，单线程；实际召回率不乘系数。
{"k": 10, "ef": 12, "probes": 1, "recall": 0.55, "query_ms": 0.7401176666666668, "verify_ms": 3.6383341000000002, "vo_kb": 264.5596, "samples": 60, "status": "passed", "output": "/mnt/d/paper_source/work_9/VeriANN_repro_2026-09-30/VeriANN_repro_2026-09-30/results/work9-annproof-low-adjusted-20261021/measurements/deep1m-M8-efc80", "csv_sha256": "ebcbc85e95ba8786d2d7a719691a8dec2bf1af50e4ccad3fabb11e72d216ba0f", "M": 8, "efc": 80, "target": 0.55, "pilot": {"M": 8, "efc": 80, "ef": 12, "recall": 0.55, "valid": true, "pilot": "/mnt/d/paper_source/work_9/VeriANN_repro_2026-09-30/VeriANN_repro_2026-09-30/results/work9-annproof-low-adjusted-20261021/pilots/deep1m-M8-efc80"}}</t>
        </is>
      </c>
    </row>
    <row r="471">
      <c r="A471" s="0" t="inlineStr">
        <is>
          <t>DEEP1M</t>
        </is>
      </c>
      <c r="B471" s="0" t="inlineStr">
        <is>
          <t>N24</t>
        </is>
      </c>
      <c r="C471" s="0" t="n">
        <v>386.5978</v>
      </c>
      <c r="D471" s="0" t="n">
        <v>264.5596</v>
      </c>
      <c r="E471" s="0" t="inlineStr">
        <is>
          <t>本单元格先替换为本次原始测量，随后按统一系数调整。
{"k": 10, "ef": 12, "probes": 1, "recall": 0.55, "query_ms": 0.7401176666666668, "verify_ms": 3.6383341000000002, "vo_kb": 264.5596, "samples": 60, "status": "passed", "output": "/mnt/d/paper_source/work_9/VeriANN_repro_2026-09-30/VeriANN_repro_2026-09-30/results/work9-annproof-low-adjusted-20261021/measurements/deep1m-M8-efc80", "csv_sha256": "ebcbc85e95ba8786d2d7a719691a8dec2bf1af50e4ccad3fabb11e72d216ba0f", "M": 8, "efc": 80, "target": 0.55, "pilot": {"M": 8, "efc": 80, "ef": 12, "recall": 0.55, "valid": true, "pilot": "/mnt/d/paper_source/work_9/VeriANN_repro_2026-09-30/VeriANN_repro_2026-09-30/results/work9-annproof-low-adjusted-20261021/pilots/deep1m-M8-efc80"}}</t>
        </is>
      </c>
    </row>
    <row r="472">
      <c r="A472" s="0" t="inlineStr">
        <is>
          <t>DEEP1M</t>
        </is>
      </c>
      <c r="B472" s="0" t="inlineStr">
        <is>
          <t>O23</t>
        </is>
      </c>
      <c r="C472" s="0" t="n">
        <v>71</v>
      </c>
      <c r="D472" s="0" t="n">
        <v>62</v>
      </c>
      <c r="E472" s="0" t="inlineStr">
        <is>
          <t>本次真实补测：20条查询IDs100..119×3次，单线程；实际召回率不乘系数。
{"k": 10, "ef": 13, "probes": 1, "recall": 0.62, "query_ms": 0.7682084499999999, "verify_ms": 3.9775908666666666, "vo_kb": 289.138, "samples": 60, "status": "passed", "output": "/mnt/d/paper_source/work_9/VeriANN_repro_2026-09-30/VeriANN_repro_2026-09-30/results/work9-annproof-low-adjusted-20261021/measurements/deep1m-M8-efc80", "csv_sha256": "ebcbc85e95ba8786d2d7a719691a8dec2bf1af50e4ccad3fabb11e72d216ba0f", "M": 8, "efc": 80, "target": 0.6, "pilot": {"M": 8, "efc": 80, "ef": 13, "recall": 0.62, "valid": true, "pilot": "/mnt/d/paper_source/work_9/VeriANN_repro_2026-09-30/VeriANN_repro_2026-09-30/results/work9-annproof-low-adjusted-20261021/pilots/deep1m-M8-efc80"}}</t>
        </is>
      </c>
    </row>
    <row r="473">
      <c r="A473" s="0" t="inlineStr">
        <is>
          <t>DEEP1M</t>
        </is>
      </c>
      <c r="B473" s="0" t="inlineStr">
        <is>
          <t>O24</t>
        </is>
      </c>
      <c r="C473" s="0" t="n">
        <v>386.5978</v>
      </c>
      <c r="D473" s="0" t="n">
        <v>289.138</v>
      </c>
      <c r="E473" s="0" t="inlineStr">
        <is>
          <t>本单元格先替换为本次原始测量，随后按统一系数调整。
{"k": 10, "ef": 13, "probes": 1, "recall": 0.62, "query_ms": 0.7682084499999999, "verify_ms": 3.9775908666666666, "vo_kb": 289.138, "samples": 60, "status": "passed", "output": "/mnt/d/paper_source/work_9/VeriANN_repro_2026-09-30/VeriANN_repro_2026-09-30/results/work9-annproof-low-adjusted-20261021/measurements/deep1m-M8-efc80", "csv_sha256": "ebcbc85e95ba8786d2d7a719691a8dec2bf1af50e4ccad3fabb11e72d216ba0f", "M": 8, "efc": 80, "target": 0.6, "pilot": {"M": 8, "efc": 80, "ef": 13, "recall": 0.62, "valid": true, "pilot": "/mnt/d/paper_source/work_9/VeriANN_repro_2026-09-30/VeriANN_repro_2026-09-30/results/work9-annproof-low-adjusted-20261021/pilots/deep1m-M8-efc80"}}</t>
        </is>
      </c>
    </row>
    <row r="474">
      <c r="A474" s="0" t="inlineStr">
        <is>
          <t>DEEP1M</t>
        </is>
      </c>
      <c r="B474" s="0" t="inlineStr">
        <is>
          <t>P23</t>
        </is>
      </c>
      <c r="C474" s="0" t="n">
        <v>71</v>
      </c>
      <c r="D474" s="0" t="n">
        <v>65</v>
      </c>
      <c r="E474" s="0" t="inlineStr">
        <is>
          <t>本次真实补测：20条查询IDs100..119×3次，单线程；实际召回率不乘系数。
{"k": 10, "ef": 14, "probes": 1, "recall": 0.65, "query_ms": 0.8113282333333334, "verify_ms": 4.076508266666667, "vo_kb": 298.3958, "samples": 60, "status": "passed", "output": "/mnt/d/paper_source/work_9/VeriANN_repro_2026-09-30/VeriANN_repro_2026-09-30/results/work9-annproof-low-adjusted-20261021/measurements/deep1m-M8-efc80", "csv_sha256": "ebcbc85e95ba8786d2d7a719691a8dec2bf1af50e4ccad3fabb11e72d216ba0f", "M": 8, "efc": 80, "target": 0.65, "pilot": {"M": 8, "efc": 80, "ef": 14, "recall": 0.65, "valid": true, "pilot": "/mnt/d/paper_source/work_9/VeriANN_repro_2026-09-30/VeriANN_repro_2026-09-30/results/work9-annproof-low-adjusted-20261021/pilots/deep1m-M8-efc80"}}</t>
        </is>
      </c>
    </row>
    <row r="475">
      <c r="A475" s="0" t="inlineStr">
        <is>
          <t>DEEP1M</t>
        </is>
      </c>
      <c r="B475" s="0" t="inlineStr">
        <is>
          <t>P24</t>
        </is>
      </c>
      <c r="C475" s="0" t="n">
        <v>386.5978</v>
      </c>
      <c r="D475" s="0" t="n">
        <v>298.3958</v>
      </c>
      <c r="E475" s="0" t="inlineStr">
        <is>
          <t>本单元格先替换为本次原始测量，随后按统一系数调整。
{"k": 10, "ef": 14, "probes": 1, "recall": 0.65, "query_ms": 0.8113282333333334, "verify_ms": 4.076508266666667, "vo_kb": 298.3958, "samples": 60, "status": "passed", "output": "/mnt/d/paper_source/work_9/VeriANN_repro_2026-09-30/VeriANN_repro_2026-09-30/results/work9-annproof-low-adjusted-20261021/measurements/deep1m-M8-efc80", "csv_sha256": "ebcbc85e95ba8786d2d7a719691a8dec2bf1af50e4ccad3fabb11e72d216ba0f", "M": 8, "efc": 80, "target": 0.65, "pilot": {"M": 8, "efc": 80, "ef": 14, "recall": 0.65, "valid": true, "pilot": "/mnt/d/paper_source/work_9/VeriANN_repro_2026-09-30/VeriANN_repro_2026-09-30/results/work9-annproof-low-adjusted-20261021/pilots/deep1m-M8-efc80"}}</t>
        </is>
      </c>
    </row>
    <row r="476">
      <c r="A476" s="0" t="inlineStr">
        <is>
          <t>DEEP1M</t>
        </is>
      </c>
      <c r="B476" s="0" t="inlineStr">
        <is>
          <t>Q23</t>
        </is>
      </c>
      <c r="C476" s="0" t="n">
        <v>71</v>
      </c>
      <c r="D476" s="0" t="n">
        <v>71</v>
      </c>
      <c r="E476" s="0" t="inlineStr">
        <is>
          <t>本次真实补测：20条查询IDs100..119×3次，单线程；实际召回率不乘系数。
{"k": 10, "ef": 10, "probes": 1, "recall": 0.7100000000000001, "query_ms": 0.9685961333333334, "verify_ms": 5.043632633333333, "vo_kb": 386.5978, "samples": 60, "status": "passed", "output": "/mnt/d/paper_source/work_9/VeriANN_repro_2026-09-30/VeriANN_repro_2026-09-30/results/work9-annproof-low-adjusted-20261021/measurements/deep1m-M16-efc200", "csv_sha256": "23213d0e3a657578422b962265bec07fa47afcc0bc83a4aae6a51ed723a34e35", "M": 16, "efc": 200, "target": 0.7, "pilot": {"M": 16, "efc": 200, "ef": 10, "recall": 0.71, "valid": true, "pilot": "/mnt/d/paper_source/work_9/VeriANN_repro_2026-09-30/VeriANN_repro_2026-09-30/results/work9-annproof-low-adjusted-20261021/pilots/deep1m-M16-efc200"}}</t>
        </is>
      </c>
    </row>
    <row r="477">
      <c r="A477" s="0" t="inlineStr">
        <is>
          <t>DEEP1M</t>
        </is>
      </c>
      <c r="B477" s="0" t="inlineStr">
        <is>
          <t>Q24</t>
        </is>
      </c>
      <c r="C477" s="0" t="n">
        <v>386.5978</v>
      </c>
      <c r="D477" s="0" t="n">
        <v>386.5978</v>
      </c>
      <c r="E477" s="0" t="inlineStr">
        <is>
          <t>本单元格先替换为本次原始测量，随后按统一系数调整。
{"k": 10, "ef": 10, "probes": 1, "recall": 0.7100000000000001, "query_ms": 0.9685961333333334, "verify_ms": 5.043632633333333, "vo_kb": 386.5978, "samples": 60, "status": "passed", "output": "/mnt/d/paper_source/work_9/VeriANN_repro_2026-09-30/VeriANN_repro_2026-09-30/results/work9-annproof-low-adjusted-20261021/measurements/deep1m-M16-efc200", "csv_sha256": "23213d0e3a657578422b962265bec07fa47afcc0bc83a4aae6a51ed723a34e35", "M": 16, "efc": 200, "target": 0.7, "pilot": {"M": 16, "efc": 200, "ef": 10, "recall": 0.71, "valid": true, "pilot": "/mnt/d/paper_source/work_9/VeriANN_repro_2026-09-30/VeriANN_repro_2026-09-30/results/work9-annproof-low-adjusted-20261021/pilots/deep1m-M16-efc200"}}</t>
        </is>
      </c>
    </row>
    <row r="478">
      <c r="A478" s="0" t="inlineStr">
        <is>
          <t>DEEP1M</t>
        </is>
      </c>
      <c r="B478" s="0" t="inlineStr">
        <is>
          <t>R23</t>
        </is>
      </c>
      <c r="C478" s="0" t="n">
        <v>78</v>
      </c>
      <c r="D478" s="0" t="n">
        <v>76</v>
      </c>
      <c r="E478" s="0" t="inlineStr">
        <is>
          <t>本次真实补测：20条查询IDs100..119×3次，单线程；实际召回率不乘系数。
{"k": 10, "ef": 13, "probes": 1, "recall": 0.76, "query_ms": 1.0781022833333334, "verify_ms": 5.69119435, "vo_kb": 439.3718, "samples": 60, "status": "passed", "output": "/mnt/d/paper_source/work_9/VeriANN_repro_2026-09-30/VeriANN_repro_2026-09-30/results/work9-annproof-low-adjusted-20261021/measurements/deep1m-M16-efc200", "csv_sha256": "23213d0e3a657578422b962265bec07fa47afcc0bc83a4aae6a51ed723a34e35", "M": 16, "efc": 200, "target": 0.75, "pilot": {"M": 16, "efc": 200, "ef": 13, "recall": 0.76, "valid": true, "pilot": "/mnt/d/paper_source/work_9/VeriANN_repro_2026-09-30/VeriANN_repro_2026-09-30/results/work9-annproof-low-adjusted-20261021/pilots/deep1m-M16-efc200"}}</t>
        </is>
      </c>
    </row>
    <row r="479">
      <c r="A479" s="0" t="inlineStr">
        <is>
          <t>DEEP1M</t>
        </is>
      </c>
      <c r="B479" s="0" t="inlineStr">
        <is>
          <t>R24</t>
        </is>
      </c>
      <c r="C479" s="0" t="n">
        <v>491.0184</v>
      </c>
      <c r="D479" s="0" t="n">
        <v>439.3718</v>
      </c>
      <c r="E479" s="0" t="inlineStr">
        <is>
          <t>本单元格先替换为本次原始测量，随后按统一系数调整。
{"k": 10, "ef": 13, "probes": 1, "recall": 0.76, "query_ms": 1.0781022833333334, "verify_ms": 5.69119435, "vo_kb": 439.3718, "samples": 60, "status": "passed", "output": "/mnt/d/paper_source/work_9/VeriANN_repro_2026-09-30/VeriANN_repro_2026-09-30/results/work9-annproof-low-adjusted-20261021/measurements/deep1m-M16-efc200", "csv_sha256": "23213d0e3a657578422b962265bec07fa47afcc0bc83a4aae6a51ed723a34e35", "M": 16, "efc": 200, "target": 0.75, "pilot": {"M": 16, "efc": 200, "ef": 13, "recall": 0.76, "valid": true, "pilot": "/mnt/d/paper_source/work_9/VeriANN_repro_2026-09-30/VeriANN_repro_2026-09-30/results/work9-annproof-low-adjusted-20261021/pilots/deep1m-M16-efc200"}}</t>
        </is>
      </c>
    </row>
    <row r="480">
      <c r="A480" s="0" t="inlineStr">
        <is>
          <t>DEEP1M</t>
        </is>
      </c>
      <c r="B480" s="0" t="inlineStr">
        <is>
          <t>S23</t>
        </is>
      </c>
      <c r="C480" s="0" t="n">
        <v>82.5</v>
      </c>
      <c r="D480" s="0" t="n">
        <v>80</v>
      </c>
      <c r="E480" s="0" t="inlineStr">
        <is>
          <t>本次真实补测：20条查询IDs100..119×3次，单线程；实际召回率不乘系数。
{"k": 10, "ef": 17, "probes": 1, "recall": 0.8, "query_ms": 1.2486418333333333, "verify_ms": 6.657108383333334, "vo_kb": 508.8854, "samples": 60, "status": "passed", "output": "/mnt/d/paper_source/work_9/VeriANN_repro_2026-09-30/VeriANN_repro_2026-09-30/results/work9-annproof-low-adjusted-20261021/measurements/deep1m-M16-efc200", "csv_sha256": "23213d0e3a657578422b962265bec07fa47afcc0bc83a4aae6a51ed723a34e35", "M": 16, "efc": 200, "target": 0.8, "pilot": {"M": 16, "efc": 200, "ef": 17, "recall": 0.8, "valid": true, "pilot": "/mnt/d/paper_source/work_9/VeriANN_repro_2026-09-30/VeriANN_repro_2026-09-30/results/work9-annproof-low-adjusted-20261021/pilots/deep1m-M16-efc200"}}</t>
        </is>
      </c>
    </row>
    <row r="481">
      <c r="A481" s="0" t="inlineStr">
        <is>
          <t>DEEP1M</t>
        </is>
      </c>
      <c r="B481" s="0" t="inlineStr">
        <is>
          <t>S24</t>
        </is>
      </c>
      <c r="C481" s="0" t="n">
        <v>554.1006</v>
      </c>
      <c r="D481" s="0" t="n">
        <v>508.8854</v>
      </c>
      <c r="E481" s="0" t="inlineStr">
        <is>
          <t>本单元格先替换为本次原始测量，随后按统一系数调整。
{"k": 10, "ef": 17, "probes": 1, "recall": 0.8, "query_ms": 1.2486418333333333, "verify_ms": 6.657108383333334, "vo_kb": 508.8854, "samples": 60, "status": "passed", "output": "/mnt/d/paper_source/work_9/VeriANN_repro_2026-09-30/VeriANN_repro_2026-09-30/results/work9-annproof-low-adjusted-20261021/measurements/deep1m-M16-efc200", "csv_sha256": "23213d0e3a657578422b962265bec07fa47afcc0bc83a4aae6a51ed723a34e35", "M": 16, "efc": 200, "target": 0.8, "pilot": {"M": 16, "efc": 200, "ef": 17, "recall": 0.8, "valid": true, "pilot": "/mnt/d/paper_source/work_9/VeriANN_repro_2026-09-30/VeriANN_repro_2026-09-30/results/work9-annproof-low-adjusted-20261021/pilots/deep1m-M16-efc200"}}</t>
        </is>
      </c>
    </row>
    <row r="482">
      <c r="A482" s="0" t="inlineStr">
        <is>
          <t>DEEP1M</t>
        </is>
      </c>
      <c r="B482" s="0" t="inlineStr">
        <is>
          <t>K37</t>
        </is>
      </c>
      <c r="C482" s="0" t="n">
        <v>71</v>
      </c>
      <c r="D482" s="0" t="n">
        <v>40.5</v>
      </c>
      <c r="E482" s="0" t="inlineStr">
        <is>
          <t>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t>
        </is>
      </c>
    </row>
    <row r="483">
      <c r="A483" s="0" t="inlineStr">
        <is>
          <t>DEEP1M</t>
        </is>
      </c>
      <c r="B483" s="0" t="inlineStr">
        <is>
          <t>K38</t>
        </is>
      </c>
      <c r="C483" s="0" t="n">
        <v>5.200713</v>
      </c>
      <c r="D483" s="0" t="n">
        <v>2.41002113333333</v>
      </c>
      <c r="E483" s="0" t="inlineStr">
        <is>
          <t>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t>
        </is>
      </c>
    </row>
    <row r="484">
      <c r="A484" s="0" t="inlineStr">
        <is>
          <t>DEEP1M</t>
        </is>
      </c>
      <c r="B484" s="0" t="inlineStr">
        <is>
          <t>L37</t>
        </is>
      </c>
      <c r="C484" s="0" t="n">
        <v>71</v>
      </c>
      <c r="D484" s="0" t="n">
        <v>45.5</v>
      </c>
      <c r="E484" s="0" t="inlineStr">
        <is>
          <t>本次真实补测：20条查询IDs100..119×3次，单线程；实际召回率不乘系数。
{"k": 10, "ef": 22, "probes": 1, "recall": 0.455, "query_ms": 0.5671214, "verify_ms": 2.941304866666667, "vo_kb": 207.914, "samples": 60, "status": "passed", "output": "/mnt/d/paper_source/work_9/VeriANN_repro_2026-09-30/VeriANN_repro_2026-09-30/results/work9-annproof-low-adjusted-20261021/measurements/deep1m-M4-efc40", "csv_sha256": "64322b64fff23e34bbf630f89e49b835a376dee2e15e854a1e793ad68eaa982e", "M": 4, "efc": 40, "target": 0.45, "pilot": {"M": 4, "efc": 40, "ef": 22, "recall": 0.45499999999999996, "valid": true, "pilot": "/mnt/d/paper_source/work_9/VeriANN_repro_2026-09-30/VeriANN_repro_2026-09-30/results/work9-annproof-low-adjusted-20261021/pilots/deep1m-M4-efc40"}}</t>
        </is>
      </c>
    </row>
    <row r="485">
      <c r="A485" s="0" t="inlineStr">
        <is>
          <t>DEEP1M</t>
        </is>
      </c>
      <c r="B485" s="0" t="inlineStr">
        <is>
          <t>L38</t>
        </is>
      </c>
      <c r="C485" s="0" t="n">
        <v>5.200713</v>
      </c>
      <c r="D485" s="0" t="n">
        <v>2.94130486666667</v>
      </c>
      <c r="E485" s="0" t="inlineStr">
        <is>
          <t>本单元格先替换为本次原始测量，随后按统一系数调整。
{"k": 10, "ef": 22, "probes": 1, "recall": 0.455, "query_ms": 0.5671214, "verify_ms": 2.941304866666667, "vo_kb": 207.914, "samples": 60, "status": "passed", "output": "/mnt/d/paper_source/work_9/VeriANN_repro_2026-09-30/VeriANN_repro_2026-09-30/results/work9-annproof-low-adjusted-20261021/measurements/deep1m-M4-efc40", "csv_sha256": "64322b64fff23e34bbf630f89e49b835a376dee2e15e854a1e793ad68eaa982e", "M": 4, "efc": 40, "target": 0.45, "pilot": {"M": 4, "efc": 40, "ef": 22, "recall": 0.45499999999999996, "valid": true, "pilot": "/mnt/d/paper_source/work_9/VeriANN_repro_2026-09-30/VeriANN_repro_2026-09-30/results/work9-annproof-low-adjusted-20261021/pilots/deep1m-M4-efc40"}}</t>
        </is>
      </c>
    </row>
    <row r="486">
      <c r="A486" s="0" t="inlineStr">
        <is>
          <t>DEEP1M</t>
        </is>
      </c>
      <c r="B486" s="0" t="inlineStr">
        <is>
          <t>M37</t>
        </is>
      </c>
      <c r="C486" s="0" t="n">
        <v>71</v>
      </c>
      <c r="D486" s="0" t="n">
        <v>51</v>
      </c>
      <c r="E486" s="0" t="inlineStr">
        <is>
          <t>本次真实补测：20条查询IDs100..119×3次，单线程；实际召回率不乘系数。
{"k": 10, "ef": 27, "probes": 1, "recall": 0.51, "query_ms": 0.6595532666666667, "verify_ms": 3.472809433333333, "vo_kb": 234.017, "samples": 60, "status": "passed", "output": "/mnt/d/paper_source/work_9/VeriANN_repro_2026-09-30/VeriANN_repro_2026-09-30/results/work9-annproof-low-adjusted-20261021/measurements/deep1m-M4-efc40", "csv_sha256": "64322b64fff23e34bbf630f89e49b835a376dee2e15e854a1e793ad68eaa982e", "M": 4, "efc": 40, "target": 0.5, "pilot": {"M": 4, "efc": 40, "ef": 27, "recall": 0.51, "valid": true, "pilot": "/mnt/d/paper_source/work_9/VeriANN_repro_2026-09-30/VeriANN_repro_2026-09-30/results/work9-annproof-low-adjusted-20261021/pilots/deep1m-M4-efc40"}}</t>
        </is>
      </c>
    </row>
    <row r="487">
      <c r="A487" s="0" t="inlineStr">
        <is>
          <t>DEEP1M</t>
        </is>
      </c>
      <c r="B487" s="0" t="inlineStr">
        <is>
          <t>M38</t>
        </is>
      </c>
      <c r="C487" s="0" t="n">
        <v>5.200713</v>
      </c>
      <c r="D487" s="0" t="n">
        <v>3.47280943333333</v>
      </c>
      <c r="E487" s="0" t="inlineStr">
        <is>
          <t>本单元格先替换为本次原始测量，随后按统一系数调整。
{"k": 10, "ef": 27, "probes": 1, "recall": 0.51, "query_ms": 0.6595532666666667, "verify_ms": 3.472809433333333, "vo_kb": 234.017, "samples": 60, "status": "passed", "output": "/mnt/d/paper_source/work_9/VeriANN_repro_2026-09-30/VeriANN_repro_2026-09-30/results/work9-annproof-low-adjusted-20261021/measurements/deep1m-M4-efc40", "csv_sha256": "64322b64fff23e34bbf630f89e49b835a376dee2e15e854a1e793ad68eaa982e", "M": 4, "efc": 40, "target": 0.5, "pilot": {"M": 4, "efc": 40, "ef": 27, "recall": 0.51, "valid": true, "pilot": "/mnt/d/paper_source/work_9/VeriANN_repro_2026-09-30/VeriANN_repro_2026-09-30/results/work9-annproof-low-adjusted-20261021/pilots/deep1m-M4-efc40"}}</t>
        </is>
      </c>
    </row>
    <row r="488">
      <c r="A488" s="0" t="inlineStr">
        <is>
          <t>DEEP1M</t>
        </is>
      </c>
      <c r="B488" s="0" t="inlineStr">
        <is>
          <t>N37</t>
        </is>
      </c>
      <c r="C488" s="0" t="n">
        <v>71</v>
      </c>
      <c r="D488" s="0" t="n">
        <v>55</v>
      </c>
      <c r="E488" s="0" t="inlineStr">
        <is>
          <t>本次真实补测：20条查询IDs100..119×3次，单线程；实际召回率不乘系数。
{"k": 10, "ef": 12, "probes": 1, "recall": 0.55, "query_ms": 0.7401176666666668, "verify_ms": 3.6383341000000002, "vo_kb": 264.5596, "samples": 60, "status": "passed", "output": "/mnt/d/paper_source/work_9/VeriANN_repro_2026-09-30/VeriANN_repro_2026-09-30/results/work9-annproof-low-adjusted-20261021/measurements/deep1m-M8-efc80", "csv_sha256": "ebcbc85e95ba8786d2d7a719691a8dec2bf1af50e4ccad3fabb11e72d216ba0f", "M": 8, "efc": 80, "target": 0.55, "pilot": {"M": 8, "efc": 80, "ef": 12, "recall": 0.55, "valid": true, "pilot": "/mnt/d/paper_source/work_9/VeriANN_repro_2026-09-30/VeriANN_repro_2026-09-30/results/work9-annproof-low-adjusted-20261021/pilots/deep1m-M8-efc80"}}</t>
        </is>
      </c>
    </row>
    <row r="489">
      <c r="A489" s="0" t="inlineStr">
        <is>
          <t>DEEP1M</t>
        </is>
      </c>
      <c r="B489" s="0" t="inlineStr">
        <is>
          <t>N38</t>
        </is>
      </c>
      <c r="C489" s="0" t="n">
        <v>5.200713</v>
      </c>
      <c r="D489" s="0" t="n">
        <v>3.6383341</v>
      </c>
      <c r="E489" s="0" t="inlineStr">
        <is>
          <t>本单元格先替换为本次原始测量，随后按统一系数调整。
{"k": 10, "ef": 12, "probes": 1, "recall": 0.55, "query_ms": 0.7401176666666668, "verify_ms": 3.6383341000000002, "vo_kb": 264.5596, "samples": 60, "status": "passed", "output": "/mnt/d/paper_source/work_9/VeriANN_repro_2026-09-30/VeriANN_repro_2026-09-30/results/work9-annproof-low-adjusted-20261021/measurements/deep1m-M8-efc80", "csv_sha256": "ebcbc85e95ba8786d2d7a719691a8dec2bf1af50e4ccad3fabb11e72d216ba0f", "M": 8, "efc": 80, "target": 0.55, "pilot": {"M": 8, "efc": 80, "ef": 12, "recall": 0.55, "valid": true, "pilot": "/mnt/d/paper_source/work_9/VeriANN_repro_2026-09-30/VeriANN_repro_2026-09-30/results/work9-annproof-low-adjusted-20261021/pilots/deep1m-M8-efc80"}}</t>
        </is>
      </c>
    </row>
    <row r="490">
      <c r="A490" s="0" t="inlineStr">
        <is>
          <t>DEEP1M</t>
        </is>
      </c>
      <c r="B490" s="0" t="inlineStr">
        <is>
          <t>O37</t>
        </is>
      </c>
      <c r="C490" s="0" t="n">
        <v>71</v>
      </c>
      <c r="D490" s="0" t="n">
        <v>62</v>
      </c>
      <c r="E490" s="0" t="inlineStr">
        <is>
          <t>本次真实补测：20条查询IDs100..119×3次，单线程；实际召回率不乘系数。
{"k": 10, "ef": 13, "probes": 1, "recall": 0.62, "query_ms": 0.7682084499999999, "verify_ms": 3.9775908666666666, "vo_kb": 289.138, "samples": 60, "status": "passed", "output": "/mnt/d/paper_source/work_9/VeriANN_repro_2026-09-30/VeriANN_repro_2026-09-30/results/work9-annproof-low-adjusted-20261021/measurements/deep1m-M8-efc80", "csv_sha256": "ebcbc85e95ba8786d2d7a719691a8dec2bf1af50e4ccad3fabb11e72d216ba0f", "M": 8, "efc": 80, "target": 0.6, "pilot": {"M": 8, "efc": 80, "ef": 13, "recall": 0.62, "valid": true, "pilot": "/mnt/d/paper_source/work_9/VeriANN_repro_2026-09-30/VeriANN_repro_2026-09-30/results/work9-annproof-low-adjusted-20261021/pilots/deep1m-M8-efc80"}}</t>
        </is>
      </c>
    </row>
    <row r="491">
      <c r="A491" s="0" t="inlineStr">
        <is>
          <t>DEEP1M</t>
        </is>
      </c>
      <c r="B491" s="0" t="inlineStr">
        <is>
          <t>O38</t>
        </is>
      </c>
      <c r="C491" s="0" t="n">
        <v>5.0948274</v>
      </c>
      <c r="D491" s="0" t="n">
        <v>3.97759086666667</v>
      </c>
      <c r="E491" s="0" t="inlineStr">
        <is>
          <t>本单元格先替换为本次原始测量，随后按统一系数调整。
{"k": 10, "ef": 13, "probes": 1, "recall": 0.62, "query_ms": 0.7682084499999999, "verify_ms": 3.9775908666666666, "vo_kb": 289.138, "samples": 60, "status": "passed", "output": "/mnt/d/paper_source/work_9/VeriANN_repro_2026-09-30/VeriANN_repro_2026-09-30/results/work9-annproof-low-adjusted-20261021/measurements/deep1m-M8-efc80", "csv_sha256": "ebcbc85e95ba8786d2d7a719691a8dec2bf1af50e4ccad3fabb11e72d216ba0f", "M": 8, "efc": 80, "target": 0.6, "pilot": {"M": 8, "efc": 80, "ef": 13, "recall": 0.62, "valid": true, "pilot": "/mnt/d/paper_source/work_9/VeriANN_repro_2026-09-30/VeriANN_repro_2026-09-30/results/work9-annproof-low-adjusted-20261021/pilots/deep1m-M8-efc80"}}</t>
        </is>
      </c>
    </row>
    <row r="492">
      <c r="A492" s="0" t="inlineStr">
        <is>
          <t>DEEP1M</t>
        </is>
      </c>
      <c r="B492" s="0" t="inlineStr">
        <is>
          <t>P37</t>
        </is>
      </c>
      <c r="C492" s="0" t="n">
        <v>71</v>
      </c>
      <c r="D492" s="0" t="n">
        <v>65</v>
      </c>
      <c r="E492" s="0" t="inlineStr">
        <is>
          <t>本次真实补测：20条查询IDs100..119×3次，单线程；实际召回率不乘系数。
{"k": 10, "ef": 14, "probes": 1, "recall": 0.65, "query_ms": 0.8113282333333334, "verify_ms": 4.076508266666667, "vo_kb": 298.3958, "samples": 60, "status": "passed", "output": "/mnt/d/paper_source/work_9/VeriANN_repro_2026-09-30/VeriANN_repro_2026-09-30/results/work9-annproof-low-adjusted-20261021/measurements/deep1m-M8-efc80", "csv_sha256": "ebcbc85e95ba8786d2d7a719691a8dec2bf1af50e4ccad3fabb11e72d216ba0f", "M": 8, "efc": 80, "target": 0.65, "pilot": {"M": 8, "efc": 80, "ef": 14, "recall": 0.65, "valid": true, "pilot": "/mnt/d/paper_source/work_9/VeriANN_repro_2026-09-30/VeriANN_repro_2026-09-30/results/work9-annproof-low-adjusted-20261021/pilots/deep1m-M8-efc80"}}</t>
        </is>
      </c>
    </row>
    <row r="493">
      <c r="A493" s="0" t="inlineStr">
        <is>
          <t>DEEP1M</t>
        </is>
      </c>
      <c r="B493" s="0" t="inlineStr">
        <is>
          <t>P38</t>
        </is>
      </c>
      <c r="C493" s="0" t="n">
        <v>5.0948274</v>
      </c>
      <c r="D493" s="0" t="n">
        <v>4.07650826666667</v>
      </c>
      <c r="E493" s="0" t="inlineStr">
        <is>
          <t>本单元格先替换为本次原始测量，随后按统一系数调整。
{"k": 10, "ef": 14, "probes": 1, "recall": 0.65, "query_ms": 0.8113282333333334, "verify_ms": 4.076508266666667, "vo_kb": 298.3958, "samples": 60, "status": "passed", "output": "/mnt/d/paper_source/work_9/VeriANN_repro_2026-09-30/VeriANN_repro_2026-09-30/results/work9-annproof-low-adjusted-20261021/measurements/deep1m-M8-efc80", "csv_sha256": "ebcbc85e95ba8786d2d7a719691a8dec2bf1af50e4ccad3fabb11e72d216ba0f", "M": 8, "efc": 80, "target": 0.65, "pilot": {"M": 8, "efc": 80, "ef": 14, "recall": 0.65, "valid": true, "pilot": "/mnt/d/paper_source/work_9/VeriANN_repro_2026-09-30/VeriANN_repro_2026-09-30/results/work9-annproof-low-adjusted-20261021/pilots/deep1m-M8-efc80"}}</t>
        </is>
      </c>
    </row>
    <row r="494">
      <c r="A494" s="0" t="inlineStr">
        <is>
          <t>DEEP1M</t>
        </is>
      </c>
      <c r="B494" s="0" t="inlineStr">
        <is>
          <t>Q37</t>
        </is>
      </c>
      <c r="C494" s="0" t="n">
        <v>71</v>
      </c>
      <c r="D494" s="0" t="n">
        <v>71</v>
      </c>
      <c r="E494" s="0" t="inlineStr">
        <is>
          <t>本次真实补测：20条查询IDs100..119×3次，单线程；实际召回率不乘系数。
{"k": 10, "ef": 10, "probes": 1, "recall": 0.7100000000000001, "query_ms": 0.9685961333333334, "verify_ms": 5.043632633333333, "vo_kb": 386.5978, "samples": 60, "status": "passed", "output": "/mnt/d/paper_source/work_9/VeriANN_repro_2026-09-30/VeriANN_repro_2026-09-30/results/work9-annproof-low-adjusted-20261021/measurements/deep1m-M16-efc200", "csv_sha256": "23213d0e3a657578422b962265bec07fa47afcc0bc83a4aae6a51ed723a34e35", "M": 16, "efc": 200, "target": 0.7, "pilot": {"M": 16, "efc": 200, "ef": 10, "recall": 0.71, "valid": true, "pilot": "/mnt/d/paper_source/work_9/VeriANN_repro_2026-09-30/VeriANN_repro_2026-09-30/results/work9-annproof-low-adjusted-20261021/pilots/deep1m-M16-efc200"}}</t>
        </is>
      </c>
    </row>
    <row r="495">
      <c r="A495" s="0" t="inlineStr">
        <is>
          <t>DEEP1M</t>
        </is>
      </c>
      <c r="B495" s="0" t="inlineStr">
        <is>
          <t>Q38</t>
        </is>
      </c>
      <c r="C495" s="0" t="n">
        <v>5.0948274</v>
      </c>
      <c r="D495" s="0" t="n">
        <v>5.04363263333333</v>
      </c>
      <c r="E495" s="0" t="inlineStr">
        <is>
          <t>本单元格先替换为本次原始测量，随后按统一系数调整。
{"k": 10, "ef": 10, "probes": 1, "recall": 0.7100000000000001, "query_ms": 0.9685961333333334, "verify_ms": 5.043632633333333, "vo_kb": 386.5978, "samples": 60, "status": "passed", "output": "/mnt/d/paper_source/work_9/VeriANN_repro_2026-09-30/VeriANN_repro_2026-09-30/results/work9-annproof-low-adjusted-20261021/measurements/deep1m-M16-efc200", "csv_sha256": "23213d0e3a657578422b962265bec07fa47afcc0bc83a4aae6a51ed723a34e35", "M": 16, "efc": 200, "target": 0.7, "pilot": {"M": 16, "efc": 200, "ef": 10, "recall": 0.71, "valid": true, "pilot": "/mnt/d/paper_source/work_9/VeriANN_repro_2026-09-30/VeriANN_repro_2026-09-30/results/work9-annproof-low-adjusted-20261021/pilots/deep1m-M16-efc200"}}</t>
        </is>
      </c>
    </row>
    <row r="496">
      <c r="A496" s="0" t="inlineStr">
        <is>
          <t>DEEP1M</t>
        </is>
      </c>
      <c r="B496" s="0" t="inlineStr">
        <is>
          <t>R37</t>
        </is>
      </c>
      <c r="C496" s="0" t="n">
        <v>78</v>
      </c>
      <c r="D496" s="0" t="n">
        <v>76</v>
      </c>
      <c r="E496" s="0" t="inlineStr">
        <is>
          <t>本次真实补测：20条查询IDs100..119×3次，单线程；实际召回率不乘系数。
{"k": 10, "ef": 13, "probes": 1, "recall": 0.76, "query_ms": 1.0781022833333334, "verify_ms": 5.69119435, "vo_kb": 439.3718, "samples": 60, "status": "passed", "output": "/mnt/d/paper_source/work_9/VeriANN_repro_2026-09-30/VeriANN_repro_2026-09-30/results/work9-annproof-low-adjusted-20261021/measurements/deep1m-M16-efc200", "csv_sha256": "23213d0e3a657578422b962265bec07fa47afcc0bc83a4aae6a51ed723a34e35", "M": 16, "efc": 200, "target": 0.75, "pilot": {"M": 16, "efc": 200, "ef": 13, "recall": 0.76, "valid": true, "pilot": "/mnt/d/paper_source/work_9/VeriANN_repro_2026-09-30/VeriANN_repro_2026-09-30/results/work9-annproof-low-adjusted-20261021/pilots/deep1m-M16-efc200"}}</t>
        </is>
      </c>
    </row>
    <row r="497">
      <c r="A497" s="0" t="inlineStr">
        <is>
          <t>DEEP1M</t>
        </is>
      </c>
      <c r="B497" s="0" t="inlineStr">
        <is>
          <t>R38</t>
        </is>
      </c>
      <c r="C497" s="0" t="n">
        <v>6.41377703333333</v>
      </c>
      <c r="D497" s="0" t="n">
        <v>5.69119435</v>
      </c>
      <c r="E497" s="0" t="inlineStr">
        <is>
          <t>本单元格先替换为本次原始测量，随后按统一系数调整。
{"k": 10, "ef": 13, "probes": 1, "recall": 0.76, "query_ms": 1.0781022833333334, "verify_ms": 5.69119435, "vo_kb": 439.3718, "samples": 60, "status": "passed", "output": "/mnt/d/paper_source/work_9/VeriANN_repro_2026-09-30/VeriANN_repro_2026-09-30/results/work9-annproof-low-adjusted-20261021/measurements/deep1m-M16-efc200", "csv_sha256": "23213d0e3a657578422b962265bec07fa47afcc0bc83a4aae6a51ed723a34e35", "M": 16, "efc": 200, "target": 0.75, "pilot": {"M": 16, "efc": 200, "ef": 13, "recall": 0.76, "valid": true, "pilot": "/mnt/d/paper_source/work_9/VeriANN_repro_2026-09-30/VeriANN_repro_2026-09-30/results/work9-annproof-low-adjusted-20261021/pilots/deep1m-M16-efc200"}}</t>
        </is>
      </c>
    </row>
    <row r="498">
      <c r="A498" s="0" t="inlineStr">
        <is>
          <t>DEEP1M</t>
        </is>
      </c>
      <c r="B498" s="0" t="inlineStr">
        <is>
          <t>S37</t>
        </is>
      </c>
      <c r="C498" s="0" t="n">
        <v>82.5</v>
      </c>
      <c r="D498" s="0" t="n">
        <v>80</v>
      </c>
      <c r="E498" s="0" t="inlineStr">
        <is>
          <t>本次真实补测：20条查询IDs100..119×3次，单线程；实际召回率不乘系数。
{"k": 10, "ef": 17, "probes": 1, "recall": 0.8, "query_ms": 1.2486418333333333, "verify_ms": 6.657108383333334, "vo_kb": 508.8854, "samples": 60, "status": "passed", "output": "/mnt/d/paper_source/work_9/VeriANN_repro_2026-09-30/VeriANN_repro_2026-09-30/results/work9-annproof-low-adjusted-20261021/measurements/deep1m-M16-efc200", "csv_sha256": "23213d0e3a657578422b962265bec07fa47afcc0bc83a4aae6a51ed723a34e35", "M": 16, "efc": 200, "target": 0.8, "pilot": {"M": 16, "efc": 200, "ef": 17, "recall": 0.8, "valid": true, "pilot": "/mnt/d/paper_source/work_9/VeriANN_repro_2026-09-30/VeriANN_repro_2026-09-30/results/work9-annproof-low-adjusted-20261021/pilots/deep1m-M16-efc200"}}</t>
        </is>
      </c>
    </row>
    <row r="499">
      <c r="A499" s="0" t="inlineStr">
        <is>
          <t>DEEP1M</t>
        </is>
      </c>
      <c r="B499" s="0" t="inlineStr">
        <is>
          <t>S38</t>
        </is>
      </c>
      <c r="C499" s="0" t="n">
        <v>7.32085555</v>
      </c>
      <c r="D499" s="0" t="n">
        <v>6.65710838333333</v>
      </c>
      <c r="E499" s="0" t="inlineStr">
        <is>
          <t>本单元格先替换为本次原始测量，随后按统一系数调整。
{"k": 10, "ef": 17, "probes": 1, "recall": 0.8, "query_ms": 1.2486418333333333, "verify_ms": 6.657108383333334, "vo_kb": 508.8854, "samples": 60, "status": "passed", "output": "/mnt/d/paper_source/work_9/VeriANN_repro_2026-09-30/VeriANN_repro_2026-09-30/results/work9-annproof-low-adjusted-20261021/measurements/deep1m-M16-efc200", "csv_sha256": "23213d0e3a657578422b962265bec07fa47afcc0bc83a4aae6a51ed723a34e35", "M": 16, "efc": 200, "target": 0.8, "pilot": {"M": 16, "efc": 200, "ef": 17, "recall": 0.8, "valid": true, "pilot": "/mnt/d/paper_source/work_9/VeriANN_repro_2026-09-30/VeriANN_repro_2026-09-30/results/work9-annproof-low-adjusted-20261021/pilots/deep1m-M16-efc200"}}</t>
        </is>
      </c>
    </row>
    <row r="500">
      <c r="A500" s="0" t="inlineStr">
        <is>
          <t>DEEP1M</t>
        </is>
      </c>
      <c r="B500" s="0" t="inlineStr">
        <is>
          <t>K51</t>
        </is>
      </c>
      <c r="C500" s="0" t="n">
        <v>71</v>
      </c>
      <c r="D500" s="0" t="n">
        <v>40.5</v>
      </c>
      <c r="E500" s="0" t="inlineStr">
        <is>
          <t>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t>
        </is>
      </c>
    </row>
    <row r="501">
      <c r="A501" s="0" t="inlineStr">
        <is>
          <t>DEEP1M</t>
        </is>
      </c>
      <c r="B501" s="0" t="inlineStr">
        <is>
          <t>K52</t>
        </is>
      </c>
      <c r="C501" s="0" t="n">
        <v>1.04057065</v>
      </c>
      <c r="D501" s="0" t="n">
        <v>0.496026583333333</v>
      </c>
      <c r="E501" s="0" t="inlineStr">
        <is>
          <t>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t>
        </is>
      </c>
    </row>
    <row r="502">
      <c r="A502" s="0" t="inlineStr">
        <is>
          <t>DEEP1M</t>
        </is>
      </c>
      <c r="B502" s="0" t="inlineStr">
        <is>
          <t>L51</t>
        </is>
      </c>
      <c r="C502" s="0" t="n">
        <v>71</v>
      </c>
      <c r="D502" s="0" t="n">
        <v>45.5</v>
      </c>
      <c r="E502" s="0" t="inlineStr">
        <is>
          <t>本次真实补测：20条查询IDs100..119×3次，单线程；实际召回率不乘系数。
{"k": 10, "ef": 22, "probes": 1, "recall": 0.455, "query_ms": 0.5671214, "verify_ms": 2.941304866666667, "vo_kb": 207.914, "samples": 60, "status": "passed", "output": "/mnt/d/paper_source/work_9/VeriANN_repro_2026-09-30/VeriANN_repro_2026-09-30/results/work9-annproof-low-adjusted-20261021/measurements/deep1m-M4-efc40", "csv_sha256": "64322b64fff23e34bbf630f89e49b835a376dee2e15e854a1e793ad68eaa982e", "M": 4, "efc": 40, "target": 0.45, "pilot": {"M": 4, "efc": 40, "ef": 22, "recall": 0.45499999999999996, "valid": true, "pilot": "/mnt/d/paper_source/work_9/VeriANN_repro_2026-09-30/VeriANN_repro_2026-09-30/results/work9-annproof-low-adjusted-20261021/pilots/deep1m-M4-efc40"}}</t>
        </is>
      </c>
    </row>
    <row r="503">
      <c r="A503" s="0" t="inlineStr">
        <is>
          <t>DEEP1M</t>
        </is>
      </c>
      <c r="B503" s="0" t="inlineStr">
        <is>
          <t>L52</t>
        </is>
      </c>
      <c r="C503" s="0" t="n">
        <v>1.04057065</v>
      </c>
      <c r="D503" s="0" t="n">
        <v>0.5671214</v>
      </c>
      <c r="E503" s="0" t="inlineStr">
        <is>
          <t>本单元格先替换为本次原始测量，随后按统一系数调整。
{"k": 10, "ef": 22, "probes": 1, "recall": 0.455, "query_ms": 0.5671214, "verify_ms": 2.941304866666667, "vo_kb": 207.914, "samples": 60, "status": "passed", "output": "/mnt/d/paper_source/work_9/VeriANN_repro_2026-09-30/VeriANN_repro_2026-09-30/results/work9-annproof-low-adjusted-20261021/measurements/deep1m-M4-efc40", "csv_sha256": "64322b64fff23e34bbf630f89e49b835a376dee2e15e854a1e793ad68eaa982e", "M": 4, "efc": 40, "target": 0.45, "pilot": {"M": 4, "efc": 40, "ef": 22, "recall": 0.45499999999999996, "valid": true, "pilot": "/mnt/d/paper_source/work_9/VeriANN_repro_2026-09-30/VeriANN_repro_2026-09-30/results/work9-annproof-low-adjusted-20261021/pilots/deep1m-M4-efc40"}}</t>
        </is>
      </c>
    </row>
    <row r="504">
      <c r="A504" s="0" t="inlineStr">
        <is>
          <t>DEEP1M</t>
        </is>
      </c>
      <c r="B504" s="0" t="inlineStr">
        <is>
          <t>M51</t>
        </is>
      </c>
      <c r="C504" s="0" t="n">
        <v>71</v>
      </c>
      <c r="D504" s="0" t="n">
        <v>51</v>
      </c>
      <c r="E504" s="0" t="inlineStr">
        <is>
          <t>本次真实补测：20条查询IDs100..119×3次，单线程；实际召回率不乘系数。
{"k": 10, "ef": 27, "probes": 1, "recall": 0.51, "query_ms": 0.6595532666666667, "verify_ms": 3.472809433333333, "vo_kb": 234.017, "samples": 60, "status": "passed", "output": "/mnt/d/paper_source/work_9/VeriANN_repro_2026-09-30/VeriANN_repro_2026-09-30/results/work9-annproof-low-adjusted-20261021/measurements/deep1m-M4-efc40", "csv_sha256": "64322b64fff23e34bbf630f89e49b835a376dee2e15e854a1e793ad68eaa982e", "M": 4, "efc": 40, "target": 0.5, "pilot": {"M": 4, "efc": 40, "ef": 27, "recall": 0.51, "valid": true, "pilot": "/mnt/d/paper_source/work_9/VeriANN_repro_2026-09-30/VeriANN_repro_2026-09-30/results/work9-annproof-low-adjusted-20261021/pilots/deep1m-M4-efc40"}}</t>
        </is>
      </c>
    </row>
    <row r="505">
      <c r="A505" s="0" t="inlineStr">
        <is>
          <t>DEEP1M</t>
        </is>
      </c>
      <c r="B505" s="0" t="inlineStr">
        <is>
          <t>M52</t>
        </is>
      </c>
      <c r="C505" s="0" t="n">
        <v>1.04057065</v>
      </c>
      <c r="D505" s="0" t="n">
        <v>0.659553266666667</v>
      </c>
      <c r="E505" s="0" t="inlineStr">
        <is>
          <t>本单元格先替换为本次原始测量，随后按统一系数调整。
{"k": 10, "ef": 27, "probes": 1, "recall": 0.51, "query_ms": 0.6595532666666667, "verify_ms": 3.472809433333333, "vo_kb": 234.017, "samples": 60, "status": "passed", "output": "/mnt/d/paper_source/work_9/VeriANN_repro_2026-09-30/VeriANN_repro_2026-09-30/results/work9-annproof-low-adjusted-20261021/measurements/deep1m-M4-efc40", "csv_sha256": "64322b64fff23e34bbf630f89e49b835a376dee2e15e854a1e793ad68eaa982e", "M": 4, "efc": 40, "target": 0.5, "pilot": {"M": 4, "efc": 40, "ef": 27, "recall": 0.51, "valid": true, "pilot": "/mnt/d/paper_source/work_9/VeriANN_repro_2026-09-30/VeriANN_repro_2026-09-30/results/work9-annproof-low-adjusted-20261021/pilots/deep1m-M4-efc40"}}</t>
        </is>
      </c>
    </row>
    <row r="506">
      <c r="A506" s="0" t="inlineStr">
        <is>
          <t>DEEP1M</t>
        </is>
      </c>
      <c r="B506" s="0" t="inlineStr">
        <is>
          <t>N51</t>
        </is>
      </c>
      <c r="C506" s="0" t="n">
        <v>71</v>
      </c>
      <c r="D506" s="0" t="n">
        <v>55</v>
      </c>
      <c r="E506" s="0" t="inlineStr">
        <is>
          <t>本次真实补测：20条查询IDs100..119×3次，单线程；实际召回率不乘系数。
{"k": 10, "ef": 12, "probes": 1, "recall": 0.55, "query_ms": 0.7401176666666668, "verify_ms": 3.6383341000000002, "vo_kb": 264.5596, "samples": 60, "status": "passed", "output": "/mnt/d/paper_source/work_9/VeriANN_repro_2026-09-30/VeriANN_repro_2026-09-30/results/work9-annproof-low-adjusted-20261021/measurements/deep1m-M8-efc80", "csv_sha256": "ebcbc85e95ba8786d2d7a719691a8dec2bf1af50e4ccad3fabb11e72d216ba0f", "M": 8, "efc": 80, "target": 0.55, "pilot": {"M": 8, "efc": 80, "ef": 12, "recall": 0.55, "valid": true, "pilot": "/mnt/d/paper_source/work_9/VeriANN_repro_2026-09-30/VeriANN_repro_2026-09-30/results/work9-annproof-low-adjusted-20261021/pilots/deep1m-M8-efc80"}}</t>
        </is>
      </c>
    </row>
    <row r="507">
      <c r="A507" s="0" t="inlineStr">
        <is>
          <t>DEEP1M</t>
        </is>
      </c>
      <c r="B507" s="0" t="inlineStr">
        <is>
          <t>N52</t>
        </is>
      </c>
      <c r="C507" s="0" t="n">
        <v>1.04057065</v>
      </c>
      <c r="D507" s="0" t="n">
        <v>0.740117666666667</v>
      </c>
      <c r="E507" s="0" t="inlineStr">
        <is>
          <t>本单元格先替换为本次原始测量，随后按统一系数调整。
{"k": 10, "ef": 12, "probes": 1, "recall": 0.55, "query_ms": 0.7401176666666668, "verify_ms": 3.6383341000000002, "vo_kb": 264.5596, "samples": 60, "status": "passed", "output": "/mnt/d/paper_source/work_9/VeriANN_repro_2026-09-30/VeriANN_repro_2026-09-30/results/work9-annproof-low-adjusted-20261021/measurements/deep1m-M8-efc80", "csv_sha256": "ebcbc85e95ba8786d2d7a719691a8dec2bf1af50e4ccad3fabb11e72d216ba0f", "M": 8, "efc": 80, "target": 0.55, "pilot": {"M": 8, "efc": 80, "ef": 12, "recall": 0.55, "valid": true, "pilot": "/mnt/d/paper_source/work_9/VeriANN_repro_2026-09-30/VeriANN_repro_2026-09-30/results/work9-annproof-low-adjusted-20261021/pilots/deep1m-M8-efc80"}}</t>
        </is>
      </c>
    </row>
    <row r="508">
      <c r="A508" s="0" t="inlineStr">
        <is>
          <t>DEEP1M</t>
        </is>
      </c>
      <c r="B508" s="0" t="inlineStr">
        <is>
          <t>O51</t>
        </is>
      </c>
      <c r="C508" s="0" t="n">
        <v>71</v>
      </c>
      <c r="D508" s="0" t="n">
        <v>62</v>
      </c>
      <c r="E508" s="0" t="inlineStr">
        <is>
          <t>本次真实补测：20条查询IDs100..119×3次，单线程；实际召回率不乘系数。
{"k": 10, "ef": 13, "probes": 1, "recall": 0.62, "query_ms": 0.7682084499999999, "verify_ms": 3.9775908666666666, "vo_kb": 289.138, "samples": 60, "status": "passed", "output": "/mnt/d/paper_source/work_9/VeriANN_repro_2026-09-30/VeriANN_repro_2026-09-30/results/work9-annproof-low-adjusted-20261021/measurements/deep1m-M8-efc80", "csv_sha256": "ebcbc85e95ba8786d2d7a719691a8dec2bf1af50e4ccad3fabb11e72d216ba0f", "M": 8, "efc": 80, "target": 0.6, "pilot": {"M": 8, "efc": 80, "ef": 13, "recall": 0.62, "valid": true, "pilot": "/mnt/d/paper_source/work_9/VeriANN_repro_2026-09-30/VeriANN_repro_2026-09-30/results/work9-annproof-low-adjusted-20261021/pilots/deep1m-M8-efc80"}}</t>
        </is>
      </c>
    </row>
    <row r="509">
      <c r="A509" s="0" t="inlineStr">
        <is>
          <t>DEEP1M</t>
        </is>
      </c>
      <c r="B509" s="0" t="inlineStr">
        <is>
          <t>O52</t>
        </is>
      </c>
      <c r="C509" s="0" t="n">
        <v>0.9670758</v>
      </c>
      <c r="D509" s="0" t="n">
        <v>0.76820845</v>
      </c>
      <c r="E509" s="0" t="inlineStr">
        <is>
          <t>本单元格先替换为本次原始测量，随后按统一系数调整。
{"k": 10, "ef": 13, "probes": 1, "recall": 0.62, "query_ms": 0.7682084499999999, "verify_ms": 3.9775908666666666, "vo_kb": 289.138, "samples": 60, "status": "passed", "output": "/mnt/d/paper_source/work_9/VeriANN_repro_2026-09-30/VeriANN_repro_2026-09-30/results/work9-annproof-low-adjusted-20261021/measurements/deep1m-M8-efc80", "csv_sha256": "ebcbc85e95ba8786d2d7a719691a8dec2bf1af50e4ccad3fabb11e72d216ba0f", "M": 8, "efc": 80, "target": 0.6, "pilot": {"M": 8, "efc": 80, "ef": 13, "recall": 0.62, "valid": true, "pilot": "/mnt/d/paper_source/work_9/VeriANN_repro_2026-09-30/VeriANN_repro_2026-09-30/results/work9-annproof-low-adjusted-20261021/pilots/deep1m-M8-efc80"}}</t>
        </is>
      </c>
    </row>
    <row r="510">
      <c r="A510" s="0" t="inlineStr">
        <is>
          <t>DEEP1M</t>
        </is>
      </c>
      <c r="B510" s="0" t="inlineStr">
        <is>
          <t>P51</t>
        </is>
      </c>
      <c r="C510" s="0" t="n">
        <v>71</v>
      </c>
      <c r="D510" s="0" t="n">
        <v>65</v>
      </c>
      <c r="E510" s="0" t="inlineStr">
        <is>
          <t>本次真实补测：20条查询IDs100..119×3次，单线程；实际召回率不乘系数。
{"k": 10, "ef": 14, "probes": 1, "recall": 0.65, "query_ms": 0.8113282333333334, "verify_ms": 4.076508266666667, "vo_kb": 298.3958, "samples": 60, "status": "passed", "output": "/mnt/d/paper_source/work_9/VeriANN_repro_2026-09-30/VeriANN_repro_2026-09-30/results/work9-annproof-low-adjusted-20261021/measurements/deep1m-M8-efc80", "csv_sha256": "ebcbc85e95ba8786d2d7a719691a8dec2bf1af50e4ccad3fabb11e72d216ba0f", "M": 8, "efc": 80, "target": 0.65, "pilot": {"M": 8, "efc": 80, "ef": 14, "recall": 0.65, "valid": true, "pilot": "/mnt/d/paper_source/work_9/VeriANN_repro_2026-09-30/VeriANN_repro_2026-09-30/results/work9-annproof-low-adjusted-20261021/pilots/deep1m-M8-efc80"}}</t>
        </is>
      </c>
    </row>
    <row r="511">
      <c r="A511" s="0" t="inlineStr">
        <is>
          <t>DEEP1M</t>
        </is>
      </c>
      <c r="B511" s="0" t="inlineStr">
        <is>
          <t>P52</t>
        </is>
      </c>
      <c r="C511" s="0" t="n">
        <v>0.9670758</v>
      </c>
      <c r="D511" s="0" t="n">
        <v>0.811328233333333</v>
      </c>
      <c r="E511" s="0" t="inlineStr">
        <is>
          <t>本单元格先替换为本次原始测量，随后按统一系数调整。
{"k": 10, "ef": 14, "probes": 1, "recall": 0.65, "query_ms": 0.8113282333333334, "verify_ms": 4.076508266666667, "vo_kb": 298.3958, "samples": 60, "status": "passed", "output": "/mnt/d/paper_source/work_9/VeriANN_repro_2026-09-30/VeriANN_repro_2026-09-30/results/work9-annproof-low-adjusted-20261021/measurements/deep1m-M8-efc80", "csv_sha256": "ebcbc85e95ba8786d2d7a719691a8dec2bf1af50e4ccad3fabb11e72d216ba0f", "M": 8, "efc": 80, "target": 0.65, "pilot": {"M": 8, "efc": 80, "ef": 14, "recall": 0.65, "valid": true, "pilot": "/mnt/d/paper_source/work_9/VeriANN_repro_2026-09-30/VeriANN_repro_2026-09-30/results/work9-annproof-low-adjusted-20261021/pilots/deep1m-M8-efc80"}}</t>
        </is>
      </c>
    </row>
    <row r="512">
      <c r="A512" s="0" t="inlineStr">
        <is>
          <t>DEEP1M</t>
        </is>
      </c>
      <c r="B512" s="0" t="inlineStr">
        <is>
          <t>Q51</t>
        </is>
      </c>
      <c r="C512" s="0" t="n">
        <v>71</v>
      </c>
      <c r="D512" s="0" t="n">
        <v>71</v>
      </c>
      <c r="E512" s="0" t="inlineStr">
        <is>
          <t>本次真实补测：20条查询IDs100..119×3次，单线程；实际召回率不乘系数。
{"k": 10, "ef": 10, "probes": 1, "recall": 0.7100000000000001, "query_ms": 0.9685961333333334, "verify_ms": 5.043632633333333, "vo_kb": 386.5978, "samples": 60, "status": "passed", "output": "/mnt/d/paper_source/work_9/VeriANN_repro_2026-09-30/VeriANN_repro_2026-09-30/results/work9-annproof-low-adjusted-20261021/measurements/deep1m-M16-efc200", "csv_sha256": "23213d0e3a657578422b962265bec07fa47afcc0bc83a4aae6a51ed723a34e35", "M": 16, "efc": 200, "target": 0.7, "pilot": {"M": 16, "efc": 200, "ef": 10, "recall": 0.71, "valid": true, "pilot": "/mnt/d/paper_source/work_9/VeriANN_repro_2026-09-30/VeriANN_repro_2026-09-30/results/work9-annproof-low-adjusted-20261021/pilots/deep1m-M16-efc200"}}</t>
        </is>
      </c>
    </row>
    <row r="513">
      <c r="A513" s="0" t="inlineStr">
        <is>
          <t>DEEP1M</t>
        </is>
      </c>
      <c r="B513" s="0" t="inlineStr">
        <is>
          <t>Q52</t>
        </is>
      </c>
      <c r="C513" s="0" t="n">
        <v>0.9670758</v>
      </c>
      <c r="D513" s="0" t="n">
        <v>0.9685961333333331</v>
      </c>
      <c r="E513" s="0" t="inlineStr">
        <is>
          <t>本单元格先替换为本次原始测量，随后按统一系数调整。
{"k": 10, "ef": 10, "probes": 1, "recall": 0.7100000000000001, "query_ms": 0.9685961333333334, "verify_ms": 5.043632633333333, "vo_kb": 386.5978, "samples": 60, "status": "passed", "output": "/mnt/d/paper_source/work_9/VeriANN_repro_2026-09-30/VeriANN_repro_2026-09-30/results/work9-annproof-low-adjusted-20261021/measurements/deep1m-M16-efc200", "csv_sha256": "23213d0e3a657578422b962265bec07fa47afcc0bc83a4aae6a51ed723a34e35", "M": 16, "efc": 200, "target": 0.7, "pilot": {"M": 16, "efc": 200, "ef": 10, "recall": 0.71, "valid": true, "pilot": "/mnt/d/paper_source/work_9/VeriANN_repro_2026-09-30/VeriANN_repro_2026-09-30/results/work9-annproof-low-adjusted-20261021/pilots/deep1m-M16-efc200"}}</t>
        </is>
      </c>
    </row>
    <row r="514">
      <c r="A514" s="0" t="inlineStr">
        <is>
          <t>DEEP1M</t>
        </is>
      </c>
      <c r="B514" s="0" t="inlineStr">
        <is>
          <t>R51</t>
        </is>
      </c>
      <c r="C514" s="0" t="n">
        <v>78</v>
      </c>
      <c r="D514" s="0" t="n">
        <v>76</v>
      </c>
      <c r="E514" s="0" t="inlineStr">
        <is>
          <t>本次真实补测：20条查询IDs100..119×3次，单线程；实际召回率不乘系数。
{"k": 10, "ef": 13, "probes": 1, "recall": 0.76, "query_ms": 1.0781022833333334, "verify_ms": 5.69119435, "vo_kb": 439.3718, "samples": 60, "status": "passed", "output": "/mnt/d/paper_source/work_9/VeriANN_repro_2026-09-30/VeriANN_repro_2026-09-30/results/work9-annproof-low-adjusted-20261021/measurements/deep1m-M16-efc200", "csv_sha256": "23213d0e3a657578422b962265bec07fa47afcc0bc83a4aae6a51ed723a34e35", "M": 16, "efc": 200, "target": 0.75, "pilot": {"M": 16, "efc": 200, "ef": 13, "recall": 0.76, "valid": true, "pilot": "/mnt/d/paper_source/work_9/VeriANN_repro_2026-09-30/VeriANN_repro_2026-09-30/results/work9-annproof-low-adjusted-20261021/pilots/deep1m-M16-efc200"}}</t>
        </is>
      </c>
    </row>
    <row r="515">
      <c r="A515" s="0" t="inlineStr">
        <is>
          <t>DEEP1M</t>
        </is>
      </c>
      <c r="B515" s="0" t="inlineStr">
        <is>
          <t>R52</t>
        </is>
      </c>
      <c r="C515" s="0" t="n">
        <v>1.19571215</v>
      </c>
      <c r="D515" s="0" t="n">
        <v>1.07810228333333</v>
      </c>
      <c r="E515" s="0" t="inlineStr">
        <is>
          <t>本单元格先替换为本次原始测量，随后按统一系数调整。
{"k": 10, "ef": 13, "probes": 1, "recall": 0.76, "query_ms": 1.0781022833333334, "verify_ms": 5.69119435, "vo_kb": 439.3718, "samples": 60, "status": "passed", "output": "/mnt/d/paper_source/work_9/VeriANN_repro_2026-09-30/VeriANN_repro_2026-09-30/results/work9-annproof-low-adjusted-20261021/measurements/deep1m-M16-efc200", "csv_sha256": "23213d0e3a657578422b962265bec07fa47afcc0bc83a4aae6a51ed723a34e35", "M": 16, "efc": 200, "target": 0.75, "pilot": {"M": 16, "efc": 200, "ef": 13, "recall": 0.76, "valid": true, "pilot": "/mnt/d/paper_source/work_9/VeriANN_repro_2026-09-30/VeriANN_repro_2026-09-30/results/work9-annproof-low-adjusted-20261021/pilots/deep1m-M16-efc200"}}</t>
        </is>
      </c>
    </row>
    <row r="516">
      <c r="A516" s="0" t="inlineStr">
        <is>
          <t>DEEP1M</t>
        </is>
      </c>
      <c r="B516" s="0" t="inlineStr">
        <is>
          <t>S51</t>
        </is>
      </c>
      <c r="C516" s="0" t="n">
        <v>82.5</v>
      </c>
      <c r="D516" s="0" t="n">
        <v>80</v>
      </c>
      <c r="E516" s="0" t="inlineStr">
        <is>
          <t>本次真实补测：20条查询IDs100..119×3次，单线程；实际召回率不乘系数。
{"k": 10, "ef": 17, "probes": 1, "recall": 0.8, "query_ms": 1.2486418333333333, "verify_ms": 6.657108383333334, "vo_kb": 508.8854, "samples": 60, "status": "passed", "output": "/mnt/d/paper_source/work_9/VeriANN_repro_2026-09-30/VeriANN_repro_2026-09-30/results/work9-annproof-low-adjusted-20261021/measurements/deep1m-M16-efc200", "csv_sha256": "23213d0e3a657578422b962265bec07fa47afcc0bc83a4aae6a51ed723a34e35", "M": 16, "efc": 200, "target": 0.8, "pilot": {"M": 16, "efc": 200, "ef": 17, "recall": 0.8, "valid": true, "pilot": "/mnt/d/paper_source/work_9/VeriANN_repro_2026-09-30/VeriANN_repro_2026-09-30/results/work9-annproof-low-adjusted-20261021/pilots/deep1m-M16-efc200"}}</t>
        </is>
      </c>
    </row>
    <row r="517">
      <c r="A517" s="0" t="inlineStr">
        <is>
          <t>DEEP1M</t>
        </is>
      </c>
      <c r="B517" s="0" t="inlineStr">
        <is>
          <t>S52</t>
        </is>
      </c>
      <c r="C517" s="0" t="n">
        <v>1.34739523333333</v>
      </c>
      <c r="D517" s="0" t="n">
        <v>1.24864183333333</v>
      </c>
      <c r="E517" s="0" t="inlineStr">
        <is>
          <t>本单元格先替换为本次原始测量，随后按统一系数调整。
{"k": 10, "ef": 17, "probes": 1, "recall": 0.8, "query_ms": 1.2486418333333333, "verify_ms": 6.657108383333334, "vo_kb": 508.8854, "samples": 60, "status": "passed", "output": "/mnt/d/paper_source/work_9/VeriANN_repro_2026-09-30/VeriANN_repro_2026-09-30/results/work9-annproof-low-adjusted-20261021/measurements/deep1m-M16-efc200", "csv_sha256": "23213d0e3a657578422b962265bec07fa47afcc0bc83a4aae6a51ed723a34e35", "M": 16, "efc": 200, "target": 0.8, "pilot": {"M": 16, "efc": 200, "ef": 17, "recall": 0.8, "valid": true, "pilot": "/mnt/d/paper_source/work_9/VeriANN_repro_2026-09-30/VeriANN_repro_2026-09-30/results/work9-annproof-low-adjusted-20261021/pilots/deep1m-M16-efc200"}}</t>
        </is>
      </c>
    </row>
    <row r="518">
      <c r="A518" s="0" t="inlineStr">
        <is>
          <t>DEEP1M</t>
        </is>
      </c>
      <c r="B518" s="0" t="inlineStr">
        <is>
          <t>F10</t>
        </is>
      </c>
      <c r="C518" s="0" t="n">
        <v>3.15865693333333</v>
      </c>
      <c r="D518" s="0" t="n">
        <v>3.79038831999999</v>
      </c>
      <c r="E518" s="0" t="inlineStr">
        <is>
          <t>用户指定系数调整值；不是原始实测数值。指标=query_ms；原始值=3.1586569333333299；系数=1.2；调整值=3.7903883199999955。召回率不调整。原始CSV/附表保留。</t>
        </is>
      </c>
    </row>
    <row r="519">
      <c r="A519" s="0" t="inlineStr">
        <is>
          <t>DEEP1M</t>
        </is>
      </c>
      <c r="B519" s="0" t="inlineStr">
        <is>
          <t>G10</t>
        </is>
      </c>
      <c r="C519" s="0" t="n">
        <v>1154.7938</v>
      </c>
      <c r="D519" s="0" t="n">
        <v>2309.5876</v>
      </c>
      <c r="E519" s="0" t="inlineStr">
        <is>
          <t>用户指定系数调整值；不是原始实测数值。指标=vo_kb；原始值=1154.7937999999999；系数=2.0；调整值=2309.5875999999998。召回率不调整。原始CSV/附表保留。</t>
        </is>
      </c>
    </row>
    <row r="520">
      <c r="A520" s="0" t="inlineStr">
        <is>
          <t>DEEP1M</t>
        </is>
      </c>
      <c r="B520" s="0" t="inlineStr">
        <is>
          <t>H10</t>
        </is>
      </c>
      <c r="C520" s="0" t="n">
        <v>15.4261976166667</v>
      </c>
      <c r="D520" s="0" t="n">
        <v>23.1392964250001</v>
      </c>
      <c r="E520" s="0" t="inlineStr">
        <is>
          <t>用户指定系数调整值；不是原始实测数值。指标=verify_ms；原始值=15.4261976166667；系数=1.5；调整值=23.139296425000051。召回率不调整。原始CSV/附表保留。</t>
        </is>
      </c>
    </row>
    <row r="521">
      <c r="A521" s="0" t="inlineStr">
        <is>
          <t>DEEP1M</t>
        </is>
      </c>
      <c r="B521" s="0" t="inlineStr">
        <is>
          <t>F24</t>
        </is>
      </c>
      <c r="C521" s="0" t="n">
        <v>386.5978</v>
      </c>
      <c r="D521" s="0" t="n">
        <v>773.1956</v>
      </c>
      <c r="E521" s="0" t="inlineStr">
        <is>
          <t>用户指定系数调整值；不是原始实测数值。指标=vo_kb；原始值=386.59780000000001；系数=2.0；调整值=773.19560000000001。召回率不调整。原始CSV/附表保留。</t>
        </is>
      </c>
    </row>
    <row r="522">
      <c r="A522" s="0" t="inlineStr">
        <is>
          <t>DEEP1M</t>
        </is>
      </c>
      <c r="B522" s="0" t="inlineStr">
        <is>
          <t>G24</t>
        </is>
      </c>
      <c r="C522" s="0" t="n">
        <v>386.5978</v>
      </c>
      <c r="D522" s="0" t="n">
        <v>773.1956</v>
      </c>
      <c r="E522" s="0" t="inlineStr">
        <is>
          <t>用户指定系数调整值；不是原始实测数值。指标=vo_kb；原始值=386.59780000000001；系数=2.0；调整值=773.19560000000001。召回率不调整。原始CSV/附表保留。</t>
        </is>
      </c>
    </row>
    <row r="523">
      <c r="A523" s="0" t="inlineStr">
        <is>
          <t>DEEP1M</t>
        </is>
      </c>
      <c r="B523" s="0" t="inlineStr">
        <is>
          <t>H24</t>
        </is>
      </c>
      <c r="C523" s="0" t="n">
        <v>386.5978</v>
      </c>
      <c r="D523" s="0" t="n">
        <v>773.1956</v>
      </c>
      <c r="E523" s="0" t="inlineStr">
        <is>
          <t>用户指定系数调整值；不是原始实测数值。指标=vo_kb；原始值=386.59780000000001；系数=2.0；调整值=773.19560000000001。召回率不调整。原始CSV/附表保留。</t>
        </is>
      </c>
    </row>
    <row r="524">
      <c r="A524" s="0" t="inlineStr">
        <is>
          <t>DEEP1M</t>
        </is>
      </c>
      <c r="B524" s="0" t="inlineStr">
        <is>
          <t>I24</t>
        </is>
      </c>
      <c r="C524" s="0" t="n">
        <v>386.5978</v>
      </c>
      <c r="D524" s="0" t="n">
        <v>773.1956</v>
      </c>
      <c r="E524" s="0" t="inlineStr">
        <is>
          <t>用户指定系数调整值；不是原始实测数值。指标=vo_kb；原始值=386.59780000000001；系数=2.0；调整值=773.19560000000001。召回率不调整。原始CSV/附表保留。</t>
        </is>
      </c>
    </row>
    <row r="525">
      <c r="A525" s="0" t="inlineStr">
        <is>
          <t>DEEP1M</t>
        </is>
      </c>
      <c r="B525" s="0" t="inlineStr">
        <is>
          <t>J24</t>
        </is>
      </c>
      <c r="C525" s="0" t="n">
        <v>386.5978</v>
      </c>
      <c r="D525" s="0" t="n">
        <v>773.1956</v>
      </c>
      <c r="E525" s="0" t="inlineStr">
        <is>
          <t>用户指定系数调整值；不是原始实测数值。指标=vo_kb；原始值=386.59780000000001；系数=2.0；调整值=773.19560000000001。召回率不调整。原始CSV/附表保留。</t>
        </is>
      </c>
    </row>
    <row r="526">
      <c r="A526" s="0" t="inlineStr">
        <is>
          <t>DEEP1M</t>
        </is>
      </c>
      <c r="B526" s="0" t="inlineStr">
        <is>
          <t>K24</t>
        </is>
      </c>
      <c r="C526" s="0" t="n">
        <v>173.3444</v>
      </c>
      <c r="D526" s="0" t="n">
        <v>346.6888</v>
      </c>
      <c r="E526" s="0" t="inlineStr">
        <is>
          <t>用户指定系数调整值；不是原始实测数值。指标=vo_kb；原始值=173.34440000000001；系数=2.0；调整值=346.68880000000001。召回率不调整。原始CSV/附表保留。</t>
        </is>
      </c>
    </row>
    <row r="527">
      <c r="A527" s="0" t="inlineStr">
        <is>
          <t>DEEP1M</t>
        </is>
      </c>
      <c r="B527" s="0" t="inlineStr">
        <is>
          <t>L24</t>
        </is>
      </c>
      <c r="C527" s="0" t="n">
        <v>207.914</v>
      </c>
      <c r="D527" s="0" t="n">
        <v>415.828</v>
      </c>
      <c r="E527" s="0" t="inlineStr">
        <is>
          <t>用户指定系数调整值；不是原始实测数值。指标=vo_kb；原始值=207.91399999999999；系数=2.0；调整值=415.82799999999997。召回率不调整。原始CSV/附表保留。</t>
        </is>
      </c>
    </row>
    <row r="528">
      <c r="A528" s="0" t="inlineStr">
        <is>
          <t>DEEP1M</t>
        </is>
      </c>
      <c r="B528" s="0" t="inlineStr">
        <is>
          <t>M24</t>
        </is>
      </c>
      <c r="C528" s="0" t="n">
        <v>234.017</v>
      </c>
      <c r="D528" s="0" t="n">
        <v>468.034</v>
      </c>
      <c r="E528" s="0" t="inlineStr">
        <is>
          <t>用户指定系数调整值；不是原始实测数值。指标=vo_kb；原始值=234.017；系数=2.0；调整值=468.03399999999999。召回率不调整。原始CSV/附表保留。</t>
        </is>
      </c>
    </row>
    <row r="529">
      <c r="A529" s="0" t="inlineStr">
        <is>
          <t>DEEP1M</t>
        </is>
      </c>
      <c r="B529" s="0" t="inlineStr">
        <is>
          <t>N24</t>
        </is>
      </c>
      <c r="C529" s="0" t="n">
        <v>264.5596</v>
      </c>
      <c r="D529" s="0" t="n">
        <v>529.1192</v>
      </c>
      <c r="E529" s="0" t="inlineStr">
        <is>
          <t>用户指定系数调整值；不是原始实测数值。指标=vo_kb；原始值=264.55959999999999；系数=2.0；调整值=529.11919999999998。召回率不调整。原始CSV/附表保留。</t>
        </is>
      </c>
    </row>
    <row r="530">
      <c r="A530" s="0" t="inlineStr">
        <is>
          <t>DEEP1M</t>
        </is>
      </c>
      <c r="B530" s="0" t="inlineStr">
        <is>
          <t>O24</t>
        </is>
      </c>
      <c r="C530" s="0" t="n">
        <v>289.138</v>
      </c>
      <c r="D530" s="0" t="n">
        <v>578.276</v>
      </c>
      <c r="E530" s="0" t="inlineStr">
        <is>
          <t>用户指定系数调整值；不是原始实测数值。指标=vo_kb；原始值=289.13799999999998；系数=2.0；调整值=578.27599999999995。召回率不调整。原始CSV/附表保留。</t>
        </is>
      </c>
    </row>
    <row r="531">
      <c r="A531" s="0" t="inlineStr">
        <is>
          <t>DEEP1M</t>
        </is>
      </c>
      <c r="B531" s="0" t="inlineStr">
        <is>
          <t>P24</t>
        </is>
      </c>
      <c r="C531" s="0" t="n">
        <v>298.3958</v>
      </c>
      <c r="D531" s="0" t="n">
        <v>596.7916</v>
      </c>
      <c r="E531" s="0" t="inlineStr">
        <is>
          <t>用户指定系数调整值；不是原始实测数值。指标=vo_kb；原始值=298.39580000000001；系数=2.0；调整值=596.79160000000002。召回率不调整。原始CSV/附表保留。</t>
        </is>
      </c>
    </row>
    <row r="532">
      <c r="A532" s="0" t="inlineStr">
        <is>
          <t>DEEP1M</t>
        </is>
      </c>
      <c r="B532" s="0" t="inlineStr">
        <is>
          <t>Q24</t>
        </is>
      </c>
      <c r="C532" s="0" t="n">
        <v>386.5978</v>
      </c>
      <c r="D532" s="0" t="n">
        <v>773.1956</v>
      </c>
      <c r="E532" s="0" t="inlineStr">
        <is>
          <t>用户指定系数调整值；不是原始实测数值。指标=vo_kb；原始值=386.59780000000001；系数=2.0；调整值=773.19560000000001。召回率不调整。原始CSV/附表保留。</t>
        </is>
      </c>
    </row>
    <row r="533">
      <c r="A533" s="0" t="inlineStr">
        <is>
          <t>DEEP1M</t>
        </is>
      </c>
      <c r="B533" s="0" t="inlineStr">
        <is>
          <t>R24</t>
        </is>
      </c>
      <c r="C533" s="0" t="n">
        <v>439.3718</v>
      </c>
      <c r="D533" s="0" t="n">
        <v>878.7436</v>
      </c>
      <c r="E533" s="0" t="inlineStr">
        <is>
          <t>用户指定系数调整值；不是原始实测数值。指标=vo_kb；原始值=439.37180000000001；系数=2.0；调整值=878.74360000000001。召回率不调整。原始CSV/附表保留。</t>
        </is>
      </c>
    </row>
    <row r="534">
      <c r="A534" s="0" t="inlineStr">
        <is>
          <t>DEEP1M</t>
        </is>
      </c>
      <c r="B534" s="0" t="inlineStr">
        <is>
          <t>S24</t>
        </is>
      </c>
      <c r="C534" s="0" t="n">
        <v>508.8854</v>
      </c>
      <c r="D534" s="0" t="n">
        <v>1017.7708</v>
      </c>
      <c r="E534" s="0" t="inlineStr">
        <is>
          <t>用户指定系数调整值；不是原始实测数值。指标=vo_kb；原始值=508.8854；系数=2.0；调整值=1017.7708。召回率不调整。原始CSV/附表保留。</t>
        </is>
      </c>
    </row>
    <row r="535">
      <c r="A535" s="0" t="inlineStr">
        <is>
          <t>DEEP1M</t>
        </is>
      </c>
      <c r="B535" s="0" t="inlineStr">
        <is>
          <t>T24</t>
        </is>
      </c>
      <c r="C535" s="0" t="n">
        <v>615.9464</v>
      </c>
      <c r="D535" s="0" t="n">
        <v>1231.8928</v>
      </c>
      <c r="E535" s="0" t="inlineStr">
        <is>
          <t>用户指定系数调整值；不是原始实测数值。指标=vo_kb；原始值=615.94640000000004；系数=2.0；调整值=1231.8928000000001。召回率不调整。原始CSV/附表保留。</t>
        </is>
      </c>
    </row>
    <row r="536">
      <c r="A536" s="0" t="inlineStr">
        <is>
          <t>DEEP1M</t>
        </is>
      </c>
      <c r="B536" s="0" t="inlineStr">
        <is>
          <t>U24</t>
        </is>
      </c>
      <c r="C536" s="0" t="n">
        <v>944.128</v>
      </c>
      <c r="D536" s="0" t="n">
        <v>1888.256</v>
      </c>
      <c r="E536" s="0" t="inlineStr">
        <is>
          <t>用户指定系数调整值；不是原始实测数值。指标=vo_kb；原始值=944.12800000000004；系数=2.0；调整值=1888.2560000000001。召回率不调整。原始CSV/附表保留。</t>
        </is>
      </c>
    </row>
    <row r="537">
      <c r="A537" s="0" t="inlineStr">
        <is>
          <t>DEEP1M</t>
        </is>
      </c>
      <c r="B537" s="0" t="inlineStr">
        <is>
          <t>V24</t>
        </is>
      </c>
      <c r="C537" s="0" t="n">
        <v>1154.7938</v>
      </c>
      <c r="D537" s="0" t="n">
        <v>2309.5876</v>
      </c>
      <c r="E537" s="0" t="inlineStr">
        <is>
          <t>用户指定系数调整值；不是原始实测数值。指标=vo_kb；原始值=1154.7937999999999；系数=2.0；调整值=2309.5875999999998。召回率不调整。原始CSV/附表保留。</t>
        </is>
      </c>
    </row>
    <row r="538">
      <c r="A538" s="0" t="inlineStr">
        <is>
          <t>DEEP1M</t>
        </is>
      </c>
      <c r="B538" s="0" t="inlineStr">
        <is>
          <t>W24</t>
        </is>
      </c>
      <c r="C538" s="0" t="n">
        <v>1154.7938</v>
      </c>
      <c r="D538" s="0" t="n">
        <v>2309.5876</v>
      </c>
      <c r="E538" s="0" t="inlineStr">
        <is>
          <t>用户指定系数调整值；不是原始实测数值。指标=vo_kb；原始值=1154.7937999999999；系数=2.0；调整值=2309.5875999999998。召回率不调整。原始CSV/附表保留。</t>
        </is>
      </c>
    </row>
    <row r="539">
      <c r="A539" s="0" t="inlineStr">
        <is>
          <t>DEEP1M</t>
        </is>
      </c>
      <c r="B539" s="0" t="inlineStr">
        <is>
          <t>X24</t>
        </is>
      </c>
      <c r="C539" s="0" t="n">
        <v>1538.7078</v>
      </c>
      <c r="D539" s="0" t="n">
        <v>3077.4156</v>
      </c>
      <c r="E539" s="0" t="inlineStr">
        <is>
          <t>用户指定系数调整值；不是原始实测数值。指标=vo_kb；原始值=1538.7077999999999；系数=2.0；调整值=3077.4155999999998。召回率不调整。原始CSV/附表保留。</t>
        </is>
      </c>
    </row>
    <row r="540">
      <c r="A540" s="0" t="inlineStr">
        <is>
          <t>DEEP1M</t>
        </is>
      </c>
      <c r="B540" s="0" t="inlineStr">
        <is>
          <t>Y24</t>
        </is>
      </c>
      <c r="C540" s="0" t="n">
        <v>1538.7078</v>
      </c>
      <c r="D540" s="0" t="n">
        <v>3077.4156</v>
      </c>
      <c r="E540" s="0" t="inlineStr">
        <is>
          <t>用户指定系数调整值；不是原始实测数值。指标=vo_kb；原始值=1538.7077999999999；系数=2.0；调整值=3077.4155999999998。召回率不调整。原始CSV/附表保留。</t>
        </is>
      </c>
    </row>
    <row r="541">
      <c r="A541" s="0" t="inlineStr">
        <is>
          <t>DEEP1M</t>
        </is>
      </c>
      <c r="B541" s="0" t="inlineStr">
        <is>
          <t>F38</t>
        </is>
      </c>
      <c r="C541" s="0" t="n">
        <v>5.200713</v>
      </c>
      <c r="D541" s="0" t="n">
        <v>7.8010695</v>
      </c>
      <c r="E541" s="0" t="inlineStr">
        <is>
          <t>用户指定系数调整值；不是原始实测数值。指标=verify_ms；原始值=5.2007130000000004；系数=1.5；调整值=7.8010695000000005。召回率不调整。原始CSV/附表保留。</t>
        </is>
      </c>
    </row>
    <row r="542">
      <c r="A542" s="0" t="inlineStr">
        <is>
          <t>DEEP1M</t>
        </is>
      </c>
      <c r="B542" s="0" t="inlineStr">
        <is>
          <t>G38</t>
        </is>
      </c>
      <c r="C542" s="0" t="n">
        <v>5.200713</v>
      </c>
      <c r="D542" s="0" t="n">
        <v>7.8010695</v>
      </c>
      <c r="E542" s="0" t="inlineStr">
        <is>
          <t>用户指定系数调整值；不是原始实测数值。指标=verify_ms；原始值=5.2007130000000004；系数=1.5；调整值=7.8010695000000005。召回率不调整。原始CSV/附表保留。</t>
        </is>
      </c>
    </row>
    <row r="543">
      <c r="A543" s="0" t="inlineStr">
        <is>
          <t>DEEP1M</t>
        </is>
      </c>
      <c r="B543" s="0" t="inlineStr">
        <is>
          <t>H38</t>
        </is>
      </c>
      <c r="C543" s="0" t="n">
        <v>5.200713</v>
      </c>
      <c r="D543" s="0" t="n">
        <v>7.8010695</v>
      </c>
      <c r="E543" s="0" t="inlineStr">
        <is>
          <t>用户指定系数调整值；不是原始实测数值。指标=verify_ms；原始值=5.2007130000000004；系数=1.5；调整值=7.8010695000000005。召回率不调整。原始CSV/附表保留。</t>
        </is>
      </c>
    </row>
    <row r="544">
      <c r="A544" s="0" t="inlineStr">
        <is>
          <t>DEEP1M</t>
        </is>
      </c>
      <c r="B544" s="0" t="inlineStr">
        <is>
          <t>I38</t>
        </is>
      </c>
      <c r="C544" s="0" t="n">
        <v>5.200713</v>
      </c>
      <c r="D544" s="0" t="n">
        <v>7.8010695</v>
      </c>
      <c r="E544" s="0" t="inlineStr">
        <is>
          <t>用户指定系数调整值；不是原始实测数值。指标=verify_ms；原始值=5.2007130000000004；系数=1.5；调整值=7.8010695000000005。召回率不调整。原始CSV/附表保留。</t>
        </is>
      </c>
    </row>
    <row r="545">
      <c r="A545" s="0" t="inlineStr">
        <is>
          <t>DEEP1M</t>
        </is>
      </c>
      <c r="B545" s="0" t="inlineStr">
        <is>
          <t>J38</t>
        </is>
      </c>
      <c r="C545" s="0" t="n">
        <v>5.200713</v>
      </c>
      <c r="D545" s="0" t="n">
        <v>7.8010695</v>
      </c>
      <c r="E545" s="0" t="inlineStr">
        <is>
          <t>用户指定系数调整值；不是原始实测数值。指标=verify_ms；原始值=5.2007130000000004；系数=1.5；调整值=7.8010695000000005。召回率不调整。原始CSV/附表保留。</t>
        </is>
      </c>
    </row>
    <row r="546">
      <c r="A546" s="0" t="inlineStr">
        <is>
          <t>DEEP1M</t>
        </is>
      </c>
      <c r="B546" s="0" t="inlineStr">
        <is>
          <t>K38</t>
        </is>
      </c>
      <c r="C546" s="0" t="n">
        <v>2.41002113333333</v>
      </c>
      <c r="D546" s="0" t="n">
        <v>3.6150317</v>
      </c>
      <c r="E546" s="0" t="inlineStr">
        <is>
          <t>用户指定系数调整值；不是原始实测数值。指标=verify_ms；原始值=2.4100211333333332；系数=1.5；调整值=3.6150316999999998。召回率不调整。原始CSV/附表保留。</t>
        </is>
      </c>
    </row>
    <row r="547">
      <c r="A547" s="0" t="inlineStr">
        <is>
          <t>DEEP1M</t>
        </is>
      </c>
      <c r="B547" s="0" t="inlineStr">
        <is>
          <t>L38</t>
        </is>
      </c>
      <c r="C547" s="0" t="n">
        <v>2.94130486666667</v>
      </c>
      <c r="D547" s="0" t="n">
        <v>4.4119573</v>
      </c>
      <c r="E547" s="0" t="inlineStr">
        <is>
          <t>用户指定系数调整值；不是原始实测数值。指标=verify_ms；原始值=2.941304866666667；系数=1.5；调整值=4.411957300000001。召回率不调整。原始CSV/附表保留。</t>
        </is>
      </c>
    </row>
    <row r="548">
      <c r="A548" s="0" t="inlineStr">
        <is>
          <t>DEEP1M</t>
        </is>
      </c>
      <c r="B548" s="0" t="inlineStr">
        <is>
          <t>M38</t>
        </is>
      </c>
      <c r="C548" s="0" t="n">
        <v>3.47280943333333</v>
      </c>
      <c r="D548" s="0" t="n">
        <v>5.20921415</v>
      </c>
      <c r="E548" s="0" t="inlineStr">
        <is>
          <t>用户指定系数调整值；不是原始实测数值。指标=verify_ms；原始值=3.472809433333333；系数=1.5；调整值=5.2092141499999993。召回率不调整。原始CSV/附表保留。</t>
        </is>
      </c>
    </row>
    <row r="549">
      <c r="A549" s="0" t="inlineStr">
        <is>
          <t>DEEP1M</t>
        </is>
      </c>
      <c r="B549" s="0" t="inlineStr">
        <is>
          <t>N38</t>
        </is>
      </c>
      <c r="C549" s="0" t="n">
        <v>3.6383341</v>
      </c>
      <c r="D549" s="0" t="n">
        <v>5.45750115</v>
      </c>
      <c r="E549" s="0" t="inlineStr">
        <is>
          <t>用户指定系数调整值；不是原始实测数值。指标=verify_ms；原始值=3.6383341000000002；系数=1.5；调整值=5.4575011500000006。召回率不调整。原始CSV/附表保留。</t>
        </is>
      </c>
    </row>
    <row r="550">
      <c r="A550" s="0" t="inlineStr">
        <is>
          <t>DEEP1M</t>
        </is>
      </c>
      <c r="B550" s="0" t="inlineStr">
        <is>
          <t>O38</t>
        </is>
      </c>
      <c r="C550" s="0" t="n">
        <v>3.97759086666667</v>
      </c>
      <c r="D550" s="0" t="n">
        <v>5.9663863</v>
      </c>
      <c r="E550" s="0" t="inlineStr">
        <is>
          <t>用户指定系数调整值；不是原始实测数值。指标=verify_ms；原始值=3.9775908666666666；系数=1.5；调整值=5.9663862999999999。召回率不调整。原始CSV/附表保留。</t>
        </is>
      </c>
    </row>
    <row r="551">
      <c r="A551" s="0" t="inlineStr">
        <is>
          <t>DEEP1M</t>
        </is>
      </c>
      <c r="B551" s="0" t="inlineStr">
        <is>
          <t>P38</t>
        </is>
      </c>
      <c r="C551" s="0" t="n">
        <v>4.07650826666667</v>
      </c>
      <c r="D551" s="0" t="n">
        <v>6.1147624</v>
      </c>
      <c r="E551" s="0" t="inlineStr">
        <is>
          <t>用户指定系数调整值；不是原始实测数值。指标=verify_ms；原始值=4.076508266666667；系数=1.5；调整值=6.1147624。召回率不调整。原始CSV/附表保留。</t>
        </is>
      </c>
    </row>
    <row r="552">
      <c r="A552" s="0" t="inlineStr">
        <is>
          <t>DEEP1M</t>
        </is>
      </c>
      <c r="B552" s="0" t="inlineStr">
        <is>
          <t>Q38</t>
        </is>
      </c>
      <c r="C552" s="0" t="n">
        <v>5.04363263333333</v>
      </c>
      <c r="D552" s="0" t="n">
        <v>7.56544895</v>
      </c>
      <c r="E552" s="0" t="inlineStr">
        <is>
          <t>用户指定系数调整值；不是原始实测数值。指标=verify_ms；原始值=5.043632633333333；系数=1.5；调整值=7.5654489499999995。召回率不调整。原始CSV/附表保留。</t>
        </is>
      </c>
    </row>
    <row r="553">
      <c r="A553" s="0" t="inlineStr">
        <is>
          <t>DEEP1M</t>
        </is>
      </c>
      <c r="B553" s="0" t="inlineStr">
        <is>
          <t>R38</t>
        </is>
      </c>
      <c r="C553" s="0" t="n">
        <v>5.69119435</v>
      </c>
      <c r="D553" s="0" t="n">
        <v>8.536791525</v>
      </c>
      <c r="E553" s="0" t="inlineStr">
        <is>
          <t>用户指定系数调整值；不是原始实测数值。指标=verify_ms；原始值=5.69119435；系数=1.5；调整值=8.5367915249999999。召回率不调整。原始CSV/附表保留。</t>
        </is>
      </c>
    </row>
    <row r="554">
      <c r="A554" s="0" t="inlineStr">
        <is>
          <t>DEEP1M</t>
        </is>
      </c>
      <c r="B554" s="0" t="inlineStr">
        <is>
          <t>S38</t>
        </is>
      </c>
      <c r="C554" s="0" t="n">
        <v>6.65710838333333</v>
      </c>
      <c r="D554" s="0" t="n">
        <v>9.985662574999999</v>
      </c>
      <c r="E554" s="0" t="inlineStr">
        <is>
          <t>用户指定系数调整值；不是原始实测数值。指标=verify_ms；原始值=6.657108383333334；系数=1.5；调整值=9.985662575000001。召回率不调整。原始CSV/附表保留。</t>
        </is>
      </c>
    </row>
    <row r="555">
      <c r="A555" s="0" t="inlineStr">
        <is>
          <t>DEEP1M</t>
        </is>
      </c>
      <c r="B555" s="0" t="inlineStr">
        <is>
          <t>T38</t>
        </is>
      </c>
      <c r="C555" s="0" t="n">
        <v>8.091527900000001</v>
      </c>
      <c r="D555" s="0" t="n">
        <v>12.13729185</v>
      </c>
      <c r="E555" s="0" t="inlineStr">
        <is>
          <t>用户指定系数调整值；不是原始实测数值。指标=verify_ms；原始值=8.0915279000000009；系数=1.5；调整值=12.13729185。召回率不调整。原始CSV/附表保留。</t>
        </is>
      </c>
    </row>
    <row r="556">
      <c r="A556" s="0" t="inlineStr">
        <is>
          <t>DEEP1M</t>
        </is>
      </c>
      <c r="B556" s="0" t="inlineStr">
        <is>
          <t>U38</t>
        </is>
      </c>
      <c r="C556" s="0" t="n">
        <v>12.7037481</v>
      </c>
      <c r="D556" s="0" t="n">
        <v>19.05562215</v>
      </c>
      <c r="E556" s="0" t="inlineStr">
        <is>
          <t>用户指定系数调整值；不是原始实测数值。指标=verify_ms；原始值=12.7037481；系数=1.5；调整值=19.055622150000001。召回率不调整。原始CSV/附表保留。</t>
        </is>
      </c>
    </row>
    <row r="557">
      <c r="A557" s="0" t="inlineStr">
        <is>
          <t>DEEP1M</t>
        </is>
      </c>
      <c r="B557" s="0" t="inlineStr">
        <is>
          <t>V38</t>
        </is>
      </c>
      <c r="C557" s="0" t="n">
        <v>15.4261976166667</v>
      </c>
      <c r="D557" s="0" t="n">
        <v>23.1392964250001</v>
      </c>
      <c r="E557" s="0" t="inlineStr">
        <is>
          <t>用户指定系数调整值；不是原始实测数值。指标=verify_ms；原始值=15.4261976166667；系数=1.5；调整值=23.139296425000051。召回率不调整。原始CSV/附表保留。</t>
        </is>
      </c>
    </row>
    <row r="558">
      <c r="A558" s="0" t="inlineStr">
        <is>
          <t>DEEP1M</t>
        </is>
      </c>
      <c r="B558" s="0" t="inlineStr">
        <is>
          <t>W38</t>
        </is>
      </c>
      <c r="C558" s="0" t="n">
        <v>15.4261976166667</v>
      </c>
      <c r="D558" s="0" t="n">
        <v>23.1392964250001</v>
      </c>
      <c r="E558" s="0" t="inlineStr">
        <is>
          <t>用户指定系数调整值；不是原始实测数值。指标=verify_ms；原始值=15.4261976166667；系数=1.5；调整值=23.139296425000051。召回率不调整。原始CSV/附表保留。</t>
        </is>
      </c>
    </row>
    <row r="559">
      <c r="A559" s="0" t="inlineStr">
        <is>
          <t>DEEP1M</t>
        </is>
      </c>
      <c r="B559" s="0" t="inlineStr">
        <is>
          <t>X38</t>
        </is>
      </c>
      <c r="C559" s="0" t="n">
        <v>20.6266154833333</v>
      </c>
      <c r="D559" s="0" t="n">
        <v>30.939923225</v>
      </c>
      <c r="E559" s="0" t="inlineStr">
        <is>
          <t>用户指定系数调整值；不是原始实测数值。指标=verify_ms；原始值=20.6266154833333；系数=1.5；调整值=30.939923224999951。召回率不调整。原始CSV/附表保留。</t>
        </is>
      </c>
    </row>
    <row r="560">
      <c r="A560" s="0" t="inlineStr">
        <is>
          <t>DEEP1M</t>
        </is>
      </c>
      <c r="B560" s="0" t="inlineStr">
        <is>
          <t>Y38</t>
        </is>
      </c>
      <c r="C560" s="0" t="n">
        <v>20.6266154833333</v>
      </c>
      <c r="D560" s="0" t="n">
        <v>30.939923225</v>
      </c>
      <c r="E560" s="0" t="inlineStr">
        <is>
          <t>用户指定系数调整值；不是原始实测数值。指标=verify_ms；原始值=20.6266154833333；系数=1.5；调整值=30.939923224999951。召回率不调整。原始CSV/附表保留。</t>
        </is>
      </c>
    </row>
    <row r="561">
      <c r="A561" s="0" t="inlineStr">
        <is>
          <t>DEEP1M</t>
        </is>
      </c>
      <c r="B561" s="0" t="inlineStr">
        <is>
          <t>F52</t>
        </is>
      </c>
      <c r="C561" s="0" t="n">
        <v>1.04057065</v>
      </c>
      <c r="D561" s="0" t="n">
        <v>1.24868478</v>
      </c>
      <c r="E561" s="0" t="inlineStr">
        <is>
          <t>用户指定系数调整值；不是原始实测数值。指标=query_ms；原始值=1.04057065；系数=1.2；调整值=1.24868478。召回率不调整。原始CSV/附表保留。</t>
        </is>
      </c>
    </row>
    <row r="562">
      <c r="A562" s="0" t="inlineStr">
        <is>
          <t>DEEP1M</t>
        </is>
      </c>
      <c r="B562" s="0" t="inlineStr">
        <is>
          <t>G52</t>
        </is>
      </c>
      <c r="C562" s="0" t="n">
        <v>1.04057065</v>
      </c>
      <c r="D562" s="0" t="n">
        <v>1.24868478</v>
      </c>
      <c r="E562" s="0" t="inlineStr">
        <is>
          <t>用户指定系数调整值；不是原始实测数值。指标=query_ms；原始值=1.04057065；系数=1.2；调整值=1.24868478。召回率不调整。原始CSV/附表保留。</t>
        </is>
      </c>
    </row>
    <row r="563">
      <c r="A563" s="0" t="inlineStr">
        <is>
          <t>DEEP1M</t>
        </is>
      </c>
      <c r="B563" s="0" t="inlineStr">
        <is>
          <t>H52</t>
        </is>
      </c>
      <c r="C563" s="0" t="n">
        <v>1.04057065</v>
      </c>
      <c r="D563" s="0" t="n">
        <v>1.24868478</v>
      </c>
      <c r="E563" s="0" t="inlineStr">
        <is>
          <t>用户指定系数调整值；不是原始实测数值。指标=query_ms；原始值=1.04057065；系数=1.2；调整值=1.24868478。召回率不调整。原始CSV/附表保留。</t>
        </is>
      </c>
    </row>
    <row r="564">
      <c r="A564" s="0" t="inlineStr">
        <is>
          <t>DEEP1M</t>
        </is>
      </c>
      <c r="B564" s="0" t="inlineStr">
        <is>
          <t>I52</t>
        </is>
      </c>
      <c r="C564" s="0" t="n">
        <v>1.04057065</v>
      </c>
      <c r="D564" s="0" t="n">
        <v>1.24868478</v>
      </c>
      <c r="E564" s="0" t="inlineStr">
        <is>
          <t>用户指定系数调整值；不是原始实测数值。指标=query_ms；原始值=1.04057065；系数=1.2；调整值=1.24868478。召回率不调整。原始CSV/附表保留。</t>
        </is>
      </c>
    </row>
    <row r="565">
      <c r="A565" s="0" t="inlineStr">
        <is>
          <t>DEEP1M</t>
        </is>
      </c>
      <c r="B565" s="0" t="inlineStr">
        <is>
          <t>J52</t>
        </is>
      </c>
      <c r="C565" s="0" t="n">
        <v>1.04057065</v>
      </c>
      <c r="D565" s="0" t="n">
        <v>1.24868478</v>
      </c>
      <c r="E565" s="0" t="inlineStr">
        <is>
          <t>用户指定系数调整值；不是原始实测数值。指标=query_ms；原始值=1.04057065；系数=1.2；调整值=1.24868478。召回率不调整。原始CSV/附表保留。</t>
        </is>
      </c>
    </row>
    <row r="566">
      <c r="A566" s="0" t="inlineStr">
        <is>
          <t>DEEP1M</t>
        </is>
      </c>
      <c r="B566" s="0" t="inlineStr">
        <is>
          <t>K52</t>
        </is>
      </c>
      <c r="C566" s="0" t="n">
        <v>0.496026583333333</v>
      </c>
      <c r="D566" s="0" t="n">
        <v>0.5952319</v>
      </c>
      <c r="E566" s="0" t="inlineStr">
        <is>
          <t>用户指定系数调整值；不是原始实测数值。指标=query_ms；原始值=0.49602658333333333；系数=1.2；调整值=0.59523189999999992。召回率不调整。原始CSV/附表保留。</t>
        </is>
      </c>
    </row>
    <row r="567">
      <c r="A567" s="0" t="inlineStr">
        <is>
          <t>DEEP1M</t>
        </is>
      </c>
      <c r="B567" s="0" t="inlineStr">
        <is>
          <t>L52</t>
        </is>
      </c>
      <c r="C567" s="0" t="n">
        <v>0.5671214</v>
      </c>
      <c r="D567" s="0" t="n">
        <v>0.68054568</v>
      </c>
      <c r="E567" s="0" t="inlineStr">
        <is>
          <t>用户指定系数调整值；不是原始实测数值。指标=query_ms；原始值=0.5671214；系数=1.2；调整值=0.68054567999999993。召回率不调整。原始CSV/附表保留。</t>
        </is>
      </c>
    </row>
    <row r="568">
      <c r="A568" s="0" t="inlineStr">
        <is>
          <t>DEEP1M</t>
        </is>
      </c>
      <c r="B568" s="0" t="inlineStr">
        <is>
          <t>M52</t>
        </is>
      </c>
      <c r="C568" s="0" t="n">
        <v>0.659553266666667</v>
      </c>
      <c r="D568" s="0" t="n">
        <v>0.79146392</v>
      </c>
      <c r="E568" s="0" t="inlineStr">
        <is>
          <t>用户指定系数调整值；不是原始实测数值。指标=query_ms；原始值=0.65955326666666669；系数=1.2；调整值=0.79146391999999999。召回率不调整。原始CSV/附表保留。</t>
        </is>
      </c>
    </row>
    <row r="569">
      <c r="A569" s="0" t="inlineStr">
        <is>
          <t>DEEP1M</t>
        </is>
      </c>
      <c r="B569" s="0" t="inlineStr">
        <is>
          <t>N52</t>
        </is>
      </c>
      <c r="C569" s="0" t="n">
        <v>0.740117666666667</v>
      </c>
      <c r="D569" s="0" t="n">
        <v>0.8881412</v>
      </c>
      <c r="E569" s="0" t="inlineStr">
        <is>
          <t>用户指定系数调整值；不是原始实测数值。指标=query_ms；原始值=0.74011766666666678；系数=1.2；调整值=0.88814120000000008。召回率不调整。原始CSV/附表保留。</t>
        </is>
      </c>
    </row>
    <row r="570">
      <c r="A570" s="0" t="inlineStr">
        <is>
          <t>DEEP1M</t>
        </is>
      </c>
      <c r="B570" s="0" t="inlineStr">
        <is>
          <t>O52</t>
        </is>
      </c>
      <c r="C570" s="0" t="n">
        <v>0.76820845</v>
      </c>
      <c r="D570" s="0" t="n">
        <v>0.92185014</v>
      </c>
      <c r="E570" s="0" t="inlineStr">
        <is>
          <t>用户指定系数调整值；不是原始实测数值。指标=query_ms；原始值=0.76820844999999993；系数=1.2；调整值=0.92185013999999987。召回率不调整。原始CSV/附表保留。</t>
        </is>
      </c>
    </row>
    <row r="571">
      <c r="A571" s="0" t="inlineStr">
        <is>
          <t>DEEP1M</t>
        </is>
      </c>
      <c r="B571" s="0" t="inlineStr">
        <is>
          <t>P52</t>
        </is>
      </c>
      <c r="C571" s="0" t="n">
        <v>0.811328233333333</v>
      </c>
      <c r="D571" s="0" t="n">
        <v>0.97359388</v>
      </c>
      <c r="E571" s="0" t="inlineStr">
        <is>
          <t>用户指定系数调整值；不是原始实测数值。指标=query_ms；原始值=0.81132823333333337；系数=1.2；调整值=0.97359388000000002。召回率不调整。原始CSV/附表保留。</t>
        </is>
      </c>
    </row>
    <row r="572">
      <c r="A572" s="0" t="inlineStr">
        <is>
          <t>DEEP1M</t>
        </is>
      </c>
      <c r="B572" s="0" t="inlineStr">
        <is>
          <t>Q52</t>
        </is>
      </c>
      <c r="C572" s="0" t="n">
        <v>0.9685961333333331</v>
      </c>
      <c r="D572" s="0" t="n">
        <v>1.16231536</v>
      </c>
      <c r="E572" s="0" t="inlineStr">
        <is>
          <t>用户指定系数调整值；不是原始实测数值。指标=query_ms；原始值=0.96859613333333339；系数=1.2；调整值=1.16231536。召回率不调整。原始CSV/附表保留。</t>
        </is>
      </c>
    </row>
    <row r="573">
      <c r="A573" s="0" t="inlineStr">
        <is>
          <t>DEEP1M</t>
        </is>
      </c>
      <c r="B573" s="0" t="inlineStr">
        <is>
          <t>R52</t>
        </is>
      </c>
      <c r="C573" s="0" t="n">
        <v>1.07810228333333</v>
      </c>
      <c r="D573" s="0" t="n">
        <v>1.29372274</v>
      </c>
      <c r="E573" s="0" t="inlineStr">
        <is>
          <t>用户指定系数调整值；不是原始实测数值。指标=query_ms；原始值=1.0781022833333334；系数=1.2；调整值=1.29372274。召回率不调整。原始CSV/附表保留。</t>
        </is>
      </c>
    </row>
    <row r="574">
      <c r="A574" s="0" t="inlineStr">
        <is>
          <t>DEEP1M</t>
        </is>
      </c>
      <c r="B574" s="0" t="inlineStr">
        <is>
          <t>S52</t>
        </is>
      </c>
      <c r="C574" s="0" t="n">
        <v>1.24864183333333</v>
      </c>
      <c r="D574" s="0" t="n">
        <v>1.4983702</v>
      </c>
      <c r="E574" s="0" t="inlineStr">
        <is>
          <t>用户指定系数调整值；不是原始实测数值。指标=query_ms；原始值=1.2486418333333333；系数=1.2；调整值=1.4983701999999999。召回率不调整。原始CSV/附表保留。</t>
        </is>
      </c>
    </row>
    <row r="575">
      <c r="A575" s="0" t="inlineStr">
        <is>
          <t>DEEP1M</t>
        </is>
      </c>
      <c r="B575" s="0" t="inlineStr">
        <is>
          <t>T52</t>
        </is>
      </c>
      <c r="C575" s="0" t="n">
        <v>1.5069473</v>
      </c>
      <c r="D575" s="0" t="n">
        <v>1.80833676</v>
      </c>
      <c r="E575" s="0" t="inlineStr">
        <is>
          <t>用户指定系数调整值；不是原始实测数值。指标=query_ms；原始值=1.5069473；系数=1.2；调整值=1.80833676。召回率不调整。原始CSV/附表保留。</t>
        </is>
      </c>
    </row>
    <row r="576">
      <c r="A576" s="0" t="inlineStr">
        <is>
          <t>DEEP1M</t>
        </is>
      </c>
      <c r="B576" s="0" t="inlineStr">
        <is>
          <t>U52</t>
        </is>
      </c>
      <c r="C576" s="0" t="n">
        <v>2.6137277</v>
      </c>
      <c r="D576" s="0" t="n">
        <v>3.13647324</v>
      </c>
      <c r="E576" s="0" t="inlineStr">
        <is>
          <t>用户指定系数调整值；不是原始实测数值。指标=query_ms；原始值=2.6137277000000001；系数=1.2；调整值=3.1364732399999999。召回率不调整。原始CSV/附表保留。</t>
        </is>
      </c>
    </row>
    <row r="577">
      <c r="A577" s="0" t="inlineStr">
        <is>
          <t>DEEP1M</t>
        </is>
      </c>
      <c r="B577" s="0" t="inlineStr">
        <is>
          <t>V52</t>
        </is>
      </c>
      <c r="C577" s="0" t="n">
        <v>3.15865693333333</v>
      </c>
      <c r="D577" s="0" t="n">
        <v>3.79038831999999</v>
      </c>
      <c r="E577" s="0" t="inlineStr">
        <is>
          <t>用户指定系数调整值；不是原始实测数值。指标=query_ms；原始值=3.1586569333333299；系数=1.2；调整值=3.7903883199999955。召回率不调整。原始CSV/附表保留。</t>
        </is>
      </c>
    </row>
    <row r="578">
      <c r="A578" s="0" t="inlineStr">
        <is>
          <t>DEEP1M</t>
        </is>
      </c>
      <c r="B578" s="0" t="inlineStr">
        <is>
          <t>W52</t>
        </is>
      </c>
      <c r="C578" s="0" t="n">
        <v>3.15865693333333</v>
      </c>
      <c r="D578" s="0" t="n">
        <v>3.79038831999999</v>
      </c>
      <c r="E578" s="0" t="inlineStr">
        <is>
          <t>用户指定系数调整值；不是原始实测数值。指标=query_ms；原始值=3.1586569333333299；系数=1.2；调整值=3.7903883199999955。召回率不调整。原始CSV/附表保留。</t>
        </is>
      </c>
    </row>
    <row r="579">
      <c r="A579" s="0" t="inlineStr">
        <is>
          <t>DEEP1M</t>
        </is>
      </c>
      <c r="B579" s="0" t="inlineStr">
        <is>
          <t>X52</t>
        </is>
      </c>
      <c r="C579" s="0" t="n">
        <v>4.2914665</v>
      </c>
      <c r="D579" s="0" t="n">
        <v>5.1497598</v>
      </c>
      <c r="E579" s="0" t="inlineStr">
        <is>
          <t>用户指定系数调整值；不是原始实测数值。指标=query_ms；原始值=4.2914665000000003；系数=1.2；调整值=5.1497598。召回率不调整。原始CSV/附表保留。</t>
        </is>
      </c>
    </row>
    <row r="580">
      <c r="A580" s="0" t="inlineStr">
        <is>
          <t>DEEP1M</t>
        </is>
      </c>
      <c r="B580" s="0" t="inlineStr">
        <is>
          <t>Y52</t>
        </is>
      </c>
      <c r="C580" s="0" t="n">
        <v>4.2914665</v>
      </c>
      <c r="D580" s="0" t="n">
        <v>5.1497598</v>
      </c>
      <c r="E580" s="0" t="inlineStr">
        <is>
          <t>用户指定系数调整值；不是原始实测数值。指标=query_ms；原始值=4.2914665000000003；系数=1.2；调整值=5.1497598。召回率不调整。原始CSV/附表保留。</t>
        </is>
      </c>
    </row>
    <row r="581">
      <c r="A581" s="0" t="inlineStr">
        <is>
          <t>DEEP1M</t>
        </is>
      </c>
      <c r="B581" s="0" t="inlineStr">
        <is>
          <t>F69</t>
        </is>
      </c>
      <c r="C581" s="0" t="n">
        <v>644.186</v>
      </c>
      <c r="D581" s="0" t="n">
        <v>1288.372</v>
      </c>
      <c r="E581" s="0" t="inlineStr">
        <is>
          <t>用户指定系数调整值；不是原始实测数值。指标=vo_kb；原始值=644.18600000000004；系数=2.0；调整值=1288.3720000000001。召回率不调整。原始CSV/附表保留。</t>
        </is>
      </c>
    </row>
    <row r="582">
      <c r="A582" s="0" t="inlineStr">
        <is>
          <t>DEEP1M</t>
        </is>
      </c>
      <c r="B582" s="0" t="inlineStr">
        <is>
          <t>G69</t>
        </is>
      </c>
      <c r="C582" s="0" t="n">
        <v>852.6844</v>
      </c>
      <c r="D582" s="0" t="n">
        <v>1705.3688</v>
      </c>
      <c r="E582" s="0" t="inlineStr">
        <is>
          <t>用户指定系数调整值；不是原始实测数值。指标=vo_kb；原始值=852.68439999999998；系数=2.0；调整值=1705.3688。召回率不调整。原始CSV/附表保留。</t>
        </is>
      </c>
    </row>
    <row r="583">
      <c r="A583" s="0" t="inlineStr">
        <is>
          <t>DEEP1M</t>
        </is>
      </c>
      <c r="B583" s="0" t="inlineStr">
        <is>
          <t>H69</t>
        </is>
      </c>
      <c r="C583" s="0" t="n">
        <v>1154.7938</v>
      </c>
      <c r="D583" s="0" t="n">
        <v>2309.5876</v>
      </c>
      <c r="E583" s="0" t="inlineStr">
        <is>
          <t>用户指定系数调整值；不是原始实测数值。指标=vo_kb；原始值=1154.7937999999999；系数=2.0；调整值=2309.5875999999998。召回率不调整。原始CSV/附表保留。</t>
        </is>
      </c>
    </row>
    <row r="584">
      <c r="A584" s="0" t="inlineStr">
        <is>
          <t>DEEP1M</t>
        </is>
      </c>
      <c r="B584" s="0" t="inlineStr">
        <is>
          <t>I69</t>
        </is>
      </c>
      <c r="C584" s="0" t="n">
        <v>1976.1628</v>
      </c>
      <c r="D584" s="0" t="n">
        <v>3952.3256</v>
      </c>
      <c r="E584" s="0" t="inlineStr">
        <is>
          <t>用户指定系数调整值；不是原始实测数值。指标=vo_kb；原始值=1976.1628000000001；系数=2.0；调整值=3952.3256000000001。召回率不调整。原始CSV/附表保留。</t>
        </is>
      </c>
    </row>
    <row r="585">
      <c r="A585" s="0" t="inlineStr">
        <is>
          <t>DEEP1M</t>
        </is>
      </c>
      <c r="B585" s="0" t="inlineStr">
        <is>
          <t>J69</t>
        </is>
      </c>
      <c r="C585" s="0" t="n">
        <v>2671.927</v>
      </c>
      <c r="D585" s="0" t="n">
        <v>5343.854</v>
      </c>
      <c r="E585" s="0" t="inlineStr">
        <is>
          <t>用户指定系数调整值；不是原始实测数值。指标=vo_kb；原始值=2671.9270000000001；系数=2.0；调整值=5343.8540000000003。召回率不调整。原始CSV/附表保留。</t>
        </is>
      </c>
    </row>
    <row r="586">
      <c r="A586" s="0" t="inlineStr">
        <is>
          <t>DEEP1M</t>
        </is>
      </c>
      <c r="B586" s="0" t="inlineStr">
        <is>
          <t>F81</t>
        </is>
      </c>
      <c r="C586" s="0" t="n">
        <v>8.31754258333333</v>
      </c>
      <c r="D586" s="0" t="n">
        <v>12.476313875</v>
      </c>
      <c r="E586" s="0" t="inlineStr">
        <is>
          <t>用户指定系数调整值；不是原始实测数值。指标=verify_ms；原始值=8.3175425833333296；系数=1.5；调整值=12.476313874999995。召回率不调整。原始CSV/附表保留。</t>
        </is>
      </c>
    </row>
    <row r="587">
      <c r="A587" s="0" t="inlineStr">
        <is>
          <t>DEEP1M</t>
        </is>
      </c>
      <c r="B587" s="0" t="inlineStr">
        <is>
          <t>G81</t>
        </is>
      </c>
      <c r="C587" s="0" t="n">
        <v>11.3754679</v>
      </c>
      <c r="D587" s="0" t="n">
        <v>17.06320185</v>
      </c>
      <c r="E587" s="0" t="inlineStr">
        <is>
          <t>用户指定系数调整值；不是原始实测数值。指标=verify_ms；原始值=11.3754679；系数=1.5；调整值=17.063201849999999。召回率不调整。原始CSV/附表保留。</t>
        </is>
      </c>
    </row>
    <row r="588">
      <c r="A588" s="0" t="inlineStr">
        <is>
          <t>DEEP1M</t>
        </is>
      </c>
      <c r="B588" s="0" t="inlineStr">
        <is>
          <t>H81</t>
        </is>
      </c>
      <c r="C588" s="0" t="n">
        <v>15.4261976166667</v>
      </c>
      <c r="D588" s="0" t="n">
        <v>23.1392964250001</v>
      </c>
      <c r="E588" s="0" t="inlineStr">
        <is>
          <t>用户指定系数调整值；不是原始实测数值。指标=verify_ms；原始值=15.4261976166667；系数=1.5；调整值=23.139296425000051。召回率不调整。原始CSV/附表保留。</t>
        </is>
      </c>
    </row>
    <row r="589">
      <c r="A589" s="0" t="inlineStr">
        <is>
          <t>DEEP1M</t>
        </is>
      </c>
      <c r="B589" s="0" t="inlineStr">
        <is>
          <t>I81</t>
        </is>
      </c>
      <c r="C589" s="0" t="n">
        <v>25.9699077166667</v>
      </c>
      <c r="D589" s="0" t="n">
        <v>38.9548615750001</v>
      </c>
      <c r="E589" s="0" t="inlineStr">
        <is>
          <t>用户指定系数调整值；不是原始实测数值。指标=verify_ms；原始值=25.9699077166667；系数=1.5；调整值=38.954861575000052。召回率不调整。原始CSV/附表保留。</t>
        </is>
      </c>
    </row>
    <row r="590">
      <c r="A590" s="0" t="inlineStr">
        <is>
          <t>DEEP1M</t>
        </is>
      </c>
      <c r="B590" s="0" t="inlineStr">
        <is>
          <t>J81</t>
        </is>
      </c>
      <c r="C590" s="0" t="n">
        <v>35.1169640833333</v>
      </c>
      <c r="D590" s="0" t="n">
        <v>52.675446125</v>
      </c>
      <c r="E590" s="0" t="inlineStr">
        <is>
          <t>用户指定系数调整值；不是原始实测数值。指标=verify_ms；原始值=35.116964083333301；系数=1.5；调整值=52.675446124999951。召回率不调整。原始CSV/附表保留。</t>
        </is>
      </c>
    </row>
    <row r="591">
      <c r="A591" s="0" t="inlineStr">
        <is>
          <t>DEEP1M</t>
        </is>
      </c>
      <c r="B591" s="0" t="inlineStr">
        <is>
          <t>F92</t>
        </is>
      </c>
      <c r="C591" s="0" t="n">
        <v>1.7697227</v>
      </c>
      <c r="D591" s="0" t="n">
        <v>2.12366724</v>
      </c>
      <c r="E591" s="0" t="inlineStr">
        <is>
          <t>用户指定系数调整值；不是原始实测数值。指标=query_ms；原始值=1.7697227；系数=1.2；调整值=2.1236672400000001。召回率不调整。原始CSV/附表保留。</t>
        </is>
      </c>
    </row>
    <row r="592">
      <c r="A592" s="0" t="inlineStr">
        <is>
          <t>DEEP1M</t>
        </is>
      </c>
      <c r="B592" s="0" t="inlineStr">
        <is>
          <t>G92</t>
        </is>
      </c>
      <c r="C592" s="0" t="n">
        <v>2.28107513333333</v>
      </c>
      <c r="D592" s="0" t="n">
        <v>2.73729016</v>
      </c>
      <c r="E592" s="0" t="inlineStr">
        <is>
          <t>用户指定系数调整值；不是原始实测数值。指标=query_ms；原始值=2.2810751333333301；系数=1.2；调整值=2.7372901599999961。召回率不调整。原始CSV/附表保留。</t>
        </is>
      </c>
    </row>
    <row r="593">
      <c r="A593" s="0" t="inlineStr">
        <is>
          <t>DEEP1M</t>
        </is>
      </c>
      <c r="B593" s="0" t="inlineStr">
        <is>
          <t>H92</t>
        </is>
      </c>
      <c r="C593" s="0" t="n">
        <v>3.15865693333333</v>
      </c>
      <c r="D593" s="0" t="n">
        <v>3.79038831999999</v>
      </c>
      <c r="E593" s="0" t="inlineStr">
        <is>
          <t>用户指定系数调整值；不是原始实测数值。指标=query_ms；原始值=3.1586569333333299；系数=1.2；调整值=3.7903883199999955。召回率不调整。原始CSV/附表保留。</t>
        </is>
      </c>
    </row>
    <row r="594">
      <c r="A594" s="0" t="inlineStr">
        <is>
          <t>DEEP1M</t>
        </is>
      </c>
      <c r="B594" s="0" t="inlineStr">
        <is>
          <t>I92</t>
        </is>
      </c>
      <c r="C594" s="0" t="n">
        <v>6.14507238333333</v>
      </c>
      <c r="D594" s="0" t="n">
        <v>7.37408686</v>
      </c>
      <c r="E594" s="0" t="inlineStr">
        <is>
          <t>用户指定系数调整值；不是原始实测数值。指标=query_ms；原始值=6.1450723833333303；系数=1.2；调整值=7.3740868599999958。召回率不调整。原始CSV/附表保留。</t>
        </is>
      </c>
    </row>
    <row r="595">
      <c r="A595" s="0" t="inlineStr">
        <is>
          <t>DEEP1M</t>
        </is>
      </c>
      <c r="B595" s="0" t="inlineStr">
        <is>
          <t>J92</t>
        </is>
      </c>
      <c r="C595" s="0" t="n">
        <v>9.09569141666667</v>
      </c>
      <c r="D595" s="0" t="n">
        <v>10.9148297</v>
      </c>
      <c r="E595" s="0" t="inlineStr">
        <is>
          <t>用户指定系数调整值；不是原始实测数值。指标=query_ms；原始值=9.0956914166666696；系数=1.2；调整值=10.914829700000004。召回率不调整。原始CSV/附表保留。</t>
        </is>
      </c>
    </row>
    <row r="596">
      <c r="A596" s="0" t="inlineStr">
        <is>
          <t>DEEP1M</t>
        </is>
      </c>
      <c r="B596" s="0" t="inlineStr">
        <is>
          <t>F105</t>
        </is>
      </c>
      <c r="C596" s="0" t="n">
        <v>1581.2762</v>
      </c>
      <c r="D596" s="0" t="n">
        <v>3162.5524</v>
      </c>
      <c r="E596" s="0" t="inlineStr">
        <is>
          <t>用户指定系数调整值；不是原始实测数值。指标=vo_kb；原始值=1581.2762；系数=2.0；调整值=3162.5524。召回率不调整。原始CSV/附表保留。</t>
        </is>
      </c>
    </row>
    <row r="597">
      <c r="A597" s="0" t="inlineStr">
        <is>
          <t>DEEP1M</t>
        </is>
      </c>
      <c r="B597" s="0" t="inlineStr">
        <is>
          <t>G105</t>
        </is>
      </c>
      <c r="C597" s="0" t="n">
        <v>1583.5182</v>
      </c>
      <c r="D597" s="0" t="n">
        <v>3167.0364</v>
      </c>
      <c r="E597" s="0" t="inlineStr">
        <is>
          <t>用户指定系数调整值；不是原始实测数值。指标=vo_kb；原始值=1583.5182；系数=2.0；调整值=3167.0364。召回率不调整。原始CSV/附表保留。</t>
        </is>
      </c>
    </row>
    <row r="598">
      <c r="A598" s="0" t="inlineStr">
        <is>
          <t>DEEP1M</t>
        </is>
      </c>
      <c r="B598" s="0" t="inlineStr">
        <is>
          <t>H105</t>
        </is>
      </c>
      <c r="C598" s="0" t="n">
        <v>1586.2762</v>
      </c>
      <c r="D598" s="0" t="n">
        <v>3172.5524</v>
      </c>
      <c r="E598" s="0" t="inlineStr">
        <is>
          <t>用户指定系数调整值；不是原始实测数值。指标=vo_kb；原始值=1586.2762；系数=2.0；调整值=3172.5524。召回率不调整。原始CSV/附表保留。</t>
        </is>
      </c>
    </row>
    <row r="599">
      <c r="A599" s="0" t="inlineStr">
        <is>
          <t>DEEP1M</t>
        </is>
      </c>
      <c r="B599" s="0" t="inlineStr">
        <is>
          <t>I105</t>
        </is>
      </c>
      <c r="C599" s="0" t="n">
        <v>1591.6142</v>
      </c>
      <c r="D599" s="0" t="n">
        <v>3183.2284</v>
      </c>
      <c r="E599" s="0" t="inlineStr">
        <is>
          <t>用户指定系数调整值；不是原始实测数值。指标=vo_kb；原始值=1591.6142；系数=2.0；调整值=3183.2284。召回率不调整。原始CSV/附表保留。</t>
        </is>
      </c>
    </row>
    <row r="600">
      <c r="A600" s="0" t="inlineStr">
        <is>
          <t>DEEP1M</t>
        </is>
      </c>
      <c r="B600" s="0" t="inlineStr">
        <is>
          <t>J105</t>
        </is>
      </c>
      <c r="C600" s="0" t="n">
        <v>1607.2942</v>
      </c>
      <c r="D600" s="0" t="n">
        <v>3214.5884</v>
      </c>
      <c r="E600" s="0" t="inlineStr">
        <is>
          <t>用户指定系数调整值；不是原始实测数值。指标=vo_kb；原始值=1607.2942；系数=2.0；调整值=3214.5884000000001。召回率不调整。原始CSV/附表保留。</t>
        </is>
      </c>
    </row>
    <row r="601">
      <c r="A601" s="0" t="inlineStr">
        <is>
          <t>DEEP1M</t>
        </is>
      </c>
      <c r="B601" s="0" t="inlineStr">
        <is>
          <t>K105</t>
        </is>
      </c>
      <c r="C601" s="0" t="n">
        <v>1631.6282</v>
      </c>
      <c r="D601" s="0" t="n">
        <v>3263.2564</v>
      </c>
      <c r="E601" s="0" t="inlineStr">
        <is>
          <t>用户指定系数调整值；不是原始实测数值。指标=vo_kb；原始值=1631.6282000000001；系数=2.0；调整值=3263.2564000000002。召回率不调整。原始CSV/附表保留。</t>
        </is>
      </c>
    </row>
    <row r="602">
      <c r="A602" s="0" t="inlineStr">
        <is>
          <t>DEEP1M</t>
        </is>
      </c>
      <c r="B602" s="0" t="inlineStr">
        <is>
          <t>F117</t>
        </is>
      </c>
      <c r="C602" s="0" t="n">
        <v>21.1325763</v>
      </c>
      <c r="D602" s="0" t="n">
        <v>31.69886445</v>
      </c>
      <c r="E602" s="0" t="inlineStr">
        <is>
          <t>用户指定系数调整值；不是原始实测数值。指标=verify_ms；原始值=21.1325763；系数=1.5；调整值=31.698864450000002。召回率不调整。原始CSV/附表保留。</t>
        </is>
      </c>
    </row>
    <row r="603">
      <c r="A603" s="0" t="inlineStr">
        <is>
          <t>DEEP1M</t>
        </is>
      </c>
      <c r="B603" s="0" t="inlineStr">
        <is>
          <t>G117</t>
        </is>
      </c>
      <c r="C603" s="0" t="n">
        <v>21.2951161</v>
      </c>
      <c r="D603" s="0" t="n">
        <v>31.94267415</v>
      </c>
      <c r="E603" s="0" t="inlineStr">
        <is>
          <t>用户指定系数调整值；不是原始实测数值。指标=verify_ms；原始值=21.295116100000001；系数=1.5；调整值=31.942674150000002。召回率不调整。原始CSV/附表保留。</t>
        </is>
      </c>
    </row>
    <row r="604">
      <c r="A604" s="0" t="inlineStr">
        <is>
          <t>DEEP1M</t>
        </is>
      </c>
      <c r="B604" s="0" t="inlineStr">
        <is>
          <t>H117</t>
        </is>
      </c>
      <c r="C604" s="0" t="n">
        <v>21.5343670666667</v>
      </c>
      <c r="D604" s="0" t="n">
        <v>32.3015506</v>
      </c>
      <c r="E604" s="0" t="inlineStr">
        <is>
          <t>用户指定系数调整值；不是原始实测数值。指标=verify_ms；原始值=21.5343670666667；系数=1.5；调整值=32.301550600000049。召回率不调整。原始CSV/附表保留。</t>
        </is>
      </c>
    </row>
    <row r="605">
      <c r="A605" s="0" t="inlineStr">
        <is>
          <t>DEEP1M</t>
        </is>
      </c>
      <c r="B605" s="0" t="inlineStr">
        <is>
          <t>I117</t>
        </is>
      </c>
      <c r="C605" s="0" t="n">
        <v>21.6087258333333</v>
      </c>
      <c r="D605" s="0" t="n">
        <v>32.41308875</v>
      </c>
      <c r="E605" s="0" t="inlineStr">
        <is>
          <t>用户指定系数调整值；不是原始实测数值。指标=verify_ms；原始值=21.608725833333299；系数=1.5；调整值=32.41308874999995。召回率不调整。原始CSV/附表保留。</t>
        </is>
      </c>
    </row>
    <row r="606">
      <c r="A606" s="0" t="inlineStr">
        <is>
          <t>DEEP1M</t>
        </is>
      </c>
      <c r="B606" s="0" t="inlineStr">
        <is>
          <t>J117</t>
        </is>
      </c>
      <c r="C606" s="0" t="n">
        <v>21.6556399</v>
      </c>
      <c r="D606" s="0" t="n">
        <v>32.48345985</v>
      </c>
      <c r="E606" s="0" t="inlineStr">
        <is>
          <t>用户指定系数调整值；不是原始实测数值。指标=verify_ms；原始值=21.655639900000001；系数=1.5；调整值=32.483459850000003。召回率不调整。原始CSV/附表保留。</t>
        </is>
      </c>
    </row>
    <row r="607">
      <c r="A607" s="0" t="inlineStr">
        <is>
          <t>DEEP1M</t>
        </is>
      </c>
      <c r="B607" s="0" t="inlineStr">
        <is>
          <t>K117</t>
        </is>
      </c>
      <c r="C607" s="0" t="n">
        <v>22.5170219333333</v>
      </c>
      <c r="D607" s="0" t="n">
        <v>33.7755329</v>
      </c>
      <c r="E607" s="0" t="inlineStr">
        <is>
          <t>用户指定系数调整值；不是原始实测数值。指标=verify_ms；原始值=22.5170219333333；系数=1.5；调整值=33.775532899999952。召回率不调整。原始CSV/附表保留。</t>
        </is>
      </c>
    </row>
    <row r="608">
      <c r="A608" s="0" t="inlineStr">
        <is>
          <t>DEEP1M</t>
        </is>
      </c>
      <c r="B608" s="0" t="inlineStr">
        <is>
          <t>F128</t>
        </is>
      </c>
      <c r="C608" s="0" t="n">
        <v>4.57551665</v>
      </c>
      <c r="D608" s="0" t="n">
        <v>5.49061998</v>
      </c>
      <c r="E608" s="0" t="inlineStr">
        <is>
          <t>用户指定系数调整值；不是原始实测数值。指标=query_ms；原始值=4.57551665；系数=1.2；调整值=5.49061998。召回率不调整。原始CSV/附表保留。</t>
        </is>
      </c>
    </row>
    <row r="609">
      <c r="A609" s="0" t="inlineStr">
        <is>
          <t>DEEP1M</t>
        </is>
      </c>
      <c r="B609" s="0" t="inlineStr">
        <is>
          <t>G128</t>
        </is>
      </c>
      <c r="C609" s="0" t="n">
        <v>4.62270115</v>
      </c>
      <c r="D609" s="0" t="n">
        <v>5.54724138</v>
      </c>
      <c r="E609" s="0" t="inlineStr">
        <is>
          <t>用户指定系数调整值；不是原始实测数值。指标=query_ms；原始值=4.6227011500000001；系数=1.2；调整值=5.54724138。召回率不调整。原始CSV/附表保留。</t>
        </is>
      </c>
    </row>
    <row r="610">
      <c r="A610" s="0" t="inlineStr">
        <is>
          <t>DEEP1M</t>
        </is>
      </c>
      <c r="B610" s="0" t="inlineStr">
        <is>
          <t>H128</t>
        </is>
      </c>
      <c r="C610" s="0" t="n">
        <v>4.66759948333333</v>
      </c>
      <c r="D610" s="0" t="n">
        <v>5.60111938</v>
      </c>
      <c r="E610" s="0" t="inlineStr">
        <is>
          <t>用户指定系数调整值；不是原始实测数值。指标=query_ms；原始值=4.6675994833333299；系数=1.2；调整值=5.6011193799999957。召回率不调整。原始CSV/附表保留。</t>
        </is>
      </c>
    </row>
    <row r="611">
      <c r="A611" s="0" t="inlineStr">
        <is>
          <t>DEEP1M</t>
        </is>
      </c>
      <c r="B611" s="0" t="inlineStr">
        <is>
          <t>I128</t>
        </is>
      </c>
      <c r="C611" s="0" t="n">
        <v>4.67105126666667</v>
      </c>
      <c r="D611" s="0" t="n">
        <v>5.60526152</v>
      </c>
      <c r="E611" s="0" t="inlineStr">
        <is>
          <t>用户指定系数调整值；不是原始实测数值。指标=query_ms；原始值=4.6710512666666704；系数=1.2；调整值=5.6052615200000044。召回率不调整。原始CSV/附表保留。</t>
        </is>
      </c>
    </row>
    <row r="612">
      <c r="A612" s="0" t="inlineStr">
        <is>
          <t>DEEP1M</t>
        </is>
      </c>
      <c r="B612" s="0" t="inlineStr">
        <is>
          <t>J128</t>
        </is>
      </c>
      <c r="C612" s="0" t="n">
        <v>4.61915686666667</v>
      </c>
      <c r="D612" s="0" t="n">
        <v>5.54298824</v>
      </c>
      <c r="E612" s="0" t="inlineStr">
        <is>
          <t>用户指定系数调整值；不是原始实测数值。指标=query_ms；原始值=4.6191568666666702；系数=1.2；调整值=5.5429882400000041。召回率不调整。原始CSV/附表保留。</t>
        </is>
      </c>
    </row>
    <row r="613">
      <c r="A613" s="0" t="inlineStr">
        <is>
          <t>DEEP1M</t>
        </is>
      </c>
      <c r="B613" s="0" t="inlineStr">
        <is>
          <t>K128</t>
        </is>
      </c>
      <c r="C613" s="0" t="n">
        <v>4.73652161666667</v>
      </c>
      <c r="D613" s="0" t="n">
        <v>5.68382594</v>
      </c>
      <c r="E613" s="0" t="inlineStr">
        <is>
          <t>用户指定系数调整值；不是原始实测数值。指标=query_ms；原始值=4.7365216166666704；系数=1.2；调整值=5.6838259400000046。召回率不调整。原始CSV/附表保留。</t>
        </is>
      </c>
    </row>
    <row r="614">
      <c r="A614" s="0" t="inlineStr">
        <is>
          <t>DEEP1M</t>
        </is>
      </c>
      <c r="B614" s="0" t="inlineStr">
        <is>
          <t>D10</t>
        </is>
      </c>
      <c r="C614" s="0" t="inlineStr">
        <is>
          <t>ANNProof</t>
        </is>
      </c>
      <c r="D614" s="0" t="inlineStr">
        <is>
          <t>ANNProof*</t>
        </is>
      </c>
      <c r="E614" s="0" t="inlineStr">
        <is>
          <t>* 表示性能指标为用户指定系数调整值，不是原始实测值。配置及实际召回见原始补测附表。</t>
        </is>
      </c>
    </row>
    <row r="615">
      <c r="A615" s="0" t="inlineStr">
        <is>
          <t>DEEP1M</t>
        </is>
      </c>
      <c r="B615" s="0" t="inlineStr">
        <is>
          <t>D23</t>
        </is>
      </c>
      <c r="C615" s="0" t="inlineStr">
        <is>
          <t>ANNProof</t>
        </is>
      </c>
      <c r="D615" s="0" t="inlineStr">
        <is>
          <t>ANNProof*</t>
        </is>
      </c>
      <c r="E615" s="0" t="inlineStr">
        <is>
          <t>* 表示性能指标为用户指定系数调整值，不是原始实测值。配置及实际召回见原始补测附表。</t>
        </is>
      </c>
    </row>
    <row r="616">
      <c r="A616" s="0" t="inlineStr">
        <is>
          <t>DEEP1M</t>
        </is>
      </c>
      <c r="B616" s="0" t="inlineStr">
        <is>
          <t>D37</t>
        </is>
      </c>
      <c r="C616" s="0" t="inlineStr">
        <is>
          <t>ANNProof</t>
        </is>
      </c>
      <c r="D616" s="0" t="inlineStr">
        <is>
          <t>ANNProof*</t>
        </is>
      </c>
      <c r="E616" s="0" t="inlineStr">
        <is>
          <t>* 表示性能指标为用户指定系数调整值，不是原始实测值。配置及实际召回见原始补测附表。</t>
        </is>
      </c>
    </row>
    <row r="617">
      <c r="A617" s="0" t="inlineStr">
        <is>
          <t>DEEP1M</t>
        </is>
      </c>
      <c r="B617" s="0" t="inlineStr">
        <is>
          <t>D51</t>
        </is>
      </c>
      <c r="C617" s="0" t="inlineStr">
        <is>
          <t>ANNProof</t>
        </is>
      </c>
      <c r="D617" s="0" t="inlineStr">
        <is>
          <t>ANNProof*</t>
        </is>
      </c>
      <c r="E617" s="0" t="inlineStr">
        <is>
          <t>* 表示性能指标为用户指定系数调整值，不是原始实测值。配置及实际召回见原始补测附表。</t>
        </is>
      </c>
    </row>
    <row r="618">
      <c r="A618" s="0" t="inlineStr">
        <is>
          <t>DEEP1M</t>
        </is>
      </c>
      <c r="B618" s="0" t="inlineStr">
        <is>
          <t>D69</t>
        </is>
      </c>
      <c r="C618" s="0" t="inlineStr">
        <is>
          <t>ANNProof</t>
        </is>
      </c>
      <c r="D618" s="0" t="inlineStr">
        <is>
          <t>ANNProof*</t>
        </is>
      </c>
      <c r="E618" s="0" t="inlineStr">
        <is>
          <t>* 表示性能指标为用户指定系数调整值，不是原始实测值。配置及实际召回见原始补测附表。</t>
        </is>
      </c>
    </row>
    <row r="619">
      <c r="A619" s="0" t="inlineStr">
        <is>
          <t>DEEP1M</t>
        </is>
      </c>
      <c r="B619" s="0" t="inlineStr">
        <is>
          <t>D81</t>
        </is>
      </c>
      <c r="C619" s="0" t="inlineStr">
        <is>
          <t>ANNProof</t>
        </is>
      </c>
      <c r="D619" s="0" t="inlineStr">
        <is>
          <t>ANNProof*</t>
        </is>
      </c>
      <c r="E619" s="0" t="inlineStr">
        <is>
          <t>* 表示性能指标为用户指定系数调整值，不是原始实测值。配置及实际召回见原始补测附表。</t>
        </is>
      </c>
    </row>
    <row r="620">
      <c r="A620" s="0" t="inlineStr">
        <is>
          <t>DEEP1M</t>
        </is>
      </c>
      <c r="B620" s="0" t="inlineStr">
        <is>
          <t>D92</t>
        </is>
      </c>
      <c r="C620" s="0" t="inlineStr">
        <is>
          <t>ANNProof</t>
        </is>
      </c>
      <c r="D620" s="0" t="inlineStr">
        <is>
          <t>ANNProof*</t>
        </is>
      </c>
      <c r="E620" s="0" t="inlineStr">
        <is>
          <t>* 表示性能指标为用户指定系数调整值，不是原始实测值。配置及实际召回见原始补测附表。</t>
        </is>
      </c>
    </row>
    <row r="621">
      <c r="A621" s="0" t="inlineStr">
        <is>
          <t>DEEP1M</t>
        </is>
      </c>
      <c r="B621" s="0" t="inlineStr">
        <is>
          <t>D105</t>
        </is>
      </c>
      <c r="C621" s="0" t="inlineStr">
        <is>
          <t>ANNProof</t>
        </is>
      </c>
      <c r="D621" s="0" t="inlineStr">
        <is>
          <t>ANNProof*</t>
        </is>
      </c>
      <c r="E621" s="0" t="inlineStr">
        <is>
          <t>* 表示性能指标为用户指定系数调整值，不是原始实测值。配置及实际召回见原始补测附表。</t>
        </is>
      </c>
    </row>
    <row r="622">
      <c r="A622" s="0" t="inlineStr">
        <is>
          <t>DEEP1M</t>
        </is>
      </c>
      <c r="B622" s="0" t="inlineStr">
        <is>
          <t>D117</t>
        </is>
      </c>
      <c r="C622" s="0" t="inlineStr">
        <is>
          <t>ANNProof</t>
        </is>
      </c>
      <c r="D622" s="0" t="inlineStr">
        <is>
          <t>ANNProof*</t>
        </is>
      </c>
      <c r="E622" s="0" t="inlineStr">
        <is>
          <t>* 表示性能指标为用户指定系数调整值，不是原始实测值。配置及实际召回见原始补测附表。</t>
        </is>
      </c>
    </row>
    <row r="623">
      <c r="A623" s="0" t="inlineStr">
        <is>
          <t>DEEP1M</t>
        </is>
      </c>
      <c r="B623" s="0" t="inlineStr">
        <is>
          <t>D128</t>
        </is>
      </c>
      <c r="C623" s="0" t="inlineStr">
        <is>
          <t>ANNProof</t>
        </is>
      </c>
      <c r="D623" s="0" t="inlineStr">
        <is>
          <t>ANNProof*</t>
        </is>
      </c>
      <c r="E623" s="0" t="inlineStr">
        <is>
          <t>* 表示性能指标为用户指定系数调整值，不是原始实测值。配置及实际召回见原始补测附表。</t>
        </is>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activeCell="A1" sqref="A1"/>
      <selection pane="bottomLeft" activeCell="A1" sqref="A1"/>
    </sheetView>
  </sheetViews>
  <sheetFormatPr baseColWidth="8" defaultColWidth="9" defaultRowHeight="13.5"/>
  <cols>
    <col width="15" customWidth="1" style="1" min="1" max="1"/>
    <col width="70" customWidth="1" style="1" min="2" max="2"/>
  </cols>
  <sheetData>
    <row r="1">
      <c r="A1" s="5" t="inlineStr">
        <is>
          <t>项目</t>
        </is>
      </c>
      <c r="B1" s="5" t="inlineStr">
        <is>
          <t>处理</t>
        </is>
      </c>
    </row>
    <row r="2">
      <c r="A2" s="3" t="inlineStr">
        <is>
          <t>复核范围</t>
        </is>
      </c>
      <c r="B2" s="3" t="inlineStr">
        <is>
          <t>四个主表的Recall、K、Dataset size曲线；召回率、单位和原始记录核对。</t>
        </is>
      </c>
    </row>
    <row r="3" ht="27" customHeight="1" s="1">
      <c r="A3" s="3" t="inlineStr">
        <is>
          <t>已纠正</t>
        </is>
      </c>
      <c r="B3" s="3" t="inlineStr">
        <is>
          <t>SIFT/NYTimes/DEEP ANNProof旧高召回下限混用：15–35%列复用现有最低实测点，实际召回如实显示，不声称新增低召回测量。</t>
        </is>
      </c>
    </row>
    <row r="4" ht="27" customHeight="1" s="1">
      <c r="A4" s="3" t="inlineStr">
        <is>
          <t>已补测</t>
        </is>
      </c>
      <c r="B4" s="3" t="inlineStr">
        <is>
          <t>SIFT规模100万ANNProof原87.6%不符合约95%口径：20条×3次单线程重测并替换VO/查询/验证。原始补测结果见复核目录JSON与CSV。</t>
        </is>
      </c>
    </row>
    <row r="5" ht="27" customHeight="1" s="1">
      <c r="A5" s="3" t="inlineStr">
        <is>
          <t>系数口径</t>
        </is>
      </c>
      <c r="B5" s="3" t="inlineStr">
        <is>
          <t>ANNProof仍为query×1.2、VO×2、verify×1.5的用户指定调整值；不是原始实测数值。</t>
        </is>
      </c>
    </row>
    <row r="6" ht="27" customHeight="1" s="1">
      <c r="A6" s="3" t="inlineStr">
        <is>
          <t>保留的下降</t>
        </is>
      </c>
      <c r="B6" s="3" t="inlineStr">
        <is>
          <t>配置、搜索预算、电路结构和测量噪声可导致非单调；逐项批注与记录。未强制抬高成本或制作平滑实测值。</t>
        </is>
      </c>
    </row>
    <row r="7" ht="27" customHeight="1" s="1">
      <c r="A7" s="3" t="inlineStr">
        <is>
          <t>曲线绘图</t>
        </is>
      </c>
      <c r="B7" s="3" t="inlineStr">
        <is>
          <t>以实际Recall行作为X轴；目标列不是实际召回。重复使用同一测量点须去重，不当作独立测量。</t>
        </is>
      </c>
    </row>
    <row r="8">
      <c r="A8" s="3" t="inlineStr">
        <is>
          <t>默认配置</t>
        </is>
      </c>
      <c r="B8" s="3" t="inlineStr">
        <is>
          <t>其他方法约95%默认值保持原值；V3DB继续低召回默认。</t>
        </is>
      </c>
    </row>
    <row r="9" ht="40.5" customHeight="1" s="1">
      <c r="A9" s="3" t="inlineStr">
        <is>
          <t>备份</t>
        </is>
      </c>
      <c r="B9" s="3" t="inlineStr">
        <is>
          <t>/mnt/d/paper_source/work_9/VeriANN_repro_2026-09-30/VeriANN_repro_2026-09-30/experiments/work9-monotonicity-audit-20261021/work9_before_monotonicity_audit.xlsx</t>
        </is>
      </c>
    </row>
    <row r="10">
      <c r="A10" s="3" t="inlineStr">
        <is>
          <t>历史附表</t>
        </is>
      </c>
      <c r="B10" s="3" t="inlineStr">
        <is>
          <t>既有原始附表保留历史记录；本次修订以单调性修订记录和主表批注为准。</t>
        </is>
      </c>
    </row>
  </sheetData>
  <autoFilter ref="A1:B10"/>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J95"/>
  <sheetViews>
    <sheetView workbookViewId="0">
      <pane ySplit="1" topLeftCell="A2" activePane="bottomLeft" state="frozen"/>
      <selection activeCell="A1" sqref="A1"/>
      <selection pane="bottomLeft" activeCell="A1" sqref="A1"/>
    </sheetView>
  </sheetViews>
  <sheetFormatPr baseColWidth="8" defaultColWidth="9" defaultRowHeight="13.5"/>
  <cols>
    <col width="15" customWidth="1" style="1" min="1" max="5"/>
    <col width="19" customWidth="1" style="1" min="6" max="6"/>
    <col width="15" customWidth="1" style="1" min="7" max="7"/>
    <col width="20" customWidth="1" style="1" min="8" max="8"/>
    <col width="23" customWidth="1" style="1" min="9" max="9"/>
    <col width="70" customWidth="1" style="1" min="10" max="10"/>
  </cols>
  <sheetData>
    <row r="1">
      <c r="A1" s="5" t="inlineStr">
        <is>
          <t>数据集</t>
        </is>
      </c>
      <c r="B1" s="5" t="inlineStr">
        <is>
          <t>横轴</t>
        </is>
      </c>
      <c r="C1" s="5" t="inlineStr">
        <is>
          <t>方法</t>
        </is>
      </c>
      <c r="D1" s="5" t="inlineStr">
        <is>
          <t>指标</t>
        </is>
      </c>
      <c r="E1" s="5" t="inlineStr">
        <is>
          <t>前单元格</t>
        </is>
      </c>
      <c r="F1" s="5" t="inlineStr">
        <is>
          <t>前值</t>
        </is>
      </c>
      <c r="G1" s="5" t="inlineStr">
        <is>
          <t>后单元格</t>
        </is>
      </c>
      <c r="H1" s="5" t="inlineStr">
        <is>
          <t>后值</t>
        </is>
      </c>
      <c r="I1" s="5" t="inlineStr">
        <is>
          <t>变化%</t>
        </is>
      </c>
      <c r="J1" s="5" t="inlineStr">
        <is>
          <t>保留原因</t>
        </is>
      </c>
    </row>
    <row r="2" ht="27" customHeight="1" s="1">
      <c r="A2" s="3" t="inlineStr">
        <is>
          <t>SIFT1M</t>
        </is>
      </c>
      <c r="B2" s="3" t="inlineStr">
        <is>
          <t>Recall@10</t>
        </is>
      </c>
      <c r="C2" s="3" t="inlineStr">
        <is>
          <t>ANNProof</t>
        </is>
      </c>
      <c r="D2" s="3" t="inlineStr">
        <is>
          <t>VO size</t>
        </is>
      </c>
      <c r="E2" s="3" t="inlineStr">
        <is>
          <t>K24</t>
        </is>
      </c>
      <c r="F2" s="3" t="n">
        <v>918.3288</v>
      </c>
      <c r="G2" s="3" t="inlineStr">
        <is>
          <t>L24</t>
        </is>
      </c>
      <c r="H2" s="3" t="n">
        <v>284.072</v>
      </c>
      <c r="I2" s="3" t="n">
        <v>-69.0664171699722</v>
      </c>
      <c r="J2" s="3" t="inlineStr">
        <is>
          <t>低召回曲线允许切换M/efConstruction；更稠密图可用更小efSearch达到更高召回。不同图配置的VO及耗时不保证随召回率单调。</t>
        </is>
      </c>
    </row>
    <row r="3" ht="27" customHeight="1" s="1">
      <c r="A3" s="3" t="inlineStr">
        <is>
          <t>SIFT1M</t>
        </is>
      </c>
      <c r="B3" s="3" t="inlineStr">
        <is>
          <t>Recall@10</t>
        </is>
      </c>
      <c r="C3" s="3" t="inlineStr">
        <is>
          <t>V3DB</t>
        </is>
      </c>
      <c r="D3" s="3" t="inlineStr">
        <is>
          <t>VO size</t>
        </is>
      </c>
      <c r="E3" s="3" t="inlineStr">
        <is>
          <t>I28</t>
        </is>
      </c>
      <c r="F3" s="3" t="n">
        <v>196.643</v>
      </c>
      <c r="G3" s="3" t="inlineStr">
        <is>
          <t>J28</t>
        </is>
      </c>
      <c r="H3" s="3" t="n">
        <v>196.067</v>
      </c>
      <c r="I3" s="3" t="n">
        <v>-0.292916605218596</v>
      </c>
      <c r="J3" s="3" t="inlineStr">
        <is>
          <t>V3DB包含不同PQ配置、probe、证明电路/域大小及单次测量；这些条件不保证该指标随横轴单调。</t>
        </is>
      </c>
    </row>
    <row r="4" ht="27" customHeight="1" s="1">
      <c r="A4" s="3" t="inlineStr">
        <is>
          <t>SIFT1M</t>
        </is>
      </c>
      <c r="B4" s="3" t="inlineStr">
        <is>
          <t>Recall@10</t>
        </is>
      </c>
      <c r="C4" s="3" t="inlineStr">
        <is>
          <t>ANNProof</t>
        </is>
      </c>
      <c r="D4" s="3" t="inlineStr">
        <is>
          <t>verify time</t>
        </is>
      </c>
      <c r="E4" s="3" t="inlineStr">
        <is>
          <t>K38</t>
        </is>
      </c>
      <c r="F4" s="3" t="n">
        <v>9.176922749999999</v>
      </c>
      <c r="G4" s="3" t="inlineStr">
        <is>
          <t>L38</t>
        </is>
      </c>
      <c r="H4" s="3" t="n">
        <v>2.718519525</v>
      </c>
      <c r="I4" s="3" t="n">
        <v>-70.3765674065416</v>
      </c>
      <c r="J4" s="3" t="inlineStr">
        <is>
          <t>低召回曲线允许切换M/efConstruction；更稠密图可用更小efSearch达到更高召回。不同图配置的VO及耗时不保证随召回率单调。</t>
        </is>
      </c>
    </row>
    <row r="5" ht="27" customHeight="1" s="1">
      <c r="A5" s="3" t="inlineStr">
        <is>
          <t>SIFT1M</t>
        </is>
      </c>
      <c r="B5" s="3" t="inlineStr">
        <is>
          <t>Recall@10</t>
        </is>
      </c>
      <c r="C5" s="3" t="inlineStr">
        <is>
          <t>Ours</t>
        </is>
      </c>
      <c r="D5" s="3" t="inlineStr">
        <is>
          <t>verify time</t>
        </is>
      </c>
      <c r="E5" s="3" t="inlineStr">
        <is>
          <t>G40</t>
        </is>
      </c>
      <c r="F5" s="3" t="n">
        <v>0.905784183333333</v>
      </c>
      <c r="G5" s="3" t="inlineStr">
        <is>
          <t>H40</t>
        </is>
      </c>
      <c r="H5" s="3" t="n">
        <v>0.903515916666667</v>
      </c>
      <c r="I5" s="3" t="n">
        <v>-0.25042021139281</v>
      </c>
      <c r="J5" s="3" t="inlineStr">
        <is>
          <t>耗时是独立测量的样本均值，存在缓存、分配和系统波动，不能要求均值严格单调；保留原始观察，不以平滑值替代实测。</t>
        </is>
      </c>
    </row>
    <row r="6" ht="27" customHeight="1" s="1">
      <c r="A6" s="3" t="inlineStr">
        <is>
          <t>SIFT1M</t>
        </is>
      </c>
      <c r="B6" s="3" t="inlineStr">
        <is>
          <t>Recall@10</t>
        </is>
      </c>
      <c r="C6" s="3" t="inlineStr">
        <is>
          <t>V3DB</t>
        </is>
      </c>
      <c r="D6" s="3" t="inlineStr">
        <is>
          <t>verify time</t>
        </is>
      </c>
      <c r="E6" s="3" t="inlineStr">
        <is>
          <t>I42</t>
        </is>
      </c>
      <c r="F6" s="3" t="n">
        <v>11.1058220000047</v>
      </c>
      <c r="G6" s="3" t="inlineStr">
        <is>
          <t>J42</t>
        </is>
      </c>
      <c r="H6" s="3" t="n">
        <v>11.1032510000086</v>
      </c>
      <c r="I6" s="3" t="n">
        <v>-0.0231500198373369</v>
      </c>
      <c r="J6" s="3" t="inlineStr">
        <is>
          <t>V3DB包含不同PQ配置、probe、证明电路/域大小及单次测量；这些条件不保证该指标随横轴单调。</t>
        </is>
      </c>
    </row>
    <row r="7" ht="40.5" customHeight="1" s="1">
      <c r="A7" s="3" t="inlineStr">
        <is>
          <t>SIFT1M</t>
        </is>
      </c>
      <c r="B7" s="3" t="inlineStr">
        <is>
          <t>Recall@10</t>
        </is>
      </c>
      <c r="C7" s="3" t="inlineStr">
        <is>
          <t>V3DB</t>
        </is>
      </c>
      <c r="D7" s="3" t="inlineStr">
        <is>
          <t>verify time</t>
        </is>
      </c>
      <c r="E7" s="3" t="inlineStr">
        <is>
          <t>Q42</t>
        </is>
      </c>
      <c r="F7" s="3" t="n">
        <v>71.0790379998798</v>
      </c>
      <c r="G7" s="3" t="inlineStr">
        <is>
          <t>R42</t>
        </is>
      </c>
      <c r="H7" s="3" t="n">
        <v>25.0650985723704</v>
      </c>
      <c r="I7" s="3" t="n">
        <v>-64.73630021214861</v>
      </c>
      <c r="J7" s="3" t="inlineStr">
        <is>
          <t>V3DB包含不同PQ配置、probe、证明电路/域大小及单次测量；这些条件不保证该指标随横轴单调。 此处还涉及512GiB条件预测，须与实测区分；不依据单调性修改预测中心值。</t>
        </is>
      </c>
    </row>
    <row r="8" ht="27" customHeight="1" s="1">
      <c r="A8" s="3" t="inlineStr">
        <is>
          <t>SIFT1M</t>
        </is>
      </c>
      <c r="B8" s="3" t="inlineStr">
        <is>
          <t>Recall@10</t>
        </is>
      </c>
      <c r="C8" s="3" t="inlineStr">
        <is>
          <t>ANNProof</t>
        </is>
      </c>
      <c r="D8" s="3" t="inlineStr">
        <is>
          <t>query time</t>
        </is>
      </c>
      <c r="E8" s="3" t="inlineStr">
        <is>
          <t>K52</t>
        </is>
      </c>
      <c r="F8" s="3" t="n">
        <v>1.67731546</v>
      </c>
      <c r="G8" s="3" t="inlineStr">
        <is>
          <t>L52</t>
        </is>
      </c>
      <c r="H8" s="3" t="n">
        <v>0.4264605</v>
      </c>
      <c r="I8" s="3" t="n">
        <v>-74.57481850194119</v>
      </c>
      <c r="J8" s="3" t="inlineStr">
        <is>
          <t>低召回曲线允许切换M/efConstruction；更稠密图可用更小efSearch达到更高召回。不同图配置的VO及耗时不保证随召回率单调。</t>
        </is>
      </c>
    </row>
    <row r="9" ht="27" customHeight="1" s="1">
      <c r="A9" s="3" t="inlineStr">
        <is>
          <t>SIFT1M</t>
        </is>
      </c>
      <c r="B9" s="3" t="inlineStr">
        <is>
          <t>Recall@10</t>
        </is>
      </c>
      <c r="C9" s="3" t="inlineStr">
        <is>
          <t>Ours</t>
        </is>
      </c>
      <c r="D9" s="3" t="inlineStr">
        <is>
          <t>query time</t>
        </is>
      </c>
      <c r="E9" s="3" t="inlineStr">
        <is>
          <t>G54</t>
        </is>
      </c>
      <c r="F9" s="3" t="n">
        <v>0.3375467</v>
      </c>
      <c r="G9" s="3" t="inlineStr">
        <is>
          <t>H54</t>
        </is>
      </c>
      <c r="H9" s="3" t="n">
        <v>0.331211233333333</v>
      </c>
      <c r="I9" s="3" t="n">
        <v>-1.87691559913545</v>
      </c>
      <c r="J9" s="3" t="inlineStr">
        <is>
          <t>耗时是独立测量的样本均值，存在缓存、分配和系统波动，不能要求均值严格单调；保留原始观察，不以平滑值替代实测。</t>
        </is>
      </c>
    </row>
    <row r="10" ht="27" customHeight="1" s="1">
      <c r="A10" s="3" t="inlineStr">
        <is>
          <t>SIFT1M</t>
        </is>
      </c>
      <c r="B10" s="3" t="inlineStr">
        <is>
          <t>K</t>
        </is>
      </c>
      <c r="C10" s="3" t="inlineStr">
        <is>
          <t>V3DB</t>
        </is>
      </c>
      <c r="D10" s="3" t="inlineStr">
        <is>
          <t>VO size</t>
        </is>
      </c>
      <c r="E10" s="3" t="inlineStr">
        <is>
          <t>F107</t>
        </is>
      </c>
      <c r="F10" s="3" t="n">
        <v>238.982</v>
      </c>
      <c r="G10" s="3" t="inlineStr">
        <is>
          <t>G107</t>
        </is>
      </c>
      <c r="H10" s="3" t="n">
        <v>237.604</v>
      </c>
      <c r="I10" s="3" t="n">
        <v>-0.576612464537074</v>
      </c>
      <c r="J10" s="3" t="inlineStr">
        <is>
          <t>V3DB包含不同PQ配置、probe、证明电路/域大小及单次测量；这些条件不保证该指标随横轴单调。</t>
        </is>
      </c>
    </row>
    <row r="11" ht="27" customHeight="1" s="1">
      <c r="A11" s="3" t="inlineStr">
        <is>
          <t>SIFT1M</t>
        </is>
      </c>
      <c r="B11" s="3" t="inlineStr">
        <is>
          <t>K</t>
        </is>
      </c>
      <c r="C11" s="3" t="inlineStr">
        <is>
          <t>V3DB</t>
        </is>
      </c>
      <c r="D11" s="3" t="inlineStr">
        <is>
          <t>VO size</t>
        </is>
      </c>
      <c r="E11" s="3" t="inlineStr">
        <is>
          <t>G107</t>
        </is>
      </c>
      <c r="F11" s="3" t="n">
        <v>237.604</v>
      </c>
      <c r="G11" s="3" t="inlineStr">
        <is>
          <t>H107</t>
        </is>
      </c>
      <c r="H11" s="3" t="n">
        <v>235.675</v>
      </c>
      <c r="I11" s="3" t="n">
        <v>-0.811855019275776</v>
      </c>
      <c r="J11" s="3" t="inlineStr">
        <is>
          <t>V3DB包含不同PQ配置、probe、证明电路/域大小及单次测量；这些条件不保证该指标随横轴单调。</t>
        </is>
      </c>
    </row>
    <row r="12" ht="27" customHeight="1" s="1">
      <c r="A12" s="3" t="inlineStr">
        <is>
          <t>SIFT1M</t>
        </is>
      </c>
      <c r="B12" s="3" t="inlineStr">
        <is>
          <t>K</t>
        </is>
      </c>
      <c r="C12" s="3" t="inlineStr">
        <is>
          <t>V3DB</t>
        </is>
      </c>
      <c r="D12" s="3" t="inlineStr">
        <is>
          <t>VO size</t>
        </is>
      </c>
      <c r="E12" s="3" t="inlineStr">
        <is>
          <t>I107</t>
        </is>
      </c>
      <c r="F12" s="3" t="n">
        <v>239.759</v>
      </c>
      <c r="G12" s="3" t="inlineStr">
        <is>
          <t>J107</t>
        </is>
      </c>
      <c r="H12" s="3" t="n">
        <v>237.917</v>
      </c>
      <c r="I12" s="3" t="n">
        <v>-0.768271472603732</v>
      </c>
      <c r="J12" s="3" t="inlineStr">
        <is>
          <t>V3DB包含不同PQ配置、probe、证明电路/域大小及单次测量；这些条件不保证该指标随横轴单调。</t>
        </is>
      </c>
    </row>
    <row r="13" ht="27" customHeight="1" s="1">
      <c r="A13" s="3" t="inlineStr">
        <is>
          <t>SIFT1M</t>
        </is>
      </c>
      <c r="B13" s="3" t="inlineStr">
        <is>
          <t>K</t>
        </is>
      </c>
      <c r="C13" s="3" t="inlineStr">
        <is>
          <t>VLAH</t>
        </is>
      </c>
      <c r="D13" s="3" t="inlineStr">
        <is>
          <t>verify time</t>
        </is>
      </c>
      <c r="E13" s="3" t="inlineStr">
        <is>
          <t>F116</t>
        </is>
      </c>
      <c r="F13" s="3" t="n">
        <v>164.016030326667</v>
      </c>
      <c r="G13" s="3" t="inlineStr">
        <is>
          <t>G116</t>
        </is>
      </c>
      <c r="H13" s="3" t="n">
        <v>160.885613066667</v>
      </c>
      <c r="I13" s="3" t="n">
        <v>-1.90860445394588</v>
      </c>
      <c r="J13" s="3" t="inlineStr">
        <is>
          <t>耗时是独立测量的样本均值，存在缓存、分配和系统波动，不能要求均值严格单调；保留原始观察，不以平滑值替代实测。</t>
        </is>
      </c>
    </row>
    <row r="14" ht="27" customHeight="1" s="1">
      <c r="A14" s="3" t="inlineStr">
        <is>
          <t>SIFT1M</t>
        </is>
      </c>
      <c r="B14" s="3" t="inlineStr">
        <is>
          <t>K</t>
        </is>
      </c>
      <c r="C14" s="3" t="inlineStr">
        <is>
          <t>VLAH</t>
        </is>
      </c>
      <c r="D14" s="3" t="inlineStr">
        <is>
          <t>verify time</t>
        </is>
      </c>
      <c r="E14" s="3" t="inlineStr">
        <is>
          <t>I116</t>
        </is>
      </c>
      <c r="F14" s="3" t="n">
        <v>166.641273096667</v>
      </c>
      <c r="G14" s="3" t="inlineStr">
        <is>
          <t>J116</t>
        </is>
      </c>
      <c r="H14" s="3" t="n">
        <v>161.22617848</v>
      </c>
      <c r="I14" s="3" t="n">
        <v>-3.24955187633844</v>
      </c>
      <c r="J14" s="3" t="inlineStr">
        <is>
          <t>耗时是独立测量的样本均值，存在缓存、分配和系统波动，不能要求均值严格单调；保留原始观察，不以平滑值替代实测。</t>
        </is>
      </c>
    </row>
    <row r="15" ht="27" customHeight="1" s="1">
      <c r="A15" s="3" t="inlineStr">
        <is>
          <t>SIFT1M</t>
        </is>
      </c>
      <c r="B15" s="3" t="inlineStr">
        <is>
          <t>K</t>
        </is>
      </c>
      <c r="C15" s="3" t="inlineStr">
        <is>
          <t>VLAH</t>
        </is>
      </c>
      <c r="D15" s="3" t="inlineStr">
        <is>
          <t>verify time</t>
        </is>
      </c>
      <c r="E15" s="3" t="inlineStr">
        <is>
          <t>J116</t>
        </is>
      </c>
      <c r="F15" s="3" t="n">
        <v>161.22617848</v>
      </c>
      <c r="G15" s="3" t="inlineStr">
        <is>
          <t>K116</t>
        </is>
      </c>
      <c r="H15" s="3" t="n">
        <v>161.153135363333</v>
      </c>
      <c r="I15" s="3" t="n">
        <v>-0.045304749734576</v>
      </c>
      <c r="J15" s="3" t="inlineStr">
        <is>
          <t>耗时是独立测量的样本均值，存在缓存、分配和系统波动，不能要求均值严格单调；保留原始观察，不以平滑值替代实测。</t>
        </is>
      </c>
    </row>
    <row r="16" ht="27" customHeight="1" s="1">
      <c r="A16" s="3" t="inlineStr">
        <is>
          <t>SIFT1M</t>
        </is>
      </c>
      <c r="B16" s="3" t="inlineStr">
        <is>
          <t>K</t>
        </is>
      </c>
      <c r="C16" s="3" t="inlineStr">
        <is>
          <t>V3DB</t>
        </is>
      </c>
      <c r="D16" s="3" t="inlineStr">
        <is>
          <t>verify time</t>
        </is>
      </c>
      <c r="E16" s="3" t="inlineStr">
        <is>
          <t>H119</t>
        </is>
      </c>
      <c r="F16" s="3" t="n">
        <v>71.0790379998798</v>
      </c>
      <c r="G16" s="3" t="inlineStr">
        <is>
          <t>I119</t>
        </is>
      </c>
      <c r="H16" s="3" t="n">
        <v>57.7544319999106</v>
      </c>
      <c r="I16" s="3" t="n">
        <v>-18.7461822429163</v>
      </c>
      <c r="J16" s="3" t="inlineStr">
        <is>
          <t>V3DB包含不同PQ配置、probe、证明电路/域大小及单次测量；这些条件不保证该指标随横轴单调。</t>
        </is>
      </c>
    </row>
    <row r="17" ht="27" customHeight="1" s="1">
      <c r="A17" s="3" t="inlineStr">
        <is>
          <t>SIFT1M</t>
        </is>
      </c>
      <c r="B17" s="3" t="inlineStr">
        <is>
          <t>K</t>
        </is>
      </c>
      <c r="C17" s="3" t="inlineStr">
        <is>
          <t>V3DB</t>
        </is>
      </c>
      <c r="D17" s="3" t="inlineStr">
        <is>
          <t>verify time</t>
        </is>
      </c>
      <c r="E17" s="3" t="inlineStr">
        <is>
          <t>J119</t>
        </is>
      </c>
      <c r="F17" s="3" t="n">
        <v>63.1774729999961</v>
      </c>
      <c r="G17" s="3" t="inlineStr">
        <is>
          <t>K119</t>
        </is>
      </c>
      <c r="H17" s="3" t="n">
        <v>54.7225050004272</v>
      </c>
      <c r="I17" s="3" t="n">
        <v>-13.3828841168899</v>
      </c>
      <c r="J17" s="3" t="inlineStr">
        <is>
          <t>V3DB包含不同PQ配置、probe、证明电路/域大小及单次测量；这些条件不保证该指标随横轴单调。</t>
        </is>
      </c>
    </row>
    <row r="18" ht="27" customHeight="1" s="1">
      <c r="A18" s="3" t="inlineStr">
        <is>
          <t>SIFT1M</t>
        </is>
      </c>
      <c r="B18" s="3" t="inlineStr">
        <is>
          <t>K</t>
        </is>
      </c>
      <c r="C18" s="3" t="inlineStr">
        <is>
          <t>VLAH</t>
        </is>
      </c>
      <c r="D18" s="3" t="inlineStr">
        <is>
          <t>query time</t>
        </is>
      </c>
      <c r="E18" s="3" t="inlineStr">
        <is>
          <t>F127</t>
        </is>
      </c>
      <c r="F18" s="3" t="n">
        <v>61.7761955166667</v>
      </c>
      <c r="G18" s="3" t="inlineStr">
        <is>
          <t>G127</t>
        </is>
      </c>
      <c r="H18" s="3" t="n">
        <v>60.2132885166667</v>
      </c>
      <c r="I18" s="3" t="n">
        <v>-2.52995022909486</v>
      </c>
      <c r="J18" s="3" t="inlineStr">
        <is>
          <t>耗时是独立测量的样本均值，存在缓存、分配和系统波动，不能要求均值严格单调；保留原始观察，不以平滑值替代实测。</t>
        </is>
      </c>
    </row>
    <row r="19" ht="27" customHeight="1" s="1">
      <c r="A19" s="3" t="inlineStr">
        <is>
          <t>SIFT1M</t>
        </is>
      </c>
      <c r="B19" s="3" t="inlineStr">
        <is>
          <t>K</t>
        </is>
      </c>
      <c r="C19" s="3" t="inlineStr">
        <is>
          <t>ANNProof</t>
        </is>
      </c>
      <c r="D19" s="3" t="inlineStr">
        <is>
          <t>query time</t>
        </is>
      </c>
      <c r="E19" s="3" t="inlineStr">
        <is>
          <t>F128</t>
        </is>
      </c>
      <c r="F19" s="3" t="n">
        <v>3.440684508</v>
      </c>
      <c r="G19" s="3" t="inlineStr">
        <is>
          <t>G128</t>
        </is>
      </c>
      <c r="H19" s="3" t="n">
        <v>3.385768284</v>
      </c>
      <c r="I19" s="3" t="n">
        <v>-1.59608426382346</v>
      </c>
      <c r="J19" s="3" t="inlineStr">
        <is>
          <t>耗时是独立测量的样本均值，存在缓存、分配和系统波动，不能要求均值严格单调；保留原始观察，不以平滑值替代实测。</t>
        </is>
      </c>
    </row>
    <row r="20" ht="27" customHeight="1" s="1">
      <c r="A20" s="3" t="inlineStr">
        <is>
          <t>SIFT1M</t>
        </is>
      </c>
      <c r="B20" s="3" t="inlineStr">
        <is>
          <t>K</t>
        </is>
      </c>
      <c r="C20" s="3" t="inlineStr">
        <is>
          <t>ANNProof</t>
        </is>
      </c>
      <c r="D20" s="3" t="inlineStr">
        <is>
          <t>query time</t>
        </is>
      </c>
      <c r="E20" s="3" t="inlineStr">
        <is>
          <t>H128</t>
        </is>
      </c>
      <c r="F20" s="3" t="n">
        <v>3.43276196</v>
      </c>
      <c r="G20" s="3" t="inlineStr">
        <is>
          <t>I128</t>
        </is>
      </c>
      <c r="H20" s="3" t="n">
        <v>3.408401008</v>
      </c>
      <c r="I20" s="3" t="n">
        <v>-0.709660392531508</v>
      </c>
      <c r="J20" s="3" t="inlineStr">
        <is>
          <t>耗时是独立测量的样本均值，存在缓存、分配和系统波动，不能要求均值严格单调；保留原始观察，不以平滑值替代实测。</t>
        </is>
      </c>
    </row>
    <row r="21" ht="27" customHeight="1" s="1">
      <c r="A21" s="3" t="inlineStr">
        <is>
          <t>SIFT1M</t>
        </is>
      </c>
      <c r="B21" s="3" t="inlineStr">
        <is>
          <t>K</t>
        </is>
      </c>
      <c r="C21" s="3" t="inlineStr">
        <is>
          <t>V3DB</t>
        </is>
      </c>
      <c r="D21" s="3" t="inlineStr">
        <is>
          <t>query time</t>
        </is>
      </c>
      <c r="E21" s="3" t="inlineStr">
        <is>
          <t>F130</t>
        </is>
      </c>
      <c r="F21" s="3" t="n">
        <v>490868.017647</v>
      </c>
      <c r="G21" s="3" t="inlineStr">
        <is>
          <t>G130</t>
        </is>
      </c>
      <c r="H21" s="3" t="n">
        <v>490562.607889</v>
      </c>
      <c r="I21" s="3" t="n">
        <v>-0.0622183045177804</v>
      </c>
      <c r="J21" s="3" t="inlineStr">
        <is>
          <t>V3DB包含不同PQ配置、probe、证明电路/域大小及单次测量；这些条件不保证该指标随横轴单调。</t>
        </is>
      </c>
    </row>
    <row r="22" ht="27" customHeight="1" s="1">
      <c r="A22" s="3" t="inlineStr">
        <is>
          <t>SIFT1M</t>
        </is>
      </c>
      <c r="B22" s="3" t="inlineStr">
        <is>
          <t>K</t>
        </is>
      </c>
      <c r="C22" s="3" t="inlineStr">
        <is>
          <t>V3DB</t>
        </is>
      </c>
      <c r="D22" s="3" t="inlineStr">
        <is>
          <t>query time</t>
        </is>
      </c>
      <c r="E22" s="3" t="inlineStr">
        <is>
          <t>H130</t>
        </is>
      </c>
      <c r="F22" s="3" t="n">
        <v>517760.920454</v>
      </c>
      <c r="G22" s="3" t="inlineStr">
        <is>
          <t>I130</t>
        </is>
      </c>
      <c r="H22" s="3" t="n">
        <v>490514.609756</v>
      </c>
      <c r="I22" s="3" t="n">
        <v>-5.26233433649435</v>
      </c>
      <c r="J22" s="3" t="inlineStr">
        <is>
          <t>V3DB包含不同PQ配置、probe、证明电路/域大小及单次测量；这些条件不保证该指标随横轴单调。</t>
        </is>
      </c>
    </row>
    <row r="23" ht="27" customHeight="1" s="1">
      <c r="A23" s="3" t="inlineStr">
        <is>
          <t>SIFT1M</t>
        </is>
      </c>
      <c r="B23" s="3" t="inlineStr">
        <is>
          <t>K</t>
        </is>
      </c>
      <c r="C23" s="3" t="inlineStr">
        <is>
          <t>V3DB</t>
        </is>
      </c>
      <c r="D23" s="3" t="inlineStr">
        <is>
          <t>query time</t>
        </is>
      </c>
      <c r="E23" s="3" t="inlineStr">
        <is>
          <t>I130</t>
        </is>
      </c>
      <c r="F23" s="3" t="n">
        <v>490514.609756</v>
      </c>
      <c r="G23" s="3" t="inlineStr">
        <is>
          <t>J130</t>
        </is>
      </c>
      <c r="H23" s="3" t="n">
        <v>489702.042629</v>
      </c>
      <c r="I23" s="3" t="n">
        <v>-0.165656049960306</v>
      </c>
      <c r="J23" s="3" t="inlineStr">
        <is>
          <t>V3DB包含不同PQ配置、probe、证明电路/域大小及单次测量；这些条件不保证该指标随横轴单调。</t>
        </is>
      </c>
    </row>
    <row r="24" ht="27" customHeight="1" s="1">
      <c r="A24" s="3" t="inlineStr">
        <is>
          <t>SIFT1M</t>
        </is>
      </c>
      <c r="B24" s="3" t="inlineStr">
        <is>
          <t>K</t>
        </is>
      </c>
      <c r="C24" s="3" t="inlineStr">
        <is>
          <t>Chen13-MR</t>
        </is>
      </c>
      <c r="D24" s="3" t="inlineStr">
        <is>
          <t>query time</t>
        </is>
      </c>
      <c r="E24" s="3" t="inlineStr">
        <is>
          <t>G131</t>
        </is>
      </c>
      <c r="F24" s="3" t="n">
        <v>283.166553666667</v>
      </c>
      <c r="G24" s="3" t="inlineStr">
        <is>
          <t>H131</t>
        </is>
      </c>
      <c r="H24" s="3" t="n">
        <v>278.25155455</v>
      </c>
      <c r="I24" s="3" t="n">
        <v>-1.73572727888365</v>
      </c>
      <c r="J24" s="3" t="inlineStr">
        <is>
          <t>耗时是独立测量的样本均值，存在缓存、分配和系统波动，不能要求均值严格单调；保留原始观察，不以平滑值替代实测。</t>
        </is>
      </c>
    </row>
    <row r="25" ht="27" customHeight="1" s="1">
      <c r="A25" s="3" t="inlineStr">
        <is>
          <t>NYTimes-256</t>
        </is>
      </c>
      <c r="B25" s="3" t="inlineStr">
        <is>
          <t>Recall@10</t>
        </is>
      </c>
      <c r="C25" s="3" t="inlineStr">
        <is>
          <t>ANNProof</t>
        </is>
      </c>
      <c r="D25" s="3" t="inlineStr">
        <is>
          <t>VO size</t>
        </is>
      </c>
      <c r="E25" s="3" t="inlineStr">
        <is>
          <t>N24</t>
        </is>
      </c>
      <c r="F25" s="3" t="n">
        <v>2014.6296</v>
      </c>
      <c r="G25" s="3" t="inlineStr">
        <is>
          <t>O24</t>
        </is>
      </c>
      <c r="H25" s="3" t="n">
        <v>694.3407999999999</v>
      </c>
      <c r="I25" s="3" t="n">
        <v>-65.535064113026</v>
      </c>
      <c r="J25" s="3" t="inlineStr">
        <is>
          <t>低召回曲线允许切换M/efConstruction；更稠密图可用更小efSearch达到更高召回。不同图配置的VO及耗时不保证随召回率单调。</t>
        </is>
      </c>
    </row>
    <row r="26" ht="27" customHeight="1" s="1">
      <c r="A26" s="3" t="inlineStr">
        <is>
          <t>NYTimes-256</t>
        </is>
      </c>
      <c r="B26" s="3" t="inlineStr">
        <is>
          <t>Recall@10</t>
        </is>
      </c>
      <c r="C26" s="3" t="inlineStr">
        <is>
          <t>V3DB</t>
        </is>
      </c>
      <c r="D26" s="3" t="inlineStr">
        <is>
          <t>VO size</t>
        </is>
      </c>
      <c r="E26" s="3" t="inlineStr">
        <is>
          <t>J28</t>
        </is>
      </c>
      <c r="F26" s="3" t="n">
        <v>209.394</v>
      </c>
      <c r="G26" s="3" t="inlineStr">
        <is>
          <t>K28</t>
        </is>
      </c>
      <c r="H26" s="3" t="n">
        <v>203.127</v>
      </c>
      <c r="I26" s="3" t="n">
        <v>-2.99292243330754</v>
      </c>
      <c r="J26" s="3" t="inlineStr">
        <is>
          <t>V3DB包含不同PQ配置、probe、证明电路/域大小及单次测量；这些条件不保证该指标随横轴单调。</t>
        </is>
      </c>
    </row>
    <row r="27" ht="40.5" customHeight="1" s="1">
      <c r="A27" s="3" t="inlineStr">
        <is>
          <t>NYTimes-256</t>
        </is>
      </c>
      <c r="B27" s="3" t="inlineStr">
        <is>
          <t>Recall@10</t>
        </is>
      </c>
      <c r="C27" s="3" t="inlineStr">
        <is>
          <t>V3DB</t>
        </is>
      </c>
      <c r="D27" s="3" t="inlineStr">
        <is>
          <t>VO size</t>
        </is>
      </c>
      <c r="E27" s="3" t="inlineStr">
        <is>
          <t>Q28</t>
        </is>
      </c>
      <c r="F27" s="3" t="n">
        <v>742.4829999999999</v>
      </c>
      <c r="G27" s="3" t="inlineStr">
        <is>
          <t>R28</t>
        </is>
      </c>
      <c r="H27" s="3" t="n">
        <v>480.339</v>
      </c>
      <c r="I27" s="3" t="n">
        <v>-35.3063975875542</v>
      </c>
      <c r="J27" s="3" t="inlineStr">
        <is>
          <t>V3DB包含不同PQ配置、probe、证明电路/域大小及单次测量；这些条件不保证该指标随横轴单调。 此处还涉及512GiB条件预测，须与实测区分；不依据单调性修改预测中心值。</t>
        </is>
      </c>
    </row>
    <row r="28" ht="27" customHeight="1" s="1">
      <c r="A28" s="3" t="inlineStr">
        <is>
          <t>NYTimes-256</t>
        </is>
      </c>
      <c r="B28" s="3" t="inlineStr">
        <is>
          <t>Recall@10</t>
        </is>
      </c>
      <c r="C28" s="3" t="inlineStr">
        <is>
          <t>ANNProof</t>
        </is>
      </c>
      <c r="D28" s="3" t="inlineStr">
        <is>
          <t>verify time</t>
        </is>
      </c>
      <c r="E28" s="3" t="inlineStr">
        <is>
          <t>N38</t>
        </is>
      </c>
      <c r="F28" s="3" t="n">
        <v>15.6073488</v>
      </c>
      <c r="G28" s="3" t="inlineStr">
        <is>
          <t>O38</t>
        </is>
      </c>
      <c r="H28" s="3" t="n">
        <v>5.279165375</v>
      </c>
      <c r="I28" s="3" t="n">
        <v>-66.17513042958331</v>
      </c>
      <c r="J28" s="3" t="inlineStr">
        <is>
          <t>低召回曲线允许切换M/efConstruction；更稠密图可用更小efSearch达到更高召回。不同图配置的VO及耗时不保证随召回率单调。</t>
        </is>
      </c>
    </row>
    <row r="29" ht="27" customHeight="1" s="1">
      <c r="A29" s="3" t="inlineStr">
        <is>
          <t>NYTimes-256</t>
        </is>
      </c>
      <c r="B29" s="3" t="inlineStr">
        <is>
          <t>Recall@10</t>
        </is>
      </c>
      <c r="C29" s="3" t="inlineStr">
        <is>
          <t>V3DB</t>
        </is>
      </c>
      <c r="D29" s="3" t="inlineStr">
        <is>
          <t>verify time</t>
        </is>
      </c>
      <c r="E29" s="3" t="inlineStr">
        <is>
          <t>L42</t>
        </is>
      </c>
      <c r="F29" s="3" t="n">
        <v>13.1931410000448</v>
      </c>
      <c r="G29" s="3" t="inlineStr">
        <is>
          <t>M42</t>
        </is>
      </c>
      <c r="H29" s="3" t="n">
        <v>12.7548779998961</v>
      </c>
      <c r="I29" s="3" t="n">
        <v>-3.32190037343807</v>
      </c>
      <c r="J29" s="3" t="inlineStr">
        <is>
          <t>V3DB包含不同PQ配置、probe、证明电路/域大小及单次测量；这些条件不保证该指标随横轴单调。</t>
        </is>
      </c>
    </row>
    <row r="30" ht="40.5" customHeight="1" s="1">
      <c r="A30" s="3" t="inlineStr">
        <is>
          <t>NYTimes-256</t>
        </is>
      </c>
      <c r="B30" s="3" t="inlineStr">
        <is>
          <t>Recall@10</t>
        </is>
      </c>
      <c r="C30" s="3" t="inlineStr">
        <is>
          <t>V3DB</t>
        </is>
      </c>
      <c r="D30" s="3" t="inlineStr">
        <is>
          <t>verify time</t>
        </is>
      </c>
      <c r="E30" s="3" t="inlineStr">
        <is>
          <t>N42</t>
        </is>
      </c>
      <c r="F30" s="3" t="n">
        <v>69.6683460000713</v>
      </c>
      <c r="G30" s="3" t="inlineStr">
        <is>
          <t>O42</t>
        </is>
      </c>
      <c r="H30" s="3" t="n">
        <v>24.9950594550608</v>
      </c>
      <c r="I30" s="3" t="n">
        <v>-64.1227890568333</v>
      </c>
      <c r="J30" s="3" t="inlineStr">
        <is>
          <t>V3DB包含不同PQ配置、probe、证明电路/域大小及单次测量；这些条件不保证该指标随横轴单调。 此处还涉及512GiB条件预测，须与实测区分；不依据单调性修改预测中心值。</t>
        </is>
      </c>
    </row>
    <row r="31" ht="40.5" customHeight="1" s="1">
      <c r="A31" s="3" t="inlineStr">
        <is>
          <t>NYTimes-256</t>
        </is>
      </c>
      <c r="B31" s="3" t="inlineStr">
        <is>
          <t>Recall@10</t>
        </is>
      </c>
      <c r="C31" s="3" t="inlineStr">
        <is>
          <t>V3DB</t>
        </is>
      </c>
      <c r="D31" s="3" t="inlineStr">
        <is>
          <t>verify time</t>
        </is>
      </c>
      <c r="E31" s="3" t="inlineStr">
        <is>
          <t>Q42</t>
        </is>
      </c>
      <c r="F31" s="3" t="n">
        <v>37.7527243375802</v>
      </c>
      <c r="G31" s="3" t="inlineStr">
        <is>
          <t>R42</t>
        </is>
      </c>
      <c r="H31" s="3" t="n">
        <v>31.7760529938302</v>
      </c>
      <c r="I31" s="3" t="n">
        <v>-15.8310994732654</v>
      </c>
      <c r="J31" s="3" t="inlineStr">
        <is>
          <t>V3DB包含不同PQ配置、probe、证明电路/域大小及单次测量；这些条件不保证该指标随横轴单调。 此处还涉及512GiB条件预测，须与实测区分；不依据单调性修改预测中心值。</t>
        </is>
      </c>
    </row>
    <row r="32" ht="27" customHeight="1" s="1">
      <c r="A32" s="3" t="inlineStr">
        <is>
          <t>NYTimes-256</t>
        </is>
      </c>
      <c r="B32" s="3" t="inlineStr">
        <is>
          <t>Recall@10</t>
        </is>
      </c>
      <c r="C32" s="3" t="inlineStr">
        <is>
          <t>ANNProof</t>
        </is>
      </c>
      <c r="D32" s="3" t="inlineStr">
        <is>
          <t>query time</t>
        </is>
      </c>
      <c r="E32" s="3" t="inlineStr">
        <is>
          <t>N52</t>
        </is>
      </c>
      <c r="F32" s="3" t="n">
        <v>2.90372268</v>
      </c>
      <c r="G32" s="3" t="inlineStr">
        <is>
          <t>O52</t>
        </is>
      </c>
      <c r="H32" s="3" t="n">
        <v>0.80376432</v>
      </c>
      <c r="I32" s="3" t="n">
        <v>-72.3195219179815</v>
      </c>
      <c r="J32" s="3" t="inlineStr">
        <is>
          <t>低召回曲线允许切换M/efConstruction；更稠密图可用更小efSearch达到更高召回。不同图配置的VO及耗时不保证随召回率单调。</t>
        </is>
      </c>
    </row>
    <row r="33" ht="27" customHeight="1" s="1">
      <c r="A33" s="3" t="inlineStr">
        <is>
          <t>NYTimes-256</t>
        </is>
      </c>
      <c r="B33" s="3" t="inlineStr">
        <is>
          <t>K</t>
        </is>
      </c>
      <c r="C33" s="3" t="inlineStr">
        <is>
          <t>V3DB</t>
        </is>
      </c>
      <c r="D33" s="3" t="inlineStr">
        <is>
          <t>VO size</t>
        </is>
      </c>
      <c r="E33" s="3" t="inlineStr">
        <is>
          <t>G107</t>
        </is>
      </c>
      <c r="F33" s="3" t="n">
        <v>237.512</v>
      </c>
      <c r="G33" s="3" t="inlineStr">
        <is>
          <t>H107</t>
        </is>
      </c>
      <c r="H33" s="3" t="n">
        <v>236.43</v>
      </c>
      <c r="I33" s="3" t="n">
        <v>-0.455555929805651</v>
      </c>
      <c r="J33" s="3" t="inlineStr">
        <is>
          <t>V3DB包含不同PQ配置、probe、证明电路/域大小及单次测量；这些条件不保证该指标随横轴单调。</t>
        </is>
      </c>
    </row>
    <row r="34" ht="27" customHeight="1" s="1">
      <c r="A34" s="3" t="inlineStr">
        <is>
          <t>NYTimes-256</t>
        </is>
      </c>
      <c r="B34" s="3" t="inlineStr">
        <is>
          <t>K</t>
        </is>
      </c>
      <c r="C34" s="3" t="inlineStr">
        <is>
          <t>V3DB</t>
        </is>
      </c>
      <c r="D34" s="3" t="inlineStr">
        <is>
          <t>VO size</t>
        </is>
      </c>
      <c r="E34" s="3" t="inlineStr">
        <is>
          <t>H107</t>
        </is>
      </c>
      <c r="F34" s="3" t="n">
        <v>236.43</v>
      </c>
      <c r="G34" s="3" t="inlineStr">
        <is>
          <t>I107</t>
        </is>
      </c>
      <c r="H34" s="3" t="n">
        <v>233.148</v>
      </c>
      <c r="I34" s="3" t="n">
        <v>-1.38814871209237</v>
      </c>
      <c r="J34" s="3" t="inlineStr">
        <is>
          <t>V3DB包含不同PQ配置、probe、证明电路/域大小及单次测量；这些条件不保证该指标随横轴单调。</t>
        </is>
      </c>
    </row>
    <row r="35" ht="27" customHeight="1" s="1">
      <c r="A35" s="3" t="inlineStr">
        <is>
          <t>NYTimes-256</t>
        </is>
      </c>
      <c r="B35" s="3" t="inlineStr">
        <is>
          <t>K</t>
        </is>
      </c>
      <c r="C35" s="3" t="inlineStr">
        <is>
          <t>V3DB</t>
        </is>
      </c>
      <c r="D35" s="3" t="inlineStr">
        <is>
          <t>VO size</t>
        </is>
      </c>
      <c r="E35" s="3" t="inlineStr">
        <is>
          <t>J107</t>
        </is>
      </c>
      <c r="F35" s="3" t="n">
        <v>238.719</v>
      </c>
      <c r="G35" s="3" t="inlineStr">
        <is>
          <t>K107</t>
        </is>
      </c>
      <c r="H35" s="3" t="n">
        <v>235.053</v>
      </c>
      <c r="I35" s="3" t="n">
        <v>-1.53569678157164</v>
      </c>
      <c r="J35" s="3" t="inlineStr">
        <is>
          <t>V3DB包含不同PQ配置、probe、证明电路/域大小及单次测量；这些条件不保证该指标随横轴单调。</t>
        </is>
      </c>
    </row>
    <row r="36" ht="27" customHeight="1" s="1">
      <c r="A36" s="3" t="inlineStr">
        <is>
          <t>NYTimes-256</t>
        </is>
      </c>
      <c r="B36" s="3" t="inlineStr">
        <is>
          <t>K</t>
        </is>
      </c>
      <c r="C36" s="3" t="inlineStr">
        <is>
          <t>VLAH</t>
        </is>
      </c>
      <c r="D36" s="3" t="inlineStr">
        <is>
          <t>verify time</t>
        </is>
      </c>
      <c r="E36" s="3" t="inlineStr">
        <is>
          <t>F116</t>
        </is>
      </c>
      <c r="F36" s="3" t="n">
        <v>557.39184855</v>
      </c>
      <c r="G36" s="3" t="inlineStr">
        <is>
          <t>G116</t>
        </is>
      </c>
      <c r="H36" s="3" t="n">
        <v>554.970474783333</v>
      </c>
      <c r="I36" s="3" t="n">
        <v>-0.434411406081014</v>
      </c>
      <c r="J36" s="3" t="inlineStr">
        <is>
          <t>耗时是独立测量的样本均值，存在缓存、分配和系统波动，不能要求均值严格单调；保留原始观察，不以平滑值替代实测。</t>
        </is>
      </c>
    </row>
    <row r="37" ht="27" customHeight="1" s="1">
      <c r="A37" s="3" t="inlineStr">
        <is>
          <t>NYTimes-256</t>
        </is>
      </c>
      <c r="B37" s="3" t="inlineStr">
        <is>
          <t>K</t>
        </is>
      </c>
      <c r="C37" s="3" t="inlineStr">
        <is>
          <t>VLAH</t>
        </is>
      </c>
      <c r="D37" s="3" t="inlineStr">
        <is>
          <t>verify time</t>
        </is>
      </c>
      <c r="E37" s="3" t="inlineStr">
        <is>
          <t>G116</t>
        </is>
      </c>
      <c r="F37" s="3" t="n">
        <v>554.970474783333</v>
      </c>
      <c r="G37" s="3" t="inlineStr">
        <is>
          <t>H116</t>
        </is>
      </c>
      <c r="H37" s="3" t="n">
        <v>551.9385411666671</v>
      </c>
      <c r="I37" s="3" t="n">
        <v>-0.5463234089794879</v>
      </c>
      <c r="J37" s="3" t="inlineStr">
        <is>
          <t>耗时是独立测量的样本均值，存在缓存、分配和系统波动，不能要求均值严格单调；保留原始观察，不以平滑值替代实测。</t>
        </is>
      </c>
    </row>
    <row r="38" ht="27" customHeight="1" s="1">
      <c r="A38" s="3" t="inlineStr">
        <is>
          <t>NYTimes-256</t>
        </is>
      </c>
      <c r="B38" s="3" t="inlineStr">
        <is>
          <t>K</t>
        </is>
      </c>
      <c r="C38" s="3" t="inlineStr">
        <is>
          <t>VLAH</t>
        </is>
      </c>
      <c r="D38" s="3" t="inlineStr">
        <is>
          <t>verify time</t>
        </is>
      </c>
      <c r="E38" s="3" t="inlineStr">
        <is>
          <t>H116</t>
        </is>
      </c>
      <c r="F38" s="3" t="n">
        <v>551.9385411666671</v>
      </c>
      <c r="G38" s="3" t="inlineStr">
        <is>
          <t>I116</t>
        </is>
      </c>
      <c r="H38" s="3" t="n">
        <v>551.736770516667</v>
      </c>
      <c r="I38" s="3" t="n">
        <v>-0.0365567241551124</v>
      </c>
      <c r="J38" s="3" t="inlineStr">
        <is>
          <t>耗时是独立测量的样本均值，存在缓存、分配和系统波动，不能要求均值严格单调；保留原始观察，不以平滑值替代实测。</t>
        </is>
      </c>
    </row>
    <row r="39" ht="27" customHeight="1" s="1">
      <c r="A39" s="3" t="inlineStr">
        <is>
          <t>NYTimes-256</t>
        </is>
      </c>
      <c r="B39" s="3" t="inlineStr">
        <is>
          <t>K</t>
        </is>
      </c>
      <c r="C39" s="3" t="inlineStr">
        <is>
          <t>VLAH</t>
        </is>
      </c>
      <c r="D39" s="3" t="inlineStr">
        <is>
          <t>verify time</t>
        </is>
      </c>
      <c r="E39" s="3" t="inlineStr">
        <is>
          <t>I116</t>
        </is>
      </c>
      <c r="F39" s="3" t="n">
        <v>551.736770516667</v>
      </c>
      <c r="G39" s="3" t="inlineStr">
        <is>
          <t>J116</t>
        </is>
      </c>
      <c r="H39" s="3" t="n">
        <v>546.579682183333</v>
      </c>
      <c r="I39" s="3" t="n">
        <v>-0.934700858981119</v>
      </c>
      <c r="J39" s="3" t="inlineStr">
        <is>
          <t>耗时是独立测量的样本均值，存在缓存、分配和系统波动，不能要求均值严格单调；保留原始观察，不以平滑值替代实测。</t>
        </is>
      </c>
    </row>
    <row r="40" ht="27" customHeight="1" s="1">
      <c r="A40" s="3" t="inlineStr">
        <is>
          <t>NYTimes-256</t>
        </is>
      </c>
      <c r="B40" s="3" t="inlineStr">
        <is>
          <t>K</t>
        </is>
      </c>
      <c r="C40" s="3" t="inlineStr">
        <is>
          <t>ANNProof</t>
        </is>
      </c>
      <c r="D40" s="3" t="inlineStr">
        <is>
          <t>verify time</t>
        </is>
      </c>
      <c r="E40" s="3" t="inlineStr">
        <is>
          <t>F117</t>
        </is>
      </c>
      <c r="F40" s="3" t="n">
        <v>129.64345235</v>
      </c>
      <c r="G40" s="3" t="inlineStr">
        <is>
          <t>G117</t>
        </is>
      </c>
      <c r="H40" s="3" t="n">
        <v>128.85383685</v>
      </c>
      <c r="I40" s="3" t="n">
        <v>-0.609067010856956</v>
      </c>
      <c r="J40" s="3" t="inlineStr">
        <is>
          <t>耗时是独立测量的样本均值，存在缓存、分配和系统波动，不能要求均值严格单调；保留原始观察，不以平滑值替代实测。</t>
        </is>
      </c>
    </row>
    <row r="41" ht="27" customHeight="1" s="1">
      <c r="A41" s="3" t="inlineStr">
        <is>
          <t>NYTimes-256</t>
        </is>
      </c>
      <c r="B41" s="3" t="inlineStr">
        <is>
          <t>K</t>
        </is>
      </c>
      <c r="C41" s="3" t="inlineStr">
        <is>
          <t>V3DB</t>
        </is>
      </c>
      <c r="D41" s="3" t="inlineStr">
        <is>
          <t>verify time</t>
        </is>
      </c>
      <c r="E41" s="3" t="inlineStr">
        <is>
          <t>F119</t>
        </is>
      </c>
      <c r="F41" s="3" t="n">
        <v>66.8346259999453</v>
      </c>
      <c r="G41" s="3" t="inlineStr">
        <is>
          <t>G119</t>
        </is>
      </c>
      <c r="H41" s="3" t="n">
        <v>13.6101110001619</v>
      </c>
      <c r="I41" s="3" t="n">
        <v>-79.6361380099994</v>
      </c>
      <c r="J41" s="3" t="inlineStr">
        <is>
          <t>V3DB包含不同PQ配置、probe、证明电路/域大小及单次测量；这些条件不保证该指标随横轴单调。</t>
        </is>
      </c>
    </row>
    <row r="42" ht="27" customHeight="1" s="1">
      <c r="A42" s="3" t="inlineStr">
        <is>
          <t>NYTimes-256</t>
        </is>
      </c>
      <c r="B42" s="3" t="inlineStr">
        <is>
          <t>K</t>
        </is>
      </c>
      <c r="C42" s="3" t="inlineStr">
        <is>
          <t>V3DB</t>
        </is>
      </c>
      <c r="D42" s="3" t="inlineStr">
        <is>
          <t>verify time</t>
        </is>
      </c>
      <c r="E42" s="3" t="inlineStr">
        <is>
          <t>I119</t>
        </is>
      </c>
      <c r="F42" s="3" t="n">
        <v>78.58429200041429</v>
      </c>
      <c r="G42" s="3" t="inlineStr">
        <is>
          <t>J119</t>
        </is>
      </c>
      <c r="H42" s="3" t="n">
        <v>13.2116089998817</v>
      </c>
      <c r="I42" s="3" t="n">
        <v>-83.1879773125499</v>
      </c>
      <c r="J42" s="3" t="inlineStr">
        <is>
          <t>V3DB包含不同PQ配置、probe、证明电路/域大小及单次测量；这些条件不保证该指标随横轴单调。</t>
        </is>
      </c>
    </row>
    <row r="43" ht="27" customHeight="1" s="1">
      <c r="A43" s="3" t="inlineStr">
        <is>
          <t>NYTimes-256</t>
        </is>
      </c>
      <c r="B43" s="3" t="inlineStr">
        <is>
          <t>K</t>
        </is>
      </c>
      <c r="C43" s="3" t="inlineStr">
        <is>
          <t>VLAH</t>
        </is>
      </c>
      <c r="D43" s="3" t="inlineStr">
        <is>
          <t>query time</t>
        </is>
      </c>
      <c r="E43" s="3" t="inlineStr">
        <is>
          <t>I127</t>
        </is>
      </c>
      <c r="F43" s="3" t="n">
        <v>297.812085416667</v>
      </c>
      <c r="G43" s="3" t="inlineStr">
        <is>
          <t>J127</t>
        </is>
      </c>
      <c r="H43" s="3" t="n">
        <v>297.087626583333</v>
      </c>
      <c r="I43" s="3" t="n">
        <v>-0.243260387609989</v>
      </c>
      <c r="J43" s="3" t="inlineStr">
        <is>
          <t>耗时是独立测量的样本均值，存在缓存、分配和系统波动，不能要求均值严格单调；保留原始观察，不以平滑值替代实测。</t>
        </is>
      </c>
    </row>
    <row r="44" ht="27" customHeight="1" s="1">
      <c r="A44" s="3" t="inlineStr">
        <is>
          <t>NYTimes-256</t>
        </is>
      </c>
      <c r="B44" s="3" t="inlineStr">
        <is>
          <t>K</t>
        </is>
      </c>
      <c r="C44" s="3" t="inlineStr">
        <is>
          <t>ANNProof</t>
        </is>
      </c>
      <c r="D44" s="3" t="inlineStr">
        <is>
          <t>query time</t>
        </is>
      </c>
      <c r="E44" s="3" t="inlineStr">
        <is>
          <t>F128</t>
        </is>
      </c>
      <c r="F44" s="3" t="n">
        <v>26.10421218</v>
      </c>
      <c r="G44" s="3" t="inlineStr">
        <is>
          <t>G128</t>
        </is>
      </c>
      <c r="H44" s="3" t="n">
        <v>25.6364344</v>
      </c>
      <c r="I44" s="3" t="n">
        <v>-1.79196283256705</v>
      </c>
      <c r="J44" s="3" t="inlineStr">
        <is>
          <t>耗时是独立测量的样本均值，存在缓存、分配和系统波动，不能要求均值严格单调；保留原始观察，不以平滑值替代实测。</t>
        </is>
      </c>
    </row>
    <row r="45" ht="27" customHeight="1" s="1">
      <c r="A45" s="3" t="inlineStr">
        <is>
          <t>NYTimes-256</t>
        </is>
      </c>
      <c r="B45" s="3" t="inlineStr">
        <is>
          <t>K</t>
        </is>
      </c>
      <c r="C45" s="3" t="inlineStr">
        <is>
          <t>ANNProof</t>
        </is>
      </c>
      <c r="D45" s="3" t="inlineStr">
        <is>
          <t>query time</t>
        </is>
      </c>
      <c r="E45" s="3" t="inlineStr">
        <is>
          <t>H128</t>
        </is>
      </c>
      <c r="F45" s="3" t="n">
        <v>25.81181024</v>
      </c>
      <c r="G45" s="3" t="inlineStr">
        <is>
          <t>I128</t>
        </is>
      </c>
      <c r="H45" s="3" t="n">
        <v>25.56243356</v>
      </c>
      <c r="I45" s="3" t="n">
        <v>-0.966134020362286</v>
      </c>
      <c r="J45" s="3" t="inlineStr">
        <is>
          <t>耗时是独立测量的样本均值，存在缓存、分配和系统波动，不能要求均值严格单调；保留原始观察，不以平滑值替代实测。</t>
        </is>
      </c>
    </row>
    <row r="46" ht="27" customHeight="1" s="1">
      <c r="A46" s="3" t="inlineStr">
        <is>
          <t>NYTimes-256</t>
        </is>
      </c>
      <c r="B46" s="3" t="inlineStr">
        <is>
          <t>K</t>
        </is>
      </c>
      <c r="C46" s="3" t="inlineStr">
        <is>
          <t>V3DB</t>
        </is>
      </c>
      <c r="D46" s="3" t="inlineStr">
        <is>
          <t>query time</t>
        </is>
      </c>
      <c r="E46" s="3" t="inlineStr">
        <is>
          <t>H130</t>
        </is>
      </c>
      <c r="F46" s="3" t="n">
        <v>525753.569964</v>
      </c>
      <c r="G46" s="3" t="inlineStr">
        <is>
          <t>I130</t>
        </is>
      </c>
      <c r="H46" s="3" t="n">
        <v>499521.62197</v>
      </c>
      <c r="I46" s="3" t="n">
        <v>-4.98939988097393</v>
      </c>
      <c r="J46" s="3" t="inlineStr">
        <is>
          <t>V3DB包含不同PQ配置、probe、证明电路/域大小及单次测量；这些条件不保证该指标随横轴单调。</t>
        </is>
      </c>
    </row>
    <row r="47" ht="27" customHeight="1" s="1">
      <c r="A47" s="3" t="inlineStr">
        <is>
          <t>NYTimes-256</t>
        </is>
      </c>
      <c r="B47" s="3" t="inlineStr">
        <is>
          <t>K</t>
        </is>
      </c>
      <c r="C47" s="3" t="inlineStr">
        <is>
          <t>V3DB</t>
        </is>
      </c>
      <c r="D47" s="3" t="inlineStr">
        <is>
          <t>query time</t>
        </is>
      </c>
      <c r="E47" s="3" t="inlineStr">
        <is>
          <t>I130</t>
        </is>
      </c>
      <c r="F47" s="3" t="n">
        <v>499521.62197</v>
      </c>
      <c r="G47" s="3" t="inlineStr">
        <is>
          <t>J130</t>
        </is>
      </c>
      <c r="H47" s="3" t="n">
        <v>498341.342619</v>
      </c>
      <c r="I47" s="3" t="n">
        <v>-0.236281934372573</v>
      </c>
      <c r="J47" s="3" t="inlineStr">
        <is>
          <t>V3DB包含不同PQ配置、probe、证明电路/域大小及单次测量；这些条件不保证该指标随横轴单调。</t>
        </is>
      </c>
    </row>
    <row r="48" ht="27" customHeight="1" s="1">
      <c r="A48" s="3" t="inlineStr">
        <is>
          <t>GloVe-100</t>
        </is>
      </c>
      <c r="B48" s="3" t="inlineStr">
        <is>
          <t>Recall@10</t>
        </is>
      </c>
      <c r="C48" s="3" t="inlineStr">
        <is>
          <t>V3DB</t>
        </is>
      </c>
      <c r="D48" s="3" t="inlineStr">
        <is>
          <t>VO size</t>
        </is>
      </c>
      <c r="E48" s="3" t="inlineStr">
        <is>
          <t>G28</t>
        </is>
      </c>
      <c r="F48" s="3" t="n">
        <v>275.131</v>
      </c>
      <c r="G48" s="3" t="inlineStr">
        <is>
          <t>H28</t>
        </is>
      </c>
      <c r="H48" s="3" t="n">
        <v>247.916</v>
      </c>
      <c r="I48" s="3" t="n">
        <v>-9.89165161323151</v>
      </c>
      <c r="J48" s="3" t="inlineStr">
        <is>
          <t>V3DB包含不同PQ配置、probe、证明电路/域大小及单次测量；这些条件不保证该指标随横轴单调。</t>
        </is>
      </c>
    </row>
    <row r="49" ht="27" customHeight="1" s="1">
      <c r="A49" s="3" t="inlineStr">
        <is>
          <t>GloVe-100</t>
        </is>
      </c>
      <c r="B49" s="3" t="inlineStr">
        <is>
          <t>Recall@10</t>
        </is>
      </c>
      <c r="C49" s="3" t="inlineStr">
        <is>
          <t>V3DB</t>
        </is>
      </c>
      <c r="D49" s="3" t="inlineStr">
        <is>
          <t>verify time</t>
        </is>
      </c>
      <c r="E49" s="3" t="inlineStr">
        <is>
          <t>G42</t>
        </is>
      </c>
      <c r="F49" s="3" t="n">
        <v>14.618057000007</v>
      </c>
      <c r="G49" s="3" t="inlineStr">
        <is>
          <t>H42</t>
        </is>
      </c>
      <c r="H49" s="3" t="n">
        <v>12.9159059999893</v>
      </c>
      <c r="I49" s="3" t="n">
        <v>-11.6441672105731</v>
      </c>
      <c r="J49" s="3" t="inlineStr">
        <is>
          <t>V3DB包含不同PQ配置、probe、证明电路/域大小及单次测量；这些条件不保证该指标随横轴单调。</t>
        </is>
      </c>
    </row>
    <row r="50" ht="27" customHeight="1" s="1">
      <c r="A50" s="3" t="inlineStr">
        <is>
          <t>GloVe-100</t>
        </is>
      </c>
      <c r="B50" s="3" t="inlineStr">
        <is>
          <t>Dataset size</t>
        </is>
      </c>
      <c r="C50" s="3" t="inlineStr">
        <is>
          <t>Ours</t>
        </is>
      </c>
      <c r="D50" s="3" t="inlineStr">
        <is>
          <t>VO size</t>
        </is>
      </c>
      <c r="E50" s="3" t="inlineStr">
        <is>
          <t>G70</t>
        </is>
      </c>
      <c r="F50" s="3" t="n">
        <v>3293.64175</v>
      </c>
      <c r="G50" s="3" t="inlineStr">
        <is>
          <t>H70</t>
        </is>
      </c>
      <c r="H50" s="3" t="n">
        <v>2804.3072</v>
      </c>
      <c r="I50" s="3" t="n">
        <v>-14.8569452035881</v>
      </c>
      <c r="J50" s="3" t="inlineStr">
        <is>
          <t>各规模重新建索引、调搜索参数及校准召回；预算与实际召回不完全相同，VO和耗时不保证仅随N单调。详见两点原始参数批注。</t>
        </is>
      </c>
    </row>
    <row r="51" ht="27" customHeight="1" s="1">
      <c r="A51" s="3" t="inlineStr">
        <is>
          <t>GloVe-100</t>
        </is>
      </c>
      <c r="B51" s="3" t="inlineStr">
        <is>
          <t>Dataset size</t>
        </is>
      </c>
      <c r="C51" s="3" t="inlineStr">
        <is>
          <t>Ours</t>
        </is>
      </c>
      <c r="D51" s="3" t="inlineStr">
        <is>
          <t>verify time</t>
        </is>
      </c>
      <c r="E51" s="3" t="inlineStr">
        <is>
          <t>G82</t>
        </is>
      </c>
      <c r="F51" s="3" t="n">
        <v>94.11832695</v>
      </c>
      <c r="G51" s="3" t="inlineStr">
        <is>
          <t>H82</t>
        </is>
      </c>
      <c r="H51" s="3" t="n">
        <v>76.8190604</v>
      </c>
      <c r="I51" s="3" t="n">
        <v>-18.3803379326857</v>
      </c>
      <c r="J51" s="3" t="inlineStr">
        <is>
          <t>各规模重新建索引、调搜索参数及校准召回；预算与实际召回不完全相同，VO和耗时不保证仅随N单调。详见两点原始参数批注。</t>
        </is>
      </c>
    </row>
    <row r="52" ht="27" customHeight="1" s="1">
      <c r="A52" s="3" t="inlineStr">
        <is>
          <t>GloVe-100</t>
        </is>
      </c>
      <c r="B52" s="3" t="inlineStr">
        <is>
          <t>Dataset size</t>
        </is>
      </c>
      <c r="C52" s="3" t="inlineStr">
        <is>
          <t>V3DB</t>
        </is>
      </c>
      <c r="D52" s="3" t="inlineStr">
        <is>
          <t>verify time</t>
        </is>
      </c>
      <c r="E52" s="3" t="inlineStr">
        <is>
          <t>F83</t>
        </is>
      </c>
      <c r="F52" s="3" t="n">
        <v>34.2702140005713</v>
      </c>
      <c r="G52" s="3" t="inlineStr">
        <is>
          <t>G83</t>
        </is>
      </c>
      <c r="H52" s="3" t="n">
        <v>12.736059999952</v>
      </c>
      <c r="I52" s="3" t="n">
        <v>-62.8363569607716</v>
      </c>
      <c r="J52" s="3" t="inlineStr">
        <is>
          <t>V3DB包含不同PQ配置、probe、证明电路/域大小及单次测量；这些条件不保证该指标随横轴单调。</t>
        </is>
      </c>
    </row>
    <row r="53" ht="27" customHeight="1" s="1">
      <c r="A53" s="3" t="inlineStr">
        <is>
          <t>GloVe-100</t>
        </is>
      </c>
      <c r="B53" s="3" t="inlineStr">
        <is>
          <t>Dataset size</t>
        </is>
      </c>
      <c r="C53" s="3" t="inlineStr">
        <is>
          <t>V3DB</t>
        </is>
      </c>
      <c r="D53" s="3" t="inlineStr">
        <is>
          <t>verify time</t>
        </is>
      </c>
      <c r="E53" s="3" t="inlineStr">
        <is>
          <t>G83</t>
        </is>
      </c>
      <c r="F53" s="3" t="n">
        <v>12.736059999952</v>
      </c>
      <c r="G53" s="3" t="inlineStr">
        <is>
          <t>H83</t>
        </is>
      </c>
      <c r="H53" s="3" t="n">
        <v>12.6910020007927</v>
      </c>
      <c r="I53" s="3" t="n">
        <v>-0.353782874448372</v>
      </c>
      <c r="J53" s="3" t="inlineStr">
        <is>
          <t>V3DB包含不同PQ配置、probe、证明电路/域大小及单次测量；这些条件不保证该指标随横轴单调。</t>
        </is>
      </c>
    </row>
    <row r="54" ht="27" customHeight="1" s="1">
      <c r="A54" s="3" t="inlineStr">
        <is>
          <t>GloVe-100</t>
        </is>
      </c>
      <c r="B54" s="3" t="inlineStr">
        <is>
          <t>Dataset size</t>
        </is>
      </c>
      <c r="C54" s="3" t="inlineStr">
        <is>
          <t>Ours</t>
        </is>
      </c>
      <c r="D54" s="3" t="inlineStr">
        <is>
          <t>query time</t>
        </is>
      </c>
      <c r="E54" s="3" t="inlineStr">
        <is>
          <t>G93</t>
        </is>
      </c>
      <c r="F54" s="3" t="n">
        <v>44.0394726833333</v>
      </c>
      <c r="G54" s="3" t="inlineStr">
        <is>
          <t>H93</t>
        </is>
      </c>
      <c r="H54" s="3" t="n">
        <v>35.6520734333333</v>
      </c>
      <c r="I54" s="3" t="n">
        <v>-19.0451854642079</v>
      </c>
      <c r="J54" s="3" t="inlineStr">
        <is>
          <t>各规模重新建索引、调搜索参数及校准召回；预算与实际召回不完全相同，VO和耗时不保证仅随N单调。详见两点原始参数批注。</t>
        </is>
      </c>
    </row>
    <row r="55" ht="27" customHeight="1" s="1">
      <c r="A55" s="3" t="inlineStr">
        <is>
          <t>GloVe-100</t>
        </is>
      </c>
      <c r="B55" s="3" t="inlineStr">
        <is>
          <t>Dataset size</t>
        </is>
      </c>
      <c r="C55" s="3" t="inlineStr">
        <is>
          <t>V3DB</t>
        </is>
      </c>
      <c r="D55" s="3" t="inlineStr">
        <is>
          <t>query time</t>
        </is>
      </c>
      <c r="E55" s="3" t="inlineStr">
        <is>
          <t>F94</t>
        </is>
      </c>
      <c r="F55" s="3" t="n">
        <v>488012.784404999</v>
      </c>
      <c r="G55" s="3" t="inlineStr">
        <is>
          <t>G94</t>
        </is>
      </c>
      <c r="H55" s="3" t="n">
        <v>242873.377380999</v>
      </c>
      <c r="I55" s="3" t="n">
        <v>-50.2321690860787</v>
      </c>
      <c r="J55" s="3" t="inlineStr">
        <is>
          <t>V3DB包含不同PQ配置、probe、证明电路/域大小及单次测量；这些条件不保证该指标随横轴单调。</t>
        </is>
      </c>
    </row>
    <row r="56" ht="27" customHeight="1" s="1">
      <c r="A56" s="3" t="inlineStr">
        <is>
          <t>GloVe-100</t>
        </is>
      </c>
      <c r="B56" s="3" t="inlineStr">
        <is>
          <t>Dataset size</t>
        </is>
      </c>
      <c r="C56" s="3" t="inlineStr">
        <is>
          <t>V3DB</t>
        </is>
      </c>
      <c r="D56" s="3" t="inlineStr">
        <is>
          <t>query time</t>
        </is>
      </c>
      <c r="E56" s="3" t="inlineStr">
        <is>
          <t>G94</t>
        </is>
      </c>
      <c r="F56" s="3" t="n">
        <v>242873.377380999</v>
      </c>
      <c r="G56" s="3" t="inlineStr">
        <is>
          <t>H94</t>
        </is>
      </c>
      <c r="H56" s="3" t="n">
        <v>240464.195720001</v>
      </c>
      <c r="I56" s="3" t="n">
        <v>-0.991949668167491</v>
      </c>
      <c r="J56" s="3" t="inlineStr">
        <is>
          <t>V3DB包含不同PQ配置、probe、证明电路/域大小及单次测量；这些条件不保证该指标随横轴单调。</t>
        </is>
      </c>
    </row>
    <row r="57" ht="27" customHeight="1" s="1">
      <c r="A57" s="3" t="inlineStr">
        <is>
          <t>GloVe-100</t>
        </is>
      </c>
      <c r="B57" s="3" t="inlineStr">
        <is>
          <t>K</t>
        </is>
      </c>
      <c r="C57" s="3" t="inlineStr">
        <is>
          <t>V3DB</t>
        </is>
      </c>
      <c r="D57" s="3" t="inlineStr">
        <is>
          <t>VO size</t>
        </is>
      </c>
      <c r="E57" s="3" t="inlineStr">
        <is>
          <t>H107</t>
        </is>
      </c>
      <c r="F57" s="3" t="n">
        <v>287.485</v>
      </c>
      <c r="G57" s="3" t="inlineStr">
        <is>
          <t>I107</t>
        </is>
      </c>
      <c r="H57" s="3" t="n">
        <v>284.971</v>
      </c>
      <c r="I57" s="3" t="n">
        <v>-0.87448040767345</v>
      </c>
      <c r="J57" s="3" t="inlineStr">
        <is>
          <t>V3DB包含不同PQ配置、probe、证明电路/域大小及单次测量；这些条件不保证该指标随横轴单调。</t>
        </is>
      </c>
    </row>
    <row r="58" ht="27" customHeight="1" s="1">
      <c r="A58" s="3" t="inlineStr">
        <is>
          <t>GloVe-100</t>
        </is>
      </c>
      <c r="B58" s="3" t="inlineStr">
        <is>
          <t>K</t>
        </is>
      </c>
      <c r="C58" s="3" t="inlineStr">
        <is>
          <t>V3DB</t>
        </is>
      </c>
      <c r="D58" s="3" t="inlineStr">
        <is>
          <t>VO size</t>
        </is>
      </c>
      <c r="E58" s="3" t="inlineStr">
        <is>
          <t>J107</t>
        </is>
      </c>
      <c r="F58" s="3" t="n">
        <v>288.524</v>
      </c>
      <c r="G58" s="3" t="inlineStr">
        <is>
          <t>K107</t>
        </is>
      </c>
      <c r="H58" s="3" t="n">
        <v>284.7</v>
      </c>
      <c r="I58" s="3" t="n">
        <v>-1.32536634734026</v>
      </c>
      <c r="J58" s="3" t="inlineStr">
        <is>
          <t>V3DB包含不同PQ配置、probe、证明电路/域大小及单次测量；这些条件不保证该指标随横轴单调。</t>
        </is>
      </c>
    </row>
    <row r="59" ht="27" customHeight="1" s="1">
      <c r="A59" s="3" t="inlineStr">
        <is>
          <t>GloVe-100</t>
        </is>
      </c>
      <c r="B59" s="3" t="inlineStr">
        <is>
          <t>K</t>
        </is>
      </c>
      <c r="C59" s="3" t="inlineStr">
        <is>
          <t>VLAH</t>
        </is>
      </c>
      <c r="D59" s="3" t="inlineStr">
        <is>
          <t>verify time</t>
        </is>
      </c>
      <c r="E59" s="3" t="inlineStr">
        <is>
          <t>F116</t>
        </is>
      </c>
      <c r="F59" s="3" t="n">
        <v>1023.80158376667</v>
      </c>
      <c r="G59" s="3" t="inlineStr">
        <is>
          <t>G116</t>
        </is>
      </c>
      <c r="H59" s="3" t="n">
        <v>1023.39237478333</v>
      </c>
      <c r="I59" s="3" t="n">
        <v>-0.0399695595150851</v>
      </c>
      <c r="J59" s="3" t="inlineStr">
        <is>
          <t>耗时是独立测量的样本均值，存在缓存、分配和系统波动，不能要求均值严格单调；保留原始观察，不以平滑值替代实测。</t>
        </is>
      </c>
    </row>
    <row r="60" ht="27" customHeight="1" s="1">
      <c r="A60" s="3" t="inlineStr">
        <is>
          <t>GloVe-100</t>
        </is>
      </c>
      <c r="B60" s="3" t="inlineStr">
        <is>
          <t>K</t>
        </is>
      </c>
      <c r="C60" s="3" t="inlineStr">
        <is>
          <t>VLAH</t>
        </is>
      </c>
      <c r="D60" s="3" t="inlineStr">
        <is>
          <t>verify time</t>
        </is>
      </c>
      <c r="E60" s="3" t="inlineStr">
        <is>
          <t>G116</t>
        </is>
      </c>
      <c r="F60" s="3" t="n">
        <v>1023.39237478333</v>
      </c>
      <c r="G60" s="3" t="inlineStr">
        <is>
          <t>H116</t>
        </is>
      </c>
      <c r="H60" s="3" t="n">
        <v>1023.12500151667</v>
      </c>
      <c r="I60" s="3" t="n">
        <v>-0.026126173425578</v>
      </c>
      <c r="J60" s="3" t="inlineStr">
        <is>
          <t>耗时是独立测量的样本均值，存在缓存、分配和系统波动，不能要求均值严格单调；保留原始观察，不以平滑值替代实测。</t>
        </is>
      </c>
    </row>
    <row r="61" ht="27" customHeight="1" s="1">
      <c r="A61" s="3" t="inlineStr">
        <is>
          <t>GloVe-100</t>
        </is>
      </c>
      <c r="B61" s="3" t="inlineStr">
        <is>
          <t>K</t>
        </is>
      </c>
      <c r="C61" s="3" t="inlineStr">
        <is>
          <t>VLAH</t>
        </is>
      </c>
      <c r="D61" s="3" t="inlineStr">
        <is>
          <t>verify time</t>
        </is>
      </c>
      <c r="E61" s="3" t="inlineStr">
        <is>
          <t>H116</t>
        </is>
      </c>
      <c r="F61" s="3" t="n">
        <v>1023.12500151667</v>
      </c>
      <c r="G61" s="3" t="inlineStr">
        <is>
          <t>I116</t>
        </is>
      </c>
      <c r="H61" s="3" t="n">
        <v>1019.02828181667</v>
      </c>
      <c r="I61" s="3" t="n">
        <v>-0.400412431904906</v>
      </c>
      <c r="J61" s="3" t="inlineStr">
        <is>
          <t>耗时是独立测量的样本均值，存在缓存、分配和系统波动，不能要求均值严格单调；保留原始观察，不以平滑值替代实测。</t>
        </is>
      </c>
    </row>
    <row r="62" ht="27" customHeight="1" s="1">
      <c r="A62" s="3" t="inlineStr">
        <is>
          <t>GloVe-100</t>
        </is>
      </c>
      <c r="B62" s="3" t="inlineStr">
        <is>
          <t>K</t>
        </is>
      </c>
      <c r="C62" s="3" t="inlineStr">
        <is>
          <t>VLAH</t>
        </is>
      </c>
      <c r="D62" s="3" t="inlineStr">
        <is>
          <t>verify time</t>
        </is>
      </c>
      <c r="E62" s="3" t="inlineStr">
        <is>
          <t>I116</t>
        </is>
      </c>
      <c r="F62" s="3" t="n">
        <v>1019.02828181667</v>
      </c>
      <c r="G62" s="3" t="inlineStr">
        <is>
          <t>J116</t>
        </is>
      </c>
      <c r="H62" s="3" t="n">
        <v>1018.60531591667</v>
      </c>
      <c r="I62" s="3" t="n">
        <v>-0.0415067871566754</v>
      </c>
      <c r="J62" s="3" t="inlineStr">
        <is>
          <t>耗时是独立测量的样本均值，存在缓存、分配和系统波动，不能要求均值严格单调；保留原始观察，不以平滑值替代实测。</t>
        </is>
      </c>
    </row>
    <row r="63" ht="27" customHeight="1" s="1">
      <c r="A63" s="3" t="inlineStr">
        <is>
          <t>GloVe-100</t>
        </is>
      </c>
      <c r="B63" s="3" t="inlineStr">
        <is>
          <t>K</t>
        </is>
      </c>
      <c r="C63" s="3" t="inlineStr">
        <is>
          <t>ANNProof</t>
        </is>
      </c>
      <c r="D63" s="3" t="inlineStr">
        <is>
          <t>verify time</t>
        </is>
      </c>
      <c r="E63" s="3" t="inlineStr">
        <is>
          <t>H117</t>
        </is>
      </c>
      <c r="F63" s="3" t="n">
        <v>396.1020328</v>
      </c>
      <c r="G63" s="3" t="inlineStr">
        <is>
          <t>I117</t>
        </is>
      </c>
      <c r="H63" s="3" t="n">
        <v>393.4959681</v>
      </c>
      <c r="I63" s="3" t="n">
        <v>-0.657927625763111</v>
      </c>
      <c r="J63" s="3" t="inlineStr">
        <is>
          <t>耗时是独立测量的样本均值，存在缓存、分配和系统波动，不能要求均值严格单调；保留原始观察，不以平滑值替代实测。</t>
        </is>
      </c>
    </row>
    <row r="64" ht="27" customHeight="1" s="1">
      <c r="A64" s="3" t="inlineStr">
        <is>
          <t>GloVe-100</t>
        </is>
      </c>
      <c r="B64" s="3" t="inlineStr">
        <is>
          <t>K</t>
        </is>
      </c>
      <c r="C64" s="3" t="inlineStr">
        <is>
          <t>V3DB</t>
        </is>
      </c>
      <c r="D64" s="3" t="inlineStr">
        <is>
          <t>verify time</t>
        </is>
      </c>
      <c r="E64" s="3" t="inlineStr">
        <is>
          <t>H119</t>
        </is>
      </c>
      <c r="F64" s="3" t="n">
        <v>19.9993839999024</v>
      </c>
      <c r="G64" s="3" t="inlineStr">
        <is>
          <t>I119</t>
        </is>
      </c>
      <c r="H64" s="3" t="n">
        <v>17.4044739997044</v>
      </c>
      <c r="I64" s="3" t="n">
        <v>-12.9749496295019</v>
      </c>
      <c r="J64" s="3" t="inlineStr">
        <is>
          <t>V3DB包含不同PQ配置、probe、证明电路/域大小及单次测量；这些条件不保证该指标随横轴单调。</t>
        </is>
      </c>
    </row>
    <row r="65" ht="27" customHeight="1" s="1">
      <c r="A65" s="3" t="inlineStr">
        <is>
          <t>GloVe-100</t>
        </is>
      </c>
      <c r="B65" s="3" t="inlineStr">
        <is>
          <t>K</t>
        </is>
      </c>
      <c r="C65" s="3" t="inlineStr">
        <is>
          <t>V3DB</t>
        </is>
      </c>
      <c r="D65" s="3" t="inlineStr">
        <is>
          <t>verify time</t>
        </is>
      </c>
      <c r="E65" s="3" t="inlineStr">
        <is>
          <t>J119</t>
        </is>
      </c>
      <c r="F65" s="3" t="n">
        <v>17.8805919986189</v>
      </c>
      <c r="G65" s="3" t="inlineStr">
        <is>
          <t>K119</t>
        </is>
      </c>
      <c r="H65" s="3" t="n">
        <v>17.6997620001202</v>
      </c>
      <c r="I65" s="3" t="n">
        <v>-1.01131997482337</v>
      </c>
      <c r="J65" s="3" t="inlineStr">
        <is>
          <t>V3DB包含不同PQ配置、probe、证明电路/域大小及单次测量；这些条件不保证该指标随横轴单调。</t>
        </is>
      </c>
    </row>
    <row r="66" ht="27" customHeight="1" s="1">
      <c r="A66" s="3" t="inlineStr">
        <is>
          <t>GloVe-100</t>
        </is>
      </c>
      <c r="B66" s="3" t="inlineStr">
        <is>
          <t>K</t>
        </is>
      </c>
      <c r="C66" s="3" t="inlineStr">
        <is>
          <t>VLAH</t>
        </is>
      </c>
      <c r="D66" s="3" t="inlineStr">
        <is>
          <t>query time</t>
        </is>
      </c>
      <c r="E66" s="3" t="inlineStr">
        <is>
          <t>F127</t>
        </is>
      </c>
      <c r="F66" s="3" t="n">
        <v>427.803742866667</v>
      </c>
      <c r="G66" s="3" t="inlineStr">
        <is>
          <t>G127</t>
        </is>
      </c>
      <c r="H66" s="3" t="n">
        <v>426.620613233333</v>
      </c>
      <c r="I66" s="3" t="n">
        <v>-0.276558971972973</v>
      </c>
      <c r="J66" s="3" t="inlineStr">
        <is>
          <t>耗时是独立测量的样本均值，存在缓存、分配和系统波动，不能要求均值严格单调；保留原始观察，不以平滑值替代实测。</t>
        </is>
      </c>
    </row>
    <row r="67" ht="27" customHeight="1" s="1">
      <c r="A67" s="3" t="inlineStr">
        <is>
          <t>GloVe-100</t>
        </is>
      </c>
      <c r="B67" s="3" t="inlineStr">
        <is>
          <t>K</t>
        </is>
      </c>
      <c r="C67" s="3" t="inlineStr">
        <is>
          <t>VLAH</t>
        </is>
      </c>
      <c r="D67" s="3" t="inlineStr">
        <is>
          <t>query time</t>
        </is>
      </c>
      <c r="E67" s="3" t="inlineStr">
        <is>
          <t>H127</t>
        </is>
      </c>
      <c r="F67" s="3" t="n">
        <v>427.422214316667</v>
      </c>
      <c r="G67" s="3" t="inlineStr">
        <is>
          <t>I127</t>
        </is>
      </c>
      <c r="H67" s="3" t="n">
        <v>425.445874833333</v>
      </c>
      <c r="I67" s="3" t="n">
        <v>-0.462385766845008</v>
      </c>
      <c r="J67" s="3" t="inlineStr">
        <is>
          <t>耗时是独立测量的样本均值，存在缓存、分配和系统波动，不能要求均值严格单调；保留原始观察，不以平滑值替代实测。</t>
        </is>
      </c>
    </row>
    <row r="68" ht="27" customHeight="1" s="1">
      <c r="A68" s="3" t="inlineStr">
        <is>
          <t>GloVe-100</t>
        </is>
      </c>
      <c r="B68" s="3" t="inlineStr">
        <is>
          <t>K</t>
        </is>
      </c>
      <c r="C68" s="3" t="inlineStr">
        <is>
          <t>VLAH</t>
        </is>
      </c>
      <c r="D68" s="3" t="inlineStr">
        <is>
          <t>query time</t>
        </is>
      </c>
      <c r="E68" s="3" t="inlineStr">
        <is>
          <t>I127</t>
        </is>
      </c>
      <c r="F68" s="3" t="n">
        <v>425.445874833333</v>
      </c>
      <c r="G68" s="3" t="inlineStr">
        <is>
          <t>J127</t>
        </is>
      </c>
      <c r="H68" s="3" t="n">
        <v>419.901897183333</v>
      </c>
      <c r="I68" s="3" t="n">
        <v>-1.30309822657743</v>
      </c>
      <c r="J68" s="3" t="inlineStr">
        <is>
          <t>耗时是独立测量的样本均值，存在缓存、分配和系统波动，不能要求均值严格单调；保留原始观察，不以平滑值替代实测。</t>
        </is>
      </c>
    </row>
    <row r="69" ht="27" customHeight="1" s="1">
      <c r="A69" s="3" t="inlineStr">
        <is>
          <t>GloVe-100</t>
        </is>
      </c>
      <c r="B69" s="3" t="inlineStr">
        <is>
          <t>K</t>
        </is>
      </c>
      <c r="C69" s="3" t="inlineStr">
        <is>
          <t>ANNProof</t>
        </is>
      </c>
      <c r="D69" s="3" t="inlineStr">
        <is>
          <t>query time</t>
        </is>
      </c>
      <c r="E69" s="3" t="inlineStr">
        <is>
          <t>F128</t>
        </is>
      </c>
      <c r="F69" s="3" t="n">
        <v>83.82142020000001</v>
      </c>
      <c r="G69" s="3" t="inlineStr">
        <is>
          <t>G128</t>
        </is>
      </c>
      <c r="H69" s="3" t="n">
        <v>82.71198665999999</v>
      </c>
      <c r="I69" s="3" t="n">
        <v>-1.32356805378967</v>
      </c>
      <c r="J69" s="3" t="inlineStr">
        <is>
          <t>耗时是独立测量的样本均值，存在缓存、分配和系统波动，不能要求均值严格单调；保留原始观察，不以平滑值替代实测。</t>
        </is>
      </c>
    </row>
    <row r="70" ht="27" customHeight="1" s="1">
      <c r="A70" s="3" t="inlineStr">
        <is>
          <t>GloVe-100</t>
        </is>
      </c>
      <c r="B70" s="3" t="inlineStr">
        <is>
          <t>K</t>
        </is>
      </c>
      <c r="C70" s="3" t="inlineStr">
        <is>
          <t>ANNProof</t>
        </is>
      </c>
      <c r="D70" s="3" t="inlineStr">
        <is>
          <t>query time</t>
        </is>
      </c>
      <c r="E70" s="3" t="inlineStr">
        <is>
          <t>J128</t>
        </is>
      </c>
      <c r="F70" s="3" t="n">
        <v>86.42108304</v>
      </c>
      <c r="G70" s="3" t="inlineStr">
        <is>
          <t>K128</t>
        </is>
      </c>
      <c r="H70" s="3" t="n">
        <v>86.1980392</v>
      </c>
      <c r="I70" s="3" t="n">
        <v>-0.258089614425216</v>
      </c>
      <c r="J70" s="3" t="inlineStr">
        <is>
          <t>耗时是独立测量的样本均值，存在缓存、分配和系统波动，不能要求均值严格单调；保留原始观察，不以平滑值替代实测。</t>
        </is>
      </c>
    </row>
    <row r="71" ht="27" customHeight="1" s="1">
      <c r="A71" s="3" t="inlineStr">
        <is>
          <t>GloVe-100</t>
        </is>
      </c>
      <c r="B71" s="3" t="inlineStr">
        <is>
          <t>K</t>
        </is>
      </c>
      <c r="C71" s="3" t="inlineStr">
        <is>
          <t>V3DB</t>
        </is>
      </c>
      <c r="D71" s="3" t="inlineStr">
        <is>
          <t>query time</t>
        </is>
      </c>
      <c r="E71" s="3" t="inlineStr">
        <is>
          <t>F130</t>
        </is>
      </c>
      <c r="F71" s="3" t="n">
        <v>494108.141593</v>
      </c>
      <c r="G71" s="3" t="inlineStr">
        <is>
          <t>G130</t>
        </is>
      </c>
      <c r="H71" s="3" t="n">
        <v>491871.567342</v>
      </c>
      <c r="I71" s="3" t="n">
        <v>-0.452648734705985</v>
      </c>
      <c r="J71" s="3" t="inlineStr">
        <is>
          <t>V3DB包含不同PQ配置、probe、证明电路/域大小及单次测量；这些条件不保证该指标随横轴单调。</t>
        </is>
      </c>
    </row>
    <row r="72" ht="27" customHeight="1" s="1">
      <c r="A72" s="3" t="inlineStr">
        <is>
          <t>GloVe-100</t>
        </is>
      </c>
      <c r="B72" s="3" t="inlineStr">
        <is>
          <t>K</t>
        </is>
      </c>
      <c r="C72" s="3" t="inlineStr">
        <is>
          <t>V3DB</t>
        </is>
      </c>
      <c r="D72" s="3" t="inlineStr">
        <is>
          <t>query time</t>
        </is>
      </c>
      <c r="E72" s="3" t="inlineStr">
        <is>
          <t>G130</t>
        </is>
      </c>
      <c r="F72" s="3" t="n">
        <v>491871.567342</v>
      </c>
      <c r="G72" s="3" t="inlineStr">
        <is>
          <t>H130</t>
        </is>
      </c>
      <c r="H72" s="3" t="n">
        <v>491486.434967</v>
      </c>
      <c r="I72" s="3" t="n">
        <v>-0.0782993774332663</v>
      </c>
      <c r="J72" s="3" t="inlineStr">
        <is>
          <t>V3DB包含不同PQ配置、probe、证明电路/域大小及单次测量；这些条件不保证该指标随横轴单调。</t>
        </is>
      </c>
    </row>
    <row r="73" ht="27" customHeight="1" s="1">
      <c r="A73" s="3" t="inlineStr">
        <is>
          <t>GloVe-100</t>
        </is>
      </c>
      <c r="B73" s="3" t="inlineStr">
        <is>
          <t>K</t>
        </is>
      </c>
      <c r="C73" s="3" t="inlineStr">
        <is>
          <t>V3DB</t>
        </is>
      </c>
      <c r="D73" s="3" t="inlineStr">
        <is>
          <t>query time</t>
        </is>
      </c>
      <c r="E73" s="3" t="inlineStr">
        <is>
          <t>J130</t>
        </is>
      </c>
      <c r="F73" s="3" t="n">
        <v>492930.970117001</v>
      </c>
      <c r="G73" s="3" t="inlineStr">
        <is>
          <t>K130</t>
        </is>
      </c>
      <c r="H73" s="3" t="n">
        <v>491226.243848999</v>
      </c>
      <c r="I73" s="3" t="n">
        <v>-0.345834685046742</v>
      </c>
      <c r="J73" s="3" t="inlineStr">
        <is>
          <t>V3DB包含不同PQ配置、probe、证明电路/域大小及单次测量；这些条件不保证该指标随横轴单调。</t>
        </is>
      </c>
    </row>
    <row r="74" ht="27" customHeight="1" s="1">
      <c r="A74" s="3" t="inlineStr">
        <is>
          <t>DEEP1M</t>
        </is>
      </c>
      <c r="B74" s="3" t="inlineStr">
        <is>
          <t>Recall@10</t>
        </is>
      </c>
      <c r="C74" s="3" t="inlineStr">
        <is>
          <t>V3DB</t>
        </is>
      </c>
      <c r="D74" s="3" t="inlineStr">
        <is>
          <t>VO size</t>
        </is>
      </c>
      <c r="E74" s="3" t="inlineStr">
        <is>
          <t>H28</t>
        </is>
      </c>
      <c r="F74" s="3" t="n">
        <v>208.737</v>
      </c>
      <c r="G74" s="3" t="inlineStr">
        <is>
          <t>I28</t>
        </is>
      </c>
      <c r="H74" s="3" t="n">
        <v>196.34</v>
      </c>
      <c r="I74" s="3" t="n">
        <v>-5.93905249189171</v>
      </c>
      <c r="J74" s="3" t="inlineStr">
        <is>
          <t>V3DB包含不同PQ配置、probe、证明电路/域大小及单次测量；这些条件不保证该指标随横轴单调。</t>
        </is>
      </c>
    </row>
    <row r="75" ht="27" customHeight="1" s="1">
      <c r="A75" s="3" t="inlineStr">
        <is>
          <t>DEEP1M</t>
        </is>
      </c>
      <c r="B75" s="3" t="inlineStr">
        <is>
          <t>Recall@10</t>
        </is>
      </c>
      <c r="C75" s="3" t="inlineStr">
        <is>
          <t>V3DB</t>
        </is>
      </c>
      <c r="D75" s="3" t="inlineStr">
        <is>
          <t>verify time</t>
        </is>
      </c>
      <c r="E75" s="3" t="inlineStr">
        <is>
          <t>H42</t>
        </is>
      </c>
      <c r="F75" s="3" t="n">
        <v>11.3529679999829</v>
      </c>
      <c r="G75" s="3" t="inlineStr">
        <is>
          <t>I42</t>
        </is>
      </c>
      <c r="H75" s="3" t="n">
        <v>10.8529149999867</v>
      </c>
      <c r="I75" s="3" t="n">
        <v>-4.40460151034472</v>
      </c>
      <c r="J75" s="3" t="inlineStr">
        <is>
          <t>V3DB包含不同PQ配置、probe、证明电路/域大小及单次测量；这些条件不保证该指标随横轴单调。</t>
        </is>
      </c>
    </row>
    <row r="76" ht="40.5" customHeight="1" s="1">
      <c r="A76" s="3" t="inlineStr">
        <is>
          <t>DEEP1M</t>
        </is>
      </c>
      <c r="B76" s="3" t="inlineStr">
        <is>
          <t>Recall@10</t>
        </is>
      </c>
      <c r="C76" s="3" t="inlineStr">
        <is>
          <t>V3DB</t>
        </is>
      </c>
      <c r="D76" s="3" t="inlineStr">
        <is>
          <t>verify time</t>
        </is>
      </c>
      <c r="E76" s="3" t="inlineStr">
        <is>
          <t>R42</t>
        </is>
      </c>
      <c r="F76" s="3" t="n">
        <v>55.9675380063709</v>
      </c>
      <c r="G76" s="3" t="inlineStr">
        <is>
          <t>S42</t>
        </is>
      </c>
      <c r="H76" s="3" t="n">
        <v>26.5534298151988</v>
      </c>
      <c r="I76" s="3" t="n">
        <v>-52.5556585816297</v>
      </c>
      <c r="J76" s="3" t="inlineStr">
        <is>
          <t>V3DB包含不同PQ配置、probe、证明电路/域大小及单次测量；这些条件不保证该指标随横轴单调。 此处还涉及512GiB条件预测，须与实测区分；不依据单调性修改预测中心值。</t>
        </is>
      </c>
    </row>
    <row r="77" ht="27" customHeight="1" s="1">
      <c r="A77" s="3" t="inlineStr">
        <is>
          <t>DEEP1M</t>
        </is>
      </c>
      <c r="B77" s="3" t="inlineStr">
        <is>
          <t>Dataset size</t>
        </is>
      </c>
      <c r="C77" s="3" t="inlineStr">
        <is>
          <t>V3DB</t>
        </is>
      </c>
      <c r="D77" s="3" t="inlineStr">
        <is>
          <t>query time</t>
        </is>
      </c>
      <c r="E77" s="3" t="inlineStr">
        <is>
          <t>G94</t>
        </is>
      </c>
      <c r="F77" s="3" t="n">
        <v>496514.607923</v>
      </c>
      <c r="G77" s="3" t="inlineStr">
        <is>
          <t>H94</t>
        </is>
      </c>
      <c r="H77" s="3" t="n">
        <v>493189.722806004</v>
      </c>
      <c r="I77" s="3" t="n">
        <v>-0.6696449739725721</v>
      </c>
      <c r="J77" s="3" t="inlineStr">
        <is>
          <t>V3DB包含不同PQ配置、probe、证明电路/域大小及单次测量；这些条件不保证该指标随横轴单调。</t>
        </is>
      </c>
    </row>
    <row r="78" ht="27" customHeight="1" s="1">
      <c r="A78" s="3" t="inlineStr">
        <is>
          <t>DEEP1M</t>
        </is>
      </c>
      <c r="B78" s="3" t="inlineStr">
        <is>
          <t>K</t>
        </is>
      </c>
      <c r="C78" s="3" t="inlineStr">
        <is>
          <t>V3DB</t>
        </is>
      </c>
      <c r="D78" s="3" t="inlineStr">
        <is>
          <t>VO size</t>
        </is>
      </c>
      <c r="E78" s="3" t="inlineStr">
        <is>
          <t>G107</t>
        </is>
      </c>
      <c r="F78" s="3" t="n">
        <v>271.605</v>
      </c>
      <c r="G78" s="3" t="inlineStr">
        <is>
          <t>H107</t>
        </is>
      </c>
      <c r="H78" s="3" t="n">
        <v>265.512</v>
      </c>
      <c r="I78" s="3" t="n">
        <v>-2.2433313083338</v>
      </c>
      <c r="J78" s="3" t="inlineStr">
        <is>
          <t>V3DB包含不同PQ配置、probe、证明电路/域大小及单次测量；这些条件不保证该指标随横轴单调。</t>
        </is>
      </c>
    </row>
    <row r="79" ht="27" customHeight="1" s="1">
      <c r="A79" s="3" t="inlineStr">
        <is>
          <t>DEEP1M</t>
        </is>
      </c>
      <c r="B79" s="3" t="inlineStr">
        <is>
          <t>K</t>
        </is>
      </c>
      <c r="C79" s="3" t="inlineStr">
        <is>
          <t>V3DB</t>
        </is>
      </c>
      <c r="D79" s="3" t="inlineStr">
        <is>
          <t>VO size</t>
        </is>
      </c>
      <c r="E79" s="3" t="inlineStr">
        <is>
          <t>J107</t>
        </is>
      </c>
      <c r="F79" s="3" t="n">
        <v>273.279</v>
      </c>
      <c r="G79" s="3" t="inlineStr">
        <is>
          <t>K107</t>
        </is>
      </c>
      <c r="H79" s="3" t="n">
        <v>270.637</v>
      </c>
      <c r="I79" s="3" t="n">
        <v>-0.966777542365127</v>
      </c>
      <c r="J79" s="3" t="inlineStr">
        <is>
          <t>V3DB包含不同PQ配置、probe、证明电路/域大小及单次测量；这些条件不保证该指标随横轴单调。</t>
        </is>
      </c>
    </row>
    <row r="80" ht="27" customHeight="1" s="1">
      <c r="A80" s="3" t="inlineStr">
        <is>
          <t>DEEP1M</t>
        </is>
      </c>
      <c r="B80" s="3" t="inlineStr">
        <is>
          <t>K</t>
        </is>
      </c>
      <c r="C80" s="3" t="inlineStr">
        <is>
          <t>VLAH</t>
        </is>
      </c>
      <c r="D80" s="3" t="inlineStr">
        <is>
          <t>verify time</t>
        </is>
      </c>
      <c r="E80" s="3" t="inlineStr">
        <is>
          <t>H116</t>
        </is>
      </c>
      <c r="F80" s="3" t="n">
        <v>281.087432783333</v>
      </c>
      <c r="G80" s="3" t="inlineStr">
        <is>
          <t>I116</t>
        </is>
      </c>
      <c r="H80" s="3" t="n">
        <v>281.015158366667</v>
      </c>
      <c r="I80" s="3" t="n">
        <v>-0.025712432587377</v>
      </c>
      <c r="J80" s="3" t="inlineStr">
        <is>
          <t>耗时是独立测量的样本均值，存在缓存、分配和系统波动，不能要求均值严格单调；保留原始观察，不以平滑值替代实测。</t>
        </is>
      </c>
    </row>
    <row r="81" ht="27" customHeight="1" s="1">
      <c r="A81" s="3" t="inlineStr">
        <is>
          <t>DEEP1M</t>
        </is>
      </c>
      <c r="B81" s="3" t="inlineStr">
        <is>
          <t>K</t>
        </is>
      </c>
      <c r="C81" s="3" t="inlineStr">
        <is>
          <t>VLAH</t>
        </is>
      </c>
      <c r="D81" s="3" t="inlineStr">
        <is>
          <t>verify time</t>
        </is>
      </c>
      <c r="E81" s="3" t="inlineStr">
        <is>
          <t>I116</t>
        </is>
      </c>
      <c r="F81" s="3" t="n">
        <v>281.015158366667</v>
      </c>
      <c r="G81" s="3" t="inlineStr">
        <is>
          <t>J116</t>
        </is>
      </c>
      <c r="H81" s="3" t="n">
        <v>280.416561016667</v>
      </c>
      <c r="I81" s="3" t="n">
        <v>-0.213012477148633</v>
      </c>
      <c r="J81" s="3" t="inlineStr">
        <is>
          <t>耗时是独立测量的样本均值，存在缓存、分配和系统波动，不能要求均值严格单调；保留原始观察，不以平滑值替代实测。</t>
        </is>
      </c>
    </row>
    <row r="82" ht="27" customHeight="1" s="1">
      <c r="A82" s="3" t="inlineStr">
        <is>
          <t>DEEP1M</t>
        </is>
      </c>
      <c r="B82" s="3" t="inlineStr">
        <is>
          <t>K</t>
        </is>
      </c>
      <c r="C82" s="3" t="inlineStr">
        <is>
          <t>V3DB</t>
        </is>
      </c>
      <c r="D82" s="3" t="inlineStr">
        <is>
          <t>verify time</t>
        </is>
      </c>
      <c r="E82" s="3" t="inlineStr">
        <is>
          <t>H119</t>
        </is>
      </c>
      <c r="F82" s="3" t="n">
        <v>55.9675380063709</v>
      </c>
      <c r="G82" s="3" t="inlineStr">
        <is>
          <t>I119</t>
        </is>
      </c>
      <c r="H82" s="3" t="n">
        <v>15.2340080003341</v>
      </c>
      <c r="I82" s="3" t="n">
        <v>-72.7806358060632</v>
      </c>
      <c r="J82" s="3" t="inlineStr">
        <is>
          <t>V3DB包含不同PQ配置、probe、证明电路/域大小及单次测量；这些条件不保证该指标随横轴单调。</t>
        </is>
      </c>
    </row>
    <row r="83" ht="27" customHeight="1" s="1">
      <c r="A83" s="3" t="inlineStr">
        <is>
          <t>DEEP1M</t>
        </is>
      </c>
      <c r="B83" s="3" t="inlineStr">
        <is>
          <t>K</t>
        </is>
      </c>
      <c r="C83" s="3" t="inlineStr">
        <is>
          <t>V3DB</t>
        </is>
      </c>
      <c r="D83" s="3" t="inlineStr">
        <is>
          <t>verify time</t>
        </is>
      </c>
      <c r="E83" s="3" t="inlineStr">
        <is>
          <t>J119</t>
        </is>
      </c>
      <c r="F83" s="3" t="n">
        <v>60.8361340000556</v>
      </c>
      <c r="G83" s="3" t="inlineStr">
        <is>
          <t>K119</t>
        </is>
      </c>
      <c r="H83" s="3" t="n">
        <v>16.4847270007158</v>
      </c>
      <c r="I83" s="3" t="n">
        <v>-72.9030661272777</v>
      </c>
      <c r="J83" s="3" t="inlineStr">
        <is>
          <t>V3DB包含不同PQ配置、probe、证明电路/域大小及单次测量；这些条件不保证该指标随横轴单调。</t>
        </is>
      </c>
    </row>
    <row r="84" ht="27" customHeight="1" s="1">
      <c r="A84" s="3" t="inlineStr">
        <is>
          <t>DEEP1M</t>
        </is>
      </c>
      <c r="B84" s="3" t="inlineStr">
        <is>
          <t>K</t>
        </is>
      </c>
      <c r="C84" s="3" t="inlineStr">
        <is>
          <t>Chen13-MR</t>
        </is>
      </c>
      <c r="D84" s="3" t="inlineStr">
        <is>
          <t>verify time</t>
        </is>
      </c>
      <c r="E84" s="3" t="inlineStr">
        <is>
          <t>F120</t>
        </is>
      </c>
      <c r="F84" s="3" t="n">
        <v>408.864738566667</v>
      </c>
      <c r="G84" s="3" t="inlineStr">
        <is>
          <t>G120</t>
        </is>
      </c>
      <c r="H84" s="3" t="n">
        <v>393.244281533333</v>
      </c>
      <c r="I84" s="3" t="n">
        <v>-3.82044611821839</v>
      </c>
      <c r="J84" s="3" t="inlineStr">
        <is>
          <t>耗时是独立测量的样本均值，存在缓存、分配和系统波动，不能要求均值严格单调；保留原始观察，不以平滑值替代实测。</t>
        </is>
      </c>
    </row>
    <row r="85" ht="27" customHeight="1" s="1">
      <c r="A85" s="3" t="inlineStr">
        <is>
          <t>DEEP1M</t>
        </is>
      </c>
      <c r="B85" s="3" t="inlineStr">
        <is>
          <t>K</t>
        </is>
      </c>
      <c r="C85" s="3" t="inlineStr">
        <is>
          <t>Chen13-MR</t>
        </is>
      </c>
      <c r="D85" s="3" t="inlineStr">
        <is>
          <t>verify time</t>
        </is>
      </c>
      <c r="E85" s="3" t="inlineStr">
        <is>
          <t>I120</t>
        </is>
      </c>
      <c r="F85" s="3" t="n">
        <v>416.0471105</v>
      </c>
      <c r="G85" s="3" t="inlineStr">
        <is>
          <t>J120</t>
        </is>
      </c>
      <c r="H85" s="3" t="n">
        <v>412.4364474</v>
      </c>
      <c r="I85" s="3" t="n">
        <v>-0.867849579741276</v>
      </c>
      <c r="J85" s="3" t="inlineStr">
        <is>
          <t>耗时是独立测量的样本均值，存在缓存、分配和系统波动，不能要求均值严格单调；保留原始观察，不以平滑值替代实测。</t>
        </is>
      </c>
    </row>
    <row r="86" ht="27" customHeight="1" s="1">
      <c r="A86" s="3" t="inlineStr">
        <is>
          <t>DEEP1M</t>
        </is>
      </c>
      <c r="B86" s="3" t="inlineStr">
        <is>
          <t>K</t>
        </is>
      </c>
      <c r="C86" s="3" t="inlineStr">
        <is>
          <t>VLAH</t>
        </is>
      </c>
      <c r="D86" s="3" t="inlineStr">
        <is>
          <t>query time</t>
        </is>
      </c>
      <c r="E86" s="3" t="inlineStr">
        <is>
          <t>G127</t>
        </is>
      </c>
      <c r="F86" s="3" t="n">
        <v>105.922972883333</v>
      </c>
      <c r="G86" s="3" t="inlineStr">
        <is>
          <t>H127</t>
        </is>
      </c>
      <c r="H86" s="3" t="n">
        <v>105.4260024</v>
      </c>
      <c r="I86" s="3" t="n">
        <v>-0.469181018814857</v>
      </c>
      <c r="J86" s="3" t="inlineStr">
        <is>
          <t>耗时是独立测量的样本均值，存在缓存、分配和系统波动，不能要求均值严格单调；保留原始观察，不以平滑值替代实测。</t>
        </is>
      </c>
    </row>
    <row r="87" ht="27" customHeight="1" s="1">
      <c r="A87" s="3" t="inlineStr">
        <is>
          <t>DEEP1M</t>
        </is>
      </c>
      <c r="B87" s="3" t="inlineStr">
        <is>
          <t>K</t>
        </is>
      </c>
      <c r="C87" s="3" t="inlineStr">
        <is>
          <t>VLAH</t>
        </is>
      </c>
      <c r="D87" s="3" t="inlineStr">
        <is>
          <t>query time</t>
        </is>
      </c>
      <c r="E87" s="3" t="inlineStr">
        <is>
          <t>H127</t>
        </is>
      </c>
      <c r="F87" s="3" t="n">
        <v>105.4260024</v>
      </c>
      <c r="G87" s="3" t="inlineStr">
        <is>
          <t>I127</t>
        </is>
      </c>
      <c r="H87" s="3" t="n">
        <v>105.24395565</v>
      </c>
      <c r="I87" s="3" t="n">
        <v>-0.172677276815725</v>
      </c>
      <c r="J87" s="3" t="inlineStr">
        <is>
          <t>耗时是独立测量的样本均值，存在缓存、分配和系统波动，不能要求均值严格单调；保留原始观察，不以平滑值替代实测。</t>
        </is>
      </c>
    </row>
    <row r="88" ht="27" customHeight="1" s="1">
      <c r="A88" s="3" t="inlineStr">
        <is>
          <t>DEEP1M</t>
        </is>
      </c>
      <c r="B88" s="3" t="inlineStr">
        <is>
          <t>K</t>
        </is>
      </c>
      <c r="C88" s="3" t="inlineStr">
        <is>
          <t>VLAH</t>
        </is>
      </c>
      <c r="D88" s="3" t="inlineStr">
        <is>
          <t>query time</t>
        </is>
      </c>
      <c r="E88" s="3" t="inlineStr">
        <is>
          <t>J127</t>
        </is>
      </c>
      <c r="F88" s="3" t="n">
        <v>105.50841095</v>
      </c>
      <c r="G88" s="3" t="inlineStr">
        <is>
          <t>K127</t>
        </is>
      </c>
      <c r="H88" s="3" t="n">
        <v>105.2479959</v>
      </c>
      <c r="I88" s="3" t="n">
        <v>-0.246819232377027</v>
      </c>
      <c r="J88" s="3" t="inlineStr">
        <is>
          <t>耗时是独立测量的样本均值，存在缓存、分配和系统波动，不能要求均值严格单调；保留原始观察，不以平滑值替代实测。</t>
        </is>
      </c>
    </row>
    <row r="89" ht="27" customHeight="1" s="1">
      <c r="A89" s="3" t="inlineStr">
        <is>
          <t>DEEP1M</t>
        </is>
      </c>
      <c r="B89" s="3" t="inlineStr">
        <is>
          <t>K</t>
        </is>
      </c>
      <c r="C89" s="3" t="inlineStr">
        <is>
          <t>ANNProof</t>
        </is>
      </c>
      <c r="D89" s="3" t="inlineStr">
        <is>
          <t>query time</t>
        </is>
      </c>
      <c r="E89" s="3" t="inlineStr">
        <is>
          <t>I128</t>
        </is>
      </c>
      <c r="F89" s="3" t="n">
        <v>5.60526152</v>
      </c>
      <c r="G89" s="3" t="inlineStr">
        <is>
          <t>J128</t>
        </is>
      </c>
      <c r="H89" s="3" t="n">
        <v>5.54298824</v>
      </c>
      <c r="I89" s="3" t="n">
        <v>-1.11097902886074</v>
      </c>
      <c r="J89" s="3" t="inlineStr">
        <is>
          <t>耗时是独立测量的样本均值，存在缓存、分配和系统波动，不能要求均值严格单调；保留原始观察，不以平滑值替代实测。</t>
        </is>
      </c>
    </row>
    <row r="90" ht="27" customHeight="1" s="1">
      <c r="A90" s="3" t="inlineStr">
        <is>
          <t>DEEP1M</t>
        </is>
      </c>
      <c r="B90" s="3" t="inlineStr">
        <is>
          <t>K</t>
        </is>
      </c>
      <c r="C90" s="3" t="inlineStr">
        <is>
          <t>V3DB</t>
        </is>
      </c>
      <c r="D90" s="3" t="inlineStr">
        <is>
          <t>query time</t>
        </is>
      </c>
      <c r="E90" s="3" t="inlineStr">
        <is>
          <t>F130</t>
        </is>
      </c>
      <c r="F90" s="3" t="n">
        <v>492421.428295001</v>
      </c>
      <c r="G90" s="3" t="inlineStr">
        <is>
          <t>G130</t>
        </is>
      </c>
      <c r="H90" s="3" t="n">
        <v>492374.419783</v>
      </c>
      <c r="I90" s="3" t="n">
        <v>-0.00954639853179007</v>
      </c>
      <c r="J90" s="3" t="inlineStr">
        <is>
          <t>V3DB包含不同PQ配置、probe、证明电路/域大小及单次测量；这些条件不保证该指标随横轴单调。</t>
        </is>
      </c>
    </row>
    <row r="91" ht="27" customHeight="1" s="1">
      <c r="A91" s="3" t="inlineStr">
        <is>
          <t>DEEP1M</t>
        </is>
      </c>
      <c r="B91" s="3" t="inlineStr">
        <is>
          <t>K</t>
        </is>
      </c>
      <c r="C91" s="3" t="inlineStr">
        <is>
          <t>V3DB</t>
        </is>
      </c>
      <c r="D91" s="3" t="inlineStr">
        <is>
          <t>query time</t>
        </is>
      </c>
      <c r="E91" s="3" t="inlineStr">
        <is>
          <t>I130</t>
        </is>
      </c>
      <c r="F91" s="3" t="n">
        <v>494511.780706999</v>
      </c>
      <c r="G91" s="3" t="inlineStr">
        <is>
          <t>J130</t>
        </is>
      </c>
      <c r="H91" s="3" t="n">
        <v>493323.545510001</v>
      </c>
      <c r="I91" s="3" t="n">
        <v>-0.240284507539779</v>
      </c>
      <c r="J91" s="3" t="inlineStr">
        <is>
          <t>V3DB包含不同PQ配置、probe、证明电路/域大小及单次测量；这些条件不保证该指标随横轴单调。</t>
        </is>
      </c>
    </row>
    <row r="92" ht="27" customHeight="1" s="1">
      <c r="A92" s="3" t="inlineStr">
        <is>
          <t>DEEP1M</t>
        </is>
      </c>
      <c r="B92" s="3" t="inlineStr">
        <is>
          <t>K</t>
        </is>
      </c>
      <c r="C92" s="3" t="inlineStr">
        <is>
          <t>Chen13-MR</t>
        </is>
      </c>
      <c r="D92" s="3" t="inlineStr">
        <is>
          <t>query time</t>
        </is>
      </c>
      <c r="E92" s="3" t="inlineStr">
        <is>
          <t>F131</t>
        </is>
      </c>
      <c r="F92" s="3" t="n">
        <v>488.3672002</v>
      </c>
      <c r="G92" s="3" t="inlineStr">
        <is>
          <t>G131</t>
        </is>
      </c>
      <c r="H92" s="3" t="n">
        <v>432.975034566667</v>
      </c>
      <c r="I92" s="3" t="n">
        <v>-11.3423189785572</v>
      </c>
      <c r="J92" s="3" t="inlineStr">
        <is>
          <t>耗时是独立测量的样本均值，存在缓存、分配和系统波动，不能要求均值严格单调；保留原始观察，不以平滑值替代实测。</t>
        </is>
      </c>
    </row>
    <row r="93" ht="27" customHeight="1" s="1">
      <c r="A93" s="3" t="inlineStr">
        <is>
          <t>DEEP1M</t>
        </is>
      </c>
      <c r="B93" s="3" t="inlineStr">
        <is>
          <t>K</t>
        </is>
      </c>
      <c r="C93" s="3" t="inlineStr">
        <is>
          <t>Chen13-MR</t>
        </is>
      </c>
      <c r="D93" s="3" t="inlineStr">
        <is>
          <t>query time</t>
        </is>
      </c>
      <c r="E93" s="3" t="inlineStr">
        <is>
          <t>G131</t>
        </is>
      </c>
      <c r="F93" s="3" t="n">
        <v>432.975034566667</v>
      </c>
      <c r="G93" s="3" t="inlineStr">
        <is>
          <t>H131</t>
        </is>
      </c>
      <c r="H93" s="3" t="n">
        <v>423.303868183333</v>
      </c>
      <c r="I93" s="3" t="n">
        <v>-2.23365450920585</v>
      </c>
      <c r="J93" s="3" t="inlineStr">
        <is>
          <t>耗时是独立测量的样本均值，存在缓存、分配和系统波动，不能要求均值严格单调；保留原始观察，不以平滑值替代实测。</t>
        </is>
      </c>
    </row>
    <row r="94" ht="27" customHeight="1" s="1">
      <c r="A94" s="3" t="inlineStr">
        <is>
          <t>DEEP1M</t>
        </is>
      </c>
      <c r="B94" s="3" t="inlineStr">
        <is>
          <t>K</t>
        </is>
      </c>
      <c r="C94" s="3" t="inlineStr">
        <is>
          <t>Chen13-MR</t>
        </is>
      </c>
      <c r="D94" s="3" t="inlineStr">
        <is>
          <t>query time</t>
        </is>
      </c>
      <c r="E94" s="3" t="inlineStr">
        <is>
          <t>I131</t>
        </is>
      </c>
      <c r="F94" s="3" t="n">
        <v>452.8132656</v>
      </c>
      <c r="G94" s="3" t="inlineStr">
        <is>
          <t>J131</t>
        </is>
      </c>
      <c r="H94" s="3" t="n">
        <v>432.269984416667</v>
      </c>
      <c r="I94" s="3" t="n">
        <v>-4.53681081010561</v>
      </c>
      <c r="J94" s="3" t="inlineStr">
        <is>
          <t>耗时是独立测量的样本均值，存在缓存、分配和系统波动，不能要求均值严格单调；保留原始观察，不以平滑值替代实测。</t>
        </is>
      </c>
    </row>
    <row r="95" ht="27" customHeight="1" s="1">
      <c r="A95" s="3" t="inlineStr">
        <is>
          <t>DEEP1M</t>
        </is>
      </c>
      <c r="B95" s="3" t="inlineStr">
        <is>
          <t>K</t>
        </is>
      </c>
      <c r="C95" s="3" t="inlineStr">
        <is>
          <t>Chen13-MR</t>
        </is>
      </c>
      <c r="D95" s="3" t="inlineStr">
        <is>
          <t>query time</t>
        </is>
      </c>
      <c r="E95" s="3" t="inlineStr">
        <is>
          <t>J131</t>
        </is>
      </c>
      <c r="F95" s="3" t="n">
        <v>432.269984416667</v>
      </c>
      <c r="G95" s="3" t="inlineStr">
        <is>
          <t>K131</t>
        </is>
      </c>
      <c r="H95" s="3" t="n">
        <v>426.545693716667</v>
      </c>
      <c r="I95" s="3" t="n">
        <v>-1.32423968962932</v>
      </c>
      <c r="J95" s="3" t="inlineStr">
        <is>
          <t>耗时是独立测量的样本均值，存在缓存、分配和系统波动，不能要求均值严格单调；保留原始观察，不以平滑值替代实测。</t>
        </is>
      </c>
    </row>
  </sheetData>
  <autoFilter ref="A1:J95"/>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E94"/>
  <sheetViews>
    <sheetView workbookViewId="0">
      <pane ySplit="1" topLeftCell="A2" activePane="bottomLeft" state="frozen"/>
      <selection activeCell="A1" sqref="A1"/>
      <selection pane="bottomLeft" activeCell="A1" sqref="A1"/>
    </sheetView>
  </sheetViews>
  <sheetFormatPr baseColWidth="8" defaultColWidth="9" defaultRowHeight="13.5"/>
  <cols>
    <col width="15" customWidth="1" style="1" min="1" max="2"/>
    <col width="20" customWidth="1" style="1" min="3" max="4"/>
    <col width="70" customWidth="1" style="1" min="5" max="5"/>
  </cols>
  <sheetData>
    <row r="1">
      <c r="A1" s="5" t="inlineStr">
        <is>
          <t>数据集</t>
        </is>
      </c>
      <c r="B1" s="5" t="inlineStr">
        <is>
          <t>单元格</t>
        </is>
      </c>
      <c r="C1" s="5" t="inlineStr">
        <is>
          <t>原值</t>
        </is>
      </c>
      <c r="D1" s="5" t="inlineStr">
        <is>
          <t>新值</t>
        </is>
      </c>
      <c r="E1" s="5" t="inlineStr">
        <is>
          <t>依据</t>
        </is>
      </c>
    </row>
    <row r="2" ht="40.5" customHeight="1" s="1">
      <c r="A2" s="3" t="inlineStr">
        <is>
          <t>SIFT1M</t>
        </is>
      </c>
      <c r="B2" s="3" t="inlineStr">
        <is>
          <t>F23</t>
        </is>
      </c>
      <c r="C2" s="3" t="n">
        <v>67.5</v>
      </c>
      <c r="D2" s="3" t="n">
        <v>40</v>
      </c>
      <c r="E2" s="3" t="inlineStr">
        <is>
          <t>修正旧图配置召回下限与新图低召回点混用造成的倒序。目标列15%复用已测40%目标列，实际召回40%；未实测达到15%，不作为该召回率的新测量。性能沿用该点已标明的ANNProof系数调整值，未重复乘系数。</t>
        </is>
      </c>
    </row>
    <row r="3" ht="40.5" customHeight="1" s="1">
      <c r="A3" s="3" t="inlineStr">
        <is>
          <t>SIFT1M</t>
        </is>
      </c>
      <c r="B3" s="3" t="inlineStr">
        <is>
          <t>G23</t>
        </is>
      </c>
      <c r="C3" s="3" t="n">
        <v>67.5</v>
      </c>
      <c r="D3" s="3" t="n">
        <v>40</v>
      </c>
      <c r="E3" s="3" t="inlineStr">
        <is>
          <t>修正旧图配置召回下限与新图低召回点混用造成的倒序。目标列20%复用已测40%目标列，实际召回40%；未实测达到20%，不作为该召回率的新测量。性能沿用该点已标明的ANNProof系数调整值，未重复乘系数。</t>
        </is>
      </c>
    </row>
    <row r="4" ht="40.5" customHeight="1" s="1">
      <c r="A4" s="3" t="inlineStr">
        <is>
          <t>SIFT1M</t>
        </is>
      </c>
      <c r="B4" s="3" t="inlineStr">
        <is>
          <t>H23</t>
        </is>
      </c>
      <c r="C4" s="3" t="n">
        <v>67.5</v>
      </c>
      <c r="D4" s="3" t="n">
        <v>40</v>
      </c>
      <c r="E4" s="3" t="inlineStr">
        <is>
          <t>修正旧图配置召回下限与新图低召回点混用造成的倒序。目标列25%复用已测40%目标列，实际召回40%；未实测达到25%，不作为该召回率的新测量。性能沿用该点已标明的ANNProof系数调整值，未重复乘系数。</t>
        </is>
      </c>
    </row>
    <row r="5" ht="40.5" customHeight="1" s="1">
      <c r="A5" s="3" t="inlineStr">
        <is>
          <t>SIFT1M</t>
        </is>
      </c>
      <c r="B5" s="3" t="inlineStr">
        <is>
          <t>I23</t>
        </is>
      </c>
      <c r="C5" s="3" t="n">
        <v>67.5</v>
      </c>
      <c r="D5" s="3" t="n">
        <v>40</v>
      </c>
      <c r="E5" s="3" t="inlineStr">
        <is>
          <t>修正旧图配置召回下限与新图低召回点混用造成的倒序。目标列30%复用已测40%目标列，实际召回40%；未实测达到30%，不作为该召回率的新测量。性能沿用该点已标明的ANNProof系数调整值，未重复乘系数。</t>
        </is>
      </c>
    </row>
    <row r="6" ht="40.5" customHeight="1" s="1">
      <c r="A6" s="3" t="inlineStr">
        <is>
          <t>SIFT1M</t>
        </is>
      </c>
      <c r="B6" s="3" t="inlineStr">
        <is>
          <t>J23</t>
        </is>
      </c>
      <c r="C6" s="3" t="n">
        <v>67.5</v>
      </c>
      <c r="D6" s="3" t="n">
        <v>40</v>
      </c>
      <c r="E6" s="3" t="inlineStr">
        <is>
          <t>修正旧图配置召回下限与新图低召回点混用造成的倒序。目标列35%复用已测40%目标列，实际召回40%；未实测达到35%，不作为该召回率的新测量。性能沿用该点已标明的ANNProof系数调整值，未重复乘系数。</t>
        </is>
      </c>
    </row>
    <row r="7" ht="40.5" customHeight="1" s="1">
      <c r="A7" s="3" t="inlineStr">
        <is>
          <t>SIFT1M</t>
        </is>
      </c>
      <c r="B7" s="3" t="inlineStr">
        <is>
          <t>F24</t>
        </is>
      </c>
      <c r="C7" s="3" t="n">
        <v>475.69</v>
      </c>
      <c r="D7" s="3" t="n">
        <v>918.3288</v>
      </c>
      <c r="E7" s="3" t="inlineStr">
        <is>
          <t>修正旧图配置召回下限与新图低召回点混用造成的倒序。目标列15%复用已测40%目标列，实际召回40%；未实测达到15%，不作为该召回率的新测量。性能沿用该点已标明的ANNProof系数调整值，未重复乘系数。</t>
        </is>
      </c>
    </row>
    <row r="8" ht="40.5" customHeight="1" s="1">
      <c r="A8" s="3" t="inlineStr">
        <is>
          <t>SIFT1M</t>
        </is>
      </c>
      <c r="B8" s="3" t="inlineStr">
        <is>
          <t>G24</t>
        </is>
      </c>
      <c r="C8" s="3" t="n">
        <v>475.69</v>
      </c>
      <c r="D8" s="3" t="n">
        <v>918.3288</v>
      </c>
      <c r="E8" s="3" t="inlineStr">
        <is>
          <t>修正旧图配置召回下限与新图低召回点混用造成的倒序。目标列20%复用已测40%目标列，实际召回40%；未实测达到20%，不作为该召回率的新测量。性能沿用该点已标明的ANNProof系数调整值，未重复乘系数。</t>
        </is>
      </c>
    </row>
    <row r="9" ht="40.5" customHeight="1" s="1">
      <c r="A9" s="3" t="inlineStr">
        <is>
          <t>SIFT1M</t>
        </is>
      </c>
      <c r="B9" s="3" t="inlineStr">
        <is>
          <t>H24</t>
        </is>
      </c>
      <c r="C9" s="3" t="n">
        <v>475.69</v>
      </c>
      <c r="D9" s="3" t="n">
        <v>918.3288</v>
      </c>
      <c r="E9" s="3" t="inlineStr">
        <is>
          <t>修正旧图配置召回下限与新图低召回点混用造成的倒序。目标列25%复用已测40%目标列，实际召回40%；未实测达到25%，不作为该召回率的新测量。性能沿用该点已标明的ANNProof系数调整值，未重复乘系数。</t>
        </is>
      </c>
    </row>
    <row r="10" ht="40.5" customHeight="1" s="1">
      <c r="A10" s="3" t="inlineStr">
        <is>
          <t>SIFT1M</t>
        </is>
      </c>
      <c r="B10" s="3" t="inlineStr">
        <is>
          <t>I24</t>
        </is>
      </c>
      <c r="C10" s="3" t="n">
        <v>475.69</v>
      </c>
      <c r="D10" s="3" t="n">
        <v>918.3288</v>
      </c>
      <c r="E10" s="3" t="inlineStr">
        <is>
          <t>修正旧图配置召回下限与新图低召回点混用造成的倒序。目标列30%复用已测40%目标列，实际召回40%；未实测达到30%，不作为该召回率的新测量。性能沿用该点已标明的ANNProof系数调整值，未重复乘系数。</t>
        </is>
      </c>
    </row>
    <row r="11" ht="40.5" customHeight="1" s="1">
      <c r="A11" s="3" t="inlineStr">
        <is>
          <t>SIFT1M</t>
        </is>
      </c>
      <c r="B11" s="3" t="inlineStr">
        <is>
          <t>J24</t>
        </is>
      </c>
      <c r="C11" s="3" t="n">
        <v>475.69</v>
      </c>
      <c r="D11" s="3" t="n">
        <v>918.3288</v>
      </c>
      <c r="E11" s="3" t="inlineStr">
        <is>
          <t>修正旧图配置召回下限与新图低召回点混用造成的倒序。目标列35%复用已测40%目标列，实际召回40%；未实测达到35%，不作为该召回率的新测量。性能沿用该点已标明的ANNProof系数调整值，未重复乘系数。</t>
        </is>
      </c>
    </row>
    <row r="12" ht="40.5" customHeight="1" s="1">
      <c r="A12" s="3" t="inlineStr">
        <is>
          <t>SIFT1M</t>
        </is>
      </c>
      <c r="B12" s="3" t="inlineStr">
        <is>
          <t>F37</t>
        </is>
      </c>
      <c r="C12" s="3" t="n">
        <v>67.5</v>
      </c>
      <c r="D12" s="3" t="n">
        <v>40</v>
      </c>
      <c r="E12" s="3" t="inlineStr">
        <is>
          <t>修正旧图配置召回下限与新图低召回点混用造成的倒序。目标列15%复用已测40%目标列，实际召回40%；未实测达到15%，不作为该召回率的新测量。性能沿用该点已标明的ANNProof系数调整值，未重复乘系数。</t>
        </is>
      </c>
    </row>
    <row r="13" ht="40.5" customHeight="1" s="1">
      <c r="A13" s="3" t="inlineStr">
        <is>
          <t>SIFT1M</t>
        </is>
      </c>
      <c r="B13" s="3" t="inlineStr">
        <is>
          <t>G37</t>
        </is>
      </c>
      <c r="C13" s="3" t="n">
        <v>67.5</v>
      </c>
      <c r="D13" s="3" t="n">
        <v>40</v>
      </c>
      <c r="E13" s="3" t="inlineStr">
        <is>
          <t>修正旧图配置召回下限与新图低召回点混用造成的倒序。目标列20%复用已测40%目标列，实际召回40%；未实测达到20%，不作为该召回率的新测量。性能沿用该点已标明的ANNProof系数调整值，未重复乘系数。</t>
        </is>
      </c>
    </row>
    <row r="14" ht="40.5" customHeight="1" s="1">
      <c r="A14" s="3" t="inlineStr">
        <is>
          <t>SIFT1M</t>
        </is>
      </c>
      <c r="B14" s="3" t="inlineStr">
        <is>
          <t>H37</t>
        </is>
      </c>
      <c r="C14" s="3" t="n">
        <v>67.5</v>
      </c>
      <c r="D14" s="3" t="n">
        <v>40</v>
      </c>
      <c r="E14" s="3" t="inlineStr">
        <is>
          <t>修正旧图配置召回下限与新图低召回点混用造成的倒序。目标列25%复用已测40%目标列，实际召回40%；未实测达到25%，不作为该召回率的新测量。性能沿用该点已标明的ANNProof系数调整值，未重复乘系数。</t>
        </is>
      </c>
    </row>
    <row r="15" ht="40.5" customHeight="1" s="1">
      <c r="A15" s="3" t="inlineStr">
        <is>
          <t>SIFT1M</t>
        </is>
      </c>
      <c r="B15" s="3" t="inlineStr">
        <is>
          <t>I37</t>
        </is>
      </c>
      <c r="C15" s="3" t="n">
        <v>67.5</v>
      </c>
      <c r="D15" s="3" t="n">
        <v>40</v>
      </c>
      <c r="E15" s="3" t="inlineStr">
        <is>
          <t>修正旧图配置召回下限与新图低召回点混用造成的倒序。目标列30%复用已测40%目标列，实际召回40%；未实测达到30%，不作为该召回率的新测量。性能沿用该点已标明的ANNProof系数调整值，未重复乘系数。</t>
        </is>
      </c>
    </row>
    <row r="16" ht="40.5" customHeight="1" s="1">
      <c r="A16" s="3" t="inlineStr">
        <is>
          <t>SIFT1M</t>
        </is>
      </c>
      <c r="B16" s="3" t="inlineStr">
        <is>
          <t>J37</t>
        </is>
      </c>
      <c r="C16" s="3" t="n">
        <v>67.5</v>
      </c>
      <c r="D16" s="3" t="n">
        <v>40</v>
      </c>
      <c r="E16" s="3" t="inlineStr">
        <is>
          <t>修正旧图配置召回下限与新图低召回点混用造成的倒序。目标列35%复用已测40%目标列，实际召回40%；未实测达到35%，不作为该召回率的新测量。性能沿用该点已标明的ANNProof系数调整值，未重复乘系数。</t>
        </is>
      </c>
    </row>
    <row r="17" ht="40.5" customHeight="1" s="1">
      <c r="A17" s="3" t="inlineStr">
        <is>
          <t>SIFT1M</t>
        </is>
      </c>
      <c r="B17" s="3" t="inlineStr">
        <is>
          <t>F38</t>
        </is>
      </c>
      <c r="C17" s="3" t="n">
        <v>4.32098415</v>
      </c>
      <c r="D17" s="3" t="n">
        <v>9.176922749999999</v>
      </c>
      <c r="E17" s="3" t="inlineStr">
        <is>
          <t>修正旧图配置召回下限与新图低召回点混用造成的倒序。目标列15%复用已测40%目标列，实际召回40%；未实测达到15%，不作为该召回率的新测量。性能沿用该点已标明的ANNProof系数调整值，未重复乘系数。</t>
        </is>
      </c>
    </row>
    <row r="18" ht="40.5" customHeight="1" s="1">
      <c r="A18" s="3" t="inlineStr">
        <is>
          <t>SIFT1M</t>
        </is>
      </c>
      <c r="B18" s="3" t="inlineStr">
        <is>
          <t>G38</t>
        </is>
      </c>
      <c r="C18" s="3" t="n">
        <v>4.32098415</v>
      </c>
      <c r="D18" s="3" t="n">
        <v>9.176922749999999</v>
      </c>
      <c r="E18" s="3" t="inlineStr">
        <is>
          <t>修正旧图配置召回下限与新图低召回点混用造成的倒序。目标列20%复用已测40%目标列，实际召回40%；未实测达到20%，不作为该召回率的新测量。性能沿用该点已标明的ANNProof系数调整值，未重复乘系数。</t>
        </is>
      </c>
    </row>
    <row r="19" ht="40.5" customHeight="1" s="1">
      <c r="A19" s="3" t="inlineStr">
        <is>
          <t>SIFT1M</t>
        </is>
      </c>
      <c r="B19" s="3" t="inlineStr">
        <is>
          <t>H38</t>
        </is>
      </c>
      <c r="C19" s="3" t="n">
        <v>4.32098415</v>
      </c>
      <c r="D19" s="3" t="n">
        <v>9.176922749999999</v>
      </c>
      <c r="E19" s="3" t="inlineStr">
        <is>
          <t>修正旧图配置召回下限与新图低召回点混用造成的倒序。目标列25%复用已测40%目标列，实际召回40%；未实测达到25%，不作为该召回率的新测量。性能沿用该点已标明的ANNProof系数调整值，未重复乘系数。</t>
        </is>
      </c>
    </row>
    <row r="20" ht="40.5" customHeight="1" s="1">
      <c r="A20" s="3" t="inlineStr">
        <is>
          <t>SIFT1M</t>
        </is>
      </c>
      <c r="B20" s="3" t="inlineStr">
        <is>
          <t>I38</t>
        </is>
      </c>
      <c r="C20" s="3" t="n">
        <v>4.32098415</v>
      </c>
      <c r="D20" s="3" t="n">
        <v>9.176922749999999</v>
      </c>
      <c r="E20" s="3" t="inlineStr">
        <is>
          <t>修正旧图配置召回下限与新图低召回点混用造成的倒序。目标列30%复用已测40%目标列，实际召回40%；未实测达到30%，不作为该召回率的新测量。性能沿用该点已标明的ANNProof系数调整值，未重复乘系数。</t>
        </is>
      </c>
    </row>
    <row r="21" ht="40.5" customHeight="1" s="1">
      <c r="A21" s="3" t="inlineStr">
        <is>
          <t>SIFT1M</t>
        </is>
      </c>
      <c r="B21" s="3" t="inlineStr">
        <is>
          <t>J38</t>
        </is>
      </c>
      <c r="C21" s="3" t="n">
        <v>4.32098415</v>
      </c>
      <c r="D21" s="3" t="n">
        <v>9.176922749999999</v>
      </c>
      <c r="E21" s="3" t="inlineStr">
        <is>
          <t>修正旧图配置召回下限与新图低召回点混用造成的倒序。目标列35%复用已测40%目标列，实际召回40%；未实测达到35%，不作为该召回率的新测量。性能沿用该点已标明的ANNProof系数调整值，未重复乘系数。</t>
        </is>
      </c>
    </row>
    <row r="22" ht="40.5" customHeight="1" s="1">
      <c r="A22" s="3" t="inlineStr">
        <is>
          <t>SIFT1M</t>
        </is>
      </c>
      <c r="B22" s="3" t="inlineStr">
        <is>
          <t>F51</t>
        </is>
      </c>
      <c r="C22" s="3" t="n">
        <v>67.5</v>
      </c>
      <c r="D22" s="3" t="n">
        <v>40</v>
      </c>
      <c r="E22" s="3" t="inlineStr">
        <is>
          <t>修正旧图配置召回下限与新图低召回点混用造成的倒序。目标列15%复用已测40%目标列，实际召回40%；未实测达到15%，不作为该召回率的新测量。性能沿用该点已标明的ANNProof系数调整值，未重复乘系数。</t>
        </is>
      </c>
    </row>
    <row r="23" ht="40.5" customHeight="1" s="1">
      <c r="A23" s="3" t="inlineStr">
        <is>
          <t>SIFT1M</t>
        </is>
      </c>
      <c r="B23" s="3" t="inlineStr">
        <is>
          <t>G51</t>
        </is>
      </c>
      <c r="C23" s="3" t="n">
        <v>67.5</v>
      </c>
      <c r="D23" s="3" t="n">
        <v>40</v>
      </c>
      <c r="E23" s="3" t="inlineStr">
        <is>
          <t>修正旧图配置召回下限与新图低召回点混用造成的倒序。目标列20%复用已测40%目标列，实际召回40%；未实测达到20%，不作为该召回率的新测量。性能沿用该点已标明的ANNProof系数调整值，未重复乘系数。</t>
        </is>
      </c>
    </row>
    <row r="24" ht="40.5" customHeight="1" s="1">
      <c r="A24" s="3" t="inlineStr">
        <is>
          <t>SIFT1M</t>
        </is>
      </c>
      <c r="B24" s="3" t="inlineStr">
        <is>
          <t>H51</t>
        </is>
      </c>
      <c r="C24" s="3" t="n">
        <v>67.5</v>
      </c>
      <c r="D24" s="3" t="n">
        <v>40</v>
      </c>
      <c r="E24" s="3" t="inlineStr">
        <is>
          <t>修正旧图配置召回下限与新图低召回点混用造成的倒序。目标列25%复用已测40%目标列，实际召回40%；未实测达到25%，不作为该召回率的新测量。性能沿用该点已标明的ANNProof系数调整值，未重复乘系数。</t>
        </is>
      </c>
    </row>
    <row r="25" ht="40.5" customHeight="1" s="1">
      <c r="A25" s="3" t="inlineStr">
        <is>
          <t>SIFT1M</t>
        </is>
      </c>
      <c r="B25" s="3" t="inlineStr">
        <is>
          <t>I51</t>
        </is>
      </c>
      <c r="C25" s="3" t="n">
        <v>67.5</v>
      </c>
      <c r="D25" s="3" t="n">
        <v>40</v>
      </c>
      <c r="E25" s="3" t="inlineStr">
        <is>
          <t>修正旧图配置召回下限与新图低召回点混用造成的倒序。目标列30%复用已测40%目标列，实际召回40%；未实测达到30%，不作为该召回率的新测量。性能沿用该点已标明的ANNProof系数调整值，未重复乘系数。</t>
        </is>
      </c>
    </row>
    <row r="26" ht="40.5" customHeight="1" s="1">
      <c r="A26" s="3" t="inlineStr">
        <is>
          <t>SIFT1M</t>
        </is>
      </c>
      <c r="B26" s="3" t="inlineStr">
        <is>
          <t>J51</t>
        </is>
      </c>
      <c r="C26" s="3" t="n">
        <v>67.5</v>
      </c>
      <c r="D26" s="3" t="n">
        <v>40</v>
      </c>
      <c r="E26" s="3" t="inlineStr">
        <is>
          <t>修正旧图配置召回下限与新图低召回点混用造成的倒序。目标列35%复用已测40%目标列，实际召回40%；未实测达到35%，不作为该召回率的新测量。性能沿用该点已标明的ANNProof系数调整值，未重复乘系数。</t>
        </is>
      </c>
    </row>
    <row r="27" ht="40.5" customHeight="1" s="1">
      <c r="A27" s="3" t="inlineStr">
        <is>
          <t>SIFT1M</t>
        </is>
      </c>
      <c r="B27" s="3" t="inlineStr">
        <is>
          <t>F52</t>
        </is>
      </c>
      <c r="C27" s="3" t="n">
        <v>0.67929492</v>
      </c>
      <c r="D27" s="3" t="n">
        <v>1.67731546</v>
      </c>
      <c r="E27" s="3" t="inlineStr">
        <is>
          <t>修正旧图配置召回下限与新图低召回点混用造成的倒序。目标列15%复用已测40%目标列，实际召回40%；未实测达到15%，不作为该召回率的新测量。性能沿用该点已标明的ANNProof系数调整值，未重复乘系数。</t>
        </is>
      </c>
    </row>
    <row r="28" ht="40.5" customHeight="1" s="1">
      <c r="A28" s="3" t="inlineStr">
        <is>
          <t>SIFT1M</t>
        </is>
      </c>
      <c r="B28" s="3" t="inlineStr">
        <is>
          <t>G52</t>
        </is>
      </c>
      <c r="C28" s="3" t="n">
        <v>0.67929492</v>
      </c>
      <c r="D28" s="3" t="n">
        <v>1.67731546</v>
      </c>
      <c r="E28" s="3" t="inlineStr">
        <is>
          <t>修正旧图配置召回下限与新图低召回点混用造成的倒序。目标列20%复用已测40%目标列，实际召回40%；未实测达到20%，不作为该召回率的新测量。性能沿用该点已标明的ANNProof系数调整值，未重复乘系数。</t>
        </is>
      </c>
    </row>
    <row r="29" ht="40.5" customHeight="1" s="1">
      <c r="A29" s="3" t="inlineStr">
        <is>
          <t>SIFT1M</t>
        </is>
      </c>
      <c r="B29" s="3" t="inlineStr">
        <is>
          <t>H52</t>
        </is>
      </c>
      <c r="C29" s="3" t="n">
        <v>0.67929492</v>
      </c>
      <c r="D29" s="3" t="n">
        <v>1.67731546</v>
      </c>
      <c r="E29" s="3" t="inlineStr">
        <is>
          <t>修正旧图配置召回下限与新图低召回点混用造成的倒序。目标列25%复用已测40%目标列，实际召回40%；未实测达到25%，不作为该召回率的新测量。性能沿用该点已标明的ANNProof系数调整值，未重复乘系数。</t>
        </is>
      </c>
    </row>
    <row r="30" ht="40.5" customHeight="1" s="1">
      <c r="A30" s="3" t="inlineStr">
        <is>
          <t>SIFT1M</t>
        </is>
      </c>
      <c r="B30" s="3" t="inlineStr">
        <is>
          <t>I52</t>
        </is>
      </c>
      <c r="C30" s="3" t="n">
        <v>0.67929492</v>
      </c>
      <c r="D30" s="3" t="n">
        <v>1.67731546</v>
      </c>
      <c r="E30" s="3" t="inlineStr">
        <is>
          <t>修正旧图配置召回下限与新图低召回点混用造成的倒序。目标列30%复用已测40%目标列，实际召回40%；未实测达到30%，不作为该召回率的新测量。性能沿用该点已标明的ANNProof系数调整值，未重复乘系数。</t>
        </is>
      </c>
    </row>
    <row r="31" ht="40.5" customHeight="1" s="1">
      <c r="A31" s="3" t="inlineStr">
        <is>
          <t>SIFT1M</t>
        </is>
      </c>
      <c r="B31" s="3" t="inlineStr">
        <is>
          <t>J52</t>
        </is>
      </c>
      <c r="C31" s="3" t="n">
        <v>0.67929492</v>
      </c>
      <c r="D31" s="3" t="n">
        <v>1.67731546</v>
      </c>
      <c r="E31" s="3" t="inlineStr">
        <is>
          <t>修正旧图配置召回下限与新图低召回点混用造成的倒序。目标列35%复用已测40%目标列，实际召回40%；未实测达到35%，不作为该召回率的新测量。性能沿用该点已标明的ANNProof系数调整值，未重复乘系数。</t>
        </is>
      </c>
    </row>
    <row r="32" ht="40.5" customHeight="1" s="1">
      <c r="A32" s="3" t="inlineStr">
        <is>
          <t>NYTimes-256</t>
        </is>
      </c>
      <c r="B32" s="3" t="inlineStr">
        <is>
          <t>F23</t>
        </is>
      </c>
      <c r="C32" s="3" t="n">
        <v>84</v>
      </c>
      <c r="D32" s="3" t="n">
        <v>40</v>
      </c>
      <c r="E32" s="3" t="inlineStr">
        <is>
          <t>修正旧图配置召回下限与新图低召回点混用造成的倒序。目标列15%复用已测40%目标列，实际召回40%；未实测达到15%，不作为该召回率的新测量。性能沿用该点已标明的ANNProof系数调整值，未重复乘系数。</t>
        </is>
      </c>
    </row>
    <row r="33" ht="40.5" customHeight="1" s="1">
      <c r="A33" s="3" t="inlineStr">
        <is>
          <t>NYTimes-256</t>
        </is>
      </c>
      <c r="B33" s="3" t="inlineStr">
        <is>
          <t>G23</t>
        </is>
      </c>
      <c r="C33" s="3" t="n">
        <v>84</v>
      </c>
      <c r="D33" s="3" t="n">
        <v>40</v>
      </c>
      <c r="E33" s="3" t="inlineStr">
        <is>
          <t>修正旧图配置召回下限与新图低召回点混用造成的倒序。目标列20%复用已测40%目标列，实际召回40%；未实测达到20%，不作为该召回率的新测量。性能沿用该点已标明的ANNProof系数调整值，未重复乘系数。</t>
        </is>
      </c>
    </row>
    <row r="34" ht="40.5" customHeight="1" s="1">
      <c r="A34" s="3" t="inlineStr">
        <is>
          <t>NYTimes-256</t>
        </is>
      </c>
      <c r="B34" s="3" t="inlineStr">
        <is>
          <t>H23</t>
        </is>
      </c>
      <c r="C34" s="3" t="n">
        <v>84</v>
      </c>
      <c r="D34" s="3" t="n">
        <v>40</v>
      </c>
      <c r="E34" s="3" t="inlineStr">
        <is>
          <t>修正旧图配置召回下限与新图低召回点混用造成的倒序。目标列25%复用已测40%目标列，实际召回40%；未实测达到25%，不作为该召回率的新测量。性能沿用该点已标明的ANNProof系数调整值，未重复乘系数。</t>
        </is>
      </c>
    </row>
    <row r="35" ht="40.5" customHeight="1" s="1">
      <c r="A35" s="3" t="inlineStr">
        <is>
          <t>NYTimes-256</t>
        </is>
      </c>
      <c r="B35" s="3" t="inlineStr">
        <is>
          <t>I23</t>
        </is>
      </c>
      <c r="C35" s="3" t="n">
        <v>84</v>
      </c>
      <c r="D35" s="3" t="n">
        <v>40</v>
      </c>
      <c r="E35" s="3" t="inlineStr">
        <is>
          <t>修正旧图配置召回下限与新图低召回点混用造成的倒序。目标列30%复用已测40%目标列，实际召回40%；未实测达到30%，不作为该召回率的新测量。性能沿用该点已标明的ANNProof系数调整值，未重复乘系数。</t>
        </is>
      </c>
    </row>
    <row r="36" ht="40.5" customHeight="1" s="1">
      <c r="A36" s="3" t="inlineStr">
        <is>
          <t>NYTimes-256</t>
        </is>
      </c>
      <c r="B36" s="3" t="inlineStr">
        <is>
          <t>J23</t>
        </is>
      </c>
      <c r="C36" s="3" t="n">
        <v>84</v>
      </c>
      <c r="D36" s="3" t="n">
        <v>40</v>
      </c>
      <c r="E36" s="3" t="inlineStr">
        <is>
          <t>修正旧图配置召回下限与新图低召回点混用造成的倒序。目标列35%复用已测40%目标列，实际召回40%；未实测达到35%，不作为该召回率的新测量。性能沿用该点已标明的ANNProof系数调整值，未重复乘系数。</t>
        </is>
      </c>
    </row>
    <row r="37" ht="40.5" customHeight="1" s="1">
      <c r="A37" s="3" t="inlineStr">
        <is>
          <t>NYTimes-256</t>
        </is>
      </c>
      <c r="B37" s="3" t="inlineStr">
        <is>
          <t>F24</t>
        </is>
      </c>
      <c r="C37" s="3" t="n">
        <v>1303.864</v>
      </c>
      <c r="D37" s="3" t="n">
        <v>706.6212</v>
      </c>
      <c r="E37" s="3" t="inlineStr">
        <is>
          <t>修正旧图配置召回下限与新图低召回点混用造成的倒序。目标列15%复用已测40%目标列，实际召回40%；未实测达到15%，不作为该召回率的新测量。性能沿用该点已标明的ANNProof系数调整值，未重复乘系数。</t>
        </is>
      </c>
    </row>
    <row r="38" ht="40.5" customHeight="1" s="1">
      <c r="A38" s="3" t="inlineStr">
        <is>
          <t>NYTimes-256</t>
        </is>
      </c>
      <c r="B38" s="3" t="inlineStr">
        <is>
          <t>G24</t>
        </is>
      </c>
      <c r="C38" s="3" t="n">
        <v>1303.864</v>
      </c>
      <c r="D38" s="3" t="n">
        <v>706.6212</v>
      </c>
      <c r="E38" s="3" t="inlineStr">
        <is>
          <t>修正旧图配置召回下限与新图低召回点混用造成的倒序。目标列20%复用已测40%目标列，实际召回40%；未实测达到20%，不作为该召回率的新测量。性能沿用该点已标明的ANNProof系数调整值，未重复乘系数。</t>
        </is>
      </c>
    </row>
    <row r="39" ht="40.5" customHeight="1" s="1">
      <c r="A39" s="3" t="inlineStr">
        <is>
          <t>NYTimes-256</t>
        </is>
      </c>
      <c r="B39" s="3" t="inlineStr">
        <is>
          <t>H24</t>
        </is>
      </c>
      <c r="C39" s="3" t="n">
        <v>1303.864</v>
      </c>
      <c r="D39" s="3" t="n">
        <v>706.6212</v>
      </c>
      <c r="E39" s="3" t="inlineStr">
        <is>
          <t>修正旧图配置召回下限与新图低召回点混用造成的倒序。目标列25%复用已测40%目标列，实际召回40%；未实测达到25%，不作为该召回率的新测量。性能沿用该点已标明的ANNProof系数调整值，未重复乘系数。</t>
        </is>
      </c>
    </row>
    <row r="40" ht="40.5" customHeight="1" s="1">
      <c r="A40" s="3" t="inlineStr">
        <is>
          <t>NYTimes-256</t>
        </is>
      </c>
      <c r="B40" s="3" t="inlineStr">
        <is>
          <t>I24</t>
        </is>
      </c>
      <c r="C40" s="3" t="n">
        <v>1303.864</v>
      </c>
      <c r="D40" s="3" t="n">
        <v>706.6212</v>
      </c>
      <c r="E40" s="3" t="inlineStr">
        <is>
          <t>修正旧图配置召回下限与新图低召回点混用造成的倒序。目标列30%复用已测40%目标列，实际召回40%；未实测达到30%，不作为该召回率的新测量。性能沿用该点已标明的ANNProof系数调整值，未重复乘系数。</t>
        </is>
      </c>
    </row>
    <row r="41" ht="40.5" customHeight="1" s="1">
      <c r="A41" s="3" t="inlineStr">
        <is>
          <t>NYTimes-256</t>
        </is>
      </c>
      <c r="B41" s="3" t="inlineStr">
        <is>
          <t>J24</t>
        </is>
      </c>
      <c r="C41" s="3" t="n">
        <v>1303.864</v>
      </c>
      <c r="D41" s="3" t="n">
        <v>706.6212</v>
      </c>
      <c r="E41" s="3" t="inlineStr">
        <is>
          <t>修正旧图配置召回下限与新图低召回点混用造成的倒序。目标列35%复用已测40%目标列，实际召回40%；未实测达到35%，不作为该召回率的新测量。性能沿用该点已标明的ANNProof系数调整值，未重复乘系数。</t>
        </is>
      </c>
    </row>
    <row r="42" ht="40.5" customHeight="1" s="1">
      <c r="A42" s="3" t="inlineStr">
        <is>
          <t>NYTimes-256</t>
        </is>
      </c>
      <c r="B42" s="3" t="inlineStr">
        <is>
          <t>F37</t>
        </is>
      </c>
      <c r="C42" s="3" t="n">
        <v>84</v>
      </c>
      <c r="D42" s="3" t="n">
        <v>40</v>
      </c>
      <c r="E42" s="3" t="inlineStr">
        <is>
          <t>修正旧图配置召回下限与新图低召回点混用造成的倒序。目标列15%复用已测40%目标列，实际召回40%；未实测达到15%，不作为该召回率的新测量。性能沿用该点已标明的ANNProof系数调整值，未重复乘系数。</t>
        </is>
      </c>
    </row>
    <row r="43" ht="40.5" customHeight="1" s="1">
      <c r="A43" s="3" t="inlineStr">
        <is>
          <t>NYTimes-256</t>
        </is>
      </c>
      <c r="B43" s="3" t="inlineStr">
        <is>
          <t>G37</t>
        </is>
      </c>
      <c r="C43" s="3" t="n">
        <v>84</v>
      </c>
      <c r="D43" s="3" t="n">
        <v>40</v>
      </c>
      <c r="E43" s="3" t="inlineStr">
        <is>
          <t>修正旧图配置召回下限与新图低召回点混用造成的倒序。目标列20%复用已测40%目标列，实际召回40%；未实测达到20%，不作为该召回率的新测量。性能沿用该点已标明的ANNProof系数调整值，未重复乘系数。</t>
        </is>
      </c>
    </row>
    <row r="44" ht="40.5" customHeight="1" s="1">
      <c r="A44" s="3" t="inlineStr">
        <is>
          <t>NYTimes-256</t>
        </is>
      </c>
      <c r="B44" s="3" t="inlineStr">
        <is>
          <t>H37</t>
        </is>
      </c>
      <c r="C44" s="3" t="n">
        <v>84</v>
      </c>
      <c r="D44" s="3" t="n">
        <v>40</v>
      </c>
      <c r="E44" s="3" t="inlineStr">
        <is>
          <t>修正旧图配置召回下限与新图低召回点混用造成的倒序。目标列25%复用已测40%目标列，实际召回40%；未实测达到25%，不作为该召回率的新测量。性能沿用该点已标明的ANNProof系数调整值，未重复乘系数。</t>
        </is>
      </c>
    </row>
    <row r="45" ht="40.5" customHeight="1" s="1">
      <c r="A45" s="3" t="inlineStr">
        <is>
          <t>NYTimes-256</t>
        </is>
      </c>
      <c r="B45" s="3" t="inlineStr">
        <is>
          <t>I37</t>
        </is>
      </c>
      <c r="C45" s="3" t="n">
        <v>84</v>
      </c>
      <c r="D45" s="3" t="n">
        <v>40</v>
      </c>
      <c r="E45" s="3" t="inlineStr">
        <is>
          <t>修正旧图配置召回下限与新图低召回点混用造成的倒序。目标列30%复用已测40%目标列，实际召回40%；未实测达到30%，不作为该召回率的新测量。性能沿用该点已标明的ANNProof系数调整值，未重复乘系数。</t>
        </is>
      </c>
    </row>
    <row r="46" ht="40.5" customHeight="1" s="1">
      <c r="A46" s="3" t="inlineStr">
        <is>
          <t>NYTimes-256</t>
        </is>
      </c>
      <c r="B46" s="3" t="inlineStr">
        <is>
          <t>J37</t>
        </is>
      </c>
      <c r="C46" s="3" t="n">
        <v>84</v>
      </c>
      <c r="D46" s="3" t="n">
        <v>40</v>
      </c>
      <c r="E46" s="3" t="inlineStr">
        <is>
          <t>修正旧图配置召回下限与新图低召回点混用造成的倒序。目标列35%复用已测40%目标列，实际召回40%；未实测达到35%，不作为该召回率的新测量。性能沿用该点已标明的ANNProof系数调整值，未重复乘系数。</t>
        </is>
      </c>
    </row>
    <row r="47" ht="40.5" customHeight="1" s="1">
      <c r="A47" s="3" t="inlineStr">
        <is>
          <t>NYTimes-256</t>
        </is>
      </c>
      <c r="B47" s="3" t="inlineStr">
        <is>
          <t>F38</t>
        </is>
      </c>
      <c r="C47" s="3" t="n">
        <v>9.001317674999999</v>
      </c>
      <c r="D47" s="3" t="n">
        <v>5.5142681</v>
      </c>
      <c r="E47" s="3" t="inlineStr">
        <is>
          <t>修正旧图配置召回下限与新图低召回点混用造成的倒序。目标列15%复用已测40%目标列，实际召回40%；未实测达到15%，不作为该召回率的新测量。性能沿用该点已标明的ANNProof系数调整值，未重复乘系数。</t>
        </is>
      </c>
    </row>
    <row r="48" ht="40.5" customHeight="1" s="1">
      <c r="A48" s="3" t="inlineStr">
        <is>
          <t>NYTimes-256</t>
        </is>
      </c>
      <c r="B48" s="3" t="inlineStr">
        <is>
          <t>G38</t>
        </is>
      </c>
      <c r="C48" s="3" t="n">
        <v>9.001317674999999</v>
      </c>
      <c r="D48" s="3" t="n">
        <v>5.5142681</v>
      </c>
      <c r="E48" s="3" t="inlineStr">
        <is>
          <t>修正旧图配置召回下限与新图低召回点混用造成的倒序。目标列20%复用已测40%目标列，实际召回40%；未实测达到20%，不作为该召回率的新测量。性能沿用该点已标明的ANNProof系数调整值，未重复乘系数。</t>
        </is>
      </c>
    </row>
    <row r="49" ht="40.5" customHeight="1" s="1">
      <c r="A49" s="3" t="inlineStr">
        <is>
          <t>NYTimes-256</t>
        </is>
      </c>
      <c r="B49" s="3" t="inlineStr">
        <is>
          <t>H38</t>
        </is>
      </c>
      <c r="C49" s="3" t="n">
        <v>9.001317674999999</v>
      </c>
      <c r="D49" s="3" t="n">
        <v>5.5142681</v>
      </c>
      <c r="E49" s="3" t="inlineStr">
        <is>
          <t>修正旧图配置召回下限与新图低召回点混用造成的倒序。目标列25%复用已测40%目标列，实际召回40%；未实测达到25%，不作为该召回率的新测量。性能沿用该点已标明的ANNProof系数调整值，未重复乘系数。</t>
        </is>
      </c>
    </row>
    <row r="50" ht="40.5" customHeight="1" s="1">
      <c r="A50" s="3" t="inlineStr">
        <is>
          <t>NYTimes-256</t>
        </is>
      </c>
      <c r="B50" s="3" t="inlineStr">
        <is>
          <t>I38</t>
        </is>
      </c>
      <c r="C50" s="3" t="n">
        <v>9.001317674999999</v>
      </c>
      <c r="D50" s="3" t="n">
        <v>5.5142681</v>
      </c>
      <c r="E50" s="3" t="inlineStr">
        <is>
          <t>修正旧图配置召回下限与新图低召回点混用造成的倒序。目标列30%复用已测40%目标列，实际召回40%；未实测达到30%，不作为该召回率的新测量。性能沿用该点已标明的ANNProof系数调整值，未重复乘系数。</t>
        </is>
      </c>
    </row>
    <row r="51" ht="40.5" customHeight="1" s="1">
      <c r="A51" s="3" t="inlineStr">
        <is>
          <t>NYTimes-256</t>
        </is>
      </c>
      <c r="B51" s="3" t="inlineStr">
        <is>
          <t>J38</t>
        </is>
      </c>
      <c r="C51" s="3" t="n">
        <v>9.001317674999999</v>
      </c>
      <c r="D51" s="3" t="n">
        <v>5.5142681</v>
      </c>
      <c r="E51" s="3" t="inlineStr">
        <is>
          <t>修正旧图配置召回下限与新图低召回点混用造成的倒序。目标列35%复用已测40%目标列，实际召回40%；未实测达到35%，不作为该召回率的新测量。性能沿用该点已标明的ANNProof系数调整值，未重复乘系数。</t>
        </is>
      </c>
    </row>
    <row r="52" ht="40.5" customHeight="1" s="1">
      <c r="A52" s="3" t="inlineStr">
        <is>
          <t>NYTimes-256</t>
        </is>
      </c>
      <c r="B52" s="3" t="inlineStr">
        <is>
          <t>F51</t>
        </is>
      </c>
      <c r="C52" s="3" t="n">
        <v>84</v>
      </c>
      <c r="D52" s="3" t="n">
        <v>40</v>
      </c>
      <c r="E52" s="3" t="inlineStr">
        <is>
          <t>修正旧图配置召回下限与新图低召回点混用造成的倒序。目标列15%复用已测40%目标列，实际召回40%；未实测达到15%，不作为该召回率的新测量。性能沿用该点已标明的ANNProof系数调整值，未重复乘系数。</t>
        </is>
      </c>
    </row>
    <row r="53" ht="40.5" customHeight="1" s="1">
      <c r="A53" s="3" t="inlineStr">
        <is>
          <t>NYTimes-256</t>
        </is>
      </c>
      <c r="B53" s="3" t="inlineStr">
        <is>
          <t>G51</t>
        </is>
      </c>
      <c r="C53" s="3" t="n">
        <v>84</v>
      </c>
      <c r="D53" s="3" t="n">
        <v>40</v>
      </c>
      <c r="E53" s="3" t="inlineStr">
        <is>
          <t>修正旧图配置召回下限与新图低召回点混用造成的倒序。目标列20%复用已测40%目标列，实际召回40%；未实测达到20%，不作为该召回率的新测量。性能沿用该点已标明的ANNProof系数调整值，未重复乘系数。</t>
        </is>
      </c>
    </row>
    <row r="54" ht="40.5" customHeight="1" s="1">
      <c r="A54" s="3" t="inlineStr">
        <is>
          <t>NYTimes-256</t>
        </is>
      </c>
      <c r="B54" s="3" t="inlineStr">
        <is>
          <t>H51</t>
        </is>
      </c>
      <c r="C54" s="3" t="n">
        <v>84</v>
      </c>
      <c r="D54" s="3" t="n">
        <v>40</v>
      </c>
      <c r="E54" s="3" t="inlineStr">
        <is>
          <t>修正旧图配置召回下限与新图低召回点混用造成的倒序。目标列25%复用已测40%目标列，实际召回40%；未实测达到25%，不作为该召回率的新测量。性能沿用该点已标明的ANNProof系数调整值，未重复乘系数。</t>
        </is>
      </c>
    </row>
    <row r="55" ht="40.5" customHeight="1" s="1">
      <c r="A55" s="3" t="inlineStr">
        <is>
          <t>NYTimes-256</t>
        </is>
      </c>
      <c r="B55" s="3" t="inlineStr">
        <is>
          <t>I51</t>
        </is>
      </c>
      <c r="C55" s="3" t="n">
        <v>84</v>
      </c>
      <c r="D55" s="3" t="n">
        <v>40</v>
      </c>
      <c r="E55" s="3" t="inlineStr">
        <is>
          <t>修正旧图配置召回下限与新图低召回点混用造成的倒序。目标列30%复用已测40%目标列，实际召回40%；未实测达到30%，不作为该召回率的新测量。性能沿用该点已标明的ANNProof系数调整值，未重复乘系数。</t>
        </is>
      </c>
    </row>
    <row r="56" ht="40.5" customHeight="1" s="1">
      <c r="A56" s="3" t="inlineStr">
        <is>
          <t>NYTimes-256</t>
        </is>
      </c>
      <c r="B56" s="3" t="inlineStr">
        <is>
          <t>J51</t>
        </is>
      </c>
      <c r="C56" s="3" t="n">
        <v>84</v>
      </c>
      <c r="D56" s="3" t="n">
        <v>40</v>
      </c>
      <c r="E56" s="3" t="inlineStr">
        <is>
          <t>修正旧图配置召回下限与新图低召回点混用造成的倒序。目标列35%复用已测40%目标列，实际召回40%；未实测达到35%，不作为该召回率的新测量。性能沿用该点已标明的ANNProof系数调整值，未重复乘系数。</t>
        </is>
      </c>
    </row>
    <row r="57" ht="40.5" customHeight="1" s="1">
      <c r="A57" s="3" t="inlineStr">
        <is>
          <t>NYTimes-256</t>
        </is>
      </c>
      <c r="B57" s="3" t="inlineStr">
        <is>
          <t>F52</t>
        </is>
      </c>
      <c r="C57" s="3" t="n">
        <v>1.40214692</v>
      </c>
      <c r="D57" s="3" t="n">
        <v>0.8719381</v>
      </c>
      <c r="E57" s="3" t="inlineStr">
        <is>
          <t>修正旧图配置召回下限与新图低召回点混用造成的倒序。目标列15%复用已测40%目标列，实际召回40%；未实测达到15%，不作为该召回率的新测量。性能沿用该点已标明的ANNProof系数调整值，未重复乘系数。</t>
        </is>
      </c>
    </row>
    <row r="58" ht="40.5" customHeight="1" s="1">
      <c r="A58" s="3" t="inlineStr">
        <is>
          <t>NYTimes-256</t>
        </is>
      </c>
      <c r="B58" s="3" t="inlineStr">
        <is>
          <t>G52</t>
        </is>
      </c>
      <c r="C58" s="3" t="n">
        <v>1.40214692</v>
      </c>
      <c r="D58" s="3" t="n">
        <v>0.8719381</v>
      </c>
      <c r="E58" s="3" t="inlineStr">
        <is>
          <t>修正旧图配置召回下限与新图低召回点混用造成的倒序。目标列20%复用已测40%目标列，实际召回40%；未实测达到20%，不作为该召回率的新测量。性能沿用该点已标明的ANNProof系数调整值，未重复乘系数。</t>
        </is>
      </c>
    </row>
    <row r="59" ht="40.5" customHeight="1" s="1">
      <c r="A59" s="3" t="inlineStr">
        <is>
          <t>NYTimes-256</t>
        </is>
      </c>
      <c r="B59" s="3" t="inlineStr">
        <is>
          <t>H52</t>
        </is>
      </c>
      <c r="C59" s="3" t="n">
        <v>1.40214692</v>
      </c>
      <c r="D59" s="3" t="n">
        <v>0.8719381</v>
      </c>
      <c r="E59" s="3" t="inlineStr">
        <is>
          <t>修正旧图配置召回下限与新图低召回点混用造成的倒序。目标列25%复用已测40%目标列，实际召回40%；未实测达到25%，不作为该召回率的新测量。性能沿用该点已标明的ANNProof系数调整值，未重复乘系数。</t>
        </is>
      </c>
    </row>
    <row r="60" ht="40.5" customHeight="1" s="1">
      <c r="A60" s="3" t="inlineStr">
        <is>
          <t>NYTimes-256</t>
        </is>
      </c>
      <c r="B60" s="3" t="inlineStr">
        <is>
          <t>I52</t>
        </is>
      </c>
      <c r="C60" s="3" t="n">
        <v>1.40214692</v>
      </c>
      <c r="D60" s="3" t="n">
        <v>0.8719381</v>
      </c>
      <c r="E60" s="3" t="inlineStr">
        <is>
          <t>修正旧图配置召回下限与新图低召回点混用造成的倒序。目标列30%复用已测40%目标列，实际召回40%；未实测达到30%，不作为该召回率的新测量。性能沿用该点已标明的ANNProof系数调整值，未重复乘系数。</t>
        </is>
      </c>
    </row>
    <row r="61" ht="40.5" customHeight="1" s="1">
      <c r="A61" s="3" t="inlineStr">
        <is>
          <t>NYTimes-256</t>
        </is>
      </c>
      <c r="B61" s="3" t="inlineStr">
        <is>
          <t>J52</t>
        </is>
      </c>
      <c r="C61" s="3" t="n">
        <v>1.40214692</v>
      </c>
      <c r="D61" s="3" t="n">
        <v>0.8719381</v>
      </c>
      <c r="E61" s="3" t="inlineStr">
        <is>
          <t>修正旧图配置召回下限与新图低召回点混用造成的倒序。目标列35%复用已测40%目标列，实际召回40%；未实测达到35%，不作为该召回率的新测量。性能沿用该点已标明的ANNProof系数调整值，未重复乘系数。</t>
        </is>
      </c>
    </row>
    <row r="62" ht="40.5" customHeight="1" s="1">
      <c r="A62" s="3" t="inlineStr">
        <is>
          <t>DEEP1M</t>
        </is>
      </c>
      <c r="B62" s="3" t="inlineStr">
        <is>
          <t>F23</t>
        </is>
      </c>
      <c r="C62" s="3" t="n">
        <v>71</v>
      </c>
      <c r="D62" s="3" t="n">
        <v>40.5</v>
      </c>
      <c r="E62" s="3" t="inlineStr">
        <is>
          <t>修正旧图配置召回下限与新图低召回点混用造成的倒序。目标列15%复用已测40%目标列，实际召回40.5%；未实测达到15%，不作为该召回率的新测量。性能沿用该点已标明的ANNProof系数调整值，未重复乘系数。</t>
        </is>
      </c>
    </row>
    <row r="63" ht="40.5" customHeight="1" s="1">
      <c r="A63" s="3" t="inlineStr">
        <is>
          <t>DEEP1M</t>
        </is>
      </c>
      <c r="B63" s="3" t="inlineStr">
        <is>
          <t>G23</t>
        </is>
      </c>
      <c r="C63" s="3" t="n">
        <v>71</v>
      </c>
      <c r="D63" s="3" t="n">
        <v>40.5</v>
      </c>
      <c r="E63" s="3" t="inlineStr">
        <is>
          <t>修正旧图配置召回下限与新图低召回点混用造成的倒序。目标列20%复用已测40%目标列，实际召回40.5%；未实测达到20%，不作为该召回率的新测量。性能沿用该点已标明的ANNProof系数调整值，未重复乘系数。</t>
        </is>
      </c>
    </row>
    <row r="64" ht="40.5" customHeight="1" s="1">
      <c r="A64" s="3" t="inlineStr">
        <is>
          <t>DEEP1M</t>
        </is>
      </c>
      <c r="B64" s="3" t="inlineStr">
        <is>
          <t>H23</t>
        </is>
      </c>
      <c r="C64" s="3" t="n">
        <v>71</v>
      </c>
      <c r="D64" s="3" t="n">
        <v>40.5</v>
      </c>
      <c r="E64" s="3" t="inlineStr">
        <is>
          <t>修正旧图配置召回下限与新图低召回点混用造成的倒序。目标列25%复用已测40%目标列，实际召回40.5%；未实测达到25%，不作为该召回率的新测量。性能沿用该点已标明的ANNProof系数调整值，未重复乘系数。</t>
        </is>
      </c>
    </row>
    <row r="65" ht="40.5" customHeight="1" s="1">
      <c r="A65" s="3" t="inlineStr">
        <is>
          <t>DEEP1M</t>
        </is>
      </c>
      <c r="B65" s="3" t="inlineStr">
        <is>
          <t>I23</t>
        </is>
      </c>
      <c r="C65" s="3" t="n">
        <v>71</v>
      </c>
      <c r="D65" s="3" t="n">
        <v>40.5</v>
      </c>
      <c r="E65" s="3" t="inlineStr">
        <is>
          <t>修正旧图配置召回下限与新图低召回点混用造成的倒序。目标列30%复用已测40%目标列，实际召回40.5%；未实测达到30%，不作为该召回率的新测量。性能沿用该点已标明的ANNProof系数调整值，未重复乘系数。</t>
        </is>
      </c>
    </row>
    <row r="66" ht="40.5" customHeight="1" s="1">
      <c r="A66" s="3" t="inlineStr">
        <is>
          <t>DEEP1M</t>
        </is>
      </c>
      <c r="B66" s="3" t="inlineStr">
        <is>
          <t>J23</t>
        </is>
      </c>
      <c r="C66" s="3" t="n">
        <v>71</v>
      </c>
      <c r="D66" s="3" t="n">
        <v>40.5</v>
      </c>
      <c r="E66" s="3" t="inlineStr">
        <is>
          <t>修正旧图配置召回下限与新图低召回点混用造成的倒序。目标列35%复用已测40%目标列，实际召回40.5%；未实测达到35%，不作为该召回率的新测量。性能沿用该点已标明的ANNProof系数调整值，未重复乘系数。</t>
        </is>
      </c>
    </row>
    <row r="67" ht="40.5" customHeight="1" s="1">
      <c r="A67" s="3" t="inlineStr">
        <is>
          <t>DEEP1M</t>
        </is>
      </c>
      <c r="B67" s="3" t="inlineStr">
        <is>
          <t>F24</t>
        </is>
      </c>
      <c r="C67" s="3" t="n">
        <v>773.1956</v>
      </c>
      <c r="D67" s="3" t="n">
        <v>346.6888</v>
      </c>
      <c r="E67" s="3" t="inlineStr">
        <is>
          <t>修正旧图配置召回下限与新图低召回点混用造成的倒序。目标列15%复用已测40%目标列，实际召回40.5%；未实测达到15%，不作为该召回率的新测量。性能沿用该点已标明的ANNProof系数调整值，未重复乘系数。</t>
        </is>
      </c>
    </row>
    <row r="68" ht="40.5" customHeight="1" s="1">
      <c r="A68" s="3" t="inlineStr">
        <is>
          <t>DEEP1M</t>
        </is>
      </c>
      <c r="B68" s="3" t="inlineStr">
        <is>
          <t>G24</t>
        </is>
      </c>
      <c r="C68" s="3" t="n">
        <v>773.1956</v>
      </c>
      <c r="D68" s="3" t="n">
        <v>346.6888</v>
      </c>
      <c r="E68" s="3" t="inlineStr">
        <is>
          <t>修正旧图配置召回下限与新图低召回点混用造成的倒序。目标列20%复用已测40%目标列，实际召回40.5%；未实测达到20%，不作为该召回率的新测量。性能沿用该点已标明的ANNProof系数调整值，未重复乘系数。</t>
        </is>
      </c>
    </row>
    <row r="69" ht="40.5" customHeight="1" s="1">
      <c r="A69" s="3" t="inlineStr">
        <is>
          <t>DEEP1M</t>
        </is>
      </c>
      <c r="B69" s="3" t="inlineStr">
        <is>
          <t>H24</t>
        </is>
      </c>
      <c r="C69" s="3" t="n">
        <v>773.1956</v>
      </c>
      <c r="D69" s="3" t="n">
        <v>346.6888</v>
      </c>
      <c r="E69" s="3" t="inlineStr">
        <is>
          <t>修正旧图配置召回下限与新图低召回点混用造成的倒序。目标列25%复用已测40%目标列，实际召回40.5%；未实测达到25%，不作为该召回率的新测量。性能沿用该点已标明的ANNProof系数调整值，未重复乘系数。</t>
        </is>
      </c>
    </row>
    <row r="70" ht="40.5" customHeight="1" s="1">
      <c r="A70" s="3" t="inlineStr">
        <is>
          <t>DEEP1M</t>
        </is>
      </c>
      <c r="B70" s="3" t="inlineStr">
        <is>
          <t>I24</t>
        </is>
      </c>
      <c r="C70" s="3" t="n">
        <v>773.1956</v>
      </c>
      <c r="D70" s="3" t="n">
        <v>346.6888</v>
      </c>
      <c r="E70" s="3" t="inlineStr">
        <is>
          <t>修正旧图配置召回下限与新图低召回点混用造成的倒序。目标列30%复用已测40%目标列，实际召回40.5%；未实测达到30%，不作为该召回率的新测量。性能沿用该点已标明的ANNProof系数调整值，未重复乘系数。</t>
        </is>
      </c>
    </row>
    <row r="71" ht="40.5" customHeight="1" s="1">
      <c r="A71" s="3" t="inlineStr">
        <is>
          <t>DEEP1M</t>
        </is>
      </c>
      <c r="B71" s="3" t="inlineStr">
        <is>
          <t>J24</t>
        </is>
      </c>
      <c r="C71" s="3" t="n">
        <v>773.1956</v>
      </c>
      <c r="D71" s="3" t="n">
        <v>346.6888</v>
      </c>
      <c r="E71" s="3" t="inlineStr">
        <is>
          <t>修正旧图配置召回下限与新图低召回点混用造成的倒序。目标列35%复用已测40%目标列，实际召回40.5%；未实测达到35%，不作为该召回率的新测量。性能沿用该点已标明的ANNProof系数调整值，未重复乘系数。</t>
        </is>
      </c>
    </row>
    <row r="72" ht="40.5" customHeight="1" s="1">
      <c r="A72" s="3" t="inlineStr">
        <is>
          <t>DEEP1M</t>
        </is>
      </c>
      <c r="B72" s="3" t="inlineStr">
        <is>
          <t>F37</t>
        </is>
      </c>
      <c r="C72" s="3" t="n">
        <v>71</v>
      </c>
      <c r="D72" s="3" t="n">
        <v>40.5</v>
      </c>
      <c r="E72" s="3" t="inlineStr">
        <is>
          <t>修正旧图配置召回下限与新图低召回点混用造成的倒序。目标列15%复用已测40%目标列，实际召回40.5%；未实测达到15%，不作为该召回率的新测量。性能沿用该点已标明的ANNProof系数调整值，未重复乘系数。</t>
        </is>
      </c>
    </row>
    <row r="73" ht="40.5" customHeight="1" s="1">
      <c r="A73" s="3" t="inlineStr">
        <is>
          <t>DEEP1M</t>
        </is>
      </c>
      <c r="B73" s="3" t="inlineStr">
        <is>
          <t>G37</t>
        </is>
      </c>
      <c r="C73" s="3" t="n">
        <v>71</v>
      </c>
      <c r="D73" s="3" t="n">
        <v>40.5</v>
      </c>
      <c r="E73" s="3" t="inlineStr">
        <is>
          <t>修正旧图配置召回下限与新图低召回点混用造成的倒序。目标列20%复用已测40%目标列，实际召回40.5%；未实测达到20%，不作为该召回率的新测量。性能沿用该点已标明的ANNProof系数调整值，未重复乘系数。</t>
        </is>
      </c>
    </row>
    <row r="74" ht="40.5" customHeight="1" s="1">
      <c r="A74" s="3" t="inlineStr">
        <is>
          <t>DEEP1M</t>
        </is>
      </c>
      <c r="B74" s="3" t="inlineStr">
        <is>
          <t>H37</t>
        </is>
      </c>
      <c r="C74" s="3" t="n">
        <v>71</v>
      </c>
      <c r="D74" s="3" t="n">
        <v>40.5</v>
      </c>
      <c r="E74" s="3" t="inlineStr">
        <is>
          <t>修正旧图配置召回下限与新图低召回点混用造成的倒序。目标列25%复用已测40%目标列，实际召回40.5%；未实测达到25%，不作为该召回率的新测量。性能沿用该点已标明的ANNProof系数调整值，未重复乘系数。</t>
        </is>
      </c>
    </row>
    <row r="75" ht="40.5" customHeight="1" s="1">
      <c r="A75" s="3" t="inlineStr">
        <is>
          <t>DEEP1M</t>
        </is>
      </c>
      <c r="B75" s="3" t="inlineStr">
        <is>
          <t>I37</t>
        </is>
      </c>
      <c r="C75" s="3" t="n">
        <v>71</v>
      </c>
      <c r="D75" s="3" t="n">
        <v>40.5</v>
      </c>
      <c r="E75" s="3" t="inlineStr">
        <is>
          <t>修正旧图配置召回下限与新图低召回点混用造成的倒序。目标列30%复用已测40%目标列，实际召回40.5%；未实测达到30%，不作为该召回率的新测量。性能沿用该点已标明的ANNProof系数调整值，未重复乘系数。</t>
        </is>
      </c>
    </row>
    <row r="76" ht="40.5" customHeight="1" s="1">
      <c r="A76" s="3" t="inlineStr">
        <is>
          <t>DEEP1M</t>
        </is>
      </c>
      <c r="B76" s="3" t="inlineStr">
        <is>
          <t>J37</t>
        </is>
      </c>
      <c r="C76" s="3" t="n">
        <v>71</v>
      </c>
      <c r="D76" s="3" t="n">
        <v>40.5</v>
      </c>
      <c r="E76" s="3" t="inlineStr">
        <is>
          <t>修正旧图配置召回下限与新图低召回点混用造成的倒序。目标列35%复用已测40%目标列，实际召回40.5%；未实测达到35%，不作为该召回率的新测量。性能沿用该点已标明的ANNProof系数调整值，未重复乘系数。</t>
        </is>
      </c>
    </row>
    <row r="77" ht="40.5" customHeight="1" s="1">
      <c r="A77" s="3" t="inlineStr">
        <is>
          <t>DEEP1M</t>
        </is>
      </c>
      <c r="B77" s="3" t="inlineStr">
        <is>
          <t>F38</t>
        </is>
      </c>
      <c r="C77" s="3" t="n">
        <v>7.8010695</v>
      </c>
      <c r="D77" s="3" t="n">
        <v>3.6150317</v>
      </c>
      <c r="E77" s="3" t="inlineStr">
        <is>
          <t>修正旧图配置召回下限与新图低召回点混用造成的倒序。目标列15%复用已测40%目标列，实际召回40.5%；未实测达到15%，不作为该召回率的新测量。性能沿用该点已标明的ANNProof系数调整值，未重复乘系数。</t>
        </is>
      </c>
    </row>
    <row r="78" ht="40.5" customHeight="1" s="1">
      <c r="A78" s="3" t="inlineStr">
        <is>
          <t>DEEP1M</t>
        </is>
      </c>
      <c r="B78" s="3" t="inlineStr">
        <is>
          <t>G38</t>
        </is>
      </c>
      <c r="C78" s="3" t="n">
        <v>7.8010695</v>
      </c>
      <c r="D78" s="3" t="n">
        <v>3.6150317</v>
      </c>
      <c r="E78" s="3" t="inlineStr">
        <is>
          <t>修正旧图配置召回下限与新图低召回点混用造成的倒序。目标列20%复用已测40%目标列，实际召回40.5%；未实测达到20%，不作为该召回率的新测量。性能沿用该点已标明的ANNProof系数调整值，未重复乘系数。</t>
        </is>
      </c>
    </row>
    <row r="79" ht="40.5" customHeight="1" s="1">
      <c r="A79" s="3" t="inlineStr">
        <is>
          <t>DEEP1M</t>
        </is>
      </c>
      <c r="B79" s="3" t="inlineStr">
        <is>
          <t>H38</t>
        </is>
      </c>
      <c r="C79" s="3" t="n">
        <v>7.8010695</v>
      </c>
      <c r="D79" s="3" t="n">
        <v>3.6150317</v>
      </c>
      <c r="E79" s="3" t="inlineStr">
        <is>
          <t>修正旧图配置召回下限与新图低召回点混用造成的倒序。目标列25%复用已测40%目标列，实际召回40.5%；未实测达到25%，不作为该召回率的新测量。性能沿用该点已标明的ANNProof系数调整值，未重复乘系数。</t>
        </is>
      </c>
    </row>
    <row r="80" ht="40.5" customHeight="1" s="1">
      <c r="A80" s="3" t="inlineStr">
        <is>
          <t>DEEP1M</t>
        </is>
      </c>
      <c r="B80" s="3" t="inlineStr">
        <is>
          <t>I38</t>
        </is>
      </c>
      <c r="C80" s="3" t="n">
        <v>7.8010695</v>
      </c>
      <c r="D80" s="3" t="n">
        <v>3.6150317</v>
      </c>
      <c r="E80" s="3" t="inlineStr">
        <is>
          <t>修正旧图配置召回下限与新图低召回点混用造成的倒序。目标列30%复用已测40%目标列，实际召回40.5%；未实测达到30%，不作为该召回率的新测量。性能沿用该点已标明的ANNProof系数调整值，未重复乘系数。</t>
        </is>
      </c>
    </row>
    <row r="81" ht="40.5" customHeight="1" s="1">
      <c r="A81" s="3" t="inlineStr">
        <is>
          <t>DEEP1M</t>
        </is>
      </c>
      <c r="B81" s="3" t="inlineStr">
        <is>
          <t>J38</t>
        </is>
      </c>
      <c r="C81" s="3" t="n">
        <v>7.8010695</v>
      </c>
      <c r="D81" s="3" t="n">
        <v>3.6150317</v>
      </c>
      <c r="E81" s="3" t="inlineStr">
        <is>
          <t>修正旧图配置召回下限与新图低召回点混用造成的倒序。目标列35%复用已测40%目标列，实际召回40.5%；未实测达到35%，不作为该召回率的新测量。性能沿用该点已标明的ANNProof系数调整值，未重复乘系数。</t>
        </is>
      </c>
    </row>
    <row r="82" ht="40.5" customHeight="1" s="1">
      <c r="A82" s="3" t="inlineStr">
        <is>
          <t>DEEP1M</t>
        </is>
      </c>
      <c r="B82" s="3" t="inlineStr">
        <is>
          <t>F51</t>
        </is>
      </c>
      <c r="C82" s="3" t="n">
        <v>71</v>
      </c>
      <c r="D82" s="3" t="n">
        <v>40.5</v>
      </c>
      <c r="E82" s="3" t="inlineStr">
        <is>
          <t>修正旧图配置召回下限与新图低召回点混用造成的倒序。目标列15%复用已测40%目标列，实际召回40.5%；未实测达到15%，不作为该召回率的新测量。性能沿用该点已标明的ANNProof系数调整值，未重复乘系数。</t>
        </is>
      </c>
    </row>
    <row r="83" ht="40.5" customHeight="1" s="1">
      <c r="A83" s="3" t="inlineStr">
        <is>
          <t>DEEP1M</t>
        </is>
      </c>
      <c r="B83" s="3" t="inlineStr">
        <is>
          <t>G51</t>
        </is>
      </c>
      <c r="C83" s="3" t="n">
        <v>71</v>
      </c>
      <c r="D83" s="3" t="n">
        <v>40.5</v>
      </c>
      <c r="E83" s="3" t="inlineStr">
        <is>
          <t>修正旧图配置召回下限与新图低召回点混用造成的倒序。目标列20%复用已测40%目标列，实际召回40.5%；未实测达到20%，不作为该召回率的新测量。性能沿用该点已标明的ANNProof系数调整值，未重复乘系数。</t>
        </is>
      </c>
    </row>
    <row r="84" ht="40.5" customHeight="1" s="1">
      <c r="A84" s="3" t="inlineStr">
        <is>
          <t>DEEP1M</t>
        </is>
      </c>
      <c r="B84" s="3" t="inlineStr">
        <is>
          <t>H51</t>
        </is>
      </c>
      <c r="C84" s="3" t="n">
        <v>71</v>
      </c>
      <c r="D84" s="3" t="n">
        <v>40.5</v>
      </c>
      <c r="E84" s="3" t="inlineStr">
        <is>
          <t>修正旧图配置召回下限与新图低召回点混用造成的倒序。目标列25%复用已测40%目标列，实际召回40.5%；未实测达到25%，不作为该召回率的新测量。性能沿用该点已标明的ANNProof系数调整值，未重复乘系数。</t>
        </is>
      </c>
    </row>
    <row r="85" ht="40.5" customHeight="1" s="1">
      <c r="A85" s="3" t="inlineStr">
        <is>
          <t>DEEP1M</t>
        </is>
      </c>
      <c r="B85" s="3" t="inlineStr">
        <is>
          <t>I51</t>
        </is>
      </c>
      <c r="C85" s="3" t="n">
        <v>71</v>
      </c>
      <c r="D85" s="3" t="n">
        <v>40.5</v>
      </c>
      <c r="E85" s="3" t="inlineStr">
        <is>
          <t>修正旧图配置召回下限与新图低召回点混用造成的倒序。目标列30%复用已测40%目标列，实际召回40.5%；未实测达到30%，不作为该召回率的新测量。性能沿用该点已标明的ANNProof系数调整值，未重复乘系数。</t>
        </is>
      </c>
    </row>
    <row r="86" ht="40.5" customHeight="1" s="1">
      <c r="A86" s="3" t="inlineStr">
        <is>
          <t>DEEP1M</t>
        </is>
      </c>
      <c r="B86" s="3" t="inlineStr">
        <is>
          <t>J51</t>
        </is>
      </c>
      <c r="C86" s="3" t="n">
        <v>71</v>
      </c>
      <c r="D86" s="3" t="n">
        <v>40.5</v>
      </c>
      <c r="E86" s="3" t="inlineStr">
        <is>
          <t>修正旧图配置召回下限与新图低召回点混用造成的倒序。目标列35%复用已测40%目标列，实际召回40.5%；未实测达到35%，不作为该召回率的新测量。性能沿用该点已标明的ANNProof系数调整值，未重复乘系数。</t>
        </is>
      </c>
    </row>
    <row r="87" ht="40.5" customHeight="1" s="1">
      <c r="A87" s="3" t="inlineStr">
        <is>
          <t>DEEP1M</t>
        </is>
      </c>
      <c r="B87" s="3" t="inlineStr">
        <is>
          <t>F52</t>
        </is>
      </c>
      <c r="C87" s="3" t="n">
        <v>1.24868478</v>
      </c>
      <c r="D87" s="3" t="n">
        <v>0.5952319</v>
      </c>
      <c r="E87" s="3" t="inlineStr">
        <is>
          <t>修正旧图配置召回下限与新图低召回点混用造成的倒序。目标列15%复用已测40%目标列，实际召回40.5%；未实测达到15%，不作为该召回率的新测量。性能沿用该点已标明的ANNProof系数调整值，未重复乘系数。</t>
        </is>
      </c>
    </row>
    <row r="88" ht="40.5" customHeight="1" s="1">
      <c r="A88" s="3" t="inlineStr">
        <is>
          <t>DEEP1M</t>
        </is>
      </c>
      <c r="B88" s="3" t="inlineStr">
        <is>
          <t>G52</t>
        </is>
      </c>
      <c r="C88" s="3" t="n">
        <v>1.24868478</v>
      </c>
      <c r="D88" s="3" t="n">
        <v>0.5952319</v>
      </c>
      <c r="E88" s="3" t="inlineStr">
        <is>
          <t>修正旧图配置召回下限与新图低召回点混用造成的倒序。目标列20%复用已测40%目标列，实际召回40.5%；未实测达到20%，不作为该召回率的新测量。性能沿用该点已标明的ANNProof系数调整值，未重复乘系数。</t>
        </is>
      </c>
    </row>
    <row r="89" ht="40.5" customHeight="1" s="1">
      <c r="A89" s="3" t="inlineStr">
        <is>
          <t>DEEP1M</t>
        </is>
      </c>
      <c r="B89" s="3" t="inlineStr">
        <is>
          <t>H52</t>
        </is>
      </c>
      <c r="C89" s="3" t="n">
        <v>1.24868478</v>
      </c>
      <c r="D89" s="3" t="n">
        <v>0.5952319</v>
      </c>
      <c r="E89" s="3" t="inlineStr">
        <is>
          <t>修正旧图配置召回下限与新图低召回点混用造成的倒序。目标列25%复用已测40%目标列，实际召回40.5%；未实测达到25%，不作为该召回率的新测量。性能沿用该点已标明的ANNProof系数调整值，未重复乘系数。</t>
        </is>
      </c>
    </row>
    <row r="90" ht="40.5" customHeight="1" s="1">
      <c r="A90" s="3" t="inlineStr">
        <is>
          <t>DEEP1M</t>
        </is>
      </c>
      <c r="B90" s="3" t="inlineStr">
        <is>
          <t>I52</t>
        </is>
      </c>
      <c r="C90" s="3" t="n">
        <v>1.24868478</v>
      </c>
      <c r="D90" s="3" t="n">
        <v>0.5952319</v>
      </c>
      <c r="E90" s="3" t="inlineStr">
        <is>
          <t>修正旧图配置召回下限与新图低召回点混用造成的倒序。目标列30%复用已测40%目标列，实际召回40.5%；未实测达到30%，不作为该召回率的新测量。性能沿用该点已标明的ANNProof系数调整值，未重复乘系数。</t>
        </is>
      </c>
    </row>
    <row r="91" ht="40.5" customHeight="1" s="1">
      <c r="A91" s="3" t="inlineStr">
        <is>
          <t>DEEP1M</t>
        </is>
      </c>
      <c r="B91" s="3" t="inlineStr">
        <is>
          <t>J52</t>
        </is>
      </c>
      <c r="C91" s="3" t="n">
        <v>1.24868478</v>
      </c>
      <c r="D91" s="3" t="n">
        <v>0.5952319</v>
      </c>
      <c r="E91" s="3" t="inlineStr">
        <is>
          <t>修正旧图配置召回下限与新图低召回点混用造成的倒序。目标列35%复用已测40%目标列，实际召回40.5%；未实测达到35%，不作为该召回率的新测量。性能沿用该点已标明的ANNProof系数调整值，未重复乘系数。</t>
        </is>
      </c>
    </row>
    <row r="92" ht="40.5" customHeight="1" s="1">
      <c r="A92" s="3" t="inlineStr">
        <is>
          <t>SIFT1M</t>
        </is>
      </c>
      <c r="B92" s="3" t="inlineStr">
        <is>
          <t>H69</t>
        </is>
      </c>
      <c r="C92" s="3" t="n">
        <v>1344.9716</v>
      </c>
      <c r="D92" s="3" t="n">
        <v>3421.5968</v>
      </c>
      <c r="E92" s="3" t="inlineStr">
        <is>
          <t>修正规模表召回口径：旧点实际87.6%，本次同BIGANN前100万条、query100..119、20条×3次、单线程补测，efSearch=180，实际Recall@10=95.0000%。原始vo_kb=1710.7984；表内继续采用用户指定系数×2，属于调整后比较值。</t>
        </is>
      </c>
    </row>
    <row r="93" ht="54" customHeight="1" s="1">
      <c r="A93" s="3" t="inlineStr">
        <is>
          <t>SIFT1M</t>
        </is>
      </c>
      <c r="B93" s="3" t="inlineStr">
        <is>
          <t>H81</t>
        </is>
      </c>
      <c r="C93" s="3" t="n">
        <v>12.70417264</v>
      </c>
      <c r="D93" s="3" t="n">
        <v>32.238917875</v>
      </c>
      <c r="E93" s="3" t="inlineStr">
        <is>
          <t>修正规模表召回口径：旧点实际87.6%，本次同BIGANN前100万条、query100..119、20条×3次、单线程补测，efSearch=180，实际Recall@10=95.0000%。原始verify_ms=21.4926119167；表内继续采用用户指定系数×1.5，属于调整后比较值。</t>
        </is>
      </c>
    </row>
    <row r="94" ht="40.5" customHeight="1" s="1">
      <c r="A94" s="3" t="inlineStr">
        <is>
          <t>SIFT1M</t>
        </is>
      </c>
      <c r="B94" s="3" t="inlineStr">
        <is>
          <t>H92</t>
        </is>
      </c>
      <c r="C94" s="3" t="n">
        <v>2.021444756</v>
      </c>
      <c r="D94" s="3" t="n">
        <v>5.77385928</v>
      </c>
      <c r="E94" s="3" t="inlineStr">
        <is>
          <t>修正规模表召回口径：旧点实际87.6%，本次同BIGANN前100万条、query100..119、20条×3次、单线程补测，efSearch=180，实际Recall@10=95.0000%。原始query_ms=4.8115494；表内继续采用用户指定系数×1.2，属于调整后比较值。</t>
        </is>
      </c>
    </row>
  </sheetData>
  <autoFilter ref="A1:E94"/>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activeCell="A1" sqref="A1"/>
      <selection pane="bottomLeft" activeCell="A1" sqref="A1"/>
    </sheetView>
  </sheetViews>
  <sheetFormatPr baseColWidth="8" defaultColWidth="9" defaultRowHeight="13.5"/>
  <cols>
    <col width="24" customWidth="1" style="1" min="1" max="2"/>
  </cols>
  <sheetData>
    <row r="1">
      <c r="A1" s="5" t="inlineStr">
        <is>
          <t>项目</t>
        </is>
      </c>
      <c r="B1" s="5" t="inlineStr">
        <is>
          <t>说明</t>
        </is>
      </c>
    </row>
    <row r="2" ht="67.5" customHeight="1" s="1">
      <c r="A2" s="3" t="inlineStr">
        <is>
          <t>性质</t>
        </is>
      </c>
      <c r="B2" s="3" t="inlineStr">
        <is>
          <t>用户要求的单调趋势预测情景，不是新增实测。原始曲线跨配置时不一定理论单调，不能用修订后趋势证明算法性质。</t>
        </is>
      </c>
    </row>
    <row r="3" ht="54" customHeight="1" s="1">
      <c r="A3" s="3" t="inlineStr">
        <is>
          <t>优先处理</t>
        </is>
      </c>
      <c r="B3" s="3" t="inlineStr">
        <is>
          <t>ANNProof低召回高成本配置先以三项性能均优且召回不低的已有配置整组替换，实际召回同步更新。</t>
        </is>
      </c>
    </row>
    <row r="4" ht="81" customHeight="1" s="1">
      <c r="A4" s="3" t="inlineStr">
        <is>
          <t>残余下降</t>
        </is>
      </c>
      <c r="B4" s="3" t="inlineStr">
        <is>
          <t>对四个主表的Recall、K、Dataset size曲线，在非递减假设下作对数空间等权保序拟合。重复实际召回等权去重；预测修订3位有效数字。</t>
        </is>
      </c>
    </row>
    <row r="5" ht="54" customHeight="1" s="1">
      <c r="A5" s="3" t="inlineStr">
        <is>
          <t>标记</t>
        </is>
      </c>
      <c r="B5" s="3" t="inlineStr">
        <is>
          <t>橙色红字、数字后†预测、方法名†含预测、单元格批注。绿色为既有测量配置重选；不是新测量。</t>
        </is>
      </c>
    </row>
    <row r="6" ht="54" customHeight="1" s="1">
      <c r="A6" s="3" t="inlineStr">
        <is>
          <t>缺项</t>
        </is>
      </c>
      <c r="B6" s="3" t="inlineStr">
        <is>
          <t>空白、超资源范围和不适用位置保持空白，无外推。索引大小、构建时间及默认比较行未变。</t>
        </is>
      </c>
    </row>
    <row r="7" ht="40.5" customHeight="1" s="1">
      <c r="A7" s="3" t="inlineStr">
        <is>
          <t>系数</t>
        </is>
      </c>
      <c r="B7" s="3" t="inlineStr">
        <is>
          <t>ANNProof原有query×1.2、VO×2、verify×1.5保留，不重复调整。</t>
        </is>
      </c>
    </row>
    <row r="8" ht="54" customHeight="1" s="1">
      <c r="A8" s="3" t="inlineStr">
        <is>
          <t>历史记录</t>
        </is>
      </c>
      <c r="B8" s="3" t="inlineStr">
        <is>
          <t>旧说明页与原始实测附表保留历史含义，主表新预测以本页和趋势预测修订记录为准。</t>
        </is>
      </c>
    </row>
    <row r="9" ht="121.5" customHeight="1" s="1">
      <c r="A9" s="3" t="inlineStr">
        <is>
          <t>备份</t>
        </is>
      </c>
      <c r="B9" s="3" t="inlineStr">
        <is>
          <t>/mnt/d/paper_source/work_9/VeriANN_repro_2026-09-30/VeriANN_repro_2026-09-30/experiments/work9-trend-revision-20261021/work9_before_trend_revision.xlsx</t>
        </is>
      </c>
    </row>
    <row r="10" ht="40.5" customHeight="1" s="1">
      <c r="A10" s="3" t="inlineStr">
        <is>
          <t>拟合输入</t>
        </is>
      </c>
      <c r="B10" s="3" t="inlineStr">
        <is>
          <t>同目录fit-inputs.json；每个修订单元格批注也记录输入。</t>
        </is>
      </c>
    </row>
  </sheetData>
  <autoFilter ref="A1:B10"/>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G300"/>
  <sheetViews>
    <sheetView workbookViewId="0">
      <pane ySplit="1" topLeftCell="A2" activePane="bottomLeft" state="frozen"/>
      <selection activeCell="A1" sqref="A1"/>
      <selection pane="bottomLeft" activeCell="A1" sqref="A1"/>
    </sheetView>
  </sheetViews>
  <sheetFormatPr baseColWidth="8" defaultColWidth="9" defaultRowHeight="13.5"/>
  <cols>
    <col width="24" customWidth="1" style="1" min="1" max="6"/>
    <col width="65" customWidth="1" style="1" min="7" max="7"/>
  </cols>
  <sheetData>
    <row r="1">
      <c r="A1" s="5" t="inlineStr">
        <is>
          <t>数据集</t>
        </is>
      </c>
      <c r="B1" s="5" t="inlineStr">
        <is>
          <t>单元格</t>
        </is>
      </c>
      <c r="C1" s="5" t="inlineStr">
        <is>
          <t>修订前</t>
        </is>
      </c>
      <c r="D1" s="5" t="inlineStr">
        <is>
          <t>修订后</t>
        </is>
      </c>
      <c r="E1" s="5" t="inlineStr">
        <is>
          <t>性质</t>
        </is>
      </c>
      <c r="F1" s="5" t="inlineStr">
        <is>
          <t>依据</t>
        </is>
      </c>
      <c r="G1" s="5" t="inlineStr">
        <is>
          <t>来源/拟合输入</t>
        </is>
      </c>
    </row>
    <row r="2" ht="409.5" customHeight="1" s="1">
      <c r="A2" s="3" t="inlineStr">
        <is>
          <t>SIFT1M</t>
        </is>
      </c>
      <c r="B2" s="3" t="inlineStr">
        <is>
          <t>F23</t>
        </is>
      </c>
      <c r="C2" s="3" t="n">
        <v>40</v>
      </c>
      <c r="D2" s="3" t="n">
        <v>46.5</v>
      </c>
      <c r="E2" s="3" t="inlineStr">
        <is>
          <t>已有测量配置重选</t>
        </is>
      </c>
      <c r="F2" s="3" t="inlineStr">
        <is>
          <t>原配置被已有更高/相同召回配置同时在VO、查询、验证三指标支配，整组改选原表L列。实际召回改为46.5%，并非新测量原来的低召回率；ANNProof既有系数已包含，未重复乘。</t>
        </is>
      </c>
      <c r="G2" s="3" t="inlineStr">
        <is>
          <t>{"cell": "L23",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3" ht="409.5" customHeight="1" s="1">
      <c r="A3" s="3" t="inlineStr">
        <is>
          <t>SIFT1M</t>
        </is>
      </c>
      <c r="B3" s="3" t="inlineStr">
        <is>
          <t>F24</t>
        </is>
      </c>
      <c r="C3" s="3" t="n">
        <v>918.3288</v>
      </c>
      <c r="D3" s="3" t="n">
        <v>284.072</v>
      </c>
      <c r="E3" s="3" t="inlineStr">
        <is>
          <t>已有测量配置重选</t>
        </is>
      </c>
      <c r="F3" s="3" t="inlineStr">
        <is>
          <t>原配置被已有更高/相同召回配置同时在VO、查询、验证三指标支配，整组改选原表L列。实际召回改为46.5%，并非新测量原来的低召回率；ANNProof既有系数已包含，未重复乘。</t>
        </is>
      </c>
      <c r="G3" s="3" t="inlineStr">
        <is>
          <t>{"cell": "L24", "comment": "单调性复核：低召回曲线允许切换M/efConstruction；更稠密图可用更小efSearch达到更高召回。不同图配置的VO及耗时不保证随召回率单调。 前点K24=918.3288，本点=284.072。\n\n原有来源：\n用户指定系数调整值；不是原始实测数值。指标=vo_kb；原始值=142.036；系数=2.0；调整值=284.072。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4" ht="409.5" customHeight="1" s="1">
      <c r="A4" s="3" t="inlineStr">
        <is>
          <t>SIFT1M</t>
        </is>
      </c>
      <c r="B4" s="3" t="inlineStr">
        <is>
          <t>F37</t>
        </is>
      </c>
      <c r="C4" s="3" t="n">
        <v>40</v>
      </c>
      <c r="D4" s="3" t="n">
        <v>46.5</v>
      </c>
      <c r="E4" s="3" t="inlineStr">
        <is>
          <t>已有测量配置重选</t>
        </is>
      </c>
      <c r="F4" s="3" t="inlineStr">
        <is>
          <t>原配置被已有更高/相同召回配置同时在VO、查询、验证三指标支配，整组改选原表L列。实际召回改为46.5%，并非新测量原来的低召回率；ANNProof既有系数已包含，未重复乘。</t>
        </is>
      </c>
      <c r="G4" s="3" t="inlineStr">
        <is>
          <t>{"cell": "L37",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5" ht="409.5" customHeight="1" s="1">
      <c r="A5" s="3" t="inlineStr">
        <is>
          <t>SIFT1M</t>
        </is>
      </c>
      <c r="B5" s="3" t="inlineStr">
        <is>
          <t>F38</t>
        </is>
      </c>
      <c r="C5" s="3" t="n">
        <v>9.176922749999999</v>
      </c>
      <c r="D5" s="3" t="n">
        <v>2.718519525</v>
      </c>
      <c r="E5" s="3" t="inlineStr">
        <is>
          <t>已有测量配置重选</t>
        </is>
      </c>
      <c r="F5" s="3" t="inlineStr">
        <is>
          <t>原配置被已有更高/相同召回配置同时在VO、查询、验证三指标支配，整组改选原表L列。实际召回改为46.5%，并非新测量原来的低召回率；ANNProof既有系数已包含，未重复乘。</t>
        </is>
      </c>
      <c r="G5" s="3" t="inlineStr">
        <is>
          <t>{"cell": "L38", "comment": "单调性复核：低召回曲线允许切换M/efConstruction；更稠密图可用更小efSearch达到更高召回。不同图配置的VO及耗时不保证随召回率单调。 前点K38=9.17692275，本点=2.718519525。\n\n原有来源：\n用户指定系数调整值；不是原始实测数值。指标=verify_ms；原始值=1.8123463499999999；系数=1.5；调整值=2.7185195249999996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6" ht="409.5" customHeight="1" s="1">
      <c r="A6" s="3" t="inlineStr">
        <is>
          <t>SIFT1M</t>
        </is>
      </c>
      <c r="B6" s="3" t="inlineStr">
        <is>
          <t>F51</t>
        </is>
      </c>
      <c r="C6" s="3" t="n">
        <v>40</v>
      </c>
      <c r="D6" s="3" t="n">
        <v>46.5</v>
      </c>
      <c r="E6" s="3" t="inlineStr">
        <is>
          <t>已有测量配置重选</t>
        </is>
      </c>
      <c r="F6" s="3" t="inlineStr">
        <is>
          <t>原配置被已有更高/相同召回配置同时在VO、查询、验证三指标支配，整组改选原表L列。实际召回改为46.5%，并非新测量原来的低召回率；ANNProof既有系数已包含，未重复乘。</t>
        </is>
      </c>
      <c r="G6" s="3" t="inlineStr">
        <is>
          <t>{"cell": "L51",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7" ht="409.5" customHeight="1" s="1">
      <c r="A7" s="3" t="inlineStr">
        <is>
          <t>SIFT1M</t>
        </is>
      </c>
      <c r="B7" s="3" t="inlineStr">
        <is>
          <t>F52</t>
        </is>
      </c>
      <c r="C7" s="3" t="n">
        <v>1.67731546</v>
      </c>
      <c r="D7" s="3" t="n">
        <v>0.4264605</v>
      </c>
      <c r="E7" s="3" t="inlineStr">
        <is>
          <t>已有测量配置重选</t>
        </is>
      </c>
      <c r="F7" s="3" t="inlineStr">
        <is>
          <t>原配置被已有更高/相同召回配置同时在VO、查询、验证三指标支配，整组改选原表L列。实际召回改为46.5%，并非新测量原来的低召回率；ANNProof既有系数已包含，未重复乘。</t>
        </is>
      </c>
      <c r="G7" s="3" t="inlineStr">
        <is>
          <t>{"cell": "L52", "comment": "单调性复核：低召回曲线允许切换M/efConstruction；更稠密图可用更小efSearch达到更高召回。不同图配置的VO及耗时不保证随召回率单调。 前点K52=1.67731546，本点=0.4264605。\n\n原有来源：\n用户指定系数调整值；不是原始实测数值。指标=query_ms；原始值=0.35538375；系数=1.2；调整值=0.42646049999999996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8" ht="409.5" customHeight="1" s="1">
      <c r="A8" s="3" t="inlineStr">
        <is>
          <t>SIFT1M</t>
        </is>
      </c>
      <c r="B8" s="3" t="inlineStr">
        <is>
          <t>G23</t>
        </is>
      </c>
      <c r="C8" s="3" t="n">
        <v>40</v>
      </c>
      <c r="D8" s="3" t="n">
        <v>46.5</v>
      </c>
      <c r="E8" s="3" t="inlineStr">
        <is>
          <t>已有测量配置重选</t>
        </is>
      </c>
      <c r="F8" s="3" t="inlineStr">
        <is>
          <t>原配置被已有更高/相同召回配置同时在VO、查询、验证三指标支配，整组改选原表L列。实际召回改为46.5%，并非新测量原来的低召回率；ANNProof既有系数已包含，未重复乘。</t>
        </is>
      </c>
      <c r="G8" s="3" t="inlineStr">
        <is>
          <t>{"cell": "L23",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9" ht="409.5" customHeight="1" s="1">
      <c r="A9" s="3" t="inlineStr">
        <is>
          <t>SIFT1M</t>
        </is>
      </c>
      <c r="B9" s="3" t="inlineStr">
        <is>
          <t>G24</t>
        </is>
      </c>
      <c r="C9" s="3" t="n">
        <v>918.3288</v>
      </c>
      <c r="D9" s="3" t="n">
        <v>284.072</v>
      </c>
      <c r="E9" s="3" t="inlineStr">
        <is>
          <t>已有测量配置重选</t>
        </is>
      </c>
      <c r="F9" s="3" t="inlineStr">
        <is>
          <t>原配置被已有更高/相同召回配置同时在VO、查询、验证三指标支配，整组改选原表L列。实际召回改为46.5%，并非新测量原来的低召回率；ANNProof既有系数已包含，未重复乘。</t>
        </is>
      </c>
      <c r="G9" s="3" t="inlineStr">
        <is>
          <t>{"cell": "L24", "comment": "单调性复核：低召回曲线允许切换M/efConstruction；更稠密图可用更小efSearch达到更高召回。不同图配置的VO及耗时不保证随召回率单调。 前点K24=918.3288，本点=284.072。\n\n原有来源：\n用户指定系数调整值；不是原始实测数值。指标=vo_kb；原始值=142.036；系数=2.0；调整值=284.072。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10" ht="409.5" customHeight="1" s="1">
      <c r="A10" s="3" t="inlineStr">
        <is>
          <t>SIFT1M</t>
        </is>
      </c>
      <c r="B10" s="3" t="inlineStr">
        <is>
          <t>G37</t>
        </is>
      </c>
      <c r="C10" s="3" t="n">
        <v>40</v>
      </c>
      <c r="D10" s="3" t="n">
        <v>46.5</v>
      </c>
      <c r="E10" s="3" t="inlineStr">
        <is>
          <t>已有测量配置重选</t>
        </is>
      </c>
      <c r="F10" s="3" t="inlineStr">
        <is>
          <t>原配置被已有更高/相同召回配置同时在VO、查询、验证三指标支配，整组改选原表L列。实际召回改为46.5%，并非新测量原来的低召回率；ANNProof既有系数已包含，未重复乘。</t>
        </is>
      </c>
      <c r="G10" s="3" t="inlineStr">
        <is>
          <t>{"cell": "L37",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11" ht="409.5" customHeight="1" s="1">
      <c r="A11" s="3" t="inlineStr">
        <is>
          <t>SIFT1M</t>
        </is>
      </c>
      <c r="B11" s="3" t="inlineStr">
        <is>
          <t>G38</t>
        </is>
      </c>
      <c r="C11" s="3" t="n">
        <v>9.176922749999999</v>
      </c>
      <c r="D11" s="3" t="n">
        <v>2.718519525</v>
      </c>
      <c r="E11" s="3" t="inlineStr">
        <is>
          <t>已有测量配置重选</t>
        </is>
      </c>
      <c r="F11" s="3" t="inlineStr">
        <is>
          <t>原配置被已有更高/相同召回配置同时在VO、查询、验证三指标支配，整组改选原表L列。实际召回改为46.5%，并非新测量原来的低召回率；ANNProof既有系数已包含，未重复乘。</t>
        </is>
      </c>
      <c r="G11" s="3" t="inlineStr">
        <is>
          <t>{"cell": "L38", "comment": "单调性复核：低召回曲线允许切换M/efConstruction；更稠密图可用更小efSearch达到更高召回。不同图配置的VO及耗时不保证随召回率单调。 前点K38=9.17692275，本点=2.718519525。\n\n原有来源：\n用户指定系数调整值；不是原始实测数值。指标=verify_ms；原始值=1.8123463499999999；系数=1.5；调整值=2.7185195249999996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12" ht="409.5" customHeight="1" s="1">
      <c r="A12" s="3" t="inlineStr">
        <is>
          <t>SIFT1M</t>
        </is>
      </c>
      <c r="B12" s="3" t="inlineStr">
        <is>
          <t>G51</t>
        </is>
      </c>
      <c r="C12" s="3" t="n">
        <v>40</v>
      </c>
      <c r="D12" s="3" t="n">
        <v>46.5</v>
      </c>
      <c r="E12" s="3" t="inlineStr">
        <is>
          <t>已有测量配置重选</t>
        </is>
      </c>
      <c r="F12" s="3" t="inlineStr">
        <is>
          <t>原配置被已有更高/相同召回配置同时在VO、查询、验证三指标支配，整组改选原表L列。实际召回改为46.5%，并非新测量原来的低召回率；ANNProof既有系数已包含，未重复乘。</t>
        </is>
      </c>
      <c r="G12" s="3" t="inlineStr">
        <is>
          <t>{"cell": "L51",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13" ht="409.5" customHeight="1" s="1">
      <c r="A13" s="3" t="inlineStr">
        <is>
          <t>SIFT1M</t>
        </is>
      </c>
      <c r="B13" s="3" t="inlineStr">
        <is>
          <t>G52</t>
        </is>
      </c>
      <c r="C13" s="3" t="n">
        <v>1.67731546</v>
      </c>
      <c r="D13" s="3" t="n">
        <v>0.4264605</v>
      </c>
      <c r="E13" s="3" t="inlineStr">
        <is>
          <t>已有测量配置重选</t>
        </is>
      </c>
      <c r="F13" s="3" t="inlineStr">
        <is>
          <t>原配置被已有更高/相同召回配置同时在VO、查询、验证三指标支配，整组改选原表L列。实际召回改为46.5%，并非新测量原来的低召回率；ANNProof既有系数已包含，未重复乘。</t>
        </is>
      </c>
      <c r="G13" s="3" t="inlineStr">
        <is>
          <t>{"cell": "L52", "comment": "单调性复核：低召回曲线允许切换M/efConstruction；更稠密图可用更小efSearch达到更高召回。不同图配置的VO及耗时不保证随召回率单调。 前点K52=1.67731546，本点=0.4264605。\n\n原有来源：\n用户指定系数调整值；不是原始实测数值。指标=query_ms；原始值=0.35538375；系数=1.2；调整值=0.42646049999999996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14" ht="409.5" customHeight="1" s="1">
      <c r="A14" s="3" t="inlineStr">
        <is>
          <t>SIFT1M</t>
        </is>
      </c>
      <c r="B14" s="3" t="inlineStr">
        <is>
          <t>H23</t>
        </is>
      </c>
      <c r="C14" s="3" t="n">
        <v>40</v>
      </c>
      <c r="D14" s="3" t="n">
        <v>46.5</v>
      </c>
      <c r="E14" s="3" t="inlineStr">
        <is>
          <t>已有测量配置重选</t>
        </is>
      </c>
      <c r="F14" s="3" t="inlineStr">
        <is>
          <t>原配置被已有更高/相同召回配置同时在VO、查询、验证三指标支配，整组改选原表L列。实际召回改为46.5%，并非新测量原来的低召回率；ANNProof既有系数已包含，未重复乘。</t>
        </is>
      </c>
      <c r="G14" s="3" t="inlineStr">
        <is>
          <t>{"cell": "L23",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15" ht="409.5" customHeight="1" s="1">
      <c r="A15" s="3" t="inlineStr">
        <is>
          <t>SIFT1M</t>
        </is>
      </c>
      <c r="B15" s="3" t="inlineStr">
        <is>
          <t>H24</t>
        </is>
      </c>
      <c r="C15" s="3" t="n">
        <v>918.3288</v>
      </c>
      <c r="D15" s="3" t="n">
        <v>284.072</v>
      </c>
      <c r="E15" s="3" t="inlineStr">
        <is>
          <t>已有测量配置重选</t>
        </is>
      </c>
      <c r="F15" s="3" t="inlineStr">
        <is>
          <t>原配置被已有更高/相同召回配置同时在VO、查询、验证三指标支配，整组改选原表L列。实际召回改为46.5%，并非新测量原来的低召回率；ANNProof既有系数已包含，未重复乘。</t>
        </is>
      </c>
      <c r="G15" s="3" t="inlineStr">
        <is>
          <t>{"cell": "L24", "comment": "单调性复核：低召回曲线允许切换M/efConstruction；更稠密图可用更小efSearch达到更高召回。不同图配置的VO及耗时不保证随召回率单调。 前点K24=918.3288，本点=284.072。\n\n原有来源：\n用户指定系数调整值；不是原始实测数值。指标=vo_kb；原始值=142.036；系数=2.0；调整值=284.072。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16" ht="409.5" customHeight="1" s="1">
      <c r="A16" s="3" t="inlineStr">
        <is>
          <t>SIFT1M</t>
        </is>
      </c>
      <c r="B16" s="3" t="inlineStr">
        <is>
          <t>H37</t>
        </is>
      </c>
      <c r="C16" s="3" t="n">
        <v>40</v>
      </c>
      <c r="D16" s="3" t="n">
        <v>46.5</v>
      </c>
      <c r="E16" s="3" t="inlineStr">
        <is>
          <t>已有测量配置重选</t>
        </is>
      </c>
      <c r="F16" s="3" t="inlineStr">
        <is>
          <t>原配置被已有更高/相同召回配置同时在VO、查询、验证三指标支配，整组改选原表L列。实际召回改为46.5%，并非新测量原来的低召回率；ANNProof既有系数已包含，未重复乘。</t>
        </is>
      </c>
      <c r="G16" s="3" t="inlineStr">
        <is>
          <t>{"cell": "L37",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17" ht="409.5" customHeight="1" s="1">
      <c r="A17" s="3" t="inlineStr">
        <is>
          <t>SIFT1M</t>
        </is>
      </c>
      <c r="B17" s="3" t="inlineStr">
        <is>
          <t>H38</t>
        </is>
      </c>
      <c r="C17" s="3" t="n">
        <v>9.176922749999999</v>
      </c>
      <c r="D17" s="3" t="n">
        <v>2.718519525</v>
      </c>
      <c r="E17" s="3" t="inlineStr">
        <is>
          <t>已有测量配置重选</t>
        </is>
      </c>
      <c r="F17" s="3" t="inlineStr">
        <is>
          <t>原配置被已有更高/相同召回配置同时在VO、查询、验证三指标支配，整组改选原表L列。实际召回改为46.5%，并非新测量原来的低召回率；ANNProof既有系数已包含，未重复乘。</t>
        </is>
      </c>
      <c r="G17" s="3" t="inlineStr">
        <is>
          <t>{"cell": "L38", "comment": "单调性复核：低召回曲线允许切换M/efConstruction；更稠密图可用更小efSearch达到更高召回。不同图配置的VO及耗时不保证随召回率单调。 前点K38=9.17692275，本点=2.718519525。\n\n原有来源：\n用户指定系数调整值；不是原始实测数值。指标=verify_ms；原始值=1.8123463499999999；系数=1.5；调整值=2.7185195249999996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18" ht="409.5" customHeight="1" s="1">
      <c r="A18" s="3" t="inlineStr">
        <is>
          <t>SIFT1M</t>
        </is>
      </c>
      <c r="B18" s="3" t="inlineStr">
        <is>
          <t>H51</t>
        </is>
      </c>
      <c r="C18" s="3" t="n">
        <v>40</v>
      </c>
      <c r="D18" s="3" t="n">
        <v>46.5</v>
      </c>
      <c r="E18" s="3" t="inlineStr">
        <is>
          <t>已有测量配置重选</t>
        </is>
      </c>
      <c r="F18" s="3" t="inlineStr">
        <is>
          <t>原配置被已有更高/相同召回配置同时在VO、查询、验证三指标支配，整组改选原表L列。实际召回改为46.5%，并非新测量原来的低召回率；ANNProof既有系数已包含，未重复乘。</t>
        </is>
      </c>
      <c r="G18" s="3" t="inlineStr">
        <is>
          <t>{"cell": "L51",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19" ht="409.5" customHeight="1" s="1">
      <c r="A19" s="3" t="inlineStr">
        <is>
          <t>SIFT1M</t>
        </is>
      </c>
      <c r="B19" s="3" t="inlineStr">
        <is>
          <t>H52</t>
        </is>
      </c>
      <c r="C19" s="3" t="n">
        <v>1.67731546</v>
      </c>
      <c r="D19" s="3" t="n">
        <v>0.4264605</v>
      </c>
      <c r="E19" s="3" t="inlineStr">
        <is>
          <t>已有测量配置重选</t>
        </is>
      </c>
      <c r="F19" s="3" t="inlineStr">
        <is>
          <t>原配置被已有更高/相同召回配置同时在VO、查询、验证三指标支配，整组改选原表L列。实际召回改为46.5%，并非新测量原来的低召回率；ANNProof既有系数已包含，未重复乘。</t>
        </is>
      </c>
      <c r="G19" s="3" t="inlineStr">
        <is>
          <t>{"cell": "L52", "comment": "单调性复核：低召回曲线允许切换M/efConstruction；更稠密图可用更小efSearch达到更高召回。不同图配置的VO及耗时不保证随召回率单调。 前点K52=1.67731546，本点=0.4264605。\n\n原有来源：\n用户指定系数调整值；不是原始实测数值。指标=query_ms；原始值=0.35538375；系数=1.2；调整值=0.42646049999999996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20" ht="409.5" customHeight="1" s="1">
      <c r="A20" s="3" t="inlineStr">
        <is>
          <t>SIFT1M</t>
        </is>
      </c>
      <c r="B20" s="3" t="inlineStr">
        <is>
          <t>I23</t>
        </is>
      </c>
      <c r="C20" s="3" t="n">
        <v>40</v>
      </c>
      <c r="D20" s="3" t="n">
        <v>46.5</v>
      </c>
      <c r="E20" s="3" t="inlineStr">
        <is>
          <t>已有测量配置重选</t>
        </is>
      </c>
      <c r="F20" s="3" t="inlineStr">
        <is>
          <t>原配置被已有更高/相同召回配置同时在VO、查询、验证三指标支配，整组改选原表L列。实际召回改为46.5%，并非新测量原来的低召回率；ANNProof既有系数已包含，未重复乘。</t>
        </is>
      </c>
      <c r="G20" s="3" t="inlineStr">
        <is>
          <t>{"cell": "L23",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21" ht="409.5" customHeight="1" s="1">
      <c r="A21" s="3" t="inlineStr">
        <is>
          <t>SIFT1M</t>
        </is>
      </c>
      <c r="B21" s="3" t="inlineStr">
        <is>
          <t>I24</t>
        </is>
      </c>
      <c r="C21" s="3" t="n">
        <v>918.3288</v>
      </c>
      <c r="D21" s="3" t="n">
        <v>284.072</v>
      </c>
      <c r="E21" s="3" t="inlineStr">
        <is>
          <t>已有测量配置重选</t>
        </is>
      </c>
      <c r="F21" s="3" t="inlineStr">
        <is>
          <t>原配置被已有更高/相同召回配置同时在VO、查询、验证三指标支配，整组改选原表L列。实际召回改为46.5%，并非新测量原来的低召回率；ANNProof既有系数已包含，未重复乘。</t>
        </is>
      </c>
      <c r="G21" s="3" t="inlineStr">
        <is>
          <t>{"cell": "L24", "comment": "单调性复核：低召回曲线允许切换M/efConstruction；更稠密图可用更小efSearch达到更高召回。不同图配置的VO及耗时不保证随召回率单调。 前点K24=918.3288，本点=284.072。\n\n原有来源：\n用户指定系数调整值；不是原始实测数值。指标=vo_kb；原始值=142.036；系数=2.0；调整值=284.072。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22" ht="409.5" customHeight="1" s="1">
      <c r="A22" s="3" t="inlineStr">
        <is>
          <t>SIFT1M</t>
        </is>
      </c>
      <c r="B22" s="3" t="inlineStr">
        <is>
          <t>I37</t>
        </is>
      </c>
      <c r="C22" s="3" t="n">
        <v>40</v>
      </c>
      <c r="D22" s="3" t="n">
        <v>46.5</v>
      </c>
      <c r="E22" s="3" t="inlineStr">
        <is>
          <t>已有测量配置重选</t>
        </is>
      </c>
      <c r="F22" s="3" t="inlineStr">
        <is>
          <t>原配置被已有更高/相同召回配置同时在VO、查询、验证三指标支配，整组改选原表L列。实际召回改为46.5%，并非新测量原来的低召回率；ANNProof既有系数已包含，未重复乘。</t>
        </is>
      </c>
      <c r="G22" s="3" t="inlineStr">
        <is>
          <t>{"cell": "L37",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23" ht="409.5" customHeight="1" s="1">
      <c r="A23" s="3" t="inlineStr">
        <is>
          <t>SIFT1M</t>
        </is>
      </c>
      <c r="B23" s="3" t="inlineStr">
        <is>
          <t>I38</t>
        </is>
      </c>
      <c r="C23" s="3" t="n">
        <v>9.176922749999999</v>
      </c>
      <c r="D23" s="3" t="n">
        <v>2.718519525</v>
      </c>
      <c r="E23" s="3" t="inlineStr">
        <is>
          <t>已有测量配置重选</t>
        </is>
      </c>
      <c r="F23" s="3" t="inlineStr">
        <is>
          <t>原配置被已有更高/相同召回配置同时在VO、查询、验证三指标支配，整组改选原表L列。实际召回改为46.5%，并非新测量原来的低召回率；ANNProof既有系数已包含，未重复乘。</t>
        </is>
      </c>
      <c r="G23" s="3" t="inlineStr">
        <is>
          <t>{"cell": "L38", "comment": "单调性复核：低召回曲线允许切换M/efConstruction；更稠密图可用更小efSearch达到更高召回。不同图配置的VO及耗时不保证随召回率单调。 前点K38=9.17692275，本点=2.718519525。\n\n原有来源：\n用户指定系数调整值；不是原始实测数值。指标=verify_ms；原始值=1.8123463499999999；系数=1.5；调整值=2.7185195249999996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24" ht="409.5" customHeight="1" s="1">
      <c r="A24" s="3" t="inlineStr">
        <is>
          <t>SIFT1M</t>
        </is>
      </c>
      <c r="B24" s="3" t="inlineStr">
        <is>
          <t>I51</t>
        </is>
      </c>
      <c r="C24" s="3" t="n">
        <v>40</v>
      </c>
      <c r="D24" s="3" t="n">
        <v>46.5</v>
      </c>
      <c r="E24" s="3" t="inlineStr">
        <is>
          <t>已有测量配置重选</t>
        </is>
      </c>
      <c r="F24" s="3" t="inlineStr">
        <is>
          <t>原配置被已有更高/相同召回配置同时在VO、查询、验证三指标支配，整组改选原表L列。实际召回改为46.5%，并非新测量原来的低召回率；ANNProof既有系数已包含，未重复乘。</t>
        </is>
      </c>
      <c r="G24" s="3" t="inlineStr">
        <is>
          <t>{"cell": "L51",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25" ht="409.5" customHeight="1" s="1">
      <c r="A25" s="3" t="inlineStr">
        <is>
          <t>SIFT1M</t>
        </is>
      </c>
      <c r="B25" s="3" t="inlineStr">
        <is>
          <t>I52</t>
        </is>
      </c>
      <c r="C25" s="3" t="n">
        <v>1.67731546</v>
      </c>
      <c r="D25" s="3" t="n">
        <v>0.4264605</v>
      </c>
      <c r="E25" s="3" t="inlineStr">
        <is>
          <t>已有测量配置重选</t>
        </is>
      </c>
      <c r="F25" s="3" t="inlineStr">
        <is>
          <t>原配置被已有更高/相同召回配置同时在VO、查询、验证三指标支配，整组改选原表L列。实际召回改为46.5%，并非新测量原来的低召回率；ANNProof既有系数已包含，未重复乘。</t>
        </is>
      </c>
      <c r="G25" s="3" t="inlineStr">
        <is>
          <t>{"cell": "L52", "comment": "单调性复核：低召回曲线允许切换M/efConstruction；更稠密图可用更小efSearch达到更高召回。不同图配置的VO及耗时不保证随召回率单调。 前点K52=1.67731546，本点=0.4264605。\n\n原有来源：\n用户指定系数调整值；不是原始实测数值。指标=query_ms；原始值=0.35538375；系数=1.2；调整值=0.42646049999999996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26" ht="409.5" customHeight="1" s="1">
      <c r="A26" s="3" t="inlineStr">
        <is>
          <t>SIFT1M</t>
        </is>
      </c>
      <c r="B26" s="3" t="inlineStr">
        <is>
          <t>J23</t>
        </is>
      </c>
      <c r="C26" s="3" t="n">
        <v>40</v>
      </c>
      <c r="D26" s="3" t="n">
        <v>46.5</v>
      </c>
      <c r="E26" s="3" t="inlineStr">
        <is>
          <t>已有测量配置重选</t>
        </is>
      </c>
      <c r="F26" s="3" t="inlineStr">
        <is>
          <t>原配置被已有更高/相同召回配置同时在VO、查询、验证三指标支配，整组改选原表L列。实际召回改为46.5%，并非新测量原来的低召回率；ANNProof既有系数已包含，未重复乘。</t>
        </is>
      </c>
      <c r="G26" s="3" t="inlineStr">
        <is>
          <t>{"cell": "L23",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27" ht="409.5" customHeight="1" s="1">
      <c r="A27" s="3" t="inlineStr">
        <is>
          <t>SIFT1M</t>
        </is>
      </c>
      <c r="B27" s="3" t="inlineStr">
        <is>
          <t>J24</t>
        </is>
      </c>
      <c r="C27" s="3" t="n">
        <v>918.3288</v>
      </c>
      <c r="D27" s="3" t="n">
        <v>284.072</v>
      </c>
      <c r="E27" s="3" t="inlineStr">
        <is>
          <t>已有测量配置重选</t>
        </is>
      </c>
      <c r="F27" s="3" t="inlineStr">
        <is>
          <t>原配置被已有更高/相同召回配置同时在VO、查询、验证三指标支配，整组改选原表L列。实际召回改为46.5%，并非新测量原来的低召回率；ANNProof既有系数已包含，未重复乘。</t>
        </is>
      </c>
      <c r="G27" s="3" t="inlineStr">
        <is>
          <t>{"cell": "L24", "comment": "单调性复核：低召回曲线允许切换M/efConstruction；更稠密图可用更小efSearch达到更高召回。不同图配置的VO及耗时不保证随召回率单调。 前点K24=918.3288，本点=284.072。\n\n原有来源：\n用户指定系数调整值；不是原始实测数值。指标=vo_kb；原始值=142.036；系数=2.0；调整值=284.072。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28" ht="409.5" customHeight="1" s="1">
      <c r="A28" s="3" t="inlineStr">
        <is>
          <t>SIFT1M</t>
        </is>
      </c>
      <c r="B28" s="3" t="inlineStr">
        <is>
          <t>J37</t>
        </is>
      </c>
      <c r="C28" s="3" t="n">
        <v>40</v>
      </c>
      <c r="D28" s="3" t="n">
        <v>46.5</v>
      </c>
      <c r="E28" s="3" t="inlineStr">
        <is>
          <t>已有测量配置重选</t>
        </is>
      </c>
      <c r="F28" s="3" t="inlineStr">
        <is>
          <t>原配置被已有更高/相同召回配置同时在VO、查询、验证三指标支配，整组改选原表L列。实际召回改为46.5%，并非新测量原来的低召回率；ANNProof既有系数已包含，未重复乘。</t>
        </is>
      </c>
      <c r="G28" s="3" t="inlineStr">
        <is>
          <t>{"cell": "L37",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29" ht="409.5" customHeight="1" s="1">
      <c r="A29" s="3" t="inlineStr">
        <is>
          <t>SIFT1M</t>
        </is>
      </c>
      <c r="B29" s="3" t="inlineStr">
        <is>
          <t>J38</t>
        </is>
      </c>
      <c r="C29" s="3" t="n">
        <v>9.176922749999999</v>
      </c>
      <c r="D29" s="3" t="n">
        <v>2.718519525</v>
      </c>
      <c r="E29" s="3" t="inlineStr">
        <is>
          <t>已有测量配置重选</t>
        </is>
      </c>
      <c r="F29" s="3" t="inlineStr">
        <is>
          <t>原配置被已有更高/相同召回配置同时在VO、查询、验证三指标支配，整组改选原表L列。实际召回改为46.5%，并非新测量原来的低召回率；ANNProof既有系数已包含，未重复乘。</t>
        </is>
      </c>
      <c r="G29" s="3" t="inlineStr">
        <is>
          <t>{"cell": "L38", "comment": "单调性复核：低召回曲线允许切换M/efConstruction；更稠密图可用更小efSearch达到更高召回。不同图配置的VO及耗时不保证随召回率单调。 前点K38=9.17692275，本点=2.718519525。\n\n原有来源：\n用户指定系数调整值；不是原始实测数值。指标=verify_ms；原始值=1.8123463499999999；系数=1.5；调整值=2.7185195249999996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30" ht="409.5" customHeight="1" s="1">
      <c r="A30" s="3" t="inlineStr">
        <is>
          <t>SIFT1M</t>
        </is>
      </c>
      <c r="B30" s="3" t="inlineStr">
        <is>
          <t>J51</t>
        </is>
      </c>
      <c r="C30" s="3" t="n">
        <v>40</v>
      </c>
      <c r="D30" s="3" t="n">
        <v>46.5</v>
      </c>
      <c r="E30" s="3" t="inlineStr">
        <is>
          <t>已有测量配置重选</t>
        </is>
      </c>
      <c r="F30" s="3" t="inlineStr">
        <is>
          <t>原配置被已有更高/相同召回配置同时在VO、查询、验证三指标支配，整组改选原表L列。实际召回改为46.5%，并非新测量原来的低召回率；ANNProof既有系数已包含，未重复乘。</t>
        </is>
      </c>
      <c r="G30" s="3" t="inlineStr">
        <is>
          <t>{"cell": "L51",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31" ht="409.5" customHeight="1" s="1">
      <c r="A31" s="3" t="inlineStr">
        <is>
          <t>SIFT1M</t>
        </is>
      </c>
      <c r="B31" s="3" t="inlineStr">
        <is>
          <t>J52</t>
        </is>
      </c>
      <c r="C31" s="3" t="n">
        <v>1.67731546</v>
      </c>
      <c r="D31" s="3" t="n">
        <v>0.4264605</v>
      </c>
      <c r="E31" s="3" t="inlineStr">
        <is>
          <t>已有测量配置重选</t>
        </is>
      </c>
      <c r="F31" s="3" t="inlineStr">
        <is>
          <t>原配置被已有更高/相同召回配置同时在VO、查询、验证三指标支配，整组改选原表L列。实际召回改为46.5%，并非新测量原来的低召回率；ANNProof既有系数已包含，未重复乘。</t>
        </is>
      </c>
      <c r="G31" s="3" t="inlineStr">
        <is>
          <t>{"cell": "L52", "comment": "单调性复核：低召回曲线允许切换M/efConstruction；更稠密图可用更小efSearch达到更高召回。不同图配置的VO及耗时不保证随召回率单调。 前点K52=1.67731546，本点=0.4264605。\n\n原有来源：\n用户指定系数调整值；不是原始实测数值。指标=query_ms；原始值=0.35538375；系数=1.2；调整值=0.42646049999999996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32" ht="409.5" customHeight="1" s="1">
      <c r="A32" s="3" t="inlineStr">
        <is>
          <t>SIFT1M</t>
        </is>
      </c>
      <c r="B32" s="3" t="inlineStr">
        <is>
          <t>K23</t>
        </is>
      </c>
      <c r="C32" s="3" t="n">
        <v>40</v>
      </c>
      <c r="D32" s="3" t="n">
        <v>46.5</v>
      </c>
      <c r="E32" s="3" t="inlineStr">
        <is>
          <t>已有测量配置重选</t>
        </is>
      </c>
      <c r="F32" s="3" t="inlineStr">
        <is>
          <t>原配置被已有更高/相同召回配置同时在VO、查询、验证三指标支配，整组改选原表L列。实际召回改为46.5%，并非新测量原来的低召回率；ANNProof既有系数已包含，未重复乘。</t>
        </is>
      </c>
      <c r="G32" s="3" t="inlineStr">
        <is>
          <t>{"cell": "L23",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33" ht="409.5" customHeight="1" s="1">
      <c r="A33" s="3" t="inlineStr">
        <is>
          <t>SIFT1M</t>
        </is>
      </c>
      <c r="B33" s="3" t="inlineStr">
        <is>
          <t>K24</t>
        </is>
      </c>
      <c r="C33" s="3" t="n">
        <v>918.3288</v>
      </c>
      <c r="D33" s="3" t="n">
        <v>284.072</v>
      </c>
      <c r="E33" s="3" t="inlineStr">
        <is>
          <t>已有测量配置重选</t>
        </is>
      </c>
      <c r="F33" s="3" t="inlineStr">
        <is>
          <t>原配置被已有更高/相同召回配置同时在VO、查询、验证三指标支配，整组改选原表L列。实际召回改为46.5%，并非新测量原来的低召回率；ANNProof既有系数已包含，未重复乘。</t>
        </is>
      </c>
      <c r="G33" s="3" t="inlineStr">
        <is>
          <t>{"cell": "L24", "comment": "单调性复核：低召回曲线允许切换M/efConstruction；更稠密图可用更小efSearch达到更高召回。不同图配置的VO及耗时不保证随召回率单调。 前点K24=918.3288，本点=284.072。\n\n原有来源：\n用户指定系数调整值；不是原始实测数值。指标=vo_kb；原始值=142.036；系数=2.0；调整值=284.072。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34" ht="409.5" customHeight="1" s="1">
      <c r="A34" s="3" t="inlineStr">
        <is>
          <t>SIFT1M</t>
        </is>
      </c>
      <c r="B34" s="3" t="inlineStr">
        <is>
          <t>K37</t>
        </is>
      </c>
      <c r="C34" s="3" t="n">
        <v>40</v>
      </c>
      <c r="D34" s="3" t="n">
        <v>46.5</v>
      </c>
      <c r="E34" s="3" t="inlineStr">
        <is>
          <t>已有测量配置重选</t>
        </is>
      </c>
      <c r="F34" s="3" t="inlineStr">
        <is>
          <t>原配置被已有更高/相同召回配置同时在VO、查询、验证三指标支配，整组改选原表L列。实际召回改为46.5%，并非新测量原来的低召回率；ANNProof既有系数已包含，未重复乘。</t>
        </is>
      </c>
      <c r="G34" s="3" t="inlineStr">
        <is>
          <t>{"cell": "L37",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35" ht="409.5" customHeight="1" s="1">
      <c r="A35" s="3" t="inlineStr">
        <is>
          <t>SIFT1M</t>
        </is>
      </c>
      <c r="B35" s="3" t="inlineStr">
        <is>
          <t>K38</t>
        </is>
      </c>
      <c r="C35" s="3" t="n">
        <v>9.176922749999999</v>
      </c>
      <c r="D35" s="3" t="n">
        <v>2.718519525</v>
      </c>
      <c r="E35" s="3" t="inlineStr">
        <is>
          <t>已有测量配置重选</t>
        </is>
      </c>
      <c r="F35" s="3" t="inlineStr">
        <is>
          <t>原配置被已有更高/相同召回配置同时在VO、查询、验证三指标支配，整组改选原表L列。实际召回改为46.5%，并非新测量原来的低召回率；ANNProof既有系数已包含，未重复乘。</t>
        </is>
      </c>
      <c r="G35" s="3" t="inlineStr">
        <is>
          <t>{"cell": "L38", "comment": "单调性复核：低召回曲线允许切换M/efConstruction；更稠密图可用更小efSearch达到更高召回。不同图配置的VO及耗时不保证随召回率单调。 前点K38=9.17692275，本点=2.718519525。\n\n原有来源：\n用户指定系数调整值；不是原始实测数值。指标=verify_ms；原始值=1.8123463499999999；系数=1.5；调整值=2.7185195249999996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36" ht="409.5" customHeight="1" s="1">
      <c r="A36" s="3" t="inlineStr">
        <is>
          <t>SIFT1M</t>
        </is>
      </c>
      <c r="B36" s="3" t="inlineStr">
        <is>
          <t>K51</t>
        </is>
      </c>
      <c r="C36" s="3" t="n">
        <v>40</v>
      </c>
      <c r="D36" s="3" t="n">
        <v>46.5</v>
      </c>
      <c r="E36" s="3" t="inlineStr">
        <is>
          <t>已有测量配置重选</t>
        </is>
      </c>
      <c r="F36" s="3" t="inlineStr">
        <is>
          <t>原配置被已有更高/相同召回配置同时在VO、查询、验证三指标支配，整组改选原表L列。实际召回改为46.5%，并非新测量原来的低召回率；ANNProof既有系数已包含，未重复乘。</t>
        </is>
      </c>
      <c r="G36" s="3" t="inlineStr">
        <is>
          <t>{"cell": "L51",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37" ht="409.5" customHeight="1" s="1">
      <c r="A37" s="3" t="inlineStr">
        <is>
          <t>SIFT1M</t>
        </is>
      </c>
      <c r="B37" s="3" t="inlineStr">
        <is>
          <t>K52</t>
        </is>
      </c>
      <c r="C37" s="3" t="n">
        <v>1.67731546</v>
      </c>
      <c r="D37" s="3" t="n">
        <v>0.4264605</v>
      </c>
      <c r="E37" s="3" t="inlineStr">
        <is>
          <t>已有测量配置重选</t>
        </is>
      </c>
      <c r="F37" s="3" t="inlineStr">
        <is>
          <t>原配置被已有更高/相同召回配置同时在VO、查询、验证三指标支配，整组改选原表L列。实际召回改为46.5%，并非新测量原来的低召回率；ANNProof既有系数已包含，未重复乘。</t>
        </is>
      </c>
      <c r="G37" s="3" t="inlineStr">
        <is>
          <t>{"cell": "L52", "comment": "单调性复核：低召回曲线允许切换M/efConstruction；更稠密图可用更小efSearch达到更高召回。不同图配置的VO及耗时不保证随召回率单调。 前点K52=1.67731546，本点=0.4264605。\n\n原有来源：\n用户指定系数调整值；不是原始实测数值。指标=query_ms；原始值=0.35538375；系数=1.2；调整值=0.42646049999999996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38" ht="256.5" customHeight="1" s="1">
      <c r="A38" s="3" t="inlineStr">
        <is>
          <t>NYTimes-256</t>
        </is>
      </c>
      <c r="B38" s="3" t="inlineStr">
        <is>
          <t>F23</t>
        </is>
      </c>
      <c r="C38" s="3" t="n">
        <v>40</v>
      </c>
      <c r="D38" s="3" t="n">
        <v>60</v>
      </c>
      <c r="E38" s="3" t="inlineStr">
        <is>
          <t>已有测量配置重选</t>
        </is>
      </c>
      <c r="F38" s="3" t="inlineStr">
        <is>
          <t>原配置被已有更高/相同召回配置同时在VO、查询、验证三指标支配，整组改选原表O列。实际召回改为60%，并非新测量原来的低召回率；ANNProof既有系数已包含，未重复乘。</t>
        </is>
      </c>
      <c r="G38" s="3" t="inlineStr">
        <is>
          <t>{"cell":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39" ht="324" customHeight="1" s="1">
      <c r="A39" s="3" t="inlineStr">
        <is>
          <t>NYTimes-256</t>
        </is>
      </c>
      <c r="B39" s="3" t="inlineStr">
        <is>
          <t>F24</t>
        </is>
      </c>
      <c r="C39" s="3" t="n">
        <v>706.6212</v>
      </c>
      <c r="D39" s="3" t="n">
        <v>694.3407999999999</v>
      </c>
      <c r="E39" s="3" t="inlineStr">
        <is>
          <t>已有测量配置重选</t>
        </is>
      </c>
      <c r="F39" s="3" t="inlineStr">
        <is>
          <t>原配置被已有更高/相同召回配置同时在VO、查询、验证三指标支配，整组改选原表O列。实际召回改为60%，并非新测量原来的低召回率；ANNProof既有系数已包含，未重复乘。</t>
        </is>
      </c>
      <c r="G39" s="3" t="inlineStr">
        <is>
          <t>{"cell":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40" ht="256.5" customHeight="1" s="1">
      <c r="A40" s="3" t="inlineStr">
        <is>
          <t>NYTimes-256</t>
        </is>
      </c>
      <c r="B40" s="3" t="inlineStr">
        <is>
          <t>F37</t>
        </is>
      </c>
      <c r="C40" s="3" t="n">
        <v>40</v>
      </c>
      <c r="D40" s="3" t="n">
        <v>60</v>
      </c>
      <c r="E40" s="3" t="inlineStr">
        <is>
          <t>已有测量配置重选</t>
        </is>
      </c>
      <c r="F40" s="3" t="inlineStr">
        <is>
          <t>原配置被已有更高/相同召回配置同时在VO、查询、验证三指标支配，整组改选原表O列。实际召回改为60%，并非新测量原来的低召回率；ANNProof既有系数已包含，未重复乘。</t>
        </is>
      </c>
      <c r="G40" s="3" t="inlineStr">
        <is>
          <t>{"cell":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41" ht="337.5" customHeight="1" s="1">
      <c r="A41" s="3" t="inlineStr">
        <is>
          <t>NYTimes-256</t>
        </is>
      </c>
      <c r="B41" s="3" t="inlineStr">
        <is>
          <t>F38</t>
        </is>
      </c>
      <c r="C41" s="3" t="n">
        <v>5.5142681</v>
      </c>
      <c r="D41" s="3" t="n">
        <v>5.279165375</v>
      </c>
      <c r="E41" s="3" t="inlineStr">
        <is>
          <t>已有测量配置重选</t>
        </is>
      </c>
      <c r="F41" s="3" t="inlineStr">
        <is>
          <t>原配置被已有更高/相同召回配置同时在VO、查询、验证三指标支配，整组改选原表O列。实际召回改为60%，并非新测量原来的低召回率；ANNProof既有系数已包含，未重复乘。</t>
        </is>
      </c>
      <c r="G41" s="3" t="inlineStr">
        <is>
          <t>{"cell":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42" ht="256.5" customHeight="1" s="1">
      <c r="A42" s="3" t="inlineStr">
        <is>
          <t>NYTimes-256</t>
        </is>
      </c>
      <c r="B42" s="3" t="inlineStr">
        <is>
          <t>F51</t>
        </is>
      </c>
      <c r="C42" s="3" t="n">
        <v>40</v>
      </c>
      <c r="D42" s="3" t="n">
        <v>60</v>
      </c>
      <c r="E42" s="3" t="inlineStr">
        <is>
          <t>已有测量配置重选</t>
        </is>
      </c>
      <c r="F42" s="3" t="inlineStr">
        <is>
          <t>原配置被已有更高/相同召回配置同时在VO、查询、验证三指标支配，整组改选原表O列。实际召回改为60%，并非新测量原来的低召回率；ANNProof既有系数已包含，未重复乘。</t>
        </is>
      </c>
      <c r="G42" s="3" t="inlineStr">
        <is>
          <t>{"cell":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43" ht="337.5" customHeight="1" s="1">
      <c r="A43" s="3" t="inlineStr">
        <is>
          <t>NYTimes-256</t>
        </is>
      </c>
      <c r="B43" s="3" t="inlineStr">
        <is>
          <t>F52</t>
        </is>
      </c>
      <c r="C43" s="3" t="n">
        <v>0.8719381</v>
      </c>
      <c r="D43" s="3" t="n">
        <v>0.80376432</v>
      </c>
      <c r="E43" s="3" t="inlineStr">
        <is>
          <t>已有测量配置重选</t>
        </is>
      </c>
      <c r="F43" s="3" t="inlineStr">
        <is>
          <t>原配置被已有更高/相同召回配置同时在VO、查询、验证三指标支配，整组改选原表O列。实际召回改为60%，并非新测量原来的低召回率；ANNProof既有系数已包含，未重复乘。</t>
        </is>
      </c>
      <c r="G43" s="3" t="inlineStr">
        <is>
          <t>{"cell":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44" ht="256.5" customHeight="1" s="1">
      <c r="A44" s="3" t="inlineStr">
        <is>
          <t>NYTimes-256</t>
        </is>
      </c>
      <c r="B44" s="3" t="inlineStr">
        <is>
          <t>G23</t>
        </is>
      </c>
      <c r="C44" s="3" t="n">
        <v>40</v>
      </c>
      <c r="D44" s="3" t="n">
        <v>60</v>
      </c>
      <c r="E44" s="3" t="inlineStr">
        <is>
          <t>已有测量配置重选</t>
        </is>
      </c>
      <c r="F44" s="3" t="inlineStr">
        <is>
          <t>原配置被已有更高/相同召回配置同时在VO、查询、验证三指标支配，整组改选原表O列。实际召回改为60%，并非新测量原来的低召回率；ANNProof既有系数已包含，未重复乘。</t>
        </is>
      </c>
      <c r="G44" s="3" t="inlineStr">
        <is>
          <t>{"cell":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45" ht="324" customHeight="1" s="1">
      <c r="A45" s="3" t="inlineStr">
        <is>
          <t>NYTimes-256</t>
        </is>
      </c>
      <c r="B45" s="3" t="inlineStr">
        <is>
          <t>G24</t>
        </is>
      </c>
      <c r="C45" s="3" t="n">
        <v>706.6212</v>
      </c>
      <c r="D45" s="3" t="n">
        <v>694.3407999999999</v>
      </c>
      <c r="E45" s="3" t="inlineStr">
        <is>
          <t>已有测量配置重选</t>
        </is>
      </c>
      <c r="F45" s="3" t="inlineStr">
        <is>
          <t>原配置被已有更高/相同召回配置同时在VO、查询、验证三指标支配，整组改选原表O列。实际召回改为60%，并非新测量原来的低召回率；ANNProof既有系数已包含，未重复乘。</t>
        </is>
      </c>
      <c r="G45" s="3" t="inlineStr">
        <is>
          <t>{"cell":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46" ht="256.5" customHeight="1" s="1">
      <c r="A46" s="3" t="inlineStr">
        <is>
          <t>NYTimes-256</t>
        </is>
      </c>
      <c r="B46" s="3" t="inlineStr">
        <is>
          <t>G37</t>
        </is>
      </c>
      <c r="C46" s="3" t="n">
        <v>40</v>
      </c>
      <c r="D46" s="3" t="n">
        <v>60</v>
      </c>
      <c r="E46" s="3" t="inlineStr">
        <is>
          <t>已有测量配置重选</t>
        </is>
      </c>
      <c r="F46" s="3" t="inlineStr">
        <is>
          <t>原配置被已有更高/相同召回配置同时在VO、查询、验证三指标支配，整组改选原表O列。实际召回改为60%，并非新测量原来的低召回率；ANNProof既有系数已包含，未重复乘。</t>
        </is>
      </c>
      <c r="G46" s="3" t="inlineStr">
        <is>
          <t>{"cell":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47" ht="337.5" customHeight="1" s="1">
      <c r="A47" s="3" t="inlineStr">
        <is>
          <t>NYTimes-256</t>
        </is>
      </c>
      <c r="B47" s="3" t="inlineStr">
        <is>
          <t>G38</t>
        </is>
      </c>
      <c r="C47" s="3" t="n">
        <v>5.5142681</v>
      </c>
      <c r="D47" s="3" t="n">
        <v>5.279165375</v>
      </c>
      <c r="E47" s="3" t="inlineStr">
        <is>
          <t>已有测量配置重选</t>
        </is>
      </c>
      <c r="F47" s="3" t="inlineStr">
        <is>
          <t>原配置被已有更高/相同召回配置同时在VO、查询、验证三指标支配，整组改选原表O列。实际召回改为60%，并非新测量原来的低召回率；ANNProof既有系数已包含，未重复乘。</t>
        </is>
      </c>
      <c r="G47" s="3" t="inlineStr">
        <is>
          <t>{"cell":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48" ht="256.5" customHeight="1" s="1">
      <c r="A48" s="3" t="inlineStr">
        <is>
          <t>NYTimes-256</t>
        </is>
      </c>
      <c r="B48" s="3" t="inlineStr">
        <is>
          <t>G51</t>
        </is>
      </c>
      <c r="C48" s="3" t="n">
        <v>40</v>
      </c>
      <c r="D48" s="3" t="n">
        <v>60</v>
      </c>
      <c r="E48" s="3" t="inlineStr">
        <is>
          <t>已有测量配置重选</t>
        </is>
      </c>
      <c r="F48" s="3" t="inlineStr">
        <is>
          <t>原配置被已有更高/相同召回配置同时在VO、查询、验证三指标支配，整组改选原表O列。实际召回改为60%，并非新测量原来的低召回率；ANNProof既有系数已包含，未重复乘。</t>
        </is>
      </c>
      <c r="G48" s="3" t="inlineStr">
        <is>
          <t>{"cell":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49" ht="337.5" customHeight="1" s="1">
      <c r="A49" s="3" t="inlineStr">
        <is>
          <t>NYTimes-256</t>
        </is>
      </c>
      <c r="B49" s="3" t="inlineStr">
        <is>
          <t>G52</t>
        </is>
      </c>
      <c r="C49" s="3" t="n">
        <v>0.8719381</v>
      </c>
      <c r="D49" s="3" t="n">
        <v>0.80376432</v>
      </c>
      <c r="E49" s="3" t="inlineStr">
        <is>
          <t>已有测量配置重选</t>
        </is>
      </c>
      <c r="F49" s="3" t="inlineStr">
        <is>
          <t>原配置被已有更高/相同召回配置同时在VO、查询、验证三指标支配，整组改选原表O列。实际召回改为60%，并非新测量原来的低召回率；ANNProof既有系数已包含，未重复乘。</t>
        </is>
      </c>
      <c r="G49" s="3" t="inlineStr">
        <is>
          <t>{"cell":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50" ht="256.5" customHeight="1" s="1">
      <c r="A50" s="3" t="inlineStr">
        <is>
          <t>NYTimes-256</t>
        </is>
      </c>
      <c r="B50" s="3" t="inlineStr">
        <is>
          <t>H23</t>
        </is>
      </c>
      <c r="C50" s="3" t="n">
        <v>40</v>
      </c>
      <c r="D50" s="3" t="n">
        <v>60</v>
      </c>
      <c r="E50" s="3" t="inlineStr">
        <is>
          <t>已有测量配置重选</t>
        </is>
      </c>
      <c r="F50" s="3" t="inlineStr">
        <is>
          <t>原配置被已有更高/相同召回配置同时在VO、查询、验证三指标支配，整组改选原表O列。实际召回改为60%，并非新测量原来的低召回率；ANNProof既有系数已包含，未重复乘。</t>
        </is>
      </c>
      <c r="G50" s="3" t="inlineStr">
        <is>
          <t>{"cell":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51" ht="324" customHeight="1" s="1">
      <c r="A51" s="3" t="inlineStr">
        <is>
          <t>NYTimes-256</t>
        </is>
      </c>
      <c r="B51" s="3" t="inlineStr">
        <is>
          <t>H24</t>
        </is>
      </c>
      <c r="C51" s="3" t="n">
        <v>706.6212</v>
      </c>
      <c r="D51" s="3" t="n">
        <v>694.3407999999999</v>
      </c>
      <c r="E51" s="3" t="inlineStr">
        <is>
          <t>已有测量配置重选</t>
        </is>
      </c>
      <c r="F51" s="3" t="inlineStr">
        <is>
          <t>原配置被已有更高/相同召回配置同时在VO、查询、验证三指标支配，整组改选原表O列。实际召回改为60%，并非新测量原来的低召回率；ANNProof既有系数已包含，未重复乘。</t>
        </is>
      </c>
      <c r="G51" s="3" t="inlineStr">
        <is>
          <t>{"cell":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52" ht="256.5" customHeight="1" s="1">
      <c r="A52" s="3" t="inlineStr">
        <is>
          <t>NYTimes-256</t>
        </is>
      </c>
      <c r="B52" s="3" t="inlineStr">
        <is>
          <t>H37</t>
        </is>
      </c>
      <c r="C52" s="3" t="n">
        <v>40</v>
      </c>
      <c r="D52" s="3" t="n">
        <v>60</v>
      </c>
      <c r="E52" s="3" t="inlineStr">
        <is>
          <t>已有测量配置重选</t>
        </is>
      </c>
      <c r="F52" s="3" t="inlineStr">
        <is>
          <t>原配置被已有更高/相同召回配置同时在VO、查询、验证三指标支配，整组改选原表O列。实际召回改为60%，并非新测量原来的低召回率；ANNProof既有系数已包含，未重复乘。</t>
        </is>
      </c>
      <c r="G52" s="3" t="inlineStr">
        <is>
          <t>{"cell":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53" ht="337.5" customHeight="1" s="1">
      <c r="A53" s="3" t="inlineStr">
        <is>
          <t>NYTimes-256</t>
        </is>
      </c>
      <c r="B53" s="3" t="inlineStr">
        <is>
          <t>H38</t>
        </is>
      </c>
      <c r="C53" s="3" t="n">
        <v>5.5142681</v>
      </c>
      <c r="D53" s="3" t="n">
        <v>5.279165375</v>
      </c>
      <c r="E53" s="3" t="inlineStr">
        <is>
          <t>已有测量配置重选</t>
        </is>
      </c>
      <c r="F53" s="3" t="inlineStr">
        <is>
          <t>原配置被已有更高/相同召回配置同时在VO、查询、验证三指标支配，整组改选原表O列。实际召回改为60%，并非新测量原来的低召回率；ANNProof既有系数已包含，未重复乘。</t>
        </is>
      </c>
      <c r="G53" s="3" t="inlineStr">
        <is>
          <t>{"cell":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54" ht="256.5" customHeight="1" s="1">
      <c r="A54" s="3" t="inlineStr">
        <is>
          <t>NYTimes-256</t>
        </is>
      </c>
      <c r="B54" s="3" t="inlineStr">
        <is>
          <t>H51</t>
        </is>
      </c>
      <c r="C54" s="3" t="n">
        <v>40</v>
      </c>
      <c r="D54" s="3" t="n">
        <v>60</v>
      </c>
      <c r="E54" s="3" t="inlineStr">
        <is>
          <t>已有测量配置重选</t>
        </is>
      </c>
      <c r="F54" s="3" t="inlineStr">
        <is>
          <t>原配置被已有更高/相同召回配置同时在VO、查询、验证三指标支配，整组改选原表O列。实际召回改为60%，并非新测量原来的低召回率；ANNProof既有系数已包含，未重复乘。</t>
        </is>
      </c>
      <c r="G54" s="3" t="inlineStr">
        <is>
          <t>{"cell":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55" ht="337.5" customHeight="1" s="1">
      <c r="A55" s="3" t="inlineStr">
        <is>
          <t>NYTimes-256</t>
        </is>
      </c>
      <c r="B55" s="3" t="inlineStr">
        <is>
          <t>H52</t>
        </is>
      </c>
      <c r="C55" s="3" t="n">
        <v>0.8719381</v>
      </c>
      <c r="D55" s="3" t="n">
        <v>0.80376432</v>
      </c>
      <c r="E55" s="3" t="inlineStr">
        <is>
          <t>已有测量配置重选</t>
        </is>
      </c>
      <c r="F55" s="3" t="inlineStr">
        <is>
          <t>原配置被已有更高/相同召回配置同时在VO、查询、验证三指标支配，整组改选原表O列。实际召回改为60%，并非新测量原来的低召回率；ANNProof既有系数已包含，未重复乘。</t>
        </is>
      </c>
      <c r="G55" s="3" t="inlineStr">
        <is>
          <t>{"cell":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56" ht="256.5" customHeight="1" s="1">
      <c r="A56" s="3" t="inlineStr">
        <is>
          <t>NYTimes-256</t>
        </is>
      </c>
      <c r="B56" s="3" t="inlineStr">
        <is>
          <t>I23</t>
        </is>
      </c>
      <c r="C56" s="3" t="n">
        <v>40</v>
      </c>
      <c r="D56" s="3" t="n">
        <v>60</v>
      </c>
      <c r="E56" s="3" t="inlineStr">
        <is>
          <t>已有测量配置重选</t>
        </is>
      </c>
      <c r="F56" s="3" t="inlineStr">
        <is>
          <t>原配置被已有更高/相同召回配置同时在VO、查询、验证三指标支配，整组改选原表O列。实际召回改为60%，并非新测量原来的低召回率；ANNProof既有系数已包含，未重复乘。</t>
        </is>
      </c>
      <c r="G56" s="3" t="inlineStr">
        <is>
          <t>{"cell":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57" ht="324" customHeight="1" s="1">
      <c r="A57" s="3" t="inlineStr">
        <is>
          <t>NYTimes-256</t>
        </is>
      </c>
      <c r="B57" s="3" t="inlineStr">
        <is>
          <t>I24</t>
        </is>
      </c>
      <c r="C57" s="3" t="n">
        <v>706.6212</v>
      </c>
      <c r="D57" s="3" t="n">
        <v>694.3407999999999</v>
      </c>
      <c r="E57" s="3" t="inlineStr">
        <is>
          <t>已有测量配置重选</t>
        </is>
      </c>
      <c r="F57" s="3" t="inlineStr">
        <is>
          <t>原配置被已有更高/相同召回配置同时在VO、查询、验证三指标支配，整组改选原表O列。实际召回改为60%，并非新测量原来的低召回率；ANNProof既有系数已包含，未重复乘。</t>
        </is>
      </c>
      <c r="G57" s="3" t="inlineStr">
        <is>
          <t>{"cell":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58" ht="256.5" customHeight="1" s="1">
      <c r="A58" s="3" t="inlineStr">
        <is>
          <t>NYTimes-256</t>
        </is>
      </c>
      <c r="B58" s="3" t="inlineStr">
        <is>
          <t>I37</t>
        </is>
      </c>
      <c r="C58" s="3" t="n">
        <v>40</v>
      </c>
      <c r="D58" s="3" t="n">
        <v>60</v>
      </c>
      <c r="E58" s="3" t="inlineStr">
        <is>
          <t>已有测量配置重选</t>
        </is>
      </c>
      <c r="F58" s="3" t="inlineStr">
        <is>
          <t>原配置被已有更高/相同召回配置同时在VO、查询、验证三指标支配，整组改选原表O列。实际召回改为60%，并非新测量原来的低召回率；ANNProof既有系数已包含，未重复乘。</t>
        </is>
      </c>
      <c r="G58" s="3" t="inlineStr">
        <is>
          <t>{"cell":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59" ht="337.5" customHeight="1" s="1">
      <c r="A59" s="3" t="inlineStr">
        <is>
          <t>NYTimes-256</t>
        </is>
      </c>
      <c r="B59" s="3" t="inlineStr">
        <is>
          <t>I38</t>
        </is>
      </c>
      <c r="C59" s="3" t="n">
        <v>5.5142681</v>
      </c>
      <c r="D59" s="3" t="n">
        <v>5.279165375</v>
      </c>
      <c r="E59" s="3" t="inlineStr">
        <is>
          <t>已有测量配置重选</t>
        </is>
      </c>
      <c r="F59" s="3" t="inlineStr">
        <is>
          <t>原配置被已有更高/相同召回配置同时在VO、查询、验证三指标支配，整组改选原表O列。实际召回改为60%，并非新测量原来的低召回率；ANNProof既有系数已包含，未重复乘。</t>
        </is>
      </c>
      <c r="G59" s="3" t="inlineStr">
        <is>
          <t>{"cell":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60" ht="256.5" customHeight="1" s="1">
      <c r="A60" s="3" t="inlineStr">
        <is>
          <t>NYTimes-256</t>
        </is>
      </c>
      <c r="B60" s="3" t="inlineStr">
        <is>
          <t>I51</t>
        </is>
      </c>
      <c r="C60" s="3" t="n">
        <v>40</v>
      </c>
      <c r="D60" s="3" t="n">
        <v>60</v>
      </c>
      <c r="E60" s="3" t="inlineStr">
        <is>
          <t>已有测量配置重选</t>
        </is>
      </c>
      <c r="F60" s="3" t="inlineStr">
        <is>
          <t>原配置被已有更高/相同召回配置同时在VO、查询、验证三指标支配，整组改选原表O列。实际召回改为60%，并非新测量原来的低召回率；ANNProof既有系数已包含，未重复乘。</t>
        </is>
      </c>
      <c r="G60" s="3" t="inlineStr">
        <is>
          <t>{"cell":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61" ht="337.5" customHeight="1" s="1">
      <c r="A61" s="3" t="inlineStr">
        <is>
          <t>NYTimes-256</t>
        </is>
      </c>
      <c r="B61" s="3" t="inlineStr">
        <is>
          <t>I52</t>
        </is>
      </c>
      <c r="C61" s="3" t="n">
        <v>0.8719381</v>
      </c>
      <c r="D61" s="3" t="n">
        <v>0.80376432</v>
      </c>
      <c r="E61" s="3" t="inlineStr">
        <is>
          <t>已有测量配置重选</t>
        </is>
      </c>
      <c r="F61" s="3" t="inlineStr">
        <is>
          <t>原配置被已有更高/相同召回配置同时在VO、查询、验证三指标支配，整组改选原表O列。实际召回改为60%，并非新测量原来的低召回率；ANNProof既有系数已包含，未重复乘。</t>
        </is>
      </c>
      <c r="G61" s="3" t="inlineStr">
        <is>
          <t>{"cell":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62" ht="256.5" customHeight="1" s="1">
      <c r="A62" s="3" t="inlineStr">
        <is>
          <t>NYTimes-256</t>
        </is>
      </c>
      <c r="B62" s="3" t="inlineStr">
        <is>
          <t>J23</t>
        </is>
      </c>
      <c r="C62" s="3" t="n">
        <v>40</v>
      </c>
      <c r="D62" s="3" t="n">
        <v>60</v>
      </c>
      <c r="E62" s="3" t="inlineStr">
        <is>
          <t>已有测量配置重选</t>
        </is>
      </c>
      <c r="F62" s="3" t="inlineStr">
        <is>
          <t>原配置被已有更高/相同召回配置同时在VO、查询、验证三指标支配，整组改选原表O列。实际召回改为60%，并非新测量原来的低召回率；ANNProof既有系数已包含，未重复乘。</t>
        </is>
      </c>
      <c r="G62" s="3" t="inlineStr">
        <is>
          <t>{"cell":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63" ht="324" customHeight="1" s="1">
      <c r="A63" s="3" t="inlineStr">
        <is>
          <t>NYTimes-256</t>
        </is>
      </c>
      <c r="B63" s="3" t="inlineStr">
        <is>
          <t>J24</t>
        </is>
      </c>
      <c r="C63" s="3" t="n">
        <v>706.6212</v>
      </c>
      <c r="D63" s="3" t="n">
        <v>694.3407999999999</v>
      </c>
      <c r="E63" s="3" t="inlineStr">
        <is>
          <t>已有测量配置重选</t>
        </is>
      </c>
      <c r="F63" s="3" t="inlineStr">
        <is>
          <t>原配置被已有更高/相同召回配置同时在VO、查询、验证三指标支配，整组改选原表O列。实际召回改为60%，并非新测量原来的低召回率；ANNProof既有系数已包含，未重复乘。</t>
        </is>
      </c>
      <c r="G63" s="3" t="inlineStr">
        <is>
          <t>{"cell":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64" ht="256.5" customHeight="1" s="1">
      <c r="A64" s="3" t="inlineStr">
        <is>
          <t>NYTimes-256</t>
        </is>
      </c>
      <c r="B64" s="3" t="inlineStr">
        <is>
          <t>J37</t>
        </is>
      </c>
      <c r="C64" s="3" t="n">
        <v>40</v>
      </c>
      <c r="D64" s="3" t="n">
        <v>60</v>
      </c>
      <c r="E64" s="3" t="inlineStr">
        <is>
          <t>已有测量配置重选</t>
        </is>
      </c>
      <c r="F64" s="3" t="inlineStr">
        <is>
          <t>原配置被已有更高/相同召回配置同时在VO、查询、验证三指标支配，整组改选原表O列。实际召回改为60%，并非新测量原来的低召回率；ANNProof既有系数已包含，未重复乘。</t>
        </is>
      </c>
      <c r="G64" s="3" t="inlineStr">
        <is>
          <t>{"cell":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65" ht="337.5" customHeight="1" s="1">
      <c r="A65" s="3" t="inlineStr">
        <is>
          <t>NYTimes-256</t>
        </is>
      </c>
      <c r="B65" s="3" t="inlineStr">
        <is>
          <t>J38</t>
        </is>
      </c>
      <c r="C65" s="3" t="n">
        <v>5.5142681</v>
      </c>
      <c r="D65" s="3" t="n">
        <v>5.279165375</v>
      </c>
      <c r="E65" s="3" t="inlineStr">
        <is>
          <t>已有测量配置重选</t>
        </is>
      </c>
      <c r="F65" s="3" t="inlineStr">
        <is>
          <t>原配置被已有更高/相同召回配置同时在VO、查询、验证三指标支配，整组改选原表O列。实际召回改为60%，并非新测量原来的低召回率；ANNProof既有系数已包含，未重复乘。</t>
        </is>
      </c>
      <c r="G65" s="3" t="inlineStr">
        <is>
          <t>{"cell":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66" ht="256.5" customHeight="1" s="1">
      <c r="A66" s="3" t="inlineStr">
        <is>
          <t>NYTimes-256</t>
        </is>
      </c>
      <c r="B66" s="3" t="inlineStr">
        <is>
          <t>J51</t>
        </is>
      </c>
      <c r="C66" s="3" t="n">
        <v>40</v>
      </c>
      <c r="D66" s="3" t="n">
        <v>60</v>
      </c>
      <c r="E66" s="3" t="inlineStr">
        <is>
          <t>已有测量配置重选</t>
        </is>
      </c>
      <c r="F66" s="3" t="inlineStr">
        <is>
          <t>原配置被已有更高/相同召回配置同时在VO、查询、验证三指标支配，整组改选原表O列。实际召回改为60%，并非新测量原来的低召回率；ANNProof既有系数已包含，未重复乘。</t>
        </is>
      </c>
      <c r="G66" s="3" t="inlineStr">
        <is>
          <t>{"cell":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67" ht="337.5" customHeight="1" s="1">
      <c r="A67" s="3" t="inlineStr">
        <is>
          <t>NYTimes-256</t>
        </is>
      </c>
      <c r="B67" s="3" t="inlineStr">
        <is>
          <t>J52</t>
        </is>
      </c>
      <c r="C67" s="3" t="n">
        <v>0.8719381</v>
      </c>
      <c r="D67" s="3" t="n">
        <v>0.80376432</v>
      </c>
      <c r="E67" s="3" t="inlineStr">
        <is>
          <t>已有测量配置重选</t>
        </is>
      </c>
      <c r="F67" s="3" t="inlineStr">
        <is>
          <t>原配置被已有更高/相同召回配置同时在VO、查询、验证三指标支配，整组改选原表O列。实际召回改为60%，并非新测量原来的低召回率；ANNProof既有系数已包含，未重复乘。</t>
        </is>
      </c>
      <c r="G67" s="3" t="inlineStr">
        <is>
          <t>{"cell":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68" ht="256.5" customHeight="1" s="1">
      <c r="A68" s="3" t="inlineStr">
        <is>
          <t>NYTimes-256</t>
        </is>
      </c>
      <c r="B68" s="3" t="inlineStr">
        <is>
          <t>K23</t>
        </is>
      </c>
      <c r="C68" s="3" t="n">
        <v>40</v>
      </c>
      <c r="D68" s="3" t="n">
        <v>60</v>
      </c>
      <c r="E68" s="3" t="inlineStr">
        <is>
          <t>已有测量配置重选</t>
        </is>
      </c>
      <c r="F68" s="3" t="inlineStr">
        <is>
          <t>原配置被已有更高/相同召回配置同时在VO、查询、验证三指标支配，整组改选原表O列。实际召回改为60%，并非新测量原来的低召回率；ANNProof既有系数已包含，未重复乘。</t>
        </is>
      </c>
      <c r="G68" s="3" t="inlineStr">
        <is>
          <t>{"cell":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69" ht="324" customHeight="1" s="1">
      <c r="A69" s="3" t="inlineStr">
        <is>
          <t>NYTimes-256</t>
        </is>
      </c>
      <c r="B69" s="3" t="inlineStr">
        <is>
          <t>K24</t>
        </is>
      </c>
      <c r="C69" s="3" t="n">
        <v>706.6212</v>
      </c>
      <c r="D69" s="3" t="n">
        <v>694.3407999999999</v>
      </c>
      <c r="E69" s="3" t="inlineStr">
        <is>
          <t>已有测量配置重选</t>
        </is>
      </c>
      <c r="F69" s="3" t="inlineStr">
        <is>
          <t>原配置被已有更高/相同召回配置同时在VO、查询、验证三指标支配，整组改选原表O列。实际召回改为60%，并非新测量原来的低召回率；ANNProof既有系数已包含，未重复乘。</t>
        </is>
      </c>
      <c r="G69" s="3" t="inlineStr">
        <is>
          <t>{"cell":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70" ht="256.5" customHeight="1" s="1">
      <c r="A70" s="3" t="inlineStr">
        <is>
          <t>NYTimes-256</t>
        </is>
      </c>
      <c r="B70" s="3" t="inlineStr">
        <is>
          <t>K37</t>
        </is>
      </c>
      <c r="C70" s="3" t="n">
        <v>40</v>
      </c>
      <c r="D70" s="3" t="n">
        <v>60</v>
      </c>
      <c r="E70" s="3" t="inlineStr">
        <is>
          <t>已有测量配置重选</t>
        </is>
      </c>
      <c r="F70" s="3" t="inlineStr">
        <is>
          <t>原配置被已有更高/相同召回配置同时在VO、查询、验证三指标支配，整组改选原表O列。实际召回改为60%，并非新测量原来的低召回率；ANNProof既有系数已包含，未重复乘。</t>
        </is>
      </c>
      <c r="G70" s="3" t="inlineStr">
        <is>
          <t>{"cell":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71" ht="337.5" customHeight="1" s="1">
      <c r="A71" s="3" t="inlineStr">
        <is>
          <t>NYTimes-256</t>
        </is>
      </c>
      <c r="B71" s="3" t="inlineStr">
        <is>
          <t>K38</t>
        </is>
      </c>
      <c r="C71" s="3" t="n">
        <v>5.5142681</v>
      </c>
      <c r="D71" s="3" t="n">
        <v>5.279165375</v>
      </c>
      <c r="E71" s="3" t="inlineStr">
        <is>
          <t>已有测量配置重选</t>
        </is>
      </c>
      <c r="F71" s="3" t="inlineStr">
        <is>
          <t>原配置被已有更高/相同召回配置同时在VO、查询、验证三指标支配，整组改选原表O列。实际召回改为60%，并非新测量原来的低召回率；ANNProof既有系数已包含，未重复乘。</t>
        </is>
      </c>
      <c r="G71" s="3" t="inlineStr">
        <is>
          <t>{"cell":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72" ht="256.5" customHeight="1" s="1">
      <c r="A72" s="3" t="inlineStr">
        <is>
          <t>NYTimes-256</t>
        </is>
      </c>
      <c r="B72" s="3" t="inlineStr">
        <is>
          <t>K51</t>
        </is>
      </c>
      <c r="C72" s="3" t="n">
        <v>40</v>
      </c>
      <c r="D72" s="3" t="n">
        <v>60</v>
      </c>
      <c r="E72" s="3" t="inlineStr">
        <is>
          <t>已有测量配置重选</t>
        </is>
      </c>
      <c r="F72" s="3" t="inlineStr">
        <is>
          <t>原配置被已有更高/相同召回配置同时在VO、查询、验证三指标支配，整组改选原表O列。实际召回改为60%，并非新测量原来的低召回率；ANNProof既有系数已包含，未重复乘。</t>
        </is>
      </c>
      <c r="G72" s="3" t="inlineStr">
        <is>
          <t>{"cell":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73" ht="337.5" customHeight="1" s="1">
      <c r="A73" s="3" t="inlineStr">
        <is>
          <t>NYTimes-256</t>
        </is>
      </c>
      <c r="B73" s="3" t="inlineStr">
        <is>
          <t>K52</t>
        </is>
      </c>
      <c r="C73" s="3" t="n">
        <v>0.8719381</v>
      </c>
      <c r="D73" s="3" t="n">
        <v>0.80376432</v>
      </c>
      <c r="E73" s="3" t="inlineStr">
        <is>
          <t>已有测量配置重选</t>
        </is>
      </c>
      <c r="F73" s="3" t="inlineStr">
        <is>
          <t>原配置被已有更高/相同召回配置同时在VO、查询、验证三指标支配，整组改选原表O列。实际召回改为60%，并非新测量原来的低召回率；ANNProof既有系数已包含，未重复乘。</t>
        </is>
      </c>
      <c r="G73" s="3" t="inlineStr">
        <is>
          <t>{"cell":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74" ht="256.5" customHeight="1" s="1">
      <c r="A74" s="3" t="inlineStr">
        <is>
          <t>NYTimes-256</t>
        </is>
      </c>
      <c r="B74" s="3" t="inlineStr">
        <is>
          <t>L23</t>
        </is>
      </c>
      <c r="C74" s="3" t="n">
        <v>45</v>
      </c>
      <c r="D74" s="3" t="n">
        <v>60</v>
      </c>
      <c r="E74" s="3" t="inlineStr">
        <is>
          <t>已有测量配置重选</t>
        </is>
      </c>
      <c r="F74" s="3" t="inlineStr">
        <is>
          <t>原配置被已有更高/相同召回配置同时在VO、查询、验证三指标支配，整组改选原表O列。实际召回改为60%，并非新测量原来的低召回率；ANNProof既有系数已包含，未重复乘。</t>
        </is>
      </c>
      <c r="G74" s="3" t="inlineStr">
        <is>
          <t>{"cell":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75" ht="324" customHeight="1" s="1">
      <c r="A75" s="3" t="inlineStr">
        <is>
          <t>NYTimes-256</t>
        </is>
      </c>
      <c r="B75" s="3" t="inlineStr">
        <is>
          <t>L24</t>
        </is>
      </c>
      <c r="C75" s="3" t="n">
        <v>1076.7008</v>
      </c>
      <c r="D75" s="3" t="n">
        <v>694.3407999999999</v>
      </c>
      <c r="E75" s="3" t="inlineStr">
        <is>
          <t>已有测量配置重选</t>
        </is>
      </c>
      <c r="F75" s="3" t="inlineStr">
        <is>
          <t>原配置被已有更高/相同召回配置同时在VO、查询、验证三指标支配，整组改选原表O列。实际召回改为60%，并非新测量原来的低召回率；ANNProof既有系数已包含，未重复乘。</t>
        </is>
      </c>
      <c r="G75" s="3" t="inlineStr">
        <is>
          <t>{"cell":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76" ht="256.5" customHeight="1" s="1">
      <c r="A76" s="3" t="inlineStr">
        <is>
          <t>NYTimes-256</t>
        </is>
      </c>
      <c r="B76" s="3" t="inlineStr">
        <is>
          <t>L37</t>
        </is>
      </c>
      <c r="C76" s="3" t="n">
        <v>45</v>
      </c>
      <c r="D76" s="3" t="n">
        <v>60</v>
      </c>
      <c r="E76" s="3" t="inlineStr">
        <is>
          <t>已有测量配置重选</t>
        </is>
      </c>
      <c r="F76" s="3" t="inlineStr">
        <is>
          <t>原配置被已有更高/相同召回配置同时在VO、查询、验证三指标支配，整组改选原表O列。实际召回改为60%，并非新测量原来的低召回率；ANNProof既有系数已包含，未重复乘。</t>
        </is>
      </c>
      <c r="G76" s="3" t="inlineStr">
        <is>
          <t>{"cell":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77" ht="337.5" customHeight="1" s="1">
      <c r="A77" s="3" t="inlineStr">
        <is>
          <t>NYTimes-256</t>
        </is>
      </c>
      <c r="B77" s="3" t="inlineStr">
        <is>
          <t>L38</t>
        </is>
      </c>
      <c r="C77" s="3" t="n">
        <v>8.288054575</v>
      </c>
      <c r="D77" s="3" t="n">
        <v>5.279165375</v>
      </c>
      <c r="E77" s="3" t="inlineStr">
        <is>
          <t>已有测量配置重选</t>
        </is>
      </c>
      <c r="F77" s="3" t="inlineStr">
        <is>
          <t>原配置被已有更高/相同召回配置同时在VO、查询、验证三指标支配，整组改选原表O列。实际召回改为60%，并非新测量原来的低召回率；ANNProof既有系数已包含，未重复乘。</t>
        </is>
      </c>
      <c r="G77" s="3" t="inlineStr">
        <is>
          <t>{"cell":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78" ht="256.5" customHeight="1" s="1">
      <c r="A78" s="3" t="inlineStr">
        <is>
          <t>NYTimes-256</t>
        </is>
      </c>
      <c r="B78" s="3" t="inlineStr">
        <is>
          <t>L51</t>
        </is>
      </c>
      <c r="C78" s="3" t="n">
        <v>45</v>
      </c>
      <c r="D78" s="3" t="n">
        <v>60</v>
      </c>
      <c r="E78" s="3" t="inlineStr">
        <is>
          <t>已有测量配置重选</t>
        </is>
      </c>
      <c r="F78" s="3" t="inlineStr">
        <is>
          <t>原配置被已有更高/相同召回配置同时在VO、查询、验证三指标支配，整组改选原表O列。实际召回改为60%，并非新测量原来的低召回率；ANNProof既有系数已包含，未重复乘。</t>
        </is>
      </c>
      <c r="G78" s="3" t="inlineStr">
        <is>
          <t>{"cell":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79" ht="337.5" customHeight="1" s="1">
      <c r="A79" s="3" t="inlineStr">
        <is>
          <t>NYTimes-256</t>
        </is>
      </c>
      <c r="B79" s="3" t="inlineStr">
        <is>
          <t>L52</t>
        </is>
      </c>
      <c r="C79" s="3" t="n">
        <v>1.37239186</v>
      </c>
      <c r="D79" s="3" t="n">
        <v>0.80376432</v>
      </c>
      <c r="E79" s="3" t="inlineStr">
        <is>
          <t>已有测量配置重选</t>
        </is>
      </c>
      <c r="F79" s="3" t="inlineStr">
        <is>
          <t>原配置被已有更高/相同召回配置同时在VO、查询、验证三指标支配，整组改选原表O列。实际召回改为60%，并非新测量原来的低召回率；ANNProof既有系数已包含，未重复乘。</t>
        </is>
      </c>
      <c r="G79" s="3" t="inlineStr">
        <is>
          <t>{"cell":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80" ht="256.5" customHeight="1" s="1">
      <c r="A80" s="3" t="inlineStr">
        <is>
          <t>NYTimes-256</t>
        </is>
      </c>
      <c r="B80" s="3" t="inlineStr">
        <is>
          <t>M23</t>
        </is>
      </c>
      <c r="C80" s="3" t="n">
        <v>52</v>
      </c>
      <c r="D80" s="3" t="n">
        <v>60</v>
      </c>
      <c r="E80" s="3" t="inlineStr">
        <is>
          <t>已有测量配置重选</t>
        </is>
      </c>
      <c r="F80" s="3" t="inlineStr">
        <is>
          <t>原配置被已有更高/相同召回配置同时在VO、查询、验证三指标支配，整组改选原表O列。实际召回改为60%，并非新测量原来的低召回率；ANNProof既有系数已包含，未重复乘。</t>
        </is>
      </c>
      <c r="G80" s="3" t="inlineStr">
        <is>
          <t>{"cell":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81" ht="324" customHeight="1" s="1">
      <c r="A81" s="3" t="inlineStr">
        <is>
          <t>NYTimes-256</t>
        </is>
      </c>
      <c r="B81" s="3" t="inlineStr">
        <is>
          <t>M24</t>
        </is>
      </c>
      <c r="C81" s="3" t="n">
        <v>1544.1628</v>
      </c>
      <c r="D81" s="3" t="n">
        <v>694.3407999999999</v>
      </c>
      <c r="E81" s="3" t="inlineStr">
        <is>
          <t>已有测量配置重选</t>
        </is>
      </c>
      <c r="F81" s="3" t="inlineStr">
        <is>
          <t>原配置被已有更高/相同召回配置同时在VO、查询、验证三指标支配，整组改选原表O列。实际召回改为60%，并非新测量原来的低召回率；ANNProof既有系数已包含，未重复乘。</t>
        </is>
      </c>
      <c r="G81" s="3" t="inlineStr">
        <is>
          <t>{"cell":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82" ht="256.5" customHeight="1" s="1">
      <c r="A82" s="3" t="inlineStr">
        <is>
          <t>NYTimes-256</t>
        </is>
      </c>
      <c r="B82" s="3" t="inlineStr">
        <is>
          <t>M37</t>
        </is>
      </c>
      <c r="C82" s="3" t="n">
        <v>52</v>
      </c>
      <c r="D82" s="3" t="n">
        <v>60</v>
      </c>
      <c r="E82" s="3" t="inlineStr">
        <is>
          <t>已有测量配置重选</t>
        </is>
      </c>
      <c r="F82" s="3" t="inlineStr">
        <is>
          <t>原配置被已有更高/相同召回配置同时在VO、查询、验证三指标支配，整组改选原表O列。实际召回改为60%，并非新测量原来的低召回率；ANNProof既有系数已包含，未重复乘。</t>
        </is>
      </c>
      <c r="G82" s="3" t="inlineStr">
        <is>
          <t>{"cell":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83" ht="337.5" customHeight="1" s="1">
      <c r="A83" s="3" t="inlineStr">
        <is>
          <t>NYTimes-256</t>
        </is>
      </c>
      <c r="B83" s="3" t="inlineStr">
        <is>
          <t>M38</t>
        </is>
      </c>
      <c r="C83" s="3" t="n">
        <v>11.935581125</v>
      </c>
      <c r="D83" s="3" t="n">
        <v>5.279165375</v>
      </c>
      <c r="E83" s="3" t="inlineStr">
        <is>
          <t>已有测量配置重选</t>
        </is>
      </c>
      <c r="F83" s="3" t="inlineStr">
        <is>
          <t>原配置被已有更高/相同召回配置同时在VO、查询、验证三指标支配，整组改选原表O列。实际召回改为60%，并非新测量原来的低召回率；ANNProof既有系数已包含，未重复乘。</t>
        </is>
      </c>
      <c r="G83" s="3" t="inlineStr">
        <is>
          <t>{"cell":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84" ht="256.5" customHeight="1" s="1">
      <c r="A84" s="3" t="inlineStr">
        <is>
          <t>NYTimes-256</t>
        </is>
      </c>
      <c r="B84" s="3" t="inlineStr">
        <is>
          <t>M51</t>
        </is>
      </c>
      <c r="C84" s="3" t="n">
        <v>52</v>
      </c>
      <c r="D84" s="3" t="n">
        <v>60</v>
      </c>
      <c r="E84" s="3" t="inlineStr">
        <is>
          <t>已有测量配置重选</t>
        </is>
      </c>
      <c r="F84" s="3" t="inlineStr">
        <is>
          <t>原配置被已有更高/相同召回配置同时在VO、查询、验证三指标支配，整组改选原表O列。实际召回改为60%，并非新测量原来的低召回率；ANNProof既有系数已包含，未重复乘。</t>
        </is>
      </c>
      <c r="G84" s="3" t="inlineStr">
        <is>
          <t>{"cell":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85" ht="337.5" customHeight="1" s="1">
      <c r="A85" s="3" t="inlineStr">
        <is>
          <t>NYTimes-256</t>
        </is>
      </c>
      <c r="B85" s="3" t="inlineStr">
        <is>
          <t>M52</t>
        </is>
      </c>
      <c r="C85" s="3" t="n">
        <v>2.14853096</v>
      </c>
      <c r="D85" s="3" t="n">
        <v>0.80376432</v>
      </c>
      <c r="E85" s="3" t="inlineStr">
        <is>
          <t>已有测量配置重选</t>
        </is>
      </c>
      <c r="F85" s="3" t="inlineStr">
        <is>
          <t>原配置被已有更高/相同召回配置同时在VO、查询、验证三指标支配，整组改选原表O列。实际召回改为60%，并非新测量原来的低召回率；ANNProof既有系数已包含，未重复乘。</t>
        </is>
      </c>
      <c r="G85" s="3" t="inlineStr">
        <is>
          <t>{"cell":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86" ht="256.5" customHeight="1" s="1">
      <c r="A86" s="3" t="inlineStr">
        <is>
          <t>NYTimes-256</t>
        </is>
      </c>
      <c r="B86" s="3" t="inlineStr">
        <is>
          <t>N23</t>
        </is>
      </c>
      <c r="C86" s="3" t="n">
        <v>55.5</v>
      </c>
      <c r="D86" s="3" t="n">
        <v>60</v>
      </c>
      <c r="E86" s="3" t="inlineStr">
        <is>
          <t>已有测量配置重选</t>
        </is>
      </c>
      <c r="F86" s="3" t="inlineStr">
        <is>
          <t>原配置被已有更高/相同召回配置同时在VO、查询、验证三指标支配，整组改选原表O列。实际召回改为60%，并非新测量原来的低召回率；ANNProof既有系数已包含，未重复乘。</t>
        </is>
      </c>
      <c r="G86" s="3" t="inlineStr">
        <is>
          <t>{"cell":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87" ht="324" customHeight="1" s="1">
      <c r="A87" s="3" t="inlineStr">
        <is>
          <t>NYTimes-256</t>
        </is>
      </c>
      <c r="B87" s="3" t="inlineStr">
        <is>
          <t>N24</t>
        </is>
      </c>
      <c r="C87" s="3" t="n">
        <v>2014.6296</v>
      </c>
      <c r="D87" s="3" t="n">
        <v>694.3407999999999</v>
      </c>
      <c r="E87" s="3" t="inlineStr">
        <is>
          <t>已有测量配置重选</t>
        </is>
      </c>
      <c r="F87" s="3" t="inlineStr">
        <is>
          <t>原配置被已有更高/相同召回配置同时在VO、查询、验证三指标支配，整组改选原表O列。实际召回改为60%，并非新测量原来的低召回率；ANNProof既有系数已包含，未重复乘。</t>
        </is>
      </c>
      <c r="G87" s="3" t="inlineStr">
        <is>
          <t>{"cell":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88" ht="256.5" customHeight="1" s="1">
      <c r="A88" s="3" t="inlineStr">
        <is>
          <t>NYTimes-256</t>
        </is>
      </c>
      <c r="B88" s="3" t="inlineStr">
        <is>
          <t>N37</t>
        </is>
      </c>
      <c r="C88" s="3" t="n">
        <v>55.5</v>
      </c>
      <c r="D88" s="3" t="n">
        <v>60</v>
      </c>
      <c r="E88" s="3" t="inlineStr">
        <is>
          <t>已有测量配置重选</t>
        </is>
      </c>
      <c r="F88" s="3" t="inlineStr">
        <is>
          <t>原配置被已有更高/相同召回配置同时在VO、查询、验证三指标支配，整组改选原表O列。实际召回改为60%，并非新测量原来的低召回率；ANNProof既有系数已包含，未重复乘。</t>
        </is>
      </c>
      <c r="G88" s="3" t="inlineStr">
        <is>
          <t>{"cell":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89" ht="337.5" customHeight="1" s="1">
      <c r="A89" s="3" t="inlineStr">
        <is>
          <t>NYTimes-256</t>
        </is>
      </c>
      <c r="B89" s="3" t="inlineStr">
        <is>
          <t>N38</t>
        </is>
      </c>
      <c r="C89" s="3" t="n">
        <v>15.6073488</v>
      </c>
      <c r="D89" s="3" t="n">
        <v>5.279165375</v>
      </c>
      <c r="E89" s="3" t="inlineStr">
        <is>
          <t>已有测量配置重选</t>
        </is>
      </c>
      <c r="F89" s="3" t="inlineStr">
        <is>
          <t>原配置被已有更高/相同召回配置同时在VO、查询、验证三指标支配，整组改选原表O列。实际召回改为60%，并非新测量原来的低召回率；ANNProof既有系数已包含，未重复乘。</t>
        </is>
      </c>
      <c r="G89" s="3" t="inlineStr">
        <is>
          <t>{"cell":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90" ht="256.5" customHeight="1" s="1">
      <c r="A90" s="3" t="inlineStr">
        <is>
          <t>NYTimes-256</t>
        </is>
      </c>
      <c r="B90" s="3" t="inlineStr">
        <is>
          <t>N51</t>
        </is>
      </c>
      <c r="C90" s="3" t="n">
        <v>55.5</v>
      </c>
      <c r="D90" s="3" t="n">
        <v>60</v>
      </c>
      <c r="E90" s="3" t="inlineStr">
        <is>
          <t>已有测量配置重选</t>
        </is>
      </c>
      <c r="F90" s="3" t="inlineStr">
        <is>
          <t>原配置被已有更高/相同召回配置同时在VO、查询、验证三指标支配，整组改选原表O列。实际召回改为60%，并非新测量原来的低召回率；ANNProof既有系数已包含，未重复乘。</t>
        </is>
      </c>
      <c r="G90" s="3" t="inlineStr">
        <is>
          <t>{"cell":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91" ht="337.5" customHeight="1" s="1">
      <c r="A91" s="3" t="inlineStr">
        <is>
          <t>NYTimes-256</t>
        </is>
      </c>
      <c r="B91" s="3" t="inlineStr">
        <is>
          <t>N52</t>
        </is>
      </c>
      <c r="C91" s="3" t="n">
        <v>2.90372268</v>
      </c>
      <c r="D91" s="3" t="n">
        <v>0.80376432</v>
      </c>
      <c r="E91" s="3" t="inlineStr">
        <is>
          <t>已有测量配置重选</t>
        </is>
      </c>
      <c r="F91" s="3" t="inlineStr">
        <is>
          <t>原配置被已有更高/相同召回配置同时在VO、查询、验证三指标支配，整组改选原表O列。实际召回改为60%，并非新测量原来的低召回率；ANNProof既有系数已包含，未重复乘。</t>
        </is>
      </c>
      <c r="G91" s="3" t="inlineStr">
        <is>
          <t>{"cell":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92" ht="148.5" customHeight="1" s="1">
      <c r="A92" s="3" t="inlineStr">
        <is>
          <t>SIFT1M</t>
        </is>
      </c>
      <c r="B92" s="3" t="inlineStr">
        <is>
          <t>F28</t>
        </is>
      </c>
      <c r="C92" s="3" t="n">
        <v>196.643</v>
      </c>
      <c r="D92" s="3" t="n">
        <v>196</v>
      </c>
      <c r="E92" s="3" t="inlineStr">
        <is>
          <t>预测修订</t>
        </is>
      </c>
      <c r="F92" s="3"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92" s="3" t="inlineStr">
        <is>
          <t>[{"x": 34, "cells": ["F28", "G28", "H28", "I28"], "values": [196.643, 196.643, 196.643, 196.643]}, {"x": 51, "cells": ["J28", "K28", "L28", "M28"], "values": [196.067, 196.067, 196.067, 196.067]}, {"x": 58, "cells": ["N28"], "values": [211.816]}, {"x": 70.5, "cells": ["O28", "P28", "Q28"], "values": [235.675, 235.675, 235.675]}, {"x": 77.5, "cells": ["R28"], "values": [270.381]}, {"x": 84, "cells": ["S28"], "values": [270.381]}, {"x": 85, "cells": ["T28"], "values": [335.917]}, {"x": 92, "cells": ["U28"], "values": [344.128]}, {"x": 95, "cells": ["V28"], "values": [483.411]}, {"x": 97, "cells": ["W28"], "values": [753.766]}]</t>
        </is>
      </c>
    </row>
    <row r="93" ht="148.5" customHeight="1" s="1">
      <c r="A93" s="3" t="inlineStr">
        <is>
          <t>SIFT1M</t>
        </is>
      </c>
      <c r="B93" s="3" t="inlineStr">
        <is>
          <t>G28</t>
        </is>
      </c>
      <c r="C93" s="3" t="n">
        <v>196.643</v>
      </c>
      <c r="D93" s="3" t="n">
        <v>196</v>
      </c>
      <c r="E93" s="3" t="inlineStr">
        <is>
          <t>预测修订</t>
        </is>
      </c>
      <c r="F93" s="3"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93" s="3" t="inlineStr">
        <is>
          <t>[{"x": 34, "cells": ["F28", "G28", "H28", "I28"], "values": [196.643, 196.643, 196.643, 196.643]}, {"x": 51, "cells": ["J28", "K28", "L28", "M28"], "values": [196.067, 196.067, 196.067, 196.067]}, {"x": 58, "cells": ["N28"], "values": [211.816]}, {"x": 70.5, "cells": ["O28", "P28", "Q28"], "values": [235.675, 235.675, 235.675]}, {"x": 77.5, "cells": ["R28"], "values": [270.381]}, {"x": 84, "cells": ["S28"], "values": [270.381]}, {"x": 85, "cells": ["T28"], "values": [335.917]}, {"x": 92, "cells": ["U28"], "values": [344.128]}, {"x": 95, "cells": ["V28"], "values": [483.411]}, {"x": 97, "cells": ["W28"], "values": [753.766]}]</t>
        </is>
      </c>
    </row>
    <row r="94" ht="148.5" customHeight="1" s="1">
      <c r="A94" s="3" t="inlineStr">
        <is>
          <t>SIFT1M</t>
        </is>
      </c>
      <c r="B94" s="3" t="inlineStr">
        <is>
          <t>H28</t>
        </is>
      </c>
      <c r="C94" s="3" t="n">
        <v>196.643</v>
      </c>
      <c r="D94" s="3" t="n">
        <v>196</v>
      </c>
      <c r="E94" s="3" t="inlineStr">
        <is>
          <t>预测修订</t>
        </is>
      </c>
      <c r="F94" s="3"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94" s="3" t="inlineStr">
        <is>
          <t>[{"x": 34, "cells": ["F28", "G28", "H28", "I28"], "values": [196.643, 196.643, 196.643, 196.643]}, {"x": 51, "cells": ["J28", "K28", "L28", "M28"], "values": [196.067, 196.067, 196.067, 196.067]}, {"x": 58, "cells": ["N28"], "values": [211.816]}, {"x": 70.5, "cells": ["O28", "P28", "Q28"], "values": [235.675, 235.675, 235.675]}, {"x": 77.5, "cells": ["R28"], "values": [270.381]}, {"x": 84, "cells": ["S28"], "values": [270.381]}, {"x": 85, "cells": ["T28"], "values": [335.917]}, {"x": 92, "cells": ["U28"], "values": [344.128]}, {"x": 95, "cells": ["V28"], "values": [483.411]}, {"x": 97, "cells": ["W28"], "values": [753.766]}]</t>
        </is>
      </c>
    </row>
    <row r="95" ht="148.5" customHeight="1" s="1">
      <c r="A95" s="3" t="inlineStr">
        <is>
          <t>SIFT1M</t>
        </is>
      </c>
      <c r="B95" s="3" t="inlineStr">
        <is>
          <t>I28</t>
        </is>
      </c>
      <c r="C95" s="3" t="n">
        <v>196.643</v>
      </c>
      <c r="D95" s="3" t="n">
        <v>196</v>
      </c>
      <c r="E95" s="3" t="inlineStr">
        <is>
          <t>预测修订</t>
        </is>
      </c>
      <c r="F95" s="3"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95" s="3" t="inlineStr">
        <is>
          <t>[{"x": 34, "cells": ["F28", "G28", "H28", "I28"], "values": [196.643, 196.643, 196.643, 196.643]}, {"x": 51, "cells": ["J28", "K28", "L28", "M28"], "values": [196.067, 196.067, 196.067, 196.067]}, {"x": 58, "cells": ["N28"], "values": [211.816]}, {"x": 70.5, "cells": ["O28", "P28", "Q28"], "values": [235.675, 235.675, 235.675]}, {"x": 77.5, "cells": ["R28"], "values": [270.381]}, {"x": 84, "cells": ["S28"], "values": [270.381]}, {"x": 85, "cells": ["T28"], "values": [335.917]}, {"x": 92, "cells": ["U28"], "values": [344.128]}, {"x": 95, "cells": ["V28"], "values": [483.411]}, {"x": 97, "cells": ["W28"], "values": [753.766]}]</t>
        </is>
      </c>
    </row>
    <row r="96" ht="148.5" customHeight="1" s="1">
      <c r="A96" s="3" t="inlineStr">
        <is>
          <t>SIFT1M</t>
        </is>
      </c>
      <c r="B96" s="3" t="inlineStr">
        <is>
          <t>J28</t>
        </is>
      </c>
      <c r="C96" s="3" t="n">
        <v>196.067</v>
      </c>
      <c r="D96" s="3" t="n">
        <v>196.354788790597</v>
      </c>
      <c r="E96" s="3" t="inlineStr">
        <is>
          <t>预测修订</t>
        </is>
      </c>
      <c r="F96" s="3"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96" s="3" t="inlineStr">
        <is>
          <t>[{"x": 34, "cells": ["F28", "G28", "H28", "I28"], "values": [196.643, 196.643, 196.643, 196.643]}, {"x": 51, "cells": ["J28", "K28", "L28", "M28"], "values": [196.067, 196.067, 196.067, 196.067]}, {"x": 58, "cells": ["N28"], "values": [211.816]}, {"x": 70.5, "cells": ["O28", "P28", "Q28"], "values": [235.675, 235.675, 235.675]}, {"x": 77.5, "cells": ["R28"], "values": [270.381]}, {"x": 84, "cells": ["S28"], "values": [270.381]}, {"x": 85, "cells": ["T28"], "values": [335.917]}, {"x": 92, "cells": ["U28"], "values": [344.128]}, {"x": 95, "cells": ["V28"], "values": [483.411]}, {"x": 97, "cells": ["W28"], "values": [753.766]}]</t>
        </is>
      </c>
    </row>
    <row r="97" ht="148.5" customHeight="1" s="1">
      <c r="A97" s="3" t="inlineStr">
        <is>
          <t>SIFT1M</t>
        </is>
      </c>
      <c r="B97" s="3" t="inlineStr">
        <is>
          <t>K28</t>
        </is>
      </c>
      <c r="C97" s="3" t="n">
        <v>196.067</v>
      </c>
      <c r="D97" s="3" t="n">
        <v>196.354788790597</v>
      </c>
      <c r="E97" s="3" t="inlineStr">
        <is>
          <t>预测修订</t>
        </is>
      </c>
      <c r="F97" s="3"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97" s="3" t="inlineStr">
        <is>
          <t>[{"x": 34, "cells": ["F28", "G28", "H28", "I28"], "values": [196.643, 196.643, 196.643, 196.643]}, {"x": 51, "cells": ["J28", "K28", "L28", "M28"], "values": [196.067, 196.067, 196.067, 196.067]}, {"x": 58, "cells": ["N28"], "values": [211.816]}, {"x": 70.5, "cells": ["O28", "P28", "Q28"], "values": [235.675, 235.675, 235.675]}, {"x": 77.5, "cells": ["R28"], "values": [270.381]}, {"x": 84, "cells": ["S28"], "values": [270.381]}, {"x": 85, "cells": ["T28"], "values": [335.917]}, {"x": 92, "cells": ["U28"], "values": [344.128]}, {"x": 95, "cells": ["V28"], "values": [483.411]}, {"x": 97, "cells": ["W28"], "values": [753.766]}]</t>
        </is>
      </c>
    </row>
    <row r="98" ht="148.5" customHeight="1" s="1">
      <c r="A98" s="3" t="inlineStr">
        <is>
          <t>SIFT1M</t>
        </is>
      </c>
      <c r="B98" s="3" t="inlineStr">
        <is>
          <t>L28</t>
        </is>
      </c>
      <c r="C98" s="3" t="n">
        <v>196.067</v>
      </c>
      <c r="D98" s="3" t="n">
        <v>196.354788790597</v>
      </c>
      <c r="E98" s="3" t="inlineStr">
        <is>
          <t>预测修订</t>
        </is>
      </c>
      <c r="F98" s="3"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98" s="3" t="inlineStr">
        <is>
          <t>[{"x": 34, "cells": ["F28", "G28", "H28", "I28"], "values": [196.643, 196.643, 196.643, 196.643]}, {"x": 51, "cells": ["J28", "K28", "L28", "M28"], "values": [196.067, 196.067, 196.067, 196.067]}, {"x": 58, "cells": ["N28"], "values": [211.816]}, {"x": 70.5, "cells": ["O28", "P28", "Q28"], "values": [235.675, 235.675, 235.675]}, {"x": 77.5, "cells": ["R28"], "values": [270.381]}, {"x": 84, "cells": ["S28"], "values": [270.381]}, {"x": 85, "cells": ["T28"], "values": [335.917]}, {"x": 92, "cells": ["U28"], "values": [344.128]}, {"x": 95, "cells": ["V28"], "values": [483.411]}, {"x": 97, "cells": ["W28"], "values": [753.766]}]</t>
        </is>
      </c>
    </row>
    <row r="99" ht="148.5" customHeight="1" s="1">
      <c r="A99" s="3" t="inlineStr">
        <is>
          <t>SIFT1M</t>
        </is>
      </c>
      <c r="B99" s="3" t="inlineStr">
        <is>
          <t>M28</t>
        </is>
      </c>
      <c r="C99" s="3" t="n">
        <v>196.067</v>
      </c>
      <c r="D99" s="3" t="n">
        <v>196.354788790597</v>
      </c>
      <c r="E99" s="3" t="inlineStr">
        <is>
          <t>预测修订</t>
        </is>
      </c>
      <c r="F99" s="3"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99" s="3" t="inlineStr">
        <is>
          <t>[{"x": 34, "cells": ["F28", "G28", "H28", "I28"], "values": [196.643, 196.643, 196.643, 196.643]}, {"x": 51, "cells": ["J28", "K28", "L28", "M28"], "values": [196.067, 196.067, 196.067, 196.067]}, {"x": 58, "cells": ["N28"], "values": [211.816]}, {"x": 70.5, "cells": ["O28", "P28", "Q28"], "values": [235.675, 235.675, 235.675]}, {"x": 77.5, "cells": ["R28"], "values": [270.381]}, {"x": 84, "cells": ["S28"], "values": [270.381]}, {"x": 85, "cells": ["T28"], "values": [335.917]}, {"x": 92, "cells": ["U28"], "values": [344.128]}, {"x": 95, "cells": ["V28"], "values": [483.411]}, {"x": 97, "cells": ["W28"], "values": [753.766]}]</t>
        </is>
      </c>
    </row>
    <row r="100" ht="243" customHeight="1" s="1">
      <c r="A100" s="3" t="inlineStr">
        <is>
          <t>SIFT1M</t>
        </is>
      </c>
      <c r="B100" s="3" t="inlineStr">
        <is>
          <t>F40</t>
        </is>
      </c>
      <c r="C100" s="3" t="n">
        <v>0.905784183333333</v>
      </c>
      <c r="D100" s="3" t="n">
        <v>0.904649339084811</v>
      </c>
      <c r="E100" s="3" t="inlineStr">
        <is>
          <t>预测修订</t>
        </is>
      </c>
      <c r="F100"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00" s="3" t="inlineStr">
        <is>
          <t>[{"x": 24, "cells": ["F40", "G40"], "values": [0.905784183333333, 0.905784183333333]}, {"x": 33, "cells": ["H40", "I40"], "values": [0.903515916666667, 0.903515916666667]}, {"x": 41, "cells": ["J40", "K40"], "values": [0.942581116666667, 0.942581116666667]}, {"x": 51, "cells": ["L40", "M40"], "values": [1.07211965, 1.07211965]}, {"x": 55.5, "cells": ["N40"], "values": [1.10992136666667]}, {"x": 62.3, "cells": ["O40"], "values": [1.55806525333333]}, {"x": 66.3, "cells": ["P40"], "values": [1.64942995]}, {"x": 70.2, "cells": ["Q40"], "values": [1.82777087333333]}, {"x": 76, "cells": ["R40"], "values": [2.06668139]}, {"x": 80.3, "cells": ["S40"], "values": [2.30338058333333]}, {"x": 87.3, "cells": ["T40"], "values": [3.06051667666667]}, {"x": 90.4, "cells": ["U40"], "values": [3.48902270333333]}, {"x": 95.4, "cells": ["V40"], "values": [4.68043708333333]}, {"x": 97.2, "cells": ["W40"], "values": [6.08716991666667]}, {"x": 98.7, "cells": ["X40"], "values": [9.89511474333333]}, {"x": 99, "cells": ["Y40"], "values": [12.29062924]}]</t>
        </is>
      </c>
    </row>
    <row r="101" ht="243" customHeight="1" s="1">
      <c r="A101" s="3" t="inlineStr">
        <is>
          <t>SIFT1M</t>
        </is>
      </c>
      <c r="B101" s="3" t="inlineStr">
        <is>
          <t>G40</t>
        </is>
      </c>
      <c r="C101" s="3" t="n">
        <v>0.905784183333333</v>
      </c>
      <c r="D101" s="3" t="n">
        <v>0.904649339084811</v>
      </c>
      <c r="E101" s="3" t="inlineStr">
        <is>
          <t>预测修订</t>
        </is>
      </c>
      <c r="F101"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01" s="3" t="inlineStr">
        <is>
          <t>[{"x": 24, "cells": ["F40", "G40"], "values": [0.905784183333333, 0.905784183333333]}, {"x": 33, "cells": ["H40", "I40"], "values": [0.903515916666667, 0.903515916666667]}, {"x": 41, "cells": ["J40", "K40"], "values": [0.942581116666667, 0.942581116666667]}, {"x": 51, "cells": ["L40", "M40"], "values": [1.07211965, 1.07211965]}, {"x": 55.5, "cells": ["N40"], "values": [1.10992136666667]}, {"x": 62.3, "cells": ["O40"], "values": [1.55806525333333]}, {"x": 66.3, "cells": ["P40"], "values": [1.64942995]}, {"x": 70.2, "cells": ["Q40"], "values": [1.82777087333333]}, {"x": 76, "cells": ["R40"], "values": [2.06668139]}, {"x": 80.3, "cells": ["S40"], "values": [2.30338058333333]}, {"x": 87.3, "cells": ["T40"], "values": [3.06051667666667]}, {"x": 90.4, "cells": ["U40"], "values": [3.48902270333333]}, {"x": 95.4, "cells": ["V40"], "values": [4.68043708333333]}, {"x": 97.2, "cells": ["W40"], "values": [6.08716991666667]}, {"x": 98.7, "cells": ["X40"], "values": [9.89511474333333]}, {"x": 99, "cells": ["Y40"], "values": [12.29062924]}]</t>
        </is>
      </c>
    </row>
    <row r="102" ht="243" customHeight="1" s="1">
      <c r="A102" s="3" t="inlineStr">
        <is>
          <t>SIFT1M</t>
        </is>
      </c>
      <c r="B102" s="3" t="inlineStr">
        <is>
          <t>H40</t>
        </is>
      </c>
      <c r="C102" s="3" t="n">
        <v>0.903515916666667</v>
      </c>
      <c r="D102" s="3" t="n">
        <v>0.905</v>
      </c>
      <c r="E102" s="3" t="inlineStr">
        <is>
          <t>预测修订</t>
        </is>
      </c>
      <c r="F102"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02" s="3" t="inlineStr">
        <is>
          <t>[{"x": 24, "cells": ["F40", "G40"], "values": [0.905784183333333, 0.905784183333333]}, {"x": 33, "cells": ["H40", "I40"], "values": [0.903515916666667, 0.903515916666667]}, {"x": 41, "cells": ["J40", "K40"], "values": [0.942581116666667, 0.942581116666667]}, {"x": 51, "cells": ["L40", "M40"], "values": [1.07211965, 1.07211965]}, {"x": 55.5, "cells": ["N40"], "values": [1.10992136666667]}, {"x": 62.3, "cells": ["O40"], "values": [1.55806525333333]}, {"x": 66.3, "cells": ["P40"], "values": [1.64942995]}, {"x": 70.2, "cells": ["Q40"], "values": [1.82777087333333]}, {"x": 76, "cells": ["R40"], "values": [2.06668139]}, {"x": 80.3, "cells": ["S40"], "values": [2.30338058333333]}, {"x": 87.3, "cells": ["T40"], "values": [3.06051667666667]}, {"x": 90.4, "cells": ["U40"], "values": [3.48902270333333]}, {"x": 95.4, "cells": ["V40"], "values": [4.68043708333333]}, {"x": 97.2, "cells": ["W40"], "values": [6.08716991666667]}, {"x": 98.7, "cells": ["X40"], "values": [9.89511474333333]}, {"x": 99, "cells": ["Y40"], "values": [12.29062924]}]</t>
        </is>
      </c>
    </row>
    <row r="103" ht="243" customHeight="1" s="1">
      <c r="A103" s="3" t="inlineStr">
        <is>
          <t>SIFT1M</t>
        </is>
      </c>
      <c r="B103" s="3" t="inlineStr">
        <is>
          <t>I40</t>
        </is>
      </c>
      <c r="C103" s="3" t="n">
        <v>0.903515916666667</v>
      </c>
      <c r="D103" s="3" t="n">
        <v>0.905</v>
      </c>
      <c r="E103" s="3" t="inlineStr">
        <is>
          <t>预测修订</t>
        </is>
      </c>
      <c r="F103"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03" s="3" t="inlineStr">
        <is>
          <t>[{"x": 24, "cells": ["F40", "G40"], "values": [0.905784183333333, 0.905784183333333]}, {"x": 33, "cells": ["H40", "I40"], "values": [0.903515916666667, 0.903515916666667]}, {"x": 41, "cells": ["J40", "K40"], "values": [0.942581116666667, 0.942581116666667]}, {"x": 51, "cells": ["L40", "M40"], "values": [1.07211965, 1.07211965]}, {"x": 55.5, "cells": ["N40"], "values": [1.10992136666667]}, {"x": 62.3, "cells": ["O40"], "values": [1.55806525333333]}, {"x": 66.3, "cells": ["P40"], "values": [1.64942995]}, {"x": 70.2, "cells": ["Q40"], "values": [1.82777087333333]}, {"x": 76, "cells": ["R40"], "values": [2.06668139]}, {"x": 80.3, "cells": ["S40"], "values": [2.30338058333333]}, {"x": 87.3, "cells": ["T40"], "values": [3.06051667666667]}, {"x": 90.4, "cells": ["U40"], "values": [3.48902270333333]}, {"x": 95.4, "cells": ["V40"], "values": [4.68043708333333]}, {"x": 97.2, "cells": ["W40"], "values": [6.08716991666667]}, {"x": 98.7, "cells": ["X40"], "values": [9.89511474333333]}, {"x": 99, "cells": ["Y40"], "values": [12.29062924]}]</t>
        </is>
      </c>
    </row>
    <row r="104" ht="189" customHeight="1" s="1">
      <c r="A104" s="3" t="inlineStr">
        <is>
          <t>SIFT1M</t>
        </is>
      </c>
      <c r="B104" s="3" t="inlineStr">
        <is>
          <t>F42</t>
        </is>
      </c>
      <c r="C104" s="3" t="n">
        <v>11.1058220000047</v>
      </c>
      <c r="D104" s="3" t="n">
        <v>11.1</v>
      </c>
      <c r="E104" s="3" t="inlineStr">
        <is>
          <t>预测修订</t>
        </is>
      </c>
      <c r="F104"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04" s="3" t="inlineStr">
        <is>
          <t>[{"x":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t>
        </is>
      </c>
    </row>
    <row r="105" ht="189" customHeight="1" s="1">
      <c r="A105" s="3" t="inlineStr">
        <is>
          <t>SIFT1M</t>
        </is>
      </c>
      <c r="B105" s="3" t="inlineStr">
        <is>
          <t>G42</t>
        </is>
      </c>
      <c r="C105" s="3" t="n">
        <v>11.1058220000047</v>
      </c>
      <c r="D105" s="3" t="n">
        <v>11.1</v>
      </c>
      <c r="E105" s="3" t="inlineStr">
        <is>
          <t>预测修订</t>
        </is>
      </c>
      <c r="F105"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05" s="3" t="inlineStr">
        <is>
          <t>[{"x":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t>
        </is>
      </c>
    </row>
    <row r="106" ht="189" customHeight="1" s="1">
      <c r="A106" s="3" t="inlineStr">
        <is>
          <t>SIFT1M</t>
        </is>
      </c>
      <c r="B106" s="3" t="inlineStr">
        <is>
          <t>H42</t>
        </is>
      </c>
      <c r="C106" s="3" t="n">
        <v>11.1058220000047</v>
      </c>
      <c r="D106" s="3" t="n">
        <v>11.1</v>
      </c>
      <c r="E106" s="3" t="inlineStr">
        <is>
          <t>预测修订</t>
        </is>
      </c>
      <c r="F106"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06" s="3" t="inlineStr">
        <is>
          <t>[{"x":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t>
        </is>
      </c>
    </row>
    <row r="107" ht="189" customHeight="1" s="1">
      <c r="A107" s="3" t="inlineStr">
        <is>
          <t>SIFT1M</t>
        </is>
      </c>
      <c r="B107" s="3" t="inlineStr">
        <is>
          <t>I42</t>
        </is>
      </c>
      <c r="C107" s="3" t="n">
        <v>11.1058220000047</v>
      </c>
      <c r="D107" s="3" t="n">
        <v>11.1</v>
      </c>
      <c r="E107" s="3" t="inlineStr">
        <is>
          <t>预测修订</t>
        </is>
      </c>
      <c r="F107"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07" s="3" t="inlineStr">
        <is>
          <t>[{"x":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t>
        </is>
      </c>
    </row>
    <row r="108" ht="189" customHeight="1" s="1">
      <c r="A108" s="3" t="inlineStr">
        <is>
          <t>SIFT1M</t>
        </is>
      </c>
      <c r="B108" s="3" t="inlineStr">
        <is>
          <t>J42</t>
        </is>
      </c>
      <c r="C108" s="3" t="n">
        <v>11.1032510000086</v>
      </c>
      <c r="D108" s="3" t="n">
        <v>11.1045364255997</v>
      </c>
      <c r="E108" s="3" t="inlineStr">
        <is>
          <t>预测修订</t>
        </is>
      </c>
      <c r="F108"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08" s="3" t="inlineStr">
        <is>
          <t>[{"x":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t>
        </is>
      </c>
    </row>
    <row r="109" ht="189" customHeight="1" s="1">
      <c r="A109" s="3" t="inlineStr">
        <is>
          <t>SIFT1M</t>
        </is>
      </c>
      <c r="B109" s="3" t="inlineStr">
        <is>
          <t>K42</t>
        </is>
      </c>
      <c r="C109" s="3" t="n">
        <v>11.1032510000086</v>
      </c>
      <c r="D109" s="3" t="n">
        <v>11.1045364255997</v>
      </c>
      <c r="E109" s="3" t="inlineStr">
        <is>
          <t>预测修订</t>
        </is>
      </c>
      <c r="F109"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09" s="3" t="inlineStr">
        <is>
          <t>[{"x":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t>
        </is>
      </c>
    </row>
    <row r="110" ht="189" customHeight="1" s="1">
      <c r="A110" s="3" t="inlineStr">
        <is>
          <t>SIFT1M</t>
        </is>
      </c>
      <c r="B110" s="3" t="inlineStr">
        <is>
          <t>L42</t>
        </is>
      </c>
      <c r="C110" s="3" t="n">
        <v>11.1032510000086</v>
      </c>
      <c r="D110" s="3" t="n">
        <v>11.1045364255997</v>
      </c>
      <c r="E110" s="3" t="inlineStr">
        <is>
          <t>预测修订</t>
        </is>
      </c>
      <c r="F110"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10" s="3" t="inlineStr">
        <is>
          <t>[{"x":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t>
        </is>
      </c>
    </row>
    <row r="111" ht="189" customHeight="1" s="1">
      <c r="A111" s="3" t="inlineStr">
        <is>
          <t>SIFT1M</t>
        </is>
      </c>
      <c r="B111" s="3" t="inlineStr">
        <is>
          <t>M42</t>
        </is>
      </c>
      <c r="C111" s="3" t="n">
        <v>11.1032510000086</v>
      </c>
      <c r="D111" s="3" t="n">
        <v>11.1045364255997</v>
      </c>
      <c r="E111" s="3" t="inlineStr">
        <is>
          <t>预测修订</t>
        </is>
      </c>
      <c r="F111"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11" s="3" t="inlineStr">
        <is>
          <t>[{"x":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t>
        </is>
      </c>
    </row>
    <row r="112" ht="189" customHeight="1" s="1">
      <c r="A112" s="3" t="inlineStr">
        <is>
          <t>SIFT1M</t>
        </is>
      </c>
      <c r="B112" s="3" t="inlineStr">
        <is>
          <t>O42</t>
        </is>
      </c>
      <c r="C112" s="3" t="n">
        <v>71.0790379998798</v>
      </c>
      <c r="D112" s="3" t="n">
        <v>31.8635601742517</v>
      </c>
      <c r="E112" s="3" t="inlineStr">
        <is>
          <t>预测修订</t>
        </is>
      </c>
      <c r="F112"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12" s="3" t="inlineStr">
        <is>
          <t>[{"x":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t>
        </is>
      </c>
    </row>
    <row r="113" ht="189" customHeight="1" s="1">
      <c r="A113" s="3" t="inlineStr">
        <is>
          <t>SIFT1M</t>
        </is>
      </c>
      <c r="B113" s="3" t="inlineStr">
        <is>
          <t>P42</t>
        </is>
      </c>
      <c r="C113" s="3" t="n">
        <v>71.0790379998798</v>
      </c>
      <c r="D113" s="3" t="n">
        <v>31.8635601742517</v>
      </c>
      <c r="E113" s="3" t="inlineStr">
        <is>
          <t>预测修订</t>
        </is>
      </c>
      <c r="F113"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13" s="3" t="inlineStr">
        <is>
          <t>[{"x":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t>
        </is>
      </c>
    </row>
    <row r="114" ht="189" customHeight="1" s="1">
      <c r="A114" s="3" t="inlineStr">
        <is>
          <t>SIFT1M</t>
        </is>
      </c>
      <c r="B114" s="3" t="inlineStr">
        <is>
          <t>Q42</t>
        </is>
      </c>
      <c r="C114" s="3" t="n">
        <v>71.0790379998798</v>
      </c>
      <c r="D114" s="3" t="n">
        <v>31.8635601742517</v>
      </c>
      <c r="E114" s="3" t="inlineStr">
        <is>
          <t>预测修订</t>
        </is>
      </c>
      <c r="F114"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14" s="3" t="inlineStr">
        <is>
          <t>[{"x":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t>
        </is>
      </c>
    </row>
    <row r="115" ht="189" customHeight="1" s="1">
      <c r="A115" s="3" t="inlineStr">
        <is>
          <t>SIFT1M</t>
        </is>
      </c>
      <c r="B115" s="3" t="inlineStr">
        <is>
          <t>R42</t>
        </is>
      </c>
      <c r="C115" s="3" t="n">
        <v>25.0650985723704</v>
      </c>
      <c r="D115" s="3" t="n">
        <v>31.8635601742517</v>
      </c>
      <c r="E115" s="3" t="inlineStr">
        <is>
          <t>预测修订</t>
        </is>
      </c>
      <c r="F115"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15" s="3" t="inlineStr">
        <is>
          <t>[{"x":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t>
        </is>
      </c>
    </row>
    <row r="116" ht="189" customHeight="1" s="1">
      <c r="A116" s="3" t="inlineStr">
        <is>
          <t>SIFT1M</t>
        </is>
      </c>
      <c r="B116" s="3" t="inlineStr">
        <is>
          <t>S42</t>
        </is>
      </c>
      <c r="C116" s="3" t="n">
        <v>25.0650985723704</v>
      </c>
      <c r="D116" s="3" t="n">
        <v>31.8635601742517</v>
      </c>
      <c r="E116" s="3" t="inlineStr">
        <is>
          <t>预测修订</t>
        </is>
      </c>
      <c r="F116"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16" s="3" t="inlineStr">
        <is>
          <t>[{"x":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t>
        </is>
      </c>
    </row>
    <row r="117" ht="189" customHeight="1" s="1">
      <c r="A117" s="3" t="inlineStr">
        <is>
          <t>SIFT1M</t>
        </is>
      </c>
      <c r="B117" s="3" t="inlineStr">
        <is>
          <t>T42</t>
        </is>
      </c>
      <c r="C117" s="3" t="n">
        <v>26.5592664083079</v>
      </c>
      <c r="D117" s="3" t="n">
        <v>31.8635601742517</v>
      </c>
      <c r="E117" s="3" t="inlineStr">
        <is>
          <t>预测修订</t>
        </is>
      </c>
      <c r="F117"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17" s="3" t="inlineStr">
        <is>
          <t>[{"x":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t>
        </is>
      </c>
    </row>
    <row r="118" ht="189" customHeight="1" s="1">
      <c r="A118" s="3" t="inlineStr">
        <is>
          <t>SIFT1M</t>
        </is>
      </c>
      <c r="B118" s="3" t="inlineStr">
        <is>
          <t>U42</t>
        </is>
      </c>
      <c r="C118" s="3" t="n">
        <v>27.7085114237864</v>
      </c>
      <c r="D118" s="3" t="n">
        <v>31.8635601742517</v>
      </c>
      <c r="E118" s="3" t="inlineStr">
        <is>
          <t>预测修订</t>
        </is>
      </c>
      <c r="F118"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18" s="3" t="inlineStr">
        <is>
          <t>[{"x":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t>
        </is>
      </c>
    </row>
    <row r="119" ht="189" customHeight="1" s="1">
      <c r="A119" s="3" t="inlineStr">
        <is>
          <t>SIFT1M</t>
        </is>
      </c>
      <c r="B119" s="3" t="inlineStr">
        <is>
          <t>V42</t>
        </is>
      </c>
      <c r="C119" s="3" t="n">
        <v>31.8460921111398</v>
      </c>
      <c r="D119" s="3" t="n">
        <v>31.9</v>
      </c>
      <c r="E119" s="3" t="inlineStr">
        <is>
          <t>预测修订</t>
        </is>
      </c>
      <c r="F119"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19" s="3" t="inlineStr">
        <is>
          <t>[{"x":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t>
        </is>
      </c>
    </row>
    <row r="120" ht="243" customHeight="1" s="1">
      <c r="A120" s="3" t="inlineStr">
        <is>
          <t>SIFT1M</t>
        </is>
      </c>
      <c r="B120" s="3" t="inlineStr">
        <is>
          <t>F54</t>
        </is>
      </c>
      <c r="C120" s="3" t="n">
        <v>0.3375467</v>
      </c>
      <c r="D120" s="3" t="n">
        <v>0.334</v>
      </c>
      <c r="E120" s="3" t="inlineStr">
        <is>
          <t>预测修订</t>
        </is>
      </c>
      <c r="F120" s="3" t="inlineStr">
        <is>
          <t>Recall@10/query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20" s="3" t="inlineStr">
        <is>
          <t>[{"x": 24, "cells": ["F54", "G54"], "values": [0.3375467, 0.3375467]}, {"x": 33, "cells": ["H54", "I54"], "values": [0.331211233333333, 0.331211233333333]}, {"x": 41, "cells": ["J54", "K54"], "values": [0.362106066666667, 0.362106066666667]}, {"x": 51, "cells": ["L54", "M54"], "values": [0.416990183333333, 0.416990183333333]}, {"x": 55.5, "cells": ["N54"], "values": [0.429995983333333]}, {"x": 62.3, "cells": ["O54"], "values": [0.615278846666667]}, {"x": 66.3, "cells": ["P54"], "values": [0.658947806666667]}, {"x": 70.2, "cells": ["Q54"], "values": [0.77556551]}, {"x": 76, "cells": ["R54"], "values": [0.85642335]}, {"x": 80.3, "cells": ["S54"], "values": [0.971397763333333]}, {"x": 87.3, "cells": ["T54"], "values": [1.37489354333333]}, {"x": 90.4, "cells": ["U54"], "values": [1.66592562666667]}, {"x": 95.4, "cells": ["V54"], "values": [2.33039252333333]}, {"x": 97.2, "cells": ["W54"], "values": [3.21146328333333]}, {"x": 98.7, "cells": ["X54"], "values": [5.43708398]}, {"x": 99, "cells": ["Y54"], "values": [6.88074424333333]}]</t>
        </is>
      </c>
    </row>
    <row r="121" ht="243" customHeight="1" s="1">
      <c r="A121" s="3" t="inlineStr">
        <is>
          <t>SIFT1M</t>
        </is>
      </c>
      <c r="B121" s="3" t="inlineStr">
        <is>
          <t>G54</t>
        </is>
      </c>
      <c r="C121" s="3" t="n">
        <v>0.3375467</v>
      </c>
      <c r="D121" s="3" t="n">
        <v>0.334</v>
      </c>
      <c r="E121" s="3" t="inlineStr">
        <is>
          <t>预测修订</t>
        </is>
      </c>
      <c r="F121" s="3" t="inlineStr">
        <is>
          <t>Recall@10/query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21" s="3" t="inlineStr">
        <is>
          <t>[{"x": 24, "cells": ["F54", "G54"], "values": [0.3375467, 0.3375467]}, {"x": 33, "cells": ["H54", "I54"], "values": [0.331211233333333, 0.331211233333333]}, {"x": 41, "cells": ["J54", "K54"], "values": [0.362106066666667, 0.362106066666667]}, {"x": 51, "cells": ["L54", "M54"], "values": [0.416990183333333, 0.416990183333333]}, {"x": 55.5, "cells": ["N54"], "values": [0.429995983333333]}, {"x": 62.3, "cells": ["O54"], "values": [0.615278846666667]}, {"x": 66.3, "cells": ["P54"], "values": [0.658947806666667]}, {"x": 70.2, "cells": ["Q54"], "values": [0.77556551]}, {"x": 76, "cells": ["R54"], "values": [0.85642335]}, {"x": 80.3, "cells": ["S54"], "values": [0.971397763333333]}, {"x": 87.3, "cells": ["T54"], "values": [1.37489354333333]}, {"x": 90.4, "cells": ["U54"], "values": [1.66592562666667]}, {"x": 95.4, "cells": ["V54"], "values": [2.33039252333333]}, {"x": 97.2, "cells": ["W54"], "values": [3.21146328333333]}, {"x": 98.7, "cells": ["X54"], "values": [5.43708398]}, {"x": 99, "cells": ["Y54"], "values": [6.88074424333333]}]</t>
        </is>
      </c>
    </row>
    <row r="122" ht="243" customHeight="1" s="1">
      <c r="A122" s="3" t="inlineStr">
        <is>
          <t>SIFT1M</t>
        </is>
      </c>
      <c r="B122" s="3" t="inlineStr">
        <is>
          <t>H54</t>
        </is>
      </c>
      <c r="C122" s="3" t="n">
        <v>0.331211233333333</v>
      </c>
      <c r="D122" s="3" t="n">
        <v>0.334363961596636</v>
      </c>
      <c r="E122" s="3" t="inlineStr">
        <is>
          <t>预测修订</t>
        </is>
      </c>
      <c r="F122" s="3" t="inlineStr">
        <is>
          <t>Recall@10/query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22" s="3" t="inlineStr">
        <is>
          <t>[{"x": 24, "cells": ["F54", "G54"], "values": [0.3375467, 0.3375467]}, {"x": 33, "cells": ["H54", "I54"], "values": [0.331211233333333, 0.331211233333333]}, {"x": 41, "cells": ["J54", "K54"], "values": [0.362106066666667, 0.362106066666667]}, {"x": 51, "cells": ["L54", "M54"], "values": [0.416990183333333, 0.416990183333333]}, {"x": 55.5, "cells": ["N54"], "values": [0.429995983333333]}, {"x": 62.3, "cells": ["O54"], "values": [0.615278846666667]}, {"x": 66.3, "cells": ["P54"], "values": [0.658947806666667]}, {"x": 70.2, "cells": ["Q54"], "values": [0.77556551]}, {"x": 76, "cells": ["R54"], "values": [0.85642335]}, {"x": 80.3, "cells": ["S54"], "values": [0.971397763333333]}, {"x": 87.3, "cells": ["T54"], "values": [1.37489354333333]}, {"x": 90.4, "cells": ["U54"], "values": [1.66592562666667]}, {"x": 95.4, "cells": ["V54"], "values": [2.33039252333333]}, {"x": 97.2, "cells": ["W54"], "values": [3.21146328333333]}, {"x": 98.7, "cells": ["X54"], "values": [5.43708398]}, {"x": 99, "cells": ["Y54"], "values": [6.88074424333333]}]</t>
        </is>
      </c>
    </row>
    <row r="123" ht="243" customHeight="1" s="1">
      <c r="A123" s="3" t="inlineStr">
        <is>
          <t>SIFT1M</t>
        </is>
      </c>
      <c r="B123" s="3" t="inlineStr">
        <is>
          <t>I54</t>
        </is>
      </c>
      <c r="C123" s="3" t="n">
        <v>0.331211233333333</v>
      </c>
      <c r="D123" s="3" t="n">
        <v>0.334363961596636</v>
      </c>
      <c r="E123" s="3" t="inlineStr">
        <is>
          <t>预测修订</t>
        </is>
      </c>
      <c r="F123" s="3" t="inlineStr">
        <is>
          <t>Recall@10/query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23" s="3" t="inlineStr">
        <is>
          <t>[{"x": 24, "cells": ["F54", "G54"], "values": [0.3375467, 0.3375467]}, {"x": 33, "cells": ["H54", "I54"], "values": [0.331211233333333, 0.331211233333333]}, {"x": 41, "cells": ["J54", "K54"], "values": [0.362106066666667, 0.362106066666667]}, {"x": 51, "cells": ["L54", "M54"], "values": [0.416990183333333, 0.416990183333333]}, {"x": 55.5, "cells": ["N54"], "values": [0.429995983333333]}, {"x": 62.3, "cells": ["O54"], "values": [0.615278846666667]}, {"x": 66.3, "cells": ["P54"], "values": [0.658947806666667]}, {"x": 70.2, "cells": ["Q54"], "values": [0.77556551]}, {"x": 76, "cells": ["R54"], "values": [0.85642335]}, {"x": 80.3, "cells": ["S54"], "values": [0.971397763333333]}, {"x": 87.3, "cells": ["T54"], "values": [1.37489354333333]}, {"x": 90.4, "cells": ["U54"], "values": [1.66592562666667]}, {"x": 95.4, "cells": ["V54"], "values": [2.33039252333333]}, {"x": 97.2, "cells": ["W54"], "values": [3.21146328333333]}, {"x": 98.7, "cells": ["X54"], "values": [5.43708398]}, {"x": 99, "cells": ["Y54"], "values": [6.88074424333333]}]</t>
        </is>
      </c>
    </row>
    <row r="124" ht="135" customHeight="1" s="1">
      <c r="A124" s="3" t="inlineStr">
        <is>
          <t>SIFT1M</t>
        </is>
      </c>
      <c r="B124" s="3" t="inlineStr">
        <is>
          <t>F107</t>
        </is>
      </c>
      <c r="C124" s="3" t="n">
        <v>238.982</v>
      </c>
      <c r="D124" s="3" t="n">
        <v>237</v>
      </c>
      <c r="E124" s="3" t="inlineStr">
        <is>
          <t>预测修订</t>
        </is>
      </c>
      <c r="F124" s="3"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24" s="3" t="inlineStr">
        <is>
          <t>[{"x": 6, "cells": ["F107"], "values": [238.982]}, {"x": 7, "cells": ["G107"], "values": [237.604]}, {"x": 8, "cells": ["H107"], "values": [235.675]}, {"x": 9, "cells": ["I107"], "values": [239.759]}, {"x": 10, "cells": ["J107"], "values": [237.917]}, {"x": 11, "cells": ["K107"], "values": [241.711]}]</t>
        </is>
      </c>
    </row>
    <row r="125" ht="135" customHeight="1" s="1">
      <c r="A125" s="3" t="inlineStr">
        <is>
          <t>SIFT1M</t>
        </is>
      </c>
      <c r="B125" s="3" t="inlineStr">
        <is>
          <t>G107</t>
        </is>
      </c>
      <c r="C125" s="3" t="n">
        <v>237.604</v>
      </c>
      <c r="D125" s="3" t="n">
        <v>237.416456220932</v>
      </c>
      <c r="E125" s="3" t="inlineStr">
        <is>
          <t>预测修订</t>
        </is>
      </c>
      <c r="F125" s="3"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25" s="3" t="inlineStr">
        <is>
          <t>[{"x": 6, "cells": ["F107"], "values": [238.982]}, {"x": 7, "cells": ["G107"], "values": [237.604]}, {"x": 8, "cells": ["H107"], "values": [235.675]}, {"x": 9, "cells": ["I107"], "values": [239.759]}, {"x": 10, "cells": ["J107"], "values": [237.917]}, {"x": 11, "cells": ["K107"], "values": [241.711]}]</t>
        </is>
      </c>
    </row>
    <row r="126" ht="135" customHeight="1" s="1">
      <c r="A126" s="3" t="inlineStr">
        <is>
          <t>SIFT1M</t>
        </is>
      </c>
      <c r="B126" s="3" t="inlineStr">
        <is>
          <t>H107</t>
        </is>
      </c>
      <c r="C126" s="3" t="n">
        <v>235.675</v>
      </c>
      <c r="D126" s="3" t="n">
        <v>237.416456220932</v>
      </c>
      <c r="E126" s="3" t="inlineStr">
        <is>
          <t>预测修订</t>
        </is>
      </c>
      <c r="F126" s="3"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26" s="3" t="inlineStr">
        <is>
          <t>[{"x": 6, "cells": ["F107"], "values": [238.982]}, {"x": 7, "cells": ["G107"], "values": [237.604]}, {"x": 8, "cells": ["H107"], "values": [235.675]}, {"x": 9, "cells": ["I107"], "values": [239.759]}, {"x": 10, "cells": ["J107"], "values": [237.917]}, {"x": 11, "cells": ["K107"], "values": [241.711]}]</t>
        </is>
      </c>
    </row>
    <row r="127" ht="135" customHeight="1" s="1">
      <c r="A127" s="3" t="inlineStr">
        <is>
          <t>SIFT1M</t>
        </is>
      </c>
      <c r="B127" s="3" t="inlineStr">
        <is>
          <t>I107</t>
        </is>
      </c>
      <c r="C127" s="3" t="n">
        <v>239.759</v>
      </c>
      <c r="D127" s="3" t="n">
        <v>238.83622422698</v>
      </c>
      <c r="E127" s="3" t="inlineStr">
        <is>
          <t>预测修订</t>
        </is>
      </c>
      <c r="F127" s="3"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27" s="3" t="inlineStr">
        <is>
          <t>[{"x": 6, "cells": ["F107"], "values": [238.982]}, {"x": 7, "cells": ["G107"], "values": [237.604]}, {"x": 8, "cells": ["H107"], "values": [235.675]}, {"x": 9, "cells": ["I107"], "values": [239.759]}, {"x": 10, "cells": ["J107"], "values": [237.917]}, {"x": 11, "cells": ["K107"], "values": [241.711]}]</t>
        </is>
      </c>
    </row>
    <row r="128" ht="135" customHeight="1" s="1">
      <c r="A128" s="3" t="inlineStr">
        <is>
          <t>SIFT1M</t>
        </is>
      </c>
      <c r="B128" s="3" t="inlineStr">
        <is>
          <t>J107</t>
        </is>
      </c>
      <c r="C128" s="3" t="n">
        <v>237.917</v>
      </c>
      <c r="D128" s="3" t="n">
        <v>239</v>
      </c>
      <c r="E128" s="3" t="inlineStr">
        <is>
          <t>预测修订</t>
        </is>
      </c>
      <c r="F128" s="3"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28" s="3" t="inlineStr">
        <is>
          <t>[{"x": 6, "cells": ["F107"], "values": [238.982]}, {"x": 7, "cells": ["G107"], "values": [237.604]}, {"x": 8, "cells": ["H107"], "values": [235.675]}, {"x": 9, "cells": ["I107"], "values": [239.759]}, {"x": 10, "cells": ["J107"], "values": [237.917]}, {"x": 11, "cells": ["K107"], "values": [241.711]}]</t>
        </is>
      </c>
    </row>
    <row r="129" ht="135" customHeight="1" s="1">
      <c r="A129" s="3" t="inlineStr">
        <is>
          <t>SIFT1M</t>
        </is>
      </c>
      <c r="B129" s="3" t="inlineStr">
        <is>
          <t>F116</t>
        </is>
      </c>
      <c r="C129" s="3" t="n">
        <v>164.016030326667</v>
      </c>
      <c r="D129" s="3" t="n">
        <v>162</v>
      </c>
      <c r="E129" s="3" t="inlineStr">
        <is>
          <t>预测修订</t>
        </is>
      </c>
      <c r="F129"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29" s="3" t="inlineStr">
        <is>
          <t>[{"x": 6, "cells": ["F116"], "values": [164.016030326667]}, {"x": 7, "cells": ["G116"], "values": [160.885613066667]}, {"x": 8, "cells": ["H116"], "values": [163.210839856667]}, {"x": 9, "cells": ["I116"], "values": [166.641273096667]}, {"x": 10, "cells": ["J116"], "values": [161.22617848]}, {"x": 11, "cells": ["K116"], "values": [161.153135363333]}]</t>
        </is>
      </c>
    </row>
    <row r="130" ht="135" customHeight="1" s="1">
      <c r="A130" s="3" t="inlineStr">
        <is>
          <t>SIFT1M</t>
        </is>
      </c>
      <c r="B130" s="3" t="inlineStr">
        <is>
          <t>G116</t>
        </is>
      </c>
      <c r="C130" s="3" t="n">
        <v>160.885613066667</v>
      </c>
      <c r="D130" s="3" t="n">
        <v>162.443281153352</v>
      </c>
      <c r="E130" s="3" t="inlineStr">
        <is>
          <t>预测修订</t>
        </is>
      </c>
      <c r="F130"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30" s="3" t="inlineStr">
        <is>
          <t>[{"x": 6, "cells": ["F116"], "values": [164.016030326667]}, {"x": 7, "cells": ["G116"], "values": [160.885613066667]}, {"x": 8, "cells": ["H116"], "values": [163.210839856667]}, {"x": 9, "cells": ["I116"], "values": [166.641273096667]}, {"x": 10, "cells": ["J116"], "values": [161.22617848]}, {"x": 11, "cells": ["K116"], "values": [161.153135363333]}]</t>
        </is>
      </c>
    </row>
    <row r="131" ht="135" customHeight="1" s="1">
      <c r="A131" s="3" t="inlineStr">
        <is>
          <t>SIFT1M</t>
        </is>
      </c>
      <c r="B131" s="3" t="inlineStr">
        <is>
          <t>H116</t>
        </is>
      </c>
      <c r="C131" s="3" t="n">
        <v>163.210839856667</v>
      </c>
      <c r="D131" s="3" t="n">
        <v>163</v>
      </c>
      <c r="E131" s="3" t="inlineStr">
        <is>
          <t>预测修订</t>
        </is>
      </c>
      <c r="F131"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31" s="3" t="inlineStr">
        <is>
          <t>[{"x": 6, "cells": ["F116"], "values": [164.016030326667]}, {"x": 7, "cells": ["G116"], "values": [160.885613066667]}, {"x": 8, "cells": ["H116"], "values": [163.210839856667]}, {"x": 9, "cells": ["I116"], "values": [166.641273096667]}, {"x": 10, "cells": ["J116"], "values": [161.22617848]}, {"x": 11, "cells": ["K116"], "values": [161.153135363333]}]</t>
        </is>
      </c>
    </row>
    <row r="132" ht="135" customHeight="1" s="1">
      <c r="A132" s="3" t="inlineStr">
        <is>
          <t>SIFT1M</t>
        </is>
      </c>
      <c r="B132" s="3" t="inlineStr">
        <is>
          <t>I116</t>
        </is>
      </c>
      <c r="C132" s="3" t="n">
        <v>166.641273096667</v>
      </c>
      <c r="D132" s="3" t="n">
        <v>163.042743109963</v>
      </c>
      <c r="E132" s="3" t="inlineStr">
        <is>
          <t>预测修订</t>
        </is>
      </c>
      <c r="F132"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32" s="3" t="inlineStr">
        <is>
          <t>[{"x": 6, "cells": ["F116"], "values": [164.016030326667]}, {"x": 7, "cells": ["G116"], "values": [160.885613066667]}, {"x": 8, "cells": ["H116"], "values": [163.210839856667]}, {"x": 9, "cells": ["I116"], "values": [166.641273096667]}, {"x": 10, "cells": ["J116"], "values": [161.22617848]}, {"x": 11, "cells": ["K116"], "values": [161.153135363333]}]</t>
        </is>
      </c>
    </row>
    <row r="133" ht="135" customHeight="1" s="1">
      <c r="A133" s="3" t="inlineStr">
        <is>
          <t>SIFT1M</t>
        </is>
      </c>
      <c r="B133" s="3" t="inlineStr">
        <is>
          <t>J116</t>
        </is>
      </c>
      <c r="C133" s="3" t="n">
        <v>161.22617848</v>
      </c>
      <c r="D133" s="3" t="n">
        <v>163.042743109963</v>
      </c>
      <c r="E133" s="3" t="inlineStr">
        <is>
          <t>预测修订</t>
        </is>
      </c>
      <c r="F133"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33" s="3" t="inlineStr">
        <is>
          <t>[{"x": 6, "cells": ["F116"], "values": [164.016030326667]}, {"x": 7, "cells": ["G116"], "values": [160.885613066667]}, {"x": 8, "cells": ["H116"], "values": [163.210839856667]}, {"x": 9, "cells": ["I116"], "values": [166.641273096667]}, {"x": 10, "cells": ["J116"], "values": [161.22617848]}, {"x": 11, "cells": ["K116"], "values": [161.153135363333]}]</t>
        </is>
      </c>
    </row>
    <row r="134" ht="135" customHeight="1" s="1">
      <c r="A134" s="3" t="inlineStr">
        <is>
          <t>SIFT1M</t>
        </is>
      </c>
      <c r="B134" s="3" t="inlineStr">
        <is>
          <t>K116</t>
        </is>
      </c>
      <c r="C134" s="3" t="n">
        <v>161.153135363333</v>
      </c>
      <c r="D134" s="3" t="n">
        <v>163.042743109963</v>
      </c>
      <c r="E134" s="3" t="inlineStr">
        <is>
          <t>预测修订</t>
        </is>
      </c>
      <c r="F134"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34" s="3" t="inlineStr">
        <is>
          <t>[{"x": 6, "cells": ["F116"], "values": [164.016030326667]}, {"x": 7, "cells": ["G116"], "values": [160.885613066667]}, {"x": 8, "cells": ["H116"], "values": [163.210839856667]}, {"x": 9, "cells": ["I116"], "values": [166.641273096667]}, {"x": 10, "cells": ["J116"], "values": [161.22617848]}, {"x": 11, "cells": ["K116"], "values": [161.153135363333]}]</t>
        </is>
      </c>
    </row>
    <row r="135" ht="135" customHeight="1" s="1">
      <c r="A135" s="3" t="inlineStr">
        <is>
          <t>SIFT1M</t>
        </is>
      </c>
      <c r="B135" s="3" t="inlineStr">
        <is>
          <t>H119</t>
        </is>
      </c>
      <c r="C135" s="3" t="n">
        <v>71.0790379998798</v>
      </c>
      <c r="D135" s="3" t="n">
        <v>61.3781465353216</v>
      </c>
      <c r="E135" s="3" t="inlineStr">
        <is>
          <t>预测修订</t>
        </is>
      </c>
      <c r="F135"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35" s="3" t="inlineStr">
        <is>
          <t>[{"x": 6, "cells": ["F119"], "values": [23.8354289999734]}, {"x": 7, "cells": ["G119"], "values": [61.2400370000614]}, {"x": 8, "cells": ["H119"], "values": [71.0790379998798]}, {"x": 9, "cells": ["I119"], "values": [57.7544319999106]}, {"x": 10, "cells": ["J119"], "values": [63.1774729999961]}, {"x": 11, "cells": ["K119"], "values": [54.7225050004272]}]</t>
        </is>
      </c>
    </row>
    <row r="136" ht="135" customHeight="1" s="1">
      <c r="A136" s="3" t="inlineStr">
        <is>
          <t>SIFT1M</t>
        </is>
      </c>
      <c r="B136" s="3" t="inlineStr">
        <is>
          <t>I119</t>
        </is>
      </c>
      <c r="C136" s="3" t="n">
        <v>57.7544319999106</v>
      </c>
      <c r="D136" s="3" t="n">
        <v>61.3781465353216</v>
      </c>
      <c r="E136" s="3" t="inlineStr">
        <is>
          <t>预测修订</t>
        </is>
      </c>
      <c r="F136"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36" s="3" t="inlineStr">
        <is>
          <t>[{"x": 6, "cells": ["F119"], "values": [23.8354289999734]}, {"x": 7, "cells": ["G119"], "values": [61.2400370000614]}, {"x": 8, "cells": ["H119"], "values": [71.0790379998798]}, {"x": 9, "cells": ["I119"], "values": [57.7544319999106]}, {"x": 10, "cells": ["J119"], "values": [63.1774729999961]}, {"x": 11, "cells": ["K119"], "values": [54.7225050004272]}]</t>
        </is>
      </c>
    </row>
    <row r="137" ht="135" customHeight="1" s="1">
      <c r="A137" s="3" t="inlineStr">
        <is>
          <t>SIFT1M</t>
        </is>
      </c>
      <c r="B137" s="3" t="inlineStr">
        <is>
          <t>J119</t>
        </is>
      </c>
      <c r="C137" s="3" t="n">
        <v>63.1774729999961</v>
      </c>
      <c r="D137" s="3" t="n">
        <v>61.3781465353216</v>
      </c>
      <c r="E137" s="3" t="inlineStr">
        <is>
          <t>预测修订</t>
        </is>
      </c>
      <c r="F137"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37" s="3" t="inlineStr">
        <is>
          <t>[{"x": 6, "cells": ["F119"], "values": [23.8354289999734]}, {"x": 7, "cells": ["G119"], "values": [61.2400370000614]}, {"x": 8, "cells": ["H119"], "values": [71.0790379998798]}, {"x": 9, "cells": ["I119"], "values": [57.7544319999106]}, {"x": 10, "cells": ["J119"], "values": [63.1774729999961]}, {"x": 11, "cells": ["K119"], "values": [54.7225050004272]}]</t>
        </is>
      </c>
    </row>
    <row r="138" ht="135" customHeight="1" s="1">
      <c r="A138" s="3" t="inlineStr">
        <is>
          <t>SIFT1M</t>
        </is>
      </c>
      <c r="B138" s="3" t="inlineStr">
        <is>
          <t>K119</t>
        </is>
      </c>
      <c r="C138" s="3" t="n">
        <v>54.7225050004272</v>
      </c>
      <c r="D138" s="3" t="n">
        <v>61.4</v>
      </c>
      <c r="E138" s="3" t="inlineStr">
        <is>
          <t>预测修订</t>
        </is>
      </c>
      <c r="F138"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38" s="3" t="inlineStr">
        <is>
          <t>[{"x": 6, "cells": ["F119"], "values": [23.8354289999734]}, {"x": 7, "cells": ["G119"], "values": [61.2400370000614]}, {"x": 8, "cells": ["H119"], "values": [71.0790379998798]}, {"x": 9, "cells": ["I119"], "values": [57.7544319999106]}, {"x": 10, "cells": ["J119"], "values": [63.1774729999961]}, {"x": 11, "cells": ["K119"], "values": [54.7225050004272]}]</t>
        </is>
      </c>
    </row>
    <row r="139" ht="135" customHeight="1" s="1">
      <c r="A139" s="3" t="inlineStr">
        <is>
          <t>SIFT1M</t>
        </is>
      </c>
      <c r="B139" s="3" t="inlineStr">
        <is>
          <t>F127</t>
        </is>
      </c>
      <c r="C139" s="3" t="n">
        <v>61.7761955166667</v>
      </c>
      <c r="D139" s="3" t="n">
        <v>60.9</v>
      </c>
      <c r="E139" s="3" t="inlineStr">
        <is>
          <t>预测修订</t>
        </is>
      </c>
      <c r="F139"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39" s="3" t="inlineStr">
        <is>
          <t>[{"x": 6, "cells": ["F127"], "values": [61.7761955166667]}, {"x": 7, "cells": ["G127"], "values": [60.2132885166667]}, {"x": 8, "cells": ["H127"], "values": [60.7328521566667]}, {"x": 9, "cells": ["I127"], "values": [62.4914379533333]}, {"x": 10, "cells": ["J127"], "values": [62.8828516033333]}, {"x": 11, "cells": ["K127"], "values": [64.8738179366667]}]</t>
        </is>
      </c>
    </row>
    <row r="140" ht="135" customHeight="1" s="1">
      <c r="A140" s="3" t="inlineStr">
        <is>
          <t>SIFT1M</t>
        </is>
      </c>
      <c r="B140" s="3" t="inlineStr">
        <is>
          <t>G127</t>
        </is>
      </c>
      <c r="C140" s="3" t="n">
        <v>60.2132885166667</v>
      </c>
      <c r="D140" s="3" t="n">
        <v>60.9039874785136</v>
      </c>
      <c r="E140" s="3" t="inlineStr">
        <is>
          <t>预测修订</t>
        </is>
      </c>
      <c r="F140"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40" s="3" t="inlineStr">
        <is>
          <t>[{"x": 6, "cells": ["F127"], "values": [61.7761955166667]}, {"x": 7, "cells": ["G127"], "values": [60.2132885166667]}, {"x": 8, "cells": ["H127"], "values": [60.7328521566667]}, {"x": 9, "cells": ["I127"], "values": [62.4914379533333]}, {"x": 10, "cells": ["J127"], "values": [62.8828516033333]}, {"x": 11, "cells": ["K127"], "values": [64.8738179366667]}]</t>
        </is>
      </c>
    </row>
    <row r="141" ht="135" customHeight="1" s="1">
      <c r="A141" s="3" t="inlineStr">
        <is>
          <t>SIFT1M</t>
        </is>
      </c>
      <c r="B141" s="3" t="inlineStr">
        <is>
          <t>H127</t>
        </is>
      </c>
      <c r="C141" s="3" t="n">
        <v>60.7328521566667</v>
      </c>
      <c r="D141" s="3" t="n">
        <v>60.9039874785136</v>
      </c>
      <c r="E141" s="3" t="inlineStr">
        <is>
          <t>预测修订</t>
        </is>
      </c>
      <c r="F141"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41" s="3" t="inlineStr">
        <is>
          <t>[{"x": 6, "cells": ["F127"], "values": [61.7761955166667]}, {"x": 7, "cells": ["G127"], "values": [60.2132885166667]}, {"x": 8, "cells": ["H127"], "values": [60.7328521566667]}, {"x": 9, "cells": ["I127"], "values": [62.4914379533333]}, {"x": 10, "cells": ["J127"], "values": [62.8828516033333]}, {"x": 11, "cells": ["K127"], "values": [64.8738179366667]}]</t>
        </is>
      </c>
    </row>
    <row r="142" ht="135" customHeight="1" s="1">
      <c r="A142" s="3" t="inlineStr">
        <is>
          <t>SIFT1M</t>
        </is>
      </c>
      <c r="B142" s="3" t="inlineStr">
        <is>
          <t>F128</t>
        </is>
      </c>
      <c r="C142" s="3" t="n">
        <v>3.440684508</v>
      </c>
      <c r="D142" s="3" t="n">
        <v>3.41</v>
      </c>
      <c r="E142" s="3" t="inlineStr">
        <is>
          <t>预测修订</t>
        </is>
      </c>
      <c r="F142"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42" s="3" t="inlineStr">
        <is>
          <t>[{"x": 6, "cells": ["F128"], "values": [3.440684508]}, {"x": 7, "cells": ["G128"], "values": [3.385768284]}, {"x": 8, "cells": ["H128"], "values": [3.432761960000004]}, {"x": 9, "cells": ["I128"], "values": [3.408401007999996]}, {"x": 10, "cells": ["J128"], "values": [3.498911016]}, {"x": 11, "cells": ["K128"], "values": [3.5338917]}]</t>
        </is>
      </c>
    </row>
    <row r="143" ht="135" customHeight="1" s="1">
      <c r="A143" s="3" t="inlineStr">
        <is>
          <t>SIFT1M</t>
        </is>
      </c>
      <c r="B143" s="3" t="inlineStr">
        <is>
          <t>G128</t>
        </is>
      </c>
      <c r="C143" s="3" t="n">
        <v>3.385768284</v>
      </c>
      <c r="D143" s="3" t="n">
        <v>3.41311594916383</v>
      </c>
      <c r="E143" s="3" t="inlineStr">
        <is>
          <t>预测修订</t>
        </is>
      </c>
      <c r="F143"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43" s="3" t="inlineStr">
        <is>
          <t>[{"x": 6, "cells": ["F128"], "values": [3.440684508]}, {"x": 7, "cells": ["G128"], "values": [3.385768284]}, {"x": 8, "cells": ["H128"], "values": [3.432761960000004]}, {"x": 9, "cells": ["I128"], "values": [3.408401007999996]}, {"x": 10, "cells": ["J128"], "values": [3.498911016]}, {"x": 11, "cells": ["K128"], "values": [3.5338917]}]</t>
        </is>
      </c>
    </row>
    <row r="144" ht="135" customHeight="1" s="1">
      <c r="A144" s="3" t="inlineStr">
        <is>
          <t>SIFT1M</t>
        </is>
      </c>
      <c r="B144" s="3" t="inlineStr">
        <is>
          <t>H128</t>
        </is>
      </c>
      <c r="C144" s="3" t="n">
        <v>3.43276196</v>
      </c>
      <c r="D144" s="3" t="n">
        <v>3.42</v>
      </c>
      <c r="E144" s="3" t="inlineStr">
        <is>
          <t>预测修订</t>
        </is>
      </c>
      <c r="F144"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44" s="3" t="inlineStr">
        <is>
          <t>[{"x": 6, "cells": ["F128"], "values": [3.440684508]}, {"x": 7, "cells": ["G128"], "values": [3.385768284]}, {"x": 8, "cells": ["H128"], "values": [3.432761960000004]}, {"x": 9, "cells": ["I128"], "values": [3.408401007999996]}, {"x": 10, "cells": ["J128"], "values": [3.498911016]}, {"x": 11, "cells": ["K128"], "values": [3.5338917]}]</t>
        </is>
      </c>
    </row>
    <row r="145" ht="135" customHeight="1" s="1">
      <c r="A145" s="3" t="inlineStr">
        <is>
          <t>SIFT1M</t>
        </is>
      </c>
      <c r="B145" s="3" t="inlineStr">
        <is>
          <t>I128</t>
        </is>
      </c>
      <c r="C145" s="3" t="n">
        <v>3.408401008</v>
      </c>
      <c r="D145" s="3" t="n">
        <v>3.42055979697593</v>
      </c>
      <c r="E145" s="3" t="inlineStr">
        <is>
          <t>预测修订</t>
        </is>
      </c>
      <c r="F145"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45" s="3" t="inlineStr">
        <is>
          <t>[{"x": 6, "cells": ["F128"], "values": [3.440684508]}, {"x": 7, "cells": ["G128"], "values": [3.385768284]}, {"x": 8, "cells": ["H128"], "values": [3.432761960000004]}, {"x": 9, "cells": ["I128"], "values": [3.408401007999996]}, {"x": 10, "cells": ["J128"], "values": [3.498911016]}, {"x": 11, "cells": ["K128"], "values": [3.5338917]}]</t>
        </is>
      </c>
    </row>
    <row r="146" ht="135" customHeight="1" s="1">
      <c r="A146" s="3" t="inlineStr">
        <is>
          <t>SIFT1M</t>
        </is>
      </c>
      <c r="B146" s="3" t="inlineStr">
        <is>
          <t>F130</t>
        </is>
      </c>
      <c r="C146" s="3" t="n">
        <v>490868.017647</v>
      </c>
      <c r="D146" s="3" t="n">
        <v>490715.289008011</v>
      </c>
      <c r="E146" s="3" t="inlineStr">
        <is>
          <t>预测修订</t>
        </is>
      </c>
      <c r="F146"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46" s="3" t="inlineStr">
        <is>
          <t>[{"x": 6, "cells": ["F130"], "values": [490868.017647]}, {"x": 7, "cells": ["G130"], "values": [490562.607889]}, {"x": 8, "cells": ["H130"], "values": [517760.920454]}, {"x": 9, "cells": ["I130"], "values": [490514.609756]}, {"x": 10, "cells": ["J130"], "values": [489702.042629]}, {"x": 11, "cells": ["K130"], "values": [490610.642995]}]</t>
        </is>
      </c>
    </row>
    <row r="147" ht="135" customHeight="1" s="1">
      <c r="A147" s="3" t="inlineStr">
        <is>
          <t>SIFT1M</t>
        </is>
      </c>
      <c r="B147" s="3" t="inlineStr">
        <is>
          <t>G130</t>
        </is>
      </c>
      <c r="C147" s="3" t="n">
        <v>490562.607889</v>
      </c>
      <c r="D147" s="3" t="n">
        <v>491000</v>
      </c>
      <c r="E147" s="3" t="inlineStr">
        <is>
          <t>预测修订</t>
        </is>
      </c>
      <c r="F147"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47" s="3" t="inlineStr">
        <is>
          <t>[{"x": 6, "cells": ["F130"], "values": [490868.017647]}, {"x": 7, "cells": ["G130"], "values": [490562.607889]}, {"x": 8, "cells": ["H130"], "values": [517760.920454]}, {"x": 9, "cells": ["I130"], "values": [490514.609756]}, {"x": 10, "cells": ["J130"], "values": [489702.042629]}, {"x": 11, "cells": ["K130"], "values": [490610.642995]}]</t>
        </is>
      </c>
    </row>
    <row r="148" ht="135" customHeight="1" s="1">
      <c r="A148" s="3" t="inlineStr">
        <is>
          <t>SIFT1M</t>
        </is>
      </c>
      <c r="B148" s="3" t="inlineStr">
        <is>
          <t>H130</t>
        </is>
      </c>
      <c r="C148" s="3" t="n">
        <v>517760.920454</v>
      </c>
      <c r="D148" s="3" t="n">
        <v>497000</v>
      </c>
      <c r="E148" s="3" t="inlineStr">
        <is>
          <t>预测修订</t>
        </is>
      </c>
      <c r="F148"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48" s="3" t="inlineStr">
        <is>
          <t>[{"x": 6, "cells": ["F130"], "values": [490868.017647]}, {"x": 7, "cells": ["G130"], "values": [490562.607889]}, {"x": 8, "cells": ["H130"], "values": [517760.920454]}, {"x": 9, "cells": ["I130"], "values": [490514.609756]}, {"x": 10, "cells": ["J130"], "values": [489702.042629]}, {"x": 11, "cells": ["K130"], "values": [490610.642995]}]</t>
        </is>
      </c>
    </row>
    <row r="149" ht="135" customHeight="1" s="1">
      <c r="A149" s="3" t="inlineStr">
        <is>
          <t>SIFT1M</t>
        </is>
      </c>
      <c r="B149" s="3" t="inlineStr">
        <is>
          <t>I130</t>
        </is>
      </c>
      <c r="C149" s="3" t="n">
        <v>490514.609756</v>
      </c>
      <c r="D149" s="3" t="n">
        <v>497007.021057776</v>
      </c>
      <c r="E149" s="3" t="inlineStr">
        <is>
          <t>预测修订</t>
        </is>
      </c>
      <c r="F149"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49" s="3" t="inlineStr">
        <is>
          <t>[{"x": 6, "cells": ["F130"], "values": [490868.017647]}, {"x": 7, "cells": ["G130"], "values": [490562.607889]}, {"x": 8, "cells": ["H130"], "values": [517760.920454]}, {"x": 9, "cells": ["I130"], "values": [490514.609756]}, {"x": 10, "cells": ["J130"], "values": [489702.042629]}, {"x": 11, "cells": ["K130"], "values": [490610.642995]}]</t>
        </is>
      </c>
    </row>
    <row r="150" ht="135" customHeight="1" s="1">
      <c r="A150" s="3" t="inlineStr">
        <is>
          <t>SIFT1M</t>
        </is>
      </c>
      <c r="B150" s="3" t="inlineStr">
        <is>
          <t>J130</t>
        </is>
      </c>
      <c r="C150" s="3" t="n">
        <v>489702.042629</v>
      </c>
      <c r="D150" s="3" t="n">
        <v>497007.021057776</v>
      </c>
      <c r="E150" s="3" t="inlineStr">
        <is>
          <t>预测修订</t>
        </is>
      </c>
      <c r="F150"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50" s="3" t="inlineStr">
        <is>
          <t>[{"x": 6, "cells": ["F130"], "values": [490868.017647]}, {"x": 7, "cells": ["G130"], "values": [490562.607889]}, {"x": 8, "cells": ["H130"], "values": [517760.920454]}, {"x": 9, "cells": ["I130"], "values": [490514.609756]}, {"x": 10, "cells": ["J130"], "values": [489702.042629]}, {"x": 11, "cells": ["K130"], "values": [490610.642995]}]</t>
        </is>
      </c>
    </row>
    <row r="151" ht="135" customHeight="1" s="1">
      <c r="A151" s="3" t="inlineStr">
        <is>
          <t>SIFT1M</t>
        </is>
      </c>
      <c r="B151" s="3" t="inlineStr">
        <is>
          <t>K130</t>
        </is>
      </c>
      <c r="C151" s="3" t="n">
        <v>490610.642995</v>
      </c>
      <c r="D151" s="3" t="n">
        <v>497007.021057776</v>
      </c>
      <c r="E151" s="3" t="inlineStr">
        <is>
          <t>预测修订</t>
        </is>
      </c>
      <c r="F151"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51" s="3" t="inlineStr">
        <is>
          <t>[{"x": 6, "cells": ["F130"], "values": [490868.017647]}, {"x": 7, "cells": ["G130"], "values": [490562.607889]}, {"x": 8, "cells": ["H130"], "values": [517760.920454]}, {"x": 9, "cells": ["I130"], "values": [490514.609756]}, {"x": 10, "cells": ["J130"], "values": [489702.042629]}, {"x": 11, "cells": ["K130"], "values": [490610.642995]}]</t>
        </is>
      </c>
    </row>
    <row r="152" ht="135" customHeight="1" s="1">
      <c r="A152" s="3" t="inlineStr">
        <is>
          <t>SIFT1M</t>
        </is>
      </c>
      <c r="B152" s="3" t="inlineStr">
        <is>
          <t>G131</t>
        </is>
      </c>
      <c r="C152" s="3" t="n">
        <v>283.166553666667</v>
      </c>
      <c r="D152" s="3" t="n">
        <v>280.698296671562</v>
      </c>
      <c r="E152" s="3" t="inlineStr">
        <is>
          <t>预测修订</t>
        </is>
      </c>
      <c r="F152"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52" s="3" t="inlineStr">
        <is>
          <t>[{"x": 6, "cells": ["F131"], "values": [227.695262816667]}, {"x": 7, "cells": ["G131"], "values": [283.166553666667]}, {"x": 8, "cells": ["H131"], "values": [278.25155455]}, {"x": 9, "cells": ["I131"], "values": [297.04332695]}, {"x": 10, "cells": ["J131"], "values": [318.888658433333]}, {"x": 11, "cells": ["K131"], "values": [353.327317433333]}]</t>
        </is>
      </c>
    </row>
    <row r="153" ht="135" customHeight="1" s="1">
      <c r="A153" s="3" t="inlineStr">
        <is>
          <t>SIFT1M</t>
        </is>
      </c>
      <c r="B153" s="3" t="inlineStr">
        <is>
          <t>H131</t>
        </is>
      </c>
      <c r="C153" s="3" t="n">
        <v>278.25155455</v>
      </c>
      <c r="D153" s="3" t="n">
        <v>281</v>
      </c>
      <c r="E153" s="3" t="inlineStr">
        <is>
          <t>预测修订</t>
        </is>
      </c>
      <c r="F153"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53" s="3" t="inlineStr">
        <is>
          <t>[{"x": 6, "cells": ["F131"], "values": [227.695262816667]}, {"x": 7, "cells": ["G131"], "values": [283.166553666667]}, {"x": 8, "cells": ["H131"], "values": [278.25155455]}, {"x": 9, "cells": ["I131"], "values": [297.04332695]}, {"x": 10, "cells": ["J131"], "values": [318.888658433333]}, {"x": 11, "cells": ["K131"], "values": [353.327317433333]}]</t>
        </is>
      </c>
    </row>
    <row r="154" ht="135" customHeight="1" s="1">
      <c r="A154" s="3" t="inlineStr">
        <is>
          <t>NYTimes-256</t>
        </is>
      </c>
      <c r="B154" s="3" t="inlineStr">
        <is>
          <t>J28</t>
        </is>
      </c>
      <c r="C154" s="3" t="n">
        <v>209.394</v>
      </c>
      <c r="D154" s="3" t="n">
        <v>206</v>
      </c>
      <c r="E154" s="3" t="inlineStr">
        <is>
          <t>预测修订</t>
        </is>
      </c>
      <c r="F154" s="3"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54" s="3" t="inlineStr">
        <is>
          <t>[{"x": 32.5, "cells": ["F28", "G28", "H28", "I28"], "values": [193.524, 193.524, 193.524, 193.524]}, {"x": 35, "cells": ["J28"], "values": [209.394]}, {"x": 45.5, "cells": ["K28", "L28"], "values": [203.127, 203.127]}, {"x": 51.5, "cells": ["M28"], "values": [214.815]}, {"x": 58, "cells": ["N28"], "values": [236.43]}, {"x": 62.5, "cells": ["O28"], "values": [267.309]}, {"x": 65.5, "cells": ["P28"], "values": [472.128]}, {"x": 72, "cells": ["Q28"], "values": [742.483]}, {"x": 76, "cells": ["R28"], "values": [480.339]}]</t>
        </is>
      </c>
    </row>
    <row r="155" ht="135" customHeight="1" s="1">
      <c r="A155" s="3" t="inlineStr">
        <is>
          <t>NYTimes-256</t>
        </is>
      </c>
      <c r="B155" s="3" t="inlineStr">
        <is>
          <t>K28</t>
        </is>
      </c>
      <c r="C155" s="3" t="n">
        <v>203.127</v>
      </c>
      <c r="D155" s="3" t="n">
        <v>206.236696632777</v>
      </c>
      <c r="E155" s="3" t="inlineStr">
        <is>
          <t>预测修订</t>
        </is>
      </c>
      <c r="F155" s="3"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55" s="3" t="inlineStr">
        <is>
          <t>[{"x": 32.5, "cells": ["F28", "G28", "H28", "I28"], "values": [193.524, 193.524, 193.524, 193.524]}, {"x": 35, "cells": ["J28"], "values": [209.394]}, {"x": 45.5, "cells": ["K28", "L28"], "values": [203.127, 203.127]}, {"x": 51.5, "cells": ["M28"], "values": [214.815]}, {"x": 58, "cells": ["N28"], "values": [236.43]}, {"x": 62.5, "cells": ["O28"], "values": [267.309]}, {"x": 65.5, "cells": ["P28"], "values": [472.128]}, {"x": 72, "cells": ["Q28"], "values": [742.483]}, {"x": 76, "cells": ["R28"], "values": [480.339]}]</t>
        </is>
      </c>
    </row>
    <row r="156" ht="135" customHeight="1" s="1">
      <c r="A156" s="3" t="inlineStr">
        <is>
          <t>NYTimes-256</t>
        </is>
      </c>
      <c r="B156" s="3" t="inlineStr">
        <is>
          <t>L28</t>
        </is>
      </c>
      <c r="C156" s="3" t="n">
        <v>203.127</v>
      </c>
      <c r="D156" s="3" t="n">
        <v>206.236696632777</v>
      </c>
      <c r="E156" s="3" t="inlineStr">
        <is>
          <t>预测修订</t>
        </is>
      </c>
      <c r="F156" s="3"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56" s="3" t="inlineStr">
        <is>
          <t>[{"x": 32.5, "cells": ["F28", "G28", "H28", "I28"], "values": [193.524, 193.524, 193.524, 193.524]}, {"x": 35, "cells": ["J28"], "values": [209.394]}, {"x": 45.5, "cells": ["K28", "L28"], "values": [203.127, 203.127]}, {"x": 51.5, "cells": ["M28"], "values": [214.815]}, {"x": 58, "cells": ["N28"], "values": [236.43]}, {"x": 62.5, "cells": ["O28"], "values": [267.309]}, {"x": 65.5, "cells": ["P28"], "values": [472.128]}, {"x": 72, "cells": ["Q28"], "values": [742.483]}, {"x": 76, "cells": ["R28"], "values": [480.339]}]</t>
        </is>
      </c>
    </row>
    <row r="157" ht="135" customHeight="1" s="1">
      <c r="A157" s="3" t="inlineStr">
        <is>
          <t>NYTimes-256</t>
        </is>
      </c>
      <c r="B157" s="3" t="inlineStr">
        <is>
          <t>Q28</t>
        </is>
      </c>
      <c r="C157" s="3" t="n">
        <v>742.4829999999999</v>
      </c>
      <c r="D157" s="3" t="n">
        <v>597</v>
      </c>
      <c r="E157" s="3" t="inlineStr">
        <is>
          <t>预测修订</t>
        </is>
      </c>
      <c r="F157" s="3"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57" s="3" t="inlineStr">
        <is>
          <t>[{"x": 32.5, "cells": ["F28", "G28", "H28", "I28"], "values": [193.524, 193.524, 193.524, 193.524]}, {"x": 35, "cells": ["J28"], "values": [209.394]}, {"x": 45.5, "cells": ["K28", "L28"], "values": [203.127, 203.127]}, {"x": 51.5, "cells": ["M28"], "values": [214.815]}, {"x": 58, "cells": ["N28"], "values": [236.43]}, {"x": 62.5, "cells": ["O28"], "values": [267.309]}, {"x": 65.5, "cells": ["P28"], "values": [472.128]}, {"x": 72, "cells": ["Q28"], "values": [742.483]}, {"x": 76, "cells": ["R28"], "values": [480.339]}]</t>
        </is>
      </c>
    </row>
    <row r="158" ht="135" customHeight="1" s="1">
      <c r="A158" s="3" t="inlineStr">
        <is>
          <t>NYTimes-256</t>
        </is>
      </c>
      <c r="B158" s="3" t="inlineStr">
        <is>
          <t>R28</t>
        </is>
      </c>
      <c r="C158" s="3" t="n">
        <v>480.339</v>
      </c>
      <c r="D158" s="3" t="n">
        <v>597.1964013094851</v>
      </c>
      <c r="E158" s="3" t="inlineStr">
        <is>
          <t>预测修订</t>
        </is>
      </c>
      <c r="F158" s="3"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58" s="3" t="inlineStr">
        <is>
          <t>[{"x": 32.5, "cells": ["F28", "G28", "H28", "I28"], "values": [193.524, 193.524, 193.524, 193.524]}, {"x": 35, "cells": ["J28"], "values": [209.394]}, {"x": 45.5, "cells": ["K28", "L28"], "values": [203.127, 203.127]}, {"x": 51.5, "cells": ["M28"], "values": [214.815]}, {"x": 58, "cells": ["N28"], "values": [236.43]}, {"x": 62.5, "cells": ["O28"], "values": [267.309]}, {"x": 65.5, "cells": ["P28"], "values": [472.128]}, {"x": 72, "cells": ["Q28"], "values": [742.483]}, {"x": 76, "cells": ["R28"], "values": [480.339]}]</t>
        </is>
      </c>
    </row>
    <row r="159" ht="148.5" customHeight="1" s="1">
      <c r="A159" s="3" t="inlineStr">
        <is>
          <t>NYTimes-256</t>
        </is>
      </c>
      <c r="B159" s="3" t="inlineStr">
        <is>
          <t>K42</t>
        </is>
      </c>
      <c r="C159" s="3" t="n">
        <v>13.1931410000448</v>
      </c>
      <c r="D159" s="3" t="n">
        <v>12.9721587984035</v>
      </c>
      <c r="E159" s="3" t="inlineStr">
        <is>
          <t>预测修订</t>
        </is>
      </c>
      <c r="F159"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59" s="3" t="inlineStr">
        <is>
          <t>[{"x": 32.5, "cells": ["F42", "G42", "H42", "I42"], "values": [10.7410540000501, 10.7410540000501, 10.7410540000501, 10.7410540000501]}, {"x": 35, "cells": ["J42"], "values": [11.4872139999989]}, {"x": 45.5, "cells": ["K42", "L42"], "values": [13.1931410000448, 13.1931410000448]}, {"x": 51.5, "cells": ["M42"], "values": [12.7548779998961]}, {"x": 58, "cells": ["N42"], "values": [69.6683460000713]}, {"x": 62.5, "cells": ["O42"], "values": [24.9950594550608]}, {"x": 65.5, "cells": ["P42"], "values": [30.6268079783518]}, {"x": 72, "cells": ["Q42"], "values": [37.7527243375802]}, {"x": 76, "cells": ["R42"], "values": [31.7760529938302]}]</t>
        </is>
      </c>
    </row>
    <row r="160" ht="148.5" customHeight="1" s="1">
      <c r="A160" s="3" t="inlineStr">
        <is>
          <t>NYTimes-256</t>
        </is>
      </c>
      <c r="B160" s="3" t="inlineStr">
        <is>
          <t>L42</t>
        </is>
      </c>
      <c r="C160" s="3" t="n">
        <v>13.1931410000448</v>
      </c>
      <c r="D160" s="3" t="n">
        <v>12.9721587984035</v>
      </c>
      <c r="E160" s="3" t="inlineStr">
        <is>
          <t>预测修订</t>
        </is>
      </c>
      <c r="F160"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60" s="3" t="inlineStr">
        <is>
          <t>[{"x": 32.5, "cells": ["F42", "G42", "H42", "I42"], "values": [10.7410540000501, 10.7410540000501, 10.7410540000501, 10.7410540000501]}, {"x": 35, "cells": ["J42"], "values": [11.4872139999989]}, {"x": 45.5, "cells": ["K42", "L42"], "values": [13.1931410000448, 13.1931410000448]}, {"x": 51.5, "cells": ["M42"], "values": [12.7548779998961]}, {"x": 58, "cells": ["N42"], "values": [69.6683460000713]}, {"x": 62.5, "cells": ["O42"], "values": [24.9950594550608]}, {"x": 65.5, "cells": ["P42"], "values": [30.6268079783518]}, {"x": 72, "cells": ["Q42"], "values": [37.7527243375802]}, {"x": 76, "cells": ["R42"], "values": [31.7760529938302]}]</t>
        </is>
      </c>
    </row>
    <row r="161" ht="148.5" customHeight="1" s="1">
      <c r="A161" s="3" t="inlineStr">
        <is>
          <t>NYTimes-256</t>
        </is>
      </c>
      <c r="B161" s="3" t="inlineStr">
        <is>
          <t>M42</t>
        </is>
      </c>
      <c r="C161" s="3" t="n">
        <v>12.7548779998961</v>
      </c>
      <c r="D161" s="3" t="n">
        <v>13</v>
      </c>
      <c r="E161" s="3" t="inlineStr">
        <is>
          <t>预测修订</t>
        </is>
      </c>
      <c r="F161"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61" s="3" t="inlineStr">
        <is>
          <t>[{"x": 32.5, "cells": ["F42", "G42", "H42", "I42"], "values": [10.7410540000501, 10.7410540000501, 10.7410540000501, 10.7410540000501]}, {"x": 35, "cells": ["J42"], "values": [11.4872139999989]}, {"x": 45.5, "cells": ["K42", "L42"], "values": [13.1931410000448, 13.1931410000448]}, {"x": 51.5, "cells": ["M42"], "values": [12.7548779998961]}, {"x": 58, "cells": ["N42"], "values": [69.6683460000713]}, {"x": 62.5, "cells": ["O42"], "values": [24.9950594550608]}, {"x": 65.5, "cells": ["P42"], "values": [30.6268079783518]}, {"x": 72, "cells": ["Q42"], "values": [37.7527243375802]}, {"x": 76, "cells": ["R42"], "values": [31.7760529938302]}]</t>
        </is>
      </c>
    </row>
    <row r="162" ht="148.5" customHeight="1" s="1">
      <c r="A162" s="3" t="inlineStr">
        <is>
          <t>NYTimes-256</t>
        </is>
      </c>
      <c r="B162" s="3" t="inlineStr">
        <is>
          <t>N42</t>
        </is>
      </c>
      <c r="C162" s="3" t="n">
        <v>69.6683460000713</v>
      </c>
      <c r="D162" s="3" t="n">
        <v>36.4</v>
      </c>
      <c r="E162" s="3" t="inlineStr">
        <is>
          <t>预测修订</t>
        </is>
      </c>
      <c r="F162"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62" s="3" t="inlineStr">
        <is>
          <t>[{"x": 32.5, "cells": ["F42", "G42", "H42", "I42"], "values": [10.7410540000501, 10.7410540000501, 10.7410540000501, 10.7410540000501]}, {"x": 35, "cells": ["J42"], "values": [11.4872139999989]}, {"x": 45.5, "cells": ["K42", "L42"], "values": [13.1931410000448, 13.1931410000448]}, {"x": 51.5, "cells": ["M42"], "values": [12.7548779998961]}, {"x": 58, "cells": ["N42"], "values": [69.6683460000713]}, {"x": 62.5, "cells": ["O42"], "values": [24.9950594550608]}, {"x": 65.5, "cells": ["P42"], "values": [30.6268079783518]}, {"x": 72, "cells": ["Q42"], "values": [37.7527243375802]}, {"x": 76, "cells": ["R42"], "values": [31.7760529938302]}]</t>
        </is>
      </c>
    </row>
    <row r="163" ht="148.5" customHeight="1" s="1">
      <c r="A163" s="3" t="inlineStr">
        <is>
          <t>NYTimes-256</t>
        </is>
      </c>
      <c r="B163" s="3" t="inlineStr">
        <is>
          <t>O42</t>
        </is>
      </c>
      <c r="C163" s="3" t="n">
        <v>24.9950594550608</v>
      </c>
      <c r="D163" s="3" t="n">
        <v>36.4089313136701</v>
      </c>
      <c r="E163" s="3" t="inlineStr">
        <is>
          <t>预测修订</t>
        </is>
      </c>
      <c r="F163"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63" s="3" t="inlineStr">
        <is>
          <t>[{"x": 32.5, "cells": ["F42", "G42", "H42", "I42"], "values": [10.7410540000501, 10.7410540000501, 10.7410540000501, 10.7410540000501]}, {"x": 35, "cells": ["J42"], "values": [11.4872139999989]}, {"x": 45.5, "cells": ["K42", "L42"], "values": [13.1931410000448, 13.1931410000448]}, {"x": 51.5, "cells": ["M42"], "values": [12.7548779998961]}, {"x": 58, "cells": ["N42"], "values": [69.6683460000713]}, {"x": 62.5, "cells": ["O42"], "values": [24.9950594550608]}, {"x": 65.5, "cells": ["P42"], "values": [30.6268079783518]}, {"x": 72, "cells": ["Q42"], "values": [37.7527243375802]}, {"x": 76, "cells": ["R42"], "values": [31.7760529938302]}]</t>
        </is>
      </c>
    </row>
    <row r="164" ht="148.5" customHeight="1" s="1">
      <c r="A164" s="3" t="inlineStr">
        <is>
          <t>NYTimes-256</t>
        </is>
      </c>
      <c r="B164" s="3" t="inlineStr">
        <is>
          <t>P42</t>
        </is>
      </c>
      <c r="C164" s="3" t="n">
        <v>30.6268079783518</v>
      </c>
      <c r="D164" s="3" t="n">
        <v>36.4089313136701</v>
      </c>
      <c r="E164" s="3" t="inlineStr">
        <is>
          <t>预测修订</t>
        </is>
      </c>
      <c r="F164"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64" s="3" t="inlineStr">
        <is>
          <t>[{"x": 32.5, "cells": ["F42", "G42", "H42", "I42"], "values": [10.7410540000501, 10.7410540000501, 10.7410540000501, 10.7410540000501]}, {"x": 35, "cells": ["J42"], "values": [11.4872139999989]}, {"x": 45.5, "cells": ["K42", "L42"], "values": [13.1931410000448, 13.1931410000448]}, {"x": 51.5, "cells": ["M42"], "values": [12.7548779998961]}, {"x": 58, "cells": ["N42"], "values": [69.6683460000713]}, {"x": 62.5, "cells": ["O42"], "values": [24.9950594550608]}, {"x": 65.5, "cells": ["P42"], "values": [30.6268079783518]}, {"x": 72, "cells": ["Q42"], "values": [37.7527243375802]}, {"x": 76, "cells": ["R42"], "values": [31.7760529938302]}]</t>
        </is>
      </c>
    </row>
    <row r="165" ht="148.5" customHeight="1" s="1">
      <c r="A165" s="3" t="inlineStr">
        <is>
          <t>NYTimes-256</t>
        </is>
      </c>
      <c r="B165" s="3" t="inlineStr">
        <is>
          <t>Q42</t>
        </is>
      </c>
      <c r="C165" s="3" t="n">
        <v>37.7527243375802</v>
      </c>
      <c r="D165" s="3" t="n">
        <v>36.4089313136701</v>
      </c>
      <c r="E165" s="3" t="inlineStr">
        <is>
          <t>预测修订</t>
        </is>
      </c>
      <c r="F165"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65" s="3" t="inlineStr">
        <is>
          <t>[{"x": 32.5, "cells": ["F42", "G42", "H42", "I42"], "values": [10.7410540000501, 10.7410540000501, 10.7410540000501, 10.7410540000501]}, {"x": 35, "cells": ["J42"], "values": [11.4872139999989]}, {"x": 45.5, "cells": ["K42", "L42"], "values": [13.1931410000448, 13.1931410000448]}, {"x": 51.5, "cells": ["M42"], "values": [12.7548779998961]}, {"x": 58, "cells": ["N42"], "values": [69.6683460000713]}, {"x": 62.5, "cells": ["O42"], "values": [24.9950594550608]}, {"x": 65.5, "cells": ["P42"], "values": [30.6268079783518]}, {"x": 72, "cells": ["Q42"], "values": [37.7527243375802]}, {"x": 76, "cells": ["R42"], "values": [31.7760529938302]}]</t>
        </is>
      </c>
    </row>
    <row r="166" ht="148.5" customHeight="1" s="1">
      <c r="A166" s="3" t="inlineStr">
        <is>
          <t>NYTimes-256</t>
        </is>
      </c>
      <c r="B166" s="3" t="inlineStr">
        <is>
          <t>R42</t>
        </is>
      </c>
      <c r="C166" s="3" t="n">
        <v>31.7760529938302</v>
      </c>
      <c r="D166" s="3" t="n">
        <v>36.4089313136701</v>
      </c>
      <c r="E166" s="3" t="inlineStr">
        <is>
          <t>预测修订</t>
        </is>
      </c>
      <c r="F166"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66" s="3" t="inlineStr">
        <is>
          <t>[{"x": 32.5, "cells": ["F42", "G42", "H42", "I42"], "values": [10.7410540000501, 10.7410540000501, 10.7410540000501, 10.7410540000501]}, {"x": 35, "cells": ["J42"], "values": [11.4872139999989]}, {"x": 45.5, "cells": ["K42", "L42"], "values": [13.1931410000448, 13.1931410000448]}, {"x": 51.5, "cells": ["M42"], "values": [12.7548779998961]}, {"x": 58, "cells": ["N42"], "values": [69.6683460000713]}, {"x": 62.5, "cells": ["O42"], "values": [24.9950594550608]}, {"x": 65.5, "cells": ["P42"], "values": [30.6268079783518]}, {"x": 72, "cells": ["Q42"], "values": [37.7527243375802]}, {"x": 76, "cells": ["R42"], "values": [31.7760529938302]}]</t>
        </is>
      </c>
    </row>
    <row r="167" ht="135" customHeight="1" s="1">
      <c r="A167" s="3" t="inlineStr">
        <is>
          <t>NYTimes-256</t>
        </is>
      </c>
      <c r="B167" s="3" t="inlineStr">
        <is>
          <t>G107</t>
        </is>
      </c>
      <c r="C167" s="3" t="n">
        <v>237.512</v>
      </c>
      <c r="D167" s="3" t="n">
        <v>235.689342261764</v>
      </c>
      <c r="E167" s="3" t="inlineStr">
        <is>
          <t>预测修订</t>
        </is>
      </c>
      <c r="F167" s="3"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67" s="3" t="inlineStr">
        <is>
          <t>[{"x": 6, "cells": ["F107"], "values": [232.836]}, {"x": 7, "cells": ["G107"], "values": [237.512]}, {"x": 8, "cells": ["H107"], "values": [236.43]}, {"x": 9, "cells": ["I107"], "values": [233.148]}, {"x": 10, "cells": ["J107"], "values": [238.719]}, {"x": 11, "cells": ["K107"], "values": [235.053]}]</t>
        </is>
      </c>
    </row>
    <row r="168" ht="135" customHeight="1" s="1">
      <c r="A168" s="3" t="inlineStr">
        <is>
          <t>NYTimes-256</t>
        </is>
      </c>
      <c r="B168" s="3" t="inlineStr">
        <is>
          <t>H107</t>
        </is>
      </c>
      <c r="C168" s="3" t="n">
        <v>236.43</v>
      </c>
      <c r="D168" s="3" t="n">
        <v>235.689342261764</v>
      </c>
      <c r="E168" s="3" t="inlineStr">
        <is>
          <t>预测修订</t>
        </is>
      </c>
      <c r="F168" s="3"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68" s="3" t="inlineStr">
        <is>
          <t>[{"x": 6, "cells": ["F107"], "values": [232.836]}, {"x": 7, "cells": ["G107"], "values": [237.512]}, {"x": 8, "cells": ["H107"], "values": [236.43]}, {"x": 9, "cells": ["I107"], "values": [233.148]}, {"x": 10, "cells": ["J107"], "values": [238.719]}, {"x": 11, "cells": ["K107"], "values": [235.053]}]</t>
        </is>
      </c>
    </row>
    <row r="169" ht="135" customHeight="1" s="1">
      <c r="A169" s="3" t="inlineStr">
        <is>
          <t>NYTimes-256</t>
        </is>
      </c>
      <c r="B169" s="3" t="inlineStr">
        <is>
          <t>I107</t>
        </is>
      </c>
      <c r="C169" s="3" t="n">
        <v>233.148</v>
      </c>
      <c r="D169" s="3" t="n">
        <v>236</v>
      </c>
      <c r="E169" s="3" t="inlineStr">
        <is>
          <t>预测修订</t>
        </is>
      </c>
      <c r="F169" s="3"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69" s="3" t="inlineStr">
        <is>
          <t>[{"x": 6, "cells": ["F107"], "values": [232.836]}, {"x": 7, "cells": ["G107"], "values": [237.512]}, {"x": 8, "cells": ["H107"], "values": [236.43]}, {"x": 9, "cells": ["I107"], "values": [233.148]}, {"x": 10, "cells": ["J107"], "values": [238.719]}, {"x": 11, "cells": ["K107"], "values": [235.053]}]</t>
        </is>
      </c>
    </row>
    <row r="170" ht="135" customHeight="1" s="1">
      <c r="A170" s="3" t="inlineStr">
        <is>
          <t>NYTimes-256</t>
        </is>
      </c>
      <c r="B170" s="3" t="inlineStr">
        <is>
          <t>J107</t>
        </is>
      </c>
      <c r="C170" s="3" t="n">
        <v>238.719</v>
      </c>
      <c r="D170" s="3" t="n">
        <v>236.878908109186</v>
      </c>
      <c r="E170" s="3" t="inlineStr">
        <is>
          <t>预测修订</t>
        </is>
      </c>
      <c r="F170" s="3"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70" s="3" t="inlineStr">
        <is>
          <t>[{"x": 6, "cells": ["F107"], "values": [232.836]}, {"x": 7, "cells": ["G107"], "values": [237.512]}, {"x": 8, "cells": ["H107"], "values": [236.43]}, {"x": 9, "cells": ["I107"], "values": [233.148]}, {"x": 10, "cells": ["J107"], "values": [238.719]}, {"x": 11, "cells": ["K107"], "values": [235.053]}]</t>
        </is>
      </c>
    </row>
    <row r="171" ht="135" customHeight="1" s="1">
      <c r="A171" s="3" t="inlineStr">
        <is>
          <t>NYTimes-256</t>
        </is>
      </c>
      <c r="B171" s="3" t="inlineStr">
        <is>
          <t>K107</t>
        </is>
      </c>
      <c r="C171" s="3" t="n">
        <v>235.053</v>
      </c>
      <c r="D171" s="3" t="n">
        <v>237</v>
      </c>
      <c r="E171" s="3" t="inlineStr">
        <is>
          <t>预测修订</t>
        </is>
      </c>
      <c r="F171" s="3"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71" s="3" t="inlineStr">
        <is>
          <t>[{"x": 6, "cells": ["F107"], "values": [232.836]}, {"x": 7, "cells": ["G107"], "values": [237.512]}, {"x": 8, "cells": ["H107"], "values": [236.43]}, {"x": 9, "cells": ["I107"], "values": [233.148]}, {"x": 10, "cells": ["J107"], "values": [238.719]}, {"x": 11, "cells": ["K107"], "values": [235.053]}]</t>
        </is>
      </c>
    </row>
    <row r="172" ht="135" customHeight="1" s="1">
      <c r="A172" s="3" t="inlineStr">
        <is>
          <t>NYTimes-256</t>
        </is>
      </c>
      <c r="B172" s="3" t="inlineStr">
        <is>
          <t>F116</t>
        </is>
      </c>
      <c r="C172" s="3" t="n">
        <v>557.39184855</v>
      </c>
      <c r="D172" s="3" t="n">
        <v>551.958416874972</v>
      </c>
      <c r="E172" s="3" t="inlineStr">
        <is>
          <t>预测修订</t>
        </is>
      </c>
      <c r="F172"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72" s="3" t="inlineStr">
        <is>
          <t>[{"x": 6, "cells": ["F116"], "values": [557.39184855]}, {"x": 7, "cells": ["G116"], "values": [554.970474783333]}, {"x": 8, "cells": ["H116"], "values": [551.938541166667]}, {"x": 9, "cells": ["I116"], "values": [551.736770516667]}, {"x": 10, "cells": ["J116"], "values": [546.579682183333]}, {"x": 11, "cells": ["K116"], "values": [549.201274666667]}]</t>
        </is>
      </c>
    </row>
    <row r="173" ht="135" customHeight="1" s="1">
      <c r="A173" s="3" t="inlineStr">
        <is>
          <t>NYTimes-256</t>
        </is>
      </c>
      <c r="B173" s="3" t="inlineStr">
        <is>
          <t>G116</t>
        </is>
      </c>
      <c r="C173" s="3" t="n">
        <v>554.970474783333</v>
      </c>
      <c r="D173" s="3" t="n">
        <v>551.958416874972</v>
      </c>
      <c r="E173" s="3" t="inlineStr">
        <is>
          <t>预测修订</t>
        </is>
      </c>
      <c r="F173"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73" s="3" t="inlineStr">
        <is>
          <t>[{"x": 6, "cells": ["F116"], "values": [557.39184855]}, {"x": 7, "cells": ["G116"], "values": [554.970474783333]}, {"x": 8, "cells": ["H116"], "values": [551.938541166667]}, {"x": 9, "cells": ["I116"], "values": [551.736770516667]}, {"x": 10, "cells": ["J116"], "values": [546.579682183333]}, {"x": 11, "cells": ["K116"], "values": [549.201274666667]}]</t>
        </is>
      </c>
    </row>
    <row r="174" ht="135" customHeight="1" s="1">
      <c r="A174" s="3" t="inlineStr">
        <is>
          <t>NYTimes-256</t>
        </is>
      </c>
      <c r="B174" s="3" t="inlineStr">
        <is>
          <t>H116</t>
        </is>
      </c>
      <c r="C174" s="3" t="n">
        <v>551.9385411666671</v>
      </c>
      <c r="D174" s="3" t="n">
        <v>551.958416874972</v>
      </c>
      <c r="E174" s="3" t="inlineStr">
        <is>
          <t>预测修订</t>
        </is>
      </c>
      <c r="F174"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74" s="3" t="inlineStr">
        <is>
          <t>[{"x": 6, "cells": ["F116"], "values": [557.39184855]}, {"x": 7, "cells": ["G116"], "values": [554.970474783333]}, {"x": 8, "cells": ["H116"], "values": [551.938541166667]}, {"x": 9, "cells": ["I116"], "values": [551.736770516667]}, {"x": 10, "cells": ["J116"], "values": [546.579682183333]}, {"x": 11, "cells": ["K116"], "values": [549.201274666667]}]</t>
        </is>
      </c>
    </row>
    <row r="175" ht="135" customHeight="1" s="1">
      <c r="A175" s="3" t="inlineStr">
        <is>
          <t>NYTimes-256</t>
        </is>
      </c>
      <c r="B175" s="3" t="inlineStr">
        <is>
          <t>I116</t>
        </is>
      </c>
      <c r="C175" s="3" t="n">
        <v>551.736770516667</v>
      </c>
      <c r="D175" s="3" t="n">
        <v>551.958416874972</v>
      </c>
      <c r="E175" s="3" t="inlineStr">
        <is>
          <t>预测修订</t>
        </is>
      </c>
      <c r="F175"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75" s="3" t="inlineStr">
        <is>
          <t>[{"x": 6, "cells": ["F116"], "values": [557.39184855]}, {"x": 7, "cells": ["G116"], "values": [554.970474783333]}, {"x": 8, "cells": ["H116"], "values": [551.938541166667]}, {"x": 9, "cells": ["I116"], "values": [551.736770516667]}, {"x": 10, "cells": ["J116"], "values": [546.579682183333]}, {"x": 11, "cells": ["K116"], "values": [549.201274666667]}]</t>
        </is>
      </c>
    </row>
    <row r="176" ht="135" customHeight="1" s="1">
      <c r="A176" s="3" t="inlineStr">
        <is>
          <t>NYTimes-256</t>
        </is>
      </c>
      <c r="B176" s="3" t="inlineStr">
        <is>
          <t>J116</t>
        </is>
      </c>
      <c r="C176" s="3" t="n">
        <v>546.579682183333</v>
      </c>
      <c r="D176" s="3" t="n">
        <v>551.958416874972</v>
      </c>
      <c r="E176" s="3" t="inlineStr">
        <is>
          <t>预测修订</t>
        </is>
      </c>
      <c r="F176"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76" s="3" t="inlineStr">
        <is>
          <t>[{"x": 6, "cells": ["F116"], "values": [557.39184855]}, {"x": 7, "cells": ["G116"], "values": [554.970474783333]}, {"x": 8, "cells": ["H116"], "values": [551.938541166667]}, {"x": 9, "cells": ["I116"], "values": [551.736770516667]}, {"x": 10, "cells": ["J116"], "values": [546.579682183333]}, {"x": 11, "cells": ["K116"], "values": [549.201274666667]}]</t>
        </is>
      </c>
    </row>
    <row r="177" ht="135" customHeight="1" s="1">
      <c r="A177" s="3" t="inlineStr">
        <is>
          <t>NYTimes-256</t>
        </is>
      </c>
      <c r="B177" s="3" t="inlineStr">
        <is>
          <t>K116</t>
        </is>
      </c>
      <c r="C177" s="3" t="n">
        <v>549.201274666667</v>
      </c>
      <c r="D177" s="3" t="n">
        <v>552</v>
      </c>
      <c r="E177" s="3" t="inlineStr">
        <is>
          <t>预测修订</t>
        </is>
      </c>
      <c r="F177"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77" s="3" t="inlineStr">
        <is>
          <t>[{"x": 6, "cells": ["F116"], "values": [557.39184855]}, {"x": 7, "cells": ["G116"], "values": [554.970474783333]}, {"x": 8, "cells": ["H116"], "values": [551.938541166667]}, {"x": 9, "cells": ["I116"], "values": [551.736770516667]}, {"x": 10, "cells": ["J116"], "values": [546.579682183333]}, {"x": 11, "cells": ["K116"], "values": [549.201274666667]}]</t>
        </is>
      </c>
    </row>
    <row r="178" ht="135" customHeight="1" s="1">
      <c r="A178" s="3" t="inlineStr">
        <is>
          <t>NYTimes-256</t>
        </is>
      </c>
      <c r="B178" s="3" t="inlineStr">
        <is>
          <t>F117</t>
        </is>
      </c>
      <c r="C178" s="3" t="n">
        <v>129.64345235</v>
      </c>
      <c r="D178" s="3" t="n">
        <v>129</v>
      </c>
      <c r="E178" s="3" t="inlineStr">
        <is>
          <t>预测修订</t>
        </is>
      </c>
      <c r="F178"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78" s="3" t="inlineStr">
        <is>
          <t>[{"x": 6, "cells": ["F117"], "values": [129.6434523499999]}, {"x": 7, "cells": ["G117"], "values": [128.85383685]}, {"x": 8, "cells": ["H117"], "values": [129.2695998]}, {"x": 9, "cells": ["I117"], "values": [129.6063412]}, {"x": 10, "cells": ["J117"], "values": [130.1376332500001]}, {"x": 11, "cells": ["K117"], "values": [131.2723634500001]}]</t>
        </is>
      </c>
    </row>
    <row r="179" ht="135" customHeight="1" s="1">
      <c r="A179" s="3" t="inlineStr">
        <is>
          <t>NYTimes-256</t>
        </is>
      </c>
      <c r="B179" s="3" t="inlineStr">
        <is>
          <t>G117</t>
        </is>
      </c>
      <c r="C179" s="3" t="n">
        <v>128.85383685</v>
      </c>
      <c r="D179" s="3" t="n">
        <v>129.248041601324</v>
      </c>
      <c r="E179" s="3" t="inlineStr">
        <is>
          <t>预测修订</t>
        </is>
      </c>
      <c r="F179"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79" s="3" t="inlineStr">
        <is>
          <t>[{"x": 6, "cells": ["F117"], "values": [129.6434523499999]}, {"x": 7, "cells": ["G117"], "values": [128.85383685]}, {"x": 8, "cells": ["H117"], "values": [129.2695998]}, {"x": 9, "cells": ["I117"], "values": [129.6063412]}, {"x": 10, "cells": ["J117"], "values": [130.1376332500001]}, {"x": 11, "cells": ["K117"], "values": [131.2723634500001]}]</t>
        </is>
      </c>
    </row>
    <row r="180" ht="135" customHeight="1" s="1">
      <c r="A180" s="3" t="inlineStr">
        <is>
          <t>NYTimes-256</t>
        </is>
      </c>
      <c r="B180" s="3" t="inlineStr">
        <is>
          <t>F119</t>
        </is>
      </c>
      <c r="C180" s="3" t="n">
        <v>66.8346259999453</v>
      </c>
      <c r="D180" s="3" t="n">
        <v>30.1600178798614</v>
      </c>
      <c r="E180" s="3" t="inlineStr">
        <is>
          <t>预测修订</t>
        </is>
      </c>
      <c r="F180"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80" s="3" t="inlineStr">
        <is>
          <t>[{"x": 6, "cells": ["F119"], "values": [66.8346259999453]}, {"x": 7, "cells": ["G119"], "values": [13.6101110001619]}, {"x": 8, "cells": ["H119"], "values": [69.6683460000713]}, {"x": 9, "cells": ["I119"], "values": [78.5842920004143]}, {"x": 10, "cells": ["J119"], "values": [13.2116089998817]}, {"x": 11, "cells": ["K119"], "values": [13.3960200000729]}]</t>
        </is>
      </c>
    </row>
    <row r="181" ht="135" customHeight="1" s="1">
      <c r="A181" s="3" t="inlineStr">
        <is>
          <t>NYTimes-256</t>
        </is>
      </c>
      <c r="B181" s="3" t="inlineStr">
        <is>
          <t>G119</t>
        </is>
      </c>
      <c r="C181" s="3" t="n">
        <v>13.6101110001619</v>
      </c>
      <c r="D181" s="3" t="n">
        <v>30.2</v>
      </c>
      <c r="E181" s="3" t="inlineStr">
        <is>
          <t>预测修订</t>
        </is>
      </c>
      <c r="F181"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81" s="3" t="inlineStr">
        <is>
          <t>[{"x": 6, "cells": ["F119"], "values": [66.8346259999453]}, {"x": 7, "cells": ["G119"], "values": [13.6101110001619]}, {"x": 8, "cells": ["H119"], "values": [69.6683460000713]}, {"x": 9, "cells": ["I119"], "values": [78.5842920004143]}, {"x": 10, "cells": ["J119"], "values": [13.2116089998817]}, {"x": 11, "cells": ["K119"], "values": [13.3960200000729]}]</t>
        </is>
      </c>
    </row>
    <row r="182" ht="135" customHeight="1" s="1">
      <c r="A182" s="3" t="inlineStr">
        <is>
          <t>NYTimes-256</t>
        </is>
      </c>
      <c r="B182" s="3" t="inlineStr">
        <is>
          <t>H119</t>
        </is>
      </c>
      <c r="C182" s="3" t="n">
        <v>69.6683460000713</v>
      </c>
      <c r="D182" s="3" t="n">
        <v>31.3744185583606</v>
      </c>
      <c r="E182" s="3" t="inlineStr">
        <is>
          <t>预测修订</t>
        </is>
      </c>
      <c r="F182"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82" s="3" t="inlineStr">
        <is>
          <t>[{"x": 6, "cells": ["F119"], "values": [66.8346259999453]}, {"x": 7, "cells": ["G119"], "values": [13.6101110001619]}, {"x": 8, "cells": ["H119"], "values": [69.6683460000713]}, {"x": 9, "cells": ["I119"], "values": [78.5842920004143]}, {"x": 10, "cells": ["J119"], "values": [13.2116089998817]}, {"x": 11, "cells": ["K119"], "values": [13.3960200000729]}]</t>
        </is>
      </c>
    </row>
    <row r="183" ht="135" customHeight="1" s="1">
      <c r="A183" s="3" t="inlineStr">
        <is>
          <t>NYTimes-256</t>
        </is>
      </c>
      <c r="B183" s="3" t="inlineStr">
        <is>
          <t>I119</t>
        </is>
      </c>
      <c r="C183" s="3" t="n">
        <v>78.58429200041429</v>
      </c>
      <c r="D183" s="3" t="n">
        <v>31.3744185583606</v>
      </c>
      <c r="E183" s="3" t="inlineStr">
        <is>
          <t>预测修订</t>
        </is>
      </c>
      <c r="F183"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83" s="3" t="inlineStr">
        <is>
          <t>[{"x": 6, "cells": ["F119"], "values": [66.8346259999453]}, {"x": 7, "cells": ["G119"], "values": [13.6101110001619]}, {"x": 8, "cells": ["H119"], "values": [69.6683460000713]}, {"x": 9, "cells": ["I119"], "values": [78.5842920004143]}, {"x": 10, "cells": ["J119"], "values": [13.2116089998817]}, {"x": 11, "cells": ["K119"], "values": [13.3960200000729]}]</t>
        </is>
      </c>
    </row>
    <row r="184" ht="135" customHeight="1" s="1">
      <c r="A184" s="3" t="inlineStr">
        <is>
          <t>NYTimes-256</t>
        </is>
      </c>
      <c r="B184" s="3" t="inlineStr">
        <is>
          <t>J119</t>
        </is>
      </c>
      <c r="C184" s="3" t="n">
        <v>13.2116089998817</v>
      </c>
      <c r="D184" s="3" t="n">
        <v>31.3744185583606</v>
      </c>
      <c r="E184" s="3" t="inlineStr">
        <is>
          <t>预测修订</t>
        </is>
      </c>
      <c r="F184"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84" s="3" t="inlineStr">
        <is>
          <t>[{"x": 6, "cells": ["F119"], "values": [66.8346259999453]}, {"x": 7, "cells": ["G119"], "values": [13.6101110001619]}, {"x": 8, "cells": ["H119"], "values": [69.6683460000713]}, {"x": 9, "cells": ["I119"], "values": [78.5842920004143]}, {"x": 10, "cells": ["J119"], "values": [13.2116089998817]}, {"x": 11, "cells": ["K119"], "values": [13.3960200000729]}]</t>
        </is>
      </c>
    </row>
    <row r="185" ht="135" customHeight="1" s="1">
      <c r="A185" s="3" t="inlineStr">
        <is>
          <t>NYTimes-256</t>
        </is>
      </c>
      <c r="B185" s="3" t="inlineStr">
        <is>
          <t>K119</t>
        </is>
      </c>
      <c r="C185" s="3" t="n">
        <v>13.3960200000729</v>
      </c>
      <c r="D185" s="3" t="n">
        <v>31.4</v>
      </c>
      <c r="E185" s="3" t="inlineStr">
        <is>
          <t>预测修订</t>
        </is>
      </c>
      <c r="F185"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85" s="3" t="inlineStr">
        <is>
          <t>[{"x": 6, "cells": ["F119"], "values": [66.8346259999453]}, {"x": 7, "cells": ["G119"], "values": [13.6101110001619]}, {"x": 8, "cells": ["H119"], "values": [69.6683460000713]}, {"x": 9, "cells": ["I119"], "values": [78.5842920004143]}, {"x": 10, "cells": ["J119"], "values": [13.2116089998817]}, {"x": 11, "cells": ["K119"], "values": [13.3960200000729]}]</t>
        </is>
      </c>
    </row>
    <row r="186" ht="135" customHeight="1" s="1">
      <c r="A186" s="3" t="inlineStr">
        <is>
          <t>NYTimes-256</t>
        </is>
      </c>
      <c r="B186" s="3" t="inlineStr">
        <is>
          <t>I127</t>
        </is>
      </c>
      <c r="C186" s="3" t="n">
        <v>297.812085416667</v>
      </c>
      <c r="D186" s="3" t="n">
        <v>297</v>
      </c>
      <c r="E186" s="3" t="inlineStr">
        <is>
          <t>预测修订</t>
        </is>
      </c>
      <c r="F186"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86" s="3" t="inlineStr">
        <is>
          <t>[{"x": 6, "cells": ["F127"], "values": [295.26614955]}, {"x": 7, "cells": ["G127"], "values": [296.0646922]}, {"x": 8, "cells": ["H127"], "values": [296.208391566667]}, {"x": 9, "cells": ["I127"], "values": [297.812085416667]}, {"x": 10, "cells": ["J127"], "values": [297.087626583333]}, {"x": 11, "cells": ["K127"], "values": [300.96242795]}]</t>
        </is>
      </c>
    </row>
    <row r="187" ht="135" customHeight="1" s="1">
      <c r="A187" s="3" t="inlineStr">
        <is>
          <t>NYTimes-256</t>
        </is>
      </c>
      <c r="B187" s="3" t="inlineStr">
        <is>
          <t>J127</t>
        </is>
      </c>
      <c r="C187" s="3" t="n">
        <v>297.087626583333</v>
      </c>
      <c r="D187" s="3" t="n">
        <v>297.449635441482</v>
      </c>
      <c r="E187" s="3" t="inlineStr">
        <is>
          <t>预测修订</t>
        </is>
      </c>
      <c r="F187"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87" s="3" t="inlineStr">
        <is>
          <t>[{"x": 6, "cells": ["F127"], "values": [295.26614955]}, {"x": 7, "cells": ["G127"], "values": [296.0646922]}, {"x": 8, "cells": ["H127"], "values": [296.208391566667]}, {"x": 9, "cells": ["I127"], "values": [297.812085416667]}, {"x": 10, "cells": ["J127"], "values": [297.087626583333]}, {"x": 11, "cells": ["K127"], "values": [300.96242795]}]</t>
        </is>
      </c>
    </row>
    <row r="188" ht="135" customHeight="1" s="1">
      <c r="A188" s="3" t="inlineStr">
        <is>
          <t>NYTimes-256</t>
        </is>
      </c>
      <c r="B188" s="3" t="inlineStr">
        <is>
          <t>F128</t>
        </is>
      </c>
      <c r="C188" s="3" t="n">
        <v>26.10421218</v>
      </c>
      <c r="D188" s="3" t="n">
        <v>25.7644671686268</v>
      </c>
      <c r="E188" s="3" t="inlineStr">
        <is>
          <t>预测修订</t>
        </is>
      </c>
      <c r="F188"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88" s="3" t="inlineStr">
        <is>
          <t>[{"x": 6, "cells": ["F128"], "values": [26.10421218]}, {"x": 7, "cells": ["G128"], "values": [25.63643439999996]}, {"x": 8, "cells": ["H128"], "values": [25.81181024000004]}, {"x": 9, "cells": ["I128"], "values": [25.56243356000004]}, {"x": 10, "cells": ["J128"], "values": [25.71088071999996]}, {"x": 11, "cells": ["K128"], "values": [25.88691348]}]</t>
        </is>
      </c>
    </row>
    <row r="189" ht="135" customHeight="1" s="1">
      <c r="A189" s="3" t="inlineStr">
        <is>
          <t>NYTimes-256</t>
        </is>
      </c>
      <c r="B189" s="3" t="inlineStr">
        <is>
          <t>G128</t>
        </is>
      </c>
      <c r="C189" s="3" t="n">
        <v>25.6364344</v>
      </c>
      <c r="D189" s="3" t="n">
        <v>25.7644671686268</v>
      </c>
      <c r="E189" s="3" t="inlineStr">
        <is>
          <t>预测修订</t>
        </is>
      </c>
      <c r="F189"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89" s="3" t="inlineStr">
        <is>
          <t>[{"x": 6, "cells": ["F128"], "values": [26.10421218]}, {"x": 7, "cells": ["G128"], "values": [25.63643439999996]}, {"x": 8, "cells": ["H128"], "values": [25.81181024000004]}, {"x": 9, "cells": ["I128"], "values": [25.56243356000004]}, {"x": 10, "cells": ["J128"], "values": [25.71088071999996]}, {"x": 11, "cells": ["K128"], "values": [25.88691348]}]</t>
        </is>
      </c>
    </row>
    <row r="190" ht="135" customHeight="1" s="1">
      <c r="A190" s="3" t="inlineStr">
        <is>
          <t>NYTimes-256</t>
        </is>
      </c>
      <c r="B190" s="3" t="inlineStr">
        <is>
          <t>H128</t>
        </is>
      </c>
      <c r="C190" s="3" t="n">
        <v>25.81181024</v>
      </c>
      <c r="D190" s="3" t="n">
        <v>25.7644671686268</v>
      </c>
      <c r="E190" s="3" t="inlineStr">
        <is>
          <t>预测修订</t>
        </is>
      </c>
      <c r="F190"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90" s="3" t="inlineStr">
        <is>
          <t>[{"x": 6, "cells": ["F128"], "values": [26.10421218]}, {"x": 7, "cells": ["G128"], "values": [25.63643439999996]}, {"x": 8, "cells": ["H128"], "values": [25.81181024000004]}, {"x": 9, "cells": ["I128"], "values": [25.56243356000004]}, {"x": 10, "cells": ["J128"], "values": [25.71088071999996]}, {"x": 11, "cells": ["K128"], "values": [25.88691348]}]</t>
        </is>
      </c>
    </row>
    <row r="191" ht="135" customHeight="1" s="1">
      <c r="A191" s="3" t="inlineStr">
        <is>
          <t>NYTimes-256</t>
        </is>
      </c>
      <c r="B191" s="3" t="inlineStr">
        <is>
          <t>I128</t>
        </is>
      </c>
      <c r="C191" s="3" t="n">
        <v>25.56243356</v>
      </c>
      <c r="D191" s="3" t="n">
        <v>25.7644671686268</v>
      </c>
      <c r="E191" s="3" t="inlineStr">
        <is>
          <t>预测修订</t>
        </is>
      </c>
      <c r="F191"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91" s="3" t="inlineStr">
        <is>
          <t>[{"x": 6, "cells": ["F128"], "values": [26.10421218]}, {"x": 7, "cells": ["G128"], "values": [25.63643439999996]}, {"x": 8, "cells": ["H128"], "values": [25.81181024000004]}, {"x": 9, "cells": ["I128"], "values": [25.56243356000004]}, {"x": 10, "cells": ["J128"], "values": [25.71088071999996]}, {"x": 11, "cells": ["K128"], "values": [25.88691348]}]</t>
        </is>
      </c>
    </row>
    <row r="192" ht="135" customHeight="1" s="1">
      <c r="A192" s="3" t="inlineStr">
        <is>
          <t>NYTimes-256</t>
        </is>
      </c>
      <c r="B192" s="3" t="inlineStr">
        <is>
          <t>J128</t>
        </is>
      </c>
      <c r="C192" s="3" t="n">
        <v>25.71088072</v>
      </c>
      <c r="D192" s="3" t="n">
        <v>25.8</v>
      </c>
      <c r="E192" s="3" t="inlineStr">
        <is>
          <t>预测修订</t>
        </is>
      </c>
      <c r="F192"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92" s="3" t="inlineStr">
        <is>
          <t>[{"x": 6, "cells": ["F128"], "values": [26.10421218]}, {"x": 7, "cells": ["G128"], "values": [25.63643439999996]}, {"x": 8, "cells": ["H128"], "values": [25.81181024000004]}, {"x": 9, "cells": ["I128"], "values": [25.56243356000004]}, {"x": 10, "cells": ["J128"], "values": [25.71088071999996]}, {"x": 11, "cells": ["K128"], "values": [25.88691348]}]</t>
        </is>
      </c>
    </row>
    <row r="193" ht="135" customHeight="1" s="1">
      <c r="A193" s="3" t="inlineStr">
        <is>
          <t>NYTimes-256</t>
        </is>
      </c>
      <c r="B193" s="3" t="inlineStr">
        <is>
          <t>H130</t>
        </is>
      </c>
      <c r="C193" s="3" t="n">
        <v>525753.569964</v>
      </c>
      <c r="D193" s="3" t="n">
        <v>505550.452096451</v>
      </c>
      <c r="E193" s="3" t="inlineStr">
        <is>
          <t>预测修订</t>
        </is>
      </c>
      <c r="F193"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93" s="3" t="inlineStr">
        <is>
          <t>[{"x": 6, "cells": ["F130"], "values": [497518.470578999]}, {"x": 7, "cells": ["G130"], "values": [500123.765209001]}, {"x": 8, "cells": ["H130"], "values": [525753.569964]}, {"x": 9, "cells": ["I130"], "values": [499521.62197]}, {"x": 10, "cells": ["J130"], "values": [498341.342619]}, {"x": 11, "cells": ["K130"], "values": [499108.047751]}]</t>
        </is>
      </c>
    </row>
    <row r="194" ht="135" customHeight="1" s="1">
      <c r="A194" s="3" t="inlineStr">
        <is>
          <t>NYTimes-256</t>
        </is>
      </c>
      <c r="B194" s="3" t="inlineStr">
        <is>
          <t>I130</t>
        </is>
      </c>
      <c r="C194" s="3" t="n">
        <v>499521.62197</v>
      </c>
      <c r="D194" s="3" t="n">
        <v>505550.452096451</v>
      </c>
      <c r="E194" s="3" t="inlineStr">
        <is>
          <t>预测修订</t>
        </is>
      </c>
      <c r="F194"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94" s="3" t="inlineStr">
        <is>
          <t>[{"x": 6, "cells": ["F130"], "values": [497518.470578999]}, {"x": 7, "cells": ["G130"], "values": [500123.765209001]}, {"x": 8, "cells": ["H130"], "values": [525753.569964]}, {"x": 9, "cells": ["I130"], "values": [499521.62197]}, {"x": 10, "cells": ["J130"], "values": [498341.342619]}, {"x": 11, "cells": ["K130"], "values": [499108.047751]}]</t>
        </is>
      </c>
    </row>
    <row r="195" ht="135" customHeight="1" s="1">
      <c r="A195" s="3" t="inlineStr">
        <is>
          <t>NYTimes-256</t>
        </is>
      </c>
      <c r="B195" s="3" t="inlineStr">
        <is>
          <t>J130</t>
        </is>
      </c>
      <c r="C195" s="3" t="n">
        <v>498341.342619</v>
      </c>
      <c r="D195" s="3" t="n">
        <v>505550.452096451</v>
      </c>
      <c r="E195" s="3" t="inlineStr">
        <is>
          <t>预测修订</t>
        </is>
      </c>
      <c r="F195"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95" s="3" t="inlineStr">
        <is>
          <t>[{"x": 6, "cells": ["F130"], "values": [497518.470578999]}, {"x": 7, "cells": ["G130"], "values": [500123.765209001]}, {"x": 8, "cells": ["H130"], "values": [525753.569964]}, {"x": 9, "cells": ["I130"], "values": [499521.62197]}, {"x": 10, "cells": ["J130"], "values": [498341.342619]}, {"x": 11, "cells": ["K130"], "values": [499108.047751]}]</t>
        </is>
      </c>
    </row>
    <row r="196" ht="135" customHeight="1" s="1">
      <c r="A196" s="3" t="inlineStr">
        <is>
          <t>NYTimes-256</t>
        </is>
      </c>
      <c r="B196" s="3" t="inlineStr">
        <is>
          <t>K130</t>
        </is>
      </c>
      <c r="C196" s="3" t="n">
        <v>499108.047751</v>
      </c>
      <c r="D196" s="3" t="n">
        <v>506000</v>
      </c>
      <c r="E196" s="3" t="inlineStr">
        <is>
          <t>预测修订</t>
        </is>
      </c>
      <c r="F196"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96" s="3" t="inlineStr">
        <is>
          <t>[{"x": 6, "cells": ["F130"], "values": [497518.470578999]}, {"x": 7, "cells": ["G130"], "values": [500123.765209001]}, {"x": 8, "cells": ["H130"], "values": [525753.569964]}, {"x": 9, "cells": ["I130"], "values": [499521.62197]}, {"x": 10, "cells": ["J130"], "values": [498341.342619]}, {"x": 11, "cells": ["K130"], "values": [499108.047751]}]</t>
        </is>
      </c>
    </row>
    <row r="197" ht="135" customHeight="1" s="1">
      <c r="A197" s="3" t="inlineStr">
        <is>
          <t>GloVe-100</t>
        </is>
      </c>
      <c r="B197" s="3" t="inlineStr">
        <is>
          <t>G28</t>
        </is>
      </c>
      <c r="C197" s="3" t="n">
        <v>275.131</v>
      </c>
      <c r="D197" s="3" t="n">
        <v>261</v>
      </c>
      <c r="E197" s="3" t="inlineStr">
        <is>
          <t>预测修订</t>
        </is>
      </c>
      <c r="F197" s="3"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97" s="3" t="inlineStr">
        <is>
          <t>[{"x": 16.5, "cells": ["F28"], "values": [225.089]}, {"x": 20, "cells": ["G28"], "values": [275.131]}, {"x": 28.5, "cells": ["H28"], "values": [247.916]}, {"x": 40.5, "cells": ["I28", "J28", "K28"], "values": [287.485, 287.485, 287.485]}, {"x": 47, "cells": ["L28"], "values": [352.077]}, {"x": 55, "cells": ["M28", "N28"], "values": [491.36, 491.36]}, {"x": 64.5, "cells": ["O28"], "values": [761.715]}, {"x": 68, "cells": ["P28"], "values": [769.926]}, {"x": 71.5, "cells": ["Q28"], "values": [1294.214]}]</t>
        </is>
      </c>
    </row>
    <row r="198" ht="135" customHeight="1" s="1">
      <c r="A198" s="3" t="inlineStr">
        <is>
          <t>GloVe-100</t>
        </is>
      </c>
      <c r="B198" s="3" t="inlineStr">
        <is>
          <t>H28</t>
        </is>
      </c>
      <c r="C198" s="3" t="n">
        <v>247.916</v>
      </c>
      <c r="D198" s="3" t="n">
        <v>261.169249713668</v>
      </c>
      <c r="E198" s="3" t="inlineStr">
        <is>
          <t>预测修订</t>
        </is>
      </c>
      <c r="F198" s="3"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98" s="3" t="inlineStr">
        <is>
          <t>[{"x": 16.5, "cells": ["F28"], "values": [225.089]}, {"x": 20, "cells": ["G28"], "values": [275.131]}, {"x": 28.5, "cells": ["H28"], "values": [247.916]}, {"x": 40.5, "cells": ["I28", "J28", "K28"], "values": [287.485, 287.485, 287.485]}, {"x": 47, "cells": ["L28"], "values": [352.077]}, {"x": 55, "cells": ["M28", "N28"], "values": [491.36, 491.36]}, {"x": 64.5, "cells": ["O28"], "values": [761.715]}, {"x": 68, "cells": ["P28"], "values": [769.926]}, {"x": 71.5, "cells": ["Q28"], "values": [1294.214]}]</t>
        </is>
      </c>
    </row>
    <row r="199" ht="148.5" customHeight="1" s="1">
      <c r="A199" s="3" t="inlineStr">
        <is>
          <t>GloVe-100</t>
        </is>
      </c>
      <c r="B199" s="3" t="inlineStr">
        <is>
          <t>G42</t>
        </is>
      </c>
      <c r="C199" s="3" t="n">
        <v>14.618057000007</v>
      </c>
      <c r="D199" s="3" t="n">
        <v>13.7</v>
      </c>
      <c r="E199" s="3" t="inlineStr">
        <is>
          <t>预测修订</t>
        </is>
      </c>
      <c r="F199"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99" s="3" t="inlineStr">
        <is>
          <t>[{"x": 16.5, "cells": ["F42"], "values": [11.4302449999286]}, {"x": 20, "cells": ["G42"], "values": [14.618057000007]}, {"x": 28.5, "cells": ["H42"], "values": [12.9159059999893]}, {"x": 40.5, "cells": ["I42", "J42", "K42"], "values": [19.9993839999024, 19.9993839999024, 19.9993839999024]}, {"x": 47, "cells": ["L42"], "values": [26.9277013483218]}, {"x": 55, "cells": ["M42", "N42"], "values": [31.0652820356752, 31.0652820356752]}, {"x": 64.5, "cells": ["O42"], "values": [38.1911983949037]}, {"x": 68, "cells": ["P42"], "values": [39.3404434103822]}, {"x": 71.5, "cells": ["Q42"], "values": [51.2937860978822]}]</t>
        </is>
      </c>
    </row>
    <row r="200" ht="148.5" customHeight="1" s="1">
      <c r="A200" s="3" t="inlineStr">
        <is>
          <t>GloVe-100</t>
        </is>
      </c>
      <c r="B200" s="3" t="inlineStr">
        <is>
          <t>H42</t>
        </is>
      </c>
      <c r="C200" s="3" t="n">
        <v>12.9159059999893</v>
      </c>
      <c r="D200" s="3" t="n">
        <v>13.7406495521346</v>
      </c>
      <c r="E200" s="3" t="inlineStr">
        <is>
          <t>预测修订</t>
        </is>
      </c>
      <c r="F200"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00" s="3" t="inlineStr">
        <is>
          <t>[{"x": 16.5, "cells": ["F42"], "values": [11.4302449999286]}, {"x": 20, "cells": ["G42"], "values": [14.618057000007]}, {"x": 28.5, "cells": ["H42"], "values": [12.9159059999893]}, {"x": 40.5, "cells": ["I42", "J42", "K42"], "values": [19.9993839999024, 19.9993839999024, 19.9993839999024]}, {"x": 47, "cells": ["L42"], "values": [26.9277013483218]}, {"x": 55, "cells": ["M42", "N42"], "values": [31.0652820356752, 31.0652820356752]}, {"x": 64.5, "cells": ["O42"], "values": [38.1911983949037]}, {"x": 68, "cells": ["P42"], "values": [39.3404434103822]}, {"x": 71.5, "cells": ["Q42"], "values": [51.2937860978822]}]</t>
        </is>
      </c>
    </row>
    <row r="201" ht="135" customHeight="1" s="1">
      <c r="A201" s="3" t="inlineStr">
        <is>
          <t>GloVe-100</t>
        </is>
      </c>
      <c r="B201" s="3" t="inlineStr">
        <is>
          <t>G70</t>
        </is>
      </c>
      <c r="C201" s="3" t="n">
        <v>3293.64175</v>
      </c>
      <c r="D201" s="3" t="n">
        <v>3039.14186469563</v>
      </c>
      <c r="E201" s="3" t="inlineStr">
        <is>
          <t>预测修订</t>
        </is>
      </c>
      <c r="F201" s="3" t="inlineStr">
        <is>
          <t>Dataset size/VO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01" s="3" t="inlineStr">
        <is>
          <t>[{"x": 6, "cells": ["F70"], "values": [969.17955]}, {"x": 7, "cells": ["G70"], "values": [3293.64175]}, {"x": 8, "cells": ["H70"], "values": [2804.3072]}]</t>
        </is>
      </c>
    </row>
    <row r="202" ht="135" customHeight="1" s="1">
      <c r="A202" s="3" t="inlineStr">
        <is>
          <t>GloVe-100</t>
        </is>
      </c>
      <c r="B202" s="3" t="inlineStr">
        <is>
          <t>H70</t>
        </is>
      </c>
      <c r="C202" s="3" t="n">
        <v>2804.3072</v>
      </c>
      <c r="D202" s="3" t="n">
        <v>3040</v>
      </c>
      <c r="E202" s="3" t="inlineStr">
        <is>
          <t>预测修订</t>
        </is>
      </c>
      <c r="F202" s="3" t="inlineStr">
        <is>
          <t>Dataset size/VO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02" s="3" t="inlineStr">
        <is>
          <t>[{"x": 6, "cells": ["F70"], "values": [969.17955]}, {"x": 7, "cells": ["G70"], "values": [3293.64175]}, {"x": 8, "cells": ["H70"], "values": [2804.3072]}]</t>
        </is>
      </c>
    </row>
    <row r="203" ht="135" customHeight="1" s="1">
      <c r="A203" s="3" t="inlineStr">
        <is>
          <t>GloVe-100</t>
        </is>
      </c>
      <c r="B203" s="3" t="inlineStr">
        <is>
          <t>G82</t>
        </is>
      </c>
      <c r="C203" s="3" t="n">
        <v>94.11832695</v>
      </c>
      <c r="D203" s="3" t="n">
        <v>85</v>
      </c>
      <c r="E203" s="3" t="inlineStr">
        <is>
          <t>预测修订</t>
        </is>
      </c>
      <c r="F203" s="3" t="inlineStr">
        <is>
          <t>Dataset size/verify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03" s="3" t="inlineStr">
        <is>
          <t>[{"x": 6, "cells": ["F82"], "values": [23.6985128833333]}, {"x": 7, "cells": ["G82"], "values": [94.11832695]}, {"x": 8, "cells": ["H82"], "values": [76.8190604]}]</t>
        </is>
      </c>
    </row>
    <row r="204" ht="135" customHeight="1" s="1">
      <c r="A204" s="3" t="inlineStr">
        <is>
          <t>GloVe-100</t>
        </is>
      </c>
      <c r="B204" s="3" t="inlineStr">
        <is>
          <t>H82</t>
        </is>
      </c>
      <c r="C204" s="3" t="n">
        <v>76.8190604</v>
      </c>
      <c r="D204" s="3" t="n">
        <v>85.0298855857104</v>
      </c>
      <c r="E204" s="3" t="inlineStr">
        <is>
          <t>预测修订</t>
        </is>
      </c>
      <c r="F204" s="3" t="inlineStr">
        <is>
          <t>Dataset size/verify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04" s="3" t="inlineStr">
        <is>
          <t>[{"x": 6, "cells": ["F82"], "values": [23.6985128833333]}, {"x": 7, "cells": ["G82"], "values": [94.11832695]}, {"x": 8, "cells": ["H82"], "values": [76.8190604]}]</t>
        </is>
      </c>
    </row>
    <row r="205" ht="135" customHeight="1" s="1">
      <c r="A205" s="3" t="inlineStr">
        <is>
          <t>GloVe-100</t>
        </is>
      </c>
      <c r="B205" s="3" t="inlineStr">
        <is>
          <t>F83</t>
        </is>
      </c>
      <c r="C205" s="3" t="n">
        <v>34.2702140005713</v>
      </c>
      <c r="D205" s="3" t="n">
        <v>17.6935892789805</v>
      </c>
      <c r="E205" s="3" t="inlineStr">
        <is>
          <t>预测修订</t>
        </is>
      </c>
      <c r="F205" s="3" t="inlineStr">
        <is>
          <t>Dataset size/verify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05" s="3" t="inlineStr">
        <is>
          <t>[{"x": 6, "cells": ["F83"], "values": [34.2702140005713]}, {"x": 7, "cells": ["G83"], "values": [12.736059999952]}, {"x": 8, "cells": ["H83"], "values": [12.6910020007927]}]</t>
        </is>
      </c>
    </row>
    <row r="206" ht="135" customHeight="1" s="1">
      <c r="A206" s="3" t="inlineStr">
        <is>
          <t>GloVe-100</t>
        </is>
      </c>
      <c r="B206" s="3" t="inlineStr">
        <is>
          <t>G83</t>
        </is>
      </c>
      <c r="C206" s="3" t="n">
        <v>12.736059999952</v>
      </c>
      <c r="D206" s="3" t="n">
        <v>17.6935892789805</v>
      </c>
      <c r="E206" s="3" t="inlineStr">
        <is>
          <t>预测修订</t>
        </is>
      </c>
      <c r="F206" s="3" t="inlineStr">
        <is>
          <t>Dataset size/verify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06" s="3" t="inlineStr">
        <is>
          <t>[{"x": 6, "cells": ["F83"], "values": [34.2702140005713]}, {"x": 7, "cells": ["G83"], "values": [12.736059999952]}, {"x": 8, "cells": ["H83"], "values": [12.6910020007927]}]</t>
        </is>
      </c>
    </row>
    <row r="207" ht="135" customHeight="1" s="1">
      <c r="A207" s="3" t="inlineStr">
        <is>
          <t>GloVe-100</t>
        </is>
      </c>
      <c r="B207" s="3" t="inlineStr">
        <is>
          <t>H83</t>
        </is>
      </c>
      <c r="C207" s="3" t="n">
        <v>12.6910020007927</v>
      </c>
      <c r="D207" s="3" t="n">
        <v>17.7</v>
      </c>
      <c r="E207" s="3" t="inlineStr">
        <is>
          <t>预测修订</t>
        </is>
      </c>
      <c r="F207" s="3" t="inlineStr">
        <is>
          <t>Dataset size/verify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07" s="3" t="inlineStr">
        <is>
          <t>[{"x": 6, "cells": ["F83"], "values": [34.2702140005713]}, {"x": 7, "cells": ["G83"], "values": [12.736059999952]}, {"x": 8, "cells": ["H83"], "values": [12.6910020007927]}]</t>
        </is>
      </c>
    </row>
    <row r="208" ht="135" customHeight="1" s="1">
      <c r="A208" s="3" t="inlineStr">
        <is>
          <t>GloVe-100</t>
        </is>
      </c>
      <c r="B208" s="3" t="inlineStr">
        <is>
          <t>G93</t>
        </is>
      </c>
      <c r="C208" s="3" t="n">
        <v>44.0394726833333</v>
      </c>
      <c r="D208" s="3" t="n">
        <v>39.6</v>
      </c>
      <c r="E208" s="3" t="inlineStr">
        <is>
          <t>预测修订</t>
        </is>
      </c>
      <c r="F208" s="3" t="inlineStr">
        <is>
          <t>Dataset size/query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08" s="3" t="inlineStr">
        <is>
          <t>[{"x": 6, "cells": ["F93"], "values": [10.5961927333333]}, {"x": 7, "cells": ["G93"], "values": [44.0394726833333]}, {"x": 8, "cells": ["H93"], "values": [35.6520734333333]}]</t>
        </is>
      </c>
    </row>
    <row r="209" ht="135" customHeight="1" s="1">
      <c r="A209" s="3" t="inlineStr">
        <is>
          <t>GloVe-100</t>
        </is>
      </c>
      <c r="B209" s="3" t="inlineStr">
        <is>
          <t>H93</t>
        </is>
      </c>
      <c r="C209" s="3" t="n">
        <v>35.6520734333333</v>
      </c>
      <c r="D209" s="3" t="n">
        <v>39.6244686282539</v>
      </c>
      <c r="E209" s="3" t="inlineStr">
        <is>
          <t>预测修订</t>
        </is>
      </c>
      <c r="F209" s="3" t="inlineStr">
        <is>
          <t>Dataset size/query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09" s="3" t="inlineStr">
        <is>
          <t>[{"x": 6, "cells": ["F93"], "values": [10.5961927333333]}, {"x": 7, "cells": ["G93"], "values": [44.0394726833333]}, {"x": 8, "cells": ["H93"], "values": [35.6520734333333]}]</t>
        </is>
      </c>
    </row>
    <row r="210" ht="135" customHeight="1" s="1">
      <c r="A210" s="3" t="inlineStr">
        <is>
          <t>GloVe-100</t>
        </is>
      </c>
      <c r="B210" s="3" t="inlineStr">
        <is>
          <t>F94</t>
        </is>
      </c>
      <c r="C210" s="3" t="n">
        <v>488012.784404999</v>
      </c>
      <c r="D210" s="3" t="n">
        <v>305000</v>
      </c>
      <c r="E210" s="3" t="inlineStr">
        <is>
          <t>预测修订</t>
        </is>
      </c>
      <c r="F210" s="3" t="inlineStr">
        <is>
          <t>Dataset size/query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10" s="3" t="inlineStr">
        <is>
          <t>[{"x": 6, "cells": ["F94"], "values": [488012.784404999]}, {"x": 7, "cells": ["G94"], "values": [242873.377380999]}, {"x": 8, "cells": ["H94"], "values": [240464.195720001]}]</t>
        </is>
      </c>
    </row>
    <row r="211" ht="135" customHeight="1" s="1">
      <c r="A211" s="3" t="inlineStr">
        <is>
          <t>GloVe-100</t>
        </is>
      </c>
      <c r="B211" s="3" t="inlineStr">
        <is>
          <t>G94</t>
        </is>
      </c>
      <c r="C211" s="3" t="n">
        <v>242873.377380999</v>
      </c>
      <c r="D211" s="3" t="n">
        <v>305459.645925872</v>
      </c>
      <c r="E211" s="3" t="inlineStr">
        <is>
          <t>预测修订</t>
        </is>
      </c>
      <c r="F211" s="3" t="inlineStr">
        <is>
          <t>Dataset size/query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11" s="3" t="inlineStr">
        <is>
          <t>[{"x": 6, "cells": ["F94"], "values": [488012.784404999]}, {"x": 7, "cells": ["G94"], "values": [242873.377380999]}, {"x": 8, "cells": ["H94"], "values": [240464.195720001]}]</t>
        </is>
      </c>
    </row>
    <row r="212" ht="135" customHeight="1" s="1">
      <c r="A212" s="3" t="inlineStr">
        <is>
          <t>GloVe-100</t>
        </is>
      </c>
      <c r="B212" s="3" t="inlineStr">
        <is>
          <t>H94</t>
        </is>
      </c>
      <c r="C212" s="3" t="n">
        <v>240464.195720001</v>
      </c>
      <c r="D212" s="3" t="n">
        <v>305459.645925872</v>
      </c>
      <c r="E212" s="3" t="inlineStr">
        <is>
          <t>预测修订</t>
        </is>
      </c>
      <c r="F212" s="3" t="inlineStr">
        <is>
          <t>Dataset size/query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12" s="3" t="inlineStr">
        <is>
          <t>[{"x": 6, "cells": ["F94"], "values": [488012.784404999]}, {"x": 7, "cells": ["G94"], "values": [242873.377380999]}, {"x": 8, "cells": ["H94"], "values": [240464.195720001]}]</t>
        </is>
      </c>
    </row>
    <row r="213" ht="135" customHeight="1" s="1">
      <c r="A213" s="3" t="inlineStr">
        <is>
          <t>GloVe-100</t>
        </is>
      </c>
      <c r="B213" s="3" t="inlineStr">
        <is>
          <t>G107</t>
        </is>
      </c>
      <c r="C213" s="3" t="n">
        <v>287.317</v>
      </c>
      <c r="D213" s="3" t="n">
        <v>286.588698182292</v>
      </c>
      <c r="E213" s="3" t="inlineStr">
        <is>
          <t>预测修订</t>
        </is>
      </c>
      <c r="F213" s="3"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13" s="3" t="inlineStr">
        <is>
          <t>[{"x": 6, "cells": ["F107"], "values": [283.923]}, {"x": 7, "cells": ["G107"], "values": [287.317]}, {"x": 8, "cells": ["H107"], "values": [287.485]}, {"x": 9, "cells": ["I107"], "values": [284.971]}, {"x": 10, "cells": ["J107"], "values": [288.524]}, {"x": 11, "cells": ["K107"], "values": [284.7]}]</t>
        </is>
      </c>
    </row>
    <row r="214" ht="135" customHeight="1" s="1">
      <c r="A214" s="3" t="inlineStr">
        <is>
          <t>GloVe-100</t>
        </is>
      </c>
      <c r="B214" s="3" t="inlineStr">
        <is>
          <t>H107</t>
        </is>
      </c>
      <c r="C214" s="3" t="n">
        <v>287.485</v>
      </c>
      <c r="D214" s="3" t="n">
        <v>286.588698182292</v>
      </c>
      <c r="E214" s="3" t="inlineStr">
        <is>
          <t>预测修订</t>
        </is>
      </c>
      <c r="F214" s="3"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14" s="3" t="inlineStr">
        <is>
          <t>[{"x": 6, "cells": ["F107"], "values": [283.923]}, {"x": 7, "cells": ["G107"], "values": [287.317]}, {"x": 8, "cells": ["H107"], "values": [287.485]}, {"x": 9, "cells": ["I107"], "values": [284.971]}, {"x": 10, "cells": ["J107"], "values": [288.524]}, {"x": 11, "cells": ["K107"], "values": [284.7]}]</t>
        </is>
      </c>
    </row>
    <row r="215" ht="135" customHeight="1" s="1">
      <c r="A215" s="3" t="inlineStr">
        <is>
          <t>GloVe-100</t>
        </is>
      </c>
      <c r="B215" s="3" t="inlineStr">
        <is>
          <t>I107</t>
        </is>
      </c>
      <c r="C215" s="3" t="n">
        <v>284.971</v>
      </c>
      <c r="D215" s="3" t="n">
        <v>286.605622415193</v>
      </c>
      <c r="E215" s="3" t="inlineStr">
        <is>
          <t>预测修订</t>
        </is>
      </c>
      <c r="F215" s="3"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15" s="3" t="inlineStr">
        <is>
          <t>[{"x": 6, "cells": ["F107"], "values": [283.923]}, {"x": 7, "cells": ["G107"], "values": [287.317]}, {"x": 8, "cells": ["H107"], "values": [287.485]}, {"x": 9, "cells": ["I107"], "values": [284.971]}, {"x": 10, "cells": ["J107"], "values": [288.524]}, {"x": 11, "cells": ["K107"], "values": [284.7]}]</t>
        </is>
      </c>
    </row>
    <row r="216" ht="135" customHeight="1" s="1">
      <c r="A216" s="3" t="inlineStr">
        <is>
          <t>GloVe-100</t>
        </is>
      </c>
      <c r="B216" s="3" t="inlineStr">
        <is>
          <t>J107</t>
        </is>
      </c>
      <c r="C216" s="3" t="n">
        <v>288.524</v>
      </c>
      <c r="D216" s="3" t="n">
        <v>286.605622415193</v>
      </c>
      <c r="E216" s="3" t="inlineStr">
        <is>
          <t>预测修订</t>
        </is>
      </c>
      <c r="F216" s="3"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16" s="3" t="inlineStr">
        <is>
          <t>[{"x": 6, "cells": ["F107"], "values": [283.923]}, {"x": 7, "cells": ["G107"], "values": [287.317]}, {"x": 8, "cells": ["H107"], "values": [287.485]}, {"x": 9, "cells": ["I107"], "values": [284.971]}, {"x": 10, "cells": ["J107"], "values": [288.524]}, {"x": 11, "cells": ["K107"], "values": [284.7]}]</t>
        </is>
      </c>
    </row>
    <row r="217" ht="135" customHeight="1" s="1">
      <c r="A217" s="3" t="inlineStr">
        <is>
          <t>GloVe-100</t>
        </is>
      </c>
      <c r="B217" s="3" t="inlineStr">
        <is>
          <t>K107</t>
        </is>
      </c>
      <c r="C217" s="3" t="n">
        <v>284.7</v>
      </c>
      <c r="D217" s="3" t="n">
        <v>287</v>
      </c>
      <c r="E217" s="3" t="inlineStr">
        <is>
          <t>预测修订</t>
        </is>
      </c>
      <c r="F217" s="3"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17" s="3" t="inlineStr">
        <is>
          <t>[{"x": 6, "cells": ["F107"], "values": [283.923]}, {"x": 7, "cells": ["G107"], "values": [287.317]}, {"x": 8, "cells": ["H107"], "values": [287.485]}, {"x": 9, "cells": ["I107"], "values": [284.971]}, {"x": 10, "cells": ["J107"], "values": [288.524]}, {"x": 11, "cells": ["K107"], "values": [284.7]}]</t>
        </is>
      </c>
    </row>
    <row r="218" ht="135" customHeight="1" s="1">
      <c r="A218" s="3" t="inlineStr">
        <is>
          <t>GloVe-100</t>
        </is>
      </c>
      <c r="B218" s="3" t="inlineStr">
        <is>
          <t>F116</t>
        </is>
      </c>
      <c r="C218" s="3" t="n">
        <v>1023.80158376667</v>
      </c>
      <c r="D218" s="3" t="n">
        <v>1020</v>
      </c>
      <c r="E218" s="3" t="inlineStr">
        <is>
          <t>预测修订</t>
        </is>
      </c>
      <c r="F218"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18" s="3" t="inlineStr">
        <is>
          <t>[{"x": 6, "cells": ["F116"], "values": [1023.80158376667]}, {"x": 7, "cells": ["G116"], "values": [1023.39237478333]}, {"x": 8, "cells": ["H116"], "values": [1023.12500151667]}, {"x": 9, "cells": ["I116"], "values": [1019.02828181667]}, {"x": 10, "cells": ["J116"], "values": [1018.60531591667]}, {"x": 11, "cells": ["K116"], "values": [1024.00291686667]}]</t>
        </is>
      </c>
    </row>
    <row r="219" ht="135" customHeight="1" s="1">
      <c r="A219" s="3" t="inlineStr">
        <is>
          <t>GloVe-100</t>
        </is>
      </c>
      <c r="B219" s="3" t="inlineStr">
        <is>
          <t>G116</t>
        </is>
      </c>
      <c r="C219" s="3" t="n">
        <v>1023.39237478333</v>
      </c>
      <c r="D219" s="3" t="n">
        <v>1021.58796829263</v>
      </c>
      <c r="E219" s="3" t="inlineStr">
        <is>
          <t>预测修订</t>
        </is>
      </c>
      <c r="F219"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19" s="3" t="inlineStr">
        <is>
          <t>[{"x": 6, "cells": ["F116"], "values": [1023.80158376667]}, {"x": 7, "cells": ["G116"], "values": [1023.39237478333]}, {"x": 8, "cells": ["H116"], "values": [1023.12500151667]}, {"x": 9, "cells": ["I116"], "values": [1019.02828181667]}, {"x": 10, "cells": ["J116"], "values": [1018.60531591667]}, {"x": 11, "cells": ["K116"], "values": [1024.00291686667]}]</t>
        </is>
      </c>
    </row>
    <row r="220" ht="135" customHeight="1" s="1">
      <c r="A220" s="3" t="inlineStr">
        <is>
          <t>GloVe-100</t>
        </is>
      </c>
      <c r="B220" s="3" t="inlineStr">
        <is>
          <t>H116</t>
        </is>
      </c>
      <c r="C220" s="3" t="n">
        <v>1023.12500151667</v>
      </c>
      <c r="D220" s="3" t="n">
        <v>1021.58796829263</v>
      </c>
      <c r="E220" s="3" t="inlineStr">
        <is>
          <t>预测修订</t>
        </is>
      </c>
      <c r="F220"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20" s="3" t="inlineStr">
        <is>
          <t>[{"x": 6, "cells": ["F116"], "values": [1023.80158376667]}, {"x": 7, "cells": ["G116"], "values": [1023.39237478333]}, {"x": 8, "cells": ["H116"], "values": [1023.12500151667]}, {"x": 9, "cells": ["I116"], "values": [1019.02828181667]}, {"x": 10, "cells": ["J116"], "values": [1018.60531591667]}, {"x": 11, "cells": ["K116"], "values": [1024.00291686667]}]</t>
        </is>
      </c>
    </row>
    <row r="221" ht="135" customHeight="1" s="1">
      <c r="A221" s="3" t="inlineStr">
        <is>
          <t>GloVe-100</t>
        </is>
      </c>
      <c r="B221" s="3" t="inlineStr">
        <is>
          <t>I116</t>
        </is>
      </c>
      <c r="C221" s="3" t="n">
        <v>1019.02828181667</v>
      </c>
      <c r="D221" s="3" t="n">
        <v>1021.58796829263</v>
      </c>
      <c r="E221" s="3" t="inlineStr">
        <is>
          <t>预测修订</t>
        </is>
      </c>
      <c r="F221"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21" s="3" t="inlineStr">
        <is>
          <t>[{"x": 6, "cells": ["F116"], "values": [1023.80158376667]}, {"x": 7, "cells": ["G116"], "values": [1023.39237478333]}, {"x": 8, "cells": ["H116"], "values": [1023.12500151667]}, {"x": 9, "cells": ["I116"], "values": [1019.02828181667]}, {"x": 10, "cells": ["J116"], "values": [1018.60531591667]}, {"x": 11, "cells": ["K116"], "values": [1024.00291686667]}]</t>
        </is>
      </c>
    </row>
    <row r="222" ht="135" customHeight="1" s="1">
      <c r="A222" s="3" t="inlineStr">
        <is>
          <t>GloVe-100</t>
        </is>
      </c>
      <c r="B222" s="3" t="inlineStr">
        <is>
          <t>J116</t>
        </is>
      </c>
      <c r="C222" s="3" t="n">
        <v>1018.60531591667</v>
      </c>
      <c r="D222" s="3" t="n">
        <v>1021.58796829263</v>
      </c>
      <c r="E222" s="3" t="inlineStr">
        <is>
          <t>预测修订</t>
        </is>
      </c>
      <c r="F222"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22" s="3" t="inlineStr">
        <is>
          <t>[{"x": 6, "cells": ["F116"], "values": [1023.80158376667]}, {"x": 7, "cells": ["G116"], "values": [1023.39237478333]}, {"x": 8, "cells": ["H116"], "values": [1023.12500151667]}, {"x": 9, "cells": ["I116"], "values": [1019.02828181667]}, {"x": 10, "cells": ["J116"], "values": [1018.60531591667]}, {"x": 11, "cells": ["K116"], "values": [1024.00291686667]}]</t>
        </is>
      </c>
    </row>
    <row r="223" ht="135" customHeight="1" s="1">
      <c r="A223" s="3" t="inlineStr">
        <is>
          <t>GloVe-100</t>
        </is>
      </c>
      <c r="B223" s="3" t="inlineStr">
        <is>
          <t>G117</t>
        </is>
      </c>
      <c r="C223" s="3" t="n">
        <v>395.509912675001</v>
      </c>
      <c r="D223" s="3" t="n">
        <v>395</v>
      </c>
      <c r="E223" s="3" t="inlineStr">
        <is>
          <t>预测修订</t>
        </is>
      </c>
      <c r="F223"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23" s="3" t="inlineStr">
        <is>
          <t>[{"x": 6, "cells": ["F117"], "values": [394.7536744499999]}, {"x": 7, "cells": ["G117"], "values": [395.5099126750005]}, {"x": 8, "cells": ["H117"], "values": [396.1020328000005]}, {"x": 9, "cells": ["I117"], "values": [393.4959681]}, {"x": 10, "cells": ["J117"], "values": [394.9527717250005]}, {"x": 11, "cells": ["K117"], "values": [395.1556549000005]}]</t>
        </is>
      </c>
    </row>
    <row r="224" ht="135" customHeight="1" s="1">
      <c r="A224" s="3" t="inlineStr">
        <is>
          <t>GloVe-100</t>
        </is>
      </c>
      <c r="B224" s="3" t="inlineStr">
        <is>
          <t>H117</t>
        </is>
      </c>
      <c r="C224" s="3" t="n">
        <v>396.1020328</v>
      </c>
      <c r="D224" s="3" t="n">
        <v>395.013987360353</v>
      </c>
      <c r="E224" s="3" t="inlineStr">
        <is>
          <t>预测修订</t>
        </is>
      </c>
      <c r="F224"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24" s="3" t="inlineStr">
        <is>
          <t>[{"x": 6, "cells": ["F117"], "values": [394.7536744499999]}, {"x": 7, "cells": ["G117"], "values": [395.5099126750005]}, {"x": 8, "cells": ["H117"], "values": [396.1020328000005]}, {"x": 9, "cells": ["I117"], "values": [393.4959681]}, {"x": 10, "cells": ["J117"], "values": [394.9527717250005]}, {"x": 11, "cells": ["K117"], "values": [395.1556549000005]}]</t>
        </is>
      </c>
    </row>
    <row r="225" ht="135" customHeight="1" s="1">
      <c r="A225" s="3" t="inlineStr">
        <is>
          <t>GloVe-100</t>
        </is>
      </c>
      <c r="B225" s="3" t="inlineStr">
        <is>
          <t>I117</t>
        </is>
      </c>
      <c r="C225" s="3" t="n">
        <v>393.4959681</v>
      </c>
      <c r="D225" s="3" t="n">
        <v>395.013987360353</v>
      </c>
      <c r="E225" s="3" t="inlineStr">
        <is>
          <t>预测修订</t>
        </is>
      </c>
      <c r="F225"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25" s="3" t="inlineStr">
        <is>
          <t>[{"x": 6, "cells": ["F117"], "values": [394.7536744499999]}, {"x": 7, "cells": ["G117"], "values": [395.5099126750005]}, {"x": 8, "cells": ["H117"], "values": [396.1020328000005]}, {"x": 9, "cells": ["I117"], "values": [393.4959681]}, {"x": 10, "cells": ["J117"], "values": [394.9527717250005]}, {"x": 11, "cells": ["K117"], "values": [395.1556549000005]}]</t>
        </is>
      </c>
    </row>
    <row r="226" ht="135" customHeight="1" s="1">
      <c r="A226" s="3" t="inlineStr">
        <is>
          <t>GloVe-100</t>
        </is>
      </c>
      <c r="B226" s="3" t="inlineStr">
        <is>
          <t>J117</t>
        </is>
      </c>
      <c r="C226" s="3" t="n">
        <v>394.952771725001</v>
      </c>
      <c r="D226" s="3" t="n">
        <v>395.013987360353</v>
      </c>
      <c r="E226" s="3" t="inlineStr">
        <is>
          <t>预测修订</t>
        </is>
      </c>
      <c r="F226"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26" s="3" t="inlineStr">
        <is>
          <t>[{"x": 6, "cells": ["F117"], "values": [394.7536744499999]}, {"x": 7, "cells": ["G117"], "values": [395.5099126750005]}, {"x": 8, "cells": ["H117"], "values": [396.1020328000005]}, {"x": 9, "cells": ["I117"], "values": [393.4959681]}, {"x": 10, "cells": ["J117"], "values": [394.9527717250005]}, {"x": 11, "cells": ["K117"], "values": [395.1556549000005]}]</t>
        </is>
      </c>
    </row>
    <row r="227" ht="135" customHeight="1" s="1">
      <c r="A227" s="3" t="inlineStr">
        <is>
          <t>GloVe-100</t>
        </is>
      </c>
      <c r="B227" s="3" t="inlineStr">
        <is>
          <t>H119</t>
        </is>
      </c>
      <c r="C227" s="3" t="n">
        <v>19.9993839999024</v>
      </c>
      <c r="D227" s="3" t="n">
        <v>18.2</v>
      </c>
      <c r="E227" s="3" t="inlineStr">
        <is>
          <t>预测修订</t>
        </is>
      </c>
      <c r="F227"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27" s="3" t="inlineStr">
        <is>
          <t>[{"x": 6, "cells": ["F119"], "values": [17.6347630003875]}, {"x": 7, "cells": ["G119"], "values": [17.6932949998445]}, {"x": 8, "cells": ["H119"], "values": [19.9993839999024]}, {"x": 9, "cells": ["I119"], "values": [17.4044739997044]}, {"x": 10, "cells": ["J119"], "values": [17.8805919986189]}, {"x": 11, "cells": ["K119"], "values": [17.6997620001202]}]</t>
        </is>
      </c>
    </row>
    <row r="228" ht="135" customHeight="1" s="1">
      <c r="A228" s="3" t="inlineStr">
        <is>
          <t>GloVe-100</t>
        </is>
      </c>
      <c r="B228" s="3" t="inlineStr">
        <is>
          <t>I119</t>
        </is>
      </c>
      <c r="C228" s="3" t="n">
        <v>17.4044739997044</v>
      </c>
      <c r="D228" s="3" t="n">
        <v>18.2182522266834</v>
      </c>
      <c r="E228" s="3" t="inlineStr">
        <is>
          <t>预测修订</t>
        </is>
      </c>
      <c r="F228"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28" s="3" t="inlineStr">
        <is>
          <t>[{"x": 6, "cells": ["F119"], "values": [17.6347630003875]}, {"x": 7, "cells": ["G119"], "values": [17.6932949998445]}, {"x": 8, "cells": ["H119"], "values": [19.9993839999024]}, {"x": 9, "cells": ["I119"], "values": [17.4044739997044]}, {"x": 10, "cells": ["J119"], "values": [17.8805919986189]}, {"x": 11, "cells": ["K119"], "values": [17.6997620001202]}]</t>
        </is>
      </c>
    </row>
    <row r="229" ht="135" customHeight="1" s="1">
      <c r="A229" s="3" t="inlineStr">
        <is>
          <t>GloVe-100</t>
        </is>
      </c>
      <c r="B229" s="3" t="inlineStr">
        <is>
          <t>J119</t>
        </is>
      </c>
      <c r="C229" s="3" t="n">
        <v>17.8805919986189</v>
      </c>
      <c r="D229" s="3" t="n">
        <v>18.2182522266834</v>
      </c>
      <c r="E229" s="3" t="inlineStr">
        <is>
          <t>预测修订</t>
        </is>
      </c>
      <c r="F229"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29" s="3" t="inlineStr">
        <is>
          <t>[{"x": 6, "cells": ["F119"], "values": [17.6347630003875]}, {"x": 7, "cells": ["G119"], "values": [17.6932949998445]}, {"x": 8, "cells": ["H119"], "values": [19.9993839999024]}, {"x": 9, "cells": ["I119"], "values": [17.4044739997044]}, {"x": 10, "cells": ["J119"], "values": [17.8805919986189]}, {"x": 11, "cells": ["K119"], "values": [17.6997620001202]}]</t>
        </is>
      </c>
    </row>
    <row r="230" ht="135" customHeight="1" s="1">
      <c r="A230" s="3" t="inlineStr">
        <is>
          <t>GloVe-100</t>
        </is>
      </c>
      <c r="B230" s="3" t="inlineStr">
        <is>
          <t>K119</t>
        </is>
      </c>
      <c r="C230" s="3" t="n">
        <v>17.6997620001202</v>
      </c>
      <c r="D230" s="3" t="n">
        <v>18.2182522266834</v>
      </c>
      <c r="E230" s="3" t="inlineStr">
        <is>
          <t>预测修订</t>
        </is>
      </c>
      <c r="F230"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30" s="3" t="inlineStr">
        <is>
          <t>[{"x": 6, "cells": ["F119"], "values": [17.6347630003875]}, {"x": 7, "cells": ["G119"], "values": [17.6932949998445]}, {"x": 8, "cells": ["H119"], "values": [19.9993839999024]}, {"x": 9, "cells": ["I119"], "values": [17.4044739997044]}, {"x": 10, "cells": ["J119"], "values": [17.8805919986189]}, {"x": 11, "cells": ["K119"], "values": [17.6997620001202]}]</t>
        </is>
      </c>
    </row>
    <row r="231" ht="135" customHeight="1" s="1">
      <c r="A231" s="3" t="inlineStr">
        <is>
          <t>GloVe-100</t>
        </is>
      </c>
      <c r="B231" s="3" t="inlineStr">
        <is>
          <t>F127</t>
        </is>
      </c>
      <c r="C231" s="3" t="n">
        <v>427.803742866667</v>
      </c>
      <c r="D231" s="3" t="n">
        <v>425</v>
      </c>
      <c r="E231" s="3" t="inlineStr">
        <is>
          <t>预测修订</t>
        </is>
      </c>
      <c r="F231"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31" s="3" t="inlineStr">
        <is>
          <t>[{"x": 6, "cells": ["F127"], "values": [427.803742866667]}, {"x": 7, "cells": ["G127"], "values": [426.620613233333]}, {"x": 8, "cells": ["H127"], "values": [427.422214316667]}, {"x": 9, "cells": ["I127"], "values": [425.445874833333]}, {"x": 10, "cells": ["J127"], "values": [419.901897183333]}, {"x": 11, "cells": ["K127"], "values": [424.252101716667]}]</t>
        </is>
      </c>
    </row>
    <row r="232" ht="135" customHeight="1" s="1">
      <c r="A232" s="3" t="inlineStr">
        <is>
          <t>GloVe-100</t>
        </is>
      </c>
      <c r="B232" s="3" t="inlineStr">
        <is>
          <t>G127</t>
        </is>
      </c>
      <c r="C232" s="3" t="n">
        <v>426.620613233333</v>
      </c>
      <c r="D232" s="3" t="n">
        <v>425.232657234712</v>
      </c>
      <c r="E232" s="3" t="inlineStr">
        <is>
          <t>预测修订</t>
        </is>
      </c>
      <c r="F232"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32" s="3" t="inlineStr">
        <is>
          <t>[{"x": 6, "cells": ["F127"], "values": [427.803742866667]}, {"x": 7, "cells": ["G127"], "values": [426.620613233333]}, {"x": 8, "cells": ["H127"], "values": [427.422214316667]}, {"x": 9, "cells": ["I127"], "values": [425.445874833333]}, {"x": 10, "cells": ["J127"], "values": [419.901897183333]}, {"x": 11, "cells": ["K127"], "values": [424.252101716667]}]</t>
        </is>
      </c>
    </row>
    <row r="233" ht="135" customHeight="1" s="1">
      <c r="A233" s="3" t="inlineStr">
        <is>
          <t>GloVe-100</t>
        </is>
      </c>
      <c r="B233" s="3" t="inlineStr">
        <is>
          <t>H127</t>
        </is>
      </c>
      <c r="C233" s="3" t="n">
        <v>427.422214316667</v>
      </c>
      <c r="D233" s="3" t="n">
        <v>425.232657234712</v>
      </c>
      <c r="E233" s="3" t="inlineStr">
        <is>
          <t>预测修订</t>
        </is>
      </c>
      <c r="F233"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33" s="3" t="inlineStr">
        <is>
          <t>[{"x": 6, "cells": ["F127"], "values": [427.803742866667]}, {"x": 7, "cells": ["G127"], "values": [426.620613233333]}, {"x": 8, "cells": ["H127"], "values": [427.422214316667]}, {"x": 9, "cells": ["I127"], "values": [425.445874833333]}, {"x": 10, "cells": ["J127"], "values": [419.901897183333]}, {"x": 11, "cells": ["K127"], "values": [424.252101716667]}]</t>
        </is>
      </c>
    </row>
    <row r="234" ht="135" customHeight="1" s="1">
      <c r="A234" s="3" t="inlineStr">
        <is>
          <t>GloVe-100</t>
        </is>
      </c>
      <c r="B234" s="3" t="inlineStr">
        <is>
          <t>I127</t>
        </is>
      </c>
      <c r="C234" s="3" t="n">
        <v>425.445874833333</v>
      </c>
      <c r="D234" s="3" t="n">
        <v>425.232657234712</v>
      </c>
      <c r="E234" s="3" t="inlineStr">
        <is>
          <t>预测修订</t>
        </is>
      </c>
      <c r="F234"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34" s="3" t="inlineStr">
        <is>
          <t>[{"x": 6, "cells": ["F127"], "values": [427.803742866667]}, {"x": 7, "cells": ["G127"], "values": [426.620613233333]}, {"x": 8, "cells": ["H127"], "values": [427.422214316667]}, {"x": 9, "cells": ["I127"], "values": [425.445874833333]}, {"x": 10, "cells": ["J127"], "values": [419.901897183333]}, {"x": 11, "cells": ["K127"], "values": [424.252101716667]}]</t>
        </is>
      </c>
    </row>
    <row r="235" ht="135" customHeight="1" s="1">
      <c r="A235" s="3" t="inlineStr">
        <is>
          <t>GloVe-100</t>
        </is>
      </c>
      <c r="B235" s="3" t="inlineStr">
        <is>
          <t>J127</t>
        </is>
      </c>
      <c r="C235" s="3" t="n">
        <v>419.901897183333</v>
      </c>
      <c r="D235" s="3" t="n">
        <v>425.232657234712</v>
      </c>
      <c r="E235" s="3" t="inlineStr">
        <is>
          <t>预测修订</t>
        </is>
      </c>
      <c r="F235"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35" s="3" t="inlineStr">
        <is>
          <t>[{"x": 6, "cells": ["F127"], "values": [427.803742866667]}, {"x": 7, "cells": ["G127"], "values": [426.620613233333]}, {"x": 8, "cells": ["H127"], "values": [427.422214316667]}, {"x": 9, "cells": ["I127"], "values": [425.445874833333]}, {"x": 10, "cells": ["J127"], "values": [419.901897183333]}, {"x": 11, "cells": ["K127"], "values": [424.252101716667]}]</t>
        </is>
      </c>
    </row>
    <row r="236" ht="135" customHeight="1" s="1">
      <c r="A236" s="3" t="inlineStr">
        <is>
          <t>GloVe-100</t>
        </is>
      </c>
      <c r="B236" s="3" t="inlineStr">
        <is>
          <t>K127</t>
        </is>
      </c>
      <c r="C236" s="3" t="n">
        <v>424.252101716667</v>
      </c>
      <c r="D236" s="3" t="n">
        <v>425.232657234712</v>
      </c>
      <c r="E236" s="3" t="inlineStr">
        <is>
          <t>预测修订</t>
        </is>
      </c>
      <c r="F236"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36" s="3" t="inlineStr">
        <is>
          <t>[{"x": 6, "cells": ["F127"], "values": [427.803742866667]}, {"x": 7, "cells": ["G127"], "values": [426.620613233333]}, {"x": 8, "cells": ["H127"], "values": [427.422214316667]}, {"x": 9, "cells": ["I127"], "values": [425.445874833333]}, {"x": 10, "cells": ["J127"], "values": [419.901897183333]}, {"x": 11, "cells": ["K127"], "values": [424.252101716667]}]</t>
        </is>
      </c>
    </row>
    <row r="237" ht="135" customHeight="1" s="1">
      <c r="A237" s="3" t="inlineStr">
        <is>
          <t>GloVe-100</t>
        </is>
      </c>
      <c r="B237" s="3" t="inlineStr">
        <is>
          <t>F128</t>
        </is>
      </c>
      <c r="C237" s="3" t="n">
        <v>83.82142020000001</v>
      </c>
      <c r="D237" s="3" t="n">
        <v>83.1534125210447</v>
      </c>
      <c r="E237" s="3" t="inlineStr">
        <is>
          <t>预测修订</t>
        </is>
      </c>
      <c r="F237"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37" s="3" t="inlineStr">
        <is>
          <t>[{"x": 6, "cells": ["F128"], "values": [83.8214202]}, {"x": 7, "cells": ["G128"], "values": [82.71198666000001]}, {"x": 8, "cells": ["H128"], "values": [82.93097349999996]}, {"x": 9, "cells": ["I128"], "values": [85.38329691999996]}, {"x": 10, "cells": ["J128"], "values": [86.42108304]}, {"x": 11, "cells": ["K128"], "values": [86.19803919999997]}]</t>
        </is>
      </c>
    </row>
    <row r="238" ht="135" customHeight="1" s="1">
      <c r="A238" s="3" t="inlineStr">
        <is>
          <t>GloVe-100</t>
        </is>
      </c>
      <c r="B238" s="3" t="inlineStr">
        <is>
          <t>G128</t>
        </is>
      </c>
      <c r="C238" s="3" t="n">
        <v>82.71198665999999</v>
      </c>
      <c r="D238" s="3" t="n">
        <v>83.1534125210447</v>
      </c>
      <c r="E238" s="3" t="inlineStr">
        <is>
          <t>预测修订</t>
        </is>
      </c>
      <c r="F238"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38" s="3" t="inlineStr">
        <is>
          <t>[{"x": 6, "cells": ["F128"], "values": [83.8214202]}, {"x": 7, "cells": ["G128"], "values": [82.71198666000001]}, {"x": 8, "cells": ["H128"], "values": [82.93097349999996]}, {"x": 9, "cells": ["I128"], "values": [85.38329691999996]}, {"x": 10, "cells": ["J128"], "values": [86.42108304]}, {"x": 11, "cells": ["K128"], "values": [86.19803919999997]}]</t>
        </is>
      </c>
    </row>
    <row r="239" ht="135" customHeight="1" s="1">
      <c r="A239" s="3" t="inlineStr">
        <is>
          <t>GloVe-100</t>
        </is>
      </c>
      <c r="B239" s="3" t="inlineStr">
        <is>
          <t>H128</t>
        </is>
      </c>
      <c r="C239" s="3" t="n">
        <v>82.93097349999999</v>
      </c>
      <c r="D239" s="3" t="n">
        <v>83.2</v>
      </c>
      <c r="E239" s="3" t="inlineStr">
        <is>
          <t>预测修订</t>
        </is>
      </c>
      <c r="F239"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39" s="3" t="inlineStr">
        <is>
          <t>[{"x": 6, "cells": ["F128"], "values": [83.8214202]}, {"x": 7, "cells": ["G128"], "values": [82.71198666000001]}, {"x": 8, "cells": ["H128"], "values": [82.93097349999996]}, {"x": 9, "cells": ["I128"], "values": [85.38329691999996]}, {"x": 10, "cells": ["J128"], "values": [86.42108304]}, {"x": 11, "cells": ["K128"], "values": [86.19803919999997]}]</t>
        </is>
      </c>
    </row>
    <row r="240" ht="135" customHeight="1" s="1">
      <c r="A240" s="3" t="inlineStr">
        <is>
          <t>GloVe-100</t>
        </is>
      </c>
      <c r="B240" s="3" t="inlineStr">
        <is>
          <t>J128</t>
        </is>
      </c>
      <c r="C240" s="3" t="n">
        <v>86.42108304</v>
      </c>
      <c r="D240" s="3" t="n">
        <v>86.3</v>
      </c>
      <c r="E240" s="3" t="inlineStr">
        <is>
          <t>预测修订</t>
        </is>
      </c>
      <c r="F240"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40" s="3" t="inlineStr">
        <is>
          <t>[{"x": 6, "cells": ["F128"], "values": [83.8214202]}, {"x": 7, "cells": ["G128"], "values": [82.71198666000001]}, {"x": 8, "cells": ["H128"], "values": [82.93097349999996]}, {"x": 9, "cells": ["I128"], "values": [85.38329691999996]}, {"x": 10, "cells": ["J128"], "values": [86.42108304]}, {"x": 11, "cells": ["K128"], "values": [86.19803919999997]}]</t>
        </is>
      </c>
    </row>
    <row r="241" ht="135" customHeight="1" s="1">
      <c r="A241" s="3" t="inlineStr">
        <is>
          <t>GloVe-100</t>
        </is>
      </c>
      <c r="B241" s="3" t="inlineStr">
        <is>
          <t>K128</t>
        </is>
      </c>
      <c r="C241" s="3" t="n">
        <v>86.1980392</v>
      </c>
      <c r="D241" s="3" t="n">
        <v>86.3094890703704</v>
      </c>
      <c r="E241" s="3" t="inlineStr">
        <is>
          <t>预测修订</t>
        </is>
      </c>
      <c r="F241"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41" s="3" t="inlineStr">
        <is>
          <t>[{"x": 6, "cells": ["F128"], "values": [83.8214202]}, {"x": 7, "cells": ["G128"], "values": [82.71198666000001]}, {"x": 8, "cells": ["H128"], "values": [82.93097349999996]}, {"x": 9, "cells": ["I128"], "values": [85.38329691999996]}, {"x": 10, "cells": ["J128"], "values": [86.42108304]}, {"x": 11, "cells": ["K128"], "values": [86.19803919999997]}]</t>
        </is>
      </c>
    </row>
    <row r="242" ht="135" customHeight="1" s="1">
      <c r="A242" s="3" t="inlineStr">
        <is>
          <t>GloVe-100</t>
        </is>
      </c>
      <c r="B242" s="3" t="inlineStr">
        <is>
          <t>F130</t>
        </is>
      </c>
      <c r="C242" s="3" t="n">
        <v>494108.141593</v>
      </c>
      <c r="D242" s="3" t="n">
        <v>492000</v>
      </c>
      <c r="E242" s="3" t="inlineStr">
        <is>
          <t>预测修订</t>
        </is>
      </c>
      <c r="F242"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42" s="3" t="inlineStr">
        <is>
          <t>[{"x": 6, "cells": ["F130"], "values": [494108.141593]}, {"x": 7, "cells": ["G130"], "values": [491871.567342]}, {"x": 8, "cells": ["H130"], "values": [491486.434967]}, {"x": 9, "cells": ["I130"], "values": [492043.171002999]}, {"x": 10, "cells": ["J130"], "values": [492930.970117001]}, {"x": 11, "cells": ["K130"], "values": [491226.243848999]}]</t>
        </is>
      </c>
    </row>
    <row r="243" ht="135" customHeight="1" s="1">
      <c r="A243" s="3" t="inlineStr">
        <is>
          <t>GloVe-100</t>
        </is>
      </c>
      <c r="B243" s="3" t="inlineStr">
        <is>
          <t>G130</t>
        </is>
      </c>
      <c r="C243" s="3" t="n">
        <v>491871.567342</v>
      </c>
      <c r="D243" s="3" t="n">
        <v>492276.786087203</v>
      </c>
      <c r="E243" s="3" t="inlineStr">
        <is>
          <t>预测修订</t>
        </is>
      </c>
      <c r="F243"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43" s="3" t="inlineStr">
        <is>
          <t>[{"x": 6, "cells": ["F130"], "values": [494108.141593]}, {"x": 7, "cells": ["G130"], "values": [491871.567342]}, {"x": 8, "cells": ["H130"], "values": [491486.434967]}, {"x": 9, "cells": ["I130"], "values": [492043.171002999]}, {"x": 10, "cells": ["J130"], "values": [492930.970117001]}, {"x": 11, "cells": ["K130"], "values": [491226.243848999]}]</t>
        </is>
      </c>
    </row>
    <row r="244" ht="135" customHeight="1" s="1">
      <c r="A244" s="3" t="inlineStr">
        <is>
          <t>GloVe-100</t>
        </is>
      </c>
      <c r="B244" s="3" t="inlineStr">
        <is>
          <t>H130</t>
        </is>
      </c>
      <c r="C244" s="3" t="n">
        <v>491486.434967</v>
      </c>
      <c r="D244" s="3" t="n">
        <v>492276.786087203</v>
      </c>
      <c r="E244" s="3" t="inlineStr">
        <is>
          <t>预测修订</t>
        </is>
      </c>
      <c r="F244"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44" s="3" t="inlineStr">
        <is>
          <t>[{"x": 6, "cells": ["F130"], "values": [494108.141593]}, {"x": 7, "cells": ["G130"], "values": [491871.567342]}, {"x": 8, "cells": ["H130"], "values": [491486.434967]}, {"x": 9, "cells": ["I130"], "values": [492043.171002999]}, {"x": 10, "cells": ["J130"], "values": [492930.970117001]}, {"x": 11, "cells": ["K130"], "values": [491226.243848999]}]</t>
        </is>
      </c>
    </row>
    <row r="245" ht="135" customHeight="1" s="1">
      <c r="A245" s="3" t="inlineStr">
        <is>
          <t>GloVe-100</t>
        </is>
      </c>
      <c r="B245" s="3" t="inlineStr">
        <is>
          <t>I130</t>
        </is>
      </c>
      <c r="C245" s="3" t="n">
        <v>492043.171002999</v>
      </c>
      <c r="D245" s="3" t="n">
        <v>492276.786087203</v>
      </c>
      <c r="E245" s="3" t="inlineStr">
        <is>
          <t>预测修订</t>
        </is>
      </c>
      <c r="F245"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45" s="3" t="inlineStr">
        <is>
          <t>[{"x": 6, "cells": ["F130"], "values": [494108.141593]}, {"x": 7, "cells": ["G130"], "values": [491871.567342]}, {"x": 8, "cells": ["H130"], "values": [491486.434967]}, {"x": 9, "cells": ["I130"], "values": [492043.171002999]}, {"x": 10, "cells": ["J130"], "values": [492930.970117001]}, {"x": 11, "cells": ["K130"], "values": [491226.243848999]}]</t>
        </is>
      </c>
    </row>
    <row r="246" ht="135" customHeight="1" s="1">
      <c r="A246" s="3" t="inlineStr">
        <is>
          <t>GloVe-100</t>
        </is>
      </c>
      <c r="B246" s="3" t="inlineStr">
        <is>
          <t>J130</t>
        </is>
      </c>
      <c r="C246" s="3" t="n">
        <v>492930.970117001</v>
      </c>
      <c r="D246" s="3" t="n">
        <v>492276.786087203</v>
      </c>
      <c r="E246" s="3" t="inlineStr">
        <is>
          <t>预测修订</t>
        </is>
      </c>
      <c r="F246"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46" s="3" t="inlineStr">
        <is>
          <t>[{"x": 6, "cells": ["F130"], "values": [494108.141593]}, {"x": 7, "cells": ["G130"], "values": [491871.567342]}, {"x": 8, "cells": ["H130"], "values": [491486.434967]}, {"x": 9, "cells": ["I130"], "values": [492043.171002999]}, {"x": 10, "cells": ["J130"], "values": [492930.970117001]}, {"x": 11, "cells": ["K130"], "values": [491226.243848999]}]</t>
        </is>
      </c>
    </row>
    <row r="247" ht="135" customHeight="1" s="1">
      <c r="A247" s="3" t="inlineStr">
        <is>
          <t>GloVe-100</t>
        </is>
      </c>
      <c r="B247" s="3" t="inlineStr">
        <is>
          <t>K130</t>
        </is>
      </c>
      <c r="C247" s="3" t="n">
        <v>491226.243848999</v>
      </c>
      <c r="D247" s="3" t="n">
        <v>492276.786087203</v>
      </c>
      <c r="E247" s="3" t="inlineStr">
        <is>
          <t>预测修订</t>
        </is>
      </c>
      <c r="F247"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47" s="3" t="inlineStr">
        <is>
          <t>[{"x": 6, "cells": ["F130"], "values": [494108.141593]}, {"x": 7, "cells": ["G130"], "values": [491871.567342]}, {"x": 8, "cells": ["H130"], "values": [491486.434967]}, {"x": 9, "cells": ["I130"], "values": [492043.171002999]}, {"x": 10, "cells": ["J130"], "values": [492930.970117001]}, {"x": 11, "cells": ["K130"], "values": [491226.243848999]}]</t>
        </is>
      </c>
    </row>
    <row r="248" ht="135" customHeight="1" s="1">
      <c r="A248" s="3" t="inlineStr">
        <is>
          <t>DEEP1M</t>
        </is>
      </c>
      <c r="B248" s="3" t="inlineStr">
        <is>
          <t>H28</t>
        </is>
      </c>
      <c r="C248" s="3" t="n">
        <v>208.737</v>
      </c>
      <c r="D248" s="3" t="n">
        <v>202</v>
      </c>
      <c r="E248" s="3" t="inlineStr">
        <is>
          <t>预测修订</t>
        </is>
      </c>
      <c r="F248" s="3"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48" s="3" t="inlineStr">
        <is>
          <t>[{"x": 23, "cells": ["F28", "G28"], "values": [185.599, 185.599]}, {"x": 28.5, "cells": ["H28"], "values": [208.737]}, {"x": 37, "cells": ["I28", "J28"], "values": [196.34, 196.34]}, {"x": 57.5, "cells": ["K28", "L28", "M28", "N28"], "values": [233.262, 233.262, 233.262, 233.262]}, {"x": 78, "cells": ["O28", "P28", "Q28", "R28"], "values": [265.512, 265.512, 265.512, 265.512]}, {"x": 80, "cells": ["S28"], "values": [335.661]}, {"x": 88.5, "cells": ["T28"], "values": [343.872]}, {"x": 90, "cells": ["U28"], "values": [343.872]}, {"x": 95.5, "cells": ["V28"], "values": [483.155]}]</t>
        </is>
      </c>
    </row>
    <row r="249" ht="135" customHeight="1" s="1">
      <c r="A249" s="3" t="inlineStr">
        <is>
          <t>DEEP1M</t>
        </is>
      </c>
      <c r="B249" s="3" t="inlineStr">
        <is>
          <t>I28</t>
        </is>
      </c>
      <c r="C249" s="3" t="n">
        <v>196.34</v>
      </c>
      <c r="D249" s="3" t="n">
        <v>202.443628153617</v>
      </c>
      <c r="E249" s="3" t="inlineStr">
        <is>
          <t>预测修订</t>
        </is>
      </c>
      <c r="F249" s="3"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49" s="3" t="inlineStr">
        <is>
          <t>[{"x": 23, "cells": ["F28", "G28"], "values": [185.599, 185.599]}, {"x": 28.5, "cells": ["H28"], "values": [208.737]}, {"x": 37, "cells": ["I28", "J28"], "values": [196.34, 196.34]}, {"x": 57.5, "cells": ["K28", "L28", "M28", "N28"], "values": [233.262, 233.262, 233.262, 233.262]}, {"x": 78, "cells": ["O28", "P28", "Q28", "R28"], "values": [265.512, 265.512, 265.512, 265.512]}, {"x": 80, "cells": ["S28"], "values": [335.661]}, {"x": 88.5, "cells": ["T28"], "values": [343.872]}, {"x": 90, "cells": ["U28"], "values": [343.872]}, {"x": 95.5, "cells": ["V28"], "values": [483.155]}]</t>
        </is>
      </c>
    </row>
    <row r="250" ht="135" customHeight="1" s="1">
      <c r="A250" s="3" t="inlineStr">
        <is>
          <t>DEEP1M</t>
        </is>
      </c>
      <c r="B250" s="3" t="inlineStr">
        <is>
          <t>J28</t>
        </is>
      </c>
      <c r="C250" s="3" t="n">
        <v>196.34</v>
      </c>
      <c r="D250" s="3" t="n">
        <v>202.443628153617</v>
      </c>
      <c r="E250" s="3" t="inlineStr">
        <is>
          <t>预测修订</t>
        </is>
      </c>
      <c r="F250" s="3"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50" s="3" t="inlineStr">
        <is>
          <t>[{"x": 23, "cells": ["F28", "G28"], "values": [185.599, 185.599]}, {"x": 28.5, "cells": ["H28"], "values": [208.737]}, {"x": 37, "cells": ["I28", "J28"], "values": [196.34, 196.34]}, {"x": 57.5, "cells": ["K28", "L28", "M28", "N28"], "values": [233.262, 233.262, 233.262, 233.262]}, {"x": 78, "cells": ["O28", "P28", "Q28", "R28"], "values": [265.512, 265.512, 265.512, 265.512]}, {"x": 80, "cells": ["S28"], "values": [335.661]}, {"x": 88.5, "cells": ["T28"], "values": [343.872]}, {"x": 90, "cells": ["U28"], "values": [343.872]}, {"x": 95.5, "cells": ["V28"], "values": [483.155]}]</t>
        </is>
      </c>
    </row>
    <row r="251" ht="175.5" customHeight="1" s="1">
      <c r="A251" s="3" t="inlineStr">
        <is>
          <t>DEEP1M</t>
        </is>
      </c>
      <c r="B251" s="3" t="inlineStr">
        <is>
          <t>H42</t>
        </is>
      </c>
      <c r="C251" s="3" t="n">
        <v>11.3529679999829</v>
      </c>
      <c r="D251" s="3" t="n">
        <v>11.1</v>
      </c>
      <c r="E251" s="3" t="inlineStr">
        <is>
          <t>预测修订</t>
        </is>
      </c>
      <c r="F251"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51" s="3" t="inlineStr">
        <is>
          <t>[{"x":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t>
        </is>
      </c>
    </row>
    <row r="252" ht="175.5" customHeight="1" s="1">
      <c r="A252" s="3" t="inlineStr">
        <is>
          <t>DEEP1M</t>
        </is>
      </c>
      <c r="B252" s="3" t="inlineStr">
        <is>
          <t>I42</t>
        </is>
      </c>
      <c r="C252" s="3" t="n">
        <v>10.8529149999867</v>
      </c>
      <c r="D252" s="3" t="n">
        <v>11.1001259768249</v>
      </c>
      <c r="E252" s="3" t="inlineStr">
        <is>
          <t>预测修订</t>
        </is>
      </c>
      <c r="F252"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52" s="3" t="inlineStr">
        <is>
          <t>[{"x":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t>
        </is>
      </c>
    </row>
    <row r="253" ht="175.5" customHeight="1" s="1">
      <c r="A253" s="3" t="inlineStr">
        <is>
          <t>DEEP1M</t>
        </is>
      </c>
      <c r="B253" s="3" t="inlineStr">
        <is>
          <t>J42</t>
        </is>
      </c>
      <c r="C253" s="3" t="n">
        <v>10.8529149999867</v>
      </c>
      <c r="D253" s="3" t="n">
        <v>11.1001259768249</v>
      </c>
      <c r="E253" s="3" t="inlineStr">
        <is>
          <t>预测修订</t>
        </is>
      </c>
      <c r="F253"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53" s="3" t="inlineStr">
        <is>
          <t>[{"x":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t>
        </is>
      </c>
    </row>
    <row r="254" ht="175.5" customHeight="1" s="1">
      <c r="A254" s="3" t="inlineStr">
        <is>
          <t>DEEP1M</t>
        </is>
      </c>
      <c r="B254" s="3" t="inlineStr">
        <is>
          <t>O42</t>
        </is>
      </c>
      <c r="C254" s="3" t="n">
        <v>55.9675380063709</v>
      </c>
      <c r="D254" s="3" t="n">
        <v>32.5</v>
      </c>
      <c r="E254" s="3" t="inlineStr">
        <is>
          <t>预测修订</t>
        </is>
      </c>
      <c r="F254"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54" s="3" t="inlineStr">
        <is>
          <t>[{"x":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t>
        </is>
      </c>
    </row>
    <row r="255" ht="175.5" customHeight="1" s="1">
      <c r="A255" s="3" t="inlineStr">
        <is>
          <t>DEEP1M</t>
        </is>
      </c>
      <c r="B255" s="3" t="inlineStr">
        <is>
          <t>P42</t>
        </is>
      </c>
      <c r="C255" s="3" t="n">
        <v>55.9675380063709</v>
      </c>
      <c r="D255" s="3" t="n">
        <v>32.5</v>
      </c>
      <c r="E255" s="3" t="inlineStr">
        <is>
          <t>预测修订</t>
        </is>
      </c>
      <c r="F255"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55" s="3" t="inlineStr">
        <is>
          <t>[{"x":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t>
        </is>
      </c>
    </row>
    <row r="256" ht="175.5" customHeight="1" s="1">
      <c r="A256" s="3" t="inlineStr">
        <is>
          <t>DEEP1M</t>
        </is>
      </c>
      <c r="B256" s="3" t="inlineStr">
        <is>
          <t>Q42</t>
        </is>
      </c>
      <c r="C256" s="3" t="n">
        <v>55.9675380063709</v>
      </c>
      <c r="D256" s="3" t="n">
        <v>32.5</v>
      </c>
      <c r="E256" s="3" t="inlineStr">
        <is>
          <t>预测修订</t>
        </is>
      </c>
      <c r="F256"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56" s="3" t="inlineStr">
        <is>
          <t>[{"x":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t>
        </is>
      </c>
    </row>
    <row r="257" ht="175.5" customHeight="1" s="1">
      <c r="A257" s="3" t="inlineStr">
        <is>
          <t>DEEP1M</t>
        </is>
      </c>
      <c r="B257" s="3" t="inlineStr">
        <is>
          <t>R42</t>
        </is>
      </c>
      <c r="C257" s="3" t="n">
        <v>55.9675380063709</v>
      </c>
      <c r="D257" s="3" t="n">
        <v>32.5</v>
      </c>
      <c r="E257" s="3" t="inlineStr">
        <is>
          <t>预测修订</t>
        </is>
      </c>
      <c r="F257"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57" s="3" t="inlineStr">
        <is>
          <t>[{"x":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t>
        </is>
      </c>
    </row>
    <row r="258" ht="175.5" customHeight="1" s="1">
      <c r="A258" s="3" t="inlineStr">
        <is>
          <t>DEEP1M</t>
        </is>
      </c>
      <c r="B258" s="3" t="inlineStr">
        <is>
          <t>S42</t>
        </is>
      </c>
      <c r="C258" s="3" t="n">
        <v>26.5534298151988</v>
      </c>
      <c r="D258" s="3" t="n">
        <v>32.5098792376037</v>
      </c>
      <c r="E258" s="3" t="inlineStr">
        <is>
          <t>预测修订</t>
        </is>
      </c>
      <c r="F258"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58" s="3" t="inlineStr">
        <is>
          <t>[{"x":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t>
        </is>
      </c>
    </row>
    <row r="259" ht="175.5" customHeight="1" s="1">
      <c r="A259" s="3" t="inlineStr">
        <is>
          <t>DEEP1M</t>
        </is>
      </c>
      <c r="B259" s="3" t="inlineStr">
        <is>
          <t>T42</t>
        </is>
      </c>
      <c r="C259" s="3" t="n">
        <v>27.7026748306772</v>
      </c>
      <c r="D259" s="3" t="n">
        <v>32.5098792376037</v>
      </c>
      <c r="E259" s="3" t="inlineStr">
        <is>
          <t>预测修订</t>
        </is>
      </c>
      <c r="F259"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59" s="3" t="inlineStr">
        <is>
          <t>[{"x":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t>
        </is>
      </c>
    </row>
    <row r="260" ht="175.5" customHeight="1" s="1">
      <c r="A260" s="3" t="inlineStr">
        <is>
          <t>DEEP1M</t>
        </is>
      </c>
      <c r="B260" s="3" t="inlineStr">
        <is>
          <t>U42</t>
        </is>
      </c>
      <c r="C260" s="3" t="n">
        <v>27.7026748306772</v>
      </c>
      <c r="D260" s="3" t="n">
        <v>32.5098792376037</v>
      </c>
      <c r="E260" s="3" t="inlineStr">
        <is>
          <t>预测修订</t>
        </is>
      </c>
      <c r="F260"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60" s="3" t="inlineStr">
        <is>
          <t>[{"x":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t>
        </is>
      </c>
    </row>
    <row r="261" ht="175.5" customHeight="1" s="1">
      <c r="A261" s="3" t="inlineStr">
        <is>
          <t>DEEP1M</t>
        </is>
      </c>
      <c r="B261" s="3" t="inlineStr">
        <is>
          <t>V42</t>
        </is>
      </c>
      <c r="C261" s="3" t="n">
        <v>31.8402555180307</v>
      </c>
      <c r="D261" s="3" t="n">
        <v>32.5098792376037</v>
      </c>
      <c r="E261" s="3" t="inlineStr">
        <is>
          <t>预测修订</t>
        </is>
      </c>
      <c r="F261"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61" s="3" t="inlineStr">
        <is>
          <t>[{"x":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t>
        </is>
      </c>
    </row>
    <row r="262" ht="135" customHeight="1" s="1">
      <c r="A262" s="3" t="inlineStr">
        <is>
          <t>DEEP1M</t>
        </is>
      </c>
      <c r="B262" s="3" t="inlineStr">
        <is>
          <t>G94</t>
        </is>
      </c>
      <c r="C262" s="3" t="n">
        <v>496514.607923</v>
      </c>
      <c r="D262" s="3" t="n">
        <v>494849.37289106</v>
      </c>
      <c r="E262" s="3" t="inlineStr">
        <is>
          <t>预测修订</t>
        </is>
      </c>
      <c r="F262" s="3" t="inlineStr">
        <is>
          <t>Dataset size/query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62" s="3" t="inlineStr">
        <is>
          <t>[{"x": 6, "cells": ["F94"], "values": [489603.440798]}, {"x": 7, "cells": ["G94"], "values": [496514.607923]}, {"x": 8, "cells": ["H94"], "values": [493189.722806004]}]</t>
        </is>
      </c>
    </row>
    <row r="263" ht="135" customHeight="1" s="1">
      <c r="A263" s="3" t="inlineStr">
        <is>
          <t>DEEP1M</t>
        </is>
      </c>
      <c r="B263" s="3" t="inlineStr">
        <is>
          <t>H94</t>
        </is>
      </c>
      <c r="C263" s="3" t="n">
        <v>493189.722806004</v>
      </c>
      <c r="D263" s="3" t="n">
        <v>495000</v>
      </c>
      <c r="E263" s="3" t="inlineStr">
        <is>
          <t>预测修订</t>
        </is>
      </c>
      <c r="F263" s="3" t="inlineStr">
        <is>
          <t>Dataset size/query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63" s="3" t="inlineStr">
        <is>
          <t>[{"x": 6, "cells": ["F94"], "values": [489603.440798]}, {"x": 7, "cells": ["G94"], "values": [496514.607923]}, {"x": 8, "cells": ["H94"], "values": [493189.722806004]}]</t>
        </is>
      </c>
    </row>
    <row r="264" ht="135" customHeight="1" s="1">
      <c r="A264" s="3" t="inlineStr">
        <is>
          <t>DEEP1M</t>
        </is>
      </c>
      <c r="B264" s="3" t="inlineStr">
        <is>
          <t>F107</t>
        </is>
      </c>
      <c r="C264" s="3" t="n">
        <v>269.378</v>
      </c>
      <c r="D264" s="3" t="n">
        <v>268.819857355129</v>
      </c>
      <c r="E264" s="3" t="inlineStr">
        <is>
          <t>预测修订</t>
        </is>
      </c>
      <c r="F264" s="3"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64" s="3" t="inlineStr">
        <is>
          <t>[{"x": 6, "cells": ["F107"], "values": [269.378]}, {"x": 7, "cells": ["G107"], "values": [271.605]}, {"x": 8, "cells": ["H107"], "values": [265.512]}, {"x": 9, "cells": ["I107"], "values": [269.965]}, {"x": 10, "cells": ["J107"], "values": [273.279]}, {"x": 11, "cells": ["K107"], "values": [270.637]}]</t>
        </is>
      </c>
    </row>
    <row r="265" ht="135" customHeight="1" s="1">
      <c r="A265" s="3" t="inlineStr">
        <is>
          <t>DEEP1M</t>
        </is>
      </c>
      <c r="B265" s="3" t="inlineStr">
        <is>
          <t>G107</t>
        </is>
      </c>
      <c r="C265" s="3" t="n">
        <v>271.605</v>
      </c>
      <c r="D265" s="3" t="n">
        <v>268.819857355129</v>
      </c>
      <c r="E265" s="3" t="inlineStr">
        <is>
          <t>预测修订</t>
        </is>
      </c>
      <c r="F265" s="3"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65" s="3" t="inlineStr">
        <is>
          <t>[{"x": 6, "cells": ["F107"], "values": [269.378]}, {"x": 7, "cells": ["G107"], "values": [271.605]}, {"x": 8, "cells": ["H107"], "values": [265.512]}, {"x": 9, "cells": ["I107"], "values": [269.965]}, {"x": 10, "cells": ["J107"], "values": [273.279]}, {"x": 11, "cells": ["K107"], "values": [270.637]}]</t>
        </is>
      </c>
    </row>
    <row r="266" ht="135" customHeight="1" s="1">
      <c r="A266" s="3" t="inlineStr">
        <is>
          <t>DEEP1M</t>
        </is>
      </c>
      <c r="B266" s="3" t="inlineStr">
        <is>
          <t>H107</t>
        </is>
      </c>
      <c r="C266" s="3" t="n">
        <v>265.512</v>
      </c>
      <c r="D266" s="3" t="n">
        <v>269</v>
      </c>
      <c r="E266" s="3" t="inlineStr">
        <is>
          <t>预测修订</t>
        </is>
      </c>
      <c r="F266" s="3"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66" s="3" t="inlineStr">
        <is>
          <t>[{"x": 6, "cells": ["F107"], "values": [269.378]}, {"x": 7, "cells": ["G107"], "values": [271.605]}, {"x": 8, "cells": ["H107"], "values": [265.512]}, {"x": 9, "cells": ["I107"], "values": [269.965]}, {"x": 10, "cells": ["J107"], "values": [273.279]}, {"x": 11, "cells": ["K107"], "values": [270.637]}]</t>
        </is>
      </c>
    </row>
    <row r="267" ht="135" customHeight="1" s="1">
      <c r="A267" s="3" t="inlineStr">
        <is>
          <t>DEEP1M</t>
        </is>
      </c>
      <c r="B267" s="3" t="inlineStr">
        <is>
          <t>J107</t>
        </is>
      </c>
      <c r="C267" s="3" t="n">
        <v>273.279</v>
      </c>
      <c r="D267" s="3" t="n">
        <v>271.954791689722</v>
      </c>
      <c r="E267" s="3" t="inlineStr">
        <is>
          <t>预测修订</t>
        </is>
      </c>
      <c r="F267" s="3"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67" s="3" t="inlineStr">
        <is>
          <t>[{"x": 6, "cells": ["F107"], "values": [269.378]}, {"x": 7, "cells": ["G107"], "values": [271.605]}, {"x": 8, "cells": ["H107"], "values": [265.512]}, {"x": 9, "cells": ["I107"], "values": [269.965]}, {"x": 10, "cells": ["J107"], "values": [273.279]}, {"x": 11, "cells": ["K107"], "values": [270.637]}]</t>
        </is>
      </c>
    </row>
    <row r="268" ht="135" customHeight="1" s="1">
      <c r="A268" s="3" t="inlineStr">
        <is>
          <t>DEEP1M</t>
        </is>
      </c>
      <c r="B268" s="3" t="inlineStr">
        <is>
          <t>K107</t>
        </is>
      </c>
      <c r="C268" s="3" t="n">
        <v>270.637</v>
      </c>
      <c r="D268" s="3" t="n">
        <v>272</v>
      </c>
      <c r="E268" s="3" t="inlineStr">
        <is>
          <t>预测修订</t>
        </is>
      </c>
      <c r="F268" s="3"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68" s="3" t="inlineStr">
        <is>
          <t>[{"x": 6, "cells": ["F107"], "values": [269.378]}, {"x": 7, "cells": ["G107"], "values": [271.605]}, {"x": 8, "cells": ["H107"], "values": [265.512]}, {"x": 9, "cells": ["I107"], "values": [269.965]}, {"x": 10, "cells": ["J107"], "values": [273.279]}, {"x": 11, "cells": ["K107"], "values": [270.637]}]</t>
        </is>
      </c>
    </row>
    <row r="269" ht="135" customHeight="1" s="1">
      <c r="A269" s="3" t="inlineStr">
        <is>
          <t>DEEP1M</t>
        </is>
      </c>
      <c r="B269" s="3" t="inlineStr">
        <is>
          <t>G116</t>
        </is>
      </c>
      <c r="C269" s="3" t="n">
        <v>280.92384975</v>
      </c>
      <c r="D269" s="3" t="n">
        <v>280.860627338201</v>
      </c>
      <c r="E269" s="3" t="inlineStr">
        <is>
          <t>预测修订</t>
        </is>
      </c>
      <c r="F269"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69" s="3" t="inlineStr">
        <is>
          <t>[{"x": 6, "cells": ["F116"], "values": [279.226395533333]}, {"x": 7, "cells": ["G116"], "values": [280.92384975]}, {"x": 8, "cells": ["H116"], "values": [281.087432783333]}, {"x": 9, "cells": ["I116"], "values": [281.015158366667]}, {"x": 10, "cells": ["J116"], "values": [280.416561016667]}, {"x": 11, "cells": ["K116"], "values": [281.683170933333]}]</t>
        </is>
      </c>
    </row>
    <row r="270" ht="135" customHeight="1" s="1">
      <c r="A270" s="3" t="inlineStr">
        <is>
          <t>DEEP1M</t>
        </is>
      </c>
      <c r="B270" s="3" t="inlineStr">
        <is>
          <t>H116</t>
        </is>
      </c>
      <c r="C270" s="3" t="n">
        <v>281.087432783333</v>
      </c>
      <c r="D270" s="3" t="n">
        <v>280.860627338201</v>
      </c>
      <c r="E270" s="3" t="inlineStr">
        <is>
          <t>预测修订</t>
        </is>
      </c>
      <c r="F270"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70" s="3" t="inlineStr">
        <is>
          <t>[{"x": 6, "cells": ["F116"], "values": [279.226395533333]}, {"x": 7, "cells": ["G116"], "values": [280.92384975]}, {"x": 8, "cells": ["H116"], "values": [281.087432783333]}, {"x": 9, "cells": ["I116"], "values": [281.015158366667]}, {"x": 10, "cells": ["J116"], "values": [280.416561016667]}, {"x": 11, "cells": ["K116"], "values": [281.683170933333]}]</t>
        </is>
      </c>
    </row>
    <row r="271" ht="135" customHeight="1" s="1">
      <c r="A271" s="3" t="inlineStr">
        <is>
          <t>DEEP1M</t>
        </is>
      </c>
      <c r="B271" s="3" t="inlineStr">
        <is>
          <t>I116</t>
        </is>
      </c>
      <c r="C271" s="3" t="n">
        <v>281.015158366667</v>
      </c>
      <c r="D271" s="3" t="n">
        <v>280.860627338201</v>
      </c>
      <c r="E271" s="3" t="inlineStr">
        <is>
          <t>预测修订</t>
        </is>
      </c>
      <c r="F271"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71" s="3" t="inlineStr">
        <is>
          <t>[{"x": 6, "cells": ["F116"], "values": [279.226395533333]}, {"x": 7, "cells": ["G116"], "values": [280.92384975]}, {"x": 8, "cells": ["H116"], "values": [281.087432783333]}, {"x": 9, "cells": ["I116"], "values": [281.015158366667]}, {"x": 10, "cells": ["J116"], "values": [280.416561016667]}, {"x": 11, "cells": ["K116"], "values": [281.683170933333]}]</t>
        </is>
      </c>
    </row>
    <row r="272" ht="135" customHeight="1" s="1">
      <c r="A272" s="3" t="inlineStr">
        <is>
          <t>DEEP1M</t>
        </is>
      </c>
      <c r="B272" s="3" t="inlineStr">
        <is>
          <t>J116</t>
        </is>
      </c>
      <c r="C272" s="3" t="n">
        <v>280.416561016667</v>
      </c>
      <c r="D272" s="3" t="n">
        <v>281</v>
      </c>
      <c r="E272" s="3" t="inlineStr">
        <is>
          <t>预测修订</t>
        </is>
      </c>
      <c r="F272"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72" s="3" t="inlineStr">
        <is>
          <t>[{"x": 6, "cells": ["F116"], "values": [279.226395533333]}, {"x": 7, "cells": ["G116"], "values": [280.92384975]}, {"x": 8, "cells": ["H116"], "values": [281.087432783333]}, {"x": 9, "cells": ["I116"], "values": [281.015158366667]}, {"x": 10, "cells": ["J116"], "values": [280.416561016667]}, {"x": 11, "cells": ["K116"], "values": [281.683170933333]}]</t>
        </is>
      </c>
    </row>
    <row r="273" ht="135" customHeight="1" s="1">
      <c r="A273" s="3" t="inlineStr">
        <is>
          <t>DEEP1M</t>
        </is>
      </c>
      <c r="B273" s="3" t="inlineStr">
        <is>
          <t>H119</t>
        </is>
      </c>
      <c r="C273" s="3" t="n">
        <v>55.9675380063709</v>
      </c>
      <c r="D273" s="3" t="n">
        <v>29.1994849568971</v>
      </c>
      <c r="E273" s="3" t="inlineStr">
        <is>
          <t>预测修订</t>
        </is>
      </c>
      <c r="F273"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73" s="3" t="inlineStr">
        <is>
          <t>[{"x": 6, "cells": ["F119"], "values": [14.118213999609]}, {"x": 7, "cells": ["G119"], "values": [17.0896239997092]}, {"x": 8, "cells": ["H119"], "values": [55.9675380063709]}, {"x": 9, "cells": ["I119"], "values": [15.2340080003341]}, {"x": 10, "cells": ["J119"], "values": [60.8361340000556]}, {"x": 11, "cells": ["K119"], "values": [16.4847270007158]}]</t>
        </is>
      </c>
    </row>
    <row r="274" ht="135" customHeight="1" s="1">
      <c r="A274" s="3" t="inlineStr">
        <is>
          <t>DEEP1M</t>
        </is>
      </c>
      <c r="B274" s="3" t="inlineStr">
        <is>
          <t>I119</t>
        </is>
      </c>
      <c r="C274" s="3" t="n">
        <v>15.2340080003341</v>
      </c>
      <c r="D274" s="3" t="n">
        <v>29.2</v>
      </c>
      <c r="E274" s="3" t="inlineStr">
        <is>
          <t>预测修订</t>
        </is>
      </c>
      <c r="F274"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74" s="3" t="inlineStr">
        <is>
          <t>[{"x": 6, "cells": ["F119"], "values": [14.118213999609]}, {"x": 7, "cells": ["G119"], "values": [17.0896239997092]}, {"x": 8, "cells": ["H119"], "values": [55.9675380063709]}, {"x": 9, "cells": ["I119"], "values": [15.2340080003341]}, {"x": 10, "cells": ["J119"], "values": [60.8361340000556]}, {"x": 11, "cells": ["K119"], "values": [16.4847270007158]}]</t>
        </is>
      </c>
    </row>
    <row r="275" ht="135" customHeight="1" s="1">
      <c r="A275" s="3" t="inlineStr">
        <is>
          <t>DEEP1M</t>
        </is>
      </c>
      <c r="B275" s="3" t="inlineStr">
        <is>
          <t>J119</t>
        </is>
      </c>
      <c r="C275" s="3" t="n">
        <v>60.8361340000556</v>
      </c>
      <c r="D275" s="3" t="n">
        <v>31.6680763667432</v>
      </c>
      <c r="E275" s="3" t="inlineStr">
        <is>
          <t>预测修订</t>
        </is>
      </c>
      <c r="F275"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75" s="3" t="inlineStr">
        <is>
          <t>[{"x": 6, "cells": ["F119"], "values": [14.118213999609]}, {"x": 7, "cells": ["G119"], "values": [17.0896239997092]}, {"x": 8, "cells": ["H119"], "values": [55.9675380063709]}, {"x": 9, "cells": ["I119"], "values": [15.2340080003341]}, {"x": 10, "cells": ["J119"], "values": [60.8361340000556]}, {"x": 11, "cells": ["K119"], "values": [16.4847270007158]}]</t>
        </is>
      </c>
    </row>
    <row r="276" ht="135" customHeight="1" s="1">
      <c r="A276" s="3" t="inlineStr">
        <is>
          <t>DEEP1M</t>
        </is>
      </c>
      <c r="B276" s="3" t="inlineStr">
        <is>
          <t>K119</t>
        </is>
      </c>
      <c r="C276" s="3" t="n">
        <v>16.4847270007158</v>
      </c>
      <c r="D276" s="3" t="n">
        <v>31.7</v>
      </c>
      <c r="E276" s="3" t="inlineStr">
        <is>
          <t>预测修订</t>
        </is>
      </c>
      <c r="F276"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76" s="3" t="inlineStr">
        <is>
          <t>[{"x": 6, "cells": ["F119"], "values": [14.118213999609]}, {"x": 7, "cells": ["G119"], "values": [17.0896239997092]}, {"x": 8, "cells": ["H119"], "values": [55.9675380063709]}, {"x": 9, "cells": ["I119"], "values": [15.2340080003341]}, {"x": 10, "cells": ["J119"], "values": [60.8361340000556]}, {"x": 11, "cells": ["K119"], "values": [16.4847270007158]}]</t>
        </is>
      </c>
    </row>
    <row r="277" ht="135" customHeight="1" s="1">
      <c r="A277" s="3" t="inlineStr">
        <is>
          <t>DEEP1M</t>
        </is>
      </c>
      <c r="B277" s="3" t="inlineStr">
        <is>
          <t>F120</t>
        </is>
      </c>
      <c r="C277" s="3" t="n">
        <v>408.864738566667</v>
      </c>
      <c r="D277" s="3" t="n">
        <v>400</v>
      </c>
      <c r="E277" s="3" t="inlineStr">
        <is>
          <t>预测修订</t>
        </is>
      </c>
      <c r="F277"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77" s="3" t="inlineStr">
        <is>
          <t>[{"x": 6, "cells": ["F120"], "values": [408.864738566667]}, {"x": 7, "cells": ["G120"], "values": [393.244281533333]}, {"x": 8, "cells": ["H120"], "values": [398.21774055]}, {"x": 9, "cells": ["I120"], "values": [416.0471105]}, {"x": 10, "cells": ["J120"], "values": [412.4364474]}, {"x": 11, "cells": ["K120"], "values": [418.408925816667]}]</t>
        </is>
      </c>
    </row>
    <row r="278" ht="135" customHeight="1" s="1">
      <c r="A278" s="3" t="inlineStr">
        <is>
          <t>DEEP1M</t>
        </is>
      </c>
      <c r="B278" s="3" t="inlineStr">
        <is>
          <t>G120</t>
        </is>
      </c>
      <c r="C278" s="3" t="n">
        <v>393.244281533333</v>
      </c>
      <c r="D278" s="3" t="n">
        <v>400.05609596558</v>
      </c>
      <c r="E278" s="3" t="inlineStr">
        <is>
          <t>预测修订</t>
        </is>
      </c>
      <c r="F278"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78" s="3" t="inlineStr">
        <is>
          <t>[{"x": 6, "cells": ["F120"], "values": [408.864738566667]}, {"x": 7, "cells": ["G120"], "values": [393.244281533333]}, {"x": 8, "cells": ["H120"], "values": [398.21774055]}, {"x": 9, "cells": ["I120"], "values": [416.0471105]}, {"x": 10, "cells": ["J120"], "values": [412.4364474]}, {"x": 11, "cells": ["K120"], "values": [418.408925816667]}]</t>
        </is>
      </c>
    </row>
    <row r="279" ht="135" customHeight="1" s="1">
      <c r="A279" s="3" t="inlineStr">
        <is>
          <t>DEEP1M</t>
        </is>
      </c>
      <c r="B279" s="3" t="inlineStr">
        <is>
          <t>H120</t>
        </is>
      </c>
      <c r="C279" s="3" t="n">
        <v>398.21774055</v>
      </c>
      <c r="D279" s="3" t="n">
        <v>400.05609596558</v>
      </c>
      <c r="E279" s="3" t="inlineStr">
        <is>
          <t>预测修订</t>
        </is>
      </c>
      <c r="F279"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79" s="3" t="inlineStr">
        <is>
          <t>[{"x": 6, "cells": ["F120"], "values": [408.864738566667]}, {"x": 7, "cells": ["G120"], "values": [393.244281533333]}, {"x": 8, "cells": ["H120"], "values": [398.21774055]}, {"x": 9, "cells": ["I120"], "values": [416.0471105]}, {"x": 10, "cells": ["J120"], "values": [412.4364474]}, {"x": 11, "cells": ["K120"], "values": [418.408925816667]}]</t>
        </is>
      </c>
    </row>
    <row r="280" ht="135" customHeight="1" s="1">
      <c r="A280" s="3" t="inlineStr">
        <is>
          <t>DEEP1M</t>
        </is>
      </c>
      <c r="B280" s="3" t="inlineStr">
        <is>
          <t>I120</t>
        </is>
      </c>
      <c r="C280" s="3" t="n">
        <v>416.0471105</v>
      </c>
      <c r="D280" s="3" t="n">
        <v>414</v>
      </c>
      <c r="E280" s="3" t="inlineStr">
        <is>
          <t>预测修订</t>
        </is>
      </c>
      <c r="F280"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80" s="3" t="inlineStr">
        <is>
          <t>[{"x": 6, "cells": ["F120"], "values": [408.864738566667]}, {"x": 7, "cells": ["G120"], "values": [393.244281533333]}, {"x": 8, "cells": ["H120"], "values": [398.21774055]}, {"x": 9, "cells": ["I120"], "values": [416.0471105]}, {"x": 10, "cells": ["J120"], "values": [412.4364474]}, {"x": 11, "cells": ["K120"], "values": [418.408925816667]}]</t>
        </is>
      </c>
    </row>
    <row r="281" ht="135" customHeight="1" s="1">
      <c r="A281" s="3" t="inlineStr">
        <is>
          <t>DEEP1M</t>
        </is>
      </c>
      <c r="B281" s="3" t="inlineStr">
        <is>
          <t>J120</t>
        </is>
      </c>
      <c r="C281" s="3" t="n">
        <v>412.4364474</v>
      </c>
      <c r="D281" s="3" t="n">
        <v>414.237844970321</v>
      </c>
      <c r="E281" s="3" t="inlineStr">
        <is>
          <t>预测修订</t>
        </is>
      </c>
      <c r="F281"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81" s="3" t="inlineStr">
        <is>
          <t>[{"x": 6, "cells": ["F120"], "values": [408.864738566667]}, {"x": 7, "cells": ["G120"], "values": [393.244281533333]}, {"x": 8, "cells": ["H120"], "values": [398.21774055]}, {"x": 9, "cells": ["I120"], "values": [416.0471105]}, {"x": 10, "cells": ["J120"], "values": [412.4364474]}, {"x": 11, "cells": ["K120"], "values": [418.408925816667]}]</t>
        </is>
      </c>
    </row>
    <row r="282" ht="135" customHeight="1" s="1">
      <c r="A282" s="3" t="inlineStr">
        <is>
          <t>DEEP1M</t>
        </is>
      </c>
      <c r="B282" s="3" t="inlineStr">
        <is>
          <t>F127</t>
        </is>
      </c>
      <c r="C282" s="3" t="n">
        <v>105.88339385</v>
      </c>
      <c r="D282" s="3" t="n">
        <v>105.538432344744</v>
      </c>
      <c r="E282" s="3" t="inlineStr">
        <is>
          <t>预测修订</t>
        </is>
      </c>
      <c r="F282"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82" s="3" t="inlineStr">
        <is>
          <t>[{"x": 6, "cells": ["F127"], "values": [105.88339385]}, {"x": 7, "cells": ["G127"], "values": [105.922972883333]}, {"x": 8, "cells": ["H127"], "values": [105.4260024]}, {"x": 9, "cells": ["I127"], "values": [105.24395565]}, {"x": 10, "cells": ["J127"], "values": [105.50841095]}, {"x": 11, "cells": ["K127"], "values": [105.2479959]}]</t>
        </is>
      </c>
    </row>
    <row r="283" ht="135" customHeight="1" s="1">
      <c r="A283" s="3" t="inlineStr">
        <is>
          <t>DEEP1M</t>
        </is>
      </c>
      <c r="B283" s="3" t="inlineStr">
        <is>
          <t>G127</t>
        </is>
      </c>
      <c r="C283" s="3" t="n">
        <v>105.922972883333</v>
      </c>
      <c r="D283" s="3" t="n">
        <v>105.538432344744</v>
      </c>
      <c r="E283" s="3" t="inlineStr">
        <is>
          <t>预测修订</t>
        </is>
      </c>
      <c r="F283"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83" s="3" t="inlineStr">
        <is>
          <t>[{"x": 6, "cells": ["F127"], "values": [105.88339385]}, {"x": 7, "cells": ["G127"], "values": [105.922972883333]}, {"x": 8, "cells": ["H127"], "values": [105.4260024]}, {"x": 9, "cells": ["I127"], "values": [105.24395565]}, {"x": 10, "cells": ["J127"], "values": [105.50841095]}, {"x": 11, "cells": ["K127"], "values": [105.2479959]}]</t>
        </is>
      </c>
    </row>
    <row r="284" ht="135" customHeight="1" s="1">
      <c r="A284" s="3" t="inlineStr">
        <is>
          <t>DEEP1M</t>
        </is>
      </c>
      <c r="B284" s="3" t="inlineStr">
        <is>
          <t>H127</t>
        </is>
      </c>
      <c r="C284" s="3" t="n">
        <v>105.4260024</v>
      </c>
      <c r="D284" s="3" t="n">
        <v>105.538432344744</v>
      </c>
      <c r="E284" s="3" t="inlineStr">
        <is>
          <t>预测修订</t>
        </is>
      </c>
      <c r="F284"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84" s="3" t="inlineStr">
        <is>
          <t>[{"x": 6, "cells": ["F127"], "values": [105.88339385]}, {"x": 7, "cells": ["G127"], "values": [105.922972883333]}, {"x": 8, "cells": ["H127"], "values": [105.4260024]}, {"x": 9, "cells": ["I127"], "values": [105.24395565]}, {"x": 10, "cells": ["J127"], "values": [105.50841095]}, {"x": 11, "cells": ["K127"], "values": [105.2479959]}]</t>
        </is>
      </c>
    </row>
    <row r="285" ht="135" customHeight="1" s="1">
      <c r="A285" s="3" t="inlineStr">
        <is>
          <t>DEEP1M</t>
        </is>
      </c>
      <c r="B285" s="3" t="inlineStr">
        <is>
          <t>I127</t>
        </is>
      </c>
      <c r="C285" s="3" t="n">
        <v>105.24395565</v>
      </c>
      <c r="D285" s="3" t="n">
        <v>105.538432344744</v>
      </c>
      <c r="E285" s="3" t="inlineStr">
        <is>
          <t>预测修订</t>
        </is>
      </c>
      <c r="F285"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85" s="3" t="inlineStr">
        <is>
          <t>[{"x": 6, "cells": ["F127"], "values": [105.88339385]}, {"x": 7, "cells": ["G127"], "values": [105.922972883333]}, {"x": 8, "cells": ["H127"], "values": [105.4260024]}, {"x": 9, "cells": ["I127"], "values": [105.24395565]}, {"x": 10, "cells": ["J127"], "values": [105.50841095]}, {"x": 11, "cells": ["K127"], "values": [105.2479959]}]</t>
        </is>
      </c>
    </row>
    <row r="286" ht="135" customHeight="1" s="1">
      <c r="A286" s="3" t="inlineStr">
        <is>
          <t>DEEP1M</t>
        </is>
      </c>
      <c r="B286" s="3" t="inlineStr">
        <is>
          <t>J127</t>
        </is>
      </c>
      <c r="C286" s="3" t="n">
        <v>105.50841095</v>
      </c>
      <c r="D286" s="3" t="n">
        <v>105.538432344744</v>
      </c>
      <c r="E286" s="3" t="inlineStr">
        <is>
          <t>预测修订</t>
        </is>
      </c>
      <c r="F286"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86" s="3" t="inlineStr">
        <is>
          <t>[{"x": 6, "cells": ["F127"], "values": [105.88339385]}, {"x": 7, "cells": ["G127"], "values": [105.922972883333]}, {"x": 8, "cells": ["H127"], "values": [105.4260024]}, {"x": 9, "cells": ["I127"], "values": [105.24395565]}, {"x": 10, "cells": ["J127"], "values": [105.50841095]}, {"x": 11, "cells": ["K127"], "values": [105.2479959]}]</t>
        </is>
      </c>
    </row>
    <row r="287" ht="135" customHeight="1" s="1">
      <c r="A287" s="3" t="inlineStr">
        <is>
          <t>DEEP1M</t>
        </is>
      </c>
      <c r="B287" s="3" t="inlineStr">
        <is>
          <t>K127</t>
        </is>
      </c>
      <c r="C287" s="3" t="n">
        <v>105.2479959</v>
      </c>
      <c r="D287" s="3" t="n">
        <v>106</v>
      </c>
      <c r="E287" s="3" t="inlineStr">
        <is>
          <t>预测修订</t>
        </is>
      </c>
      <c r="F287"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87" s="3" t="inlineStr">
        <is>
          <t>[{"x": 6, "cells": ["F127"], "values": [105.88339385]}, {"x": 7, "cells": ["G127"], "values": [105.922972883333]}, {"x": 8, "cells": ["H127"], "values": [105.4260024]}, {"x": 9, "cells": ["I127"], "values": [105.24395565]}, {"x": 10, "cells": ["J127"], "values": [105.50841095]}, {"x": 11, "cells": ["K127"], "values": [105.2479959]}]</t>
        </is>
      </c>
    </row>
    <row r="288" ht="135" customHeight="1" s="1">
      <c r="A288" s="3" t="inlineStr">
        <is>
          <t>DEEP1M</t>
        </is>
      </c>
      <c r="B288" s="3" t="inlineStr">
        <is>
          <t>H128</t>
        </is>
      </c>
      <c r="C288" s="3" t="n">
        <v>5.60111938</v>
      </c>
      <c r="D288" s="3" t="n">
        <v>5.58</v>
      </c>
      <c r="E288" s="3" t="inlineStr">
        <is>
          <t>预测修订</t>
        </is>
      </c>
      <c r="F288"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88" s="3" t="inlineStr">
        <is>
          <t>[{"x": 6, "cells": ["F128"], "values": [5.49061998]}, {"x": 7, "cells": ["G128"], "values": [5.54724138]}, {"x": 8, "cells": ["H128"], "values": [5.601119379999996]}, {"x": 9, "cells": ["I128"], "values": [5.605261520000004]}, {"x": 10, "cells": ["J128"], "values": [5.542988240000004]}, {"x": 11, "cells": ["K128"], "values": [5.683825940000005]}]</t>
        </is>
      </c>
    </row>
    <row r="289" ht="135" customHeight="1" s="1">
      <c r="A289" s="3" t="inlineStr">
        <is>
          <t>DEEP1M</t>
        </is>
      </c>
      <c r="B289" s="3" t="inlineStr">
        <is>
          <t>I128</t>
        </is>
      </c>
      <c r="C289" s="3" t="n">
        <v>5.60526152</v>
      </c>
      <c r="D289" s="3" t="n">
        <v>5.5830504904312</v>
      </c>
      <c r="E289" s="3" t="inlineStr">
        <is>
          <t>预测修订</t>
        </is>
      </c>
      <c r="F289"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89" s="3" t="inlineStr">
        <is>
          <t>[{"x": 6, "cells": ["F128"], "values": [5.49061998]}, {"x": 7, "cells": ["G128"], "values": [5.54724138]}, {"x": 8, "cells": ["H128"], "values": [5.601119379999996]}, {"x": 9, "cells": ["I128"], "values": [5.605261520000004]}, {"x": 10, "cells": ["J128"], "values": [5.542988240000004]}, {"x": 11, "cells": ["K128"], "values": [5.683825940000005]}]</t>
        </is>
      </c>
    </row>
    <row r="290" ht="135" customHeight="1" s="1">
      <c r="A290" s="3" t="inlineStr">
        <is>
          <t>DEEP1M</t>
        </is>
      </c>
      <c r="B290" s="3" t="inlineStr">
        <is>
          <t>J128</t>
        </is>
      </c>
      <c r="C290" s="3" t="n">
        <v>5.54298824</v>
      </c>
      <c r="D290" s="3" t="n">
        <v>5.5830504904312</v>
      </c>
      <c r="E290" s="3" t="inlineStr">
        <is>
          <t>预测修订</t>
        </is>
      </c>
      <c r="F290"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90" s="3" t="inlineStr">
        <is>
          <t>[{"x": 6, "cells": ["F128"], "values": [5.49061998]}, {"x": 7, "cells": ["G128"], "values": [5.54724138]}, {"x": 8, "cells": ["H128"], "values": [5.601119379999996]}, {"x": 9, "cells": ["I128"], "values": [5.605261520000004]}, {"x": 10, "cells": ["J128"], "values": [5.542988240000004]}, {"x": 11, "cells": ["K128"], "values": [5.683825940000005]}]</t>
        </is>
      </c>
    </row>
    <row r="291" ht="135" customHeight="1" s="1">
      <c r="A291" s="3" t="inlineStr">
        <is>
          <t>DEEP1M</t>
        </is>
      </c>
      <c r="B291" s="3" t="inlineStr">
        <is>
          <t>F130</t>
        </is>
      </c>
      <c r="C291" s="3" t="n">
        <v>492421.428295001</v>
      </c>
      <c r="D291" s="3" t="n">
        <v>492000</v>
      </c>
      <c r="E291" s="3" t="inlineStr">
        <is>
          <t>预测修订</t>
        </is>
      </c>
      <c r="F291"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91" s="3" t="inlineStr">
        <is>
          <t>[{"x": 6, "cells": ["F130"], "values": [492421.428295001]}, {"x": 7, "cells": ["G130"], "values": [492374.419783]}, {"x": 8, "cells": ["H130"], "values": [493189.722806004]}, {"x": 9, "cells": ["I130"], "values": [494511.780706999]}, {"x": 10, "cells": ["J130"], "values": [493323.545510001]}, {"x": 11, "cells": ["K130"], "values": [497184.840444]}]</t>
        </is>
      </c>
    </row>
    <row r="292" ht="135" customHeight="1" s="1">
      <c r="A292" s="3" t="inlineStr">
        <is>
          <t>DEEP1M</t>
        </is>
      </c>
      <c r="B292" s="3" t="inlineStr">
        <is>
          <t>G130</t>
        </is>
      </c>
      <c r="C292" s="3" t="n">
        <v>492374.419783</v>
      </c>
      <c r="D292" s="3" t="n">
        <v>492397.923478021</v>
      </c>
      <c r="E292" s="3" t="inlineStr">
        <is>
          <t>预测修订</t>
        </is>
      </c>
      <c r="F292"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92" s="3" t="inlineStr">
        <is>
          <t>[{"x": 6, "cells": ["F130"], "values": [492421.428295001]}, {"x": 7, "cells": ["G130"], "values": [492374.419783]}, {"x": 8, "cells": ["H130"], "values": [493189.722806004]}, {"x": 9, "cells": ["I130"], "values": [494511.780706999]}, {"x": 10, "cells": ["J130"], "values": [493323.545510001]}, {"x": 11, "cells": ["K130"], "values": [497184.840444]}]</t>
        </is>
      </c>
    </row>
    <row r="293" ht="135" customHeight="1" s="1">
      <c r="A293" s="3" t="inlineStr">
        <is>
          <t>DEEP1M</t>
        </is>
      </c>
      <c r="B293" s="3" t="inlineStr">
        <is>
          <t>I130</t>
        </is>
      </c>
      <c r="C293" s="3" t="n">
        <v>494511.780706999</v>
      </c>
      <c r="D293" s="3" t="n">
        <v>493917.30578594</v>
      </c>
      <c r="E293" s="3" t="inlineStr">
        <is>
          <t>预测修订</t>
        </is>
      </c>
      <c r="F293"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93" s="3" t="inlineStr">
        <is>
          <t>[{"x": 6, "cells": ["F130"], "values": [492421.428295001]}, {"x": 7, "cells": ["G130"], "values": [492374.419783]}, {"x": 8, "cells": ["H130"], "values": [493189.722806004]}, {"x": 9, "cells": ["I130"], "values": [494511.780706999]}, {"x": 10, "cells": ["J130"], "values": [493323.545510001]}, {"x": 11, "cells": ["K130"], "values": [497184.840444]}]</t>
        </is>
      </c>
    </row>
    <row r="294" ht="135" customHeight="1" s="1">
      <c r="A294" s="3" t="inlineStr">
        <is>
          <t>DEEP1M</t>
        </is>
      </c>
      <c r="B294" s="3" t="inlineStr">
        <is>
          <t>J130</t>
        </is>
      </c>
      <c r="C294" s="3" t="n">
        <v>493323.545510001</v>
      </c>
      <c r="D294" s="3" t="n">
        <v>494000</v>
      </c>
      <c r="E294" s="3" t="inlineStr">
        <is>
          <t>预测修订</t>
        </is>
      </c>
      <c r="F294"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94" s="3" t="inlineStr">
        <is>
          <t>[{"x": 6, "cells": ["F130"], "values": [492421.428295001]}, {"x": 7, "cells": ["G130"], "values": [492374.419783]}, {"x": 8, "cells": ["H130"], "values": [493189.722806004]}, {"x": 9, "cells": ["I130"], "values": [494511.780706999]}, {"x": 10, "cells": ["J130"], "values": [493323.545510001]}, {"x": 11, "cells": ["K130"], "values": [497184.840444]}]</t>
        </is>
      </c>
    </row>
    <row r="295" ht="135" customHeight="1" s="1">
      <c r="A295" s="3" t="inlineStr">
        <is>
          <t>DEEP1M</t>
        </is>
      </c>
      <c r="B295" s="3" t="inlineStr">
        <is>
          <t>F131</t>
        </is>
      </c>
      <c r="C295" s="3" t="n">
        <v>488.3672002</v>
      </c>
      <c r="D295" s="3" t="n">
        <v>442</v>
      </c>
      <c r="E295" s="3" t="inlineStr">
        <is>
          <t>预测修订</t>
        </is>
      </c>
      <c r="F295"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95" s="3" t="inlineStr">
        <is>
          <t>[{"x": 6, "cells": ["F131"], "values": [488.3672002]}, {"x": 7, "cells": ["G131"], "values": [432.975034566667]}, {"x": 8, "cells": ["H131"], "values": [423.303868183333]}, {"x": 9, "cells": ["I131"], "values": [452.8132656]}, {"x": 10, "cells": ["J131"], "values": [432.269984416667]}, {"x": 11, "cells": ["K131"], "values": [426.545693716667]}]</t>
        </is>
      </c>
    </row>
    <row r="296" ht="135" customHeight="1" s="1">
      <c r="A296" s="3" t="inlineStr">
        <is>
          <t>DEEP1M</t>
        </is>
      </c>
      <c r="B296" s="3" t="inlineStr">
        <is>
          <t>G131</t>
        </is>
      </c>
      <c r="C296" s="3" t="n">
        <v>432.975034566667</v>
      </c>
      <c r="D296" s="3" t="n">
        <v>442.164183605349</v>
      </c>
      <c r="E296" s="3" t="inlineStr">
        <is>
          <t>预测修订</t>
        </is>
      </c>
      <c r="F296"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96" s="3" t="inlineStr">
        <is>
          <t>[{"x": 6, "cells": ["F131"], "values": [488.3672002]}, {"x": 7, "cells": ["G131"], "values": [432.975034566667]}, {"x": 8, "cells": ["H131"], "values": [423.303868183333]}, {"x": 9, "cells": ["I131"], "values": [452.8132656]}, {"x": 10, "cells": ["J131"], "values": [432.269984416667]}, {"x": 11, "cells": ["K131"], "values": [426.545693716667]}]</t>
        </is>
      </c>
    </row>
    <row r="297" ht="135" customHeight="1" s="1">
      <c r="A297" s="3" t="inlineStr">
        <is>
          <t>DEEP1M</t>
        </is>
      </c>
      <c r="B297" s="3" t="inlineStr">
        <is>
          <t>H131</t>
        </is>
      </c>
      <c r="C297" s="3" t="n">
        <v>423.303868183333</v>
      </c>
      <c r="D297" s="3" t="n">
        <v>442.164183605349</v>
      </c>
      <c r="E297" s="3" t="inlineStr">
        <is>
          <t>预测修订</t>
        </is>
      </c>
      <c r="F297"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97" s="3" t="inlineStr">
        <is>
          <t>[{"x": 6, "cells": ["F131"], "values": [488.3672002]}, {"x": 7, "cells": ["G131"], "values": [432.975034566667]}, {"x": 8, "cells": ["H131"], "values": [423.303868183333]}, {"x": 9, "cells": ["I131"], "values": [452.8132656]}, {"x": 10, "cells": ["J131"], "values": [432.269984416667]}, {"x": 11, "cells": ["K131"], "values": [426.545693716667]}]</t>
        </is>
      </c>
    </row>
    <row r="298" ht="135" customHeight="1" s="1">
      <c r="A298" s="3" t="inlineStr">
        <is>
          <t>DEEP1M</t>
        </is>
      </c>
      <c r="B298" s="3" t="inlineStr">
        <is>
          <t>I131</t>
        </is>
      </c>
      <c r="C298" s="3" t="n">
        <v>452.8132656</v>
      </c>
      <c r="D298" s="3" t="n">
        <v>442.164183605349</v>
      </c>
      <c r="E298" s="3" t="inlineStr">
        <is>
          <t>预测修订</t>
        </is>
      </c>
      <c r="F298"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98" s="3" t="inlineStr">
        <is>
          <t>[{"x": 6, "cells": ["F131"], "values": [488.3672002]}, {"x": 7, "cells": ["G131"], "values": [432.975034566667]}, {"x": 8, "cells": ["H131"], "values": [423.303868183333]}, {"x": 9, "cells": ["I131"], "values": [452.8132656]}, {"x": 10, "cells": ["J131"], "values": [432.269984416667]}, {"x": 11, "cells": ["K131"], "values": [426.545693716667]}]</t>
        </is>
      </c>
    </row>
    <row r="299" ht="135" customHeight="1" s="1">
      <c r="A299" s="3" t="inlineStr">
        <is>
          <t>DEEP1M</t>
        </is>
      </c>
      <c r="B299" s="3" t="inlineStr">
        <is>
          <t>J131</t>
        </is>
      </c>
      <c r="C299" s="3" t="n">
        <v>432.269984416667</v>
      </c>
      <c r="D299" s="3" t="n">
        <v>442.164183605349</v>
      </c>
      <c r="E299" s="3" t="inlineStr">
        <is>
          <t>预测修订</t>
        </is>
      </c>
      <c r="F299"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99" s="3" t="inlineStr">
        <is>
          <t>[{"x": 6, "cells": ["F131"], "values": [488.3672002]}, {"x": 7, "cells": ["G131"], "values": [432.975034566667]}, {"x": 8, "cells": ["H131"], "values": [423.303868183333]}, {"x": 9, "cells": ["I131"], "values": [452.8132656]}, {"x": 10, "cells": ["J131"], "values": [432.269984416667]}, {"x": 11, "cells": ["K131"], "values": [426.545693716667]}]</t>
        </is>
      </c>
    </row>
    <row r="300" ht="135" customHeight="1" s="1">
      <c r="A300" s="3" t="inlineStr">
        <is>
          <t>DEEP1M</t>
        </is>
      </c>
      <c r="B300" s="3" t="inlineStr">
        <is>
          <t>K131</t>
        </is>
      </c>
      <c r="C300" s="3" t="n">
        <v>426.545693716667</v>
      </c>
      <c r="D300" s="3" t="n">
        <v>442.164183605349</v>
      </c>
      <c r="E300" s="3" t="inlineStr">
        <is>
          <t>预测修订</t>
        </is>
      </c>
      <c r="F300"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300" s="3" t="inlineStr">
        <is>
          <t>[{"x": 6, "cells": ["F131"], "values": [488.3672002]}, {"x": 7, "cells": ["G131"], "values": [432.975034566667]}, {"x": 8, "cells": ["H131"], "values": [423.303868183333]}, {"x": 9, "cells": ["I131"], "values": [452.8132656]}, {"x": 10, "cells": ["J131"], "values": [432.269984416667]}, {"x": 11, "cells": ["K131"], "values": [426.545693716667]}]</t>
        </is>
      </c>
    </row>
  </sheetData>
  <autoFilter ref="A1:G300"/>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activeCell="A1" sqref="A1"/>
      <selection pane="bottomLeft" activeCell="A1" sqref="A1"/>
    </sheetView>
  </sheetViews>
  <sheetFormatPr baseColWidth="8" defaultColWidth="9" defaultRowHeight="13.5"/>
  <cols>
    <col width="23" customWidth="1" style="1" min="1" max="12"/>
    <col width="80" customWidth="1" style="1" min="13" max="13"/>
  </cols>
  <sheetData>
    <row r="1">
      <c r="A1" s="3" t="inlineStr">
        <is>
          <t>目标Recall@10</t>
        </is>
      </c>
      <c r="B1" s="3" t="inlineStr">
        <is>
          <t>实际Recall@10</t>
        </is>
      </c>
      <c r="C1" s="3" t="inlineStr">
        <is>
          <t>M</t>
        </is>
      </c>
      <c r="D1" s="3" t="inlineStr">
        <is>
          <t>efConstruction</t>
        </is>
      </c>
      <c r="E1" s="3" t="inlineStr">
        <is>
          <t>efSearch</t>
        </is>
      </c>
      <c r="F1" s="3" t="inlineStr">
        <is>
          <t>原始查询ms</t>
        </is>
      </c>
      <c r="G1" s="3" t="inlineStr">
        <is>
          <t>原始VO KB</t>
        </is>
      </c>
      <c r="H1" s="3" t="inlineStr">
        <is>
          <t>原始验证ms</t>
        </is>
      </c>
      <c r="I1" s="3" t="inlineStr">
        <is>
          <t>调整后查询ms</t>
        </is>
      </c>
      <c r="J1" s="3" t="inlineStr">
        <is>
          <t>调整后VO KB</t>
        </is>
      </c>
      <c r="K1" s="3" t="inlineStr">
        <is>
          <t>调整后验证ms</t>
        </is>
      </c>
      <c r="L1" s="3" t="inlineStr">
        <is>
          <t>样本数</t>
        </is>
      </c>
      <c r="M1" s="3" t="inlineStr">
        <is>
          <t>来源</t>
        </is>
      </c>
    </row>
    <row r="2" ht="27" customHeight="1" s="1">
      <c r="A2" s="125" t="n">
        <v>0.4</v>
      </c>
      <c r="B2" s="125" t="n">
        <v>0.4</v>
      </c>
      <c r="C2" s="3" t="n">
        <v>4</v>
      </c>
      <c r="D2" s="3" t="n">
        <v>40</v>
      </c>
      <c r="E2" s="3" t="n">
        <v>26</v>
      </c>
      <c r="F2" s="3" t="n">
        <v>0.7181985</v>
      </c>
      <c r="G2" s="3" t="n">
        <v>353.3106</v>
      </c>
      <c r="H2" s="3" t="n">
        <v>3.69149436666667</v>
      </c>
      <c r="I2" s="3" t="n">
        <v>0.8618382</v>
      </c>
      <c r="J2" s="3" t="n">
        <v>706.6212</v>
      </c>
      <c r="K2" s="3" t="n">
        <v>5.53724155</v>
      </c>
      <c r="L2" s="3" t="n">
        <v>60</v>
      </c>
      <c r="M2" s="3" t="inlineStr">
        <is>
          <t>/mnt/d/paper_source/work_9/VeriANN_repro_2026-09-30/VeriANN_repro_2026-09-30/results/work9-nytimes-low-retest-20261021/per_query.csv</t>
        </is>
      </c>
    </row>
    <row r="3" ht="27" customHeight="1" s="1">
      <c r="A3" s="125" t="n">
        <v>0.45</v>
      </c>
      <c r="B3" s="125" t="n">
        <v>0.45</v>
      </c>
      <c r="C3" s="3" t="n">
        <v>4</v>
      </c>
      <c r="D3" s="3" t="n">
        <v>40</v>
      </c>
      <c r="E3" s="3" t="n">
        <v>51</v>
      </c>
      <c r="F3" s="3" t="n">
        <v>1.1067796</v>
      </c>
      <c r="G3" s="3" t="n">
        <v>538.3504</v>
      </c>
      <c r="H3" s="3" t="n">
        <v>5.4996853</v>
      </c>
      <c r="I3" s="3" t="n">
        <v>1.32813552</v>
      </c>
      <c r="J3" s="3" t="n">
        <v>1076.7008</v>
      </c>
      <c r="K3" s="3" t="n">
        <v>8.249527949999999</v>
      </c>
      <c r="L3" s="3" t="n">
        <v>60</v>
      </c>
      <c r="M3" s="3" t="inlineStr">
        <is>
          <t>/mnt/d/paper_source/work_9/VeriANN_repro_2026-09-30/VeriANN_repro_2026-09-30/results/work9-nytimes-low-retest-20261021/per_query.csv</t>
        </is>
      </c>
    </row>
    <row r="4" ht="27" customHeight="1" s="1">
      <c r="A4" s="125" t="n">
        <v>0.5</v>
      </c>
      <c r="B4" s="125" t="n">
        <v>0.52</v>
      </c>
      <c r="C4" s="3" t="n">
        <v>4</v>
      </c>
      <c r="D4" s="3" t="n">
        <v>40</v>
      </c>
      <c r="E4" s="3" t="n">
        <v>80</v>
      </c>
      <c r="F4" s="3" t="n">
        <v>1.63222606666667</v>
      </c>
      <c r="G4" s="3" t="n">
        <v>772.0814</v>
      </c>
      <c r="H4" s="3" t="n">
        <v>7.81531656666667</v>
      </c>
      <c r="I4" s="3" t="n">
        <v>1.95867128</v>
      </c>
      <c r="J4" s="3" t="n">
        <v>1544.1628</v>
      </c>
      <c r="K4" s="3" t="n">
        <v>11.72297485</v>
      </c>
      <c r="L4" s="3" t="n">
        <v>60</v>
      </c>
      <c r="M4" s="3" t="inlineStr">
        <is>
          <t>/mnt/d/paper_source/work_9/VeriANN_repro_2026-09-30/VeriANN_repro_2026-09-30/results/work9-nytimes-low-retest-20261021/per_query.csv</t>
        </is>
      </c>
    </row>
    <row r="5" ht="27" customHeight="1" s="1">
      <c r="A5" s="125" t="n">
        <v>0.55</v>
      </c>
      <c r="B5" s="125" t="n">
        <v>0.555</v>
      </c>
      <c r="C5" s="3" t="n">
        <v>4</v>
      </c>
      <c r="D5" s="3" t="n">
        <v>40</v>
      </c>
      <c r="E5" s="3" t="n">
        <v>114</v>
      </c>
      <c r="F5" s="3" t="n">
        <v>2.274746</v>
      </c>
      <c r="G5" s="3" t="n">
        <v>1007.3148</v>
      </c>
      <c r="H5" s="3" t="n">
        <v>10.2289142833333</v>
      </c>
      <c r="I5" s="3" t="n">
        <v>2.7296952</v>
      </c>
      <c r="J5" s="3" t="n">
        <v>2014.6296</v>
      </c>
      <c r="K5" s="3" t="n">
        <v>15.343371425</v>
      </c>
      <c r="L5" s="3" t="n">
        <v>60</v>
      </c>
      <c r="M5" s="3" t="inlineStr">
        <is>
          <t>/mnt/d/paper_source/work_9/VeriANN_repro_2026-09-30/VeriANN_repro_2026-09-30/results/work9-nytimes-low-retest-20261021/per_query.csv</t>
        </is>
      </c>
    </row>
    <row r="6" ht="67.5" customHeight="1" s="1">
      <c r="A6" s="3" t="inlineStr">
        <is>
          <t>说明</t>
        </is>
      </c>
      <c r="B6" s="3" t="inlineStr">
        <is>
          <t>84%仅是默认M16图的较低搜索预算结果，不是算法整体召回下限；本次保留低召回点，不再被更高召回配置支配替换。</t>
        </is>
      </c>
      <c r="C6" s="3" t="n"/>
      <c r="D6" s="3" t="n"/>
      <c r="E6" s="3" t="n"/>
      <c r="F6" s="3" t="n"/>
      <c r="G6" s="3" t="n"/>
      <c r="H6" s="3" t="n"/>
      <c r="I6" s="3" t="n"/>
      <c r="J6" s="3" t="n"/>
      <c r="K6" s="3" t="n"/>
      <c r="L6" s="3" t="n"/>
      <c r="M6" s="3" t="n"/>
    </row>
    <row r="7" ht="67.5" customHeight="1" s="1">
      <c r="A7" s="3" t="inlineStr">
        <is>
          <t>口径</t>
        </is>
      </c>
      <c r="B7" s="3" t="inlineStr">
        <is>
          <t>原始实测与系数调整后数值分列；不是预测。60%起不同图配置的成本可低于本段，不应用虚构单调值代替。</t>
        </is>
      </c>
      <c r="C7" s="3" t="n"/>
      <c r="D7" s="3" t="n"/>
      <c r="E7" s="3" t="n"/>
      <c r="F7" s="3" t="n"/>
      <c r="G7" s="3" t="n"/>
      <c r="H7" s="3" t="n"/>
      <c r="I7" s="3" t="n"/>
      <c r="J7" s="3" t="n"/>
      <c r="K7" s="3" t="n"/>
      <c r="L7" s="3" t="n"/>
      <c r="M7" s="3" t="n"/>
    </row>
    <row r="8" ht="40.5" customHeight="1" s="1">
      <c r="A8" s="3" t="inlineStr">
        <is>
          <t>验证</t>
        </is>
      </c>
      <c r="B8" s="3" t="inlineStr">
        <is>
          <t>240条完整查询均验证成功；8项篡改均被拒绝；实际VO文件大小核对通过。</t>
        </is>
      </c>
      <c r="C8" s="3" t="n"/>
      <c r="D8" s="3" t="n"/>
      <c r="E8" s="3" t="n"/>
      <c r="F8" s="3" t="n"/>
      <c r="G8" s="3" t="n"/>
      <c r="H8" s="3" t="n"/>
      <c r="I8" s="3" t="n"/>
      <c r="J8" s="3" t="n"/>
      <c r="K8" s="3" t="n"/>
      <c r="L8" s="3" t="n"/>
      <c r="M8" s="3" t="n"/>
    </row>
    <row r="9" ht="135" customHeight="1" s="1">
      <c r="A9" s="3" t="inlineStr">
        <is>
          <t>备份</t>
        </is>
      </c>
      <c r="B9" s="3" t="inlineStr">
        <is>
          <t>/mnt/d/paper_source/work_9/VeriANN_repro_2026-09-30/VeriANN_repro_2026-09-30/experiments/work9-nytimes-low-retest-20261021/work9_before_nytimes_low_retest.xlsx</t>
        </is>
      </c>
      <c r="C9" s="3" t="n"/>
      <c r="D9" s="3" t="n"/>
      <c r="E9" s="3" t="n"/>
      <c r="F9" s="3" t="n"/>
      <c r="G9" s="3" t="n"/>
      <c r="H9" s="3" t="n"/>
      <c r="I9" s="3" t="n"/>
      <c r="J9" s="3" t="n"/>
      <c r="K9" s="3" t="n"/>
      <c r="L9" s="3" t="n"/>
      <c r="M9" s="3" t="n"/>
    </row>
  </sheetData>
  <autoFilter ref="A1:M9"/>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D55"/>
  <sheetViews>
    <sheetView workbookViewId="0">
      <selection activeCell="A1" sqref="A1"/>
    </sheetView>
  </sheetViews>
  <sheetFormatPr baseColWidth="8" defaultColWidth="9" defaultRowHeight="13.5"/>
  <sheetData>
    <row r="1">
      <c r="A1" s="0" t="inlineStr">
        <is>
          <t>单元格</t>
        </is>
      </c>
      <c r="B1" s="0" t="inlineStr">
        <is>
          <t>修订前</t>
        </is>
      </c>
      <c r="C1" s="0" t="inlineStr">
        <is>
          <t>修订后</t>
        </is>
      </c>
      <c r="D1" s="0" t="inlineStr">
        <is>
          <t>性质</t>
        </is>
      </c>
    </row>
    <row r="2">
      <c r="A2" s="0" t="inlineStr">
        <is>
          <t>K23</t>
        </is>
      </c>
      <c r="B2" s="0" t="n">
        <v>60</v>
      </c>
      <c r="C2" s="0" t="n">
        <v>40</v>
      </c>
      <c r="D2" s="0" t="inlineStr">
        <is>
          <t>新实测实际召回/用户指定系数调整性能；非预测</t>
        </is>
      </c>
    </row>
    <row r="3">
      <c r="A3" s="0" t="inlineStr">
        <is>
          <t>K37</t>
        </is>
      </c>
      <c r="B3" s="0" t="n">
        <v>60</v>
      </c>
      <c r="C3" s="0" t="n">
        <v>40</v>
      </c>
      <c r="D3" s="0" t="inlineStr">
        <is>
          <t>新实测实际召回/用户指定系数调整性能；非预测</t>
        </is>
      </c>
    </row>
    <row r="4">
      <c r="A4" s="0" t="inlineStr">
        <is>
          <t>K51</t>
        </is>
      </c>
      <c r="B4" s="0" t="n">
        <v>60</v>
      </c>
      <c r="C4" s="0" t="n">
        <v>40</v>
      </c>
      <c r="D4" s="0" t="inlineStr">
        <is>
          <t>新实测实际召回/用户指定系数调整性能；非预测</t>
        </is>
      </c>
    </row>
    <row r="5">
      <c r="A5" s="0" t="inlineStr">
        <is>
          <t>K24</t>
        </is>
      </c>
      <c r="B5" s="0" t="n">
        <v>694.3407999999999</v>
      </c>
      <c r="C5" s="0" t="n">
        <v>706.6212</v>
      </c>
      <c r="D5" s="0" t="inlineStr">
        <is>
          <t>新实测实际召回/用户指定系数调整性能；非预测</t>
        </is>
      </c>
    </row>
    <row r="6">
      <c r="A6" s="0" t="inlineStr">
        <is>
          <t>K38</t>
        </is>
      </c>
      <c r="B6" s="0" t="n">
        <v>5.279165375</v>
      </c>
      <c r="C6" s="0" t="n">
        <v>5.53724155</v>
      </c>
      <c r="D6" s="0" t="inlineStr">
        <is>
          <t>新实测实际召回/用户指定系数调整性能；非预测</t>
        </is>
      </c>
    </row>
    <row r="7">
      <c r="A7" s="0" t="inlineStr">
        <is>
          <t>K52</t>
        </is>
      </c>
      <c r="B7" s="0" t="n">
        <v>0.80376432</v>
      </c>
      <c r="C7" s="0" t="n">
        <v>0.8618382</v>
      </c>
      <c r="D7" s="0" t="inlineStr">
        <is>
          <t>新实测实际召回/用户指定系数调整性能；非预测</t>
        </is>
      </c>
    </row>
    <row r="8">
      <c r="A8" s="0" t="inlineStr">
        <is>
          <t>L23</t>
        </is>
      </c>
      <c r="B8" s="0" t="n">
        <v>60</v>
      </c>
      <c r="C8" s="0" t="n">
        <v>45</v>
      </c>
      <c r="D8" s="0" t="inlineStr">
        <is>
          <t>新实测实际召回/用户指定系数调整性能；非预测</t>
        </is>
      </c>
    </row>
    <row r="9">
      <c r="A9" s="0" t="inlineStr">
        <is>
          <t>L37</t>
        </is>
      </c>
      <c r="B9" s="0" t="n">
        <v>60</v>
      </c>
      <c r="C9" s="0" t="n">
        <v>45</v>
      </c>
      <c r="D9" s="0" t="inlineStr">
        <is>
          <t>新实测实际召回/用户指定系数调整性能；非预测</t>
        </is>
      </c>
    </row>
    <row r="10">
      <c r="A10" s="0" t="inlineStr">
        <is>
          <t>L51</t>
        </is>
      </c>
      <c r="B10" s="0" t="n">
        <v>60</v>
      </c>
      <c r="C10" s="0" t="n">
        <v>45</v>
      </c>
      <c r="D10" s="0" t="inlineStr">
        <is>
          <t>新实测实际召回/用户指定系数调整性能；非预测</t>
        </is>
      </c>
    </row>
    <row r="11">
      <c r="A11" s="0" t="inlineStr">
        <is>
          <t>L24</t>
        </is>
      </c>
      <c r="B11" s="0" t="n">
        <v>694.3407999999999</v>
      </c>
      <c r="C11" s="0" t="n">
        <v>1076.7008</v>
      </c>
      <c r="D11" s="0" t="inlineStr">
        <is>
          <t>新实测实际召回/用户指定系数调整性能；非预测</t>
        </is>
      </c>
    </row>
    <row r="12">
      <c r="A12" s="0" t="inlineStr">
        <is>
          <t>L38</t>
        </is>
      </c>
      <c r="B12" s="0" t="n">
        <v>5.279165375</v>
      </c>
      <c r="C12" s="0" t="n">
        <v>8.249527949999999</v>
      </c>
      <c r="D12" s="0" t="inlineStr">
        <is>
          <t>新实测实际召回/用户指定系数调整性能；非预测</t>
        </is>
      </c>
    </row>
    <row r="13">
      <c r="A13" s="0" t="inlineStr">
        <is>
          <t>L52</t>
        </is>
      </c>
      <c r="B13" s="0" t="n">
        <v>0.80376432</v>
      </c>
      <c r="C13" s="0" t="n">
        <v>1.32813552</v>
      </c>
      <c r="D13" s="0" t="inlineStr">
        <is>
          <t>新实测实际召回/用户指定系数调整性能；非预测</t>
        </is>
      </c>
    </row>
    <row r="14">
      <c r="A14" s="0" t="inlineStr">
        <is>
          <t>M23</t>
        </is>
      </c>
      <c r="B14" s="0" t="n">
        <v>60</v>
      </c>
      <c r="C14" s="0" t="n">
        <v>52</v>
      </c>
      <c r="D14" s="0" t="inlineStr">
        <is>
          <t>新实测实际召回/用户指定系数调整性能；非预测</t>
        </is>
      </c>
    </row>
    <row r="15">
      <c r="A15" s="0" t="inlineStr">
        <is>
          <t>M37</t>
        </is>
      </c>
      <c r="B15" s="0" t="n">
        <v>60</v>
      </c>
      <c r="C15" s="0" t="n">
        <v>52</v>
      </c>
      <c r="D15" s="0" t="inlineStr">
        <is>
          <t>新实测实际召回/用户指定系数调整性能；非预测</t>
        </is>
      </c>
    </row>
    <row r="16">
      <c r="A16" s="0" t="inlineStr">
        <is>
          <t>M51</t>
        </is>
      </c>
      <c r="B16" s="0" t="n">
        <v>60</v>
      </c>
      <c r="C16" s="0" t="n">
        <v>52</v>
      </c>
      <c r="D16" s="0" t="inlineStr">
        <is>
          <t>新实测实际召回/用户指定系数调整性能；非预测</t>
        </is>
      </c>
    </row>
    <row r="17">
      <c r="A17" s="0" t="inlineStr">
        <is>
          <t>M24</t>
        </is>
      </c>
      <c r="B17" s="0" t="n">
        <v>694.3407999999999</v>
      </c>
      <c r="C17" s="0" t="n">
        <v>1544.1628</v>
      </c>
      <c r="D17" s="0" t="inlineStr">
        <is>
          <t>新实测实际召回/用户指定系数调整性能；非预测</t>
        </is>
      </c>
    </row>
    <row r="18">
      <c r="A18" s="0" t="inlineStr">
        <is>
          <t>M38</t>
        </is>
      </c>
      <c r="B18" s="0" t="n">
        <v>5.279165375</v>
      </c>
      <c r="C18" s="0" t="n">
        <v>11.72297485</v>
      </c>
      <c r="D18" s="0" t="inlineStr">
        <is>
          <t>新实测实际召回/用户指定系数调整性能；非预测</t>
        </is>
      </c>
    </row>
    <row r="19">
      <c r="A19" s="0" t="inlineStr">
        <is>
          <t>M52</t>
        </is>
      </c>
      <c r="B19" s="0" t="n">
        <v>0.80376432</v>
      </c>
      <c r="C19" s="0" t="n">
        <v>1.95867128</v>
      </c>
      <c r="D19" s="0" t="inlineStr">
        <is>
          <t>新实测实际召回/用户指定系数调整性能；非预测</t>
        </is>
      </c>
    </row>
    <row r="20">
      <c r="A20" s="0" t="inlineStr">
        <is>
          <t>N23</t>
        </is>
      </c>
      <c r="B20" s="0" t="n">
        <v>60</v>
      </c>
      <c r="C20" s="0" t="n">
        <v>55.5</v>
      </c>
      <c r="D20" s="0" t="inlineStr">
        <is>
          <t>新实测实际召回/用户指定系数调整性能；非预测</t>
        </is>
      </c>
    </row>
    <row r="21">
      <c r="A21" s="0" t="inlineStr">
        <is>
          <t>N37</t>
        </is>
      </c>
      <c r="B21" s="0" t="n">
        <v>60</v>
      </c>
      <c r="C21" s="0" t="n">
        <v>55.5</v>
      </c>
      <c r="D21" s="0" t="inlineStr">
        <is>
          <t>新实测实际召回/用户指定系数调整性能；非预测</t>
        </is>
      </c>
    </row>
    <row r="22">
      <c r="A22" s="0" t="inlineStr">
        <is>
          <t>N51</t>
        </is>
      </c>
      <c r="B22" s="0" t="n">
        <v>60</v>
      </c>
      <c r="C22" s="0" t="n">
        <v>55.5</v>
      </c>
      <c r="D22" s="0" t="inlineStr">
        <is>
          <t>新实测实际召回/用户指定系数调整性能；非预测</t>
        </is>
      </c>
    </row>
    <row r="23">
      <c r="A23" s="0" t="inlineStr">
        <is>
          <t>N24</t>
        </is>
      </c>
      <c r="B23" s="0" t="n">
        <v>694.3407999999999</v>
      </c>
      <c r="C23" s="0" t="n">
        <v>2014.6296</v>
      </c>
      <c r="D23" s="0" t="inlineStr">
        <is>
          <t>新实测实际召回/用户指定系数调整性能；非预测</t>
        </is>
      </c>
    </row>
    <row r="24">
      <c r="A24" s="0" t="inlineStr">
        <is>
          <t>N38</t>
        </is>
      </c>
      <c r="B24" s="0" t="n">
        <v>5.279165375</v>
      </c>
      <c r="C24" s="0" t="n">
        <v>15.343371425</v>
      </c>
      <c r="D24" s="0" t="inlineStr">
        <is>
          <t>新实测实际召回/用户指定系数调整性能；非预测</t>
        </is>
      </c>
    </row>
    <row r="25">
      <c r="A25" s="0" t="inlineStr">
        <is>
          <t>N52</t>
        </is>
      </c>
      <c r="B25" s="0" t="n">
        <v>0.80376432</v>
      </c>
      <c r="C25" s="0" t="n">
        <v>2.7296952</v>
      </c>
      <c r="D25" s="0" t="inlineStr">
        <is>
          <t>新实测实际召回/用户指定系数调整性能；非预测</t>
        </is>
      </c>
    </row>
    <row r="26">
      <c r="A26" s="0" t="inlineStr">
        <is>
          <t>F23</t>
        </is>
      </c>
      <c r="B26" s="0" t="n">
        <v>60</v>
      </c>
      <c r="C26" s="0" t="n">
        <v>40</v>
      </c>
      <c r="D26" s="0" t="inlineStr">
        <is>
          <t>新实测实际召回/用户指定系数调整性能；非预测</t>
        </is>
      </c>
    </row>
    <row r="27">
      <c r="A27" s="0" t="inlineStr">
        <is>
          <t>F37</t>
        </is>
      </c>
      <c r="B27" s="0" t="n">
        <v>60</v>
      </c>
      <c r="C27" s="0" t="n">
        <v>40</v>
      </c>
      <c r="D27" s="0" t="inlineStr">
        <is>
          <t>新实测实际召回/用户指定系数调整性能；非预测</t>
        </is>
      </c>
    </row>
    <row r="28">
      <c r="A28" s="0" t="inlineStr">
        <is>
          <t>F51</t>
        </is>
      </c>
      <c r="B28" s="0" t="n">
        <v>60</v>
      </c>
      <c r="C28" s="0" t="n">
        <v>40</v>
      </c>
      <c r="D28" s="0" t="inlineStr">
        <is>
          <t>新实测实际召回/用户指定系数调整性能；非预测</t>
        </is>
      </c>
    </row>
    <row r="29">
      <c r="A29" s="0" t="inlineStr">
        <is>
          <t>F24</t>
        </is>
      </c>
      <c r="B29" s="0" t="n">
        <v>694.3407999999999</v>
      </c>
      <c r="C29" s="0" t="n">
        <v>706.6212</v>
      </c>
      <c r="D29" s="0" t="inlineStr">
        <is>
          <t>新实测实际召回/用户指定系数调整性能；非预测</t>
        </is>
      </c>
    </row>
    <row r="30">
      <c r="A30" s="0" t="inlineStr">
        <is>
          <t>F38</t>
        </is>
      </c>
      <c r="B30" s="0" t="n">
        <v>5.279165375</v>
      </c>
      <c r="C30" s="0" t="n">
        <v>5.53724155</v>
      </c>
      <c r="D30" s="0" t="inlineStr">
        <is>
          <t>新实测实际召回/用户指定系数调整性能；非预测</t>
        </is>
      </c>
    </row>
    <row r="31">
      <c r="A31" s="0" t="inlineStr">
        <is>
          <t>F52</t>
        </is>
      </c>
      <c r="B31" s="0" t="n">
        <v>0.80376432</v>
      </c>
      <c r="C31" s="0" t="n">
        <v>0.8618382</v>
      </c>
      <c r="D31" s="0" t="inlineStr">
        <is>
          <t>新实测实际召回/用户指定系数调整性能；非预测</t>
        </is>
      </c>
    </row>
    <row r="32">
      <c r="A32" s="0" t="inlineStr">
        <is>
          <t>G23</t>
        </is>
      </c>
      <c r="B32" s="0" t="n">
        <v>60</v>
      </c>
      <c r="C32" s="0" t="n">
        <v>40</v>
      </c>
      <c r="D32" s="0" t="inlineStr">
        <is>
          <t>新实测实际召回/用户指定系数调整性能；非预测</t>
        </is>
      </c>
    </row>
    <row r="33">
      <c r="A33" s="0" t="inlineStr">
        <is>
          <t>G37</t>
        </is>
      </c>
      <c r="B33" s="0" t="n">
        <v>60</v>
      </c>
      <c r="C33" s="0" t="n">
        <v>40</v>
      </c>
      <c r="D33" s="0" t="inlineStr">
        <is>
          <t>新实测实际召回/用户指定系数调整性能；非预测</t>
        </is>
      </c>
    </row>
    <row r="34">
      <c r="A34" s="0" t="inlineStr">
        <is>
          <t>G51</t>
        </is>
      </c>
      <c r="B34" s="0" t="n">
        <v>60</v>
      </c>
      <c r="C34" s="0" t="n">
        <v>40</v>
      </c>
      <c r="D34" s="0" t="inlineStr">
        <is>
          <t>新实测实际召回/用户指定系数调整性能；非预测</t>
        </is>
      </c>
    </row>
    <row r="35">
      <c r="A35" s="0" t="inlineStr">
        <is>
          <t>G24</t>
        </is>
      </c>
      <c r="B35" s="0" t="n">
        <v>694.3407999999999</v>
      </c>
      <c r="C35" s="0" t="n">
        <v>706.6212</v>
      </c>
      <c r="D35" s="0" t="inlineStr">
        <is>
          <t>新实测实际召回/用户指定系数调整性能；非预测</t>
        </is>
      </c>
    </row>
    <row r="36">
      <c r="A36" s="0" t="inlineStr">
        <is>
          <t>G38</t>
        </is>
      </c>
      <c r="B36" s="0" t="n">
        <v>5.279165375</v>
      </c>
      <c r="C36" s="0" t="n">
        <v>5.53724155</v>
      </c>
      <c r="D36" s="0" t="inlineStr">
        <is>
          <t>新实测实际召回/用户指定系数调整性能；非预测</t>
        </is>
      </c>
    </row>
    <row r="37">
      <c r="A37" s="0" t="inlineStr">
        <is>
          <t>G52</t>
        </is>
      </c>
      <c r="B37" s="0" t="n">
        <v>0.80376432</v>
      </c>
      <c r="C37" s="0" t="n">
        <v>0.8618382</v>
      </c>
      <c r="D37" s="0" t="inlineStr">
        <is>
          <t>新实测实际召回/用户指定系数调整性能；非预测</t>
        </is>
      </c>
    </row>
    <row r="38">
      <c r="A38" s="0" t="inlineStr">
        <is>
          <t>H23</t>
        </is>
      </c>
      <c r="B38" s="0" t="n">
        <v>60</v>
      </c>
      <c r="C38" s="0" t="n">
        <v>40</v>
      </c>
      <c r="D38" s="0" t="inlineStr">
        <is>
          <t>新实测实际召回/用户指定系数调整性能；非预测</t>
        </is>
      </c>
    </row>
    <row r="39">
      <c r="A39" s="0" t="inlineStr">
        <is>
          <t>H37</t>
        </is>
      </c>
      <c r="B39" s="0" t="n">
        <v>60</v>
      </c>
      <c r="C39" s="0" t="n">
        <v>40</v>
      </c>
      <c r="D39" s="0" t="inlineStr">
        <is>
          <t>新实测实际召回/用户指定系数调整性能；非预测</t>
        </is>
      </c>
    </row>
    <row r="40">
      <c r="A40" s="0" t="inlineStr">
        <is>
          <t>H51</t>
        </is>
      </c>
      <c r="B40" s="0" t="n">
        <v>60</v>
      </c>
      <c r="C40" s="0" t="n">
        <v>40</v>
      </c>
      <c r="D40" s="0" t="inlineStr">
        <is>
          <t>新实测实际召回/用户指定系数调整性能；非预测</t>
        </is>
      </c>
    </row>
    <row r="41">
      <c r="A41" s="0" t="inlineStr">
        <is>
          <t>H24</t>
        </is>
      </c>
      <c r="B41" s="0" t="n">
        <v>694.3407999999999</v>
      </c>
      <c r="C41" s="0" t="n">
        <v>706.6212</v>
      </c>
      <c r="D41" s="0" t="inlineStr">
        <is>
          <t>新实测实际召回/用户指定系数调整性能；非预测</t>
        </is>
      </c>
    </row>
    <row r="42">
      <c r="A42" s="0" t="inlineStr">
        <is>
          <t>H38</t>
        </is>
      </c>
      <c r="B42" s="0" t="n">
        <v>5.279165375</v>
      </c>
      <c r="C42" s="0" t="n">
        <v>5.53724155</v>
      </c>
      <c r="D42" s="0" t="inlineStr">
        <is>
          <t>新实测实际召回/用户指定系数调整性能；非预测</t>
        </is>
      </c>
    </row>
    <row r="43">
      <c r="A43" s="0" t="inlineStr">
        <is>
          <t>H52</t>
        </is>
      </c>
      <c r="B43" s="0" t="n">
        <v>0.80376432</v>
      </c>
      <c r="C43" s="0" t="n">
        <v>0.8618382</v>
      </c>
      <c r="D43" s="0" t="inlineStr">
        <is>
          <t>新实测实际召回/用户指定系数调整性能；非预测</t>
        </is>
      </c>
    </row>
    <row r="44">
      <c r="A44" s="0" t="inlineStr">
        <is>
          <t>I23</t>
        </is>
      </c>
      <c r="B44" s="0" t="n">
        <v>60</v>
      </c>
      <c r="C44" s="0" t="n">
        <v>40</v>
      </c>
      <c r="D44" s="0" t="inlineStr">
        <is>
          <t>新实测实际召回/用户指定系数调整性能；非预测</t>
        </is>
      </c>
    </row>
    <row r="45">
      <c r="A45" s="0" t="inlineStr">
        <is>
          <t>I37</t>
        </is>
      </c>
      <c r="B45" s="0" t="n">
        <v>60</v>
      </c>
      <c r="C45" s="0" t="n">
        <v>40</v>
      </c>
      <c r="D45" s="0" t="inlineStr">
        <is>
          <t>新实测实际召回/用户指定系数调整性能；非预测</t>
        </is>
      </c>
    </row>
    <row r="46">
      <c r="A46" s="0" t="inlineStr">
        <is>
          <t>I51</t>
        </is>
      </c>
      <c r="B46" s="0" t="n">
        <v>60</v>
      </c>
      <c r="C46" s="0" t="n">
        <v>40</v>
      </c>
      <c r="D46" s="0" t="inlineStr">
        <is>
          <t>新实测实际召回/用户指定系数调整性能；非预测</t>
        </is>
      </c>
    </row>
    <row r="47">
      <c r="A47" s="0" t="inlineStr">
        <is>
          <t>I24</t>
        </is>
      </c>
      <c r="B47" s="0" t="n">
        <v>694.3407999999999</v>
      </c>
      <c r="C47" s="0" t="n">
        <v>706.6212</v>
      </c>
      <c r="D47" s="0" t="inlineStr">
        <is>
          <t>新实测实际召回/用户指定系数调整性能；非预测</t>
        </is>
      </c>
    </row>
    <row r="48">
      <c r="A48" s="0" t="inlineStr">
        <is>
          <t>I38</t>
        </is>
      </c>
      <c r="B48" s="0" t="n">
        <v>5.279165375</v>
      </c>
      <c r="C48" s="0" t="n">
        <v>5.53724155</v>
      </c>
      <c r="D48" s="0" t="inlineStr">
        <is>
          <t>新实测实际召回/用户指定系数调整性能；非预测</t>
        </is>
      </c>
    </row>
    <row r="49">
      <c r="A49" s="0" t="inlineStr">
        <is>
          <t>I52</t>
        </is>
      </c>
      <c r="B49" s="0" t="n">
        <v>0.80376432</v>
      </c>
      <c r="C49" s="0" t="n">
        <v>0.8618382</v>
      </c>
      <c r="D49" s="0" t="inlineStr">
        <is>
          <t>新实测实际召回/用户指定系数调整性能；非预测</t>
        </is>
      </c>
    </row>
    <row r="50">
      <c r="A50" s="0" t="inlineStr">
        <is>
          <t>J23</t>
        </is>
      </c>
      <c r="B50" s="0" t="n">
        <v>60</v>
      </c>
      <c r="C50" s="0" t="n">
        <v>40</v>
      </c>
      <c r="D50" s="0" t="inlineStr">
        <is>
          <t>新实测实际召回/用户指定系数调整性能；非预测</t>
        </is>
      </c>
    </row>
    <row r="51">
      <c r="A51" s="0" t="inlineStr">
        <is>
          <t>J37</t>
        </is>
      </c>
      <c r="B51" s="0" t="n">
        <v>60</v>
      </c>
      <c r="C51" s="0" t="n">
        <v>40</v>
      </c>
      <c r="D51" s="0" t="inlineStr">
        <is>
          <t>新实测实际召回/用户指定系数调整性能；非预测</t>
        </is>
      </c>
    </row>
    <row r="52">
      <c r="A52" s="0" t="inlineStr">
        <is>
          <t>J51</t>
        </is>
      </c>
      <c r="B52" s="0" t="n">
        <v>60</v>
      </c>
      <c r="C52" s="0" t="n">
        <v>40</v>
      </c>
      <c r="D52" s="0" t="inlineStr">
        <is>
          <t>新实测实际召回/用户指定系数调整性能；非预测</t>
        </is>
      </c>
    </row>
    <row r="53">
      <c r="A53" s="0" t="inlineStr">
        <is>
          <t>J24</t>
        </is>
      </c>
      <c r="B53" s="0" t="n">
        <v>694.3407999999999</v>
      </c>
      <c r="C53" s="0" t="n">
        <v>706.6212</v>
      </c>
      <c r="D53" s="0" t="inlineStr">
        <is>
          <t>新实测实际召回/用户指定系数调整性能；非预测</t>
        </is>
      </c>
    </row>
    <row r="54">
      <c r="A54" s="0" t="inlineStr">
        <is>
          <t>J38</t>
        </is>
      </c>
      <c r="B54" s="0" t="n">
        <v>5.279165375</v>
      </c>
      <c r="C54" s="0" t="n">
        <v>5.53724155</v>
      </c>
      <c r="D54" s="0" t="inlineStr">
        <is>
          <t>新实测实际召回/用户指定系数调整性能；非预测</t>
        </is>
      </c>
    </row>
    <row r="55">
      <c r="A55" s="0" t="inlineStr">
        <is>
          <t>J52</t>
        </is>
      </c>
      <c r="B55" s="0" t="n">
        <v>0.80376432</v>
      </c>
      <c r="C55" s="0" t="n">
        <v>0.8618382</v>
      </c>
      <c r="D55" s="0" t="inlineStr">
        <is>
          <t>新实测实际召回/用户指定系数调整性能；非预测</t>
        </is>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activeCell="A1" sqref="A1"/>
      <selection pane="bottomLeft" activeCell="A1" sqref="A1"/>
    </sheetView>
  </sheetViews>
  <sheetFormatPr baseColWidth="8" defaultColWidth="9" defaultRowHeight="13.5"/>
  <cols>
    <col width="24" customWidth="1" style="1" min="1" max="1"/>
    <col width="100" customWidth="1" style="1" min="2" max="2"/>
  </cols>
  <sheetData>
    <row r="1">
      <c r="A1" s="2" t="inlineStr">
        <is>
          <t>项目</t>
        </is>
      </c>
      <c r="B1" s="2" t="inlineStr">
        <is>
          <t>说明</t>
        </is>
      </c>
    </row>
    <row r="2">
      <c r="A2" s="3" t="inlineStr">
        <is>
          <t>日期</t>
        </is>
      </c>
      <c r="B2" s="3" t="inlineStr">
        <is>
          <t>2026-10-22</t>
        </is>
      </c>
    </row>
    <row r="3">
      <c r="A3" s="3" t="inlineStr">
        <is>
          <t>范围</t>
        </is>
      </c>
      <c r="B3" s="3" t="inlineStr">
        <is>
          <t>四个数据集×6组 Ours 消融配置，共24组；写入原消融表 Recall@10 列，统一百分比展示。</t>
        </is>
      </c>
    </row>
    <row r="4">
      <c r="A4" s="3" t="inlineStr">
        <is>
          <t>实测口径</t>
        </is>
      </c>
      <c r="B4" s="3" t="inlineStr">
        <is>
          <t>每组20条查询（ID100..119）×3次重复，k=10，单线程。共1440次检索。重复不增加独立查询数量。</t>
        </is>
      </c>
    </row>
    <row r="5">
      <c r="A5" s="3" t="inlineStr">
        <is>
          <t>数据规模</t>
        </is>
      </c>
      <c r="B5" s="3" t="inlineStr">
        <is>
          <t>SIFT1M、DEEP1M、GloVe-100均沿用原消融实验的前1M向量；NYTimes-256为289761向量。</t>
        </is>
      </c>
    </row>
    <row r="6">
      <c r="A6" s="3" t="inlineStr">
        <is>
          <t>真值</t>
        </is>
      </c>
      <c r="B6" s="3" t="inlineStr">
        <is>
          <t>对对应数据规模重新进行精确穷举，计算 top-10 交集；新检索结果与原性能实验答案逐条一致。</t>
        </is>
      </c>
    </row>
    <row r="7">
      <c r="A7" s="3" t="inlineStr">
        <is>
          <t>结果</t>
        </is>
      </c>
      <c r="B7" s="3" t="inlineStr">
        <is>
          <t>新实测均值与旧记录一致；未为了差异修改或预测召回率。</t>
        </is>
      </c>
    </row>
    <row r="8">
      <c r="A8" s="3" t="inlineStr">
        <is>
          <t>性能</t>
        </is>
      </c>
      <c r="B8" s="3" t="inlineStr">
        <is>
          <t>本次为Recall补测；不重新执行证明阶段，不更新原查询/VO/验证性能。</t>
        </is>
      </c>
    </row>
    <row r="9">
      <c r="A9" s="3" t="inlineStr">
        <is>
          <t>外部baseline</t>
        </is>
      </c>
      <c r="B9" s="3" t="inlineStr">
        <is>
          <t>消融表下方外部baseline仅调整Recall显示格式；其值、原来源和原测量/预测状态均保留。</t>
        </is>
      </c>
    </row>
    <row r="10">
      <c r="A10" s="3" t="inlineStr">
        <is>
          <t>配对检查</t>
        </is>
      </c>
      <c r="B10" s="3" t="inlineStr">
        <is>
          <t>1=3、2=4、5=6 的检索结果逐查询核对，共720项通过。</t>
        </is>
      </c>
    </row>
    <row r="11" ht="27" customHeight="1" s="1">
      <c r="A11" s="3" t="inlineStr">
        <is>
          <t>协议</t>
        </is>
      </c>
      <c r="B11" s="3" t="inlineStr">
        <is>
          <t>/mnt/d/paper_source/work_9/VeriANN_repro_2026-09-30/VeriANN_repro_2026-09-30/experiments/work9-ablation-recall-20261022/protocol.json</t>
        </is>
      </c>
    </row>
    <row r="12" ht="27" customHeight="1" s="1">
      <c r="A12" s="3" t="inlineStr">
        <is>
          <t>原表备份</t>
        </is>
      </c>
      <c r="B12" s="3" t="inlineStr">
        <is>
          <t>/mnt/d/paper_source/work_9/VeriANN_repro_2026-09-30/VeriANN_repro_2026-09-30/experiments/work9-ablation-recall-20261022/work9_before_ablation_recall.xlsx</t>
        </is>
      </c>
    </row>
  </sheetData>
  <autoFilter ref="A1:B12"/>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N25"/>
  <sheetViews>
    <sheetView workbookViewId="0">
      <pane ySplit="1" topLeftCell="A2" activePane="bottomLeft" state="frozen"/>
      <selection activeCell="A1" sqref="A1"/>
      <selection pane="bottomLeft" activeCell="A1" sqref="A1"/>
    </sheetView>
  </sheetViews>
  <sheetFormatPr baseColWidth="8" defaultColWidth="9" defaultRowHeight="13.5"/>
  <cols>
    <col width="24" customWidth="1" style="1" min="1" max="14"/>
  </cols>
  <sheetData>
    <row r="1">
      <c r="A1" s="2" t="inlineStr">
        <is>
          <t>数据集</t>
        </is>
      </c>
      <c r="B1" s="2" t="inlineStr">
        <is>
          <t>配置编号</t>
        </is>
      </c>
      <c r="C1" s="2" t="inlineStr">
        <is>
          <t>配置</t>
        </is>
      </c>
      <c r="D1" s="2" t="inlineStr">
        <is>
          <t>N</t>
        </is>
      </c>
      <c r="E1" s="2" t="inlineStr">
        <is>
          <t>D</t>
        </is>
      </c>
      <c r="F1" s="2" t="inlineStr">
        <is>
          <t>搜索参数</t>
        </is>
      </c>
      <c r="G1" s="2" t="inlineStr">
        <is>
          <t>Recall@10</t>
        </is>
      </c>
      <c r="H1" s="2" t="inlineStr">
        <is>
          <t>命中总数</t>
        </is>
      </c>
      <c r="I1" s="2" t="inlineStr">
        <is>
          <t>查询次数</t>
        </is>
      </c>
      <c r="J1" s="2" t="inlineStr">
        <is>
          <t>独立查询数</t>
        </is>
      </c>
      <c r="K1" s="2" t="inlineStr">
        <is>
          <t>原表单元格</t>
        </is>
      </c>
      <c r="L1" s="2" t="inlineStr">
        <is>
          <t>实测CSV</t>
        </is>
      </c>
      <c r="M1" s="2" t="inlineStr">
        <is>
          <t>SHA256</t>
        </is>
      </c>
      <c r="N1" s="2" t="inlineStr">
        <is>
          <t>原性能CSV</t>
        </is>
      </c>
    </row>
    <row r="2" ht="121.5" customHeight="1" s="1">
      <c r="A2" s="3" t="inlineStr">
        <is>
          <t>SIFT1M</t>
        </is>
      </c>
      <c r="B2" s="3" t="n">
        <v>1</v>
      </c>
      <c r="C2" s="3" t="inlineStr">
        <is>
          <t>Merkle+IVF</t>
        </is>
      </c>
      <c r="D2" s="3" t="n">
        <v>1000000</v>
      </c>
      <c r="E2" s="3" t="n">
        <v>128</v>
      </c>
      <c r="F2" s="3" t="n">
        <v>9</v>
      </c>
      <c r="G2" s="125" t="n">
        <v>0.95</v>
      </c>
      <c r="H2" s="3" t="n">
        <v>570</v>
      </c>
      <c r="I2" s="3" t="n">
        <v>60</v>
      </c>
      <c r="J2" s="3" t="n">
        <v>20</v>
      </c>
      <c r="K2" s="3" t="inlineStr">
        <is>
          <t>F142</t>
        </is>
      </c>
      <c r="L2" s="3" t="inlineStr">
        <is>
          <t>/mnt/d/paper_source/work_9/VeriANN_repro_2026-09-30/VeriANN_repro_2026-09-30/results/work9-ablation-recall-20261022/sift1m/recall.csv</t>
        </is>
      </c>
      <c r="M2" s="3" t="inlineStr">
        <is>
          <t>572af9189f6b5346d2a19cc590ca83187fcfb7e7b9cad1fe1880566041a63ca3</t>
        </is>
      </c>
      <c r="N2" s="3" t="inlineStr">
        <is>
          <t>/mnt/d/paper_source/work_9/VeriANN_repro_2026-09-30/VeriANN_repro_2026-09-30/results/work9-ablation-20261015/sift1m/formal-1-3/variant-1/per_query.csv</t>
        </is>
      </c>
    </row>
    <row r="3" ht="121.5" customHeight="1" s="1">
      <c r="A3" s="3" t="inlineStr">
        <is>
          <t>SIFT1M</t>
        </is>
      </c>
      <c r="B3" s="3" t="n">
        <v>2</v>
      </c>
      <c r="C3" s="3" t="inlineStr">
        <is>
          <t>Merkle+HNSW</t>
        </is>
      </c>
      <c r="D3" s="3" t="n">
        <v>1000000</v>
      </c>
      <c r="E3" s="3" t="n">
        <v>128</v>
      </c>
      <c r="F3" s="3" t="n">
        <v>32</v>
      </c>
      <c r="G3" s="125" t="n">
        <v>0.95</v>
      </c>
      <c r="H3" s="3" t="n">
        <v>570</v>
      </c>
      <c r="I3" s="3" t="n">
        <v>60</v>
      </c>
      <c r="J3" s="3" t="n">
        <v>20</v>
      </c>
      <c r="K3" s="3" t="inlineStr">
        <is>
          <t>F143</t>
        </is>
      </c>
      <c r="L3" s="3" t="inlineStr">
        <is>
          <t>/mnt/d/paper_source/work_9/VeriANN_repro_2026-09-30/VeriANN_repro_2026-09-30/results/work9-ablation-recall-20261022/sift1m/recall.csv</t>
        </is>
      </c>
      <c r="M3" s="3" t="inlineStr">
        <is>
          <t>572af9189f6b5346d2a19cc590ca83187fcfb7e7b9cad1fe1880566041a63ca3</t>
        </is>
      </c>
      <c r="N3" s="3" t="inlineStr">
        <is>
          <t>/mnt/d/paper_source/work_9/VeriANN_repro_2026-09-30/VeriANN_repro_2026-09-30/results/work9-ablation-20261015/sift1m/formal-2-4/variant-2/per_query.csv</t>
        </is>
      </c>
    </row>
    <row r="4" ht="121.5" customHeight="1" s="1">
      <c r="A4" s="3" t="inlineStr">
        <is>
          <t>SIFT1M</t>
        </is>
      </c>
      <c r="B4" s="3" t="n">
        <v>3</v>
      </c>
      <c r="C4" s="3" t="inlineStr">
        <is>
          <t>Merkle+IVF+(i)</t>
        </is>
      </c>
      <c r="D4" s="3" t="n">
        <v>1000000</v>
      </c>
      <c r="E4" s="3" t="n">
        <v>128</v>
      </c>
      <c r="F4" s="3" t="n">
        <v>9</v>
      </c>
      <c r="G4" s="125" t="n">
        <v>0.95</v>
      </c>
      <c r="H4" s="3" t="n">
        <v>570</v>
      </c>
      <c r="I4" s="3" t="n">
        <v>60</v>
      </c>
      <c r="J4" s="3" t="n">
        <v>20</v>
      </c>
      <c r="K4" s="3" t="inlineStr">
        <is>
          <t>F144</t>
        </is>
      </c>
      <c r="L4" s="3" t="inlineStr">
        <is>
          <t>/mnt/d/paper_source/work_9/VeriANN_repro_2026-09-30/VeriANN_repro_2026-09-30/results/work9-ablation-recall-20261022/sift1m/recall.csv</t>
        </is>
      </c>
      <c r="M4" s="3" t="inlineStr">
        <is>
          <t>572af9189f6b5346d2a19cc590ca83187fcfb7e7b9cad1fe1880566041a63ca3</t>
        </is>
      </c>
      <c r="N4" s="3" t="inlineStr">
        <is>
          <t>/mnt/d/paper_source/work_9/VeriANN_repro_2026-09-30/VeriANN_repro_2026-09-30/results/work9-ablation-20261015/sift1m/formal-1-3/variant-3/per_query.csv</t>
        </is>
      </c>
    </row>
    <row r="5" ht="121.5" customHeight="1" s="1">
      <c r="A5" s="3" t="inlineStr">
        <is>
          <t>SIFT1M</t>
        </is>
      </c>
      <c r="B5" s="3" t="n">
        <v>4</v>
      </c>
      <c r="C5" s="3" t="inlineStr">
        <is>
          <t>Merkle+HNSW+(i)</t>
        </is>
      </c>
      <c r="D5" s="3" t="n">
        <v>1000000</v>
      </c>
      <c r="E5" s="3" t="n">
        <v>128</v>
      </c>
      <c r="F5" s="3" t="n">
        <v>32</v>
      </c>
      <c r="G5" s="125" t="n">
        <v>0.95</v>
      </c>
      <c r="H5" s="3" t="n">
        <v>570</v>
      </c>
      <c r="I5" s="3" t="n">
        <v>60</v>
      </c>
      <c r="J5" s="3" t="n">
        <v>20</v>
      </c>
      <c r="K5" s="3" t="inlineStr">
        <is>
          <t>F145</t>
        </is>
      </c>
      <c r="L5" s="3" t="inlineStr">
        <is>
          <t>/mnt/d/paper_source/work_9/VeriANN_repro_2026-09-30/VeriANN_repro_2026-09-30/results/work9-ablation-recall-20261022/sift1m/recall.csv</t>
        </is>
      </c>
      <c r="M5" s="3" t="inlineStr">
        <is>
          <t>572af9189f6b5346d2a19cc590ca83187fcfb7e7b9cad1fe1880566041a63ca3</t>
        </is>
      </c>
      <c r="N5" s="3" t="inlineStr">
        <is>
          <t>/mnt/d/paper_source/work_9/VeriANN_repro_2026-09-30/VeriANN_repro_2026-09-30/results/work9-ablation-20261015/sift1m/formal-2-4/variant-4/per_query.csv</t>
        </is>
      </c>
    </row>
    <row r="6" ht="121.5" customHeight="1" s="1">
      <c r="A6" s="3" t="inlineStr">
        <is>
          <t>SIFT1M</t>
        </is>
      </c>
      <c r="B6" s="3" t="n">
        <v>5</v>
      </c>
      <c r="C6" s="3" t="inlineStr">
        <is>
          <t>(i)+(ii)</t>
        </is>
      </c>
      <c r="D6" s="3" t="n">
        <v>1000000</v>
      </c>
      <c r="E6" s="3" t="n">
        <v>128</v>
      </c>
      <c r="F6" s="3" t="n">
        <v>34</v>
      </c>
      <c r="G6" s="125" t="n">
        <v>0.955</v>
      </c>
      <c r="H6" s="3" t="n">
        <v>573</v>
      </c>
      <c r="I6" s="3" t="n">
        <v>60</v>
      </c>
      <c r="J6" s="3" t="n">
        <v>20</v>
      </c>
      <c r="K6" s="3" t="inlineStr">
        <is>
          <t>F146</t>
        </is>
      </c>
      <c r="L6" s="3" t="inlineStr">
        <is>
          <t>/mnt/d/paper_source/work_9/VeriANN_repro_2026-09-30/VeriANN_repro_2026-09-30/results/work9-ablation-recall-20261022/sift1m/recall.csv</t>
        </is>
      </c>
      <c r="M6" s="3" t="inlineStr">
        <is>
          <t>572af9189f6b5346d2a19cc590ca83187fcfb7e7b9cad1fe1880566041a63ca3</t>
        </is>
      </c>
      <c r="N6" s="3" t="inlineStr">
        <is>
          <t>/mnt/d/paper_source/work_9/VeriANN_repro_2026-09-30/VeriANN_repro_2026-09-30/results/work9-ablation-20261015/sift1m/formal-5-6/variant-5/per_query.csv</t>
        </is>
      </c>
    </row>
    <row r="7" ht="121.5" customHeight="1" s="1">
      <c r="A7" s="3" t="inlineStr">
        <is>
          <t>SIFT1M</t>
        </is>
      </c>
      <c r="B7" s="3" t="n">
        <v>6</v>
      </c>
      <c r="C7" s="3" t="inlineStr">
        <is>
          <t>(i)+(ii)+(iii)</t>
        </is>
      </c>
      <c r="D7" s="3" t="n">
        <v>1000000</v>
      </c>
      <c r="E7" s="3" t="n">
        <v>128</v>
      </c>
      <c r="F7" s="3" t="n">
        <v>34</v>
      </c>
      <c r="G7" s="125" t="n">
        <v>0.955</v>
      </c>
      <c r="H7" s="3" t="n">
        <v>573</v>
      </c>
      <c r="I7" s="3" t="n">
        <v>60</v>
      </c>
      <c r="J7" s="3" t="n">
        <v>20</v>
      </c>
      <c r="K7" s="3" t="inlineStr">
        <is>
          <t>F147</t>
        </is>
      </c>
      <c r="L7" s="3" t="inlineStr">
        <is>
          <t>/mnt/d/paper_source/work_9/VeriANN_repro_2026-09-30/VeriANN_repro_2026-09-30/results/work9-ablation-recall-20261022/sift1m/recall.csv</t>
        </is>
      </c>
      <c r="M7" s="3" t="inlineStr">
        <is>
          <t>572af9189f6b5346d2a19cc590ca83187fcfb7e7b9cad1fe1880566041a63ca3</t>
        </is>
      </c>
      <c r="N7" s="3" t="inlineStr">
        <is>
          <t>/mnt/d/paper_source/work_9/VeriANN_repro_2026-09-30/VeriANN_repro_2026-09-30/results/work9-ablation-20261015/sift1m/formal-5-6/variant-6/per_query.csv</t>
        </is>
      </c>
    </row>
    <row r="8" ht="135" customHeight="1" s="1">
      <c r="A8" s="3" t="inlineStr">
        <is>
          <t>NYTimes-256</t>
        </is>
      </c>
      <c r="B8" s="3" t="n">
        <v>1</v>
      </c>
      <c r="C8" s="3" t="inlineStr">
        <is>
          <t>Merkle+IVF</t>
        </is>
      </c>
      <c r="D8" s="3" t="n">
        <v>289761</v>
      </c>
      <c r="E8" s="3" t="n">
        <v>256</v>
      </c>
      <c r="F8" s="3" t="n">
        <v>112</v>
      </c>
      <c r="G8" s="125" t="n">
        <v>0.96</v>
      </c>
      <c r="H8" s="3" t="n">
        <v>576</v>
      </c>
      <c r="I8" s="3" t="n">
        <v>60</v>
      </c>
      <c r="J8" s="3" t="n">
        <v>20</v>
      </c>
      <c r="K8" s="3" t="inlineStr">
        <is>
          <t>F141</t>
        </is>
      </c>
      <c r="L8" s="3" t="inlineStr">
        <is>
          <t>/mnt/d/paper_source/work_9/VeriANN_repro_2026-09-30/VeriANN_repro_2026-09-30/results/work9-ablation-recall-20261022/nytimes256/recall.csv</t>
        </is>
      </c>
      <c r="M8" s="3" t="inlineStr">
        <is>
          <t>8fef94ee542b3fc56a35e744d7b0cc06c7da9ba5cfd88513a759b33382e50475</t>
        </is>
      </c>
      <c r="N8" s="3" t="inlineStr">
        <is>
          <t>/mnt/d/paper_source/work_9/VeriANN_repro_2026-09-30/VeriANN_repro_2026-09-30/results/work9-nytimes-20261017/controlled-ablation/nytimes256/evaluation-1-3/variant-1/per_query.csv</t>
        </is>
      </c>
    </row>
    <row r="9" ht="135" customHeight="1" s="1">
      <c r="A9" s="3" t="inlineStr">
        <is>
          <t>NYTimes-256</t>
        </is>
      </c>
      <c r="B9" s="3" t="n">
        <v>2</v>
      </c>
      <c r="C9" s="3" t="inlineStr">
        <is>
          <t>Merkle+HNSW</t>
        </is>
      </c>
      <c r="D9" s="3" t="n">
        <v>289761</v>
      </c>
      <c r="E9" s="3" t="n">
        <v>256</v>
      </c>
      <c r="F9" s="3" t="n">
        <v>384</v>
      </c>
      <c r="G9" s="125" t="n">
        <v>0.96</v>
      </c>
      <c r="H9" s="3" t="n">
        <v>576</v>
      </c>
      <c r="I9" s="3" t="n">
        <v>60</v>
      </c>
      <c r="J9" s="3" t="n">
        <v>20</v>
      </c>
      <c r="K9" s="3" t="inlineStr">
        <is>
          <t>F142</t>
        </is>
      </c>
      <c r="L9" s="3" t="inlineStr">
        <is>
          <t>/mnt/d/paper_source/work_9/VeriANN_repro_2026-09-30/VeriANN_repro_2026-09-30/results/work9-ablation-recall-20261022/nytimes256/recall.csv</t>
        </is>
      </c>
      <c r="M9" s="3" t="inlineStr">
        <is>
          <t>8fef94ee542b3fc56a35e744d7b0cc06c7da9ba5cfd88513a759b33382e50475</t>
        </is>
      </c>
      <c r="N9" s="3" t="inlineStr">
        <is>
          <t>/mnt/d/paper_source/work_9/VeriANN_repro_2026-09-30/VeriANN_repro_2026-09-30/results/work9-nytimes-20261017/controlled-ablation/nytimes256/evaluation-2-4/variant-2/per_query.csv</t>
        </is>
      </c>
    </row>
    <row r="10" ht="135" customHeight="1" s="1">
      <c r="A10" s="3" t="inlineStr">
        <is>
          <t>NYTimes-256</t>
        </is>
      </c>
      <c r="B10" s="3" t="n">
        <v>3</v>
      </c>
      <c r="C10" s="3" t="inlineStr">
        <is>
          <t>Merkle+IVF+(i)</t>
        </is>
      </c>
      <c r="D10" s="3" t="n">
        <v>289761</v>
      </c>
      <c r="E10" s="3" t="n">
        <v>256</v>
      </c>
      <c r="F10" s="3" t="n">
        <v>112</v>
      </c>
      <c r="G10" s="125" t="n">
        <v>0.96</v>
      </c>
      <c r="H10" s="3" t="n">
        <v>576</v>
      </c>
      <c r="I10" s="3" t="n">
        <v>60</v>
      </c>
      <c r="J10" s="3" t="n">
        <v>20</v>
      </c>
      <c r="K10" s="3" t="inlineStr">
        <is>
          <t>F143</t>
        </is>
      </c>
      <c r="L10" s="3" t="inlineStr">
        <is>
          <t>/mnt/d/paper_source/work_9/VeriANN_repro_2026-09-30/VeriANN_repro_2026-09-30/results/work9-ablation-recall-20261022/nytimes256/recall.csv</t>
        </is>
      </c>
      <c r="M10" s="3" t="inlineStr">
        <is>
          <t>8fef94ee542b3fc56a35e744d7b0cc06c7da9ba5cfd88513a759b33382e50475</t>
        </is>
      </c>
      <c r="N10" s="3" t="inlineStr">
        <is>
          <t>/mnt/d/paper_source/work_9/VeriANN_repro_2026-09-30/VeriANN_repro_2026-09-30/results/work9-nytimes-20261017/controlled-ablation/nytimes256/evaluation-1-3/variant-3/per_query.csv</t>
        </is>
      </c>
    </row>
    <row r="11" ht="135" customHeight="1" s="1">
      <c r="A11" s="3" t="inlineStr">
        <is>
          <t>NYTimes-256</t>
        </is>
      </c>
      <c r="B11" s="3" t="n">
        <v>4</v>
      </c>
      <c r="C11" s="3" t="inlineStr">
        <is>
          <t>Merkle+HNSW+(i)</t>
        </is>
      </c>
      <c r="D11" s="3" t="n">
        <v>289761</v>
      </c>
      <c r="E11" s="3" t="n">
        <v>256</v>
      </c>
      <c r="F11" s="3" t="n">
        <v>384</v>
      </c>
      <c r="G11" s="125" t="n">
        <v>0.96</v>
      </c>
      <c r="H11" s="3" t="n">
        <v>576</v>
      </c>
      <c r="I11" s="3" t="n">
        <v>60</v>
      </c>
      <c r="J11" s="3" t="n">
        <v>20</v>
      </c>
      <c r="K11" s="3" t="inlineStr">
        <is>
          <t>F144</t>
        </is>
      </c>
      <c r="L11" s="3" t="inlineStr">
        <is>
          <t>/mnt/d/paper_source/work_9/VeriANN_repro_2026-09-30/VeriANN_repro_2026-09-30/results/work9-ablation-recall-20261022/nytimes256/recall.csv</t>
        </is>
      </c>
      <c r="M11" s="3" t="inlineStr">
        <is>
          <t>8fef94ee542b3fc56a35e744d7b0cc06c7da9ba5cfd88513a759b33382e50475</t>
        </is>
      </c>
      <c r="N11" s="3" t="inlineStr">
        <is>
          <t>/mnt/d/paper_source/work_9/VeriANN_repro_2026-09-30/VeriANN_repro_2026-09-30/results/work9-nytimes-20261017/controlled-ablation/nytimes256/evaluation-2-4/variant-4/per_query.csv</t>
        </is>
      </c>
    </row>
    <row r="12" ht="135" customHeight="1" s="1">
      <c r="A12" s="3" t="inlineStr">
        <is>
          <t>NYTimes-256</t>
        </is>
      </c>
      <c r="B12" s="3" t="n">
        <v>5</v>
      </c>
      <c r="C12" s="3" t="inlineStr">
        <is>
          <t>(i)+(ii)</t>
        </is>
      </c>
      <c r="D12" s="3" t="n">
        <v>289761</v>
      </c>
      <c r="E12" s="3" t="n">
        <v>256</v>
      </c>
      <c r="F12" s="3" t="n">
        <v>256</v>
      </c>
      <c r="G12" s="125" t="n">
        <v>0.955</v>
      </c>
      <c r="H12" s="3" t="n">
        <v>573</v>
      </c>
      <c r="I12" s="3" t="n">
        <v>60</v>
      </c>
      <c r="J12" s="3" t="n">
        <v>20</v>
      </c>
      <c r="K12" s="3" t="inlineStr">
        <is>
          <t>F145</t>
        </is>
      </c>
      <c r="L12" s="3" t="inlineStr">
        <is>
          <t>/mnt/d/paper_source/work_9/VeriANN_repro_2026-09-30/VeriANN_repro_2026-09-30/results/work9-ablation-recall-20261022/nytimes256/recall.csv</t>
        </is>
      </c>
      <c r="M12" s="3" t="inlineStr">
        <is>
          <t>8fef94ee542b3fc56a35e744d7b0cc06c7da9ba5cfd88513a759b33382e50475</t>
        </is>
      </c>
      <c r="N12" s="3" t="inlineStr">
        <is>
          <t>/mnt/d/paper_source/work_9/VeriANN_repro_2026-09-30/VeriANN_repro_2026-09-30/results/work9-nytimes-20261017/controlled-ablation/nytimes256/evaluation-5-6/variant-5/per_query.csv</t>
        </is>
      </c>
    </row>
    <row r="13" ht="135" customHeight="1" s="1">
      <c r="A13" s="3" t="inlineStr">
        <is>
          <t>NYTimes-256</t>
        </is>
      </c>
      <c r="B13" s="3" t="n">
        <v>6</v>
      </c>
      <c r="C13" s="3" t="inlineStr">
        <is>
          <t>(i)+(ii)+(iii)</t>
        </is>
      </c>
      <c r="D13" s="3" t="n">
        <v>289761</v>
      </c>
      <c r="E13" s="3" t="n">
        <v>256</v>
      </c>
      <c r="F13" s="3" t="n">
        <v>256</v>
      </c>
      <c r="G13" s="125" t="n">
        <v>0.955</v>
      </c>
      <c r="H13" s="3" t="n">
        <v>573</v>
      </c>
      <c r="I13" s="3" t="n">
        <v>60</v>
      </c>
      <c r="J13" s="3" t="n">
        <v>20</v>
      </c>
      <c r="K13" s="3" t="inlineStr">
        <is>
          <t>F146</t>
        </is>
      </c>
      <c r="L13" s="3" t="inlineStr">
        <is>
          <t>/mnt/d/paper_source/work_9/VeriANN_repro_2026-09-30/VeriANN_repro_2026-09-30/results/work9-ablation-recall-20261022/nytimes256/recall.csv</t>
        </is>
      </c>
      <c r="M13" s="3" t="inlineStr">
        <is>
          <t>8fef94ee542b3fc56a35e744d7b0cc06c7da9ba5cfd88513a759b33382e50475</t>
        </is>
      </c>
      <c r="N13" s="3" t="inlineStr">
        <is>
          <t>/mnt/d/paper_source/work_9/VeriANN_repro_2026-09-30/VeriANN_repro_2026-09-30/results/work9-nytimes-20261017/controlled-ablation/nytimes256/evaluation-5-6/variant-6/per_query.csv</t>
        </is>
      </c>
    </row>
    <row r="14" ht="121.5" customHeight="1" s="1">
      <c r="A14" s="3" t="inlineStr">
        <is>
          <t>GloVe-100</t>
        </is>
      </c>
      <c r="B14" s="3" t="n">
        <v>1</v>
      </c>
      <c r="C14" s="3" t="inlineStr">
        <is>
          <t>Merkle+IVF</t>
        </is>
      </c>
      <c r="D14" s="3" t="n">
        <v>1000000</v>
      </c>
      <c r="E14" s="3" t="n">
        <v>100</v>
      </c>
      <c r="F14" s="3" t="n">
        <v>64</v>
      </c>
      <c r="G14" s="125" t="n">
        <v>0.96</v>
      </c>
      <c r="H14" s="3" t="n">
        <v>576</v>
      </c>
      <c r="I14" s="3" t="n">
        <v>60</v>
      </c>
      <c r="J14" s="3" t="n">
        <v>20</v>
      </c>
      <c r="K14" s="3" t="inlineStr">
        <is>
          <t>F141</t>
        </is>
      </c>
      <c r="L14" s="3" t="inlineStr">
        <is>
          <t>/mnt/d/paper_source/work_9/VeriANN_repro_2026-09-30/VeriANN_repro_2026-09-30/results/work9-ablation-recall-20261022/glove100/recall.csv</t>
        </is>
      </c>
      <c r="M14" s="3" t="inlineStr">
        <is>
          <t>995fe60082644aa3cdf4696acbe39a25c239970f1d698e3a84a07e37cb88ed2e</t>
        </is>
      </c>
      <c r="N14" s="3" t="inlineStr">
        <is>
          <t>/mnt/d/paper_source/work_9/VeriANN_repro_2026-09-30/VeriANN_repro_2026-09-30/results/work9-ablation-20261015/glove100/formal-1-3/variant-1/per_query.csv</t>
        </is>
      </c>
    </row>
    <row r="15" ht="121.5" customHeight="1" s="1">
      <c r="A15" s="3" t="inlineStr">
        <is>
          <t>GloVe-100</t>
        </is>
      </c>
      <c r="B15" s="3" t="n">
        <v>2</v>
      </c>
      <c r="C15" s="3" t="inlineStr">
        <is>
          <t>Merkle+HNSW</t>
        </is>
      </c>
      <c r="D15" s="3" t="n">
        <v>1000000</v>
      </c>
      <c r="E15" s="3" t="n">
        <v>100</v>
      </c>
      <c r="F15" s="3" t="n">
        <v>1024</v>
      </c>
      <c r="G15" s="125" t="n">
        <v>0.95</v>
      </c>
      <c r="H15" s="3" t="n">
        <v>570</v>
      </c>
      <c r="I15" s="3" t="n">
        <v>60</v>
      </c>
      <c r="J15" s="3" t="n">
        <v>20</v>
      </c>
      <c r="K15" s="3" t="inlineStr">
        <is>
          <t>F142</t>
        </is>
      </c>
      <c r="L15" s="3" t="inlineStr">
        <is>
          <t>/mnt/d/paper_source/work_9/VeriANN_repro_2026-09-30/VeriANN_repro_2026-09-30/results/work9-ablation-recall-20261022/glove100/recall.csv</t>
        </is>
      </c>
      <c r="M15" s="3" t="inlineStr">
        <is>
          <t>995fe60082644aa3cdf4696acbe39a25c239970f1d698e3a84a07e37cb88ed2e</t>
        </is>
      </c>
      <c r="N15" s="3" t="inlineStr">
        <is>
          <t>/mnt/d/paper_source/work_9/VeriANN_repro_2026-09-30/VeriANN_repro_2026-09-30/results/work9-ablation-20261015/glove100/formal-2-4/variant-2/per_query.csv</t>
        </is>
      </c>
    </row>
    <row r="16" ht="121.5" customHeight="1" s="1">
      <c r="A16" s="3" t="inlineStr">
        <is>
          <t>GloVe-100</t>
        </is>
      </c>
      <c r="B16" s="3" t="n">
        <v>3</v>
      </c>
      <c r="C16" s="3" t="inlineStr">
        <is>
          <t>Merkle+IVF+(i)</t>
        </is>
      </c>
      <c r="D16" s="3" t="n">
        <v>1000000</v>
      </c>
      <c r="E16" s="3" t="n">
        <v>100</v>
      </c>
      <c r="F16" s="3" t="n">
        <v>64</v>
      </c>
      <c r="G16" s="125" t="n">
        <v>0.96</v>
      </c>
      <c r="H16" s="3" t="n">
        <v>576</v>
      </c>
      <c r="I16" s="3" t="n">
        <v>60</v>
      </c>
      <c r="J16" s="3" t="n">
        <v>20</v>
      </c>
      <c r="K16" s="3" t="inlineStr">
        <is>
          <t>F143</t>
        </is>
      </c>
      <c r="L16" s="3" t="inlineStr">
        <is>
          <t>/mnt/d/paper_source/work_9/VeriANN_repro_2026-09-30/VeriANN_repro_2026-09-30/results/work9-ablation-recall-20261022/glove100/recall.csv</t>
        </is>
      </c>
      <c r="M16" s="3" t="inlineStr">
        <is>
          <t>995fe60082644aa3cdf4696acbe39a25c239970f1d698e3a84a07e37cb88ed2e</t>
        </is>
      </c>
      <c r="N16" s="3" t="inlineStr">
        <is>
          <t>/mnt/d/paper_source/work_9/VeriANN_repro_2026-09-30/VeriANN_repro_2026-09-30/results/work9-ablation-20261015/glove100/formal-1-3/variant-3/per_query.csv</t>
        </is>
      </c>
    </row>
    <row r="17" ht="121.5" customHeight="1" s="1">
      <c r="A17" s="3" t="inlineStr">
        <is>
          <t>GloVe-100</t>
        </is>
      </c>
      <c r="B17" s="3" t="n">
        <v>4</v>
      </c>
      <c r="C17" s="3" t="inlineStr">
        <is>
          <t>Merkle+HNSW+(i)</t>
        </is>
      </c>
      <c r="D17" s="3" t="n">
        <v>1000000</v>
      </c>
      <c r="E17" s="3" t="n">
        <v>100</v>
      </c>
      <c r="F17" s="3" t="n">
        <v>1024</v>
      </c>
      <c r="G17" s="125" t="n">
        <v>0.95</v>
      </c>
      <c r="H17" s="3" t="n">
        <v>570</v>
      </c>
      <c r="I17" s="3" t="n">
        <v>60</v>
      </c>
      <c r="J17" s="3" t="n">
        <v>20</v>
      </c>
      <c r="K17" s="3" t="inlineStr">
        <is>
          <t>F144</t>
        </is>
      </c>
      <c r="L17" s="3" t="inlineStr">
        <is>
          <t>/mnt/d/paper_source/work_9/VeriANN_repro_2026-09-30/VeriANN_repro_2026-09-30/results/work9-ablation-recall-20261022/glove100/recall.csv</t>
        </is>
      </c>
      <c r="M17" s="3" t="inlineStr">
        <is>
          <t>995fe60082644aa3cdf4696acbe39a25c239970f1d698e3a84a07e37cb88ed2e</t>
        </is>
      </c>
      <c r="N17" s="3" t="inlineStr">
        <is>
          <t>/mnt/d/paper_source/work_9/VeriANN_repro_2026-09-30/VeriANN_repro_2026-09-30/results/work9-ablation-20261015/glove100/formal-2-4/variant-4/per_query.csv</t>
        </is>
      </c>
    </row>
    <row r="18" ht="121.5" customHeight="1" s="1">
      <c r="A18" s="3" t="inlineStr">
        <is>
          <t>GloVe-100</t>
        </is>
      </c>
      <c r="B18" s="3" t="n">
        <v>5</v>
      </c>
      <c r="C18" s="3" t="inlineStr">
        <is>
          <t>(i)+(ii)</t>
        </is>
      </c>
      <c r="D18" s="3" t="n">
        <v>1000000</v>
      </c>
      <c r="E18" s="3" t="n">
        <v>100</v>
      </c>
      <c r="F18" s="3" t="n">
        <v>1024</v>
      </c>
      <c r="G18" s="125" t="n">
        <v>0.96</v>
      </c>
      <c r="H18" s="3" t="n">
        <v>576</v>
      </c>
      <c r="I18" s="3" t="n">
        <v>60</v>
      </c>
      <c r="J18" s="3" t="n">
        <v>20</v>
      </c>
      <c r="K18" s="3" t="inlineStr">
        <is>
          <t>F145</t>
        </is>
      </c>
      <c r="L18" s="3" t="inlineStr">
        <is>
          <t>/mnt/d/paper_source/work_9/VeriANN_repro_2026-09-30/VeriANN_repro_2026-09-30/results/work9-ablation-recall-20261022/glove100/recall.csv</t>
        </is>
      </c>
      <c r="M18" s="3" t="inlineStr">
        <is>
          <t>995fe60082644aa3cdf4696acbe39a25c239970f1d698e3a84a07e37cb88ed2e</t>
        </is>
      </c>
      <c r="N18" s="3" t="inlineStr">
        <is>
          <t>/mnt/d/paper_source/work_9/VeriANN_repro_2026-09-30/VeriANN_repro_2026-09-30/results/work9-ablation-20261015/glove100/formal-5-6/variant-5/per_query.csv</t>
        </is>
      </c>
    </row>
    <row r="19" ht="121.5" customHeight="1" s="1">
      <c r="A19" s="3" t="inlineStr">
        <is>
          <t>GloVe-100</t>
        </is>
      </c>
      <c r="B19" s="3" t="n">
        <v>6</v>
      </c>
      <c r="C19" s="3" t="inlineStr">
        <is>
          <t>(i)+(ii)+(iii)</t>
        </is>
      </c>
      <c r="D19" s="3" t="n">
        <v>1000000</v>
      </c>
      <c r="E19" s="3" t="n">
        <v>100</v>
      </c>
      <c r="F19" s="3" t="n">
        <v>1024</v>
      </c>
      <c r="G19" s="125" t="n">
        <v>0.96</v>
      </c>
      <c r="H19" s="3" t="n">
        <v>576</v>
      </c>
      <c r="I19" s="3" t="n">
        <v>60</v>
      </c>
      <c r="J19" s="3" t="n">
        <v>20</v>
      </c>
      <c r="K19" s="3" t="inlineStr">
        <is>
          <t>F146</t>
        </is>
      </c>
      <c r="L19" s="3" t="inlineStr">
        <is>
          <t>/mnt/d/paper_source/work_9/VeriANN_repro_2026-09-30/VeriANN_repro_2026-09-30/results/work9-ablation-recall-20261022/glove100/recall.csv</t>
        </is>
      </c>
      <c r="M19" s="3" t="inlineStr">
        <is>
          <t>995fe60082644aa3cdf4696acbe39a25c239970f1d698e3a84a07e37cb88ed2e</t>
        </is>
      </c>
      <c r="N19" s="3" t="inlineStr">
        <is>
          <t>/mnt/d/paper_source/work_9/VeriANN_repro_2026-09-30/VeriANN_repro_2026-09-30/results/work9-ablation-20261015/glove100/formal-5-6/variant-6/per_query.csv</t>
        </is>
      </c>
    </row>
    <row r="20" ht="121.5" customHeight="1" s="1">
      <c r="A20" s="3" t="inlineStr">
        <is>
          <t>DEEP1M</t>
        </is>
      </c>
      <c r="B20" s="3" t="n">
        <v>1</v>
      </c>
      <c r="C20" s="3" t="inlineStr">
        <is>
          <t>Merkle+IVF</t>
        </is>
      </c>
      <c r="D20" s="3" t="n">
        <v>1000000</v>
      </c>
      <c r="E20" s="3" t="n">
        <v>96</v>
      </c>
      <c r="F20" s="3" t="n">
        <v>9</v>
      </c>
      <c r="G20" s="125" t="n">
        <v>0.95</v>
      </c>
      <c r="H20" s="3" t="n">
        <v>570</v>
      </c>
      <c r="I20" s="3" t="n">
        <v>60</v>
      </c>
      <c r="J20" s="3" t="n">
        <v>20</v>
      </c>
      <c r="K20" s="3" t="inlineStr">
        <is>
          <t>F143</t>
        </is>
      </c>
      <c r="L20" s="3" t="inlineStr">
        <is>
          <t>/mnt/d/paper_source/work_9/VeriANN_repro_2026-09-30/VeriANN_repro_2026-09-30/results/work9-ablation-recall-20261022/deep1m/recall.csv</t>
        </is>
      </c>
      <c r="M20" s="3" t="inlineStr">
        <is>
          <t>4c6d78705bc892d5970e609028c899cc7212bdf705a66b52615d5e3f133478f6</t>
        </is>
      </c>
      <c r="N20" s="3" t="inlineStr">
        <is>
          <t>/mnt/d/paper_source/work_9/VeriANN_repro_2026-09-30/VeriANN_repro_2026-09-30/results/work9-ablation-20261015/deep1m/formal-1-3/variant-1/per_query.csv</t>
        </is>
      </c>
    </row>
    <row r="21" ht="121.5" customHeight="1" s="1">
      <c r="A21" s="3" t="inlineStr">
        <is>
          <t>DEEP1M</t>
        </is>
      </c>
      <c r="B21" s="3" t="n">
        <v>2</v>
      </c>
      <c r="C21" s="3" t="inlineStr">
        <is>
          <t>Merkle+HNSW</t>
        </is>
      </c>
      <c r="D21" s="3" t="n">
        <v>1000000</v>
      </c>
      <c r="E21" s="3" t="n">
        <v>96</v>
      </c>
      <c r="F21" s="3" t="n">
        <v>50</v>
      </c>
      <c r="G21" s="125" t="n">
        <v>0.95</v>
      </c>
      <c r="H21" s="3" t="n">
        <v>570</v>
      </c>
      <c r="I21" s="3" t="n">
        <v>60</v>
      </c>
      <c r="J21" s="3" t="n">
        <v>20</v>
      </c>
      <c r="K21" s="3" t="inlineStr">
        <is>
          <t>F144</t>
        </is>
      </c>
      <c r="L21" s="3" t="inlineStr">
        <is>
          <t>/mnt/d/paper_source/work_9/VeriANN_repro_2026-09-30/VeriANN_repro_2026-09-30/results/work9-ablation-recall-20261022/deep1m/recall.csv</t>
        </is>
      </c>
      <c r="M21" s="3" t="inlineStr">
        <is>
          <t>4c6d78705bc892d5970e609028c899cc7212bdf705a66b52615d5e3f133478f6</t>
        </is>
      </c>
      <c r="N21" s="3" t="inlineStr">
        <is>
          <t>/mnt/d/paper_source/work_9/VeriANN_repro_2026-09-30/VeriANN_repro_2026-09-30/results/work9-ablation-20261015/deep1m/formal-2-4/variant-2/per_query.csv</t>
        </is>
      </c>
    </row>
    <row r="22" ht="121.5" customHeight="1" s="1">
      <c r="A22" s="3" t="inlineStr">
        <is>
          <t>DEEP1M</t>
        </is>
      </c>
      <c r="B22" s="3" t="n">
        <v>3</v>
      </c>
      <c r="C22" s="3" t="inlineStr">
        <is>
          <t>Merkle+IVF+(i)</t>
        </is>
      </c>
      <c r="D22" s="3" t="n">
        <v>1000000</v>
      </c>
      <c r="E22" s="3" t="n">
        <v>96</v>
      </c>
      <c r="F22" s="3" t="n">
        <v>9</v>
      </c>
      <c r="G22" s="125" t="n">
        <v>0.95</v>
      </c>
      <c r="H22" s="3" t="n">
        <v>570</v>
      </c>
      <c r="I22" s="3" t="n">
        <v>60</v>
      </c>
      <c r="J22" s="3" t="n">
        <v>20</v>
      </c>
      <c r="K22" s="3" t="inlineStr">
        <is>
          <t>F145</t>
        </is>
      </c>
      <c r="L22" s="3" t="inlineStr">
        <is>
          <t>/mnt/d/paper_source/work_9/VeriANN_repro_2026-09-30/VeriANN_repro_2026-09-30/results/work9-ablation-recall-20261022/deep1m/recall.csv</t>
        </is>
      </c>
      <c r="M22" s="3" t="inlineStr">
        <is>
          <t>4c6d78705bc892d5970e609028c899cc7212bdf705a66b52615d5e3f133478f6</t>
        </is>
      </c>
      <c r="N22" s="3" t="inlineStr">
        <is>
          <t>/mnt/d/paper_source/work_9/VeriANN_repro_2026-09-30/VeriANN_repro_2026-09-30/results/work9-ablation-20261015/deep1m/formal-1-3/variant-3/per_query.csv</t>
        </is>
      </c>
    </row>
    <row r="23" ht="121.5" customHeight="1" s="1">
      <c r="A23" s="3" t="inlineStr">
        <is>
          <t>DEEP1M</t>
        </is>
      </c>
      <c r="B23" s="3" t="n">
        <v>4</v>
      </c>
      <c r="C23" s="3" t="inlineStr">
        <is>
          <t>Merkle+HNSW+(i)</t>
        </is>
      </c>
      <c r="D23" s="3" t="n">
        <v>1000000</v>
      </c>
      <c r="E23" s="3" t="n">
        <v>96</v>
      </c>
      <c r="F23" s="3" t="n">
        <v>50</v>
      </c>
      <c r="G23" s="125" t="n">
        <v>0.95</v>
      </c>
      <c r="H23" s="3" t="n">
        <v>570</v>
      </c>
      <c r="I23" s="3" t="n">
        <v>60</v>
      </c>
      <c r="J23" s="3" t="n">
        <v>20</v>
      </c>
      <c r="K23" s="3" t="inlineStr">
        <is>
          <t>F146</t>
        </is>
      </c>
      <c r="L23" s="3" t="inlineStr">
        <is>
          <t>/mnt/d/paper_source/work_9/VeriANN_repro_2026-09-30/VeriANN_repro_2026-09-30/results/work9-ablation-recall-20261022/deep1m/recall.csv</t>
        </is>
      </c>
      <c r="M23" s="3" t="inlineStr">
        <is>
          <t>4c6d78705bc892d5970e609028c899cc7212bdf705a66b52615d5e3f133478f6</t>
        </is>
      </c>
      <c r="N23" s="3" t="inlineStr">
        <is>
          <t>/mnt/d/paper_source/work_9/VeriANN_repro_2026-09-30/VeriANN_repro_2026-09-30/results/work9-ablation-20261015/deep1m/formal-2-4/variant-4/per_query.csv</t>
        </is>
      </c>
    </row>
    <row r="24" ht="121.5" customHeight="1" s="1">
      <c r="A24" s="3" t="inlineStr">
        <is>
          <t>DEEP1M</t>
        </is>
      </c>
      <c r="B24" s="3" t="n">
        <v>5</v>
      </c>
      <c r="C24" s="3" t="inlineStr">
        <is>
          <t>(i)+(ii)</t>
        </is>
      </c>
      <c r="D24" s="3" t="n">
        <v>1000000</v>
      </c>
      <c r="E24" s="3" t="n">
        <v>96</v>
      </c>
      <c r="F24" s="3" t="n">
        <v>50</v>
      </c>
      <c r="G24" s="125" t="n">
        <v>0.95</v>
      </c>
      <c r="H24" s="3" t="n">
        <v>570</v>
      </c>
      <c r="I24" s="3" t="n">
        <v>60</v>
      </c>
      <c r="J24" s="3" t="n">
        <v>20</v>
      </c>
      <c r="K24" s="3" t="inlineStr">
        <is>
          <t>F147</t>
        </is>
      </c>
      <c r="L24" s="3" t="inlineStr">
        <is>
          <t>/mnt/d/paper_source/work_9/VeriANN_repro_2026-09-30/VeriANN_repro_2026-09-30/results/work9-ablation-recall-20261022/deep1m/recall.csv</t>
        </is>
      </c>
      <c r="M24" s="3" t="inlineStr">
        <is>
          <t>4c6d78705bc892d5970e609028c899cc7212bdf705a66b52615d5e3f133478f6</t>
        </is>
      </c>
      <c r="N24" s="3" t="inlineStr">
        <is>
          <t>/mnt/d/paper_source/work_9/VeriANN_repro_2026-09-30/VeriANN_repro_2026-09-30/results/work9-ablation-20261015/deep1m/formal-5-6/variant-5/per_query.csv</t>
        </is>
      </c>
    </row>
    <row r="25" ht="121.5" customHeight="1" s="1">
      <c r="A25" s="3" t="inlineStr">
        <is>
          <t>DEEP1M</t>
        </is>
      </c>
      <c r="B25" s="3" t="n">
        <v>6</v>
      </c>
      <c r="C25" s="3" t="inlineStr">
        <is>
          <t>(i)+(ii)+(iii)</t>
        </is>
      </c>
      <c r="D25" s="3" t="n">
        <v>1000000</v>
      </c>
      <c r="E25" s="3" t="n">
        <v>96</v>
      </c>
      <c r="F25" s="3" t="n">
        <v>50</v>
      </c>
      <c r="G25" s="125" t="n">
        <v>0.95</v>
      </c>
      <c r="H25" s="3" t="n">
        <v>570</v>
      </c>
      <c r="I25" s="3" t="n">
        <v>60</v>
      </c>
      <c r="J25" s="3" t="n">
        <v>20</v>
      </c>
      <c r="K25" s="3" t="inlineStr">
        <is>
          <t>F148</t>
        </is>
      </c>
      <c r="L25" s="3" t="inlineStr">
        <is>
          <t>/mnt/d/paper_source/work_9/VeriANN_repro_2026-09-30/VeriANN_repro_2026-09-30/results/work9-ablation-recall-20261022/deep1m/recall.csv</t>
        </is>
      </c>
      <c r="M25" s="3" t="inlineStr">
        <is>
          <t>4c6d78705bc892d5970e609028c899cc7212bdf705a66b52615d5e3f133478f6</t>
        </is>
      </c>
      <c r="N25" s="3" t="inlineStr">
        <is>
          <t>/mnt/d/paper_source/work_9/VeriANN_repro_2026-09-30/VeriANN_repro_2026-09-30/results/work9-ablation-20261015/deep1m/formal-5-6/variant-6/per_query.csv</t>
        </is>
      </c>
    </row>
  </sheetData>
  <autoFilter ref="A1:N25"/>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22" customWidth="1" style="1" min="1" max="1"/>
    <col width="110" customWidth="1" style="1" min="2" max="2"/>
  </cols>
  <sheetData>
    <row r="1">
      <c r="A1" s="128" t="inlineStr">
        <is>
          <t>项目</t>
        </is>
      </c>
      <c r="B1" s="128" t="inlineStr">
        <is>
          <t>说明</t>
        </is>
      </c>
    </row>
    <row r="2">
      <c r="A2" s="3" t="inlineStr">
        <is>
          <t>日期</t>
        </is>
      </c>
      <c r="B2" s="3" t="inlineStr">
        <is>
          <t>2026-10-23</t>
        </is>
      </c>
    </row>
    <row r="3">
      <c r="A3" s="3" t="inlineStr">
        <is>
          <t>实验目的</t>
        </is>
      </c>
      <c r="B3" s="3" t="inlineStr">
        <is>
          <t>固定SQ4 top-1 graph traversal，仅比较 SQ4--raw、SQ4--SQ6--raw、SQ4--SQ8--raw、SQ4--SQ6--SQ8--raw 的refinement成本。</t>
        </is>
      </c>
    </row>
    <row r="4">
      <c r="A4" s="3" t="inlineStr">
        <is>
          <t>样本</t>
        </is>
      </c>
      <c r="B4" s="3" t="inlineStr">
        <is>
          <t>每个数据集每种配置20条固定查询（100..119）×3次重复；单线程；共16组、960次真实出证与验证。每组仅20条独立查询。</t>
        </is>
      </c>
    </row>
    <row r="5">
      <c r="A5" s="3" t="inlineStr">
        <is>
          <t>数据/参数</t>
        </is>
      </c>
      <c r="B5" s="3" t="inlineStr">
        <is>
          <t>沿用四个数据集当前Ours默认图：SIFT 1M/M8/efc100/E128；NYTimes 289761/M16/efc200/E256；GloVe 1183514/M16/efc200/E1536；DEEP 1M/M16/efc200/E64。</t>
        </is>
      </c>
    </row>
    <row r="6">
      <c r="A6" s="3" t="inlineStr">
        <is>
          <t>遍历控制</t>
        </is>
      </c>
      <c r="B6" s="3" t="inlineStr">
        <is>
          <t>同一数据集固定图文件、入口、SQ4码、唯一扩展节点预算E、top-1遍历及候选精确排序；逐查询比较trace SHA256与答案，四配置完全一致。</t>
        </is>
      </c>
    </row>
    <row r="7">
      <c r="A7" s="3" t="inlineStr">
        <is>
          <t>Refinement</t>
        </is>
      </c>
      <c r="B7" s="3" t="inlineStr">
        <is>
          <t>原有uniform SQ4/SQ6不变，新增嵌套uniform SQ8。4→6传2 bits/dim，4→8传4 bits/dim，6→8传2 bits/dim；通过下界筛选后才传raw float32。</t>
        </is>
      </c>
    </row>
    <row r="8">
      <c r="A8" s="3" t="inlineStr">
        <is>
          <t>认证</t>
        </is>
      </c>
      <c r="B8" s="3" t="inlineStr">
        <is>
          <t>沿用direct-content expansion-centric Merkle、BFS refinement ordering、canonical shared multiproof；各增量层有独立域和Merkle树。</t>
        </is>
      </c>
    </row>
    <row r="9">
      <c r="A9" s="3" t="inlineStr">
        <is>
          <t>Q</t>
        </is>
      </c>
      <c r="B9" s="3" t="inlineStr">
        <is>
          <t>SQ4遍历+所有发现候选的精确距离排序+完整VO生成与序列化，含查表准备；无网络传输。</t>
        </is>
      </c>
    </row>
    <row r="10">
      <c r="A10" s="3" t="inlineStr">
        <is>
          <t>V</t>
        </is>
      </c>
      <c r="B10" s="3" t="inlineStr">
        <is>
          <t>VO解码+Merkle认证+SQ4重放+渐进下界/候选top-k检查；客户端仅有可信根和量化元数据，无服务器图/全量码数组。</t>
        </is>
      </c>
    </row>
    <row r="11">
      <c r="A11" s="3" t="inlineStr">
        <is>
          <t>VO</t>
        </is>
      </c>
      <c r="B11" s="3" t="inlineStr">
        <is>
          <t>实际二进制VO长度；包含header、query绑定、答案、各层记录及共享认证路径；KB=1000bytes。</t>
        </is>
      </c>
    </row>
    <row r="12">
      <c r="A12" s="3" t="inlineStr">
        <is>
          <t>计时控制</t>
        </is>
      </c>
      <c r="B12" s="3" t="inlineStr">
        <is>
          <t>按query_index+repeat轮换四配置执行次序；每次计时前清除上一查询LUT标记，包含本次查表准备成本。</t>
        </is>
      </c>
    </row>
    <row r="13">
      <c r="A13" s="3" t="inlineStr">
        <is>
          <t>校验</t>
        </is>
      </c>
      <c r="B13" s="3" t="inlineStr">
        <is>
          <t>每个数据集60次SQ6默认配置的VO与原实现字节级一致，并由原验证器验证；每配置执行篡改、截断、错误根/查询/预算拒绝检查。</t>
        </is>
      </c>
    </row>
    <row r="14">
      <c r="A14" s="3" t="inlineStr">
        <is>
          <t>Recall</t>
        </is>
      </c>
      <c r="B14" s="3" t="inlineStr">
        <is>
          <t>以对应规模精确穷举top10为真值；四配置召回率应一致。本次不为任何配置单独调参。SIFT使用20条查询，因此不要求等于原100查询均值95.4%。</t>
        </is>
      </c>
    </row>
    <row r="15">
      <c r="A15" s="3" t="inlineStr">
        <is>
          <t>原表保护</t>
        </is>
      </c>
      <c r="B15" s="3" t="inlineStr">
        <is>
          <t>新表追加到四个数据集原表下方；不覆盖既有实验数据；不应用ANNProof的性能乘数。</t>
        </is>
      </c>
    </row>
    <row r="16">
      <c r="A16" s="3" t="inlineStr">
        <is>
          <t>原文件备份</t>
        </is>
      </c>
      <c r="B16" s="3" t="inlineStr">
        <is>
          <t>/mnt/d/paper_source/work_9/VeriANN_repro_2026-09-30/VeriANN_repro_2026-09-30/experiments/work9-quantization-20261023/work9_before_quantization.xlsx</t>
        </is>
      </c>
    </row>
    <row r="17">
      <c r="A17" s="3" t="inlineStr">
        <is>
          <t>复现脚本</t>
        </is>
      </c>
      <c r="B17" s="3" t="inlineStr">
        <is>
          <t>/mnt/d/paper_source/work_9/VeriANN_repro_2026-09-30/VeriANN_repro_2026-09-30/scripts/run_work9_quantization_20261023.py</t>
        </is>
      </c>
    </row>
    <row r="18">
      <c r="A18" s="3" t="inlineStr">
        <is>
          <t>原始样本</t>
        </is>
      </c>
      <c r="B18" s="3" t="inlineStr">
        <is>
          <t>/mnt/d/paper_source/work_9/VeriANN_repro_2026-09-30/VeriANN_repro_2026-09-30/results/work9-quantization-20261023</t>
        </is>
      </c>
    </row>
    <row r="19">
      <c r="A19" s="3" t="inlineStr">
        <is>
          <t>论文表格</t>
        </is>
      </c>
      <c r="B19" s="3" t="inlineStr">
        <is>
          <t>/mnt/d/paper_source/work_9/VeriANN_repro_2026-09-30/VeriANN_repro_2026-09-30/experiments/work9-quantization-20261023/quantization_sift_deep.tex</t>
        </is>
      </c>
    </row>
  </sheetData>
  <autoFilter ref="A1:B19"/>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W17"/>
  <sheetViews>
    <sheetView workbookViewId="0">
      <pane ySplit="1" topLeftCell="A2" activePane="bottomLeft" state="frozen"/>
      <selection pane="bottomLeft" activeCell="A1" sqref="A1"/>
    </sheetView>
  </sheetViews>
  <sheetFormatPr baseColWidth="8" defaultRowHeight="15"/>
  <cols>
    <col width="22" customWidth="1" style="1" min="1" max="1"/>
    <col width="22" customWidth="1" style="1" min="2" max="2"/>
    <col width="22" customWidth="1" style="1" min="3" max="3"/>
    <col width="22" customWidth="1" style="1" min="4" max="4"/>
    <col width="22" customWidth="1" style="1" min="5" max="5"/>
    <col width="22" customWidth="1" style="1" min="6" max="6"/>
    <col width="22" customWidth="1" style="1" min="7" max="7"/>
    <col width="22" customWidth="1" style="1" min="8" max="8"/>
    <col width="22" customWidth="1" style="1" min="9" max="9"/>
    <col width="22" customWidth="1" style="1" min="10" max="10"/>
    <col width="22" customWidth="1" style="1" min="11" max="11"/>
    <col width="22" customWidth="1" style="1" min="12" max="12"/>
    <col width="22" customWidth="1" style="1" min="13" max="13"/>
    <col width="22" customWidth="1" style="1" min="14" max="14"/>
    <col width="22" customWidth="1" style="1" min="15" max="15"/>
    <col width="22" customWidth="1" style="1" min="16" max="16"/>
    <col width="22" customWidth="1" style="1" min="17" max="17"/>
    <col width="22" customWidth="1" style="1" min="18" max="18"/>
    <col width="22" customWidth="1" style="1" min="19" max="19"/>
    <col width="22" customWidth="1" style="1" min="20" max="20"/>
    <col width="22" customWidth="1" style="1" min="21" max="21"/>
    <col width="22" customWidth="1" style="1" min="22" max="22"/>
    <col width="22" customWidth="1" style="1" min="23" max="23"/>
  </cols>
  <sheetData>
    <row r="1">
      <c r="A1" s="128" t="inlineStr">
        <is>
          <t>sheet</t>
        </is>
      </c>
      <c r="B1" s="128" t="inlineStr">
        <is>
          <t>configuration</t>
        </is>
      </c>
      <c r="C1" s="128" t="inlineStr">
        <is>
          <t>N</t>
        </is>
      </c>
      <c r="D1" s="128" t="inlineStr">
        <is>
          <t>D</t>
        </is>
      </c>
      <c r="E1" s="128" t="inlineStr">
        <is>
          <t>M</t>
        </is>
      </c>
      <c r="F1" s="128" t="inlineStr">
        <is>
          <t>ef_construction</t>
        </is>
      </c>
      <c r="G1" s="128" t="inlineStr">
        <is>
          <t>E</t>
        </is>
      </c>
      <c r="H1" s="128" t="inlineStr">
        <is>
          <t>samples</t>
        </is>
      </c>
      <c r="I1" s="128" t="inlineStr">
        <is>
          <t>independent_queries</t>
        </is>
      </c>
      <c r="J1" s="128" t="inlineStr">
        <is>
          <t>recall</t>
        </is>
      </c>
      <c r="K1" s="128" t="inlineStr">
        <is>
          <t>query_ms</t>
        </is>
      </c>
      <c r="L1" s="128" t="inlineStr">
        <is>
          <t>vo_kb</t>
        </is>
      </c>
      <c r="M1" s="128" t="inlineStr">
        <is>
          <t>verify_ms</t>
        </is>
      </c>
      <c r="N1" s="128" t="inlineStr">
        <is>
          <t>search_ms</t>
        </is>
      </c>
      <c r="O1" s="128" t="inlineStr">
        <is>
          <t>vo_generation_ms</t>
        </is>
      </c>
      <c r="P1" s="128" t="inlineStr">
        <is>
          <t>raw_vectors</t>
        </is>
      </c>
      <c r="Q1" s="128" t="inlineStr">
        <is>
          <t>stage1_records</t>
        </is>
      </c>
      <c r="R1" s="128" t="inlineStr">
        <is>
          <t>stage2_records</t>
        </is>
      </c>
      <c r="S1" s="128" t="inlineStr">
        <is>
          <t>query_ms_stdev</t>
        </is>
      </c>
      <c r="T1" s="128" t="inlineStr">
        <is>
          <t>verify_ms_stdev</t>
        </is>
      </c>
      <c r="U1" s="128" t="inlineStr">
        <is>
          <t>source</t>
        </is>
      </c>
      <c r="V1" s="128" t="inlineStr">
        <is>
          <t>csv_sha256</t>
        </is>
      </c>
      <c r="W1" s="128" t="inlineStr">
        <is>
          <t>status</t>
        </is>
      </c>
    </row>
    <row r="2">
      <c r="A2" s="3" t="inlineStr">
        <is>
          <t>SIFT1M</t>
        </is>
      </c>
      <c r="B2" s="3" t="inlineStr">
        <is>
          <t>SQ4--raw</t>
        </is>
      </c>
      <c r="C2" s="3" t="n">
        <v>1000000</v>
      </c>
      <c r="D2" s="3" t="n">
        <v>128</v>
      </c>
      <c r="E2" s="3" t="n">
        <v>8</v>
      </c>
      <c r="F2" s="3" t="n">
        <v>100</v>
      </c>
      <c r="G2" s="3" t="n">
        <v>128</v>
      </c>
      <c r="H2" s="3" t="n">
        <v>60</v>
      </c>
      <c r="I2" s="3" t="n">
        <v>20</v>
      </c>
      <c r="J2" s="125" t="n">
        <v>0.98</v>
      </c>
      <c r="K2" s="3" t="n">
        <v>2.080653566666667</v>
      </c>
      <c r="L2" s="3" t="n">
        <v>272.996</v>
      </c>
      <c r="M2" s="3" t="n">
        <v>4.377505350000001</v>
      </c>
      <c r="N2" s="3" t="n">
        <v>0.9828470833333333</v>
      </c>
      <c r="O2" s="3" t="n">
        <v>1.097806483333333</v>
      </c>
      <c r="P2" s="3" t="n">
        <v>193.05</v>
      </c>
      <c r="Q2" s="3" t="n">
        <v>0</v>
      </c>
      <c r="R2" s="3" t="n">
        <v>0</v>
      </c>
      <c r="S2" s="3" t="n">
        <v>0.6811364943296413</v>
      </c>
      <c r="T2" s="3" t="n">
        <v>1.467218074846337</v>
      </c>
      <c r="U2" s="3" t="inlineStr">
        <is>
          <t>/mnt/d/paper_source/work_9/VeriANN_repro_2026-09-30/VeriANN_repro_2026-09-30/results/work9-quantization-20261023/sift1m/samples.csv</t>
        </is>
      </c>
      <c r="V2" s="3" t="inlineStr">
        <is>
          <t>c578fe8ce33d465b74633510823264d2815654f86f20e7c9e95707bf0464694c</t>
        </is>
      </c>
      <c r="W2" s="3" t="inlineStr">
        <is>
          <t>measured</t>
        </is>
      </c>
    </row>
    <row r="3">
      <c r="A3" s="3" t="inlineStr">
        <is>
          <t>SIFT1M</t>
        </is>
      </c>
      <c r="B3" s="3" t="inlineStr">
        <is>
          <t>SQ4--SQ6--raw</t>
        </is>
      </c>
      <c r="C3" s="3" t="n">
        <v>1000000</v>
      </c>
      <c r="D3" s="3" t="n">
        <v>128</v>
      </c>
      <c r="E3" s="3" t="n">
        <v>8</v>
      </c>
      <c r="F3" s="3" t="n">
        <v>100</v>
      </c>
      <c r="G3" s="3" t="n">
        <v>128</v>
      </c>
      <c r="H3" s="3" t="n">
        <v>60</v>
      </c>
      <c r="I3" s="3" t="n">
        <v>20</v>
      </c>
      <c r="J3" s="125" t="n">
        <v>0.98</v>
      </c>
      <c r="K3" s="3" t="n">
        <v>1.837507816666667</v>
      </c>
      <c r="L3" s="3" t="n">
        <v>202.236</v>
      </c>
      <c r="M3" s="3" t="n">
        <v>3.968942316666667</v>
      </c>
      <c r="N3" s="3" t="n">
        <v>0.9666496333333333</v>
      </c>
      <c r="O3" s="3" t="n">
        <v>0.8708581833333333</v>
      </c>
      <c r="P3" s="3" t="n">
        <v>25.4</v>
      </c>
      <c r="Q3" s="3" t="n">
        <v>193.05</v>
      </c>
      <c r="R3" s="3" t="n">
        <v>0</v>
      </c>
      <c r="S3" s="3" t="n">
        <v>0.5184394121877791</v>
      </c>
      <c r="T3" s="3" t="n">
        <v>1.083629983076397</v>
      </c>
      <c r="U3" s="3" t="inlineStr">
        <is>
          <t>/mnt/d/paper_source/work_9/VeriANN_repro_2026-09-30/VeriANN_repro_2026-09-30/results/work9-quantization-20261023/sift1m/samples.csv</t>
        </is>
      </c>
      <c r="V3" s="3" t="inlineStr">
        <is>
          <t>c578fe8ce33d465b74633510823264d2815654f86f20e7c9e95707bf0464694c</t>
        </is>
      </c>
      <c r="W3" s="3" t="inlineStr">
        <is>
          <t>measured</t>
        </is>
      </c>
    </row>
    <row r="4">
      <c r="A4" s="3" t="inlineStr">
        <is>
          <t>SIFT1M</t>
        </is>
      </c>
      <c r="B4" s="3" t="inlineStr">
        <is>
          <t>SQ4--SQ8--raw</t>
        </is>
      </c>
      <c r="C4" s="3" t="n">
        <v>1000000</v>
      </c>
      <c r="D4" s="3" t="n">
        <v>128</v>
      </c>
      <c r="E4" s="3" t="n">
        <v>8</v>
      </c>
      <c r="F4" s="3" t="n">
        <v>100</v>
      </c>
      <c r="G4" s="3" t="n">
        <v>128</v>
      </c>
      <c r="H4" s="3" t="n">
        <v>60</v>
      </c>
      <c r="I4" s="3" t="n">
        <v>20</v>
      </c>
      <c r="J4" s="125" t="n">
        <v>0.98</v>
      </c>
      <c r="K4" s="3" t="n">
        <v>1.8840006</v>
      </c>
      <c r="L4" s="3" t="n">
        <v>198.0036</v>
      </c>
      <c r="M4" s="3" t="n">
        <v>3.924580866666667</v>
      </c>
      <c r="N4" s="3" t="n">
        <v>0.9532967666666666</v>
      </c>
      <c r="O4" s="3" t="n">
        <v>0.9307038333333334</v>
      </c>
      <c r="P4" s="3" t="n">
        <v>12.55</v>
      </c>
      <c r="Q4" s="3" t="n">
        <v>193.05</v>
      </c>
      <c r="R4" s="3" t="n">
        <v>0</v>
      </c>
      <c r="S4" s="3" t="n">
        <v>0.4698205118433555</v>
      </c>
      <c r="T4" s="3" t="n">
        <v>0.9697358618681524</v>
      </c>
      <c r="U4" s="3" t="inlineStr">
        <is>
          <t>/mnt/d/paper_source/work_9/VeriANN_repro_2026-09-30/VeriANN_repro_2026-09-30/results/work9-quantization-20261023/sift1m/samples.csv</t>
        </is>
      </c>
      <c r="V4" s="3" t="inlineStr">
        <is>
          <t>c578fe8ce33d465b74633510823264d2815654f86f20e7c9e95707bf0464694c</t>
        </is>
      </c>
      <c r="W4" s="3" t="inlineStr">
        <is>
          <t>measured</t>
        </is>
      </c>
    </row>
    <row r="5">
      <c r="A5" s="3" t="inlineStr">
        <is>
          <t>SIFT1M</t>
        </is>
      </c>
      <c r="B5" s="3" t="inlineStr">
        <is>
          <t>SQ4--SQ6--SQ8--raw</t>
        </is>
      </c>
      <c r="C5" s="3" t="n">
        <v>1000000</v>
      </c>
      <c r="D5" s="3" t="n">
        <v>128</v>
      </c>
      <c r="E5" s="3" t="n">
        <v>8</v>
      </c>
      <c r="F5" s="3" t="n">
        <v>100</v>
      </c>
      <c r="G5" s="3" t="n">
        <v>128</v>
      </c>
      <c r="H5" s="3" t="n">
        <v>60</v>
      </c>
      <c r="I5" s="3" t="n">
        <v>20</v>
      </c>
      <c r="J5" s="125" t="n">
        <v>0.98</v>
      </c>
      <c r="K5" s="3" t="n">
        <v>1.9553406</v>
      </c>
      <c r="L5" s="3" t="n">
        <v>201.538</v>
      </c>
      <c r="M5" s="3" t="n">
        <v>4.245423</v>
      </c>
      <c r="N5" s="3" t="n">
        <v>0.9602945500000001</v>
      </c>
      <c r="O5" s="3" t="n">
        <v>0.9950460499999999</v>
      </c>
      <c r="P5" s="3" t="n">
        <v>12.55</v>
      </c>
      <c r="Q5" s="3" t="n">
        <v>193.05</v>
      </c>
      <c r="R5" s="3" t="n">
        <v>25.4</v>
      </c>
      <c r="S5" s="3" t="n">
        <v>0.5276967232565517</v>
      </c>
      <c r="T5" s="3" t="n">
        <v>1.06069778626942</v>
      </c>
      <c r="U5" s="3" t="inlineStr">
        <is>
          <t>/mnt/d/paper_source/work_9/VeriANN_repro_2026-09-30/VeriANN_repro_2026-09-30/results/work9-quantization-20261023/sift1m/samples.csv</t>
        </is>
      </c>
      <c r="V5" s="3" t="inlineStr">
        <is>
          <t>c578fe8ce33d465b74633510823264d2815654f86f20e7c9e95707bf0464694c</t>
        </is>
      </c>
      <c r="W5" s="3" t="inlineStr">
        <is>
          <t>measured</t>
        </is>
      </c>
    </row>
    <row r="6">
      <c r="A6" s="3" t="inlineStr">
        <is>
          <t>NYTimes-256</t>
        </is>
      </c>
      <c r="B6" s="3" t="inlineStr">
        <is>
          <t>SQ4--raw</t>
        </is>
      </c>
      <c r="C6" s="3" t="n">
        <v>289761</v>
      </c>
      <c r="D6" s="3" t="n">
        <v>256</v>
      </c>
      <c r="E6" s="3" t="n">
        <v>16</v>
      </c>
      <c r="F6" s="3" t="n">
        <v>200</v>
      </c>
      <c r="G6" s="3" t="n">
        <v>256</v>
      </c>
      <c r="H6" s="3" t="n">
        <v>60</v>
      </c>
      <c r="I6" s="3" t="n">
        <v>20</v>
      </c>
      <c r="J6" s="125" t="n">
        <v>0.955</v>
      </c>
      <c r="K6" s="3" t="n">
        <v>17.50148676666667</v>
      </c>
      <c r="L6" s="3" t="n">
        <v>3093.103</v>
      </c>
      <c r="M6" s="3" t="n">
        <v>35.82483788333333</v>
      </c>
      <c r="N6" s="3" t="n">
        <v>5.053503966666667</v>
      </c>
      <c r="O6" s="3" t="n">
        <v>12.4479828</v>
      </c>
      <c r="P6" s="3" t="n">
        <v>1991.2</v>
      </c>
      <c r="Q6" s="3" t="n">
        <v>0</v>
      </c>
      <c r="R6" s="3" t="n">
        <v>0</v>
      </c>
      <c r="S6" s="3" t="n">
        <v>12.05297991230843</v>
      </c>
      <c r="T6" s="3" t="n">
        <v>29.15087659325513</v>
      </c>
      <c r="U6" s="3" t="inlineStr">
        <is>
          <t>/mnt/d/paper_source/work_9/VeriANN_repro_2026-09-30/VeriANN_repro_2026-09-30/results/work9-quantization-20261023/nytimes256/samples.csv</t>
        </is>
      </c>
      <c r="V6" s="3" t="inlineStr">
        <is>
          <t>7237a0ba597b8657d56d180cfdca3937f556d6865be876e93a2698639b2d4e9e</t>
        </is>
      </c>
      <c r="W6" s="3" t="inlineStr">
        <is>
          <t>measured</t>
        </is>
      </c>
    </row>
    <row r="7">
      <c r="A7" s="3" t="inlineStr">
        <is>
          <t>NYTimes-256</t>
        </is>
      </c>
      <c r="B7" s="3" t="inlineStr">
        <is>
          <t>SQ4--SQ6--raw</t>
        </is>
      </c>
      <c r="C7" s="3" t="n">
        <v>289761</v>
      </c>
      <c r="D7" s="3" t="n">
        <v>256</v>
      </c>
      <c r="E7" s="3" t="n">
        <v>16</v>
      </c>
      <c r="F7" s="3" t="n">
        <v>200</v>
      </c>
      <c r="G7" s="3" t="n">
        <v>256</v>
      </c>
      <c r="H7" s="3" t="n">
        <v>60</v>
      </c>
      <c r="I7" s="3" t="n">
        <v>20</v>
      </c>
      <c r="J7" s="125" t="n">
        <v>0.955</v>
      </c>
      <c r="K7" s="3" t="n">
        <v>10.47285678333333</v>
      </c>
      <c r="L7" s="3" t="n">
        <v>1271.2486</v>
      </c>
      <c r="M7" s="3" t="n">
        <v>21.52474075</v>
      </c>
      <c r="N7" s="3" t="n">
        <v>5.027408766666666</v>
      </c>
      <c r="O7" s="3" t="n">
        <v>5.445448016666666</v>
      </c>
      <c r="P7" s="3" t="n">
        <v>66.8</v>
      </c>
      <c r="Q7" s="3" t="n">
        <v>1991.2</v>
      </c>
      <c r="R7" s="3" t="n">
        <v>0</v>
      </c>
      <c r="S7" s="3" t="n">
        <v>4.690493954881674</v>
      </c>
      <c r="T7" s="3" t="n">
        <v>14.13302917498998</v>
      </c>
      <c r="U7" s="3" t="inlineStr">
        <is>
          <t>/mnt/d/paper_source/work_9/VeriANN_repro_2026-09-30/VeriANN_repro_2026-09-30/results/work9-quantization-20261023/nytimes256/samples.csv</t>
        </is>
      </c>
      <c r="V7" s="3" t="inlineStr">
        <is>
          <t>7237a0ba597b8657d56d180cfdca3937f556d6865be876e93a2698639b2d4e9e</t>
        </is>
      </c>
      <c r="W7" s="3" t="inlineStr">
        <is>
          <t>measured</t>
        </is>
      </c>
    </row>
    <row r="8">
      <c r="A8" s="3" t="inlineStr">
        <is>
          <t>NYTimes-256</t>
        </is>
      </c>
      <c r="B8" s="3" t="inlineStr">
        <is>
          <t>SQ4--SQ8--raw</t>
        </is>
      </c>
      <c r="C8" s="3" t="n">
        <v>289761</v>
      </c>
      <c r="D8" s="3" t="n">
        <v>256</v>
      </c>
      <c r="E8" s="3" t="n">
        <v>16</v>
      </c>
      <c r="F8" s="3" t="n">
        <v>200</v>
      </c>
      <c r="G8" s="3" t="n">
        <v>256</v>
      </c>
      <c r="H8" s="3" t="n">
        <v>60</v>
      </c>
      <c r="I8" s="3" t="n">
        <v>20</v>
      </c>
      <c r="J8" s="125" t="n">
        <v>0.955</v>
      </c>
      <c r="K8" s="3" t="n">
        <v>10.56648888333333</v>
      </c>
      <c r="L8" s="3" t="n">
        <v>1331.1506</v>
      </c>
      <c r="M8" s="3" t="n">
        <v>21.15160301666667</v>
      </c>
      <c r="N8" s="3" t="n">
        <v>5.0121616</v>
      </c>
      <c r="O8" s="3" t="n">
        <v>5.554327283333333</v>
      </c>
      <c r="P8" s="3" t="n">
        <v>15.55</v>
      </c>
      <c r="Q8" s="3" t="n">
        <v>1991.2</v>
      </c>
      <c r="R8" s="3" t="n">
        <v>0</v>
      </c>
      <c r="S8" s="3" t="n">
        <v>4.579417506874317</v>
      </c>
      <c r="T8" s="3" t="n">
        <v>13.38776402300903</v>
      </c>
      <c r="U8" s="3" t="inlineStr">
        <is>
          <t>/mnt/d/paper_source/work_9/VeriANN_repro_2026-09-30/VeriANN_repro_2026-09-30/results/work9-quantization-20261023/nytimes256/samples.csv</t>
        </is>
      </c>
      <c r="V8" s="3" t="inlineStr">
        <is>
          <t>7237a0ba597b8657d56d180cfdca3937f556d6865be876e93a2698639b2d4e9e</t>
        </is>
      </c>
      <c r="W8" s="3" t="inlineStr">
        <is>
          <t>measured</t>
        </is>
      </c>
    </row>
    <row r="9">
      <c r="A9" s="3" t="inlineStr">
        <is>
          <t>NYTimes-256</t>
        </is>
      </c>
      <c r="B9" s="3" t="inlineStr">
        <is>
          <t>SQ4--SQ6--SQ8--raw</t>
        </is>
      </c>
      <c r="C9" s="3" t="n">
        <v>289761</v>
      </c>
      <c r="D9" s="3" t="n">
        <v>256</v>
      </c>
      <c r="E9" s="3" t="n">
        <v>16</v>
      </c>
      <c r="F9" s="3" t="n">
        <v>200</v>
      </c>
      <c r="G9" s="3" t="n">
        <v>256</v>
      </c>
      <c r="H9" s="3" t="n">
        <v>60</v>
      </c>
      <c r="I9" s="3" t="n">
        <v>20</v>
      </c>
      <c r="J9" s="125" t="n">
        <v>0.955</v>
      </c>
      <c r="K9" s="3" t="n">
        <v>10.73577061666667</v>
      </c>
      <c r="L9" s="3" t="n">
        <v>1229.2834</v>
      </c>
      <c r="M9" s="3" t="n">
        <v>21.46596728333333</v>
      </c>
      <c r="N9" s="3" t="n">
        <v>5.0614565</v>
      </c>
      <c r="O9" s="3" t="n">
        <v>5.674314116666666</v>
      </c>
      <c r="P9" s="3" t="n">
        <v>15.55</v>
      </c>
      <c r="Q9" s="3" t="n">
        <v>1991.2</v>
      </c>
      <c r="R9" s="3" t="n">
        <v>66.8</v>
      </c>
      <c r="S9" s="3" t="n">
        <v>4.61514194426249</v>
      </c>
      <c r="T9" s="3" t="n">
        <v>13.68293236753274</v>
      </c>
      <c r="U9" s="3" t="inlineStr">
        <is>
          <t>/mnt/d/paper_source/work_9/VeriANN_repro_2026-09-30/VeriANN_repro_2026-09-30/results/work9-quantization-20261023/nytimes256/samples.csv</t>
        </is>
      </c>
      <c r="V9" s="3" t="inlineStr">
        <is>
          <t>7237a0ba597b8657d56d180cfdca3937f556d6865be876e93a2698639b2d4e9e</t>
        </is>
      </c>
      <c r="W9" s="3" t="inlineStr">
        <is>
          <t>measured</t>
        </is>
      </c>
    </row>
    <row r="10">
      <c r="A10" s="3" t="inlineStr">
        <is>
          <t>GloVe-100</t>
        </is>
      </c>
      <c r="B10" s="3" t="inlineStr">
        <is>
          <t>SQ4--raw</t>
        </is>
      </c>
      <c r="C10" s="3" t="n">
        <v>1183514</v>
      </c>
      <c r="D10" s="3" t="n">
        <v>100</v>
      </c>
      <c r="E10" s="3" t="n">
        <v>16</v>
      </c>
      <c r="F10" s="3" t="n">
        <v>200</v>
      </c>
      <c r="G10" s="3" t="n">
        <v>1536</v>
      </c>
      <c r="H10" s="3" t="n">
        <v>60</v>
      </c>
      <c r="I10" s="3" t="n">
        <v>20</v>
      </c>
      <c r="J10" s="125" t="n">
        <v>0.9600000000000001</v>
      </c>
      <c r="K10" s="3" t="n">
        <v>64.9660239</v>
      </c>
      <c r="L10" s="3" t="n">
        <v>7291.1633</v>
      </c>
      <c r="M10" s="3" t="n">
        <v>139.2724153833333</v>
      </c>
      <c r="N10" s="3" t="n">
        <v>29.36382308333333</v>
      </c>
      <c r="O10" s="3" t="n">
        <v>35.60220081666667</v>
      </c>
      <c r="P10" s="3" t="n">
        <v>9466.6</v>
      </c>
      <c r="Q10" s="3" t="n">
        <v>0</v>
      </c>
      <c r="R10" s="3" t="n">
        <v>0</v>
      </c>
      <c r="S10" s="3" t="n">
        <v>20.32077275999078</v>
      </c>
      <c r="T10" s="3" t="n">
        <v>54.65420737662896</v>
      </c>
      <c r="U10" s="3" t="inlineStr">
        <is>
          <t>/mnt/d/paper_source/work_9/VeriANN_repro_2026-09-30/VeriANN_repro_2026-09-30/results/work9-quantization-20261023/glove100/samples.csv</t>
        </is>
      </c>
      <c r="V10" s="3" t="inlineStr">
        <is>
          <t>7b1d33ac12254d0749ccfc5a20283f9ec1a6e2f88771643baa4f86211bb1e142</t>
        </is>
      </c>
      <c r="W10" s="3" t="inlineStr">
        <is>
          <t>measured</t>
        </is>
      </c>
    </row>
    <row r="11">
      <c r="A11" s="3" t="inlineStr">
        <is>
          <t>GloVe-100</t>
        </is>
      </c>
      <c r="B11" s="3" t="inlineStr">
        <is>
          <t>SQ4--SQ6--raw</t>
        </is>
      </c>
      <c r="C11" s="3" t="n">
        <v>1183514</v>
      </c>
      <c r="D11" s="3" t="n">
        <v>100</v>
      </c>
      <c r="E11" s="3" t="n">
        <v>16</v>
      </c>
      <c r="F11" s="3" t="n">
        <v>200</v>
      </c>
      <c r="G11" s="3" t="n">
        <v>1536</v>
      </c>
      <c r="H11" s="3" t="n">
        <v>60</v>
      </c>
      <c r="I11" s="3" t="n">
        <v>20</v>
      </c>
      <c r="J11" s="125" t="n">
        <v>0.9600000000000001</v>
      </c>
      <c r="K11" s="3" t="n">
        <v>50.8836683</v>
      </c>
      <c r="L11" s="3" t="n">
        <v>3831.7115</v>
      </c>
      <c r="M11" s="3" t="n">
        <v>109.8570065333333</v>
      </c>
      <c r="N11" s="3" t="n">
        <v>29.14959075</v>
      </c>
      <c r="O11" s="3" t="n">
        <v>21.73407755</v>
      </c>
      <c r="P11" s="3" t="n">
        <v>120.2</v>
      </c>
      <c r="Q11" s="3" t="n">
        <v>9466.6</v>
      </c>
      <c r="R11" s="3" t="n">
        <v>0</v>
      </c>
      <c r="S11" s="3" t="n">
        <v>13.09080411987465</v>
      </c>
      <c r="T11" s="3" t="n">
        <v>38.66781553828636</v>
      </c>
      <c r="U11" s="3" t="inlineStr">
        <is>
          <t>/mnt/d/paper_source/work_9/VeriANN_repro_2026-09-30/VeriANN_repro_2026-09-30/results/work9-quantization-20261023/glove100/samples.csv</t>
        </is>
      </c>
      <c r="V11" s="3" t="inlineStr">
        <is>
          <t>7b1d33ac12254d0749ccfc5a20283f9ec1a6e2f88771643baa4f86211bb1e142</t>
        </is>
      </c>
      <c r="W11" s="3" t="inlineStr">
        <is>
          <t>measured</t>
        </is>
      </c>
    </row>
    <row r="12">
      <c r="A12" s="3" t="inlineStr">
        <is>
          <t>GloVe-100</t>
        </is>
      </c>
      <c r="B12" s="3" t="inlineStr">
        <is>
          <t>SQ4--SQ8--raw</t>
        </is>
      </c>
      <c r="C12" s="3" t="n">
        <v>1183514</v>
      </c>
      <c r="D12" s="3" t="n">
        <v>100</v>
      </c>
      <c r="E12" s="3" t="n">
        <v>16</v>
      </c>
      <c r="F12" s="3" t="n">
        <v>200</v>
      </c>
      <c r="G12" s="3" t="n">
        <v>1536</v>
      </c>
      <c r="H12" s="3" t="n">
        <v>60</v>
      </c>
      <c r="I12" s="3" t="n">
        <v>20</v>
      </c>
      <c r="J12" s="125" t="n">
        <v>0.9600000000000001</v>
      </c>
      <c r="K12" s="3" t="n">
        <v>51.59437543333333</v>
      </c>
      <c r="L12" s="3" t="n">
        <v>3994.7769</v>
      </c>
      <c r="M12" s="3" t="n">
        <v>109.6546347666667</v>
      </c>
      <c r="N12" s="3" t="n">
        <v>29.42402086666667</v>
      </c>
      <c r="O12" s="3" t="n">
        <v>22.17035456666667</v>
      </c>
      <c r="P12" s="3" t="n">
        <v>19.95</v>
      </c>
      <c r="Q12" s="3" t="n">
        <v>9466.6</v>
      </c>
      <c r="R12" s="3" t="n">
        <v>0</v>
      </c>
      <c r="S12" s="3" t="n">
        <v>13.67154013932653</v>
      </c>
      <c r="T12" s="3" t="n">
        <v>37.85896912056207</v>
      </c>
      <c r="U12" s="3" t="inlineStr">
        <is>
          <t>/mnt/d/paper_source/work_9/VeriANN_repro_2026-09-30/VeriANN_repro_2026-09-30/results/work9-quantization-20261023/glove100/samples.csv</t>
        </is>
      </c>
      <c r="V12" s="3" t="inlineStr">
        <is>
          <t>7b1d33ac12254d0749ccfc5a20283f9ec1a6e2f88771643baa4f86211bb1e142</t>
        </is>
      </c>
      <c r="W12" s="3" t="inlineStr">
        <is>
          <t>measured</t>
        </is>
      </c>
    </row>
    <row r="13">
      <c r="A13" s="3" t="inlineStr">
        <is>
          <t>GloVe-100</t>
        </is>
      </c>
      <c r="B13" s="3" t="inlineStr">
        <is>
          <t>SQ4--SQ6--SQ8--raw</t>
        </is>
      </c>
      <c r="C13" s="3" t="n">
        <v>1183514</v>
      </c>
      <c r="D13" s="3" t="n">
        <v>100</v>
      </c>
      <c r="E13" s="3" t="n">
        <v>16</v>
      </c>
      <c r="F13" s="3" t="n">
        <v>200</v>
      </c>
      <c r="G13" s="3" t="n">
        <v>1536</v>
      </c>
      <c r="H13" s="3" t="n">
        <v>60</v>
      </c>
      <c r="I13" s="3" t="n">
        <v>20</v>
      </c>
      <c r="J13" s="125" t="n">
        <v>0.9600000000000001</v>
      </c>
      <c r="K13" s="3" t="n">
        <v>51.7639342</v>
      </c>
      <c r="L13" s="3" t="n">
        <v>3803.5601</v>
      </c>
      <c r="M13" s="3" t="n">
        <v>110.6106110333333</v>
      </c>
      <c r="N13" s="3" t="n">
        <v>29.50644166666667</v>
      </c>
      <c r="O13" s="3" t="n">
        <v>22.25749253333333</v>
      </c>
      <c r="P13" s="3" t="n">
        <v>19.95</v>
      </c>
      <c r="Q13" s="3" t="n">
        <v>9466.6</v>
      </c>
      <c r="R13" s="3" t="n">
        <v>120.2</v>
      </c>
      <c r="S13" s="3" t="n">
        <v>13.44951892785535</v>
      </c>
      <c r="T13" s="3" t="n">
        <v>37.68210233992883</v>
      </c>
      <c r="U13" s="3" t="inlineStr">
        <is>
          <t>/mnt/d/paper_source/work_9/VeriANN_repro_2026-09-30/VeriANN_repro_2026-09-30/results/work9-quantization-20261023/glove100/samples.csv</t>
        </is>
      </c>
      <c r="V13" s="3" t="inlineStr">
        <is>
          <t>7b1d33ac12254d0749ccfc5a20283f9ec1a6e2f88771643baa4f86211bb1e142</t>
        </is>
      </c>
      <c r="W13" s="3" t="inlineStr">
        <is>
          <t>measured</t>
        </is>
      </c>
    </row>
    <row r="14">
      <c r="A14" s="3" t="inlineStr">
        <is>
          <t>DEEP1M</t>
        </is>
      </c>
      <c r="B14" s="3" t="inlineStr">
        <is>
          <t>SQ4--raw</t>
        </is>
      </c>
      <c r="C14" s="3" t="n">
        <v>1000000</v>
      </c>
      <c r="D14" s="3" t="n">
        <v>96</v>
      </c>
      <c r="E14" s="3" t="n">
        <v>16</v>
      </c>
      <c r="F14" s="3" t="n">
        <v>200</v>
      </c>
      <c r="G14" s="3" t="n">
        <v>64</v>
      </c>
      <c r="H14" s="3" t="n">
        <v>60</v>
      </c>
      <c r="I14" s="3" t="n">
        <v>20</v>
      </c>
      <c r="J14" s="125" t="n">
        <v>0.975</v>
      </c>
      <c r="K14" s="3" t="n">
        <v>2.909878133333334</v>
      </c>
      <c r="L14" s="3" t="n">
        <v>447.0394</v>
      </c>
      <c r="M14" s="3" t="n">
        <v>7.136876533333334</v>
      </c>
      <c r="N14" s="3" t="n">
        <v>0.9192197333333334</v>
      </c>
      <c r="O14" s="3" t="n">
        <v>1.9906584</v>
      </c>
      <c r="P14" s="3" t="n">
        <v>599.1</v>
      </c>
      <c r="Q14" s="3" t="n">
        <v>0</v>
      </c>
      <c r="R14" s="3" t="n">
        <v>0</v>
      </c>
      <c r="S14" s="3" t="n">
        <v>0.8518656000257928</v>
      </c>
      <c r="T14" s="3" t="n">
        <v>2.176904482082777</v>
      </c>
      <c r="U14" s="3" t="inlineStr">
        <is>
          <t>/mnt/d/paper_source/work_9/VeriANN_repro_2026-09-30/VeriANN_repro_2026-09-30/results/work9-quantization-20261023/deep1m/samples.csv</t>
        </is>
      </c>
      <c r="V14" s="3" t="inlineStr">
        <is>
          <t>e32015467451ea8bcd11d9be4c8a2328c5d9ab5045325f4a5c0472cbf7f28d98</t>
        </is>
      </c>
      <c r="W14" s="3" t="inlineStr">
        <is>
          <t>measured</t>
        </is>
      </c>
    </row>
    <row r="15">
      <c r="A15" s="3" t="inlineStr">
        <is>
          <t>DEEP1M</t>
        </is>
      </c>
      <c r="B15" s="3" t="inlineStr">
        <is>
          <t>SQ4--SQ6--raw</t>
        </is>
      </c>
      <c r="C15" s="3" t="n">
        <v>1000000</v>
      </c>
      <c r="D15" s="3" t="n">
        <v>96</v>
      </c>
      <c r="E15" s="3" t="n">
        <v>16</v>
      </c>
      <c r="F15" s="3" t="n">
        <v>200</v>
      </c>
      <c r="G15" s="3" t="n">
        <v>64</v>
      </c>
      <c r="H15" s="3" t="n">
        <v>60</v>
      </c>
      <c r="I15" s="3" t="n">
        <v>20</v>
      </c>
      <c r="J15" s="125" t="n">
        <v>0.975</v>
      </c>
      <c r="K15" s="3" t="n">
        <v>2.260818366666667</v>
      </c>
      <c r="L15" s="3" t="n">
        <v>271.0874</v>
      </c>
      <c r="M15" s="3" t="n">
        <v>6.030424733333334</v>
      </c>
      <c r="N15" s="3" t="n">
        <v>0.8960119666666666</v>
      </c>
      <c r="O15" s="3" t="n">
        <v>1.3648064</v>
      </c>
      <c r="P15" s="3" t="n">
        <v>56.5</v>
      </c>
      <c r="Q15" s="3" t="n">
        <v>599.1</v>
      </c>
      <c r="R15" s="3" t="n">
        <v>0</v>
      </c>
      <c r="S15" s="3" t="n">
        <v>0.560467454496599</v>
      </c>
      <c r="T15" s="3" t="n">
        <v>1.731693355713172</v>
      </c>
      <c r="U15" s="3" t="inlineStr">
        <is>
          <t>/mnt/d/paper_source/work_9/VeriANN_repro_2026-09-30/VeriANN_repro_2026-09-30/results/work9-quantization-20261023/deep1m/samples.csv</t>
        </is>
      </c>
      <c r="V15" s="3" t="inlineStr">
        <is>
          <t>e32015467451ea8bcd11d9be4c8a2328c5d9ab5045325f4a5c0472cbf7f28d98</t>
        </is>
      </c>
      <c r="W15" s="3" t="inlineStr">
        <is>
          <t>measured</t>
        </is>
      </c>
    </row>
    <row r="16">
      <c r="A16" s="3" t="inlineStr">
        <is>
          <t>DEEP1M</t>
        </is>
      </c>
      <c r="B16" s="3" t="inlineStr">
        <is>
          <t>SQ4--SQ8--raw</t>
        </is>
      </c>
      <c r="C16" s="3" t="n">
        <v>1000000</v>
      </c>
      <c r="D16" s="3" t="n">
        <v>96</v>
      </c>
      <c r="E16" s="3" t="n">
        <v>16</v>
      </c>
      <c r="F16" s="3" t="n">
        <v>200</v>
      </c>
      <c r="G16" s="3" t="n">
        <v>64</v>
      </c>
      <c r="H16" s="3" t="n">
        <v>60</v>
      </c>
      <c r="I16" s="3" t="n">
        <v>20</v>
      </c>
      <c r="J16" s="125" t="n">
        <v>0.975</v>
      </c>
      <c r="K16" s="3" t="n">
        <v>2.2997155</v>
      </c>
      <c r="L16" s="3" t="n">
        <v>259.3878</v>
      </c>
      <c r="M16" s="3" t="n">
        <v>5.728866866666666</v>
      </c>
      <c r="N16" s="3" t="n">
        <v>0.9332348333333333</v>
      </c>
      <c r="O16" s="3" t="n">
        <v>1.366480666666667</v>
      </c>
      <c r="P16" s="3" t="n">
        <v>17.55</v>
      </c>
      <c r="Q16" s="3" t="n">
        <v>599.1</v>
      </c>
      <c r="R16" s="3" t="n">
        <v>0</v>
      </c>
      <c r="S16" s="3" t="n">
        <v>0.5508984314761952</v>
      </c>
      <c r="T16" s="3" t="n">
        <v>1.567401515146867</v>
      </c>
      <c r="U16" s="3" t="inlineStr">
        <is>
          <t>/mnt/d/paper_source/work_9/VeriANN_repro_2026-09-30/VeriANN_repro_2026-09-30/results/work9-quantization-20261023/deep1m/samples.csv</t>
        </is>
      </c>
      <c r="V16" s="3" t="inlineStr">
        <is>
          <t>e32015467451ea8bcd11d9be4c8a2328c5d9ab5045325f4a5c0472cbf7f28d98</t>
        </is>
      </c>
      <c r="W16" s="3" t="inlineStr">
        <is>
          <t>measured</t>
        </is>
      </c>
    </row>
    <row r="17">
      <c r="A17" s="3" t="inlineStr">
        <is>
          <t>DEEP1M</t>
        </is>
      </c>
      <c r="B17" s="3" t="inlineStr">
        <is>
          <t>SQ4--SQ6--SQ8--raw</t>
        </is>
      </c>
      <c r="C17" s="3" t="n">
        <v>1000000</v>
      </c>
      <c r="D17" s="3" t="n">
        <v>96</v>
      </c>
      <c r="E17" s="3" t="n">
        <v>16</v>
      </c>
      <c r="F17" s="3" t="n">
        <v>200</v>
      </c>
      <c r="G17" s="3" t="n">
        <v>64</v>
      </c>
      <c r="H17" s="3" t="n">
        <v>60</v>
      </c>
      <c r="I17" s="3" t="n">
        <v>20</v>
      </c>
      <c r="J17" s="125" t="n">
        <v>0.975</v>
      </c>
      <c r="K17" s="3" t="n">
        <v>2.37030915</v>
      </c>
      <c r="L17" s="3" t="n">
        <v>264.3934</v>
      </c>
      <c r="M17" s="3" t="n">
        <v>6.199528266666666</v>
      </c>
      <c r="N17" s="3" t="n">
        <v>0.9400588</v>
      </c>
      <c r="O17" s="3" t="n">
        <v>1.43025035</v>
      </c>
      <c r="P17" s="3" t="n">
        <v>17.55</v>
      </c>
      <c r="Q17" s="3" t="n">
        <v>599.1</v>
      </c>
      <c r="R17" s="3" t="n">
        <v>56.5</v>
      </c>
      <c r="S17" s="3" t="n">
        <v>0.6106660681170907</v>
      </c>
      <c r="T17" s="3" t="n">
        <v>1.691311158173073</v>
      </c>
      <c r="U17" s="3" t="inlineStr">
        <is>
          <t>/mnt/d/paper_source/work_9/VeriANN_repro_2026-09-30/VeriANN_repro_2026-09-30/results/work9-quantization-20261023/deep1m/samples.csv</t>
        </is>
      </c>
      <c r="V17" s="3" t="inlineStr">
        <is>
          <t>e32015467451ea8bcd11d9be4c8a2328c5d9ab5045325f4a5c0472cbf7f28d98</t>
        </is>
      </c>
      <c r="W17" s="3" t="inlineStr">
        <is>
          <t>measured</t>
        </is>
      </c>
    </row>
  </sheetData>
  <autoFilter ref="A1:W17"/>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style="1" min="1" max="1"/>
    <col width="115" customWidth="1" style="1" min="2" max="2"/>
  </cols>
  <sheetData>
    <row r="1">
      <c r="A1" s="128" t="inlineStr">
        <is>
          <t>项目</t>
        </is>
      </c>
      <c r="B1" s="128" t="inlineStr">
        <is>
          <t>说明</t>
        </is>
      </c>
    </row>
    <row r="2">
      <c r="A2" s="3" t="inlineStr">
        <is>
          <t>日期</t>
        </is>
      </c>
      <c r="B2" s="3" t="inlineStr">
        <is>
          <t>2026-10-23</t>
        </is>
      </c>
    </row>
    <row r="3">
      <c r="A3" s="3" t="inlineStr">
        <is>
          <t>范围</t>
        </is>
      </c>
      <c r="B3" s="3" t="inlineStr">
        <is>
          <t>五个方法×四数据集，共20组、1200条实际VO样本的结构计数；全部使用query100..119×3、k=10。</t>
        </is>
      </c>
    </row>
    <row r="4">
      <c r="A4" s="3" t="inlineStr">
        <is>
          <t>规模</t>
        </is>
      </c>
      <c r="B4" s="3" t="inlineStr">
        <is>
          <t>SIFT1M；NYTimes289761；GloVe1183514；DEEP1M。GloVe旧消融是1M，本次对IVF-ADS/HNSW-ADS重新校准并在完整规模生成验证。</t>
        </is>
      </c>
    </row>
    <row r="5">
      <c r="A5" s="3" t="inlineStr">
        <is>
          <t>T定义</t>
        </is>
      </c>
      <c r="B5" s="3" t="inlineStr">
        <is>
          <t>all remaining serialized bytes, including vector/ID/adjacency data, MBB pruning witnesses and general control framing; T+A equals full VO; result records are included in T, not subtracted</t>
        </is>
      </c>
    </row>
    <row r="6">
      <c r="A6" s="3" t="inlineStr">
        <is>
          <t>A定义</t>
        </is>
      </c>
      <c r="B6" s="3" t="inlineStr">
        <is>
          <t>query-binding hash32 plus dedicated authentication-proof bytes and their framing; VLAH includes its complete authenticated routing proof; MR includes signed root96 and frontier digests32 each</t>
        </is>
      </c>
    </row>
    <row r="7">
      <c r="A7" s="3" t="inlineStr">
        <is>
          <t>Result-only</t>
        </is>
      </c>
      <c r="B7" s="3" t="inlineStr">
        <is>
          <t>10*(4+4*D) bytes, IDs plus raw float32 vectors; no authentication or protocol headers</t>
        </is>
      </c>
    </row>
    <row r="8">
      <c r="A8" s="3" t="inlineStr">
        <is>
          <t>统计</t>
        </is>
      </c>
      <c r="B8" s="3" t="inlineStr">
        <is>
          <t>KB=1000bytes。每个数据集/方法60条样本的字节均值。每条保证T+A=实际完整VO。SIFT使用20查询，与旧100查询overall均值可能不同。</t>
        </is>
      </c>
    </row>
    <row r="9">
      <c r="A9" s="3" t="inlineStr">
        <is>
          <t>认证与遍历边界</t>
        </is>
      </c>
      <c r="B9" s="3" t="inlineStr">
        <is>
          <t>这是一种明确声明的结构划分，不是唯一划分。A包含独立认证字段及其编码、VLAH认证路由证明；MR的MBB和结构标签计入T。不可只用record_bytes当完整T，它不含所有header/trace。</t>
        </is>
      </c>
    </row>
    <row r="10">
      <c r="A10" s="3" t="inlineStr">
        <is>
          <t>ANNProof*</t>
        </is>
      </c>
      <c r="B10" s="3" t="inlineStr">
        <is>
          <t>延续用户先前VO×2要求，展示表T/A各×2且有星号。Raw T/Raw A及原始CSV保留；派生表不代表VO实际扩大发生过。提供raw版LaTeX用于报告真实测量。</t>
        </is>
      </c>
    </row>
    <row r="11">
      <c r="A11" s="3" t="inlineStr">
        <is>
          <t>复用/补测</t>
        </is>
      </c>
      <c r="B11" s="3" t="inlineStr">
        <is>
          <t>Reuse verified complete20x3 query sample groups for ANNProof,VLAH, and prior SIFT/NYTimes/DEEP ablations; MR fresh VOs+verification and old-length equality; GloVe IVF/HNSW fresh full-scale VOs+verification</t>
        </is>
      </c>
    </row>
    <row r="12">
      <c r="A12" s="3" t="inlineStr">
        <is>
          <t>召回</t>
        </is>
      </c>
      <c r="B12" s="3" t="inlineStr">
        <is>
          <t>MR精确100%；其余各自沿用或校准&gt;=95%参数，并非每行严格同一实测召回。对应Recall保存在各工作表及附表。</t>
        </is>
      </c>
    </row>
    <row r="13">
      <c r="A13" s="3" t="inlineStr">
        <is>
          <t>字节审计</t>
        </is>
      </c>
      <c r="B13" s="3" t="inlineStr">
        <is>
          <t>独立Python mmap解析20个完整query0 VO，交叉核对原始CSV的record/proof/route长度；逐条核对1200个T+A等式及展示系数。</t>
        </is>
      </c>
    </row>
    <row r="14">
      <c r="A14" s="3" t="inlineStr">
        <is>
          <t>备份</t>
        </is>
      </c>
      <c r="B14" s="3" t="inlineStr">
        <is>
          <t>/mnt/d/paper_source/work_9/VeriANN_repro_2026-09-30/VeriANN_repro_2026-09-30/experiments/work9-vo-breakdown-20261023/work9_before_vo_breakdown.xlsx</t>
        </is>
      </c>
    </row>
    <row r="15">
      <c r="A15" s="3" t="inlineStr">
        <is>
          <t>原始明细</t>
        </is>
      </c>
      <c r="B15" s="3" t="inlineStr">
        <is>
          <t>/mnt/d/paper_source/work_9/VeriANN_repro_2026-09-30/VeriANN_repro_2026-09-30/experiments/work9-vo-breakdown-20261023/samples.csv</t>
        </is>
      </c>
    </row>
    <row r="16">
      <c r="A16" s="3" t="inlineStr">
        <is>
          <t>实测LaTeX</t>
        </is>
      </c>
      <c r="B16" s="3" t="inlineStr">
        <is>
          <t>/mnt/d/paper_source/work_9/VeriANN_repro_2026-09-30/VeriANN_repro_2026-09-30/experiments/work9-vo-breakdown-20261023/vo_breakdown_raw.tex</t>
        </is>
      </c>
    </row>
    <row r="17">
      <c r="A17" s="3" t="inlineStr">
        <is>
          <t>当前系数LaTeX</t>
        </is>
      </c>
      <c r="B17" s="3" t="inlineStr">
        <is>
          <t>/mnt/d/paper_source/work_9/VeriANN_repro_2026-09-30/VeriANN_repro_2026-09-30/experiments/work9-vo-breakdown-20261023/vo_breakdown_adjusted.tex</t>
        </is>
      </c>
    </row>
    <row r="18">
      <c r="A18" t="inlineStr">
        <is>
          <t>QVANN补充</t>
        </is>
      </c>
      <c r="B18" t="inlineStr">
        <is>
          <t>2026-10-23：新增四数据集QVANN默认SQ4--SQ6--raw拆分，逐条匹配量化实验默认组VO长度；共24组、1440条样本。论文表最多一位小数，四位及以上整数不显示小数；原始精度保留。</t>
        </is>
      </c>
    </row>
  </sheetData>
  <autoFilter ref="A1:B17"/>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Q25"/>
  <sheetViews>
    <sheetView workbookViewId="0">
      <pane ySplit="1" topLeftCell="A2" activePane="bottomLeft" state="frozen"/>
      <selection pane="bottomLeft" activeCell="A1" sqref="A1"/>
    </sheetView>
  </sheetViews>
  <sheetFormatPr baseColWidth="8" defaultRowHeight="15"/>
  <cols>
    <col width="24" customWidth="1" style="1" min="1" max="1"/>
    <col width="24" customWidth="1" style="1" min="2" max="2"/>
    <col width="24" customWidth="1" style="1" min="3" max="3"/>
    <col width="24" customWidth="1" style="1" min="4" max="4"/>
    <col width="24" customWidth="1" style="1" min="5" max="5"/>
    <col width="24" customWidth="1" style="1" min="6" max="6"/>
    <col width="24" customWidth="1" style="1" min="7" max="7"/>
    <col width="24" customWidth="1" style="1" min="8" max="8"/>
    <col width="24" customWidth="1" style="1" min="9" max="9"/>
    <col width="24" customWidth="1" style="1" min="10" max="10"/>
    <col width="24" customWidth="1" style="1" min="11" max="11"/>
    <col width="24" customWidth="1" style="1" min="12" max="12"/>
    <col width="24" customWidth="1" style="1" min="13" max="13"/>
    <col width="24" customWidth="1" style="1" min="14" max="14"/>
    <col width="24" customWidth="1" style="1" min="15" max="15"/>
    <col width="24" customWidth="1" style="1" min="16" max="16"/>
    <col width="24" customWidth="1" style="1" min="17" max="17"/>
  </cols>
  <sheetData>
    <row r="1">
      <c r="A1" s="128" t="inlineStr">
        <is>
          <t>sheet</t>
        </is>
      </c>
      <c r="B1" s="128" t="inlineStr">
        <is>
          <t>method</t>
        </is>
      </c>
      <c r="C1" s="128" t="inlineStr">
        <is>
          <t>N</t>
        </is>
      </c>
      <c r="D1" s="128" t="inlineStr">
        <is>
          <t>D</t>
        </is>
      </c>
      <c r="E1" s="128" t="inlineStr">
        <is>
          <t>samples</t>
        </is>
      </c>
      <c r="F1" s="128" t="inlineStr">
        <is>
          <t>recall</t>
        </is>
      </c>
      <c r="G1" s="128" t="inlineStr">
        <is>
          <t>parameter</t>
        </is>
      </c>
      <c r="H1" s="128" t="inlineStr">
        <is>
          <t>T_raw_bytes</t>
        </is>
      </c>
      <c r="I1" s="128" t="inlineStr">
        <is>
          <t>A_raw_bytes</t>
        </is>
      </c>
      <c r="J1" s="128" t="inlineStr">
        <is>
          <t>total_raw_bytes</t>
        </is>
      </c>
      <c r="K1" s="128" t="inlineStr">
        <is>
          <t>factor</t>
        </is>
      </c>
      <c r="L1" s="128" t="inlineStr">
        <is>
          <t>T_display_bytes</t>
        </is>
      </c>
      <c r="M1" s="128" t="inlineStr">
        <is>
          <t>A_display_bytes</t>
        </is>
      </c>
      <c r="N1" s="128" t="inlineStr">
        <is>
          <t>total_display_bytes</t>
        </is>
      </c>
      <c r="O1" s="128" t="inlineStr">
        <is>
          <t>source</t>
        </is>
      </c>
      <c r="P1" s="128" t="inlineStr">
        <is>
          <t>csv_sha256</t>
        </is>
      </c>
      <c r="Q1" s="128" t="inlineStr">
        <is>
          <t>status</t>
        </is>
      </c>
    </row>
    <row r="2">
      <c r="A2" s="3" t="inlineStr">
        <is>
          <t>SIFT1M</t>
        </is>
      </c>
      <c r="B2" s="3" t="inlineStr">
        <is>
          <t>MR-tree</t>
        </is>
      </c>
      <c r="C2" s="3" t="n">
        <v>1000000</v>
      </c>
      <c r="D2" s="3" t="n">
        <v>128</v>
      </c>
      <c r="E2" s="3" t="n">
        <v>60</v>
      </c>
      <c r="F2" s="3" t="n">
        <v>1</v>
      </c>
      <c r="G2" s="3" t="inlineStr">
        <is>
          <t>leaf64/fanout16</t>
        </is>
      </c>
      <c r="H2" s="3" t="n">
        <v>235091338</v>
      </c>
      <c r="I2" s="3" t="n">
        <v>122979.2</v>
      </c>
      <c r="J2" s="3" t="n">
        <v>235214317.2</v>
      </c>
      <c r="K2" s="3" t="n">
        <v>1</v>
      </c>
      <c r="L2" s="3" t="n">
        <v>235091338</v>
      </c>
      <c r="M2" s="3" t="n">
        <v>122979.2</v>
      </c>
      <c r="N2" s="3" t="n">
        <v>235214317.2</v>
      </c>
      <c r="O2" s="3" t="inlineStr">
        <is>
          <t>/mnt/d/paper_source/work_9/VeriANN_repro_2026-09-30/VeriANN_repro_2026-09-30/results/work9-vo-breakdown-20261023/sift1m/MR-tree/breakdown.csv</t>
        </is>
      </c>
      <c r="P2" s="3" t="inlineStr">
        <is>
          <t>866a2c509d6cb0028f79eafd74457f842f9efa2c09b96a8d203ddb092607aa49</t>
        </is>
      </c>
      <c r="Q2" s="3" t="inlineStr">
        <is>
          <t>measured VO byte disaggregation</t>
        </is>
      </c>
    </row>
    <row r="3">
      <c r="A3" s="3" t="inlineStr">
        <is>
          <t>SIFT1M</t>
        </is>
      </c>
      <c r="B3" s="3" t="inlineStr">
        <is>
          <t>ANNProof</t>
        </is>
      </c>
      <c r="C3" s="3" t="n">
        <v>1000000</v>
      </c>
      <c r="D3" s="3" t="n">
        <v>128</v>
      </c>
      <c r="E3" s="3" t="n">
        <v>60</v>
      </c>
      <c r="F3" s="3" t="n">
        <v>0.98</v>
      </c>
      <c r="G3" s="3" t="inlineStr">
        <is>
          <t>100/1</t>
        </is>
      </c>
      <c r="H3" s="3" t="n">
        <v>597851</v>
      </c>
      <c r="I3" s="3" t="n">
        <v>344646.4</v>
      </c>
      <c r="J3" s="3" t="n">
        <v>942497.4</v>
      </c>
      <c r="K3" s="3" t="n">
        <v>2</v>
      </c>
      <c r="L3" s="3" t="n">
        <v>1195702</v>
      </c>
      <c r="M3" s="3" t="n">
        <v>689292.8</v>
      </c>
      <c r="N3" s="3" t="n">
        <v>1884994.8</v>
      </c>
      <c r="O3" s="3" t="inlineStr">
        <is>
          <t>/mnt/d/paper_source/work_9/VeriANN_repro_2026-09-30/VeriANN_repro_2026-09-30/ANNProof-24FGCS/results/work9-20261015/sift1m-recall-curve/per_query.csv</t>
        </is>
      </c>
      <c r="P3" s="3" t="inlineStr">
        <is>
          <t>402ab7d5a7653c8ed2675f04aef2afd50a0dcf4b67cd675f61110b9bff11fcce</t>
        </is>
      </c>
      <c r="Q3" s="3" t="inlineStr">
        <is>
          <t>derived from measured bytes; scaled display only</t>
        </is>
      </c>
    </row>
    <row r="4">
      <c r="A4" s="3" t="inlineStr">
        <is>
          <t>SIFT1M</t>
        </is>
      </c>
      <c r="B4" s="3" t="inlineStr">
        <is>
          <t>VLAH</t>
        </is>
      </c>
      <c r="C4" s="3" t="n">
        <v>1000000</v>
      </c>
      <c r="D4" s="3" t="n">
        <v>128</v>
      </c>
      <c r="E4" s="3" t="n">
        <v>60</v>
      </c>
      <c r="F4" s="3" t="n">
        <v>0.98</v>
      </c>
      <c r="G4" s="3" t="inlineStr">
        <is>
          <t>50/41</t>
        </is>
      </c>
      <c r="H4" s="3" t="n">
        <v>11635926</v>
      </c>
      <c r="I4" s="3" t="n">
        <v>2314773.85</v>
      </c>
      <c r="J4" s="3" t="n">
        <v>13950699.85</v>
      </c>
      <c r="K4" s="3" t="n">
        <v>1</v>
      </c>
      <c r="L4" s="3" t="n">
        <v>11635926</v>
      </c>
      <c r="M4" s="3" t="n">
        <v>2314773.85</v>
      </c>
      <c r="N4" s="3" t="n">
        <v>13950699.85</v>
      </c>
      <c r="O4" s="3" t="inlineStr">
        <is>
          <t>/mnt/d/paper_source/work_9/VeriANN_repro_2026-09-30/VeriANN_repro_2026-09-30/VLAH-25TrustCom/results/work9-20261015/sift1m-recall-curve/per_query.csv</t>
        </is>
      </c>
      <c r="P4" s="3" t="inlineStr">
        <is>
          <t>0fd7c1b2d67d90e926c73f57c69e537dcf6c084b74075ef621b2399036a697ea</t>
        </is>
      </c>
      <c r="Q4" s="3" t="inlineStr">
        <is>
          <t>measured VO byte disaggregation</t>
        </is>
      </c>
    </row>
    <row r="5">
      <c r="A5" s="3" t="inlineStr">
        <is>
          <t>SIFT1M</t>
        </is>
      </c>
      <c r="B5" s="3" t="inlineStr">
        <is>
          <t>IVF-ADS</t>
        </is>
      </c>
      <c r="C5" s="3" t="n">
        <v>1000000</v>
      </c>
      <c r="D5" s="3" t="n">
        <v>128</v>
      </c>
      <c r="E5" s="3" t="n">
        <v>60</v>
      </c>
      <c r="F5" s="3" t="n">
        <v>0.95</v>
      </c>
      <c r="G5" s="3" t="inlineStr">
        <is>
          <t>9/9</t>
        </is>
      </c>
      <c r="H5" s="3" t="n">
        <v>20145811.2</v>
      </c>
      <c r="I5" s="3" t="n">
        <v>4546169.6</v>
      </c>
      <c r="J5" s="3" t="n">
        <v>24691980.8</v>
      </c>
      <c r="K5" s="3" t="n">
        <v>1</v>
      </c>
      <c r="L5" s="3" t="n">
        <v>20145811.2</v>
      </c>
      <c r="M5" s="3" t="n">
        <v>4546169.6</v>
      </c>
      <c r="N5" s="3" t="n">
        <v>24691980.8</v>
      </c>
      <c r="O5" s="3" t="inlineStr">
        <is>
          <t>/mnt/d/paper_source/work_9/VeriANN_repro_2026-09-30/VeriANN_repro_2026-09-30/results/work9-ablation-20261015/sift1m/formal-1-3/variant-1/per_query.csv</t>
        </is>
      </c>
      <c r="P5" s="3" t="inlineStr">
        <is>
          <t>63e2c3e0d2f4d028f5b97a4a76473bb8444bdb7fe870e4557aa4f47cf79e97cb</t>
        </is>
      </c>
      <c r="Q5" s="3" t="inlineStr">
        <is>
          <t>measured VO byte disaggregation</t>
        </is>
      </c>
    </row>
    <row r="6">
      <c r="A6" s="3" t="inlineStr">
        <is>
          <t>SIFT1M</t>
        </is>
      </c>
      <c r="B6" s="3" t="inlineStr">
        <is>
          <t>HNSW-ADS</t>
        </is>
      </c>
      <c r="C6" s="3" t="n">
        <v>1000000</v>
      </c>
      <c r="D6" s="3" t="n">
        <v>128</v>
      </c>
      <c r="E6" s="3" t="n">
        <v>60</v>
      </c>
      <c r="F6" s="3" t="n">
        <v>0.95</v>
      </c>
      <c r="G6" s="3" t="inlineStr">
        <is>
          <t>32/1</t>
        </is>
      </c>
      <c r="H6" s="3" t="n">
        <v>436532.6</v>
      </c>
      <c r="I6" s="3" t="n">
        <v>132912.8</v>
      </c>
      <c r="J6" s="3" t="n">
        <v>569445.4</v>
      </c>
      <c r="K6" s="3" t="n">
        <v>1</v>
      </c>
      <c r="L6" s="3" t="n">
        <v>436532.6</v>
      </c>
      <c r="M6" s="3" t="n">
        <v>132912.8</v>
      </c>
      <c r="N6" s="3" t="n">
        <v>569445.4</v>
      </c>
      <c r="O6" s="3" t="inlineStr">
        <is>
          <t>/mnt/d/paper_source/work_9/VeriANN_repro_2026-09-30/VeriANN_repro_2026-09-30/results/work9-ablation-20261015/sift1m/formal-2-4/variant-2/per_query.csv</t>
        </is>
      </c>
      <c r="P6" s="3" t="inlineStr">
        <is>
          <t>7cbe52cfb1d94ea92caa151e5abd87fd2cd5b912400b3fa6f8b60483ae5b7e2f</t>
        </is>
      </c>
      <c r="Q6" s="3" t="inlineStr">
        <is>
          <t>measured VO byte disaggregation</t>
        </is>
      </c>
    </row>
    <row r="7">
      <c r="A7" s="3" t="inlineStr">
        <is>
          <t>NYTimes-256</t>
        </is>
      </c>
      <c r="B7" s="3" t="inlineStr">
        <is>
          <t>MR-tree</t>
        </is>
      </c>
      <c r="C7" s="3" t="n">
        <v>289761</v>
      </c>
      <c r="D7" s="3" t="n">
        <v>256</v>
      </c>
      <c r="E7" s="3" t="n">
        <v>60</v>
      </c>
      <c r="F7" s="3" t="n">
        <v>1</v>
      </c>
      <c r="G7" s="3" t="inlineStr">
        <is>
          <t>leaf64/fanout16</t>
        </is>
      </c>
      <c r="H7" s="3" t="n">
        <v>282958644.9</v>
      </c>
      <c r="I7" s="3" t="n">
        <v>280</v>
      </c>
      <c r="J7" s="3" t="n">
        <v>282958924.9</v>
      </c>
      <c r="K7" s="3" t="n">
        <v>1</v>
      </c>
      <c r="L7" s="3" t="n">
        <v>282958644.9</v>
      </c>
      <c r="M7" s="3" t="n">
        <v>280</v>
      </c>
      <c r="N7" s="3" t="n">
        <v>282958924.9</v>
      </c>
      <c r="O7" s="3" t="inlineStr">
        <is>
          <t>/mnt/d/paper_source/work_9/VeriANN_repro_2026-09-30/VeriANN_repro_2026-09-30/results/work9-vo-breakdown-20261023/nytimes256/MR-tree/breakdown.csv</t>
        </is>
      </c>
      <c r="P7" s="3" t="inlineStr">
        <is>
          <t>8f3b2a0f0ce266c57a01d883f0423e8cfea3b294ebb697df38e2a5b395123acb</t>
        </is>
      </c>
      <c r="Q7" s="3" t="inlineStr">
        <is>
          <t>measured VO byte disaggregation</t>
        </is>
      </c>
    </row>
    <row r="8">
      <c r="A8" s="3" t="inlineStr">
        <is>
          <t>NYTimes-256</t>
        </is>
      </c>
      <c r="B8" s="3" t="inlineStr">
        <is>
          <t>ANNProof</t>
        </is>
      </c>
      <c r="C8" s="3" t="n">
        <v>289761</v>
      </c>
      <c r="D8" s="3" t="n">
        <v>256</v>
      </c>
      <c r="E8" s="3" t="n">
        <v>60</v>
      </c>
      <c r="F8" s="3" t="n">
        <v>0.95</v>
      </c>
      <c r="G8" s="3" t="inlineStr">
        <is>
          <t>264/1</t>
        </is>
      </c>
      <c r="H8" s="3" t="n">
        <v>5835176.6</v>
      </c>
      <c r="I8" s="3" t="n">
        <v>998236</v>
      </c>
      <c r="J8" s="3" t="n">
        <v>6833412.6</v>
      </c>
      <c r="K8" s="3" t="n">
        <v>2</v>
      </c>
      <c r="L8" s="3" t="n">
        <v>11670353.2</v>
      </c>
      <c r="M8" s="3" t="n">
        <v>1996472</v>
      </c>
      <c r="N8" s="3" t="n">
        <v>13666825.2</v>
      </c>
      <c r="O8" s="3" t="inlineStr">
        <is>
          <t>/mnt/d/paper_source/work_9/VeriANN_repro_2026-09-30/VeriANN_repro_2026-09-30/results/work9-nytimes-annproof-full-20261021/measurements/default-and-k/per_query.csv</t>
        </is>
      </c>
      <c r="P8" s="3" t="inlineStr">
        <is>
          <t>5e9a6852feaf38d90e3acf84c3846b9eb5d49b4741c69062c8e0bf2f251674d4</t>
        </is>
      </c>
      <c r="Q8" s="3" t="inlineStr">
        <is>
          <t>derived from measured bytes; scaled display only</t>
        </is>
      </c>
    </row>
    <row r="9">
      <c r="A9" s="3" t="inlineStr">
        <is>
          <t>NYTimes-256</t>
        </is>
      </c>
      <c r="B9" s="3" t="inlineStr">
        <is>
          <t>VLAH</t>
        </is>
      </c>
      <c r="C9" s="3" t="n">
        <v>289761</v>
      </c>
      <c r="D9" s="3" t="n">
        <v>256</v>
      </c>
      <c r="E9" s="3" t="n">
        <v>60</v>
      </c>
      <c r="F9" s="3" t="n">
        <v>0.9600000000000001</v>
      </c>
      <c r="G9" s="3" t="inlineStr">
        <is>
          <t>400/14</t>
        </is>
      </c>
      <c r="H9" s="3" t="n">
        <v>131354516.8</v>
      </c>
      <c r="I9" s="3" t="n">
        <v>4134106</v>
      </c>
      <c r="J9" s="3" t="n">
        <v>135488622.8</v>
      </c>
      <c r="K9" s="3" t="n">
        <v>1</v>
      </c>
      <c r="L9" s="3" t="n">
        <v>131354516.8</v>
      </c>
      <c r="M9" s="3" t="n">
        <v>4134106</v>
      </c>
      <c r="N9" s="3" t="n">
        <v>135488622.8</v>
      </c>
      <c r="O9" s="3" t="inlineStr">
        <is>
          <t>/mnt/d/paper_source/work_9/VeriANN_repro_2026-09-30/VeriANN_repro_2026-09-30/results/work9-nytimes-20261017/nytimes256/VLAH-curve-289761/per_query.csv</t>
        </is>
      </c>
      <c r="P9" s="3" t="inlineStr">
        <is>
          <t>8312b5fe64afeed1e4db8221b280e5f45f700935f558f5d90b362ed5a7726c25</t>
        </is>
      </c>
      <c r="Q9" s="3" t="inlineStr">
        <is>
          <t>measured VO byte disaggregation</t>
        </is>
      </c>
    </row>
    <row r="10">
      <c r="A10" s="3" t="inlineStr">
        <is>
          <t>NYTimes-256</t>
        </is>
      </c>
      <c r="B10" s="3" t="inlineStr">
        <is>
          <t>IVF-ADS</t>
        </is>
      </c>
      <c r="C10" s="3" t="n">
        <v>289761</v>
      </c>
      <c r="D10" s="3" t="n">
        <v>256</v>
      </c>
      <c r="E10" s="3" t="n">
        <v>60</v>
      </c>
      <c r="F10" s="3" t="n">
        <v>0.9600000000000001</v>
      </c>
      <c r="G10" s="3" t="inlineStr">
        <is>
          <t>112/112</t>
        </is>
      </c>
      <c r="H10" s="3" t="n">
        <v>168055895.4</v>
      </c>
      <c r="I10" s="3" t="n">
        <v>3100259.2</v>
      </c>
      <c r="J10" s="3" t="n">
        <v>171156154.6</v>
      </c>
      <c r="K10" s="3" t="n">
        <v>1</v>
      </c>
      <c r="L10" s="3" t="n">
        <v>168055895.4</v>
      </c>
      <c r="M10" s="3" t="n">
        <v>3100259.2</v>
      </c>
      <c r="N10" s="3" t="n">
        <v>171156154.6</v>
      </c>
      <c r="O10" s="3" t="inlineStr">
        <is>
          <t>/mnt/d/paper_source/work_9/VeriANN_repro_2026-09-30/VeriANN_repro_2026-09-30/results/work9-nytimes-20261017/controlled-ablation/nytimes256/evaluation-1-3/variant-1/per_query.csv</t>
        </is>
      </c>
      <c r="P10" s="3" t="inlineStr">
        <is>
          <t>a2c7f1bb221f64bc53484324a43db58b2b9cd2764119618701567d58370a17ce</t>
        </is>
      </c>
      <c r="Q10" s="3" t="inlineStr">
        <is>
          <t>measured VO byte disaggregation</t>
        </is>
      </c>
    </row>
    <row r="11">
      <c r="A11" s="3" t="inlineStr">
        <is>
          <t>NYTimes-256</t>
        </is>
      </c>
      <c r="B11" s="3" t="inlineStr">
        <is>
          <t>HNSW-ADS</t>
        </is>
      </c>
      <c r="C11" s="3" t="n">
        <v>289761</v>
      </c>
      <c r="D11" s="3" t="n">
        <v>256</v>
      </c>
      <c r="E11" s="3" t="n">
        <v>60</v>
      </c>
      <c r="F11" s="3" t="n">
        <v>0.9600000000000001</v>
      </c>
      <c r="G11" s="3" t="inlineStr">
        <is>
          <t>384/1</t>
        </is>
      </c>
      <c r="H11" s="3" t="n">
        <v>8331885.4</v>
      </c>
      <c r="I11" s="3" t="n">
        <v>901341.6</v>
      </c>
      <c r="J11" s="3" t="n">
        <v>9233227</v>
      </c>
      <c r="K11" s="3" t="n">
        <v>1</v>
      </c>
      <c r="L11" s="3" t="n">
        <v>8331885.4</v>
      </c>
      <c r="M11" s="3" t="n">
        <v>901341.6</v>
      </c>
      <c r="N11" s="3" t="n">
        <v>9233227</v>
      </c>
      <c r="O11" s="3" t="inlineStr">
        <is>
          <t>/mnt/d/paper_source/work_9/VeriANN_repro_2026-09-30/VeriANN_repro_2026-09-30/results/work9-nytimes-20261017/controlled-ablation/nytimes256/evaluation-2-4/variant-2/per_query.csv</t>
        </is>
      </c>
      <c r="P11" s="3" t="inlineStr">
        <is>
          <t>982c774504c5c74c25b798795dba9db9e58d7e9879c26a0a098dd861034df446</t>
        </is>
      </c>
      <c r="Q11" s="3" t="inlineStr">
        <is>
          <t>measured VO byte disaggregation</t>
        </is>
      </c>
    </row>
    <row r="12">
      <c r="A12" s="3" t="inlineStr">
        <is>
          <t>GloVe-100</t>
        </is>
      </c>
      <c r="B12" s="3" t="inlineStr">
        <is>
          <t>MR-tree</t>
        </is>
      </c>
      <c r="C12" s="3" t="n">
        <v>1183514</v>
      </c>
      <c r="D12" s="3" t="n">
        <v>100</v>
      </c>
      <c r="E12" s="3" t="n">
        <v>60</v>
      </c>
      <c r="F12" s="3" t="n">
        <v>1</v>
      </c>
      <c r="G12" s="3" t="inlineStr">
        <is>
          <t>leaf64/fanout16</t>
        </is>
      </c>
      <c r="H12" s="3" t="n">
        <v>466929220.75</v>
      </c>
      <c r="I12" s="3" t="n">
        <v>3720</v>
      </c>
      <c r="J12" s="3" t="n">
        <v>466932940.75</v>
      </c>
      <c r="K12" s="3" t="n">
        <v>1</v>
      </c>
      <c r="L12" s="3" t="n">
        <v>466929220.75</v>
      </c>
      <c r="M12" s="3" t="n">
        <v>3720</v>
      </c>
      <c r="N12" s="3" t="n">
        <v>466932940.75</v>
      </c>
      <c r="O12" s="3" t="inlineStr">
        <is>
          <t>/mnt/d/paper_source/work_9/VeriANN_repro_2026-09-30/VeriANN_repro_2026-09-30/results/work9-vo-breakdown-20261023/glove100/MR-tree/breakdown.csv</t>
        </is>
      </c>
      <c r="P12" s="3" t="inlineStr">
        <is>
          <t>8f1f5cf95d2a5d6bc327df28b4e247543f698fcb5344ea49e0b5e0bcd4cc6e23</t>
        </is>
      </c>
      <c r="Q12" s="3" t="inlineStr">
        <is>
          <t>measured VO byte disaggregation</t>
        </is>
      </c>
    </row>
    <row r="13">
      <c r="A13" s="3" t="inlineStr">
        <is>
          <t>GloVe-100</t>
        </is>
      </c>
      <c r="B13" s="3" t="inlineStr">
        <is>
          <t>ANNProof</t>
        </is>
      </c>
      <c r="C13" s="3" t="n">
        <v>1183514</v>
      </c>
      <c r="D13" s="3" t="n">
        <v>100</v>
      </c>
      <c r="E13" s="3" t="n">
        <v>60</v>
      </c>
      <c r="F13" s="3" t="n">
        <v>0.955</v>
      </c>
      <c r="G13" s="3" t="inlineStr">
        <is>
          <t>1536/1</t>
        </is>
      </c>
      <c r="H13" s="3" t="n">
        <v>15182832.4</v>
      </c>
      <c r="I13" s="3" t="n">
        <v>5103896</v>
      </c>
      <c r="J13" s="3" t="n">
        <v>20286728.4</v>
      </c>
      <c r="K13" s="3" t="n">
        <v>2</v>
      </c>
      <c r="L13" s="3" t="n">
        <v>30365664.8</v>
      </c>
      <c r="M13" s="3" t="n">
        <v>10207792</v>
      </c>
      <c r="N13" s="3" t="n">
        <v>40573456.8</v>
      </c>
      <c r="O13" s="3" t="inlineStr">
        <is>
          <t>/mnt/d/paper_source/work_9/VeriANN_repro_2026-09-30/VeriANN_repro_2026-09-30/results/work9-multidata-20261015/glove100/ANNProof-curve-1183514/per_query.csv</t>
        </is>
      </c>
      <c r="P13" s="3" t="inlineStr">
        <is>
          <t>e54dcf796b2aa3b42399db7b55d13acc9a09077d7d3def50bb961d69e09bb0db</t>
        </is>
      </c>
      <c r="Q13" s="3" t="inlineStr">
        <is>
          <t>derived from measured bytes; scaled display only</t>
        </is>
      </c>
    </row>
    <row r="14">
      <c r="A14" s="3" t="inlineStr">
        <is>
          <t>GloVe-100</t>
        </is>
      </c>
      <c r="B14" s="3" t="inlineStr">
        <is>
          <t>VLAH</t>
        </is>
      </c>
      <c r="C14" s="3" t="n">
        <v>1183514</v>
      </c>
      <c r="D14" s="3" t="n">
        <v>100</v>
      </c>
      <c r="E14" s="3" t="n">
        <v>60</v>
      </c>
      <c r="F14" s="3" t="n">
        <v>0.95</v>
      </c>
      <c r="G14" s="3" t="inlineStr">
        <is>
          <t>200/56</t>
        </is>
      </c>
      <c r="H14" s="3" t="n">
        <v>141333862</v>
      </c>
      <c r="I14" s="3" t="n">
        <v>14751283.6</v>
      </c>
      <c r="J14" s="3" t="n">
        <v>156085145.6</v>
      </c>
      <c r="K14" s="3" t="n">
        <v>1</v>
      </c>
      <c r="L14" s="3" t="n">
        <v>141333862</v>
      </c>
      <c r="M14" s="3" t="n">
        <v>14751283.6</v>
      </c>
      <c r="N14" s="3" t="n">
        <v>156085145.6</v>
      </c>
      <c r="O14" s="3" t="inlineStr">
        <is>
          <t>/mnt/d/paper_source/work_9/VeriANN_repro_2026-09-30/VeriANN_repro_2026-09-30/results/work9-multidata-20261015/glove100/VLAH-curve-1183514/per_query.csv</t>
        </is>
      </c>
      <c r="P14" s="3" t="inlineStr">
        <is>
          <t>b221f658609a01c7ea9958df88caf17d4a7f3ed29126526575f64ab3bb6ba6e2</t>
        </is>
      </c>
      <c r="Q14" s="3" t="inlineStr">
        <is>
          <t>measured VO byte disaggregation</t>
        </is>
      </c>
    </row>
    <row r="15">
      <c r="A15" s="3" t="inlineStr">
        <is>
          <t>GloVe-100</t>
        </is>
      </c>
      <c r="B15" s="3" t="inlineStr">
        <is>
          <t>IVF-ADS</t>
        </is>
      </c>
      <c r="C15" s="3" t="n">
        <v>1183514</v>
      </c>
      <c r="D15" s="3" t="n">
        <v>100</v>
      </c>
      <c r="E15" s="3" t="n">
        <v>60</v>
      </c>
      <c r="F15" s="3" t="n">
        <v>0.965</v>
      </c>
      <c r="G15" s="3" t="inlineStr">
        <is>
          <t>64/64</t>
        </is>
      </c>
      <c r="H15" s="3" t="n">
        <v>120488391.2</v>
      </c>
      <c r="I15" s="3" t="n">
        <v>14206017.6</v>
      </c>
      <c r="J15" s="3" t="n">
        <v>134694408.8</v>
      </c>
      <c r="K15" s="3" t="n">
        <v>1</v>
      </c>
      <c r="L15" s="3" t="n">
        <v>120488391.2</v>
      </c>
      <c r="M15" s="3" t="n">
        <v>14206017.6</v>
      </c>
      <c r="N15" s="3" t="n">
        <v>134694408.8</v>
      </c>
      <c r="O15" s="3" t="inlineStr">
        <is>
          <t>/mnt/d/paper_source/work_9/VeriANN_repro_2026-09-30/VeriANN_repro_2026-09-30/results/work9-vo-breakdown-20261023/glove100/ablation-1/variant-1/per_query.csv</t>
        </is>
      </c>
      <c r="P15" s="3" t="inlineStr">
        <is>
          <t>89d3720474a2068ac5f17fba34b48648fbd7e2fcb473f02cb8c94e168c184596</t>
        </is>
      </c>
      <c r="Q15" s="3" t="inlineStr">
        <is>
          <t>measured VO byte disaggregation</t>
        </is>
      </c>
    </row>
    <row r="16">
      <c r="A16" s="3" t="inlineStr">
        <is>
          <t>GloVe-100</t>
        </is>
      </c>
      <c r="B16" s="3" t="inlineStr">
        <is>
          <t>HNSW-ADS</t>
        </is>
      </c>
      <c r="C16" s="3" t="n">
        <v>1183514</v>
      </c>
      <c r="D16" s="3" t="n">
        <v>100</v>
      </c>
      <c r="E16" s="3" t="n">
        <v>60</v>
      </c>
      <c r="F16" s="3" t="n">
        <v>0.95</v>
      </c>
      <c r="G16" s="3" t="inlineStr">
        <is>
          <t>1280/1</t>
        </is>
      </c>
      <c r="H16" s="3" t="n">
        <v>12885790.8</v>
      </c>
      <c r="I16" s="3" t="n">
        <v>2606818.4</v>
      </c>
      <c r="J16" s="3" t="n">
        <v>15492609.2</v>
      </c>
      <c r="K16" s="3" t="n">
        <v>1</v>
      </c>
      <c r="L16" s="3" t="n">
        <v>12885790.8</v>
      </c>
      <c r="M16" s="3" t="n">
        <v>2606818.4</v>
      </c>
      <c r="N16" s="3" t="n">
        <v>15492609.2</v>
      </c>
      <c r="O16" s="3" t="inlineStr">
        <is>
          <t>/mnt/d/paper_source/work_9/VeriANN_repro_2026-09-30/VeriANN_repro_2026-09-30/results/work9-vo-breakdown-20261023/glove100/ablation-2/variant-2/per_query.csv</t>
        </is>
      </c>
      <c r="P16" s="3" t="inlineStr">
        <is>
          <t>a76cabbbd593a3d7c5d2d9875b5b897d38f05e361ff0b1180d3d1893ddc34df0</t>
        </is>
      </c>
      <c r="Q16" s="3" t="inlineStr">
        <is>
          <t>measured VO byte disaggregation</t>
        </is>
      </c>
    </row>
    <row r="17">
      <c r="A17" s="3" t="inlineStr">
        <is>
          <t>DEEP1M</t>
        </is>
      </c>
      <c r="B17" s="3" t="inlineStr">
        <is>
          <t>MR-tree</t>
        </is>
      </c>
      <c r="C17" s="3" t="n">
        <v>1000000</v>
      </c>
      <c r="D17" s="3" t="n">
        <v>96</v>
      </c>
      <c r="E17" s="3" t="n">
        <v>60</v>
      </c>
      <c r="F17" s="3" t="n">
        <v>1</v>
      </c>
      <c r="G17" s="3" t="inlineStr">
        <is>
          <t>leaf64/fanout16</t>
        </is>
      </c>
      <c r="H17" s="3" t="n">
        <v>373908406.8</v>
      </c>
      <c r="I17" s="3" t="n">
        <v>15292.8</v>
      </c>
      <c r="J17" s="3" t="n">
        <v>373923699.6</v>
      </c>
      <c r="K17" s="3" t="n">
        <v>1</v>
      </c>
      <c r="L17" s="3" t="n">
        <v>373908406.8</v>
      </c>
      <c r="M17" s="3" t="n">
        <v>15292.8</v>
      </c>
      <c r="N17" s="3" t="n">
        <v>373923699.6</v>
      </c>
      <c r="O17" s="3" t="inlineStr">
        <is>
          <t>/mnt/d/paper_source/work_9/VeriANN_repro_2026-09-30/VeriANN_repro_2026-09-30/results/work9-vo-breakdown-20261023/deep1m/MR-tree/breakdown.csv</t>
        </is>
      </c>
      <c r="P17" s="3" t="inlineStr">
        <is>
          <t>ec5e95cd44ed227cb509094389dafef0a78837391ee68700b831042110774127</t>
        </is>
      </c>
      <c r="Q17" s="3" t="inlineStr">
        <is>
          <t>measured VO byte disaggregation</t>
        </is>
      </c>
    </row>
    <row r="18">
      <c r="A18" s="3" t="inlineStr">
        <is>
          <t>DEEP1M</t>
        </is>
      </c>
      <c r="B18" s="3" t="inlineStr">
        <is>
          <t>ANNProof</t>
        </is>
      </c>
      <c r="C18" s="3" t="n">
        <v>1000000</v>
      </c>
      <c r="D18" s="3" t="n">
        <v>96</v>
      </c>
      <c r="E18" s="3" t="n">
        <v>60</v>
      </c>
      <c r="F18" s="3" t="n">
        <v>0.975</v>
      </c>
      <c r="G18" s="3" t="inlineStr">
        <is>
          <t>64/1</t>
        </is>
      </c>
      <c r="H18" s="3" t="n">
        <v>683527.8</v>
      </c>
      <c r="I18" s="3" t="n">
        <v>471266</v>
      </c>
      <c r="J18" s="3" t="n">
        <v>1154793.8</v>
      </c>
      <c r="K18" s="3" t="n">
        <v>2</v>
      </c>
      <c r="L18" s="3" t="n">
        <v>1367055.6</v>
      </c>
      <c r="M18" s="3" t="n">
        <v>942532</v>
      </c>
      <c r="N18" s="3" t="n">
        <v>2309587.6</v>
      </c>
      <c r="O18" s="3" t="inlineStr">
        <is>
          <t>/mnt/d/paper_source/work_9/VeriANN_repro_2026-09-30/VeriANN_repro_2026-09-30/results/work9-multidata-20261015/deep1m/ANNProof-curve-1000000/per_query.csv</t>
        </is>
      </c>
      <c r="P18" s="3" t="inlineStr">
        <is>
          <t>c97e6152252c4e5e283e5419a3030aa8af8b472252b52e3374d85d34fb77629a</t>
        </is>
      </c>
      <c r="Q18" s="3" t="inlineStr">
        <is>
          <t>derived from measured bytes; scaled display only</t>
        </is>
      </c>
    </row>
    <row r="19">
      <c r="A19" s="3" t="inlineStr">
        <is>
          <t>DEEP1M</t>
        </is>
      </c>
      <c r="B19" s="3" t="inlineStr">
        <is>
          <t>VLAH</t>
        </is>
      </c>
      <c r="C19" s="3" t="n">
        <v>1000000</v>
      </c>
      <c r="D19" s="3" t="n">
        <v>96</v>
      </c>
      <c r="E19" s="3" t="n">
        <v>60</v>
      </c>
      <c r="F19" s="3" t="n">
        <v>0.95</v>
      </c>
      <c r="G19" s="3" t="inlineStr">
        <is>
          <t>100/44</t>
        </is>
      </c>
      <c r="H19" s="3" t="n">
        <v>32253232</v>
      </c>
      <c r="I19" s="3" t="n">
        <v>6068939.55</v>
      </c>
      <c r="J19" s="3" t="n">
        <v>38322171.55</v>
      </c>
      <c r="K19" s="3" t="n">
        <v>1</v>
      </c>
      <c r="L19" s="3" t="n">
        <v>32253232</v>
      </c>
      <c r="M19" s="3" t="n">
        <v>6068939.55</v>
      </c>
      <c r="N19" s="3" t="n">
        <v>38322171.55</v>
      </c>
      <c r="O19" s="3" t="inlineStr">
        <is>
          <t>/mnt/d/paper_source/work_9/VeriANN_repro_2026-09-30/VeriANN_repro_2026-09-30/results/work9-multidata-20261015/deep1m/VLAH-curve-1000000/per_query.csv</t>
        </is>
      </c>
      <c r="P19" s="3" t="inlineStr">
        <is>
          <t>73e812c436737e289845734813151181980d9bfb011429e956b3a17b2b88e01f</t>
        </is>
      </c>
      <c r="Q19" s="3" t="inlineStr">
        <is>
          <t>measured VO byte disaggregation</t>
        </is>
      </c>
    </row>
    <row r="20">
      <c r="A20" s="3" t="inlineStr">
        <is>
          <t>DEEP1M</t>
        </is>
      </c>
      <c r="B20" s="3" t="inlineStr">
        <is>
          <t>IVF-ADS</t>
        </is>
      </c>
      <c r="C20" s="3" t="n">
        <v>1000000</v>
      </c>
      <c r="D20" s="3" t="n">
        <v>96</v>
      </c>
      <c r="E20" s="3" t="n">
        <v>60</v>
      </c>
      <c r="F20" s="3" t="n">
        <v>0.95</v>
      </c>
      <c r="G20" s="3" t="inlineStr">
        <is>
          <t>9/9</t>
        </is>
      </c>
      <c r="H20" s="3" t="n">
        <v>14592143</v>
      </c>
      <c r="I20" s="3" t="n">
        <v>4626267.2</v>
      </c>
      <c r="J20" s="3" t="n">
        <v>19218410.2</v>
      </c>
      <c r="K20" s="3" t="n">
        <v>1</v>
      </c>
      <c r="L20" s="3" t="n">
        <v>14592143</v>
      </c>
      <c r="M20" s="3" t="n">
        <v>4626267.2</v>
      </c>
      <c r="N20" s="3" t="n">
        <v>19218410.2</v>
      </c>
      <c r="O20" s="3" t="inlineStr">
        <is>
          <t>/mnt/d/paper_source/work_9/VeriANN_repro_2026-09-30/VeriANN_repro_2026-09-30/results/work9-ablation-20261015/deep1m/formal-1-3/variant-1/per_query.csv</t>
        </is>
      </c>
      <c r="P20" s="3" t="inlineStr">
        <is>
          <t>57054475eba6810c6821fdf65f117e61f9b36369f537b2aafff053b5f4afdc2f</t>
        </is>
      </c>
      <c r="Q20" s="3" t="inlineStr">
        <is>
          <t>measured VO byte disaggregation</t>
        </is>
      </c>
    </row>
    <row r="21">
      <c r="A21" s="3" t="inlineStr">
        <is>
          <t>DEEP1M</t>
        </is>
      </c>
      <c r="B21" s="3" t="inlineStr">
        <is>
          <t>HNSW-ADS</t>
        </is>
      </c>
      <c r="C21" s="3" t="n">
        <v>1000000</v>
      </c>
      <c r="D21" s="3" t="n">
        <v>96</v>
      </c>
      <c r="E21" s="3" t="n">
        <v>60</v>
      </c>
      <c r="F21" s="3" t="n">
        <v>0.95</v>
      </c>
      <c r="G21" s="3" t="inlineStr">
        <is>
          <t>50/1</t>
        </is>
      </c>
      <c r="H21" s="3" t="n">
        <v>563762.2</v>
      </c>
      <c r="I21" s="3" t="n">
        <v>206759.2</v>
      </c>
      <c r="J21" s="3" t="n">
        <v>770521.4</v>
      </c>
      <c r="K21" s="3" t="n">
        <v>1</v>
      </c>
      <c r="L21" s="3" t="n">
        <v>563762.2</v>
      </c>
      <c r="M21" s="3" t="n">
        <v>206759.2</v>
      </c>
      <c r="N21" s="3" t="n">
        <v>770521.4</v>
      </c>
      <c r="O21" s="3" t="inlineStr">
        <is>
          <t>/mnt/d/paper_source/work_9/VeriANN_repro_2026-09-30/VeriANN_repro_2026-09-30/results/work9-ablation-20261015/deep1m/formal-2-4/variant-2/per_query.csv</t>
        </is>
      </c>
      <c r="P21" s="3" t="inlineStr">
        <is>
          <t>34a1fab881fdffe3639fc0b24531961b67896e83ad40c94adaf837c4fbc43f2a</t>
        </is>
      </c>
      <c r="Q21" s="3" t="inlineStr">
        <is>
          <t>measured VO byte disaggregation</t>
        </is>
      </c>
    </row>
    <row r="22">
      <c r="A22" t="inlineStr">
        <is>
          <t>SIFT1M</t>
        </is>
      </c>
      <c r="B22" t="inlineStr">
        <is>
          <t>QVANN (Ours)</t>
        </is>
      </c>
      <c r="C22" t="n">
        <v>1000000</v>
      </c>
      <c r="D22" t="n">
        <v>128</v>
      </c>
      <c r="E22" t="n">
        <v>60</v>
      </c>
      <c r="F22" t="n">
        <v>0.98</v>
      </c>
      <c r="G22" t="inlineStr">
        <is>
          <t>E=128; SQ4--SQ6--raw</t>
        </is>
      </c>
      <c r="H22" t="n">
        <v>108512</v>
      </c>
      <c r="I22" t="n">
        <v>93724</v>
      </c>
      <c r="J22" t="n">
        <v>202236</v>
      </c>
      <c r="K22" t="n">
        <v>1</v>
      </c>
      <c r="L22" t="n">
        <v>108512</v>
      </c>
      <c r="M22" t="n">
        <v>93724</v>
      </c>
      <c r="N22" t="n">
        <v>202236</v>
      </c>
      <c r="O22" t="inlineStr">
        <is>
          <t>/mnt/d/paper_source/work_9/VeriANN_repro_2026-09-30/VeriANN_repro_2026-09-30/results/work9-ours-lut-20261015/sift1m-overall/per_query.csv</t>
        </is>
      </c>
      <c r="P22" t="inlineStr">
        <is>
          <t>73499efcf01c4ebf8ce3ee3904a0b4bfd8a00eaf8e58c74a6a8d33473e1213e9</t>
        </is>
      </c>
      <c r="Q22" t="inlineStr">
        <is>
          <t>measured VO byte disaggregation</t>
        </is>
      </c>
    </row>
    <row r="23">
      <c r="A23" t="inlineStr">
        <is>
          <t>NYTimes-256</t>
        </is>
      </c>
      <c r="B23" t="inlineStr">
        <is>
          <t>QVANN (Ours)</t>
        </is>
      </c>
      <c r="C23" t="n">
        <v>289761</v>
      </c>
      <c r="D23" t="n">
        <v>256</v>
      </c>
      <c r="E23" t="n">
        <v>60</v>
      </c>
      <c r="F23" t="n">
        <v>0.955</v>
      </c>
      <c r="G23" t="inlineStr">
        <is>
          <t>E=256; SQ4--SQ6--raw</t>
        </is>
      </c>
      <c r="H23" t="n">
        <v>870939</v>
      </c>
      <c r="I23" t="n">
        <v>400309.6</v>
      </c>
      <c r="J23" t="n">
        <v>1271248.6</v>
      </c>
      <c r="K23" t="n">
        <v>1</v>
      </c>
      <c r="L23" t="n">
        <v>870939</v>
      </c>
      <c r="M23" t="n">
        <v>400309.6</v>
      </c>
      <c r="N23" t="n">
        <v>1271248.6</v>
      </c>
      <c r="O23" t="inlineStr">
        <is>
          <t>/mnt/d/paper_source/work_9/VeriANN_repro_2026-09-30/VeriANN_repro_2026-09-30/results/work9-nytimes-20261017/nytimes256/Ours-curve-289761/per_query.csv</t>
        </is>
      </c>
      <c r="P23" t="inlineStr">
        <is>
          <t>47aaa5dcc059b0fbb1cf4d6de341071e61345949f251a69c7927e9d193e83871</t>
        </is>
      </c>
      <c r="Q23" t="inlineStr">
        <is>
          <t>measured VO byte disaggregation</t>
        </is>
      </c>
    </row>
    <row r="24">
      <c r="A24" t="inlineStr">
        <is>
          <t>GloVe-100</t>
        </is>
      </c>
      <c r="B24" t="inlineStr">
        <is>
          <t>QVANN (Ours)</t>
        </is>
      </c>
      <c r="C24" t="n">
        <v>1183514</v>
      </c>
      <c r="D24" t="n">
        <v>100</v>
      </c>
      <c r="E24" t="n">
        <v>60</v>
      </c>
      <c r="F24" t="n">
        <v>0.9600000000000001</v>
      </c>
      <c r="G24" t="inlineStr">
        <is>
          <t>E=1536; SQ4--SQ6--raw</t>
        </is>
      </c>
      <c r="H24" t="n">
        <v>2085653.1</v>
      </c>
      <c r="I24" t="n">
        <v>1746058.4</v>
      </c>
      <c r="J24" t="n">
        <v>3831711.5</v>
      </c>
      <c r="K24" t="n">
        <v>1</v>
      </c>
      <c r="L24" t="n">
        <v>2085653.1</v>
      </c>
      <c r="M24" t="n">
        <v>1746058.4</v>
      </c>
      <c r="N24" t="n">
        <v>3831711.5</v>
      </c>
      <c r="O24" t="inlineStr">
        <is>
          <t>/mnt/d/paper_source/work_9/VeriANN_repro_2026-09-30/VeriANN_repro_2026-09-30/results/work9-multidata-20261015/glove100/Ours-curve-1183514/per_query.csv</t>
        </is>
      </c>
      <c r="P24" t="inlineStr">
        <is>
          <t>f98ab6db65bac7c9e55d57894bfb148c5dcf698dceab08728dfb06948ca46680</t>
        </is>
      </c>
      <c r="Q24" t="inlineStr">
        <is>
          <t>measured VO byte disaggregation</t>
        </is>
      </c>
    </row>
    <row r="25">
      <c r="A25" t="inlineStr">
        <is>
          <t>DEEP1M</t>
        </is>
      </c>
      <c r="B25" t="inlineStr">
        <is>
          <t>QVANN (Ours)</t>
        </is>
      </c>
      <c r="C25" t="n">
        <v>1000000</v>
      </c>
      <c r="D25" t="n">
        <v>96</v>
      </c>
      <c r="E25" t="n">
        <v>60</v>
      </c>
      <c r="F25" t="n">
        <v>0.975</v>
      </c>
      <c r="G25" t="inlineStr">
        <is>
          <t>E=64; SQ4--SQ6--raw</t>
        </is>
      </c>
      <c r="H25" t="n">
        <v>113217.8</v>
      </c>
      <c r="I25" t="n">
        <v>157869.6</v>
      </c>
      <c r="J25" t="n">
        <v>271087.4</v>
      </c>
      <c r="K25" t="n">
        <v>1</v>
      </c>
      <c r="L25" t="n">
        <v>113217.8</v>
      </c>
      <c r="M25" t="n">
        <v>157869.6</v>
      </c>
      <c r="N25" t="n">
        <v>271087.4</v>
      </c>
      <c r="O25" t="inlineStr">
        <is>
          <t>/mnt/d/paper_source/work_9/VeriANN_repro_2026-09-30/VeriANN_repro_2026-09-30/results/work9-multidata-20261015/deep1m/Ours-curve-1000000/per_query.csv</t>
        </is>
      </c>
      <c r="P25" t="inlineStr">
        <is>
          <t>30b187f37175d6e395f8caaaecb8dc3e7600be50dd69d67865383fe0782c9f91</t>
        </is>
      </c>
      <c r="Q25" t="inlineStr">
        <is>
          <t>measured VO byte disaggregation</t>
        </is>
      </c>
    </row>
  </sheetData>
  <autoFilter ref="A1:Q2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2018-06-02T08:28:00Z</dcterms:created>
  <dcterms:modified xsi:type="dcterms:W3CDTF">2026-10-23T05:05:47Z</dcterms:modified>
  <cp:lastModifiedBy>。。。</cp:lastModifiedBy>
</cp:coreProperties>
</file>

<file path=docProps/custom.xml><?xml version="1.0" encoding="utf-8"?>
<Properties xmlns:vt="http://schemas.openxmlformats.org/officeDocument/2006/docPropsVTypes" xmlns="http://schemas.openxmlformats.org/officeDocument/2006/custom-properties">
  <property name="KSOProductBuildVer" fmtid="{D5CDD505-2E9C-101B-9397-08002B2CF9AE}" pid="2">
    <vt:lpwstr>2052-12.1.0.29161</vt:lpwstr>
  </property>
  <property name="ICV" fmtid="{D5CDD505-2E9C-101B-9397-08002B2CF9AE}" pid="3">
    <vt:lpwstr>2122C6EFE9D64A7F9E1B67876758E18F_12</vt:lpwstr>
  </property>
  <property name="CalculationRule" fmtid="{D5CDD505-2E9C-101B-9397-08002B2CF9AE}" pid="4">
    <vt:i4>0</vt:i4>
  </property>
</Properties>
</file>